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W:\Production\Whitewood\P2\WHITEWOOD SCHEDULE FOLLOW UP\HỒNG XÙ veneer\hồng xù\"/>
    </mc:Choice>
  </mc:AlternateContent>
  <bookViews>
    <workbookView xWindow="0" yWindow="0" windowWidth="23040" windowHeight="8610" activeTab="1"/>
  </bookViews>
  <sheets>
    <sheet name="SUM OF VENEER" sheetId="11" r:id="rId1"/>
    <sheet name="tổng" sheetId="3" r:id="rId2"/>
  </sheets>
  <externalReferences>
    <externalReference r:id="rId3"/>
    <externalReference r:id="rId4"/>
  </externalReferences>
  <definedNames>
    <definedName name="_xlnm._FilterDatabase" localSheetId="1" hidden="1">tổng!$A$2:$P$2</definedName>
  </definedNames>
  <calcPr calcId="162913"/>
  <pivotCaches>
    <pivotCache cacheId="169" r:id="rId5"/>
    <pivotCache cacheId="170" r:id="rId6"/>
  </pivotCaches>
</workbook>
</file>

<file path=xl/calcChain.xml><?xml version="1.0" encoding="utf-8"?>
<calcChain xmlns="http://schemas.openxmlformats.org/spreadsheetml/2006/main">
  <c r="Q1758" i="3" l="1"/>
  <c r="K1734" i="3" l="1"/>
  <c r="K1719" i="3" l="1"/>
  <c r="P1718" i="3" l="1"/>
  <c r="K1674" i="3" l="1"/>
  <c r="K1671" i="3"/>
  <c r="K1653" i="3" l="1"/>
  <c r="K1646" i="3" l="1"/>
  <c r="K1340" i="3" l="1"/>
  <c r="K1339" i="3"/>
  <c r="K1338" i="3"/>
  <c r="K1337" i="3"/>
  <c r="K1336" i="3"/>
  <c r="K1335" i="3"/>
  <c r="K1332" i="3" l="1"/>
  <c r="K1321" i="3" l="1"/>
  <c r="K1320" i="3" l="1"/>
  <c r="K1312" i="3" l="1"/>
  <c r="F1297" i="3" l="1"/>
  <c r="F1295" i="3" l="1"/>
  <c r="K1294" i="3" l="1"/>
  <c r="K1293" i="3" l="1"/>
  <c r="K1283" i="3" l="1"/>
  <c r="K1286" i="3"/>
  <c r="K1287" i="3" l="1"/>
  <c r="K1288" i="3"/>
  <c r="K1289" i="3"/>
  <c r="K1290" i="3"/>
  <c r="K1291" i="3"/>
  <c r="K1292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3" i="3"/>
  <c r="K1314" i="3"/>
  <c r="K1315" i="3"/>
  <c r="K1316" i="3"/>
  <c r="K1317" i="3"/>
  <c r="K1318" i="3"/>
  <c r="K1319" i="3"/>
  <c r="K1322" i="3"/>
  <c r="K1323" i="3"/>
  <c r="K1324" i="3"/>
  <c r="K1325" i="3"/>
  <c r="K1326" i="3"/>
  <c r="K1327" i="3"/>
  <c r="K1328" i="3"/>
  <c r="K1329" i="3"/>
  <c r="K1330" i="3"/>
  <c r="K1331" i="3"/>
  <c r="K1333" i="3"/>
  <c r="K1334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9" i="3"/>
  <c r="K1652" i="3"/>
  <c r="K1656" i="3"/>
  <c r="K1658" i="3"/>
  <c r="K1659" i="3"/>
  <c r="K1660" i="3"/>
  <c r="K1661" i="3"/>
  <c r="K1662" i="3"/>
  <c r="K1663" i="3"/>
  <c r="K1664" i="3"/>
  <c r="K1665" i="3"/>
  <c r="K1666" i="3"/>
  <c r="K1667" i="3"/>
  <c r="K1679" i="3"/>
  <c r="K1681" i="3"/>
  <c r="K1682" i="3"/>
  <c r="K1683" i="3"/>
  <c r="K1684" i="3"/>
  <c r="K1685" i="3"/>
  <c r="K1686" i="3"/>
  <c r="K1687" i="3"/>
  <c r="K1688" i="3"/>
  <c r="K1689" i="3"/>
  <c r="K1690" i="3"/>
  <c r="K1691" i="3"/>
  <c r="K1694" i="3"/>
  <c r="K1695" i="3"/>
  <c r="K1696" i="3"/>
  <c r="K1697" i="3"/>
  <c r="K1698" i="3"/>
  <c r="K1699" i="3"/>
  <c r="K1700" i="3"/>
  <c r="K1703" i="3"/>
  <c r="K1705" i="3"/>
  <c r="K1706" i="3"/>
  <c r="K1707" i="3"/>
  <c r="K1709" i="3"/>
  <c r="K1711" i="3"/>
  <c r="K1712" i="3"/>
  <c r="K1713" i="3"/>
  <c r="K1714" i="3"/>
  <c r="K1716" i="3"/>
  <c r="K1718" i="3"/>
  <c r="K1720" i="3"/>
  <c r="K1721" i="3"/>
  <c r="K1722" i="3"/>
  <c r="K1723" i="3"/>
  <c r="K1724" i="3"/>
  <c r="K1727" i="3"/>
  <c r="K1728" i="3"/>
  <c r="K1729" i="3"/>
  <c r="K1730" i="3"/>
  <c r="K1731" i="3"/>
  <c r="K1732" i="3"/>
  <c r="K1733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70" i="3"/>
  <c r="K1771" i="3"/>
  <c r="K1772" i="3"/>
  <c r="K1773" i="3"/>
  <c r="K1778" i="3"/>
  <c r="K1781" i="3"/>
  <c r="K1783" i="3"/>
  <c r="K1784" i="3"/>
  <c r="K1785" i="3"/>
  <c r="K1786" i="3"/>
  <c r="K1787" i="3"/>
  <c r="K1788" i="3"/>
  <c r="K1789" i="3"/>
  <c r="K1790" i="3"/>
  <c r="K1791" i="3"/>
  <c r="K1792" i="3"/>
  <c r="K1794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271" i="3" l="1"/>
  <c r="K1825" i="3" l="1"/>
  <c r="K1826" i="3"/>
  <c r="K1827" i="3"/>
  <c r="K1828" i="3"/>
  <c r="K18" i="3" l="1"/>
  <c r="K1262" i="3"/>
  <c r="K1256" i="3" l="1"/>
  <c r="K1238" i="3" l="1"/>
  <c r="K1239" i="3"/>
  <c r="K1167" i="3" l="1"/>
  <c r="K1168" i="3"/>
  <c r="K1169" i="3"/>
  <c r="K1240" i="3" l="1"/>
  <c r="K1155" i="3" l="1"/>
  <c r="K1153" i="3" l="1"/>
  <c r="K1282" i="3" l="1"/>
  <c r="K1281" i="3"/>
  <c r="K1280" i="3"/>
  <c r="K1279" i="3"/>
  <c r="K1278" i="3"/>
  <c r="K1277" i="3"/>
  <c r="K1276" i="3"/>
  <c r="K1275" i="3"/>
  <c r="K1274" i="3"/>
  <c r="K1273" i="3"/>
  <c r="K1272" i="3"/>
  <c r="K1270" i="3"/>
  <c r="K1269" i="3"/>
  <c r="K1268" i="3"/>
  <c r="K1267" i="3"/>
  <c r="K1266" i="3"/>
  <c r="K1265" i="3"/>
  <c r="K1264" i="3"/>
  <c r="K1263" i="3"/>
  <c r="K1261" i="3"/>
  <c r="K1260" i="3"/>
  <c r="K1259" i="3"/>
  <c r="K1258" i="3"/>
  <c r="K1257" i="3"/>
  <c r="K1255" i="3"/>
  <c r="K1254" i="3"/>
  <c r="K1253" i="3"/>
  <c r="K1252" i="3"/>
  <c r="K1251" i="3"/>
  <c r="K1250" i="3"/>
  <c r="K1131" i="3"/>
  <c r="K1103" i="3" l="1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4" i="3"/>
  <c r="K1156" i="3"/>
  <c r="K1160" i="3"/>
  <c r="K1161" i="3"/>
  <c r="K1162" i="3"/>
  <c r="K1163" i="3"/>
  <c r="K1164" i="3"/>
  <c r="K1165" i="3"/>
  <c r="K1166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052" i="3" l="1"/>
  <c r="K1023" i="3" l="1"/>
  <c r="K1043" i="3"/>
  <c r="K1036" i="3" l="1"/>
  <c r="K1037" i="3"/>
  <c r="K1038" i="3"/>
  <c r="K1039" i="3"/>
  <c r="K1040" i="3"/>
  <c r="K1041" i="3"/>
  <c r="K1042" i="3"/>
  <c r="K1044" i="3"/>
  <c r="K1045" i="3"/>
  <c r="K1046" i="3"/>
  <c r="K1047" i="3"/>
  <c r="K1048" i="3"/>
  <c r="K1049" i="3"/>
  <c r="K1050" i="3"/>
  <c r="K1051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966" i="3" l="1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943" i="3" l="1"/>
  <c r="K944" i="3"/>
  <c r="K945" i="3"/>
  <c r="K946" i="3"/>
  <c r="K947" i="3"/>
  <c r="K948" i="3"/>
  <c r="K949" i="3"/>
  <c r="K950" i="3"/>
  <c r="K951" i="3"/>
  <c r="K952" i="3"/>
  <c r="K953" i="3"/>
  <c r="K954" i="3"/>
  <c r="K938" i="3" l="1"/>
  <c r="K937" i="3"/>
  <c r="K939" i="3" l="1"/>
  <c r="K933" i="3" l="1"/>
  <c r="F931" i="3" l="1"/>
  <c r="K928" i="3" l="1"/>
  <c r="K963" i="3" l="1"/>
  <c r="K964" i="3"/>
  <c r="K955" i="3"/>
  <c r="K956" i="3"/>
  <c r="K957" i="3"/>
  <c r="K958" i="3"/>
  <c r="K959" i="3"/>
  <c r="K960" i="3"/>
  <c r="K961" i="3"/>
  <c r="K962" i="3"/>
  <c r="K965" i="3"/>
  <c r="K922" i="3"/>
  <c r="K923" i="3"/>
  <c r="K924" i="3"/>
  <c r="K925" i="3"/>
  <c r="K926" i="3"/>
  <c r="K927" i="3"/>
  <c r="K929" i="3"/>
  <c r="K930" i="3"/>
  <c r="K931" i="3"/>
  <c r="K932" i="3"/>
  <c r="K934" i="3"/>
  <c r="K935" i="3"/>
  <c r="K936" i="3"/>
  <c r="K940" i="3"/>
  <c r="K941" i="3"/>
  <c r="K942" i="3"/>
  <c r="K911" i="3" l="1"/>
  <c r="K893" i="3" l="1"/>
  <c r="K884" i="3" l="1"/>
  <c r="K885" i="3"/>
  <c r="K886" i="3"/>
  <c r="K887" i="3"/>
  <c r="K888" i="3"/>
  <c r="K889" i="3"/>
  <c r="K890" i="3"/>
  <c r="K891" i="3"/>
  <c r="K892" i="3"/>
  <c r="K894" i="3"/>
  <c r="K895" i="3"/>
  <c r="K896" i="3"/>
  <c r="K897" i="3"/>
  <c r="K898" i="3"/>
  <c r="K880" i="3" l="1"/>
  <c r="K871" i="3" l="1"/>
  <c r="K849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K872" i="3" l="1"/>
  <c r="K868" i="3"/>
  <c r="K874" i="3"/>
  <c r="K873" i="3"/>
  <c r="K870" i="3"/>
  <c r="K869" i="3"/>
  <c r="K854" i="3" l="1"/>
  <c r="K841" i="3" l="1"/>
  <c r="K842" i="3" l="1"/>
  <c r="K843" i="3"/>
  <c r="K844" i="3"/>
  <c r="K845" i="3"/>
  <c r="K846" i="3"/>
  <c r="K847" i="3"/>
  <c r="K848" i="3"/>
  <c r="K850" i="3"/>
  <c r="K851" i="3"/>
  <c r="K852" i="3"/>
  <c r="K853" i="3"/>
  <c r="K857" i="3"/>
  <c r="K858" i="3"/>
  <c r="K859" i="3"/>
  <c r="K860" i="3"/>
  <c r="K861" i="3"/>
  <c r="K862" i="3"/>
  <c r="K863" i="3"/>
  <c r="K864" i="3"/>
  <c r="K865" i="3"/>
  <c r="K866" i="3"/>
  <c r="K867" i="3"/>
  <c r="K875" i="3"/>
  <c r="K876" i="3"/>
  <c r="K877" i="3"/>
  <c r="K878" i="3"/>
  <c r="K879" i="3"/>
  <c r="K881" i="3"/>
  <c r="K882" i="3"/>
  <c r="K883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2" i="3"/>
  <c r="K913" i="3"/>
  <c r="K914" i="3"/>
  <c r="K915" i="3"/>
  <c r="K916" i="3"/>
  <c r="K917" i="3"/>
  <c r="K918" i="3"/>
  <c r="K919" i="3"/>
  <c r="K920" i="3"/>
  <c r="K92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04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3" i="3"/>
  <c r="A825" i="3" l="1"/>
  <c r="A826" i="3"/>
  <c r="F823" i="3"/>
  <c r="F822" i="3"/>
  <c r="F820" i="3"/>
  <c r="F819" i="3"/>
  <c r="F817" i="3"/>
  <c r="F815" i="3"/>
  <c r="F814" i="3"/>
  <c r="F813" i="3"/>
  <c r="F812" i="3"/>
  <c r="F807" i="3"/>
  <c r="F806" i="3"/>
  <c r="F805" i="3"/>
  <c r="F802" i="3"/>
  <c r="F801" i="3"/>
  <c r="F800" i="3"/>
  <c r="F799" i="3"/>
  <c r="F792" i="3"/>
  <c r="F791" i="3"/>
  <c r="F790" i="3"/>
  <c r="F789" i="3"/>
  <c r="F786" i="3"/>
  <c r="F785" i="3"/>
  <c r="F784" i="3"/>
  <c r="F780" i="3"/>
  <c r="F773" i="3"/>
  <c r="F772" i="3"/>
  <c r="F770" i="3"/>
  <c r="F769" i="3"/>
  <c r="F767" i="3"/>
  <c r="F765" i="3"/>
  <c r="F763" i="3"/>
  <c r="F762" i="3"/>
  <c r="F761" i="3"/>
  <c r="F760" i="3"/>
  <c r="F759" i="3"/>
  <c r="F758" i="3"/>
  <c r="F756" i="3"/>
  <c r="F754" i="3"/>
  <c r="F753" i="3"/>
  <c r="F752" i="3"/>
  <c r="F749" i="3"/>
  <c r="F748" i="3"/>
  <c r="F747" i="3"/>
  <c r="F742" i="3"/>
  <c r="F741" i="3"/>
  <c r="F740" i="3"/>
  <c r="F736" i="3"/>
  <c r="F735" i="3"/>
  <c r="F734" i="3"/>
  <c r="F733" i="3"/>
  <c r="F732" i="3"/>
  <c r="F731" i="3"/>
  <c r="F730" i="3"/>
  <c r="F729" i="3"/>
  <c r="F726" i="3"/>
  <c r="F727" i="3"/>
  <c r="F728" i="3"/>
  <c r="F737" i="3"/>
  <c r="F738" i="3"/>
  <c r="F739" i="3"/>
  <c r="F743" i="3"/>
  <c r="F744" i="3"/>
  <c r="F745" i="3"/>
  <c r="F746" i="3"/>
  <c r="F750" i="3"/>
  <c r="F751" i="3"/>
  <c r="F755" i="3"/>
  <c r="F757" i="3"/>
  <c r="F764" i="3"/>
  <c r="F766" i="3"/>
  <c r="F768" i="3"/>
  <c r="F771" i="3"/>
  <c r="F774" i="3"/>
  <c r="F775" i="3"/>
  <c r="F776" i="3"/>
  <c r="F777" i="3"/>
  <c r="F778" i="3"/>
  <c r="F779" i="3"/>
  <c r="F781" i="3"/>
  <c r="F782" i="3"/>
  <c r="F783" i="3"/>
  <c r="F787" i="3"/>
  <c r="F788" i="3"/>
  <c r="F793" i="3"/>
  <c r="F794" i="3"/>
  <c r="F795" i="3"/>
  <c r="F796" i="3"/>
  <c r="F797" i="3"/>
  <c r="F798" i="3"/>
  <c r="F803" i="3"/>
  <c r="F804" i="3"/>
  <c r="F808" i="3"/>
  <c r="F809" i="3"/>
  <c r="F810" i="3"/>
  <c r="F811" i="3"/>
  <c r="F816" i="3"/>
  <c r="F818" i="3"/>
  <c r="F821" i="3"/>
  <c r="F824" i="3"/>
  <c r="F725" i="3"/>
  <c r="E726" i="3" l="1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725" i="3"/>
  <c r="A724" i="3" l="1"/>
  <c r="A704" i="3" l="1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E514" i="3" l="1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13" i="3"/>
  <c r="A487" i="3" l="1"/>
  <c r="A578" i="3" l="1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</calcChain>
</file>

<file path=xl/sharedStrings.xml><?xml version="1.0" encoding="utf-8"?>
<sst xmlns="http://schemas.openxmlformats.org/spreadsheetml/2006/main" count="7609" uniqueCount="1803">
  <si>
    <t>Purchasing</t>
  </si>
  <si>
    <t>B503402/A</t>
  </si>
  <si>
    <t>B505559/A</t>
  </si>
  <si>
    <t>B505478/A</t>
  </si>
  <si>
    <t>B505484/A</t>
  </si>
  <si>
    <t>BN2750NM355</t>
  </si>
  <si>
    <t>Unassigned</t>
  </si>
  <si>
    <t>Finishing</t>
  </si>
  <si>
    <t>Final Machining</t>
  </si>
  <si>
    <t>Technical</t>
  </si>
  <si>
    <t>THANHDATFU</t>
  </si>
  <si>
    <t>Assembly</t>
  </si>
  <si>
    <t>JV004F536</t>
  </si>
  <si>
    <t>B496127/A</t>
  </si>
  <si>
    <t>RH6110M374</t>
  </si>
  <si>
    <t>B499891/A</t>
  </si>
  <si>
    <t>B499892/A</t>
  </si>
  <si>
    <t>BN2690F355</t>
  </si>
  <si>
    <t>B497949/A</t>
  </si>
  <si>
    <t>RH3314M18</t>
  </si>
  <si>
    <t>B498536/A</t>
  </si>
  <si>
    <t>DATPHUC</t>
  </si>
  <si>
    <t>B498537/A</t>
  </si>
  <si>
    <t>B505522/A</t>
  </si>
  <si>
    <t>RH2747M18</t>
  </si>
  <si>
    <t>B503255/A</t>
  </si>
  <si>
    <t>B503256/A</t>
  </si>
  <si>
    <t>BN2908F355</t>
  </si>
  <si>
    <t>CZ566F190</t>
  </si>
  <si>
    <t>JV011F536</t>
  </si>
  <si>
    <t>JV012F536</t>
  </si>
  <si>
    <t>AR359F1001</t>
  </si>
  <si>
    <t>B493626/A</t>
  </si>
  <si>
    <t>B502889/A</t>
  </si>
  <si>
    <t>BN2759M355</t>
  </si>
  <si>
    <t>B502894/A</t>
  </si>
  <si>
    <t>B502895/A</t>
  </si>
  <si>
    <t>BN2855M355</t>
  </si>
  <si>
    <t>B502899/A</t>
  </si>
  <si>
    <t>B502910/A</t>
  </si>
  <si>
    <t>BN2924M355</t>
  </si>
  <si>
    <t>B502942/A</t>
  </si>
  <si>
    <t>AT571M535</t>
  </si>
  <si>
    <t>B501077/A</t>
  </si>
  <si>
    <t>BN2913M355</t>
  </si>
  <si>
    <t>B500920/A</t>
  </si>
  <si>
    <t>B494669/A</t>
  </si>
  <si>
    <t>RH2746M18</t>
  </si>
  <si>
    <t>B487364/A</t>
  </si>
  <si>
    <t>RH441F01</t>
  </si>
  <si>
    <t>BN2759F355</t>
  </si>
  <si>
    <t>JV001F917</t>
  </si>
  <si>
    <t>STT</t>
  </si>
  <si>
    <t>a1-s5-1</t>
  </si>
  <si>
    <t>a1-s1-1</t>
  </si>
  <si>
    <t>a1-s4-1</t>
  </si>
  <si>
    <t>B501318/A</t>
  </si>
  <si>
    <t>B501319/A</t>
  </si>
  <si>
    <t>A1-S4-1,A3-S4-1,</t>
  </si>
  <si>
    <t>a1-s1</t>
  </si>
  <si>
    <t>B500931/A</t>
  </si>
  <si>
    <t>BN2913M356</t>
  </si>
  <si>
    <t>a2-s1</t>
  </si>
  <si>
    <t>p01,p2</t>
  </si>
  <si>
    <t>p3</t>
  </si>
  <si>
    <t>B501247/A</t>
  </si>
  <si>
    <t>MN5877F926-SW AT</t>
  </si>
  <si>
    <t>P1</t>
  </si>
  <si>
    <t>B503534/A</t>
  </si>
  <si>
    <t>RH9050F491</t>
  </si>
  <si>
    <t>A1-S00</t>
  </si>
  <si>
    <t>B503536/A</t>
  </si>
  <si>
    <t>B503538/A</t>
  </si>
  <si>
    <t>B493630/A</t>
  </si>
  <si>
    <t>A2-S4</t>
  </si>
  <si>
    <t>P3</t>
  </si>
  <si>
    <t>wk33</t>
  </si>
  <si>
    <t>wk34</t>
  </si>
  <si>
    <t>p2</t>
  </si>
  <si>
    <t>Machining</t>
  </si>
  <si>
    <t>NCC datphuc</t>
  </si>
  <si>
    <t>RH7276F374</t>
  </si>
  <si>
    <t>A2</t>
  </si>
  <si>
    <t>Machining(CNC)</t>
  </si>
  <si>
    <t xml:space="preserve">bảng màu </t>
  </si>
  <si>
    <t>HS5336</t>
  </si>
  <si>
    <t>HS5491</t>
  </si>
  <si>
    <t>WD-03-019</t>
  </si>
  <si>
    <t>B498432/A</t>
  </si>
  <si>
    <t>A2-S5</t>
  </si>
  <si>
    <t>SH5354</t>
  </si>
  <si>
    <t>WD-03-254</t>
  </si>
  <si>
    <t>RH9540</t>
  </si>
  <si>
    <t>WD-03-510</t>
  </si>
  <si>
    <t>B506667/A</t>
  </si>
  <si>
    <t>MK013F156</t>
  </si>
  <si>
    <t>A1-S1</t>
  </si>
  <si>
    <t>Beam Saw</t>
  </si>
  <si>
    <t>hàng làm lại lần 2</t>
  </si>
  <si>
    <t>RH7011F374</t>
  </si>
  <si>
    <t>B505430/A</t>
  </si>
  <si>
    <t>RH9063F410</t>
  </si>
  <si>
    <t>B503544/A</t>
  </si>
  <si>
    <t>P02</t>
  </si>
  <si>
    <t>WK35</t>
  </si>
  <si>
    <t>RH7391F409</t>
  </si>
  <si>
    <t>A1-S3</t>
  </si>
  <si>
    <t>P01</t>
  </si>
  <si>
    <t>BN2912F355</t>
  </si>
  <si>
    <t>B502913/A</t>
  </si>
  <si>
    <t>BN2912F356</t>
  </si>
  <si>
    <t>A1-S4-1</t>
  </si>
  <si>
    <t>ko xác định</t>
  </si>
  <si>
    <t>a1-s4</t>
  </si>
  <si>
    <t>RH7350F383</t>
  </si>
  <si>
    <t xml:space="preserve">sửa hàng hộc kéo </t>
  </si>
  <si>
    <t>Mr.nhựt</t>
  </si>
  <si>
    <t>RH6943F374</t>
  </si>
  <si>
    <t>A7-S6</t>
  </si>
  <si>
    <t>A2-S5-1</t>
  </si>
  <si>
    <t>RH2573F374</t>
  </si>
  <si>
    <t>B506732/A</t>
  </si>
  <si>
    <t>A1</t>
  </si>
  <si>
    <t xml:space="preserve">RC Panel </t>
  </si>
  <si>
    <t>Ms.Linh</t>
  </si>
  <si>
    <t>B505133/A</t>
  </si>
  <si>
    <t>RH2700F374</t>
  </si>
  <si>
    <t>RH7157F382</t>
  </si>
  <si>
    <t>P08-02</t>
  </si>
  <si>
    <t>RH7157F383</t>
  </si>
  <si>
    <t>B505481/A+B505482/A</t>
  </si>
  <si>
    <t>RH7157F409</t>
  </si>
  <si>
    <t>WK RC</t>
  </si>
  <si>
    <t xml:space="preserve">SỐ LƯỢNG </t>
  </si>
  <si>
    <t xml:space="preserve">NGàY BẮT ĐẦU </t>
  </si>
  <si>
    <t>SỐ HC</t>
  </si>
  <si>
    <t xml:space="preserve">THỜI GIANG BẮT ĐẦU </t>
  </si>
  <si>
    <t xml:space="preserve">SỐ GIỜ </t>
  </si>
  <si>
    <t>WONUMBER</t>
  </si>
  <si>
    <t xml:space="preserve">SỐ BỘ </t>
  </si>
  <si>
    <t>CHARGE TO</t>
  </si>
  <si>
    <t>NOTE</t>
  </si>
  <si>
    <t xml:space="preserve">TÊN CHÍ TIẾT </t>
  </si>
  <si>
    <t>MÃ HàNG</t>
  </si>
  <si>
    <t xml:space="preserve">NGàY KẾT THÚC </t>
  </si>
  <si>
    <t xml:space="preserve">THỜI GIANG KẾT THÚC </t>
  </si>
  <si>
    <t>JV001F536</t>
  </si>
  <si>
    <t>RH500</t>
  </si>
  <si>
    <t>WD-03-455</t>
  </si>
  <si>
    <t>WD-03-229</t>
  </si>
  <si>
    <t>WD-03-326</t>
  </si>
  <si>
    <t>Mr.Sơn</t>
  </si>
  <si>
    <t>B486385/A</t>
  </si>
  <si>
    <t>AAR418F834</t>
  </si>
  <si>
    <t>A2-S1</t>
  </si>
  <si>
    <t>QA Testing</t>
  </si>
  <si>
    <t>B490822/A</t>
  </si>
  <si>
    <t>RH2380F96</t>
  </si>
  <si>
    <t>A1-S9</t>
  </si>
  <si>
    <t>P00</t>
  </si>
  <si>
    <t>B491477/A</t>
  </si>
  <si>
    <t>A1-S5-1</t>
  </si>
  <si>
    <t>B503015/A</t>
  </si>
  <si>
    <t>P8-1</t>
  </si>
  <si>
    <t>A1-S8</t>
  </si>
  <si>
    <t>WK36</t>
  </si>
  <si>
    <t>RH9050F401</t>
  </si>
  <si>
    <t>B506648/A</t>
  </si>
  <si>
    <t>HS5401F1090</t>
  </si>
  <si>
    <t>A1-S5-3</t>
  </si>
  <si>
    <t>B503214/A</t>
  </si>
  <si>
    <t>RH2575F373</t>
  </si>
  <si>
    <t>B512455/A</t>
  </si>
  <si>
    <t>RH1652AF96</t>
  </si>
  <si>
    <t>A3-S2</t>
  </si>
  <si>
    <t xml:space="preserve">KHÁCH HÀNG </t>
  </si>
  <si>
    <t>P07</t>
  </si>
  <si>
    <t>P09</t>
  </si>
  <si>
    <t>P10</t>
  </si>
  <si>
    <t>P13</t>
  </si>
  <si>
    <t>B512457/A</t>
  </si>
  <si>
    <t>RH1658F96</t>
  </si>
  <si>
    <t>P02B</t>
  </si>
  <si>
    <t>P04</t>
  </si>
  <si>
    <t>AR417F906</t>
  </si>
  <si>
    <t>ME</t>
  </si>
  <si>
    <t>B503549/A</t>
  </si>
  <si>
    <t>RH9112F401</t>
  </si>
  <si>
    <t>A3-S1</t>
  </si>
  <si>
    <t>HS5227F1090</t>
  </si>
  <si>
    <t>A2-S8</t>
  </si>
  <si>
    <t>paneling</t>
  </si>
  <si>
    <t>B058202/A</t>
  </si>
  <si>
    <t>B493644/A</t>
  </si>
  <si>
    <t>AR721F8952</t>
  </si>
  <si>
    <t>a1</t>
  </si>
  <si>
    <t>B505039/A</t>
  </si>
  <si>
    <t>JV011F536-SAWAT</t>
  </si>
  <si>
    <t>P.B+P.C</t>
  </si>
  <si>
    <t>WK37</t>
  </si>
  <si>
    <t>B508079/A</t>
  </si>
  <si>
    <t>B508041/A</t>
  </si>
  <si>
    <t>AR462F1001</t>
  </si>
  <si>
    <t>WD-03-119</t>
  </si>
  <si>
    <t>WD-03-191</t>
  </si>
  <si>
    <t>WD-03-185</t>
  </si>
  <si>
    <t>RH2380F96.BC</t>
  </si>
  <si>
    <t>B508731/A</t>
  </si>
  <si>
    <t>RH9293F415</t>
  </si>
  <si>
    <t>B512104/A</t>
  </si>
  <si>
    <t>RH7234F374</t>
  </si>
  <si>
    <t>P2-1-1</t>
  </si>
  <si>
    <t>B508313/A</t>
  </si>
  <si>
    <t>RH2670F401</t>
  </si>
  <si>
    <t>P1-1</t>
  </si>
  <si>
    <t>RH5230F1119</t>
  </si>
  <si>
    <t>B509926/A</t>
  </si>
  <si>
    <t>B508413/A</t>
  </si>
  <si>
    <t>RH3443F18</t>
  </si>
  <si>
    <t>A4-S1</t>
  </si>
  <si>
    <t>WK38</t>
  </si>
  <si>
    <t>A6-S1</t>
  </si>
  <si>
    <t>B510016/A</t>
  </si>
  <si>
    <t>RH4080F18</t>
  </si>
  <si>
    <t>A1-S1-1</t>
  </si>
  <si>
    <t>B511380/A</t>
  </si>
  <si>
    <t>RH1836F8</t>
  </si>
  <si>
    <t>A1-S2</t>
  </si>
  <si>
    <t>làm lại lần 2</t>
  </si>
  <si>
    <t>B502881/A</t>
  </si>
  <si>
    <t>P3-1</t>
  </si>
  <si>
    <t>không xác định</t>
  </si>
  <si>
    <t>AR358M1001</t>
  </si>
  <si>
    <t>B506413/A</t>
  </si>
  <si>
    <t>B509755/A</t>
  </si>
  <si>
    <t>B506638/A</t>
  </si>
  <si>
    <t>HS5392F1090</t>
  </si>
  <si>
    <t>A2-S14</t>
  </si>
  <si>
    <t>B510156/A</t>
  </si>
  <si>
    <t>RH9067F410</t>
  </si>
  <si>
    <t>B509753/A</t>
  </si>
  <si>
    <t>BN2865F355</t>
  </si>
  <si>
    <t>B508034/A</t>
  </si>
  <si>
    <t>AR452F1001</t>
  </si>
  <si>
    <t>P4</t>
  </si>
  <si>
    <t>P5</t>
  </si>
  <si>
    <t xml:space="preserve">13 chí tiết </t>
  </si>
  <si>
    <t>bào trì</t>
  </si>
  <si>
    <t xml:space="preserve">làm tủ cho bào trì </t>
  </si>
  <si>
    <t>B504654/A</t>
  </si>
  <si>
    <t>HS5229F1090</t>
  </si>
  <si>
    <t>P2-1</t>
  </si>
  <si>
    <t>B504657/A</t>
  </si>
  <si>
    <t>HS5383F1090</t>
  </si>
  <si>
    <t>B505022/A</t>
  </si>
  <si>
    <t>HS5384F1090</t>
  </si>
  <si>
    <t>A5-S1--1</t>
  </si>
  <si>
    <t>A5-S1-2</t>
  </si>
  <si>
    <t>B509586/A</t>
  </si>
  <si>
    <t>AR081F871</t>
  </si>
  <si>
    <t>MK5880F1010</t>
  </si>
  <si>
    <t>WD-03-009</t>
  </si>
  <si>
    <t>P03</t>
  </si>
  <si>
    <t xml:space="preserve">bảng màu cước </t>
  </si>
  <si>
    <t>WK39</t>
  </si>
  <si>
    <t>JV011F356</t>
  </si>
  <si>
    <t>PB+PC</t>
  </si>
  <si>
    <t>B511193/A</t>
  </si>
  <si>
    <t>BN2436F194</t>
  </si>
  <si>
    <t>B511235/A</t>
  </si>
  <si>
    <t>CZ183F190</t>
  </si>
  <si>
    <t>B511252/A</t>
  </si>
  <si>
    <t>CZ203F08</t>
  </si>
  <si>
    <t>A5-S1</t>
  </si>
  <si>
    <t>B511318/A</t>
  </si>
  <si>
    <t>A1-S5</t>
  </si>
  <si>
    <t>B511501/A</t>
  </si>
  <si>
    <t>RH3568F372</t>
  </si>
  <si>
    <t>B511185/A</t>
  </si>
  <si>
    <t>BN2434F193</t>
  </si>
  <si>
    <t>P05</t>
  </si>
  <si>
    <t>B511604/A</t>
  </si>
  <si>
    <t>RH9079F370</t>
  </si>
  <si>
    <t>RH9861F423</t>
  </si>
  <si>
    <t>B497879/A</t>
  </si>
  <si>
    <t>AR760F834-BASE</t>
  </si>
  <si>
    <t>A0</t>
  </si>
  <si>
    <t>QA/testing</t>
  </si>
  <si>
    <t>a1-s2</t>
  </si>
  <si>
    <t>a1-s3</t>
  </si>
  <si>
    <t>a1-s5</t>
  </si>
  <si>
    <t>B497863/A</t>
  </si>
  <si>
    <t>AR417F834-BASE</t>
  </si>
  <si>
    <t>B497843/A</t>
  </si>
  <si>
    <t>AR176F892</t>
  </si>
  <si>
    <t>B497861/A</t>
  </si>
  <si>
    <t>AR407F1001</t>
  </si>
  <si>
    <t>A1-1</t>
  </si>
  <si>
    <t>WD-03-141</t>
  </si>
  <si>
    <t>CZ848M409</t>
  </si>
  <si>
    <t>SH758</t>
  </si>
  <si>
    <t>Mẫu test</t>
  </si>
  <si>
    <t>B508206/A</t>
  </si>
  <si>
    <t>HS5394F1091</t>
  </si>
  <si>
    <t>AR358F1001</t>
  </si>
  <si>
    <t>WK40</t>
  </si>
  <si>
    <t>B508063/A</t>
  </si>
  <si>
    <t>AR768F1001</t>
  </si>
  <si>
    <t>B512636/A</t>
  </si>
  <si>
    <t>DL015F836</t>
  </si>
  <si>
    <t>A1-S4</t>
  </si>
  <si>
    <t xml:space="preserve">khách hàng </t>
  </si>
  <si>
    <t>A1-S6</t>
  </si>
  <si>
    <t>B512639/A</t>
  </si>
  <si>
    <t>DL016F836</t>
  </si>
  <si>
    <t>B512644/A</t>
  </si>
  <si>
    <t>JV013F836</t>
  </si>
  <si>
    <t>B512643/A</t>
  </si>
  <si>
    <t>A2-S6</t>
  </si>
  <si>
    <t>B512646/A</t>
  </si>
  <si>
    <t>JV014F837</t>
  </si>
  <si>
    <t>A2-S7</t>
  </si>
  <si>
    <t>A5-S6</t>
  </si>
  <si>
    <t>A6-S6</t>
  </si>
  <si>
    <t>B514576/A</t>
  </si>
  <si>
    <t>B514579/A</t>
  </si>
  <si>
    <t>B506420/A</t>
  </si>
  <si>
    <t>AR408F001</t>
  </si>
  <si>
    <t>P12-1-3</t>
  </si>
  <si>
    <t>BN508211/A</t>
  </si>
  <si>
    <t>JV009F989</t>
  </si>
  <si>
    <t>A1-S41</t>
  </si>
  <si>
    <t>finising</t>
  </si>
  <si>
    <t>WD-03-203</t>
  </si>
  <si>
    <t>B513402/A</t>
  </si>
  <si>
    <t>RH9053F40</t>
  </si>
  <si>
    <t>Packing</t>
  </si>
  <si>
    <t>B514915/A</t>
  </si>
  <si>
    <t>B508201/A</t>
  </si>
  <si>
    <t>RH7391F381</t>
  </si>
  <si>
    <t>B513367/A</t>
  </si>
  <si>
    <t>RH9035F396</t>
  </si>
  <si>
    <t>B495855/A</t>
  </si>
  <si>
    <t>WK41</t>
  </si>
  <si>
    <t>B513359/A</t>
  </si>
  <si>
    <t>RH9018F413</t>
  </si>
  <si>
    <t>P02-1</t>
  </si>
  <si>
    <t>B509633/A</t>
  </si>
  <si>
    <t>AR421F001</t>
  </si>
  <si>
    <t>B511163/A</t>
  </si>
  <si>
    <t>AR474F1001</t>
  </si>
  <si>
    <t>B520296/A</t>
  </si>
  <si>
    <t>RH9862F425</t>
  </si>
  <si>
    <t>B513526/A</t>
  </si>
  <si>
    <t>RH3425F17</t>
  </si>
  <si>
    <t>B514392/A</t>
  </si>
  <si>
    <t>AR357F1001</t>
  </si>
  <si>
    <t>WK42</t>
  </si>
  <si>
    <t>B512744/A</t>
  </si>
  <si>
    <t>RH2574F374</t>
  </si>
  <si>
    <t>B509909/A</t>
  </si>
  <si>
    <t>CZ888F196</t>
  </si>
  <si>
    <t>a2-s1-1</t>
  </si>
  <si>
    <t>B514399/A</t>
  </si>
  <si>
    <t>AR473F1001</t>
  </si>
  <si>
    <t>A2-S2</t>
  </si>
  <si>
    <t>B516552/A</t>
  </si>
  <si>
    <t>AT305F1089</t>
  </si>
  <si>
    <t>A3</t>
  </si>
  <si>
    <t>purechasing</t>
  </si>
  <si>
    <t>a3-s1</t>
  </si>
  <si>
    <t>a4-s1</t>
  </si>
  <si>
    <t>AT383F888</t>
  </si>
  <si>
    <t>B514414/A</t>
  </si>
  <si>
    <t>a3-s2</t>
  </si>
  <si>
    <t>A3-1</t>
  </si>
  <si>
    <t>B495845/A</t>
  </si>
  <si>
    <t>AR190F906</t>
  </si>
  <si>
    <t>WD-03-038</t>
  </si>
  <si>
    <t xml:space="preserve">mẫu test cước </t>
  </si>
  <si>
    <t>WD-03-482</t>
  </si>
  <si>
    <t>WD-03-402</t>
  </si>
  <si>
    <t>WD-03-404</t>
  </si>
  <si>
    <t>Mr.niên</t>
  </si>
  <si>
    <t>B522745/A</t>
  </si>
  <si>
    <t>RH9536F423</t>
  </si>
  <si>
    <t>WK43</t>
  </si>
  <si>
    <t>a4-s3</t>
  </si>
  <si>
    <t>Purchase</t>
  </si>
  <si>
    <t>B507305/A</t>
  </si>
  <si>
    <t>AR133F901</t>
  </si>
  <si>
    <t>B516958/A</t>
  </si>
  <si>
    <t>RH7340F383</t>
  </si>
  <si>
    <t>B519230/A</t>
  </si>
  <si>
    <t>RH9879F424</t>
  </si>
  <si>
    <t>B514384/A</t>
  </si>
  <si>
    <t>P9-02</t>
  </si>
  <si>
    <t>WD-03-511</t>
  </si>
  <si>
    <t>WD-03-270</t>
  </si>
  <si>
    <t>WD-03-236</t>
  </si>
  <si>
    <t>B518507/A</t>
  </si>
  <si>
    <t>RH7264F374</t>
  </si>
  <si>
    <t>B514395/A</t>
  </si>
  <si>
    <t>AR408F1001</t>
  </si>
  <si>
    <t>P04+P05</t>
  </si>
  <si>
    <t>B520271/A</t>
  </si>
  <si>
    <t>RH9849F423</t>
  </si>
  <si>
    <t>WK44</t>
  </si>
  <si>
    <t>A1-S1-2</t>
  </si>
  <si>
    <t>A1-S1-3</t>
  </si>
  <si>
    <t>A1-S1-4</t>
  </si>
  <si>
    <t>B520269/A</t>
  </si>
  <si>
    <t>RH9338F431</t>
  </si>
  <si>
    <t>WK45</t>
  </si>
  <si>
    <t>B518221/A</t>
  </si>
  <si>
    <t>B516945/A</t>
  </si>
  <si>
    <t>B518393/A</t>
  </si>
  <si>
    <t>B521625/A</t>
  </si>
  <si>
    <t>RH387F03</t>
  </si>
  <si>
    <t>RH2578F398</t>
  </si>
  <si>
    <t>RH7260F374</t>
  </si>
  <si>
    <t>WD-03-014</t>
  </si>
  <si>
    <t>WD-03-189</t>
  </si>
  <si>
    <t>WD-03-411</t>
  </si>
  <si>
    <t>WD-03-253</t>
  </si>
  <si>
    <t>WD-03-006</t>
  </si>
  <si>
    <t>WD-03-485</t>
  </si>
  <si>
    <t>RH1793F8</t>
  </si>
  <si>
    <t>WD-03-334</t>
  </si>
  <si>
    <t>WK46</t>
  </si>
  <si>
    <t xml:space="preserve">hàng test cước </t>
  </si>
  <si>
    <t>RH3539F196</t>
  </si>
  <si>
    <t xml:space="preserve">đầu gường </t>
  </si>
  <si>
    <t>CZ886F196</t>
  </si>
  <si>
    <t xml:space="preserve">mặt bàn </t>
  </si>
  <si>
    <t>wk46</t>
  </si>
  <si>
    <t>B522613/A</t>
  </si>
  <si>
    <t>P01-0</t>
  </si>
  <si>
    <t>MAchining</t>
  </si>
  <si>
    <t>P06</t>
  </si>
  <si>
    <t>A2-S2-2</t>
  </si>
  <si>
    <t>A2-S2-4</t>
  </si>
  <si>
    <t>A2-S2-1-2-1</t>
  </si>
  <si>
    <t>A2-S2-1-2-2</t>
  </si>
  <si>
    <t>A2-S2-1-1-1</t>
  </si>
  <si>
    <t>A2-1</t>
  </si>
  <si>
    <t>RH9858F423</t>
  </si>
  <si>
    <t>change texture</t>
  </si>
  <si>
    <t>a1-s1-2</t>
  </si>
  <si>
    <t>a1-s1-3</t>
  </si>
  <si>
    <t>WD-03-231</t>
  </si>
  <si>
    <t>B524706/A</t>
  </si>
  <si>
    <t>RH1852F8</t>
  </si>
  <si>
    <t>P31-4</t>
  </si>
  <si>
    <t>B525282/A</t>
  </si>
  <si>
    <t>RH9541F424</t>
  </si>
  <si>
    <t>B522749/A</t>
  </si>
  <si>
    <t>P1-0</t>
  </si>
  <si>
    <t>B521169/A</t>
  </si>
  <si>
    <t>RH9859F426</t>
  </si>
  <si>
    <t>RH9861F425</t>
  </si>
  <si>
    <t>RH9456F424</t>
  </si>
  <si>
    <t>B524010/A</t>
  </si>
  <si>
    <t>RH4087F26</t>
  </si>
  <si>
    <t>A3-06</t>
  </si>
  <si>
    <t>A3-07</t>
  </si>
  <si>
    <t>B523513/A</t>
  </si>
  <si>
    <t>CZ131F08</t>
  </si>
  <si>
    <t>P08A</t>
  </si>
  <si>
    <t>P09A</t>
  </si>
  <si>
    <t>WK47</t>
  </si>
  <si>
    <t>B516956/A</t>
  </si>
  <si>
    <t>RH7340F381</t>
  </si>
  <si>
    <t>B516962/A</t>
  </si>
  <si>
    <t>RH7340F382</t>
  </si>
  <si>
    <t>B516960/A</t>
  </si>
  <si>
    <t>B525001/A</t>
  </si>
  <si>
    <t>RH7380F381</t>
  </si>
  <si>
    <t>B529440/A</t>
  </si>
  <si>
    <t>RH2254F08</t>
  </si>
  <si>
    <t>B529866/A</t>
  </si>
  <si>
    <t>B528104/A</t>
  </si>
  <si>
    <t>RH2254F09</t>
  </si>
  <si>
    <t>B523889/A</t>
  </si>
  <si>
    <t>AR081F823</t>
  </si>
  <si>
    <t>FiTTINGS</t>
  </si>
  <si>
    <t>B519948/A</t>
  </si>
  <si>
    <t>B528095/A</t>
  </si>
  <si>
    <t>RH2251F09</t>
  </si>
  <si>
    <t>B528716/A</t>
  </si>
  <si>
    <t>JV041F1124</t>
  </si>
  <si>
    <t>P.A</t>
  </si>
  <si>
    <t>JV042F1124</t>
  </si>
  <si>
    <t>B528718/A</t>
  </si>
  <si>
    <t xml:space="preserve">đi phụ </t>
  </si>
  <si>
    <t>sample shop</t>
  </si>
  <si>
    <t>B521432/A</t>
  </si>
  <si>
    <t>WK48</t>
  </si>
  <si>
    <t>MẪU</t>
  </si>
  <si>
    <t>B525677/A</t>
  </si>
  <si>
    <t>RH9498F382</t>
  </si>
  <si>
    <t>A2-S1-3</t>
  </si>
  <si>
    <t>B525681/A</t>
  </si>
  <si>
    <t>RH9991F382</t>
  </si>
  <si>
    <t>B525661/A</t>
  </si>
  <si>
    <t>RH10078F382</t>
  </si>
  <si>
    <t>B525673/A</t>
  </si>
  <si>
    <t>RH10086F382</t>
  </si>
  <si>
    <t>khách hàng RFF-RH</t>
  </si>
  <si>
    <t>A2-S3</t>
  </si>
  <si>
    <t>B524844/A</t>
  </si>
  <si>
    <t>RH386F01</t>
  </si>
  <si>
    <t>A4-s1</t>
  </si>
  <si>
    <t>A4-S2</t>
  </si>
  <si>
    <t>A4-S3</t>
  </si>
  <si>
    <t>A4-S4</t>
  </si>
  <si>
    <t>B531592/A</t>
  </si>
  <si>
    <t>RH9540F423</t>
  </si>
  <si>
    <t>WK49</t>
  </si>
  <si>
    <t>B514984/A</t>
  </si>
  <si>
    <t>RH9457F423</t>
  </si>
  <si>
    <t>B529741/A</t>
  </si>
  <si>
    <t>P01-02</t>
  </si>
  <si>
    <t>B531614/A</t>
  </si>
  <si>
    <t>RH9887F425</t>
  </si>
  <si>
    <t>B523992/A</t>
  </si>
  <si>
    <t>RH6943F372</t>
  </si>
  <si>
    <t>B533033/A</t>
  </si>
  <si>
    <t>JV022F1166</t>
  </si>
  <si>
    <t>B531251/A</t>
  </si>
  <si>
    <t>RH1831F08</t>
  </si>
  <si>
    <t>P4-1</t>
  </si>
  <si>
    <t>B522036/A</t>
  </si>
  <si>
    <t>p01</t>
  </si>
  <si>
    <t>B528723/A</t>
  </si>
  <si>
    <t>JV033F1165</t>
  </si>
  <si>
    <t>WK50</t>
  </si>
  <si>
    <t>veneer pressing</t>
  </si>
  <si>
    <t>RH9541F423</t>
  </si>
  <si>
    <t>B531595/A</t>
  </si>
  <si>
    <t>B531600/A</t>
  </si>
  <si>
    <t>RH9886F423</t>
  </si>
  <si>
    <t>B531609/A</t>
  </si>
  <si>
    <t>RH9887F423</t>
  </si>
  <si>
    <t>B531619/A</t>
  </si>
  <si>
    <t>RH9888F423</t>
  </si>
  <si>
    <t>B531628/A</t>
  </si>
  <si>
    <t>RH9889F423</t>
  </si>
  <si>
    <t>CZ051F196</t>
  </si>
  <si>
    <t>HỘC KÉO</t>
  </si>
  <si>
    <t>B528232/A</t>
  </si>
  <si>
    <t>RH386F02</t>
  </si>
  <si>
    <t>TỦ</t>
  </si>
  <si>
    <t>RH5275F17</t>
  </si>
  <si>
    <t>TỔNG HỢP THỜI GIAN PHÁT SINH VẤN ĐỀ KHU VỰC VENEER</t>
  </si>
  <si>
    <t>WK51</t>
  </si>
  <si>
    <t>RH500F01</t>
  </si>
  <si>
    <t>BẢNG MÀU</t>
  </si>
  <si>
    <t>RH500F384</t>
  </si>
  <si>
    <t>JV038F1164</t>
  </si>
  <si>
    <t>A5-S3</t>
  </si>
  <si>
    <t>WW</t>
  </si>
  <si>
    <t>A UYÊN</t>
  </si>
  <si>
    <t>B535171/A</t>
  </si>
  <si>
    <t>RH9882F426</t>
  </si>
  <si>
    <t>P11</t>
  </si>
  <si>
    <t>TOP</t>
  </si>
  <si>
    <t>VÁN ĐÁY</t>
  </si>
  <si>
    <t>RH175F01</t>
  </si>
  <si>
    <t>WK52</t>
  </si>
  <si>
    <t>RH5367F38</t>
  </si>
  <si>
    <t>RH1002F423</t>
  </si>
  <si>
    <t>B528466/A</t>
  </si>
  <si>
    <t>BN1377F70</t>
  </si>
  <si>
    <t>B532887/A</t>
  </si>
  <si>
    <t>BN2942F355</t>
  </si>
  <si>
    <t>B533043/A</t>
  </si>
  <si>
    <t>JV035F1165</t>
  </si>
  <si>
    <t>A4-S5</t>
  </si>
  <si>
    <t>A3-S4</t>
  </si>
  <si>
    <t>B528451/A</t>
  </si>
  <si>
    <t>A1-S7A</t>
  </si>
  <si>
    <t>B528413/A</t>
  </si>
  <si>
    <t>CZ854F196</t>
  </si>
  <si>
    <t>B531373/A</t>
  </si>
  <si>
    <t>RH3065F08</t>
  </si>
  <si>
    <t>B533197/A</t>
  </si>
  <si>
    <t>RH3067F09</t>
  </si>
  <si>
    <t>RH1654F96</t>
  </si>
  <si>
    <t xml:space="preserve">HÔNG TỦ </t>
  </si>
  <si>
    <t>RH500F1021</t>
  </si>
  <si>
    <t>RH500F1.3</t>
  </si>
  <si>
    <t>WD-03-194</t>
  </si>
  <si>
    <t>WD-03-520</t>
  </si>
  <si>
    <t>B529738/A</t>
  </si>
  <si>
    <t>DL018F837</t>
  </si>
  <si>
    <t>B531517/A</t>
  </si>
  <si>
    <t>RH7609F373</t>
  </si>
  <si>
    <t>Mr.tu</t>
  </si>
  <si>
    <t>RH4083F17</t>
  </si>
  <si>
    <t xml:space="preserve">NCC </t>
  </si>
  <si>
    <t>B533036/A</t>
  </si>
  <si>
    <t>B528719/A</t>
  </si>
  <si>
    <t>JV036F1121</t>
  </si>
  <si>
    <t>B529743/A</t>
  </si>
  <si>
    <t>A5-S4</t>
  </si>
  <si>
    <t>B528006/A</t>
  </si>
  <si>
    <t>lỗi chưa  xác định</t>
  </si>
  <si>
    <t>B531567/A</t>
  </si>
  <si>
    <t>RH9092F373</t>
  </si>
  <si>
    <t>B530910/A</t>
  </si>
  <si>
    <t>CT020F633</t>
  </si>
  <si>
    <t>RH072F1</t>
  </si>
  <si>
    <t>A8-S2</t>
  </si>
  <si>
    <t>A8-S3</t>
  </si>
  <si>
    <t>A7-S2</t>
  </si>
  <si>
    <t>A7-S3</t>
  </si>
  <si>
    <t>A5-S2</t>
  </si>
  <si>
    <t>RH072F02</t>
  </si>
  <si>
    <t>RH3436F130</t>
  </si>
  <si>
    <t>RH3436F136</t>
  </si>
  <si>
    <t>RH5061F01</t>
  </si>
  <si>
    <t>A7-S3A</t>
  </si>
  <si>
    <t>RH1654F40</t>
  </si>
  <si>
    <t>RH1657F40</t>
  </si>
  <si>
    <t>CZ888F409</t>
  </si>
  <si>
    <t>B534831/A</t>
  </si>
  <si>
    <t>A2-S1-1</t>
  </si>
  <si>
    <t>B531477/A</t>
  </si>
  <si>
    <t>B538846/A</t>
  </si>
  <si>
    <t>RH9541F426</t>
  </si>
  <si>
    <t>B536933/A</t>
  </si>
  <si>
    <t>B533034/A</t>
  </si>
  <si>
    <t>B541562/A</t>
  </si>
  <si>
    <t>CZ869F381</t>
  </si>
  <si>
    <t>CZ869F409</t>
  </si>
  <si>
    <t>B541564/A</t>
  </si>
  <si>
    <t>P4-2</t>
  </si>
  <si>
    <t>P4-3</t>
  </si>
  <si>
    <t>B533042/A</t>
  </si>
  <si>
    <t>JV015F836</t>
  </si>
  <si>
    <t>B541265/A</t>
  </si>
  <si>
    <t>BN2907F357</t>
  </si>
  <si>
    <t>Veeneer pressing</t>
  </si>
  <si>
    <t>B541417/A</t>
  </si>
  <si>
    <t>BN3175F355</t>
  </si>
  <si>
    <t>B533054/A</t>
  </si>
  <si>
    <t>JV037F1164</t>
  </si>
  <si>
    <t>A3-S5</t>
  </si>
  <si>
    <t>B538871/A</t>
  </si>
  <si>
    <t>RH9848F425</t>
  </si>
  <si>
    <t>B541855/A</t>
  </si>
  <si>
    <t>JV036F1164</t>
  </si>
  <si>
    <t>MAChining</t>
  </si>
  <si>
    <t>B542170/A</t>
  </si>
  <si>
    <t>RH9166F374</t>
  </si>
  <si>
    <t>B541902/A</t>
  </si>
  <si>
    <t>RH7366F382</t>
  </si>
  <si>
    <t>BN2950F355</t>
  </si>
  <si>
    <t>TỦ BỘP VENEER</t>
  </si>
  <si>
    <t>B540069/A</t>
  </si>
  <si>
    <t xml:space="preserve">HÔNG TỦ BỊ DỘP VENEER </t>
  </si>
  <si>
    <t>NCR</t>
  </si>
  <si>
    <t>B541318/A</t>
  </si>
  <si>
    <t>JV032F1166</t>
  </si>
  <si>
    <t>BN3182F355</t>
  </si>
  <si>
    <t>RH877</t>
  </si>
  <si>
    <t>CỬA</t>
  </si>
  <si>
    <t>B538900/A</t>
  </si>
  <si>
    <t>RH9860F426</t>
  </si>
  <si>
    <t>RH10270F373</t>
  </si>
  <si>
    <t>B537166/A</t>
  </si>
  <si>
    <t>A2-0</t>
  </si>
  <si>
    <t>BN3085F356</t>
  </si>
  <si>
    <t>B543034/A</t>
  </si>
  <si>
    <t>CZ890F196</t>
  </si>
  <si>
    <t>B539965/A</t>
  </si>
  <si>
    <t>JV025F1166</t>
  </si>
  <si>
    <t>RH9849F426</t>
  </si>
  <si>
    <t>AR794F1049</t>
  </si>
  <si>
    <t>B549094/A</t>
  </si>
  <si>
    <t>RH9283F402</t>
  </si>
  <si>
    <t>B543134/A</t>
  </si>
  <si>
    <t>B538888/A</t>
  </si>
  <si>
    <t>B549096/A</t>
  </si>
  <si>
    <t>RH9283F403</t>
  </si>
  <si>
    <t>B548773/A</t>
  </si>
  <si>
    <t>RH1995F13</t>
  </si>
  <si>
    <t xml:space="preserve">bảng màu test cước </t>
  </si>
  <si>
    <t>B543613/A</t>
  </si>
  <si>
    <t>RH1657F96</t>
  </si>
  <si>
    <t>SH385F515</t>
  </si>
  <si>
    <t>B541259/A</t>
  </si>
  <si>
    <t>AR371F906</t>
  </si>
  <si>
    <t>A4-S6</t>
  </si>
  <si>
    <t>B541912/A</t>
  </si>
  <si>
    <t>RH9079F373</t>
  </si>
  <si>
    <t>MHK</t>
  </si>
  <si>
    <t>BN3216F355</t>
  </si>
  <si>
    <t xml:space="preserve">CÁI BÀN </t>
  </si>
  <si>
    <t xml:space="preserve">TỦ  </t>
  </si>
  <si>
    <t xml:space="preserve">ĐI PHỤ </t>
  </si>
  <si>
    <t xml:space="preserve">ĐÓNG GÓI </t>
  </si>
  <si>
    <t>B554318/A</t>
  </si>
  <si>
    <t>B554319/A</t>
  </si>
  <si>
    <t>B554320/A</t>
  </si>
  <si>
    <t>B554325/A</t>
  </si>
  <si>
    <t>B554326/A</t>
  </si>
  <si>
    <t>B553658/A</t>
  </si>
  <si>
    <t>B553660/A</t>
  </si>
  <si>
    <t>B553662/A</t>
  </si>
  <si>
    <t>B554632/A</t>
  </si>
  <si>
    <t>B554635/A</t>
  </si>
  <si>
    <t>B554636/A</t>
  </si>
  <si>
    <t>B554638/A</t>
  </si>
  <si>
    <t>B554808/A</t>
  </si>
  <si>
    <t>B554810/A</t>
  </si>
  <si>
    <t>B554812/A</t>
  </si>
  <si>
    <t>B554814/A</t>
  </si>
  <si>
    <t>B554817/A</t>
  </si>
  <si>
    <t>B554818/A</t>
  </si>
  <si>
    <t>B555107/A</t>
  </si>
  <si>
    <t>B555110/A</t>
  </si>
  <si>
    <t>B555111/A</t>
  </si>
  <si>
    <t>B555113/A</t>
  </si>
  <si>
    <t>B554317/A</t>
  </si>
  <si>
    <t>B554327/A</t>
  </si>
  <si>
    <t>B554328/A</t>
  </si>
  <si>
    <t>B554649/A</t>
  </si>
  <si>
    <t>B554650/A</t>
  </si>
  <si>
    <t>B553039/A</t>
  </si>
  <si>
    <t>B554491/A</t>
  </si>
  <si>
    <t>B554492/A</t>
  </si>
  <si>
    <t>B554507/A</t>
  </si>
  <si>
    <t>B554508/A</t>
  </si>
  <si>
    <t>B554561/A</t>
  </si>
  <si>
    <t>B554562/A</t>
  </si>
  <si>
    <t>B554660/A</t>
  </si>
  <si>
    <t>B554584/A</t>
  </si>
  <si>
    <t>B554585/A</t>
  </si>
  <si>
    <t>B554589/A</t>
  </si>
  <si>
    <t>B554592/A</t>
  </si>
  <si>
    <t>B554593/A</t>
  </si>
  <si>
    <t>B554644/A</t>
  </si>
  <si>
    <t>CZ047NF08</t>
  </si>
  <si>
    <t>CZ047NF09</t>
  </si>
  <si>
    <t>CZ558F08</t>
  </si>
  <si>
    <t>CZ558F09</t>
  </si>
  <si>
    <t>RH7152F381</t>
  </si>
  <si>
    <t>RH7152F383</t>
  </si>
  <si>
    <t>RH7370F381</t>
  </si>
  <si>
    <t>RH9113F396</t>
  </si>
  <si>
    <t>RH9113F397</t>
  </si>
  <si>
    <t>RH9113F398</t>
  </si>
  <si>
    <t>RH9137F397</t>
  </si>
  <si>
    <t>RH9137F410</t>
  </si>
  <si>
    <t>RH6999NF381</t>
  </si>
  <si>
    <t>RH6999NF382</t>
  </si>
  <si>
    <t>RH7370F409</t>
  </si>
  <si>
    <t>RH323NF02</t>
  </si>
  <si>
    <t>RH5490F38BN</t>
  </si>
  <si>
    <t>RH1741F40.BC</t>
  </si>
  <si>
    <t>RH1741F96.BC</t>
  </si>
  <si>
    <t>RH2423F13</t>
  </si>
  <si>
    <t>RH3429F17</t>
  </si>
  <si>
    <t>RH4089F14</t>
  </si>
  <si>
    <t>RH5075F113</t>
  </si>
  <si>
    <t>RH5075F152</t>
  </si>
  <si>
    <t>RH5409F38BN</t>
  </si>
  <si>
    <t>RH9856F426</t>
  </si>
  <si>
    <t xml:space="preserve">CHÂN TRỤ </t>
  </si>
  <si>
    <t>A4-S7</t>
  </si>
  <si>
    <t>JV034F1165</t>
  </si>
  <si>
    <t>A1-S7</t>
  </si>
  <si>
    <t>RH9900F426</t>
  </si>
  <si>
    <t>RH2455F396</t>
  </si>
  <si>
    <t>WD-03-007-B</t>
  </si>
  <si>
    <t>WD-03-185-B-XL</t>
  </si>
  <si>
    <t>WD-03-014-AL-L</t>
  </si>
  <si>
    <t xml:space="preserve">veneer ép lên thay ván </t>
  </si>
  <si>
    <t xml:space="preserve">thay đổi kết câu </t>
  </si>
  <si>
    <t>B556259/A</t>
  </si>
  <si>
    <t>B556271/A</t>
  </si>
  <si>
    <t>B556272/A</t>
  </si>
  <si>
    <t>B556275/A</t>
  </si>
  <si>
    <t>B556276/A</t>
  </si>
  <si>
    <t>B554682/A</t>
  </si>
  <si>
    <t>B554683/A</t>
  </si>
  <si>
    <t>B554689/A</t>
  </si>
  <si>
    <t>B554690/A</t>
  </si>
  <si>
    <t>B554693/A</t>
  </si>
  <si>
    <t>B554694/A</t>
  </si>
  <si>
    <t>B554330/A</t>
  </si>
  <si>
    <t>B554333/A</t>
  </si>
  <si>
    <t>B554334/A</t>
  </si>
  <si>
    <t>B554337/A</t>
  </si>
  <si>
    <t>B554338/A</t>
  </si>
  <si>
    <t>B554344/A</t>
  </si>
  <si>
    <t>B553659/A</t>
  </si>
  <si>
    <t>B554346/A</t>
  </si>
  <si>
    <t>B554350/A</t>
  </si>
  <si>
    <t>B554351/A</t>
  </si>
  <si>
    <t>B554352/A</t>
  </si>
  <si>
    <t>B554355/A</t>
  </si>
  <si>
    <t>B554356/A</t>
  </si>
  <si>
    <t>B556303/A</t>
  </si>
  <si>
    <t>B556304/A</t>
  </si>
  <si>
    <t>B556462/A</t>
  </si>
  <si>
    <t>B556393/A</t>
  </si>
  <si>
    <t>B556395/A</t>
  </si>
  <si>
    <t>B556397/A</t>
  </si>
  <si>
    <t>B556399/A</t>
  </si>
  <si>
    <t>B556409/A</t>
  </si>
  <si>
    <t>B556411/A</t>
  </si>
  <si>
    <t>B556413/A</t>
  </si>
  <si>
    <t>B556415/A</t>
  </si>
  <si>
    <t>B556453/A</t>
  </si>
  <si>
    <t>B556455/A</t>
  </si>
  <si>
    <t>B556431/A</t>
  </si>
  <si>
    <t>B556433/A</t>
  </si>
  <si>
    <t>B556435/A</t>
  </si>
  <si>
    <t>B556437/A</t>
  </si>
  <si>
    <t>B556439/A</t>
  </si>
  <si>
    <t>B556441/A</t>
  </si>
  <si>
    <t>B556443/A</t>
  </si>
  <si>
    <t>B556445/A</t>
  </si>
  <si>
    <t>B556447/A</t>
  </si>
  <si>
    <t>RH2163NM108</t>
  </si>
  <si>
    <t>RH2381M40</t>
  </si>
  <si>
    <t>RH2423M13</t>
  </si>
  <si>
    <t>RH3456AM112</t>
  </si>
  <si>
    <t>RH3456AM113</t>
  </si>
  <si>
    <t>RH3456AM153</t>
  </si>
  <si>
    <t>CZ121NM08</t>
  </si>
  <si>
    <t>CZ121NM191</t>
  </si>
  <si>
    <t>CZ495M09</t>
  </si>
  <si>
    <t>CZ495M191</t>
  </si>
  <si>
    <t>CZ558M08</t>
  </si>
  <si>
    <t>CZ558M09</t>
  </si>
  <si>
    <t>CZ558M191</t>
  </si>
  <si>
    <t>RH2964NM244</t>
  </si>
  <si>
    <t>RH9067NM410</t>
  </si>
  <si>
    <t>RH9068NM396</t>
  </si>
  <si>
    <t>RH9068NM397</t>
  </si>
  <si>
    <t>RH9068NM398</t>
  </si>
  <si>
    <t>RH9068NM410</t>
  </si>
  <si>
    <t>RH9135M397</t>
  </si>
  <si>
    <t>RH9135M410</t>
  </si>
  <si>
    <t>RH9138M396</t>
  </si>
  <si>
    <t>RH9138M410</t>
  </si>
  <si>
    <t>RH9283M404</t>
  </si>
  <si>
    <t>RH9283M408</t>
  </si>
  <si>
    <t>RH9291M415</t>
  </si>
  <si>
    <t>RH9291M416</t>
  </si>
  <si>
    <t>RH9291M418</t>
  </si>
  <si>
    <t>RH9292M415</t>
  </si>
  <si>
    <t>RH9292M416</t>
  </si>
  <si>
    <t>RH9292M418</t>
  </si>
  <si>
    <t>RH9293M415</t>
  </si>
  <si>
    <t>RH9293M416</t>
  </si>
  <si>
    <t>RH9293M418</t>
  </si>
  <si>
    <t>A2-S02</t>
  </si>
  <si>
    <t>A3-S02</t>
  </si>
  <si>
    <t>A2-S03</t>
  </si>
  <si>
    <t>A3-S03</t>
  </si>
  <si>
    <t>A2-S04</t>
  </si>
  <si>
    <t>A3-S04</t>
  </si>
  <si>
    <t>A9-S02</t>
  </si>
  <si>
    <t>A9-S03</t>
  </si>
  <si>
    <t>A3-S3</t>
  </si>
  <si>
    <t>A4-S02</t>
  </si>
  <si>
    <t>A4-S04</t>
  </si>
  <si>
    <t>A4-S03</t>
  </si>
  <si>
    <t>A1-S03</t>
  </si>
  <si>
    <t>A1-S02</t>
  </si>
  <si>
    <t>A1-S02-1</t>
  </si>
  <si>
    <t>A2-S02-1</t>
  </si>
  <si>
    <t>A1-S06</t>
  </si>
  <si>
    <t>A1-S07</t>
  </si>
  <si>
    <t>A2-S07</t>
  </si>
  <si>
    <t>A1-S05</t>
  </si>
  <si>
    <t>A1-S08</t>
  </si>
  <si>
    <t>A2-S05</t>
  </si>
  <si>
    <t>A2-S08</t>
  </si>
  <si>
    <t>A1-S00-1</t>
  </si>
  <si>
    <t>RH2700F372</t>
  </si>
  <si>
    <t>RH2700F373</t>
  </si>
  <si>
    <t>RH005</t>
  </si>
  <si>
    <r>
      <t>WD-03-119(</t>
    </r>
    <r>
      <rPr>
        <sz val="11"/>
        <color rgb="FFFF0000"/>
        <rFont val="Calibri"/>
        <family val="2"/>
        <scheme val="minor"/>
      </rPr>
      <t>CẮT GHÉP</t>
    </r>
    <r>
      <rPr>
        <sz val="11"/>
        <color theme="1"/>
        <rFont val="Calibri"/>
        <family val="2"/>
        <scheme val="minor"/>
      </rPr>
      <t>)</t>
    </r>
  </si>
  <si>
    <t>RH2964F244</t>
  </si>
  <si>
    <t>A4-S5 VENEER AS</t>
  </si>
  <si>
    <t>SH207</t>
  </si>
  <si>
    <t>TẠM NGƯNG</t>
  </si>
  <si>
    <t>AR191F906</t>
  </si>
  <si>
    <t>làm mẫu (Mr.tú)</t>
  </si>
  <si>
    <t>A4-S8</t>
  </si>
  <si>
    <t>AR092F871</t>
  </si>
  <si>
    <t>A7-S1</t>
  </si>
  <si>
    <t>RH9902F423</t>
  </si>
  <si>
    <t>BN2749F355</t>
  </si>
  <si>
    <t>RH2578F397</t>
  </si>
  <si>
    <t>RH2802F374</t>
  </si>
  <si>
    <t>WD-03-431</t>
  </si>
  <si>
    <t>B557903/A</t>
  </si>
  <si>
    <t>B557904/A</t>
  </si>
  <si>
    <t>B557765/A</t>
  </si>
  <si>
    <t>B557767/A</t>
  </si>
  <si>
    <t>B557771/A</t>
  </si>
  <si>
    <t>B557770/A</t>
  </si>
  <si>
    <t>B557775/A</t>
  </si>
  <si>
    <t>B557774/A</t>
  </si>
  <si>
    <t>B557777/A</t>
  </si>
  <si>
    <t>B557779/A</t>
  </si>
  <si>
    <t>B557783/A</t>
  </si>
  <si>
    <t>B557782/A</t>
  </si>
  <si>
    <t>B557787/A</t>
  </si>
  <si>
    <t>B557894/A</t>
  </si>
  <si>
    <t>B557896/A</t>
  </si>
  <si>
    <t>B557798/A</t>
  </si>
  <si>
    <t>B557799/A</t>
  </si>
  <si>
    <t>B557801/A</t>
  </si>
  <si>
    <t>B557807/A</t>
  </si>
  <si>
    <t>B557806/A</t>
  </si>
  <si>
    <t>B557823/A</t>
  </si>
  <si>
    <t>B557825/A</t>
  </si>
  <si>
    <t>B557828/A</t>
  </si>
  <si>
    <t>B557829/A</t>
  </si>
  <si>
    <t>B557849/A</t>
  </si>
  <si>
    <t>B557850/A</t>
  </si>
  <si>
    <t>B557854/A</t>
  </si>
  <si>
    <t>B557853/A</t>
  </si>
  <si>
    <t>B557858/A</t>
  </si>
  <si>
    <t>B557857/A</t>
  </si>
  <si>
    <t>B557862/A</t>
  </si>
  <si>
    <t>B557861/A</t>
  </si>
  <si>
    <t>B556620/A</t>
  </si>
  <si>
    <t>B557866/A</t>
  </si>
  <si>
    <t>B557865/A</t>
  </si>
  <si>
    <t>B557870/A</t>
  </si>
  <si>
    <t>B557869/A</t>
  </si>
  <si>
    <t>B557872/A</t>
  </si>
  <si>
    <t>B558294/A</t>
  </si>
  <si>
    <t>B558296/A</t>
  </si>
  <si>
    <t>B558298/A</t>
  </si>
  <si>
    <t>B558300/A</t>
  </si>
  <si>
    <t>B558225/A</t>
  </si>
  <si>
    <t>B558226/A</t>
  </si>
  <si>
    <t>B558321/A</t>
  </si>
  <si>
    <t>B558322/A</t>
  </si>
  <si>
    <t>B558160/A</t>
  </si>
  <si>
    <t>B558163/A</t>
  </si>
  <si>
    <t>B558164/A</t>
  </si>
  <si>
    <t>B558338/A</t>
  </si>
  <si>
    <t>B558337/A</t>
  </si>
  <si>
    <t>B558378/A</t>
  </si>
  <si>
    <t>B558380/A</t>
  </si>
  <si>
    <t>AR080M871</t>
  </si>
  <si>
    <t>CZ044NM08</t>
  </si>
  <si>
    <t>CZ044NM09</t>
  </si>
  <si>
    <t>CZ044NM10</t>
  </si>
  <si>
    <t>CZ044NM191</t>
  </si>
  <si>
    <t>CZ051M08</t>
  </si>
  <si>
    <t>CZ051M09</t>
  </si>
  <si>
    <t>CZ051M10</t>
  </si>
  <si>
    <t>CZ051M191</t>
  </si>
  <si>
    <t>CZ052M09</t>
  </si>
  <si>
    <t>CZ052M191</t>
  </si>
  <si>
    <t>CZ069M08</t>
  </si>
  <si>
    <t>CZ069M09</t>
  </si>
  <si>
    <t>CZ069M191</t>
  </si>
  <si>
    <t>CZ129M08</t>
  </si>
  <si>
    <t>CZ129M09</t>
  </si>
  <si>
    <t>CZ129M10</t>
  </si>
  <si>
    <t>CZ551M09</t>
  </si>
  <si>
    <t>CZ551M10</t>
  </si>
  <si>
    <t>CZ551M191</t>
  </si>
  <si>
    <t>CZ557NM09</t>
  </si>
  <si>
    <t>CZ557NM10</t>
  </si>
  <si>
    <t>CZ568M08</t>
  </si>
  <si>
    <t>CZ568M09</t>
  </si>
  <si>
    <t>CZ568M191</t>
  </si>
  <si>
    <t>RH10275M342</t>
  </si>
  <si>
    <t>RH10276M342</t>
  </si>
  <si>
    <t>RH10277M342</t>
  </si>
  <si>
    <t>RH10278M342</t>
  </si>
  <si>
    <t>RH2021M95</t>
  </si>
  <si>
    <t>RH3494M29</t>
  </si>
  <si>
    <t>RH4095M112</t>
  </si>
  <si>
    <t>RH4095M152</t>
  </si>
  <si>
    <t>RH6352M29</t>
  </si>
  <si>
    <t>RH9046M398</t>
  </si>
  <si>
    <t>RH9046M410</t>
  </si>
  <si>
    <t>A5-S01</t>
  </si>
  <si>
    <t>A6-S4</t>
  </si>
  <si>
    <t>A04-S04</t>
  </si>
  <si>
    <t>A3-S14</t>
  </si>
  <si>
    <t>A1-S13</t>
  </si>
  <si>
    <t>A1-S13-1</t>
  </si>
  <si>
    <t>A7-S5</t>
  </si>
  <si>
    <t>p03</t>
  </si>
  <si>
    <t>p03-1</t>
  </si>
  <si>
    <t>p04</t>
  </si>
  <si>
    <t>A3-S11</t>
  </si>
  <si>
    <t>A6-S2</t>
  </si>
  <si>
    <t>A04-S02</t>
  </si>
  <si>
    <t>in-house</t>
  </si>
  <si>
    <t>WD-03-468</t>
  </si>
  <si>
    <t>chart puschasing</t>
  </si>
  <si>
    <t>B548539/A</t>
  </si>
  <si>
    <t>JV037F1121</t>
  </si>
  <si>
    <t>B553149/A</t>
  </si>
  <si>
    <t>RH9050F396</t>
  </si>
  <si>
    <t>B543078/A</t>
  </si>
  <si>
    <t>A9-S3</t>
  </si>
  <si>
    <t>B548523/A</t>
  </si>
  <si>
    <t>KA SAMPLE F39</t>
  </si>
  <si>
    <t>P3-2</t>
  </si>
  <si>
    <t>P33</t>
  </si>
  <si>
    <t>P22</t>
  </si>
  <si>
    <t>WK13</t>
  </si>
  <si>
    <t>B548523/4</t>
  </si>
  <si>
    <t>B552682/A</t>
  </si>
  <si>
    <t>AR083F1049</t>
  </si>
  <si>
    <t>Row Labels</t>
  </si>
  <si>
    <t>Grand Total</t>
  </si>
  <si>
    <t xml:space="preserve">Sum of SỐ GIỜ </t>
  </si>
  <si>
    <t>B552930/A</t>
  </si>
  <si>
    <t>RH2420F412</t>
  </si>
  <si>
    <t>B56049/A</t>
  </si>
  <si>
    <t>CZ867F188</t>
  </si>
  <si>
    <t>B55595/A</t>
  </si>
  <si>
    <t>AR784F906</t>
  </si>
  <si>
    <t>B556299/A</t>
  </si>
  <si>
    <t>RH200F374</t>
  </si>
  <si>
    <t>B556485/A</t>
  </si>
  <si>
    <t>RH7267F372</t>
  </si>
  <si>
    <t>B548931/A</t>
  </si>
  <si>
    <t>RH4124F112</t>
  </si>
  <si>
    <t>A1-S11</t>
  </si>
  <si>
    <t>AR803F906</t>
  </si>
  <si>
    <t>AR8051001</t>
  </si>
  <si>
    <t>RH4098F113</t>
  </si>
  <si>
    <t xml:space="preserve">mặt hộc kéo dộp veneer </t>
  </si>
  <si>
    <t xml:space="preserve">top bị dộp veneer </t>
  </si>
  <si>
    <t>BN3175F356</t>
  </si>
  <si>
    <t>B559521/A</t>
  </si>
  <si>
    <t>A1-S01</t>
  </si>
  <si>
    <t>B547491/A</t>
  </si>
  <si>
    <t>B552806/A</t>
  </si>
  <si>
    <t>A1-S07A</t>
  </si>
  <si>
    <t>A1-S07.1</t>
  </si>
  <si>
    <t xml:space="preserve">Hàng mẫu </t>
  </si>
  <si>
    <t>P01-1</t>
  </si>
  <si>
    <t>hàng test</t>
  </si>
  <si>
    <t>Hàng test</t>
  </si>
  <si>
    <t>P01-2</t>
  </si>
  <si>
    <t>B548525/A</t>
  </si>
  <si>
    <t>DL019F837</t>
  </si>
  <si>
    <t>B557935/A</t>
  </si>
  <si>
    <t>AR721F892</t>
  </si>
  <si>
    <t>B559855/A</t>
  </si>
  <si>
    <t>MK009F156</t>
  </si>
  <si>
    <t>B554429/A</t>
  </si>
  <si>
    <t>B556096/A</t>
  </si>
  <si>
    <t>CZ893F196</t>
  </si>
  <si>
    <t>RH9135F397</t>
  </si>
  <si>
    <t>RH9135F410</t>
  </si>
  <si>
    <t>WK14</t>
  </si>
  <si>
    <t xml:space="preserve">Sum of SỐ LƯỢNG </t>
  </si>
  <si>
    <t>B552818/A</t>
  </si>
  <si>
    <t>A4-S07</t>
  </si>
  <si>
    <t>B55968/A</t>
  </si>
  <si>
    <t>AT305NF535</t>
  </si>
  <si>
    <t>A4-S01</t>
  </si>
  <si>
    <t>A3-S01</t>
  </si>
  <si>
    <t>B556095/A</t>
  </si>
  <si>
    <t>RH9081F374</t>
  </si>
  <si>
    <t>B555857/A</t>
  </si>
  <si>
    <t>Paneling</t>
  </si>
  <si>
    <t>RH9081F373</t>
  </si>
  <si>
    <t>B558348/A</t>
  </si>
  <si>
    <t>A4-S00</t>
  </si>
  <si>
    <t>RH7270F374</t>
  </si>
  <si>
    <t>RH7270F373</t>
  </si>
  <si>
    <t>B555130/A</t>
  </si>
  <si>
    <t>B561371/A</t>
  </si>
  <si>
    <t>MN5786AF998</t>
  </si>
  <si>
    <t>RH346F506</t>
  </si>
  <si>
    <t>mặt học kéo</t>
  </si>
  <si>
    <t>line triều</t>
  </si>
  <si>
    <t>B560861/A</t>
  </si>
  <si>
    <t>AR790F906</t>
  </si>
  <si>
    <t>B558292/A</t>
  </si>
  <si>
    <t>RH10033F423</t>
  </si>
  <si>
    <t>AT655F535</t>
  </si>
  <si>
    <t>B551032/A</t>
  </si>
  <si>
    <t>BN3113F193</t>
  </si>
  <si>
    <t>B561426/A</t>
  </si>
  <si>
    <t>RH9090F374</t>
  </si>
  <si>
    <t>B558263/A</t>
  </si>
  <si>
    <t>A2-S01</t>
  </si>
  <si>
    <t>B556483/A</t>
  </si>
  <si>
    <t>RH9081F372</t>
  </si>
  <si>
    <t>B55856/A</t>
  </si>
  <si>
    <t>WK15</t>
  </si>
  <si>
    <t>WK16</t>
  </si>
  <si>
    <t>ván hông</t>
  </si>
  <si>
    <t>FIN</t>
  </si>
  <si>
    <t>RH906F188</t>
  </si>
  <si>
    <t>mặt top</t>
  </si>
  <si>
    <t>SH228F506</t>
  </si>
  <si>
    <t>Cánh cửa</t>
  </si>
  <si>
    <t>BN189F38</t>
  </si>
  <si>
    <t>BN3224F356</t>
  </si>
  <si>
    <t>B5595239/A</t>
  </si>
  <si>
    <t>WK17</t>
  </si>
  <si>
    <t>P01-3</t>
  </si>
  <si>
    <t>P12-2</t>
  </si>
  <si>
    <t>P12-3</t>
  </si>
  <si>
    <t>B554441/A</t>
  </si>
  <si>
    <t>B556123/A</t>
  </si>
  <si>
    <t>B559531/A</t>
  </si>
  <si>
    <t>JV SAMPLE 01</t>
  </si>
  <si>
    <t>A6-S01</t>
  </si>
  <si>
    <t xml:space="preserve">Bảng màu </t>
  </si>
  <si>
    <t>DL016WF836</t>
  </si>
  <si>
    <t>P08</t>
  </si>
  <si>
    <t>SH633F506</t>
  </si>
  <si>
    <t>B562970/A</t>
  </si>
  <si>
    <t>B564857/A</t>
  </si>
  <si>
    <t>B558342/A</t>
  </si>
  <si>
    <t>MN5886F1002</t>
  </si>
  <si>
    <t>dộp vener</t>
  </si>
  <si>
    <t>dộp veneer+chạy rãnh sai</t>
  </si>
  <si>
    <t>MN5886F355</t>
  </si>
  <si>
    <t>RH10367F372TR</t>
  </si>
  <si>
    <t>A0-2</t>
  </si>
  <si>
    <t>A0-1</t>
  </si>
  <si>
    <t>WK18</t>
  </si>
  <si>
    <t xml:space="preserve">NCR FIN </t>
  </si>
  <si>
    <t>JV007F580</t>
  </si>
  <si>
    <t>B559536/A</t>
  </si>
  <si>
    <t>A4-S08</t>
  </si>
  <si>
    <t>DL019837</t>
  </si>
  <si>
    <t>B558284/A</t>
  </si>
  <si>
    <t>B559530/A</t>
  </si>
  <si>
    <t>B56418/A</t>
  </si>
  <si>
    <t>SH332F521</t>
  </si>
  <si>
    <t>A1-S4-2</t>
  </si>
  <si>
    <t>B566753/A</t>
  </si>
  <si>
    <t>RH9339F423</t>
  </si>
  <si>
    <t>B564274/A</t>
  </si>
  <si>
    <t>A01-S01</t>
  </si>
  <si>
    <t>A02-S01</t>
  </si>
  <si>
    <t>RH323F03</t>
  </si>
  <si>
    <t>A5-S2/ A5-S3</t>
  </si>
  <si>
    <t>SH337F707</t>
  </si>
  <si>
    <t>WK19</t>
  </si>
  <si>
    <t>DL019WF837</t>
  </si>
  <si>
    <t>RH7148F381</t>
  </si>
  <si>
    <t>Tấm nhôm trầy xước</t>
  </si>
  <si>
    <t>B561476/A</t>
  </si>
  <si>
    <t>thay đổi sới veneer lót</t>
  </si>
  <si>
    <t>RH896F03</t>
  </si>
  <si>
    <t>01 tấm bị cong dẫn đến hút bị chạy phôi</t>
  </si>
  <si>
    <t>WK20</t>
  </si>
  <si>
    <t>03 TẤM nhôm bị trầy</t>
  </si>
  <si>
    <t>02TẤM nhôm bị trầy</t>
  </si>
  <si>
    <t>RH SAMPLE 73</t>
  </si>
  <si>
    <t>HÀNG MẪU</t>
  </si>
  <si>
    <t>RH SAMPLE 74</t>
  </si>
  <si>
    <t>RH SAMPLE 75</t>
  </si>
  <si>
    <t>RH SAMPLE 76</t>
  </si>
  <si>
    <t>Mặt top bàn bị trầy</t>
  </si>
  <si>
    <t>AR1000F1001</t>
  </si>
  <si>
    <t>Mặt top bàn bị dộp</t>
  </si>
  <si>
    <t>A6-S4-1</t>
  </si>
  <si>
    <t>P19</t>
  </si>
  <si>
    <t>P19-2</t>
  </si>
  <si>
    <t>P19-1</t>
  </si>
  <si>
    <t>P17-1</t>
  </si>
  <si>
    <t>Làm bàn văn phòng</t>
  </si>
  <si>
    <t>WD-03-250</t>
  </si>
  <si>
    <t>WD-03-525</t>
  </si>
  <si>
    <t>TF</t>
  </si>
  <si>
    <t>lá bạc trầy xước</t>
  </si>
  <si>
    <t>A2-005</t>
  </si>
  <si>
    <t>03 miếng nhôm trầy</t>
  </si>
  <si>
    <t>mặt TOP bị dộp veneer</t>
  </si>
  <si>
    <t>A1-S4-15</t>
  </si>
  <si>
    <t>05 tấm bị trầy</t>
  </si>
  <si>
    <t>Tấm nhôm trầy</t>
  </si>
  <si>
    <t>A3-S05</t>
  </si>
  <si>
    <t>02 tấm veneer mặt ngoài hư do đang chạy CNC cúp điện</t>
  </si>
  <si>
    <t>p12-3</t>
  </si>
  <si>
    <t>01 tấm bị hư do đang chạy CNC cúp điện</t>
  </si>
  <si>
    <t>AR125F834-BASE</t>
  </si>
  <si>
    <t>15 TẤM bị hư do đang chạy CNC cúp diên</t>
  </si>
  <si>
    <t>RH531F08</t>
  </si>
  <si>
    <t>đổi lại ván MDF dán veneer trong nhà do quá khổ</t>
  </si>
  <si>
    <t>WK21</t>
  </si>
  <si>
    <t>HS5383AF1090</t>
  </si>
  <si>
    <t>01 tấm chạy sai kích thước trong quá trình CNC</t>
  </si>
  <si>
    <t>poplar</t>
  </si>
  <si>
    <t>PINE</t>
  </si>
  <si>
    <t>DOUGLAS FIR</t>
  </si>
  <si>
    <t>OKOUME</t>
  </si>
  <si>
    <t>hàng mẫu</t>
  </si>
  <si>
    <t>A1-S0-B</t>
  </si>
  <si>
    <t>A1-S0-C</t>
  </si>
  <si>
    <t>JV008F580</t>
  </si>
  <si>
    <t>ASH+POPLAR</t>
  </si>
  <si>
    <t>DL019F857</t>
  </si>
  <si>
    <t>A1-S0-1-B</t>
  </si>
  <si>
    <t>Wanult burl 038</t>
  </si>
  <si>
    <t>02 psc bị cấn móp</t>
  </si>
  <si>
    <t>thay đổi kết cấu ván kệ, thêm vách ngăn</t>
  </si>
  <si>
    <t>MN5875</t>
  </si>
  <si>
    <t>02 TẤM CHẠY THEO THỰC TÊ BI LỆCH TRONG QUÁ TRÌNH CHẠY CNC</t>
  </si>
  <si>
    <t>khay tủ bỏ vô hộc kéo không vừa</t>
  </si>
  <si>
    <t>04 tấm bị trày</t>
  </si>
  <si>
    <t>A3-01</t>
  </si>
  <si>
    <t>KHAY HỘC KÉO</t>
  </si>
  <si>
    <t>RH670</t>
  </si>
  <si>
    <t>WK22</t>
  </si>
  <si>
    <t>Thiếu cước không giống panel</t>
  </si>
  <si>
    <t>2 psc bị trầy xước trong quá trình vận chuyển</t>
  </si>
  <si>
    <t>01 Tấm bị bể hư mặt veneer laminate</t>
  </si>
  <si>
    <t>03 Tấm bị bể hư mặt veneer laminate</t>
  </si>
  <si>
    <t>01 tấm nhôm bị trày</t>
  </si>
  <si>
    <t>HS SAMPLE 68</t>
  </si>
  <si>
    <t>A01 -S02</t>
  </si>
  <si>
    <t>02 Tấm nhôm bị trầy</t>
  </si>
  <si>
    <t>HS52229AF1090</t>
  </si>
  <si>
    <t>01 Tấm bị chạy phôi trong quá trình CNC</t>
  </si>
  <si>
    <t>HS5230F1119</t>
  </si>
  <si>
    <t>12 tấm pcs bị trày tấm laminate</t>
  </si>
  <si>
    <t>03 tấm bị trày</t>
  </si>
  <si>
    <t>HS SAMPLE 69</t>
  </si>
  <si>
    <t>HS SAMPLE 70</t>
  </si>
  <si>
    <t>A01-S07</t>
  </si>
  <si>
    <t>A01-S08</t>
  </si>
  <si>
    <t>A01-S03</t>
  </si>
  <si>
    <t>A01-S05</t>
  </si>
  <si>
    <t>A01-S06</t>
  </si>
  <si>
    <t>HS55229F1090</t>
  </si>
  <si>
    <t>WK23</t>
  </si>
  <si>
    <t>ván hông bị lần mực</t>
  </si>
  <si>
    <t>A5-S03</t>
  </si>
  <si>
    <t>A5-S02</t>
  </si>
  <si>
    <t>AR127NF834-BASE</t>
  </si>
  <si>
    <t>01 một cái mặt học bị thất lạc</t>
  </si>
  <si>
    <t>làm bổ sung do bị thất lạc</t>
  </si>
  <si>
    <t>RH9422F423</t>
  </si>
  <si>
    <t>01 tấm bị hư veneer trong quá trình cào cước</t>
  </si>
  <si>
    <t>05 psc khung nóc bị trày tấm laminate</t>
  </si>
  <si>
    <t>RH6680F40</t>
  </si>
  <si>
    <t>02 tấm bị hư veneer trong quá trình cào cước</t>
  </si>
  <si>
    <t>04 tấm nhôm bị trày</t>
  </si>
  <si>
    <t>06 tấm nhôm bị trày</t>
  </si>
  <si>
    <t>HS5250F1162</t>
  </si>
  <si>
    <t>Update lỗi cut out</t>
  </si>
  <si>
    <t>HS5834F1162</t>
  </si>
  <si>
    <t>A2-S05-1</t>
  </si>
  <si>
    <t>02 tấm nhôm bị trầy</t>
  </si>
  <si>
    <t>WD-03-496</t>
  </si>
  <si>
    <t>AT384F1089</t>
  </si>
  <si>
    <t xml:space="preserve">mặt TOP </t>
  </si>
  <si>
    <t xml:space="preserve">mặt TOP bị trày + đốm </t>
  </si>
  <si>
    <t>mặt TOP BỊ DỘP VENER</t>
  </si>
  <si>
    <t xml:space="preserve">mặt hông </t>
  </si>
  <si>
    <t>mặt hong BỊ DỘP VENER</t>
  </si>
  <si>
    <t>HS5393F973</t>
  </si>
  <si>
    <t>AR723F892</t>
  </si>
  <si>
    <t>CẠNH TỦ</t>
  </si>
  <si>
    <t>MẶT TOP</t>
  </si>
  <si>
    <t>WK24</t>
  </si>
  <si>
    <t>cạnh tủ bị keo</t>
  </si>
  <si>
    <t>mặt TOP bị dộp</t>
  </si>
  <si>
    <t>06 psc ván nóc bị trày tấm laminate</t>
  </si>
  <si>
    <t>W2126F1001-EX</t>
  </si>
  <si>
    <t>LÀM bảng màu cho FIN</t>
  </si>
  <si>
    <t>JV009WF580</t>
  </si>
  <si>
    <t>tấm nhôm trày xước</t>
  </si>
  <si>
    <t>Bổ sung veneer sửa mặt bàn FIN trả về</t>
  </si>
  <si>
    <t>11 tấm sửa hàng FIN trả về</t>
  </si>
  <si>
    <t>01 tấm nhôm bị trày xước</t>
  </si>
  <si>
    <t>bị trày xước bạc, lỗi vận chuyển</t>
  </si>
  <si>
    <t>tấm nhôm của khay trày xước</t>
  </si>
  <si>
    <t>RH7157NF381</t>
  </si>
  <si>
    <t>ECR Thay đổi kết cấu cửa</t>
  </si>
  <si>
    <t>HS5228F973</t>
  </si>
  <si>
    <t>WK25</t>
  </si>
  <si>
    <t>hông tủ bị phù veneer do mưa dột</t>
  </si>
  <si>
    <t>SH206F506</t>
  </si>
  <si>
    <t>NÓC TỦ</t>
  </si>
  <si>
    <t>THAY NÓC TỦ</t>
  </si>
  <si>
    <t>SH379</t>
  </si>
  <si>
    <t xml:space="preserve">TOP </t>
  </si>
  <si>
    <t>Thay veneer top tủ</t>
  </si>
  <si>
    <t>hàng lỗi ASSY trả về</t>
  </si>
  <si>
    <t>miếng nhôm đáy học bị trày</t>
  </si>
  <si>
    <t>AT305M00</t>
  </si>
  <si>
    <t>WK26</t>
  </si>
  <si>
    <t>13 tấm cào cước bị bung do veneer chất lượng không tốt</t>
  </si>
  <si>
    <t>A1-S1B</t>
  </si>
  <si>
    <t>A1-S1A</t>
  </si>
  <si>
    <t>AR395F1039</t>
  </si>
  <si>
    <t>Tấm nối bàn bị chớn veneer</t>
  </si>
  <si>
    <t>WK27</t>
  </si>
  <si>
    <t>04 Tấm bị trày tấm nhôm</t>
  </si>
  <si>
    <t>HS5751NF1162</t>
  </si>
  <si>
    <t>Thay đổi số lượng từ 1 tới 2</t>
  </si>
  <si>
    <t>AR996F1291</t>
  </si>
  <si>
    <t xml:space="preserve">Cánh cửa co cong sai kích thước bản vẽ </t>
  </si>
  <si>
    <t>SH897F1206</t>
  </si>
  <si>
    <t>Trụ đầu giường</t>
  </si>
  <si>
    <t>WK28</t>
  </si>
  <si>
    <t>WWP1</t>
  </si>
  <si>
    <t>trụ đầu giường bị phù veneer</t>
  </si>
  <si>
    <t>AT384</t>
  </si>
  <si>
    <t xml:space="preserve">TOP bị trày, thay veneer </t>
  </si>
  <si>
    <t>AT382F888</t>
  </si>
  <si>
    <t>Thay đổi chi tiết HF quay về dùng khuôn cũ</t>
  </si>
  <si>
    <t>JV047F1212</t>
  </si>
  <si>
    <t>03 TẤM đáy nhôm bị cấn móp</t>
  </si>
  <si>
    <t>BN317F356</t>
  </si>
  <si>
    <t>A1-S04</t>
  </si>
  <si>
    <t>01 CÁI đầu giường bị lõm mặt sau</t>
  </si>
  <si>
    <t>Panel</t>
  </si>
  <si>
    <t>09 tấm đáy nhôm bị trày xước</t>
  </si>
  <si>
    <t>HS5748F1162</t>
  </si>
  <si>
    <t>A05-S02-1</t>
  </si>
  <si>
    <t>Cánh cửa bị đục sai bản lề so với routing</t>
  </si>
  <si>
    <t>A5-S02-1</t>
  </si>
  <si>
    <t>AR981AF1221</t>
  </si>
  <si>
    <t>Thay đổi kích thước ra nguyên liệu</t>
  </si>
  <si>
    <t>AR196NF834</t>
  </si>
  <si>
    <t>A3-S0</t>
  </si>
  <si>
    <t>PANELING</t>
  </si>
  <si>
    <t>01 BỘ MẶT HỘC KÉO BỊ HƯ TRONG QUÁ TRÌNH CẮT</t>
  </si>
  <si>
    <t>SH346</t>
  </si>
  <si>
    <t>ván nóc p01 đặt phôi không sát cỡ trong quá trình CNC</t>
  </si>
  <si>
    <t>01 TẤM NHÔM BỊ TRÀY DÍNH KEO</t>
  </si>
  <si>
    <t>KA SAMPLE 15</t>
  </si>
  <si>
    <t>A3-S6</t>
  </si>
  <si>
    <t>MR.TÚ</t>
  </si>
  <si>
    <t>Làm kệ cho phòng nhân sự</t>
  </si>
  <si>
    <t>AR998F1291</t>
  </si>
  <si>
    <t>MÁY bị ngưng nên lỗi 01 tấm cửa</t>
  </si>
  <si>
    <t>AR125F906-BASE</t>
  </si>
  <si>
    <t>01 BỘ TỦ BỊ THẤT LẠC</t>
  </si>
  <si>
    <t>BN1873F1227</t>
  </si>
  <si>
    <t>unassinged</t>
  </si>
  <si>
    <t>08 tấm veneen walnut bị hư do đang ép bị cúp điện</t>
  </si>
  <si>
    <t>AT537ANF1040</t>
  </si>
  <si>
    <t>06 TẤM VENEER OAK BỊ HƯ DO ĐANG ÉP BỊ CÚP ĐIỆN</t>
  </si>
  <si>
    <t>AT292ANF549-VE</t>
  </si>
  <si>
    <t>01 Tấm nóc bị hư do đang ép bị cúp điện</t>
  </si>
  <si>
    <t>HS5873f1119</t>
  </si>
  <si>
    <t>A4-1</t>
  </si>
  <si>
    <t>A4-4</t>
  </si>
  <si>
    <t>làm bổ sung 02 bộ hộc kéo đã lấy làm mẫu test</t>
  </si>
  <si>
    <t>chi tiết cảo bịch a02-s01đổi veneen lót qua walnut</t>
  </si>
  <si>
    <t xml:space="preserve">BẢNG MÀU </t>
  </si>
  <si>
    <t>WD-03-183</t>
  </si>
  <si>
    <t>02 tấm nhôm a1-s4-1  bị trầy</t>
  </si>
  <si>
    <t>01 TẤM NHÔM BỊ TRẦY</t>
  </si>
  <si>
    <t>SH884</t>
  </si>
  <si>
    <t>Chi tiết cảo cong bị ép téc=&gt; ME thay đổi sớ veneer lót</t>
  </si>
  <si>
    <t>01 tấm nhôm bị trầy xước</t>
  </si>
  <si>
    <t>CZ892F188</t>
  </si>
  <si>
    <t>MẶT BÀN BỊ TRẦY XƯỚC</t>
  </si>
  <si>
    <t>AR999F1291</t>
  </si>
  <si>
    <t>50 bộ cửa veneer mặt ngoài làm 2 tấm ghép lại khách hàng không chấp nhận</t>
  </si>
  <si>
    <t>WK01-25</t>
  </si>
  <si>
    <t>WK02-25</t>
  </si>
  <si>
    <t>WK03-25</t>
  </si>
  <si>
    <t>WK04-25</t>
  </si>
  <si>
    <t>WK07-25</t>
  </si>
  <si>
    <t>WK08-25</t>
  </si>
  <si>
    <t>WK10-25</t>
  </si>
  <si>
    <t>WK11-25</t>
  </si>
  <si>
    <t>WK12-25</t>
  </si>
  <si>
    <t>WK29-25</t>
  </si>
  <si>
    <t>WK30-25</t>
  </si>
  <si>
    <t>WK31-25</t>
  </si>
  <si>
    <t>WK32-25</t>
  </si>
  <si>
    <t>WK33-25</t>
  </si>
  <si>
    <t xml:space="preserve">Sum of SỐ BỘ </t>
  </si>
  <si>
    <t>RH11133F451</t>
  </si>
  <si>
    <t>HÀNG TEST</t>
  </si>
  <si>
    <t>Làm 01 tấm mẫu</t>
  </si>
  <si>
    <t>AR330F823</t>
  </si>
  <si>
    <t>KHÔNG XÁC ĐỊNH</t>
  </si>
  <si>
    <t>DL018</t>
  </si>
  <si>
    <t>03 tấm nhôm bị trày</t>
  </si>
  <si>
    <t>JV014</t>
  </si>
  <si>
    <t>01 miếng nhôm bị trày xước sau khi làm màu</t>
  </si>
  <si>
    <t>WD-03-035</t>
  </si>
  <si>
    <t>PANEL</t>
  </si>
  <si>
    <t>03 tấm bị hư trong quá trình cắt</t>
  </si>
  <si>
    <t>AR113NF834</t>
  </si>
  <si>
    <t xml:space="preserve">A0 </t>
  </si>
  <si>
    <t>WK34-25</t>
  </si>
  <si>
    <t>01 set bị hư do đang ép bị mất điện</t>
  </si>
  <si>
    <t>AR109NF1039</t>
  </si>
  <si>
    <t>02 set bị hư do đang ép bị mất điện</t>
  </si>
  <si>
    <t>RH10000NF383</t>
  </si>
  <si>
    <t>A1-S01-2</t>
  </si>
  <si>
    <t>05 set bị hư do đang ép bị mất điện</t>
  </si>
  <si>
    <t>01 CÁI TỦ</t>
  </si>
  <si>
    <t>01 cái tủ top bị lõm</t>
  </si>
  <si>
    <t>3set cánh cửa lỗ veneer</t>
  </si>
  <si>
    <t>chạy dư rãnh</t>
  </si>
  <si>
    <t>WK35-25</t>
  </si>
  <si>
    <t>RH112116F451</t>
  </si>
  <si>
    <t>A01-S01-2</t>
  </si>
  <si>
    <t>01 tấm trày veneer</t>
  </si>
  <si>
    <t>RH9540F425</t>
  </si>
  <si>
    <t>01 tấm veneer cào cước bị hư</t>
  </si>
  <si>
    <t>veneer poplar tăng kích thước chiều dài ra nguyên liệu</t>
  </si>
  <si>
    <t>wd-03-270</t>
  </si>
  <si>
    <t>wd-03-019</t>
  </si>
  <si>
    <t>wd-03-006</t>
  </si>
  <si>
    <t>AR869F1233</t>
  </si>
  <si>
    <t>lỗi sai độ cong hong tủ do kết cấu bản vẽ của ME</t>
  </si>
  <si>
    <t>AR1142NF1291</t>
  </si>
  <si>
    <t>AR1141F1291</t>
  </si>
  <si>
    <t>do dùng giao chế nên biên dạng không giống bản vẽ</t>
  </si>
  <si>
    <t>planning</t>
  </si>
  <si>
    <t>MUCKUP-AR866-TOP</t>
  </si>
  <si>
    <t>WK36-25</t>
  </si>
  <si>
    <t>WD-03-036</t>
  </si>
  <si>
    <t>HS5917F1119</t>
  </si>
  <si>
    <t>A03-S01</t>
  </si>
  <si>
    <t>02 CÁI TOP BỊ TRẦY BỀ MẶT</t>
  </si>
  <si>
    <t>HS5858NF1162</t>
  </si>
  <si>
    <t>A5-S02-3</t>
  </si>
  <si>
    <t>tăng kích thước ra veneer</t>
  </si>
  <si>
    <t>WK37-25</t>
  </si>
  <si>
    <t>wd-03-229</t>
  </si>
  <si>
    <t xml:space="preserve">01 miếng nhôm bị trày xước </t>
  </si>
  <si>
    <t>AT534NF943</t>
  </si>
  <si>
    <t>1 CÁI TỦ</t>
  </si>
  <si>
    <t>Dộp veneer mặt TOP</t>
  </si>
  <si>
    <t xml:space="preserve"> vệ sinh tấm Appic</t>
  </si>
  <si>
    <t>công việc ngoài hoạt động sx</t>
  </si>
  <si>
    <t>WK38-25</t>
  </si>
  <si>
    <t>đổi sang veneer Reclaimed Oak 1mm</t>
  </si>
  <si>
    <t>p02</t>
  </si>
  <si>
    <t>customer</t>
  </si>
  <si>
    <t>AR983F1233</t>
  </si>
  <si>
    <t>AR983F1275</t>
  </si>
  <si>
    <t>RH7153F381</t>
  </si>
  <si>
    <t>update ghép lại ván+ gỗ MDF do không đủ khổ</t>
  </si>
  <si>
    <t>RH7153F383</t>
  </si>
  <si>
    <t>RH7153F409</t>
  </si>
  <si>
    <t>đổi veneer Knotty sang VN Reclaimed oak , oak endgrain,bo R1</t>
  </si>
  <si>
    <t>AR866F1233-TOP</t>
  </si>
  <si>
    <t>AR8651233-TOP</t>
  </si>
  <si>
    <t>rh9338f424</t>
  </si>
  <si>
    <t>WK39-25</t>
  </si>
  <si>
    <t>01 psc chạy lộn mặt trong quá trình CNC</t>
  </si>
  <si>
    <t>dọn vệ sinh khu vực ngập nước</t>
  </si>
  <si>
    <t>dọn vệ sinh</t>
  </si>
  <si>
    <t>KA SAMPLE 10</t>
  </si>
  <si>
    <t>add veneer okuome 0.6mm (lót mặt trong)</t>
  </si>
  <si>
    <t>SH932F1316</t>
  </si>
  <si>
    <t>04 TẤM BỊ HƯ DO ĐANG ÉP BỊ MẤT ĐIỆN</t>
  </si>
  <si>
    <t>MUCKUP-AR330-TOP</t>
  </si>
  <si>
    <t>RH11127F456</t>
  </si>
  <si>
    <t>P01-4</t>
  </si>
  <si>
    <t>chi tiết cảo bịch thay đổi qua lót ngược sớ</t>
  </si>
  <si>
    <t>P00-1</t>
  </si>
  <si>
    <t>AT383F535</t>
  </si>
  <si>
    <t>WK40-25</t>
  </si>
  <si>
    <t>AR463F834-BASE</t>
  </si>
  <si>
    <t>A1-S0</t>
  </si>
  <si>
    <t>RH11234F456</t>
  </si>
  <si>
    <t>lòng trong thiếu cước+ cước không giống panel</t>
  </si>
  <si>
    <t>AR186F906-BASE</t>
  </si>
  <si>
    <t>01 set bị hư do đang chạy CNC bị cúp điện</t>
  </si>
  <si>
    <t>RH9866F426</t>
  </si>
  <si>
    <t>RH9866F424</t>
  </si>
  <si>
    <t>bị lông gỗ+1 pc bị sọc ngang</t>
  </si>
  <si>
    <t>AR133F834-BASE</t>
  </si>
  <si>
    <t>P06-2</t>
  </si>
  <si>
    <t>WK41-25</t>
  </si>
  <si>
    <t>CE553NF1011D</t>
  </si>
  <si>
    <t>06 psc bị hư do đang ép bị mất điện</t>
  </si>
  <si>
    <t>04 psc bị hư do chạy CNC bị mất điện</t>
  </si>
  <si>
    <t>RH10173F382</t>
  </si>
  <si>
    <t>01 psc bị hư do chạy CNC bị mất điện</t>
  </si>
  <si>
    <t>wd-03-254</t>
  </si>
  <si>
    <t>RH9856F425</t>
  </si>
  <si>
    <t>2 set mặt TOP bàn lỗi lằng ngang</t>
  </si>
  <si>
    <t>WK42-25</t>
  </si>
  <si>
    <t>01 set bị hư trong quá trình CNC</t>
  </si>
  <si>
    <t>p01-2</t>
  </si>
  <si>
    <t>WK44-25</t>
  </si>
  <si>
    <t>120 tấm veneer bổ sung lại do bị xù lông</t>
  </si>
  <si>
    <t>TOP giữa kích thước lớn hơn TOP bìa</t>
  </si>
  <si>
    <t>Sum of SỐ HC</t>
  </si>
  <si>
    <t>wd-03-194</t>
  </si>
  <si>
    <t>WK45-25</t>
  </si>
  <si>
    <t>AT640F1198</t>
  </si>
  <si>
    <t>A2-S0</t>
  </si>
  <si>
    <t>A4-S01-2</t>
  </si>
  <si>
    <t>A4-S01-3</t>
  </si>
  <si>
    <t>A4-S01-4</t>
  </si>
  <si>
    <t>RH11286F451</t>
  </si>
  <si>
    <t>A1-S01-1</t>
  </si>
  <si>
    <t>P07-1</t>
  </si>
  <si>
    <t>đầu giường rớt chuyền hư 1 psc</t>
  </si>
  <si>
    <t>kệ bị trùng vế</t>
  </si>
  <si>
    <t>ưu tiên làm bổ sung do đã lấy làm mẫu test</t>
  </si>
  <si>
    <t>HS5178f1180</t>
  </si>
  <si>
    <t>AR1160F1256-TOP</t>
  </si>
  <si>
    <t>ưu tiên làm mẫu</t>
  </si>
  <si>
    <t>AT383M00-VE</t>
  </si>
  <si>
    <t>03 tấm bị chạy phôi trong quá trình CNC</t>
  </si>
  <si>
    <t>wd-03-009</t>
  </si>
  <si>
    <t>RH11045F349TR</t>
  </si>
  <si>
    <t>01 tấm lấy làm mẫu</t>
  </si>
  <si>
    <t>RH7561F381</t>
  </si>
  <si>
    <t>P04-1A</t>
  </si>
  <si>
    <t>05 tấm đang ép nóng bị cúp điện</t>
  </si>
  <si>
    <t>RH9882F423</t>
  </si>
  <si>
    <t>04 tấm veneer mặt ngoài bị bung sớ trong quá trình cào cước</t>
  </si>
  <si>
    <t>AT659F839</t>
  </si>
  <si>
    <t>A000</t>
  </si>
  <si>
    <t>hông, chỉ hông, chỉ cửa , top veneer bị sọc ngang cháy cần đổi qua veneer 1.2mm mặt ngoài</t>
  </si>
  <si>
    <t>A3-04</t>
  </si>
  <si>
    <t>AT659</t>
  </si>
  <si>
    <t>làm hàng mẫu test</t>
  </si>
  <si>
    <t>A000, A2-S03, A3-S02, A3-S03, A3, A3-S04, A1, A1-S02</t>
  </si>
  <si>
    <t>600x800</t>
  </si>
  <si>
    <t>wd-03-516</t>
  </si>
  <si>
    <t>WK46-25</t>
  </si>
  <si>
    <t>làm mẫu test cho ME</t>
  </si>
  <si>
    <t xml:space="preserve">KHU VỰC VENER </t>
  </si>
  <si>
    <t>AR367F1049</t>
  </si>
  <si>
    <t>A6-S06</t>
  </si>
  <si>
    <t>04 Tấm bị hư trong quá trình chạy CNC</t>
  </si>
  <si>
    <t>wd-03-154</t>
  </si>
  <si>
    <t>ván đáy bị cấn mốt trong quá trình vận chuyển từ FIN-&gt; FITTING</t>
  </si>
  <si>
    <t>RH9947F423</t>
  </si>
  <si>
    <t>02 tấm cào cước bị hư veneer mặt ngoài</t>
  </si>
  <si>
    <t>RH SAMPLE 128 ( SH636 )</t>
  </si>
  <si>
    <t>SH636F909</t>
  </si>
  <si>
    <t>WK47-25</t>
  </si>
  <si>
    <t>chi tiết A2-S02 sai số đo so với rập</t>
  </si>
  <si>
    <t>RH SAMPLE 132</t>
  </si>
  <si>
    <t>a1-s01</t>
  </si>
  <si>
    <t>AR805F1001</t>
  </si>
  <si>
    <t>add veneer okuome 0.6mm để chống cong</t>
  </si>
  <si>
    <t>TỔNG HỢP THỜI GIAN PHÁT SINH VẤN ĐỀ KHU VỰC ÉP NÓNG</t>
  </si>
  <si>
    <t>RH2676NF09</t>
  </si>
  <si>
    <t>cần bổ sung lại hộc kéo do đã lấy làm mẫu</t>
  </si>
  <si>
    <t>320*620</t>
  </si>
  <si>
    <t>wd-03-485</t>
  </si>
  <si>
    <t>AR1160F1256-BASE</t>
  </si>
  <si>
    <t>ván đáy đổi lỗ vít qua lỗ bolt và khoan lại lỗ leveler thêm vát 3x3mm</t>
  </si>
  <si>
    <t>Ván đáy 01 tấm bị chạy phôi trong quá trình CNC</t>
  </si>
  <si>
    <t>F9975F409</t>
  </si>
  <si>
    <t>A1-S01, A1-S02, A1-S03</t>
  </si>
  <si>
    <t>CÁNH CỬA BỊ CONG</t>
  </si>
  <si>
    <t>W0682F837-EX</t>
  </si>
  <si>
    <t>RH387F01</t>
  </si>
  <si>
    <t>WK48-25</t>
  </si>
  <si>
    <t>ván hậu bị phù</t>
  </si>
  <si>
    <t>AR1159F1256</t>
  </si>
  <si>
    <t xml:space="preserve">Thêm ván định vị khung base, bỏ lỗ chốt lắp khung HW, thêm lỗ chốt lắp ván định vị </t>
  </si>
  <si>
    <t>wd-03-385</t>
  </si>
  <si>
    <t>WK49-25</t>
  </si>
  <si>
    <t>Chi tiết P04= 2 Tấm do vá không đạt cần bổ sung lại veneer</t>
  </si>
  <si>
    <t>06 tấm đáy nhôm bị trày xước</t>
  </si>
  <si>
    <t>362*724</t>
  </si>
  <si>
    <t>wd-03-018</t>
  </si>
  <si>
    <t>WK50-25</t>
  </si>
  <si>
    <t>wd-03-231</t>
  </si>
  <si>
    <t>WK51-25</t>
  </si>
  <si>
    <t>RH9858F426</t>
  </si>
  <si>
    <t>MẶT BÀN BỊ TRỚN</t>
  </si>
  <si>
    <t>WK52-25</t>
  </si>
  <si>
    <t xml:space="preserve">BỔ SUNG 01 TẤM NHÔM 1 TẤM VENEER </t>
  </si>
  <si>
    <t>JV064F1313</t>
  </si>
  <si>
    <t>A05-S02-6</t>
  </si>
  <si>
    <t>bổ sung 02 tấm nhôm bị trày xước, 2 TẤM VENEER</t>
  </si>
  <si>
    <t>wd-03-393</t>
  </si>
  <si>
    <t>wd-03-014</t>
  </si>
  <si>
    <t>wd-03-482</t>
  </si>
  <si>
    <t>RH11264F457</t>
  </si>
  <si>
    <t>ƯU TIÊN LÀM MẪU</t>
  </si>
  <si>
    <t>A01-S01-1</t>
  </si>
  <si>
    <t>A01-S02</t>
  </si>
  <si>
    <t>WK01-26</t>
  </si>
  <si>
    <t>wd-03-495</t>
  </si>
  <si>
    <t>wd-03-098</t>
  </si>
  <si>
    <t>wd-03-326</t>
  </si>
  <si>
    <t>wd-03-496</t>
  </si>
  <si>
    <t>01 TẤM NHÔM BỊ TRÀY XƯỚC</t>
  </si>
  <si>
    <t>wd-03-236</t>
  </si>
  <si>
    <t>WK02-26</t>
  </si>
  <si>
    <t>AR1138F1233</t>
  </si>
  <si>
    <t>Hàng pilot update theo kết cấu mới</t>
  </si>
  <si>
    <t>WK03-26</t>
  </si>
  <si>
    <t>KHÁCH HÀNG</t>
  </si>
  <si>
    <t>thêm ván kệ và chân thêm khấu ngàm</t>
  </si>
  <si>
    <t>RH12074F458</t>
  </si>
  <si>
    <t>RH12074F460</t>
  </si>
  <si>
    <t>RH12076F460</t>
  </si>
  <si>
    <t>p09</t>
  </si>
  <si>
    <t>RH12076F458</t>
  </si>
  <si>
    <t>MN5562 ( CẮT GHÉP )</t>
  </si>
  <si>
    <t>RH10988F457</t>
  </si>
  <si>
    <t>40 Tấm swatch bị lốc veneer</t>
  </si>
  <si>
    <t>RH9531AF423</t>
  </si>
  <si>
    <t>02 veneer mặt ngoài cào cước bị hư</t>
  </si>
  <si>
    <t xml:space="preserve">wd-03-229 ( cắt ghép) </t>
  </si>
  <si>
    <t>WK04-26</t>
  </si>
  <si>
    <t>AR1138F1275</t>
  </si>
  <si>
    <t>thay đổi kết cấu mới</t>
  </si>
  <si>
    <t>554*838 (P2)</t>
  </si>
  <si>
    <t xml:space="preserve">bổ sung lại </t>
  </si>
  <si>
    <t>RH768F1001</t>
  </si>
  <si>
    <t>RH11430F457</t>
  </si>
  <si>
    <t xml:space="preserve">MẪU </t>
  </si>
  <si>
    <t>685*940</t>
  </si>
  <si>
    <t>750*750</t>
  </si>
  <si>
    <t>wd-03-290</t>
  </si>
  <si>
    <t>470*700</t>
  </si>
  <si>
    <t>WK05-26</t>
  </si>
  <si>
    <t>BN180F01</t>
  </si>
  <si>
    <t>Mặt TOP bị dộp venee ( dộp veneer phát hiện sau khi làm màu )</t>
  </si>
  <si>
    <t>JV0098F580</t>
  </si>
  <si>
    <t>A1A-S1</t>
  </si>
  <si>
    <t>BỔ SUNG 01 CÁI MẶT HÔC DO GIỮ LẠI LÀM MẪU</t>
  </si>
  <si>
    <t>WK06-26</t>
  </si>
  <si>
    <t>01 Tấm veneer TOP bị hư trong quá trình cào cước bị ngừng máy</t>
  </si>
  <si>
    <t>A06-S01</t>
  </si>
  <si>
    <t>LÀM MẪU</t>
  </si>
  <si>
    <t>RH1216NFXX</t>
  </si>
  <si>
    <t>RH11415F467</t>
  </si>
  <si>
    <t>A06-S04</t>
  </si>
  <si>
    <t>320x620</t>
  </si>
  <si>
    <t>WK10-26</t>
  </si>
  <si>
    <t>HS6131</t>
  </si>
  <si>
    <t>a4-s2</t>
  </si>
  <si>
    <t xml:space="preserve">hàng BS LẠI </t>
  </si>
  <si>
    <t>1 mặt sau oak</t>
  </si>
  <si>
    <t>1 mặt trước oak</t>
  </si>
  <si>
    <t>AT737F1386</t>
  </si>
  <si>
    <t>khách HÀNG</t>
  </si>
  <si>
    <t xml:space="preserve">làm thêm </t>
  </si>
  <si>
    <t>WK11-26</t>
  </si>
  <si>
    <t>760X2295</t>
  </si>
  <si>
    <t>MẶT B</t>
  </si>
  <si>
    <t>MẶT A</t>
  </si>
  <si>
    <t>OKUME</t>
  </si>
  <si>
    <t>RH9451F423,426</t>
  </si>
  <si>
    <t>320X620</t>
  </si>
  <si>
    <t>398X398</t>
  </si>
  <si>
    <t>RH11324F485</t>
  </si>
  <si>
    <t>415X2019</t>
  </si>
  <si>
    <t>code 229</t>
  </si>
  <si>
    <t>code 482</t>
  </si>
  <si>
    <t>code 516</t>
  </si>
  <si>
    <t>code 009</t>
  </si>
  <si>
    <t>nguyễn thị kỷ</t>
  </si>
  <si>
    <t>đi học kaizen</t>
  </si>
  <si>
    <t>code 326</t>
  </si>
  <si>
    <t>code 253</t>
  </si>
  <si>
    <t>code 254</t>
  </si>
  <si>
    <t>RH9457F423,426</t>
  </si>
  <si>
    <t>p2-3</t>
  </si>
  <si>
    <t>RH9949F423,426</t>
  </si>
  <si>
    <t>PS-02-687F1836</t>
  </si>
  <si>
    <t>code 119</t>
  </si>
  <si>
    <t>PS-02-684F1836</t>
  </si>
  <si>
    <t>A2-S1-2</t>
  </si>
  <si>
    <t>WK12-26</t>
  </si>
  <si>
    <t>DL015F386</t>
  </si>
  <si>
    <t>P1-3</t>
  </si>
  <si>
    <t>WK13-26</t>
  </si>
  <si>
    <t>code119</t>
  </si>
  <si>
    <t>RH11411F457</t>
  </si>
  <si>
    <t>817X650</t>
  </si>
  <si>
    <t xml:space="preserve">2 MẶT </t>
  </si>
  <si>
    <t xml:space="preserve">LÀM MẪU </t>
  </si>
  <si>
    <t>SỮA HÀNG</t>
  </si>
  <si>
    <t>RH11620F459</t>
  </si>
  <si>
    <t xml:space="preserve">TỦ </t>
  </si>
  <si>
    <t xml:space="preserve">bảng vẽ không rõ ràng </t>
  </si>
  <si>
    <t>AR16-1010-1233</t>
  </si>
  <si>
    <t>bs lại</t>
  </si>
  <si>
    <t>AR1078F1233</t>
  </si>
  <si>
    <t>DL019F387</t>
  </si>
  <si>
    <t>code 431</t>
  </si>
  <si>
    <t>RH12-4691</t>
  </si>
  <si>
    <t>423X1172</t>
  </si>
  <si>
    <t>2 mặt 1 lót</t>
  </si>
  <si>
    <t>WK14-26</t>
  </si>
  <si>
    <t>AR1167F1291</t>
  </si>
  <si>
    <t xml:space="preserve">hàng bs lại </t>
  </si>
  <si>
    <t xml:space="preserve">code 229 </t>
  </si>
  <si>
    <t>code 014</t>
  </si>
  <si>
    <t>WK 12</t>
  </si>
  <si>
    <t>SH5847F1443</t>
  </si>
  <si>
    <t>2 MẶT</t>
  </si>
  <si>
    <t>WK15-26</t>
  </si>
  <si>
    <t>code254</t>
  </si>
  <si>
    <t>206x506</t>
  </si>
  <si>
    <t>WK16-26</t>
  </si>
  <si>
    <t xml:space="preserve">HÀNG SỬA </t>
  </si>
  <si>
    <t>587X538</t>
  </si>
  <si>
    <t>WK17-26</t>
  </si>
  <si>
    <t>243x543</t>
  </si>
  <si>
    <t>code 007</t>
  </si>
  <si>
    <t>code 290</t>
  </si>
  <si>
    <t>RH12-4691-0492</t>
  </si>
  <si>
    <t xml:space="preserve">ÉP LÓT </t>
  </si>
  <si>
    <t>LÀM MẪU (CẮT GHÉP)</t>
  </si>
  <si>
    <t>code 564</t>
  </si>
  <si>
    <t>code 455</t>
  </si>
  <si>
    <t>740x880</t>
  </si>
  <si>
    <t>RH19-1283-0001</t>
  </si>
  <si>
    <t>AR211060-0492-0892-70060</t>
  </si>
  <si>
    <t>WK8-26</t>
  </si>
  <si>
    <t>550x2150</t>
  </si>
  <si>
    <t>750x700</t>
  </si>
  <si>
    <t>PROTOTYPE</t>
  </si>
  <si>
    <t>430x2360</t>
  </si>
  <si>
    <t>WK18-26</t>
  </si>
  <si>
    <t>WK19-26</t>
  </si>
  <si>
    <t>760x680</t>
  </si>
  <si>
    <t>630x1300</t>
  </si>
  <si>
    <t>code 191</t>
  </si>
  <si>
    <t>865x499</t>
  </si>
  <si>
    <t>540x1650</t>
  </si>
  <si>
    <t>BS LẠI</t>
  </si>
  <si>
    <t>code 194</t>
  </si>
  <si>
    <t>RH18-1764</t>
  </si>
  <si>
    <t>code 141</t>
  </si>
  <si>
    <t>code 231</t>
  </si>
  <si>
    <t>WK20-26</t>
  </si>
  <si>
    <t>FS02-686A-F1386</t>
  </si>
  <si>
    <t>supplier TINAN</t>
  </si>
  <si>
    <t>NCC</t>
  </si>
  <si>
    <t>RH13-1012-0423</t>
  </si>
  <si>
    <t>HỘP 4 CHÍ TIẾT</t>
  </si>
  <si>
    <t>code 485</t>
  </si>
  <si>
    <t>code 185</t>
  </si>
  <si>
    <t>WK21-26</t>
  </si>
  <si>
    <t xml:space="preserve">code 459 </t>
  </si>
  <si>
    <t>hàng cắt ghép tốn nhiều time</t>
  </si>
  <si>
    <t>code 563</t>
  </si>
  <si>
    <t>veneer nhiều mắt vá mất nhiều time</t>
  </si>
  <si>
    <t>600x840</t>
  </si>
  <si>
    <t>code 189</t>
  </si>
  <si>
    <t>800x1240</t>
  </si>
  <si>
    <t>WK22-26</t>
  </si>
  <si>
    <t>WK23-26</t>
  </si>
  <si>
    <t>RH25-1041-0457</t>
  </si>
  <si>
    <t>RH13-1751-0457</t>
  </si>
  <si>
    <t>A5-S5</t>
  </si>
  <si>
    <t>code185</t>
  </si>
  <si>
    <t>480x2600</t>
  </si>
  <si>
    <t>WK24-26</t>
  </si>
  <si>
    <t>code225</t>
  </si>
  <si>
    <t>500x1000</t>
  </si>
  <si>
    <t>code 225</t>
  </si>
  <si>
    <t>RH15-1430-1275</t>
  </si>
  <si>
    <t>833x1330</t>
  </si>
  <si>
    <t xml:space="preserve">bs lại </t>
  </si>
  <si>
    <t>WK25-26</t>
  </si>
  <si>
    <t>WK26-26</t>
  </si>
  <si>
    <t>WK27-26</t>
  </si>
  <si>
    <t>code 098</t>
  </si>
  <si>
    <t>AR11-2264-1291</t>
  </si>
  <si>
    <t xml:space="preserve">3 MẶT </t>
  </si>
  <si>
    <t>WK28-26</t>
  </si>
  <si>
    <t>WK29-26</t>
  </si>
  <si>
    <t>code 385</t>
  </si>
  <si>
    <t>WK31-26</t>
  </si>
  <si>
    <t>W31-26</t>
  </si>
  <si>
    <t>RH11-5009-0477</t>
  </si>
  <si>
    <t>unassiganed</t>
  </si>
  <si>
    <t>code 495</t>
  </si>
  <si>
    <t>W32-26</t>
  </si>
  <si>
    <t>RH15-1397-0457</t>
  </si>
  <si>
    <t>W33-26</t>
  </si>
  <si>
    <t>RH11-5922-5003</t>
  </si>
  <si>
    <t>A2-S1-7</t>
  </si>
  <si>
    <t>AR11-1046-1275</t>
  </si>
  <si>
    <t>A1-S17</t>
  </si>
  <si>
    <t>W34-26</t>
  </si>
  <si>
    <t>W37-26</t>
  </si>
  <si>
    <t>code 494</t>
  </si>
  <si>
    <t>W40-26</t>
  </si>
  <si>
    <t>code 268</t>
  </si>
  <si>
    <t>code 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</si>
</sst>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 mmm\ yyyy"/>
    <numFmt numFmtId="165" formatCode="h:mm;@"/>
    <numFmt numFmtId="166" formatCode="0.00;[Red]0.00"/>
    <numFmt numFmtId="167" formatCode="_(* #,##0.0_);_(* \(#,##0.0\);_(* &quot;-&quot;??_);_(@_)"/>
  </numFmts>
  <fonts count="37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  <charset val="163"/>
      <scheme val="minor"/>
    </font>
    <font>
      <b/>
      <sz val="14"/>
      <color theme="1"/>
      <name val="Calibri"/>
      <family val="2"/>
      <scheme val="minor"/>
    </font>
    <font>
      <b/>
      <sz val="22"/>
      <color rgb="FFFF0000"/>
      <name val="Arial"/>
      <family val="2"/>
    </font>
    <font>
      <b/>
      <sz val="14"/>
      <color theme="1"/>
      <name val="Cambria"/>
      <family val="1"/>
      <scheme val="major"/>
    </font>
    <font>
      <b/>
      <sz val="14"/>
      <color rgb="FFFF0000"/>
      <name val="Cambria"/>
      <family val="1"/>
      <scheme val="major"/>
    </font>
    <font>
      <sz val="14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8">
    <xf numFmtId="0" fontId="0" fillId="0" borderId="0"/>
    <xf numFmtId="0" fontId="356" fillId="2" borderId="0" applyNumberFormat="0" applyBorder="0" applyAlignment="0" applyProtection="0"/>
    <xf numFmtId="43" fontId="357" fillId="0" borderId="0" applyFont="0" applyFill="0" applyBorder="0" applyAlignment="0" applyProtection="0"/>
    <xf numFmtId="0" fontId="355" fillId="0" borderId="0"/>
    <xf numFmtId="43" fontId="355" fillId="0" borderId="0" applyFont="0" applyFill="0" applyBorder="0" applyAlignment="0" applyProtection="0"/>
    <xf numFmtId="0" fontId="361" fillId="0" borderId="0"/>
    <xf numFmtId="0" fontId="36" fillId="0" borderId="0"/>
    <xf numFmtId="44" fontId="36" fillId="0" borderId="0" applyFont="0" applyFill="0" applyBorder="0" applyAlignment="0" applyProtection="0"/>
  </cellStyleXfs>
  <cellXfs count="1379">
    <xf numFmtId="0" fontId="0" fillId="0" borderId="0" xfId="0"/>
    <xf numFmtId="0" fontId="355" fillId="0" borderId="0" xfId="3"/>
    <xf numFmtId="0" fontId="355" fillId="4" borderId="2" xfId="3" applyFill="1" applyBorder="1" applyAlignment="1">
      <alignment horizontal="center" vertical="center"/>
    </xf>
    <xf numFmtId="0" fontId="355" fillId="0" borderId="3" xfId="3" applyBorder="1" applyAlignment="1">
      <alignment horizontal="center" vertical="center"/>
    </xf>
    <xf numFmtId="0" fontId="355" fillId="0" borderId="1" xfId="3" applyBorder="1" applyAlignment="1">
      <alignment horizontal="center" vertical="center"/>
    </xf>
    <xf numFmtId="0" fontId="355" fillId="3" borderId="2" xfId="3" applyFont="1" applyFill="1" applyBorder="1" applyAlignment="1">
      <alignment horizontal="center" vertical="center"/>
    </xf>
    <xf numFmtId="0" fontId="355" fillId="3" borderId="3" xfId="3" applyFill="1" applyBorder="1" applyAlignment="1">
      <alignment horizontal="center" vertical="center"/>
    </xf>
    <xf numFmtId="0" fontId="355" fillId="3" borderId="1" xfId="3" applyFill="1" applyBorder="1" applyAlignment="1">
      <alignment horizontal="center" vertical="center"/>
    </xf>
    <xf numFmtId="0" fontId="355" fillId="0" borderId="1" xfId="3" applyFont="1" applyBorder="1" applyAlignment="1">
      <alignment horizontal="center" vertical="center"/>
    </xf>
    <xf numFmtId="16" fontId="355" fillId="0" borderId="1" xfId="3" applyNumberFormat="1" applyBorder="1" applyAlignment="1">
      <alignment horizontal="center" vertical="center"/>
    </xf>
    <xf numFmtId="0" fontId="355" fillId="0" borderId="3" xfId="3" applyFont="1" applyBorder="1" applyAlignment="1">
      <alignment horizontal="center" vertical="center"/>
    </xf>
    <xf numFmtId="16" fontId="355" fillId="3" borderId="1" xfId="3" applyNumberFormat="1" applyFill="1" applyBorder="1" applyAlignment="1">
      <alignment horizontal="center" vertical="center"/>
    </xf>
    <xf numFmtId="16" fontId="355" fillId="0" borderId="4" xfId="3" applyNumberFormat="1" applyBorder="1" applyAlignment="1">
      <alignment horizontal="center" vertical="center"/>
    </xf>
    <xf numFmtId="0" fontId="355" fillId="3" borderId="2" xfId="3" applyFill="1" applyBorder="1" applyAlignment="1">
      <alignment horizontal="center" vertical="center"/>
    </xf>
    <xf numFmtId="0" fontId="355" fillId="3" borderId="1" xfId="3" applyFont="1" applyFill="1" applyBorder="1" applyAlignment="1">
      <alignment horizontal="center" vertical="center"/>
    </xf>
    <xf numFmtId="0" fontId="355" fillId="3" borderId="3" xfId="3" applyFont="1" applyFill="1" applyBorder="1" applyAlignment="1">
      <alignment horizontal="center" vertical="center"/>
    </xf>
    <xf numFmtId="16" fontId="355" fillId="3" borderId="2" xfId="3" applyNumberFormat="1" applyFill="1" applyBorder="1" applyAlignment="1">
      <alignment horizontal="center" vertical="center"/>
    </xf>
    <xf numFmtId="16" fontId="355" fillId="0" borderId="2" xfId="3" applyNumberFormat="1" applyBorder="1" applyAlignment="1">
      <alignment horizontal="center" vertical="center"/>
    </xf>
    <xf numFmtId="16" fontId="355" fillId="4" borderId="2" xfId="3" applyNumberFormat="1" applyFont="1" applyFill="1" applyBorder="1" applyAlignment="1">
      <alignment horizontal="center" vertical="center"/>
    </xf>
    <xf numFmtId="16" fontId="355" fillId="0" borderId="4" xfId="3" applyNumberFormat="1" applyFont="1" applyBorder="1" applyAlignment="1">
      <alignment horizontal="center" vertical="center"/>
    </xf>
    <xf numFmtId="16" fontId="355" fillId="0" borderId="3" xfId="3" applyNumberFormat="1" applyBorder="1" applyAlignment="1">
      <alignment horizontal="center" vertical="center"/>
    </xf>
    <xf numFmtId="16" fontId="355" fillId="4" borderId="2" xfId="3" applyNumberFormat="1" applyFill="1" applyBorder="1" applyAlignment="1">
      <alignment horizontal="center" vertical="center"/>
    </xf>
    <xf numFmtId="16" fontId="355" fillId="0" borderId="3" xfId="3" applyNumberFormat="1" applyFill="1" applyBorder="1" applyAlignment="1">
      <alignment horizontal="center" vertical="center"/>
    </xf>
    <xf numFmtId="0" fontId="354" fillId="0" borderId="3" xfId="3" applyFont="1" applyBorder="1" applyAlignment="1">
      <alignment horizontal="center" vertical="center"/>
    </xf>
    <xf numFmtId="0" fontId="354" fillId="0" borderId="1" xfId="3" applyFont="1" applyBorder="1" applyAlignment="1">
      <alignment horizontal="center" vertical="center"/>
    </xf>
    <xf numFmtId="0" fontId="351" fillId="0" borderId="1" xfId="3" applyFont="1" applyBorder="1" applyAlignment="1">
      <alignment horizontal="center" vertical="center"/>
    </xf>
    <xf numFmtId="0" fontId="351" fillId="4" borderId="2" xfId="3" applyFont="1" applyFill="1" applyBorder="1" applyAlignment="1">
      <alignment horizontal="center" vertical="center"/>
    </xf>
    <xf numFmtId="0" fontId="350" fillId="0" borderId="3" xfId="3" applyFont="1" applyBorder="1" applyAlignment="1">
      <alignment horizontal="center" vertical="center"/>
    </xf>
    <xf numFmtId="0" fontId="349" fillId="3" borderId="1" xfId="3" applyFont="1" applyFill="1" applyBorder="1" applyAlignment="1">
      <alignment horizontal="center" vertical="center"/>
    </xf>
    <xf numFmtId="0" fontId="347" fillId="0" borderId="3" xfId="3" applyFont="1" applyBorder="1" applyAlignment="1">
      <alignment horizontal="center" vertical="center"/>
    </xf>
    <xf numFmtId="0" fontId="344" fillId="0" borderId="3" xfId="3" applyFont="1" applyBorder="1" applyAlignment="1">
      <alignment horizontal="center" vertical="center"/>
    </xf>
    <xf numFmtId="0" fontId="344" fillId="4" borderId="2" xfId="3" applyFont="1" applyFill="1" applyBorder="1" applyAlignment="1">
      <alignment horizontal="center" vertical="center"/>
    </xf>
    <xf numFmtId="0" fontId="341" fillId="4" borderId="2" xfId="3" applyFont="1" applyFill="1" applyBorder="1" applyAlignment="1">
      <alignment horizontal="center" vertical="center"/>
    </xf>
    <xf numFmtId="0" fontId="341" fillId="0" borderId="1" xfId="3" applyFont="1" applyBorder="1" applyAlignment="1">
      <alignment horizontal="center" vertical="center"/>
    </xf>
    <xf numFmtId="0" fontId="341" fillId="3" borderId="1" xfId="3" applyFont="1" applyFill="1" applyBorder="1" applyAlignment="1">
      <alignment horizontal="center" vertical="center"/>
    </xf>
    <xf numFmtId="0" fontId="341" fillId="3" borderId="3" xfId="3" applyFont="1" applyFill="1" applyBorder="1" applyAlignment="1">
      <alignment horizontal="center" vertical="center"/>
    </xf>
    <xf numFmtId="0" fontId="341" fillId="0" borderId="1" xfId="3" applyFont="1" applyFill="1" applyBorder="1" applyAlignment="1">
      <alignment horizontal="center" vertical="center"/>
    </xf>
    <xf numFmtId="0" fontId="338" fillId="0" borderId="3" xfId="3" applyFont="1" applyBorder="1" applyAlignment="1">
      <alignment horizontal="center" vertical="center"/>
    </xf>
    <xf numFmtId="0" fontId="338" fillId="3" borderId="3" xfId="3" applyFont="1" applyFill="1" applyBorder="1" applyAlignment="1">
      <alignment horizontal="center" vertical="center"/>
    </xf>
    <xf numFmtId="16" fontId="355" fillId="0" borderId="1" xfId="3" applyNumberFormat="1" applyFill="1" applyBorder="1" applyAlignment="1">
      <alignment horizontal="center" vertical="center"/>
    </xf>
    <xf numFmtId="0" fontId="355" fillId="0" borderId="2" xfId="3" applyBorder="1"/>
    <xf numFmtId="0" fontId="337" fillId="0" borderId="3" xfId="3" applyFont="1" applyBorder="1" applyAlignment="1">
      <alignment horizontal="center" vertical="center"/>
    </xf>
    <xf numFmtId="0" fontId="337" fillId="4" borderId="2" xfId="3" applyFont="1" applyFill="1" applyBorder="1" applyAlignment="1">
      <alignment horizontal="center" vertical="center"/>
    </xf>
    <xf numFmtId="0" fontId="336" fillId="0" borderId="1" xfId="3" applyFont="1" applyBorder="1" applyAlignment="1">
      <alignment horizontal="center" vertical="center"/>
    </xf>
    <xf numFmtId="0" fontId="336" fillId="0" borderId="3" xfId="3" applyFont="1" applyBorder="1" applyAlignment="1">
      <alignment horizontal="center" vertical="center"/>
    </xf>
    <xf numFmtId="0" fontId="335" fillId="0" borderId="3" xfId="3" applyFont="1" applyBorder="1" applyAlignment="1">
      <alignment horizontal="center" vertical="center"/>
    </xf>
    <xf numFmtId="0" fontId="333" fillId="0" borderId="3" xfId="3" applyFont="1" applyBorder="1" applyAlignment="1">
      <alignment horizontal="center" vertical="center"/>
    </xf>
    <xf numFmtId="0" fontId="336" fillId="3" borderId="1" xfId="3" applyFont="1" applyFill="1" applyBorder="1" applyAlignment="1">
      <alignment horizontal="center" vertical="center"/>
    </xf>
    <xf numFmtId="0" fontId="332" fillId="0" borderId="1" xfId="3" applyFont="1" applyBorder="1" applyAlignment="1">
      <alignment horizontal="center" vertical="center"/>
    </xf>
    <xf numFmtId="0" fontId="332" fillId="0" borderId="3" xfId="3" applyFont="1" applyBorder="1" applyAlignment="1">
      <alignment horizontal="center" vertical="center"/>
    </xf>
    <xf numFmtId="0" fontId="331" fillId="0" borderId="3" xfId="3" applyFont="1" applyBorder="1" applyAlignment="1">
      <alignment horizontal="center" vertical="center"/>
    </xf>
    <xf numFmtId="0" fontId="330" fillId="0" borderId="1" xfId="3" applyFont="1" applyBorder="1" applyAlignment="1">
      <alignment horizontal="center" vertical="center"/>
    </xf>
    <xf numFmtId="0" fontId="330" fillId="0" borderId="3" xfId="3" applyFont="1" applyBorder="1" applyAlignment="1">
      <alignment horizontal="center" vertical="center"/>
    </xf>
    <xf numFmtId="0" fontId="329" fillId="0" borderId="3" xfId="3" applyFont="1" applyBorder="1" applyAlignment="1">
      <alignment horizontal="center" vertical="center"/>
    </xf>
    <xf numFmtId="0" fontId="328" fillId="0" borderId="3" xfId="3" applyFont="1" applyBorder="1" applyAlignment="1">
      <alignment horizontal="center" vertical="center"/>
    </xf>
    <xf numFmtId="0" fontId="327" fillId="0" borderId="1" xfId="3" applyFont="1" applyBorder="1" applyAlignment="1">
      <alignment horizontal="center" vertical="center"/>
    </xf>
    <xf numFmtId="0" fontId="325" fillId="0" borderId="3" xfId="3" applyFont="1" applyBorder="1" applyAlignment="1">
      <alignment horizontal="center" vertical="center"/>
    </xf>
    <xf numFmtId="0" fontId="324" fillId="0" borderId="3" xfId="3" applyFont="1" applyBorder="1" applyAlignment="1">
      <alignment horizontal="center" vertical="center"/>
    </xf>
    <xf numFmtId="0" fontId="327" fillId="3" borderId="1" xfId="3" applyFont="1" applyFill="1" applyBorder="1" applyAlignment="1">
      <alignment horizontal="center" vertical="center"/>
    </xf>
    <xf numFmtId="0" fontId="324" fillId="3" borderId="3" xfId="3" applyFont="1" applyFill="1" applyBorder="1" applyAlignment="1">
      <alignment horizontal="center" vertical="center"/>
    </xf>
    <xf numFmtId="0" fontId="324" fillId="3" borderId="2" xfId="3" applyFont="1" applyFill="1" applyBorder="1" applyAlignment="1">
      <alignment horizontal="center" vertical="center"/>
    </xf>
    <xf numFmtId="0" fontId="323" fillId="0" borderId="1" xfId="3" applyFont="1" applyBorder="1" applyAlignment="1">
      <alignment horizontal="center" vertical="center"/>
    </xf>
    <xf numFmtId="0" fontId="322" fillId="0" borderId="3" xfId="3" applyFont="1" applyBorder="1" applyAlignment="1">
      <alignment horizontal="center" vertical="center"/>
    </xf>
    <xf numFmtId="0" fontId="321" fillId="0" borderId="3" xfId="3" applyFont="1" applyBorder="1" applyAlignment="1">
      <alignment horizontal="center" vertical="center"/>
    </xf>
    <xf numFmtId="0" fontId="321" fillId="3" borderId="1" xfId="3" applyFont="1" applyFill="1" applyBorder="1" applyAlignment="1">
      <alignment horizontal="center" vertical="center"/>
    </xf>
    <xf numFmtId="0" fontId="323" fillId="3" borderId="1" xfId="3" applyFont="1" applyFill="1" applyBorder="1" applyAlignment="1">
      <alignment horizontal="center" vertical="center"/>
    </xf>
    <xf numFmtId="0" fontId="317" fillId="0" borderId="1" xfId="3" applyFont="1" applyBorder="1" applyAlignment="1">
      <alignment horizontal="center" vertical="center"/>
    </xf>
    <xf numFmtId="0" fontId="316" fillId="3" borderId="1" xfId="3" applyFont="1" applyFill="1" applyBorder="1" applyAlignment="1">
      <alignment horizontal="center" vertical="center"/>
    </xf>
    <xf numFmtId="0" fontId="319" fillId="3" borderId="3" xfId="3" applyFont="1" applyFill="1" applyBorder="1" applyAlignment="1">
      <alignment horizontal="center" vertical="center"/>
    </xf>
    <xf numFmtId="0" fontId="317" fillId="3" borderId="1" xfId="3" applyFont="1" applyFill="1" applyBorder="1" applyAlignment="1">
      <alignment horizontal="center" vertical="center"/>
    </xf>
    <xf numFmtId="0" fontId="315" fillId="0" borderId="1" xfId="3" applyFont="1" applyBorder="1" applyAlignment="1">
      <alignment horizontal="center" vertical="center"/>
    </xf>
    <xf numFmtId="0" fontId="315" fillId="0" borderId="3" xfId="3" applyFont="1" applyBorder="1" applyAlignment="1">
      <alignment horizontal="center" vertical="center"/>
    </xf>
    <xf numFmtId="0" fontId="315" fillId="3" borderId="1" xfId="3" applyFont="1" applyFill="1" applyBorder="1" applyAlignment="1">
      <alignment horizontal="center" vertical="center"/>
    </xf>
    <xf numFmtId="0" fontId="313" fillId="3" borderId="1" xfId="3" applyFont="1" applyFill="1" applyBorder="1" applyAlignment="1">
      <alignment horizontal="center" vertical="center"/>
    </xf>
    <xf numFmtId="0" fontId="313" fillId="3" borderId="3" xfId="3" applyFont="1" applyFill="1" applyBorder="1" applyAlignment="1">
      <alignment horizontal="center" vertical="center"/>
    </xf>
    <xf numFmtId="0" fontId="313" fillId="3" borderId="2" xfId="3" applyFont="1" applyFill="1" applyBorder="1" applyAlignment="1">
      <alignment horizontal="center" vertical="center"/>
    </xf>
    <xf numFmtId="0" fontId="315" fillId="0" borderId="1" xfId="3" applyFont="1" applyFill="1" applyBorder="1" applyAlignment="1">
      <alignment horizontal="center" vertical="center"/>
    </xf>
    <xf numFmtId="0" fontId="355" fillId="0" borderId="3" xfId="3" applyFill="1" applyBorder="1" applyAlignment="1">
      <alignment horizontal="center" vertical="center"/>
    </xf>
    <xf numFmtId="0" fontId="312" fillId="0" borderId="1" xfId="3" applyFont="1" applyBorder="1" applyAlignment="1">
      <alignment horizontal="center" vertical="center"/>
    </xf>
    <xf numFmtId="0" fontId="312" fillId="0" borderId="3" xfId="3" applyFont="1" applyBorder="1" applyAlignment="1">
      <alignment horizontal="center" vertical="center"/>
    </xf>
    <xf numFmtId="0" fontId="312" fillId="3" borderId="1" xfId="3" applyFont="1" applyFill="1" applyBorder="1" applyAlignment="1">
      <alignment horizontal="center" vertical="center"/>
    </xf>
    <xf numFmtId="0" fontId="310" fillId="0" borderId="1" xfId="3" applyFont="1" applyBorder="1" applyAlignment="1">
      <alignment horizontal="center" vertical="center"/>
    </xf>
    <xf numFmtId="0" fontId="310" fillId="0" borderId="3" xfId="3" applyFont="1" applyBorder="1" applyAlignment="1">
      <alignment horizontal="center" vertical="center"/>
    </xf>
    <xf numFmtId="0" fontId="309" fillId="0" borderId="3" xfId="3" applyFont="1" applyBorder="1" applyAlignment="1">
      <alignment horizontal="center" vertical="center"/>
    </xf>
    <xf numFmtId="0" fontId="308" fillId="0" borderId="1" xfId="3" applyFont="1" applyBorder="1" applyAlignment="1">
      <alignment horizontal="center" vertical="center"/>
    </xf>
    <xf numFmtId="0" fontId="308" fillId="0" borderId="3" xfId="3" applyFont="1" applyBorder="1" applyAlignment="1">
      <alignment horizontal="center" vertical="center"/>
    </xf>
    <xf numFmtId="0" fontId="308" fillId="3" borderId="1" xfId="3" applyFont="1" applyFill="1" applyBorder="1" applyAlignment="1">
      <alignment horizontal="center" vertical="center"/>
    </xf>
    <xf numFmtId="0" fontId="307" fillId="0" borderId="3" xfId="3" applyFont="1" applyBorder="1" applyAlignment="1">
      <alignment horizontal="center" vertical="center"/>
    </xf>
    <xf numFmtId="16" fontId="306" fillId="0" borderId="1" xfId="3" applyNumberFormat="1" applyFont="1" applyBorder="1" applyAlignment="1">
      <alignment horizontal="center" vertical="center"/>
    </xf>
    <xf numFmtId="0" fontId="305" fillId="0" borderId="1" xfId="3" applyFont="1" applyBorder="1" applyAlignment="1">
      <alignment horizontal="center" vertical="center"/>
    </xf>
    <xf numFmtId="0" fontId="305" fillId="0" borderId="3" xfId="3" applyFont="1" applyBorder="1" applyAlignment="1">
      <alignment horizontal="center" vertical="center"/>
    </xf>
    <xf numFmtId="0" fontId="304" fillId="0" borderId="3" xfId="3" applyFont="1" applyBorder="1" applyAlignment="1">
      <alignment horizontal="center" vertical="center"/>
    </xf>
    <xf numFmtId="0" fontId="305" fillId="3" borderId="1" xfId="3" applyFont="1" applyFill="1" applyBorder="1" applyAlignment="1">
      <alignment horizontal="center" vertical="center"/>
    </xf>
    <xf numFmtId="0" fontId="303" fillId="0" borderId="1" xfId="3" applyFont="1" applyBorder="1" applyAlignment="1">
      <alignment horizontal="center" vertical="center"/>
    </xf>
    <xf numFmtId="0" fontId="303" fillId="0" borderId="3" xfId="3" applyFont="1" applyBorder="1" applyAlignment="1">
      <alignment horizontal="center" vertical="center"/>
    </xf>
    <xf numFmtId="0" fontId="300" fillId="0" borderId="3" xfId="3" applyFont="1" applyBorder="1" applyAlignment="1">
      <alignment horizontal="center" vertical="center"/>
    </xf>
    <xf numFmtId="0" fontId="299" fillId="0" borderId="1" xfId="3" applyFont="1" applyBorder="1" applyAlignment="1">
      <alignment horizontal="center" vertical="center"/>
    </xf>
    <xf numFmtId="0" fontId="299" fillId="0" borderId="3" xfId="3" applyFont="1" applyBorder="1" applyAlignment="1">
      <alignment horizontal="center" vertical="center"/>
    </xf>
    <xf numFmtId="0" fontId="295" fillId="0" borderId="1" xfId="3" applyFont="1" applyBorder="1" applyAlignment="1">
      <alignment horizontal="center" vertical="center"/>
    </xf>
    <xf numFmtId="0" fontId="295" fillId="3" borderId="1" xfId="3" applyFont="1" applyFill="1" applyBorder="1" applyAlignment="1">
      <alignment horizontal="center" vertical="center"/>
    </xf>
    <xf numFmtId="0" fontId="295" fillId="0" borderId="3" xfId="3" applyFont="1" applyBorder="1" applyAlignment="1">
      <alignment horizontal="center" vertical="center"/>
    </xf>
    <xf numFmtId="0" fontId="295" fillId="4" borderId="2" xfId="3" applyFont="1" applyFill="1" applyBorder="1" applyAlignment="1">
      <alignment horizontal="center" vertical="center"/>
    </xf>
    <xf numFmtId="0" fontId="294" fillId="0" borderId="3" xfId="3" applyFont="1" applyBorder="1" applyAlignment="1">
      <alignment horizontal="center" vertical="center"/>
    </xf>
    <xf numFmtId="0" fontId="293" fillId="0" borderId="1" xfId="3" applyFont="1" applyBorder="1" applyAlignment="1">
      <alignment horizontal="center" vertical="center"/>
    </xf>
    <xf numFmtId="0" fontId="292" fillId="0" borderId="3" xfId="3" applyFont="1" applyBorder="1" applyAlignment="1">
      <alignment horizontal="center" vertical="center"/>
    </xf>
    <xf numFmtId="0" fontId="288" fillId="0" borderId="3" xfId="3" applyFont="1" applyBorder="1" applyAlignment="1">
      <alignment horizontal="center" vertical="center"/>
    </xf>
    <xf numFmtId="0" fontId="288" fillId="3" borderId="2" xfId="3" applyFont="1" applyFill="1" applyBorder="1" applyAlignment="1">
      <alignment horizontal="center" vertical="center"/>
    </xf>
    <xf numFmtId="0" fontId="287" fillId="0" borderId="3" xfId="3" applyFont="1" applyBorder="1" applyAlignment="1">
      <alignment horizontal="center" vertical="center"/>
    </xf>
    <xf numFmtId="0" fontId="285" fillId="4" borderId="2" xfId="3" applyFont="1" applyFill="1" applyBorder="1" applyAlignment="1">
      <alignment horizontal="center" vertical="center"/>
    </xf>
    <xf numFmtId="0" fontId="285" fillId="0" borderId="3" xfId="3" applyFont="1" applyBorder="1" applyAlignment="1">
      <alignment horizontal="center" vertical="center"/>
    </xf>
    <xf numFmtId="0" fontId="282" fillId="0" borderId="3" xfId="3" applyFont="1" applyBorder="1" applyAlignment="1">
      <alignment horizontal="center" vertical="center"/>
    </xf>
    <xf numFmtId="0" fontId="281" fillId="0" borderId="3" xfId="3" applyFont="1" applyBorder="1" applyAlignment="1">
      <alignment horizontal="center" vertical="center"/>
    </xf>
    <xf numFmtId="0" fontId="280" fillId="0" borderId="3" xfId="3" applyFont="1" applyBorder="1" applyAlignment="1">
      <alignment horizontal="center" vertical="center"/>
    </xf>
    <xf numFmtId="0" fontId="279" fillId="0" borderId="3" xfId="3" applyFont="1" applyBorder="1" applyAlignment="1">
      <alignment horizontal="center" vertical="center"/>
    </xf>
    <xf numFmtId="0" fontId="277" fillId="0" borderId="3" xfId="3" applyFont="1" applyBorder="1" applyAlignment="1">
      <alignment horizontal="center" vertical="center"/>
    </xf>
    <xf numFmtId="0" fontId="276" fillId="0" borderId="3" xfId="3" applyFont="1" applyBorder="1" applyAlignment="1">
      <alignment horizontal="center" vertical="center"/>
    </xf>
    <xf numFmtId="0" fontId="274" fillId="0" borderId="3" xfId="3" applyFont="1" applyBorder="1" applyAlignment="1">
      <alignment horizontal="center" vertical="center"/>
    </xf>
    <xf numFmtId="0" fontId="271" fillId="0" borderId="3" xfId="3" applyFont="1" applyBorder="1" applyAlignment="1">
      <alignment horizontal="center" vertical="center"/>
    </xf>
    <xf numFmtId="0" fontId="269" fillId="0" borderId="3" xfId="3" applyFont="1" applyBorder="1" applyAlignment="1">
      <alignment horizontal="center" vertical="center"/>
    </xf>
    <xf numFmtId="0" fontId="269" fillId="4" borderId="2" xfId="3" applyFont="1" applyFill="1" applyBorder="1" applyAlignment="1">
      <alignment horizontal="center" vertical="center"/>
    </xf>
    <xf numFmtId="0" fontId="269" fillId="3" borderId="3" xfId="3" applyFont="1" applyFill="1" applyBorder="1" applyAlignment="1">
      <alignment horizontal="center" vertical="center"/>
    </xf>
    <xf numFmtId="0" fontId="269" fillId="3" borderId="2" xfId="3" applyFont="1" applyFill="1" applyBorder="1" applyAlignment="1">
      <alignment horizontal="center" vertical="center"/>
    </xf>
    <xf numFmtId="0" fontId="268" fillId="0" borderId="3" xfId="3" applyFont="1" applyBorder="1" applyAlignment="1">
      <alignment horizontal="center" vertical="center"/>
    </xf>
    <xf numFmtId="0" fontId="267" fillId="0" borderId="3" xfId="3" applyFont="1" applyBorder="1" applyAlignment="1">
      <alignment horizontal="center" vertical="center"/>
    </xf>
    <xf numFmtId="16" fontId="268" fillId="0" borderId="1" xfId="3" applyNumberFormat="1" applyFont="1" applyBorder="1" applyAlignment="1">
      <alignment horizontal="center" vertical="center"/>
    </xf>
    <xf numFmtId="0" fontId="266" fillId="0" borderId="3" xfId="3" applyFont="1" applyBorder="1" applyAlignment="1">
      <alignment horizontal="center" vertical="center"/>
    </xf>
    <xf numFmtId="0" fontId="263" fillId="4" borderId="2" xfId="3" applyFont="1" applyFill="1" applyBorder="1" applyAlignment="1">
      <alignment horizontal="center" vertical="center"/>
    </xf>
    <xf numFmtId="0" fontId="262" fillId="0" borderId="3" xfId="3" applyFont="1" applyBorder="1" applyAlignment="1">
      <alignment horizontal="center" vertical="center"/>
    </xf>
    <xf numFmtId="0" fontId="261" fillId="0" borderId="3" xfId="3" applyFont="1" applyBorder="1" applyAlignment="1">
      <alignment horizontal="center" vertical="center"/>
    </xf>
    <xf numFmtId="0" fontId="261" fillId="3" borderId="2" xfId="3" applyFont="1" applyFill="1" applyBorder="1" applyAlignment="1">
      <alignment horizontal="center" vertical="center"/>
    </xf>
    <xf numFmtId="0" fontId="355" fillId="0" borderId="6" xfId="3" applyNumberFormat="1" applyFont="1" applyBorder="1" applyAlignment="1">
      <alignment horizontal="center" vertical="center"/>
    </xf>
    <xf numFmtId="0" fontId="262" fillId="3" borderId="3" xfId="3" applyFont="1" applyFill="1" applyBorder="1" applyAlignment="1">
      <alignment horizontal="center" vertical="center"/>
    </xf>
    <xf numFmtId="0" fontId="355" fillId="0" borderId="2" xfId="3" applyNumberFormat="1" applyFont="1" applyBorder="1" applyAlignment="1">
      <alignment horizontal="center" vertical="center" wrapText="1"/>
    </xf>
    <xf numFmtId="0" fontId="260" fillId="0" borderId="3" xfId="3" applyFont="1" applyBorder="1" applyAlignment="1">
      <alignment horizontal="center" vertical="center"/>
    </xf>
    <xf numFmtId="0" fontId="260" fillId="4" borderId="2" xfId="3" applyFont="1" applyFill="1" applyBorder="1" applyAlignment="1">
      <alignment horizontal="center" vertical="center"/>
    </xf>
    <xf numFmtId="16" fontId="355" fillId="0" borderId="5" xfId="3" applyNumberFormat="1" applyBorder="1" applyAlignment="1">
      <alignment horizontal="center" vertical="center"/>
    </xf>
    <xf numFmtId="0" fontId="259" fillId="0" borderId="3" xfId="3" applyFont="1" applyBorder="1" applyAlignment="1">
      <alignment horizontal="center" vertical="center"/>
    </xf>
    <xf numFmtId="16" fontId="259" fillId="0" borderId="1" xfId="3" applyNumberFormat="1" applyFont="1" applyBorder="1" applyAlignment="1">
      <alignment horizontal="center" vertical="center"/>
    </xf>
    <xf numFmtId="0" fontId="0" fillId="0" borderId="0" xfId="0" pivotButton="1"/>
    <xf numFmtId="0" fontId="258" fillId="0" borderId="3" xfId="3" applyFont="1" applyBorder="1" applyAlignment="1">
      <alignment horizontal="center" vertical="center"/>
    </xf>
    <xf numFmtId="0" fontId="257" fillId="0" borderId="3" xfId="3" applyFont="1" applyBorder="1" applyAlignment="1">
      <alignment horizontal="center" vertical="center"/>
    </xf>
    <xf numFmtId="0" fontId="256" fillId="0" borderId="1" xfId="3" applyFont="1" applyBorder="1" applyAlignment="1">
      <alignment horizontal="center" vertical="center"/>
    </xf>
    <xf numFmtId="0" fontId="256" fillId="0" borderId="3" xfId="3" applyFont="1" applyBorder="1" applyAlignment="1">
      <alignment horizontal="center" vertical="center"/>
    </xf>
    <xf numFmtId="0" fontId="255" fillId="0" borderId="3" xfId="3" applyFont="1" applyBorder="1" applyAlignment="1">
      <alignment horizontal="center" vertical="center"/>
    </xf>
    <xf numFmtId="0" fontId="254" fillId="0" borderId="3" xfId="3" applyFont="1" applyBorder="1" applyAlignment="1">
      <alignment horizontal="center" vertical="center"/>
    </xf>
    <xf numFmtId="0" fontId="254" fillId="4" borderId="2" xfId="3" applyFont="1" applyFill="1" applyBorder="1" applyAlignment="1">
      <alignment horizontal="center" vertical="center"/>
    </xf>
    <xf numFmtId="0" fontId="253" fillId="0" borderId="3" xfId="3" applyFont="1" applyBorder="1" applyAlignment="1">
      <alignment horizontal="center" vertical="center"/>
    </xf>
    <xf numFmtId="0" fontId="253" fillId="0" borderId="1" xfId="3" applyFont="1" applyBorder="1" applyAlignment="1">
      <alignment horizontal="center" vertical="center"/>
    </xf>
    <xf numFmtId="0" fontId="252" fillId="0" borderId="1" xfId="3" applyFont="1" applyBorder="1" applyAlignment="1">
      <alignment horizontal="center" vertical="center"/>
    </xf>
    <xf numFmtId="0" fontId="252" fillId="0" borderId="3" xfId="3" applyFont="1" applyBorder="1" applyAlignment="1">
      <alignment horizontal="center" vertical="center"/>
    </xf>
    <xf numFmtId="0" fontId="251" fillId="0" borderId="3" xfId="3" applyFont="1" applyBorder="1" applyAlignment="1">
      <alignment horizontal="center" vertical="center"/>
    </xf>
    <xf numFmtId="0" fontId="250" fillId="0" borderId="3" xfId="3" applyFont="1" applyBorder="1" applyAlignment="1">
      <alignment horizontal="center" vertical="center"/>
    </xf>
    <xf numFmtId="0" fontId="249" fillId="0" borderId="3" xfId="3" applyFont="1" applyBorder="1" applyAlignment="1">
      <alignment horizontal="center" vertical="center"/>
    </xf>
    <xf numFmtId="0" fontId="248" fillId="0" borderId="3" xfId="3" applyFont="1" applyBorder="1" applyAlignment="1">
      <alignment horizontal="center" vertical="center"/>
    </xf>
    <xf numFmtId="0" fontId="246" fillId="0" borderId="3" xfId="3" applyFont="1" applyBorder="1" applyAlignment="1">
      <alignment horizontal="center" vertical="center"/>
    </xf>
    <xf numFmtId="0" fontId="245" fillId="0" borderId="3" xfId="3" applyFont="1" applyBorder="1" applyAlignment="1">
      <alignment horizontal="center" vertical="center"/>
    </xf>
    <xf numFmtId="0" fontId="244" fillId="0" borderId="3" xfId="3" applyFont="1" applyBorder="1" applyAlignment="1">
      <alignment horizontal="center" vertical="center"/>
    </xf>
    <xf numFmtId="0" fontId="243" fillId="0" borderId="1" xfId="3" applyFont="1" applyBorder="1" applyAlignment="1">
      <alignment horizontal="center" vertical="center"/>
    </xf>
    <xf numFmtId="0" fontId="241" fillId="0" borderId="3" xfId="3" applyFont="1" applyBorder="1" applyAlignment="1">
      <alignment horizontal="center" vertical="center"/>
    </xf>
    <xf numFmtId="16" fontId="240" fillId="0" borderId="1" xfId="3" applyNumberFormat="1" applyFont="1" applyBorder="1" applyAlignment="1">
      <alignment horizontal="center" vertical="center"/>
    </xf>
    <xf numFmtId="0" fontId="240" fillId="0" borderId="3" xfId="3" applyFont="1" applyBorder="1" applyAlignment="1">
      <alignment horizontal="center" vertical="center"/>
    </xf>
    <xf numFmtId="0" fontId="239" fillId="0" borderId="3" xfId="3" applyFont="1" applyBorder="1" applyAlignment="1">
      <alignment horizontal="center" vertical="center"/>
    </xf>
    <xf numFmtId="0" fontId="238" fillId="0" borderId="1" xfId="3" applyFont="1" applyBorder="1" applyAlignment="1">
      <alignment horizontal="center" vertical="center"/>
    </xf>
    <xf numFmtId="0" fontId="238" fillId="0" borderId="3" xfId="3" applyFont="1" applyBorder="1" applyAlignment="1">
      <alignment horizontal="center" vertical="center"/>
    </xf>
    <xf numFmtId="0" fontId="237" fillId="0" borderId="1" xfId="3" applyFont="1" applyBorder="1" applyAlignment="1">
      <alignment horizontal="center" vertical="center"/>
    </xf>
    <xf numFmtId="0" fontId="237" fillId="0" borderId="3" xfId="3" applyFont="1" applyBorder="1" applyAlignment="1">
      <alignment horizontal="center" vertical="center"/>
    </xf>
    <xf numFmtId="0" fontId="236" fillId="0" borderId="1" xfId="3" applyFont="1" applyBorder="1" applyAlignment="1">
      <alignment horizontal="center" vertical="center"/>
    </xf>
    <xf numFmtId="0" fontId="236" fillId="0" borderId="3" xfId="3" applyFont="1" applyBorder="1" applyAlignment="1">
      <alignment horizontal="center" vertical="center"/>
    </xf>
    <xf numFmtId="0" fontId="235" fillId="0" borderId="1" xfId="3" applyFont="1" applyBorder="1" applyAlignment="1">
      <alignment horizontal="center" vertical="center"/>
    </xf>
    <xf numFmtId="0" fontId="235" fillId="0" borderId="3" xfId="3" applyFont="1" applyBorder="1" applyAlignment="1">
      <alignment horizontal="center" vertical="center"/>
    </xf>
    <xf numFmtId="0" fontId="234" fillId="0" borderId="1" xfId="3" applyFont="1" applyBorder="1" applyAlignment="1">
      <alignment horizontal="center" vertical="center"/>
    </xf>
    <xf numFmtId="0" fontId="232" fillId="0" borderId="1" xfId="3" applyFont="1" applyBorder="1" applyAlignment="1">
      <alignment horizontal="center" vertical="center"/>
    </xf>
    <xf numFmtId="0" fontId="231" fillId="0" borderId="3" xfId="3" applyFont="1" applyBorder="1" applyAlignment="1">
      <alignment horizontal="center" vertical="center"/>
    </xf>
    <xf numFmtId="0" fontId="230" fillId="0" borderId="3" xfId="3" applyFont="1" applyBorder="1" applyAlignment="1">
      <alignment horizontal="center" vertical="center"/>
    </xf>
    <xf numFmtId="0" fontId="230" fillId="0" borderId="1" xfId="3" applyFont="1" applyBorder="1" applyAlignment="1">
      <alignment horizontal="center" vertical="center"/>
    </xf>
    <xf numFmtId="0" fontId="229" fillId="0" borderId="3" xfId="3" applyFont="1" applyBorder="1" applyAlignment="1">
      <alignment horizontal="center" vertical="center"/>
    </xf>
    <xf numFmtId="0" fontId="228" fillId="0" borderId="1" xfId="3" applyFont="1" applyBorder="1" applyAlignment="1">
      <alignment horizontal="center" vertical="center"/>
    </xf>
    <xf numFmtId="0" fontId="228" fillId="0" borderId="3" xfId="3" applyFont="1" applyBorder="1" applyAlignment="1">
      <alignment horizontal="center" vertical="center"/>
    </xf>
    <xf numFmtId="0" fontId="227" fillId="0" borderId="3" xfId="3" applyFont="1" applyBorder="1" applyAlignment="1">
      <alignment horizontal="center" vertical="center"/>
    </xf>
    <xf numFmtId="16" fontId="355" fillId="0" borderId="1" xfId="3" applyNumberFormat="1" applyFont="1" applyBorder="1" applyAlignment="1">
      <alignment horizontal="center" vertical="center"/>
    </xf>
    <xf numFmtId="16" fontId="355" fillId="0" borderId="6" xfId="3" applyNumberFormat="1" applyBorder="1" applyAlignment="1">
      <alignment horizontal="center" vertical="center"/>
    </xf>
    <xf numFmtId="0" fontId="228" fillId="0" borderId="6" xfId="3" applyFont="1" applyBorder="1" applyAlignment="1">
      <alignment horizontal="center" vertical="center"/>
    </xf>
    <xf numFmtId="0" fontId="226" fillId="0" borderId="16" xfId="3" applyFont="1" applyBorder="1" applyAlignment="1">
      <alignment horizontal="center" vertical="center"/>
    </xf>
    <xf numFmtId="0" fontId="355" fillId="4" borderId="10" xfId="3" applyFill="1" applyBorder="1" applyAlignment="1">
      <alignment horizontal="center" vertical="center"/>
    </xf>
    <xf numFmtId="0" fontId="228" fillId="0" borderId="2" xfId="3" applyFont="1" applyBorder="1" applyAlignment="1">
      <alignment horizontal="center" vertical="center"/>
    </xf>
    <xf numFmtId="0" fontId="225" fillId="0" borderId="2" xfId="3" applyFont="1" applyBorder="1" applyAlignment="1">
      <alignment horizontal="center" vertical="center"/>
    </xf>
    <xf numFmtId="0" fontId="223" fillId="0" borderId="2" xfId="3" applyFont="1" applyBorder="1" applyAlignment="1">
      <alignment horizontal="center" vertical="center"/>
    </xf>
    <xf numFmtId="0" fontId="221" fillId="0" borderId="2" xfId="3" applyFont="1" applyBorder="1" applyAlignment="1">
      <alignment horizontal="center" vertical="center"/>
    </xf>
    <xf numFmtId="0" fontId="220" fillId="0" borderId="2" xfId="3" applyFont="1" applyBorder="1" applyAlignment="1">
      <alignment horizontal="center" vertical="center"/>
    </xf>
    <xf numFmtId="0" fontId="220" fillId="4" borderId="2" xfId="3" applyFont="1" applyFill="1" applyBorder="1" applyAlignment="1">
      <alignment horizontal="center" vertical="center"/>
    </xf>
    <xf numFmtId="0" fontId="219" fillId="0" borderId="2" xfId="3" applyFont="1" applyBorder="1" applyAlignment="1">
      <alignment horizontal="center" vertical="center"/>
    </xf>
    <xf numFmtId="0" fontId="218" fillId="0" borderId="2" xfId="3" applyFont="1" applyBorder="1" applyAlignment="1">
      <alignment horizontal="center" vertical="center"/>
    </xf>
    <xf numFmtId="0" fontId="218" fillId="4" borderId="2" xfId="3" applyFont="1" applyFill="1" applyBorder="1" applyAlignment="1">
      <alignment horizontal="center" vertical="center"/>
    </xf>
    <xf numFmtId="0" fontId="217" fillId="0" borderId="2" xfId="3" applyFont="1" applyBorder="1" applyAlignment="1">
      <alignment horizontal="center" vertical="center"/>
    </xf>
    <xf numFmtId="0" fontId="215" fillId="0" borderId="2" xfId="3" applyFont="1" applyBorder="1" applyAlignment="1">
      <alignment horizontal="center" vertical="center"/>
    </xf>
    <xf numFmtId="0" fontId="215" fillId="4" borderId="2" xfId="3" applyFont="1" applyFill="1" applyBorder="1" applyAlignment="1">
      <alignment horizontal="center" vertical="center"/>
    </xf>
    <xf numFmtId="0" fontId="214" fillId="0" borderId="2" xfId="3" applyFont="1" applyBorder="1" applyAlignment="1">
      <alignment horizontal="center" vertical="center"/>
    </xf>
    <xf numFmtId="0" fontId="214" fillId="4" borderId="2" xfId="3" applyFont="1" applyFill="1" applyBorder="1" applyAlignment="1">
      <alignment horizontal="center" vertical="center"/>
    </xf>
    <xf numFmtId="0" fontId="213" fillId="0" borderId="1" xfId="3" applyFont="1" applyBorder="1" applyAlignment="1">
      <alignment horizontal="center" vertical="center"/>
    </xf>
    <xf numFmtId="0" fontId="213" fillId="4" borderId="2" xfId="3" applyFont="1" applyFill="1" applyBorder="1" applyAlignment="1">
      <alignment horizontal="center" vertical="center"/>
    </xf>
    <xf numFmtId="0" fontId="213" fillId="0" borderId="3" xfId="3" applyFont="1" applyBorder="1" applyAlignment="1">
      <alignment horizontal="center" vertical="center"/>
    </xf>
    <xf numFmtId="0" fontId="212" fillId="0" borderId="1" xfId="3" applyFont="1" applyBorder="1" applyAlignment="1">
      <alignment horizontal="center" vertical="center"/>
    </xf>
    <xf numFmtId="0" fontId="212" fillId="4" borderId="2" xfId="3" applyFont="1" applyFill="1" applyBorder="1" applyAlignment="1">
      <alignment horizontal="center" vertical="center"/>
    </xf>
    <xf numFmtId="0" fontId="211" fillId="4" borderId="2" xfId="3" applyFont="1" applyFill="1" applyBorder="1" applyAlignment="1">
      <alignment horizontal="center" vertical="center"/>
    </xf>
    <xf numFmtId="0" fontId="210" fillId="0" borderId="3" xfId="3" applyFont="1" applyBorder="1" applyAlignment="1">
      <alignment horizontal="center" vertical="center"/>
    </xf>
    <xf numFmtId="0" fontId="209" fillId="0" borderId="3" xfId="3" applyFont="1" applyBorder="1" applyAlignment="1">
      <alignment horizontal="center" vertical="center"/>
    </xf>
    <xf numFmtId="0" fontId="209" fillId="4" borderId="2" xfId="3" applyFont="1" applyFill="1" applyBorder="1" applyAlignment="1">
      <alignment horizontal="center" vertical="center"/>
    </xf>
    <xf numFmtId="0" fontId="208" fillId="4" borderId="2" xfId="3" applyFont="1" applyFill="1" applyBorder="1" applyAlignment="1">
      <alignment horizontal="center" vertical="center"/>
    </xf>
    <xf numFmtId="0" fontId="208" fillId="0" borderId="3" xfId="3" applyFont="1" applyBorder="1" applyAlignment="1">
      <alignment horizontal="center" vertical="center"/>
    </xf>
    <xf numFmtId="0" fontId="208" fillId="0" borderId="1" xfId="3" applyFont="1" applyBorder="1" applyAlignment="1">
      <alignment horizontal="center" vertical="center"/>
    </xf>
    <xf numFmtId="0" fontId="207" fillId="0" borderId="1" xfId="3" applyFont="1" applyBorder="1" applyAlignment="1">
      <alignment horizontal="center" vertical="center"/>
    </xf>
    <xf numFmtId="0" fontId="207" fillId="0" borderId="3" xfId="3" applyFont="1" applyBorder="1" applyAlignment="1">
      <alignment horizontal="center" vertical="center"/>
    </xf>
    <xf numFmtId="0" fontId="207" fillId="4" borderId="2" xfId="3" applyFont="1" applyFill="1" applyBorder="1" applyAlignment="1">
      <alignment horizontal="center" vertical="center"/>
    </xf>
    <xf numFmtId="0" fontId="206" fillId="4" borderId="2" xfId="3" applyFont="1" applyFill="1" applyBorder="1" applyAlignment="1">
      <alignment horizontal="center" vertical="center"/>
    </xf>
    <xf numFmtId="0" fontId="204" fillId="0" borderId="3" xfId="3" applyFont="1" applyBorder="1" applyAlignment="1">
      <alignment horizontal="center" vertical="center"/>
    </xf>
    <xf numFmtId="0" fontId="203" fillId="0" borderId="3" xfId="3" applyFont="1" applyBorder="1" applyAlignment="1">
      <alignment horizontal="center" vertical="center"/>
    </xf>
    <xf numFmtId="0" fontId="355" fillId="4" borderId="2" xfId="3" applyFont="1" applyFill="1" applyBorder="1" applyAlignment="1">
      <alignment horizontal="center" vertical="center"/>
    </xf>
    <xf numFmtId="0" fontId="201" fillId="0" borderId="3" xfId="3" applyFont="1" applyBorder="1" applyAlignment="1">
      <alignment horizontal="center" vertical="center"/>
    </xf>
    <xf numFmtId="0" fontId="201" fillId="4" borderId="2" xfId="3" applyFont="1" applyFill="1" applyBorder="1" applyAlignment="1">
      <alignment horizontal="center" vertical="center"/>
    </xf>
    <xf numFmtId="0" fontId="200" fillId="0" borderId="3" xfId="3" applyFont="1" applyBorder="1" applyAlignment="1">
      <alignment horizontal="center" vertical="center"/>
    </xf>
    <xf numFmtId="0" fontId="200" fillId="4" borderId="2" xfId="3" applyFont="1" applyFill="1" applyBorder="1" applyAlignment="1">
      <alignment horizontal="center" vertical="center"/>
    </xf>
    <xf numFmtId="0" fontId="197" fillId="4" borderId="2" xfId="3" applyFont="1" applyFill="1" applyBorder="1" applyAlignment="1">
      <alignment horizontal="center" vertical="center"/>
    </xf>
    <xf numFmtId="0" fontId="196" fillId="0" borderId="3" xfId="3" applyFont="1" applyBorder="1" applyAlignment="1">
      <alignment horizontal="center" vertical="center"/>
    </xf>
    <xf numFmtId="0" fontId="196" fillId="4" borderId="2" xfId="3" applyFont="1" applyFill="1" applyBorder="1" applyAlignment="1">
      <alignment horizontal="center" vertical="center"/>
    </xf>
    <xf numFmtId="0" fontId="195" fillId="0" borderId="3" xfId="3" applyFont="1" applyBorder="1" applyAlignment="1">
      <alignment horizontal="center" vertical="center"/>
    </xf>
    <xf numFmtId="0" fontId="195" fillId="4" borderId="2" xfId="3" applyFont="1" applyFill="1" applyBorder="1" applyAlignment="1">
      <alignment horizontal="center" vertical="center"/>
    </xf>
    <xf numFmtId="0" fontId="194" fillId="0" borderId="3" xfId="3" applyFont="1" applyBorder="1" applyAlignment="1">
      <alignment horizontal="center" vertical="center"/>
    </xf>
    <xf numFmtId="0" fontId="194" fillId="4" borderId="2" xfId="3" applyFont="1" applyFill="1" applyBorder="1" applyAlignment="1">
      <alignment horizontal="center" vertical="center"/>
    </xf>
    <xf numFmtId="0" fontId="194" fillId="0" borderId="1" xfId="3" applyFont="1" applyBorder="1" applyAlignment="1">
      <alignment horizontal="center" vertical="center"/>
    </xf>
    <xf numFmtId="0" fontId="192" fillId="0" borderId="3" xfId="3" applyFont="1" applyBorder="1" applyAlignment="1">
      <alignment horizontal="center" vertical="center"/>
    </xf>
    <xf numFmtId="0" fontId="192" fillId="4" borderId="2" xfId="3" applyFont="1" applyFill="1" applyBorder="1" applyAlignment="1">
      <alignment horizontal="center" vertical="center"/>
    </xf>
    <xf numFmtId="0" fontId="191" fillId="0" borderId="3" xfId="3" applyFont="1" applyBorder="1" applyAlignment="1">
      <alignment horizontal="center" vertical="center"/>
    </xf>
    <xf numFmtId="0" fontId="190" fillId="0" borderId="3" xfId="3" applyFont="1" applyBorder="1" applyAlignment="1">
      <alignment horizontal="center" vertical="center"/>
    </xf>
    <xf numFmtId="0" fontId="190" fillId="4" borderId="2" xfId="3" applyFont="1" applyFill="1" applyBorder="1" applyAlignment="1">
      <alignment horizontal="center" vertical="center"/>
    </xf>
    <xf numFmtId="0" fontId="187" fillId="0" borderId="1" xfId="3" applyFont="1" applyBorder="1" applyAlignment="1">
      <alignment horizontal="center" vertical="center"/>
    </xf>
    <xf numFmtId="0" fontId="187" fillId="0" borderId="3" xfId="3" applyFont="1" applyBorder="1" applyAlignment="1">
      <alignment horizontal="center" vertical="center"/>
    </xf>
    <xf numFmtId="0" fontId="187" fillId="4" borderId="2" xfId="3" applyFont="1" applyFill="1" applyBorder="1" applyAlignment="1">
      <alignment horizontal="center" vertical="center"/>
    </xf>
    <xf numFmtId="0" fontId="186" fillId="0" borderId="3" xfId="3" applyFont="1" applyBorder="1" applyAlignment="1">
      <alignment horizontal="center" vertical="center"/>
    </xf>
    <xf numFmtId="0" fontId="186" fillId="4" borderId="2" xfId="3" applyFont="1" applyFill="1" applyBorder="1" applyAlignment="1">
      <alignment horizontal="center" vertical="center"/>
    </xf>
    <xf numFmtId="0" fontId="185" fillId="0" borderId="3" xfId="3" applyFont="1" applyBorder="1" applyAlignment="1">
      <alignment horizontal="center" vertical="center"/>
    </xf>
    <xf numFmtId="0" fontId="185" fillId="4" borderId="2" xfId="3" applyFont="1" applyFill="1" applyBorder="1" applyAlignment="1">
      <alignment horizontal="center" vertical="center"/>
    </xf>
    <xf numFmtId="0" fontId="184" fillId="0" borderId="3" xfId="3" applyFont="1" applyBorder="1" applyAlignment="1">
      <alignment horizontal="center" vertical="center"/>
    </xf>
    <xf numFmtId="0" fontId="184" fillId="4" borderId="2" xfId="3" applyFont="1" applyFill="1" applyBorder="1" applyAlignment="1">
      <alignment horizontal="center" vertical="center"/>
    </xf>
    <xf numFmtId="0" fontId="183" fillId="0" borderId="3" xfId="3" applyFont="1" applyBorder="1" applyAlignment="1">
      <alignment horizontal="center" vertical="center"/>
    </xf>
    <xf numFmtId="0" fontId="183" fillId="4" borderId="2" xfId="3" applyFont="1" applyFill="1" applyBorder="1" applyAlignment="1">
      <alignment horizontal="center" vertical="center"/>
    </xf>
    <xf numFmtId="0" fontId="181" fillId="0" borderId="3" xfId="3" applyFont="1" applyBorder="1" applyAlignment="1">
      <alignment horizontal="center" vertical="center"/>
    </xf>
    <xf numFmtId="0" fontId="181" fillId="4" borderId="2" xfId="3" applyFont="1" applyFill="1" applyBorder="1" applyAlignment="1">
      <alignment horizontal="center" vertical="center"/>
    </xf>
    <xf numFmtId="0" fontId="180" fillId="0" borderId="3" xfId="3" applyFont="1" applyBorder="1" applyAlignment="1">
      <alignment horizontal="center" vertical="center"/>
    </xf>
    <xf numFmtId="0" fontId="180" fillId="4" borderId="2" xfId="3" applyFont="1" applyFill="1" applyBorder="1" applyAlignment="1">
      <alignment horizontal="center" vertical="center"/>
    </xf>
    <xf numFmtId="0" fontId="179" fillId="0" borderId="1" xfId="3" applyFont="1" applyBorder="1" applyAlignment="1">
      <alignment horizontal="center" vertical="center"/>
    </xf>
    <xf numFmtId="0" fontId="179" fillId="4" borderId="2" xfId="3" applyFont="1" applyFill="1" applyBorder="1" applyAlignment="1">
      <alignment horizontal="center" vertical="center"/>
    </xf>
    <xf numFmtId="0" fontId="179" fillId="0" borderId="3" xfId="3" applyFont="1" applyBorder="1" applyAlignment="1">
      <alignment horizontal="center" vertical="center"/>
    </xf>
    <xf numFmtId="0" fontId="178" fillId="4" borderId="2" xfId="3" applyFont="1" applyFill="1" applyBorder="1" applyAlignment="1">
      <alignment horizontal="center" vertical="center"/>
    </xf>
    <xf numFmtId="0" fontId="177" fillId="0" borderId="3" xfId="3" applyFont="1" applyBorder="1" applyAlignment="1">
      <alignment horizontal="center" vertical="center"/>
    </xf>
    <xf numFmtId="0" fontId="177" fillId="4" borderId="2" xfId="3" applyFont="1" applyFill="1" applyBorder="1" applyAlignment="1">
      <alignment horizontal="center" vertical="center"/>
    </xf>
    <xf numFmtId="0" fontId="176" fillId="4" borderId="2" xfId="3" applyFont="1" applyFill="1" applyBorder="1" applyAlignment="1">
      <alignment horizontal="center" vertical="center"/>
    </xf>
    <xf numFmtId="0" fontId="175" fillId="0" borderId="3" xfId="3" applyFont="1" applyBorder="1" applyAlignment="1">
      <alignment horizontal="center" vertical="center"/>
    </xf>
    <xf numFmtId="0" fontId="175" fillId="4" borderId="2" xfId="3" applyFont="1" applyFill="1" applyBorder="1" applyAlignment="1">
      <alignment horizontal="center" vertical="center"/>
    </xf>
    <xf numFmtId="0" fontId="174" fillId="0" borderId="3" xfId="3" applyFont="1" applyBorder="1" applyAlignment="1">
      <alignment horizontal="center" vertical="center"/>
    </xf>
    <xf numFmtId="0" fontId="174" fillId="4" borderId="2" xfId="3" applyFont="1" applyFill="1" applyBorder="1" applyAlignment="1">
      <alignment horizontal="center" vertical="center"/>
    </xf>
    <xf numFmtId="0" fontId="172" fillId="0" borderId="1" xfId="3" applyFont="1" applyBorder="1" applyAlignment="1">
      <alignment horizontal="center" vertical="center"/>
    </xf>
    <xf numFmtId="0" fontId="172" fillId="0" borderId="3" xfId="3" applyFont="1" applyBorder="1" applyAlignment="1">
      <alignment horizontal="center" vertical="center"/>
    </xf>
    <xf numFmtId="0" fontId="172" fillId="4" borderId="2" xfId="3" applyFont="1" applyFill="1" applyBorder="1" applyAlignment="1">
      <alignment horizontal="center" vertical="center"/>
    </xf>
    <xf numFmtId="0" fontId="171" fillId="4" borderId="2" xfId="3" applyFont="1" applyFill="1" applyBorder="1" applyAlignment="1">
      <alignment horizontal="center" vertical="center"/>
    </xf>
    <xf numFmtId="0" fontId="170" fillId="0" borderId="3" xfId="3" applyFont="1" applyBorder="1" applyAlignment="1">
      <alignment horizontal="center" vertical="center"/>
    </xf>
    <xf numFmtId="0" fontId="169" fillId="0" borderId="3" xfId="3" applyFont="1" applyBorder="1" applyAlignment="1">
      <alignment horizontal="center" vertical="center"/>
    </xf>
    <xf numFmtId="0" fontId="169" fillId="4" borderId="2" xfId="3" applyFont="1" applyFill="1" applyBorder="1" applyAlignment="1">
      <alignment horizontal="center" vertical="center"/>
    </xf>
    <xf numFmtId="0" fontId="168" fillId="0" borderId="1" xfId="3" applyFont="1" applyBorder="1" applyAlignment="1">
      <alignment horizontal="center" vertical="center"/>
    </xf>
    <xf numFmtId="0" fontId="168" fillId="0" borderId="3" xfId="3" applyFont="1" applyBorder="1" applyAlignment="1">
      <alignment horizontal="center" vertical="center"/>
    </xf>
    <xf numFmtId="0" fontId="168" fillId="4" borderId="2" xfId="3" applyFont="1" applyFill="1" applyBorder="1" applyAlignment="1">
      <alignment horizontal="center" vertical="center"/>
    </xf>
    <xf numFmtId="0" fontId="166" fillId="0" borderId="3" xfId="3" applyFont="1" applyBorder="1" applyAlignment="1">
      <alignment horizontal="center" vertical="center"/>
    </xf>
    <xf numFmtId="0" fontId="166" fillId="4" borderId="2" xfId="3" applyFont="1" applyFill="1" applyBorder="1" applyAlignment="1">
      <alignment horizontal="center" vertical="center"/>
    </xf>
    <xf numFmtId="16" fontId="166" fillId="0" borderId="1" xfId="3" applyNumberFormat="1" applyFont="1" applyBorder="1" applyAlignment="1">
      <alignment horizontal="center" vertical="center"/>
    </xf>
    <xf numFmtId="0" fontId="165" fillId="0" borderId="3" xfId="3" applyFont="1" applyBorder="1" applyAlignment="1">
      <alignment horizontal="center" vertical="center"/>
    </xf>
    <xf numFmtId="0" fontId="165" fillId="4" borderId="2" xfId="3" applyFont="1" applyFill="1" applyBorder="1" applyAlignment="1">
      <alignment horizontal="center" vertical="center"/>
    </xf>
    <xf numFmtId="0" fontId="164" fillId="0" borderId="1" xfId="3" applyFont="1" applyBorder="1" applyAlignment="1">
      <alignment horizontal="center" vertical="center"/>
    </xf>
    <xf numFmtId="0" fontId="164" fillId="0" borderId="3" xfId="3" applyFont="1" applyBorder="1" applyAlignment="1">
      <alignment horizontal="center" vertical="center"/>
    </xf>
    <xf numFmtId="0" fontId="164" fillId="4" borderId="2" xfId="3" applyFont="1" applyFill="1" applyBorder="1" applyAlignment="1">
      <alignment horizontal="center" vertical="center"/>
    </xf>
    <xf numFmtId="0" fontId="163" fillId="0" borderId="3" xfId="3" applyFont="1" applyBorder="1" applyAlignment="1">
      <alignment horizontal="center" vertical="center"/>
    </xf>
    <xf numFmtId="0" fontId="163" fillId="4" borderId="2" xfId="3" applyFont="1" applyFill="1" applyBorder="1" applyAlignment="1">
      <alignment horizontal="center" vertical="center"/>
    </xf>
    <xf numFmtId="0" fontId="162" fillId="0" borderId="1" xfId="3" applyFont="1" applyBorder="1" applyAlignment="1">
      <alignment horizontal="center" vertical="center"/>
    </xf>
    <xf numFmtId="0" fontId="162" fillId="0" borderId="3" xfId="3" applyFont="1" applyBorder="1" applyAlignment="1">
      <alignment horizontal="center" vertical="center"/>
    </xf>
    <xf numFmtId="0" fontId="162" fillId="4" borderId="2" xfId="3" applyFont="1" applyFill="1" applyBorder="1" applyAlignment="1">
      <alignment horizontal="center" vertical="center"/>
    </xf>
    <xf numFmtId="0" fontId="161" fillId="4" borderId="2" xfId="3" applyFont="1" applyFill="1" applyBorder="1" applyAlignment="1">
      <alignment horizontal="center" vertical="center"/>
    </xf>
    <xf numFmtId="0" fontId="160" fillId="0" borderId="3" xfId="3" applyFont="1" applyBorder="1" applyAlignment="1">
      <alignment horizontal="center" vertical="center"/>
    </xf>
    <xf numFmtId="0" fontId="160" fillId="4" borderId="2" xfId="3" applyFont="1" applyFill="1" applyBorder="1" applyAlignment="1">
      <alignment horizontal="center" vertical="center"/>
    </xf>
    <xf numFmtId="0" fontId="159" fillId="0" borderId="3" xfId="3" applyFont="1" applyBorder="1" applyAlignment="1">
      <alignment horizontal="center" vertical="center"/>
    </xf>
    <xf numFmtId="0" fontId="159" fillId="4" borderId="2" xfId="3" applyFont="1" applyFill="1" applyBorder="1" applyAlignment="1">
      <alignment horizontal="center" vertical="center"/>
    </xf>
    <xf numFmtId="0" fontId="159" fillId="0" borderId="16" xfId="3" applyFont="1" applyBorder="1" applyAlignment="1">
      <alignment horizontal="center" vertical="center"/>
    </xf>
    <xf numFmtId="0" fontId="159" fillId="4" borderId="10" xfId="3" applyFont="1" applyFill="1" applyBorder="1" applyAlignment="1">
      <alignment horizontal="center" vertical="center"/>
    </xf>
    <xf numFmtId="16" fontId="355" fillId="0" borderId="17" xfId="3" applyNumberFormat="1" applyBorder="1" applyAlignment="1">
      <alignment horizontal="center" vertical="center"/>
    </xf>
    <xf numFmtId="16" fontId="355" fillId="0" borderId="11" xfId="3" applyNumberFormat="1" applyBorder="1" applyAlignment="1">
      <alignment horizontal="center" vertical="center"/>
    </xf>
    <xf numFmtId="16" fontId="355" fillId="0" borderId="18" xfId="3" applyNumberFormat="1" applyBorder="1" applyAlignment="1">
      <alignment horizontal="center" vertical="center"/>
    </xf>
    <xf numFmtId="16" fontId="355" fillId="4" borderId="11" xfId="3" applyNumberFormat="1" applyFill="1" applyBorder="1" applyAlignment="1">
      <alignment horizontal="center" vertical="center"/>
    </xf>
    <xf numFmtId="0" fontId="355" fillId="0" borderId="2" xfId="3" applyBorder="1" applyAlignment="1">
      <alignment horizontal="center" vertical="center"/>
    </xf>
    <xf numFmtId="16" fontId="355" fillId="0" borderId="7" xfId="3" applyNumberFormat="1" applyBorder="1" applyAlignment="1">
      <alignment horizontal="center" vertical="center"/>
    </xf>
    <xf numFmtId="0" fontId="157" fillId="0" borderId="17" xfId="3" applyFont="1" applyBorder="1" applyAlignment="1">
      <alignment horizontal="center" vertical="center"/>
    </xf>
    <xf numFmtId="0" fontId="157" fillId="4" borderId="11" xfId="3" applyFont="1" applyFill="1" applyBorder="1" applyAlignment="1">
      <alignment horizontal="center" vertical="center"/>
    </xf>
    <xf numFmtId="0" fontId="157" fillId="0" borderId="3" xfId="3" applyFont="1" applyBorder="1" applyAlignment="1">
      <alignment horizontal="center" vertical="center"/>
    </xf>
    <xf numFmtId="0" fontId="157" fillId="4" borderId="2" xfId="3" applyFont="1" applyFill="1" applyBorder="1" applyAlignment="1">
      <alignment horizontal="center" vertical="center"/>
    </xf>
    <xf numFmtId="0" fontId="156" fillId="0" borderId="3" xfId="3" applyFont="1" applyBorder="1" applyAlignment="1">
      <alignment horizontal="center" vertical="center"/>
    </xf>
    <xf numFmtId="0" fontId="156" fillId="4" borderId="2" xfId="3" applyFont="1" applyFill="1" applyBorder="1" applyAlignment="1">
      <alignment horizontal="center" vertical="center"/>
    </xf>
    <xf numFmtId="0" fontId="155" fillId="0" borderId="3" xfId="3" applyFont="1" applyBorder="1" applyAlignment="1">
      <alignment horizontal="center" vertical="center"/>
    </xf>
    <xf numFmtId="0" fontId="155" fillId="4" borderId="2" xfId="3" applyFont="1" applyFill="1" applyBorder="1" applyAlignment="1">
      <alignment horizontal="center" vertical="center"/>
    </xf>
    <xf numFmtId="0" fontId="154" fillId="0" borderId="3" xfId="3" applyFont="1" applyBorder="1" applyAlignment="1">
      <alignment horizontal="center" vertical="center"/>
    </xf>
    <xf numFmtId="0" fontId="153" fillId="4" borderId="2" xfId="3" applyFont="1" applyFill="1" applyBorder="1" applyAlignment="1">
      <alignment horizontal="center" vertical="center"/>
    </xf>
    <xf numFmtId="0" fontId="152" fillId="0" borderId="3" xfId="3" applyFont="1" applyBorder="1" applyAlignment="1">
      <alignment horizontal="center" vertical="center"/>
    </xf>
    <xf numFmtId="0" fontId="152" fillId="4" borderId="2" xfId="3" applyFont="1" applyFill="1" applyBorder="1" applyAlignment="1">
      <alignment horizontal="center" vertical="center"/>
    </xf>
    <xf numFmtId="0" fontId="151" fillId="0" borderId="3" xfId="3" applyFont="1" applyBorder="1" applyAlignment="1">
      <alignment horizontal="center" vertical="center"/>
    </xf>
    <xf numFmtId="0" fontId="151" fillId="4" borderId="2" xfId="3" applyFont="1" applyFill="1" applyBorder="1" applyAlignment="1">
      <alignment horizontal="center" vertical="center"/>
    </xf>
    <xf numFmtId="0" fontId="150" fillId="0" borderId="3" xfId="3" applyFont="1" applyBorder="1" applyAlignment="1">
      <alignment horizontal="center" vertical="center"/>
    </xf>
    <xf numFmtId="0" fontId="148" fillId="0" borderId="3" xfId="3" applyFont="1" applyBorder="1" applyAlignment="1">
      <alignment horizontal="center" vertical="center"/>
    </xf>
    <xf numFmtId="0" fontId="148" fillId="4" borderId="2" xfId="3" applyFont="1" applyFill="1" applyBorder="1" applyAlignment="1">
      <alignment horizontal="center" vertical="center"/>
    </xf>
    <xf numFmtId="0" fontId="147" fillId="0" borderId="3" xfId="3" applyFont="1" applyBorder="1" applyAlignment="1">
      <alignment horizontal="center" vertical="center"/>
    </xf>
    <xf numFmtId="0" fontId="147" fillId="4" borderId="2" xfId="3" applyFont="1" applyFill="1" applyBorder="1" applyAlignment="1">
      <alignment horizontal="center" vertical="center"/>
    </xf>
    <xf numFmtId="0" fontId="146" fillId="3" borderId="1" xfId="3" applyFont="1" applyFill="1" applyBorder="1" applyAlignment="1">
      <alignment horizontal="center" vertical="center"/>
    </xf>
    <xf numFmtId="0" fontId="146" fillId="0" borderId="1" xfId="3" applyFont="1" applyBorder="1" applyAlignment="1">
      <alignment horizontal="center" vertical="center"/>
    </xf>
    <xf numFmtId="0" fontId="146" fillId="0" borderId="2" xfId="3" applyFont="1" applyBorder="1" applyAlignment="1">
      <alignment horizontal="center" vertical="center"/>
    </xf>
    <xf numFmtId="0" fontId="0" fillId="0" borderId="19" xfId="0" applyNumberFormat="1" applyBorder="1"/>
    <xf numFmtId="43" fontId="0" fillId="0" borderId="19" xfId="0" applyNumberFormat="1" applyBorder="1"/>
    <xf numFmtId="0" fontId="145" fillId="0" borderId="3" xfId="3" applyFont="1" applyBorder="1" applyAlignment="1">
      <alignment horizontal="center" vertical="center"/>
    </xf>
    <xf numFmtId="0" fontId="145" fillId="4" borderId="2" xfId="3" applyFont="1" applyFill="1" applyBorder="1" applyAlignment="1">
      <alignment horizontal="center" vertical="center"/>
    </xf>
    <xf numFmtId="0" fontId="143" fillId="0" borderId="3" xfId="3" applyFont="1" applyBorder="1" applyAlignment="1">
      <alignment horizontal="center" vertical="center"/>
    </xf>
    <xf numFmtId="0" fontId="143" fillId="4" borderId="2" xfId="3" applyFont="1" applyFill="1" applyBorder="1" applyAlignment="1">
      <alignment horizontal="center" vertical="center"/>
    </xf>
    <xf numFmtId="0" fontId="142" fillId="0" borderId="1" xfId="3" applyFont="1" applyBorder="1" applyAlignment="1">
      <alignment horizontal="center" vertical="center"/>
    </xf>
    <xf numFmtId="0" fontId="142" fillId="0" borderId="3" xfId="3" applyFont="1" applyBorder="1" applyAlignment="1">
      <alignment horizontal="center" vertical="center"/>
    </xf>
    <xf numFmtId="0" fontId="142" fillId="4" borderId="2" xfId="3" applyFont="1" applyFill="1" applyBorder="1" applyAlignment="1">
      <alignment horizontal="center" vertical="center"/>
    </xf>
    <xf numFmtId="0" fontId="141" fillId="0" borderId="3" xfId="3" applyFont="1" applyBorder="1" applyAlignment="1">
      <alignment horizontal="center" vertical="center"/>
    </xf>
    <xf numFmtId="0" fontId="141" fillId="4" borderId="2" xfId="3" applyFont="1" applyFill="1" applyBorder="1" applyAlignment="1">
      <alignment horizontal="center" vertical="center"/>
    </xf>
    <xf numFmtId="0" fontId="140" fillId="4" borderId="2" xfId="3" applyFont="1" applyFill="1" applyBorder="1" applyAlignment="1">
      <alignment horizontal="center" vertical="center"/>
    </xf>
    <xf numFmtId="0" fontId="139" fillId="0" borderId="3" xfId="3" applyFont="1" applyBorder="1" applyAlignment="1">
      <alignment horizontal="center" vertical="center"/>
    </xf>
    <xf numFmtId="0" fontId="138" fillId="0" borderId="1" xfId="3" applyFont="1" applyBorder="1" applyAlignment="1">
      <alignment horizontal="center" vertical="center"/>
    </xf>
    <xf numFmtId="0" fontId="137" fillId="4" borderId="2" xfId="3" applyFont="1" applyFill="1" applyBorder="1" applyAlignment="1">
      <alignment horizontal="center" vertical="center"/>
    </xf>
    <xf numFmtId="0" fontId="137" fillId="0" borderId="3" xfId="3" applyFont="1" applyBorder="1" applyAlignment="1">
      <alignment horizontal="center" vertical="center"/>
    </xf>
    <xf numFmtId="0" fontId="136" fillId="0" borderId="3" xfId="3" applyFont="1" applyBorder="1" applyAlignment="1">
      <alignment horizontal="center" vertical="center"/>
    </xf>
    <xf numFmtId="0" fontId="136" fillId="4" borderId="2" xfId="3" applyFont="1" applyFill="1" applyBorder="1" applyAlignment="1">
      <alignment horizontal="center" vertical="center"/>
    </xf>
    <xf numFmtId="0" fontId="135" fillId="0" borderId="3" xfId="3" applyFont="1" applyBorder="1" applyAlignment="1">
      <alignment horizontal="center" vertical="center"/>
    </xf>
    <xf numFmtId="0" fontId="135" fillId="4" borderId="2" xfId="3" applyFont="1" applyFill="1" applyBorder="1" applyAlignment="1">
      <alignment horizontal="center" vertical="center"/>
    </xf>
    <xf numFmtId="0" fontId="134" fillId="4" borderId="2" xfId="3" applyFont="1" applyFill="1" applyBorder="1" applyAlignment="1">
      <alignment horizontal="center" vertical="center"/>
    </xf>
    <xf numFmtId="0" fontId="133" fillId="0" borderId="3" xfId="3" applyFont="1" applyBorder="1" applyAlignment="1">
      <alignment horizontal="center" vertical="center"/>
    </xf>
    <xf numFmtId="0" fontId="132" fillId="0" borderId="1" xfId="3" applyFont="1" applyBorder="1" applyAlignment="1">
      <alignment horizontal="center" vertical="center"/>
    </xf>
    <xf numFmtId="0" fontId="132" fillId="0" borderId="3" xfId="3" applyFont="1" applyBorder="1" applyAlignment="1">
      <alignment horizontal="center" vertical="center"/>
    </xf>
    <xf numFmtId="0" fontId="132" fillId="4" borderId="2" xfId="3" applyFont="1" applyFill="1" applyBorder="1" applyAlignment="1">
      <alignment horizontal="center" vertical="center"/>
    </xf>
    <xf numFmtId="0" fontId="131" fillId="0" borderId="3" xfId="3" applyFont="1" applyBorder="1" applyAlignment="1">
      <alignment horizontal="center" vertical="center"/>
    </xf>
    <xf numFmtId="0" fontId="130" fillId="4" borderId="2" xfId="3" applyFont="1" applyFill="1" applyBorder="1" applyAlignment="1">
      <alignment horizontal="center" vertical="center"/>
    </xf>
    <xf numFmtId="0" fontId="130" fillId="0" borderId="3" xfId="3" applyFont="1" applyBorder="1" applyAlignment="1">
      <alignment horizontal="center" vertical="center"/>
    </xf>
    <xf numFmtId="0" fontId="129" fillId="0" borderId="1" xfId="3" applyFont="1" applyBorder="1" applyAlignment="1">
      <alignment horizontal="center" vertical="center"/>
    </xf>
    <xf numFmtId="0" fontId="128" fillId="0" borderId="3" xfId="3" applyFont="1" applyBorder="1" applyAlignment="1">
      <alignment horizontal="center" vertical="center"/>
    </xf>
    <xf numFmtId="0" fontId="128" fillId="4" borderId="2" xfId="3" applyFont="1" applyFill="1" applyBorder="1" applyAlignment="1">
      <alignment horizontal="center" vertical="center"/>
    </xf>
    <xf numFmtId="0" fontId="127" fillId="0" borderId="3" xfId="3" applyFont="1" applyBorder="1" applyAlignment="1">
      <alignment horizontal="center" vertical="center"/>
    </xf>
    <xf numFmtId="0" fontId="126" fillId="4" borderId="2" xfId="3" applyFont="1" applyFill="1" applyBorder="1" applyAlignment="1">
      <alignment horizontal="center" vertical="center"/>
    </xf>
    <xf numFmtId="0" fontId="125" fillId="0" borderId="1" xfId="3" applyFont="1" applyBorder="1" applyAlignment="1">
      <alignment horizontal="center" vertical="center"/>
    </xf>
    <xf numFmtId="0" fontId="125" fillId="0" borderId="3" xfId="3" applyFont="1" applyBorder="1" applyAlignment="1">
      <alignment horizontal="center" vertical="center"/>
    </xf>
    <xf numFmtId="0" fontId="125" fillId="4" borderId="2" xfId="3" applyFont="1" applyFill="1" applyBorder="1" applyAlignment="1">
      <alignment horizontal="center" vertical="center"/>
    </xf>
    <xf numFmtId="0" fontId="123" fillId="0" borderId="1" xfId="3" applyFont="1" applyBorder="1" applyAlignment="1">
      <alignment horizontal="center" vertical="center"/>
    </xf>
    <xf numFmtId="0" fontId="123" fillId="0" borderId="3" xfId="3" applyFont="1" applyBorder="1" applyAlignment="1">
      <alignment horizontal="center" vertical="center"/>
    </xf>
    <xf numFmtId="0" fontId="123" fillId="4" borderId="2" xfId="3" applyFont="1" applyFill="1" applyBorder="1" applyAlignment="1">
      <alignment horizontal="center" vertical="center"/>
    </xf>
    <xf numFmtId="0" fontId="122" fillId="0" borderId="3" xfId="3" applyFont="1" applyBorder="1" applyAlignment="1">
      <alignment horizontal="center" vertical="center"/>
    </xf>
    <xf numFmtId="0" fontId="122" fillId="4" borderId="2" xfId="3" applyFont="1" applyFill="1" applyBorder="1" applyAlignment="1">
      <alignment horizontal="center" vertical="center"/>
    </xf>
    <xf numFmtId="0" fontId="121" fillId="0" borderId="3" xfId="3" applyFont="1" applyBorder="1" applyAlignment="1">
      <alignment horizontal="center" vertical="center"/>
    </xf>
    <xf numFmtId="0" fontId="121" fillId="4" borderId="2" xfId="3" applyFont="1" applyFill="1" applyBorder="1" applyAlignment="1">
      <alignment horizontal="center" vertical="center"/>
    </xf>
    <xf numFmtId="0" fontId="120" fillId="4" borderId="2" xfId="3" applyFont="1" applyFill="1" applyBorder="1" applyAlignment="1">
      <alignment horizontal="center" vertical="center"/>
    </xf>
    <xf numFmtId="0" fontId="119" fillId="0" borderId="3" xfId="3" applyFont="1" applyBorder="1" applyAlignment="1">
      <alignment horizontal="center" vertical="center"/>
    </xf>
    <xf numFmtId="0" fontId="119" fillId="4" borderId="2" xfId="3" applyFont="1" applyFill="1" applyBorder="1" applyAlignment="1">
      <alignment horizontal="center" vertical="center"/>
    </xf>
    <xf numFmtId="0" fontId="118" fillId="0" borderId="1" xfId="3" applyFont="1" applyBorder="1" applyAlignment="1">
      <alignment horizontal="center" vertical="center"/>
    </xf>
    <xf numFmtId="0" fontId="118" fillId="0" borderId="3" xfId="3" applyFont="1" applyBorder="1" applyAlignment="1">
      <alignment horizontal="center" vertical="center"/>
    </xf>
    <xf numFmtId="0" fontId="118" fillId="4" borderId="2" xfId="3" applyFont="1" applyFill="1" applyBorder="1" applyAlignment="1">
      <alignment horizontal="center" vertical="center"/>
    </xf>
    <xf numFmtId="0" fontId="117" fillId="0" borderId="3" xfId="3" applyFont="1" applyBorder="1" applyAlignment="1">
      <alignment horizontal="center" vertical="center"/>
    </xf>
    <xf numFmtId="0" fontId="117" fillId="4" borderId="2" xfId="3" applyFont="1" applyFill="1" applyBorder="1" applyAlignment="1">
      <alignment horizontal="center" vertical="center"/>
    </xf>
    <xf numFmtId="0" fontId="116" fillId="0" borderId="1" xfId="3" applyFont="1" applyBorder="1" applyAlignment="1">
      <alignment horizontal="center" vertical="center"/>
    </xf>
    <xf numFmtId="0" fontId="116" fillId="0" borderId="3" xfId="3" applyFont="1" applyBorder="1" applyAlignment="1">
      <alignment horizontal="center" vertical="center"/>
    </xf>
    <xf numFmtId="0" fontId="116" fillId="4" borderId="2" xfId="3" applyFont="1" applyFill="1" applyBorder="1" applyAlignment="1">
      <alignment horizontal="center" vertical="center"/>
    </xf>
    <xf numFmtId="0" fontId="115" fillId="4" borderId="2" xfId="3" applyFont="1" applyFill="1" applyBorder="1" applyAlignment="1">
      <alignment horizontal="center" vertical="center"/>
    </xf>
    <xf numFmtId="0" fontId="114" fillId="0" borderId="3" xfId="3" applyFont="1" applyBorder="1" applyAlignment="1">
      <alignment horizontal="center" vertical="center"/>
    </xf>
    <xf numFmtId="0" fontId="114" fillId="4" borderId="2" xfId="3" applyFont="1" applyFill="1" applyBorder="1" applyAlignment="1">
      <alignment horizontal="center" vertical="center"/>
    </xf>
    <xf numFmtId="0" fontId="113" fillId="0" borderId="3" xfId="3" applyFont="1" applyBorder="1" applyAlignment="1">
      <alignment horizontal="center" vertical="center"/>
    </xf>
    <xf numFmtId="0" fontId="113" fillId="4" borderId="2" xfId="3" applyFont="1" applyFill="1" applyBorder="1" applyAlignment="1">
      <alignment horizontal="center" vertical="center"/>
    </xf>
    <xf numFmtId="0" fontId="112" fillId="0" borderId="1" xfId="3" applyFont="1" applyBorder="1" applyAlignment="1">
      <alignment horizontal="center" vertical="center"/>
    </xf>
    <xf numFmtId="0" fontId="112" fillId="0" borderId="3" xfId="3" applyFont="1" applyBorder="1" applyAlignment="1">
      <alignment horizontal="center" vertical="center"/>
    </xf>
    <xf numFmtId="0" fontId="112" fillId="4" borderId="2" xfId="3" applyFont="1" applyFill="1" applyBorder="1" applyAlignment="1">
      <alignment horizontal="center" vertical="center"/>
    </xf>
    <xf numFmtId="0" fontId="111" fillId="0" borderId="1" xfId="3" applyFont="1" applyBorder="1" applyAlignment="1">
      <alignment horizontal="center" vertical="center"/>
    </xf>
    <xf numFmtId="0" fontId="111" fillId="0" borderId="3" xfId="3" applyFont="1" applyBorder="1" applyAlignment="1">
      <alignment horizontal="center" vertical="center"/>
    </xf>
    <xf numFmtId="0" fontId="111" fillId="4" borderId="2" xfId="3" applyFont="1" applyFill="1" applyBorder="1" applyAlignment="1">
      <alignment horizontal="center" vertical="center"/>
    </xf>
    <xf numFmtId="16" fontId="110" fillId="0" borderId="6" xfId="3" applyNumberFormat="1" applyFont="1" applyBorder="1" applyAlignment="1">
      <alignment horizontal="center" vertical="center"/>
    </xf>
    <xf numFmtId="0" fontId="109" fillId="0" borderId="1" xfId="3" applyFont="1" applyBorder="1" applyAlignment="1">
      <alignment horizontal="center" vertical="center"/>
    </xf>
    <xf numFmtId="0" fontId="107" fillId="0" borderId="2" xfId="3" applyFont="1" applyBorder="1" applyAlignment="1">
      <alignment horizontal="center" vertical="center"/>
    </xf>
    <xf numFmtId="0" fontId="107" fillId="4" borderId="2" xfId="3" applyFont="1" applyFill="1" applyBorder="1" applyAlignment="1">
      <alignment horizontal="center" vertical="center"/>
    </xf>
    <xf numFmtId="0" fontId="106" fillId="4" borderId="2" xfId="3" applyFont="1" applyFill="1" applyBorder="1" applyAlignment="1">
      <alignment horizontal="center" vertical="center"/>
    </xf>
    <xf numFmtId="0" fontId="105" fillId="4" borderId="2" xfId="3" applyFont="1" applyFill="1" applyBorder="1" applyAlignment="1">
      <alignment horizontal="center" vertical="center"/>
    </xf>
    <xf numFmtId="0" fontId="105" fillId="0" borderId="2" xfId="3" applyFont="1" applyBorder="1" applyAlignment="1">
      <alignment horizontal="center" vertical="center"/>
    </xf>
    <xf numFmtId="16" fontId="104" fillId="0" borderId="2" xfId="3" applyNumberFormat="1" applyFont="1" applyBorder="1" applyAlignment="1">
      <alignment horizontal="center" vertical="center"/>
    </xf>
    <xf numFmtId="0" fontId="104" fillId="0" borderId="2" xfId="3" applyFont="1" applyBorder="1" applyAlignment="1">
      <alignment horizontal="center" vertical="center"/>
    </xf>
    <xf numFmtId="0" fontId="104" fillId="4" borderId="2" xfId="3" applyFont="1" applyFill="1" applyBorder="1" applyAlignment="1">
      <alignment horizontal="center" vertical="center"/>
    </xf>
    <xf numFmtId="0" fontId="102" fillId="4" borderId="2" xfId="3" applyFont="1" applyFill="1" applyBorder="1" applyAlignment="1">
      <alignment horizontal="center" vertical="center"/>
    </xf>
    <xf numFmtId="0" fontId="101" fillId="4" borderId="2" xfId="3" applyFont="1" applyFill="1" applyBorder="1" applyAlignment="1">
      <alignment horizontal="center" vertical="center"/>
    </xf>
    <xf numFmtId="0" fontId="100" fillId="0" borderId="2" xfId="3" applyFont="1" applyBorder="1" applyAlignment="1">
      <alignment horizontal="center" vertical="center"/>
    </xf>
    <xf numFmtId="0" fontId="100" fillId="4" borderId="2" xfId="3" applyFont="1" applyFill="1" applyBorder="1" applyAlignment="1">
      <alignment horizontal="center" vertical="center"/>
    </xf>
    <xf numFmtId="20" fontId="355" fillId="0" borderId="6" xfId="3" applyNumberFormat="1" applyFont="1" applyBorder="1" applyAlignment="1">
      <alignment horizontal="center" vertical="center"/>
    </xf>
    <xf numFmtId="20" fontId="355" fillId="0" borderId="7" xfId="3" applyNumberFormat="1" applyFont="1" applyBorder="1" applyAlignment="1">
      <alignment horizontal="center" vertical="center"/>
    </xf>
    <xf numFmtId="0" fontId="355" fillId="0" borderId="2" xfId="3" applyBorder="1" applyAlignment="1">
      <alignment wrapText="1"/>
    </xf>
    <xf numFmtId="16" fontId="355" fillId="0" borderId="2" xfId="3" applyNumberFormat="1" applyBorder="1" applyAlignment="1">
      <alignment horizontal="center" vertical="center" wrapText="1"/>
    </xf>
    <xf numFmtId="0" fontId="109" fillId="0" borderId="1" xfId="3" applyFont="1" applyBorder="1" applyAlignment="1">
      <alignment horizontal="center" vertical="center" wrapText="1"/>
    </xf>
    <xf numFmtId="0" fontId="99" fillId="0" borderId="2" xfId="3" applyFont="1" applyBorder="1" applyAlignment="1">
      <alignment horizontal="center" vertical="center" wrapText="1"/>
    </xf>
    <xf numFmtId="0" fontId="101" fillId="4" borderId="2" xfId="3" applyFont="1" applyFill="1" applyBorder="1" applyAlignment="1">
      <alignment horizontal="center" vertical="center" wrapText="1"/>
    </xf>
    <xf numFmtId="0" fontId="355" fillId="0" borderId="7" xfId="3" applyBorder="1" applyAlignment="1">
      <alignment horizontal="center" vertical="center"/>
    </xf>
    <xf numFmtId="164" fontId="355" fillId="0" borderId="7" xfId="3" applyNumberFormat="1" applyBorder="1" applyAlignment="1">
      <alignment horizontal="center" vertical="center"/>
    </xf>
    <xf numFmtId="0" fontId="355" fillId="0" borderId="7" xfId="3" applyFont="1" applyBorder="1" applyAlignment="1">
      <alignment horizontal="center" vertical="center" wrapText="1"/>
    </xf>
    <xf numFmtId="0" fontId="358" fillId="0" borderId="7" xfId="3" applyFont="1" applyBorder="1" applyAlignment="1">
      <alignment horizontal="center" vertical="center"/>
    </xf>
    <xf numFmtId="16" fontId="355" fillId="0" borderId="7" xfId="3" applyNumberFormat="1" applyFont="1" applyBorder="1" applyAlignment="1">
      <alignment horizontal="center" vertical="center"/>
    </xf>
    <xf numFmtId="0" fontId="355" fillId="0" borderId="7" xfId="3" applyNumberFormat="1" applyFont="1" applyBorder="1" applyAlignment="1">
      <alignment horizontal="center" vertical="center"/>
    </xf>
    <xf numFmtId="165" fontId="355" fillId="0" borderId="7" xfId="3" applyNumberFormat="1" applyFont="1" applyBorder="1" applyAlignment="1">
      <alignment horizontal="center" vertical="center"/>
    </xf>
    <xf numFmtId="43" fontId="358" fillId="0" borderId="17" xfId="2" applyFont="1" applyBorder="1" applyAlignment="1">
      <alignment horizontal="center" vertical="center"/>
    </xf>
    <xf numFmtId="164" fontId="355" fillId="0" borderId="1" xfId="3" applyNumberFormat="1" applyBorder="1" applyAlignment="1">
      <alignment horizontal="center" vertical="center"/>
    </xf>
    <xf numFmtId="0" fontId="355" fillId="0" borderId="1" xfId="3" applyFont="1" applyBorder="1" applyAlignment="1">
      <alignment horizontal="center" vertical="center" wrapText="1"/>
    </xf>
    <xf numFmtId="0" fontId="358" fillId="0" borderId="1" xfId="3" applyFont="1" applyBorder="1" applyAlignment="1">
      <alignment horizontal="center" vertical="center"/>
    </xf>
    <xf numFmtId="0" fontId="355" fillId="0" borderId="1" xfId="3" applyNumberFormat="1" applyFont="1" applyBorder="1" applyAlignment="1">
      <alignment horizontal="center" vertical="center"/>
    </xf>
    <xf numFmtId="165" fontId="355" fillId="0" borderId="1" xfId="3" applyNumberFormat="1" applyFont="1" applyBorder="1" applyAlignment="1">
      <alignment horizontal="center" vertical="center"/>
    </xf>
    <xf numFmtId="43" fontId="358" fillId="0" borderId="3" xfId="2" applyFont="1" applyBorder="1" applyAlignment="1">
      <alignment horizontal="center" vertical="center"/>
    </xf>
    <xf numFmtId="0" fontId="355" fillId="0" borderId="1" xfId="3" applyBorder="1" applyAlignment="1">
      <alignment horizontal="center" vertical="center" wrapText="1"/>
    </xf>
    <xf numFmtId="16" fontId="355" fillId="0" borderId="1" xfId="3" applyNumberFormat="1" applyFont="1" applyFill="1" applyBorder="1" applyAlignment="1">
      <alignment horizontal="center" vertical="center"/>
    </xf>
    <xf numFmtId="0" fontId="355" fillId="0" borderId="1" xfId="3" applyNumberFormat="1" applyFont="1" applyFill="1" applyBorder="1" applyAlignment="1">
      <alignment horizontal="center" vertical="center"/>
    </xf>
    <xf numFmtId="166" fontId="355" fillId="0" borderId="1" xfId="3" applyNumberFormat="1" applyFont="1" applyBorder="1" applyAlignment="1">
      <alignment horizontal="center" vertical="center"/>
    </xf>
    <xf numFmtId="164" fontId="355" fillId="0" borderId="1" xfId="3" applyNumberFormat="1" applyFont="1" applyBorder="1" applyAlignment="1">
      <alignment horizontal="center" vertical="center"/>
    </xf>
    <xf numFmtId="164" fontId="355" fillId="3" borderId="1" xfId="3" applyNumberFormat="1" applyFill="1" applyBorder="1" applyAlignment="1">
      <alignment horizontal="center" vertical="center"/>
    </xf>
    <xf numFmtId="0" fontId="355" fillId="3" borderId="1" xfId="3" applyFill="1" applyBorder="1" applyAlignment="1">
      <alignment horizontal="center" vertical="center" wrapText="1"/>
    </xf>
    <xf numFmtId="0" fontId="358" fillId="3" borderId="1" xfId="3" applyFont="1" applyFill="1" applyBorder="1" applyAlignment="1">
      <alignment horizontal="center" vertical="center"/>
    </xf>
    <xf numFmtId="16" fontId="355" fillId="3" borderId="1" xfId="3" applyNumberFormat="1" applyFont="1" applyFill="1" applyBorder="1" applyAlignment="1">
      <alignment horizontal="center" vertical="center"/>
    </xf>
    <xf numFmtId="0" fontId="355" fillId="3" borderId="1" xfId="3" applyNumberFormat="1" applyFont="1" applyFill="1" applyBorder="1" applyAlignment="1">
      <alignment horizontal="center" vertical="center"/>
    </xf>
    <xf numFmtId="165" fontId="355" fillId="3" borderId="1" xfId="3" applyNumberFormat="1" applyFont="1" applyFill="1" applyBorder="1" applyAlignment="1">
      <alignment horizontal="center" vertical="center"/>
    </xf>
    <xf numFmtId="0" fontId="355" fillId="3" borderId="1" xfId="3" applyFont="1" applyFill="1" applyBorder="1" applyAlignment="1">
      <alignment horizontal="center" vertical="center" wrapText="1"/>
    </xf>
    <xf numFmtId="164" fontId="355" fillId="3" borderId="1" xfId="3" applyNumberFormat="1" applyFont="1" applyFill="1" applyBorder="1" applyAlignment="1">
      <alignment horizontal="center" vertical="center"/>
    </xf>
    <xf numFmtId="0" fontId="355" fillId="0" borderId="1" xfId="3" applyFill="1" applyBorder="1" applyAlignment="1">
      <alignment horizontal="center" vertical="center"/>
    </xf>
    <xf numFmtId="0" fontId="345" fillId="3" borderId="1" xfId="3" applyFont="1" applyFill="1" applyBorder="1" applyAlignment="1">
      <alignment horizontal="center" vertical="center" wrapText="1"/>
    </xf>
    <xf numFmtId="164" fontId="354" fillId="0" borderId="1" xfId="3" applyNumberFormat="1" applyFont="1" applyBorder="1" applyAlignment="1">
      <alignment horizontal="center" vertical="center"/>
    </xf>
    <xf numFmtId="0" fontId="354" fillId="0" borderId="1" xfId="3" applyFont="1" applyBorder="1" applyAlignment="1">
      <alignment horizontal="center" vertical="center" wrapText="1"/>
    </xf>
    <xf numFmtId="164" fontId="353" fillId="0" borderId="1" xfId="3" applyNumberFormat="1" applyFont="1" applyBorder="1" applyAlignment="1">
      <alignment horizontal="center" vertical="center"/>
    </xf>
    <xf numFmtId="0" fontId="353" fillId="0" borderId="1" xfId="3" applyFont="1" applyBorder="1" applyAlignment="1">
      <alignment horizontal="center" vertical="center"/>
    </xf>
    <xf numFmtId="0" fontId="353" fillId="0" borderId="1" xfId="3" applyFont="1" applyBorder="1" applyAlignment="1">
      <alignment horizontal="center" vertical="center" wrapText="1"/>
    </xf>
    <xf numFmtId="164" fontId="351" fillId="0" borderId="1" xfId="3" applyNumberFormat="1" applyFont="1" applyBorder="1" applyAlignment="1">
      <alignment horizontal="center" vertical="center"/>
    </xf>
    <xf numFmtId="0" fontId="352" fillId="0" borderId="1" xfId="3" applyFont="1" applyBorder="1" applyAlignment="1">
      <alignment horizontal="center" vertical="center"/>
    </xf>
    <xf numFmtId="0" fontId="352" fillId="0" borderId="1" xfId="3" applyFont="1" applyBorder="1" applyAlignment="1">
      <alignment horizontal="center" vertical="center" wrapText="1"/>
    </xf>
    <xf numFmtId="0" fontId="351" fillId="0" borderId="1" xfId="3" applyFont="1" applyBorder="1" applyAlignment="1">
      <alignment horizontal="center" vertical="center" wrapText="1"/>
    </xf>
    <xf numFmtId="164" fontId="350" fillId="0" borderId="1" xfId="3" applyNumberFormat="1" applyFont="1" applyBorder="1" applyAlignment="1">
      <alignment horizontal="center" vertical="center"/>
    </xf>
    <xf numFmtId="0" fontId="350" fillId="0" borderId="1" xfId="3" applyFont="1" applyBorder="1" applyAlignment="1">
      <alignment horizontal="center" vertical="center"/>
    </xf>
    <xf numFmtId="0" fontId="350" fillId="0" borderId="1" xfId="3" applyFont="1" applyBorder="1" applyAlignment="1">
      <alignment horizontal="center" vertical="center" wrapText="1"/>
    </xf>
    <xf numFmtId="164" fontId="348" fillId="0" borderId="1" xfId="3" applyNumberFormat="1" applyFont="1" applyBorder="1" applyAlignment="1">
      <alignment horizontal="center" vertical="center"/>
    </xf>
    <xf numFmtId="20" fontId="355" fillId="0" borderId="1" xfId="3" applyNumberFormat="1" applyFont="1" applyBorder="1" applyAlignment="1">
      <alignment horizontal="center" vertical="center"/>
    </xf>
    <xf numFmtId="0" fontId="348" fillId="0" borderId="1" xfId="3" applyFont="1" applyBorder="1" applyAlignment="1">
      <alignment horizontal="center" vertical="center"/>
    </xf>
    <xf numFmtId="0" fontId="348" fillId="0" borderId="1" xfId="3" applyFont="1" applyBorder="1" applyAlignment="1">
      <alignment horizontal="center" vertical="center" wrapText="1"/>
    </xf>
    <xf numFmtId="164" fontId="347" fillId="0" borderId="1" xfId="3" applyNumberFormat="1" applyFont="1" applyBorder="1" applyAlignment="1">
      <alignment horizontal="center" vertical="center"/>
    </xf>
    <xf numFmtId="0" fontId="347" fillId="0" borderId="1" xfId="3" applyFont="1" applyBorder="1" applyAlignment="1">
      <alignment horizontal="center" vertical="center"/>
    </xf>
    <xf numFmtId="0" fontId="347" fillId="0" borderId="1" xfId="3" applyFont="1" applyBorder="1" applyAlignment="1">
      <alignment horizontal="center" vertical="center" wrapText="1"/>
    </xf>
    <xf numFmtId="164" fontId="346" fillId="0" borderId="1" xfId="3" applyNumberFormat="1" applyFont="1" applyBorder="1" applyAlignment="1">
      <alignment horizontal="center" vertical="center"/>
    </xf>
    <xf numFmtId="0" fontId="346" fillId="0" borderId="1" xfId="3" applyFont="1" applyBorder="1" applyAlignment="1">
      <alignment horizontal="center" vertical="center"/>
    </xf>
    <xf numFmtId="0" fontId="346" fillId="0" borderId="1" xfId="3" applyFont="1" applyBorder="1" applyAlignment="1">
      <alignment horizontal="center" vertical="center" wrapText="1"/>
    </xf>
    <xf numFmtId="0" fontId="345" fillId="0" borderId="1" xfId="3" applyFont="1" applyBorder="1" applyAlignment="1">
      <alignment horizontal="center" vertical="center"/>
    </xf>
    <xf numFmtId="0" fontId="345" fillId="0" borderId="1" xfId="3" applyFont="1" applyBorder="1" applyAlignment="1">
      <alignment horizontal="center" vertical="center" wrapText="1"/>
    </xf>
    <xf numFmtId="164" fontId="343" fillId="0" borderId="1" xfId="3" applyNumberFormat="1" applyFont="1" applyBorder="1" applyAlignment="1">
      <alignment horizontal="center" vertical="center"/>
    </xf>
    <xf numFmtId="0" fontId="343" fillId="0" borderId="1" xfId="3" applyFont="1" applyBorder="1" applyAlignment="1">
      <alignment horizontal="center" vertical="center"/>
    </xf>
    <xf numFmtId="0" fontId="343" fillId="0" borderId="1" xfId="3" applyFont="1" applyBorder="1" applyAlignment="1">
      <alignment horizontal="center" vertical="center" wrapText="1"/>
    </xf>
    <xf numFmtId="20" fontId="343" fillId="0" borderId="1" xfId="3" applyNumberFormat="1" applyFont="1" applyBorder="1" applyAlignment="1">
      <alignment horizontal="center" vertical="center"/>
    </xf>
    <xf numFmtId="0" fontId="342" fillId="0" borderId="1" xfId="3" applyFont="1" applyBorder="1" applyAlignment="1">
      <alignment horizontal="center" vertical="center"/>
    </xf>
    <xf numFmtId="0" fontId="342" fillId="0" borderId="1" xfId="3" applyFont="1" applyBorder="1" applyAlignment="1">
      <alignment horizontal="center" vertical="center" wrapText="1"/>
    </xf>
    <xf numFmtId="164" fontId="342" fillId="0" borderId="1" xfId="3" applyNumberFormat="1" applyFont="1" applyBorder="1" applyAlignment="1">
      <alignment horizontal="center" vertical="center"/>
    </xf>
    <xf numFmtId="164" fontId="341" fillId="3" borderId="1" xfId="3" applyNumberFormat="1" applyFont="1" applyFill="1" applyBorder="1" applyAlignment="1">
      <alignment horizontal="center" vertical="center"/>
    </xf>
    <xf numFmtId="20" fontId="355" fillId="3" borderId="1" xfId="3" applyNumberFormat="1" applyFont="1" applyFill="1" applyBorder="1" applyAlignment="1">
      <alignment horizontal="center" vertical="center"/>
    </xf>
    <xf numFmtId="20" fontId="341" fillId="3" borderId="1" xfId="3" applyNumberFormat="1" applyFont="1" applyFill="1" applyBorder="1" applyAlignment="1">
      <alignment horizontal="center" vertical="center"/>
    </xf>
    <xf numFmtId="164" fontId="340" fillId="0" borderId="1" xfId="3" applyNumberFormat="1" applyFont="1" applyBorder="1" applyAlignment="1">
      <alignment horizontal="center" vertical="center"/>
    </xf>
    <xf numFmtId="0" fontId="340" fillId="0" borderId="1" xfId="3" applyFont="1" applyBorder="1" applyAlignment="1">
      <alignment horizontal="center" vertical="center"/>
    </xf>
    <xf numFmtId="0" fontId="340" fillId="0" borderId="1" xfId="3" applyFont="1" applyBorder="1" applyAlignment="1">
      <alignment horizontal="center" vertical="center" wrapText="1"/>
    </xf>
    <xf numFmtId="164" fontId="355" fillId="0" borderId="6" xfId="3" applyNumberFormat="1" applyBorder="1" applyAlignment="1">
      <alignment horizontal="center" vertical="center"/>
    </xf>
    <xf numFmtId="0" fontId="339" fillId="0" borderId="6" xfId="3" applyFont="1" applyBorder="1" applyAlignment="1">
      <alignment horizontal="center" vertical="center"/>
    </xf>
    <xf numFmtId="0" fontId="339" fillId="0" borderId="6" xfId="3" applyFont="1" applyBorder="1" applyAlignment="1">
      <alignment horizontal="center" vertical="center" wrapText="1"/>
    </xf>
    <xf numFmtId="0" fontId="338" fillId="0" borderId="2" xfId="0" applyFont="1" applyBorder="1" applyAlignment="1">
      <alignment horizontal="center" vertical="center"/>
    </xf>
    <xf numFmtId="0" fontId="338" fillId="0" borderId="2" xfId="3" applyFont="1" applyBorder="1" applyAlignment="1">
      <alignment horizontal="center" vertical="center" wrapText="1"/>
    </xf>
    <xf numFmtId="0" fontId="355" fillId="0" borderId="5" xfId="3" applyBorder="1" applyAlignment="1">
      <alignment horizontal="center" vertical="center"/>
    </xf>
    <xf numFmtId="0" fontId="338" fillId="0" borderId="2" xfId="0" applyFont="1" applyBorder="1" applyAlignment="1">
      <alignment horizontal="center" vertical="center" wrapText="1"/>
    </xf>
    <xf numFmtId="164" fontId="355" fillId="0" borderId="2" xfId="3" applyNumberFormat="1" applyBorder="1" applyAlignment="1">
      <alignment horizontal="center" vertical="center"/>
    </xf>
    <xf numFmtId="164" fontId="338" fillId="3" borderId="2" xfId="3" applyNumberFormat="1" applyFont="1" applyFill="1" applyBorder="1" applyAlignment="1">
      <alignment horizontal="center" vertical="center"/>
    </xf>
    <xf numFmtId="0" fontId="338" fillId="3" borderId="2" xfId="3" applyFont="1" applyFill="1" applyBorder="1" applyAlignment="1">
      <alignment horizontal="center" vertical="center" wrapText="1"/>
    </xf>
    <xf numFmtId="0" fontId="355" fillId="3" borderId="5" xfId="3" applyFill="1" applyBorder="1" applyAlignment="1">
      <alignment horizontal="center" vertical="center"/>
    </xf>
    <xf numFmtId="164" fontId="355" fillId="3" borderId="2" xfId="3" applyNumberFormat="1" applyFill="1" applyBorder="1" applyAlignment="1">
      <alignment horizontal="center" vertical="center"/>
    </xf>
    <xf numFmtId="20" fontId="355" fillId="0" borderId="1" xfId="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37" fillId="0" borderId="7" xfId="3" applyFont="1" applyBorder="1" applyAlignment="1">
      <alignment horizontal="center" vertical="center"/>
    </xf>
    <xf numFmtId="0" fontId="337" fillId="0" borderId="7" xfId="3" applyFont="1" applyBorder="1" applyAlignment="1">
      <alignment horizontal="center" vertical="center" wrapText="1"/>
    </xf>
    <xf numFmtId="0" fontId="337" fillId="0" borderId="1" xfId="3" applyFont="1" applyBorder="1" applyAlignment="1">
      <alignment horizontal="center" vertical="center" wrapText="1"/>
    </xf>
    <xf numFmtId="164" fontId="337" fillId="0" borderId="1" xfId="3" applyNumberFormat="1" applyFont="1" applyBorder="1" applyAlignment="1">
      <alignment horizontal="center" vertical="center"/>
    </xf>
    <xf numFmtId="0" fontId="337" fillId="0" borderId="1" xfId="3" applyFont="1" applyBorder="1" applyAlignment="1">
      <alignment horizontal="center" vertical="center"/>
    </xf>
    <xf numFmtId="164" fontId="336" fillId="0" borderId="6" xfId="3" applyNumberFormat="1" applyFont="1" applyBorder="1" applyAlignment="1">
      <alignment horizontal="center" vertical="center"/>
    </xf>
    <xf numFmtId="0" fontId="336" fillId="0" borderId="6" xfId="3" applyFont="1" applyBorder="1" applyAlignment="1">
      <alignment horizontal="center" vertical="center"/>
    </xf>
    <xf numFmtId="0" fontId="336" fillId="0" borderId="1" xfId="3" applyFont="1" applyBorder="1" applyAlignment="1">
      <alignment horizontal="center" vertical="center" wrapText="1"/>
    </xf>
    <xf numFmtId="0" fontId="335" fillId="0" borderId="5" xfId="3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334" fillId="0" borderId="7" xfId="3" applyNumberFormat="1" applyFont="1" applyBorder="1" applyAlignment="1">
      <alignment horizontal="center" vertical="center"/>
    </xf>
    <xf numFmtId="0" fontId="334" fillId="0" borderId="7" xfId="3" applyFont="1" applyBorder="1" applyAlignment="1">
      <alignment horizontal="center" vertical="center"/>
    </xf>
    <xf numFmtId="0" fontId="334" fillId="0" borderId="1" xfId="3" applyFont="1" applyBorder="1" applyAlignment="1">
      <alignment horizontal="center" vertical="center" wrapText="1"/>
    </xf>
    <xf numFmtId="164" fontId="334" fillId="0" borderId="1" xfId="3" applyNumberFormat="1" applyFont="1" applyBorder="1" applyAlignment="1">
      <alignment horizontal="center" vertical="center"/>
    </xf>
    <xf numFmtId="0" fontId="334" fillId="0" borderId="1" xfId="3" applyFont="1" applyBorder="1" applyAlignment="1">
      <alignment horizontal="center" vertical="center"/>
    </xf>
    <xf numFmtId="164" fontId="333" fillId="0" borderId="1" xfId="3" applyNumberFormat="1" applyFont="1" applyBorder="1" applyAlignment="1">
      <alignment horizontal="center" vertical="center"/>
    </xf>
    <xf numFmtId="0" fontId="333" fillId="0" borderId="1" xfId="3" applyFont="1" applyBorder="1" applyAlignment="1">
      <alignment horizontal="center" vertical="center"/>
    </xf>
    <xf numFmtId="0" fontId="333" fillId="0" borderId="1" xfId="3" applyFont="1" applyBorder="1" applyAlignment="1">
      <alignment horizontal="center" vertical="center" wrapText="1"/>
    </xf>
    <xf numFmtId="164" fontId="332" fillId="0" borderId="1" xfId="3" applyNumberFormat="1" applyFont="1" applyBorder="1" applyAlignment="1">
      <alignment horizontal="center" vertical="center"/>
    </xf>
    <xf numFmtId="0" fontId="332" fillId="0" borderId="1" xfId="3" applyFont="1" applyBorder="1" applyAlignment="1">
      <alignment horizontal="center" vertical="center" wrapText="1"/>
    </xf>
    <xf numFmtId="164" fontId="331" fillId="0" borderId="1" xfId="3" applyNumberFormat="1" applyFont="1" applyBorder="1" applyAlignment="1">
      <alignment horizontal="center" vertical="center"/>
    </xf>
    <xf numFmtId="0" fontId="331" fillId="0" borderId="1" xfId="3" applyFont="1" applyBorder="1" applyAlignment="1">
      <alignment horizontal="center" vertical="center"/>
    </xf>
    <xf numFmtId="0" fontId="331" fillId="0" borderId="1" xfId="3" applyFont="1" applyBorder="1" applyAlignment="1">
      <alignment horizontal="center" vertical="center" wrapText="1"/>
    </xf>
    <xf numFmtId="0" fontId="355" fillId="3" borderId="8" xfId="3" applyFill="1" applyBorder="1" applyAlignment="1">
      <alignment horizontal="center" vertical="center"/>
    </xf>
    <xf numFmtId="0" fontId="355" fillId="3" borderId="6" xfId="3" applyNumberFormat="1" applyFont="1" applyFill="1" applyBorder="1" applyAlignment="1">
      <alignment horizontal="center" vertical="center"/>
    </xf>
    <xf numFmtId="20" fontId="355" fillId="3" borderId="6" xfId="3" applyNumberFormat="1" applyFont="1" applyFill="1" applyBorder="1" applyAlignment="1">
      <alignment horizontal="center" vertical="center"/>
    </xf>
    <xf numFmtId="16" fontId="355" fillId="3" borderId="6" xfId="3" applyNumberFormat="1" applyFill="1" applyBorder="1" applyAlignment="1">
      <alignment horizontal="center" vertical="center"/>
    </xf>
    <xf numFmtId="0" fontId="336" fillId="3" borderId="6" xfId="3" applyFont="1" applyFill="1" applyBorder="1" applyAlignment="1">
      <alignment horizontal="center" vertical="center"/>
    </xf>
    <xf numFmtId="0" fontId="338" fillId="3" borderId="12" xfId="3" applyFont="1" applyFill="1" applyBorder="1" applyAlignment="1">
      <alignment horizontal="center" vertical="center"/>
    </xf>
    <xf numFmtId="0" fontId="355" fillId="3" borderId="10" xfId="3" applyFill="1" applyBorder="1" applyAlignment="1">
      <alignment horizontal="center" vertical="center"/>
    </xf>
    <xf numFmtId="0" fontId="332" fillId="3" borderId="2" xfId="3" applyFont="1" applyFill="1" applyBorder="1" applyAlignment="1">
      <alignment horizontal="center" vertical="center" wrapText="1"/>
    </xf>
    <xf numFmtId="0" fontId="355" fillId="3" borderId="9" xfId="3" applyFill="1" applyBorder="1" applyAlignment="1">
      <alignment horizontal="center" vertical="center"/>
    </xf>
    <xf numFmtId="0" fontId="355" fillId="3" borderId="7" xfId="3" applyNumberFormat="1" applyFont="1" applyFill="1" applyBorder="1" applyAlignment="1">
      <alignment horizontal="center" vertical="center"/>
    </xf>
    <xf numFmtId="20" fontId="355" fillId="3" borderId="7" xfId="3" applyNumberFormat="1" applyFont="1" applyFill="1" applyBorder="1" applyAlignment="1">
      <alignment horizontal="center" vertical="center"/>
    </xf>
    <xf numFmtId="16" fontId="355" fillId="3" borderId="7" xfId="3" applyNumberFormat="1" applyFill="1" applyBorder="1" applyAlignment="1">
      <alignment horizontal="center" vertical="center"/>
    </xf>
    <xf numFmtId="0" fontId="336" fillId="3" borderId="7" xfId="3" applyFont="1" applyFill="1" applyBorder="1" applyAlignment="1">
      <alignment horizontal="center" vertical="center"/>
    </xf>
    <xf numFmtId="0" fontId="338" fillId="3" borderId="13" xfId="3" applyFont="1" applyFill="1" applyBorder="1" applyAlignment="1">
      <alignment horizontal="center" vertical="center"/>
    </xf>
    <xf numFmtId="0" fontId="355" fillId="3" borderId="11" xfId="3" applyFill="1" applyBorder="1" applyAlignment="1">
      <alignment horizontal="center" vertical="center"/>
    </xf>
    <xf numFmtId="164" fontId="330" fillId="0" borderId="1" xfId="3" applyNumberFormat="1" applyFont="1" applyBorder="1" applyAlignment="1">
      <alignment horizontal="center" vertical="center"/>
    </xf>
    <xf numFmtId="0" fontId="330" fillId="0" borderId="1" xfId="3" applyFont="1" applyBorder="1" applyAlignment="1">
      <alignment horizontal="center" vertical="center" wrapText="1"/>
    </xf>
    <xf numFmtId="164" fontId="329" fillId="0" borderId="1" xfId="3" applyNumberFormat="1" applyFont="1" applyBorder="1" applyAlignment="1">
      <alignment horizontal="center" vertical="center"/>
    </xf>
    <xf numFmtId="0" fontId="329" fillId="0" borderId="1" xfId="3" applyFont="1" applyBorder="1" applyAlignment="1">
      <alignment horizontal="center" vertical="center"/>
    </xf>
    <xf numFmtId="0" fontId="329" fillId="0" borderId="1" xfId="3" applyFont="1" applyBorder="1" applyAlignment="1">
      <alignment horizontal="center" vertical="center" wrapText="1"/>
    </xf>
    <xf numFmtId="164" fontId="328" fillId="0" borderId="1" xfId="3" applyNumberFormat="1" applyFont="1" applyBorder="1" applyAlignment="1">
      <alignment horizontal="center" vertical="center"/>
    </xf>
    <xf numFmtId="0" fontId="328" fillId="0" borderId="1" xfId="3" applyFont="1" applyBorder="1" applyAlignment="1">
      <alignment horizontal="center" vertical="center"/>
    </xf>
    <xf numFmtId="0" fontId="328" fillId="0" borderId="1" xfId="3" applyFont="1" applyBorder="1" applyAlignment="1">
      <alignment horizontal="center" vertical="center" wrapText="1"/>
    </xf>
    <xf numFmtId="20" fontId="328" fillId="0" borderId="1" xfId="3" applyNumberFormat="1" applyFont="1" applyBorder="1" applyAlignment="1">
      <alignment horizontal="center" vertical="center"/>
    </xf>
    <xf numFmtId="164" fontId="327" fillId="0" borderId="1" xfId="3" applyNumberFormat="1" applyFont="1" applyBorder="1" applyAlignment="1">
      <alignment horizontal="center" vertical="center"/>
    </xf>
    <xf numFmtId="0" fontId="327" fillId="0" borderId="1" xfId="3" applyFont="1" applyBorder="1" applyAlignment="1">
      <alignment horizontal="center" vertical="center" wrapText="1"/>
    </xf>
    <xf numFmtId="164" fontId="326" fillId="0" borderId="1" xfId="3" applyNumberFormat="1" applyFont="1" applyBorder="1" applyAlignment="1">
      <alignment horizontal="center" vertical="center"/>
    </xf>
    <xf numFmtId="0" fontId="326" fillId="0" borderId="1" xfId="3" applyFont="1" applyBorder="1" applyAlignment="1">
      <alignment horizontal="center" vertical="center"/>
    </xf>
    <xf numFmtId="0" fontId="326" fillId="0" borderId="1" xfId="3" applyFont="1" applyBorder="1" applyAlignment="1">
      <alignment horizontal="center" vertical="center" wrapText="1"/>
    </xf>
    <xf numFmtId="164" fontId="325" fillId="0" borderId="1" xfId="3" applyNumberFormat="1" applyFont="1" applyBorder="1" applyAlignment="1">
      <alignment horizontal="center" vertical="center"/>
    </xf>
    <xf numFmtId="0" fontId="325" fillId="0" borderId="1" xfId="3" applyFont="1" applyBorder="1" applyAlignment="1">
      <alignment horizontal="center" vertical="center"/>
    </xf>
    <xf numFmtId="0" fontId="325" fillId="0" borderId="1" xfId="3" applyFont="1" applyBorder="1" applyAlignment="1">
      <alignment horizontal="center" vertical="center" wrapText="1"/>
    </xf>
    <xf numFmtId="164" fontId="324" fillId="0" borderId="1" xfId="3" applyNumberFormat="1" applyFont="1" applyBorder="1" applyAlignment="1">
      <alignment horizontal="center" vertical="center"/>
    </xf>
    <xf numFmtId="0" fontId="324" fillId="0" borderId="1" xfId="3" applyFont="1" applyBorder="1" applyAlignment="1">
      <alignment horizontal="center" vertical="center"/>
    </xf>
    <xf numFmtId="0" fontId="324" fillId="0" borderId="1" xfId="3" applyFont="1" applyBorder="1" applyAlignment="1">
      <alignment horizontal="center" vertical="center" wrapText="1"/>
    </xf>
    <xf numFmtId="0" fontId="324" fillId="3" borderId="1" xfId="3" applyFont="1" applyFill="1" applyBorder="1" applyAlignment="1">
      <alignment horizontal="center" vertical="center" wrapText="1"/>
    </xf>
    <xf numFmtId="164" fontId="324" fillId="3" borderId="1" xfId="3" applyNumberFormat="1" applyFont="1" applyFill="1" applyBorder="1" applyAlignment="1">
      <alignment horizontal="center" vertical="center"/>
    </xf>
    <xf numFmtId="20" fontId="324" fillId="3" borderId="1" xfId="3" applyNumberFormat="1" applyFont="1" applyFill="1" applyBorder="1" applyAlignment="1">
      <alignment horizontal="center" vertical="center"/>
    </xf>
    <xf numFmtId="164" fontId="323" fillId="0" borderId="1" xfId="3" applyNumberFormat="1" applyFont="1" applyBorder="1" applyAlignment="1">
      <alignment horizontal="center" vertical="center"/>
    </xf>
    <xf numFmtId="0" fontId="323" fillId="0" borderId="1" xfId="3" applyFont="1" applyBorder="1" applyAlignment="1">
      <alignment horizontal="center" vertical="center" wrapText="1"/>
    </xf>
    <xf numFmtId="16" fontId="323" fillId="0" borderId="1" xfId="3" applyNumberFormat="1" applyFont="1" applyBorder="1" applyAlignment="1">
      <alignment horizontal="center" vertical="center"/>
    </xf>
    <xf numFmtId="164" fontId="321" fillId="0" borderId="1" xfId="3" applyNumberFormat="1" applyFont="1" applyBorder="1" applyAlignment="1">
      <alignment horizontal="center" vertical="center"/>
    </xf>
    <xf numFmtId="0" fontId="321" fillId="0" borderId="1" xfId="3" applyFont="1" applyBorder="1" applyAlignment="1">
      <alignment horizontal="center" vertical="center"/>
    </xf>
    <xf numFmtId="0" fontId="321" fillId="0" borderId="1" xfId="3" applyFont="1" applyBorder="1" applyAlignment="1">
      <alignment horizontal="center" vertical="center" wrapText="1"/>
    </xf>
    <xf numFmtId="0" fontId="320" fillId="3" borderId="1" xfId="3" applyFont="1" applyFill="1" applyBorder="1" applyAlignment="1">
      <alignment horizontal="center" vertical="center" wrapText="1"/>
    </xf>
    <xf numFmtId="16" fontId="320" fillId="3" borderId="1" xfId="3" applyNumberFormat="1" applyFont="1" applyFill="1" applyBorder="1" applyAlignment="1">
      <alignment horizontal="center" vertical="center"/>
    </xf>
    <xf numFmtId="20" fontId="320" fillId="3" borderId="1" xfId="3" applyNumberFormat="1" applyFont="1" applyFill="1" applyBorder="1" applyAlignment="1">
      <alignment horizontal="center" vertical="center"/>
    </xf>
    <xf numFmtId="164" fontId="319" fillId="3" borderId="1" xfId="3" applyNumberFormat="1" applyFont="1" applyFill="1" applyBorder="1" applyAlignment="1">
      <alignment horizontal="center" vertical="center"/>
    </xf>
    <xf numFmtId="0" fontId="319" fillId="3" borderId="1" xfId="3" applyFont="1" applyFill="1" applyBorder="1" applyAlignment="1">
      <alignment horizontal="center" vertical="center"/>
    </xf>
    <xf numFmtId="0" fontId="319" fillId="3" borderId="1" xfId="3" applyFont="1" applyFill="1" applyBorder="1" applyAlignment="1">
      <alignment horizontal="center" vertical="center" wrapText="1"/>
    </xf>
    <xf numFmtId="164" fontId="318" fillId="0" borderId="1" xfId="3" applyNumberFormat="1" applyFont="1" applyBorder="1" applyAlignment="1">
      <alignment horizontal="center" vertical="center"/>
    </xf>
    <xf numFmtId="0" fontId="318" fillId="0" borderId="1" xfId="3" applyFont="1" applyBorder="1" applyAlignment="1">
      <alignment horizontal="center" vertical="center"/>
    </xf>
    <xf numFmtId="0" fontId="318" fillId="0" borderId="1" xfId="3" applyFont="1" applyBorder="1" applyAlignment="1">
      <alignment horizontal="center" vertical="center" wrapText="1"/>
    </xf>
    <xf numFmtId="164" fontId="317" fillId="0" borderId="1" xfId="3" applyNumberFormat="1" applyFont="1" applyBorder="1" applyAlignment="1">
      <alignment horizontal="center" vertical="center"/>
    </xf>
    <xf numFmtId="0" fontId="317" fillId="0" borderId="1" xfId="3" applyFont="1" applyBorder="1" applyAlignment="1">
      <alignment horizontal="center" vertical="center" wrapText="1"/>
    </xf>
    <xf numFmtId="20" fontId="317" fillId="0" borderId="1" xfId="3" applyNumberFormat="1" applyFont="1" applyBorder="1" applyAlignment="1">
      <alignment horizontal="center" vertical="center"/>
    </xf>
    <xf numFmtId="0" fontId="315" fillId="0" borderId="1" xfId="3" applyFont="1" applyBorder="1" applyAlignment="1">
      <alignment horizontal="center" vertical="center" wrapText="1"/>
    </xf>
    <xf numFmtId="164" fontId="315" fillId="0" borderId="1" xfId="3" applyNumberFormat="1" applyFont="1" applyBorder="1" applyAlignment="1">
      <alignment horizontal="center" vertical="center"/>
    </xf>
    <xf numFmtId="0" fontId="314" fillId="0" borderId="1" xfId="3" applyFont="1" applyBorder="1" applyAlignment="1">
      <alignment horizontal="center" vertical="center"/>
    </xf>
    <xf numFmtId="0" fontId="314" fillId="0" borderId="1" xfId="3" applyFont="1" applyBorder="1" applyAlignment="1">
      <alignment horizontal="center" vertical="center" wrapText="1"/>
    </xf>
    <xf numFmtId="0" fontId="314" fillId="3" borderId="1" xfId="3" applyFont="1" applyFill="1" applyBorder="1" applyAlignment="1">
      <alignment horizontal="center" vertical="center" wrapText="1"/>
    </xf>
    <xf numFmtId="20" fontId="314" fillId="3" borderId="1" xfId="3" applyNumberFormat="1" applyFont="1" applyFill="1" applyBorder="1" applyAlignment="1">
      <alignment horizontal="center" vertical="center"/>
    </xf>
    <xf numFmtId="0" fontId="313" fillId="0" borderId="1" xfId="3" applyFont="1" applyBorder="1" applyAlignment="1">
      <alignment horizontal="center" vertical="center"/>
    </xf>
    <xf numFmtId="0" fontId="313" fillId="0" borderId="1" xfId="3" applyFont="1" applyBorder="1" applyAlignment="1">
      <alignment horizontal="center" vertical="center" wrapText="1"/>
    </xf>
    <xf numFmtId="0" fontId="313" fillId="3" borderId="1" xfId="3" applyFont="1" applyFill="1" applyBorder="1" applyAlignment="1">
      <alignment horizontal="center" vertical="center" wrapText="1"/>
    </xf>
    <xf numFmtId="0" fontId="312" fillId="0" borderId="1" xfId="3" applyFont="1" applyBorder="1" applyAlignment="1">
      <alignment horizontal="center" vertical="center" wrapText="1"/>
    </xf>
    <xf numFmtId="16" fontId="312" fillId="0" borderId="1" xfId="3" applyNumberFormat="1" applyFont="1" applyBorder="1" applyAlignment="1">
      <alignment horizontal="center" vertical="center"/>
    </xf>
    <xf numFmtId="164" fontId="312" fillId="0" borderId="1" xfId="3" applyNumberFormat="1" applyFont="1" applyBorder="1" applyAlignment="1">
      <alignment horizontal="center" vertical="center"/>
    </xf>
    <xf numFmtId="0" fontId="311" fillId="3" borderId="1" xfId="3" applyFont="1" applyFill="1" applyBorder="1" applyAlignment="1">
      <alignment horizontal="center" vertical="center" wrapText="1"/>
    </xf>
    <xf numFmtId="16" fontId="312" fillId="3" borderId="1" xfId="3" applyNumberFormat="1" applyFont="1" applyFill="1" applyBorder="1" applyAlignment="1">
      <alignment horizontal="center" vertical="center"/>
    </xf>
    <xf numFmtId="164" fontId="310" fillId="0" borderId="1" xfId="3" applyNumberFormat="1" applyFont="1" applyBorder="1" applyAlignment="1">
      <alignment horizontal="center" vertical="center"/>
    </xf>
    <xf numFmtId="0" fontId="310" fillId="0" borderId="1" xfId="3" applyFont="1" applyBorder="1" applyAlignment="1">
      <alignment horizontal="center" vertical="center" wrapText="1"/>
    </xf>
    <xf numFmtId="164" fontId="309" fillId="0" borderId="1" xfId="3" applyNumberFormat="1" applyFont="1" applyBorder="1" applyAlignment="1">
      <alignment horizontal="center" vertical="center"/>
    </xf>
    <xf numFmtId="0" fontId="309" fillId="0" borderId="1" xfId="3" applyFont="1" applyBorder="1" applyAlignment="1">
      <alignment horizontal="center" vertical="center"/>
    </xf>
    <xf numFmtId="0" fontId="309" fillId="0" borderId="1" xfId="3" applyFont="1" applyBorder="1" applyAlignment="1">
      <alignment horizontal="center" vertical="center" wrapText="1"/>
    </xf>
    <xf numFmtId="164" fontId="308" fillId="0" borderId="1" xfId="3" applyNumberFormat="1" applyFont="1" applyBorder="1" applyAlignment="1">
      <alignment horizontal="center" vertical="center"/>
    </xf>
    <xf numFmtId="0" fontId="308" fillId="0" borderId="1" xfId="3" applyFont="1" applyBorder="1" applyAlignment="1">
      <alignment horizontal="center" vertical="center" wrapText="1"/>
    </xf>
    <xf numFmtId="20" fontId="308" fillId="0" borderId="1" xfId="3" applyNumberFormat="1" applyFont="1" applyBorder="1" applyAlignment="1">
      <alignment horizontal="center" vertical="center"/>
    </xf>
    <xf numFmtId="0" fontId="307" fillId="0" borderId="1" xfId="3" applyFont="1" applyBorder="1" applyAlignment="1">
      <alignment horizontal="center" vertical="center"/>
    </xf>
    <xf numFmtId="0" fontId="307" fillId="0" borderId="1" xfId="3" applyFont="1" applyBorder="1" applyAlignment="1">
      <alignment horizontal="center" vertical="center" wrapText="1"/>
    </xf>
    <xf numFmtId="164" fontId="306" fillId="0" borderId="1" xfId="3" applyNumberFormat="1" applyFont="1" applyBorder="1" applyAlignment="1">
      <alignment horizontal="center" vertical="center"/>
    </xf>
    <xf numFmtId="164" fontId="305" fillId="0" borderId="1" xfId="3" applyNumberFormat="1" applyFont="1" applyBorder="1" applyAlignment="1">
      <alignment horizontal="center" vertical="center"/>
    </xf>
    <xf numFmtId="0" fontId="305" fillId="0" borderId="1" xfId="3" applyFont="1" applyBorder="1" applyAlignment="1">
      <alignment horizontal="center" vertical="center" wrapText="1"/>
    </xf>
    <xf numFmtId="20" fontId="305" fillId="0" borderId="1" xfId="3" applyNumberFormat="1" applyFont="1" applyBorder="1" applyAlignment="1">
      <alignment horizontal="center" vertical="center"/>
    </xf>
    <xf numFmtId="164" fontId="304" fillId="0" borderId="1" xfId="3" applyNumberFormat="1" applyFont="1" applyBorder="1" applyAlignment="1">
      <alignment horizontal="center" vertical="center"/>
    </xf>
    <xf numFmtId="0" fontId="304" fillId="0" borderId="1" xfId="3" applyFont="1" applyBorder="1" applyAlignment="1">
      <alignment horizontal="center" vertical="center"/>
    </xf>
    <xf numFmtId="0" fontId="304" fillId="0" borderId="1" xfId="3" applyFont="1" applyBorder="1" applyAlignment="1">
      <alignment horizontal="center" vertical="center" wrapText="1"/>
    </xf>
    <xf numFmtId="20" fontId="304" fillId="0" borderId="1" xfId="3" applyNumberFormat="1" applyFont="1" applyBorder="1" applyAlignment="1">
      <alignment horizontal="center" vertical="center"/>
    </xf>
    <xf numFmtId="164" fontId="306" fillId="3" borderId="1" xfId="3" applyNumberFormat="1" applyFont="1" applyFill="1" applyBorder="1" applyAlignment="1">
      <alignment horizontal="center" vertical="center"/>
    </xf>
    <xf numFmtId="164" fontId="303" fillId="0" borderId="1" xfId="3" applyNumberFormat="1" applyFont="1" applyBorder="1" applyAlignment="1">
      <alignment horizontal="center" vertical="center"/>
    </xf>
    <xf numFmtId="0" fontId="303" fillId="0" borderId="1" xfId="3" applyFont="1" applyBorder="1" applyAlignment="1">
      <alignment horizontal="center" vertical="center" wrapText="1"/>
    </xf>
    <xf numFmtId="164" fontId="302" fillId="0" borderId="1" xfId="3" applyNumberFormat="1" applyFont="1" applyBorder="1" applyAlignment="1">
      <alignment horizontal="center" vertical="center"/>
    </xf>
    <xf numFmtId="0" fontId="302" fillId="0" borderId="1" xfId="3" applyFont="1" applyBorder="1" applyAlignment="1">
      <alignment horizontal="center" vertical="center"/>
    </xf>
    <xf numFmtId="0" fontId="302" fillId="0" borderId="1" xfId="3" applyFont="1" applyBorder="1" applyAlignment="1">
      <alignment horizontal="center" vertical="center" wrapText="1"/>
    </xf>
    <xf numFmtId="164" fontId="301" fillId="0" borderId="1" xfId="3" applyNumberFormat="1" applyFont="1" applyBorder="1" applyAlignment="1">
      <alignment horizontal="center" vertical="center"/>
    </xf>
    <xf numFmtId="0" fontId="301" fillId="0" borderId="1" xfId="3" applyFont="1" applyBorder="1" applyAlignment="1">
      <alignment horizontal="center" vertical="center"/>
    </xf>
    <xf numFmtId="0" fontId="301" fillId="0" borderId="1" xfId="3" applyFont="1" applyBorder="1" applyAlignment="1">
      <alignment horizontal="center" vertical="center" wrapText="1"/>
    </xf>
    <xf numFmtId="164" fontId="300" fillId="0" borderId="1" xfId="3" applyNumberFormat="1" applyFont="1" applyBorder="1" applyAlignment="1">
      <alignment horizontal="center" vertical="center"/>
    </xf>
    <xf numFmtId="0" fontId="300" fillId="0" borderId="1" xfId="3" applyFont="1" applyBorder="1" applyAlignment="1">
      <alignment horizontal="center" vertical="center"/>
    </xf>
    <xf numFmtId="0" fontId="300" fillId="0" borderId="1" xfId="3" applyFont="1" applyBorder="1" applyAlignment="1">
      <alignment horizontal="center" vertical="center" wrapText="1"/>
    </xf>
    <xf numFmtId="20" fontId="300" fillId="0" borderId="1" xfId="3" applyNumberFormat="1" applyFont="1" applyBorder="1" applyAlignment="1">
      <alignment horizontal="center" vertical="center"/>
    </xf>
    <xf numFmtId="164" fontId="299" fillId="0" borderId="1" xfId="3" applyNumberFormat="1" applyFont="1" applyBorder="1" applyAlignment="1">
      <alignment horizontal="center" vertical="center"/>
    </xf>
    <xf numFmtId="0" fontId="299" fillId="0" borderId="1" xfId="3" applyFont="1" applyBorder="1" applyAlignment="1">
      <alignment horizontal="center" vertical="center" wrapText="1"/>
    </xf>
    <xf numFmtId="0" fontId="298" fillId="0" borderId="1" xfId="3" applyFont="1" applyBorder="1" applyAlignment="1">
      <alignment horizontal="center" vertical="center"/>
    </xf>
    <xf numFmtId="0" fontId="298" fillId="0" borderId="1" xfId="3" applyFont="1" applyBorder="1" applyAlignment="1">
      <alignment horizontal="center" vertical="center" wrapText="1"/>
    </xf>
    <xf numFmtId="164" fontId="297" fillId="0" borderId="1" xfId="3" applyNumberFormat="1" applyFont="1" applyBorder="1" applyAlignment="1">
      <alignment horizontal="center" vertical="center"/>
    </xf>
    <xf numFmtId="0" fontId="297" fillId="0" borderId="1" xfId="3" applyFont="1" applyBorder="1" applyAlignment="1">
      <alignment horizontal="center" vertical="center"/>
    </xf>
    <xf numFmtId="0" fontId="297" fillId="0" borderId="1" xfId="3" applyFont="1" applyBorder="1" applyAlignment="1">
      <alignment horizontal="center" vertical="center" wrapText="1"/>
    </xf>
    <xf numFmtId="0" fontId="296" fillId="0" borderId="1" xfId="3" applyFont="1" applyBorder="1" applyAlignment="1">
      <alignment horizontal="center" vertical="center"/>
    </xf>
    <xf numFmtId="0" fontId="295" fillId="3" borderId="1" xfId="3" applyFont="1" applyFill="1" applyBorder="1" applyAlignment="1">
      <alignment horizontal="center" vertical="center" wrapText="1"/>
    </xf>
    <xf numFmtId="16" fontId="295" fillId="3" borderId="1" xfId="3" applyNumberFormat="1" applyFont="1" applyFill="1" applyBorder="1" applyAlignment="1">
      <alignment horizontal="center" vertical="center"/>
    </xf>
    <xf numFmtId="0" fontId="295" fillId="0" borderId="1" xfId="3" applyFont="1" applyBorder="1" applyAlignment="1">
      <alignment horizontal="center" vertical="center" wrapText="1"/>
    </xf>
    <xf numFmtId="20" fontId="295" fillId="0" borderId="1" xfId="3" applyNumberFormat="1" applyFont="1" applyBorder="1" applyAlignment="1">
      <alignment horizontal="center" vertical="center"/>
    </xf>
    <xf numFmtId="164" fontId="295" fillId="0" borderId="1" xfId="3" applyNumberFormat="1" applyFont="1" applyBorder="1" applyAlignment="1">
      <alignment horizontal="center" vertical="center"/>
    </xf>
    <xf numFmtId="0" fontId="294" fillId="0" borderId="1" xfId="3" applyFont="1" applyBorder="1" applyAlignment="1">
      <alignment horizontal="center" vertical="center"/>
    </xf>
    <xf numFmtId="0" fontId="294" fillId="0" borderId="1" xfId="3" applyFont="1" applyBorder="1" applyAlignment="1">
      <alignment horizontal="center" vertical="center" wrapText="1"/>
    </xf>
    <xf numFmtId="164" fontId="294" fillId="0" borderId="1" xfId="3" applyNumberFormat="1" applyFont="1" applyBorder="1" applyAlignment="1">
      <alignment horizontal="center" vertical="center"/>
    </xf>
    <xf numFmtId="0" fontId="292" fillId="0" borderId="1" xfId="3" applyFont="1" applyBorder="1" applyAlignment="1">
      <alignment horizontal="center" vertical="center"/>
    </xf>
    <xf numFmtId="0" fontId="292" fillId="0" borderId="1" xfId="3" applyFont="1" applyBorder="1" applyAlignment="1">
      <alignment horizontal="center" vertical="center" wrapText="1"/>
    </xf>
    <xf numFmtId="164" fontId="292" fillId="0" borderId="1" xfId="3" applyNumberFormat="1" applyFont="1" applyBorder="1" applyAlignment="1">
      <alignment horizontal="center" vertical="center"/>
    </xf>
    <xf numFmtId="164" fontId="291" fillId="0" borderId="1" xfId="3" applyNumberFormat="1" applyFont="1" applyBorder="1" applyAlignment="1">
      <alignment horizontal="center" vertical="center"/>
    </xf>
    <xf numFmtId="0" fontId="291" fillId="0" borderId="1" xfId="3" applyFont="1" applyBorder="1" applyAlignment="1">
      <alignment horizontal="center" vertical="center"/>
    </xf>
    <xf numFmtId="0" fontId="291" fillId="0" borderId="1" xfId="3" applyFont="1" applyBorder="1" applyAlignment="1">
      <alignment horizontal="center" vertical="center" wrapText="1"/>
    </xf>
    <xf numFmtId="0" fontId="290" fillId="0" borderId="1" xfId="3" applyFont="1" applyBorder="1" applyAlignment="1">
      <alignment horizontal="center" vertical="center"/>
    </xf>
    <xf numFmtId="0" fontId="290" fillId="0" borderId="1" xfId="3" applyFont="1" applyBorder="1" applyAlignment="1">
      <alignment horizontal="center" vertical="center" wrapText="1"/>
    </xf>
    <xf numFmtId="0" fontId="289" fillId="3" borderId="1" xfId="3" applyFont="1" applyFill="1" applyBorder="1" applyAlignment="1">
      <alignment horizontal="center" vertical="center"/>
    </xf>
    <xf numFmtId="0" fontId="288" fillId="3" borderId="1" xfId="3" applyFont="1" applyFill="1" applyBorder="1" applyAlignment="1">
      <alignment horizontal="center" vertical="center" wrapText="1"/>
    </xf>
    <xf numFmtId="164" fontId="288" fillId="0" borderId="1" xfId="3" applyNumberFormat="1" applyFont="1" applyBorder="1" applyAlignment="1">
      <alignment horizontal="center" vertical="center"/>
    </xf>
    <xf numFmtId="0" fontId="288" fillId="0" borderId="1" xfId="3" applyFont="1" applyBorder="1" applyAlignment="1">
      <alignment horizontal="center" vertical="center"/>
    </xf>
    <xf numFmtId="0" fontId="288" fillId="0" borderId="1" xfId="3" applyFont="1" applyBorder="1" applyAlignment="1">
      <alignment horizontal="center" vertical="center" wrapText="1"/>
    </xf>
    <xf numFmtId="0" fontId="287" fillId="0" borderId="1" xfId="3" applyFont="1" applyBorder="1" applyAlignment="1">
      <alignment horizontal="center" vertical="center"/>
    </xf>
    <xf numFmtId="0" fontId="287" fillId="0" borderId="1" xfId="3" applyFont="1" applyBorder="1" applyAlignment="1">
      <alignment horizontal="center" vertical="center" wrapText="1"/>
    </xf>
    <xf numFmtId="164" fontId="286" fillId="0" borderId="1" xfId="3" applyNumberFormat="1" applyFont="1" applyBorder="1" applyAlignment="1">
      <alignment horizontal="center" vertical="center"/>
    </xf>
    <xf numFmtId="0" fontId="286" fillId="0" borderId="1" xfId="3" applyFont="1" applyBorder="1" applyAlignment="1">
      <alignment horizontal="center" vertical="center"/>
    </xf>
    <xf numFmtId="0" fontId="286" fillId="0" borderId="1" xfId="3" applyFont="1" applyBorder="1" applyAlignment="1">
      <alignment horizontal="center" vertical="center" wrapText="1"/>
    </xf>
    <xf numFmtId="164" fontId="285" fillId="0" borderId="1" xfId="3" applyNumberFormat="1" applyFont="1" applyBorder="1" applyAlignment="1">
      <alignment horizontal="center" vertical="center"/>
    </xf>
    <xf numFmtId="0" fontId="285" fillId="0" borderId="1" xfId="3" applyFont="1" applyBorder="1" applyAlignment="1">
      <alignment horizontal="center" vertical="center"/>
    </xf>
    <xf numFmtId="0" fontId="285" fillId="0" borderId="1" xfId="3" applyFont="1" applyBorder="1" applyAlignment="1">
      <alignment horizontal="center" vertical="center" wrapText="1"/>
    </xf>
    <xf numFmtId="0" fontId="284" fillId="0" borderId="1" xfId="3" applyFont="1" applyBorder="1" applyAlignment="1">
      <alignment horizontal="center" vertical="center"/>
    </xf>
    <xf numFmtId="0" fontId="284" fillId="0" borderId="1" xfId="3" applyFont="1" applyBorder="1" applyAlignment="1">
      <alignment horizontal="center" vertical="center" wrapText="1"/>
    </xf>
    <xf numFmtId="20" fontId="284" fillId="0" borderId="1" xfId="3" applyNumberFormat="1" applyFont="1" applyBorder="1" applyAlignment="1">
      <alignment horizontal="center" vertical="center"/>
    </xf>
    <xf numFmtId="0" fontId="283" fillId="0" borderId="1" xfId="3" applyFont="1" applyBorder="1" applyAlignment="1">
      <alignment horizontal="center" vertical="center"/>
    </xf>
    <xf numFmtId="0" fontId="283" fillId="0" borderId="1" xfId="3" applyFont="1" applyBorder="1" applyAlignment="1">
      <alignment horizontal="center" vertical="center" wrapText="1"/>
    </xf>
    <xf numFmtId="20" fontId="283" fillId="0" borderId="1" xfId="3" applyNumberFormat="1" applyFont="1" applyBorder="1" applyAlignment="1">
      <alignment horizontal="center" vertical="center"/>
    </xf>
    <xf numFmtId="164" fontId="282" fillId="0" borderId="1" xfId="3" applyNumberFormat="1" applyFont="1" applyBorder="1" applyAlignment="1">
      <alignment horizontal="center" vertical="center"/>
    </xf>
    <xf numFmtId="0" fontId="282" fillId="0" borderId="1" xfId="3" applyFont="1" applyBorder="1" applyAlignment="1">
      <alignment horizontal="center" vertical="center"/>
    </xf>
    <xf numFmtId="0" fontId="282" fillId="0" borderId="1" xfId="3" applyFont="1" applyBorder="1" applyAlignment="1">
      <alignment horizontal="center" vertical="center" wrapText="1"/>
    </xf>
    <xf numFmtId="20" fontId="282" fillId="0" borderId="1" xfId="3" applyNumberFormat="1" applyFont="1" applyBorder="1" applyAlignment="1">
      <alignment horizontal="center" vertical="center"/>
    </xf>
    <xf numFmtId="164" fontId="281" fillId="0" borderId="1" xfId="3" applyNumberFormat="1" applyFont="1" applyBorder="1" applyAlignment="1">
      <alignment horizontal="center" vertical="center"/>
    </xf>
    <xf numFmtId="0" fontId="281" fillId="0" borderId="1" xfId="3" applyFont="1" applyBorder="1" applyAlignment="1">
      <alignment horizontal="center" vertical="center"/>
    </xf>
    <xf numFmtId="0" fontId="281" fillId="0" borderId="1" xfId="3" applyFont="1" applyBorder="1" applyAlignment="1">
      <alignment horizontal="center" vertical="center" wrapText="1"/>
    </xf>
    <xf numFmtId="0" fontId="281" fillId="3" borderId="1" xfId="3" applyFont="1" applyFill="1" applyBorder="1" applyAlignment="1">
      <alignment horizontal="center" vertical="center" wrapText="1"/>
    </xf>
    <xf numFmtId="164" fontId="280" fillId="0" borderId="1" xfId="3" applyNumberFormat="1" applyFont="1" applyBorder="1" applyAlignment="1">
      <alignment horizontal="center" vertical="center"/>
    </xf>
    <xf numFmtId="0" fontId="280" fillId="0" borderId="1" xfId="3" applyFont="1" applyBorder="1" applyAlignment="1">
      <alignment horizontal="center" vertical="center"/>
    </xf>
    <xf numFmtId="0" fontId="280" fillId="0" borderId="1" xfId="3" applyFont="1" applyBorder="1" applyAlignment="1">
      <alignment horizontal="center" vertical="center" wrapText="1"/>
    </xf>
    <xf numFmtId="164" fontId="279" fillId="0" borderId="1" xfId="3" applyNumberFormat="1" applyFont="1" applyBorder="1" applyAlignment="1">
      <alignment horizontal="center" vertical="center"/>
    </xf>
    <xf numFmtId="0" fontId="279" fillId="0" borderId="1" xfId="3" applyFont="1" applyBorder="1" applyAlignment="1">
      <alignment horizontal="center" vertical="center"/>
    </xf>
    <xf numFmtId="0" fontId="279" fillId="0" borderId="1" xfId="3" applyFont="1" applyBorder="1" applyAlignment="1">
      <alignment horizontal="center" vertical="center" wrapText="1"/>
    </xf>
    <xf numFmtId="20" fontId="279" fillId="0" borderId="1" xfId="3" applyNumberFormat="1" applyFont="1" applyBorder="1" applyAlignment="1">
      <alignment horizontal="center" vertical="center"/>
    </xf>
    <xf numFmtId="0" fontId="278" fillId="0" borderId="1" xfId="3" applyFont="1" applyBorder="1" applyAlignment="1">
      <alignment horizontal="center" vertical="center"/>
    </xf>
    <xf numFmtId="0" fontId="359" fillId="0" borderId="1" xfId="3" applyFont="1" applyBorder="1" applyAlignment="1">
      <alignment horizontal="center" vertical="center" wrapText="1"/>
    </xf>
    <xf numFmtId="164" fontId="277" fillId="0" borderId="1" xfId="3" applyNumberFormat="1" applyFont="1" applyBorder="1" applyAlignment="1">
      <alignment horizontal="center" vertical="center"/>
    </xf>
    <xf numFmtId="0" fontId="277" fillId="0" borderId="1" xfId="3" applyFont="1" applyBorder="1" applyAlignment="1">
      <alignment horizontal="center" vertical="center"/>
    </xf>
    <xf numFmtId="164" fontId="276" fillId="0" borderId="1" xfId="3" applyNumberFormat="1" applyFont="1" applyBorder="1" applyAlignment="1">
      <alignment horizontal="center" vertical="center"/>
    </xf>
    <xf numFmtId="0" fontId="276" fillId="0" borderId="1" xfId="3" applyFont="1" applyBorder="1" applyAlignment="1">
      <alignment horizontal="center" vertical="center"/>
    </xf>
    <xf numFmtId="0" fontId="276" fillId="0" borderId="1" xfId="3" applyFont="1" applyBorder="1" applyAlignment="1">
      <alignment horizontal="center" vertical="center" wrapText="1"/>
    </xf>
    <xf numFmtId="164" fontId="275" fillId="0" borderId="1" xfId="3" applyNumberFormat="1" applyFont="1" applyBorder="1" applyAlignment="1">
      <alignment horizontal="center" vertical="center"/>
    </xf>
    <xf numFmtId="0" fontId="275" fillId="0" borderId="1" xfId="3" applyFont="1" applyBorder="1" applyAlignment="1">
      <alignment horizontal="center" vertical="center"/>
    </xf>
    <xf numFmtId="0" fontId="275" fillId="0" borderId="1" xfId="3" applyFont="1" applyBorder="1" applyAlignment="1">
      <alignment horizontal="center" vertical="center" wrapText="1"/>
    </xf>
    <xf numFmtId="164" fontId="274" fillId="0" borderId="1" xfId="3" applyNumberFormat="1" applyFont="1" applyBorder="1" applyAlignment="1">
      <alignment horizontal="center" vertical="center"/>
    </xf>
    <xf numFmtId="0" fontId="274" fillId="0" borderId="1" xfId="3" applyFont="1" applyBorder="1" applyAlignment="1">
      <alignment horizontal="center" vertical="center"/>
    </xf>
    <xf numFmtId="0" fontId="274" fillId="0" borderId="1" xfId="3" applyFont="1" applyBorder="1" applyAlignment="1">
      <alignment horizontal="center" vertical="center" wrapText="1"/>
    </xf>
    <xf numFmtId="0" fontId="273" fillId="3" borderId="1" xfId="3" applyFont="1" applyFill="1" applyBorder="1" applyAlignment="1">
      <alignment horizontal="center" vertical="center" wrapText="1"/>
    </xf>
    <xf numFmtId="0" fontId="272" fillId="0" borderId="1" xfId="3" applyFont="1" applyBorder="1" applyAlignment="1">
      <alignment horizontal="center" vertical="center"/>
    </xf>
    <xf numFmtId="0" fontId="272" fillId="0" borderId="1" xfId="3" applyFont="1" applyBorder="1" applyAlignment="1">
      <alignment horizontal="center" vertical="center" wrapText="1"/>
    </xf>
    <xf numFmtId="164" fontId="271" fillId="0" borderId="1" xfId="3" applyNumberFormat="1" applyFont="1" applyBorder="1" applyAlignment="1">
      <alignment horizontal="center" vertical="center"/>
    </xf>
    <xf numFmtId="0" fontId="271" fillId="0" borderId="1" xfId="3" applyFont="1" applyBorder="1" applyAlignment="1">
      <alignment horizontal="center" vertical="center"/>
    </xf>
    <xf numFmtId="0" fontId="271" fillId="0" borderId="1" xfId="3" applyFont="1" applyBorder="1" applyAlignment="1">
      <alignment horizontal="center" vertical="center" wrapText="1"/>
    </xf>
    <xf numFmtId="20" fontId="271" fillId="0" borderId="1" xfId="3" applyNumberFormat="1" applyFont="1" applyBorder="1" applyAlignment="1">
      <alignment horizontal="center" vertical="center"/>
    </xf>
    <xf numFmtId="164" fontId="270" fillId="0" borderId="1" xfId="3" applyNumberFormat="1" applyFont="1" applyBorder="1" applyAlignment="1">
      <alignment horizontal="center" vertical="center"/>
    </xf>
    <xf numFmtId="0" fontId="270" fillId="0" borderId="1" xfId="3" applyFont="1" applyBorder="1" applyAlignment="1">
      <alignment horizontal="center" vertical="center"/>
    </xf>
    <xf numFmtId="0" fontId="270" fillId="0" borderId="1" xfId="3" applyFont="1" applyBorder="1" applyAlignment="1">
      <alignment horizontal="center" vertical="center" wrapText="1"/>
    </xf>
    <xf numFmtId="20" fontId="270" fillId="0" borderId="1" xfId="3" applyNumberFormat="1" applyFont="1" applyBorder="1" applyAlignment="1">
      <alignment horizontal="center" vertical="center"/>
    </xf>
    <xf numFmtId="0" fontId="269" fillId="3" borderId="1" xfId="3" applyFont="1" applyFill="1" applyBorder="1" applyAlignment="1">
      <alignment horizontal="center" vertical="center" wrapText="1"/>
    </xf>
    <xf numFmtId="164" fontId="269" fillId="0" borderId="1" xfId="3" applyNumberFormat="1" applyFont="1" applyBorder="1" applyAlignment="1">
      <alignment horizontal="center" vertical="center"/>
    </xf>
    <xf numFmtId="0" fontId="269" fillId="0" borderId="1" xfId="3" applyFont="1" applyBorder="1" applyAlignment="1">
      <alignment horizontal="center" vertical="center"/>
    </xf>
    <xf numFmtId="0" fontId="269" fillId="0" borderId="1" xfId="3" applyFont="1" applyBorder="1" applyAlignment="1">
      <alignment horizontal="center" vertical="center" wrapText="1"/>
    </xf>
    <xf numFmtId="164" fontId="268" fillId="0" borderId="1" xfId="3" applyNumberFormat="1" applyFont="1" applyBorder="1" applyAlignment="1">
      <alignment horizontal="center" vertical="center"/>
    </xf>
    <xf numFmtId="0" fontId="268" fillId="0" borderId="1" xfId="3" applyFont="1" applyBorder="1" applyAlignment="1">
      <alignment horizontal="center" vertical="center"/>
    </xf>
    <xf numFmtId="0" fontId="268" fillId="0" borderId="1" xfId="3" applyFont="1" applyBorder="1" applyAlignment="1">
      <alignment horizontal="center" vertical="center" wrapText="1"/>
    </xf>
    <xf numFmtId="0" fontId="267" fillId="0" borderId="1" xfId="3" applyFont="1" applyBorder="1" applyAlignment="1">
      <alignment horizontal="center" vertical="center"/>
    </xf>
    <xf numFmtId="0" fontId="267" fillId="0" borderId="1" xfId="3" applyFont="1" applyBorder="1" applyAlignment="1">
      <alignment horizontal="center" vertical="center" wrapText="1"/>
    </xf>
    <xf numFmtId="0" fontId="266" fillId="0" borderId="1" xfId="3" applyFont="1" applyBorder="1" applyAlignment="1">
      <alignment horizontal="center" vertical="center"/>
    </xf>
    <xf numFmtId="0" fontId="266" fillId="0" borderId="1" xfId="3" applyFont="1" applyBorder="1" applyAlignment="1">
      <alignment horizontal="center" vertical="center" wrapText="1"/>
    </xf>
    <xf numFmtId="20" fontId="266" fillId="0" borderId="1" xfId="3" applyNumberFormat="1" applyFont="1" applyBorder="1" applyAlignment="1">
      <alignment horizontal="center" vertical="center"/>
    </xf>
    <xf numFmtId="0" fontId="360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60" fillId="5" borderId="2" xfId="0" applyFont="1" applyFill="1" applyBorder="1" applyAlignment="1">
      <alignment horizontal="center" vertical="center"/>
    </xf>
    <xf numFmtId="0" fontId="265" fillId="3" borderId="1" xfId="3" applyFont="1" applyFill="1" applyBorder="1" applyAlignment="1">
      <alignment horizontal="center" vertical="center" wrapText="1"/>
    </xf>
    <xf numFmtId="0" fontId="355" fillId="0" borderId="0" xfId="3" applyAlignment="1">
      <alignment horizontal="center" vertical="center"/>
    </xf>
    <xf numFmtId="164" fontId="264" fillId="0" borderId="1" xfId="3" applyNumberFormat="1" applyFont="1" applyBorder="1" applyAlignment="1">
      <alignment horizontal="center" vertical="center"/>
    </xf>
    <xf numFmtId="0" fontId="355" fillId="0" borderId="2" xfId="3" applyBorder="1" applyAlignment="1">
      <alignment horizontal="center" vertical="center" wrapText="1"/>
    </xf>
    <xf numFmtId="20" fontId="358" fillId="0" borderId="3" xfId="2" applyNumberFormat="1" applyFont="1" applyBorder="1" applyAlignment="1">
      <alignment horizontal="center" vertical="center"/>
    </xf>
    <xf numFmtId="167" fontId="358" fillId="0" borderId="6" xfId="2" applyNumberFormat="1" applyFont="1" applyBorder="1" applyAlignment="1">
      <alignment horizontal="center" vertical="center"/>
    </xf>
    <xf numFmtId="0" fontId="262" fillId="0" borderId="1" xfId="3" applyFont="1" applyBorder="1" applyAlignment="1">
      <alignment horizontal="center" vertical="center"/>
    </xf>
    <xf numFmtId="0" fontId="262" fillId="0" borderId="1" xfId="3" applyFont="1" applyBorder="1" applyAlignment="1">
      <alignment horizontal="center" vertical="center" wrapText="1"/>
    </xf>
    <xf numFmtId="0" fontId="262" fillId="3" borderId="1" xfId="3" applyFont="1" applyFill="1" applyBorder="1" applyAlignment="1">
      <alignment horizontal="center" vertical="center"/>
    </xf>
    <xf numFmtId="0" fontId="262" fillId="3" borderId="1" xfId="3" applyFont="1" applyFill="1" applyBorder="1" applyAlignment="1">
      <alignment horizontal="center" vertical="center" wrapText="1"/>
    </xf>
    <xf numFmtId="0" fontId="355" fillId="3" borderId="6" xfId="3" applyFill="1" applyBorder="1" applyAlignment="1">
      <alignment horizontal="center" vertical="center"/>
    </xf>
    <xf numFmtId="0" fontId="358" fillId="3" borderId="6" xfId="3" applyFont="1" applyFill="1" applyBorder="1" applyAlignment="1">
      <alignment horizontal="center" vertical="center"/>
    </xf>
    <xf numFmtId="164" fontId="262" fillId="0" borderId="1" xfId="3" applyNumberFormat="1" applyFont="1" applyBorder="1" applyAlignment="1">
      <alignment horizontal="center" vertical="center"/>
    </xf>
    <xf numFmtId="0" fontId="261" fillId="0" borderId="1" xfId="3" applyFont="1" applyBorder="1" applyAlignment="1">
      <alignment horizontal="center" vertical="center"/>
    </xf>
    <xf numFmtId="0" fontId="261" fillId="0" borderId="3" xfId="3" applyFont="1" applyBorder="1" applyAlignment="1">
      <alignment horizontal="center" vertical="center" wrapText="1"/>
    </xf>
    <xf numFmtId="16" fontId="355" fillId="0" borderId="14" xfId="3" applyNumberFormat="1" applyFont="1" applyBorder="1" applyAlignment="1">
      <alignment horizontal="center" vertical="center"/>
    </xf>
    <xf numFmtId="20" fontId="355" fillId="0" borderId="5" xfId="3" applyNumberFormat="1" applyFont="1" applyBorder="1" applyAlignment="1">
      <alignment horizontal="center" vertical="center"/>
    </xf>
    <xf numFmtId="0" fontId="261" fillId="0" borderId="1" xfId="3" applyFont="1" applyBorder="1" applyAlignment="1">
      <alignment horizontal="center" vertical="center" wrapText="1"/>
    </xf>
    <xf numFmtId="20" fontId="261" fillId="0" borderId="1" xfId="3" applyNumberFormat="1" applyFont="1" applyBorder="1" applyAlignment="1">
      <alignment horizontal="center" vertical="center"/>
    </xf>
    <xf numFmtId="0" fontId="261" fillId="3" borderId="1" xfId="3" applyFont="1" applyFill="1" applyBorder="1" applyAlignment="1">
      <alignment horizontal="center" vertical="center" wrapText="1"/>
    </xf>
    <xf numFmtId="0" fontId="261" fillId="3" borderId="1" xfId="3" applyFont="1" applyFill="1" applyBorder="1" applyAlignment="1">
      <alignment horizontal="center" vertical="center"/>
    </xf>
    <xf numFmtId="16" fontId="355" fillId="0" borderId="3" xfId="3" applyNumberFormat="1" applyFont="1" applyBorder="1" applyAlignment="1">
      <alignment horizontal="center" vertical="center"/>
    </xf>
    <xf numFmtId="0" fontId="355" fillId="0" borderId="2" xfId="3" applyNumberFormat="1" applyFont="1" applyBorder="1" applyAlignment="1">
      <alignment horizontal="center" vertical="center"/>
    </xf>
    <xf numFmtId="20" fontId="355" fillId="0" borderId="2" xfId="3" applyNumberFormat="1" applyFont="1" applyBorder="1" applyAlignment="1">
      <alignment horizontal="center" vertical="center"/>
    </xf>
    <xf numFmtId="167" fontId="358" fillId="0" borderId="2" xfId="2" applyNumberFormat="1" applyFont="1" applyBorder="1" applyAlignment="1">
      <alignment horizontal="center" vertical="center"/>
    </xf>
    <xf numFmtId="0" fontId="260" fillId="3" borderId="1" xfId="3" applyFont="1" applyFill="1" applyBorder="1" applyAlignment="1">
      <alignment horizontal="center" vertical="center" wrapText="1"/>
    </xf>
    <xf numFmtId="164" fontId="259" fillId="0" borderId="1" xfId="3" applyNumberFormat="1" applyFont="1" applyBorder="1" applyAlignment="1">
      <alignment horizontal="center" vertical="center"/>
    </xf>
    <xf numFmtId="0" fontId="259" fillId="0" borderId="1" xfId="3" applyFont="1" applyBorder="1" applyAlignment="1">
      <alignment horizontal="center" vertical="center"/>
    </xf>
    <xf numFmtId="0" fontId="259" fillId="0" borderId="1" xfId="3" applyFont="1" applyBorder="1" applyAlignment="1">
      <alignment horizontal="center" vertical="center" wrapText="1"/>
    </xf>
    <xf numFmtId="20" fontId="259" fillId="0" borderId="1" xfId="3" applyNumberFormat="1" applyFont="1" applyBorder="1" applyAlignment="1">
      <alignment horizontal="center" vertical="center"/>
    </xf>
    <xf numFmtId="164" fontId="258" fillId="0" borderId="1" xfId="3" applyNumberFormat="1" applyFont="1" applyBorder="1" applyAlignment="1">
      <alignment horizontal="center" vertical="center"/>
    </xf>
    <xf numFmtId="0" fontId="258" fillId="0" borderId="1" xfId="3" applyFont="1" applyBorder="1" applyAlignment="1">
      <alignment horizontal="center" vertical="center"/>
    </xf>
    <xf numFmtId="0" fontId="258" fillId="0" borderId="1" xfId="3" applyFont="1" applyBorder="1" applyAlignment="1">
      <alignment horizontal="center" vertical="center" wrapText="1"/>
    </xf>
    <xf numFmtId="0" fontId="257" fillId="0" borderId="1" xfId="3" applyFont="1" applyBorder="1" applyAlignment="1">
      <alignment horizontal="center" vertical="center"/>
    </xf>
    <xf numFmtId="0" fontId="257" fillId="0" borderId="1" xfId="3" applyFont="1" applyBorder="1" applyAlignment="1">
      <alignment horizontal="center" vertical="center" wrapText="1"/>
    </xf>
    <xf numFmtId="164" fontId="256" fillId="0" borderId="1" xfId="3" applyNumberFormat="1" applyFont="1" applyBorder="1" applyAlignment="1">
      <alignment horizontal="center" vertical="center"/>
    </xf>
    <xf numFmtId="0" fontId="256" fillId="0" borderId="1" xfId="3" applyFont="1" applyBorder="1" applyAlignment="1">
      <alignment horizontal="center" vertical="center" wrapText="1"/>
    </xf>
    <xf numFmtId="164" fontId="255" fillId="0" borderId="1" xfId="3" applyNumberFormat="1" applyFont="1" applyBorder="1" applyAlignment="1">
      <alignment horizontal="center" vertical="center"/>
    </xf>
    <xf numFmtId="0" fontId="255" fillId="0" borderId="1" xfId="3" applyFont="1" applyBorder="1" applyAlignment="1">
      <alignment horizontal="center" vertical="center"/>
    </xf>
    <xf numFmtId="0" fontId="255" fillId="0" borderId="1" xfId="3" applyFont="1" applyBorder="1" applyAlignment="1">
      <alignment horizontal="center" vertical="center" wrapText="1"/>
    </xf>
    <xf numFmtId="43" fontId="358" fillId="0" borderId="6" xfId="2" applyFont="1" applyBorder="1" applyAlignment="1">
      <alignment horizontal="center" vertical="center"/>
    </xf>
    <xf numFmtId="0" fontId="355" fillId="0" borderId="15" xfId="3" applyNumberFormat="1" applyFont="1" applyBorder="1" applyAlignment="1">
      <alignment horizontal="center" vertical="center"/>
    </xf>
    <xf numFmtId="43" fontId="358" fillId="0" borderId="15" xfId="2" applyFont="1" applyBorder="1" applyAlignment="1">
      <alignment horizontal="center" vertical="center"/>
    </xf>
    <xf numFmtId="43" fontId="358" fillId="0" borderId="7" xfId="2" applyFont="1" applyBorder="1" applyAlignment="1">
      <alignment horizontal="center" vertical="center"/>
    </xf>
    <xf numFmtId="0" fontId="254" fillId="0" borderId="1" xfId="3" applyFont="1" applyBorder="1" applyAlignment="1">
      <alignment horizontal="center" vertical="center"/>
    </xf>
    <xf numFmtId="0" fontId="254" fillId="0" borderId="1" xfId="3" applyFont="1" applyBorder="1" applyAlignment="1">
      <alignment horizontal="center" vertical="center" wrapText="1"/>
    </xf>
    <xf numFmtId="164" fontId="253" fillId="0" borderId="1" xfId="3" applyNumberFormat="1" applyFont="1" applyBorder="1" applyAlignment="1">
      <alignment horizontal="center" vertical="center"/>
    </xf>
    <xf numFmtId="0" fontId="253" fillId="0" borderId="1" xfId="3" applyFont="1" applyBorder="1" applyAlignment="1">
      <alignment horizontal="center" vertical="center" wrapText="1"/>
    </xf>
    <xf numFmtId="0" fontId="252" fillId="0" borderId="0" xfId="3" applyFont="1" applyAlignment="1">
      <alignment horizontal="center" vertical="center"/>
    </xf>
    <xf numFmtId="164" fontId="252" fillId="0" borderId="1" xfId="3" applyNumberFormat="1" applyFont="1" applyBorder="1" applyAlignment="1">
      <alignment horizontal="center" vertical="center"/>
    </xf>
    <xf numFmtId="0" fontId="252" fillId="0" borderId="1" xfId="3" applyFont="1" applyBorder="1" applyAlignment="1">
      <alignment horizontal="center" vertical="center" wrapText="1"/>
    </xf>
    <xf numFmtId="16" fontId="252" fillId="0" borderId="1" xfId="3" applyNumberFormat="1" applyFont="1" applyBorder="1" applyAlignment="1">
      <alignment horizontal="center" vertical="center"/>
    </xf>
    <xf numFmtId="0" fontId="252" fillId="0" borderId="1" xfId="3" applyNumberFormat="1" applyFont="1" applyBorder="1" applyAlignment="1">
      <alignment horizontal="center" vertical="center"/>
    </xf>
    <xf numFmtId="20" fontId="252" fillId="0" borderId="1" xfId="3" applyNumberFormat="1" applyFont="1" applyBorder="1" applyAlignment="1">
      <alignment horizontal="center" vertical="center"/>
    </xf>
    <xf numFmtId="164" fontId="251" fillId="0" borderId="1" xfId="3" applyNumberFormat="1" applyFont="1" applyBorder="1" applyAlignment="1">
      <alignment horizontal="center" vertical="center"/>
    </xf>
    <xf numFmtId="0" fontId="251" fillId="0" borderId="1" xfId="3" applyFont="1" applyBorder="1" applyAlignment="1">
      <alignment horizontal="center" vertical="center"/>
    </xf>
    <xf numFmtId="0" fontId="251" fillId="0" borderId="1" xfId="3" applyFont="1" applyBorder="1" applyAlignment="1">
      <alignment horizontal="center" vertical="center" wrapText="1"/>
    </xf>
    <xf numFmtId="164" fontId="250" fillId="0" borderId="1" xfId="3" applyNumberFormat="1" applyFont="1" applyBorder="1" applyAlignment="1">
      <alignment horizontal="center" vertical="center"/>
    </xf>
    <xf numFmtId="0" fontId="249" fillId="0" borderId="1" xfId="3" applyFont="1" applyBorder="1" applyAlignment="1">
      <alignment horizontal="center" vertical="center"/>
    </xf>
    <xf numFmtId="0" fontId="250" fillId="0" borderId="1" xfId="3" applyFont="1" applyBorder="1" applyAlignment="1">
      <alignment horizontal="center" vertical="center" wrapText="1"/>
    </xf>
    <xf numFmtId="164" fontId="249" fillId="0" borderId="1" xfId="3" applyNumberFormat="1" applyFont="1" applyBorder="1" applyAlignment="1">
      <alignment horizontal="center" vertical="center"/>
    </xf>
    <xf numFmtId="0" fontId="249" fillId="0" borderId="1" xfId="3" applyFont="1" applyBorder="1" applyAlignment="1">
      <alignment horizontal="center" vertical="center" wrapText="1"/>
    </xf>
    <xf numFmtId="16" fontId="249" fillId="0" borderId="1" xfId="3" applyNumberFormat="1" applyFont="1" applyBorder="1" applyAlignment="1">
      <alignment horizontal="center" vertical="center"/>
    </xf>
    <xf numFmtId="164" fontId="248" fillId="0" borderId="1" xfId="3" applyNumberFormat="1" applyFont="1" applyBorder="1" applyAlignment="1">
      <alignment horizontal="center" vertical="center"/>
    </xf>
    <xf numFmtId="0" fontId="248" fillId="0" borderId="1" xfId="3" applyFont="1" applyBorder="1" applyAlignment="1">
      <alignment horizontal="center" vertical="center"/>
    </xf>
    <xf numFmtId="0" fontId="248" fillId="0" borderId="1" xfId="3" applyFont="1" applyBorder="1" applyAlignment="1">
      <alignment horizontal="center" vertical="center" wrapText="1"/>
    </xf>
    <xf numFmtId="0" fontId="247" fillId="0" borderId="1" xfId="3" applyFont="1" applyBorder="1" applyAlignment="1">
      <alignment horizontal="center" vertical="center"/>
    </xf>
    <xf numFmtId="0" fontId="246" fillId="0" borderId="1" xfId="3" applyFont="1" applyBorder="1" applyAlignment="1">
      <alignment horizontal="center" vertical="center" wrapText="1"/>
    </xf>
    <xf numFmtId="164" fontId="245" fillId="0" borderId="1" xfId="3" applyNumberFormat="1" applyFont="1" applyBorder="1" applyAlignment="1">
      <alignment horizontal="center" vertical="center"/>
    </xf>
    <xf numFmtId="0" fontId="245" fillId="0" borderId="1" xfId="3" applyFont="1" applyBorder="1" applyAlignment="1">
      <alignment horizontal="center" vertical="center"/>
    </xf>
    <xf numFmtId="0" fontId="245" fillId="0" borderId="1" xfId="3" applyFont="1" applyBorder="1" applyAlignment="1">
      <alignment horizontal="center" vertical="center" wrapText="1"/>
    </xf>
    <xf numFmtId="164" fontId="244" fillId="0" borderId="1" xfId="3" applyNumberFormat="1" applyFont="1" applyBorder="1" applyAlignment="1">
      <alignment horizontal="center" vertical="center"/>
    </xf>
    <xf numFmtId="0" fontId="244" fillId="0" borderId="1" xfId="3" applyFont="1" applyBorder="1" applyAlignment="1">
      <alignment horizontal="center" vertical="center"/>
    </xf>
    <xf numFmtId="0" fontId="244" fillId="0" borderId="1" xfId="3" applyFont="1" applyBorder="1" applyAlignment="1">
      <alignment horizontal="center" vertical="center" wrapText="1"/>
    </xf>
    <xf numFmtId="16" fontId="244" fillId="0" borderId="1" xfId="3" applyNumberFormat="1" applyFont="1" applyBorder="1" applyAlignment="1">
      <alignment horizontal="center" vertical="center"/>
    </xf>
    <xf numFmtId="0" fontId="242" fillId="0" borderId="1" xfId="3" applyFont="1" applyBorder="1" applyAlignment="1">
      <alignment horizontal="center" vertical="center"/>
    </xf>
    <xf numFmtId="0" fontId="242" fillId="0" borderId="1" xfId="3" applyFont="1" applyBorder="1" applyAlignment="1">
      <alignment horizontal="center" vertical="center" wrapText="1"/>
    </xf>
    <xf numFmtId="13" fontId="358" fillId="0" borderId="3" xfId="2" applyNumberFormat="1" applyFont="1" applyBorder="1" applyAlignment="1">
      <alignment horizontal="center" vertical="center"/>
    </xf>
    <xf numFmtId="0" fontId="241" fillId="0" borderId="1" xfId="3" applyFont="1" applyBorder="1" applyAlignment="1">
      <alignment horizontal="center" vertical="center"/>
    </xf>
    <xf numFmtId="0" fontId="241" fillId="0" borderId="1" xfId="3" applyFont="1" applyBorder="1" applyAlignment="1">
      <alignment horizontal="center" vertical="center" wrapText="1"/>
    </xf>
    <xf numFmtId="20" fontId="240" fillId="0" borderId="1" xfId="3" applyNumberFormat="1" applyFont="1" applyBorder="1" applyAlignment="1">
      <alignment horizontal="center" vertical="center"/>
    </xf>
    <xf numFmtId="0" fontId="240" fillId="0" borderId="1" xfId="3" applyFont="1" applyBorder="1" applyAlignment="1">
      <alignment horizontal="center" vertical="center"/>
    </xf>
    <xf numFmtId="0" fontId="240" fillId="0" borderId="1" xfId="3" applyFont="1" applyBorder="1" applyAlignment="1">
      <alignment horizontal="center" vertical="center" wrapText="1"/>
    </xf>
    <xf numFmtId="0" fontId="239" fillId="0" borderId="1" xfId="3" applyFont="1" applyBorder="1" applyAlignment="1">
      <alignment horizontal="center" vertical="center" wrapText="1"/>
    </xf>
    <xf numFmtId="164" fontId="238" fillId="0" borderId="1" xfId="3" applyNumberFormat="1" applyFont="1" applyBorder="1" applyAlignment="1">
      <alignment horizontal="center" vertical="center"/>
    </xf>
    <xf numFmtId="0" fontId="238" fillId="0" borderId="1" xfId="3" applyFont="1" applyBorder="1" applyAlignment="1">
      <alignment horizontal="center" vertical="center" wrapText="1"/>
    </xf>
    <xf numFmtId="0" fontId="237" fillId="0" borderId="1" xfId="3" applyFont="1" applyBorder="1" applyAlignment="1">
      <alignment horizontal="center" vertical="center" wrapText="1"/>
    </xf>
    <xf numFmtId="164" fontId="236" fillId="0" borderId="1" xfId="3" applyNumberFormat="1" applyFont="1" applyBorder="1" applyAlignment="1">
      <alignment horizontal="center" vertical="center"/>
    </xf>
    <xf numFmtId="0" fontId="236" fillId="0" borderId="1" xfId="3" applyFont="1" applyBorder="1" applyAlignment="1">
      <alignment horizontal="center" vertical="center" wrapText="1"/>
    </xf>
    <xf numFmtId="164" fontId="235" fillId="0" borderId="1" xfId="3" applyNumberFormat="1" applyFont="1" applyBorder="1" applyAlignment="1">
      <alignment horizontal="center" vertical="center"/>
    </xf>
    <xf numFmtId="0" fontId="235" fillId="0" borderId="1" xfId="3" applyFont="1" applyBorder="1" applyAlignment="1">
      <alignment horizontal="center" vertical="center" wrapText="1"/>
    </xf>
    <xf numFmtId="0" fontId="233" fillId="0" borderId="1" xfId="3" applyFont="1" applyBorder="1" applyAlignment="1">
      <alignment horizontal="center" vertical="center" wrapText="1"/>
    </xf>
    <xf numFmtId="0" fontId="234" fillId="0" borderId="1" xfId="3" applyFont="1" applyBorder="1" applyAlignment="1">
      <alignment horizontal="center" vertical="center" wrapText="1"/>
    </xf>
    <xf numFmtId="0" fontId="233" fillId="0" borderId="1" xfId="3" applyFont="1" applyBorder="1" applyAlignment="1">
      <alignment horizontal="center" vertical="center"/>
    </xf>
    <xf numFmtId="0" fontId="232" fillId="0" borderId="1" xfId="3" applyFont="1" applyBorder="1" applyAlignment="1">
      <alignment horizontal="center" vertical="center" wrapText="1"/>
    </xf>
    <xf numFmtId="0" fontId="231" fillId="0" borderId="1" xfId="3" applyFont="1" applyBorder="1" applyAlignment="1">
      <alignment horizontal="center" vertical="center"/>
    </xf>
    <xf numFmtId="0" fontId="231" fillId="0" borderId="1" xfId="3" applyFont="1" applyBorder="1" applyAlignment="1">
      <alignment horizontal="center" vertical="center" wrapText="1"/>
    </xf>
    <xf numFmtId="164" fontId="230" fillId="0" borderId="1" xfId="3" applyNumberFormat="1" applyFont="1" applyBorder="1" applyAlignment="1">
      <alignment horizontal="center" vertical="center"/>
    </xf>
    <xf numFmtId="0" fontId="230" fillId="0" borderId="1" xfId="3" applyFont="1" applyBorder="1" applyAlignment="1">
      <alignment horizontal="center" vertical="center" wrapText="1"/>
    </xf>
    <xf numFmtId="164" fontId="229" fillId="0" borderId="1" xfId="3" applyNumberFormat="1" applyFont="1" applyBorder="1" applyAlignment="1">
      <alignment horizontal="center" vertical="center"/>
    </xf>
    <xf numFmtId="0" fontId="229" fillId="0" borderId="1" xfId="3" applyFont="1" applyBorder="1" applyAlignment="1">
      <alignment horizontal="center" vertical="center"/>
    </xf>
    <xf numFmtId="0" fontId="229" fillId="0" borderId="1" xfId="3" applyFont="1" applyBorder="1" applyAlignment="1">
      <alignment horizontal="center" vertical="center" wrapText="1"/>
    </xf>
    <xf numFmtId="20" fontId="229" fillId="0" borderId="1" xfId="3" applyNumberFormat="1" applyFont="1" applyBorder="1" applyAlignment="1">
      <alignment horizontal="center" vertical="center"/>
    </xf>
    <xf numFmtId="164" fontId="228" fillId="0" borderId="1" xfId="3" applyNumberFormat="1" applyFont="1" applyBorder="1" applyAlignment="1">
      <alignment horizontal="center" vertical="center"/>
    </xf>
    <xf numFmtId="0" fontId="228" fillId="0" borderId="1" xfId="3" applyFont="1" applyBorder="1" applyAlignment="1">
      <alignment horizontal="center" vertical="center" wrapText="1"/>
    </xf>
    <xf numFmtId="164" fontId="227" fillId="0" borderId="1" xfId="3" applyNumberFormat="1" applyFont="1" applyBorder="1" applyAlignment="1">
      <alignment horizontal="center" vertical="center"/>
    </xf>
    <xf numFmtId="0" fontId="227" fillId="0" borderId="1" xfId="3" applyFont="1" applyBorder="1" applyAlignment="1">
      <alignment horizontal="center" vertical="center"/>
    </xf>
    <xf numFmtId="0" fontId="227" fillId="0" borderId="1" xfId="3" applyFont="1" applyBorder="1" applyAlignment="1">
      <alignment horizontal="center" vertical="center" wrapText="1"/>
    </xf>
    <xf numFmtId="0" fontId="355" fillId="0" borderId="6" xfId="3" applyBorder="1" applyAlignment="1">
      <alignment horizontal="center" vertical="center"/>
    </xf>
    <xf numFmtId="0" fontId="226" fillId="0" borderId="6" xfId="3" applyFont="1" applyBorder="1" applyAlignment="1">
      <alignment horizontal="center" vertical="center"/>
    </xf>
    <xf numFmtId="0" fontId="226" fillId="0" borderId="6" xfId="3" applyFont="1" applyBorder="1" applyAlignment="1">
      <alignment horizontal="center" vertical="center" wrapText="1"/>
    </xf>
    <xf numFmtId="0" fontId="358" fillId="0" borderId="6" xfId="3" applyFont="1" applyBorder="1" applyAlignment="1">
      <alignment horizontal="center" vertical="center"/>
    </xf>
    <xf numFmtId="16" fontId="355" fillId="0" borderId="6" xfId="3" applyNumberFormat="1" applyFont="1" applyBorder="1" applyAlignment="1">
      <alignment horizontal="center" vertical="center"/>
    </xf>
    <xf numFmtId="43" fontId="358" fillId="0" borderId="16" xfId="2" applyFont="1" applyBorder="1" applyAlignment="1">
      <alignment horizontal="center" vertical="center"/>
    </xf>
    <xf numFmtId="0" fontId="220" fillId="0" borderId="2" xfId="3" applyFont="1" applyBorder="1" applyAlignment="1">
      <alignment horizontal="center" vertical="center" wrapText="1"/>
    </xf>
    <xf numFmtId="0" fontId="358" fillId="0" borderId="2" xfId="3" applyFont="1" applyBorder="1" applyAlignment="1">
      <alignment horizontal="center" vertical="center"/>
    </xf>
    <xf numFmtId="16" fontId="355" fillId="0" borderId="2" xfId="3" applyNumberFormat="1" applyFont="1" applyBorder="1" applyAlignment="1">
      <alignment horizontal="center" vertical="center"/>
    </xf>
    <xf numFmtId="43" fontId="358" fillId="0" borderId="2" xfId="2" applyFont="1" applyBorder="1" applyAlignment="1">
      <alignment horizontal="center" vertical="center"/>
    </xf>
    <xf numFmtId="0" fontId="224" fillId="0" borderId="2" xfId="3" applyFont="1" applyBorder="1" applyAlignment="1">
      <alignment horizontal="center" vertical="center"/>
    </xf>
    <xf numFmtId="0" fontId="224" fillId="0" borderId="2" xfId="3" applyFont="1" applyBorder="1" applyAlignment="1">
      <alignment horizontal="center" vertical="center" wrapText="1"/>
    </xf>
    <xf numFmtId="0" fontId="223" fillId="0" borderId="2" xfId="3" applyFont="1" applyBorder="1" applyAlignment="1">
      <alignment horizontal="center" vertical="center" wrapText="1"/>
    </xf>
    <xf numFmtId="0" fontId="222" fillId="0" borderId="2" xfId="3" applyFont="1" applyBorder="1" applyAlignment="1">
      <alignment horizontal="center" vertical="center"/>
    </xf>
    <xf numFmtId="0" fontId="222" fillId="0" borderId="2" xfId="3" applyFont="1" applyBorder="1" applyAlignment="1">
      <alignment horizontal="center" vertical="center" wrapText="1"/>
    </xf>
    <xf numFmtId="0" fontId="221" fillId="0" borderId="2" xfId="3" applyFont="1" applyBorder="1" applyAlignment="1">
      <alignment horizontal="center" vertical="center" wrapText="1"/>
    </xf>
    <xf numFmtId="164" fontId="220" fillId="0" borderId="2" xfId="3" applyNumberFormat="1" applyFont="1" applyBorder="1" applyAlignment="1">
      <alignment horizontal="center" vertical="center"/>
    </xf>
    <xf numFmtId="0" fontId="219" fillId="0" borderId="2" xfId="3" applyFont="1" applyBorder="1" applyAlignment="1">
      <alignment horizontal="center" vertical="center" wrapText="1"/>
    </xf>
    <xf numFmtId="0" fontId="355" fillId="0" borderId="2" xfId="3" applyNumberFormat="1" applyBorder="1" applyAlignment="1">
      <alignment horizontal="center" vertical="center"/>
    </xf>
    <xf numFmtId="20" fontId="355" fillId="0" borderId="2" xfId="3" applyNumberFormat="1" applyBorder="1" applyAlignment="1">
      <alignment horizontal="center" vertical="center"/>
    </xf>
    <xf numFmtId="0" fontId="218" fillId="0" borderId="2" xfId="3" applyFont="1" applyBorder="1" applyAlignment="1">
      <alignment horizontal="center" vertical="center" wrapText="1"/>
    </xf>
    <xf numFmtId="0" fontId="216" fillId="3" borderId="2" xfId="3" applyFont="1" applyFill="1" applyBorder="1" applyAlignment="1">
      <alignment horizontal="center" vertical="center" wrapText="1"/>
    </xf>
    <xf numFmtId="164" fontId="355" fillId="4" borderId="1" xfId="3" applyNumberFormat="1" applyFill="1" applyBorder="1" applyAlignment="1">
      <alignment horizontal="center" vertical="center"/>
    </xf>
    <xf numFmtId="0" fontId="215" fillId="4" borderId="1" xfId="3" applyFont="1" applyFill="1" applyBorder="1" applyAlignment="1">
      <alignment horizontal="center" vertical="center"/>
    </xf>
    <xf numFmtId="0" fontId="215" fillId="4" borderId="2" xfId="3" applyFont="1" applyFill="1" applyBorder="1" applyAlignment="1">
      <alignment horizontal="center" vertical="center" wrapText="1"/>
    </xf>
    <xf numFmtId="0" fontId="215" fillId="0" borderId="2" xfId="3" applyFont="1" applyBorder="1" applyAlignment="1">
      <alignment horizontal="center" vertical="center" wrapText="1"/>
    </xf>
    <xf numFmtId="0" fontId="214" fillId="0" borderId="2" xfId="3" applyFont="1" applyBorder="1" applyAlignment="1">
      <alignment horizontal="center" vertical="center" wrapText="1"/>
    </xf>
    <xf numFmtId="20" fontId="214" fillId="0" borderId="2" xfId="3" applyNumberFormat="1" applyFont="1" applyBorder="1" applyAlignment="1">
      <alignment horizontal="center" vertical="center"/>
    </xf>
    <xf numFmtId="0" fontId="211" fillId="0" borderId="1" xfId="3" applyFont="1" applyBorder="1" applyAlignment="1">
      <alignment horizontal="center" vertical="center"/>
    </xf>
    <xf numFmtId="0" fontId="211" fillId="0" borderId="1" xfId="3" applyFont="1" applyBorder="1" applyAlignment="1">
      <alignment horizontal="center" vertical="center" wrapText="1"/>
    </xf>
    <xf numFmtId="164" fontId="210" fillId="0" borderId="1" xfId="3" applyNumberFormat="1" applyFont="1" applyBorder="1" applyAlignment="1">
      <alignment horizontal="center" vertical="center"/>
    </xf>
    <xf numFmtId="0" fontId="210" fillId="0" borderId="1" xfId="3" applyFont="1" applyBorder="1" applyAlignment="1">
      <alignment horizontal="center" vertical="center"/>
    </xf>
    <xf numFmtId="0" fontId="209" fillId="0" borderId="1" xfId="3" applyFont="1" applyBorder="1" applyAlignment="1">
      <alignment horizontal="center" vertical="center"/>
    </xf>
    <xf numFmtId="0" fontId="209" fillId="0" borderId="1" xfId="3" applyFont="1" applyBorder="1" applyAlignment="1">
      <alignment horizontal="center" vertical="center" wrapText="1"/>
    </xf>
    <xf numFmtId="0" fontId="208" fillId="0" borderId="1" xfId="3" applyFont="1" applyBorder="1" applyAlignment="1">
      <alignment horizontal="center" vertical="center" wrapText="1"/>
    </xf>
    <xf numFmtId="0" fontId="207" fillId="0" borderId="1" xfId="3" applyFont="1" applyBorder="1" applyAlignment="1">
      <alignment horizontal="center" vertical="center" wrapText="1"/>
    </xf>
    <xf numFmtId="164" fontId="206" fillId="0" borderId="1" xfId="3" applyNumberFormat="1" applyFont="1" applyBorder="1" applyAlignment="1">
      <alignment horizontal="center" vertical="center"/>
    </xf>
    <xf numFmtId="0" fontId="206" fillId="0" borderId="1" xfId="3" applyFont="1" applyBorder="1" applyAlignment="1">
      <alignment horizontal="center" vertical="center"/>
    </xf>
    <xf numFmtId="20" fontId="206" fillId="0" borderId="1" xfId="3" applyNumberFormat="1" applyFont="1" applyBorder="1" applyAlignment="1">
      <alignment horizontal="center" vertical="center"/>
    </xf>
    <xf numFmtId="0" fontId="205" fillId="0" borderId="1" xfId="3" applyFont="1" applyBorder="1" applyAlignment="1">
      <alignment horizontal="center" vertical="center"/>
    </xf>
    <xf numFmtId="0" fontId="205" fillId="0" borderId="1" xfId="3" applyFont="1" applyBorder="1" applyAlignment="1">
      <alignment horizontal="center" vertical="center" wrapText="1"/>
    </xf>
    <xf numFmtId="20" fontId="205" fillId="0" borderId="1" xfId="3" applyNumberFormat="1" applyFont="1" applyBorder="1" applyAlignment="1">
      <alignment horizontal="center" vertical="center"/>
    </xf>
    <xf numFmtId="164" fontId="206" fillId="3" borderId="1" xfId="3" applyNumberFormat="1" applyFont="1" applyFill="1" applyBorder="1" applyAlignment="1">
      <alignment horizontal="center" vertical="center"/>
    </xf>
    <xf numFmtId="0" fontId="202" fillId="0" borderId="1" xfId="3" applyFont="1" applyBorder="1" applyAlignment="1">
      <alignment horizontal="center" vertical="center"/>
    </xf>
    <xf numFmtId="164" fontId="201" fillId="0" borderId="1" xfId="3" applyNumberFormat="1" applyFont="1" applyBorder="1" applyAlignment="1">
      <alignment horizontal="center" vertical="center"/>
    </xf>
    <xf numFmtId="0" fontId="201" fillId="0" borderId="1" xfId="3" applyFont="1" applyBorder="1" applyAlignment="1">
      <alignment horizontal="center" vertical="center"/>
    </xf>
    <xf numFmtId="0" fontId="201" fillId="0" borderId="1" xfId="3" applyFont="1" applyBorder="1" applyAlignment="1">
      <alignment horizontal="center" vertical="center" wrapText="1"/>
    </xf>
    <xf numFmtId="0" fontId="200" fillId="0" borderId="1" xfId="3" applyFont="1" applyBorder="1" applyAlignment="1">
      <alignment horizontal="center" vertical="center"/>
    </xf>
    <xf numFmtId="0" fontId="200" fillId="0" borderId="1" xfId="3" applyFont="1" applyBorder="1" applyAlignment="1">
      <alignment horizontal="center" vertical="center" wrapText="1"/>
    </xf>
    <xf numFmtId="0" fontId="199" fillId="0" borderId="1" xfId="3" applyFont="1" applyBorder="1" applyAlignment="1">
      <alignment horizontal="center" vertical="center" wrapText="1"/>
    </xf>
    <xf numFmtId="0" fontId="198" fillId="0" borderId="1" xfId="3" applyFont="1" applyBorder="1" applyAlignment="1">
      <alignment horizontal="center" vertical="center" wrapText="1"/>
    </xf>
    <xf numFmtId="0" fontId="197" fillId="0" borderId="1" xfId="3" applyFont="1" applyBorder="1" applyAlignment="1">
      <alignment horizontal="center" vertical="center"/>
    </xf>
    <xf numFmtId="0" fontId="197" fillId="0" borderId="1" xfId="3" applyFont="1" applyBorder="1" applyAlignment="1">
      <alignment horizontal="center" vertical="center" wrapText="1"/>
    </xf>
    <xf numFmtId="0" fontId="196" fillId="0" borderId="1" xfId="3" applyFont="1" applyBorder="1" applyAlignment="1">
      <alignment horizontal="center" vertical="center"/>
    </xf>
    <xf numFmtId="0" fontId="196" fillId="0" borderId="1" xfId="3" applyFont="1" applyBorder="1" applyAlignment="1">
      <alignment horizontal="center" vertical="center" wrapText="1"/>
    </xf>
    <xf numFmtId="0" fontId="195" fillId="0" borderId="1" xfId="3" applyFont="1" applyBorder="1" applyAlignment="1">
      <alignment horizontal="center" vertical="center"/>
    </xf>
    <xf numFmtId="0" fontId="195" fillId="0" borderId="1" xfId="3" applyFont="1" applyBorder="1" applyAlignment="1">
      <alignment horizontal="center" vertical="center" wrapText="1"/>
    </xf>
    <xf numFmtId="164" fontId="195" fillId="0" borderId="1" xfId="3" applyNumberFormat="1" applyFont="1" applyBorder="1" applyAlignment="1">
      <alignment horizontal="center" vertical="center"/>
    </xf>
    <xf numFmtId="0" fontId="194" fillId="0" borderId="1" xfId="3" applyFont="1" applyBorder="1" applyAlignment="1">
      <alignment horizontal="center" vertical="center" wrapText="1"/>
    </xf>
    <xf numFmtId="0" fontId="192" fillId="0" borderId="1" xfId="3" applyFont="1" applyBorder="1" applyAlignment="1">
      <alignment horizontal="center" vertical="center"/>
    </xf>
    <xf numFmtId="0" fontId="192" fillId="0" borderId="1" xfId="3" applyFont="1" applyBorder="1" applyAlignment="1">
      <alignment horizontal="center" vertical="center" wrapText="1"/>
    </xf>
    <xf numFmtId="16" fontId="193" fillId="0" borderId="1" xfId="3" applyNumberFormat="1" applyFont="1" applyBorder="1" applyAlignment="1">
      <alignment horizontal="center" vertical="center"/>
    </xf>
    <xf numFmtId="0" fontId="191" fillId="0" borderId="1" xfId="3" applyFont="1" applyBorder="1" applyAlignment="1">
      <alignment horizontal="center" vertical="center"/>
    </xf>
    <xf numFmtId="0" fontId="191" fillId="0" borderId="1" xfId="3" applyFont="1" applyBorder="1" applyAlignment="1">
      <alignment horizontal="center" vertical="center" wrapText="1"/>
    </xf>
    <xf numFmtId="0" fontId="190" fillId="0" borderId="1" xfId="3" applyFont="1" applyBorder="1" applyAlignment="1">
      <alignment horizontal="center" vertical="center"/>
    </xf>
    <xf numFmtId="0" fontId="190" fillId="0" borderId="1" xfId="3" applyFont="1" applyBorder="1" applyAlignment="1">
      <alignment horizontal="center" vertical="center" wrapText="1"/>
    </xf>
    <xf numFmtId="0" fontId="189" fillId="0" borderId="1" xfId="3" applyFont="1" applyBorder="1" applyAlignment="1">
      <alignment horizontal="center" vertical="center"/>
    </xf>
    <xf numFmtId="0" fontId="189" fillId="0" borderId="1" xfId="3" applyFont="1" applyBorder="1" applyAlignment="1">
      <alignment horizontal="center" vertical="center" wrapText="1"/>
    </xf>
    <xf numFmtId="0" fontId="188" fillId="0" borderId="1" xfId="3" applyFont="1" applyBorder="1" applyAlignment="1">
      <alignment horizontal="center" vertical="center" wrapText="1"/>
    </xf>
    <xf numFmtId="0" fontId="188" fillId="0" borderId="1" xfId="3" applyFont="1" applyBorder="1" applyAlignment="1">
      <alignment horizontal="center" vertical="center"/>
    </xf>
    <xf numFmtId="0" fontId="186" fillId="0" borderId="1" xfId="3" applyFont="1" applyBorder="1" applyAlignment="1">
      <alignment horizontal="center" vertical="center" wrapText="1"/>
    </xf>
    <xf numFmtId="0" fontId="186" fillId="0" borderId="1" xfId="3" applyFont="1" applyBorder="1" applyAlignment="1">
      <alignment horizontal="center" vertical="center"/>
    </xf>
    <xf numFmtId="0" fontId="185" fillId="0" borderId="1" xfId="3" applyFont="1" applyBorder="1" applyAlignment="1">
      <alignment horizontal="center" vertical="center"/>
    </xf>
    <xf numFmtId="0" fontId="185" fillId="0" borderId="1" xfId="3" applyFont="1" applyBorder="1" applyAlignment="1">
      <alignment horizontal="center" vertical="center" wrapText="1"/>
    </xf>
    <xf numFmtId="0" fontId="184" fillId="0" borderId="1" xfId="3" applyFont="1" applyBorder="1" applyAlignment="1">
      <alignment horizontal="center" vertical="center"/>
    </xf>
    <xf numFmtId="0" fontId="184" fillId="0" borderId="1" xfId="3" applyFont="1" applyBorder="1" applyAlignment="1">
      <alignment horizontal="center" vertical="center" wrapText="1"/>
    </xf>
    <xf numFmtId="0" fontId="183" fillId="0" borderId="1" xfId="3" applyFont="1" applyBorder="1" applyAlignment="1">
      <alignment horizontal="center" vertical="center"/>
    </xf>
    <xf numFmtId="0" fontId="183" fillId="0" borderId="1" xfId="3" applyFont="1" applyBorder="1" applyAlignment="1">
      <alignment horizontal="center" vertical="center" wrapText="1"/>
    </xf>
    <xf numFmtId="164" fontId="182" fillId="0" borderId="1" xfId="3" applyNumberFormat="1" applyFont="1" applyBorder="1" applyAlignment="1">
      <alignment horizontal="center" vertical="center"/>
    </xf>
    <xf numFmtId="0" fontId="182" fillId="0" borderId="1" xfId="3" applyFont="1" applyBorder="1" applyAlignment="1">
      <alignment horizontal="center" vertical="center" wrapText="1"/>
    </xf>
    <xf numFmtId="0" fontId="181" fillId="0" borderId="1" xfId="3" applyFont="1" applyBorder="1" applyAlignment="1">
      <alignment horizontal="center" vertical="center"/>
    </xf>
    <xf numFmtId="0" fontId="181" fillId="0" borderId="1" xfId="3" applyFont="1" applyBorder="1" applyAlignment="1">
      <alignment horizontal="center" vertical="center" wrapText="1"/>
    </xf>
    <xf numFmtId="0" fontId="180" fillId="0" borderId="1" xfId="3" applyFont="1" applyBorder="1" applyAlignment="1">
      <alignment horizontal="center" vertical="center" wrapText="1"/>
    </xf>
    <xf numFmtId="0" fontId="179" fillId="0" borderId="1" xfId="3" applyFont="1" applyBorder="1" applyAlignment="1">
      <alignment horizontal="center" vertical="center" wrapText="1"/>
    </xf>
    <xf numFmtId="0" fontId="178" fillId="0" borderId="1" xfId="3" applyFont="1" applyBorder="1" applyAlignment="1">
      <alignment horizontal="center" vertical="center"/>
    </xf>
    <xf numFmtId="0" fontId="178" fillId="0" borderId="1" xfId="3" applyFont="1" applyBorder="1" applyAlignment="1">
      <alignment horizontal="center" vertical="center" wrapText="1"/>
    </xf>
    <xf numFmtId="0" fontId="177" fillId="0" borderId="1" xfId="3" applyFont="1" applyBorder="1" applyAlignment="1">
      <alignment horizontal="center" vertical="center"/>
    </xf>
    <xf numFmtId="0" fontId="177" fillId="0" borderId="1" xfId="3" applyFont="1" applyBorder="1" applyAlignment="1">
      <alignment horizontal="center" vertical="center" wrapText="1"/>
    </xf>
    <xf numFmtId="0" fontId="175" fillId="0" borderId="1" xfId="3" applyFont="1" applyBorder="1" applyAlignment="1">
      <alignment horizontal="center" vertical="center"/>
    </xf>
    <xf numFmtId="0" fontId="175" fillId="0" borderId="1" xfId="3" applyFont="1" applyBorder="1" applyAlignment="1">
      <alignment horizontal="center" vertical="center" wrapText="1"/>
    </xf>
    <xf numFmtId="0" fontId="174" fillId="0" borderId="1" xfId="3" applyFont="1" applyBorder="1" applyAlignment="1">
      <alignment horizontal="center" vertical="center"/>
    </xf>
    <xf numFmtId="0" fontId="174" fillId="0" borderId="1" xfId="3" applyFont="1" applyBorder="1" applyAlignment="1">
      <alignment horizontal="center" vertical="center" wrapText="1"/>
    </xf>
    <xf numFmtId="0" fontId="173" fillId="0" borderId="1" xfId="3" applyFont="1" applyBorder="1" applyAlignment="1">
      <alignment horizontal="center" vertical="center" wrapText="1"/>
    </xf>
    <xf numFmtId="0" fontId="172" fillId="0" borderId="1" xfId="3" applyFont="1" applyBorder="1" applyAlignment="1">
      <alignment horizontal="center" vertical="center" wrapText="1"/>
    </xf>
    <xf numFmtId="0" fontId="171" fillId="0" borderId="1" xfId="3" applyFont="1" applyBorder="1" applyAlignment="1">
      <alignment horizontal="center" vertical="center"/>
    </xf>
    <xf numFmtId="0" fontId="171" fillId="0" borderId="1" xfId="3" applyFont="1" applyBorder="1" applyAlignment="1">
      <alignment horizontal="center" vertical="center" wrapText="1"/>
    </xf>
    <xf numFmtId="0" fontId="169" fillId="0" borderId="1" xfId="3" applyFont="1" applyBorder="1" applyAlignment="1">
      <alignment horizontal="center" vertical="center"/>
    </xf>
    <xf numFmtId="0" fontId="169" fillId="0" borderId="1" xfId="3" applyFont="1" applyBorder="1" applyAlignment="1">
      <alignment horizontal="center" vertical="center" wrapText="1"/>
    </xf>
    <xf numFmtId="0" fontId="168" fillId="0" borderId="1" xfId="3" applyFont="1" applyBorder="1" applyAlignment="1">
      <alignment horizontal="center" vertical="center" wrapText="1"/>
    </xf>
    <xf numFmtId="164" fontId="182" fillId="3" borderId="1" xfId="3" applyNumberFormat="1" applyFont="1" applyFill="1" applyBorder="1" applyAlignment="1">
      <alignment horizontal="center" vertical="center"/>
    </xf>
    <xf numFmtId="0" fontId="167" fillId="0" borderId="1" xfId="3" applyFont="1" applyBorder="1" applyAlignment="1">
      <alignment horizontal="center" vertical="center" wrapText="1"/>
    </xf>
    <xf numFmtId="0" fontId="166" fillId="0" borderId="1" xfId="3" applyFont="1" applyBorder="1" applyAlignment="1">
      <alignment horizontal="center" vertical="center"/>
    </xf>
    <xf numFmtId="0" fontId="166" fillId="0" borderId="1" xfId="3" applyFont="1" applyBorder="1" applyAlignment="1">
      <alignment horizontal="center" vertical="center" wrapText="1"/>
    </xf>
    <xf numFmtId="0" fontId="165" fillId="0" borderId="1" xfId="3" applyFont="1" applyBorder="1" applyAlignment="1">
      <alignment horizontal="center" vertical="center"/>
    </xf>
    <xf numFmtId="0" fontId="165" fillId="0" borderId="1" xfId="3" applyFont="1" applyBorder="1" applyAlignment="1">
      <alignment horizontal="center" vertical="center" wrapText="1"/>
    </xf>
    <xf numFmtId="0" fontId="164" fillId="0" borderId="1" xfId="3" applyFont="1" applyBorder="1" applyAlignment="1">
      <alignment horizontal="center" vertical="center" wrapText="1"/>
    </xf>
    <xf numFmtId="0" fontId="163" fillId="0" borderId="1" xfId="3" applyFont="1" applyBorder="1" applyAlignment="1">
      <alignment horizontal="center" vertical="center"/>
    </xf>
    <xf numFmtId="0" fontId="163" fillId="0" borderId="1" xfId="3" applyFont="1" applyBorder="1" applyAlignment="1">
      <alignment horizontal="center" vertical="center" wrapText="1"/>
    </xf>
    <xf numFmtId="0" fontId="162" fillId="0" borderId="1" xfId="3" applyFont="1" applyBorder="1" applyAlignment="1">
      <alignment horizontal="center" vertical="center" wrapText="1"/>
    </xf>
    <xf numFmtId="0" fontId="161" fillId="0" borderId="1" xfId="3" applyFont="1" applyBorder="1" applyAlignment="1">
      <alignment horizontal="center" vertical="center"/>
    </xf>
    <xf numFmtId="0" fontId="161" fillId="0" borderId="1" xfId="3" applyFont="1" applyBorder="1" applyAlignment="1">
      <alignment horizontal="center" vertical="center" wrapText="1"/>
    </xf>
    <xf numFmtId="0" fontId="160" fillId="0" borderId="1" xfId="3" applyFont="1" applyBorder="1" applyAlignment="1">
      <alignment horizontal="center" vertical="center"/>
    </xf>
    <xf numFmtId="0" fontId="160" fillId="0" borderId="1" xfId="3" applyFont="1" applyBorder="1" applyAlignment="1">
      <alignment horizontal="center" vertical="center" wrapText="1"/>
    </xf>
    <xf numFmtId="20" fontId="160" fillId="0" borderId="1" xfId="3" applyNumberFormat="1" applyFont="1" applyBorder="1" applyAlignment="1">
      <alignment horizontal="center" vertical="center"/>
    </xf>
    <xf numFmtId="0" fontId="159" fillId="0" borderId="1" xfId="3" applyFont="1" applyBorder="1" applyAlignment="1">
      <alignment horizontal="center" vertical="center"/>
    </xf>
    <xf numFmtId="0" fontId="159" fillId="0" borderId="1" xfId="3" applyFont="1" applyBorder="1" applyAlignment="1">
      <alignment horizontal="center" vertical="center" wrapText="1"/>
    </xf>
    <xf numFmtId="0" fontId="159" fillId="0" borderId="6" xfId="3" applyFont="1" applyBorder="1" applyAlignment="1">
      <alignment horizontal="center" vertical="center"/>
    </xf>
    <xf numFmtId="0" fontId="159" fillId="0" borderId="6" xfId="3" applyFont="1" applyBorder="1" applyAlignment="1">
      <alignment horizontal="center" vertical="center" wrapText="1"/>
    </xf>
    <xf numFmtId="164" fontId="182" fillId="3" borderId="2" xfId="3" applyNumberFormat="1" applyFont="1" applyFill="1" applyBorder="1" applyAlignment="1">
      <alignment horizontal="center" vertical="center"/>
    </xf>
    <xf numFmtId="0" fontId="158" fillId="0" borderId="2" xfId="3" applyFont="1" applyBorder="1" applyAlignment="1">
      <alignment horizontal="center" vertical="center" wrapText="1"/>
    </xf>
    <xf numFmtId="0" fontId="157" fillId="0" borderId="7" xfId="3" applyFont="1" applyBorder="1" applyAlignment="1">
      <alignment horizontal="center" vertical="center"/>
    </xf>
    <xf numFmtId="0" fontId="157" fillId="0" borderId="7" xfId="3" applyFont="1" applyBorder="1" applyAlignment="1">
      <alignment horizontal="center" vertical="center" wrapText="1"/>
    </xf>
    <xf numFmtId="0" fontId="157" fillId="0" borderId="1" xfId="3" applyFont="1" applyBorder="1" applyAlignment="1">
      <alignment horizontal="center" vertical="center"/>
    </xf>
    <xf numFmtId="0" fontId="157" fillId="0" borderId="1" xfId="3" applyFont="1" applyBorder="1" applyAlignment="1">
      <alignment horizontal="center" vertical="center" wrapText="1"/>
    </xf>
    <xf numFmtId="0" fontId="156" fillId="0" borderId="1" xfId="3" applyFont="1" applyBorder="1" applyAlignment="1">
      <alignment horizontal="center" vertical="center"/>
    </xf>
    <xf numFmtId="0" fontId="156" fillId="0" borderId="1" xfId="3" applyFont="1" applyBorder="1" applyAlignment="1">
      <alignment horizontal="center" vertical="center" wrapText="1"/>
    </xf>
    <xf numFmtId="0" fontId="155" fillId="0" borderId="1" xfId="3" applyFont="1" applyBorder="1" applyAlignment="1">
      <alignment horizontal="center" vertical="center"/>
    </xf>
    <xf numFmtId="0" fontId="155" fillId="0" borderId="1" xfId="3" applyFont="1" applyBorder="1" applyAlignment="1">
      <alignment horizontal="center" vertical="center" wrapText="1"/>
    </xf>
    <xf numFmtId="0" fontId="154" fillId="0" borderId="1" xfId="3" applyFont="1" applyBorder="1" applyAlignment="1">
      <alignment horizontal="center" vertical="center"/>
    </xf>
    <xf numFmtId="0" fontId="154" fillId="0" borderId="1" xfId="3" applyFont="1" applyBorder="1" applyAlignment="1">
      <alignment horizontal="center" vertical="center" wrapText="1"/>
    </xf>
    <xf numFmtId="164" fontId="153" fillId="3" borderId="1" xfId="3" applyNumberFormat="1" applyFont="1" applyFill="1" applyBorder="1" applyAlignment="1">
      <alignment horizontal="center" vertical="center"/>
    </xf>
    <xf numFmtId="0" fontId="153" fillId="0" borderId="1" xfId="3" applyFont="1" applyBorder="1" applyAlignment="1">
      <alignment horizontal="center" vertical="center" wrapText="1"/>
    </xf>
    <xf numFmtId="0" fontId="152" fillId="0" borderId="1" xfId="3" applyFont="1" applyBorder="1" applyAlignment="1">
      <alignment horizontal="center" vertical="center"/>
    </xf>
    <xf numFmtId="0" fontId="152" fillId="0" borderId="1" xfId="3" applyFont="1" applyBorder="1" applyAlignment="1">
      <alignment horizontal="center" vertical="center" wrapText="1"/>
    </xf>
    <xf numFmtId="0" fontId="151" fillId="0" borderId="1" xfId="3" applyFont="1" applyBorder="1" applyAlignment="1">
      <alignment horizontal="center" vertical="center"/>
    </xf>
    <xf numFmtId="0" fontId="151" fillId="0" borderId="1" xfId="3" applyFont="1" applyBorder="1" applyAlignment="1">
      <alignment horizontal="center" vertical="center" wrapText="1"/>
    </xf>
    <xf numFmtId="0" fontId="149" fillId="0" borderId="1" xfId="3" applyFont="1" applyBorder="1" applyAlignment="1">
      <alignment horizontal="center" vertical="center" wrapText="1"/>
    </xf>
    <xf numFmtId="0" fontId="148" fillId="0" borderId="1" xfId="3" applyFont="1" applyBorder="1" applyAlignment="1">
      <alignment horizontal="center" vertical="center"/>
    </xf>
    <xf numFmtId="0" fontId="148" fillId="0" borderId="1" xfId="3" applyFont="1" applyBorder="1" applyAlignment="1">
      <alignment horizontal="center" vertical="center" wrapText="1"/>
    </xf>
    <xf numFmtId="0" fontId="147" fillId="0" borderId="1" xfId="3" applyFont="1" applyBorder="1" applyAlignment="1">
      <alignment horizontal="center" vertical="center"/>
    </xf>
    <xf numFmtId="0" fontId="147" fillId="0" borderId="1" xfId="3" applyFont="1" applyBorder="1" applyAlignment="1">
      <alignment horizontal="center" vertical="center" wrapText="1"/>
    </xf>
    <xf numFmtId="0" fontId="145" fillId="0" borderId="1" xfId="3" applyFont="1" applyBorder="1" applyAlignment="1">
      <alignment horizontal="center" vertical="center"/>
    </xf>
    <xf numFmtId="0" fontId="145" fillId="0" borderId="1" xfId="3" applyFont="1" applyBorder="1" applyAlignment="1">
      <alignment horizontal="center" vertical="center" wrapText="1"/>
    </xf>
    <xf numFmtId="0" fontId="143" fillId="0" borderId="1" xfId="3" applyFont="1" applyBorder="1" applyAlignment="1">
      <alignment horizontal="center" vertical="center"/>
    </xf>
    <xf numFmtId="0" fontId="143" fillId="0" borderId="1" xfId="3" applyFont="1" applyBorder="1" applyAlignment="1">
      <alignment horizontal="center" vertical="center" wrapText="1"/>
    </xf>
    <xf numFmtId="0" fontId="144" fillId="0" borderId="1" xfId="3" applyFont="1" applyBorder="1" applyAlignment="1">
      <alignment horizontal="center" vertical="center" wrapText="1"/>
    </xf>
    <xf numFmtId="0" fontId="142" fillId="0" borderId="1" xfId="3" applyFont="1" applyBorder="1" applyAlignment="1">
      <alignment horizontal="center" vertical="center" wrapText="1"/>
    </xf>
    <xf numFmtId="0" fontId="141" fillId="0" borderId="1" xfId="3" applyFont="1" applyBorder="1" applyAlignment="1">
      <alignment horizontal="center" vertical="center" wrapText="1"/>
    </xf>
    <xf numFmtId="0" fontId="140" fillId="0" borderId="1" xfId="3" applyFont="1" applyBorder="1" applyAlignment="1">
      <alignment horizontal="center" vertical="center"/>
    </xf>
    <xf numFmtId="0" fontId="140" fillId="0" borderId="1" xfId="3" applyFont="1" applyBorder="1" applyAlignment="1">
      <alignment horizontal="center" vertical="center" wrapText="1"/>
    </xf>
    <xf numFmtId="0" fontId="137" fillId="0" borderId="1" xfId="3" applyFont="1" applyBorder="1" applyAlignment="1">
      <alignment horizontal="center" vertical="center"/>
    </xf>
    <xf numFmtId="0" fontId="137" fillId="0" borderId="1" xfId="3" applyFont="1" applyBorder="1" applyAlignment="1">
      <alignment horizontal="center" vertical="center" wrapText="1"/>
    </xf>
    <xf numFmtId="0" fontId="136" fillId="0" borderId="1" xfId="3" applyFont="1" applyBorder="1" applyAlignment="1">
      <alignment horizontal="center" vertical="center"/>
    </xf>
    <xf numFmtId="0" fontId="136" fillId="0" borderId="1" xfId="3" applyFont="1" applyBorder="1" applyAlignment="1">
      <alignment horizontal="center" vertical="center" wrapText="1"/>
    </xf>
    <xf numFmtId="164" fontId="135" fillId="3" borderId="1" xfId="3" applyNumberFormat="1" applyFont="1" applyFill="1" applyBorder="1" applyAlignment="1">
      <alignment horizontal="center" vertical="center"/>
    </xf>
    <xf numFmtId="0" fontId="135" fillId="0" borderId="1" xfId="3" applyFont="1" applyBorder="1" applyAlignment="1">
      <alignment horizontal="center" vertical="center"/>
    </xf>
    <xf numFmtId="0" fontId="135" fillId="0" borderId="1" xfId="3" applyFont="1" applyBorder="1" applyAlignment="1">
      <alignment horizontal="center" vertical="center" wrapText="1"/>
    </xf>
    <xf numFmtId="0" fontId="132" fillId="0" borderId="1" xfId="3" applyFont="1" applyBorder="1" applyAlignment="1">
      <alignment horizontal="center" vertical="center" wrapText="1"/>
    </xf>
    <xf numFmtId="0" fontId="131" fillId="0" borderId="1" xfId="3" applyFont="1" applyBorder="1" applyAlignment="1">
      <alignment horizontal="center" vertical="center"/>
    </xf>
    <xf numFmtId="0" fontId="130" fillId="0" borderId="1" xfId="3" applyFont="1" applyBorder="1" applyAlignment="1">
      <alignment horizontal="center" vertical="center"/>
    </xf>
    <xf numFmtId="0" fontId="130" fillId="0" borderId="1" xfId="3" applyFont="1" applyBorder="1" applyAlignment="1">
      <alignment horizontal="center" vertical="center" wrapText="1"/>
    </xf>
    <xf numFmtId="0" fontId="128" fillId="0" borderId="1" xfId="3" applyFont="1" applyBorder="1" applyAlignment="1">
      <alignment horizontal="center" vertical="center"/>
    </xf>
    <xf numFmtId="0" fontId="128" fillId="0" borderId="1" xfId="3" applyFont="1" applyBorder="1" applyAlignment="1">
      <alignment horizontal="center" vertical="center" wrapText="1"/>
    </xf>
    <xf numFmtId="0" fontId="126" fillId="0" borderId="1" xfId="3" applyFont="1" applyBorder="1" applyAlignment="1">
      <alignment horizontal="center" vertical="center"/>
    </xf>
    <xf numFmtId="0" fontId="125" fillId="0" borderId="1" xfId="3" applyFont="1" applyBorder="1" applyAlignment="1">
      <alignment horizontal="center" vertical="center" wrapText="1"/>
    </xf>
    <xf numFmtId="0" fontId="125" fillId="0" borderId="0" xfId="3" applyFont="1" applyAlignment="1">
      <alignment horizontal="center" vertical="center"/>
    </xf>
    <xf numFmtId="0" fontId="124" fillId="0" borderId="1" xfId="3" applyFont="1" applyBorder="1" applyAlignment="1">
      <alignment horizontal="center" vertical="center"/>
    </xf>
    <xf numFmtId="0" fontId="124" fillId="0" borderId="1" xfId="3" applyFont="1" applyBorder="1" applyAlignment="1">
      <alignment horizontal="center" vertical="center" wrapText="1"/>
    </xf>
    <xf numFmtId="0" fontId="123" fillId="0" borderId="1" xfId="3" applyFont="1" applyBorder="1" applyAlignment="1">
      <alignment horizontal="center" vertical="center" wrapText="1"/>
    </xf>
    <xf numFmtId="0" fontId="122" fillId="0" borderId="1" xfId="3" applyFont="1" applyBorder="1" applyAlignment="1">
      <alignment horizontal="center" vertical="center" wrapText="1"/>
    </xf>
    <xf numFmtId="0" fontId="121" fillId="0" borderId="1" xfId="3" applyFont="1" applyBorder="1" applyAlignment="1">
      <alignment horizontal="center" vertical="center"/>
    </xf>
    <xf numFmtId="0" fontId="121" fillId="0" borderId="1" xfId="3" applyFont="1" applyBorder="1" applyAlignment="1">
      <alignment horizontal="center" vertical="center" wrapText="1"/>
    </xf>
    <xf numFmtId="20" fontId="121" fillId="0" borderId="1" xfId="3" applyNumberFormat="1" applyFont="1" applyBorder="1" applyAlignment="1">
      <alignment horizontal="center" vertical="center"/>
    </xf>
    <xf numFmtId="0" fontId="120" fillId="0" borderId="1" xfId="3" applyFont="1" applyBorder="1" applyAlignment="1">
      <alignment horizontal="center" vertical="center"/>
    </xf>
    <xf numFmtId="0" fontId="120" fillId="0" borderId="1" xfId="3" applyFont="1" applyBorder="1" applyAlignment="1">
      <alignment horizontal="center" vertical="center" wrapText="1"/>
    </xf>
    <xf numFmtId="0" fontId="119" fillId="0" borderId="1" xfId="3" applyFont="1" applyBorder="1" applyAlignment="1">
      <alignment horizontal="center" vertical="center"/>
    </xf>
    <xf numFmtId="0" fontId="119" fillId="0" borderId="1" xfId="3" applyFont="1" applyBorder="1" applyAlignment="1">
      <alignment horizontal="center" vertical="center" wrapText="1"/>
    </xf>
    <xf numFmtId="0" fontId="118" fillId="0" borderId="1" xfId="3" applyFont="1" applyBorder="1" applyAlignment="1">
      <alignment horizontal="center" vertical="center" wrapText="1"/>
    </xf>
    <xf numFmtId="0" fontId="117" fillId="0" borderId="1" xfId="3" applyFont="1" applyBorder="1" applyAlignment="1">
      <alignment horizontal="center" vertical="center"/>
    </xf>
    <xf numFmtId="0" fontId="117" fillId="0" borderId="1" xfId="3" applyFont="1" applyBorder="1" applyAlignment="1">
      <alignment horizontal="center" vertical="center" wrapText="1"/>
    </xf>
    <xf numFmtId="0" fontId="116" fillId="0" borderId="1" xfId="3" applyFont="1" applyBorder="1" applyAlignment="1">
      <alignment horizontal="center" vertical="center" wrapText="1"/>
    </xf>
    <xf numFmtId="0" fontId="115" fillId="0" borderId="1" xfId="3" applyFont="1" applyBorder="1" applyAlignment="1">
      <alignment horizontal="center" vertical="center"/>
    </xf>
    <xf numFmtId="0" fontId="114" fillId="0" borderId="1" xfId="3" applyFont="1" applyBorder="1" applyAlignment="1">
      <alignment horizontal="center" vertical="center"/>
    </xf>
    <xf numFmtId="0" fontId="113" fillId="0" borderId="1" xfId="3" applyFont="1" applyBorder="1" applyAlignment="1">
      <alignment horizontal="center" vertical="center"/>
    </xf>
    <xf numFmtId="0" fontId="113" fillId="0" borderId="1" xfId="3" applyFont="1" applyBorder="1" applyAlignment="1">
      <alignment horizontal="center" vertical="center" wrapText="1"/>
    </xf>
    <xf numFmtId="0" fontId="112" fillId="0" borderId="1" xfId="3" applyFont="1" applyBorder="1" applyAlignment="1">
      <alignment horizontal="center" vertical="center" wrapText="1"/>
    </xf>
    <xf numFmtId="0" fontId="111" fillId="0" borderId="1" xfId="3" applyFont="1" applyBorder="1" applyAlignment="1">
      <alignment horizontal="center" vertical="center" wrapText="1"/>
    </xf>
    <xf numFmtId="0" fontId="211" fillId="0" borderId="6" xfId="3" applyFont="1" applyBorder="1" applyAlignment="1">
      <alignment horizontal="center" vertical="center" wrapText="1"/>
    </xf>
    <xf numFmtId="0" fontId="153" fillId="0" borderId="2" xfId="3" applyFont="1" applyBorder="1" applyAlignment="1">
      <alignment horizontal="center" vertical="center" wrapText="1"/>
    </xf>
    <xf numFmtId="0" fontId="108" fillId="0" borderId="2" xfId="3" applyFont="1" applyBorder="1" applyAlignment="1">
      <alignment horizontal="center" vertical="center"/>
    </xf>
    <xf numFmtId="0" fontId="108" fillId="0" borderId="2" xfId="3" applyFont="1" applyBorder="1" applyAlignment="1">
      <alignment horizontal="center" vertical="center" wrapText="1"/>
    </xf>
    <xf numFmtId="0" fontId="107" fillId="0" borderId="2" xfId="3" applyFont="1" applyBorder="1" applyAlignment="1">
      <alignment horizontal="center" vertical="center" wrapText="1"/>
    </xf>
    <xf numFmtId="0" fontId="106" fillId="0" borderId="2" xfId="3" applyFont="1" applyBorder="1" applyAlignment="1">
      <alignment horizontal="center" vertical="center"/>
    </xf>
    <xf numFmtId="0" fontId="106" fillId="0" borderId="2" xfId="3" applyFont="1" applyBorder="1" applyAlignment="1">
      <alignment horizontal="center" vertical="center" wrapText="1"/>
    </xf>
    <xf numFmtId="0" fontId="105" fillId="0" borderId="2" xfId="3" applyFont="1" applyBorder="1" applyAlignment="1">
      <alignment horizontal="center" vertical="center" wrapText="1"/>
    </xf>
    <xf numFmtId="0" fontId="102" fillId="3" borderId="2" xfId="3" applyFont="1" applyFill="1" applyBorder="1" applyAlignment="1">
      <alignment horizontal="center" vertical="center"/>
    </xf>
    <xf numFmtId="0" fontId="104" fillId="0" borderId="2" xfId="3" applyFont="1" applyBorder="1" applyAlignment="1">
      <alignment horizontal="center" vertical="center" wrapText="1"/>
    </xf>
    <xf numFmtId="0" fontId="103" fillId="0" borderId="2" xfId="3" applyFont="1" applyBorder="1" applyAlignment="1">
      <alignment horizontal="center" vertical="center"/>
    </xf>
    <xf numFmtId="0" fontId="103" fillId="0" borderId="2" xfId="3" applyFont="1" applyBorder="1" applyAlignment="1">
      <alignment horizontal="center" vertical="center" wrapText="1"/>
    </xf>
    <xf numFmtId="0" fontId="101" fillId="0" borderId="2" xfId="3" applyFont="1" applyBorder="1" applyAlignment="1">
      <alignment horizontal="center" vertical="center"/>
    </xf>
    <xf numFmtId="0" fontId="101" fillId="0" borderId="2" xfId="3" applyFont="1" applyBorder="1" applyAlignment="1">
      <alignment horizontal="center" vertical="center" wrapText="1"/>
    </xf>
    <xf numFmtId="0" fontId="100" fillId="0" borderId="2" xfId="3" applyFont="1" applyBorder="1" applyAlignment="1">
      <alignment horizontal="center" vertical="center" wrapText="1"/>
    </xf>
    <xf numFmtId="0" fontId="358" fillId="0" borderId="2" xfId="3" applyFont="1" applyBorder="1" applyAlignment="1">
      <alignment horizontal="center" vertical="center" wrapText="1"/>
    </xf>
    <xf numFmtId="16" fontId="355" fillId="0" borderId="1" xfId="3" applyNumberFormat="1" applyFont="1" applyBorder="1" applyAlignment="1">
      <alignment horizontal="center" vertical="center" wrapText="1"/>
    </xf>
    <xf numFmtId="0" fontId="355" fillId="0" borderId="2" xfId="3" applyNumberFormat="1" applyBorder="1" applyAlignment="1">
      <alignment horizontal="center" vertical="center" wrapText="1"/>
    </xf>
    <xf numFmtId="20" fontId="355" fillId="0" borderId="6" xfId="3" applyNumberFormat="1" applyFont="1" applyBorder="1" applyAlignment="1">
      <alignment horizontal="center" vertical="center" wrapText="1"/>
    </xf>
    <xf numFmtId="43" fontId="358" fillId="0" borderId="3" xfId="2" applyFont="1" applyBorder="1" applyAlignment="1">
      <alignment horizontal="center" vertical="center" wrapText="1"/>
    </xf>
    <xf numFmtId="20" fontId="355" fillId="0" borderId="6" xfId="3" applyNumberFormat="1" applyFont="1" applyBorder="1" applyAlignment="1">
      <alignment horizontal="center" vertical="center"/>
    </xf>
    <xf numFmtId="0" fontId="98" fillId="0" borderId="2" xfId="3" applyFont="1" applyBorder="1" applyAlignment="1">
      <alignment horizontal="center" vertical="center"/>
    </xf>
    <xf numFmtId="0" fontId="98" fillId="0" borderId="2" xfId="3" applyFont="1" applyBorder="1" applyAlignment="1">
      <alignment horizontal="center" vertical="center" wrapText="1"/>
    </xf>
    <xf numFmtId="0" fontId="98" fillId="0" borderId="1" xfId="3" applyFont="1" applyBorder="1" applyAlignment="1">
      <alignment horizontal="center" vertical="center" wrapText="1"/>
    </xf>
    <xf numFmtId="0" fontId="98" fillId="4" borderId="2" xfId="3" applyFont="1" applyFill="1" applyBorder="1" applyAlignment="1">
      <alignment horizontal="center" vertical="center"/>
    </xf>
    <xf numFmtId="0" fontId="362" fillId="7" borderId="0" xfId="0" applyFont="1" applyFill="1"/>
    <xf numFmtId="0" fontId="97" fillId="0" borderId="2" xfId="3" applyFont="1" applyBorder="1" applyAlignment="1">
      <alignment horizontal="center" vertical="center"/>
    </xf>
    <xf numFmtId="0" fontId="97" fillId="0" borderId="2" xfId="3" applyFont="1" applyBorder="1" applyAlignment="1">
      <alignment horizontal="center" vertical="center" wrapText="1"/>
    </xf>
    <xf numFmtId="0" fontId="97" fillId="4" borderId="2" xfId="3" applyFont="1" applyFill="1" applyBorder="1" applyAlignment="1">
      <alignment horizontal="center" vertical="center"/>
    </xf>
    <xf numFmtId="0" fontId="364" fillId="2" borderId="2" xfId="1" applyFont="1" applyBorder="1" applyAlignment="1">
      <alignment horizontal="center" vertical="center" wrapText="1"/>
    </xf>
    <xf numFmtId="0" fontId="365" fillId="2" borderId="2" xfId="1" applyFont="1" applyBorder="1" applyAlignment="1">
      <alignment horizontal="center" vertical="center" wrapText="1"/>
    </xf>
    <xf numFmtId="0" fontId="364" fillId="2" borderId="2" xfId="1" applyNumberFormat="1" applyFont="1" applyBorder="1" applyAlignment="1">
      <alignment horizontal="center" vertical="center" wrapText="1"/>
    </xf>
    <xf numFmtId="167" fontId="365" fillId="2" borderId="2" xfId="2" applyNumberFormat="1" applyFont="1" applyFill="1" applyBorder="1" applyAlignment="1">
      <alignment horizontal="center" vertical="center" wrapText="1"/>
    </xf>
    <xf numFmtId="0" fontId="366" fillId="0" borderId="2" xfId="3" applyFont="1" applyBorder="1"/>
    <xf numFmtId="0" fontId="96" fillId="0" borderId="2" xfId="3" applyFont="1" applyBorder="1" applyAlignment="1">
      <alignment horizontal="center" vertical="center"/>
    </xf>
    <xf numFmtId="0" fontId="95" fillId="0" borderId="2" xfId="3" applyFont="1" applyBorder="1" applyAlignment="1">
      <alignment horizontal="center" vertical="center"/>
    </xf>
    <xf numFmtId="0" fontId="94" fillId="0" borderId="2" xfId="3" applyFont="1" applyBorder="1" applyAlignment="1">
      <alignment horizontal="center" vertical="center"/>
    </xf>
    <xf numFmtId="0" fontId="94" fillId="0" borderId="2" xfId="3" applyFont="1" applyBorder="1" applyAlignment="1">
      <alignment horizontal="center" vertical="center" wrapText="1"/>
    </xf>
    <xf numFmtId="0" fontId="94" fillId="4" borderId="2" xfId="3" applyFont="1" applyFill="1" applyBorder="1" applyAlignment="1">
      <alignment horizontal="center" vertical="center"/>
    </xf>
    <xf numFmtId="0" fontId="93" fillId="0" borderId="2" xfId="3" applyFont="1" applyBorder="1" applyAlignment="1">
      <alignment horizontal="center" vertical="center"/>
    </xf>
    <xf numFmtId="0" fontId="93" fillId="0" borderId="2" xfId="3" applyFont="1" applyBorder="1" applyAlignment="1">
      <alignment horizontal="center" vertical="center" wrapText="1"/>
    </xf>
    <xf numFmtId="0" fontId="93" fillId="4" borderId="2" xfId="3" applyFont="1" applyFill="1" applyBorder="1" applyAlignment="1">
      <alignment horizontal="center" vertical="center"/>
    </xf>
    <xf numFmtId="0" fontId="92" fillId="0" borderId="2" xfId="3" applyFont="1" applyBorder="1" applyAlignment="1">
      <alignment horizontal="center" vertical="center"/>
    </xf>
    <xf numFmtId="0" fontId="92" fillId="4" borderId="2" xfId="3" applyFont="1" applyFill="1" applyBorder="1" applyAlignment="1">
      <alignment horizontal="center" vertical="center"/>
    </xf>
    <xf numFmtId="0" fontId="91" fillId="0" borderId="2" xfId="3" applyFont="1" applyBorder="1" applyAlignment="1">
      <alignment horizontal="center" vertical="center"/>
    </xf>
    <xf numFmtId="0" fontId="90" fillId="0" borderId="2" xfId="3" applyFont="1" applyBorder="1" applyAlignment="1">
      <alignment horizontal="center" vertical="center"/>
    </xf>
    <xf numFmtId="0" fontId="90" fillId="0" borderId="2" xfId="3" applyFont="1" applyBorder="1" applyAlignment="1">
      <alignment horizontal="center" vertical="center" wrapText="1"/>
    </xf>
    <xf numFmtId="0" fontId="90" fillId="0" borderId="1" xfId="3" applyFont="1" applyBorder="1" applyAlignment="1">
      <alignment horizontal="center" vertical="center" wrapText="1"/>
    </xf>
    <xf numFmtId="0" fontId="90" fillId="4" borderId="2" xfId="3" applyFont="1" applyFill="1" applyBorder="1" applyAlignment="1">
      <alignment horizontal="center" vertical="center"/>
    </xf>
    <xf numFmtId="0" fontId="89" fillId="0" borderId="2" xfId="3" applyFont="1" applyBorder="1" applyAlignment="1">
      <alignment horizontal="center" vertical="center"/>
    </xf>
    <xf numFmtId="0" fontId="89" fillId="0" borderId="2" xfId="3" applyFont="1" applyBorder="1" applyAlignment="1">
      <alignment horizontal="center" vertical="center" wrapText="1"/>
    </xf>
    <xf numFmtId="0" fontId="88" fillId="0" borderId="2" xfId="3" applyFont="1" applyBorder="1" applyAlignment="1">
      <alignment horizontal="center" vertical="center"/>
    </xf>
    <xf numFmtId="0" fontId="88" fillId="0" borderId="2" xfId="3" applyFont="1" applyBorder="1" applyAlignment="1">
      <alignment horizontal="center" vertical="center" wrapText="1"/>
    </xf>
    <xf numFmtId="0" fontId="88" fillId="4" borderId="2" xfId="3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0" applyNumberFormat="1"/>
    <xf numFmtId="0" fontId="0" fillId="0" borderId="25" xfId="0" applyNumberFormat="1" applyBorder="1"/>
    <xf numFmtId="0" fontId="87" fillId="0" borderId="2" xfId="3" applyFont="1" applyBorder="1" applyAlignment="1">
      <alignment horizontal="center" vertical="center"/>
    </xf>
    <xf numFmtId="0" fontId="87" fillId="0" borderId="2" xfId="3" applyFont="1" applyBorder="1" applyAlignment="1">
      <alignment horizontal="center" vertical="center" wrapText="1"/>
    </xf>
    <xf numFmtId="16" fontId="87" fillId="0" borderId="1" xfId="3" applyNumberFormat="1" applyFont="1" applyBorder="1" applyAlignment="1">
      <alignment horizontal="center" vertical="center"/>
    </xf>
    <xf numFmtId="0" fontId="87" fillId="4" borderId="2" xfId="3" applyFont="1" applyFill="1" applyBorder="1" applyAlignment="1">
      <alignment horizontal="center" vertical="center"/>
    </xf>
    <xf numFmtId="20" fontId="355" fillId="0" borderId="6" xfId="3" applyNumberFormat="1" applyFont="1" applyBorder="1" applyAlignment="1">
      <alignment horizontal="center" vertical="center"/>
    </xf>
    <xf numFmtId="0" fontId="86" fillId="0" borderId="2" xfId="3" applyFont="1" applyBorder="1" applyAlignment="1">
      <alignment horizontal="center" vertical="center"/>
    </xf>
    <xf numFmtId="0" fontId="86" fillId="0" borderId="2" xfId="3" applyFont="1" applyBorder="1" applyAlignment="1">
      <alignment horizontal="center" vertical="center" wrapText="1"/>
    </xf>
    <xf numFmtId="0" fontId="85" fillId="0" borderId="2" xfId="3" applyFont="1" applyBorder="1" applyAlignment="1">
      <alignment horizontal="center" vertical="center" wrapText="1"/>
    </xf>
    <xf numFmtId="0" fontId="85" fillId="0" borderId="2" xfId="3" applyFont="1" applyBorder="1" applyAlignment="1">
      <alignment horizontal="center" vertical="center"/>
    </xf>
    <xf numFmtId="0" fontId="85" fillId="4" borderId="2" xfId="3" applyFont="1" applyFill="1" applyBorder="1" applyAlignment="1">
      <alignment horizontal="center" vertical="center"/>
    </xf>
    <xf numFmtId="0" fontId="84" fillId="0" borderId="2" xfId="3" applyFont="1" applyBorder="1" applyAlignment="1">
      <alignment horizontal="center" vertical="center"/>
    </xf>
    <xf numFmtId="0" fontId="83" fillId="0" borderId="2" xfId="3" applyFont="1" applyBorder="1" applyAlignment="1">
      <alignment horizontal="center" vertical="center"/>
    </xf>
    <xf numFmtId="0" fontId="83" fillId="0" borderId="2" xfId="3" applyFont="1" applyBorder="1" applyAlignment="1">
      <alignment horizontal="center" vertical="center" wrapText="1"/>
    </xf>
    <xf numFmtId="0" fontId="83" fillId="4" borderId="2" xfId="3" applyFont="1" applyFill="1" applyBorder="1" applyAlignment="1">
      <alignment horizontal="center" vertical="center"/>
    </xf>
    <xf numFmtId="0" fontId="82" fillId="0" borderId="2" xfId="3" applyFont="1" applyBorder="1" applyAlignment="1">
      <alignment horizontal="center" vertical="center"/>
    </xf>
    <xf numFmtId="0" fontId="82" fillId="0" borderId="2" xfId="3" applyFont="1" applyBorder="1" applyAlignment="1">
      <alignment horizontal="center" vertical="center" wrapText="1"/>
    </xf>
    <xf numFmtId="0" fontId="81" fillId="0" borderId="2" xfId="3" applyFont="1" applyBorder="1" applyAlignment="1">
      <alignment horizontal="center" vertical="center"/>
    </xf>
    <xf numFmtId="0" fontId="81" fillId="0" borderId="2" xfId="3" applyFont="1" applyBorder="1" applyAlignment="1">
      <alignment horizontal="center" vertical="center" wrapText="1"/>
    </xf>
    <xf numFmtId="0" fontId="81" fillId="0" borderId="1" xfId="3" applyFont="1" applyBorder="1" applyAlignment="1">
      <alignment horizontal="center" vertical="center" wrapText="1"/>
    </xf>
    <xf numFmtId="0" fontId="81" fillId="4" borderId="2" xfId="3" applyFont="1" applyFill="1" applyBorder="1" applyAlignment="1">
      <alignment horizontal="center" vertical="center"/>
    </xf>
    <xf numFmtId="0" fontId="0" fillId="0" borderId="19" xfId="0" applyBorder="1" applyAlignment="1">
      <alignment horizontal="left"/>
    </xf>
    <xf numFmtId="0" fontId="80" fillId="0" borderId="2" xfId="3" applyFont="1" applyBorder="1" applyAlignment="1">
      <alignment horizontal="center" vertical="center"/>
    </xf>
    <xf numFmtId="0" fontId="80" fillId="0" borderId="2" xfId="3" applyFont="1" applyBorder="1" applyAlignment="1">
      <alignment horizontal="center" vertical="center" wrapText="1"/>
    </xf>
    <xf numFmtId="0" fontId="80" fillId="4" borderId="2" xfId="3" applyFont="1" applyFill="1" applyBorder="1" applyAlignment="1">
      <alignment horizontal="center" vertical="center"/>
    </xf>
    <xf numFmtId="0" fontId="79" fillId="0" borderId="2" xfId="3" applyFont="1" applyBorder="1" applyAlignment="1">
      <alignment horizontal="center" vertical="center"/>
    </xf>
    <xf numFmtId="0" fontId="79" fillId="0" borderId="1" xfId="3" applyFont="1" applyBorder="1" applyAlignment="1">
      <alignment horizontal="center" vertical="center" wrapText="1"/>
    </xf>
    <xf numFmtId="0" fontId="78" fillId="0" borderId="2" xfId="3" applyFont="1" applyBorder="1" applyAlignment="1">
      <alignment horizontal="center" vertical="center"/>
    </xf>
    <xf numFmtId="0" fontId="77" fillId="0" borderId="2" xfId="3" applyFont="1" applyBorder="1" applyAlignment="1">
      <alignment horizontal="center" vertical="center"/>
    </xf>
    <xf numFmtId="0" fontId="77" fillId="0" borderId="2" xfId="3" applyFont="1" applyBorder="1" applyAlignment="1">
      <alignment horizontal="center" vertical="center" wrapText="1"/>
    </xf>
    <xf numFmtId="16" fontId="77" fillId="0" borderId="2" xfId="3" applyNumberFormat="1" applyFont="1" applyBorder="1" applyAlignment="1">
      <alignment horizontal="center" vertical="center"/>
    </xf>
    <xf numFmtId="0" fontId="77" fillId="4" borderId="2" xfId="3" applyFont="1" applyFill="1" applyBorder="1" applyAlignment="1">
      <alignment horizontal="center" vertical="center"/>
    </xf>
    <xf numFmtId="20" fontId="355" fillId="0" borderId="6" xfId="3" applyNumberFormat="1" applyFont="1" applyBorder="1" applyAlignment="1">
      <alignment horizontal="center" vertical="center"/>
    </xf>
    <xf numFmtId="0" fontId="76" fillId="0" borderId="2" xfId="3" applyFont="1" applyBorder="1" applyAlignment="1">
      <alignment horizontal="center" vertical="center"/>
    </xf>
    <xf numFmtId="0" fontId="76" fillId="0" borderId="2" xfId="3" applyFont="1" applyBorder="1" applyAlignment="1">
      <alignment horizontal="center" vertical="center" wrapText="1"/>
    </xf>
    <xf numFmtId="0" fontId="76" fillId="4" borderId="2" xfId="3" applyFont="1" applyFill="1" applyBorder="1" applyAlignment="1">
      <alignment horizontal="center" vertical="center"/>
    </xf>
    <xf numFmtId="0" fontId="75" fillId="0" borderId="2" xfId="3" applyFont="1" applyBorder="1" applyAlignment="1">
      <alignment horizontal="center" vertical="center" wrapText="1"/>
    </xf>
    <xf numFmtId="0" fontId="75" fillId="0" borderId="2" xfId="3" applyFont="1" applyBorder="1" applyAlignment="1">
      <alignment horizontal="center" vertical="center"/>
    </xf>
    <xf numFmtId="0" fontId="75" fillId="4" borderId="2" xfId="3" applyFont="1" applyFill="1" applyBorder="1" applyAlignment="1">
      <alignment horizontal="center" vertical="center"/>
    </xf>
    <xf numFmtId="0" fontId="74" fillId="0" borderId="2" xfId="3" applyFont="1" applyBorder="1" applyAlignment="1">
      <alignment horizontal="center" vertical="center" wrapText="1"/>
    </xf>
    <xf numFmtId="0" fontId="74" fillId="0" borderId="2" xfId="3" applyFont="1" applyBorder="1" applyAlignment="1">
      <alignment horizontal="center" vertical="center"/>
    </xf>
    <xf numFmtId="0" fontId="74" fillId="0" borderId="1" xfId="3" applyFont="1" applyBorder="1" applyAlignment="1">
      <alignment horizontal="center" vertical="center" wrapText="1"/>
    </xf>
    <xf numFmtId="0" fontId="73" fillId="0" borderId="2" xfId="3" applyFont="1" applyBorder="1" applyAlignment="1">
      <alignment horizontal="center" vertical="center"/>
    </xf>
    <xf numFmtId="0" fontId="72" fillId="0" borderId="2" xfId="3" applyFont="1" applyBorder="1" applyAlignment="1">
      <alignment horizontal="center" vertical="center"/>
    </xf>
    <xf numFmtId="16" fontId="72" fillId="0" borderId="1" xfId="3" applyNumberFormat="1" applyFont="1" applyBorder="1" applyAlignment="1">
      <alignment horizontal="center" vertical="center"/>
    </xf>
    <xf numFmtId="0" fontId="72" fillId="0" borderId="1" xfId="3" applyFont="1" applyBorder="1" applyAlignment="1">
      <alignment horizontal="center" vertical="center" wrapText="1"/>
    </xf>
    <xf numFmtId="0" fontId="71" fillId="0" borderId="2" xfId="3" applyFont="1" applyBorder="1" applyAlignment="1">
      <alignment horizontal="center" vertical="center"/>
    </xf>
    <xf numFmtId="0" fontId="70" fillId="0" borderId="2" xfId="3" applyFont="1" applyBorder="1" applyAlignment="1">
      <alignment horizontal="center" vertical="center"/>
    </xf>
    <xf numFmtId="0" fontId="70" fillId="0" borderId="2" xfId="3" applyFont="1" applyBorder="1" applyAlignment="1">
      <alignment horizontal="center" vertical="center" wrapText="1"/>
    </xf>
    <xf numFmtId="0" fontId="70" fillId="4" borderId="2" xfId="3" applyFont="1" applyFill="1" applyBorder="1" applyAlignment="1">
      <alignment horizontal="center" vertical="center"/>
    </xf>
    <xf numFmtId="0" fontId="69" fillId="0" borderId="2" xfId="3" applyFont="1" applyBorder="1" applyAlignment="1">
      <alignment horizontal="center" vertical="center"/>
    </xf>
    <xf numFmtId="0" fontId="69" fillId="0" borderId="2" xfId="3" applyFont="1" applyBorder="1" applyAlignment="1">
      <alignment horizontal="center" vertical="center" wrapText="1"/>
    </xf>
    <xf numFmtId="0" fontId="69" fillId="0" borderId="1" xfId="3" applyFont="1" applyBorder="1" applyAlignment="1">
      <alignment horizontal="center" vertical="center" wrapText="1"/>
    </xf>
    <xf numFmtId="0" fontId="69" fillId="4" borderId="2" xfId="3" applyFont="1" applyFill="1" applyBorder="1" applyAlignment="1">
      <alignment horizontal="center" vertical="center"/>
    </xf>
    <xf numFmtId="0" fontId="68" fillId="0" borderId="2" xfId="3" applyFont="1" applyBorder="1" applyAlignment="1">
      <alignment horizontal="center" vertical="center"/>
    </xf>
    <xf numFmtId="0" fontId="67" fillId="0" borderId="2" xfId="3" applyFont="1" applyBorder="1" applyAlignment="1">
      <alignment horizontal="center" vertical="center"/>
    </xf>
    <xf numFmtId="0" fontId="66" fillId="0" borderId="2" xfId="3" applyFont="1" applyBorder="1" applyAlignment="1">
      <alignment horizontal="center" vertical="center"/>
    </xf>
    <xf numFmtId="0" fontId="66" fillId="0" borderId="2" xfId="3" applyFont="1" applyBorder="1" applyAlignment="1">
      <alignment horizontal="center" vertical="center" wrapText="1"/>
    </xf>
    <xf numFmtId="0" fontId="66" fillId="4" borderId="2" xfId="3" applyFont="1" applyFill="1" applyBorder="1" applyAlignment="1">
      <alignment horizontal="center" vertical="center"/>
    </xf>
    <xf numFmtId="0" fontId="65" fillId="0" borderId="2" xfId="3" applyFont="1" applyBorder="1" applyAlignment="1">
      <alignment horizontal="center" vertical="center" wrapText="1"/>
    </xf>
    <xf numFmtId="0" fontId="65" fillId="0" borderId="2" xfId="3" applyFont="1" applyBorder="1" applyAlignment="1">
      <alignment horizontal="center" vertical="center"/>
    </xf>
    <xf numFmtId="0" fontId="64" fillId="0" borderId="1" xfId="3" applyFont="1" applyBorder="1" applyAlignment="1">
      <alignment horizontal="center" vertical="center" wrapText="1"/>
    </xf>
    <xf numFmtId="0" fontId="63" fillId="0" borderId="2" xfId="3" applyFont="1" applyBorder="1" applyAlignment="1">
      <alignment horizontal="center" vertical="center"/>
    </xf>
    <xf numFmtId="0" fontId="62" fillId="0" borderId="2" xfId="3" applyFont="1" applyBorder="1" applyAlignment="1">
      <alignment horizontal="center" vertical="center"/>
    </xf>
    <xf numFmtId="20" fontId="355" fillId="0" borderId="6" xfId="3" applyNumberFormat="1" applyFont="1" applyBorder="1" applyAlignment="1">
      <alignment horizontal="center" vertical="center"/>
    </xf>
    <xf numFmtId="0" fontId="61" fillId="0" borderId="2" xfId="3" applyFont="1" applyBorder="1" applyAlignment="1">
      <alignment horizontal="center" vertical="center"/>
    </xf>
    <xf numFmtId="0" fontId="61" fillId="0" borderId="2" xfId="3" applyFont="1" applyBorder="1" applyAlignment="1">
      <alignment horizontal="center" vertical="center" wrapText="1"/>
    </xf>
    <xf numFmtId="0" fontId="61" fillId="4" borderId="2" xfId="3" applyFont="1" applyFill="1" applyBorder="1" applyAlignment="1">
      <alignment horizontal="center" vertical="center"/>
    </xf>
    <xf numFmtId="0" fontId="60" fillId="0" borderId="2" xfId="3" applyFont="1" applyBorder="1" applyAlignment="1">
      <alignment horizontal="center" vertical="center"/>
    </xf>
    <xf numFmtId="0" fontId="59" fillId="0" borderId="2" xfId="3" applyFont="1" applyBorder="1" applyAlignment="1">
      <alignment horizontal="center" vertical="center"/>
    </xf>
    <xf numFmtId="0" fontId="59" fillId="0" borderId="1" xfId="3" applyFont="1" applyBorder="1" applyAlignment="1">
      <alignment horizontal="center" vertical="center" wrapText="1"/>
    </xf>
    <xf numFmtId="0" fontId="58" fillId="0" borderId="2" xfId="3" applyFont="1" applyBorder="1" applyAlignment="1">
      <alignment horizontal="center" vertical="center"/>
    </xf>
    <xf numFmtId="0" fontId="57" fillId="0" borderId="2" xfId="3" applyFont="1" applyBorder="1" applyAlignment="1">
      <alignment horizontal="center" vertical="center"/>
    </xf>
    <xf numFmtId="0" fontId="57" fillId="0" borderId="2" xfId="3" applyFont="1" applyBorder="1" applyAlignment="1">
      <alignment horizontal="center" vertical="center" wrapText="1"/>
    </xf>
    <xf numFmtId="0" fontId="57" fillId="4" borderId="2" xfId="3" applyFont="1" applyFill="1" applyBorder="1" applyAlignment="1">
      <alignment horizontal="center" vertical="center"/>
    </xf>
    <xf numFmtId="0" fontId="57" fillId="0" borderId="1" xfId="3" applyFont="1" applyBorder="1" applyAlignment="1">
      <alignment horizontal="center" vertical="center" wrapText="1"/>
    </xf>
    <xf numFmtId="0" fontId="56" fillId="0" borderId="2" xfId="3" applyFont="1" applyBorder="1" applyAlignment="1">
      <alignment horizontal="center" vertical="center"/>
    </xf>
    <xf numFmtId="0" fontId="56" fillId="4" borderId="2" xfId="3" applyFont="1" applyFill="1" applyBorder="1" applyAlignment="1">
      <alignment horizontal="center" vertical="center"/>
    </xf>
    <xf numFmtId="0" fontId="56" fillId="0" borderId="2" xfId="3" applyFont="1" applyBorder="1" applyAlignment="1">
      <alignment horizontal="center" vertical="center" wrapText="1"/>
    </xf>
    <xf numFmtId="0" fontId="55" fillId="0" borderId="2" xfId="3" applyFont="1" applyBorder="1" applyAlignment="1">
      <alignment horizontal="center" vertical="center"/>
    </xf>
    <xf numFmtId="0" fontId="55" fillId="0" borderId="2" xfId="3" applyFont="1" applyBorder="1" applyAlignment="1">
      <alignment horizontal="center" vertical="center" wrapText="1"/>
    </xf>
    <xf numFmtId="0" fontId="55" fillId="4" borderId="2" xfId="3" applyFont="1" applyFill="1" applyBorder="1" applyAlignment="1">
      <alignment horizontal="center" vertical="center"/>
    </xf>
    <xf numFmtId="0" fontId="54" fillId="0" borderId="2" xfId="3" applyFont="1" applyBorder="1" applyAlignment="1">
      <alignment horizontal="center" vertical="center"/>
    </xf>
    <xf numFmtId="0" fontId="54" fillId="0" borderId="2" xfId="3" applyFont="1" applyBorder="1" applyAlignment="1">
      <alignment horizontal="center" vertical="center" wrapText="1"/>
    </xf>
    <xf numFmtId="0" fontId="54" fillId="4" borderId="2" xfId="3" applyFont="1" applyFill="1" applyBorder="1" applyAlignment="1">
      <alignment horizontal="center" vertical="center"/>
    </xf>
    <xf numFmtId="0" fontId="53" fillId="0" borderId="1" xfId="3" applyFont="1" applyBorder="1" applyAlignment="1">
      <alignment horizontal="center" vertical="center" wrapText="1"/>
    </xf>
    <xf numFmtId="0" fontId="53" fillId="0" borderId="2" xfId="3" applyFont="1" applyBorder="1" applyAlignment="1">
      <alignment horizontal="center" vertical="center"/>
    </xf>
    <xf numFmtId="0" fontId="53" fillId="0" borderId="2" xfId="3" applyFont="1" applyBorder="1" applyAlignment="1">
      <alignment horizontal="center" vertical="center" wrapText="1"/>
    </xf>
    <xf numFmtId="0" fontId="53" fillId="4" borderId="2" xfId="3" applyFont="1" applyFill="1" applyBorder="1" applyAlignment="1">
      <alignment horizontal="center" vertical="center"/>
    </xf>
    <xf numFmtId="0" fontId="52" fillId="0" borderId="2" xfId="3" applyFont="1" applyBorder="1" applyAlignment="1">
      <alignment horizontal="center" vertical="center" wrapText="1"/>
    </xf>
    <xf numFmtId="0" fontId="52" fillId="4" borderId="2" xfId="3" applyFont="1" applyFill="1" applyBorder="1" applyAlignment="1">
      <alignment horizontal="center" vertical="center"/>
    </xf>
    <xf numFmtId="0" fontId="51" fillId="0" borderId="2" xfId="3" applyFont="1" applyBorder="1" applyAlignment="1">
      <alignment horizontal="center" vertical="center"/>
    </xf>
    <xf numFmtId="0" fontId="51" fillId="0" borderId="2" xfId="3" applyFont="1" applyBorder="1" applyAlignment="1">
      <alignment horizontal="center" vertical="center" wrapText="1"/>
    </xf>
    <xf numFmtId="0" fontId="51" fillId="3" borderId="2" xfId="3" applyFont="1" applyFill="1" applyBorder="1" applyAlignment="1">
      <alignment horizontal="center" vertical="center"/>
    </xf>
    <xf numFmtId="20" fontId="355" fillId="0" borderId="6" xfId="3" applyNumberFormat="1" applyFont="1" applyBorder="1" applyAlignment="1">
      <alignment horizontal="center" vertical="center"/>
    </xf>
    <xf numFmtId="0" fontId="50" fillId="0" borderId="2" xfId="3" applyFont="1" applyBorder="1" applyAlignment="1">
      <alignment horizontal="center" vertical="center"/>
    </xf>
    <xf numFmtId="0" fontId="50" fillId="0" borderId="2" xfId="3" applyFont="1" applyBorder="1" applyAlignment="1">
      <alignment horizontal="center" vertical="center" wrapText="1"/>
    </xf>
    <xf numFmtId="16" fontId="50" fillId="0" borderId="1" xfId="3" applyNumberFormat="1" applyFont="1" applyBorder="1" applyAlignment="1">
      <alignment horizontal="center" vertical="center"/>
    </xf>
    <xf numFmtId="0" fontId="50" fillId="0" borderId="1" xfId="3" applyFont="1" applyBorder="1" applyAlignment="1">
      <alignment horizontal="center" vertical="center" wrapText="1"/>
    </xf>
    <xf numFmtId="0" fontId="50" fillId="4" borderId="2" xfId="3" applyFont="1" applyFill="1" applyBorder="1" applyAlignment="1">
      <alignment horizontal="center" vertical="center"/>
    </xf>
    <xf numFmtId="0" fontId="49" fillId="0" borderId="2" xfId="3" applyFont="1" applyBorder="1" applyAlignment="1">
      <alignment horizontal="center" vertical="center"/>
    </xf>
    <xf numFmtId="0" fontId="49" fillId="0" borderId="2" xfId="3" applyFont="1" applyBorder="1" applyAlignment="1">
      <alignment horizontal="center" vertical="center" wrapText="1"/>
    </xf>
    <xf numFmtId="0" fontId="49" fillId="0" borderId="1" xfId="3" applyFont="1" applyBorder="1" applyAlignment="1">
      <alignment horizontal="center" vertical="center" wrapText="1"/>
    </xf>
    <xf numFmtId="0" fontId="48" fillId="0" borderId="2" xfId="3" applyFont="1" applyBorder="1" applyAlignment="1">
      <alignment horizontal="center" vertical="center"/>
    </xf>
    <xf numFmtId="0" fontId="48" fillId="0" borderId="2" xfId="3" applyFont="1" applyBorder="1" applyAlignment="1">
      <alignment horizontal="center" vertical="center" wrapText="1"/>
    </xf>
    <xf numFmtId="0" fontId="48" fillId="4" borderId="2" xfId="3" applyFont="1" applyFill="1" applyBorder="1" applyAlignment="1">
      <alignment horizontal="center" vertical="center"/>
    </xf>
    <xf numFmtId="0" fontId="47" fillId="0" borderId="2" xfId="3" applyFont="1" applyBorder="1" applyAlignment="1">
      <alignment horizontal="center" vertical="center"/>
    </xf>
    <xf numFmtId="0" fontId="47" fillId="0" borderId="2" xfId="3" applyFont="1" applyBorder="1" applyAlignment="1">
      <alignment horizontal="center" vertical="center" wrapText="1"/>
    </xf>
    <xf numFmtId="0" fontId="47" fillId="4" borderId="2" xfId="3" applyFont="1" applyFill="1" applyBorder="1" applyAlignment="1">
      <alignment horizontal="center" vertical="center"/>
    </xf>
    <xf numFmtId="0" fontId="46" fillId="0" borderId="2" xfId="3" applyFont="1" applyBorder="1" applyAlignment="1">
      <alignment horizontal="center" vertical="center"/>
    </xf>
    <xf numFmtId="0" fontId="46" fillId="0" borderId="2" xfId="3" applyFont="1" applyBorder="1" applyAlignment="1">
      <alignment horizontal="center" vertical="center" wrapText="1"/>
    </xf>
    <xf numFmtId="0" fontId="46" fillId="0" borderId="1" xfId="3" applyFont="1" applyBorder="1" applyAlignment="1">
      <alignment horizontal="center" vertical="center" wrapText="1"/>
    </xf>
    <xf numFmtId="0" fontId="46" fillId="4" borderId="2" xfId="3" applyFont="1" applyFill="1" applyBorder="1" applyAlignment="1">
      <alignment horizontal="center" vertical="center"/>
    </xf>
    <xf numFmtId="0" fontId="45" fillId="0" borderId="2" xfId="3" applyFont="1" applyBorder="1" applyAlignment="1">
      <alignment horizontal="center" vertical="center" wrapText="1"/>
    </xf>
    <xf numFmtId="0" fontId="45" fillId="0" borderId="2" xfId="3" applyFont="1" applyBorder="1" applyAlignment="1">
      <alignment horizontal="center" vertical="center"/>
    </xf>
    <xf numFmtId="0" fontId="45" fillId="4" borderId="2" xfId="3" applyFont="1" applyFill="1" applyBorder="1" applyAlignment="1">
      <alignment horizontal="center" vertical="center"/>
    </xf>
    <xf numFmtId="0" fontId="44" fillId="0" borderId="1" xfId="3" applyFont="1" applyBorder="1" applyAlignment="1">
      <alignment horizontal="center" vertical="center" wrapText="1"/>
    </xf>
    <xf numFmtId="20" fontId="355" fillId="0" borderId="6" xfId="3" applyNumberFormat="1" applyFont="1" applyBorder="1" applyAlignment="1">
      <alignment horizontal="center" vertical="center"/>
    </xf>
    <xf numFmtId="20" fontId="355" fillId="0" borderId="6" xfId="3" applyNumberFormat="1" applyFont="1" applyBorder="1" applyAlignment="1">
      <alignment horizontal="center" vertical="center"/>
    </xf>
    <xf numFmtId="0" fontId="43" fillId="0" borderId="2" xfId="3" applyFont="1" applyBorder="1" applyAlignment="1">
      <alignment horizontal="center" vertical="center"/>
    </xf>
    <xf numFmtId="0" fontId="43" fillId="0" borderId="2" xfId="3" applyFont="1" applyBorder="1" applyAlignment="1">
      <alignment horizontal="center" vertical="center" wrapText="1"/>
    </xf>
    <xf numFmtId="0" fontId="43" fillId="4" borderId="2" xfId="3" applyFont="1" applyFill="1" applyBorder="1" applyAlignment="1">
      <alignment horizontal="center" vertical="center"/>
    </xf>
    <xf numFmtId="0" fontId="42" fillId="0" borderId="2" xfId="3" applyFont="1" applyBorder="1" applyAlignment="1">
      <alignment horizontal="center" vertical="center"/>
    </xf>
    <xf numFmtId="0" fontId="41" fillId="0" borderId="2" xfId="3" applyFont="1" applyBorder="1" applyAlignment="1">
      <alignment horizontal="center" vertical="center"/>
    </xf>
    <xf numFmtId="0" fontId="41" fillId="0" borderId="2" xfId="3" applyFont="1" applyBorder="1" applyAlignment="1">
      <alignment horizontal="center" vertical="center" wrapText="1"/>
    </xf>
    <xf numFmtId="0" fontId="40" fillId="0" borderId="2" xfId="3" applyFont="1" applyBorder="1" applyAlignment="1">
      <alignment horizontal="center" vertical="center"/>
    </xf>
    <xf numFmtId="0" fontId="40" fillId="4" borderId="2" xfId="3" applyFont="1" applyFill="1" applyBorder="1" applyAlignment="1">
      <alignment horizontal="center" vertical="center"/>
    </xf>
    <xf numFmtId="0" fontId="40" fillId="0" borderId="2" xfId="3" applyFont="1" applyBorder="1" applyAlignment="1">
      <alignment horizontal="center" vertical="center" wrapText="1"/>
    </xf>
    <xf numFmtId="0" fontId="40" fillId="0" borderId="1" xfId="3" applyFont="1" applyBorder="1" applyAlignment="1">
      <alignment horizontal="center" vertical="center" wrapText="1"/>
    </xf>
    <xf numFmtId="20" fontId="355" fillId="0" borderId="6" xfId="3" applyNumberFormat="1" applyFont="1" applyBorder="1" applyAlignment="1">
      <alignment horizontal="center" vertical="center"/>
    </xf>
    <xf numFmtId="0" fontId="39" fillId="0" borderId="2" xfId="3" applyFont="1" applyBorder="1" applyAlignment="1">
      <alignment horizontal="center" vertical="center"/>
    </xf>
    <xf numFmtId="0" fontId="39" fillId="0" borderId="2" xfId="3" applyFont="1" applyBorder="1" applyAlignment="1">
      <alignment horizontal="center" vertical="center" wrapText="1"/>
    </xf>
    <xf numFmtId="0" fontId="39" fillId="4" borderId="2" xfId="3" applyFont="1" applyFill="1" applyBorder="1" applyAlignment="1">
      <alignment horizontal="center" vertical="center"/>
    </xf>
    <xf numFmtId="43" fontId="358" fillId="0" borderId="12" xfId="2" applyFont="1" applyBorder="1" applyAlignment="1">
      <alignment vertical="center"/>
    </xf>
    <xf numFmtId="43" fontId="358" fillId="0" borderId="13" xfId="2" applyFont="1" applyBorder="1" applyAlignment="1">
      <alignment vertical="center"/>
    </xf>
    <xf numFmtId="43" fontId="358" fillId="0" borderId="21" xfId="2" applyFont="1" applyBorder="1" applyAlignment="1">
      <alignment vertical="center"/>
    </xf>
    <xf numFmtId="20" fontId="355" fillId="0" borderId="6" xfId="3" applyNumberFormat="1" applyFont="1" applyBorder="1" applyAlignment="1">
      <alignment vertical="center"/>
    </xf>
    <xf numFmtId="20" fontId="355" fillId="0" borderId="15" xfId="3" applyNumberFormat="1" applyFont="1" applyBorder="1" applyAlignment="1">
      <alignment vertical="center"/>
    </xf>
    <xf numFmtId="20" fontId="355" fillId="0" borderId="7" xfId="3" applyNumberFormat="1" applyFont="1" applyBorder="1" applyAlignment="1">
      <alignment vertical="center"/>
    </xf>
    <xf numFmtId="0" fontId="355" fillId="0" borderId="28" xfId="3" applyNumberFormat="1" applyBorder="1" applyAlignment="1">
      <alignment vertical="center"/>
    </xf>
    <xf numFmtId="0" fontId="355" fillId="0" borderId="29" xfId="3" applyNumberFormat="1" applyBorder="1" applyAlignment="1">
      <alignment vertical="center"/>
    </xf>
    <xf numFmtId="0" fontId="355" fillId="0" borderId="15" xfId="3" applyNumberFormat="1" applyBorder="1" applyAlignment="1">
      <alignment vertical="center"/>
    </xf>
    <xf numFmtId="0" fontId="38" fillId="0" borderId="2" xfId="3" applyFont="1" applyBorder="1" applyAlignment="1">
      <alignment horizontal="center" vertical="center"/>
    </xf>
    <xf numFmtId="0" fontId="38" fillId="4" borderId="2" xfId="3" applyFont="1" applyFill="1" applyBorder="1" applyAlignment="1">
      <alignment horizontal="center" vertical="center"/>
    </xf>
    <xf numFmtId="20" fontId="355" fillId="0" borderId="6" xfId="3" applyNumberFormat="1" applyFont="1" applyBorder="1" applyAlignment="1">
      <alignment horizontal="center" vertical="center"/>
    </xf>
    <xf numFmtId="0" fontId="37" fillId="0" borderId="2" xfId="3" applyFont="1" applyBorder="1" applyAlignment="1">
      <alignment horizontal="center" vertical="center"/>
    </xf>
    <xf numFmtId="0" fontId="37" fillId="0" borderId="2" xfId="3" applyFont="1" applyBorder="1" applyAlignment="1">
      <alignment horizontal="center" vertical="center" wrapText="1"/>
    </xf>
    <xf numFmtId="20" fontId="37" fillId="0" borderId="6" xfId="3" applyNumberFormat="1" applyFont="1" applyBorder="1" applyAlignment="1">
      <alignment horizontal="center" vertical="center"/>
    </xf>
    <xf numFmtId="0" fontId="36" fillId="0" borderId="2" xfId="3" applyFont="1" applyBorder="1" applyAlignment="1">
      <alignment horizontal="center" vertical="center"/>
    </xf>
    <xf numFmtId="0" fontId="35" fillId="0" borderId="2" xfId="3" applyFont="1" applyBorder="1" applyAlignment="1">
      <alignment horizontal="center" vertical="center"/>
    </xf>
    <xf numFmtId="0" fontId="35" fillId="0" borderId="2" xfId="3" applyFont="1" applyBorder="1" applyAlignment="1">
      <alignment horizontal="center" vertical="center" wrapText="1"/>
    </xf>
    <xf numFmtId="0" fontId="34" fillId="0" borderId="2" xfId="3" applyFont="1" applyBorder="1" applyAlignment="1">
      <alignment horizontal="center" vertical="center"/>
    </xf>
    <xf numFmtId="0" fontId="34" fillId="0" borderId="2" xfId="3" applyFont="1" applyBorder="1" applyAlignment="1">
      <alignment horizontal="center" vertical="center" wrapText="1"/>
    </xf>
    <xf numFmtId="0" fontId="34" fillId="0" borderId="1" xfId="3" applyFont="1" applyBorder="1" applyAlignment="1">
      <alignment horizontal="center" vertical="center" wrapText="1"/>
    </xf>
    <xf numFmtId="0" fontId="33" fillId="0" borderId="2" xfId="3" applyFont="1" applyBorder="1" applyAlignment="1">
      <alignment horizontal="center" vertical="center"/>
    </xf>
    <xf numFmtId="0" fontId="33" fillId="0" borderId="2" xfId="3" applyFont="1" applyBorder="1" applyAlignment="1">
      <alignment horizontal="center" vertical="center" wrapText="1"/>
    </xf>
    <xf numFmtId="0" fontId="33" fillId="0" borderId="1" xfId="3" applyFont="1" applyBorder="1" applyAlignment="1">
      <alignment horizontal="center" vertical="center" wrapText="1"/>
    </xf>
    <xf numFmtId="0" fontId="32" fillId="0" borderId="2" xfId="3" applyFont="1" applyBorder="1" applyAlignment="1">
      <alignment horizontal="center" vertical="center"/>
    </xf>
    <xf numFmtId="0" fontId="32" fillId="0" borderId="2" xfId="3" applyFont="1" applyBorder="1" applyAlignment="1">
      <alignment horizontal="center" vertical="center" wrapText="1"/>
    </xf>
    <xf numFmtId="20" fontId="32" fillId="0" borderId="6" xfId="3" applyNumberFormat="1" applyFont="1" applyBorder="1" applyAlignment="1">
      <alignment horizontal="center" vertical="center"/>
    </xf>
    <xf numFmtId="0" fontId="32" fillId="4" borderId="2" xfId="3" applyFont="1" applyFill="1" applyBorder="1" applyAlignment="1">
      <alignment horizontal="center" vertical="center"/>
    </xf>
    <xf numFmtId="0" fontId="31" fillId="0" borderId="2" xfId="3" applyFont="1" applyBorder="1" applyAlignment="1">
      <alignment horizontal="center" vertical="center"/>
    </xf>
    <xf numFmtId="0" fontId="31" fillId="0" borderId="2" xfId="3" applyFont="1" applyBorder="1" applyAlignment="1">
      <alignment horizontal="center" vertical="center" wrapText="1"/>
    </xf>
    <xf numFmtId="0" fontId="31" fillId="4" borderId="2" xfId="3" applyFont="1" applyFill="1" applyBorder="1" applyAlignment="1">
      <alignment horizontal="center" vertical="center"/>
    </xf>
    <xf numFmtId="0" fontId="30" fillId="0" borderId="2" xfId="3" applyFont="1" applyBorder="1" applyAlignment="1">
      <alignment horizontal="center" vertical="center"/>
    </xf>
    <xf numFmtId="0" fontId="30" fillId="0" borderId="2" xfId="3" applyFont="1" applyBorder="1" applyAlignment="1">
      <alignment horizontal="center" vertical="center" wrapText="1"/>
    </xf>
    <xf numFmtId="0" fontId="29" fillId="0" borderId="2" xfId="3" applyFont="1" applyBorder="1" applyAlignment="1">
      <alignment horizontal="center" vertical="center"/>
    </xf>
    <xf numFmtId="0" fontId="29" fillId="0" borderId="2" xfId="3" applyFont="1" applyBorder="1" applyAlignment="1">
      <alignment horizontal="center" vertical="center" wrapText="1"/>
    </xf>
    <xf numFmtId="0" fontId="29" fillId="0" borderId="1" xfId="3" applyFont="1" applyBorder="1" applyAlignment="1">
      <alignment horizontal="center" vertical="center" wrapText="1"/>
    </xf>
    <xf numFmtId="0" fontId="28" fillId="0" borderId="2" xfId="3" applyFont="1" applyBorder="1" applyAlignment="1">
      <alignment horizontal="center" vertical="center"/>
    </xf>
    <xf numFmtId="0" fontId="28" fillId="0" borderId="2" xfId="3" applyFont="1" applyBorder="1" applyAlignment="1">
      <alignment horizontal="center" vertical="center" wrapText="1"/>
    </xf>
    <xf numFmtId="0" fontId="28" fillId="4" borderId="2" xfId="3" applyFont="1" applyFill="1" applyBorder="1" applyAlignment="1">
      <alignment horizontal="center" vertical="center"/>
    </xf>
    <xf numFmtId="0" fontId="27" fillId="0" borderId="2" xfId="3" applyFont="1" applyBorder="1" applyAlignment="1">
      <alignment horizontal="center" vertical="center"/>
    </xf>
    <xf numFmtId="0" fontId="367" fillId="2" borderId="0" xfId="0" applyNumberFormat="1" applyFont="1" applyFill="1"/>
    <xf numFmtId="43" fontId="367" fillId="2" borderId="0" xfId="0" applyNumberFormat="1" applyFont="1" applyFill="1"/>
    <xf numFmtId="0" fontId="367" fillId="2" borderId="0" xfId="0" applyFont="1" applyFill="1" applyAlignment="1">
      <alignment horizontal="left"/>
    </xf>
    <xf numFmtId="43" fontId="369" fillId="0" borderId="25" xfId="0" applyNumberFormat="1" applyFont="1" applyBorder="1"/>
    <xf numFmtId="43" fontId="369" fillId="0" borderId="19" xfId="0" applyNumberFormat="1" applyFont="1" applyBorder="1"/>
    <xf numFmtId="0" fontId="369" fillId="0" borderId="19" xfId="0" applyNumberFormat="1" applyFont="1" applyBorder="1"/>
    <xf numFmtId="0" fontId="369" fillId="0" borderId="25" xfId="0" applyNumberFormat="1" applyFont="1" applyBorder="1"/>
    <xf numFmtId="43" fontId="368" fillId="8" borderId="24" xfId="0" applyNumberFormat="1" applyFont="1" applyFill="1" applyBorder="1" applyAlignment="1">
      <alignment horizontal="left"/>
    </xf>
    <xf numFmtId="43" fontId="368" fillId="8" borderId="26" xfId="0" applyNumberFormat="1" applyFont="1" applyFill="1" applyBorder="1" applyAlignment="1">
      <alignment horizontal="left"/>
    </xf>
    <xf numFmtId="43" fontId="368" fillId="8" borderId="27" xfId="0" applyNumberFormat="1" applyFont="1" applyFill="1" applyBorder="1" applyAlignment="1">
      <alignment horizontal="left"/>
    </xf>
    <xf numFmtId="20" fontId="355" fillId="0" borderId="6" xfId="3" applyNumberFormat="1" applyFont="1" applyBorder="1" applyAlignment="1">
      <alignment horizontal="center" vertical="center"/>
    </xf>
    <xf numFmtId="0" fontId="26" fillId="0" borderId="2" xfId="3" applyFont="1" applyBorder="1" applyAlignment="1">
      <alignment horizontal="center" vertical="center"/>
    </xf>
    <xf numFmtId="0" fontId="26" fillId="0" borderId="2" xfId="3" applyFont="1" applyBorder="1" applyAlignment="1">
      <alignment horizontal="center" vertical="center" wrapText="1"/>
    </xf>
    <xf numFmtId="0" fontId="26" fillId="0" borderId="1" xfId="3" applyFont="1" applyBorder="1" applyAlignment="1">
      <alignment horizontal="center" vertical="center" wrapText="1"/>
    </xf>
    <xf numFmtId="0" fontId="25" fillId="0" borderId="2" xfId="3" applyFont="1" applyBorder="1" applyAlignment="1">
      <alignment horizontal="center" vertical="center" wrapText="1"/>
    </xf>
    <xf numFmtId="20" fontId="25" fillId="0" borderId="6" xfId="3" applyNumberFormat="1" applyFont="1" applyBorder="1" applyAlignment="1">
      <alignment horizontal="center" vertical="center"/>
    </xf>
    <xf numFmtId="0" fontId="25" fillId="0" borderId="2" xfId="3" applyFont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0" fontId="24" fillId="0" borderId="2" xfId="3" applyFont="1" applyBorder="1" applyAlignment="1">
      <alignment horizontal="center" vertical="center" wrapText="1"/>
    </xf>
    <xf numFmtId="0" fontId="24" fillId="0" borderId="2" xfId="3" applyFont="1" applyBorder="1" applyAlignment="1">
      <alignment horizontal="center" vertical="center"/>
    </xf>
    <xf numFmtId="20" fontId="355" fillId="0" borderId="6" xfId="3" applyNumberFormat="1" applyFont="1" applyBorder="1" applyAlignment="1">
      <alignment horizontal="center" vertical="center"/>
    </xf>
    <xf numFmtId="0" fontId="23" fillId="0" borderId="2" xfId="3" applyFont="1" applyBorder="1" applyAlignment="1">
      <alignment horizontal="center" vertical="center"/>
    </xf>
    <xf numFmtId="0" fontId="23" fillId="0" borderId="2" xfId="3" applyFont="1" applyBorder="1" applyAlignment="1">
      <alignment horizontal="center" vertical="center" wrapText="1"/>
    </xf>
    <xf numFmtId="0" fontId="22" fillId="0" borderId="2" xfId="3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0" fontId="21" fillId="0" borderId="2" xfId="3" applyFont="1" applyBorder="1" applyAlignment="1">
      <alignment horizontal="center" vertical="center"/>
    </xf>
    <xf numFmtId="0" fontId="21" fillId="0" borderId="2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center" vertical="center"/>
    </xf>
    <xf numFmtId="0" fontId="20" fillId="0" borderId="2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 wrapText="1"/>
    </xf>
    <xf numFmtId="20" fontId="355" fillId="0" borderId="6" xfId="3" applyNumberFormat="1" applyFont="1" applyBorder="1" applyAlignment="1">
      <alignment horizontal="center" vertical="center"/>
    </xf>
    <xf numFmtId="0" fontId="19" fillId="0" borderId="2" xfId="3" applyFont="1" applyBorder="1" applyAlignment="1">
      <alignment horizontal="center" vertical="center"/>
    </xf>
    <xf numFmtId="20" fontId="355" fillId="0" borderId="6" xfId="3" applyNumberFormat="1" applyFont="1" applyBorder="1" applyAlignment="1">
      <alignment horizontal="center" vertical="center"/>
    </xf>
    <xf numFmtId="0" fontId="18" fillId="0" borderId="2" xfId="3" applyFont="1" applyBorder="1" applyAlignment="1">
      <alignment horizontal="center" vertical="center" wrapText="1"/>
    </xf>
    <xf numFmtId="0" fontId="18" fillId="0" borderId="2" xfId="3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20" fontId="355" fillId="0" borderId="6" xfId="3" applyNumberFormat="1" applyFont="1" applyBorder="1" applyAlignment="1">
      <alignment horizontal="center" vertical="center"/>
    </xf>
    <xf numFmtId="0" fontId="17" fillId="0" borderId="2" xfId="3" applyFont="1" applyBorder="1" applyAlignment="1">
      <alignment horizontal="center" vertical="center"/>
    </xf>
    <xf numFmtId="0" fontId="17" fillId="0" borderId="2" xfId="3" applyFont="1" applyBorder="1" applyAlignment="1">
      <alignment horizontal="center" vertical="center" wrapText="1"/>
    </xf>
    <xf numFmtId="20" fontId="17" fillId="0" borderId="6" xfId="3" applyNumberFormat="1" applyFont="1" applyBorder="1" applyAlignment="1">
      <alignment horizontal="center" vertical="center"/>
    </xf>
    <xf numFmtId="0" fontId="17" fillId="4" borderId="2" xfId="3" applyFont="1" applyFill="1" applyBorder="1" applyAlignment="1">
      <alignment horizontal="center" vertical="center"/>
    </xf>
    <xf numFmtId="0" fontId="16" fillId="0" borderId="2" xfId="3" applyFont="1" applyBorder="1" applyAlignment="1">
      <alignment horizontal="center" vertical="center"/>
    </xf>
    <xf numFmtId="0" fontId="16" fillId="0" borderId="2" xfId="3" applyFont="1" applyBorder="1" applyAlignment="1">
      <alignment horizontal="center" vertical="center" wrapText="1"/>
    </xf>
    <xf numFmtId="20" fontId="16" fillId="0" borderId="6" xfId="3" applyNumberFormat="1" applyFont="1" applyBorder="1" applyAlignment="1">
      <alignment horizontal="center" vertical="center"/>
    </xf>
    <xf numFmtId="20" fontId="355" fillId="0" borderId="6" xfId="3" applyNumberFormat="1" applyFont="1" applyBorder="1" applyAlignment="1">
      <alignment horizontal="center" vertical="center"/>
    </xf>
    <xf numFmtId="0" fontId="15" fillId="0" borderId="2" xfId="3" applyFont="1" applyBorder="1" applyAlignment="1">
      <alignment horizontal="center" vertical="center"/>
    </xf>
    <xf numFmtId="20" fontId="355" fillId="0" borderId="6" xfId="3" applyNumberFormat="1" applyFont="1" applyBorder="1" applyAlignment="1">
      <alignment horizontal="center" vertical="center"/>
    </xf>
    <xf numFmtId="0" fontId="14" fillId="0" borderId="2" xfId="3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 wrapText="1"/>
    </xf>
    <xf numFmtId="16" fontId="14" fillId="0" borderId="2" xfId="3" applyNumberFormat="1" applyFont="1" applyBorder="1" applyAlignment="1">
      <alignment horizontal="center" vertical="center"/>
    </xf>
    <xf numFmtId="0" fontId="14" fillId="0" borderId="2" xfId="3" applyFont="1" applyBorder="1" applyAlignment="1">
      <alignment horizontal="center" vertical="center" wrapText="1"/>
    </xf>
    <xf numFmtId="0" fontId="14" fillId="4" borderId="2" xfId="3" applyFont="1" applyFill="1" applyBorder="1" applyAlignment="1">
      <alignment horizontal="center" vertical="center"/>
    </xf>
    <xf numFmtId="20" fontId="14" fillId="0" borderId="6" xfId="3" applyNumberFormat="1" applyFont="1" applyBorder="1" applyAlignment="1">
      <alignment horizontal="center" vertical="center"/>
    </xf>
    <xf numFmtId="20" fontId="355" fillId="0" borderId="6" xfId="3" applyNumberFormat="1" applyFont="1" applyBorder="1" applyAlignment="1">
      <alignment horizontal="center" vertical="center"/>
    </xf>
    <xf numFmtId="0" fontId="13" fillId="0" borderId="2" xfId="3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 wrapText="1"/>
    </xf>
    <xf numFmtId="0" fontId="12" fillId="0" borderId="2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 wrapText="1"/>
    </xf>
    <xf numFmtId="0" fontId="370" fillId="4" borderId="2" xfId="3" applyFont="1" applyFill="1" applyBorder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 wrapText="1"/>
    </xf>
    <xf numFmtId="20" fontId="355" fillId="0" borderId="6" xfId="3" applyNumberFormat="1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20" fontId="8" fillId="0" borderId="6" xfId="3" applyNumberFormat="1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20" fontId="7" fillId="0" borderId="6" xfId="3" applyNumberFormat="1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 wrapText="1"/>
    </xf>
    <xf numFmtId="0" fontId="7" fillId="4" borderId="2" xfId="3" applyFont="1" applyFill="1" applyBorder="1" applyAlignment="1">
      <alignment horizontal="center" vertical="center"/>
    </xf>
    <xf numFmtId="20" fontId="355" fillId="0" borderId="6" xfId="3" applyNumberFormat="1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 wrapText="1"/>
    </xf>
    <xf numFmtId="20" fontId="355" fillId="0" borderId="6" xfId="3" applyNumberFormat="1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 wrapText="1"/>
    </xf>
    <xf numFmtId="0" fontId="5" fillId="4" borderId="2" xfId="3" applyFont="1" applyFill="1" applyBorder="1" applyAlignment="1">
      <alignment horizontal="center" vertical="center"/>
    </xf>
    <xf numFmtId="0" fontId="4" fillId="0" borderId="2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 wrapText="1"/>
    </xf>
    <xf numFmtId="0" fontId="2" fillId="0" borderId="1" xfId="3" applyFont="1" applyBorder="1" applyAlignment="1">
      <alignment horizontal="center" vertical="center" wrapText="1"/>
    </xf>
    <xf numFmtId="0" fontId="1" fillId="0" borderId="1" xfId="3" applyFont="1" applyBorder="1" applyAlignment="1">
      <alignment horizontal="center" vertical="center" wrapText="1"/>
    </xf>
    <xf numFmtId="0" fontId="1" fillId="0" borderId="2" xfId="3" applyFont="1" applyBorder="1" applyAlignment="1">
      <alignment horizontal="center" vertical="center"/>
    </xf>
    <xf numFmtId="20" fontId="1" fillId="0" borderId="6" xfId="3" applyNumberFormat="1" applyFont="1" applyBorder="1" applyAlignment="1">
      <alignment horizontal="center" vertical="center"/>
    </xf>
    <xf numFmtId="0" fontId="1" fillId="0" borderId="2" xfId="3" applyFont="1" applyBorder="1" applyAlignment="1">
      <alignment horizontal="center" vertical="center" wrapText="1"/>
    </xf>
    <xf numFmtId="20" fontId="1" fillId="0" borderId="6" xfId="3" applyNumberFormat="1" applyFont="1" applyBorder="1" applyAlignment="1">
      <alignment horizontal="center" vertical="center"/>
    </xf>
    <xf numFmtId="20" fontId="1" fillId="0" borderId="6" xfId="3" applyNumberFormat="1" applyFont="1" applyBorder="1" applyAlignment="1">
      <alignment horizontal="center" vertical="center"/>
    </xf>
    <xf numFmtId="0" fontId="363" fillId="6" borderId="2" xfId="3" applyFont="1" applyFill="1" applyBorder="1" applyAlignment="1">
      <alignment horizontal="center" vertical="center"/>
    </xf>
    <xf numFmtId="0" fontId="1" fillId="0" borderId="35" xfId="3" applyFont="1" applyBorder="1" applyAlignment="1">
      <alignment horizontal="center" vertical="center" wrapText="1"/>
    </xf>
    <xf numFmtId="0" fontId="1" fillId="0" borderId="11" xfId="3" applyFont="1" applyBorder="1" applyAlignment="1">
      <alignment horizontal="center" vertical="center" wrapText="1"/>
    </xf>
    <xf numFmtId="16" fontId="355" fillId="0" borderId="10" xfId="3" applyNumberFormat="1" applyBorder="1" applyAlignment="1">
      <alignment horizontal="center" vertical="center"/>
    </xf>
    <xf numFmtId="16" fontId="355" fillId="0" borderId="11" xfId="3" applyNumberFormat="1" applyBorder="1" applyAlignment="1">
      <alignment horizontal="center" vertical="center"/>
    </xf>
    <xf numFmtId="0" fontId="355" fillId="0" borderId="28" xfId="3" applyNumberFormat="1" applyBorder="1" applyAlignment="1">
      <alignment horizontal="center" vertical="center"/>
    </xf>
    <xf numFmtId="0" fontId="355" fillId="0" borderId="15" xfId="3" applyNumberFormat="1" applyBorder="1" applyAlignment="1">
      <alignment horizontal="center" vertical="center"/>
    </xf>
    <xf numFmtId="0" fontId="355" fillId="0" borderId="29" xfId="3" applyNumberFormat="1" applyBorder="1" applyAlignment="1">
      <alignment horizontal="center" vertical="center"/>
    </xf>
    <xf numFmtId="20" fontId="355" fillId="0" borderId="6" xfId="3" applyNumberFormat="1" applyFont="1" applyBorder="1" applyAlignment="1">
      <alignment horizontal="center" vertical="center"/>
    </xf>
    <xf numFmtId="20" fontId="355" fillId="0" borderId="15" xfId="3" applyNumberFormat="1" applyFont="1" applyBorder="1" applyAlignment="1">
      <alignment horizontal="center" vertical="center"/>
    </xf>
    <xf numFmtId="20" fontId="355" fillId="0" borderId="7" xfId="3" applyNumberFormat="1" applyFont="1" applyBorder="1" applyAlignment="1">
      <alignment horizontal="center" vertical="center"/>
    </xf>
    <xf numFmtId="43" fontId="358" fillId="0" borderId="12" xfId="2" applyFont="1" applyBorder="1" applyAlignment="1">
      <alignment horizontal="center" vertical="center"/>
    </xf>
    <xf numFmtId="43" fontId="358" fillId="0" borderId="21" xfId="2" applyFont="1" applyBorder="1" applyAlignment="1">
      <alignment horizontal="center" vertical="center"/>
    </xf>
    <xf numFmtId="43" fontId="358" fillId="0" borderId="13" xfId="2" applyFont="1" applyBorder="1" applyAlignment="1">
      <alignment horizontal="center" vertical="center"/>
    </xf>
    <xf numFmtId="20" fontId="355" fillId="0" borderId="8" xfId="3" applyNumberFormat="1" applyFont="1" applyBorder="1" applyAlignment="1">
      <alignment horizontal="center" vertical="center"/>
    </xf>
    <xf numFmtId="20" fontId="355" fillId="0" borderId="20" xfId="3" applyNumberFormat="1" applyFont="1" applyBorder="1" applyAlignment="1">
      <alignment horizontal="center" vertical="center"/>
    </xf>
    <xf numFmtId="20" fontId="355" fillId="0" borderId="9" xfId="3" applyNumberFormat="1" applyFont="1" applyBorder="1" applyAlignment="1">
      <alignment horizontal="center" vertical="center"/>
    </xf>
    <xf numFmtId="0" fontId="355" fillId="0" borderId="22" xfId="3" applyNumberFormat="1" applyBorder="1" applyAlignment="1">
      <alignment horizontal="center" vertical="center"/>
    </xf>
    <xf numFmtId="0" fontId="355" fillId="0" borderId="21" xfId="3" applyNumberFormat="1" applyBorder="1" applyAlignment="1">
      <alignment horizontal="center" vertical="center"/>
    </xf>
    <xf numFmtId="0" fontId="355" fillId="0" borderId="23" xfId="3" applyNumberFormat="1" applyBorder="1" applyAlignment="1">
      <alignment horizontal="center" vertical="center"/>
    </xf>
    <xf numFmtId="0" fontId="358" fillId="0" borderId="30" xfId="3" applyFont="1" applyBorder="1" applyAlignment="1">
      <alignment horizontal="center" vertical="center"/>
    </xf>
    <xf numFmtId="0" fontId="358" fillId="0" borderId="31" xfId="3" applyFont="1" applyBorder="1" applyAlignment="1">
      <alignment horizontal="center" vertical="center"/>
    </xf>
    <xf numFmtId="0" fontId="29" fillId="0" borderId="35" xfId="3" applyFont="1" applyBorder="1" applyAlignment="1">
      <alignment horizontal="center" vertical="center" wrapText="1"/>
    </xf>
    <xf numFmtId="0" fontId="29" fillId="0" borderId="32" xfId="3" applyFont="1" applyBorder="1" applyAlignment="1">
      <alignment horizontal="center" vertical="center" wrapText="1"/>
    </xf>
    <xf numFmtId="0" fontId="29" fillId="0" borderId="11" xfId="3" applyFont="1" applyBorder="1" applyAlignment="1">
      <alignment horizontal="center" vertical="center" wrapText="1"/>
    </xf>
    <xf numFmtId="16" fontId="355" fillId="0" borderId="32" xfId="3" applyNumberFormat="1" applyBorder="1" applyAlignment="1">
      <alignment horizontal="center" vertical="center"/>
    </xf>
    <xf numFmtId="20" fontId="33" fillId="0" borderId="6" xfId="3" applyNumberFormat="1" applyFont="1" applyBorder="1" applyAlignment="1">
      <alignment horizontal="center" vertical="center"/>
    </xf>
    <xf numFmtId="20" fontId="33" fillId="0" borderId="7" xfId="3" applyNumberFormat="1" applyFont="1" applyBorder="1" applyAlignment="1">
      <alignment horizontal="center" vertical="center"/>
    </xf>
    <xf numFmtId="0" fontId="90" fillId="0" borderId="12" xfId="3" applyFont="1" applyBorder="1" applyAlignment="1">
      <alignment horizontal="center" vertical="center" wrapText="1"/>
    </xf>
    <xf numFmtId="0" fontId="90" fillId="0" borderId="21" xfId="3" applyFont="1" applyBorder="1" applyAlignment="1">
      <alignment horizontal="center" vertical="center" wrapText="1"/>
    </xf>
    <xf numFmtId="0" fontId="90" fillId="0" borderId="23" xfId="3" applyFont="1" applyBorder="1" applyAlignment="1">
      <alignment horizontal="center" vertical="center" wrapText="1"/>
    </xf>
    <xf numFmtId="0" fontId="82" fillId="0" borderId="10" xfId="3" applyFont="1" applyBorder="1" applyAlignment="1">
      <alignment horizontal="center" vertical="center"/>
    </xf>
    <xf numFmtId="0" fontId="82" fillId="0" borderId="32" xfId="3" applyFont="1" applyBorder="1" applyAlignment="1">
      <alignment horizontal="center" vertical="center"/>
    </xf>
    <xf numFmtId="0" fontId="82" fillId="0" borderId="11" xfId="3" applyFont="1" applyBorder="1" applyAlignment="1">
      <alignment horizontal="center" vertical="center"/>
    </xf>
    <xf numFmtId="0" fontId="355" fillId="4" borderId="10" xfId="3" applyFill="1" applyBorder="1" applyAlignment="1">
      <alignment horizontal="center" vertical="center"/>
    </xf>
    <xf numFmtId="0" fontId="355" fillId="4" borderId="32" xfId="3" applyFill="1" applyBorder="1" applyAlignment="1">
      <alignment horizontal="center" vertical="center"/>
    </xf>
    <xf numFmtId="0" fontId="355" fillId="4" borderId="11" xfId="3" applyFill="1" applyBorder="1" applyAlignment="1">
      <alignment horizontal="center" vertical="center"/>
    </xf>
    <xf numFmtId="16" fontId="355" fillId="0" borderId="30" xfId="3" applyNumberFormat="1" applyBorder="1" applyAlignment="1">
      <alignment horizontal="center" vertical="center"/>
    </xf>
    <xf numFmtId="16" fontId="355" fillId="0" borderId="20" xfId="3" applyNumberFormat="1" applyBorder="1" applyAlignment="1">
      <alignment horizontal="center" vertical="center"/>
    </xf>
    <xf numFmtId="16" fontId="355" fillId="0" borderId="31" xfId="3" applyNumberFormat="1" applyBorder="1" applyAlignment="1">
      <alignment horizontal="center" vertical="center"/>
    </xf>
    <xf numFmtId="0" fontId="54" fillId="0" borderId="34" xfId="3" applyFont="1" applyBorder="1" applyAlignment="1">
      <alignment horizontal="center" vertical="center"/>
    </xf>
    <xf numFmtId="0" fontId="54" fillId="0" borderId="33" xfId="3" applyFont="1" applyBorder="1" applyAlignment="1">
      <alignment horizontal="center" vertical="center"/>
    </xf>
    <xf numFmtId="0" fontId="23" fillId="4" borderId="10" xfId="3" applyFont="1" applyFill="1" applyBorder="1" applyAlignment="1">
      <alignment horizontal="center" vertical="center"/>
    </xf>
    <xf numFmtId="0" fontId="23" fillId="4" borderId="11" xfId="3" applyFont="1" applyFill="1" applyBorder="1" applyAlignment="1">
      <alignment horizontal="center" vertical="center"/>
    </xf>
    <xf numFmtId="0" fontId="22" fillId="0" borderId="35" xfId="3" applyFont="1" applyBorder="1" applyAlignment="1">
      <alignment horizontal="center" vertical="center" wrapText="1"/>
    </xf>
    <xf numFmtId="0" fontId="24" fillId="0" borderId="11" xfId="3" applyFont="1" applyBorder="1" applyAlignment="1">
      <alignment horizontal="center" vertical="center" wrapText="1"/>
    </xf>
    <xf numFmtId="0" fontId="23" fillId="0" borderId="10" xfId="3" applyFont="1" applyBorder="1" applyAlignment="1">
      <alignment horizontal="center" vertical="center"/>
    </xf>
    <xf numFmtId="0" fontId="23" fillId="0" borderId="11" xfId="3" applyFont="1" applyBorder="1" applyAlignment="1">
      <alignment horizontal="center" vertical="center"/>
    </xf>
    <xf numFmtId="20" fontId="19" fillId="0" borderId="6" xfId="3" applyNumberFormat="1" applyFont="1" applyBorder="1" applyAlignment="1">
      <alignment horizontal="center" vertical="center"/>
    </xf>
    <xf numFmtId="20" fontId="19" fillId="0" borderId="7" xfId="3" applyNumberFormat="1" applyFont="1" applyBorder="1" applyAlignment="1">
      <alignment horizontal="center" vertical="center"/>
    </xf>
    <xf numFmtId="20" fontId="1" fillId="0" borderId="6" xfId="3" applyNumberFormat="1" applyFont="1" applyBorder="1" applyAlignment="1">
      <alignment horizontal="center" vertical="center"/>
    </xf>
    <xf numFmtId="20" fontId="1" fillId="0" borderId="7" xfId="3" applyNumberFormat="1" applyFont="1" applyBorder="1" applyAlignment="1">
      <alignment horizontal="center" vertical="center"/>
    </xf>
  </cellXfs>
  <cellStyles count="8">
    <cellStyle name="Bad" xfId="1" builtinId="27"/>
    <cellStyle name="Comma" xfId="2" builtinId="3"/>
    <cellStyle name="Comma 2" xfId="4"/>
    <cellStyle name="Currency 2" xfId="7"/>
    <cellStyle name="Normal" xfId="0" builtinId="0"/>
    <cellStyle name="Normal 2" xfId="3"/>
    <cellStyle name="Normal 3" xfId="5"/>
    <cellStyle name="Normal 4" xfId="6"/>
  </cellStyles>
  <dxfs count="59">
    <dxf>
      <fill>
        <patternFill patternType="solid">
          <bgColor rgb="FFFF99FF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>
          <bgColor rgb="FFFF99FF"/>
        </patternFill>
      </fill>
    </dxf>
    <dxf>
      <fill>
        <patternFill patternType="solid">
          <bgColor rgb="FFFF99FF"/>
        </patternFill>
      </fill>
    </dxf>
    <dxf>
      <fill>
        <patternFill>
          <bgColor rgb="FFFFFF00"/>
        </patternFill>
      </fill>
    </dxf>
    <dxf>
      <fill>
        <patternFill patternType="solid">
          <bgColor rgb="FFFF33CC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 patternType="solid">
          <bgColor rgb="FFFF33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33CC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33CC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5" tint="0.59999389629810485"/>
        </patternFill>
      </fill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fill>
        <patternFill>
          <bgColor rgb="FF00B0F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numFmt numFmtId="35" formatCode="_(* #,##0.00_);_(* \(#,##0.00\);_(* &quot;-&quot;??_);_(@_)"/>
    </dxf>
    <dxf>
      <font>
        <b/>
      </font>
    </dxf>
    <dxf>
      <font>
        <color rgb="FFFF0000"/>
      </font>
    </dxf>
    <dxf>
      <border>
        <left style="hair">
          <color indexed="64"/>
        </left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bottom style="hair">
          <color indexed="64"/>
        </bottom>
        <vertical style="hair">
          <color indexed="64"/>
        </vertical>
      </border>
    </dxf>
    <dxf>
      <border>
        <top style="thin">
          <color indexed="64"/>
        </top>
        <bottom style="medium">
          <color indexed="64"/>
        </bottom>
      </border>
    </dxf>
    <dxf>
      <font>
        <b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colors>
    <mruColors>
      <color rgb="FFFF99FF"/>
      <color rgb="FFFF33CC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[26.09.12 Lost time  veneer Hàng BS.xlsx]SUM OF VENEER!PivotTable2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3.876528226790938E-2"/>
          <c:y val="0.43160262405511496"/>
          <c:w val="0.73399206239079573"/>
          <c:h val="0.472200058188393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 OF VENEER'!$B$3</c:f>
              <c:strCache>
                <c:ptCount val="1"/>
                <c:pt idx="0">
                  <c:v>Sum of SỐ BỘ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 OF VENEER'!$A$4:$A$8</c:f>
              <c:strCache>
                <c:ptCount val="4"/>
                <c:pt idx="0">
                  <c:v>WK11-26</c:v>
                </c:pt>
                <c:pt idx="1">
                  <c:v>WK12-26</c:v>
                </c:pt>
                <c:pt idx="2">
                  <c:v>WK13-26</c:v>
                </c:pt>
                <c:pt idx="3">
                  <c:v>WK14-26</c:v>
                </c:pt>
              </c:strCache>
            </c:strRef>
          </c:cat>
          <c:val>
            <c:numRef>
              <c:f>'SUM OF VENEER'!$B$4:$B$8</c:f>
              <c:numCache>
                <c:formatCode>General</c:formatCode>
                <c:ptCount val="4"/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C-471B-BCFD-7D45C034F33A}"/>
            </c:ext>
          </c:extLst>
        </c:ser>
        <c:ser>
          <c:idx val="1"/>
          <c:order val="1"/>
          <c:tx>
            <c:strRef>
              <c:f>'SUM OF VENEER'!$C$3</c:f>
              <c:strCache>
                <c:ptCount val="1"/>
                <c:pt idx="0">
                  <c:v>Sum of SỐ HC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 OF VENEER'!$A$4:$A$8</c:f>
              <c:strCache>
                <c:ptCount val="4"/>
                <c:pt idx="0">
                  <c:v>WK11-26</c:v>
                </c:pt>
                <c:pt idx="1">
                  <c:v>WK12-26</c:v>
                </c:pt>
                <c:pt idx="2">
                  <c:v>WK13-26</c:v>
                </c:pt>
                <c:pt idx="3">
                  <c:v>WK14-26</c:v>
                </c:pt>
              </c:strCache>
            </c:strRef>
          </c:cat>
          <c:val>
            <c:numRef>
              <c:f>'SUM OF VENEER'!$C$4:$C$8</c:f>
              <c:numCache>
                <c:formatCode>General</c:formatCode>
                <c:ptCount val="4"/>
                <c:pt idx="0">
                  <c:v>20</c:v>
                </c:pt>
                <c:pt idx="1">
                  <c:v>14</c:v>
                </c:pt>
                <c:pt idx="2">
                  <c:v>17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C-471B-BCFD-7D45C034F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54920415"/>
        <c:axId val="754924991"/>
      </c:barChart>
      <c:lineChart>
        <c:grouping val="standard"/>
        <c:varyColors val="0"/>
        <c:ser>
          <c:idx val="2"/>
          <c:order val="2"/>
          <c:tx>
            <c:strRef>
              <c:f>'SUM OF VENEER'!$D$3</c:f>
              <c:strCache>
                <c:ptCount val="1"/>
                <c:pt idx="0">
                  <c:v>Sum of SỐ LƯỢNG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'SUM OF VENEER'!$A$4:$A$8</c:f>
              <c:strCache>
                <c:ptCount val="4"/>
                <c:pt idx="0">
                  <c:v>WK11-26</c:v>
                </c:pt>
                <c:pt idx="1">
                  <c:v>WK12-26</c:v>
                </c:pt>
                <c:pt idx="2">
                  <c:v>WK13-26</c:v>
                </c:pt>
                <c:pt idx="3">
                  <c:v>WK14-26</c:v>
                </c:pt>
              </c:strCache>
            </c:strRef>
          </c:cat>
          <c:val>
            <c:numRef>
              <c:f>'SUM OF VENEER'!$D$4:$D$8</c:f>
              <c:numCache>
                <c:formatCode>General</c:formatCode>
                <c:ptCount val="4"/>
                <c:pt idx="0">
                  <c:v>324</c:v>
                </c:pt>
                <c:pt idx="1">
                  <c:v>411</c:v>
                </c:pt>
                <c:pt idx="2">
                  <c:v>266</c:v>
                </c:pt>
                <c:pt idx="3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2C-471B-BCFD-7D45C034F33A}"/>
            </c:ext>
          </c:extLst>
        </c:ser>
        <c:ser>
          <c:idx val="3"/>
          <c:order val="3"/>
          <c:tx>
            <c:strRef>
              <c:f>'SUM OF VENEER'!$E$3</c:f>
              <c:strCache>
                <c:ptCount val="1"/>
                <c:pt idx="0">
                  <c:v>Sum of SỐ GIỜ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'SUM OF VENEER'!$A$4:$A$8</c:f>
              <c:strCache>
                <c:ptCount val="4"/>
                <c:pt idx="0">
                  <c:v>WK11-26</c:v>
                </c:pt>
                <c:pt idx="1">
                  <c:v>WK12-26</c:v>
                </c:pt>
                <c:pt idx="2">
                  <c:v>WK13-26</c:v>
                </c:pt>
                <c:pt idx="3">
                  <c:v>WK14-26</c:v>
                </c:pt>
              </c:strCache>
            </c:strRef>
          </c:cat>
          <c:val>
            <c:numRef>
              <c:f>'SUM OF VENEER'!$E$4:$E$8</c:f>
              <c:numCache>
                <c:formatCode>_(* #,##0.00_);_(* \(#,##0.00\);_(* "-"??_);_(@_)</c:formatCode>
                <c:ptCount val="4"/>
                <c:pt idx="0">
                  <c:v>12.833333333333346</c:v>
                </c:pt>
                <c:pt idx="1">
                  <c:v>31.166666666666671</c:v>
                </c:pt>
                <c:pt idx="2">
                  <c:v>92.416666666666657</c:v>
                </c:pt>
                <c:pt idx="3">
                  <c:v>5.8333333333333339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2C-471B-BCFD-7D45C034F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40864"/>
        <c:axId val="261605408"/>
      </c:lineChart>
      <c:catAx>
        <c:axId val="75492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924991"/>
        <c:crosses val="autoZero"/>
        <c:auto val="1"/>
        <c:lblAlgn val="ctr"/>
        <c:lblOffset val="100"/>
        <c:noMultiLvlLbl val="0"/>
      </c:catAx>
      <c:valAx>
        <c:axId val="75492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920415"/>
        <c:crosses val="autoZero"/>
        <c:crossBetween val="between"/>
      </c:valAx>
      <c:valAx>
        <c:axId val="2616054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0864"/>
        <c:crosses val="max"/>
        <c:crossBetween val="between"/>
      </c:valAx>
      <c:catAx>
        <c:axId val="142540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1605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66FF99"/>
            </a:solidFill>
            <a:round/>
          </a:ln>
          <a:effectLst/>
        </c:spPr>
      </c:pivotFmt>
      <c:pivotFmt>
        <c:idx val="4"/>
        <c:spPr>
          <a:solidFill>
            <a:schemeClr val="accent1"/>
          </a:solidFill>
          <a:ln w="28575" cap="rnd">
            <a:solidFill>
              <a:srgbClr val="66FF99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rgbClr val="66FF99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765564733673297"/>
          <c:y val="7.6354257801108188E-2"/>
          <c:w val="0.77442713361617199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v>Sum of SỐ HC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WK43</c:v>
              </c:pt>
              <c:pt idx="1">
                <c:v>WK44</c:v>
              </c:pt>
              <c:pt idx="2">
                <c:v>WK45</c:v>
              </c:pt>
              <c:pt idx="3">
                <c:v>WK46</c:v>
              </c:pt>
            </c:strLit>
          </c:cat>
          <c:val>
            <c:numLit>
              <c:formatCode>General</c:formatCode>
              <c:ptCount val="4"/>
              <c:pt idx="0">
                <c:v>4</c:v>
              </c:pt>
              <c:pt idx="1">
                <c:v>8</c:v>
              </c:pt>
              <c:pt idx="2">
                <c:v>36</c:v>
              </c:pt>
              <c:pt idx="3">
                <c:v>8</c:v>
              </c:pt>
            </c:numLit>
          </c:val>
          <c:extLst>
            <c:ext xmlns:c16="http://schemas.microsoft.com/office/drawing/2014/chart" uri="{C3380CC4-5D6E-409C-BE32-E72D297353CC}">
              <c16:uniqueId val="{00000000-5809-4382-AFE9-7FB91CF94B57}"/>
            </c:ext>
          </c:extLst>
        </c:ser>
        <c:ser>
          <c:idx val="1"/>
          <c:order val="1"/>
          <c:tx>
            <c:v>Sum of SỐ GIỜ 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WK43</c:v>
              </c:pt>
              <c:pt idx="1">
                <c:v>WK44</c:v>
              </c:pt>
              <c:pt idx="2">
                <c:v>WK45</c:v>
              </c:pt>
              <c:pt idx="3">
                <c:v>WK46</c:v>
              </c:pt>
            </c:strLit>
          </c:cat>
          <c:val>
            <c:numLit>
              <c:formatCode>General</c:formatCode>
              <c:ptCount val="4"/>
              <c:pt idx="0">
                <c:v>4.6666666666666661</c:v>
              </c:pt>
              <c:pt idx="1">
                <c:v>3.3333333333333321</c:v>
              </c:pt>
              <c:pt idx="2">
                <c:v>53.66666666666665</c:v>
              </c:pt>
              <c:pt idx="3">
                <c:v>8.6666666666666643</c:v>
              </c:pt>
            </c:numLit>
          </c:val>
          <c:extLst>
            <c:ext xmlns:c16="http://schemas.microsoft.com/office/drawing/2014/chart" uri="{C3380CC4-5D6E-409C-BE32-E72D297353CC}">
              <c16:uniqueId val="{00000001-5809-4382-AFE9-7FB91CF94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85147776"/>
        <c:axId val="485144032"/>
      </c:barChart>
      <c:lineChart>
        <c:grouping val="standard"/>
        <c:varyColors val="0"/>
        <c:ser>
          <c:idx val="2"/>
          <c:order val="2"/>
          <c:tx>
            <c:v>Sum of SỐ LƯỢNG </c:v>
          </c:tx>
          <c:spPr>
            <a:ln w="28575" cap="rnd">
              <a:solidFill>
                <a:srgbClr val="66FF9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66FF99"/>
                </a:solidFill>
              </a:ln>
              <a:effectLst/>
            </c:spPr>
          </c:marker>
          <c:cat>
            <c:strLit>
              <c:ptCount val="4"/>
              <c:pt idx="0">
                <c:v>WK43</c:v>
              </c:pt>
              <c:pt idx="1">
                <c:v>WK44</c:v>
              </c:pt>
              <c:pt idx="2">
                <c:v>WK45</c:v>
              </c:pt>
              <c:pt idx="3">
                <c:v>WK46</c:v>
              </c:pt>
            </c:strLit>
          </c:cat>
          <c:val>
            <c:numLit>
              <c:formatCode>General</c:formatCode>
              <c:ptCount val="4"/>
              <c:pt idx="0">
                <c:v>155</c:v>
              </c:pt>
              <c:pt idx="1">
                <c:v>172</c:v>
              </c:pt>
              <c:pt idx="2">
                <c:v>1023</c:v>
              </c:pt>
              <c:pt idx="3">
                <c:v>161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5809-4382-AFE9-7FB91CF94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262608"/>
        <c:axId val="482795424"/>
      </c:lineChart>
      <c:valAx>
        <c:axId val="485144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47776"/>
        <c:crosses val="autoZero"/>
        <c:crossBetween val="between"/>
      </c:valAx>
      <c:catAx>
        <c:axId val="485147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5144032"/>
        <c:crosses val="autoZero"/>
        <c:auto val="1"/>
        <c:lblAlgn val="ctr"/>
        <c:lblOffset val="100"/>
        <c:noMultiLvlLbl val="0"/>
      </c:catAx>
      <c:valAx>
        <c:axId val="4827954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262608"/>
        <c:crosses val="max"/>
        <c:crossBetween val="between"/>
      </c:valAx>
      <c:catAx>
        <c:axId val="388262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279542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25413968227873"/>
          <c:y val="8.5289442986293373E-2"/>
          <c:w val="0.15599867360152503"/>
          <c:h val="0.30164297171186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958101</xdr:colOff>
      <xdr:row>1</xdr:row>
      <xdr:rowOff>61632</xdr:rowOff>
    </xdr:from>
    <xdr:to>
      <xdr:col>14</xdr:col>
      <xdr:colOff>1635497</xdr:colOff>
      <xdr:row>14</xdr:row>
      <xdr:rowOff>94690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166406</xdr:colOff>
      <xdr:row>21</xdr:row>
      <xdr:rowOff>17930</xdr:rowOff>
    </xdr:from>
    <xdr:to>
      <xdr:col>14</xdr:col>
      <xdr:colOff>1905000</xdr:colOff>
      <xdr:row>35</xdr:row>
      <xdr:rowOff>94129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duction/Whitewood/P2/WHITEWOOD%20SCHEDULE%20FOLLOW%20UP/L&#7896;C%20EX%20(%20PANEL%20)/H&#7918;U%20L&#7896;C%20STOCKROOM%20-PANEL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ong.trieu\Documents\Zalo%20Received%20Files\25.03.10%20S&#7892;%20RM-RC%20WK%2012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WK RM-MC WIP AT PANEL"/>
      <sheetName val="Sheet1"/>
    </sheetNames>
    <sheetDataSet>
      <sheetData sheetId="0">
        <row r="1">
          <cell r="C1">
            <v>0</v>
          </cell>
          <cell r="D1">
            <v>0</v>
          </cell>
          <cell r="E1">
            <v>0</v>
          </cell>
        </row>
        <row r="2">
          <cell r="C2" t="str">
            <v>WOM</v>
          </cell>
          <cell r="D2" t="str">
            <v>ITEMS</v>
          </cell>
          <cell r="E2" t="str">
            <v>Q'TY</v>
          </cell>
        </row>
        <row r="3">
          <cell r="C3" t="str">
            <v>B565737/A</v>
          </cell>
          <cell r="D3" t="str">
            <v>AR082F892</v>
          </cell>
          <cell r="E3">
            <v>7</v>
          </cell>
        </row>
        <row r="4">
          <cell r="C4" t="str">
            <v>B565738/A</v>
          </cell>
          <cell r="D4" t="str">
            <v>AR082F892</v>
          </cell>
          <cell r="E4">
            <v>18</v>
          </cell>
        </row>
        <row r="5">
          <cell r="C5" t="str">
            <v>B565677/A</v>
          </cell>
          <cell r="D5" t="str">
            <v>AR110F906-BASE</v>
          </cell>
          <cell r="E5">
            <v>56</v>
          </cell>
        </row>
        <row r="6">
          <cell r="C6" t="str">
            <v>B565678/A</v>
          </cell>
          <cell r="D6" t="str">
            <v>AR110F906-BASE</v>
          </cell>
          <cell r="E6">
            <v>24</v>
          </cell>
        </row>
        <row r="7">
          <cell r="C7" t="str">
            <v>B560252/A</v>
          </cell>
          <cell r="D7" t="str">
            <v>AR110F906-TOP</v>
          </cell>
          <cell r="E7">
            <v>108</v>
          </cell>
        </row>
        <row r="8">
          <cell r="C8" t="str">
            <v>B560253/A</v>
          </cell>
          <cell r="D8" t="str">
            <v>AR110F906-TOP</v>
          </cell>
          <cell r="E8">
            <v>52</v>
          </cell>
        </row>
        <row r="9">
          <cell r="C9" t="str">
            <v>B565741/A</v>
          </cell>
          <cell r="D9" t="str">
            <v>AR112NF834-BASE</v>
          </cell>
          <cell r="E9">
            <v>21</v>
          </cell>
        </row>
        <row r="10">
          <cell r="C10" t="str">
            <v>B565742/A</v>
          </cell>
          <cell r="D10" t="str">
            <v>AR112NF834-BASE</v>
          </cell>
          <cell r="E10">
            <v>29</v>
          </cell>
        </row>
        <row r="11">
          <cell r="C11" t="str">
            <v>B565744/A</v>
          </cell>
          <cell r="D11" t="str">
            <v>AR125F906-BASE</v>
          </cell>
          <cell r="E11">
            <v>125</v>
          </cell>
        </row>
        <row r="12">
          <cell r="C12" t="str">
            <v>B565681/A</v>
          </cell>
          <cell r="D12" t="str">
            <v>AR164F834</v>
          </cell>
          <cell r="E12">
            <v>18</v>
          </cell>
        </row>
        <row r="13">
          <cell r="C13" t="str">
            <v>B565682/A</v>
          </cell>
          <cell r="D13" t="str">
            <v>AR164F834</v>
          </cell>
          <cell r="E13">
            <v>7</v>
          </cell>
        </row>
        <row r="14">
          <cell r="C14" t="str">
            <v>B565750/A</v>
          </cell>
          <cell r="D14" t="str">
            <v>AR196NF834</v>
          </cell>
          <cell r="E14">
            <v>69</v>
          </cell>
        </row>
        <row r="15">
          <cell r="C15" t="str">
            <v>B565658/A</v>
          </cell>
          <cell r="D15" t="str">
            <v>AR293F834-BASE</v>
          </cell>
          <cell r="E15">
            <v>15</v>
          </cell>
        </row>
        <row r="16">
          <cell r="C16" t="str">
            <v>B565659/A</v>
          </cell>
          <cell r="D16" t="str">
            <v>AR293F834-BASE</v>
          </cell>
          <cell r="E16">
            <v>35</v>
          </cell>
        </row>
        <row r="17">
          <cell r="C17" t="str">
            <v>B560257/A</v>
          </cell>
          <cell r="D17" t="str">
            <v>AR293F834-TOP</v>
          </cell>
          <cell r="E17">
            <v>12</v>
          </cell>
        </row>
        <row r="18">
          <cell r="C18" t="str">
            <v>B560256/A</v>
          </cell>
          <cell r="D18" t="str">
            <v>AR293F834-TOP</v>
          </cell>
          <cell r="E18">
            <v>28</v>
          </cell>
        </row>
        <row r="19">
          <cell r="C19" t="str">
            <v>B560260/A</v>
          </cell>
          <cell r="D19" t="str">
            <v>AR293F906-TOP</v>
          </cell>
          <cell r="E19">
            <v>7</v>
          </cell>
        </row>
        <row r="20">
          <cell r="C20" t="str">
            <v>B560261/A</v>
          </cell>
          <cell r="D20" t="str">
            <v>AR293F906-TOP</v>
          </cell>
          <cell r="E20">
            <v>18</v>
          </cell>
        </row>
        <row r="21">
          <cell r="C21" t="str">
            <v>B565685/A</v>
          </cell>
          <cell r="D21" t="str">
            <v>AR389F906-FB</v>
          </cell>
          <cell r="E21">
            <v>18</v>
          </cell>
        </row>
        <row r="22">
          <cell r="C22" t="str">
            <v>B565686/A</v>
          </cell>
          <cell r="D22" t="str">
            <v>AR389F906-FB</v>
          </cell>
          <cell r="E22">
            <v>7</v>
          </cell>
        </row>
        <row r="23">
          <cell r="C23" t="str">
            <v>B565689/A</v>
          </cell>
          <cell r="D23" t="str">
            <v>AR389F906-HBPL</v>
          </cell>
          <cell r="E23">
            <v>18</v>
          </cell>
        </row>
        <row r="24">
          <cell r="C24" t="str">
            <v>B565690/A</v>
          </cell>
          <cell r="D24" t="str">
            <v>AR389F906-HBPL</v>
          </cell>
          <cell r="E24">
            <v>7</v>
          </cell>
        </row>
        <row r="25">
          <cell r="C25" t="str">
            <v>B565693/A</v>
          </cell>
          <cell r="D25" t="str">
            <v>AR389F906-SR</v>
          </cell>
          <cell r="E25">
            <v>18</v>
          </cell>
        </row>
        <row r="26">
          <cell r="C26" t="str">
            <v>B565694/A</v>
          </cell>
          <cell r="D26" t="str">
            <v>AR389F906-SR</v>
          </cell>
          <cell r="E26">
            <v>7</v>
          </cell>
        </row>
        <row r="27">
          <cell r="C27" t="str">
            <v>B565776/A</v>
          </cell>
          <cell r="D27" t="str">
            <v>AR408F1001</v>
          </cell>
          <cell r="E27">
            <v>13</v>
          </cell>
        </row>
        <row r="28">
          <cell r="C28" t="str">
            <v>B565778/A</v>
          </cell>
          <cell r="D28" t="str">
            <v>AR408F1001</v>
          </cell>
          <cell r="E28">
            <v>32</v>
          </cell>
        </row>
        <row r="29">
          <cell r="C29" t="str">
            <v>B565697/A</v>
          </cell>
          <cell r="D29" t="str">
            <v>AR794NF1049</v>
          </cell>
          <cell r="E29">
            <v>17</v>
          </cell>
        </row>
        <row r="30">
          <cell r="C30" t="str">
            <v>B565698/A</v>
          </cell>
          <cell r="D30" t="str">
            <v>AR794NF1049</v>
          </cell>
          <cell r="E30">
            <v>7</v>
          </cell>
        </row>
        <row r="31">
          <cell r="C31" t="str">
            <v>B565701/A</v>
          </cell>
          <cell r="D31" t="str">
            <v>AR794NF906</v>
          </cell>
          <cell r="E31">
            <v>18</v>
          </cell>
        </row>
        <row r="32">
          <cell r="C32" t="str">
            <v>B565702/A</v>
          </cell>
          <cell r="D32" t="str">
            <v>AR794NF906</v>
          </cell>
          <cell r="E32">
            <v>7</v>
          </cell>
        </row>
        <row r="33">
          <cell r="C33" t="str">
            <v>B565753/A</v>
          </cell>
          <cell r="D33" t="str">
            <v>AR801F1039</v>
          </cell>
          <cell r="E33">
            <v>7</v>
          </cell>
        </row>
        <row r="34">
          <cell r="C34" t="str">
            <v>B565754/A</v>
          </cell>
          <cell r="D34" t="str">
            <v>AR801F1039</v>
          </cell>
          <cell r="E34">
            <v>18</v>
          </cell>
        </row>
        <row r="35">
          <cell r="C35" t="str">
            <v>B566123/A</v>
          </cell>
          <cell r="D35" t="str">
            <v>AR853F1039-BASE</v>
          </cell>
          <cell r="E35">
            <v>18</v>
          </cell>
        </row>
        <row r="36">
          <cell r="C36" t="str">
            <v>B566124/A</v>
          </cell>
          <cell r="D36" t="str">
            <v>AR853F1039-BASE</v>
          </cell>
          <cell r="E36">
            <v>7</v>
          </cell>
        </row>
        <row r="37">
          <cell r="C37" t="str">
            <v>B566127/A</v>
          </cell>
          <cell r="D37" t="str">
            <v>AR853F1039-TOP</v>
          </cell>
          <cell r="E37">
            <v>18</v>
          </cell>
        </row>
        <row r="38">
          <cell r="C38" t="str">
            <v>B566128/A</v>
          </cell>
          <cell r="D38" t="str">
            <v>AR853F1039-TOP</v>
          </cell>
          <cell r="E38">
            <v>7</v>
          </cell>
        </row>
        <row r="39">
          <cell r="C39" t="str">
            <v>B566131/A</v>
          </cell>
          <cell r="D39" t="str">
            <v>AR854F1039-BASE</v>
          </cell>
          <cell r="E39">
            <v>17</v>
          </cell>
        </row>
        <row r="40">
          <cell r="C40" t="str">
            <v>B566132/A</v>
          </cell>
          <cell r="D40" t="str">
            <v>AR854F1039-BASE</v>
          </cell>
          <cell r="E40">
            <v>7</v>
          </cell>
        </row>
        <row r="41">
          <cell r="C41" t="str">
            <v>B566135/A</v>
          </cell>
          <cell r="D41" t="str">
            <v>AR854F1039-TOP</v>
          </cell>
          <cell r="E41">
            <v>17</v>
          </cell>
        </row>
        <row r="42">
          <cell r="C42" t="str">
            <v>B566136/A</v>
          </cell>
          <cell r="D42" t="str">
            <v>AR854F1039-TOP</v>
          </cell>
          <cell r="E42">
            <v>7</v>
          </cell>
        </row>
        <row r="43">
          <cell r="C43" t="str">
            <v>B565756/A</v>
          </cell>
          <cell r="D43" t="str">
            <v>AT305NF00</v>
          </cell>
          <cell r="E43">
            <v>25</v>
          </cell>
        </row>
        <row r="44">
          <cell r="C44" t="str">
            <v>B565758/A</v>
          </cell>
          <cell r="D44" t="str">
            <v>AT382F00</v>
          </cell>
          <cell r="E44">
            <v>30</v>
          </cell>
        </row>
        <row r="45">
          <cell r="C45" t="str">
            <v>B565760/A</v>
          </cell>
          <cell r="D45" t="str">
            <v>AT384F00</v>
          </cell>
          <cell r="E45">
            <v>40</v>
          </cell>
        </row>
        <row r="46">
          <cell r="C46" t="str">
            <v>B565704/A</v>
          </cell>
          <cell r="D46" t="str">
            <v>AT479NF1237</v>
          </cell>
          <cell r="E46">
            <v>50</v>
          </cell>
        </row>
        <row r="47">
          <cell r="C47" t="str">
            <v>B565707/A</v>
          </cell>
          <cell r="D47" t="str">
            <v>AT479NF877</v>
          </cell>
          <cell r="E47">
            <v>30</v>
          </cell>
        </row>
        <row r="48">
          <cell r="C48" t="str">
            <v>B565708/A</v>
          </cell>
          <cell r="D48" t="str">
            <v>AT479NF877</v>
          </cell>
          <cell r="E48">
            <v>20</v>
          </cell>
        </row>
        <row r="49">
          <cell r="C49" t="str">
            <v>B565712/A</v>
          </cell>
          <cell r="D49" t="str">
            <v>AT522NF1058</v>
          </cell>
          <cell r="E49">
            <v>2</v>
          </cell>
        </row>
        <row r="50">
          <cell r="C50" t="str">
            <v>B565714/A</v>
          </cell>
          <cell r="D50" t="str">
            <v>AT522NF1237</v>
          </cell>
          <cell r="E50">
            <v>30</v>
          </cell>
        </row>
        <row r="51">
          <cell r="C51" t="str">
            <v>B565716/A</v>
          </cell>
          <cell r="D51" t="str">
            <v>AT522NF877</v>
          </cell>
          <cell r="E51">
            <v>30</v>
          </cell>
        </row>
        <row r="52">
          <cell r="C52" t="str">
            <v>B565718/A</v>
          </cell>
          <cell r="D52" t="str">
            <v>AT570F1199</v>
          </cell>
          <cell r="E52">
            <v>29</v>
          </cell>
        </row>
        <row r="53">
          <cell r="C53" t="str">
            <v>B565762/A</v>
          </cell>
          <cell r="D53" t="str">
            <v>AT574F00</v>
          </cell>
          <cell r="E53">
            <v>25</v>
          </cell>
        </row>
        <row r="54">
          <cell r="C54" t="str">
            <v>B565764/A</v>
          </cell>
          <cell r="D54" t="str">
            <v>AT606NF1059</v>
          </cell>
          <cell r="E54">
            <v>25</v>
          </cell>
        </row>
        <row r="55">
          <cell r="C55" t="str">
            <v>B565720/A</v>
          </cell>
          <cell r="D55" t="str">
            <v>AT606NF877</v>
          </cell>
          <cell r="E55">
            <v>40</v>
          </cell>
        </row>
        <row r="56">
          <cell r="C56" t="str">
            <v>B565766/A</v>
          </cell>
          <cell r="D56" t="str">
            <v>AT606NF877</v>
          </cell>
          <cell r="E56">
            <v>8</v>
          </cell>
        </row>
        <row r="57">
          <cell r="C57" t="str">
            <v>B565722/A</v>
          </cell>
          <cell r="D57" t="str">
            <v>AT627F1237</v>
          </cell>
          <cell r="E57">
            <v>30</v>
          </cell>
        </row>
        <row r="58">
          <cell r="C58" t="str">
            <v>B565724/A</v>
          </cell>
          <cell r="D58" t="str">
            <v>AT632F877</v>
          </cell>
          <cell r="E58">
            <v>25</v>
          </cell>
        </row>
        <row r="59">
          <cell r="C59" t="str">
            <v>B565768/A</v>
          </cell>
          <cell r="D59" t="str">
            <v>AT632F877</v>
          </cell>
          <cell r="E59">
            <v>25</v>
          </cell>
        </row>
        <row r="60">
          <cell r="C60" t="str">
            <v>B565726/A</v>
          </cell>
          <cell r="D60" t="str">
            <v>AT665NF1059</v>
          </cell>
          <cell r="E60">
            <v>25</v>
          </cell>
        </row>
        <row r="61">
          <cell r="C61" t="str">
            <v>B565728/A</v>
          </cell>
          <cell r="D61" t="str">
            <v>AT665NF1237</v>
          </cell>
          <cell r="E61">
            <v>35</v>
          </cell>
        </row>
        <row r="62">
          <cell r="C62" t="str">
            <v>B565662/A</v>
          </cell>
          <cell r="D62" t="str">
            <v>BN2399CF746</v>
          </cell>
          <cell r="E62">
            <v>29</v>
          </cell>
        </row>
        <row r="63">
          <cell r="C63" t="str">
            <v>B565663/A</v>
          </cell>
          <cell r="D63" t="str">
            <v>BN2399CF746</v>
          </cell>
          <cell r="E63">
            <v>55</v>
          </cell>
        </row>
        <row r="64">
          <cell r="C64" t="str">
            <v>B565655/A</v>
          </cell>
          <cell r="D64" t="str">
            <v>BN2620F193-SHEL</v>
          </cell>
          <cell r="E64">
            <v>5</v>
          </cell>
        </row>
        <row r="65">
          <cell r="C65" t="str">
            <v>B565731/A</v>
          </cell>
          <cell r="D65" t="str">
            <v>BN2628F193</v>
          </cell>
          <cell r="E65">
            <v>10</v>
          </cell>
        </row>
        <row r="66">
          <cell r="C66" t="str">
            <v>B565732/A</v>
          </cell>
          <cell r="D66" t="str">
            <v>BN2628F193</v>
          </cell>
          <cell r="E66">
            <v>10</v>
          </cell>
        </row>
        <row r="67">
          <cell r="C67" t="str">
            <v>B565734/A</v>
          </cell>
          <cell r="D67" t="str">
            <v>BN2629NF194</v>
          </cell>
          <cell r="E67">
            <v>28</v>
          </cell>
        </row>
        <row r="68">
          <cell r="C68" t="str">
            <v>B565665/A</v>
          </cell>
          <cell r="D68" t="str">
            <v>CT013F610-DOLH</v>
          </cell>
          <cell r="E68">
            <v>1</v>
          </cell>
        </row>
        <row r="69">
          <cell r="C69" t="str">
            <v>B565667/A</v>
          </cell>
          <cell r="D69" t="str">
            <v>CT013F610-DORH</v>
          </cell>
          <cell r="E69">
            <v>1</v>
          </cell>
        </row>
        <row r="70">
          <cell r="C70" t="str">
            <v>B565651/A</v>
          </cell>
          <cell r="D70" t="str">
            <v>CT037F633-LEGCE</v>
          </cell>
          <cell r="E70">
            <v>1</v>
          </cell>
        </row>
        <row r="71">
          <cell r="C71" t="str">
            <v>B563333/A</v>
          </cell>
          <cell r="D71" t="str">
            <v>CZ044NF08</v>
          </cell>
          <cell r="E71">
            <v>6</v>
          </cell>
        </row>
        <row r="72">
          <cell r="C72" t="str">
            <v>B565670/A</v>
          </cell>
          <cell r="D72" t="str">
            <v>CZ044NF10</v>
          </cell>
          <cell r="E72">
            <v>13</v>
          </cell>
        </row>
        <row r="73">
          <cell r="C73" t="str">
            <v>B565671/A</v>
          </cell>
          <cell r="D73" t="str">
            <v>CZ044NF10</v>
          </cell>
          <cell r="E73">
            <v>14</v>
          </cell>
        </row>
        <row r="74">
          <cell r="C74" t="str">
            <v>B564842/A</v>
          </cell>
          <cell r="D74" t="str">
            <v>CZ065F191</v>
          </cell>
          <cell r="E74">
            <v>11</v>
          </cell>
        </row>
        <row r="75">
          <cell r="C75" t="str">
            <v>B563331/A</v>
          </cell>
          <cell r="D75" t="str">
            <v>CZ551F09</v>
          </cell>
          <cell r="E75">
            <v>44</v>
          </cell>
        </row>
        <row r="76">
          <cell r="C76" t="str">
            <v>B564848/A</v>
          </cell>
          <cell r="D76" t="str">
            <v>CZ551F10</v>
          </cell>
          <cell r="E76">
            <v>36</v>
          </cell>
        </row>
        <row r="77">
          <cell r="C77" t="str">
            <v>B563335/A</v>
          </cell>
          <cell r="D77" t="str">
            <v>CZ559F08</v>
          </cell>
          <cell r="E77">
            <v>8</v>
          </cell>
        </row>
        <row r="78">
          <cell r="C78" t="str">
            <v>B564854/A</v>
          </cell>
          <cell r="D78" t="str">
            <v>CZ559F10</v>
          </cell>
          <cell r="E78">
            <v>2</v>
          </cell>
        </row>
        <row r="79">
          <cell r="C79" t="str">
            <v>B564850/A</v>
          </cell>
          <cell r="D79" t="str">
            <v>CZ559F191</v>
          </cell>
          <cell r="E79">
            <v>2</v>
          </cell>
        </row>
        <row r="80">
          <cell r="C80" t="str">
            <v>B565673/A</v>
          </cell>
          <cell r="D80" t="str">
            <v>CZ559F191</v>
          </cell>
          <cell r="E80">
            <v>8</v>
          </cell>
        </row>
        <row r="81">
          <cell r="C81" t="str">
            <v>B564852/A</v>
          </cell>
          <cell r="D81" t="str">
            <v>CZ580F10</v>
          </cell>
          <cell r="E81">
            <v>4</v>
          </cell>
        </row>
        <row r="82">
          <cell r="C82" t="str">
            <v>B564846/A</v>
          </cell>
          <cell r="D82" t="str">
            <v>CZ580F10</v>
          </cell>
          <cell r="E82">
            <v>3</v>
          </cell>
        </row>
        <row r="83">
          <cell r="C83" t="str">
            <v>B564844/A</v>
          </cell>
          <cell r="D83" t="str">
            <v>CZ580F190</v>
          </cell>
          <cell r="E83">
            <v>2</v>
          </cell>
        </row>
        <row r="84">
          <cell r="C84" t="str">
            <v>B565910/A</v>
          </cell>
          <cell r="D84" t="str">
            <v>DL015F836-SHBT</v>
          </cell>
          <cell r="E84">
            <v>10</v>
          </cell>
        </row>
        <row r="85">
          <cell r="C85" t="str">
            <v>B565770/A</v>
          </cell>
          <cell r="D85" t="str">
            <v>DL016WF836</v>
          </cell>
          <cell r="E85">
            <v>25</v>
          </cell>
        </row>
        <row r="86">
          <cell r="C86" t="str">
            <v>B565772/A</v>
          </cell>
          <cell r="D86" t="str">
            <v>DL018F837</v>
          </cell>
          <cell r="E86">
            <v>40</v>
          </cell>
        </row>
        <row r="87">
          <cell r="C87" t="str">
            <v>B565653/A</v>
          </cell>
          <cell r="D87" t="str">
            <v>DL018F837-TRAY</v>
          </cell>
          <cell r="E87">
            <v>5</v>
          </cell>
        </row>
        <row r="88">
          <cell r="C88" t="str">
            <v>B565774/A</v>
          </cell>
          <cell r="D88" t="str">
            <v>DL019WF837</v>
          </cell>
          <cell r="E88">
            <v>25</v>
          </cell>
        </row>
        <row r="89">
          <cell r="C89" t="str">
            <v>B560272/A</v>
          </cell>
          <cell r="D89" t="str">
            <v>HS5233F973</v>
          </cell>
          <cell r="E89">
            <v>83</v>
          </cell>
        </row>
        <row r="90">
          <cell r="C90" t="str">
            <v>B563759/A</v>
          </cell>
          <cell r="D90" t="str">
            <v>HS5233F973</v>
          </cell>
          <cell r="E90">
            <v>1</v>
          </cell>
        </row>
        <row r="91">
          <cell r="C91" t="str">
            <v>B560526/A</v>
          </cell>
          <cell r="D91" t="str">
            <v>HS5528F973</v>
          </cell>
          <cell r="E91">
            <v>4</v>
          </cell>
        </row>
        <row r="92">
          <cell r="C92" t="str">
            <v>B560274/A</v>
          </cell>
          <cell r="D92" t="str">
            <v>HS5554F1119</v>
          </cell>
          <cell r="E92">
            <v>8</v>
          </cell>
        </row>
        <row r="93">
          <cell r="C93" t="str">
            <v>B563761/A</v>
          </cell>
          <cell r="D93" t="str">
            <v>HS5554F1119</v>
          </cell>
          <cell r="E93">
            <v>1</v>
          </cell>
        </row>
        <row r="94">
          <cell r="C94" t="str">
            <v>B565981/A</v>
          </cell>
          <cell r="D94" t="str">
            <v>JV013F836</v>
          </cell>
          <cell r="E94">
            <v>25</v>
          </cell>
        </row>
        <row r="95">
          <cell r="C95" t="str">
            <v>B565990/A</v>
          </cell>
          <cell r="D95" t="str">
            <v>MN5787AF998</v>
          </cell>
          <cell r="E95">
            <v>25</v>
          </cell>
        </row>
        <row r="96">
          <cell r="C96" t="str">
            <v>B565913/A</v>
          </cell>
          <cell r="D96" t="str">
            <v>RH10179F382</v>
          </cell>
          <cell r="E96">
            <v>196</v>
          </cell>
        </row>
        <row r="97">
          <cell r="C97" t="str">
            <v>B565914/A</v>
          </cell>
          <cell r="D97" t="str">
            <v>RH10179F382</v>
          </cell>
          <cell r="E97">
            <v>54</v>
          </cell>
        </row>
        <row r="98">
          <cell r="C98" t="str">
            <v>B565986/A</v>
          </cell>
          <cell r="D98" t="str">
            <v>RH2085F95</v>
          </cell>
          <cell r="E98">
            <v>18</v>
          </cell>
        </row>
        <row r="99">
          <cell r="C99" t="str">
            <v>B565969/A</v>
          </cell>
          <cell r="D99" t="str">
            <v>RH2085F95</v>
          </cell>
          <cell r="E99">
            <v>17</v>
          </cell>
        </row>
        <row r="100">
          <cell r="C100" t="str">
            <v>B561054/A</v>
          </cell>
          <cell r="D100" t="str">
            <v>RH2690F09CZ</v>
          </cell>
          <cell r="E100">
            <v>4</v>
          </cell>
        </row>
        <row r="101">
          <cell r="C101" t="str">
            <v>B561055/A</v>
          </cell>
          <cell r="D101" t="str">
            <v>RH2690F09CZ</v>
          </cell>
          <cell r="E101">
            <v>14</v>
          </cell>
        </row>
        <row r="102">
          <cell r="C102" t="str">
            <v>B565918/A</v>
          </cell>
          <cell r="D102" t="str">
            <v>RH2690F10CZ</v>
          </cell>
          <cell r="E102">
            <v>1</v>
          </cell>
        </row>
        <row r="103">
          <cell r="C103" t="str">
            <v>B565920/A</v>
          </cell>
          <cell r="D103" t="str">
            <v>RH2690F10CZ</v>
          </cell>
          <cell r="E103">
            <v>9</v>
          </cell>
        </row>
        <row r="104">
          <cell r="C104" t="str">
            <v>B565923/A</v>
          </cell>
          <cell r="D104" t="str">
            <v>RH2690F190</v>
          </cell>
          <cell r="E104">
            <v>5</v>
          </cell>
        </row>
        <row r="105">
          <cell r="C105" t="str">
            <v>B565924/A</v>
          </cell>
          <cell r="D105" t="str">
            <v>RH2690F190</v>
          </cell>
          <cell r="E105">
            <v>5</v>
          </cell>
        </row>
        <row r="106">
          <cell r="C106" t="str">
            <v>B565927/A</v>
          </cell>
          <cell r="D106" t="str">
            <v>RH2690F191</v>
          </cell>
          <cell r="E106">
            <v>7</v>
          </cell>
        </row>
        <row r="107">
          <cell r="C107" t="str">
            <v>B565928/A</v>
          </cell>
          <cell r="D107" t="str">
            <v>RH2690F191</v>
          </cell>
          <cell r="E107">
            <v>8</v>
          </cell>
        </row>
        <row r="108">
          <cell r="C108" t="str">
            <v>B565931/A</v>
          </cell>
          <cell r="D108" t="str">
            <v>RH2774F123</v>
          </cell>
          <cell r="E108">
            <v>5</v>
          </cell>
        </row>
        <row r="109">
          <cell r="C109" t="str">
            <v>B565932/A</v>
          </cell>
          <cell r="D109" t="str">
            <v>RH2774F123</v>
          </cell>
          <cell r="E109">
            <v>1</v>
          </cell>
        </row>
        <row r="110">
          <cell r="C110" t="str">
            <v>B565934/A</v>
          </cell>
          <cell r="D110" t="str">
            <v>RH2774F190</v>
          </cell>
          <cell r="E110">
            <v>1</v>
          </cell>
        </row>
        <row r="111">
          <cell r="C111" t="str">
            <v>B566710/A</v>
          </cell>
          <cell r="D111" t="str">
            <v>RH323NF02</v>
          </cell>
          <cell r="E111">
            <v>3</v>
          </cell>
        </row>
        <row r="112">
          <cell r="C112" t="str">
            <v>B566712/A</v>
          </cell>
          <cell r="D112" t="str">
            <v>RH323NF03</v>
          </cell>
          <cell r="E112">
            <v>36</v>
          </cell>
        </row>
        <row r="113">
          <cell r="C113" t="str">
            <v>B565953/A</v>
          </cell>
          <cell r="D113" t="str">
            <v>RH337F01</v>
          </cell>
          <cell r="E113">
            <v>33</v>
          </cell>
        </row>
        <row r="114">
          <cell r="C114" t="str">
            <v>B565954/A</v>
          </cell>
          <cell r="D114" t="str">
            <v>RH337F01</v>
          </cell>
          <cell r="E114">
            <v>32</v>
          </cell>
        </row>
        <row r="115">
          <cell r="C115" t="str">
            <v>B565956/A</v>
          </cell>
          <cell r="D115" t="str">
            <v>RH337F03</v>
          </cell>
          <cell r="E115">
            <v>20</v>
          </cell>
        </row>
        <row r="116">
          <cell r="C116" t="str">
            <v>B565937/A</v>
          </cell>
          <cell r="D116" t="str">
            <v>RH3455NF112.BC</v>
          </cell>
          <cell r="E116">
            <v>10</v>
          </cell>
        </row>
        <row r="117">
          <cell r="C117" t="str">
            <v>B565938/A</v>
          </cell>
          <cell r="D117" t="str">
            <v>RH3455NF112.BC</v>
          </cell>
          <cell r="E117">
            <v>10</v>
          </cell>
        </row>
        <row r="118">
          <cell r="C118" t="str">
            <v>B565941/A</v>
          </cell>
          <cell r="D118" t="str">
            <v>RH3456AF152.BC</v>
          </cell>
          <cell r="E118">
            <v>13</v>
          </cell>
        </row>
        <row r="119">
          <cell r="C119" t="str">
            <v>B565942/A</v>
          </cell>
          <cell r="D119" t="str">
            <v>RH3456AF152.BC</v>
          </cell>
          <cell r="E119">
            <v>12</v>
          </cell>
        </row>
        <row r="120">
          <cell r="C120" t="str">
            <v>B565959/A</v>
          </cell>
          <cell r="D120" t="str">
            <v>RH4090F29</v>
          </cell>
          <cell r="E120">
            <v>23</v>
          </cell>
        </row>
        <row r="121">
          <cell r="C121" t="str">
            <v>B565960/A</v>
          </cell>
          <cell r="D121" t="str">
            <v>RH4090F29</v>
          </cell>
          <cell r="E121">
            <v>22</v>
          </cell>
        </row>
        <row r="122">
          <cell r="C122" t="str">
            <v>B565945/A</v>
          </cell>
          <cell r="D122" t="str">
            <v>RH5069F08.BC</v>
          </cell>
          <cell r="E122">
            <v>20</v>
          </cell>
        </row>
        <row r="123">
          <cell r="C123" t="str">
            <v>B565946/A</v>
          </cell>
          <cell r="D123" t="str">
            <v>RH5069F08.BC</v>
          </cell>
          <cell r="E123">
            <v>20</v>
          </cell>
        </row>
        <row r="124">
          <cell r="C124" t="str">
            <v>B565948/A</v>
          </cell>
          <cell r="D124" t="str">
            <v>RH5074F113</v>
          </cell>
          <cell r="E124">
            <v>10</v>
          </cell>
        </row>
        <row r="125">
          <cell r="C125" t="str">
            <v>B565988/A</v>
          </cell>
          <cell r="D125" t="str">
            <v>RH5139F08-GRLD</v>
          </cell>
          <cell r="E125">
            <v>1</v>
          </cell>
        </row>
        <row r="126">
          <cell r="C126" t="str">
            <v>B566714/A</v>
          </cell>
          <cell r="D126" t="str">
            <v>RH7148F382</v>
          </cell>
          <cell r="E126">
            <v>7</v>
          </cell>
        </row>
        <row r="127">
          <cell r="C127" t="str">
            <v>B566716/A</v>
          </cell>
          <cell r="D127" t="str">
            <v>RH7148F382</v>
          </cell>
          <cell r="E127">
            <v>8</v>
          </cell>
        </row>
        <row r="128">
          <cell r="C128" t="str">
            <v>B566718/A</v>
          </cell>
          <cell r="D128" t="str">
            <v>RH7148F409</v>
          </cell>
          <cell r="E128">
            <v>32</v>
          </cell>
        </row>
        <row r="129">
          <cell r="C129" t="str">
            <v>B566720/A</v>
          </cell>
          <cell r="D129" t="str">
            <v>RH7151F409</v>
          </cell>
          <cell r="E129">
            <v>51</v>
          </cell>
        </row>
        <row r="130">
          <cell r="C130" t="str">
            <v>B565869/A</v>
          </cell>
          <cell r="D130" t="str">
            <v>RH7156F382-SHLH</v>
          </cell>
          <cell r="E130">
            <v>5</v>
          </cell>
        </row>
        <row r="131">
          <cell r="C131" t="str">
            <v>B565904/A</v>
          </cell>
          <cell r="D131" t="str">
            <v>RH7156F382-SHRH</v>
          </cell>
          <cell r="E131">
            <v>5</v>
          </cell>
        </row>
        <row r="132">
          <cell r="C132" t="str">
            <v>B566724/A</v>
          </cell>
          <cell r="D132" t="str">
            <v>RH7476F382</v>
          </cell>
          <cell r="E132">
            <v>11</v>
          </cell>
        </row>
        <row r="133">
          <cell r="C133" t="str">
            <v>B566731/A</v>
          </cell>
          <cell r="D133" t="str">
            <v>RH7476F383</v>
          </cell>
          <cell r="E133">
            <v>1</v>
          </cell>
        </row>
        <row r="134">
          <cell r="C134" t="str">
            <v>B565906/A</v>
          </cell>
          <cell r="D134" t="str">
            <v>RH7591F381</v>
          </cell>
          <cell r="E134">
            <v>108</v>
          </cell>
        </row>
        <row r="135">
          <cell r="C135" t="str">
            <v>B565908/A</v>
          </cell>
          <cell r="D135" t="str">
            <v>RH7591F382</v>
          </cell>
          <cell r="E135">
            <v>108</v>
          </cell>
        </row>
        <row r="136">
          <cell r="C136" t="str">
            <v>B566806/A</v>
          </cell>
          <cell r="D136" t="str">
            <v>RH896F01</v>
          </cell>
          <cell r="E136">
            <v>3</v>
          </cell>
        </row>
        <row r="137">
          <cell r="C137" t="str">
            <v>B566808/A</v>
          </cell>
          <cell r="D137" t="str">
            <v>RH896F02</v>
          </cell>
          <cell r="E137">
            <v>32</v>
          </cell>
        </row>
        <row r="138">
          <cell r="C138" t="str">
            <v>B566739/A</v>
          </cell>
          <cell r="D138" t="str">
            <v>RH901AF01</v>
          </cell>
          <cell r="E138">
            <v>11</v>
          </cell>
        </row>
        <row r="139">
          <cell r="C139" t="str">
            <v>B566741/A</v>
          </cell>
          <cell r="D139" t="str">
            <v>RH901AF01</v>
          </cell>
          <cell r="E139">
            <v>15</v>
          </cell>
        </row>
        <row r="140">
          <cell r="C140" t="str">
            <v>B566747/A</v>
          </cell>
          <cell r="D140" t="str">
            <v>RH901AF02</v>
          </cell>
          <cell r="E140">
            <v>2</v>
          </cell>
        </row>
        <row r="141">
          <cell r="C141" t="str">
            <v>B566748/A</v>
          </cell>
          <cell r="D141" t="str">
            <v>RH901AF02</v>
          </cell>
          <cell r="E141">
            <v>3</v>
          </cell>
        </row>
        <row r="142">
          <cell r="C142" t="str">
            <v>B566751/A</v>
          </cell>
          <cell r="D142" t="str">
            <v>RH9339F423</v>
          </cell>
          <cell r="E142">
            <v>91</v>
          </cell>
        </row>
        <row r="143">
          <cell r="C143" t="str">
            <v>B566753/A</v>
          </cell>
          <cell r="D143" t="str">
            <v>RH9339F424</v>
          </cell>
          <cell r="E143">
            <v>5</v>
          </cell>
        </row>
        <row r="144">
          <cell r="C144" t="str">
            <v>B566756/A</v>
          </cell>
          <cell r="D144" t="str">
            <v>RH9339F425</v>
          </cell>
          <cell r="E144">
            <v>44</v>
          </cell>
        </row>
        <row r="145">
          <cell r="C145" t="str">
            <v>B566758/A</v>
          </cell>
          <cell r="D145" t="str">
            <v>RH9339F426</v>
          </cell>
          <cell r="E145">
            <v>48</v>
          </cell>
        </row>
        <row r="146">
          <cell r="C146" t="str">
            <v>B566760/A</v>
          </cell>
          <cell r="D146" t="str">
            <v>RH9456NF423</v>
          </cell>
          <cell r="E146">
            <v>42</v>
          </cell>
        </row>
        <row r="147">
          <cell r="C147" t="str">
            <v>B566762/A</v>
          </cell>
          <cell r="D147" t="str">
            <v>RH9456NF425</v>
          </cell>
          <cell r="E147">
            <v>18</v>
          </cell>
        </row>
        <row r="148">
          <cell r="C148" t="str">
            <v>B566764/A</v>
          </cell>
          <cell r="D148" t="str">
            <v>RH9456NF426</v>
          </cell>
          <cell r="E148">
            <v>8</v>
          </cell>
        </row>
        <row r="149">
          <cell r="C149" t="str">
            <v>B566766/A</v>
          </cell>
          <cell r="D149" t="str">
            <v>RH9866F423</v>
          </cell>
          <cell r="E149">
            <v>29</v>
          </cell>
        </row>
        <row r="150">
          <cell r="C150" t="str">
            <v>B566768/A</v>
          </cell>
          <cell r="D150" t="str">
            <v>RH9866F424</v>
          </cell>
          <cell r="E150">
            <v>5</v>
          </cell>
        </row>
        <row r="151">
          <cell r="C151" t="str">
            <v>B566770/A</v>
          </cell>
          <cell r="D151" t="str">
            <v>RH9866F425</v>
          </cell>
          <cell r="E151">
            <v>17</v>
          </cell>
        </row>
        <row r="152">
          <cell r="C152" t="str">
            <v>B566772/A</v>
          </cell>
          <cell r="D152" t="str">
            <v>RH9866F426</v>
          </cell>
          <cell r="E152">
            <v>5</v>
          </cell>
        </row>
        <row r="153">
          <cell r="C153" t="str">
            <v>B566775/A</v>
          </cell>
          <cell r="D153" t="str">
            <v>RH9873F423</v>
          </cell>
          <cell r="E153">
            <v>10</v>
          </cell>
        </row>
        <row r="154">
          <cell r="C154" t="str">
            <v>B566776/A</v>
          </cell>
          <cell r="D154" t="str">
            <v>RH9873F423</v>
          </cell>
          <cell r="E154">
            <v>10</v>
          </cell>
        </row>
        <row r="155">
          <cell r="C155" t="str">
            <v>B566779/A</v>
          </cell>
          <cell r="D155" t="str">
            <v>RH9873F425</v>
          </cell>
          <cell r="E155">
            <v>8</v>
          </cell>
        </row>
        <row r="156">
          <cell r="C156" t="str">
            <v>B566780/A</v>
          </cell>
          <cell r="D156" t="str">
            <v>RH9873F425</v>
          </cell>
          <cell r="E156">
            <v>9</v>
          </cell>
        </row>
        <row r="157">
          <cell r="C157" t="str">
            <v>B566783/A</v>
          </cell>
          <cell r="D157" t="str">
            <v>RH9873F426</v>
          </cell>
          <cell r="E157">
            <v>9</v>
          </cell>
        </row>
        <row r="158">
          <cell r="C158" t="str">
            <v>B566784/A</v>
          </cell>
          <cell r="D158" t="str">
            <v>RH9873F426</v>
          </cell>
          <cell r="E158">
            <v>10</v>
          </cell>
        </row>
        <row r="159">
          <cell r="C159" t="str">
            <v>B566787/A</v>
          </cell>
          <cell r="D159" t="str">
            <v>RH9883F423</v>
          </cell>
          <cell r="E159">
            <v>14</v>
          </cell>
        </row>
        <row r="160">
          <cell r="C160" t="str">
            <v>B566788/A</v>
          </cell>
          <cell r="D160" t="str">
            <v>RH9883F423</v>
          </cell>
          <cell r="E160">
            <v>15</v>
          </cell>
        </row>
        <row r="161">
          <cell r="C161" t="str">
            <v>B566790/A</v>
          </cell>
          <cell r="D161" t="str">
            <v>RH9883F424</v>
          </cell>
          <cell r="E161">
            <v>6</v>
          </cell>
        </row>
        <row r="162">
          <cell r="C162" t="str">
            <v>B566794/A</v>
          </cell>
          <cell r="D162" t="str">
            <v>RH9883F426</v>
          </cell>
          <cell r="E162">
            <v>11</v>
          </cell>
        </row>
        <row r="163">
          <cell r="C163" t="str">
            <v>B566795/A</v>
          </cell>
          <cell r="D163" t="str">
            <v>RH9883F426</v>
          </cell>
          <cell r="E163">
            <v>11</v>
          </cell>
        </row>
        <row r="164">
          <cell r="C164" t="str">
            <v>B566797/A</v>
          </cell>
          <cell r="D164" t="str">
            <v>RH9888F423</v>
          </cell>
          <cell r="E164">
            <v>22</v>
          </cell>
        </row>
        <row r="165">
          <cell r="C165" t="str">
            <v>B566799/A</v>
          </cell>
          <cell r="D165" t="str">
            <v>RH9888F424</v>
          </cell>
          <cell r="E165">
            <v>1</v>
          </cell>
        </row>
        <row r="166">
          <cell r="C166" t="str">
            <v>B566801/A</v>
          </cell>
          <cell r="D166" t="str">
            <v>RH9888F425</v>
          </cell>
          <cell r="E166">
            <v>3</v>
          </cell>
        </row>
        <row r="167">
          <cell r="C167" t="str">
            <v>B566804/A</v>
          </cell>
          <cell r="D167" t="str">
            <v>RH9888F426</v>
          </cell>
          <cell r="E167">
            <v>11</v>
          </cell>
        </row>
        <row r="168">
          <cell r="C168" t="str">
            <v>B560270/A</v>
          </cell>
          <cell r="D168" t="str">
            <v>SH182NF515</v>
          </cell>
          <cell r="E168">
            <v>30</v>
          </cell>
        </row>
        <row r="169">
          <cell r="C169" t="str">
            <v>B565992/A</v>
          </cell>
          <cell r="D169" t="str">
            <v>SH195F521-FB</v>
          </cell>
          <cell r="E169">
            <v>10</v>
          </cell>
        </row>
        <row r="170">
          <cell r="C170" t="str">
            <v>B565994/A</v>
          </cell>
          <cell r="D170" t="str">
            <v>SH195F521-HB</v>
          </cell>
          <cell r="E170">
            <v>10</v>
          </cell>
        </row>
        <row r="171">
          <cell r="C171" t="str">
            <v>B565996/A</v>
          </cell>
          <cell r="D171" t="str">
            <v>SH195F521-SR</v>
          </cell>
          <cell r="E171">
            <v>10</v>
          </cell>
        </row>
        <row r="172">
          <cell r="C172" t="str">
            <v>B560218/A</v>
          </cell>
          <cell r="D172" t="str">
            <v>SH219BF506-TOP</v>
          </cell>
          <cell r="E172">
            <v>18</v>
          </cell>
        </row>
        <row r="173">
          <cell r="C173" t="str">
            <v>B560219/A</v>
          </cell>
          <cell r="D173" t="str">
            <v>SH219BF506-TOP</v>
          </cell>
          <cell r="E173">
            <v>12</v>
          </cell>
        </row>
        <row r="174">
          <cell r="C174" t="str">
            <v>B560277/A</v>
          </cell>
          <cell r="D174" t="str">
            <v>SH388AF506-TOP</v>
          </cell>
          <cell r="E174">
            <v>25</v>
          </cell>
        </row>
        <row r="175">
          <cell r="C175" t="str">
            <v>B560278/A</v>
          </cell>
          <cell r="D175" t="str">
            <v>SH388AF506-TOP</v>
          </cell>
          <cell r="E175">
            <v>10</v>
          </cell>
        </row>
        <row r="176">
          <cell r="C176" t="str">
            <v>B560269/A</v>
          </cell>
          <cell r="D176" t="str">
            <v>SH462F515</v>
          </cell>
          <cell r="E176">
            <v>60</v>
          </cell>
        </row>
        <row r="177">
          <cell r="C177" t="str">
            <v>B560264/A</v>
          </cell>
          <cell r="D177" t="str">
            <v>SH548F826</v>
          </cell>
          <cell r="E177">
            <v>25</v>
          </cell>
        </row>
        <row r="178">
          <cell r="C178" t="str">
            <v>B560267/A</v>
          </cell>
          <cell r="D178" t="str">
            <v>SH603F899-TOP</v>
          </cell>
          <cell r="E178">
            <v>10</v>
          </cell>
        </row>
        <row r="179">
          <cell r="C179" t="str">
            <v>B560268/A</v>
          </cell>
          <cell r="D179" t="str">
            <v>SH603F899-TOP</v>
          </cell>
          <cell r="E179">
            <v>15</v>
          </cell>
        </row>
        <row r="180">
          <cell r="C180" t="str">
            <v>B560262/A</v>
          </cell>
          <cell r="D180" t="str">
            <v>SH649F515</v>
          </cell>
          <cell r="E180">
            <v>25</v>
          </cell>
        </row>
        <row r="181">
          <cell r="C181" t="str">
            <v>B566867/A</v>
          </cell>
          <cell r="D181" t="str">
            <v>AR165F834</v>
          </cell>
          <cell r="E181">
            <v>7</v>
          </cell>
        </row>
        <row r="182">
          <cell r="C182" t="str">
            <v>B566868/A</v>
          </cell>
          <cell r="D182" t="str">
            <v>AR165F834</v>
          </cell>
          <cell r="E182">
            <v>18</v>
          </cell>
        </row>
        <row r="183">
          <cell r="C183" t="str">
            <v>B566871/A</v>
          </cell>
          <cell r="D183" t="str">
            <v>AR350F834</v>
          </cell>
          <cell r="E183">
            <v>45</v>
          </cell>
        </row>
        <row r="184">
          <cell r="C184" t="str">
            <v>B566872/A</v>
          </cell>
          <cell r="D184" t="str">
            <v>AR350F834</v>
          </cell>
          <cell r="E184">
            <v>50</v>
          </cell>
        </row>
        <row r="185">
          <cell r="C185" t="str">
            <v>B566875/A</v>
          </cell>
          <cell r="D185" t="str">
            <v>AR367F1049</v>
          </cell>
          <cell r="E185">
            <v>7</v>
          </cell>
        </row>
        <row r="186">
          <cell r="C186" t="str">
            <v>B566876/A</v>
          </cell>
          <cell r="D186" t="str">
            <v>AR367F1049</v>
          </cell>
          <cell r="E186">
            <v>18</v>
          </cell>
        </row>
        <row r="187">
          <cell r="C187" t="str">
            <v>B566879/A</v>
          </cell>
          <cell r="D187" t="str">
            <v>AR367F906</v>
          </cell>
          <cell r="E187">
            <v>6</v>
          </cell>
        </row>
        <row r="188">
          <cell r="C188" t="str">
            <v>B566880/A</v>
          </cell>
          <cell r="D188" t="str">
            <v>AR367F906</v>
          </cell>
          <cell r="E188">
            <v>18</v>
          </cell>
        </row>
        <row r="189">
          <cell r="C189" t="str">
            <v>B566883/A</v>
          </cell>
          <cell r="D189" t="str">
            <v>AR833F1049-FB</v>
          </cell>
          <cell r="E189">
            <v>7</v>
          </cell>
        </row>
        <row r="190">
          <cell r="C190" t="str">
            <v>B566884/A</v>
          </cell>
          <cell r="D190" t="str">
            <v>AR833F1049-FB</v>
          </cell>
          <cell r="E190">
            <v>18</v>
          </cell>
        </row>
        <row r="191">
          <cell r="C191" t="str">
            <v>B566887/A</v>
          </cell>
          <cell r="D191" t="str">
            <v>AR833F1049-HBPL</v>
          </cell>
          <cell r="E191">
            <v>7</v>
          </cell>
        </row>
        <row r="192">
          <cell r="C192" t="str">
            <v>B566888/A</v>
          </cell>
          <cell r="D192" t="str">
            <v>AR833F1049-HBPL</v>
          </cell>
          <cell r="E192">
            <v>18</v>
          </cell>
        </row>
        <row r="193">
          <cell r="C193" t="str">
            <v>B566891/A</v>
          </cell>
          <cell r="D193" t="str">
            <v>AR833F1049-SR</v>
          </cell>
          <cell r="E193">
            <v>7</v>
          </cell>
        </row>
        <row r="194">
          <cell r="C194" t="str">
            <v>B566892/A</v>
          </cell>
          <cell r="D194" t="str">
            <v>AR833F1049-SR</v>
          </cell>
          <cell r="E194">
            <v>18</v>
          </cell>
        </row>
        <row r="195">
          <cell r="C195" t="str">
            <v>B566895/A</v>
          </cell>
          <cell r="D195" t="str">
            <v>AR833F906-FB</v>
          </cell>
          <cell r="E195">
            <v>6</v>
          </cell>
        </row>
        <row r="196">
          <cell r="C196" t="str">
            <v>B566896/A</v>
          </cell>
          <cell r="D196" t="str">
            <v>AR833F906-FB</v>
          </cell>
          <cell r="E196">
            <v>14</v>
          </cell>
        </row>
        <row r="197">
          <cell r="C197" t="str">
            <v>B566899/A</v>
          </cell>
          <cell r="D197" t="str">
            <v>AR833F906-HBPL</v>
          </cell>
          <cell r="E197">
            <v>6</v>
          </cell>
        </row>
        <row r="198">
          <cell r="C198" t="str">
            <v>B566900/A</v>
          </cell>
          <cell r="D198" t="str">
            <v>AR833F906-HBPL</v>
          </cell>
          <cell r="E198">
            <v>14</v>
          </cell>
        </row>
        <row r="199">
          <cell r="C199" t="str">
            <v>B566903/A</v>
          </cell>
          <cell r="D199" t="str">
            <v>AR833F906-SR</v>
          </cell>
          <cell r="E199">
            <v>6</v>
          </cell>
        </row>
        <row r="200">
          <cell r="C200" t="str">
            <v>B566904/A</v>
          </cell>
          <cell r="D200" t="str">
            <v>AR833F906-SR</v>
          </cell>
          <cell r="E200">
            <v>14</v>
          </cell>
        </row>
        <row r="201">
          <cell r="C201" t="str">
            <v>B567357/A</v>
          </cell>
          <cell r="D201" t="str">
            <v>AT453NF884</v>
          </cell>
          <cell r="E201">
            <v>30</v>
          </cell>
        </row>
        <row r="202">
          <cell r="C202" t="str">
            <v>B564335/A</v>
          </cell>
          <cell r="D202" t="str">
            <v>AT471F00</v>
          </cell>
          <cell r="E202">
            <v>35</v>
          </cell>
        </row>
        <row r="203">
          <cell r="C203" t="str">
            <v>B564334/A</v>
          </cell>
          <cell r="D203" t="str">
            <v>AT471F535</v>
          </cell>
          <cell r="E203">
            <v>35</v>
          </cell>
        </row>
        <row r="204">
          <cell r="C204" t="str">
            <v>B567358/A</v>
          </cell>
          <cell r="D204" t="str">
            <v>AT479NF877</v>
          </cell>
          <cell r="E204">
            <v>30</v>
          </cell>
        </row>
        <row r="205">
          <cell r="C205" t="str">
            <v>B566908/A</v>
          </cell>
          <cell r="D205" t="str">
            <v>AT481F1241</v>
          </cell>
          <cell r="E205">
            <v>25</v>
          </cell>
        </row>
        <row r="206">
          <cell r="C206" t="str">
            <v>B566910/A</v>
          </cell>
          <cell r="D206" t="str">
            <v>AT481F877</v>
          </cell>
          <cell r="E206">
            <v>25</v>
          </cell>
        </row>
        <row r="207">
          <cell r="C207" t="str">
            <v>B567359/A</v>
          </cell>
          <cell r="D207" t="str">
            <v>AT531NF884</v>
          </cell>
          <cell r="E207">
            <v>25</v>
          </cell>
        </row>
        <row r="208">
          <cell r="C208" t="str">
            <v>B567360/A</v>
          </cell>
          <cell r="D208" t="str">
            <v>AT570F884</v>
          </cell>
          <cell r="E208">
            <v>30</v>
          </cell>
        </row>
        <row r="209">
          <cell r="C209" t="str">
            <v>B566916/A</v>
          </cell>
          <cell r="D209" t="str">
            <v>AT665NF1059</v>
          </cell>
          <cell r="E209">
            <v>25</v>
          </cell>
        </row>
        <row r="210">
          <cell r="C210" t="str">
            <v>B566918/A</v>
          </cell>
          <cell r="D210" t="str">
            <v>AT665NF877</v>
          </cell>
          <cell r="E210">
            <v>45</v>
          </cell>
        </row>
        <row r="211">
          <cell r="C211" t="str">
            <v>B566921/A</v>
          </cell>
          <cell r="D211" t="str">
            <v>AT675F1059</v>
          </cell>
          <cell r="E211">
            <v>5</v>
          </cell>
        </row>
        <row r="212">
          <cell r="C212" t="str">
            <v>B566922/A</v>
          </cell>
          <cell r="D212" t="str">
            <v>AT675F1059</v>
          </cell>
          <cell r="E212">
            <v>37</v>
          </cell>
        </row>
        <row r="213">
          <cell r="C213" t="str">
            <v>B566925/A</v>
          </cell>
          <cell r="D213" t="str">
            <v>AT675F877</v>
          </cell>
          <cell r="E213">
            <v>60</v>
          </cell>
        </row>
        <row r="214">
          <cell r="C214" t="str">
            <v>B566926/A</v>
          </cell>
          <cell r="D214" t="str">
            <v>AT675F877</v>
          </cell>
          <cell r="E214">
            <v>6</v>
          </cell>
        </row>
        <row r="215">
          <cell r="C215" t="str">
            <v>B566928/A</v>
          </cell>
          <cell r="D215" t="str">
            <v>CZ557NF08</v>
          </cell>
          <cell r="E215">
            <v>6</v>
          </cell>
        </row>
        <row r="216">
          <cell r="C216" t="str">
            <v>B566931/A</v>
          </cell>
          <cell r="D216" t="str">
            <v>CZ557NF10</v>
          </cell>
          <cell r="E216">
            <v>17</v>
          </cell>
        </row>
        <row r="217">
          <cell r="C217" t="str">
            <v>B566932/A</v>
          </cell>
          <cell r="D217" t="str">
            <v>CZ557NF10</v>
          </cell>
          <cell r="E217">
            <v>19</v>
          </cell>
        </row>
        <row r="218">
          <cell r="C218" t="str">
            <v>B566935/A</v>
          </cell>
          <cell r="D218" t="str">
            <v>CZ557NF191</v>
          </cell>
          <cell r="E218">
            <v>4</v>
          </cell>
        </row>
        <row r="219">
          <cell r="C219" t="str">
            <v>B566936/A</v>
          </cell>
          <cell r="D219" t="str">
            <v>CZ557NF191</v>
          </cell>
          <cell r="E219">
            <v>4</v>
          </cell>
        </row>
        <row r="220">
          <cell r="C220" t="str">
            <v>B566939/A</v>
          </cell>
          <cell r="D220" t="str">
            <v>CZ641F08</v>
          </cell>
          <cell r="E220">
            <v>14</v>
          </cell>
        </row>
        <row r="221">
          <cell r="C221" t="str">
            <v>B566940/A</v>
          </cell>
          <cell r="D221" t="str">
            <v>CZ641F08</v>
          </cell>
          <cell r="E221">
            <v>13</v>
          </cell>
        </row>
        <row r="222">
          <cell r="C222" t="str">
            <v>B566942/A</v>
          </cell>
          <cell r="D222" t="str">
            <v>CZ641F190</v>
          </cell>
          <cell r="E222">
            <v>12</v>
          </cell>
        </row>
        <row r="223">
          <cell r="C223" t="str">
            <v>B566945/A</v>
          </cell>
          <cell r="D223" t="str">
            <v>DL015F836</v>
          </cell>
          <cell r="E223">
            <v>40</v>
          </cell>
        </row>
        <row r="224">
          <cell r="C224" t="str">
            <v>B566946/A</v>
          </cell>
          <cell r="D224" t="str">
            <v>DL015F836</v>
          </cell>
          <cell r="E224">
            <v>25</v>
          </cell>
        </row>
        <row r="225">
          <cell r="C225" t="str">
            <v>B567554/A</v>
          </cell>
          <cell r="D225" t="str">
            <v>HS5229AF1090</v>
          </cell>
          <cell r="E225">
            <v>91</v>
          </cell>
        </row>
        <row r="226">
          <cell r="C226" t="str">
            <v>B567562/A</v>
          </cell>
          <cell r="D226" t="str">
            <v>HS5383AF1090</v>
          </cell>
          <cell r="E226">
            <v>88</v>
          </cell>
        </row>
        <row r="227">
          <cell r="C227" t="str">
            <v>B567565/A</v>
          </cell>
          <cell r="D227" t="str">
            <v>HS5386AF1090</v>
          </cell>
          <cell r="E227">
            <v>39</v>
          </cell>
        </row>
        <row r="228">
          <cell r="C228" t="str">
            <v>B567563/A</v>
          </cell>
          <cell r="D228" t="str">
            <v>HS5391AF1090</v>
          </cell>
          <cell r="E228">
            <v>2</v>
          </cell>
        </row>
        <row r="229">
          <cell r="C229" t="str">
            <v>B567564/A</v>
          </cell>
          <cell r="D229" t="str">
            <v>HS5392AF1090</v>
          </cell>
          <cell r="E229">
            <v>4</v>
          </cell>
        </row>
        <row r="230">
          <cell r="C230" t="str">
            <v>B566948/A</v>
          </cell>
          <cell r="D230" t="str">
            <v>HS5400AF1090</v>
          </cell>
          <cell r="E230">
            <v>43</v>
          </cell>
        </row>
        <row r="231">
          <cell r="C231" t="str">
            <v>B566950/A</v>
          </cell>
          <cell r="D231" t="str">
            <v>HS5401AF1090</v>
          </cell>
          <cell r="E231">
            <v>2</v>
          </cell>
        </row>
        <row r="232">
          <cell r="C232" t="str">
            <v>B567555/A</v>
          </cell>
          <cell r="D232" t="str">
            <v>HS5548AF1090</v>
          </cell>
          <cell r="E232">
            <v>5</v>
          </cell>
        </row>
        <row r="233">
          <cell r="C233" t="str">
            <v>B567561/A</v>
          </cell>
          <cell r="D233" t="str">
            <v>HS5549AF1090</v>
          </cell>
          <cell r="E233">
            <v>11</v>
          </cell>
        </row>
        <row r="234">
          <cell r="C234" t="str">
            <v>B566952/A</v>
          </cell>
          <cell r="D234" t="str">
            <v>HS5723AF1090</v>
          </cell>
          <cell r="E234">
            <v>3</v>
          </cell>
        </row>
        <row r="235">
          <cell r="C235" t="str">
            <v>B567035/A</v>
          </cell>
          <cell r="D235" t="str">
            <v>JV013F836</v>
          </cell>
          <cell r="E235">
            <v>25</v>
          </cell>
        </row>
        <row r="236">
          <cell r="C236" t="str">
            <v>B567041/A</v>
          </cell>
          <cell r="D236" t="str">
            <v>MN5880NF1010</v>
          </cell>
          <cell r="E236">
            <v>30</v>
          </cell>
        </row>
        <row r="237">
          <cell r="C237" t="str">
            <v>B567045/A</v>
          </cell>
          <cell r="D237" t="str">
            <v>RH1110F05</v>
          </cell>
          <cell r="E237">
            <v>2</v>
          </cell>
        </row>
        <row r="238">
          <cell r="C238" t="str">
            <v>B567046/A</v>
          </cell>
          <cell r="D238" t="str">
            <v>RH1110F05</v>
          </cell>
          <cell r="E238">
            <v>1</v>
          </cell>
        </row>
        <row r="239">
          <cell r="C239" t="str">
            <v>B565965/A</v>
          </cell>
          <cell r="D239" t="str">
            <v>RH1685NF40.BC</v>
          </cell>
          <cell r="E239">
            <v>10</v>
          </cell>
        </row>
        <row r="240">
          <cell r="C240" t="str">
            <v>B565966/A</v>
          </cell>
          <cell r="D240" t="str">
            <v>RH1685NF40.BC</v>
          </cell>
          <cell r="E240">
            <v>10</v>
          </cell>
        </row>
        <row r="241">
          <cell r="C241" t="str">
            <v>B565950/A</v>
          </cell>
          <cell r="D241" t="str">
            <v>RH3360F09</v>
          </cell>
          <cell r="E241">
            <v>20</v>
          </cell>
        </row>
        <row r="242">
          <cell r="C242" t="str">
            <v>B567192/A</v>
          </cell>
          <cell r="D242" t="str">
            <v>RH386F01</v>
          </cell>
          <cell r="E242">
            <v>56</v>
          </cell>
        </row>
        <row r="243">
          <cell r="C243" t="str">
            <v>B567230/A</v>
          </cell>
          <cell r="D243" t="str">
            <v>RH5061F02</v>
          </cell>
          <cell r="E243">
            <v>19</v>
          </cell>
        </row>
        <row r="244">
          <cell r="C244" t="str">
            <v>B565962/A</v>
          </cell>
          <cell r="D244" t="str">
            <v>RH5290NF113.BC</v>
          </cell>
          <cell r="E244">
            <v>20</v>
          </cell>
        </row>
        <row r="245">
          <cell r="C245" t="str">
            <v>B567232/A</v>
          </cell>
          <cell r="D245" t="str">
            <v>RH7150NF381</v>
          </cell>
          <cell r="E245">
            <v>5</v>
          </cell>
        </row>
        <row r="246">
          <cell r="C246" t="str">
            <v>B567234/A</v>
          </cell>
          <cell r="D246" t="str">
            <v>RH7150NF409</v>
          </cell>
          <cell r="E246">
            <v>40</v>
          </cell>
        </row>
        <row r="247">
          <cell r="C247" t="str">
            <v>B567256/A</v>
          </cell>
          <cell r="D247" t="str">
            <v>RH7392F381</v>
          </cell>
          <cell r="E247">
            <v>9</v>
          </cell>
        </row>
        <row r="248">
          <cell r="C248" t="str">
            <v>B567259/A</v>
          </cell>
          <cell r="D248" t="str">
            <v>RH7392F409</v>
          </cell>
          <cell r="E248">
            <v>13</v>
          </cell>
        </row>
        <row r="249">
          <cell r="C249" t="str">
            <v>B567260/A</v>
          </cell>
          <cell r="D249" t="str">
            <v>RH7392F409</v>
          </cell>
          <cell r="E249">
            <v>10</v>
          </cell>
        </row>
        <row r="250">
          <cell r="C250" t="str">
            <v>B567262/A</v>
          </cell>
          <cell r="D250" t="str">
            <v>RH7478F381</v>
          </cell>
          <cell r="E250">
            <v>7</v>
          </cell>
        </row>
        <row r="251">
          <cell r="C251" t="str">
            <v>B567265/A</v>
          </cell>
          <cell r="D251" t="str">
            <v>RH7478F409</v>
          </cell>
          <cell r="E251">
            <v>5</v>
          </cell>
        </row>
        <row r="252">
          <cell r="C252" t="str">
            <v>B567266/A</v>
          </cell>
          <cell r="D252" t="str">
            <v>RH7478F409</v>
          </cell>
          <cell r="E252">
            <v>4</v>
          </cell>
        </row>
        <row r="253">
          <cell r="C253" t="str">
            <v>B567268/A</v>
          </cell>
          <cell r="D253" t="str">
            <v>RH9478F423</v>
          </cell>
          <cell r="E253">
            <v>32</v>
          </cell>
        </row>
        <row r="254">
          <cell r="C254" t="str">
            <v>B567294/A</v>
          </cell>
          <cell r="D254" t="str">
            <v>RH9478F424</v>
          </cell>
          <cell r="E254">
            <v>4</v>
          </cell>
        </row>
        <row r="255">
          <cell r="C255" t="str">
            <v>B567295/A</v>
          </cell>
          <cell r="D255" t="str">
            <v>RH9478F424</v>
          </cell>
          <cell r="E255">
            <v>3</v>
          </cell>
        </row>
        <row r="256">
          <cell r="C256" t="str">
            <v>B567298/A</v>
          </cell>
          <cell r="D256" t="str">
            <v>RH9478F425</v>
          </cell>
          <cell r="E256">
            <v>6</v>
          </cell>
        </row>
        <row r="257">
          <cell r="C257" t="str">
            <v>B567299/A</v>
          </cell>
          <cell r="D257" t="str">
            <v>RH9478F425</v>
          </cell>
          <cell r="E257">
            <v>6</v>
          </cell>
        </row>
        <row r="258">
          <cell r="C258" t="str">
            <v>B567302/A</v>
          </cell>
          <cell r="D258" t="str">
            <v>RH9478F426</v>
          </cell>
          <cell r="E258">
            <v>2</v>
          </cell>
        </row>
        <row r="259">
          <cell r="C259" t="str">
            <v>B567303/A</v>
          </cell>
          <cell r="D259" t="str">
            <v>RH9478F426</v>
          </cell>
          <cell r="E259">
            <v>1</v>
          </cell>
        </row>
        <row r="260">
          <cell r="C260" t="str">
            <v>B567305/A</v>
          </cell>
          <cell r="D260" t="str">
            <v>RH9540F423</v>
          </cell>
          <cell r="E260">
            <v>35</v>
          </cell>
        </row>
        <row r="261">
          <cell r="C261" t="str">
            <v>B567307/A</v>
          </cell>
          <cell r="D261" t="str">
            <v>RH9540F424</v>
          </cell>
          <cell r="E261">
            <v>11</v>
          </cell>
        </row>
        <row r="262">
          <cell r="C262" t="str">
            <v>B567309/A</v>
          </cell>
          <cell r="D262" t="str">
            <v>RH9540F426</v>
          </cell>
          <cell r="E262">
            <v>8</v>
          </cell>
        </row>
        <row r="263">
          <cell r="C263" t="str">
            <v>B567311/A</v>
          </cell>
          <cell r="D263" t="str">
            <v>RH9862F423</v>
          </cell>
          <cell r="E263">
            <v>33</v>
          </cell>
        </row>
        <row r="264">
          <cell r="C264" t="str">
            <v>B567313/A</v>
          </cell>
          <cell r="D264" t="str">
            <v>RH9862F424</v>
          </cell>
          <cell r="E264">
            <v>27</v>
          </cell>
        </row>
        <row r="265">
          <cell r="C265" t="str">
            <v>B567315/A</v>
          </cell>
          <cell r="D265" t="str">
            <v>RH9862F425</v>
          </cell>
          <cell r="E265">
            <v>5</v>
          </cell>
        </row>
        <row r="266">
          <cell r="C266" t="str">
            <v>B567317/A</v>
          </cell>
          <cell r="D266" t="str">
            <v>RH9862F426</v>
          </cell>
          <cell r="E266">
            <v>19</v>
          </cell>
        </row>
        <row r="267">
          <cell r="C267" t="str">
            <v>B567320/A</v>
          </cell>
          <cell r="D267" t="str">
            <v>RH9874F425</v>
          </cell>
          <cell r="E267">
            <v>10</v>
          </cell>
        </row>
        <row r="268">
          <cell r="C268" t="str">
            <v>B567321/A</v>
          </cell>
          <cell r="D268" t="str">
            <v>RH9874F425</v>
          </cell>
          <cell r="E268">
            <v>9</v>
          </cell>
        </row>
        <row r="269">
          <cell r="C269" t="str">
            <v>B567324/A</v>
          </cell>
          <cell r="D269" t="str">
            <v>RH9874F426</v>
          </cell>
          <cell r="E269">
            <v>7</v>
          </cell>
        </row>
        <row r="270">
          <cell r="C270" t="str">
            <v>B567325/A</v>
          </cell>
          <cell r="D270" t="str">
            <v>RH9874F426</v>
          </cell>
          <cell r="E270">
            <v>6</v>
          </cell>
        </row>
        <row r="271">
          <cell r="C271" t="str">
            <v>B567328/A</v>
          </cell>
          <cell r="D271" t="str">
            <v>RH9877F423</v>
          </cell>
          <cell r="E271">
            <v>4</v>
          </cell>
        </row>
        <row r="272">
          <cell r="C272" t="str">
            <v>B567329/A</v>
          </cell>
          <cell r="D272" t="str">
            <v>RH9877F423</v>
          </cell>
          <cell r="E272">
            <v>3</v>
          </cell>
        </row>
        <row r="273">
          <cell r="C273" t="str">
            <v>B567332/A</v>
          </cell>
          <cell r="D273" t="str">
            <v>RH9877F425</v>
          </cell>
          <cell r="E273">
            <v>2</v>
          </cell>
        </row>
        <row r="274">
          <cell r="C274" t="str">
            <v>B567333/A</v>
          </cell>
          <cell r="D274" t="str">
            <v>RH9877F425</v>
          </cell>
          <cell r="E274">
            <v>2</v>
          </cell>
        </row>
        <row r="275">
          <cell r="C275" t="str">
            <v>B567336/A</v>
          </cell>
          <cell r="D275" t="str">
            <v>RH9884F423</v>
          </cell>
          <cell r="E275">
            <v>3</v>
          </cell>
        </row>
        <row r="276">
          <cell r="C276" t="str">
            <v>B567337/A</v>
          </cell>
          <cell r="D276" t="str">
            <v>RH9884F423</v>
          </cell>
          <cell r="E276">
            <v>3</v>
          </cell>
        </row>
        <row r="277">
          <cell r="C277" t="str">
            <v>B567340/A</v>
          </cell>
          <cell r="D277" t="str">
            <v>RH9884F424</v>
          </cell>
          <cell r="E277">
            <v>2</v>
          </cell>
        </row>
        <row r="278">
          <cell r="C278" t="str">
            <v>B567341/A</v>
          </cell>
          <cell r="D278" t="str">
            <v>RH9884F424</v>
          </cell>
          <cell r="E278">
            <v>1</v>
          </cell>
        </row>
        <row r="279">
          <cell r="C279" t="str">
            <v>B567344/A</v>
          </cell>
          <cell r="D279" t="str">
            <v>RH9884F425</v>
          </cell>
          <cell r="E279">
            <v>1</v>
          </cell>
        </row>
        <row r="280">
          <cell r="C280" t="str">
            <v>B567345/A</v>
          </cell>
          <cell r="D280" t="str">
            <v>RH9884F425</v>
          </cell>
          <cell r="E280">
            <v>1</v>
          </cell>
        </row>
        <row r="281">
          <cell r="C281" t="str">
            <v>B567348/A</v>
          </cell>
          <cell r="D281" t="str">
            <v>RH9884F426</v>
          </cell>
          <cell r="E281">
            <v>5</v>
          </cell>
        </row>
        <row r="282">
          <cell r="C282" t="str">
            <v>B567349/A</v>
          </cell>
          <cell r="D282" t="str">
            <v>RH9884F426</v>
          </cell>
          <cell r="E282">
            <v>5</v>
          </cell>
        </row>
        <row r="283">
          <cell r="C283" t="str">
            <v>B565984/A</v>
          </cell>
          <cell r="D283" t="str">
            <v>SH219BF506-BASE</v>
          </cell>
          <cell r="E283">
            <v>18</v>
          </cell>
        </row>
        <row r="284">
          <cell r="C284" t="str">
            <v>B565985/A</v>
          </cell>
          <cell r="D284" t="str">
            <v>SH219BF506-BASE</v>
          </cell>
          <cell r="E284">
            <v>12</v>
          </cell>
        </row>
        <row r="285">
          <cell r="C285" t="str">
            <v>B565866/A</v>
          </cell>
          <cell r="D285" t="str">
            <v>SH388AF506-BASE</v>
          </cell>
          <cell r="E285">
            <v>25</v>
          </cell>
        </row>
        <row r="286">
          <cell r="C286" t="str">
            <v>B565867/A</v>
          </cell>
          <cell r="D286" t="str">
            <v>SH388AF506-BASE</v>
          </cell>
          <cell r="E286">
            <v>10</v>
          </cell>
        </row>
        <row r="287">
          <cell r="C287" t="str">
            <v>B565861/A</v>
          </cell>
          <cell r="D287" t="str">
            <v>SH603F899-BASE</v>
          </cell>
          <cell r="E287">
            <v>10</v>
          </cell>
        </row>
        <row r="288">
          <cell r="C288" t="str">
            <v>B565862/A</v>
          </cell>
          <cell r="D288" t="str">
            <v>SH603F899-BASE</v>
          </cell>
          <cell r="E288">
            <v>15</v>
          </cell>
        </row>
        <row r="289">
          <cell r="C289" t="str">
            <v>B564404/A</v>
          </cell>
          <cell r="D289" t="str">
            <v>SH706NF521</v>
          </cell>
          <cell r="E289">
            <v>15</v>
          </cell>
        </row>
        <row r="290">
          <cell r="C290" t="str">
            <v>B564405/A</v>
          </cell>
          <cell r="D290" t="str">
            <v>SH706NF521</v>
          </cell>
          <cell r="E290">
            <v>10</v>
          </cell>
        </row>
        <row r="291">
          <cell r="C291" t="str">
            <v>B567048/A</v>
          </cell>
          <cell r="D291" t="str">
            <v>RH120F01-SRS</v>
          </cell>
          <cell r="E291">
            <v>2</v>
          </cell>
        </row>
        <row r="292">
          <cell r="C292" t="str">
            <v>B567050/A</v>
          </cell>
          <cell r="D292" t="str">
            <v>RH121-FF05</v>
          </cell>
          <cell r="E292">
            <v>1</v>
          </cell>
        </row>
        <row r="293">
          <cell r="C293" t="str">
            <v>B568317/A</v>
          </cell>
          <cell r="D293" t="str">
            <v>AR127NF834-BASE</v>
          </cell>
          <cell r="E293">
            <v>30</v>
          </cell>
        </row>
        <row r="294">
          <cell r="C294" t="str">
            <v>B568318/A</v>
          </cell>
          <cell r="D294" t="str">
            <v>AR127NF834-BASE</v>
          </cell>
          <cell r="E294">
            <v>70</v>
          </cell>
        </row>
        <row r="295">
          <cell r="C295" t="str">
            <v>B568321/A</v>
          </cell>
          <cell r="D295" t="str">
            <v>AR389F1049-FB</v>
          </cell>
          <cell r="E295">
            <v>7</v>
          </cell>
        </row>
        <row r="296">
          <cell r="C296" t="str">
            <v>B568322/A</v>
          </cell>
          <cell r="D296" t="str">
            <v>AR389F1049-FB</v>
          </cell>
          <cell r="E296">
            <v>18</v>
          </cell>
        </row>
        <row r="297">
          <cell r="C297" t="str">
            <v>B568325/A</v>
          </cell>
          <cell r="D297" t="str">
            <v>AR389F1049-HBPL</v>
          </cell>
          <cell r="E297">
            <v>7</v>
          </cell>
        </row>
        <row r="298">
          <cell r="C298" t="str">
            <v>B568326/A</v>
          </cell>
          <cell r="D298" t="str">
            <v>AR389F1049-HBPL</v>
          </cell>
          <cell r="E298">
            <v>18</v>
          </cell>
        </row>
        <row r="299">
          <cell r="C299" t="str">
            <v>B568331/A</v>
          </cell>
          <cell r="D299" t="str">
            <v>AR389F1049-SR</v>
          </cell>
          <cell r="E299">
            <v>7</v>
          </cell>
        </row>
        <row r="300">
          <cell r="C300" t="str">
            <v>B568332/A</v>
          </cell>
          <cell r="D300" t="str">
            <v>AR389F1049-SR</v>
          </cell>
          <cell r="E300">
            <v>18</v>
          </cell>
        </row>
        <row r="301">
          <cell r="C301" t="str">
            <v>B568334/A</v>
          </cell>
          <cell r="D301" t="str">
            <v>AR392AF1049</v>
          </cell>
          <cell r="E301">
            <v>25</v>
          </cell>
        </row>
        <row r="302">
          <cell r="C302" t="str">
            <v>B568336/A</v>
          </cell>
          <cell r="D302" t="str">
            <v>AR392AF906</v>
          </cell>
          <cell r="E302">
            <v>50</v>
          </cell>
        </row>
        <row r="303">
          <cell r="C303" t="str">
            <v>B568263/A</v>
          </cell>
          <cell r="D303" t="str">
            <v>AR727F892-BASE</v>
          </cell>
          <cell r="E303">
            <v>37</v>
          </cell>
        </row>
        <row r="304">
          <cell r="C304" t="str">
            <v>B568264/A</v>
          </cell>
          <cell r="D304" t="str">
            <v>AR727F892-BASE</v>
          </cell>
          <cell r="E304">
            <v>88</v>
          </cell>
        </row>
        <row r="305">
          <cell r="C305" t="str">
            <v>B568267/A</v>
          </cell>
          <cell r="D305" t="str">
            <v>AR727F892-TOP</v>
          </cell>
          <cell r="E305">
            <v>37</v>
          </cell>
        </row>
        <row r="306">
          <cell r="C306" t="str">
            <v>B568268/A</v>
          </cell>
          <cell r="D306" t="str">
            <v>AR727F892-TOP</v>
          </cell>
          <cell r="E306">
            <v>88</v>
          </cell>
        </row>
        <row r="307">
          <cell r="C307" t="str">
            <v>B568339/A</v>
          </cell>
          <cell r="D307" t="str">
            <v>AR784F1049</v>
          </cell>
          <cell r="E307">
            <v>7</v>
          </cell>
        </row>
        <row r="308">
          <cell r="C308" t="str">
            <v>B568340/A</v>
          </cell>
          <cell r="D308" t="str">
            <v>AR784F1049</v>
          </cell>
          <cell r="E308">
            <v>18</v>
          </cell>
        </row>
        <row r="309">
          <cell r="C309" t="str">
            <v>B568342/A</v>
          </cell>
          <cell r="D309" t="str">
            <v>AR790F906</v>
          </cell>
          <cell r="E309">
            <v>50</v>
          </cell>
        </row>
        <row r="310">
          <cell r="C310" t="str">
            <v>B566977/A</v>
          </cell>
          <cell r="D310" t="str">
            <v>AT627F1237</v>
          </cell>
          <cell r="E310">
            <v>22</v>
          </cell>
        </row>
        <row r="311">
          <cell r="C311" t="str">
            <v>B566956/A</v>
          </cell>
          <cell r="D311" t="str">
            <v>AT627F877</v>
          </cell>
          <cell r="E311">
            <v>45</v>
          </cell>
        </row>
        <row r="312">
          <cell r="C312" t="str">
            <v>B566958/A</v>
          </cell>
          <cell r="D312" t="str">
            <v>AT665NF1059</v>
          </cell>
          <cell r="E312">
            <v>3</v>
          </cell>
        </row>
        <row r="313">
          <cell r="C313" t="str">
            <v>B566960/A</v>
          </cell>
          <cell r="D313" t="str">
            <v>AT665NF1237</v>
          </cell>
          <cell r="E313">
            <v>6</v>
          </cell>
        </row>
        <row r="314">
          <cell r="C314" t="str">
            <v>B566963/A</v>
          </cell>
          <cell r="D314" t="str">
            <v>AT665NF877</v>
          </cell>
          <cell r="E314">
            <v>6</v>
          </cell>
        </row>
        <row r="315">
          <cell r="C315" t="str">
            <v>B568345/A</v>
          </cell>
          <cell r="D315" t="str">
            <v>BN1898F38</v>
          </cell>
          <cell r="E315">
            <v>10</v>
          </cell>
        </row>
        <row r="316">
          <cell r="C316" t="str">
            <v>B568346/A</v>
          </cell>
          <cell r="D316" t="str">
            <v>BN1898F38</v>
          </cell>
          <cell r="E316">
            <v>10</v>
          </cell>
        </row>
        <row r="317">
          <cell r="C317" t="str">
            <v>B568270/A</v>
          </cell>
          <cell r="D317" t="str">
            <v>BN2929F356</v>
          </cell>
          <cell r="E317">
            <v>108</v>
          </cell>
        </row>
        <row r="318">
          <cell r="C318" t="str">
            <v>B568272/A</v>
          </cell>
          <cell r="D318" t="str">
            <v>BN2929F357</v>
          </cell>
          <cell r="E318">
            <v>108</v>
          </cell>
        </row>
        <row r="319">
          <cell r="C319" t="str">
            <v>B568350/A</v>
          </cell>
          <cell r="D319" t="str">
            <v>CZ047NF08</v>
          </cell>
          <cell r="E319">
            <v>23</v>
          </cell>
        </row>
        <row r="320">
          <cell r="C320" t="str">
            <v>B568352/A</v>
          </cell>
          <cell r="D320" t="str">
            <v>CZ047NF191</v>
          </cell>
          <cell r="E320">
            <v>6</v>
          </cell>
        </row>
        <row r="321">
          <cell r="C321" t="str">
            <v>B568274/A</v>
          </cell>
          <cell r="D321" t="str">
            <v>CZ053F09</v>
          </cell>
          <cell r="E321">
            <v>44</v>
          </cell>
        </row>
        <row r="322">
          <cell r="C322" t="str">
            <v>B568355/A</v>
          </cell>
          <cell r="D322" t="str">
            <v>CZ550NF09</v>
          </cell>
          <cell r="E322">
            <v>18</v>
          </cell>
        </row>
        <row r="323">
          <cell r="C323" t="str">
            <v>B568356/A</v>
          </cell>
          <cell r="D323" t="str">
            <v>CZ550NF09</v>
          </cell>
          <cell r="E323">
            <v>3</v>
          </cell>
        </row>
        <row r="324">
          <cell r="C324" t="str">
            <v>B568358/A</v>
          </cell>
          <cell r="D324" t="str">
            <v>CZ640F10</v>
          </cell>
          <cell r="E324">
            <v>3</v>
          </cell>
        </row>
        <row r="325">
          <cell r="C325" t="str">
            <v>B568361/A</v>
          </cell>
          <cell r="D325" t="str">
            <v>CZ640F190</v>
          </cell>
          <cell r="E325">
            <v>16</v>
          </cell>
        </row>
        <row r="326">
          <cell r="C326" t="str">
            <v>B568362/A</v>
          </cell>
          <cell r="D326" t="str">
            <v>CZ640F190</v>
          </cell>
          <cell r="E326">
            <v>21</v>
          </cell>
        </row>
        <row r="327">
          <cell r="C327" t="str">
            <v>B568276/A</v>
          </cell>
          <cell r="D327" t="str">
            <v>CZ652F09</v>
          </cell>
          <cell r="E327">
            <v>34</v>
          </cell>
        </row>
        <row r="328">
          <cell r="C328" t="str">
            <v>B567083/A</v>
          </cell>
          <cell r="D328" t="str">
            <v>CZ652F10</v>
          </cell>
          <cell r="E328">
            <v>22</v>
          </cell>
        </row>
        <row r="329">
          <cell r="C329" t="str">
            <v>B568278/A</v>
          </cell>
          <cell r="D329" t="str">
            <v>CZ653F08</v>
          </cell>
          <cell r="E329">
            <v>7</v>
          </cell>
        </row>
        <row r="330">
          <cell r="C330" t="str">
            <v>B568280/A</v>
          </cell>
          <cell r="D330" t="str">
            <v>CZ653F09</v>
          </cell>
          <cell r="E330">
            <v>41</v>
          </cell>
        </row>
        <row r="331">
          <cell r="C331" t="str">
            <v>B567087/A</v>
          </cell>
          <cell r="D331" t="str">
            <v>CZ670F08</v>
          </cell>
          <cell r="E331">
            <v>5</v>
          </cell>
        </row>
        <row r="332">
          <cell r="C332" t="str">
            <v>B567116/A</v>
          </cell>
          <cell r="D332" t="str">
            <v>CZ670F09</v>
          </cell>
          <cell r="E332">
            <v>16</v>
          </cell>
        </row>
        <row r="333">
          <cell r="C333" t="str">
            <v>B567089/A</v>
          </cell>
          <cell r="D333" t="str">
            <v>CZ670F09</v>
          </cell>
          <cell r="E333">
            <v>5</v>
          </cell>
        </row>
        <row r="334">
          <cell r="C334" t="str">
            <v>B568364/A</v>
          </cell>
          <cell r="D334" t="str">
            <v>CZ670F191</v>
          </cell>
          <cell r="E334">
            <v>1</v>
          </cell>
        </row>
        <row r="335">
          <cell r="C335" t="str">
            <v>B568282/A</v>
          </cell>
          <cell r="D335" t="str">
            <v>CZ798F381</v>
          </cell>
          <cell r="E335">
            <v>108</v>
          </cell>
        </row>
        <row r="336">
          <cell r="C336" t="str">
            <v>B568284/A</v>
          </cell>
          <cell r="D336" t="str">
            <v>CZ798F409</v>
          </cell>
          <cell r="E336">
            <v>216</v>
          </cell>
        </row>
        <row r="337">
          <cell r="C337" t="str">
            <v>B568286/A</v>
          </cell>
          <cell r="D337" t="str">
            <v>CZ912F10</v>
          </cell>
          <cell r="E337">
            <v>216</v>
          </cell>
        </row>
        <row r="338">
          <cell r="C338" t="str">
            <v>B566967/A</v>
          </cell>
          <cell r="D338" t="str">
            <v>HS5227AF1090</v>
          </cell>
          <cell r="E338">
            <v>25</v>
          </cell>
        </row>
        <row r="339">
          <cell r="C339" t="str">
            <v>B566972/A</v>
          </cell>
          <cell r="D339" t="str">
            <v>HS5230F1119</v>
          </cell>
          <cell r="E339">
            <v>105</v>
          </cell>
        </row>
        <row r="340">
          <cell r="C340" t="str">
            <v>B565478/A</v>
          </cell>
          <cell r="D340" t="str">
            <v>HS5385AF1090</v>
          </cell>
          <cell r="E340">
            <v>44</v>
          </cell>
        </row>
        <row r="341">
          <cell r="C341" t="str">
            <v>B568348/A</v>
          </cell>
          <cell r="D341" t="str">
            <v>HS5387AF1090</v>
          </cell>
          <cell r="E341">
            <v>74</v>
          </cell>
        </row>
        <row r="342">
          <cell r="C342" t="str">
            <v>B568377/A</v>
          </cell>
          <cell r="D342" t="str">
            <v>HS5393F973</v>
          </cell>
          <cell r="E342">
            <v>121</v>
          </cell>
        </row>
        <row r="343">
          <cell r="C343" t="str">
            <v>B568366/A</v>
          </cell>
          <cell r="D343" t="str">
            <v>HS5394F1091</v>
          </cell>
          <cell r="E343">
            <v>134</v>
          </cell>
        </row>
        <row r="344">
          <cell r="C344" t="str">
            <v>B566986/A</v>
          </cell>
          <cell r="D344" t="str">
            <v>HS5399AF1090</v>
          </cell>
          <cell r="E344">
            <v>45</v>
          </cell>
        </row>
        <row r="345">
          <cell r="C345" t="str">
            <v>B566991/A</v>
          </cell>
          <cell r="D345" t="str">
            <v>HS5404F973</v>
          </cell>
          <cell r="E345">
            <v>12</v>
          </cell>
        </row>
        <row r="346">
          <cell r="C346" t="str">
            <v>B567027/A</v>
          </cell>
          <cell r="D346" t="str">
            <v>JV008F580</v>
          </cell>
          <cell r="E346">
            <v>25</v>
          </cell>
        </row>
        <row r="347">
          <cell r="C347" t="str">
            <v>B567031/A</v>
          </cell>
          <cell r="D347" t="str">
            <v>JV012F536</v>
          </cell>
          <cell r="E347">
            <v>25</v>
          </cell>
        </row>
        <row r="348">
          <cell r="C348" t="str">
            <v>B568379/A</v>
          </cell>
          <cell r="D348" t="str">
            <v>JV033F1165</v>
          </cell>
          <cell r="E348">
            <v>25</v>
          </cell>
        </row>
        <row r="349">
          <cell r="C349" t="str">
            <v>B569311/A</v>
          </cell>
          <cell r="D349" t="str">
            <v>JV035F1165</v>
          </cell>
          <cell r="E349">
            <v>30</v>
          </cell>
        </row>
        <row r="350">
          <cell r="C350" t="str">
            <v>B567039/A</v>
          </cell>
          <cell r="D350" t="str">
            <v>JV037F1121</v>
          </cell>
          <cell r="E350">
            <v>25</v>
          </cell>
        </row>
        <row r="351">
          <cell r="C351" t="str">
            <v>B568288/A</v>
          </cell>
          <cell r="D351" t="str">
            <v>RH094F03</v>
          </cell>
          <cell r="E351">
            <v>216</v>
          </cell>
        </row>
        <row r="352">
          <cell r="C352" t="str">
            <v>B568381/A</v>
          </cell>
          <cell r="D352" t="str">
            <v>RH10001F382</v>
          </cell>
          <cell r="E352">
            <v>2</v>
          </cell>
        </row>
        <row r="353">
          <cell r="C353" t="str">
            <v>B568383/A</v>
          </cell>
          <cell r="D353" t="str">
            <v>RH10001F383</v>
          </cell>
          <cell r="E353">
            <v>3</v>
          </cell>
        </row>
        <row r="354">
          <cell r="C354" t="str">
            <v>B568385/A</v>
          </cell>
          <cell r="D354" t="str">
            <v>RH10001F384</v>
          </cell>
          <cell r="E354">
            <v>2</v>
          </cell>
        </row>
        <row r="355">
          <cell r="C355" t="str">
            <v>B568387/A</v>
          </cell>
          <cell r="D355" t="str">
            <v>RH10001F409</v>
          </cell>
          <cell r="E355">
            <v>3</v>
          </cell>
        </row>
        <row r="356">
          <cell r="C356" t="str">
            <v>B568290/A</v>
          </cell>
          <cell r="D356" t="str">
            <v>RH10011F423</v>
          </cell>
          <cell r="E356">
            <v>14</v>
          </cell>
        </row>
        <row r="357">
          <cell r="C357" t="str">
            <v>B568292/A</v>
          </cell>
          <cell r="D357" t="str">
            <v>RH10011F424</v>
          </cell>
          <cell r="E357">
            <v>1</v>
          </cell>
        </row>
        <row r="358">
          <cell r="C358" t="str">
            <v>B568294/A</v>
          </cell>
          <cell r="D358" t="str">
            <v>RH10011F425</v>
          </cell>
          <cell r="E358">
            <v>3</v>
          </cell>
        </row>
        <row r="359">
          <cell r="C359" t="str">
            <v>B568296/A</v>
          </cell>
          <cell r="D359" t="str">
            <v>RH10011F426</v>
          </cell>
          <cell r="E359">
            <v>25</v>
          </cell>
        </row>
        <row r="360">
          <cell r="C360" t="str">
            <v>B568407/A</v>
          </cell>
          <cell r="D360" t="str">
            <v>RH10078NF382</v>
          </cell>
          <cell r="E360">
            <v>4</v>
          </cell>
        </row>
        <row r="361">
          <cell r="C361" t="str">
            <v>B568411/A</v>
          </cell>
          <cell r="D361" t="str">
            <v>RH10078NF383</v>
          </cell>
          <cell r="E361">
            <v>5</v>
          </cell>
        </row>
        <row r="362">
          <cell r="C362" t="str">
            <v>B568409/A</v>
          </cell>
          <cell r="D362" t="str">
            <v>RH10078NF384</v>
          </cell>
          <cell r="E362">
            <v>3</v>
          </cell>
        </row>
        <row r="363">
          <cell r="C363" t="str">
            <v>B568413/A</v>
          </cell>
          <cell r="D363" t="str">
            <v>RH10078NF409</v>
          </cell>
          <cell r="E363">
            <v>4</v>
          </cell>
        </row>
        <row r="364">
          <cell r="C364" t="str">
            <v>B568415/A</v>
          </cell>
          <cell r="D364" t="str">
            <v>RH10078NF409</v>
          </cell>
          <cell r="E364">
            <v>3</v>
          </cell>
        </row>
        <row r="365">
          <cell r="C365" t="str">
            <v>B564337/A</v>
          </cell>
          <cell r="D365" t="str">
            <v>RH10091F382</v>
          </cell>
          <cell r="E365">
            <v>4</v>
          </cell>
        </row>
        <row r="366">
          <cell r="C366" t="str">
            <v>B564339/A</v>
          </cell>
          <cell r="D366" t="str">
            <v>RH10091F383</v>
          </cell>
          <cell r="E366">
            <v>6</v>
          </cell>
        </row>
        <row r="367">
          <cell r="C367" t="str">
            <v>B564341/A</v>
          </cell>
          <cell r="D367" t="str">
            <v>RH10091F384</v>
          </cell>
          <cell r="E367">
            <v>3</v>
          </cell>
        </row>
        <row r="368">
          <cell r="C368" t="str">
            <v>B564345/A</v>
          </cell>
          <cell r="D368" t="str">
            <v>RH10091F409</v>
          </cell>
          <cell r="E368">
            <v>4</v>
          </cell>
        </row>
        <row r="369">
          <cell r="C369" t="str">
            <v>B564344/A</v>
          </cell>
          <cell r="D369" t="str">
            <v>RH10091F409</v>
          </cell>
          <cell r="E369">
            <v>5</v>
          </cell>
        </row>
        <row r="370">
          <cell r="C370" t="str">
            <v>B568369/A</v>
          </cell>
          <cell r="D370" t="str">
            <v>RH10169F382</v>
          </cell>
          <cell r="E370">
            <v>5</v>
          </cell>
        </row>
        <row r="371">
          <cell r="C371" t="str">
            <v>B568371/A</v>
          </cell>
          <cell r="D371" t="str">
            <v>RH10169F383</v>
          </cell>
          <cell r="E371">
            <v>7</v>
          </cell>
        </row>
        <row r="372">
          <cell r="C372" t="str">
            <v>B568373/A</v>
          </cell>
          <cell r="D372" t="str">
            <v>RH10169F384</v>
          </cell>
          <cell r="E372">
            <v>4</v>
          </cell>
        </row>
        <row r="373">
          <cell r="C373" t="str">
            <v>B568376/A</v>
          </cell>
          <cell r="D373" t="str">
            <v>RH10169F409</v>
          </cell>
          <cell r="E373">
            <v>10</v>
          </cell>
        </row>
        <row r="374">
          <cell r="C374" t="str">
            <v>B568543/A</v>
          </cell>
          <cell r="D374" t="str">
            <v>RH2277NF08</v>
          </cell>
          <cell r="E374">
            <v>15</v>
          </cell>
        </row>
        <row r="375">
          <cell r="C375" t="str">
            <v>B568545/A</v>
          </cell>
          <cell r="D375" t="str">
            <v>RH2277NF08</v>
          </cell>
          <cell r="E375">
            <v>15</v>
          </cell>
        </row>
        <row r="376">
          <cell r="C376" t="str">
            <v>B567052/A</v>
          </cell>
          <cell r="D376" t="str">
            <v>RH2667F02-BASE</v>
          </cell>
          <cell r="E376">
            <v>35</v>
          </cell>
        </row>
        <row r="377">
          <cell r="C377" t="str">
            <v>B568668/A</v>
          </cell>
          <cell r="D377" t="str">
            <v>RH2741AF26</v>
          </cell>
          <cell r="E377">
            <v>10</v>
          </cell>
        </row>
        <row r="378">
          <cell r="C378" t="str">
            <v>B568669/A</v>
          </cell>
          <cell r="D378" t="str">
            <v>RH2741AF26</v>
          </cell>
          <cell r="E378">
            <v>10</v>
          </cell>
        </row>
        <row r="379">
          <cell r="C379" t="str">
            <v>B567227/A</v>
          </cell>
          <cell r="D379" t="str">
            <v>RH3436F29</v>
          </cell>
          <cell r="E379">
            <v>10</v>
          </cell>
        </row>
        <row r="380">
          <cell r="C380" t="str">
            <v>B567228/A</v>
          </cell>
          <cell r="D380" t="str">
            <v>RH3436F29</v>
          </cell>
          <cell r="E380">
            <v>10</v>
          </cell>
        </row>
        <row r="381">
          <cell r="C381" t="str">
            <v>B568671/A</v>
          </cell>
          <cell r="D381" t="str">
            <v>RH3438NF116</v>
          </cell>
          <cell r="E381">
            <v>5</v>
          </cell>
        </row>
        <row r="382">
          <cell r="C382" t="str">
            <v>B568555/A</v>
          </cell>
          <cell r="D382" t="str">
            <v>RH3528F01-31914</v>
          </cell>
          <cell r="E382">
            <v>5</v>
          </cell>
        </row>
        <row r="383">
          <cell r="C383" t="str">
            <v>B568557/A</v>
          </cell>
          <cell r="D383" t="str">
            <v>RH4124F152.BC-31912</v>
          </cell>
          <cell r="E383">
            <v>20</v>
          </cell>
        </row>
        <row r="384">
          <cell r="C384" t="str">
            <v>B568560/A</v>
          </cell>
          <cell r="D384" t="str">
            <v>RH5062F08.BC</v>
          </cell>
          <cell r="E384">
            <v>13</v>
          </cell>
        </row>
        <row r="385">
          <cell r="C385" t="str">
            <v>B568561/A</v>
          </cell>
          <cell r="D385" t="str">
            <v>RH5062F08.BC</v>
          </cell>
          <cell r="E385">
            <v>12</v>
          </cell>
        </row>
        <row r="386">
          <cell r="C386" t="str">
            <v>B568564/A</v>
          </cell>
          <cell r="D386" t="str">
            <v>RH5122NF40.BC</v>
          </cell>
          <cell r="E386">
            <v>10</v>
          </cell>
        </row>
        <row r="387">
          <cell r="C387" t="str">
            <v>B568565/A</v>
          </cell>
          <cell r="D387" t="str">
            <v>RH5122NF40.BC</v>
          </cell>
          <cell r="E387">
            <v>10</v>
          </cell>
        </row>
        <row r="388">
          <cell r="C388" t="str">
            <v>B568567/A</v>
          </cell>
          <cell r="D388" t="str">
            <v>RH5131F08</v>
          </cell>
          <cell r="E388">
            <v>20</v>
          </cell>
        </row>
        <row r="389">
          <cell r="C389" t="str">
            <v>B568706/A</v>
          </cell>
          <cell r="D389" t="str">
            <v>RH5194F29</v>
          </cell>
          <cell r="E389">
            <v>10</v>
          </cell>
        </row>
        <row r="390">
          <cell r="C390" t="str">
            <v>B568707/A</v>
          </cell>
          <cell r="D390" t="str">
            <v>RH5194F29</v>
          </cell>
          <cell r="E390">
            <v>10</v>
          </cell>
        </row>
        <row r="391">
          <cell r="C391" t="str">
            <v>B568570/A</v>
          </cell>
          <cell r="D391" t="str">
            <v>RH5358F38BN</v>
          </cell>
          <cell r="E391">
            <v>10</v>
          </cell>
        </row>
        <row r="392">
          <cell r="C392" t="str">
            <v>B568571/A</v>
          </cell>
          <cell r="D392" t="str">
            <v>RH5358F38BN</v>
          </cell>
          <cell r="E392">
            <v>10</v>
          </cell>
        </row>
        <row r="393">
          <cell r="C393" t="str">
            <v>B568574/A</v>
          </cell>
          <cell r="D393" t="str">
            <v>RH5362F38BN</v>
          </cell>
          <cell r="E393">
            <v>10</v>
          </cell>
        </row>
        <row r="394">
          <cell r="C394" t="str">
            <v>B568575/A</v>
          </cell>
          <cell r="D394" t="str">
            <v>RH5362F38BN</v>
          </cell>
          <cell r="E394">
            <v>10</v>
          </cell>
        </row>
        <row r="395">
          <cell r="C395" t="str">
            <v>B568578/A</v>
          </cell>
          <cell r="D395" t="str">
            <v>RH6998F382</v>
          </cell>
          <cell r="E395">
            <v>13</v>
          </cell>
        </row>
        <row r="396">
          <cell r="C396" t="str">
            <v>B568580/A</v>
          </cell>
          <cell r="D396" t="str">
            <v>RH6998F383</v>
          </cell>
          <cell r="E396">
            <v>9</v>
          </cell>
        </row>
        <row r="397">
          <cell r="C397" t="str">
            <v>B568582/A</v>
          </cell>
          <cell r="D397" t="str">
            <v>RH6998F409</v>
          </cell>
          <cell r="E397">
            <v>24</v>
          </cell>
        </row>
        <row r="398">
          <cell r="C398" t="str">
            <v>B568673/A</v>
          </cell>
          <cell r="D398" t="str">
            <v>RH6999NF382</v>
          </cell>
          <cell r="E398">
            <v>4</v>
          </cell>
        </row>
        <row r="399">
          <cell r="C399" t="str">
            <v>B568676/A</v>
          </cell>
          <cell r="D399" t="str">
            <v>RH6999NF383</v>
          </cell>
          <cell r="E399">
            <v>10</v>
          </cell>
        </row>
        <row r="400">
          <cell r="C400" t="str">
            <v>B568677/A</v>
          </cell>
          <cell r="D400" t="str">
            <v>RH6999NF383</v>
          </cell>
          <cell r="E400">
            <v>10</v>
          </cell>
        </row>
        <row r="401">
          <cell r="C401" t="str">
            <v>B568680/A</v>
          </cell>
          <cell r="D401" t="str">
            <v>RH6999NF409</v>
          </cell>
          <cell r="E401">
            <v>4</v>
          </cell>
        </row>
        <row r="402">
          <cell r="C402" t="str">
            <v>B568681/A</v>
          </cell>
          <cell r="D402" t="str">
            <v>RH6999NF409</v>
          </cell>
          <cell r="E402">
            <v>4</v>
          </cell>
        </row>
        <row r="403">
          <cell r="C403" t="str">
            <v>B567236/A</v>
          </cell>
          <cell r="D403" t="str">
            <v>RH7367F382</v>
          </cell>
          <cell r="E403">
            <v>15</v>
          </cell>
        </row>
        <row r="404">
          <cell r="C404" t="str">
            <v>B568584/A</v>
          </cell>
          <cell r="D404" t="str">
            <v>RH7372F382</v>
          </cell>
          <cell r="E404">
            <v>10</v>
          </cell>
        </row>
        <row r="405">
          <cell r="C405" t="str">
            <v>B568586/A</v>
          </cell>
          <cell r="D405" t="str">
            <v>RH7372F409</v>
          </cell>
          <cell r="E405">
            <v>60</v>
          </cell>
        </row>
        <row r="406">
          <cell r="C406" t="str">
            <v>B568588/A</v>
          </cell>
          <cell r="D406" t="str">
            <v>RH7375F381</v>
          </cell>
          <cell r="E406">
            <v>10</v>
          </cell>
        </row>
        <row r="407">
          <cell r="C407" t="str">
            <v>B568590/A</v>
          </cell>
          <cell r="D407" t="str">
            <v>RH7381F382</v>
          </cell>
          <cell r="E407">
            <v>15</v>
          </cell>
        </row>
        <row r="408">
          <cell r="C408" t="str">
            <v>B568592/A</v>
          </cell>
          <cell r="D408" t="str">
            <v>RH7382F383</v>
          </cell>
          <cell r="E408">
            <v>7</v>
          </cell>
        </row>
        <row r="409">
          <cell r="C409" t="str">
            <v>B568594/A</v>
          </cell>
          <cell r="D409" t="str">
            <v>RH7588F383</v>
          </cell>
          <cell r="E409">
            <v>13</v>
          </cell>
        </row>
        <row r="410">
          <cell r="C410" t="str">
            <v>B568596/A</v>
          </cell>
          <cell r="D410" t="str">
            <v>RH7588F409</v>
          </cell>
          <cell r="E410">
            <v>27</v>
          </cell>
        </row>
        <row r="411">
          <cell r="C411" t="str">
            <v>B567238/A</v>
          </cell>
          <cell r="D411" t="str">
            <v>RH900F01</v>
          </cell>
          <cell r="E411">
            <v>20</v>
          </cell>
        </row>
        <row r="412">
          <cell r="C412" t="str">
            <v>B568422/A</v>
          </cell>
          <cell r="D412" t="str">
            <v>RH9338F423</v>
          </cell>
          <cell r="E412">
            <v>4</v>
          </cell>
        </row>
        <row r="413">
          <cell r="C413" t="str">
            <v>B568423/A</v>
          </cell>
          <cell r="D413" t="str">
            <v>RH9338F423</v>
          </cell>
          <cell r="E413">
            <v>5</v>
          </cell>
        </row>
        <row r="414">
          <cell r="C414" t="str">
            <v>B568426/A</v>
          </cell>
          <cell r="D414" t="str">
            <v>RH9338F426</v>
          </cell>
          <cell r="E414">
            <v>11</v>
          </cell>
        </row>
        <row r="415">
          <cell r="C415" t="str">
            <v>B568428/A</v>
          </cell>
          <cell r="D415" t="str">
            <v>RH9338F426</v>
          </cell>
          <cell r="E415">
            <v>11</v>
          </cell>
        </row>
        <row r="416">
          <cell r="C416" t="str">
            <v>B568598/A</v>
          </cell>
          <cell r="D416" t="str">
            <v>RH9841F423</v>
          </cell>
          <cell r="E416">
            <v>97</v>
          </cell>
        </row>
        <row r="417">
          <cell r="C417" t="str">
            <v>B568451/A</v>
          </cell>
          <cell r="D417" t="str">
            <v>RH9842F423</v>
          </cell>
          <cell r="E417">
            <v>27</v>
          </cell>
        </row>
        <row r="418">
          <cell r="C418" t="str">
            <v>B568452/A</v>
          </cell>
          <cell r="D418" t="str">
            <v>RH9842F423</v>
          </cell>
          <cell r="E418">
            <v>27</v>
          </cell>
        </row>
        <row r="419">
          <cell r="C419" t="str">
            <v>B568455/A</v>
          </cell>
          <cell r="D419" t="str">
            <v>RH9842F425</v>
          </cell>
          <cell r="E419">
            <v>5</v>
          </cell>
        </row>
        <row r="420">
          <cell r="C420" t="str">
            <v>B568456/A</v>
          </cell>
          <cell r="D420" t="str">
            <v>RH9842F425</v>
          </cell>
          <cell r="E420">
            <v>4</v>
          </cell>
        </row>
        <row r="421">
          <cell r="C421" t="str">
            <v>B568459/A</v>
          </cell>
          <cell r="D421" t="str">
            <v>RH9842F426</v>
          </cell>
          <cell r="E421">
            <v>5</v>
          </cell>
        </row>
        <row r="422">
          <cell r="C422" t="str">
            <v>B568460/A</v>
          </cell>
          <cell r="D422" t="str">
            <v>RH9842F426</v>
          </cell>
          <cell r="E422">
            <v>5</v>
          </cell>
        </row>
        <row r="423">
          <cell r="C423" t="str">
            <v>B568430/A</v>
          </cell>
          <cell r="D423" t="str">
            <v>RH9861F423</v>
          </cell>
          <cell r="E423">
            <v>32</v>
          </cell>
        </row>
        <row r="424">
          <cell r="C424" t="str">
            <v>B568432/A</v>
          </cell>
          <cell r="D424" t="str">
            <v>RH9861F424</v>
          </cell>
          <cell r="E424">
            <v>16</v>
          </cell>
        </row>
        <row r="425">
          <cell r="C425" t="str">
            <v>B568435/A</v>
          </cell>
          <cell r="D425" t="str">
            <v>RH9861F425</v>
          </cell>
          <cell r="E425">
            <v>7</v>
          </cell>
        </row>
        <row r="426">
          <cell r="C426" t="str">
            <v>B568436/A</v>
          </cell>
          <cell r="D426" t="str">
            <v>RH9861F425</v>
          </cell>
          <cell r="E426">
            <v>7</v>
          </cell>
        </row>
        <row r="427">
          <cell r="C427" t="str">
            <v>B568439/A</v>
          </cell>
          <cell r="D427" t="str">
            <v>RH9861F426</v>
          </cell>
          <cell r="E427">
            <v>7</v>
          </cell>
        </row>
        <row r="428">
          <cell r="C428" t="str">
            <v>B568440/A</v>
          </cell>
          <cell r="D428" t="str">
            <v>RH9861F426</v>
          </cell>
          <cell r="E428">
            <v>7</v>
          </cell>
        </row>
        <row r="429">
          <cell r="C429" t="str">
            <v>B568442/A</v>
          </cell>
          <cell r="D429" t="str">
            <v>RH9863F423</v>
          </cell>
          <cell r="E429">
            <v>15</v>
          </cell>
        </row>
        <row r="430">
          <cell r="C430" t="str">
            <v>B568444/A</v>
          </cell>
          <cell r="D430" t="str">
            <v>RH9863F424</v>
          </cell>
          <cell r="E430">
            <v>21</v>
          </cell>
        </row>
        <row r="431">
          <cell r="C431" t="str">
            <v>B568446/A</v>
          </cell>
          <cell r="D431" t="str">
            <v>RH9863F425</v>
          </cell>
          <cell r="E431">
            <v>6</v>
          </cell>
        </row>
        <row r="432">
          <cell r="C432" t="str">
            <v>B568448/A</v>
          </cell>
          <cell r="D432" t="str">
            <v>RH9863F426</v>
          </cell>
          <cell r="E432">
            <v>25</v>
          </cell>
        </row>
        <row r="433">
          <cell r="C433" t="str">
            <v>B568462/A</v>
          </cell>
          <cell r="D433" t="str">
            <v>RH9868F423</v>
          </cell>
          <cell r="E433">
            <v>23</v>
          </cell>
        </row>
        <row r="434">
          <cell r="C434" t="str">
            <v>B568470/A</v>
          </cell>
          <cell r="D434" t="str">
            <v>RH9868F424</v>
          </cell>
          <cell r="E434">
            <v>10</v>
          </cell>
        </row>
        <row r="435">
          <cell r="C435" t="str">
            <v>B568522/A</v>
          </cell>
          <cell r="D435" t="str">
            <v>RH9868F425</v>
          </cell>
          <cell r="E435">
            <v>14</v>
          </cell>
        </row>
        <row r="436">
          <cell r="C436" t="str">
            <v>B568525/A</v>
          </cell>
          <cell r="D436" t="str">
            <v>RH9868F426</v>
          </cell>
          <cell r="E436">
            <v>17</v>
          </cell>
        </row>
        <row r="437">
          <cell r="C437" t="str">
            <v>B568606/A</v>
          </cell>
          <cell r="D437" t="str">
            <v>RH9879F423</v>
          </cell>
          <cell r="E437">
            <v>8</v>
          </cell>
        </row>
        <row r="438">
          <cell r="C438" t="str">
            <v>B568609/A</v>
          </cell>
          <cell r="D438" t="str">
            <v>RH9879F425</v>
          </cell>
          <cell r="E438">
            <v>2</v>
          </cell>
        </row>
        <row r="439">
          <cell r="C439" t="str">
            <v>B568610/A</v>
          </cell>
          <cell r="D439" t="str">
            <v>RH9879F425</v>
          </cell>
          <cell r="E439">
            <v>2</v>
          </cell>
        </row>
        <row r="440">
          <cell r="C440" t="str">
            <v>B568613/A</v>
          </cell>
          <cell r="D440" t="str">
            <v>RH9879F426</v>
          </cell>
          <cell r="E440">
            <v>6</v>
          </cell>
        </row>
        <row r="441">
          <cell r="C441" t="str">
            <v>B568614/A</v>
          </cell>
          <cell r="D441" t="str">
            <v>RH9879F426</v>
          </cell>
          <cell r="E441">
            <v>7</v>
          </cell>
        </row>
        <row r="442">
          <cell r="C442" t="str">
            <v>B568616/A</v>
          </cell>
          <cell r="D442" t="str">
            <v>RH9889F423</v>
          </cell>
          <cell r="E442">
            <v>11</v>
          </cell>
        </row>
        <row r="443">
          <cell r="C443" t="str">
            <v>B568619/A</v>
          </cell>
          <cell r="D443" t="str">
            <v>RH9889F424</v>
          </cell>
          <cell r="E443">
            <v>4</v>
          </cell>
        </row>
        <row r="444">
          <cell r="C444" t="str">
            <v>B568620/A</v>
          </cell>
          <cell r="D444" t="str">
            <v>RH9889F424</v>
          </cell>
          <cell r="E444">
            <v>4</v>
          </cell>
        </row>
        <row r="445">
          <cell r="C445" t="str">
            <v>B568623/A</v>
          </cell>
          <cell r="D445" t="str">
            <v>RH9889F425</v>
          </cell>
          <cell r="E445">
            <v>1</v>
          </cell>
        </row>
        <row r="446">
          <cell r="C446" t="str">
            <v>B568624/A</v>
          </cell>
          <cell r="D446" t="str">
            <v>RH9889F425</v>
          </cell>
          <cell r="E446">
            <v>2</v>
          </cell>
        </row>
        <row r="447">
          <cell r="C447" t="str">
            <v>B568648/A</v>
          </cell>
          <cell r="D447" t="str">
            <v>RH9889F426</v>
          </cell>
          <cell r="E447">
            <v>1</v>
          </cell>
        </row>
        <row r="448">
          <cell r="C448" t="str">
            <v>B568649/A</v>
          </cell>
          <cell r="D448" t="str">
            <v>RH9889F426</v>
          </cell>
          <cell r="E448">
            <v>2</v>
          </cell>
        </row>
        <row r="449">
          <cell r="C449" t="str">
            <v>B568528/A</v>
          </cell>
          <cell r="D449" t="str">
            <v>RH9950F423</v>
          </cell>
          <cell r="E449">
            <v>108</v>
          </cell>
        </row>
        <row r="450">
          <cell r="C450" t="str">
            <v>B568531/A</v>
          </cell>
          <cell r="D450" t="str">
            <v>RH9950F425</v>
          </cell>
          <cell r="E450">
            <v>108</v>
          </cell>
        </row>
        <row r="451">
          <cell r="C451" t="str">
            <v>B568535/A</v>
          </cell>
          <cell r="D451" t="str">
            <v>RH9950F426</v>
          </cell>
          <cell r="E451">
            <v>108</v>
          </cell>
        </row>
        <row r="452">
          <cell r="C452" t="str">
            <v>B568652/A</v>
          </cell>
          <cell r="D452" t="str">
            <v>RH9972F423</v>
          </cell>
          <cell r="E452">
            <v>6</v>
          </cell>
        </row>
        <row r="453">
          <cell r="C453" t="str">
            <v>B568653/A</v>
          </cell>
          <cell r="D453" t="str">
            <v>RH9972F423</v>
          </cell>
          <cell r="E453">
            <v>7</v>
          </cell>
        </row>
        <row r="454">
          <cell r="C454" t="str">
            <v>B568684/A</v>
          </cell>
          <cell r="D454" t="str">
            <v>RH9972F424</v>
          </cell>
          <cell r="E454">
            <v>6</v>
          </cell>
        </row>
        <row r="455">
          <cell r="C455" t="str">
            <v>B568685/A</v>
          </cell>
          <cell r="D455" t="str">
            <v>RH9972F424</v>
          </cell>
          <cell r="E455">
            <v>6</v>
          </cell>
        </row>
        <row r="456">
          <cell r="C456" t="str">
            <v>B568688/A</v>
          </cell>
          <cell r="D456" t="str">
            <v>RH9972F426</v>
          </cell>
          <cell r="E456">
            <v>9</v>
          </cell>
        </row>
        <row r="457">
          <cell r="C457" t="str">
            <v>B568689/A</v>
          </cell>
          <cell r="D457" t="str">
            <v>RH9972F426</v>
          </cell>
          <cell r="E457">
            <v>10</v>
          </cell>
        </row>
        <row r="458">
          <cell r="C458" t="str">
            <v>B564347/A</v>
          </cell>
          <cell r="D458" t="str">
            <v>RH9991NF382</v>
          </cell>
          <cell r="E458">
            <v>5</v>
          </cell>
        </row>
        <row r="459">
          <cell r="C459" t="str">
            <v>B564349/A</v>
          </cell>
          <cell r="D459" t="str">
            <v>RH9991NF383</v>
          </cell>
          <cell r="E459">
            <v>8</v>
          </cell>
        </row>
        <row r="460">
          <cell r="C460" t="str">
            <v>B564351/A</v>
          </cell>
          <cell r="D460" t="str">
            <v>RH9991NF384</v>
          </cell>
          <cell r="E460">
            <v>3</v>
          </cell>
        </row>
        <row r="461">
          <cell r="C461" t="str">
            <v>B564354/A</v>
          </cell>
          <cell r="D461" t="str">
            <v>RH9991NF409</v>
          </cell>
          <cell r="E461">
            <v>12</v>
          </cell>
        </row>
        <row r="462">
          <cell r="C462" t="str">
            <v>B568691/A</v>
          </cell>
          <cell r="D462" t="str">
            <v>RH9999F382</v>
          </cell>
          <cell r="E462">
            <v>5</v>
          </cell>
        </row>
        <row r="463">
          <cell r="C463" t="str">
            <v>B568693/A</v>
          </cell>
          <cell r="D463" t="str">
            <v>RH9999F383</v>
          </cell>
          <cell r="E463">
            <v>7</v>
          </cell>
        </row>
        <row r="464">
          <cell r="C464" t="str">
            <v>B568695/A</v>
          </cell>
          <cell r="D464" t="str">
            <v>RH9999F384</v>
          </cell>
          <cell r="E464">
            <v>4</v>
          </cell>
        </row>
        <row r="465">
          <cell r="C465" t="str">
            <v>B568697/A</v>
          </cell>
          <cell r="D465" t="str">
            <v>RH9999F409</v>
          </cell>
          <cell r="E465">
            <v>10</v>
          </cell>
        </row>
        <row r="466">
          <cell r="C466" t="str">
            <v>B564360/A</v>
          </cell>
          <cell r="D466" t="str">
            <v>SH153F01-BASE</v>
          </cell>
          <cell r="E466">
            <v>25</v>
          </cell>
        </row>
        <row r="467">
          <cell r="C467" t="str">
            <v>B564361/A</v>
          </cell>
          <cell r="D467" t="str">
            <v>SH153F01-BASE</v>
          </cell>
          <cell r="E467">
            <v>10</v>
          </cell>
        </row>
        <row r="468">
          <cell r="C468" t="str">
            <v>B564364/A</v>
          </cell>
          <cell r="D468" t="str">
            <v>SH153F01-TOP</v>
          </cell>
          <cell r="E468">
            <v>25</v>
          </cell>
        </row>
        <row r="469">
          <cell r="C469" t="str">
            <v>B564365/A</v>
          </cell>
          <cell r="D469" t="str">
            <v>SH153F01-TOP</v>
          </cell>
          <cell r="E469">
            <v>10</v>
          </cell>
        </row>
        <row r="470">
          <cell r="C470" t="str">
            <v>B568699/A</v>
          </cell>
          <cell r="D470" t="str">
            <v>SH424F521-BASE</v>
          </cell>
          <cell r="E470">
            <v>30</v>
          </cell>
        </row>
        <row r="471">
          <cell r="C471" t="str">
            <v>B568701/A</v>
          </cell>
          <cell r="D471" t="str">
            <v>SH496F651-BASE</v>
          </cell>
          <cell r="E471">
            <v>35</v>
          </cell>
        </row>
        <row r="472">
          <cell r="C472" t="str">
            <v>B568703/A</v>
          </cell>
          <cell r="D472" t="str">
            <v>SH496F651-BASE</v>
          </cell>
          <cell r="E472">
            <v>15</v>
          </cell>
        </row>
        <row r="473">
          <cell r="C473" t="str">
            <v>B564368/A</v>
          </cell>
          <cell r="D473" t="str">
            <v>SH496F651-TOP</v>
          </cell>
          <cell r="E473">
            <v>35</v>
          </cell>
        </row>
        <row r="474">
          <cell r="C474" t="str">
            <v>B564369/A</v>
          </cell>
          <cell r="D474" t="str">
            <v>SH496F651-TOP</v>
          </cell>
          <cell r="E474">
            <v>15</v>
          </cell>
        </row>
        <row r="475">
          <cell r="C475" t="str">
            <v>B564371/A</v>
          </cell>
          <cell r="D475" t="str">
            <v>SH636F909</v>
          </cell>
          <cell r="E475">
            <v>30</v>
          </cell>
        </row>
        <row r="476">
          <cell r="C476" t="str">
            <v>B568260/A</v>
          </cell>
          <cell r="D476" t="str">
            <v>RH7587M00</v>
          </cell>
          <cell r="E476">
            <v>1</v>
          </cell>
        </row>
        <row r="477">
          <cell r="C477" t="str">
            <v>B568258/A</v>
          </cell>
          <cell r="D477" t="str">
            <v>RH9180M00</v>
          </cell>
          <cell r="E477">
            <v>1</v>
          </cell>
        </row>
        <row r="478">
          <cell r="C478" t="str">
            <v>B569458/A</v>
          </cell>
          <cell r="D478" t="str">
            <v>AR092F823</v>
          </cell>
          <cell r="E478">
            <v>23</v>
          </cell>
        </row>
        <row r="479">
          <cell r="C479" t="str">
            <v>B569457/A</v>
          </cell>
          <cell r="D479" t="str">
            <v>AR092F823</v>
          </cell>
          <cell r="E479">
            <v>12</v>
          </cell>
        </row>
        <row r="480">
          <cell r="C480" t="str">
            <v>B569539/A</v>
          </cell>
          <cell r="D480" t="str">
            <v>AR1002F1001</v>
          </cell>
          <cell r="E480">
            <v>18</v>
          </cell>
        </row>
        <row r="481">
          <cell r="C481" t="str">
            <v>B569540/A</v>
          </cell>
          <cell r="D481" t="str">
            <v>AR1002F1001</v>
          </cell>
          <cell r="E481">
            <v>7</v>
          </cell>
        </row>
        <row r="482">
          <cell r="C482" t="str">
            <v>B569543/A</v>
          </cell>
          <cell r="D482" t="str">
            <v>AR125F834-BASE</v>
          </cell>
          <cell r="E482">
            <v>105</v>
          </cell>
        </row>
        <row r="483">
          <cell r="C483" t="str">
            <v>B569544/A</v>
          </cell>
          <cell r="D483" t="str">
            <v>AR125F834-BASE</v>
          </cell>
          <cell r="E483">
            <v>29</v>
          </cell>
        </row>
        <row r="484">
          <cell r="C484" t="str">
            <v>B569461/A</v>
          </cell>
          <cell r="D484" t="str">
            <v>AR723F892-BASE</v>
          </cell>
          <cell r="E484">
            <v>105</v>
          </cell>
        </row>
        <row r="485">
          <cell r="C485" t="str">
            <v>B569462/A</v>
          </cell>
          <cell r="D485" t="str">
            <v>AR723F892-BASE</v>
          </cell>
          <cell r="E485">
            <v>45</v>
          </cell>
        </row>
        <row r="486">
          <cell r="C486" t="str">
            <v>B569465/A</v>
          </cell>
          <cell r="D486" t="str">
            <v>AR723F892-TOP</v>
          </cell>
          <cell r="E486">
            <v>105</v>
          </cell>
        </row>
        <row r="487">
          <cell r="C487" t="str">
            <v>B569466/A</v>
          </cell>
          <cell r="D487" t="str">
            <v>AR723F892-TOP</v>
          </cell>
          <cell r="E487">
            <v>45</v>
          </cell>
        </row>
        <row r="488">
          <cell r="C488" t="str">
            <v>B570327/A</v>
          </cell>
          <cell r="D488" t="str">
            <v>AR803F1049-FBSR</v>
          </cell>
          <cell r="E488">
            <v>6</v>
          </cell>
        </row>
        <row r="489">
          <cell r="C489" t="str">
            <v>B570330/A</v>
          </cell>
          <cell r="D489" t="str">
            <v>AR803F1049-FBSR</v>
          </cell>
          <cell r="E489">
            <v>3</v>
          </cell>
        </row>
        <row r="490">
          <cell r="C490" t="str">
            <v>B570331/A</v>
          </cell>
          <cell r="D490" t="str">
            <v>AR803F1049-HBEX</v>
          </cell>
          <cell r="E490">
            <v>6</v>
          </cell>
        </row>
        <row r="491">
          <cell r="C491" t="str">
            <v>B570333/A</v>
          </cell>
          <cell r="D491" t="str">
            <v>AR803F1049-HBEX</v>
          </cell>
          <cell r="E491">
            <v>3</v>
          </cell>
        </row>
        <row r="492">
          <cell r="C492" t="str">
            <v>B570334/A</v>
          </cell>
          <cell r="D492" t="str">
            <v>AR803F1049-PLA</v>
          </cell>
          <cell r="E492">
            <v>6</v>
          </cell>
        </row>
        <row r="493">
          <cell r="C493" t="str">
            <v>B570335/A</v>
          </cell>
          <cell r="D493" t="str">
            <v>AR803F1049-PLA</v>
          </cell>
          <cell r="E493">
            <v>3</v>
          </cell>
        </row>
        <row r="494">
          <cell r="C494" t="str">
            <v>B570336/A</v>
          </cell>
          <cell r="D494" t="str">
            <v>AR803F906-FBSR</v>
          </cell>
          <cell r="E494">
            <v>14</v>
          </cell>
        </row>
        <row r="495">
          <cell r="C495" t="str">
            <v>B570337/A</v>
          </cell>
          <cell r="D495" t="str">
            <v>AR803F906-FBSR</v>
          </cell>
          <cell r="E495">
            <v>6</v>
          </cell>
        </row>
        <row r="496">
          <cell r="C496" t="str">
            <v>B570338/A</v>
          </cell>
          <cell r="D496" t="str">
            <v>AR803F906-HBEX</v>
          </cell>
          <cell r="E496">
            <v>14</v>
          </cell>
        </row>
        <row r="497">
          <cell r="C497" t="str">
            <v>B570339/A</v>
          </cell>
          <cell r="D497" t="str">
            <v>AR803F906-HBEX</v>
          </cell>
          <cell r="E497">
            <v>6</v>
          </cell>
        </row>
        <row r="498">
          <cell r="C498" t="str">
            <v>B570340/A</v>
          </cell>
          <cell r="D498" t="str">
            <v>AR803F906-PLA</v>
          </cell>
          <cell r="E498">
            <v>14</v>
          </cell>
        </row>
        <row r="499">
          <cell r="C499" t="str">
            <v>B570341/A</v>
          </cell>
          <cell r="D499" t="str">
            <v>AR803F906-PLA</v>
          </cell>
          <cell r="E499">
            <v>6</v>
          </cell>
        </row>
        <row r="500">
          <cell r="C500" t="str">
            <v>B569552/A</v>
          </cell>
          <cell r="D500" t="str">
            <v>AR853F1039-BASE</v>
          </cell>
          <cell r="E500">
            <v>9</v>
          </cell>
        </row>
        <row r="501">
          <cell r="C501" t="str">
            <v>B569553/A</v>
          </cell>
          <cell r="D501" t="str">
            <v>AR853F1039-BASE</v>
          </cell>
          <cell r="E501">
            <v>21</v>
          </cell>
        </row>
        <row r="502">
          <cell r="C502" t="str">
            <v>B569556/A</v>
          </cell>
          <cell r="D502" t="str">
            <v>AR853F1039-TOP</v>
          </cell>
          <cell r="E502">
            <v>9</v>
          </cell>
        </row>
        <row r="503">
          <cell r="C503" t="str">
            <v>B569557/A</v>
          </cell>
          <cell r="D503" t="str">
            <v>AR853F1039-TOP</v>
          </cell>
          <cell r="E503">
            <v>21</v>
          </cell>
        </row>
        <row r="504">
          <cell r="C504" t="str">
            <v>B569826/A</v>
          </cell>
          <cell r="D504" t="str">
            <v>AT382F00</v>
          </cell>
          <cell r="E504">
            <v>25</v>
          </cell>
        </row>
        <row r="505">
          <cell r="C505" t="str">
            <v>B569828/A</v>
          </cell>
          <cell r="D505" t="str">
            <v>AT384F00</v>
          </cell>
          <cell r="E505">
            <v>25</v>
          </cell>
        </row>
        <row r="506">
          <cell r="C506" t="str">
            <v>B569829/A</v>
          </cell>
          <cell r="D506" t="str">
            <v>AT384F00</v>
          </cell>
          <cell r="E506">
            <v>25</v>
          </cell>
        </row>
        <row r="507">
          <cell r="C507" t="str">
            <v>B564407/A</v>
          </cell>
          <cell r="D507" t="str">
            <v>AT418F00</v>
          </cell>
          <cell r="E507">
            <v>25</v>
          </cell>
        </row>
        <row r="508">
          <cell r="C508" t="str">
            <v>B564409/A</v>
          </cell>
          <cell r="D508" t="str">
            <v>AT418F1089</v>
          </cell>
          <cell r="E508">
            <v>6</v>
          </cell>
        </row>
        <row r="509">
          <cell r="C509" t="str">
            <v>B564411/A</v>
          </cell>
          <cell r="D509" t="str">
            <v>AT418F888</v>
          </cell>
          <cell r="E509">
            <v>6</v>
          </cell>
        </row>
        <row r="510">
          <cell r="C510" t="str">
            <v>B569468/A</v>
          </cell>
          <cell r="D510" t="str">
            <v>AT452F1022</v>
          </cell>
          <cell r="E510">
            <v>30</v>
          </cell>
        </row>
        <row r="511">
          <cell r="C511" t="str">
            <v>B564413/A</v>
          </cell>
          <cell r="D511" t="str">
            <v>AT471F00</v>
          </cell>
          <cell r="E511">
            <v>25</v>
          </cell>
        </row>
        <row r="512">
          <cell r="C512" t="str">
            <v>B569559/A</v>
          </cell>
          <cell r="D512" t="str">
            <v>AT479NF1058</v>
          </cell>
          <cell r="E512">
            <v>4</v>
          </cell>
        </row>
        <row r="513">
          <cell r="C513" t="str">
            <v>B569561/A</v>
          </cell>
          <cell r="D513" t="str">
            <v>AT532NF1199</v>
          </cell>
          <cell r="E513">
            <v>30</v>
          </cell>
        </row>
        <row r="514">
          <cell r="C514" t="str">
            <v>B569824/A</v>
          </cell>
          <cell r="D514" t="str">
            <v>AT574F00</v>
          </cell>
          <cell r="E514">
            <v>50</v>
          </cell>
        </row>
        <row r="515">
          <cell r="C515" t="str">
            <v>B569792/A</v>
          </cell>
          <cell r="D515" t="str">
            <v>AT574F00</v>
          </cell>
          <cell r="E515">
            <v>50</v>
          </cell>
        </row>
        <row r="516">
          <cell r="C516" t="str">
            <v>B569475/A</v>
          </cell>
          <cell r="D516" t="str">
            <v>AT628F1059</v>
          </cell>
          <cell r="E516">
            <v>39</v>
          </cell>
        </row>
        <row r="517">
          <cell r="C517" t="str">
            <v>B569476/A</v>
          </cell>
          <cell r="D517" t="str">
            <v>AT628F1059</v>
          </cell>
          <cell r="E517">
            <v>10</v>
          </cell>
        </row>
        <row r="518">
          <cell r="C518" t="str">
            <v>B569477/A</v>
          </cell>
          <cell r="D518" t="str">
            <v>AT628F1059</v>
          </cell>
          <cell r="E518">
            <v>1</v>
          </cell>
        </row>
        <row r="519">
          <cell r="C519" t="str">
            <v>B569480/A</v>
          </cell>
          <cell r="D519" t="str">
            <v>AT628F877</v>
          </cell>
          <cell r="E519">
            <v>59</v>
          </cell>
        </row>
        <row r="520">
          <cell r="C520" t="str">
            <v>B569481/A</v>
          </cell>
          <cell r="D520" t="str">
            <v>AT628F877</v>
          </cell>
          <cell r="E520">
            <v>12</v>
          </cell>
        </row>
        <row r="521">
          <cell r="C521" t="str">
            <v>B569483/A</v>
          </cell>
          <cell r="D521" t="str">
            <v>AT628F877</v>
          </cell>
          <cell r="E521">
            <v>1</v>
          </cell>
        </row>
        <row r="522">
          <cell r="C522" t="str">
            <v>B566697/A</v>
          </cell>
          <cell r="D522" t="str">
            <v>BN012F01</v>
          </cell>
          <cell r="E522">
            <v>45</v>
          </cell>
        </row>
        <row r="523">
          <cell r="C523" t="str">
            <v>B567093/A</v>
          </cell>
          <cell r="D523" t="str">
            <v>CZ042F08</v>
          </cell>
          <cell r="E523">
            <v>4</v>
          </cell>
        </row>
        <row r="524">
          <cell r="C524" t="str">
            <v>B567095/A</v>
          </cell>
          <cell r="D524" t="str">
            <v>CZ042F09</v>
          </cell>
          <cell r="E524">
            <v>12</v>
          </cell>
        </row>
        <row r="525">
          <cell r="C525" t="str">
            <v>B569563/A</v>
          </cell>
          <cell r="D525" t="str">
            <v>CZ042F10</v>
          </cell>
          <cell r="E525">
            <v>11</v>
          </cell>
        </row>
        <row r="526">
          <cell r="C526" t="str">
            <v>B569485/A</v>
          </cell>
          <cell r="D526" t="str">
            <v>CZ052F10</v>
          </cell>
          <cell r="E526">
            <v>9</v>
          </cell>
        </row>
        <row r="527">
          <cell r="C527" t="str">
            <v>B569049/A</v>
          </cell>
          <cell r="D527" t="str">
            <v>CZ052F190</v>
          </cell>
          <cell r="E527">
            <v>29</v>
          </cell>
        </row>
        <row r="528">
          <cell r="C528" t="str">
            <v>B569055/A</v>
          </cell>
          <cell r="D528" t="str">
            <v>CZ121NF08</v>
          </cell>
          <cell r="E528">
            <v>17</v>
          </cell>
        </row>
        <row r="529">
          <cell r="C529" t="str">
            <v>B569471/A</v>
          </cell>
          <cell r="D529" t="str">
            <v>CZ121NF08</v>
          </cell>
          <cell r="E529">
            <v>3</v>
          </cell>
        </row>
        <row r="530">
          <cell r="C530" t="str">
            <v>B569057/A</v>
          </cell>
          <cell r="D530" t="str">
            <v>CZ121NF09</v>
          </cell>
          <cell r="E530">
            <v>29</v>
          </cell>
        </row>
        <row r="531">
          <cell r="C531" t="str">
            <v>B569045/A</v>
          </cell>
          <cell r="D531" t="str">
            <v>CZ129F08</v>
          </cell>
          <cell r="E531">
            <v>17</v>
          </cell>
        </row>
        <row r="532">
          <cell r="C532" t="str">
            <v>B569487/A</v>
          </cell>
          <cell r="D532" t="str">
            <v>CZ129F10</v>
          </cell>
          <cell r="E532">
            <v>7</v>
          </cell>
        </row>
        <row r="533">
          <cell r="C533" t="str">
            <v>B569051/A</v>
          </cell>
          <cell r="D533" t="str">
            <v>CZ495F08</v>
          </cell>
          <cell r="E533">
            <v>10</v>
          </cell>
        </row>
        <row r="534">
          <cell r="C534" t="str">
            <v>B569053/A</v>
          </cell>
          <cell r="D534" t="str">
            <v>CZ495F09</v>
          </cell>
          <cell r="E534">
            <v>6</v>
          </cell>
        </row>
        <row r="535">
          <cell r="C535" t="str">
            <v>B567772/A</v>
          </cell>
          <cell r="D535" t="str">
            <v>CZ495F10</v>
          </cell>
          <cell r="E535">
            <v>12</v>
          </cell>
        </row>
        <row r="536">
          <cell r="C536" t="str">
            <v>B567774/A</v>
          </cell>
          <cell r="D536" t="str">
            <v>CZ495F191</v>
          </cell>
          <cell r="E536">
            <v>1</v>
          </cell>
        </row>
        <row r="537">
          <cell r="C537" t="str">
            <v>B569047/A</v>
          </cell>
          <cell r="D537" t="str">
            <v>CZ496F08</v>
          </cell>
          <cell r="E537">
            <v>17</v>
          </cell>
        </row>
        <row r="538">
          <cell r="C538" t="str">
            <v>B567776/A</v>
          </cell>
          <cell r="D538" t="str">
            <v>CZ496F10</v>
          </cell>
          <cell r="E538">
            <v>18</v>
          </cell>
        </row>
        <row r="539">
          <cell r="C539" t="str">
            <v>B567085/A</v>
          </cell>
          <cell r="D539" t="str">
            <v>CZ496F190</v>
          </cell>
          <cell r="E539">
            <v>12</v>
          </cell>
        </row>
        <row r="540">
          <cell r="C540" t="str">
            <v>B567097/A</v>
          </cell>
          <cell r="D540" t="str">
            <v>CZ620F09-31912</v>
          </cell>
          <cell r="E540">
            <v>4</v>
          </cell>
        </row>
        <row r="541">
          <cell r="C541" t="str">
            <v>B569577/A</v>
          </cell>
          <cell r="D541" t="str">
            <v>CZ620F10-31912</v>
          </cell>
          <cell r="E541">
            <v>3</v>
          </cell>
        </row>
        <row r="542">
          <cell r="C542" t="str">
            <v>B569579/A</v>
          </cell>
          <cell r="D542" t="str">
            <v>CZ620F190-31912</v>
          </cell>
          <cell r="E542">
            <v>6</v>
          </cell>
        </row>
        <row r="543">
          <cell r="C543" t="str">
            <v>B569583/A</v>
          </cell>
          <cell r="D543" t="str">
            <v>DL016WF836</v>
          </cell>
          <cell r="E543">
            <v>35</v>
          </cell>
        </row>
        <row r="544">
          <cell r="C544" t="str">
            <v>B569789/A</v>
          </cell>
          <cell r="D544" t="str">
            <v>HS5228F973</v>
          </cell>
          <cell r="E544">
            <v>166</v>
          </cell>
        </row>
        <row r="545">
          <cell r="C545" t="str">
            <v>B569585/A</v>
          </cell>
          <cell r="D545" t="str">
            <v>HS5230F1119</v>
          </cell>
          <cell r="E545">
            <v>103</v>
          </cell>
        </row>
        <row r="546">
          <cell r="C546" t="str">
            <v>B564781/A</v>
          </cell>
          <cell r="D546" t="str">
            <v>HS5232AF1090</v>
          </cell>
          <cell r="E546">
            <v>47</v>
          </cell>
        </row>
        <row r="547">
          <cell r="C547" t="str">
            <v>B570441/A</v>
          </cell>
          <cell r="D547" t="str">
            <v>HS5250F1162</v>
          </cell>
          <cell r="E547">
            <v>1</v>
          </cell>
        </row>
        <row r="548">
          <cell r="C548" t="str">
            <v>B565476/A</v>
          </cell>
          <cell r="D548" t="str">
            <v>HS5384AF1090</v>
          </cell>
          <cell r="E548">
            <v>49</v>
          </cell>
        </row>
        <row r="549">
          <cell r="C549" t="str">
            <v>B569292/A</v>
          </cell>
          <cell r="D549" t="str">
            <v>HS5544AF1090</v>
          </cell>
          <cell r="E549">
            <v>3</v>
          </cell>
        </row>
        <row r="550">
          <cell r="C550" t="str">
            <v>B569294/A</v>
          </cell>
          <cell r="D550" t="str">
            <v>HS5546AF1090</v>
          </cell>
          <cell r="E550">
            <v>10</v>
          </cell>
        </row>
        <row r="551">
          <cell r="C551" t="str">
            <v>B570443/A</v>
          </cell>
          <cell r="D551" t="str">
            <v>HS5834F1162</v>
          </cell>
          <cell r="E551">
            <v>1</v>
          </cell>
        </row>
        <row r="552">
          <cell r="C552" t="str">
            <v>B569308/A</v>
          </cell>
          <cell r="D552" t="str">
            <v>JV038F1121</v>
          </cell>
          <cell r="E552">
            <v>25</v>
          </cell>
        </row>
        <row r="553">
          <cell r="C553" t="str">
            <v>B569306/A</v>
          </cell>
          <cell r="D553" t="str">
            <v>JV038F1164</v>
          </cell>
          <cell r="E553">
            <v>25</v>
          </cell>
        </row>
        <row r="554">
          <cell r="C554" t="str">
            <v>B569855/A</v>
          </cell>
          <cell r="D554" t="str">
            <v>JV047F1212</v>
          </cell>
          <cell r="E554">
            <v>1</v>
          </cell>
        </row>
        <row r="555">
          <cell r="C555" t="str">
            <v>B569587/A</v>
          </cell>
          <cell r="D555" t="str">
            <v>RH10004F383</v>
          </cell>
          <cell r="E555">
            <v>3</v>
          </cell>
        </row>
        <row r="556">
          <cell r="C556" t="str">
            <v>B569589/A</v>
          </cell>
          <cell r="D556" t="str">
            <v>RH10004F384</v>
          </cell>
          <cell r="E556">
            <v>2</v>
          </cell>
        </row>
        <row r="557">
          <cell r="C557" t="str">
            <v>B569591/A</v>
          </cell>
          <cell r="D557" t="str">
            <v>RH10004F409</v>
          </cell>
          <cell r="E557">
            <v>3</v>
          </cell>
        </row>
        <row r="558">
          <cell r="C558" t="str">
            <v>B567131/A</v>
          </cell>
          <cell r="D558" t="str">
            <v>RH10008F382</v>
          </cell>
          <cell r="E558">
            <v>3</v>
          </cell>
        </row>
        <row r="559">
          <cell r="C559" t="str">
            <v>B567133/A</v>
          </cell>
          <cell r="D559" t="str">
            <v>RH10008F383</v>
          </cell>
          <cell r="E559">
            <v>4</v>
          </cell>
        </row>
        <row r="560">
          <cell r="C560" t="str">
            <v>B567136/A</v>
          </cell>
          <cell r="D560" t="str">
            <v>RH10008F409</v>
          </cell>
          <cell r="E560">
            <v>5</v>
          </cell>
        </row>
        <row r="561">
          <cell r="C561" t="str">
            <v>B568389/A</v>
          </cell>
          <cell r="D561" t="str">
            <v>RH10009F382</v>
          </cell>
          <cell r="E561">
            <v>3</v>
          </cell>
        </row>
        <row r="562">
          <cell r="C562" t="str">
            <v>B568391/A</v>
          </cell>
          <cell r="D562" t="str">
            <v>RH10009F383</v>
          </cell>
          <cell r="E562">
            <v>4</v>
          </cell>
        </row>
        <row r="563">
          <cell r="C563" t="str">
            <v>B568394/A</v>
          </cell>
          <cell r="D563" t="str">
            <v>RH10009F384</v>
          </cell>
          <cell r="E563">
            <v>3</v>
          </cell>
        </row>
        <row r="564">
          <cell r="C564" t="str">
            <v>B568396/A</v>
          </cell>
          <cell r="D564" t="str">
            <v>RH10009F409</v>
          </cell>
          <cell r="E564">
            <v>5</v>
          </cell>
        </row>
        <row r="565">
          <cell r="C565" t="str">
            <v>B567240/A</v>
          </cell>
          <cell r="D565" t="str">
            <v>RH10010F382</v>
          </cell>
          <cell r="E565">
            <v>2</v>
          </cell>
        </row>
        <row r="566">
          <cell r="C566" t="str">
            <v>B567242/A</v>
          </cell>
          <cell r="D566" t="str">
            <v>RH10010F383</v>
          </cell>
          <cell r="E566">
            <v>3</v>
          </cell>
        </row>
        <row r="567">
          <cell r="C567" t="str">
            <v>B567244/A</v>
          </cell>
          <cell r="D567" t="str">
            <v>RH10010F384</v>
          </cell>
          <cell r="E567">
            <v>2</v>
          </cell>
        </row>
        <row r="568">
          <cell r="C568" t="str">
            <v>B567246/A</v>
          </cell>
          <cell r="D568" t="str">
            <v>RH10010F409</v>
          </cell>
          <cell r="E568">
            <v>3</v>
          </cell>
        </row>
        <row r="569">
          <cell r="C569" t="str">
            <v>B569593/A</v>
          </cell>
          <cell r="D569" t="str">
            <v>RH10021F382</v>
          </cell>
          <cell r="E569">
            <v>4</v>
          </cell>
        </row>
        <row r="570">
          <cell r="C570" t="str">
            <v>B569595/A</v>
          </cell>
          <cell r="D570" t="str">
            <v>RH10021F383</v>
          </cell>
          <cell r="E570">
            <v>4</v>
          </cell>
        </row>
        <row r="571">
          <cell r="C571" t="str">
            <v>B569597/A</v>
          </cell>
          <cell r="D571" t="str">
            <v>RH10021F384</v>
          </cell>
          <cell r="E571">
            <v>2</v>
          </cell>
        </row>
        <row r="572">
          <cell r="C572" t="str">
            <v>B569599/A</v>
          </cell>
          <cell r="D572" t="str">
            <v>RH10021F409</v>
          </cell>
          <cell r="E572">
            <v>5</v>
          </cell>
        </row>
        <row r="573">
          <cell r="C573" t="str">
            <v>B569490/A</v>
          </cell>
          <cell r="D573" t="str">
            <v>RH10024F423</v>
          </cell>
          <cell r="E573">
            <v>2</v>
          </cell>
        </row>
        <row r="574">
          <cell r="C574" t="str">
            <v>B569491/A</v>
          </cell>
          <cell r="D574" t="str">
            <v>RH10024F423</v>
          </cell>
          <cell r="E574">
            <v>3</v>
          </cell>
        </row>
        <row r="575">
          <cell r="C575" t="str">
            <v>B569494/A</v>
          </cell>
          <cell r="D575" t="str">
            <v>RH10024F425</v>
          </cell>
          <cell r="E575">
            <v>9</v>
          </cell>
        </row>
        <row r="576">
          <cell r="C576" t="str">
            <v>B569495/A</v>
          </cell>
          <cell r="D576" t="str">
            <v>RH10024F425</v>
          </cell>
          <cell r="E576">
            <v>9</v>
          </cell>
        </row>
        <row r="577">
          <cell r="C577" t="str">
            <v>B569498/A</v>
          </cell>
          <cell r="D577" t="str">
            <v>RH10024F426</v>
          </cell>
          <cell r="E577">
            <v>2</v>
          </cell>
        </row>
        <row r="578">
          <cell r="C578" t="str">
            <v>B569499/A</v>
          </cell>
          <cell r="D578" t="str">
            <v>RH10024F426</v>
          </cell>
          <cell r="E578">
            <v>2</v>
          </cell>
        </row>
        <row r="579">
          <cell r="C579" t="str">
            <v>B569502/A</v>
          </cell>
          <cell r="D579" t="str">
            <v>RH10025F424</v>
          </cell>
          <cell r="E579">
            <v>2</v>
          </cell>
        </row>
        <row r="580">
          <cell r="C580" t="str">
            <v>B569503/A</v>
          </cell>
          <cell r="D580" t="str">
            <v>RH10025F424</v>
          </cell>
          <cell r="E580">
            <v>3</v>
          </cell>
        </row>
        <row r="581">
          <cell r="C581" t="str">
            <v>B568399/A</v>
          </cell>
          <cell r="D581" t="str">
            <v>RH10072F382</v>
          </cell>
          <cell r="E581">
            <v>3</v>
          </cell>
        </row>
        <row r="582">
          <cell r="C582" t="str">
            <v>B568401/A</v>
          </cell>
          <cell r="D582" t="str">
            <v>RH10072F383</v>
          </cell>
          <cell r="E582">
            <v>4</v>
          </cell>
        </row>
        <row r="583">
          <cell r="C583" t="str">
            <v>B568403/A</v>
          </cell>
          <cell r="D583" t="str">
            <v>RH10072F384</v>
          </cell>
          <cell r="E583">
            <v>3</v>
          </cell>
        </row>
        <row r="584">
          <cell r="C584" t="str">
            <v>B568405/A</v>
          </cell>
          <cell r="D584" t="str">
            <v>RH10072F409</v>
          </cell>
          <cell r="E584">
            <v>5</v>
          </cell>
        </row>
        <row r="585">
          <cell r="C585" t="str">
            <v>B567248/A</v>
          </cell>
          <cell r="D585" t="str">
            <v>RH10073F382</v>
          </cell>
          <cell r="E585">
            <v>3</v>
          </cell>
        </row>
        <row r="586">
          <cell r="C586" t="str">
            <v>B567250/A</v>
          </cell>
          <cell r="D586" t="str">
            <v>RH10073F383</v>
          </cell>
          <cell r="E586">
            <v>4</v>
          </cell>
        </row>
        <row r="587">
          <cell r="C587" t="str">
            <v>B567252/A</v>
          </cell>
          <cell r="D587" t="str">
            <v>RH10073F384</v>
          </cell>
          <cell r="E587">
            <v>3</v>
          </cell>
        </row>
        <row r="588">
          <cell r="C588" t="str">
            <v>B567254/A</v>
          </cell>
          <cell r="D588" t="str">
            <v>RH10073F409</v>
          </cell>
          <cell r="E588">
            <v>5</v>
          </cell>
        </row>
        <row r="589">
          <cell r="C589" t="str">
            <v>B567174/A</v>
          </cell>
          <cell r="D589" t="str">
            <v>RH10074F382</v>
          </cell>
          <cell r="E589">
            <v>2</v>
          </cell>
        </row>
        <row r="590">
          <cell r="C590" t="str">
            <v>B567185/A</v>
          </cell>
          <cell r="D590" t="str">
            <v>RH10074F383</v>
          </cell>
          <cell r="E590">
            <v>3</v>
          </cell>
        </row>
        <row r="591">
          <cell r="C591" t="str">
            <v>B567188/A</v>
          </cell>
          <cell r="D591" t="str">
            <v>RH10074F384</v>
          </cell>
          <cell r="E591">
            <v>2</v>
          </cell>
        </row>
        <row r="592">
          <cell r="C592" t="str">
            <v>B567190/A</v>
          </cell>
          <cell r="D592" t="str">
            <v>RH10074F409</v>
          </cell>
          <cell r="E592">
            <v>3</v>
          </cell>
        </row>
        <row r="593">
          <cell r="C593" t="str">
            <v>B569506/A</v>
          </cell>
          <cell r="D593" t="str">
            <v>RH10084F382</v>
          </cell>
          <cell r="E593">
            <v>5</v>
          </cell>
        </row>
        <row r="594">
          <cell r="C594" t="str">
            <v>B569507/A</v>
          </cell>
          <cell r="D594" t="str">
            <v>RH10084F382</v>
          </cell>
          <cell r="E594">
            <v>1</v>
          </cell>
        </row>
        <row r="595">
          <cell r="C595" t="str">
            <v>B569510/A</v>
          </cell>
          <cell r="D595" t="str">
            <v>RH10084F383</v>
          </cell>
          <cell r="E595">
            <v>7</v>
          </cell>
        </row>
        <row r="596">
          <cell r="C596" t="str">
            <v>B569511/A</v>
          </cell>
          <cell r="D596" t="str">
            <v>RH10084F383</v>
          </cell>
          <cell r="E596">
            <v>3</v>
          </cell>
        </row>
        <row r="597">
          <cell r="C597" t="str">
            <v>B569513/A</v>
          </cell>
          <cell r="D597" t="str">
            <v>RH10084F384</v>
          </cell>
          <cell r="E597">
            <v>4</v>
          </cell>
        </row>
        <row r="598">
          <cell r="C598" t="str">
            <v>B569516/A</v>
          </cell>
          <cell r="D598" t="str">
            <v>RH10084F409</v>
          </cell>
          <cell r="E598">
            <v>9</v>
          </cell>
        </row>
        <row r="599">
          <cell r="C599" t="str">
            <v>B569517/A</v>
          </cell>
          <cell r="D599" t="str">
            <v>RH10084F409</v>
          </cell>
          <cell r="E599">
            <v>6</v>
          </cell>
        </row>
        <row r="600">
          <cell r="C600" t="str">
            <v>B567091/A</v>
          </cell>
          <cell r="D600" t="str">
            <v>RH1653NF40.BC</v>
          </cell>
          <cell r="E600">
            <v>10</v>
          </cell>
        </row>
        <row r="601">
          <cell r="C601" t="str">
            <v>B569519/A</v>
          </cell>
          <cell r="D601" t="str">
            <v>RH1653NF40.BC</v>
          </cell>
          <cell r="E601">
            <v>10</v>
          </cell>
        </row>
        <row r="602">
          <cell r="C602" t="str">
            <v>B569607/A</v>
          </cell>
          <cell r="D602" t="str">
            <v>RH2381F40.BC</v>
          </cell>
          <cell r="E602">
            <v>10</v>
          </cell>
        </row>
        <row r="603">
          <cell r="C603" t="str">
            <v>B569609/A</v>
          </cell>
          <cell r="D603" t="str">
            <v>RH2662F01-BASE</v>
          </cell>
          <cell r="E603">
            <v>6</v>
          </cell>
        </row>
        <row r="604">
          <cell r="C604" t="str">
            <v>B569611/A</v>
          </cell>
          <cell r="D604" t="str">
            <v>RH2662F02-BASE</v>
          </cell>
          <cell r="E604">
            <v>9</v>
          </cell>
        </row>
        <row r="605">
          <cell r="C605" t="str">
            <v>B569522/A</v>
          </cell>
          <cell r="D605" t="str">
            <v>RH3440F116</v>
          </cell>
          <cell r="E605">
            <v>5</v>
          </cell>
        </row>
        <row r="606">
          <cell r="C606" t="str">
            <v>B569523/A</v>
          </cell>
          <cell r="D606" t="str">
            <v>RH3440F116</v>
          </cell>
          <cell r="E606">
            <v>5</v>
          </cell>
        </row>
        <row r="607">
          <cell r="C607" t="str">
            <v>B569818/A</v>
          </cell>
          <cell r="D607" t="str">
            <v>RH5061F03</v>
          </cell>
          <cell r="E607">
            <v>19</v>
          </cell>
        </row>
        <row r="608">
          <cell r="C608" t="str">
            <v>B569615/A</v>
          </cell>
          <cell r="D608" t="str">
            <v>RH5110F147</v>
          </cell>
          <cell r="E608">
            <v>1</v>
          </cell>
        </row>
        <row r="609">
          <cell r="C609" t="str">
            <v>B569526/A</v>
          </cell>
          <cell r="D609" t="str">
            <v>RH5281F40.BC</v>
          </cell>
          <cell r="E609">
            <v>30</v>
          </cell>
        </row>
        <row r="610">
          <cell r="C610" t="str">
            <v>B569527/A</v>
          </cell>
          <cell r="D610" t="str">
            <v>RH5281F40.BC</v>
          </cell>
          <cell r="E610">
            <v>30</v>
          </cell>
        </row>
        <row r="611">
          <cell r="C611" t="str">
            <v>B569617/A</v>
          </cell>
          <cell r="D611" t="str">
            <v>RH531F08</v>
          </cell>
          <cell r="E611">
            <v>18</v>
          </cell>
        </row>
        <row r="612">
          <cell r="C612" t="str">
            <v>B569630/A</v>
          </cell>
          <cell r="D612" t="str">
            <v>RH7148F409</v>
          </cell>
          <cell r="E612">
            <v>32</v>
          </cell>
        </row>
        <row r="613">
          <cell r="C613" t="str">
            <v>B569816/A</v>
          </cell>
          <cell r="D613" t="str">
            <v>RH7149F409</v>
          </cell>
          <cell r="E613">
            <v>6</v>
          </cell>
        </row>
        <row r="614">
          <cell r="C614" t="str">
            <v>B569633/A</v>
          </cell>
          <cell r="D614" t="str">
            <v>RH7152F382</v>
          </cell>
          <cell r="E614">
            <v>19</v>
          </cell>
        </row>
        <row r="615">
          <cell r="C615" t="str">
            <v>B569634/A</v>
          </cell>
          <cell r="D615" t="str">
            <v>RH7152F382</v>
          </cell>
          <cell r="E615">
            <v>19</v>
          </cell>
        </row>
        <row r="616">
          <cell r="C616" t="str">
            <v>B569636/A</v>
          </cell>
          <cell r="D616" t="str">
            <v>RH7152F409</v>
          </cell>
          <cell r="E616">
            <v>20</v>
          </cell>
        </row>
        <row r="617">
          <cell r="C617" t="str">
            <v>B569638/A</v>
          </cell>
          <cell r="D617" t="str">
            <v>RH7152F409</v>
          </cell>
          <cell r="E617">
            <v>21</v>
          </cell>
        </row>
        <row r="618">
          <cell r="C618" t="str">
            <v>B569640/A</v>
          </cell>
          <cell r="D618" t="str">
            <v>RH7153F409</v>
          </cell>
          <cell r="E618">
            <v>10</v>
          </cell>
        </row>
        <row r="619">
          <cell r="C619" t="str">
            <v>B569290/A</v>
          </cell>
          <cell r="D619" t="str">
            <v>RH7154F381</v>
          </cell>
          <cell r="E619">
            <v>5</v>
          </cell>
        </row>
        <row r="620">
          <cell r="C620" t="str">
            <v>B569814/A</v>
          </cell>
          <cell r="D620" t="str">
            <v>RH7157NF383</v>
          </cell>
          <cell r="E620">
            <v>13</v>
          </cell>
        </row>
        <row r="621">
          <cell r="C621" t="str">
            <v>B569812/A</v>
          </cell>
          <cell r="D621" t="str">
            <v>RH7363NF382</v>
          </cell>
          <cell r="E621">
            <v>9</v>
          </cell>
        </row>
        <row r="622">
          <cell r="C622" t="str">
            <v>B569809/A</v>
          </cell>
          <cell r="D622" t="str">
            <v>RH7365NF409</v>
          </cell>
          <cell r="E622">
            <v>2</v>
          </cell>
        </row>
        <row r="623">
          <cell r="C623" t="str">
            <v>B569810/A</v>
          </cell>
          <cell r="D623" t="str">
            <v>RH7365NF409</v>
          </cell>
          <cell r="E623">
            <v>3</v>
          </cell>
        </row>
        <row r="624">
          <cell r="C624" t="str">
            <v>B569642/A</v>
          </cell>
          <cell r="D624" t="str">
            <v>RH7379F382</v>
          </cell>
          <cell r="E624">
            <v>4</v>
          </cell>
        </row>
        <row r="625">
          <cell r="C625" t="str">
            <v>B569644/A</v>
          </cell>
          <cell r="D625" t="str">
            <v>RH7379F383</v>
          </cell>
          <cell r="E625">
            <v>3</v>
          </cell>
        </row>
        <row r="626">
          <cell r="C626" t="str">
            <v>B569646/A</v>
          </cell>
          <cell r="D626" t="str">
            <v>RH7379F409</v>
          </cell>
          <cell r="E626">
            <v>9</v>
          </cell>
        </row>
        <row r="627">
          <cell r="C627" t="str">
            <v>B569805/A</v>
          </cell>
          <cell r="D627" t="str">
            <v>RH7391F409</v>
          </cell>
          <cell r="E627">
            <v>6</v>
          </cell>
        </row>
        <row r="628">
          <cell r="C628" t="str">
            <v>B569806/A</v>
          </cell>
          <cell r="D628" t="str">
            <v>RH7391F409</v>
          </cell>
          <cell r="E628">
            <v>6</v>
          </cell>
        </row>
        <row r="629">
          <cell r="C629" t="str">
            <v>B569652/A</v>
          </cell>
          <cell r="D629" t="str">
            <v>RH7393F382</v>
          </cell>
          <cell r="E629">
            <v>12</v>
          </cell>
        </row>
        <row r="630">
          <cell r="C630" t="str">
            <v>B569655/A</v>
          </cell>
          <cell r="D630" t="str">
            <v>RH7393F409</v>
          </cell>
          <cell r="E630">
            <v>6</v>
          </cell>
        </row>
        <row r="631">
          <cell r="C631" t="str">
            <v>B569656/A</v>
          </cell>
          <cell r="D631" t="str">
            <v>RH7393F409</v>
          </cell>
          <cell r="E631">
            <v>7</v>
          </cell>
        </row>
        <row r="632">
          <cell r="C632" t="str">
            <v>B569802/A</v>
          </cell>
          <cell r="D632" t="str">
            <v>RH7553F370.TR</v>
          </cell>
          <cell r="E632">
            <v>16</v>
          </cell>
        </row>
        <row r="633">
          <cell r="C633" t="str">
            <v>B569794/A</v>
          </cell>
          <cell r="D633" t="str">
            <v>RH844AF08</v>
          </cell>
          <cell r="E633">
            <v>5</v>
          </cell>
        </row>
        <row r="634">
          <cell r="C634" t="str">
            <v>B569658/A</v>
          </cell>
          <cell r="D634" t="str">
            <v>RH9456NF423</v>
          </cell>
          <cell r="E634">
            <v>52</v>
          </cell>
        </row>
        <row r="635">
          <cell r="C635" t="str">
            <v>B569661/A</v>
          </cell>
          <cell r="D635" t="str">
            <v>RH9457NF423</v>
          </cell>
          <cell r="E635">
            <v>2</v>
          </cell>
        </row>
        <row r="636">
          <cell r="C636" t="str">
            <v>B569662/A</v>
          </cell>
          <cell r="D636" t="str">
            <v>RH9457NF423</v>
          </cell>
          <cell r="E636">
            <v>2</v>
          </cell>
        </row>
        <row r="637">
          <cell r="C637" t="str">
            <v>B569664/A</v>
          </cell>
          <cell r="D637" t="str">
            <v>RH9457NF424</v>
          </cell>
          <cell r="E637">
            <v>1</v>
          </cell>
        </row>
        <row r="638">
          <cell r="C638" t="str">
            <v>B569667/A</v>
          </cell>
          <cell r="D638" t="str">
            <v>RH9457NF426</v>
          </cell>
          <cell r="E638">
            <v>2</v>
          </cell>
        </row>
        <row r="639">
          <cell r="C639" t="str">
            <v>B569668/A</v>
          </cell>
          <cell r="D639" t="str">
            <v>RH9457NF426</v>
          </cell>
          <cell r="E639">
            <v>2</v>
          </cell>
        </row>
        <row r="640">
          <cell r="C640" t="str">
            <v>B569670/A</v>
          </cell>
          <cell r="D640" t="str">
            <v>RH9497F382</v>
          </cell>
          <cell r="E640">
            <v>6</v>
          </cell>
        </row>
        <row r="641">
          <cell r="C641" t="str">
            <v>B569672/A</v>
          </cell>
          <cell r="D641" t="str">
            <v>RH9497F383</v>
          </cell>
          <cell r="E641">
            <v>9</v>
          </cell>
        </row>
        <row r="642">
          <cell r="C642" t="str">
            <v>B569674/A</v>
          </cell>
          <cell r="D642" t="str">
            <v>RH9497F384</v>
          </cell>
          <cell r="E642">
            <v>5</v>
          </cell>
        </row>
        <row r="643">
          <cell r="C643" t="str">
            <v>B569676/A</v>
          </cell>
          <cell r="D643" t="str">
            <v>RH9497F409</v>
          </cell>
          <cell r="E643">
            <v>12</v>
          </cell>
        </row>
        <row r="644">
          <cell r="C644" t="str">
            <v>B569678/A</v>
          </cell>
          <cell r="D644" t="str">
            <v>RH9498NF382</v>
          </cell>
          <cell r="E644">
            <v>5</v>
          </cell>
        </row>
        <row r="645">
          <cell r="C645" t="str">
            <v>B569681/A</v>
          </cell>
          <cell r="D645" t="str">
            <v>RH9498NF383</v>
          </cell>
          <cell r="E645">
            <v>4</v>
          </cell>
        </row>
        <row r="646">
          <cell r="C646" t="str">
            <v>B569682/A</v>
          </cell>
          <cell r="D646" t="str">
            <v>RH9498NF383</v>
          </cell>
          <cell r="E646">
            <v>4</v>
          </cell>
        </row>
        <row r="647">
          <cell r="C647" t="str">
            <v>B569684/A</v>
          </cell>
          <cell r="D647" t="str">
            <v>RH9498NF384</v>
          </cell>
          <cell r="E647">
            <v>4</v>
          </cell>
        </row>
        <row r="648">
          <cell r="C648" t="str">
            <v>B569687/A</v>
          </cell>
          <cell r="D648" t="str">
            <v>RH9498NF409</v>
          </cell>
          <cell r="E648">
            <v>5</v>
          </cell>
        </row>
        <row r="649">
          <cell r="C649" t="str">
            <v>B569688/A</v>
          </cell>
          <cell r="D649" t="str">
            <v>RH9498NF409</v>
          </cell>
          <cell r="E649">
            <v>5</v>
          </cell>
        </row>
        <row r="650">
          <cell r="C650" t="str">
            <v>B569691/A</v>
          </cell>
          <cell r="D650" t="str">
            <v>RH9530F423</v>
          </cell>
          <cell r="E650">
            <v>6</v>
          </cell>
        </row>
        <row r="651">
          <cell r="C651" t="str">
            <v>B569692/A</v>
          </cell>
          <cell r="D651" t="str">
            <v>RH9530F423</v>
          </cell>
          <cell r="E651">
            <v>7</v>
          </cell>
        </row>
        <row r="652">
          <cell r="C652" t="str">
            <v>B569695/A</v>
          </cell>
          <cell r="D652" t="str">
            <v>RH9530F424</v>
          </cell>
          <cell r="E652">
            <v>6</v>
          </cell>
        </row>
        <row r="653">
          <cell r="C653" t="str">
            <v>B569696/A</v>
          </cell>
          <cell r="D653" t="str">
            <v>RH9530F424</v>
          </cell>
          <cell r="E653">
            <v>7</v>
          </cell>
        </row>
        <row r="654">
          <cell r="C654" t="str">
            <v>B569699/A</v>
          </cell>
          <cell r="D654" t="str">
            <v>RH9530F426</v>
          </cell>
          <cell r="E654">
            <v>8</v>
          </cell>
        </row>
        <row r="655">
          <cell r="C655" t="str">
            <v>B569700/A</v>
          </cell>
          <cell r="D655" t="str">
            <v>RH9530F426</v>
          </cell>
          <cell r="E655">
            <v>9</v>
          </cell>
        </row>
        <row r="656">
          <cell r="C656" t="str">
            <v>B569704/A</v>
          </cell>
          <cell r="D656" t="str">
            <v>RH9533F423</v>
          </cell>
          <cell r="E656">
            <v>34</v>
          </cell>
        </row>
        <row r="657">
          <cell r="C657" t="str">
            <v>B569706/A</v>
          </cell>
          <cell r="D657" t="str">
            <v>RH9533F424</v>
          </cell>
          <cell r="E657">
            <v>13</v>
          </cell>
        </row>
        <row r="658">
          <cell r="C658" t="str">
            <v>B569708/A</v>
          </cell>
          <cell r="D658" t="str">
            <v>RH9533F425</v>
          </cell>
          <cell r="E658">
            <v>3</v>
          </cell>
        </row>
        <row r="659">
          <cell r="C659" t="str">
            <v>B569710/A</v>
          </cell>
          <cell r="D659" t="str">
            <v>RH9533F426</v>
          </cell>
          <cell r="E659">
            <v>1</v>
          </cell>
        </row>
        <row r="660">
          <cell r="C660" t="str">
            <v>B569796/A</v>
          </cell>
          <cell r="D660" t="str">
            <v>RH9536NF423</v>
          </cell>
          <cell r="E660">
            <v>19</v>
          </cell>
        </row>
        <row r="661">
          <cell r="C661" t="str">
            <v>B569798/A</v>
          </cell>
          <cell r="D661" t="str">
            <v>RH9536NF424</v>
          </cell>
          <cell r="E661">
            <v>2</v>
          </cell>
        </row>
        <row r="662">
          <cell r="C662" t="str">
            <v>B569800/A</v>
          </cell>
          <cell r="D662" t="str">
            <v>RH9536NF425</v>
          </cell>
          <cell r="E662">
            <v>7</v>
          </cell>
        </row>
        <row r="663">
          <cell r="C663" t="str">
            <v>B569712/A</v>
          </cell>
          <cell r="D663" t="str">
            <v>RH9540F425</v>
          </cell>
          <cell r="E663">
            <v>30</v>
          </cell>
        </row>
        <row r="664">
          <cell r="C664" t="str">
            <v>B569715/A</v>
          </cell>
          <cell r="D664" t="str">
            <v>RH9541F423</v>
          </cell>
          <cell r="E664">
            <v>7</v>
          </cell>
        </row>
        <row r="665">
          <cell r="C665" t="str">
            <v>B569716/A</v>
          </cell>
          <cell r="D665" t="str">
            <v>RH9541F423</v>
          </cell>
          <cell r="E665">
            <v>7</v>
          </cell>
        </row>
        <row r="666">
          <cell r="C666" t="str">
            <v>B569719/A</v>
          </cell>
          <cell r="D666" t="str">
            <v>RH9541F425</v>
          </cell>
          <cell r="E666">
            <v>1</v>
          </cell>
        </row>
        <row r="667">
          <cell r="C667" t="str">
            <v>B569720/A</v>
          </cell>
          <cell r="D667" t="str">
            <v>RH9541F425</v>
          </cell>
          <cell r="E667">
            <v>2</v>
          </cell>
        </row>
        <row r="668">
          <cell r="C668" t="str">
            <v>B569723/A</v>
          </cell>
          <cell r="D668" t="str">
            <v>RH9541F426</v>
          </cell>
          <cell r="E668">
            <v>1</v>
          </cell>
        </row>
        <row r="669">
          <cell r="C669" t="str">
            <v>B569724/A</v>
          </cell>
          <cell r="D669" t="str">
            <v>RH9541F426</v>
          </cell>
          <cell r="E669">
            <v>1</v>
          </cell>
        </row>
        <row r="670">
          <cell r="C670" t="str">
            <v>B569728/A</v>
          </cell>
          <cell r="D670" t="str">
            <v>RH9841F425</v>
          </cell>
          <cell r="E670">
            <v>56</v>
          </cell>
        </row>
        <row r="671">
          <cell r="C671" t="str">
            <v>B569730/A</v>
          </cell>
          <cell r="D671" t="str">
            <v>RH9841F426</v>
          </cell>
          <cell r="E671">
            <v>42</v>
          </cell>
        </row>
        <row r="672">
          <cell r="C672" t="str">
            <v>B569733/A</v>
          </cell>
          <cell r="D672" t="str">
            <v>RH9848F423</v>
          </cell>
          <cell r="E672">
            <v>14</v>
          </cell>
        </row>
        <row r="673">
          <cell r="C673" t="str">
            <v>B569734/A</v>
          </cell>
          <cell r="D673" t="str">
            <v>RH9848F423</v>
          </cell>
          <cell r="E673">
            <v>15</v>
          </cell>
        </row>
        <row r="674">
          <cell r="C674" t="str">
            <v>B569736/A</v>
          </cell>
          <cell r="D674" t="str">
            <v>RH9848F424</v>
          </cell>
          <cell r="E674">
            <v>4</v>
          </cell>
        </row>
        <row r="675">
          <cell r="C675" t="str">
            <v>B569739/A</v>
          </cell>
          <cell r="D675" t="str">
            <v>RH9859F424</v>
          </cell>
          <cell r="E675">
            <v>1</v>
          </cell>
        </row>
        <row r="676">
          <cell r="C676" t="str">
            <v>B569740/A</v>
          </cell>
          <cell r="D676" t="str">
            <v>RH9859F424</v>
          </cell>
          <cell r="E676">
            <v>1</v>
          </cell>
        </row>
        <row r="677">
          <cell r="C677" t="str">
            <v>B569743/A</v>
          </cell>
          <cell r="D677" t="str">
            <v>RH9859F425</v>
          </cell>
          <cell r="E677">
            <v>1</v>
          </cell>
        </row>
        <row r="678">
          <cell r="C678" t="str">
            <v>B569744/A</v>
          </cell>
          <cell r="D678" t="str">
            <v>RH9859F425</v>
          </cell>
          <cell r="E678">
            <v>1</v>
          </cell>
        </row>
        <row r="679">
          <cell r="C679" t="str">
            <v>B569747/A</v>
          </cell>
          <cell r="D679" t="str">
            <v>RH9859F426</v>
          </cell>
          <cell r="E679">
            <v>3</v>
          </cell>
        </row>
        <row r="680">
          <cell r="C680" t="str">
            <v>B569748/A</v>
          </cell>
          <cell r="D680" t="str">
            <v>RH9859F426</v>
          </cell>
          <cell r="E680">
            <v>3</v>
          </cell>
        </row>
        <row r="681">
          <cell r="C681" t="str">
            <v>B569762/A</v>
          </cell>
          <cell r="D681" t="str">
            <v>RH9860F423</v>
          </cell>
          <cell r="E681">
            <v>12</v>
          </cell>
        </row>
        <row r="682">
          <cell r="C682" t="str">
            <v>B569764/A</v>
          </cell>
          <cell r="D682" t="str">
            <v>RH9860F424</v>
          </cell>
          <cell r="E682">
            <v>4</v>
          </cell>
        </row>
        <row r="683">
          <cell r="C683" t="str">
            <v>B569766/A</v>
          </cell>
          <cell r="D683" t="str">
            <v>RH9860F425</v>
          </cell>
          <cell r="E683">
            <v>18</v>
          </cell>
        </row>
        <row r="684">
          <cell r="C684" t="str">
            <v>B569768/A</v>
          </cell>
          <cell r="D684" t="str">
            <v>RH9860F426</v>
          </cell>
          <cell r="E684">
            <v>8</v>
          </cell>
        </row>
        <row r="685">
          <cell r="C685" t="str">
            <v>B569771/A</v>
          </cell>
          <cell r="D685" t="str">
            <v>RH9878F423</v>
          </cell>
          <cell r="E685">
            <v>5</v>
          </cell>
        </row>
        <row r="686">
          <cell r="C686" t="str">
            <v>B569772/A</v>
          </cell>
          <cell r="D686" t="str">
            <v>RH9878F423</v>
          </cell>
          <cell r="E686">
            <v>6</v>
          </cell>
        </row>
        <row r="687">
          <cell r="C687" t="str">
            <v>B569775/A</v>
          </cell>
          <cell r="D687" t="str">
            <v>RH9878F424</v>
          </cell>
          <cell r="E687">
            <v>5</v>
          </cell>
        </row>
        <row r="688">
          <cell r="C688" t="str">
            <v>B569776/A</v>
          </cell>
          <cell r="D688" t="str">
            <v>RH9878F424</v>
          </cell>
          <cell r="E688">
            <v>5</v>
          </cell>
        </row>
        <row r="689">
          <cell r="C689" t="str">
            <v>B569779/A</v>
          </cell>
          <cell r="D689" t="str">
            <v>RH9878F425</v>
          </cell>
          <cell r="E689">
            <v>1</v>
          </cell>
        </row>
        <row r="690">
          <cell r="C690" t="str">
            <v>B569780/A</v>
          </cell>
          <cell r="D690" t="str">
            <v>RH9878F425</v>
          </cell>
          <cell r="E690">
            <v>2</v>
          </cell>
        </row>
        <row r="691">
          <cell r="C691" t="str">
            <v>B569783/A</v>
          </cell>
          <cell r="D691" t="str">
            <v>RH9886F423</v>
          </cell>
          <cell r="E691">
            <v>1</v>
          </cell>
        </row>
        <row r="692">
          <cell r="C692" t="str">
            <v>B569784/A</v>
          </cell>
          <cell r="D692" t="str">
            <v>RH9886F423</v>
          </cell>
          <cell r="E692">
            <v>2</v>
          </cell>
        </row>
        <row r="693">
          <cell r="C693" t="str">
            <v>B569787/A</v>
          </cell>
          <cell r="D693" t="str">
            <v>RH9886F426</v>
          </cell>
          <cell r="E693">
            <v>1</v>
          </cell>
        </row>
        <row r="694">
          <cell r="C694" t="str">
            <v>B569788/A</v>
          </cell>
          <cell r="D694" t="str">
            <v>RH9886F426</v>
          </cell>
          <cell r="E694">
            <v>1</v>
          </cell>
        </row>
        <row r="695">
          <cell r="C695" t="str">
            <v>B569529/A</v>
          </cell>
          <cell r="D695" t="str">
            <v>RH9988F423</v>
          </cell>
          <cell r="E695">
            <v>28</v>
          </cell>
        </row>
        <row r="696">
          <cell r="C696" t="str">
            <v>B569531/A</v>
          </cell>
          <cell r="D696" t="str">
            <v>RH9988F424</v>
          </cell>
          <cell r="E696">
            <v>13</v>
          </cell>
        </row>
        <row r="697">
          <cell r="C697" t="str">
            <v>B569533/A</v>
          </cell>
          <cell r="D697" t="str">
            <v>RH9988F425</v>
          </cell>
          <cell r="E697">
            <v>3</v>
          </cell>
        </row>
        <row r="698">
          <cell r="C698" t="str">
            <v>B569535/A</v>
          </cell>
          <cell r="D698" t="str">
            <v>RH9988F426</v>
          </cell>
          <cell r="E698">
            <v>15</v>
          </cell>
        </row>
        <row r="699">
          <cell r="C699" t="str">
            <v>B569753/A</v>
          </cell>
          <cell r="D699" t="str">
            <v>SH148AF01</v>
          </cell>
          <cell r="E699">
            <v>30</v>
          </cell>
        </row>
        <row r="700">
          <cell r="C700" t="str">
            <v>B569754/A</v>
          </cell>
          <cell r="D700" t="str">
            <v>SH148AF01</v>
          </cell>
          <cell r="E700">
            <v>10</v>
          </cell>
        </row>
        <row r="701">
          <cell r="C701" t="str">
            <v>B569759/A</v>
          </cell>
          <cell r="D701" t="str">
            <v>SH219F506-BASE</v>
          </cell>
          <cell r="E701">
            <v>30</v>
          </cell>
        </row>
        <row r="702">
          <cell r="C702" t="str">
            <v>B569760/A</v>
          </cell>
          <cell r="D702" t="str">
            <v>SH219F506-BASE</v>
          </cell>
          <cell r="E702">
            <v>10</v>
          </cell>
        </row>
        <row r="703">
          <cell r="C703" t="str">
            <v>B564388/A</v>
          </cell>
          <cell r="D703" t="str">
            <v>SH219F506-TOP</v>
          </cell>
          <cell r="E703">
            <v>30</v>
          </cell>
        </row>
        <row r="704">
          <cell r="C704" t="str">
            <v>B564389/A</v>
          </cell>
          <cell r="D704" t="str">
            <v>SH219F506-TOP</v>
          </cell>
          <cell r="E704">
            <v>10</v>
          </cell>
        </row>
        <row r="705">
          <cell r="C705" t="str">
            <v>B564391/A</v>
          </cell>
          <cell r="D705" t="str">
            <v>SH355F521</v>
          </cell>
          <cell r="E705">
            <v>10</v>
          </cell>
        </row>
        <row r="706">
          <cell r="C706" t="str">
            <v>B564394/A</v>
          </cell>
          <cell r="D706" t="str">
            <v>SH402F521</v>
          </cell>
          <cell r="E706">
            <v>50</v>
          </cell>
        </row>
        <row r="707">
          <cell r="C707" t="str">
            <v>B564395/A</v>
          </cell>
          <cell r="D707" t="str">
            <v>SH402F521</v>
          </cell>
          <cell r="E707">
            <v>40</v>
          </cell>
        </row>
        <row r="708">
          <cell r="C708" t="str">
            <v>B564397/A</v>
          </cell>
          <cell r="D708" t="str">
            <v>SH424F521-TOP</v>
          </cell>
          <cell r="E708">
            <v>30</v>
          </cell>
        </row>
        <row r="709">
          <cell r="C709" t="str">
            <v>B564398/A</v>
          </cell>
          <cell r="D709" t="str">
            <v>SH462F515</v>
          </cell>
          <cell r="E709">
            <v>60</v>
          </cell>
        </row>
        <row r="710">
          <cell r="C710" t="str">
            <v>B564419/A</v>
          </cell>
          <cell r="D710" t="str">
            <v>SH533F506</v>
          </cell>
          <cell r="E710">
            <v>15</v>
          </cell>
        </row>
        <row r="711">
          <cell r="C711" t="str">
            <v>B564421/A</v>
          </cell>
          <cell r="D711" t="str">
            <v>SH533F506</v>
          </cell>
          <cell r="E711">
            <v>10</v>
          </cell>
        </row>
        <row r="712">
          <cell r="C712" t="str">
            <v>B569847/A</v>
          </cell>
          <cell r="D712" t="str">
            <v>DL019F837-DWFRS</v>
          </cell>
          <cell r="E712">
            <v>4</v>
          </cell>
        </row>
        <row r="713">
          <cell r="C713" t="str">
            <v>B569851/A</v>
          </cell>
          <cell r="D713" t="str">
            <v>SH332F521.UK-31853-SEAT</v>
          </cell>
          <cell r="E713">
            <v>6</v>
          </cell>
        </row>
        <row r="714">
          <cell r="C714" t="str">
            <v>B564373/A</v>
          </cell>
          <cell r="D714" t="str">
            <v>AR125F834-TOP</v>
          </cell>
          <cell r="E714">
            <v>250</v>
          </cell>
        </row>
        <row r="715">
          <cell r="C715" t="str">
            <v>B569549/A</v>
          </cell>
          <cell r="D715" t="str">
            <v>AR306F834-BASE</v>
          </cell>
          <cell r="E715">
            <v>25</v>
          </cell>
        </row>
        <row r="716">
          <cell r="C716" t="str">
            <v>B564375/A</v>
          </cell>
          <cell r="D716" t="str">
            <v>AR306F834-TOP</v>
          </cell>
          <cell r="E716">
            <v>25</v>
          </cell>
        </row>
        <row r="717">
          <cell r="C717" t="str">
            <v>B570797/A</v>
          </cell>
          <cell r="D717" t="str">
            <v>AT305NF00</v>
          </cell>
          <cell r="E717">
            <v>30</v>
          </cell>
        </row>
        <row r="718">
          <cell r="C718" t="str">
            <v>B570799/A</v>
          </cell>
          <cell r="D718" t="str">
            <v>AT383F00</v>
          </cell>
          <cell r="E718">
            <v>25</v>
          </cell>
        </row>
        <row r="719">
          <cell r="C719" t="str">
            <v>B567601/A</v>
          </cell>
          <cell r="D719" t="str">
            <v>AT418F00</v>
          </cell>
          <cell r="E719">
            <v>50</v>
          </cell>
        </row>
        <row r="720">
          <cell r="C720" t="str">
            <v>B567600/A</v>
          </cell>
          <cell r="D720" t="str">
            <v>AT418F00</v>
          </cell>
          <cell r="E720">
            <v>50</v>
          </cell>
        </row>
        <row r="721">
          <cell r="C721" t="str">
            <v>B570719/A</v>
          </cell>
          <cell r="D721" t="str">
            <v>AT481F1058</v>
          </cell>
          <cell r="E721">
            <v>6</v>
          </cell>
        </row>
        <row r="722">
          <cell r="C722" t="str">
            <v>B570745/A</v>
          </cell>
          <cell r="D722" t="str">
            <v>AT481F1059</v>
          </cell>
          <cell r="E722">
            <v>45</v>
          </cell>
        </row>
        <row r="723">
          <cell r="C723" t="str">
            <v>B570722/A</v>
          </cell>
          <cell r="D723" t="str">
            <v>AT481F877</v>
          </cell>
          <cell r="E723">
            <v>50</v>
          </cell>
        </row>
        <row r="724">
          <cell r="C724" t="str">
            <v>B570723/A</v>
          </cell>
          <cell r="D724" t="str">
            <v>AT481F877</v>
          </cell>
          <cell r="E724">
            <v>10</v>
          </cell>
        </row>
        <row r="725">
          <cell r="C725" t="str">
            <v>B570749/A</v>
          </cell>
          <cell r="D725" t="str">
            <v>AT481F877</v>
          </cell>
          <cell r="E725">
            <v>40</v>
          </cell>
        </row>
        <row r="726">
          <cell r="C726" t="str">
            <v>B570750/A</v>
          </cell>
          <cell r="D726" t="str">
            <v>AT481F877</v>
          </cell>
          <cell r="E726">
            <v>40</v>
          </cell>
        </row>
        <row r="727">
          <cell r="C727" t="str">
            <v>B570751/A</v>
          </cell>
          <cell r="D727" t="str">
            <v>AT481F877</v>
          </cell>
          <cell r="E727">
            <v>5</v>
          </cell>
        </row>
        <row r="728">
          <cell r="C728" t="str">
            <v>B570753/A</v>
          </cell>
          <cell r="D728" t="str">
            <v>AT522NF1171</v>
          </cell>
          <cell r="E728">
            <v>35</v>
          </cell>
        </row>
        <row r="729">
          <cell r="C729" t="str">
            <v>B570755/A</v>
          </cell>
          <cell r="D729" t="str">
            <v>AT522NF877</v>
          </cell>
          <cell r="E729">
            <v>35</v>
          </cell>
        </row>
        <row r="730">
          <cell r="C730" t="str">
            <v>B570725/A</v>
          </cell>
          <cell r="D730" t="str">
            <v>AT628F1059</v>
          </cell>
          <cell r="E730">
            <v>40</v>
          </cell>
        </row>
        <row r="731">
          <cell r="C731" t="str">
            <v>B570727/A</v>
          </cell>
          <cell r="D731" t="str">
            <v>AT628F877</v>
          </cell>
          <cell r="E731">
            <v>60</v>
          </cell>
        </row>
        <row r="732">
          <cell r="C732" t="str">
            <v>B570801/A</v>
          </cell>
          <cell r="D732" t="str">
            <v>AT654F1089</v>
          </cell>
          <cell r="E732">
            <v>25</v>
          </cell>
        </row>
        <row r="733">
          <cell r="C733" t="str">
            <v>B570803/A</v>
          </cell>
          <cell r="D733" t="str">
            <v>AT654F535</v>
          </cell>
          <cell r="E733">
            <v>25</v>
          </cell>
        </row>
        <row r="734">
          <cell r="C734" t="str">
            <v>B570729/A</v>
          </cell>
          <cell r="D734" t="str">
            <v>AT675F1059</v>
          </cell>
          <cell r="E734">
            <v>40</v>
          </cell>
        </row>
        <row r="735">
          <cell r="C735" t="str">
            <v>B570731/A</v>
          </cell>
          <cell r="D735" t="str">
            <v>AT675F877</v>
          </cell>
          <cell r="E735">
            <v>60</v>
          </cell>
        </row>
        <row r="736">
          <cell r="C736" t="str">
            <v>B570733/A</v>
          </cell>
          <cell r="D736" t="str">
            <v>CT008F610</v>
          </cell>
          <cell r="E736">
            <v>23</v>
          </cell>
        </row>
        <row r="737">
          <cell r="C737" t="str">
            <v>B570735/A</v>
          </cell>
          <cell r="D737" t="str">
            <v>CT009F610-FBSR</v>
          </cell>
          <cell r="E737">
            <v>11</v>
          </cell>
        </row>
        <row r="738">
          <cell r="C738" t="str">
            <v>B570737/A</v>
          </cell>
          <cell r="D738" t="str">
            <v>CT009F610-HB</v>
          </cell>
          <cell r="E738">
            <v>5</v>
          </cell>
        </row>
        <row r="739">
          <cell r="C739" t="str">
            <v>B570739/A</v>
          </cell>
          <cell r="D739" t="str">
            <v>CT012F610-FBSR</v>
          </cell>
          <cell r="E739">
            <v>20</v>
          </cell>
        </row>
        <row r="740">
          <cell r="C740" t="str">
            <v>B570741/A</v>
          </cell>
          <cell r="D740" t="str">
            <v>CT012F610-HB</v>
          </cell>
          <cell r="E740">
            <v>22</v>
          </cell>
        </row>
        <row r="741">
          <cell r="C741" t="str">
            <v>B570743/A</v>
          </cell>
          <cell r="D741" t="str">
            <v>CT013F610-TOP</v>
          </cell>
          <cell r="E741">
            <v>25</v>
          </cell>
        </row>
        <row r="742">
          <cell r="C742" t="str">
            <v>B570406/A</v>
          </cell>
          <cell r="D742" t="str">
            <v>CZ044NF08</v>
          </cell>
          <cell r="E742">
            <v>2</v>
          </cell>
        </row>
        <row r="743">
          <cell r="C743" t="str">
            <v>B570757/A</v>
          </cell>
          <cell r="D743" t="str">
            <v>CZ044NF190</v>
          </cell>
          <cell r="E743">
            <v>31</v>
          </cell>
        </row>
        <row r="744">
          <cell r="C744" t="str">
            <v>B570408/A</v>
          </cell>
          <cell r="D744" t="str">
            <v>CZ047NF09</v>
          </cell>
          <cell r="E744">
            <v>30</v>
          </cell>
        </row>
        <row r="745">
          <cell r="C745" t="str">
            <v>B570759/A</v>
          </cell>
          <cell r="D745" t="str">
            <v>CZ047NF191</v>
          </cell>
          <cell r="E745">
            <v>6</v>
          </cell>
        </row>
        <row r="746">
          <cell r="C746" t="str">
            <v>B569059/A</v>
          </cell>
          <cell r="D746" t="str">
            <v>CZ051F08</v>
          </cell>
          <cell r="E746">
            <v>19</v>
          </cell>
        </row>
        <row r="747">
          <cell r="C747" t="str">
            <v>B567762/A</v>
          </cell>
          <cell r="D747" t="str">
            <v>CZ051F10</v>
          </cell>
          <cell r="E747">
            <v>9</v>
          </cell>
        </row>
        <row r="748">
          <cell r="C748" t="str">
            <v>B567766/A</v>
          </cell>
          <cell r="D748" t="str">
            <v>CZ051F190</v>
          </cell>
          <cell r="E748">
            <v>2</v>
          </cell>
        </row>
        <row r="749">
          <cell r="C749" t="str">
            <v>B567765/A</v>
          </cell>
          <cell r="D749" t="str">
            <v>CZ051F190</v>
          </cell>
          <cell r="E749">
            <v>3</v>
          </cell>
        </row>
        <row r="750">
          <cell r="C750" t="str">
            <v>B567770/A</v>
          </cell>
          <cell r="D750" t="str">
            <v>CZ051F191</v>
          </cell>
          <cell r="E750">
            <v>17</v>
          </cell>
        </row>
        <row r="751">
          <cell r="C751" t="str">
            <v>B567769/A</v>
          </cell>
          <cell r="D751" t="str">
            <v>CZ051F191</v>
          </cell>
          <cell r="E751">
            <v>18</v>
          </cell>
        </row>
        <row r="752">
          <cell r="C752" t="str">
            <v>B567099/A</v>
          </cell>
          <cell r="D752" t="str">
            <v>CZ063NF10</v>
          </cell>
          <cell r="E752">
            <v>7</v>
          </cell>
        </row>
        <row r="753">
          <cell r="C753" t="str">
            <v>B570761/A</v>
          </cell>
          <cell r="D753" t="str">
            <v>CZ127F190</v>
          </cell>
          <cell r="E753">
            <v>7</v>
          </cell>
        </row>
        <row r="754">
          <cell r="C754" t="str">
            <v>B570763/A</v>
          </cell>
          <cell r="D754" t="str">
            <v>CZ134F190</v>
          </cell>
          <cell r="E754">
            <v>5</v>
          </cell>
        </row>
        <row r="755">
          <cell r="C755" t="str">
            <v>B570410/A</v>
          </cell>
          <cell r="D755" t="str">
            <v>CZ163F08</v>
          </cell>
          <cell r="E755">
            <v>4</v>
          </cell>
        </row>
        <row r="756">
          <cell r="C756" t="str">
            <v>B569061/A</v>
          </cell>
          <cell r="D756" t="str">
            <v>CZ163F09</v>
          </cell>
          <cell r="E756">
            <v>3</v>
          </cell>
        </row>
        <row r="757">
          <cell r="C757" t="str">
            <v>B569063/A</v>
          </cell>
          <cell r="D757" t="str">
            <v>CZ163F10</v>
          </cell>
          <cell r="E757">
            <v>3</v>
          </cell>
        </row>
        <row r="758">
          <cell r="C758" t="str">
            <v>B570765/A</v>
          </cell>
          <cell r="D758" t="str">
            <v>CZ355F08</v>
          </cell>
          <cell r="E758">
            <v>4</v>
          </cell>
        </row>
        <row r="759">
          <cell r="C759" t="str">
            <v>B570767/A</v>
          </cell>
          <cell r="D759" t="str">
            <v>CZ355F09</v>
          </cell>
          <cell r="E759">
            <v>6</v>
          </cell>
        </row>
        <row r="760">
          <cell r="C760" t="str">
            <v>B567101/A</v>
          </cell>
          <cell r="D760" t="str">
            <v>CZ355F10</v>
          </cell>
          <cell r="E760">
            <v>4</v>
          </cell>
        </row>
        <row r="761">
          <cell r="C761" t="str">
            <v>B567103/A</v>
          </cell>
          <cell r="D761" t="str">
            <v>CZ355F191</v>
          </cell>
          <cell r="E761">
            <v>1</v>
          </cell>
        </row>
        <row r="762">
          <cell r="C762" t="str">
            <v>B570769/A</v>
          </cell>
          <cell r="D762" t="str">
            <v>CZ568F190</v>
          </cell>
          <cell r="E762">
            <v>9</v>
          </cell>
        </row>
        <row r="763">
          <cell r="C763" t="str">
            <v>B570772/A</v>
          </cell>
          <cell r="D763" t="str">
            <v>CZ580F10</v>
          </cell>
          <cell r="E763">
            <v>3</v>
          </cell>
        </row>
        <row r="764">
          <cell r="C764" t="str">
            <v>B570773/A</v>
          </cell>
          <cell r="D764" t="str">
            <v>CZ580F10</v>
          </cell>
          <cell r="E764">
            <v>12</v>
          </cell>
        </row>
        <row r="765">
          <cell r="C765" t="str">
            <v>B570412/A</v>
          </cell>
          <cell r="D765" t="str">
            <v>CZ600F09</v>
          </cell>
          <cell r="E765">
            <v>5</v>
          </cell>
        </row>
        <row r="766">
          <cell r="C766" t="str">
            <v>B570814/A</v>
          </cell>
          <cell r="D766" t="str">
            <v>CZ619F190-31912</v>
          </cell>
          <cell r="E766">
            <v>2</v>
          </cell>
        </row>
        <row r="767">
          <cell r="C767" t="str">
            <v>B570815/A</v>
          </cell>
          <cell r="D767" t="str">
            <v>CZ619F190-31912</v>
          </cell>
          <cell r="E767">
            <v>3</v>
          </cell>
        </row>
        <row r="768">
          <cell r="C768" t="str">
            <v>B570404/A</v>
          </cell>
          <cell r="D768" t="str">
            <v>CZ672F09</v>
          </cell>
          <cell r="E768">
            <v>5</v>
          </cell>
        </row>
        <row r="769">
          <cell r="C769" t="str">
            <v>B570414/A</v>
          </cell>
          <cell r="D769" t="str">
            <v>CZ673F08</v>
          </cell>
          <cell r="E769">
            <v>5</v>
          </cell>
        </row>
        <row r="770">
          <cell r="C770" t="str">
            <v>B570416/A</v>
          </cell>
          <cell r="D770" t="str">
            <v>CZ673F09</v>
          </cell>
          <cell r="E770">
            <v>3</v>
          </cell>
        </row>
        <row r="771">
          <cell r="C771" t="str">
            <v>B570776/A</v>
          </cell>
          <cell r="D771" t="str">
            <v>CZ673F10</v>
          </cell>
          <cell r="E771">
            <v>1</v>
          </cell>
        </row>
        <row r="772">
          <cell r="C772" t="str">
            <v>B570777/A</v>
          </cell>
          <cell r="D772" t="str">
            <v>CZ673F10</v>
          </cell>
          <cell r="E772">
            <v>1</v>
          </cell>
        </row>
        <row r="773">
          <cell r="C773" t="str">
            <v>B570779/A</v>
          </cell>
          <cell r="D773" t="str">
            <v>CZ673F190</v>
          </cell>
          <cell r="E773">
            <v>9</v>
          </cell>
        </row>
        <row r="774">
          <cell r="C774" t="str">
            <v>B570823/A</v>
          </cell>
          <cell r="D774" t="str">
            <v>JV009WF989</v>
          </cell>
          <cell r="E774">
            <v>25</v>
          </cell>
        </row>
        <row r="775">
          <cell r="C775" t="str">
            <v>B570781/A</v>
          </cell>
          <cell r="D775" t="str">
            <v>JV014F837</v>
          </cell>
          <cell r="E775">
            <v>25</v>
          </cell>
        </row>
        <row r="776">
          <cell r="C776" t="str">
            <v>B570825/A</v>
          </cell>
          <cell r="D776" t="str">
            <v>JV033F1165</v>
          </cell>
          <cell r="E776">
            <v>50</v>
          </cell>
        </row>
        <row r="777">
          <cell r="C777" t="str">
            <v>B570783/A</v>
          </cell>
          <cell r="D777" t="str">
            <v>JV033F1165</v>
          </cell>
          <cell r="E777">
            <v>30</v>
          </cell>
        </row>
        <row r="778">
          <cell r="C778" t="str">
            <v>B570785/A</v>
          </cell>
          <cell r="D778" t="str">
            <v>JV034F1165</v>
          </cell>
          <cell r="E778">
            <v>30</v>
          </cell>
        </row>
        <row r="779">
          <cell r="C779" t="str">
            <v>B570791/A</v>
          </cell>
          <cell r="D779" t="str">
            <v>JV036F1121</v>
          </cell>
          <cell r="E779">
            <v>25</v>
          </cell>
        </row>
        <row r="780">
          <cell r="C780" t="str">
            <v>B570793/A</v>
          </cell>
          <cell r="D780" t="str">
            <v>JV036F1164</v>
          </cell>
          <cell r="E780">
            <v>25</v>
          </cell>
        </row>
        <row r="781">
          <cell r="C781" t="str">
            <v>B570795/A</v>
          </cell>
          <cell r="D781" t="str">
            <v>JV045F1164</v>
          </cell>
          <cell r="E781">
            <v>25</v>
          </cell>
        </row>
        <row r="782">
          <cell r="C782" t="str">
            <v>B570829/A</v>
          </cell>
          <cell r="D782" t="str">
            <v>RH073F01</v>
          </cell>
          <cell r="E782">
            <v>12</v>
          </cell>
        </row>
        <row r="783">
          <cell r="C783" t="str">
            <v>B570831/A</v>
          </cell>
          <cell r="D783" t="str">
            <v>RH073F03</v>
          </cell>
          <cell r="E783">
            <v>22</v>
          </cell>
        </row>
        <row r="784">
          <cell r="C784" t="str">
            <v>B570914/A</v>
          </cell>
          <cell r="D784" t="str">
            <v>RH10018F382</v>
          </cell>
          <cell r="E784">
            <v>3</v>
          </cell>
        </row>
        <row r="785">
          <cell r="C785" t="str">
            <v>B570916/A</v>
          </cell>
          <cell r="D785" t="str">
            <v>RH10018F383</v>
          </cell>
          <cell r="E785">
            <v>4</v>
          </cell>
        </row>
        <row r="786">
          <cell r="C786" t="str">
            <v>B570918/A</v>
          </cell>
          <cell r="D786" t="str">
            <v>RH10018F384</v>
          </cell>
          <cell r="E786">
            <v>2</v>
          </cell>
        </row>
        <row r="787">
          <cell r="C787" t="str">
            <v>B570920/A</v>
          </cell>
          <cell r="D787" t="str">
            <v>RH10018F409</v>
          </cell>
          <cell r="E787">
            <v>6</v>
          </cell>
        </row>
        <row r="788">
          <cell r="C788" t="str">
            <v>B570833/A</v>
          </cell>
          <cell r="D788" t="str">
            <v>RH10080F382</v>
          </cell>
          <cell r="E788">
            <v>5</v>
          </cell>
        </row>
        <row r="789">
          <cell r="C789" t="str">
            <v>B570836/A</v>
          </cell>
          <cell r="D789" t="str">
            <v>RH10080F383</v>
          </cell>
          <cell r="E789">
            <v>4</v>
          </cell>
        </row>
        <row r="790">
          <cell r="C790" t="str">
            <v>B570837/A</v>
          </cell>
          <cell r="D790" t="str">
            <v>RH10080F383</v>
          </cell>
          <cell r="E790">
            <v>3</v>
          </cell>
        </row>
        <row r="791">
          <cell r="C791" t="str">
            <v>B570839/A</v>
          </cell>
          <cell r="D791" t="str">
            <v>RH10080F384</v>
          </cell>
          <cell r="E791">
            <v>4</v>
          </cell>
        </row>
        <row r="792">
          <cell r="C792" t="str">
            <v>B570842/A</v>
          </cell>
          <cell r="D792" t="str">
            <v>RH10080F409</v>
          </cell>
          <cell r="E792">
            <v>5</v>
          </cell>
        </row>
        <row r="793">
          <cell r="C793" t="str">
            <v>B570843/A</v>
          </cell>
          <cell r="D793" t="str">
            <v>RH10080F409</v>
          </cell>
          <cell r="E793">
            <v>5</v>
          </cell>
        </row>
        <row r="794">
          <cell r="C794" t="str">
            <v>B570845/A</v>
          </cell>
          <cell r="D794" t="str">
            <v>RH10083F382</v>
          </cell>
          <cell r="E794">
            <v>4</v>
          </cell>
        </row>
        <row r="795">
          <cell r="C795" t="str">
            <v>B570848/A</v>
          </cell>
          <cell r="D795" t="str">
            <v>RH10083F383</v>
          </cell>
          <cell r="E795">
            <v>5</v>
          </cell>
        </row>
        <row r="796">
          <cell r="C796" t="str">
            <v>B570849/A</v>
          </cell>
          <cell r="D796" t="str">
            <v>RH10083F383</v>
          </cell>
          <cell r="E796">
            <v>2</v>
          </cell>
        </row>
        <row r="797">
          <cell r="C797" t="str">
            <v>B570851/A</v>
          </cell>
          <cell r="D797" t="str">
            <v>RH10083F384</v>
          </cell>
          <cell r="E797">
            <v>2</v>
          </cell>
        </row>
        <row r="798">
          <cell r="C798" t="str">
            <v>B570854/A</v>
          </cell>
          <cell r="D798" t="str">
            <v>RH10083F409</v>
          </cell>
          <cell r="E798">
            <v>7</v>
          </cell>
        </row>
        <row r="799">
          <cell r="C799" t="str">
            <v>B570855/A</v>
          </cell>
          <cell r="D799" t="str">
            <v>RH10083F409</v>
          </cell>
          <cell r="E799">
            <v>3</v>
          </cell>
        </row>
        <row r="800">
          <cell r="C800" t="str">
            <v>B570857/A</v>
          </cell>
          <cell r="D800" t="str">
            <v>RH10119F382</v>
          </cell>
          <cell r="E800">
            <v>3</v>
          </cell>
        </row>
        <row r="801">
          <cell r="C801" t="str">
            <v>B570859/A</v>
          </cell>
          <cell r="D801" t="str">
            <v>RH10119F383</v>
          </cell>
          <cell r="E801">
            <v>7</v>
          </cell>
        </row>
        <row r="802">
          <cell r="C802" t="str">
            <v>B570861/A</v>
          </cell>
          <cell r="D802" t="str">
            <v>RH10119F384</v>
          </cell>
          <cell r="E802">
            <v>2</v>
          </cell>
        </row>
        <row r="803">
          <cell r="C803" t="str">
            <v>B570863/A</v>
          </cell>
          <cell r="D803" t="str">
            <v>RH10119F409</v>
          </cell>
          <cell r="E803">
            <v>9</v>
          </cell>
        </row>
        <row r="804">
          <cell r="C804" t="str">
            <v>B570865/A</v>
          </cell>
          <cell r="D804" t="str">
            <v>RH10122F382</v>
          </cell>
          <cell r="E804">
            <v>5</v>
          </cell>
        </row>
        <row r="805">
          <cell r="C805" t="str">
            <v>B570867/A</v>
          </cell>
          <cell r="D805" t="str">
            <v>RH10122F383</v>
          </cell>
          <cell r="E805">
            <v>7</v>
          </cell>
        </row>
        <row r="806">
          <cell r="C806" t="str">
            <v>B570869/A</v>
          </cell>
          <cell r="D806" t="str">
            <v>RH10122F384</v>
          </cell>
          <cell r="E806">
            <v>4</v>
          </cell>
        </row>
        <row r="807">
          <cell r="C807" t="str">
            <v>B570872/A</v>
          </cell>
          <cell r="D807" t="str">
            <v>RH10122F409</v>
          </cell>
          <cell r="E807">
            <v>11</v>
          </cell>
        </row>
        <row r="808">
          <cell r="C808" t="str">
            <v>B570874/A</v>
          </cell>
          <cell r="D808" t="str">
            <v>RH10164F382</v>
          </cell>
          <cell r="E808">
            <v>5</v>
          </cell>
        </row>
        <row r="809">
          <cell r="C809" t="str">
            <v>B570876/A</v>
          </cell>
          <cell r="D809" t="str">
            <v>RH10164F383</v>
          </cell>
          <cell r="E809">
            <v>7</v>
          </cell>
        </row>
        <row r="810">
          <cell r="C810" t="str">
            <v>B570878/A</v>
          </cell>
          <cell r="D810" t="str">
            <v>RH10164F384</v>
          </cell>
          <cell r="E810">
            <v>4</v>
          </cell>
        </row>
        <row r="811">
          <cell r="C811" t="str">
            <v>B570880/A</v>
          </cell>
          <cell r="D811" t="str">
            <v>RH10164F409</v>
          </cell>
          <cell r="E811">
            <v>9</v>
          </cell>
        </row>
        <row r="812">
          <cell r="C812" t="str">
            <v>B571582/A</v>
          </cell>
          <cell r="D812" t="str">
            <v>RH10500F347TR</v>
          </cell>
          <cell r="E812">
            <v>2</v>
          </cell>
        </row>
        <row r="813">
          <cell r="C813" t="str">
            <v>B570882/A</v>
          </cell>
          <cell r="D813" t="str">
            <v>RH1365F02</v>
          </cell>
          <cell r="E813">
            <v>13</v>
          </cell>
        </row>
        <row r="814">
          <cell r="C814" t="str">
            <v>B569602/A</v>
          </cell>
          <cell r="D814" t="str">
            <v>RH1441F26</v>
          </cell>
          <cell r="E814">
            <v>10</v>
          </cell>
        </row>
        <row r="815">
          <cell r="C815" t="str">
            <v>B569603/A</v>
          </cell>
          <cell r="D815" t="str">
            <v>RH1441F26</v>
          </cell>
          <cell r="E815">
            <v>10</v>
          </cell>
        </row>
        <row r="816">
          <cell r="C816" t="str">
            <v>B569605/A</v>
          </cell>
          <cell r="D816" t="str">
            <v>RH1561F95.BC</v>
          </cell>
          <cell r="E816">
            <v>10</v>
          </cell>
        </row>
        <row r="817">
          <cell r="C817" t="str">
            <v>B570884/A</v>
          </cell>
          <cell r="D817" t="str">
            <v>RH176NF03</v>
          </cell>
          <cell r="E817">
            <v>40</v>
          </cell>
        </row>
        <row r="818">
          <cell r="C818" t="str">
            <v>B570887/A</v>
          </cell>
          <cell r="D818" t="str">
            <v>RH1772NF08</v>
          </cell>
          <cell r="E818">
            <v>8</v>
          </cell>
        </row>
        <row r="819">
          <cell r="C819" t="str">
            <v>B570888/A</v>
          </cell>
          <cell r="D819" t="str">
            <v>RH1772NF08</v>
          </cell>
          <cell r="E819">
            <v>9</v>
          </cell>
        </row>
        <row r="820">
          <cell r="C820" t="str">
            <v>B570924/A</v>
          </cell>
          <cell r="D820" t="str">
            <v>RH1778F08</v>
          </cell>
          <cell r="E820">
            <v>34</v>
          </cell>
        </row>
        <row r="821">
          <cell r="C821" t="str">
            <v>B570890/A</v>
          </cell>
          <cell r="D821" t="str">
            <v>RH1813F08</v>
          </cell>
          <cell r="E821">
            <v>20</v>
          </cell>
        </row>
        <row r="822">
          <cell r="C822" t="str">
            <v>B570892/A</v>
          </cell>
          <cell r="D822" t="str">
            <v>RH2113F100</v>
          </cell>
          <cell r="E822">
            <v>25</v>
          </cell>
        </row>
        <row r="823">
          <cell r="C823" t="str">
            <v>B570895/A</v>
          </cell>
          <cell r="D823" t="str">
            <v>RH2250F09</v>
          </cell>
          <cell r="E823">
            <v>17</v>
          </cell>
        </row>
        <row r="824">
          <cell r="C824" t="str">
            <v>B570896/A</v>
          </cell>
          <cell r="D824" t="str">
            <v>RH2250F09</v>
          </cell>
          <cell r="E824">
            <v>18</v>
          </cell>
        </row>
        <row r="825">
          <cell r="C825" t="str">
            <v>B570899/A</v>
          </cell>
          <cell r="D825" t="str">
            <v>RH229F03</v>
          </cell>
          <cell r="E825">
            <v>11</v>
          </cell>
        </row>
        <row r="826">
          <cell r="C826" t="str">
            <v>B570900/A</v>
          </cell>
          <cell r="D826" t="str">
            <v>RH229F03</v>
          </cell>
          <cell r="E826">
            <v>12</v>
          </cell>
        </row>
        <row r="827">
          <cell r="C827" t="str">
            <v>B570926/A</v>
          </cell>
          <cell r="D827" t="str">
            <v>RH2552F08-BASE</v>
          </cell>
          <cell r="E827">
            <v>10</v>
          </cell>
        </row>
        <row r="828">
          <cell r="C828" t="str">
            <v>B570903/A</v>
          </cell>
          <cell r="D828" t="str">
            <v>RH343NF03</v>
          </cell>
          <cell r="E828">
            <v>14</v>
          </cell>
        </row>
        <row r="829">
          <cell r="C829" t="str">
            <v>B570904/A</v>
          </cell>
          <cell r="D829" t="str">
            <v>RH343NF03</v>
          </cell>
          <cell r="E829">
            <v>14</v>
          </cell>
        </row>
        <row r="830">
          <cell r="C830" t="str">
            <v>B570907/A</v>
          </cell>
          <cell r="D830" t="str">
            <v>RH3456AF152.BC</v>
          </cell>
          <cell r="E830">
            <v>10</v>
          </cell>
        </row>
        <row r="831">
          <cell r="C831" t="str">
            <v>B570908/A</v>
          </cell>
          <cell r="D831" t="str">
            <v>RH3456AF152.BC</v>
          </cell>
          <cell r="E831">
            <v>10</v>
          </cell>
        </row>
        <row r="832">
          <cell r="C832" t="str">
            <v>B569613/A</v>
          </cell>
          <cell r="D832" t="str">
            <v>RH3541F40.BC</v>
          </cell>
          <cell r="E832">
            <v>20</v>
          </cell>
        </row>
        <row r="833">
          <cell r="C833" t="str">
            <v>B570910/A</v>
          </cell>
          <cell r="D833" t="str">
            <v>RH428F01</v>
          </cell>
          <cell r="E833">
            <v>10</v>
          </cell>
        </row>
        <row r="834">
          <cell r="C834" t="str">
            <v>B570912/A</v>
          </cell>
          <cell r="D834" t="str">
            <v>RH428F03</v>
          </cell>
          <cell r="E834">
            <v>5</v>
          </cell>
        </row>
        <row r="835">
          <cell r="C835" t="str">
            <v>B571190/A</v>
          </cell>
          <cell r="D835" t="str">
            <v>RH4511F409</v>
          </cell>
          <cell r="E835">
            <v>10</v>
          </cell>
        </row>
        <row r="836">
          <cell r="C836" t="str">
            <v>B571192/A</v>
          </cell>
          <cell r="D836" t="str">
            <v>RH5794F372TR</v>
          </cell>
          <cell r="E836">
            <v>4</v>
          </cell>
        </row>
        <row r="837">
          <cell r="C837" t="str">
            <v>B571194/A</v>
          </cell>
          <cell r="D837" t="str">
            <v>RH6110F372TR</v>
          </cell>
          <cell r="E837">
            <v>22</v>
          </cell>
        </row>
        <row r="838">
          <cell r="C838" t="str">
            <v>B569619/A</v>
          </cell>
          <cell r="D838" t="str">
            <v>RH6352F29</v>
          </cell>
          <cell r="E838">
            <v>25</v>
          </cell>
        </row>
        <row r="839">
          <cell r="C839" t="str">
            <v>B569621/A</v>
          </cell>
          <cell r="D839" t="str">
            <v>RH6680F40</v>
          </cell>
          <cell r="E839">
            <v>20</v>
          </cell>
        </row>
        <row r="840">
          <cell r="C840" t="str">
            <v>B571318/A</v>
          </cell>
          <cell r="D840" t="str">
            <v>RH7150NF381</v>
          </cell>
          <cell r="E840">
            <v>6</v>
          </cell>
        </row>
        <row r="841">
          <cell r="C841" t="str">
            <v>B571320/A</v>
          </cell>
          <cell r="D841" t="str">
            <v>RH7150NF409</v>
          </cell>
          <cell r="E841">
            <v>40</v>
          </cell>
        </row>
        <row r="842">
          <cell r="C842" t="str">
            <v>B571322/A</v>
          </cell>
          <cell r="D842" t="str">
            <v>RH7217F381</v>
          </cell>
          <cell r="E842">
            <v>10</v>
          </cell>
        </row>
        <row r="843">
          <cell r="C843" t="str">
            <v>B571325/A</v>
          </cell>
          <cell r="D843" t="str">
            <v>RH7344F409</v>
          </cell>
          <cell r="E843">
            <v>2</v>
          </cell>
        </row>
        <row r="844">
          <cell r="C844" t="str">
            <v>B571326/A</v>
          </cell>
          <cell r="D844" t="str">
            <v>RH7344F409</v>
          </cell>
          <cell r="E844">
            <v>3</v>
          </cell>
        </row>
        <row r="845">
          <cell r="C845" t="str">
            <v>B571196/A</v>
          </cell>
          <cell r="D845" t="str">
            <v>RH7349F381</v>
          </cell>
          <cell r="E845">
            <v>5</v>
          </cell>
        </row>
        <row r="846">
          <cell r="C846" t="str">
            <v>B571328/A</v>
          </cell>
          <cell r="D846" t="str">
            <v>RH7368F409</v>
          </cell>
          <cell r="E846">
            <v>5</v>
          </cell>
        </row>
        <row r="847">
          <cell r="C847" t="str">
            <v>B571198/A</v>
          </cell>
          <cell r="D847" t="str">
            <v>RH7369F381</v>
          </cell>
          <cell r="E847">
            <v>1</v>
          </cell>
        </row>
        <row r="848">
          <cell r="C848" t="str">
            <v>B571201/A</v>
          </cell>
          <cell r="D848" t="str">
            <v>RH7369F409</v>
          </cell>
          <cell r="E848">
            <v>27</v>
          </cell>
        </row>
        <row r="849">
          <cell r="C849" t="str">
            <v>B571202/A</v>
          </cell>
          <cell r="D849" t="str">
            <v>RH7369F409</v>
          </cell>
          <cell r="E849">
            <v>28</v>
          </cell>
        </row>
        <row r="850">
          <cell r="C850" t="str">
            <v>B571205/A</v>
          </cell>
          <cell r="D850" t="str">
            <v>RH7371F381</v>
          </cell>
          <cell r="E850">
            <v>5</v>
          </cell>
        </row>
        <row r="851">
          <cell r="C851" t="str">
            <v>B571206/A</v>
          </cell>
          <cell r="D851" t="str">
            <v>RH7371F381</v>
          </cell>
          <cell r="E851">
            <v>6</v>
          </cell>
        </row>
        <row r="852">
          <cell r="C852" t="str">
            <v>B571209/A</v>
          </cell>
          <cell r="D852" t="str">
            <v>RH7371F409</v>
          </cell>
          <cell r="E852">
            <v>13</v>
          </cell>
        </row>
        <row r="853">
          <cell r="C853" t="str">
            <v>B571210/A</v>
          </cell>
          <cell r="D853" t="str">
            <v>RH7371F409</v>
          </cell>
          <cell r="E853">
            <v>13</v>
          </cell>
        </row>
        <row r="854">
          <cell r="C854" t="str">
            <v>B569648/A</v>
          </cell>
          <cell r="D854" t="str">
            <v>RH7383F382</v>
          </cell>
          <cell r="E854">
            <v>4</v>
          </cell>
        </row>
        <row r="855">
          <cell r="C855" t="str">
            <v>B569650/A</v>
          </cell>
          <cell r="D855" t="str">
            <v>RH7383F383</v>
          </cell>
          <cell r="E855">
            <v>8</v>
          </cell>
        </row>
        <row r="856">
          <cell r="C856" t="str">
            <v>B571330/A</v>
          </cell>
          <cell r="D856" t="str">
            <v>RH893AF02</v>
          </cell>
          <cell r="E856">
            <v>5</v>
          </cell>
        </row>
        <row r="857">
          <cell r="C857" t="str">
            <v>B571333/A</v>
          </cell>
          <cell r="D857" t="str">
            <v>RH895F01</v>
          </cell>
          <cell r="E857">
            <v>5</v>
          </cell>
        </row>
        <row r="858">
          <cell r="C858" t="str">
            <v>B571212/A</v>
          </cell>
          <cell r="D858" t="str">
            <v>RH9339F425</v>
          </cell>
          <cell r="E858">
            <v>44</v>
          </cell>
        </row>
        <row r="859">
          <cell r="C859" t="str">
            <v>B571350/A</v>
          </cell>
          <cell r="D859" t="str">
            <v>RH9339F426</v>
          </cell>
          <cell r="E859">
            <v>49</v>
          </cell>
        </row>
        <row r="860">
          <cell r="C860" t="str">
            <v>B571228/A</v>
          </cell>
          <cell r="D860" t="str">
            <v>RH9422F423</v>
          </cell>
          <cell r="E860">
            <v>3</v>
          </cell>
        </row>
        <row r="861">
          <cell r="C861" t="str">
            <v>B571229/A</v>
          </cell>
          <cell r="D861" t="str">
            <v>RH9422F423</v>
          </cell>
          <cell r="E861">
            <v>4</v>
          </cell>
        </row>
        <row r="862">
          <cell r="C862" t="str">
            <v>B571232/A</v>
          </cell>
          <cell r="D862" t="str">
            <v>RH9422F425</v>
          </cell>
          <cell r="E862">
            <v>9</v>
          </cell>
        </row>
        <row r="863">
          <cell r="C863" t="str">
            <v>B571233/A</v>
          </cell>
          <cell r="D863" t="str">
            <v>RH9422F425</v>
          </cell>
          <cell r="E863">
            <v>10</v>
          </cell>
        </row>
        <row r="864">
          <cell r="C864" t="str">
            <v>B571236/A</v>
          </cell>
          <cell r="D864" t="str">
            <v>RH9422F426</v>
          </cell>
          <cell r="E864">
            <v>3</v>
          </cell>
        </row>
        <row r="865">
          <cell r="C865" t="str">
            <v>B571237/A</v>
          </cell>
          <cell r="D865" t="str">
            <v>RH9422F426</v>
          </cell>
          <cell r="E865">
            <v>4</v>
          </cell>
        </row>
        <row r="866">
          <cell r="C866" t="str">
            <v>B571335/A</v>
          </cell>
          <cell r="D866" t="str">
            <v>RH9456NF423</v>
          </cell>
          <cell r="E866">
            <v>52</v>
          </cell>
        </row>
        <row r="867">
          <cell r="C867" t="str">
            <v>B571240/A</v>
          </cell>
          <cell r="D867" t="str">
            <v>RH9458F423</v>
          </cell>
          <cell r="E867">
            <v>16</v>
          </cell>
        </row>
        <row r="868">
          <cell r="C868" t="str">
            <v>B571241/A</v>
          </cell>
          <cell r="D868" t="str">
            <v>RH9458F423</v>
          </cell>
          <cell r="E868">
            <v>10</v>
          </cell>
        </row>
        <row r="869">
          <cell r="C869" t="str">
            <v>B571244/A</v>
          </cell>
          <cell r="D869" t="str">
            <v>RH9458F424</v>
          </cell>
          <cell r="E869">
            <v>5</v>
          </cell>
        </row>
        <row r="870">
          <cell r="C870" t="str">
            <v>B571245/A</v>
          </cell>
          <cell r="D870" t="str">
            <v>RH9458F424</v>
          </cell>
          <cell r="E870">
            <v>5</v>
          </cell>
        </row>
        <row r="871">
          <cell r="C871" t="str">
            <v>B571248/A</v>
          </cell>
          <cell r="D871" t="str">
            <v>RH9458F425</v>
          </cell>
          <cell r="E871">
            <v>16</v>
          </cell>
        </row>
        <row r="872">
          <cell r="C872" t="str">
            <v>B571249/A</v>
          </cell>
          <cell r="D872" t="str">
            <v>RH9458F425</v>
          </cell>
          <cell r="E872">
            <v>16</v>
          </cell>
        </row>
        <row r="873">
          <cell r="C873" t="str">
            <v>B571251/A</v>
          </cell>
          <cell r="D873" t="str">
            <v>RH9458F426</v>
          </cell>
          <cell r="E873">
            <v>11</v>
          </cell>
        </row>
        <row r="874">
          <cell r="C874" t="str">
            <v>B564377/A</v>
          </cell>
          <cell r="D874" t="str">
            <v>RH9499F382</v>
          </cell>
          <cell r="E874">
            <v>1</v>
          </cell>
        </row>
        <row r="875">
          <cell r="C875" t="str">
            <v>B564381/A</v>
          </cell>
          <cell r="D875" t="str">
            <v>RH9499F383</v>
          </cell>
          <cell r="E875">
            <v>4</v>
          </cell>
        </row>
        <row r="876">
          <cell r="C876" t="str">
            <v>B564380/A</v>
          </cell>
          <cell r="D876" t="str">
            <v>RH9499F383</v>
          </cell>
          <cell r="E876">
            <v>4</v>
          </cell>
        </row>
        <row r="877">
          <cell r="C877" t="str">
            <v>B564385/A</v>
          </cell>
          <cell r="D877" t="str">
            <v>RH9499F409</v>
          </cell>
          <cell r="E877">
            <v>6</v>
          </cell>
        </row>
        <row r="878">
          <cell r="C878" t="str">
            <v>B564384/A</v>
          </cell>
          <cell r="D878" t="str">
            <v>RH9499F409</v>
          </cell>
          <cell r="E878">
            <v>5</v>
          </cell>
        </row>
        <row r="879">
          <cell r="C879" t="str">
            <v>B571254/A</v>
          </cell>
          <cell r="D879" t="str">
            <v>RH9532F424</v>
          </cell>
          <cell r="E879">
            <v>1</v>
          </cell>
        </row>
        <row r="880">
          <cell r="C880" t="str">
            <v>B571255/A</v>
          </cell>
          <cell r="D880" t="str">
            <v>RH9532F424</v>
          </cell>
          <cell r="E880">
            <v>1</v>
          </cell>
        </row>
        <row r="881">
          <cell r="C881" t="str">
            <v>B571257/A</v>
          </cell>
          <cell r="D881" t="str">
            <v>RH9532F425</v>
          </cell>
          <cell r="E881">
            <v>8</v>
          </cell>
        </row>
        <row r="882">
          <cell r="C882" t="str">
            <v>B569726/A</v>
          </cell>
          <cell r="D882" t="str">
            <v>RH965NF29</v>
          </cell>
          <cell r="E882">
            <v>15</v>
          </cell>
        </row>
        <row r="883">
          <cell r="C883" t="str">
            <v>B571260/A</v>
          </cell>
          <cell r="D883" t="str">
            <v>RH9849F423</v>
          </cell>
          <cell r="E883">
            <v>18</v>
          </cell>
        </row>
        <row r="884">
          <cell r="C884" t="str">
            <v>B571261/A</v>
          </cell>
          <cell r="D884" t="str">
            <v>RH9849F423</v>
          </cell>
          <cell r="E884">
            <v>19</v>
          </cell>
        </row>
        <row r="885">
          <cell r="C885" t="str">
            <v>B571264/A</v>
          </cell>
          <cell r="D885" t="str">
            <v>RH9849F425</v>
          </cell>
          <cell r="E885">
            <v>2</v>
          </cell>
        </row>
        <row r="886">
          <cell r="C886" t="str">
            <v>B571265/A</v>
          </cell>
          <cell r="D886" t="str">
            <v>RH9849F425</v>
          </cell>
          <cell r="E886">
            <v>3</v>
          </cell>
        </row>
        <row r="887">
          <cell r="C887" t="str">
            <v>B571268/A</v>
          </cell>
          <cell r="D887" t="str">
            <v>RH9849F426</v>
          </cell>
          <cell r="E887">
            <v>6</v>
          </cell>
        </row>
        <row r="888">
          <cell r="C888" t="str">
            <v>B571269/A</v>
          </cell>
          <cell r="D888" t="str">
            <v>RH9849F426</v>
          </cell>
          <cell r="E888">
            <v>6</v>
          </cell>
        </row>
        <row r="889">
          <cell r="C889" t="str">
            <v>B571338/A</v>
          </cell>
          <cell r="D889" t="str">
            <v>RH9858F423</v>
          </cell>
          <cell r="E889">
            <v>14</v>
          </cell>
        </row>
        <row r="890">
          <cell r="C890" t="str">
            <v>B571339/A</v>
          </cell>
          <cell r="D890" t="str">
            <v>RH9858F423</v>
          </cell>
          <cell r="E890">
            <v>14</v>
          </cell>
        </row>
        <row r="891">
          <cell r="C891" t="str">
            <v>B571342/A</v>
          </cell>
          <cell r="D891" t="str">
            <v>RH9858F424</v>
          </cell>
          <cell r="E891">
            <v>3</v>
          </cell>
        </row>
        <row r="892">
          <cell r="C892" t="str">
            <v>B571343/A</v>
          </cell>
          <cell r="D892" t="str">
            <v>RH9858F424</v>
          </cell>
          <cell r="E892">
            <v>4</v>
          </cell>
        </row>
        <row r="893">
          <cell r="C893" t="str">
            <v>B571345/A</v>
          </cell>
          <cell r="D893" t="str">
            <v>RH9858F425</v>
          </cell>
          <cell r="E893">
            <v>16</v>
          </cell>
        </row>
        <row r="894">
          <cell r="C894" t="str">
            <v>B571348/A</v>
          </cell>
          <cell r="D894" t="str">
            <v>RH9858F426</v>
          </cell>
          <cell r="E894">
            <v>2</v>
          </cell>
        </row>
        <row r="895">
          <cell r="C895" t="str">
            <v>B571349/A</v>
          </cell>
          <cell r="D895" t="str">
            <v>RH9858F426</v>
          </cell>
          <cell r="E895">
            <v>3</v>
          </cell>
        </row>
        <row r="896">
          <cell r="C896" t="str">
            <v>B571271/A</v>
          </cell>
          <cell r="D896" t="str">
            <v>RH9866F423</v>
          </cell>
          <cell r="E896">
            <v>30</v>
          </cell>
        </row>
        <row r="897">
          <cell r="C897" t="str">
            <v>B571273/A</v>
          </cell>
          <cell r="D897" t="str">
            <v>RH9866F424</v>
          </cell>
          <cell r="E897">
            <v>6</v>
          </cell>
        </row>
        <row r="898">
          <cell r="C898" t="str">
            <v>B571275/A</v>
          </cell>
          <cell r="D898" t="str">
            <v>RH9866F425</v>
          </cell>
          <cell r="E898">
            <v>18</v>
          </cell>
        </row>
        <row r="899">
          <cell r="C899" t="str">
            <v>B571277/A</v>
          </cell>
          <cell r="D899" t="str">
            <v>RH9866F426</v>
          </cell>
          <cell r="E899">
            <v>6</v>
          </cell>
        </row>
        <row r="900">
          <cell r="C900" t="str">
            <v>B571280/A</v>
          </cell>
          <cell r="D900" t="str">
            <v>RH9949NF423</v>
          </cell>
          <cell r="E900">
            <v>4</v>
          </cell>
        </row>
        <row r="901">
          <cell r="C901" t="str">
            <v>B571281/A</v>
          </cell>
          <cell r="D901" t="str">
            <v>RH9949NF423</v>
          </cell>
          <cell r="E901">
            <v>5</v>
          </cell>
        </row>
        <row r="902">
          <cell r="C902" t="str">
            <v>B571284/A</v>
          </cell>
          <cell r="D902" t="str">
            <v>RH9949NF424</v>
          </cell>
          <cell r="E902">
            <v>1</v>
          </cell>
        </row>
        <row r="903">
          <cell r="C903" t="str">
            <v>B571285/A</v>
          </cell>
          <cell r="D903" t="str">
            <v>RH9949NF424</v>
          </cell>
          <cell r="E903">
            <v>2</v>
          </cell>
        </row>
        <row r="904">
          <cell r="C904" t="str">
            <v>B571287/A</v>
          </cell>
          <cell r="D904" t="str">
            <v>RH9949NF425</v>
          </cell>
          <cell r="E904">
            <v>11</v>
          </cell>
        </row>
        <row r="905">
          <cell r="C905" t="str">
            <v>B571301/A</v>
          </cell>
          <cell r="D905" t="str">
            <v>RH9949NF426</v>
          </cell>
          <cell r="E905">
            <v>4</v>
          </cell>
        </row>
        <row r="906">
          <cell r="C906" t="str">
            <v>B571302/A</v>
          </cell>
          <cell r="D906" t="str">
            <v>RH9949NF426</v>
          </cell>
          <cell r="E906">
            <v>5</v>
          </cell>
        </row>
        <row r="907">
          <cell r="C907" t="str">
            <v>B571304/A</v>
          </cell>
          <cell r="D907" t="str">
            <v>RH9988F423</v>
          </cell>
          <cell r="E907">
            <v>29</v>
          </cell>
        </row>
        <row r="908">
          <cell r="C908" t="str">
            <v>B571306/A</v>
          </cell>
          <cell r="D908" t="str">
            <v>RH9988F424</v>
          </cell>
          <cell r="E908">
            <v>14</v>
          </cell>
        </row>
        <row r="909">
          <cell r="C909" t="str">
            <v>B571308/A</v>
          </cell>
          <cell r="D909" t="str">
            <v>RH9988F425</v>
          </cell>
          <cell r="E909">
            <v>4</v>
          </cell>
        </row>
        <row r="910">
          <cell r="C910" t="str">
            <v>B571310/A</v>
          </cell>
          <cell r="D910" t="str">
            <v>RH9988F426</v>
          </cell>
          <cell r="E910">
            <v>16</v>
          </cell>
        </row>
        <row r="911">
          <cell r="C911" t="str">
            <v>B564415/A</v>
          </cell>
          <cell r="D911" t="str">
            <v>SH146F01</v>
          </cell>
          <cell r="E911">
            <v>60</v>
          </cell>
        </row>
        <row r="912">
          <cell r="C912" t="str">
            <v>B569756/A</v>
          </cell>
          <cell r="D912" t="str">
            <v>SH206F506</v>
          </cell>
          <cell r="E912">
            <v>25</v>
          </cell>
        </row>
        <row r="913">
          <cell r="C913" t="str">
            <v>B571312/A</v>
          </cell>
          <cell r="D913" t="str">
            <v>SH379F506</v>
          </cell>
          <cell r="E913">
            <v>30</v>
          </cell>
        </row>
        <row r="914">
          <cell r="C914" t="str">
            <v>B564424/A</v>
          </cell>
          <cell r="D914" t="str">
            <v>SH548F826</v>
          </cell>
          <cell r="E914">
            <v>30</v>
          </cell>
        </row>
        <row r="915">
          <cell r="C915" t="str">
            <v>B571315/A</v>
          </cell>
          <cell r="D915" t="str">
            <v>SH597FMT02.UK</v>
          </cell>
          <cell r="E915">
            <v>34</v>
          </cell>
        </row>
        <row r="916">
          <cell r="C916" t="str">
            <v>B571316/A</v>
          </cell>
          <cell r="D916" t="str">
            <v>SH597FMT02.UK</v>
          </cell>
          <cell r="E916">
            <v>6</v>
          </cell>
        </row>
        <row r="917">
          <cell r="C917" t="str">
            <v>B564429/A</v>
          </cell>
          <cell r="D917" t="str">
            <v>SH649F506</v>
          </cell>
          <cell r="E917">
            <v>25</v>
          </cell>
        </row>
        <row r="918">
          <cell r="C918" t="str">
            <v>B570929/A</v>
          </cell>
          <cell r="D918" t="str">
            <v>CT008F610-DWBT3</v>
          </cell>
          <cell r="E918">
            <v>2</v>
          </cell>
        </row>
        <row r="919">
          <cell r="C919" t="str">
            <v>B571352/A</v>
          </cell>
          <cell r="D919" t="str">
            <v>RH4084F26-LEG</v>
          </cell>
          <cell r="E919">
            <v>4</v>
          </cell>
        </row>
        <row r="920">
          <cell r="C920" t="str">
            <v>B571596/A</v>
          </cell>
          <cell r="D920" t="str">
            <v>RH7022M00</v>
          </cell>
          <cell r="E920">
            <v>1</v>
          </cell>
        </row>
        <row r="921">
          <cell r="C921" t="str">
            <v>B573321/A</v>
          </cell>
          <cell r="D921" t="str">
            <v>AR112NF834-BASE</v>
          </cell>
          <cell r="E921">
            <v>23</v>
          </cell>
        </row>
        <row r="922">
          <cell r="C922" t="str">
            <v>B573320/A</v>
          </cell>
          <cell r="D922" t="str">
            <v>AR112NF834-BASE</v>
          </cell>
          <cell r="E922">
            <v>17</v>
          </cell>
        </row>
        <row r="923">
          <cell r="C923" t="str">
            <v>B572234/A</v>
          </cell>
          <cell r="D923" t="str">
            <v>AR163F834</v>
          </cell>
          <cell r="E923">
            <v>46</v>
          </cell>
        </row>
        <row r="924">
          <cell r="C924" t="str">
            <v>B572233/A</v>
          </cell>
          <cell r="D924" t="str">
            <v>AR163F834</v>
          </cell>
          <cell r="E924">
            <v>19</v>
          </cell>
        </row>
        <row r="925">
          <cell r="C925" t="str">
            <v>B572251/A</v>
          </cell>
          <cell r="D925" t="str">
            <v>AR164F834</v>
          </cell>
          <cell r="E925">
            <v>18</v>
          </cell>
        </row>
        <row r="926">
          <cell r="C926" t="str">
            <v>B572252/A</v>
          </cell>
          <cell r="D926" t="str">
            <v>AR164F834</v>
          </cell>
          <cell r="E926">
            <v>7</v>
          </cell>
        </row>
        <row r="927">
          <cell r="C927" t="str">
            <v>B572202/A</v>
          </cell>
          <cell r="D927" t="str">
            <v>AR340F892</v>
          </cell>
          <cell r="E927">
            <v>70</v>
          </cell>
        </row>
        <row r="928">
          <cell r="C928" t="str">
            <v>B572311/A</v>
          </cell>
          <cell r="D928" t="str">
            <v>AR340F892</v>
          </cell>
          <cell r="E928">
            <v>30</v>
          </cell>
        </row>
        <row r="929">
          <cell r="C929" t="str">
            <v>B572255/A</v>
          </cell>
          <cell r="D929" t="str">
            <v>AR395F1039-BASE</v>
          </cell>
          <cell r="E929">
            <v>18</v>
          </cell>
        </row>
        <row r="930">
          <cell r="C930" t="str">
            <v>B572256/A</v>
          </cell>
          <cell r="D930" t="str">
            <v>AR395F1039-BASE</v>
          </cell>
          <cell r="E930">
            <v>7</v>
          </cell>
        </row>
        <row r="931">
          <cell r="C931" t="str">
            <v>B572259/A</v>
          </cell>
          <cell r="D931" t="str">
            <v>AR395F1039-TOP</v>
          </cell>
          <cell r="E931">
            <v>18</v>
          </cell>
        </row>
        <row r="932">
          <cell r="C932" t="str">
            <v>B572260/A</v>
          </cell>
          <cell r="D932" t="str">
            <v>AR395F1039-TOP</v>
          </cell>
          <cell r="E932">
            <v>7</v>
          </cell>
        </row>
        <row r="933">
          <cell r="C933" t="str">
            <v>B572263/A</v>
          </cell>
          <cell r="D933" t="str">
            <v>AR759F906-BASE</v>
          </cell>
          <cell r="E933">
            <v>21</v>
          </cell>
        </row>
        <row r="934">
          <cell r="C934" t="str">
            <v>B572264/A</v>
          </cell>
          <cell r="D934" t="str">
            <v>AR759F906-BASE</v>
          </cell>
          <cell r="E934">
            <v>9</v>
          </cell>
        </row>
        <row r="935">
          <cell r="C935" t="str">
            <v>B572267/A</v>
          </cell>
          <cell r="D935" t="str">
            <v>AR762F892-BASE</v>
          </cell>
          <cell r="E935">
            <v>18</v>
          </cell>
        </row>
        <row r="936">
          <cell r="C936" t="str">
            <v>B572268/A</v>
          </cell>
          <cell r="D936" t="str">
            <v>AR762F892-BASE</v>
          </cell>
          <cell r="E936">
            <v>7</v>
          </cell>
        </row>
        <row r="937">
          <cell r="C937" t="str">
            <v>B572270/A</v>
          </cell>
          <cell r="D937" t="str">
            <v>AR762F892-TOP</v>
          </cell>
          <cell r="E937">
            <v>18</v>
          </cell>
        </row>
        <row r="938">
          <cell r="C938" t="str">
            <v>B572205/A</v>
          </cell>
          <cell r="D938" t="str">
            <v>AR768F1001</v>
          </cell>
          <cell r="E938">
            <v>18</v>
          </cell>
        </row>
        <row r="939">
          <cell r="C939" t="str">
            <v>B572206/A</v>
          </cell>
          <cell r="D939" t="str">
            <v>AR768F1001</v>
          </cell>
          <cell r="E939">
            <v>7</v>
          </cell>
        </row>
        <row r="940">
          <cell r="C940" t="str">
            <v>B572315/A</v>
          </cell>
          <cell r="D940" t="str">
            <v>AT305NF00</v>
          </cell>
          <cell r="E940">
            <v>25</v>
          </cell>
        </row>
        <row r="941">
          <cell r="C941" t="str">
            <v>B572275/A</v>
          </cell>
          <cell r="D941" t="str">
            <v>AT382F00</v>
          </cell>
          <cell r="E941">
            <v>50</v>
          </cell>
        </row>
        <row r="942">
          <cell r="C942" t="str">
            <v>B572276/A</v>
          </cell>
          <cell r="D942" t="str">
            <v>AT382F00</v>
          </cell>
          <cell r="E942">
            <v>50</v>
          </cell>
        </row>
        <row r="943">
          <cell r="C943" t="str">
            <v>B572277/A</v>
          </cell>
          <cell r="D943" t="str">
            <v>AT382F00</v>
          </cell>
          <cell r="E943">
            <v>50</v>
          </cell>
        </row>
        <row r="944">
          <cell r="C944" t="str">
            <v>B572278/A</v>
          </cell>
          <cell r="D944" t="str">
            <v>AT382F00</v>
          </cell>
          <cell r="E944">
            <v>50</v>
          </cell>
        </row>
        <row r="945">
          <cell r="C945" t="str">
            <v>B567628/A</v>
          </cell>
          <cell r="D945" t="str">
            <v>AT418F00</v>
          </cell>
          <cell r="E945">
            <v>50</v>
          </cell>
        </row>
        <row r="946">
          <cell r="C946" t="str">
            <v>B567631/A</v>
          </cell>
          <cell r="D946" t="str">
            <v>AT471F00</v>
          </cell>
          <cell r="E946">
            <v>30</v>
          </cell>
        </row>
        <row r="947">
          <cell r="C947" t="str">
            <v>B567632/A</v>
          </cell>
          <cell r="D947" t="str">
            <v>AT471F00</v>
          </cell>
          <cell r="E947">
            <v>30</v>
          </cell>
        </row>
        <row r="948">
          <cell r="C948" t="str">
            <v>B572318/A</v>
          </cell>
          <cell r="D948" t="str">
            <v>AT479NF00</v>
          </cell>
          <cell r="E948">
            <v>30</v>
          </cell>
        </row>
        <row r="949">
          <cell r="C949" t="str">
            <v>B572323/A</v>
          </cell>
          <cell r="D949" t="str">
            <v>AT479NF00</v>
          </cell>
          <cell r="E949">
            <v>55</v>
          </cell>
        </row>
        <row r="950">
          <cell r="C950" t="str">
            <v>B572280/A</v>
          </cell>
          <cell r="D950" t="str">
            <v>AT479NF1059</v>
          </cell>
          <cell r="E950">
            <v>25</v>
          </cell>
        </row>
        <row r="951">
          <cell r="C951" t="str">
            <v>B572282/A</v>
          </cell>
          <cell r="D951" t="str">
            <v>AT479NF877</v>
          </cell>
          <cell r="E951">
            <v>30</v>
          </cell>
        </row>
        <row r="952">
          <cell r="C952" t="str">
            <v>B572284/A</v>
          </cell>
          <cell r="D952" t="str">
            <v>AT665NF1059</v>
          </cell>
          <cell r="E952">
            <v>25</v>
          </cell>
        </row>
        <row r="953">
          <cell r="C953" t="str">
            <v>B572288/A</v>
          </cell>
          <cell r="D953" t="str">
            <v>AT665NF877</v>
          </cell>
          <cell r="E953">
            <v>25</v>
          </cell>
        </row>
        <row r="954">
          <cell r="C954" t="str">
            <v>B572287/A</v>
          </cell>
          <cell r="D954" t="str">
            <v>BN2629NF194</v>
          </cell>
          <cell r="E954">
            <v>27</v>
          </cell>
        </row>
        <row r="955">
          <cell r="C955" t="str">
            <v>B572640/A</v>
          </cell>
          <cell r="D955" t="str">
            <v>BN3113F194</v>
          </cell>
          <cell r="E955">
            <v>1</v>
          </cell>
        </row>
        <row r="956">
          <cell r="C956" t="str">
            <v>B572642/A</v>
          </cell>
          <cell r="D956" t="str">
            <v>BN3188F356</v>
          </cell>
          <cell r="E956">
            <v>1</v>
          </cell>
        </row>
        <row r="957">
          <cell r="C957" t="str">
            <v>B572210/A</v>
          </cell>
          <cell r="D957" t="str">
            <v>BN3216F356</v>
          </cell>
          <cell r="E957">
            <v>75</v>
          </cell>
        </row>
        <row r="958">
          <cell r="C958" t="str">
            <v>B567105/A</v>
          </cell>
          <cell r="D958" t="str">
            <v>CZ042F08</v>
          </cell>
          <cell r="E958">
            <v>8</v>
          </cell>
        </row>
        <row r="959">
          <cell r="C959" t="str">
            <v>B567107/A</v>
          </cell>
          <cell r="D959" t="str">
            <v>CZ042F09</v>
          </cell>
          <cell r="E959">
            <v>12</v>
          </cell>
        </row>
        <row r="960">
          <cell r="C960" t="str">
            <v>B570805/A</v>
          </cell>
          <cell r="D960" t="str">
            <v>CZ042F191</v>
          </cell>
          <cell r="E960">
            <v>9</v>
          </cell>
        </row>
        <row r="961">
          <cell r="C961" t="str">
            <v>B569065/A</v>
          </cell>
          <cell r="D961" t="str">
            <v>CZ062F08</v>
          </cell>
          <cell r="E961">
            <v>5</v>
          </cell>
        </row>
        <row r="962">
          <cell r="C962" t="str">
            <v>B567109/A</v>
          </cell>
          <cell r="D962" t="str">
            <v>CZ062F190</v>
          </cell>
          <cell r="E962">
            <v>1</v>
          </cell>
        </row>
        <row r="963">
          <cell r="C963" t="str">
            <v>B569067/A</v>
          </cell>
          <cell r="D963" t="str">
            <v>CZ121NF09</v>
          </cell>
          <cell r="E963">
            <v>30</v>
          </cell>
        </row>
        <row r="964">
          <cell r="C964" t="str">
            <v>B570807/A</v>
          </cell>
          <cell r="D964" t="str">
            <v>CZ121NF10</v>
          </cell>
          <cell r="E964">
            <v>28</v>
          </cell>
        </row>
        <row r="965">
          <cell r="C965" t="str">
            <v>B570810/A</v>
          </cell>
          <cell r="D965" t="str">
            <v>CZ148F10</v>
          </cell>
          <cell r="E965">
            <v>2</v>
          </cell>
        </row>
        <row r="966">
          <cell r="C966" t="str">
            <v>B570811/A</v>
          </cell>
          <cell r="D966" t="str">
            <v>CZ148F10</v>
          </cell>
          <cell r="E966">
            <v>3</v>
          </cell>
        </row>
        <row r="967">
          <cell r="C967" t="str">
            <v>B570818/A</v>
          </cell>
          <cell r="D967" t="str">
            <v>CZ642F10</v>
          </cell>
          <cell r="E967">
            <v>2</v>
          </cell>
        </row>
        <row r="968">
          <cell r="C968" t="str">
            <v>B570819/A</v>
          </cell>
          <cell r="D968" t="str">
            <v>CZ642F10</v>
          </cell>
          <cell r="E968">
            <v>3</v>
          </cell>
        </row>
        <row r="969">
          <cell r="C969" t="str">
            <v>B570821/A</v>
          </cell>
          <cell r="D969" t="str">
            <v>CZ669F190</v>
          </cell>
          <cell r="E969">
            <v>6</v>
          </cell>
        </row>
        <row r="970">
          <cell r="C970" t="str">
            <v>B572326/A</v>
          </cell>
          <cell r="D970" t="str">
            <v>MN5863F628-BASE</v>
          </cell>
          <cell r="E970">
            <v>12</v>
          </cell>
        </row>
        <row r="971">
          <cell r="C971" t="str">
            <v>B572329/A</v>
          </cell>
          <cell r="D971" t="str">
            <v>MN5863F628-TOP</v>
          </cell>
          <cell r="E971">
            <v>12</v>
          </cell>
        </row>
        <row r="972">
          <cell r="C972" t="str">
            <v>B572290/A</v>
          </cell>
          <cell r="D972" t="str">
            <v>RH10011F423</v>
          </cell>
          <cell r="E972">
            <v>15</v>
          </cell>
        </row>
        <row r="973">
          <cell r="C973" t="str">
            <v>B572292/A</v>
          </cell>
          <cell r="D973" t="str">
            <v>RH10011F424</v>
          </cell>
          <cell r="E973">
            <v>2</v>
          </cell>
        </row>
        <row r="974">
          <cell r="C974" t="str">
            <v>B572294/A</v>
          </cell>
          <cell r="D974" t="str">
            <v>RH10011F425</v>
          </cell>
          <cell r="E974">
            <v>3</v>
          </cell>
        </row>
        <row r="975">
          <cell r="C975" t="str">
            <v>B572296/A</v>
          </cell>
          <cell r="D975" t="str">
            <v>RH10011F426</v>
          </cell>
          <cell r="E975">
            <v>26</v>
          </cell>
        </row>
        <row r="976">
          <cell r="C976" t="str">
            <v>B572213/A</v>
          </cell>
          <cell r="D976" t="str">
            <v>RH10082F382</v>
          </cell>
          <cell r="E976">
            <v>5</v>
          </cell>
        </row>
        <row r="977">
          <cell r="C977" t="str">
            <v>B572214/A</v>
          </cell>
          <cell r="D977" t="str">
            <v>RH10082F382</v>
          </cell>
          <cell r="E977">
            <v>4</v>
          </cell>
        </row>
        <row r="978">
          <cell r="C978" t="str">
            <v>B572217/A</v>
          </cell>
          <cell r="D978" t="str">
            <v>RH10082F383</v>
          </cell>
          <cell r="E978">
            <v>7</v>
          </cell>
        </row>
        <row r="979">
          <cell r="C979" t="str">
            <v>B572218/A</v>
          </cell>
          <cell r="D979" t="str">
            <v>RH10082F383</v>
          </cell>
          <cell r="E979">
            <v>6</v>
          </cell>
        </row>
        <row r="980">
          <cell r="C980" t="str">
            <v>B572221/A</v>
          </cell>
          <cell r="D980" t="str">
            <v>RH10082F384</v>
          </cell>
          <cell r="E980">
            <v>3</v>
          </cell>
        </row>
        <row r="981">
          <cell r="C981" t="str">
            <v>B572222/A</v>
          </cell>
          <cell r="D981" t="str">
            <v>RH10082F384</v>
          </cell>
          <cell r="E981">
            <v>3</v>
          </cell>
        </row>
        <row r="982">
          <cell r="C982" t="str">
            <v>B572227/A</v>
          </cell>
          <cell r="D982" t="str">
            <v>RH10082F409</v>
          </cell>
          <cell r="E982">
            <v>5</v>
          </cell>
        </row>
        <row r="983">
          <cell r="C983" t="str">
            <v>B572228/A</v>
          </cell>
          <cell r="D983" t="str">
            <v>RH10082F409</v>
          </cell>
          <cell r="E983">
            <v>5</v>
          </cell>
        </row>
        <row r="984">
          <cell r="C984" t="str">
            <v>B572229/A</v>
          </cell>
          <cell r="D984" t="str">
            <v>RH10082F409</v>
          </cell>
          <cell r="E984">
            <v>4</v>
          </cell>
        </row>
        <row r="985">
          <cell r="C985" t="str">
            <v>B572230/A</v>
          </cell>
          <cell r="D985" t="str">
            <v>RH10082F409</v>
          </cell>
          <cell r="E985">
            <v>4</v>
          </cell>
        </row>
        <row r="986">
          <cell r="C986" t="str">
            <v>B572298/A</v>
          </cell>
          <cell r="D986" t="str">
            <v>RH10175F382</v>
          </cell>
          <cell r="E986">
            <v>5</v>
          </cell>
        </row>
        <row r="987">
          <cell r="C987" t="str">
            <v>B572300/A</v>
          </cell>
          <cell r="D987" t="str">
            <v>RH10175F383</v>
          </cell>
          <cell r="E987">
            <v>7</v>
          </cell>
        </row>
        <row r="988">
          <cell r="C988" t="str">
            <v>B572303/A</v>
          </cell>
          <cell r="D988" t="str">
            <v>RH10175F384</v>
          </cell>
          <cell r="E988">
            <v>3</v>
          </cell>
        </row>
        <row r="989">
          <cell r="C989" t="str">
            <v>B572307/A</v>
          </cell>
          <cell r="D989" t="str">
            <v>RH10175F409</v>
          </cell>
          <cell r="E989">
            <v>11</v>
          </cell>
        </row>
        <row r="990">
          <cell r="C990" t="str">
            <v>B572362/A</v>
          </cell>
          <cell r="D990" t="str">
            <v>RH1110F05</v>
          </cell>
          <cell r="E990">
            <v>28</v>
          </cell>
        </row>
        <row r="991">
          <cell r="C991" t="str">
            <v>B572364/A</v>
          </cell>
          <cell r="D991" t="str">
            <v>RH1110F05</v>
          </cell>
          <cell r="E991">
            <v>27</v>
          </cell>
        </row>
        <row r="992">
          <cell r="C992" t="str">
            <v>B572644/A</v>
          </cell>
          <cell r="D992" t="str">
            <v>RH1562-BNF95.BC</v>
          </cell>
          <cell r="E992">
            <v>1</v>
          </cell>
        </row>
        <row r="993">
          <cell r="C993" t="str">
            <v>B572646/A</v>
          </cell>
          <cell r="D993" t="str">
            <v>RH1612NF73.BC</v>
          </cell>
          <cell r="E993">
            <v>1</v>
          </cell>
        </row>
        <row r="994">
          <cell r="C994" t="str">
            <v>B572359/A</v>
          </cell>
          <cell r="D994" t="str">
            <v>RH1658-TF40</v>
          </cell>
          <cell r="E994">
            <v>10</v>
          </cell>
        </row>
        <row r="995">
          <cell r="C995" t="str">
            <v>B572360/A</v>
          </cell>
          <cell r="D995" t="str">
            <v>RH1658-TF40</v>
          </cell>
          <cell r="E995">
            <v>10</v>
          </cell>
        </row>
        <row r="996">
          <cell r="C996" t="str">
            <v>B572648/A</v>
          </cell>
          <cell r="D996" t="str">
            <v>RH2417F40.BC</v>
          </cell>
          <cell r="E996">
            <v>1</v>
          </cell>
        </row>
        <row r="997">
          <cell r="C997" t="str">
            <v>B572482/A</v>
          </cell>
          <cell r="D997" t="str">
            <v>RH3354NF09</v>
          </cell>
          <cell r="E997">
            <v>10</v>
          </cell>
        </row>
        <row r="998">
          <cell r="C998" t="str">
            <v>B572483/A</v>
          </cell>
          <cell r="D998" t="str">
            <v>RH3354NF09</v>
          </cell>
          <cell r="E998">
            <v>10</v>
          </cell>
        </row>
        <row r="999">
          <cell r="C999" t="str">
            <v>B572569/A</v>
          </cell>
          <cell r="D999" t="str">
            <v>RH3438NF130</v>
          </cell>
          <cell r="E999">
            <v>11</v>
          </cell>
        </row>
        <row r="1000">
          <cell r="C1000" t="str">
            <v>B572501/A</v>
          </cell>
          <cell r="D1000" t="str">
            <v>RH3438NF130</v>
          </cell>
          <cell r="E1000">
            <v>11</v>
          </cell>
        </row>
        <row r="1001">
          <cell r="C1001" t="str">
            <v>B569820/A</v>
          </cell>
          <cell r="D1001" t="str">
            <v>RH3451F152.BC</v>
          </cell>
          <cell r="E1001">
            <v>28</v>
          </cell>
        </row>
        <row r="1002">
          <cell r="C1002" t="str">
            <v>B572490/A</v>
          </cell>
          <cell r="D1002" t="str">
            <v>RH345F01</v>
          </cell>
          <cell r="E1002">
            <v>10</v>
          </cell>
        </row>
        <row r="1003">
          <cell r="C1003" t="str">
            <v>B572491/A</v>
          </cell>
          <cell r="D1003" t="str">
            <v>RH345F01</v>
          </cell>
          <cell r="E1003">
            <v>10</v>
          </cell>
        </row>
        <row r="1004">
          <cell r="C1004" t="str">
            <v>B572635/A</v>
          </cell>
          <cell r="D1004" t="str">
            <v>RH3551F29-32028</v>
          </cell>
          <cell r="E1004">
            <v>4</v>
          </cell>
        </row>
        <row r="1005">
          <cell r="C1005" t="str">
            <v>B572636/A</v>
          </cell>
          <cell r="D1005" t="str">
            <v>RH3551F29-32028</v>
          </cell>
          <cell r="E1005">
            <v>4</v>
          </cell>
        </row>
        <row r="1006">
          <cell r="C1006" t="str">
            <v>B572637/A</v>
          </cell>
          <cell r="D1006" t="str">
            <v>RH3551F29-32028</v>
          </cell>
          <cell r="E1006">
            <v>6</v>
          </cell>
        </row>
        <row r="1007">
          <cell r="C1007" t="str">
            <v>B572638/A</v>
          </cell>
          <cell r="D1007" t="str">
            <v>RH3551F29-32028</v>
          </cell>
          <cell r="E1007">
            <v>6</v>
          </cell>
        </row>
        <row r="1008">
          <cell r="C1008" t="str">
            <v>B572494/A</v>
          </cell>
          <cell r="D1008" t="str">
            <v>RH404F03</v>
          </cell>
          <cell r="E1008">
            <v>14</v>
          </cell>
        </row>
        <row r="1009">
          <cell r="C1009" t="str">
            <v>B572495/A</v>
          </cell>
          <cell r="D1009" t="str">
            <v>RH404F03</v>
          </cell>
          <cell r="E1009">
            <v>15</v>
          </cell>
        </row>
        <row r="1010">
          <cell r="C1010" t="str">
            <v>B572574/A</v>
          </cell>
          <cell r="D1010" t="str">
            <v>RH4086F26</v>
          </cell>
          <cell r="E1010">
            <v>4</v>
          </cell>
        </row>
        <row r="1011">
          <cell r="C1011" t="str">
            <v>B572368/A</v>
          </cell>
          <cell r="D1011" t="str">
            <v>RH4086F26</v>
          </cell>
          <cell r="E1011">
            <v>1</v>
          </cell>
        </row>
        <row r="1012">
          <cell r="C1012" t="str">
            <v>B572575/A</v>
          </cell>
          <cell r="D1012" t="str">
            <v>RH4086F26</v>
          </cell>
          <cell r="E1012">
            <v>4</v>
          </cell>
        </row>
        <row r="1013">
          <cell r="C1013" t="str">
            <v>B572576/A</v>
          </cell>
          <cell r="D1013" t="str">
            <v>RH4086F26</v>
          </cell>
          <cell r="E1013">
            <v>6</v>
          </cell>
        </row>
        <row r="1014">
          <cell r="C1014" t="str">
            <v>B572577/A</v>
          </cell>
          <cell r="D1014" t="str">
            <v>RH4086F26</v>
          </cell>
          <cell r="E1014">
            <v>6</v>
          </cell>
        </row>
        <row r="1015">
          <cell r="C1015" t="str">
            <v>B572580/A</v>
          </cell>
          <cell r="D1015" t="str">
            <v>RH5139F08.BC</v>
          </cell>
          <cell r="E1015">
            <v>10</v>
          </cell>
        </row>
        <row r="1016">
          <cell r="C1016" t="str">
            <v>B572581/A</v>
          </cell>
          <cell r="D1016" t="str">
            <v>RH5139F08.BC</v>
          </cell>
          <cell r="E1016">
            <v>10</v>
          </cell>
        </row>
        <row r="1017">
          <cell r="C1017" t="str">
            <v>B572370/A</v>
          </cell>
          <cell r="D1017" t="str">
            <v>RH5362F38BN</v>
          </cell>
          <cell r="E1017">
            <v>1</v>
          </cell>
        </row>
        <row r="1018">
          <cell r="C1018" t="str">
            <v>B572583/A</v>
          </cell>
          <cell r="D1018" t="str">
            <v>RH569AF08</v>
          </cell>
          <cell r="E1018">
            <v>5</v>
          </cell>
        </row>
        <row r="1019">
          <cell r="C1019" t="str">
            <v>B572503/A</v>
          </cell>
          <cell r="D1019" t="str">
            <v>RH6998F383</v>
          </cell>
          <cell r="E1019">
            <v>9</v>
          </cell>
        </row>
        <row r="1020">
          <cell r="C1020" t="str">
            <v>B572505/A</v>
          </cell>
          <cell r="D1020" t="str">
            <v>RH6998F409</v>
          </cell>
          <cell r="E1020">
            <v>25</v>
          </cell>
        </row>
        <row r="1021">
          <cell r="C1021" t="str">
            <v>B572507/A</v>
          </cell>
          <cell r="D1021" t="str">
            <v>RH7151F409</v>
          </cell>
          <cell r="E1021">
            <v>52</v>
          </cell>
        </row>
        <row r="1022">
          <cell r="C1022" t="str">
            <v>B572590/A</v>
          </cell>
          <cell r="D1022" t="str">
            <v>RH7333F381</v>
          </cell>
          <cell r="E1022">
            <v>2</v>
          </cell>
        </row>
        <row r="1023">
          <cell r="C1023" t="str">
            <v>B572591/A</v>
          </cell>
          <cell r="D1023" t="str">
            <v>RH7333F381</v>
          </cell>
          <cell r="E1023">
            <v>2</v>
          </cell>
        </row>
        <row r="1024">
          <cell r="C1024" t="str">
            <v>B572593/A</v>
          </cell>
          <cell r="D1024" t="str">
            <v>RH7333F382</v>
          </cell>
          <cell r="E1024">
            <v>1</v>
          </cell>
        </row>
        <row r="1025">
          <cell r="C1025" t="str">
            <v>B572509/A</v>
          </cell>
          <cell r="D1025" t="str">
            <v>RH7374F409</v>
          </cell>
          <cell r="E1025">
            <v>5</v>
          </cell>
        </row>
        <row r="1026">
          <cell r="C1026" t="str">
            <v>B572511/A</v>
          </cell>
          <cell r="D1026" t="str">
            <v>RH850AF26</v>
          </cell>
          <cell r="E1026">
            <v>10</v>
          </cell>
        </row>
        <row r="1027">
          <cell r="C1027" t="str">
            <v>B572595/A</v>
          </cell>
          <cell r="D1027" t="str">
            <v>RH850AF26</v>
          </cell>
          <cell r="E1027">
            <v>10</v>
          </cell>
        </row>
        <row r="1028">
          <cell r="C1028" t="str">
            <v>B572597/A</v>
          </cell>
          <cell r="D1028" t="str">
            <v>RH9282F402</v>
          </cell>
          <cell r="E1028">
            <v>1</v>
          </cell>
        </row>
        <row r="1029">
          <cell r="C1029" t="str">
            <v>B572599/A</v>
          </cell>
          <cell r="D1029" t="str">
            <v>RH9282F403</v>
          </cell>
          <cell r="E1029">
            <v>4</v>
          </cell>
        </row>
        <row r="1030">
          <cell r="C1030" t="str">
            <v>B572513/A</v>
          </cell>
          <cell r="D1030" t="str">
            <v>RH9283F404</v>
          </cell>
          <cell r="E1030">
            <v>2</v>
          </cell>
        </row>
        <row r="1031">
          <cell r="C1031" t="str">
            <v>B572515/A</v>
          </cell>
          <cell r="D1031" t="str">
            <v>RH9283F408</v>
          </cell>
          <cell r="E1031">
            <v>11</v>
          </cell>
        </row>
        <row r="1032">
          <cell r="C1032" t="str">
            <v>B572604/A</v>
          </cell>
          <cell r="D1032" t="str">
            <v>RH9362F409</v>
          </cell>
          <cell r="E1032">
            <v>5</v>
          </cell>
        </row>
        <row r="1033">
          <cell r="C1033" t="str">
            <v>B572517/A</v>
          </cell>
          <cell r="D1033" t="str">
            <v>RH9533F423</v>
          </cell>
          <cell r="E1033">
            <v>35</v>
          </cell>
        </row>
        <row r="1034">
          <cell r="C1034" t="str">
            <v>B572519/A</v>
          </cell>
          <cell r="D1034" t="str">
            <v>RH9533F424</v>
          </cell>
          <cell r="E1034">
            <v>13</v>
          </cell>
        </row>
        <row r="1035">
          <cell r="C1035" t="str">
            <v>B572521/A</v>
          </cell>
          <cell r="D1035" t="str">
            <v>RH9533F425</v>
          </cell>
          <cell r="E1035">
            <v>3</v>
          </cell>
        </row>
        <row r="1036">
          <cell r="C1036" t="str">
            <v>B572523/A</v>
          </cell>
          <cell r="D1036" t="str">
            <v>RH9533F426</v>
          </cell>
          <cell r="E1036">
            <v>2</v>
          </cell>
        </row>
        <row r="1037">
          <cell r="C1037" t="str">
            <v>B572606/A</v>
          </cell>
          <cell r="D1037" t="str">
            <v>RH9536NF423</v>
          </cell>
          <cell r="E1037">
            <v>20</v>
          </cell>
        </row>
        <row r="1038">
          <cell r="C1038" t="str">
            <v>B572608/A</v>
          </cell>
          <cell r="D1038" t="str">
            <v>RH9536NF424</v>
          </cell>
          <cell r="E1038">
            <v>2</v>
          </cell>
        </row>
        <row r="1039">
          <cell r="C1039" t="str">
            <v>B572610/A</v>
          </cell>
          <cell r="D1039" t="str">
            <v>RH9536NF425</v>
          </cell>
          <cell r="E1039">
            <v>7</v>
          </cell>
        </row>
        <row r="1040">
          <cell r="C1040" t="str">
            <v>B572612/A</v>
          </cell>
          <cell r="D1040" t="str">
            <v>RH9537NF424</v>
          </cell>
          <cell r="E1040">
            <v>5</v>
          </cell>
        </row>
        <row r="1041">
          <cell r="C1041" t="str">
            <v>B572525/A</v>
          </cell>
          <cell r="D1041" t="str">
            <v>RH9841F423</v>
          </cell>
          <cell r="E1041">
            <v>97</v>
          </cell>
        </row>
        <row r="1042">
          <cell r="C1042" t="str">
            <v>B572615/A</v>
          </cell>
          <cell r="D1042" t="str">
            <v>RH9856F423</v>
          </cell>
          <cell r="E1042">
            <v>18</v>
          </cell>
        </row>
        <row r="1043">
          <cell r="C1043" t="str">
            <v>B572616/A</v>
          </cell>
          <cell r="D1043" t="str">
            <v>RH9856F423</v>
          </cell>
          <cell r="E1043">
            <v>19</v>
          </cell>
        </row>
        <row r="1044">
          <cell r="C1044" t="str">
            <v>B572619/A</v>
          </cell>
          <cell r="D1044" t="str">
            <v>RH9856F426</v>
          </cell>
          <cell r="E1044">
            <v>1</v>
          </cell>
        </row>
        <row r="1045">
          <cell r="C1045" t="str">
            <v>B572620/A</v>
          </cell>
          <cell r="D1045" t="str">
            <v>RH9856F426</v>
          </cell>
          <cell r="E1045">
            <v>1</v>
          </cell>
        </row>
        <row r="1046">
          <cell r="C1046" t="str">
            <v>B572527/A</v>
          </cell>
          <cell r="D1046" t="str">
            <v>RH9863F423</v>
          </cell>
          <cell r="E1046">
            <v>16</v>
          </cell>
        </row>
        <row r="1047">
          <cell r="C1047" t="str">
            <v>B572529/A</v>
          </cell>
          <cell r="D1047" t="str">
            <v>RH9863F424</v>
          </cell>
          <cell r="E1047">
            <v>21</v>
          </cell>
        </row>
        <row r="1048">
          <cell r="C1048" t="str">
            <v>B572531/A</v>
          </cell>
          <cell r="D1048" t="str">
            <v>RH9863F425</v>
          </cell>
          <cell r="E1048">
            <v>7</v>
          </cell>
        </row>
        <row r="1049">
          <cell r="C1049" t="str">
            <v>B572533/A</v>
          </cell>
          <cell r="D1049" t="str">
            <v>RH9863F426</v>
          </cell>
          <cell r="E1049">
            <v>25</v>
          </cell>
        </row>
        <row r="1050">
          <cell r="C1050" t="str">
            <v>B572536/A</v>
          </cell>
          <cell r="D1050" t="str">
            <v>RH9864F424</v>
          </cell>
          <cell r="E1050">
            <v>1</v>
          </cell>
        </row>
        <row r="1051">
          <cell r="C1051" t="str">
            <v>B572537/A</v>
          </cell>
          <cell r="D1051" t="str">
            <v>RH9864F424</v>
          </cell>
          <cell r="E1051">
            <v>2</v>
          </cell>
        </row>
        <row r="1052">
          <cell r="C1052" t="str">
            <v>B572540/A</v>
          </cell>
          <cell r="D1052" t="str">
            <v>RH9864F425</v>
          </cell>
          <cell r="E1052">
            <v>3</v>
          </cell>
        </row>
        <row r="1053">
          <cell r="C1053" t="str">
            <v>B572541/A</v>
          </cell>
          <cell r="D1053" t="str">
            <v>RH9864F425</v>
          </cell>
          <cell r="E1053">
            <v>4</v>
          </cell>
        </row>
        <row r="1054">
          <cell r="C1054" t="str">
            <v>B572623/A</v>
          </cell>
          <cell r="D1054" t="str">
            <v>RH9865F425</v>
          </cell>
          <cell r="E1054">
            <v>4</v>
          </cell>
        </row>
        <row r="1055">
          <cell r="C1055" t="str">
            <v>B572624/A</v>
          </cell>
          <cell r="D1055" t="str">
            <v>RH9865F425</v>
          </cell>
          <cell r="E1055">
            <v>5</v>
          </cell>
        </row>
        <row r="1056">
          <cell r="C1056" t="str">
            <v>B572543/A</v>
          </cell>
          <cell r="D1056" t="str">
            <v>RH9868F423</v>
          </cell>
          <cell r="E1056">
            <v>24</v>
          </cell>
        </row>
        <row r="1057">
          <cell r="C1057" t="str">
            <v>B572545/A</v>
          </cell>
          <cell r="D1057" t="str">
            <v>RH9868F424</v>
          </cell>
          <cell r="E1057">
            <v>10</v>
          </cell>
        </row>
        <row r="1058">
          <cell r="C1058" t="str">
            <v>B572547/A</v>
          </cell>
          <cell r="D1058" t="str">
            <v>RH9868F425</v>
          </cell>
          <cell r="E1058">
            <v>14</v>
          </cell>
        </row>
        <row r="1059">
          <cell r="C1059" t="str">
            <v>B572549/A</v>
          </cell>
          <cell r="D1059" t="str">
            <v>RH9868F426</v>
          </cell>
          <cell r="E1059">
            <v>18</v>
          </cell>
        </row>
        <row r="1060">
          <cell r="C1060" t="str">
            <v>B572626/A</v>
          </cell>
          <cell r="D1060" t="str">
            <v>RH9882F425</v>
          </cell>
          <cell r="E1060">
            <v>2</v>
          </cell>
        </row>
        <row r="1061">
          <cell r="C1061" t="str">
            <v>B572629/A</v>
          </cell>
          <cell r="D1061" t="str">
            <v>RH9882F426</v>
          </cell>
          <cell r="E1061">
            <v>4</v>
          </cell>
        </row>
        <row r="1062">
          <cell r="C1062" t="str">
            <v>B572630/A</v>
          </cell>
          <cell r="D1062" t="str">
            <v>RH9882F426</v>
          </cell>
          <cell r="E1062">
            <v>5</v>
          </cell>
        </row>
        <row r="1063">
          <cell r="C1063" t="str">
            <v>B572551/A</v>
          </cell>
          <cell r="D1063" t="str">
            <v>RH9888F423</v>
          </cell>
          <cell r="E1063">
            <v>22</v>
          </cell>
        </row>
        <row r="1064">
          <cell r="C1064" t="str">
            <v>B572553/A</v>
          </cell>
          <cell r="D1064" t="str">
            <v>RH9888F425</v>
          </cell>
          <cell r="E1064">
            <v>3</v>
          </cell>
        </row>
        <row r="1065">
          <cell r="C1065" t="str">
            <v>B572555/A</v>
          </cell>
          <cell r="D1065" t="str">
            <v>RH9888F426</v>
          </cell>
          <cell r="E1065">
            <v>11</v>
          </cell>
        </row>
        <row r="1066">
          <cell r="C1066" t="str">
            <v>B572557/A</v>
          </cell>
          <cell r="D1066" t="str">
            <v>RH9976NF382</v>
          </cell>
          <cell r="E1066">
            <v>4</v>
          </cell>
        </row>
        <row r="1067">
          <cell r="C1067" t="str">
            <v>B572559/A</v>
          </cell>
          <cell r="D1067" t="str">
            <v>RH9976NF383</v>
          </cell>
          <cell r="E1067">
            <v>6</v>
          </cell>
        </row>
        <row r="1068">
          <cell r="C1068" t="str">
            <v>B572561/A</v>
          </cell>
          <cell r="D1068" t="str">
            <v>RH9976NF384</v>
          </cell>
          <cell r="E1068">
            <v>3</v>
          </cell>
        </row>
        <row r="1069">
          <cell r="C1069" t="str">
            <v>B572563/A</v>
          </cell>
          <cell r="D1069" t="str">
            <v>RH9976NF409</v>
          </cell>
          <cell r="E1069">
            <v>9</v>
          </cell>
        </row>
        <row r="1070">
          <cell r="C1070" t="str">
            <v>B572566/A</v>
          </cell>
          <cell r="D1070" t="str">
            <v>SH484F506-BASE</v>
          </cell>
          <cell r="E1070">
            <v>20</v>
          </cell>
        </row>
        <row r="1071">
          <cell r="C1071" t="str">
            <v>B572567/A</v>
          </cell>
          <cell r="D1071" t="str">
            <v>SH484F506-BASE</v>
          </cell>
          <cell r="E1071">
            <v>10</v>
          </cell>
        </row>
        <row r="1072">
          <cell r="C1072" t="str">
            <v>B567612/A</v>
          </cell>
          <cell r="D1072" t="str">
            <v>SH484F506-TOP</v>
          </cell>
          <cell r="E1072">
            <v>20</v>
          </cell>
        </row>
        <row r="1073">
          <cell r="C1073" t="str">
            <v>B567613/A</v>
          </cell>
          <cell r="D1073" t="str">
            <v>SH484F506-TOP</v>
          </cell>
          <cell r="E1073">
            <v>10</v>
          </cell>
        </row>
        <row r="1074">
          <cell r="C1074" t="str">
            <v>B567615/A</v>
          </cell>
          <cell r="D1074" t="str">
            <v>SH627F846</v>
          </cell>
          <cell r="E1074">
            <v>30</v>
          </cell>
        </row>
        <row r="1075">
          <cell r="C1075" t="str">
            <v>B567619/A</v>
          </cell>
          <cell r="D1075" t="str">
            <v>SH758F521</v>
          </cell>
          <cell r="E1075">
            <v>20</v>
          </cell>
        </row>
        <row r="1076">
          <cell r="C1076" t="str">
            <v>B567618/A</v>
          </cell>
          <cell r="D1076" t="str">
            <v>SH758F521</v>
          </cell>
          <cell r="E1076">
            <v>28</v>
          </cell>
        </row>
        <row r="1077">
          <cell r="C1077" t="str">
            <v>B572208/A</v>
          </cell>
          <cell r="D1077" t="str">
            <v>BN2929F356</v>
          </cell>
          <cell r="E1077">
            <v>108</v>
          </cell>
        </row>
        <row r="1078">
          <cell r="C1078" t="str">
            <v>B572681/A</v>
          </cell>
          <cell r="D1078" t="str">
            <v>CT008F610-DWBT3</v>
          </cell>
          <cell r="E1078">
            <v>1</v>
          </cell>
        </row>
        <row r="1079">
          <cell r="C1079" t="str">
            <v>B568711/A</v>
          </cell>
          <cell r="D1079" t="str">
            <v>RH10179F382.EU</v>
          </cell>
          <cell r="E1079">
            <v>108</v>
          </cell>
        </row>
        <row r="1080">
          <cell r="C1080" t="str">
            <v>B568727/A</v>
          </cell>
          <cell r="D1080" t="str">
            <v>RH10179F382.EU</v>
          </cell>
          <cell r="E1080">
            <v>108</v>
          </cell>
        </row>
        <row r="1081">
          <cell r="C1081" t="str">
            <v>B568713/A</v>
          </cell>
          <cell r="D1081" t="str">
            <v>RH10179F383.EU</v>
          </cell>
          <cell r="E1081">
            <v>108</v>
          </cell>
        </row>
        <row r="1082">
          <cell r="C1082" t="str">
            <v>B568729/A</v>
          </cell>
          <cell r="D1082" t="str">
            <v>RH10179F383.EU</v>
          </cell>
          <cell r="E1082">
            <v>108</v>
          </cell>
        </row>
        <row r="1083">
          <cell r="C1083" t="str">
            <v>B568715/A</v>
          </cell>
          <cell r="D1083" t="str">
            <v>RH10179F384.EU</v>
          </cell>
          <cell r="E1083">
            <v>108</v>
          </cell>
        </row>
        <row r="1084">
          <cell r="C1084" t="str">
            <v>B568731/A</v>
          </cell>
          <cell r="D1084" t="str">
            <v>RH10179F384.EU</v>
          </cell>
          <cell r="E1084">
            <v>108</v>
          </cell>
        </row>
        <row r="1085">
          <cell r="C1085" t="str">
            <v>B568717/A</v>
          </cell>
          <cell r="D1085" t="str">
            <v>RH10179F409.EU</v>
          </cell>
          <cell r="E1085">
            <v>108</v>
          </cell>
        </row>
        <row r="1086">
          <cell r="C1086" t="str">
            <v>B568733/A</v>
          </cell>
          <cell r="D1086" t="str">
            <v>RH10179F409.EU</v>
          </cell>
          <cell r="E1086">
            <v>108</v>
          </cell>
        </row>
        <row r="1087">
          <cell r="C1087" t="str">
            <v>B572366/A</v>
          </cell>
          <cell r="D1087" t="str">
            <v>RH1157NF26-SHEL</v>
          </cell>
          <cell r="E1087">
            <v>1</v>
          </cell>
        </row>
        <row r="1088">
          <cell r="C1088" t="str">
            <v>B572479/A</v>
          </cell>
          <cell r="D1088" t="str">
            <v>RH2006AF95-EPNS</v>
          </cell>
          <cell r="E1088">
            <v>1</v>
          </cell>
        </row>
        <row r="1089">
          <cell r="C1089" t="str">
            <v>B572485/A</v>
          </cell>
          <cell r="D1089" t="str">
            <v>RH337F01-SRLH</v>
          </cell>
          <cell r="E1089">
            <v>1</v>
          </cell>
        </row>
        <row r="1090">
          <cell r="C1090" t="str">
            <v>B572487/A</v>
          </cell>
          <cell r="D1090" t="str">
            <v>RH337F01-SRRH</v>
          </cell>
          <cell r="E1090">
            <v>1</v>
          </cell>
        </row>
        <row r="1091">
          <cell r="C1091" t="str">
            <v>B572497/A</v>
          </cell>
          <cell r="D1091" t="str">
            <v>RH7591F409</v>
          </cell>
          <cell r="E1091">
            <v>108</v>
          </cell>
        </row>
        <row r="1092">
          <cell r="C1092" t="str">
            <v>B572499/A</v>
          </cell>
          <cell r="D1092" t="str">
            <v>RH9950F423</v>
          </cell>
          <cell r="E1092">
            <v>108</v>
          </cell>
        </row>
        <row r="1093">
          <cell r="C1093" t="str">
            <v>B573273/A</v>
          </cell>
          <cell r="D1093" t="str">
            <v>SH293FMT02.UK-1594</v>
          </cell>
          <cell r="E1093">
            <v>30</v>
          </cell>
        </row>
        <row r="1094">
          <cell r="C1094" t="str">
            <v>B573277/A</v>
          </cell>
          <cell r="D1094" t="str">
            <v>SH293FMT02.UK-1486</v>
          </cell>
          <cell r="E1094">
            <v>30</v>
          </cell>
        </row>
        <row r="1095">
          <cell r="C1095" t="str">
            <v>B573282/A</v>
          </cell>
          <cell r="D1095" t="str">
            <v>SH293FMT02-1594</v>
          </cell>
          <cell r="E1095">
            <v>30</v>
          </cell>
        </row>
        <row r="1096">
          <cell r="C1096" t="str">
            <v>B573285/A</v>
          </cell>
          <cell r="D1096" t="str">
            <v>SH293FMT02-1486</v>
          </cell>
          <cell r="E1096">
            <v>30</v>
          </cell>
        </row>
        <row r="1097">
          <cell r="C1097" t="str">
            <v>B574110/A</v>
          </cell>
          <cell r="D1097" t="str">
            <v>AR463F906-BASE</v>
          </cell>
          <cell r="E1097">
            <v>18</v>
          </cell>
        </row>
        <row r="1098">
          <cell r="C1098" t="str">
            <v>B574111/A</v>
          </cell>
          <cell r="D1098" t="str">
            <v>AR463F906-BASE</v>
          </cell>
          <cell r="E1098">
            <v>7</v>
          </cell>
        </row>
        <row r="1099">
          <cell r="C1099" t="str">
            <v>B572354/A</v>
          </cell>
          <cell r="D1099" t="str">
            <v>RH10499F350TR</v>
          </cell>
          <cell r="E1099">
            <v>306</v>
          </cell>
        </row>
        <row r="1100">
          <cell r="C1100" t="str">
            <v>B572356/A</v>
          </cell>
          <cell r="D1100" t="str">
            <v>RH10501NF350TR</v>
          </cell>
          <cell r="E1100">
            <v>50</v>
          </cell>
        </row>
        <row r="1101">
          <cell r="C1101" t="str">
            <v>B572585/A</v>
          </cell>
          <cell r="D1101" t="str">
            <v>RH5791NF350TR</v>
          </cell>
          <cell r="E1101">
            <v>108</v>
          </cell>
        </row>
        <row r="1102">
          <cell r="C1102" t="str">
            <v>B572587/A</v>
          </cell>
          <cell r="D1102" t="str">
            <v>RH7268F374TR</v>
          </cell>
          <cell r="E1102">
            <v>108</v>
          </cell>
        </row>
        <row r="1103">
          <cell r="C1103" t="str">
            <v>B574114/A</v>
          </cell>
          <cell r="D1103" t="str">
            <v>AR110F834-BASE</v>
          </cell>
          <cell r="E1103">
            <v>31</v>
          </cell>
        </row>
        <row r="1104">
          <cell r="C1104" t="str">
            <v>B574115/A</v>
          </cell>
          <cell r="D1104" t="str">
            <v>AR110F834-BASE</v>
          </cell>
          <cell r="E1104">
            <v>24</v>
          </cell>
        </row>
        <row r="1105">
          <cell r="C1105" t="str">
            <v>B574118/A</v>
          </cell>
          <cell r="D1105" t="str">
            <v>AR110F906-BASE</v>
          </cell>
          <cell r="E1105">
            <v>60</v>
          </cell>
        </row>
        <row r="1106">
          <cell r="C1106" t="str">
            <v>B574119/A</v>
          </cell>
          <cell r="D1106" t="str">
            <v>AR110F906-BASE</v>
          </cell>
          <cell r="E1106">
            <v>25</v>
          </cell>
        </row>
        <row r="1107">
          <cell r="C1107" t="str">
            <v>B574105/A</v>
          </cell>
          <cell r="D1107" t="str">
            <v>AR125F834-BASE</v>
          </cell>
          <cell r="E1107">
            <v>70</v>
          </cell>
        </row>
        <row r="1108">
          <cell r="C1108" t="str">
            <v>B574107/A</v>
          </cell>
          <cell r="D1108" t="str">
            <v>AR125F906-BASE</v>
          </cell>
          <cell r="E1108">
            <v>40</v>
          </cell>
        </row>
        <row r="1109">
          <cell r="C1109" t="str">
            <v>B574122/A</v>
          </cell>
          <cell r="D1109" t="str">
            <v>AR127NF834-BASE</v>
          </cell>
          <cell r="E1109">
            <v>42</v>
          </cell>
        </row>
        <row r="1110">
          <cell r="C1110" t="str">
            <v>B574123/A</v>
          </cell>
          <cell r="D1110" t="str">
            <v>AR127NF834-BASE</v>
          </cell>
          <cell r="E1110">
            <v>18</v>
          </cell>
        </row>
        <row r="1111">
          <cell r="C1111" t="str">
            <v>B573689/A</v>
          </cell>
          <cell r="D1111" t="str">
            <v>AR352NF906</v>
          </cell>
          <cell r="E1111">
            <v>19</v>
          </cell>
        </row>
        <row r="1112">
          <cell r="C1112" t="str">
            <v>B573690/A</v>
          </cell>
          <cell r="D1112" t="str">
            <v>AR352NF906</v>
          </cell>
          <cell r="E1112">
            <v>6</v>
          </cell>
        </row>
        <row r="1113">
          <cell r="C1113" t="str">
            <v>B573693/A</v>
          </cell>
          <cell r="D1113" t="str">
            <v>AR372AF1049</v>
          </cell>
          <cell r="E1113">
            <v>18</v>
          </cell>
        </row>
        <row r="1114">
          <cell r="C1114" t="str">
            <v>B573694/A</v>
          </cell>
          <cell r="D1114" t="str">
            <v>AR372AF1049</v>
          </cell>
          <cell r="E1114">
            <v>7</v>
          </cell>
        </row>
        <row r="1115">
          <cell r="C1115" t="str">
            <v>B573697/A</v>
          </cell>
          <cell r="D1115" t="str">
            <v>AR372AF906</v>
          </cell>
          <cell r="E1115">
            <v>18</v>
          </cell>
        </row>
        <row r="1116">
          <cell r="C1116" t="str">
            <v>B573698/A</v>
          </cell>
          <cell r="D1116" t="str">
            <v>AR372AF906</v>
          </cell>
          <cell r="E1116">
            <v>7</v>
          </cell>
        </row>
        <row r="1117">
          <cell r="C1117" t="str">
            <v>B573701/A</v>
          </cell>
          <cell r="D1117" t="str">
            <v>AT383F00</v>
          </cell>
          <cell r="E1117">
            <v>25</v>
          </cell>
        </row>
        <row r="1118">
          <cell r="C1118" t="str">
            <v>B573702/A</v>
          </cell>
          <cell r="D1118" t="str">
            <v>AT383F00</v>
          </cell>
          <cell r="E1118">
            <v>25</v>
          </cell>
        </row>
        <row r="1119">
          <cell r="C1119" t="str">
            <v>B573704/A</v>
          </cell>
          <cell r="D1119" t="str">
            <v>AT384F00</v>
          </cell>
          <cell r="E1119">
            <v>75</v>
          </cell>
        </row>
        <row r="1120">
          <cell r="C1120" t="str">
            <v>B567623/A</v>
          </cell>
          <cell r="D1120" t="str">
            <v>AT418F00</v>
          </cell>
          <cell r="E1120">
            <v>50</v>
          </cell>
        </row>
        <row r="1121">
          <cell r="C1121" t="str">
            <v>B567622/A</v>
          </cell>
          <cell r="D1121" t="str">
            <v>AT418F00</v>
          </cell>
          <cell r="E1121">
            <v>50</v>
          </cell>
        </row>
        <row r="1122">
          <cell r="C1122" t="str">
            <v>B573746/A</v>
          </cell>
          <cell r="D1122" t="str">
            <v>AT479NF00</v>
          </cell>
          <cell r="E1122">
            <v>30</v>
          </cell>
        </row>
        <row r="1123">
          <cell r="C1123" t="str">
            <v>B573749/A</v>
          </cell>
          <cell r="D1123" t="str">
            <v>AT481F00</v>
          </cell>
          <cell r="E1123">
            <v>35</v>
          </cell>
        </row>
        <row r="1124">
          <cell r="C1124" t="str">
            <v>B573750/A</v>
          </cell>
          <cell r="D1124" t="str">
            <v>AT481F00</v>
          </cell>
          <cell r="E1124">
            <v>35</v>
          </cell>
        </row>
        <row r="1125">
          <cell r="C1125" t="str">
            <v>B573707/A</v>
          </cell>
          <cell r="D1125" t="str">
            <v>AT481F00</v>
          </cell>
          <cell r="E1125">
            <v>30</v>
          </cell>
        </row>
        <row r="1126">
          <cell r="C1126" t="str">
            <v>B573711/A</v>
          </cell>
          <cell r="D1126" t="str">
            <v>AT522NF00</v>
          </cell>
          <cell r="E1126">
            <v>25</v>
          </cell>
        </row>
        <row r="1127">
          <cell r="C1127" t="str">
            <v>B573713/A</v>
          </cell>
          <cell r="D1127" t="str">
            <v>AT522NF00</v>
          </cell>
          <cell r="E1127">
            <v>25</v>
          </cell>
        </row>
        <row r="1128">
          <cell r="C1128" t="str">
            <v>B573752/A</v>
          </cell>
          <cell r="D1128" t="str">
            <v>AT522NF00</v>
          </cell>
          <cell r="E1128">
            <v>25</v>
          </cell>
        </row>
        <row r="1129">
          <cell r="C1129" t="str">
            <v>B573714/A</v>
          </cell>
          <cell r="D1129" t="str">
            <v>AT522NF00</v>
          </cell>
          <cell r="E1129">
            <v>50</v>
          </cell>
        </row>
        <row r="1130">
          <cell r="C1130" t="str">
            <v>B573716/A</v>
          </cell>
          <cell r="D1130" t="str">
            <v>AT573F00</v>
          </cell>
          <cell r="E1130">
            <v>50</v>
          </cell>
        </row>
        <row r="1131">
          <cell r="C1131" t="str">
            <v>B573754/A</v>
          </cell>
          <cell r="D1131" t="str">
            <v>AT632F00</v>
          </cell>
          <cell r="E1131">
            <v>25</v>
          </cell>
        </row>
        <row r="1132">
          <cell r="C1132" t="str">
            <v>B567625/A</v>
          </cell>
          <cell r="D1132" t="str">
            <v>AT646F00</v>
          </cell>
          <cell r="E1132">
            <v>40</v>
          </cell>
        </row>
        <row r="1133">
          <cell r="C1133" t="str">
            <v>B573756/A</v>
          </cell>
          <cell r="D1133" t="str">
            <v>AT665NF00</v>
          </cell>
          <cell r="E1133">
            <v>25</v>
          </cell>
        </row>
        <row r="1134">
          <cell r="C1134" t="str">
            <v>B573614/A</v>
          </cell>
          <cell r="D1134" t="str">
            <v>BN1596F38</v>
          </cell>
          <cell r="E1134">
            <v>10</v>
          </cell>
        </row>
        <row r="1135">
          <cell r="C1135" t="str">
            <v>B573615/A</v>
          </cell>
          <cell r="D1135" t="str">
            <v>BN1596F38</v>
          </cell>
          <cell r="E1135">
            <v>10</v>
          </cell>
        </row>
        <row r="1136">
          <cell r="C1136" t="str">
            <v>B573618/A</v>
          </cell>
          <cell r="D1136" t="str">
            <v>BN2628F194</v>
          </cell>
          <cell r="E1136">
            <v>10</v>
          </cell>
        </row>
        <row r="1137">
          <cell r="C1137" t="str">
            <v>B573619/A</v>
          </cell>
          <cell r="D1137" t="str">
            <v>BN2628F194</v>
          </cell>
          <cell r="E1137">
            <v>10</v>
          </cell>
        </row>
        <row r="1138">
          <cell r="C1138" t="str">
            <v>B573718/A</v>
          </cell>
          <cell r="D1138" t="str">
            <v>BN3186NF355</v>
          </cell>
          <cell r="E1138">
            <v>35</v>
          </cell>
        </row>
        <row r="1139">
          <cell r="C1139" t="str">
            <v>B573759/A</v>
          </cell>
          <cell r="D1139" t="str">
            <v>BN3188F356</v>
          </cell>
          <cell r="E1139">
            <v>5</v>
          </cell>
        </row>
        <row r="1140">
          <cell r="C1140" t="str">
            <v>B573760/A</v>
          </cell>
          <cell r="D1140" t="str">
            <v>BN3188F356</v>
          </cell>
          <cell r="E1140">
            <v>15</v>
          </cell>
        </row>
        <row r="1141">
          <cell r="C1141" t="str">
            <v>B573720/A</v>
          </cell>
          <cell r="D1141" t="str">
            <v>BN3189F356</v>
          </cell>
          <cell r="E1141">
            <v>50</v>
          </cell>
        </row>
        <row r="1142">
          <cell r="C1142" t="str">
            <v>B569071/A</v>
          </cell>
          <cell r="D1142" t="str">
            <v>CZ052F08</v>
          </cell>
          <cell r="E1142">
            <v>19</v>
          </cell>
        </row>
        <row r="1143">
          <cell r="C1143" t="str">
            <v>B572386/A</v>
          </cell>
          <cell r="D1143" t="str">
            <v>CZ052F10</v>
          </cell>
          <cell r="E1143">
            <v>9</v>
          </cell>
        </row>
        <row r="1144">
          <cell r="C1144" t="str">
            <v>B572381/A</v>
          </cell>
          <cell r="D1144" t="str">
            <v>CZ052F190</v>
          </cell>
          <cell r="E1144">
            <v>16</v>
          </cell>
        </row>
        <row r="1145">
          <cell r="C1145" t="str">
            <v>B572383/A</v>
          </cell>
          <cell r="D1145" t="str">
            <v>CZ052F191</v>
          </cell>
          <cell r="E1145">
            <v>2</v>
          </cell>
        </row>
        <row r="1146">
          <cell r="C1146" t="str">
            <v>B569073/A</v>
          </cell>
          <cell r="D1146" t="str">
            <v>CZ053F09</v>
          </cell>
          <cell r="E1146">
            <v>45</v>
          </cell>
        </row>
        <row r="1147">
          <cell r="C1147" t="str">
            <v>B572379/A</v>
          </cell>
          <cell r="D1147" t="str">
            <v>CZ053F191</v>
          </cell>
          <cell r="E1147">
            <v>7</v>
          </cell>
        </row>
        <row r="1148">
          <cell r="C1148" t="str">
            <v>B572378/A</v>
          </cell>
          <cell r="D1148" t="str">
            <v>CZ053F191</v>
          </cell>
          <cell r="E1148">
            <v>8</v>
          </cell>
        </row>
        <row r="1149">
          <cell r="C1149" t="str">
            <v>B571140/A</v>
          </cell>
          <cell r="D1149" t="str">
            <v>CZ352F190</v>
          </cell>
          <cell r="E1149">
            <v>10</v>
          </cell>
        </row>
        <row r="1150">
          <cell r="C1150" t="str">
            <v>B569069/A</v>
          </cell>
          <cell r="D1150" t="str">
            <v>CZ567F08</v>
          </cell>
          <cell r="E1150">
            <v>11</v>
          </cell>
        </row>
        <row r="1151">
          <cell r="C1151" t="str">
            <v>B572373/A</v>
          </cell>
          <cell r="D1151" t="str">
            <v>CZ567F10</v>
          </cell>
          <cell r="E1151">
            <v>2</v>
          </cell>
        </row>
        <row r="1152">
          <cell r="C1152" t="str">
            <v>B572375/A</v>
          </cell>
          <cell r="D1152" t="str">
            <v>CZ567F190</v>
          </cell>
          <cell r="E1152">
            <v>2</v>
          </cell>
        </row>
        <row r="1153">
          <cell r="C1153" t="str">
            <v>B573628/A</v>
          </cell>
          <cell r="D1153" t="str">
            <v>RH079F01</v>
          </cell>
          <cell r="E1153">
            <v>6</v>
          </cell>
        </row>
        <row r="1154">
          <cell r="C1154" t="str">
            <v>B573630/A</v>
          </cell>
          <cell r="D1154" t="str">
            <v>RH10112F382</v>
          </cell>
          <cell r="E1154">
            <v>4</v>
          </cell>
        </row>
        <row r="1155">
          <cell r="C1155" t="str">
            <v>B573632/A</v>
          </cell>
          <cell r="D1155" t="str">
            <v>RH10112F383</v>
          </cell>
          <cell r="E1155">
            <v>7</v>
          </cell>
        </row>
        <row r="1156">
          <cell r="C1156" t="str">
            <v>B573634/A</v>
          </cell>
          <cell r="D1156" t="str">
            <v>RH10112F384</v>
          </cell>
          <cell r="E1156">
            <v>3</v>
          </cell>
        </row>
        <row r="1157">
          <cell r="C1157" t="str">
            <v>B573636/A</v>
          </cell>
          <cell r="D1157" t="str">
            <v>RH10112F409</v>
          </cell>
          <cell r="E1157">
            <v>10</v>
          </cell>
        </row>
        <row r="1158">
          <cell r="C1158" t="str">
            <v>B567603/A</v>
          </cell>
          <cell r="D1158" t="str">
            <v>RH10115F382</v>
          </cell>
          <cell r="E1158">
            <v>4</v>
          </cell>
        </row>
        <row r="1159">
          <cell r="C1159" t="str">
            <v>B567605/A</v>
          </cell>
          <cell r="D1159" t="str">
            <v>RH10115F383</v>
          </cell>
          <cell r="E1159">
            <v>6</v>
          </cell>
        </row>
        <row r="1160">
          <cell r="C1160" t="str">
            <v>B567607/A</v>
          </cell>
          <cell r="D1160" t="str">
            <v>RH10115F384</v>
          </cell>
          <cell r="E1160">
            <v>3</v>
          </cell>
        </row>
        <row r="1161">
          <cell r="C1161" t="str">
            <v>B567609/A</v>
          </cell>
          <cell r="D1161" t="str">
            <v>RH10115F409</v>
          </cell>
          <cell r="E1161">
            <v>9</v>
          </cell>
        </row>
        <row r="1162">
          <cell r="C1162" t="str">
            <v>B573638/A</v>
          </cell>
          <cell r="D1162" t="str">
            <v>RH10124F382</v>
          </cell>
          <cell r="E1162">
            <v>3</v>
          </cell>
        </row>
        <row r="1163">
          <cell r="C1163" t="str">
            <v>B573640/A</v>
          </cell>
          <cell r="D1163" t="str">
            <v>RH10124F383</v>
          </cell>
          <cell r="E1163">
            <v>7</v>
          </cell>
        </row>
        <row r="1164">
          <cell r="C1164" t="str">
            <v>B573642/A</v>
          </cell>
          <cell r="D1164" t="str">
            <v>RH10124F384</v>
          </cell>
          <cell r="E1164">
            <v>2</v>
          </cell>
        </row>
        <row r="1165">
          <cell r="C1165" t="str">
            <v>B573644/A</v>
          </cell>
          <cell r="D1165" t="str">
            <v>RH10124F409</v>
          </cell>
          <cell r="E1165">
            <v>9</v>
          </cell>
        </row>
        <row r="1166">
          <cell r="C1166" t="str">
            <v>B573646/A</v>
          </cell>
          <cell r="D1166" t="str">
            <v>RH10159F382</v>
          </cell>
          <cell r="E1166">
            <v>5</v>
          </cell>
        </row>
        <row r="1167">
          <cell r="C1167" t="str">
            <v>B573648/A</v>
          </cell>
          <cell r="D1167" t="str">
            <v>RH10159F383</v>
          </cell>
          <cell r="E1167">
            <v>7</v>
          </cell>
        </row>
        <row r="1168">
          <cell r="C1168" t="str">
            <v>B573650/A</v>
          </cell>
          <cell r="D1168" t="str">
            <v>RH10159F384</v>
          </cell>
          <cell r="E1168">
            <v>4</v>
          </cell>
        </row>
        <row r="1169">
          <cell r="C1169" t="str">
            <v>B573652/A</v>
          </cell>
          <cell r="D1169" t="str">
            <v>RH10159F409</v>
          </cell>
          <cell r="E1169">
            <v>11</v>
          </cell>
        </row>
        <row r="1170">
          <cell r="C1170" t="str">
            <v>B573724/A</v>
          </cell>
          <cell r="D1170" t="str">
            <v>RH10173F382</v>
          </cell>
          <cell r="E1170">
            <v>4</v>
          </cell>
        </row>
        <row r="1171">
          <cell r="C1171" t="str">
            <v>B573726/A</v>
          </cell>
          <cell r="D1171" t="str">
            <v>RH10173F383</v>
          </cell>
          <cell r="E1171">
            <v>7</v>
          </cell>
        </row>
        <row r="1172">
          <cell r="C1172" t="str">
            <v>B573728/A</v>
          </cell>
          <cell r="D1172" t="str">
            <v>RH10173F384</v>
          </cell>
          <cell r="E1172">
            <v>3</v>
          </cell>
        </row>
        <row r="1173">
          <cell r="C1173" t="str">
            <v>B573730/A</v>
          </cell>
          <cell r="D1173" t="str">
            <v>RH10173F409</v>
          </cell>
          <cell r="E1173">
            <v>9</v>
          </cell>
        </row>
        <row r="1174">
          <cell r="C1174" t="str">
            <v>B573654/A</v>
          </cell>
          <cell r="D1174" t="str">
            <v>RH106F01</v>
          </cell>
          <cell r="E1174">
            <v>11</v>
          </cell>
        </row>
        <row r="1175">
          <cell r="C1175" t="str">
            <v>B573656/A</v>
          </cell>
          <cell r="D1175" t="str">
            <v>RH106F03</v>
          </cell>
          <cell r="E1175">
            <v>2</v>
          </cell>
        </row>
        <row r="1176">
          <cell r="C1176" t="str">
            <v>B573735/A</v>
          </cell>
          <cell r="D1176" t="str">
            <v>RH109F01</v>
          </cell>
          <cell r="E1176">
            <v>2</v>
          </cell>
        </row>
        <row r="1177">
          <cell r="C1177" t="str">
            <v>B573736/A</v>
          </cell>
          <cell r="D1177" t="str">
            <v>RH109F01</v>
          </cell>
          <cell r="E1177">
            <v>3</v>
          </cell>
        </row>
        <row r="1178">
          <cell r="C1178" t="str">
            <v>B573659/A</v>
          </cell>
          <cell r="D1178" t="str">
            <v>RH1111F03</v>
          </cell>
          <cell r="E1178">
            <v>5</v>
          </cell>
        </row>
        <row r="1179">
          <cell r="C1179" t="str">
            <v>B573660/A</v>
          </cell>
          <cell r="D1179" t="str">
            <v>RH1111F03</v>
          </cell>
          <cell r="E1179">
            <v>5</v>
          </cell>
        </row>
        <row r="1180">
          <cell r="C1180" t="str">
            <v>B573663/A</v>
          </cell>
          <cell r="D1180" t="str">
            <v>RH1111F05</v>
          </cell>
          <cell r="E1180">
            <v>15</v>
          </cell>
        </row>
        <row r="1181">
          <cell r="C1181" t="str">
            <v>B573664/A</v>
          </cell>
          <cell r="D1181" t="str">
            <v>RH1111F05</v>
          </cell>
          <cell r="E1181">
            <v>15</v>
          </cell>
        </row>
        <row r="1182">
          <cell r="C1182" t="str">
            <v>B573741/A</v>
          </cell>
          <cell r="D1182" t="str">
            <v>RH1159F29</v>
          </cell>
          <cell r="E1182">
            <v>5</v>
          </cell>
        </row>
        <row r="1183">
          <cell r="C1183" t="str">
            <v>B573742/A</v>
          </cell>
          <cell r="D1183" t="str">
            <v>RH1159F29</v>
          </cell>
          <cell r="E1183">
            <v>21</v>
          </cell>
        </row>
        <row r="1184">
          <cell r="C1184" t="str">
            <v>B573743/A</v>
          </cell>
          <cell r="D1184" t="str">
            <v>RH1159F29</v>
          </cell>
          <cell r="E1184">
            <v>5</v>
          </cell>
        </row>
        <row r="1185">
          <cell r="C1185" t="str">
            <v>B573744/A</v>
          </cell>
          <cell r="D1185" t="str">
            <v>RH1159F29</v>
          </cell>
          <cell r="E1185">
            <v>21</v>
          </cell>
        </row>
        <row r="1186">
          <cell r="C1186" t="str">
            <v>B573667/A</v>
          </cell>
          <cell r="D1186" t="str">
            <v>RH1171F03</v>
          </cell>
          <cell r="E1186">
            <v>8</v>
          </cell>
        </row>
        <row r="1187">
          <cell r="C1187" t="str">
            <v>B573668/A</v>
          </cell>
          <cell r="D1187" t="str">
            <v>RH1171F03</v>
          </cell>
          <cell r="E1187">
            <v>9</v>
          </cell>
        </row>
        <row r="1188">
          <cell r="C1188" t="str">
            <v>B573670/A</v>
          </cell>
          <cell r="D1188" t="str">
            <v>RH1263F01</v>
          </cell>
          <cell r="E1188">
            <v>1</v>
          </cell>
        </row>
        <row r="1189">
          <cell r="C1189" t="str">
            <v>B573672/A</v>
          </cell>
          <cell r="D1189" t="str">
            <v>RH1263F03</v>
          </cell>
          <cell r="E1189">
            <v>14</v>
          </cell>
        </row>
        <row r="1190">
          <cell r="C1190" t="str">
            <v>B573675/A</v>
          </cell>
          <cell r="D1190" t="str">
            <v>RH1309F03</v>
          </cell>
          <cell r="E1190">
            <v>4</v>
          </cell>
        </row>
        <row r="1191">
          <cell r="C1191" t="str">
            <v>B573676/A</v>
          </cell>
          <cell r="D1191" t="str">
            <v>RH1309F03</v>
          </cell>
          <cell r="E1191">
            <v>11</v>
          </cell>
        </row>
        <row r="1192">
          <cell r="C1192" t="str">
            <v>B573679/A</v>
          </cell>
          <cell r="D1192" t="str">
            <v>RH1563-BNF95.BC</v>
          </cell>
          <cell r="E1192">
            <v>10</v>
          </cell>
        </row>
        <row r="1193">
          <cell r="C1193" t="str">
            <v>B573680/A</v>
          </cell>
          <cell r="D1193" t="str">
            <v>RH1563-BNF95.BC</v>
          </cell>
          <cell r="E1193">
            <v>10</v>
          </cell>
        </row>
        <row r="1194">
          <cell r="C1194" t="str">
            <v>B573683/A</v>
          </cell>
          <cell r="D1194" t="str">
            <v>RH1774F08</v>
          </cell>
          <cell r="E1194">
            <v>3</v>
          </cell>
        </row>
        <row r="1195">
          <cell r="C1195" t="str">
            <v>B573684/A</v>
          </cell>
          <cell r="D1195" t="str">
            <v>RH1774F08</v>
          </cell>
          <cell r="E1195">
            <v>2</v>
          </cell>
        </row>
        <row r="1196">
          <cell r="C1196" t="str">
            <v>B573686/A</v>
          </cell>
          <cell r="D1196" t="str">
            <v>RH1775F08</v>
          </cell>
          <cell r="E1196">
            <v>20</v>
          </cell>
        </row>
        <row r="1197">
          <cell r="C1197" t="str">
            <v>B573837/A</v>
          </cell>
          <cell r="D1197" t="str">
            <v>RH1926F03</v>
          </cell>
          <cell r="E1197">
            <v>35</v>
          </cell>
        </row>
        <row r="1198">
          <cell r="C1198" t="str">
            <v>B573810/A</v>
          </cell>
          <cell r="D1198" t="str">
            <v>RH1935F03</v>
          </cell>
          <cell r="E1198">
            <v>7</v>
          </cell>
        </row>
        <row r="1199">
          <cell r="C1199" t="str">
            <v>B573811/A</v>
          </cell>
          <cell r="D1199" t="str">
            <v>RH1935F03</v>
          </cell>
          <cell r="E1199">
            <v>6</v>
          </cell>
        </row>
        <row r="1200">
          <cell r="C1200" t="str">
            <v>B573840/A</v>
          </cell>
          <cell r="D1200" t="str">
            <v>RH2007F95</v>
          </cell>
          <cell r="E1200">
            <v>10</v>
          </cell>
        </row>
        <row r="1201">
          <cell r="C1201" t="str">
            <v>B573842/A</v>
          </cell>
          <cell r="D1201" t="str">
            <v>RH2007F95</v>
          </cell>
          <cell r="E1201">
            <v>10</v>
          </cell>
        </row>
        <row r="1202">
          <cell r="C1202" t="str">
            <v>B573853/A</v>
          </cell>
          <cell r="D1202" t="str">
            <v>RH2127F95.BC</v>
          </cell>
          <cell r="E1202">
            <v>20</v>
          </cell>
        </row>
        <row r="1203">
          <cell r="C1203" t="str">
            <v>B573855/A</v>
          </cell>
          <cell r="D1203" t="str">
            <v>RH2127F95.BC</v>
          </cell>
          <cell r="E1203">
            <v>20</v>
          </cell>
        </row>
        <row r="1204">
          <cell r="C1204" t="str">
            <v>B573860/A</v>
          </cell>
          <cell r="D1204" t="str">
            <v>RH2164NF108</v>
          </cell>
          <cell r="E1204">
            <v>9</v>
          </cell>
        </row>
        <row r="1205">
          <cell r="C1205" t="str">
            <v>B573861/A</v>
          </cell>
          <cell r="D1205" t="str">
            <v>RH2164NF108</v>
          </cell>
          <cell r="E1205">
            <v>9</v>
          </cell>
        </row>
        <row r="1206">
          <cell r="C1206" t="str">
            <v>B573864/A</v>
          </cell>
          <cell r="D1206" t="str">
            <v>RH2255NF08</v>
          </cell>
          <cell r="E1206">
            <v>16</v>
          </cell>
        </row>
        <row r="1207">
          <cell r="C1207" t="str">
            <v>B573865/A</v>
          </cell>
          <cell r="D1207" t="str">
            <v>RH2255NF08</v>
          </cell>
          <cell r="E1207">
            <v>16</v>
          </cell>
        </row>
        <row r="1208">
          <cell r="C1208" t="str">
            <v>B573867/A</v>
          </cell>
          <cell r="D1208" t="str">
            <v>RH2255NF09</v>
          </cell>
          <cell r="E1208">
            <v>5</v>
          </cell>
        </row>
        <row r="1209">
          <cell r="C1209" t="str">
            <v>B573873/A</v>
          </cell>
          <cell r="D1209" t="str">
            <v>RH2267F102</v>
          </cell>
          <cell r="E1209">
            <v>2</v>
          </cell>
        </row>
        <row r="1210">
          <cell r="C1210" t="str">
            <v>B573876/A</v>
          </cell>
          <cell r="D1210" t="str">
            <v>RH2267F103</v>
          </cell>
          <cell r="E1210">
            <v>3</v>
          </cell>
        </row>
        <row r="1211">
          <cell r="C1211" t="str">
            <v>B573882/A</v>
          </cell>
          <cell r="D1211" t="str">
            <v>RH2267F190</v>
          </cell>
          <cell r="E1211">
            <v>10</v>
          </cell>
        </row>
        <row r="1212">
          <cell r="C1212" t="str">
            <v>B573886/A</v>
          </cell>
          <cell r="D1212" t="str">
            <v>RH2372F122</v>
          </cell>
          <cell r="E1212">
            <v>16</v>
          </cell>
        </row>
        <row r="1213">
          <cell r="C1213" t="str">
            <v>B573889/A</v>
          </cell>
          <cell r="D1213" t="str">
            <v>RH2372F190</v>
          </cell>
          <cell r="E1213">
            <v>29</v>
          </cell>
        </row>
        <row r="1214">
          <cell r="C1214" t="str">
            <v>B573891/A</v>
          </cell>
          <cell r="D1214" t="str">
            <v>RH2688F10CZ</v>
          </cell>
          <cell r="E1214">
            <v>5</v>
          </cell>
        </row>
        <row r="1215">
          <cell r="C1215" t="str">
            <v>B573893/A</v>
          </cell>
          <cell r="D1215" t="str">
            <v>RH2688F191</v>
          </cell>
          <cell r="E1215">
            <v>6</v>
          </cell>
        </row>
        <row r="1216">
          <cell r="C1216" t="str">
            <v>B567780/A</v>
          </cell>
          <cell r="D1216" t="str">
            <v>RH2768F10CZ</v>
          </cell>
          <cell r="E1216">
            <v>15</v>
          </cell>
        </row>
        <row r="1217">
          <cell r="C1217" t="str">
            <v>B567779/A</v>
          </cell>
          <cell r="D1217" t="str">
            <v>RH2768F10CZ</v>
          </cell>
          <cell r="E1217">
            <v>15</v>
          </cell>
        </row>
        <row r="1218">
          <cell r="C1218" t="str">
            <v>B573895/A</v>
          </cell>
          <cell r="D1218" t="str">
            <v>RH2768F190</v>
          </cell>
          <cell r="E1218">
            <v>9</v>
          </cell>
        </row>
        <row r="1219">
          <cell r="C1219" t="str">
            <v>B567782/A</v>
          </cell>
          <cell r="D1219" t="str">
            <v>RH2768F190</v>
          </cell>
          <cell r="E1219">
            <v>9</v>
          </cell>
        </row>
        <row r="1220">
          <cell r="C1220" t="str">
            <v>B573897/A</v>
          </cell>
          <cell r="D1220" t="str">
            <v>RH2916F03</v>
          </cell>
          <cell r="E1220">
            <v>5</v>
          </cell>
        </row>
        <row r="1221">
          <cell r="C1221" t="str">
            <v>B573899/A</v>
          </cell>
          <cell r="D1221" t="str">
            <v>RH2926F08</v>
          </cell>
          <cell r="E1221">
            <v>5</v>
          </cell>
        </row>
        <row r="1222">
          <cell r="C1222" t="str">
            <v>B573902/A</v>
          </cell>
          <cell r="D1222" t="str">
            <v>RH3064NF01</v>
          </cell>
          <cell r="E1222">
            <v>20</v>
          </cell>
        </row>
        <row r="1223">
          <cell r="C1223" t="str">
            <v>B573905/A</v>
          </cell>
          <cell r="D1223" t="str">
            <v>RH3064NF02</v>
          </cell>
          <cell r="E1223">
            <v>4</v>
          </cell>
        </row>
        <row r="1224">
          <cell r="C1224" t="str">
            <v>B573908/A</v>
          </cell>
          <cell r="D1224" t="str">
            <v>RH3064NF03</v>
          </cell>
          <cell r="E1224">
            <v>28</v>
          </cell>
        </row>
        <row r="1225">
          <cell r="C1225" t="str">
            <v>B573911/A</v>
          </cell>
          <cell r="D1225" t="str">
            <v>RH3451F152.BC</v>
          </cell>
          <cell r="E1225">
            <v>27</v>
          </cell>
        </row>
        <row r="1226">
          <cell r="C1226" t="str">
            <v>B573915/A</v>
          </cell>
          <cell r="D1226" t="str">
            <v>RH3452NF152.BC</v>
          </cell>
          <cell r="E1226">
            <v>10</v>
          </cell>
        </row>
        <row r="1227">
          <cell r="C1227" t="str">
            <v>B573916/A</v>
          </cell>
          <cell r="D1227" t="str">
            <v>RH3452NF152.BC</v>
          </cell>
          <cell r="E1227">
            <v>10</v>
          </cell>
        </row>
        <row r="1228">
          <cell r="C1228" t="str">
            <v>B573929/A</v>
          </cell>
          <cell r="D1228" t="str">
            <v>RH3456AF112.BC</v>
          </cell>
          <cell r="E1228">
            <v>10</v>
          </cell>
        </row>
        <row r="1229">
          <cell r="C1229" t="str">
            <v>B573930/A</v>
          </cell>
          <cell r="D1229" t="str">
            <v>RH3456AF112.BC</v>
          </cell>
          <cell r="E1229">
            <v>10</v>
          </cell>
        </row>
        <row r="1230">
          <cell r="C1230" t="str">
            <v>B574069/A</v>
          </cell>
          <cell r="D1230" t="str">
            <v>RH3548F29</v>
          </cell>
          <cell r="E1230">
            <v>5</v>
          </cell>
        </row>
        <row r="1231">
          <cell r="C1231" t="str">
            <v>B573816/A</v>
          </cell>
          <cell r="D1231" t="str">
            <v>RH3548F29</v>
          </cell>
          <cell r="E1231">
            <v>15</v>
          </cell>
        </row>
        <row r="1232">
          <cell r="C1232" t="str">
            <v>B573933/A</v>
          </cell>
          <cell r="D1232" t="str">
            <v>RH3723F01</v>
          </cell>
          <cell r="E1232">
            <v>2</v>
          </cell>
        </row>
        <row r="1233">
          <cell r="C1233" t="str">
            <v>B573934/A</v>
          </cell>
          <cell r="D1233" t="str">
            <v>RH3723F01</v>
          </cell>
          <cell r="E1233">
            <v>3</v>
          </cell>
        </row>
        <row r="1234">
          <cell r="C1234" t="str">
            <v>B574074/A</v>
          </cell>
          <cell r="D1234" t="str">
            <v>RH4085F26</v>
          </cell>
          <cell r="E1234">
            <v>8</v>
          </cell>
        </row>
        <row r="1235">
          <cell r="C1235" t="str">
            <v>B574075/A</v>
          </cell>
          <cell r="D1235" t="str">
            <v>RH4085F26</v>
          </cell>
          <cell r="E1235">
            <v>20</v>
          </cell>
        </row>
        <row r="1236">
          <cell r="C1236" t="str">
            <v>B574076/A</v>
          </cell>
          <cell r="D1236" t="str">
            <v>RH4085F26</v>
          </cell>
          <cell r="E1236">
            <v>7</v>
          </cell>
        </row>
        <row r="1237">
          <cell r="C1237" t="str">
            <v>B574077/A</v>
          </cell>
          <cell r="D1237" t="str">
            <v>RH4085F26</v>
          </cell>
          <cell r="E1237">
            <v>20</v>
          </cell>
        </row>
        <row r="1238">
          <cell r="C1238" t="str">
            <v>B573937/A</v>
          </cell>
          <cell r="D1238" t="str">
            <v>RH5125NF95.BC</v>
          </cell>
          <cell r="E1238">
            <v>13</v>
          </cell>
        </row>
        <row r="1239">
          <cell r="C1239" t="str">
            <v>B573938/A</v>
          </cell>
          <cell r="D1239" t="str">
            <v>RH5125NF95.BC</v>
          </cell>
          <cell r="E1239">
            <v>12</v>
          </cell>
        </row>
        <row r="1240">
          <cell r="C1240" t="str">
            <v>B573940/A</v>
          </cell>
          <cell r="D1240" t="str">
            <v>RH518F01</v>
          </cell>
          <cell r="E1240">
            <v>17</v>
          </cell>
        </row>
        <row r="1241">
          <cell r="C1241" t="str">
            <v>B573942/A</v>
          </cell>
          <cell r="D1241" t="str">
            <v>RH518F02</v>
          </cell>
          <cell r="E1241">
            <v>1</v>
          </cell>
        </row>
        <row r="1242">
          <cell r="C1242" t="str">
            <v>B573944/A</v>
          </cell>
          <cell r="D1242" t="str">
            <v>RH5291AF152.BC</v>
          </cell>
          <cell r="E1242">
            <v>20</v>
          </cell>
        </row>
        <row r="1243">
          <cell r="C1243" t="str">
            <v>B573947/A</v>
          </cell>
          <cell r="D1243" t="str">
            <v>RH5574F152</v>
          </cell>
          <cell r="E1243">
            <v>10</v>
          </cell>
        </row>
        <row r="1244">
          <cell r="C1244" t="str">
            <v>B573948/A</v>
          </cell>
          <cell r="D1244" t="str">
            <v>RH5574F152</v>
          </cell>
          <cell r="E1244">
            <v>10</v>
          </cell>
        </row>
        <row r="1245">
          <cell r="C1245" t="str">
            <v>B573996/A</v>
          </cell>
          <cell r="D1245" t="str">
            <v>RH7373F382</v>
          </cell>
          <cell r="E1245">
            <v>5</v>
          </cell>
        </row>
        <row r="1246">
          <cell r="C1246" t="str">
            <v>B573950/A</v>
          </cell>
          <cell r="D1246" t="str">
            <v>RH7479F382</v>
          </cell>
          <cell r="E1246">
            <v>5</v>
          </cell>
        </row>
        <row r="1247">
          <cell r="C1247" t="str">
            <v>B573953/A</v>
          </cell>
          <cell r="D1247" t="str">
            <v>RH837F29</v>
          </cell>
          <cell r="E1247">
            <v>10</v>
          </cell>
        </row>
        <row r="1248">
          <cell r="C1248" t="str">
            <v>B573954/A</v>
          </cell>
          <cell r="D1248" t="str">
            <v>RH837F29</v>
          </cell>
          <cell r="E1248">
            <v>10</v>
          </cell>
        </row>
        <row r="1249">
          <cell r="C1249" t="str">
            <v>B573956/A</v>
          </cell>
          <cell r="D1249" t="str">
            <v>RH854F26</v>
          </cell>
          <cell r="E1249">
            <v>28</v>
          </cell>
        </row>
        <row r="1250">
          <cell r="C1250" t="str">
            <v>B574037/A</v>
          </cell>
          <cell r="D1250" t="str">
            <v>RH854F26</v>
          </cell>
          <cell r="E1250">
            <v>27</v>
          </cell>
        </row>
        <row r="1251">
          <cell r="C1251" t="str">
            <v>B573958/A</v>
          </cell>
          <cell r="D1251" t="str">
            <v>RH9153F381</v>
          </cell>
          <cell r="E1251">
            <v>2</v>
          </cell>
        </row>
        <row r="1252">
          <cell r="C1252" t="str">
            <v>B573960/A</v>
          </cell>
          <cell r="D1252" t="str">
            <v>RH9153F382</v>
          </cell>
          <cell r="E1252">
            <v>4</v>
          </cell>
        </row>
        <row r="1253">
          <cell r="C1253" t="str">
            <v>B574039/A</v>
          </cell>
          <cell r="D1253" t="str">
            <v>RH9339F423</v>
          </cell>
          <cell r="E1253">
            <v>92</v>
          </cell>
        </row>
        <row r="1254">
          <cell r="C1254" t="str">
            <v>B574041/A</v>
          </cell>
          <cell r="D1254" t="str">
            <v>RH9339F424</v>
          </cell>
          <cell r="E1254">
            <v>6</v>
          </cell>
        </row>
        <row r="1255">
          <cell r="C1255" t="str">
            <v>B574079/A</v>
          </cell>
          <cell r="D1255" t="str">
            <v>RH9456NF423</v>
          </cell>
          <cell r="E1255">
            <v>42</v>
          </cell>
        </row>
        <row r="1256">
          <cell r="C1256" t="str">
            <v>B574081/A</v>
          </cell>
          <cell r="D1256" t="str">
            <v>RH9456NF425</v>
          </cell>
          <cell r="E1256">
            <v>19</v>
          </cell>
        </row>
        <row r="1257">
          <cell r="C1257" t="str">
            <v>B574083/A</v>
          </cell>
          <cell r="D1257" t="str">
            <v>RH9456NF426</v>
          </cell>
          <cell r="E1257">
            <v>9</v>
          </cell>
        </row>
        <row r="1258">
          <cell r="C1258" t="str">
            <v>B574067/A</v>
          </cell>
          <cell r="D1258" t="str">
            <v>RH9540F423</v>
          </cell>
          <cell r="E1258">
            <v>36</v>
          </cell>
        </row>
        <row r="1259">
          <cell r="C1259" t="str">
            <v>B574043/A</v>
          </cell>
          <cell r="D1259" t="str">
            <v>RH9540F424</v>
          </cell>
          <cell r="E1259">
            <v>12</v>
          </cell>
        </row>
        <row r="1260">
          <cell r="C1260" t="str">
            <v>B574045/A</v>
          </cell>
          <cell r="D1260" t="str">
            <v>RH9540F426</v>
          </cell>
          <cell r="E1260">
            <v>8</v>
          </cell>
        </row>
        <row r="1261">
          <cell r="C1261" t="str">
            <v>B573963/A</v>
          </cell>
          <cell r="D1261" t="str">
            <v>RH965NF29</v>
          </cell>
          <cell r="E1261">
            <v>10</v>
          </cell>
        </row>
        <row r="1262">
          <cell r="C1262" t="str">
            <v>B573964/A</v>
          </cell>
          <cell r="D1262" t="str">
            <v>RH965NF29</v>
          </cell>
          <cell r="E1262">
            <v>10</v>
          </cell>
        </row>
        <row r="1263">
          <cell r="C1263" t="str">
            <v>B574085/A</v>
          </cell>
          <cell r="D1263" t="str">
            <v>RH9841F425</v>
          </cell>
          <cell r="E1263">
            <v>57</v>
          </cell>
        </row>
        <row r="1264">
          <cell r="C1264" t="str">
            <v>B574087/A</v>
          </cell>
          <cell r="D1264" t="str">
            <v>RH9841F426</v>
          </cell>
          <cell r="E1264">
            <v>43</v>
          </cell>
        </row>
        <row r="1265">
          <cell r="C1265" t="str">
            <v>B574047/A</v>
          </cell>
          <cell r="D1265" t="str">
            <v>RH9862F423</v>
          </cell>
          <cell r="E1265">
            <v>34</v>
          </cell>
        </row>
        <row r="1266">
          <cell r="C1266" t="str">
            <v>B574049/A</v>
          </cell>
          <cell r="D1266" t="str">
            <v>RH9862F424</v>
          </cell>
          <cell r="E1266">
            <v>26</v>
          </cell>
        </row>
        <row r="1267">
          <cell r="C1267" t="str">
            <v>B574051/A</v>
          </cell>
          <cell r="D1267" t="str">
            <v>RH9862F425</v>
          </cell>
          <cell r="E1267">
            <v>6</v>
          </cell>
        </row>
        <row r="1268">
          <cell r="C1268" t="str">
            <v>B574053/A</v>
          </cell>
          <cell r="D1268" t="str">
            <v>RH9862F426</v>
          </cell>
          <cell r="E1268">
            <v>20</v>
          </cell>
        </row>
        <row r="1269">
          <cell r="C1269" t="str">
            <v>B574055/A</v>
          </cell>
          <cell r="D1269" t="str">
            <v>RH9875F423</v>
          </cell>
          <cell r="E1269">
            <v>1</v>
          </cell>
        </row>
        <row r="1270">
          <cell r="C1270" t="str">
            <v>B574057/A</v>
          </cell>
          <cell r="D1270" t="str">
            <v>RH9875F424</v>
          </cell>
          <cell r="E1270">
            <v>1</v>
          </cell>
        </row>
        <row r="1271">
          <cell r="C1271" t="str">
            <v>B574060/A</v>
          </cell>
          <cell r="D1271" t="str">
            <v>RH9875F425</v>
          </cell>
          <cell r="E1271">
            <v>6</v>
          </cell>
        </row>
        <row r="1272">
          <cell r="C1272" t="str">
            <v>B574061/A</v>
          </cell>
          <cell r="D1272" t="str">
            <v>RH9875F425</v>
          </cell>
          <cell r="E1272">
            <v>7</v>
          </cell>
        </row>
        <row r="1273">
          <cell r="C1273" t="str">
            <v>B574064/A</v>
          </cell>
          <cell r="D1273" t="str">
            <v>RH9875F426</v>
          </cell>
          <cell r="E1273">
            <v>8</v>
          </cell>
        </row>
        <row r="1274">
          <cell r="C1274" t="str">
            <v>B574065/A</v>
          </cell>
          <cell r="D1274" t="str">
            <v>RH9875F426</v>
          </cell>
          <cell r="E1274">
            <v>8</v>
          </cell>
        </row>
        <row r="1275">
          <cell r="C1275" t="str">
            <v>B573967/A</v>
          </cell>
          <cell r="D1275" t="str">
            <v>RH9990F382</v>
          </cell>
          <cell r="E1275">
            <v>6</v>
          </cell>
        </row>
        <row r="1276">
          <cell r="C1276" t="str">
            <v>B574127/A</v>
          </cell>
          <cell r="D1276" t="str">
            <v>RH9990F383</v>
          </cell>
          <cell r="E1276">
            <v>5</v>
          </cell>
        </row>
        <row r="1277">
          <cell r="C1277" t="str">
            <v>B573970/A</v>
          </cell>
          <cell r="D1277" t="str">
            <v>RH9990F384</v>
          </cell>
          <cell r="E1277">
            <v>5</v>
          </cell>
        </row>
        <row r="1278">
          <cell r="C1278" t="str">
            <v>B573973/A</v>
          </cell>
          <cell r="D1278" t="str">
            <v>RH9990F409</v>
          </cell>
          <cell r="E1278">
            <v>6</v>
          </cell>
        </row>
        <row r="1279">
          <cell r="C1279" t="str">
            <v>B573977/A</v>
          </cell>
          <cell r="D1279" t="str">
            <v>RH9990F409</v>
          </cell>
          <cell r="E1279">
            <v>2</v>
          </cell>
        </row>
        <row r="1280">
          <cell r="C1280" t="str">
            <v>B574097/A</v>
          </cell>
          <cell r="D1280" t="str">
            <v>SH379F506</v>
          </cell>
          <cell r="E1280">
            <v>40</v>
          </cell>
        </row>
        <row r="1281">
          <cell r="C1281" t="str">
            <v>B571016/A</v>
          </cell>
          <cell r="D1281" t="str">
            <v>SH385F515</v>
          </cell>
          <cell r="E1281">
            <v>65</v>
          </cell>
        </row>
        <row r="1282">
          <cell r="C1282" t="str">
            <v>B571017/A</v>
          </cell>
          <cell r="D1282" t="str">
            <v>SH385F515</v>
          </cell>
          <cell r="E1282">
            <v>25</v>
          </cell>
        </row>
        <row r="1283">
          <cell r="C1283" t="str">
            <v>B573990/A</v>
          </cell>
          <cell r="D1283" t="str">
            <v>SH544F521</v>
          </cell>
          <cell r="E1283">
            <v>20</v>
          </cell>
        </row>
        <row r="1284">
          <cell r="C1284" t="str">
            <v>B573991/A</v>
          </cell>
          <cell r="D1284" t="str">
            <v>SH544F521</v>
          </cell>
          <cell r="E1284">
            <v>25</v>
          </cell>
        </row>
        <row r="1285">
          <cell r="C1285" t="str">
            <v>B567657/A</v>
          </cell>
          <cell r="D1285" t="str">
            <v>SH627F846</v>
          </cell>
          <cell r="E1285">
            <v>50</v>
          </cell>
        </row>
        <row r="1286">
          <cell r="C1286" t="str">
            <v>B574099/A</v>
          </cell>
          <cell r="D1286" t="str">
            <v>SH633F506</v>
          </cell>
          <cell r="E1286">
            <v>40</v>
          </cell>
        </row>
        <row r="1287">
          <cell r="C1287" t="str">
            <v>B574102/A</v>
          </cell>
          <cell r="D1287" t="str">
            <v>SH707NF506</v>
          </cell>
          <cell r="E1287">
            <v>25</v>
          </cell>
        </row>
        <row r="1288">
          <cell r="C1288" t="str">
            <v>B574103/A</v>
          </cell>
          <cell r="D1288" t="str">
            <v>SH707NF506</v>
          </cell>
          <cell r="E1288">
            <v>10</v>
          </cell>
        </row>
        <row r="1289">
          <cell r="C1289" t="str">
            <v>B568719/A</v>
          </cell>
          <cell r="D1289" t="str">
            <v>RH10180F382.EU</v>
          </cell>
          <cell r="E1289">
            <v>20</v>
          </cell>
        </row>
        <row r="1290">
          <cell r="C1290" t="str">
            <v>B568721/A</v>
          </cell>
          <cell r="D1290" t="str">
            <v>RH10180F383.EU</v>
          </cell>
          <cell r="E1290">
            <v>20</v>
          </cell>
        </row>
        <row r="1291">
          <cell r="C1291" t="str">
            <v>B568723/A</v>
          </cell>
          <cell r="D1291" t="str">
            <v>RH10180F384.EU</v>
          </cell>
          <cell r="E1291">
            <v>20</v>
          </cell>
        </row>
        <row r="1292">
          <cell r="C1292" t="str">
            <v>B568725/A</v>
          </cell>
          <cell r="D1292" t="str">
            <v>RH10180F409.EU</v>
          </cell>
          <cell r="E1292">
            <v>20</v>
          </cell>
        </row>
        <row r="1293">
          <cell r="C1293" t="str">
            <v>B570922/A</v>
          </cell>
          <cell r="D1293" t="str">
            <v>RH10367F372TR</v>
          </cell>
          <cell r="E1293">
            <v>9</v>
          </cell>
        </row>
        <row r="1294">
          <cell r="C1294" t="str">
            <v>B574729/A</v>
          </cell>
          <cell r="D1294" t="str">
            <v>AR113NF834-BASE</v>
          </cell>
          <cell r="E1294">
            <v>13</v>
          </cell>
        </row>
        <row r="1295">
          <cell r="C1295" t="str">
            <v>B574731/A</v>
          </cell>
          <cell r="D1295" t="str">
            <v>AR113NF906-BASE</v>
          </cell>
          <cell r="E1295">
            <v>36</v>
          </cell>
        </row>
        <row r="1296">
          <cell r="C1296" t="str">
            <v>B574733/A</v>
          </cell>
          <cell r="D1296" t="str">
            <v>AR113NF906-BASE</v>
          </cell>
          <cell r="E1296">
            <v>14</v>
          </cell>
        </row>
        <row r="1297">
          <cell r="C1297" t="str">
            <v>B574661/A</v>
          </cell>
          <cell r="D1297" t="str">
            <v>AR117NF834</v>
          </cell>
          <cell r="E1297">
            <v>35</v>
          </cell>
        </row>
        <row r="1298">
          <cell r="C1298" t="str">
            <v>B574662/A</v>
          </cell>
          <cell r="D1298" t="str">
            <v>AR117NF834</v>
          </cell>
          <cell r="E1298">
            <v>15</v>
          </cell>
        </row>
        <row r="1299">
          <cell r="C1299" t="str">
            <v>B574665/A</v>
          </cell>
          <cell r="D1299" t="str">
            <v>AR165F834</v>
          </cell>
          <cell r="E1299">
            <v>56</v>
          </cell>
        </row>
        <row r="1300">
          <cell r="C1300" t="str">
            <v>B574666/A</v>
          </cell>
          <cell r="D1300" t="str">
            <v>AR165F834</v>
          </cell>
          <cell r="E1300">
            <v>24</v>
          </cell>
        </row>
        <row r="1301">
          <cell r="C1301" t="str">
            <v>B574736/A</v>
          </cell>
          <cell r="D1301" t="str">
            <v>AR185F834-BASE</v>
          </cell>
          <cell r="E1301">
            <v>22</v>
          </cell>
        </row>
        <row r="1302">
          <cell r="C1302" t="str">
            <v>B574737/A</v>
          </cell>
          <cell r="D1302" t="str">
            <v>AR185F834-BASE</v>
          </cell>
          <cell r="E1302">
            <v>23</v>
          </cell>
        </row>
        <row r="1303">
          <cell r="C1303" t="str">
            <v>B574740/A</v>
          </cell>
          <cell r="D1303" t="str">
            <v>AR186F834-BASE</v>
          </cell>
          <cell r="E1303">
            <v>18</v>
          </cell>
        </row>
        <row r="1304">
          <cell r="C1304" t="str">
            <v>B574741/A</v>
          </cell>
          <cell r="D1304" t="str">
            <v>AR186F834-BASE</v>
          </cell>
          <cell r="E1304">
            <v>7</v>
          </cell>
        </row>
        <row r="1305">
          <cell r="C1305" t="str">
            <v>B574743/A</v>
          </cell>
          <cell r="D1305" t="str">
            <v>AR306F834-BASE</v>
          </cell>
          <cell r="E1305">
            <v>25</v>
          </cell>
        </row>
        <row r="1306">
          <cell r="C1306" t="str">
            <v>B574745/A</v>
          </cell>
          <cell r="D1306" t="str">
            <v>AR306F906-BASE</v>
          </cell>
          <cell r="E1306">
            <v>25</v>
          </cell>
        </row>
        <row r="1307">
          <cell r="C1307" t="str">
            <v>B574749/A</v>
          </cell>
          <cell r="D1307" t="str">
            <v>AR340F892</v>
          </cell>
          <cell r="E1307">
            <v>53</v>
          </cell>
        </row>
        <row r="1308">
          <cell r="C1308" t="str">
            <v>B574748/A</v>
          </cell>
          <cell r="D1308" t="str">
            <v>AR340F892</v>
          </cell>
          <cell r="E1308">
            <v>22</v>
          </cell>
        </row>
        <row r="1309">
          <cell r="C1309" t="str">
            <v>B574752/A</v>
          </cell>
          <cell r="D1309" t="str">
            <v>AR371NF906</v>
          </cell>
          <cell r="E1309">
            <v>18</v>
          </cell>
        </row>
        <row r="1310">
          <cell r="C1310" t="str">
            <v>B574753/A</v>
          </cell>
          <cell r="D1310" t="str">
            <v>AR371NF906</v>
          </cell>
          <cell r="E1310">
            <v>7</v>
          </cell>
        </row>
        <row r="1311">
          <cell r="C1311" t="str">
            <v>B574756/A</v>
          </cell>
          <cell r="D1311" t="str">
            <v>AR454F834-BASE</v>
          </cell>
          <cell r="E1311">
            <v>20</v>
          </cell>
        </row>
        <row r="1312">
          <cell r="C1312" t="str">
            <v>B574757/A</v>
          </cell>
          <cell r="D1312" t="str">
            <v>AR454F834-BASE</v>
          </cell>
          <cell r="E1312">
            <v>5</v>
          </cell>
        </row>
        <row r="1313">
          <cell r="C1313" t="str">
            <v>B575020/A</v>
          </cell>
          <cell r="D1313" t="str">
            <v>AR721F892-BASE2</v>
          </cell>
          <cell r="E1313">
            <v>3</v>
          </cell>
        </row>
        <row r="1314">
          <cell r="C1314" t="str">
            <v>B575024/A</v>
          </cell>
          <cell r="D1314" t="str">
            <v>AR721F892-BASE2</v>
          </cell>
          <cell r="E1314">
            <v>1</v>
          </cell>
        </row>
        <row r="1315">
          <cell r="C1315" t="str">
            <v>B575022/A</v>
          </cell>
          <cell r="D1315" t="str">
            <v>AR721F892-TOP</v>
          </cell>
          <cell r="E1315">
            <v>3</v>
          </cell>
        </row>
        <row r="1316">
          <cell r="C1316" t="str">
            <v>B575026/A</v>
          </cell>
          <cell r="D1316" t="str">
            <v>AR721F892-TOP</v>
          </cell>
          <cell r="E1316">
            <v>1</v>
          </cell>
        </row>
        <row r="1317">
          <cell r="C1317" t="str">
            <v>B574669/A</v>
          </cell>
          <cell r="D1317" t="str">
            <v>AR853F1039-BASE</v>
          </cell>
          <cell r="E1317">
            <v>18</v>
          </cell>
        </row>
        <row r="1318">
          <cell r="C1318" t="str">
            <v>B574670/A</v>
          </cell>
          <cell r="D1318" t="str">
            <v>AR853F1039-BASE</v>
          </cell>
          <cell r="E1318">
            <v>7</v>
          </cell>
        </row>
        <row r="1319">
          <cell r="C1319" t="str">
            <v>B574673/A</v>
          </cell>
          <cell r="D1319" t="str">
            <v>AR853F1039-TOP</v>
          </cell>
          <cell r="E1319">
            <v>18</v>
          </cell>
        </row>
        <row r="1320">
          <cell r="C1320" t="str">
            <v>B574674/A</v>
          </cell>
          <cell r="D1320" t="str">
            <v>AR853F1039-TOP</v>
          </cell>
          <cell r="E1320">
            <v>7</v>
          </cell>
        </row>
        <row r="1321">
          <cell r="C1321" t="str">
            <v>B574677/A</v>
          </cell>
          <cell r="D1321" t="str">
            <v>AR854F1039-BASE</v>
          </cell>
          <cell r="E1321">
            <v>18</v>
          </cell>
        </row>
        <row r="1322">
          <cell r="C1322" t="str">
            <v>B574678/A</v>
          </cell>
          <cell r="D1322" t="str">
            <v>AR854F1039-BASE</v>
          </cell>
          <cell r="E1322">
            <v>7</v>
          </cell>
        </row>
        <row r="1323">
          <cell r="C1323" t="str">
            <v>B574681/A</v>
          </cell>
          <cell r="D1323" t="str">
            <v>AR854F1039-TOP</v>
          </cell>
          <cell r="E1323">
            <v>18</v>
          </cell>
        </row>
        <row r="1324">
          <cell r="C1324" t="str">
            <v>B574682/A</v>
          </cell>
          <cell r="D1324" t="str">
            <v>AR854F1039-TOP</v>
          </cell>
          <cell r="E1324">
            <v>7</v>
          </cell>
        </row>
        <row r="1325">
          <cell r="C1325" t="str">
            <v>B574694/A</v>
          </cell>
          <cell r="D1325" t="str">
            <v>AT305NF00</v>
          </cell>
          <cell r="E1325">
            <v>40</v>
          </cell>
        </row>
        <row r="1326">
          <cell r="C1326" t="str">
            <v>B574697/A</v>
          </cell>
          <cell r="D1326" t="str">
            <v>AT382F00</v>
          </cell>
          <cell r="E1326">
            <v>50</v>
          </cell>
        </row>
        <row r="1327">
          <cell r="C1327" t="str">
            <v>B574703/A</v>
          </cell>
          <cell r="D1327" t="str">
            <v>AT384F00</v>
          </cell>
          <cell r="E1327">
            <v>25</v>
          </cell>
        </row>
        <row r="1328">
          <cell r="C1328" t="str">
            <v>B571566/A</v>
          </cell>
          <cell r="D1328" t="str">
            <v>AT471F00</v>
          </cell>
          <cell r="E1328">
            <v>30</v>
          </cell>
        </row>
        <row r="1329">
          <cell r="C1329" t="str">
            <v>B574761/A</v>
          </cell>
          <cell r="D1329" t="str">
            <v>AT481F00</v>
          </cell>
          <cell r="E1329">
            <v>55</v>
          </cell>
        </row>
        <row r="1330">
          <cell r="C1330" t="str">
            <v>B574762/A</v>
          </cell>
          <cell r="D1330" t="str">
            <v>AT481F00</v>
          </cell>
          <cell r="E1330">
            <v>55</v>
          </cell>
        </row>
        <row r="1331">
          <cell r="C1331" t="str">
            <v>B574773/A</v>
          </cell>
          <cell r="D1331" t="str">
            <v>AT522NF00</v>
          </cell>
          <cell r="E1331">
            <v>50</v>
          </cell>
        </row>
        <row r="1332">
          <cell r="C1332" t="str">
            <v>B574702/A</v>
          </cell>
          <cell r="D1332" t="str">
            <v>AT531NF00</v>
          </cell>
          <cell r="E1332">
            <v>25</v>
          </cell>
        </row>
        <row r="1333">
          <cell r="C1333" t="str">
            <v>B574710/A</v>
          </cell>
          <cell r="D1333" t="str">
            <v>AT532NF00</v>
          </cell>
          <cell r="E1333">
            <v>25</v>
          </cell>
        </row>
        <row r="1334">
          <cell r="C1334" t="str">
            <v>B574711/A</v>
          </cell>
          <cell r="D1334" t="str">
            <v>AT573F00</v>
          </cell>
          <cell r="E1334">
            <v>40</v>
          </cell>
        </row>
        <row r="1335">
          <cell r="C1335" t="str">
            <v>B574712/A</v>
          </cell>
          <cell r="D1335" t="str">
            <v>AT574F00</v>
          </cell>
          <cell r="E1335">
            <v>50</v>
          </cell>
        </row>
        <row r="1336">
          <cell r="C1336" t="str">
            <v>B574772/A</v>
          </cell>
          <cell r="D1336" t="str">
            <v>AT606NF00</v>
          </cell>
          <cell r="E1336">
            <v>50</v>
          </cell>
        </row>
        <row r="1337">
          <cell r="C1337" t="str">
            <v>B574775/A</v>
          </cell>
          <cell r="D1337" t="str">
            <v>AT655F1089</v>
          </cell>
          <cell r="E1337">
            <v>25</v>
          </cell>
        </row>
        <row r="1338">
          <cell r="C1338" t="str">
            <v>B574777/A</v>
          </cell>
          <cell r="D1338" t="str">
            <v>AT655F535</v>
          </cell>
          <cell r="E1338">
            <v>25</v>
          </cell>
        </row>
        <row r="1339">
          <cell r="C1339" t="str">
            <v>B574787/A</v>
          </cell>
          <cell r="D1339" t="str">
            <v>AT665NF00</v>
          </cell>
          <cell r="E1339">
            <v>50</v>
          </cell>
        </row>
        <row r="1340">
          <cell r="C1340" t="str">
            <v>B575016/A</v>
          </cell>
          <cell r="D1340" t="str">
            <v>BN2630NF194</v>
          </cell>
          <cell r="E1340">
            <v>13</v>
          </cell>
        </row>
        <row r="1341">
          <cell r="C1341" t="str">
            <v>B574715/A</v>
          </cell>
          <cell r="D1341" t="str">
            <v>BN3113F194</v>
          </cell>
          <cell r="E1341">
            <v>10</v>
          </cell>
        </row>
        <row r="1342">
          <cell r="C1342" t="str">
            <v>B575018/A</v>
          </cell>
          <cell r="D1342" t="str">
            <v>BN3183F355</v>
          </cell>
          <cell r="E1342">
            <v>40</v>
          </cell>
        </row>
        <row r="1343">
          <cell r="C1343" t="str">
            <v>B574718/A</v>
          </cell>
          <cell r="D1343" t="str">
            <v>BN3216F355</v>
          </cell>
          <cell r="E1343">
            <v>15</v>
          </cell>
        </row>
        <row r="1344">
          <cell r="C1344" t="str">
            <v>B574721/A</v>
          </cell>
          <cell r="D1344" t="str">
            <v>BN3216F355</v>
          </cell>
          <cell r="E1344">
            <v>30</v>
          </cell>
        </row>
        <row r="1345">
          <cell r="C1345" t="str">
            <v>B570418/A</v>
          </cell>
          <cell r="D1345" t="str">
            <v>CZ047NF08</v>
          </cell>
          <cell r="E1345">
            <v>40</v>
          </cell>
        </row>
        <row r="1346">
          <cell r="C1346" t="str">
            <v>B569075/A</v>
          </cell>
          <cell r="D1346" t="str">
            <v>CZ047NF09</v>
          </cell>
          <cell r="E1346">
            <v>16</v>
          </cell>
        </row>
        <row r="1347">
          <cell r="C1347" t="str">
            <v>B570422/A</v>
          </cell>
          <cell r="D1347" t="str">
            <v>CZ054F08</v>
          </cell>
          <cell r="E1347">
            <v>2</v>
          </cell>
        </row>
        <row r="1348">
          <cell r="C1348" t="str">
            <v>B570421/A</v>
          </cell>
          <cell r="D1348" t="str">
            <v>CZ054F08</v>
          </cell>
          <cell r="E1348">
            <v>3</v>
          </cell>
        </row>
        <row r="1349">
          <cell r="C1349" t="str">
            <v>B572390/A</v>
          </cell>
          <cell r="D1349" t="str">
            <v>CZ551F190</v>
          </cell>
          <cell r="E1349">
            <v>7</v>
          </cell>
        </row>
        <row r="1350">
          <cell r="C1350" t="str">
            <v>B570424/A</v>
          </cell>
          <cell r="D1350" t="str">
            <v>CZ652F09</v>
          </cell>
          <cell r="E1350">
            <v>34</v>
          </cell>
        </row>
        <row r="1351">
          <cell r="C1351" t="str">
            <v>B572388/A</v>
          </cell>
          <cell r="D1351" t="str">
            <v>CZ652F10</v>
          </cell>
          <cell r="E1351">
            <v>22</v>
          </cell>
        </row>
        <row r="1352">
          <cell r="C1352" t="str">
            <v>B574779/A</v>
          </cell>
          <cell r="D1352" t="str">
            <v>CZ843F188-31931</v>
          </cell>
          <cell r="E1352">
            <v>1</v>
          </cell>
        </row>
        <row r="1353">
          <cell r="C1353" t="str">
            <v>B574781/A</v>
          </cell>
          <cell r="D1353" t="str">
            <v>CZ843F196-31931</v>
          </cell>
          <cell r="E1353">
            <v>3</v>
          </cell>
        </row>
        <row r="1354">
          <cell r="C1354" t="str">
            <v>B574783/A</v>
          </cell>
          <cell r="D1354" t="str">
            <v>CZ843F381-31931</v>
          </cell>
          <cell r="E1354">
            <v>2</v>
          </cell>
        </row>
        <row r="1355">
          <cell r="C1355" t="str">
            <v>B574723/A</v>
          </cell>
          <cell r="D1355" t="str">
            <v>DL018F837</v>
          </cell>
          <cell r="E1355">
            <v>40</v>
          </cell>
        </row>
        <row r="1356">
          <cell r="C1356" t="str">
            <v>B574785/A</v>
          </cell>
          <cell r="D1356" t="str">
            <v>DL018F837</v>
          </cell>
          <cell r="E1356">
            <v>50</v>
          </cell>
        </row>
        <row r="1357">
          <cell r="C1357" t="str">
            <v>B574950/A</v>
          </cell>
          <cell r="D1357" t="str">
            <v>JV013F836</v>
          </cell>
          <cell r="E1357">
            <v>25</v>
          </cell>
        </row>
        <row r="1358">
          <cell r="C1358" t="str">
            <v>B574816/A</v>
          </cell>
          <cell r="D1358" t="str">
            <v>RH070F03</v>
          </cell>
          <cell r="E1358">
            <v>80</v>
          </cell>
        </row>
        <row r="1359">
          <cell r="C1359" t="str">
            <v>B574818/A</v>
          </cell>
          <cell r="D1359" t="str">
            <v>RH10126F382</v>
          </cell>
          <cell r="E1359">
            <v>5</v>
          </cell>
        </row>
        <row r="1360">
          <cell r="C1360" t="str">
            <v>B574820/A</v>
          </cell>
          <cell r="D1360" t="str">
            <v>RH10126F383</v>
          </cell>
          <cell r="E1360">
            <v>7</v>
          </cell>
        </row>
        <row r="1361">
          <cell r="C1361" t="str">
            <v>B574822/A</v>
          </cell>
          <cell r="D1361" t="str">
            <v>RH10126F384</v>
          </cell>
          <cell r="E1361">
            <v>4</v>
          </cell>
        </row>
        <row r="1362">
          <cell r="C1362" t="str">
            <v>B574824/A</v>
          </cell>
          <cell r="D1362" t="str">
            <v>RH10126F409</v>
          </cell>
          <cell r="E1362">
            <v>10</v>
          </cell>
        </row>
        <row r="1363">
          <cell r="C1363" t="str">
            <v>B567634/A</v>
          </cell>
          <cell r="D1363" t="str">
            <v>RH10160F382</v>
          </cell>
          <cell r="E1363">
            <v>4</v>
          </cell>
        </row>
        <row r="1364">
          <cell r="C1364" t="str">
            <v>B567635/A</v>
          </cell>
          <cell r="D1364" t="str">
            <v>RH10160F382</v>
          </cell>
          <cell r="E1364">
            <v>6</v>
          </cell>
        </row>
        <row r="1365">
          <cell r="C1365" t="str">
            <v>B567637/A</v>
          </cell>
          <cell r="D1365" t="str">
            <v>RH10160F383</v>
          </cell>
          <cell r="E1365">
            <v>4</v>
          </cell>
        </row>
        <row r="1366">
          <cell r="C1366" t="str">
            <v>B567638/A</v>
          </cell>
          <cell r="D1366" t="str">
            <v>RH10160F383</v>
          </cell>
          <cell r="E1366">
            <v>6</v>
          </cell>
        </row>
        <row r="1367">
          <cell r="C1367" t="str">
            <v>B567640/A</v>
          </cell>
          <cell r="D1367" t="str">
            <v>RH10160F384</v>
          </cell>
          <cell r="E1367">
            <v>4</v>
          </cell>
        </row>
        <row r="1368">
          <cell r="C1368" t="str">
            <v>B567641/A</v>
          </cell>
          <cell r="D1368" t="str">
            <v>RH10160F384</v>
          </cell>
          <cell r="E1368">
            <v>5</v>
          </cell>
        </row>
        <row r="1369">
          <cell r="C1369" t="str">
            <v>B567643/A</v>
          </cell>
          <cell r="D1369" t="str">
            <v>RH10160F409</v>
          </cell>
          <cell r="E1369">
            <v>4</v>
          </cell>
        </row>
        <row r="1370">
          <cell r="C1370" t="str">
            <v>B567644/A</v>
          </cell>
          <cell r="D1370" t="str">
            <v>RH10160F409</v>
          </cell>
          <cell r="E1370">
            <v>9</v>
          </cell>
        </row>
        <row r="1371">
          <cell r="C1371" t="str">
            <v>B574790/A</v>
          </cell>
          <cell r="D1371" t="str">
            <v>RH10161F382</v>
          </cell>
          <cell r="E1371">
            <v>4</v>
          </cell>
        </row>
        <row r="1372">
          <cell r="C1372" t="str">
            <v>B574826/A</v>
          </cell>
          <cell r="D1372" t="str">
            <v>RH10161F382</v>
          </cell>
          <cell r="E1372">
            <v>7</v>
          </cell>
        </row>
        <row r="1373">
          <cell r="C1373" t="str">
            <v>B574792/A</v>
          </cell>
          <cell r="D1373" t="str">
            <v>RH10161F383</v>
          </cell>
          <cell r="E1373">
            <v>4</v>
          </cell>
        </row>
        <row r="1374">
          <cell r="C1374" t="str">
            <v>B574828/A</v>
          </cell>
          <cell r="D1374" t="str">
            <v>RH10161F383</v>
          </cell>
          <cell r="E1374">
            <v>6</v>
          </cell>
        </row>
        <row r="1375">
          <cell r="C1375" t="str">
            <v>B574794/A</v>
          </cell>
          <cell r="D1375" t="str">
            <v>RH10161F384</v>
          </cell>
          <cell r="E1375">
            <v>4</v>
          </cell>
        </row>
        <row r="1376">
          <cell r="C1376" t="str">
            <v>B574830/A</v>
          </cell>
          <cell r="D1376" t="str">
            <v>RH10161F384</v>
          </cell>
          <cell r="E1376">
            <v>5</v>
          </cell>
        </row>
        <row r="1377">
          <cell r="C1377" t="str">
            <v>B574796/A</v>
          </cell>
          <cell r="D1377" t="str">
            <v>RH10161F409</v>
          </cell>
          <cell r="E1377">
            <v>4</v>
          </cell>
        </row>
        <row r="1378">
          <cell r="C1378" t="str">
            <v>B574832/A</v>
          </cell>
          <cell r="D1378" t="str">
            <v>RH10161F409</v>
          </cell>
          <cell r="E1378">
            <v>10</v>
          </cell>
        </row>
        <row r="1379">
          <cell r="C1379" t="str">
            <v>B574798/A</v>
          </cell>
          <cell r="D1379" t="str">
            <v>RH10162F382</v>
          </cell>
          <cell r="E1379">
            <v>4</v>
          </cell>
        </row>
        <row r="1380">
          <cell r="C1380" t="str">
            <v>B574834/A</v>
          </cell>
          <cell r="D1380" t="str">
            <v>RH10162F382</v>
          </cell>
          <cell r="E1380">
            <v>4</v>
          </cell>
        </row>
        <row r="1381">
          <cell r="C1381" t="str">
            <v>B574800/A</v>
          </cell>
          <cell r="D1381" t="str">
            <v>RH10162F383</v>
          </cell>
          <cell r="E1381">
            <v>4</v>
          </cell>
        </row>
        <row r="1382">
          <cell r="C1382" t="str">
            <v>B574836/A</v>
          </cell>
          <cell r="D1382" t="str">
            <v>RH10162F383</v>
          </cell>
          <cell r="E1382">
            <v>4</v>
          </cell>
        </row>
        <row r="1383">
          <cell r="C1383" t="str">
            <v>B574802/A</v>
          </cell>
          <cell r="D1383" t="str">
            <v>RH10162F384</v>
          </cell>
          <cell r="E1383">
            <v>4</v>
          </cell>
        </row>
        <row r="1384">
          <cell r="C1384" t="str">
            <v>B574838/A</v>
          </cell>
          <cell r="D1384" t="str">
            <v>RH10162F384</v>
          </cell>
          <cell r="E1384">
            <v>2</v>
          </cell>
        </row>
        <row r="1385">
          <cell r="C1385" t="str">
            <v>B574804/A</v>
          </cell>
          <cell r="D1385" t="str">
            <v>RH10162F409</v>
          </cell>
          <cell r="E1385">
            <v>4</v>
          </cell>
        </row>
        <row r="1386">
          <cell r="C1386" t="str">
            <v>B574840/A</v>
          </cell>
          <cell r="D1386" t="str">
            <v>RH10162F409</v>
          </cell>
          <cell r="E1386">
            <v>5</v>
          </cell>
        </row>
        <row r="1387">
          <cell r="C1387" t="str">
            <v>B574806/A</v>
          </cell>
          <cell r="D1387" t="str">
            <v>RH10167F382</v>
          </cell>
          <cell r="E1387">
            <v>4</v>
          </cell>
        </row>
        <row r="1388">
          <cell r="C1388" t="str">
            <v>B574842/A</v>
          </cell>
          <cell r="D1388" t="str">
            <v>RH10167F382</v>
          </cell>
          <cell r="E1388">
            <v>5</v>
          </cell>
        </row>
        <row r="1389">
          <cell r="C1389" t="str">
            <v>B574808/A</v>
          </cell>
          <cell r="D1389" t="str">
            <v>RH10167F383</v>
          </cell>
          <cell r="E1389">
            <v>4</v>
          </cell>
        </row>
        <row r="1390">
          <cell r="C1390" t="str">
            <v>B574844/A</v>
          </cell>
          <cell r="D1390" t="str">
            <v>RH10167F383</v>
          </cell>
          <cell r="E1390">
            <v>6</v>
          </cell>
        </row>
        <row r="1391">
          <cell r="C1391" t="str">
            <v>B574810/A</v>
          </cell>
          <cell r="D1391" t="str">
            <v>RH10167F384</v>
          </cell>
          <cell r="E1391">
            <v>4</v>
          </cell>
        </row>
        <row r="1392">
          <cell r="C1392" t="str">
            <v>B574846/A</v>
          </cell>
          <cell r="D1392" t="str">
            <v>RH10167F384</v>
          </cell>
          <cell r="E1392">
            <v>4</v>
          </cell>
        </row>
        <row r="1393">
          <cell r="C1393" t="str">
            <v>B574812/A</v>
          </cell>
          <cell r="D1393" t="str">
            <v>RH10167F409</v>
          </cell>
          <cell r="E1393">
            <v>4</v>
          </cell>
        </row>
        <row r="1394">
          <cell r="C1394" t="str">
            <v>B574848/A</v>
          </cell>
          <cell r="D1394" t="str">
            <v>RH10167F409</v>
          </cell>
          <cell r="E1394">
            <v>9</v>
          </cell>
        </row>
        <row r="1395">
          <cell r="C1395" t="str">
            <v>B574850/A</v>
          </cell>
          <cell r="D1395" t="str">
            <v>RH107F01</v>
          </cell>
          <cell r="E1395">
            <v>6</v>
          </cell>
        </row>
        <row r="1396">
          <cell r="C1396" t="str">
            <v>B574855/A</v>
          </cell>
          <cell r="D1396" t="str">
            <v>RH1160F29</v>
          </cell>
          <cell r="E1396">
            <v>5</v>
          </cell>
        </row>
        <row r="1397">
          <cell r="C1397" t="str">
            <v>B574856/A</v>
          </cell>
          <cell r="D1397" t="str">
            <v>RH1160F29</v>
          </cell>
          <cell r="E1397">
            <v>24</v>
          </cell>
        </row>
        <row r="1398">
          <cell r="C1398" t="str">
            <v>B574857/A</v>
          </cell>
          <cell r="D1398" t="str">
            <v>RH1160F29</v>
          </cell>
          <cell r="E1398">
            <v>5</v>
          </cell>
        </row>
        <row r="1399">
          <cell r="C1399" t="str">
            <v>B574858/A</v>
          </cell>
          <cell r="D1399" t="str">
            <v>RH1160F29</v>
          </cell>
          <cell r="E1399">
            <v>24</v>
          </cell>
        </row>
        <row r="1400">
          <cell r="C1400" t="str">
            <v>B574869/A</v>
          </cell>
          <cell r="D1400" t="str">
            <v>RH1561F95.BC</v>
          </cell>
          <cell r="E1400">
            <v>30</v>
          </cell>
        </row>
        <row r="1401">
          <cell r="C1401" t="str">
            <v>B574870/A</v>
          </cell>
          <cell r="D1401" t="str">
            <v>RH1561F95.BC</v>
          </cell>
          <cell r="E1401">
            <v>30</v>
          </cell>
        </row>
        <row r="1402">
          <cell r="C1402" t="str">
            <v>B574879/A</v>
          </cell>
          <cell r="D1402" t="str">
            <v>RH2125F95.BC</v>
          </cell>
          <cell r="E1402">
            <v>15</v>
          </cell>
        </row>
        <row r="1403">
          <cell r="C1403" t="str">
            <v>B574880/A</v>
          </cell>
          <cell r="D1403" t="str">
            <v>RH2125F95.BC</v>
          </cell>
          <cell r="E1403">
            <v>30</v>
          </cell>
        </row>
        <row r="1404">
          <cell r="C1404" t="str">
            <v>B573197/A</v>
          </cell>
          <cell r="D1404" t="str">
            <v>RH2270F102</v>
          </cell>
          <cell r="E1404">
            <v>6</v>
          </cell>
        </row>
        <row r="1405">
          <cell r="C1405" t="str">
            <v>B574882/A</v>
          </cell>
          <cell r="D1405" t="str">
            <v>RH2270F10CZ</v>
          </cell>
          <cell r="E1405">
            <v>14</v>
          </cell>
        </row>
        <row r="1406">
          <cell r="C1406" t="str">
            <v>B571579/A</v>
          </cell>
          <cell r="D1406" t="str">
            <v>RH2380F96.BC</v>
          </cell>
          <cell r="E1406">
            <v>10</v>
          </cell>
        </row>
        <row r="1407">
          <cell r="C1407" t="str">
            <v>B571580/A</v>
          </cell>
          <cell r="D1407" t="str">
            <v>RH2380F96.BC</v>
          </cell>
          <cell r="E1407">
            <v>10</v>
          </cell>
        </row>
        <row r="1408">
          <cell r="C1408" t="str">
            <v>B567113/A</v>
          </cell>
          <cell r="D1408" t="str">
            <v>RH2774F123</v>
          </cell>
          <cell r="E1408">
            <v>21</v>
          </cell>
        </row>
        <row r="1409">
          <cell r="C1409" t="str">
            <v>B574884/A</v>
          </cell>
          <cell r="D1409" t="str">
            <v>RH3066NF03</v>
          </cell>
          <cell r="E1409">
            <v>29</v>
          </cell>
        </row>
        <row r="1410">
          <cell r="C1410" t="str">
            <v>B574887/A</v>
          </cell>
          <cell r="D1410" t="str">
            <v>RH3351F09</v>
          </cell>
          <cell r="E1410">
            <v>18</v>
          </cell>
        </row>
        <row r="1411">
          <cell r="C1411" t="str">
            <v>B574888/A</v>
          </cell>
          <cell r="D1411" t="str">
            <v>RH3351F09</v>
          </cell>
          <cell r="E1411">
            <v>17</v>
          </cell>
        </row>
        <row r="1412">
          <cell r="C1412" t="str">
            <v>B573523/A</v>
          </cell>
          <cell r="D1412" t="str">
            <v>RH337F05</v>
          </cell>
          <cell r="E1412">
            <v>13</v>
          </cell>
        </row>
        <row r="1413">
          <cell r="C1413" t="str">
            <v>B573522/A</v>
          </cell>
          <cell r="D1413" t="str">
            <v>RH337F05</v>
          </cell>
          <cell r="E1413">
            <v>12</v>
          </cell>
        </row>
        <row r="1414">
          <cell r="C1414" t="str">
            <v>B574899/A</v>
          </cell>
          <cell r="D1414" t="str">
            <v>RH345F05</v>
          </cell>
          <cell r="E1414">
            <v>17</v>
          </cell>
        </row>
        <row r="1415">
          <cell r="C1415" t="str">
            <v>B574900/A</v>
          </cell>
          <cell r="D1415" t="str">
            <v>RH345F05</v>
          </cell>
          <cell r="E1415">
            <v>16</v>
          </cell>
        </row>
        <row r="1416">
          <cell r="C1416" t="str">
            <v>B574903/A</v>
          </cell>
          <cell r="D1416" t="str">
            <v>RH3527F03-31914</v>
          </cell>
          <cell r="E1416">
            <v>2</v>
          </cell>
        </row>
        <row r="1417">
          <cell r="C1417" t="str">
            <v>B574904/A</v>
          </cell>
          <cell r="D1417" t="str">
            <v>RH3527F03-31914</v>
          </cell>
          <cell r="E1417">
            <v>3</v>
          </cell>
        </row>
        <row r="1418">
          <cell r="C1418" t="str">
            <v>B574906/A</v>
          </cell>
          <cell r="D1418" t="str">
            <v>RH3557F116</v>
          </cell>
          <cell r="E1418">
            <v>15</v>
          </cell>
        </row>
        <row r="1419">
          <cell r="C1419" t="str">
            <v>B574909/A</v>
          </cell>
          <cell r="D1419" t="str">
            <v>RH3719F03</v>
          </cell>
          <cell r="E1419">
            <v>2</v>
          </cell>
        </row>
        <row r="1420">
          <cell r="C1420" t="str">
            <v>B574910/A</v>
          </cell>
          <cell r="D1420" t="str">
            <v>RH3719F03</v>
          </cell>
          <cell r="E1420">
            <v>3</v>
          </cell>
        </row>
        <row r="1421">
          <cell r="C1421" t="str">
            <v>B574912/A</v>
          </cell>
          <cell r="D1421" t="str">
            <v>RH403F03</v>
          </cell>
          <cell r="E1421">
            <v>69</v>
          </cell>
        </row>
        <row r="1422">
          <cell r="C1422" t="str">
            <v>B574915/A</v>
          </cell>
          <cell r="D1422" t="str">
            <v>RH4087F26</v>
          </cell>
          <cell r="E1422">
            <v>35</v>
          </cell>
        </row>
        <row r="1423">
          <cell r="C1423" t="str">
            <v>B574916/A</v>
          </cell>
          <cell r="D1423" t="str">
            <v>RH4087F26</v>
          </cell>
          <cell r="E1423">
            <v>35</v>
          </cell>
        </row>
        <row r="1424">
          <cell r="C1424" t="str">
            <v>B574919/A</v>
          </cell>
          <cell r="D1424" t="str">
            <v>RH5070F08.BC</v>
          </cell>
          <cell r="E1424">
            <v>10</v>
          </cell>
        </row>
        <row r="1425">
          <cell r="C1425" t="str">
            <v>B574920/A</v>
          </cell>
          <cell r="D1425" t="str">
            <v>RH5070F08.BC</v>
          </cell>
          <cell r="E1425">
            <v>10</v>
          </cell>
        </row>
        <row r="1426">
          <cell r="C1426" t="str">
            <v>B574925/A</v>
          </cell>
          <cell r="D1426" t="str">
            <v>RH5362F38BN</v>
          </cell>
          <cell r="E1426">
            <v>5</v>
          </cell>
        </row>
        <row r="1427">
          <cell r="C1427" t="str">
            <v>B574927/A</v>
          </cell>
          <cell r="D1427" t="str">
            <v>RH5362F38BN</v>
          </cell>
          <cell r="E1427">
            <v>15</v>
          </cell>
        </row>
        <row r="1428">
          <cell r="C1428" t="str">
            <v>B574928/A</v>
          </cell>
          <cell r="D1428" t="str">
            <v>RH5362F38BN</v>
          </cell>
          <cell r="E1428">
            <v>15</v>
          </cell>
        </row>
        <row r="1429">
          <cell r="C1429" t="str">
            <v>B574926/A</v>
          </cell>
          <cell r="D1429" t="str">
            <v>RH5362F38BN</v>
          </cell>
          <cell r="E1429">
            <v>5</v>
          </cell>
        </row>
        <row r="1430">
          <cell r="C1430" t="str">
            <v>B574931/A</v>
          </cell>
          <cell r="D1430" t="str">
            <v>RH578NF01</v>
          </cell>
          <cell r="E1430">
            <v>38</v>
          </cell>
        </row>
        <row r="1431">
          <cell r="C1431" t="str">
            <v>B574932/A</v>
          </cell>
          <cell r="D1431" t="str">
            <v>RH578NF01</v>
          </cell>
          <cell r="E1431">
            <v>37</v>
          </cell>
        </row>
        <row r="1432">
          <cell r="C1432" t="str">
            <v>B574976/A</v>
          </cell>
          <cell r="D1432" t="str">
            <v>RH6564F40</v>
          </cell>
          <cell r="E1432">
            <v>10</v>
          </cell>
        </row>
        <row r="1433">
          <cell r="C1433" t="str">
            <v>B574977/A</v>
          </cell>
          <cell r="D1433" t="str">
            <v>RH6564F40</v>
          </cell>
          <cell r="E1433">
            <v>10</v>
          </cell>
        </row>
        <row r="1434">
          <cell r="C1434" t="str">
            <v>B574979/A</v>
          </cell>
          <cell r="D1434" t="str">
            <v>RH7149F381</v>
          </cell>
          <cell r="E1434">
            <v>11</v>
          </cell>
        </row>
        <row r="1435">
          <cell r="C1435" t="str">
            <v>B574981/A</v>
          </cell>
          <cell r="D1435" t="str">
            <v>RH7343F383</v>
          </cell>
          <cell r="E1435">
            <v>5</v>
          </cell>
        </row>
        <row r="1436">
          <cell r="C1436" t="str">
            <v>B574934/A</v>
          </cell>
          <cell r="D1436" t="str">
            <v>RH7372F409</v>
          </cell>
          <cell r="E1436">
            <v>60</v>
          </cell>
        </row>
        <row r="1437">
          <cell r="C1437" t="str">
            <v>B574936/A</v>
          </cell>
          <cell r="D1437" t="str">
            <v>RH9155F383</v>
          </cell>
          <cell r="E1437">
            <v>6</v>
          </cell>
        </row>
        <row r="1438">
          <cell r="C1438" t="str">
            <v>B574999/A</v>
          </cell>
          <cell r="D1438" t="str">
            <v>RH9306F251TR</v>
          </cell>
          <cell r="E1438">
            <v>1</v>
          </cell>
        </row>
        <row r="1439">
          <cell r="C1439" t="str">
            <v>B575001/A</v>
          </cell>
          <cell r="D1439" t="str">
            <v>RH9307F251TR</v>
          </cell>
          <cell r="E1439">
            <v>1</v>
          </cell>
        </row>
        <row r="1440">
          <cell r="C1440" t="str">
            <v>B574939/A</v>
          </cell>
          <cell r="D1440" t="str">
            <v>RH947NF03</v>
          </cell>
          <cell r="E1440">
            <v>13</v>
          </cell>
        </row>
        <row r="1441">
          <cell r="C1441" t="str">
            <v>B574940/A</v>
          </cell>
          <cell r="D1441" t="str">
            <v>RH947NF03</v>
          </cell>
          <cell r="E1441">
            <v>13</v>
          </cell>
        </row>
        <row r="1442">
          <cell r="C1442" t="str">
            <v>B574089/A</v>
          </cell>
          <cell r="D1442" t="str">
            <v>RH9860F423</v>
          </cell>
          <cell r="E1442">
            <v>12</v>
          </cell>
        </row>
        <row r="1443">
          <cell r="C1443" t="str">
            <v>B574091/A</v>
          </cell>
          <cell r="D1443" t="str">
            <v>RH9860F424</v>
          </cell>
          <cell r="E1443">
            <v>5</v>
          </cell>
        </row>
        <row r="1444">
          <cell r="C1444" t="str">
            <v>B574093/A</v>
          </cell>
          <cell r="D1444" t="str">
            <v>RH9860F425</v>
          </cell>
          <cell r="E1444">
            <v>19</v>
          </cell>
        </row>
        <row r="1445">
          <cell r="C1445" t="str">
            <v>B574095/A</v>
          </cell>
          <cell r="D1445" t="str">
            <v>RH9860F426</v>
          </cell>
          <cell r="E1445">
            <v>9</v>
          </cell>
        </row>
        <row r="1446">
          <cell r="C1446" t="str">
            <v>B567646/A</v>
          </cell>
          <cell r="D1446" t="str">
            <v>RH9986F382</v>
          </cell>
          <cell r="E1446">
            <v>4</v>
          </cell>
        </row>
        <row r="1447">
          <cell r="C1447" t="str">
            <v>B567647/A</v>
          </cell>
          <cell r="D1447" t="str">
            <v>RH9986F382</v>
          </cell>
          <cell r="E1447">
            <v>4</v>
          </cell>
        </row>
        <row r="1448">
          <cell r="C1448" t="str">
            <v>B567649/A</v>
          </cell>
          <cell r="D1448" t="str">
            <v>RH9986F383</v>
          </cell>
          <cell r="E1448">
            <v>4</v>
          </cell>
        </row>
        <row r="1449">
          <cell r="C1449" t="str">
            <v>B567650/A</v>
          </cell>
          <cell r="D1449" t="str">
            <v>RH9986F383</v>
          </cell>
          <cell r="E1449">
            <v>6</v>
          </cell>
        </row>
        <row r="1450">
          <cell r="C1450" t="str">
            <v>B567652/A</v>
          </cell>
          <cell r="D1450" t="str">
            <v>RH9986F384</v>
          </cell>
          <cell r="E1450">
            <v>4</v>
          </cell>
        </row>
        <row r="1451">
          <cell r="C1451" t="str">
            <v>B567653/A</v>
          </cell>
          <cell r="D1451" t="str">
            <v>RH9986F384</v>
          </cell>
          <cell r="E1451">
            <v>4</v>
          </cell>
        </row>
        <row r="1452">
          <cell r="C1452" t="str">
            <v>B567655/A</v>
          </cell>
          <cell r="D1452" t="str">
            <v>RH9986F409</v>
          </cell>
          <cell r="E1452">
            <v>4</v>
          </cell>
        </row>
        <row r="1453">
          <cell r="C1453" t="str">
            <v>B567656/A</v>
          </cell>
          <cell r="D1453" t="str">
            <v>RH9986F409</v>
          </cell>
          <cell r="E1453">
            <v>8</v>
          </cell>
        </row>
        <row r="1454">
          <cell r="C1454" t="str">
            <v>B571019/A</v>
          </cell>
          <cell r="D1454" t="str">
            <v>SH182NF01</v>
          </cell>
          <cell r="E1454">
            <v>40</v>
          </cell>
        </row>
        <row r="1455">
          <cell r="C1455" t="str">
            <v>B574984/A</v>
          </cell>
          <cell r="D1455" t="str">
            <v>SH207F506</v>
          </cell>
          <cell r="E1455">
            <v>25</v>
          </cell>
        </row>
        <row r="1456">
          <cell r="C1456" t="str">
            <v>B574985/A</v>
          </cell>
          <cell r="D1456" t="str">
            <v>SH207F506</v>
          </cell>
          <cell r="E1456">
            <v>5</v>
          </cell>
        </row>
        <row r="1457">
          <cell r="C1457" t="str">
            <v>B574987/A</v>
          </cell>
          <cell r="D1457" t="str">
            <v>SH228F611</v>
          </cell>
          <cell r="E1457">
            <v>30</v>
          </cell>
        </row>
        <row r="1458">
          <cell r="C1458" t="str">
            <v>B574952/A</v>
          </cell>
          <cell r="D1458" t="str">
            <v>SH233F521-FB</v>
          </cell>
          <cell r="E1458">
            <v>20</v>
          </cell>
        </row>
        <row r="1459">
          <cell r="C1459" t="str">
            <v>B574954/A</v>
          </cell>
          <cell r="D1459" t="str">
            <v>SH233F521-HB</v>
          </cell>
          <cell r="E1459">
            <v>20</v>
          </cell>
        </row>
        <row r="1460">
          <cell r="C1460" t="str">
            <v>B574963/A</v>
          </cell>
          <cell r="D1460" t="str">
            <v>SH233F521-SR</v>
          </cell>
          <cell r="E1460">
            <v>20</v>
          </cell>
        </row>
        <row r="1461">
          <cell r="C1461" t="str">
            <v>B574989/A</v>
          </cell>
          <cell r="D1461" t="str">
            <v>SH236F521-FB</v>
          </cell>
          <cell r="E1461">
            <v>10</v>
          </cell>
        </row>
        <row r="1462">
          <cell r="C1462" t="str">
            <v>B574991/A</v>
          </cell>
          <cell r="D1462" t="str">
            <v>SH236F521-HB</v>
          </cell>
          <cell r="E1462">
            <v>10</v>
          </cell>
        </row>
        <row r="1463">
          <cell r="C1463" t="str">
            <v>B574993/A</v>
          </cell>
          <cell r="D1463" t="str">
            <v>SH236F521-SR</v>
          </cell>
          <cell r="E1463">
            <v>10</v>
          </cell>
        </row>
        <row r="1464">
          <cell r="C1464" t="str">
            <v>B574996/A</v>
          </cell>
          <cell r="D1464" t="str">
            <v>SH424F521-BASE</v>
          </cell>
          <cell r="E1464">
            <v>15</v>
          </cell>
        </row>
        <row r="1465">
          <cell r="C1465" t="str">
            <v>B574997/A</v>
          </cell>
          <cell r="D1465" t="str">
            <v>SH424F521-BASE</v>
          </cell>
          <cell r="E1465">
            <v>10</v>
          </cell>
        </row>
        <row r="1466">
          <cell r="C1466" t="str">
            <v>B571555/A</v>
          </cell>
          <cell r="D1466" t="str">
            <v>SH424F521-TOP</v>
          </cell>
          <cell r="E1466">
            <v>15</v>
          </cell>
        </row>
        <row r="1467">
          <cell r="C1467" t="str">
            <v>B571556/A</v>
          </cell>
          <cell r="D1467" t="str">
            <v>SH424F521-TOP</v>
          </cell>
          <cell r="E1467">
            <v>10</v>
          </cell>
        </row>
        <row r="1468">
          <cell r="C1468" t="str">
            <v>B574965/A</v>
          </cell>
          <cell r="D1468" t="str">
            <v>SH597FMT02</v>
          </cell>
          <cell r="E1468">
            <v>40</v>
          </cell>
        </row>
        <row r="1469">
          <cell r="C1469" t="str">
            <v>B574967/A</v>
          </cell>
          <cell r="D1469" t="str">
            <v>SH597FMT02-1486</v>
          </cell>
          <cell r="E1469">
            <v>35</v>
          </cell>
        </row>
        <row r="1470">
          <cell r="C1470" t="str">
            <v>B574654/A</v>
          </cell>
          <cell r="D1470" t="str">
            <v>DL019F837-DWTP</v>
          </cell>
          <cell r="E1470">
            <v>1</v>
          </cell>
        </row>
        <row r="1471">
          <cell r="C1471" t="str">
            <v>B574814/A</v>
          </cell>
          <cell r="D1471" t="str">
            <v>JV047F1212-SWAT</v>
          </cell>
          <cell r="E1471">
            <v>1200</v>
          </cell>
        </row>
        <row r="1472">
          <cell r="C1472" t="str">
            <v>B575786/A</v>
          </cell>
          <cell r="D1472" t="str">
            <v>BN1095AF1226</v>
          </cell>
          <cell r="E1472">
            <v>3</v>
          </cell>
        </row>
        <row r="1473">
          <cell r="C1473" t="str">
            <v>B575790/A</v>
          </cell>
          <cell r="D1473" t="str">
            <v>BN1124AF1229</v>
          </cell>
          <cell r="E1473">
            <v>3</v>
          </cell>
        </row>
        <row r="1474">
          <cell r="C1474" t="str">
            <v>B575784/A</v>
          </cell>
          <cell r="D1474" t="str">
            <v>BN1506AF1226</v>
          </cell>
          <cell r="E1474">
            <v>3</v>
          </cell>
        </row>
        <row r="1475">
          <cell r="C1475" t="str">
            <v>B575788/A</v>
          </cell>
          <cell r="D1475" t="str">
            <v>BN238AF1227</v>
          </cell>
          <cell r="E1475">
            <v>3</v>
          </cell>
        </row>
        <row r="1476">
          <cell r="C1476" t="str">
            <v>B576205/A</v>
          </cell>
          <cell r="D1476" t="str">
            <v>RD1145AF1228</v>
          </cell>
          <cell r="E1476">
            <v>3</v>
          </cell>
        </row>
        <row r="1477">
          <cell r="C1477" t="str">
            <v>B576402/A</v>
          </cell>
          <cell r="D1477" t="str">
            <v>AR417F906-BASE</v>
          </cell>
          <cell r="E1477">
            <v>18</v>
          </cell>
        </row>
        <row r="1478">
          <cell r="C1478" t="str">
            <v>B576403/A</v>
          </cell>
          <cell r="D1478" t="str">
            <v>AR417F906-BASE</v>
          </cell>
          <cell r="E1478">
            <v>7</v>
          </cell>
        </row>
        <row r="1479">
          <cell r="C1479" t="str">
            <v>B576645/A</v>
          </cell>
          <cell r="D1479" t="str">
            <v>RH123NF05</v>
          </cell>
          <cell r="E1479">
            <v>9</v>
          </cell>
        </row>
        <row r="1480">
          <cell r="C1480" t="str">
            <v>B576646/A</v>
          </cell>
          <cell r="D1480" t="str">
            <v>RH123NF05</v>
          </cell>
          <cell r="E1480">
            <v>8</v>
          </cell>
        </row>
        <row r="1481">
          <cell r="C1481" t="str">
            <v>B576651/A</v>
          </cell>
          <cell r="D1481" t="str">
            <v>RH1562-BNF95.BC</v>
          </cell>
          <cell r="E1481">
            <v>5</v>
          </cell>
        </row>
        <row r="1482">
          <cell r="C1482" t="str">
            <v>B576652/A</v>
          </cell>
          <cell r="D1482" t="str">
            <v>RH1562-BNF95.BC</v>
          </cell>
          <cell r="E1482">
            <v>15</v>
          </cell>
        </row>
        <row r="1483">
          <cell r="C1483" t="str">
            <v>B576653/A</v>
          </cell>
          <cell r="D1483" t="str">
            <v>RH1562-BNF95.BC</v>
          </cell>
          <cell r="E1483">
            <v>5</v>
          </cell>
        </row>
        <row r="1484">
          <cell r="C1484" t="str">
            <v>B576654/A</v>
          </cell>
          <cell r="D1484" t="str">
            <v>RH1562-BNF95.BC</v>
          </cell>
          <cell r="E1484">
            <v>15</v>
          </cell>
        </row>
        <row r="1485">
          <cell r="C1485" t="str">
            <v>B572092/A</v>
          </cell>
          <cell r="D1485" t="str">
            <v>RH3441NF40.BC</v>
          </cell>
          <cell r="E1485">
            <v>17</v>
          </cell>
        </row>
        <row r="1486">
          <cell r="C1486" t="str">
            <v>B573082/A</v>
          </cell>
          <cell r="D1486" t="str">
            <v>RH3441NF40.BC</v>
          </cell>
          <cell r="E1486">
            <v>18</v>
          </cell>
        </row>
        <row r="1487">
          <cell r="C1487" t="str">
            <v>B576657/A</v>
          </cell>
          <cell r="D1487" t="str">
            <v>RH4087F26</v>
          </cell>
          <cell r="E1487">
            <v>20</v>
          </cell>
        </row>
        <row r="1488">
          <cell r="C1488" t="str">
            <v>B576658/A</v>
          </cell>
          <cell r="D1488" t="str">
            <v>RH4087F26</v>
          </cell>
          <cell r="E1488">
            <v>20</v>
          </cell>
        </row>
        <row r="1489">
          <cell r="C1489" t="str">
            <v>B576665/A</v>
          </cell>
          <cell r="D1489" t="str">
            <v>RH5171NF08.BC</v>
          </cell>
          <cell r="E1489">
            <v>5</v>
          </cell>
        </row>
        <row r="1490">
          <cell r="C1490" t="str">
            <v>B576666/A</v>
          </cell>
          <cell r="D1490" t="str">
            <v>RH5171NF08.BC</v>
          </cell>
          <cell r="E1490">
            <v>12</v>
          </cell>
        </row>
        <row r="1491">
          <cell r="C1491" t="str">
            <v>B576667/A</v>
          </cell>
          <cell r="D1491" t="str">
            <v>RH5171NF08.BC</v>
          </cell>
          <cell r="E1491">
            <v>5</v>
          </cell>
        </row>
        <row r="1492">
          <cell r="C1492" t="str">
            <v>B576668/A</v>
          </cell>
          <cell r="D1492" t="str">
            <v>RH5171NF08.BC</v>
          </cell>
          <cell r="E1492">
            <v>12</v>
          </cell>
        </row>
        <row r="1493">
          <cell r="C1493" t="str">
            <v>B576671/A</v>
          </cell>
          <cell r="D1493" t="str">
            <v>RH578NF03</v>
          </cell>
          <cell r="E1493">
            <v>20</v>
          </cell>
        </row>
        <row r="1494">
          <cell r="C1494" t="str">
            <v>B576672/A</v>
          </cell>
          <cell r="D1494" t="str">
            <v>RH578NF03</v>
          </cell>
          <cell r="E1494">
            <v>20</v>
          </cell>
        </row>
        <row r="1495">
          <cell r="C1495" t="str">
            <v>B576677/A</v>
          </cell>
          <cell r="D1495" t="str">
            <v>RH857-TNF26</v>
          </cell>
          <cell r="E1495">
            <v>5</v>
          </cell>
        </row>
        <row r="1496">
          <cell r="C1496" t="str">
            <v>B576678/A</v>
          </cell>
          <cell r="D1496" t="str">
            <v>RH857-TNF26</v>
          </cell>
          <cell r="E1496">
            <v>5</v>
          </cell>
        </row>
        <row r="1497">
          <cell r="C1497" t="str">
            <v>B576679/A</v>
          </cell>
          <cell r="D1497" t="str">
            <v>RH857-TNF26</v>
          </cell>
          <cell r="E1497">
            <v>5</v>
          </cell>
        </row>
        <row r="1498">
          <cell r="C1498" t="str">
            <v>B576680/A</v>
          </cell>
          <cell r="D1498" t="str">
            <v>RH857-TNF26</v>
          </cell>
          <cell r="E1498">
            <v>5</v>
          </cell>
        </row>
        <row r="1499">
          <cell r="C1499" t="str">
            <v>B576388/A</v>
          </cell>
          <cell r="D1499" t="str">
            <v>AR110F906-BASE</v>
          </cell>
          <cell r="E1499">
            <v>69</v>
          </cell>
        </row>
        <row r="1500">
          <cell r="C1500" t="str">
            <v>B576389/A</v>
          </cell>
          <cell r="D1500" t="str">
            <v>AR110F906-BASE</v>
          </cell>
          <cell r="E1500">
            <v>31</v>
          </cell>
        </row>
        <row r="1501">
          <cell r="C1501" t="str">
            <v>B576554/A</v>
          </cell>
          <cell r="D1501" t="str">
            <v>AR112NF906-BASE</v>
          </cell>
          <cell r="E1501">
            <v>19</v>
          </cell>
        </row>
        <row r="1502">
          <cell r="C1502" t="str">
            <v>B576555/A</v>
          </cell>
          <cell r="D1502" t="str">
            <v>AR112NF906-BASE</v>
          </cell>
          <cell r="E1502">
            <v>6</v>
          </cell>
        </row>
        <row r="1503">
          <cell r="C1503" t="str">
            <v>B576559/A</v>
          </cell>
          <cell r="D1503" t="str">
            <v>AR125F906-BASE</v>
          </cell>
          <cell r="E1503">
            <v>86</v>
          </cell>
        </row>
        <row r="1504">
          <cell r="C1504" t="str">
            <v>B576561/A</v>
          </cell>
          <cell r="D1504" t="str">
            <v>AR125F906-BASE</v>
          </cell>
          <cell r="E1504">
            <v>64</v>
          </cell>
        </row>
        <row r="1505">
          <cell r="C1505" t="str">
            <v>B576564/A</v>
          </cell>
          <cell r="D1505" t="str">
            <v>AR127NF906-BASE</v>
          </cell>
          <cell r="E1505">
            <v>63</v>
          </cell>
        </row>
        <row r="1506">
          <cell r="C1506" t="str">
            <v>B576549/A</v>
          </cell>
          <cell r="D1506" t="str">
            <v>AR127NF906-BASE</v>
          </cell>
          <cell r="E1506">
            <v>37</v>
          </cell>
        </row>
        <row r="1507">
          <cell r="C1507" t="str">
            <v>B576416/A</v>
          </cell>
          <cell r="D1507" t="str">
            <v>AR196NF834</v>
          </cell>
          <cell r="E1507">
            <v>66</v>
          </cell>
        </row>
        <row r="1508">
          <cell r="C1508" t="str">
            <v>B576417/A</v>
          </cell>
          <cell r="D1508" t="str">
            <v>AR196NF834</v>
          </cell>
          <cell r="E1508">
            <v>34</v>
          </cell>
        </row>
        <row r="1509">
          <cell r="C1509" t="str">
            <v>B576569/A</v>
          </cell>
          <cell r="D1509" t="str">
            <v>AR454F906-BASE</v>
          </cell>
          <cell r="E1509">
            <v>10</v>
          </cell>
        </row>
        <row r="1510">
          <cell r="C1510" t="str">
            <v>B576570/A</v>
          </cell>
          <cell r="D1510" t="str">
            <v>AR454F906-BASE</v>
          </cell>
          <cell r="E1510">
            <v>15</v>
          </cell>
        </row>
        <row r="1511">
          <cell r="C1511" t="str">
            <v>B576420/A</v>
          </cell>
          <cell r="D1511" t="str">
            <v>AR720F892-BASE1</v>
          </cell>
          <cell r="E1511">
            <v>39</v>
          </cell>
        </row>
        <row r="1512">
          <cell r="C1512" t="str">
            <v>B576421/A</v>
          </cell>
          <cell r="D1512" t="str">
            <v>AR720F892-BASE1</v>
          </cell>
          <cell r="E1512">
            <v>16</v>
          </cell>
        </row>
        <row r="1513">
          <cell r="C1513" t="str">
            <v>B576424/A</v>
          </cell>
          <cell r="D1513" t="str">
            <v>AR720F892-TOP</v>
          </cell>
          <cell r="E1513">
            <v>39</v>
          </cell>
        </row>
        <row r="1514">
          <cell r="C1514" t="str">
            <v>B576425/A</v>
          </cell>
          <cell r="D1514" t="str">
            <v>AR720F892-TOP</v>
          </cell>
          <cell r="E1514">
            <v>16</v>
          </cell>
        </row>
        <row r="1515">
          <cell r="C1515" t="str">
            <v>B576576/A</v>
          </cell>
          <cell r="D1515" t="str">
            <v>AR756F892-BASE2</v>
          </cell>
          <cell r="E1515">
            <v>35</v>
          </cell>
        </row>
        <row r="1516">
          <cell r="C1516" t="str">
            <v>B576577/A</v>
          </cell>
          <cell r="D1516" t="str">
            <v>AR756F892-BASE2</v>
          </cell>
          <cell r="E1516">
            <v>15</v>
          </cell>
        </row>
        <row r="1517">
          <cell r="C1517" t="str">
            <v>B576581/A</v>
          </cell>
          <cell r="D1517" t="str">
            <v>AR756F892-TOP</v>
          </cell>
          <cell r="E1517">
            <v>35</v>
          </cell>
        </row>
        <row r="1518">
          <cell r="C1518" t="str">
            <v>B576582/A</v>
          </cell>
          <cell r="D1518" t="str">
            <v>AR756F892-TOP</v>
          </cell>
          <cell r="E1518">
            <v>15</v>
          </cell>
        </row>
        <row r="1519">
          <cell r="C1519" t="str">
            <v>B574656/A</v>
          </cell>
          <cell r="D1519" t="str">
            <v>AR996F1291</v>
          </cell>
          <cell r="E1519">
            <v>1</v>
          </cell>
        </row>
        <row r="1520">
          <cell r="C1520" t="str">
            <v>B575141/A</v>
          </cell>
          <cell r="D1520" t="str">
            <v>AR996F1291</v>
          </cell>
          <cell r="E1520">
            <v>3</v>
          </cell>
        </row>
        <row r="1521">
          <cell r="C1521" t="str">
            <v>B574658/A</v>
          </cell>
          <cell r="D1521" t="str">
            <v>AR999F1291</v>
          </cell>
          <cell r="E1521">
            <v>1</v>
          </cell>
        </row>
        <row r="1522">
          <cell r="C1522" t="str">
            <v>B575143/A</v>
          </cell>
          <cell r="D1522" t="str">
            <v>AR999F1291</v>
          </cell>
          <cell r="E1522">
            <v>3</v>
          </cell>
        </row>
        <row r="1523">
          <cell r="C1523" t="str">
            <v>B576428/A</v>
          </cell>
          <cell r="D1523" t="str">
            <v>AT302AF00-VE</v>
          </cell>
          <cell r="E1523">
            <v>40</v>
          </cell>
        </row>
        <row r="1524">
          <cell r="C1524" t="str">
            <v>B576449/A</v>
          </cell>
          <cell r="D1524" t="str">
            <v>AT305NF00</v>
          </cell>
          <cell r="E1524">
            <v>40</v>
          </cell>
        </row>
        <row r="1525">
          <cell r="C1525" t="str">
            <v>B571562/A</v>
          </cell>
          <cell r="D1525" t="str">
            <v>AT418F00</v>
          </cell>
          <cell r="E1525">
            <v>25</v>
          </cell>
        </row>
        <row r="1526">
          <cell r="C1526" t="str">
            <v>B571561/A</v>
          </cell>
          <cell r="D1526" t="str">
            <v>AT418F00</v>
          </cell>
          <cell r="E1526">
            <v>50</v>
          </cell>
        </row>
        <row r="1527">
          <cell r="C1527" t="str">
            <v>B576440/A</v>
          </cell>
          <cell r="D1527" t="str">
            <v>AT453NF00</v>
          </cell>
          <cell r="E1527">
            <v>25</v>
          </cell>
        </row>
        <row r="1528">
          <cell r="C1528" t="str">
            <v>B576442/A</v>
          </cell>
          <cell r="D1528" t="str">
            <v>AT570F00</v>
          </cell>
          <cell r="E1528">
            <v>25</v>
          </cell>
        </row>
        <row r="1529">
          <cell r="C1529" t="str">
            <v>B576450/A</v>
          </cell>
          <cell r="D1529" t="str">
            <v>AT573F00</v>
          </cell>
          <cell r="E1529">
            <v>25</v>
          </cell>
        </row>
        <row r="1530">
          <cell r="C1530" t="str">
            <v>B576451/A</v>
          </cell>
          <cell r="D1530" t="str">
            <v>AT574F00</v>
          </cell>
          <cell r="E1530">
            <v>30</v>
          </cell>
        </row>
        <row r="1531">
          <cell r="C1531" t="str">
            <v>B576452/A</v>
          </cell>
          <cell r="D1531" t="str">
            <v>AT574F00</v>
          </cell>
          <cell r="E1531">
            <v>50</v>
          </cell>
        </row>
        <row r="1532">
          <cell r="C1532" t="str">
            <v>B576584/A</v>
          </cell>
          <cell r="D1532" t="str">
            <v>AT627F00</v>
          </cell>
          <cell r="E1532">
            <v>50</v>
          </cell>
        </row>
        <row r="1533">
          <cell r="C1533" t="str">
            <v>B576448/A</v>
          </cell>
          <cell r="D1533" t="str">
            <v>AT675F00</v>
          </cell>
          <cell r="E1533">
            <v>50</v>
          </cell>
        </row>
        <row r="1534">
          <cell r="C1534" t="str">
            <v>B576455/A</v>
          </cell>
          <cell r="D1534" t="str">
            <v>BN3178F356</v>
          </cell>
          <cell r="E1534">
            <v>10</v>
          </cell>
        </row>
        <row r="1535">
          <cell r="C1535" t="str">
            <v>B576456/A</v>
          </cell>
          <cell r="D1535" t="str">
            <v>BN3178F356</v>
          </cell>
          <cell r="E1535">
            <v>28</v>
          </cell>
        </row>
        <row r="1536">
          <cell r="C1536" t="str">
            <v>B576458/A</v>
          </cell>
          <cell r="D1536" t="str">
            <v>BN3186NF356</v>
          </cell>
          <cell r="E1536">
            <v>35</v>
          </cell>
        </row>
        <row r="1537">
          <cell r="C1537" t="str">
            <v>B576586/A</v>
          </cell>
          <cell r="D1537" t="str">
            <v>CT020AF633</v>
          </cell>
          <cell r="E1537">
            <v>25</v>
          </cell>
        </row>
        <row r="1538">
          <cell r="C1538" t="str">
            <v>B576597/A</v>
          </cell>
          <cell r="D1538" t="str">
            <v>CT021ANF633</v>
          </cell>
          <cell r="E1538">
            <v>12</v>
          </cell>
        </row>
        <row r="1539">
          <cell r="C1539" t="str">
            <v>B576591/A</v>
          </cell>
          <cell r="D1539" t="str">
            <v>CT039AF610-FB</v>
          </cell>
          <cell r="E1539">
            <v>25</v>
          </cell>
        </row>
        <row r="1540">
          <cell r="C1540" t="str">
            <v>B576593/A</v>
          </cell>
          <cell r="D1540" t="str">
            <v>CT039AF610-HB</v>
          </cell>
          <cell r="E1540">
            <v>25</v>
          </cell>
        </row>
        <row r="1541">
          <cell r="C1541" t="str">
            <v>B576595/A</v>
          </cell>
          <cell r="D1541" t="str">
            <v>CT039AF610-SR</v>
          </cell>
          <cell r="E1541">
            <v>25</v>
          </cell>
        </row>
        <row r="1542">
          <cell r="C1542" t="str">
            <v>B572392/A</v>
          </cell>
          <cell r="D1542" t="str">
            <v>CZ044NF10</v>
          </cell>
          <cell r="E1542">
            <v>21</v>
          </cell>
        </row>
        <row r="1543">
          <cell r="C1543" t="str">
            <v>B573199/A</v>
          </cell>
          <cell r="D1543" t="str">
            <v>CZ044NF10</v>
          </cell>
          <cell r="E1543">
            <v>21</v>
          </cell>
        </row>
        <row r="1544">
          <cell r="C1544" t="str">
            <v>B573201/A</v>
          </cell>
          <cell r="D1544" t="str">
            <v>CZ044NF190</v>
          </cell>
          <cell r="E1544">
            <v>3</v>
          </cell>
        </row>
        <row r="1545">
          <cell r="C1545" t="str">
            <v>B576407/A</v>
          </cell>
          <cell r="D1545" t="str">
            <v>CZ044NF191</v>
          </cell>
          <cell r="E1545">
            <v>5</v>
          </cell>
        </row>
        <row r="1546">
          <cell r="C1546" t="str">
            <v>B572089/A</v>
          </cell>
          <cell r="D1546" t="str">
            <v>CZ121NF08</v>
          </cell>
          <cell r="E1546">
            <v>21</v>
          </cell>
        </row>
        <row r="1547">
          <cell r="C1547" t="str">
            <v>B576409/A</v>
          </cell>
          <cell r="D1547" t="str">
            <v>CZ121NF10</v>
          </cell>
          <cell r="E1547">
            <v>29</v>
          </cell>
        </row>
        <row r="1548">
          <cell r="C1548" t="str">
            <v>B572078/A</v>
          </cell>
          <cell r="D1548" t="str">
            <v>CZ348F08</v>
          </cell>
          <cell r="E1548">
            <v>4</v>
          </cell>
        </row>
        <row r="1549">
          <cell r="C1549" t="str">
            <v>B567111/A</v>
          </cell>
          <cell r="D1549" t="str">
            <v>CZ348F191</v>
          </cell>
          <cell r="E1549">
            <v>6</v>
          </cell>
        </row>
        <row r="1550">
          <cell r="C1550" t="str">
            <v>B572080/A</v>
          </cell>
          <cell r="D1550" t="str">
            <v>CZ496F08</v>
          </cell>
          <cell r="E1550">
            <v>18</v>
          </cell>
        </row>
        <row r="1551">
          <cell r="C1551" t="str">
            <v>B572084/A</v>
          </cell>
          <cell r="D1551" t="str">
            <v>CZ496F09</v>
          </cell>
          <cell r="E1551">
            <v>6</v>
          </cell>
        </row>
        <row r="1552">
          <cell r="C1552" t="str">
            <v>B572083/A</v>
          </cell>
          <cell r="D1552" t="str">
            <v>CZ496F09</v>
          </cell>
          <cell r="E1552">
            <v>6</v>
          </cell>
        </row>
        <row r="1553">
          <cell r="C1553" t="str">
            <v>B576411/A</v>
          </cell>
          <cell r="D1553" t="str">
            <v>CZ496F10</v>
          </cell>
          <cell r="E1553">
            <v>19</v>
          </cell>
        </row>
        <row r="1554">
          <cell r="C1554" t="str">
            <v>B576413/A</v>
          </cell>
          <cell r="D1554" t="str">
            <v>CZ496F190</v>
          </cell>
          <cell r="E1554">
            <v>8</v>
          </cell>
        </row>
        <row r="1555">
          <cell r="C1555" t="str">
            <v>B570426/A</v>
          </cell>
          <cell r="D1555" t="str">
            <v>CZ653F08</v>
          </cell>
          <cell r="E1555">
            <v>7</v>
          </cell>
        </row>
        <row r="1556">
          <cell r="C1556" t="str">
            <v>B570428/A</v>
          </cell>
          <cell r="D1556" t="str">
            <v>CZ653F09</v>
          </cell>
          <cell r="E1556">
            <v>42</v>
          </cell>
        </row>
        <row r="1557">
          <cell r="C1557" t="str">
            <v>B576812/A</v>
          </cell>
          <cell r="D1557" t="str">
            <v>CZ824F188</v>
          </cell>
          <cell r="E1557">
            <v>21</v>
          </cell>
        </row>
        <row r="1558">
          <cell r="C1558" t="str">
            <v>B576814/A</v>
          </cell>
          <cell r="D1558" t="str">
            <v>CZ826F188</v>
          </cell>
          <cell r="E1558">
            <v>35</v>
          </cell>
        </row>
        <row r="1559">
          <cell r="C1559" t="str">
            <v>B576816/A</v>
          </cell>
          <cell r="D1559" t="str">
            <v>CZ848F188</v>
          </cell>
          <cell r="E1559">
            <v>5</v>
          </cell>
        </row>
        <row r="1560">
          <cell r="C1560" t="str">
            <v>B576818/A</v>
          </cell>
          <cell r="D1560" t="str">
            <v>CZ862F381</v>
          </cell>
          <cell r="E1560">
            <v>1</v>
          </cell>
        </row>
        <row r="1561">
          <cell r="C1561" t="str">
            <v>B576820/A</v>
          </cell>
          <cell r="D1561" t="str">
            <v>CZ862F409</v>
          </cell>
          <cell r="E1561">
            <v>4</v>
          </cell>
        </row>
        <row r="1562">
          <cell r="C1562" t="str">
            <v>B576822/A</v>
          </cell>
          <cell r="D1562" t="str">
            <v>CZ895F381</v>
          </cell>
          <cell r="E1562">
            <v>17</v>
          </cell>
        </row>
        <row r="1563">
          <cell r="C1563" t="str">
            <v>B576824/A</v>
          </cell>
          <cell r="D1563" t="str">
            <v>CZ899F188</v>
          </cell>
          <cell r="E1563">
            <v>19</v>
          </cell>
        </row>
        <row r="1564">
          <cell r="C1564" t="str">
            <v>B576826/A</v>
          </cell>
          <cell r="D1564" t="str">
            <v>CZ899F381</v>
          </cell>
          <cell r="E1564">
            <v>17</v>
          </cell>
        </row>
        <row r="1565">
          <cell r="C1565" t="str">
            <v>B576828/A</v>
          </cell>
          <cell r="D1565" t="str">
            <v>CZ900F409</v>
          </cell>
          <cell r="E1565">
            <v>22</v>
          </cell>
        </row>
        <row r="1566">
          <cell r="C1566" t="str">
            <v>B576830/A</v>
          </cell>
          <cell r="D1566" t="str">
            <v>CZ902F196</v>
          </cell>
          <cell r="E1566">
            <v>2</v>
          </cell>
        </row>
        <row r="1567">
          <cell r="C1567" t="str">
            <v>B576832/A</v>
          </cell>
          <cell r="D1567" t="str">
            <v>CZ902F381</v>
          </cell>
          <cell r="E1567">
            <v>3</v>
          </cell>
        </row>
        <row r="1568">
          <cell r="C1568" t="str">
            <v>B576834/A</v>
          </cell>
          <cell r="D1568" t="str">
            <v>RH10024F424</v>
          </cell>
          <cell r="E1568">
            <v>19</v>
          </cell>
        </row>
        <row r="1569">
          <cell r="C1569" t="str">
            <v>B576836/A</v>
          </cell>
          <cell r="D1569" t="str">
            <v>RH10025F423</v>
          </cell>
          <cell r="E1569">
            <v>2</v>
          </cell>
        </row>
        <row r="1570">
          <cell r="C1570" t="str">
            <v>B576838/A</v>
          </cell>
          <cell r="D1570" t="str">
            <v>RH10025F426</v>
          </cell>
          <cell r="E1570">
            <v>11</v>
          </cell>
        </row>
        <row r="1571">
          <cell r="C1571" t="str">
            <v>B576736/A</v>
          </cell>
          <cell r="D1571" t="str">
            <v>RH122F05</v>
          </cell>
          <cell r="E1571">
            <v>20</v>
          </cell>
        </row>
        <row r="1572">
          <cell r="C1572" t="str">
            <v>B576738/A</v>
          </cell>
          <cell r="D1572" t="str">
            <v>RH1612NF73.BC</v>
          </cell>
          <cell r="E1572">
            <v>5</v>
          </cell>
        </row>
        <row r="1573">
          <cell r="C1573" t="str">
            <v>B576741/A</v>
          </cell>
          <cell r="D1573" t="str">
            <v>RH1615F73.BC</v>
          </cell>
          <cell r="E1573">
            <v>13</v>
          </cell>
        </row>
        <row r="1574">
          <cell r="C1574" t="str">
            <v>B576742/A</v>
          </cell>
          <cell r="D1574" t="str">
            <v>RH1615F73.BC</v>
          </cell>
          <cell r="E1574">
            <v>12</v>
          </cell>
        </row>
        <row r="1575">
          <cell r="C1575" t="str">
            <v>B576745/A</v>
          </cell>
          <cell r="D1575" t="str">
            <v>RH1658-TF96</v>
          </cell>
          <cell r="E1575">
            <v>8</v>
          </cell>
        </row>
        <row r="1576">
          <cell r="C1576" t="str">
            <v>B576746/A</v>
          </cell>
          <cell r="D1576" t="str">
            <v>RH1658-TF96</v>
          </cell>
          <cell r="E1576">
            <v>7</v>
          </cell>
        </row>
        <row r="1577">
          <cell r="C1577" t="str">
            <v>B576749/A</v>
          </cell>
          <cell r="D1577" t="str">
            <v>RH2273F08</v>
          </cell>
          <cell r="E1577">
            <v>10</v>
          </cell>
        </row>
        <row r="1578">
          <cell r="C1578" t="str">
            <v>B576750/A</v>
          </cell>
          <cell r="D1578" t="str">
            <v>RH2273F08</v>
          </cell>
          <cell r="E1578">
            <v>10</v>
          </cell>
        </row>
        <row r="1579">
          <cell r="C1579" t="str">
            <v>B576755/A</v>
          </cell>
          <cell r="D1579" t="str">
            <v>RH2275NF08</v>
          </cell>
          <cell r="E1579">
            <v>3</v>
          </cell>
        </row>
        <row r="1580">
          <cell r="C1580" t="str">
            <v>B576756/A</v>
          </cell>
          <cell r="D1580" t="str">
            <v>RH2275NF08</v>
          </cell>
          <cell r="E1580">
            <v>2</v>
          </cell>
        </row>
        <row r="1581">
          <cell r="C1581" t="str">
            <v>B576757/A</v>
          </cell>
          <cell r="D1581" t="str">
            <v>RH2275NF08</v>
          </cell>
          <cell r="E1581">
            <v>8</v>
          </cell>
        </row>
        <row r="1582">
          <cell r="C1582" t="str">
            <v>B576758/A</v>
          </cell>
          <cell r="D1582" t="str">
            <v>RH2275NF08</v>
          </cell>
          <cell r="E1582">
            <v>7</v>
          </cell>
        </row>
        <row r="1583">
          <cell r="C1583" t="str">
            <v>B568466/A</v>
          </cell>
          <cell r="D1583" t="str">
            <v>RH2373F123</v>
          </cell>
          <cell r="E1583">
            <v>24</v>
          </cell>
        </row>
        <row r="1584">
          <cell r="C1584" t="str">
            <v>B568468/A</v>
          </cell>
          <cell r="D1584" t="str">
            <v>RH2373F190</v>
          </cell>
          <cell r="E1584">
            <v>42</v>
          </cell>
        </row>
        <row r="1585">
          <cell r="C1585" t="str">
            <v>B572087/A</v>
          </cell>
          <cell r="D1585" t="str">
            <v>RH2417F40.BC</v>
          </cell>
          <cell r="E1585">
            <v>27</v>
          </cell>
        </row>
        <row r="1586">
          <cell r="C1586" t="str">
            <v>B573080/A</v>
          </cell>
          <cell r="D1586" t="str">
            <v>RH2417F40.BC</v>
          </cell>
          <cell r="E1586">
            <v>28</v>
          </cell>
        </row>
        <row r="1587">
          <cell r="C1587" t="str">
            <v>B576760/A</v>
          </cell>
          <cell r="D1587" t="str">
            <v>RH2755F123</v>
          </cell>
          <cell r="E1587">
            <v>21</v>
          </cell>
        </row>
        <row r="1588">
          <cell r="C1588" t="str">
            <v>B576763/A</v>
          </cell>
          <cell r="D1588" t="str">
            <v>RH2755F190</v>
          </cell>
          <cell r="E1588">
            <v>10</v>
          </cell>
        </row>
        <row r="1589">
          <cell r="C1589" t="str">
            <v>B576764/A</v>
          </cell>
          <cell r="D1589" t="str">
            <v>RH2755F190</v>
          </cell>
          <cell r="E1589">
            <v>11</v>
          </cell>
        </row>
        <row r="1590">
          <cell r="C1590" t="str">
            <v>B576766/A</v>
          </cell>
          <cell r="D1590" t="str">
            <v>RH2755F191</v>
          </cell>
          <cell r="E1590">
            <v>1</v>
          </cell>
        </row>
        <row r="1591">
          <cell r="C1591" t="str">
            <v>B576769/A</v>
          </cell>
          <cell r="D1591" t="str">
            <v>RH2902F10CZ</v>
          </cell>
          <cell r="E1591">
            <v>4</v>
          </cell>
        </row>
        <row r="1592">
          <cell r="C1592" t="str">
            <v>B576770/A</v>
          </cell>
          <cell r="D1592" t="str">
            <v>RH2902F10CZ</v>
          </cell>
          <cell r="E1592">
            <v>5</v>
          </cell>
        </row>
        <row r="1593">
          <cell r="C1593" t="str">
            <v>B576773/A</v>
          </cell>
          <cell r="D1593" t="str">
            <v>RH2902F123</v>
          </cell>
          <cell r="E1593">
            <v>33</v>
          </cell>
        </row>
        <row r="1594">
          <cell r="C1594" t="str">
            <v>B576774/A</v>
          </cell>
          <cell r="D1594" t="str">
            <v>RH2902F123</v>
          </cell>
          <cell r="E1594">
            <v>34</v>
          </cell>
        </row>
        <row r="1595">
          <cell r="C1595" t="str">
            <v>B576776/A</v>
          </cell>
          <cell r="D1595" t="str">
            <v>RH2902F190</v>
          </cell>
          <cell r="E1595">
            <v>6</v>
          </cell>
        </row>
        <row r="1596">
          <cell r="C1596" t="str">
            <v>B576785/A</v>
          </cell>
          <cell r="D1596" t="str">
            <v>RH2969F244</v>
          </cell>
          <cell r="E1596">
            <v>5</v>
          </cell>
        </row>
        <row r="1597">
          <cell r="C1597" t="str">
            <v>B576786/A</v>
          </cell>
          <cell r="D1597" t="str">
            <v>RH2969F244</v>
          </cell>
          <cell r="E1597">
            <v>5</v>
          </cell>
        </row>
        <row r="1598">
          <cell r="C1598" t="str">
            <v>B576787/A</v>
          </cell>
          <cell r="D1598" t="str">
            <v>RH2969F244</v>
          </cell>
          <cell r="E1598">
            <v>5</v>
          </cell>
        </row>
        <row r="1599">
          <cell r="C1599" t="str">
            <v>B576788/A</v>
          </cell>
          <cell r="D1599" t="str">
            <v>RH2969F244</v>
          </cell>
          <cell r="E1599">
            <v>5</v>
          </cell>
        </row>
        <row r="1600">
          <cell r="C1600" t="str">
            <v>B576841/A</v>
          </cell>
          <cell r="D1600" t="str">
            <v>RH3351F09</v>
          </cell>
          <cell r="E1600">
            <v>10</v>
          </cell>
        </row>
        <row r="1601">
          <cell r="C1601" t="str">
            <v>B576842/A</v>
          </cell>
          <cell r="D1601" t="str">
            <v>RH3351F09</v>
          </cell>
          <cell r="E1601">
            <v>10</v>
          </cell>
        </row>
        <row r="1602">
          <cell r="C1602" t="str">
            <v>B576846/A</v>
          </cell>
          <cell r="D1602" t="str">
            <v>RH3361F09</v>
          </cell>
          <cell r="E1602">
            <v>5</v>
          </cell>
        </row>
        <row r="1603">
          <cell r="C1603" t="str">
            <v>B576847/A</v>
          </cell>
          <cell r="D1603" t="str">
            <v>RH3361F09</v>
          </cell>
          <cell r="E1603">
            <v>10</v>
          </cell>
        </row>
        <row r="1604">
          <cell r="C1604" t="str">
            <v>B576848/A</v>
          </cell>
          <cell r="D1604" t="str">
            <v>RH3361F09</v>
          </cell>
          <cell r="E1604">
            <v>10</v>
          </cell>
        </row>
        <row r="1605">
          <cell r="C1605" t="str">
            <v>B573527/A</v>
          </cell>
          <cell r="D1605" t="str">
            <v>RH3381F09</v>
          </cell>
          <cell r="E1605">
            <v>13</v>
          </cell>
        </row>
        <row r="1606">
          <cell r="C1606" t="str">
            <v>B573526/A</v>
          </cell>
          <cell r="D1606" t="str">
            <v>RH3381F09</v>
          </cell>
          <cell r="E1606">
            <v>12</v>
          </cell>
        </row>
        <row r="1607">
          <cell r="C1607" t="str">
            <v>B574893/A</v>
          </cell>
          <cell r="D1607" t="str">
            <v>RH3451F153.BC</v>
          </cell>
          <cell r="E1607">
            <v>8</v>
          </cell>
        </row>
        <row r="1608">
          <cell r="C1608" t="str">
            <v>B574894/A</v>
          </cell>
          <cell r="D1608" t="str">
            <v>RH3451F153.BC</v>
          </cell>
          <cell r="E1608">
            <v>13</v>
          </cell>
        </row>
        <row r="1609">
          <cell r="C1609" t="str">
            <v>B574895/A</v>
          </cell>
          <cell r="D1609" t="str">
            <v>RH3451F153.BC</v>
          </cell>
          <cell r="E1609">
            <v>7</v>
          </cell>
        </row>
        <row r="1610">
          <cell r="C1610" t="str">
            <v>B574896/A</v>
          </cell>
          <cell r="D1610" t="str">
            <v>RH3451F153.BC</v>
          </cell>
          <cell r="E1610">
            <v>12</v>
          </cell>
        </row>
        <row r="1611">
          <cell r="C1611" t="str">
            <v>B576779/A</v>
          </cell>
          <cell r="D1611" t="str">
            <v>RH4095F112.BC</v>
          </cell>
          <cell r="E1611">
            <v>5</v>
          </cell>
        </row>
        <row r="1612">
          <cell r="C1612" t="str">
            <v>B576780/A</v>
          </cell>
          <cell r="D1612" t="str">
            <v>RH4095F112.BC</v>
          </cell>
          <cell r="E1612">
            <v>10</v>
          </cell>
        </row>
        <row r="1613">
          <cell r="C1613" t="str">
            <v>B576793/A</v>
          </cell>
          <cell r="D1613" t="str">
            <v>RH4098F152</v>
          </cell>
          <cell r="E1613">
            <v>3</v>
          </cell>
        </row>
        <row r="1614">
          <cell r="C1614" t="str">
            <v>B576794/A</v>
          </cell>
          <cell r="D1614" t="str">
            <v>RH4098F152</v>
          </cell>
          <cell r="E1614">
            <v>2</v>
          </cell>
        </row>
        <row r="1615">
          <cell r="C1615" t="str">
            <v>B576795/A</v>
          </cell>
          <cell r="D1615" t="str">
            <v>RH4098F152</v>
          </cell>
          <cell r="E1615">
            <v>8</v>
          </cell>
        </row>
        <row r="1616">
          <cell r="C1616" t="str">
            <v>B576796/A</v>
          </cell>
          <cell r="D1616" t="str">
            <v>RH4098F152</v>
          </cell>
          <cell r="E1616">
            <v>7</v>
          </cell>
        </row>
        <row r="1617">
          <cell r="C1617" t="str">
            <v>B576799/A</v>
          </cell>
          <cell r="D1617" t="str">
            <v>RH5283F08.BC</v>
          </cell>
          <cell r="E1617">
            <v>5</v>
          </cell>
        </row>
        <row r="1618">
          <cell r="C1618" t="str">
            <v>B576801/A</v>
          </cell>
          <cell r="D1618" t="str">
            <v>RH5283F08.BC</v>
          </cell>
          <cell r="E1618">
            <v>10</v>
          </cell>
        </row>
        <row r="1619">
          <cell r="C1619" t="str">
            <v>B576804/A</v>
          </cell>
          <cell r="D1619" t="str">
            <v>RH619F01</v>
          </cell>
          <cell r="E1619">
            <v>28</v>
          </cell>
        </row>
        <row r="1620">
          <cell r="C1620" t="str">
            <v>B576805/A</v>
          </cell>
          <cell r="D1620" t="str">
            <v>RH619F01</v>
          </cell>
          <cell r="E1620">
            <v>27</v>
          </cell>
        </row>
        <row r="1621">
          <cell r="C1621" t="str">
            <v>B576809/A</v>
          </cell>
          <cell r="D1621" t="str">
            <v>RH619F03</v>
          </cell>
          <cell r="E1621">
            <v>17</v>
          </cell>
        </row>
        <row r="1622">
          <cell r="C1622" t="str">
            <v>B576810/A</v>
          </cell>
          <cell r="D1622" t="str">
            <v>RH619F03</v>
          </cell>
          <cell r="E1622">
            <v>16</v>
          </cell>
        </row>
        <row r="1623">
          <cell r="C1623" t="str">
            <v>B576850/A</v>
          </cell>
          <cell r="D1623" t="str">
            <v>RH7369F383</v>
          </cell>
          <cell r="E1623">
            <v>12</v>
          </cell>
        </row>
        <row r="1624">
          <cell r="C1624" t="str">
            <v>B576853/A</v>
          </cell>
          <cell r="D1624" t="str">
            <v>RH963NF29</v>
          </cell>
          <cell r="E1624">
            <v>10</v>
          </cell>
        </row>
        <row r="1625">
          <cell r="C1625" t="str">
            <v>B576854/A</v>
          </cell>
          <cell r="D1625" t="str">
            <v>RH963NF29</v>
          </cell>
          <cell r="E1625">
            <v>10</v>
          </cell>
        </row>
        <row r="1626">
          <cell r="C1626" t="str">
            <v>B571568/A</v>
          </cell>
          <cell r="D1626" t="str">
            <v>SH146F01</v>
          </cell>
          <cell r="E1626">
            <v>50</v>
          </cell>
        </row>
        <row r="1627">
          <cell r="C1627" t="str">
            <v>B576858/A</v>
          </cell>
          <cell r="D1627" t="str">
            <v>SH232F521-FB</v>
          </cell>
          <cell r="E1627">
            <v>18</v>
          </cell>
        </row>
        <row r="1628">
          <cell r="C1628" t="str">
            <v>B576860/A</v>
          </cell>
          <cell r="D1628" t="str">
            <v>SH232F521-HB</v>
          </cell>
          <cell r="E1628">
            <v>18</v>
          </cell>
        </row>
        <row r="1629">
          <cell r="C1629" t="str">
            <v>B576862/A</v>
          </cell>
          <cell r="D1629" t="str">
            <v>SH232F521-SR</v>
          </cell>
          <cell r="E1629">
            <v>18</v>
          </cell>
        </row>
        <row r="1630">
          <cell r="C1630" t="str">
            <v>B576856/A</v>
          </cell>
          <cell r="D1630" t="str">
            <v>SH291F506</v>
          </cell>
          <cell r="E1630">
            <v>25</v>
          </cell>
        </row>
        <row r="1631">
          <cell r="C1631" t="str">
            <v>B576865/A</v>
          </cell>
          <cell r="D1631" t="str">
            <v>SH494F506</v>
          </cell>
          <cell r="E1631">
            <v>25</v>
          </cell>
        </row>
        <row r="1632">
          <cell r="C1632" t="str">
            <v>B576866/A</v>
          </cell>
          <cell r="D1632" t="str">
            <v>SH494F506</v>
          </cell>
          <cell r="E1632">
            <v>15</v>
          </cell>
        </row>
        <row r="1633">
          <cell r="C1633" t="str">
            <v>B571571/A</v>
          </cell>
          <cell r="D1633" t="str">
            <v>SH627F846</v>
          </cell>
          <cell r="E1633">
            <v>40</v>
          </cell>
        </row>
        <row r="1634">
          <cell r="C1634" t="str">
            <v>B571572/A</v>
          </cell>
          <cell r="D1634" t="str">
            <v>SH627F846</v>
          </cell>
          <cell r="E1634">
            <v>20</v>
          </cell>
        </row>
        <row r="1635">
          <cell r="C1635" t="str">
            <v>B571575/A</v>
          </cell>
          <cell r="D1635" t="str">
            <v>SH636F909</v>
          </cell>
          <cell r="E1635">
            <v>15</v>
          </cell>
        </row>
        <row r="1636">
          <cell r="C1636" t="str">
            <v>B571576/A</v>
          </cell>
          <cell r="D1636" t="str">
            <v>SH636F909</v>
          </cell>
          <cell r="E1636">
            <v>15</v>
          </cell>
        </row>
        <row r="1637">
          <cell r="C1637" t="str">
            <v>B576393/A</v>
          </cell>
          <cell r="D1637" t="str">
            <v>BN2867F356-SHEL</v>
          </cell>
          <cell r="E1637">
            <v>5</v>
          </cell>
        </row>
        <row r="1638">
          <cell r="C1638" t="str">
            <v>B576396/A</v>
          </cell>
          <cell r="D1638" t="str">
            <v>BN3060NF357-SHEL</v>
          </cell>
          <cell r="E1638">
            <v>10</v>
          </cell>
        </row>
        <row r="1639">
          <cell r="C1639" t="str">
            <v>B576399/A</v>
          </cell>
          <cell r="D1639" t="str">
            <v>BN3105F356-SHEL</v>
          </cell>
          <cell r="E1639">
            <v>10</v>
          </cell>
        </row>
        <row r="1640">
          <cell r="C1640" t="str">
            <v>B576405/A</v>
          </cell>
          <cell r="D1640" t="str">
            <v>CT007F610-DWTR</v>
          </cell>
          <cell r="E1640">
            <v>1</v>
          </cell>
        </row>
        <row r="1641">
          <cell r="C1641" t="str">
            <v>B576728/A</v>
          </cell>
          <cell r="D1641" t="str">
            <v>MN5498K-POSTTP</v>
          </cell>
          <cell r="E1641">
            <v>2</v>
          </cell>
        </row>
        <row r="1642">
          <cell r="C1642" t="str">
            <v>B576724/A</v>
          </cell>
          <cell r="D1642" t="str">
            <v>RH1159F26-LEG</v>
          </cell>
          <cell r="E1642">
            <v>3</v>
          </cell>
        </row>
        <row r="1643">
          <cell r="C1643" t="str">
            <v>B576730/A</v>
          </cell>
          <cell r="D1643" t="str">
            <v>RH3412F40-GRLO</v>
          </cell>
          <cell r="E1643">
            <v>1</v>
          </cell>
        </row>
        <row r="1644">
          <cell r="C1644" t="str">
            <v>B576732/A</v>
          </cell>
          <cell r="D1644" t="str">
            <v>RH3432F130-RLFR</v>
          </cell>
          <cell r="E1644">
            <v>1</v>
          </cell>
        </row>
        <row r="1645">
          <cell r="C1645" t="str">
            <v>B576726/A</v>
          </cell>
          <cell r="D1645" t="str">
            <v>RH5070F08-SHEL</v>
          </cell>
          <cell r="E1645">
            <v>2</v>
          </cell>
        </row>
        <row r="1646">
          <cell r="C1646" t="str">
            <v>B576734/A</v>
          </cell>
          <cell r="D1646" t="str">
            <v>RH5141F08-SRS</v>
          </cell>
          <cell r="E1646">
            <v>2</v>
          </cell>
        </row>
        <row r="1647">
          <cell r="C1647" t="str">
            <v>B575797/A</v>
          </cell>
          <cell r="D1647" t="str">
            <v>RH633F47-DWCE</v>
          </cell>
          <cell r="E1647">
            <v>1</v>
          </cell>
        </row>
        <row r="1648">
          <cell r="C1648" t="str">
            <v>B574943/A</v>
          </cell>
          <cell r="D1648" t="str">
            <v>HS5250F1162</v>
          </cell>
          <cell r="E1648">
            <v>50</v>
          </cell>
        </row>
        <row r="1649">
          <cell r="C1649" t="str">
            <v>B574969/A</v>
          </cell>
          <cell r="D1649" t="str">
            <v>HS5250F1162</v>
          </cell>
          <cell r="E1649">
            <v>58</v>
          </cell>
        </row>
        <row r="1650">
          <cell r="C1650" t="str">
            <v>B574971/A</v>
          </cell>
          <cell r="D1650" t="str">
            <v>HS5250F1162-COM</v>
          </cell>
          <cell r="E1650">
            <v>1</v>
          </cell>
        </row>
        <row r="1651">
          <cell r="C1651" t="str">
            <v>B574948/A</v>
          </cell>
          <cell r="D1651" t="str">
            <v>HS5834F1162</v>
          </cell>
          <cell r="E1651">
            <v>13</v>
          </cell>
        </row>
        <row r="1652">
          <cell r="C1652" t="str">
            <v>B574973/A</v>
          </cell>
          <cell r="D1652" t="str">
            <v>HS5835F1162</v>
          </cell>
          <cell r="E1652">
            <v>10</v>
          </cell>
        </row>
        <row r="1653">
          <cell r="C1653" t="str">
            <v>B577214/A</v>
          </cell>
          <cell r="D1653" t="str">
            <v>AR125F834-BASE</v>
          </cell>
          <cell r="E1653">
            <v>96</v>
          </cell>
        </row>
        <row r="1654">
          <cell r="C1654" t="str">
            <v>B577215/A</v>
          </cell>
          <cell r="D1654" t="str">
            <v>AR125F834-BASE</v>
          </cell>
          <cell r="E1654">
            <v>54</v>
          </cell>
        </row>
        <row r="1655">
          <cell r="C1655" t="str">
            <v>B577218/A</v>
          </cell>
          <cell r="D1655" t="str">
            <v>BN3184NF355</v>
          </cell>
          <cell r="E1655">
            <v>12</v>
          </cell>
        </row>
        <row r="1656">
          <cell r="C1656" t="str">
            <v>B577219/A</v>
          </cell>
          <cell r="D1656" t="str">
            <v>BN3184NF355</v>
          </cell>
          <cell r="E1656">
            <v>10</v>
          </cell>
        </row>
        <row r="1657">
          <cell r="C1657" t="str">
            <v>B577328/A</v>
          </cell>
          <cell r="D1657" t="str">
            <v>HS5831F1311</v>
          </cell>
          <cell r="E1657">
            <v>2</v>
          </cell>
        </row>
        <row r="1658">
          <cell r="C1658" t="str">
            <v>B577222/A</v>
          </cell>
          <cell r="D1658" t="str">
            <v>JV008F989</v>
          </cell>
          <cell r="E1658">
            <v>25</v>
          </cell>
        </row>
        <row r="1659">
          <cell r="C1659" t="str">
            <v>B577224/A</v>
          </cell>
          <cell r="D1659" t="str">
            <v>JV013F836</v>
          </cell>
          <cell r="E1659">
            <v>30</v>
          </cell>
        </row>
        <row r="1660">
          <cell r="C1660" t="str">
            <v>B577231/A</v>
          </cell>
          <cell r="D1660" t="str">
            <v>JV035F1165</v>
          </cell>
          <cell r="E1660">
            <v>19</v>
          </cell>
        </row>
        <row r="1661">
          <cell r="C1661" t="str">
            <v>B577234/A</v>
          </cell>
          <cell r="D1661" t="str">
            <v>MN5879KF1010-F</v>
          </cell>
          <cell r="E1661">
            <v>25</v>
          </cell>
        </row>
        <row r="1662">
          <cell r="C1662" t="str">
            <v>B577236/A</v>
          </cell>
          <cell r="D1662" t="str">
            <v>MN5879KF1010-H</v>
          </cell>
          <cell r="E1662">
            <v>25</v>
          </cell>
        </row>
        <row r="1663">
          <cell r="C1663" t="str">
            <v>B577238/A</v>
          </cell>
          <cell r="D1663" t="str">
            <v>MN5879KF1010-R</v>
          </cell>
          <cell r="E1663">
            <v>25</v>
          </cell>
        </row>
        <row r="1664">
          <cell r="C1664" t="str">
            <v>B573732/A</v>
          </cell>
          <cell r="D1664" t="str">
            <v>RH10500F347TR</v>
          </cell>
          <cell r="E1664">
            <v>108</v>
          </cell>
        </row>
        <row r="1665">
          <cell r="C1665" t="str">
            <v>B577241/A</v>
          </cell>
          <cell r="D1665" t="str">
            <v>RH2563F02-BASE</v>
          </cell>
          <cell r="E1665">
            <v>8</v>
          </cell>
        </row>
        <row r="1666">
          <cell r="C1666" t="str">
            <v>B577242/A</v>
          </cell>
          <cell r="D1666" t="str">
            <v>RH2563F02-BASE</v>
          </cell>
          <cell r="E1666">
            <v>2</v>
          </cell>
        </row>
        <row r="1667">
          <cell r="C1667" t="str">
            <v>B577245/A</v>
          </cell>
          <cell r="D1667" t="str">
            <v>RH569AF08</v>
          </cell>
          <cell r="E1667">
            <v>2</v>
          </cell>
        </row>
        <row r="1668">
          <cell r="C1668" t="str">
            <v>B577246/A</v>
          </cell>
          <cell r="D1668" t="str">
            <v>RH569AF08</v>
          </cell>
          <cell r="E1668">
            <v>8</v>
          </cell>
        </row>
        <row r="1669">
          <cell r="C1669" t="str">
            <v>B577249/A</v>
          </cell>
          <cell r="D1669" t="str">
            <v>RH6564F96</v>
          </cell>
          <cell r="E1669">
            <v>15</v>
          </cell>
        </row>
        <row r="1670">
          <cell r="C1670" t="str">
            <v>B577250/A</v>
          </cell>
          <cell r="D1670" t="str">
            <v>RH6564F96</v>
          </cell>
          <cell r="E1670">
            <v>15</v>
          </cell>
        </row>
        <row r="1671">
          <cell r="C1671" t="str">
            <v>B577252/A</v>
          </cell>
          <cell r="D1671" t="str">
            <v>RH7147F382</v>
          </cell>
          <cell r="E1671">
            <v>2</v>
          </cell>
        </row>
        <row r="1672">
          <cell r="C1672" t="str">
            <v>B577255/A</v>
          </cell>
          <cell r="D1672" t="str">
            <v>RH7147F409</v>
          </cell>
          <cell r="E1672">
            <v>21</v>
          </cell>
        </row>
        <row r="1673">
          <cell r="C1673" t="str">
            <v>B577256/A</v>
          </cell>
          <cell r="D1673" t="str">
            <v>RH7147F409</v>
          </cell>
          <cell r="E1673">
            <v>7</v>
          </cell>
        </row>
        <row r="1674">
          <cell r="C1674" t="str">
            <v>B577260/A</v>
          </cell>
          <cell r="D1674" t="str">
            <v>RH7149F381</v>
          </cell>
          <cell r="E1674">
            <v>3</v>
          </cell>
        </row>
        <row r="1675">
          <cell r="C1675" t="str">
            <v>B577262/A</v>
          </cell>
          <cell r="D1675" t="str">
            <v>RH7149F383</v>
          </cell>
          <cell r="E1675">
            <v>2</v>
          </cell>
        </row>
        <row r="1676">
          <cell r="C1676" t="str">
            <v>B577267/A</v>
          </cell>
          <cell r="D1676" t="str">
            <v>RH7150NF381</v>
          </cell>
          <cell r="E1676">
            <v>3</v>
          </cell>
        </row>
        <row r="1677">
          <cell r="C1677" t="str">
            <v>B577268/A</v>
          </cell>
          <cell r="D1677" t="str">
            <v>RH7150NF381</v>
          </cell>
          <cell r="E1677">
            <v>3</v>
          </cell>
        </row>
        <row r="1678">
          <cell r="C1678" t="str">
            <v>B577270/A</v>
          </cell>
          <cell r="D1678" t="str">
            <v>RH7150NF409</v>
          </cell>
          <cell r="E1678">
            <v>9</v>
          </cell>
        </row>
        <row r="1679">
          <cell r="C1679" t="str">
            <v>B577273/A</v>
          </cell>
          <cell r="D1679" t="str">
            <v>RH9282F402</v>
          </cell>
          <cell r="E1679">
            <v>8</v>
          </cell>
        </row>
        <row r="1680">
          <cell r="C1680" t="str">
            <v>B577274/A</v>
          </cell>
          <cell r="D1680" t="str">
            <v>RH9282F402</v>
          </cell>
          <cell r="E1680">
            <v>19</v>
          </cell>
        </row>
        <row r="1681">
          <cell r="C1681" t="str">
            <v>B577276/A</v>
          </cell>
          <cell r="D1681" t="str">
            <v>RH9849F423</v>
          </cell>
          <cell r="E1681">
            <v>3</v>
          </cell>
        </row>
        <row r="1682">
          <cell r="C1682" t="str">
            <v>B577279/A</v>
          </cell>
          <cell r="D1682" t="str">
            <v>RH9849F425</v>
          </cell>
          <cell r="E1682">
            <v>5</v>
          </cell>
        </row>
        <row r="1683">
          <cell r="C1683" t="str">
            <v>B577280/A</v>
          </cell>
          <cell r="D1683" t="str">
            <v>RH9849F425</v>
          </cell>
          <cell r="E1683">
            <v>7</v>
          </cell>
        </row>
        <row r="1684">
          <cell r="C1684" t="str">
            <v>B577283/A</v>
          </cell>
          <cell r="D1684" t="str">
            <v>RH9849F426</v>
          </cell>
          <cell r="E1684">
            <v>16</v>
          </cell>
        </row>
        <row r="1685">
          <cell r="C1685" t="str">
            <v>B577284/A</v>
          </cell>
          <cell r="D1685" t="str">
            <v>RH9849F426</v>
          </cell>
          <cell r="E1685">
            <v>13</v>
          </cell>
        </row>
        <row r="1686">
          <cell r="C1686" t="str">
            <v>B577288/A</v>
          </cell>
          <cell r="D1686" t="str">
            <v>RH9856F424</v>
          </cell>
          <cell r="E1686">
            <v>4</v>
          </cell>
        </row>
        <row r="1687">
          <cell r="C1687" t="str">
            <v>B577289/A</v>
          </cell>
          <cell r="D1687" t="str">
            <v>RH9856F424</v>
          </cell>
          <cell r="E1687">
            <v>1</v>
          </cell>
        </row>
        <row r="1688">
          <cell r="C1688" t="str">
            <v>B577290/A</v>
          </cell>
          <cell r="D1688" t="str">
            <v>RH9856F424</v>
          </cell>
          <cell r="E1688">
            <v>4</v>
          </cell>
        </row>
        <row r="1689">
          <cell r="C1689" t="str">
            <v>B577295/A</v>
          </cell>
          <cell r="D1689" t="str">
            <v>RH9856F425</v>
          </cell>
          <cell r="E1689">
            <v>1</v>
          </cell>
        </row>
        <row r="1690">
          <cell r="C1690" t="str">
            <v>B577296/A</v>
          </cell>
          <cell r="D1690" t="str">
            <v>RH9856F425</v>
          </cell>
          <cell r="E1690">
            <v>2</v>
          </cell>
        </row>
        <row r="1691">
          <cell r="C1691" t="str">
            <v>B577297/A</v>
          </cell>
          <cell r="D1691" t="str">
            <v>RH9856F425</v>
          </cell>
          <cell r="E1691">
            <v>3</v>
          </cell>
        </row>
        <row r="1692">
          <cell r="C1692" t="str">
            <v>B577298/A</v>
          </cell>
          <cell r="D1692" t="str">
            <v>RH9856F425</v>
          </cell>
          <cell r="E1692">
            <v>5</v>
          </cell>
        </row>
        <row r="1693">
          <cell r="C1693" t="str">
            <v>B577303/A</v>
          </cell>
          <cell r="D1693" t="str">
            <v>RH9856F426</v>
          </cell>
          <cell r="E1693">
            <v>7</v>
          </cell>
        </row>
        <row r="1694">
          <cell r="C1694" t="str">
            <v>B577304/A</v>
          </cell>
          <cell r="D1694" t="str">
            <v>RH9856F426</v>
          </cell>
          <cell r="E1694">
            <v>3</v>
          </cell>
        </row>
        <row r="1695">
          <cell r="C1695" t="str">
            <v>B577305/A</v>
          </cell>
          <cell r="D1695" t="str">
            <v>RH9856F426</v>
          </cell>
          <cell r="E1695">
            <v>4</v>
          </cell>
        </row>
        <row r="1696">
          <cell r="C1696" t="str">
            <v>B577306/A</v>
          </cell>
          <cell r="D1696" t="str">
            <v>RH9856F426</v>
          </cell>
          <cell r="E1696">
            <v>8</v>
          </cell>
        </row>
        <row r="1697">
          <cell r="C1697" t="str">
            <v>B577309/A</v>
          </cell>
          <cell r="D1697" t="str">
            <v>RH9888F425</v>
          </cell>
          <cell r="E1697">
            <v>7</v>
          </cell>
        </row>
        <row r="1698">
          <cell r="C1698" t="str">
            <v>B577310/A</v>
          </cell>
          <cell r="D1698" t="str">
            <v>RH9888F425</v>
          </cell>
          <cell r="E1698">
            <v>3</v>
          </cell>
        </row>
        <row r="1699">
          <cell r="C1699" t="str">
            <v>B575685/A</v>
          </cell>
          <cell r="D1699" t="str">
            <v>SH355F521</v>
          </cell>
          <cell r="E1699">
            <v>15</v>
          </cell>
        </row>
        <row r="1700">
          <cell r="C1700" t="str">
            <v>B575686/A</v>
          </cell>
          <cell r="D1700" t="str">
            <v>SH355F521</v>
          </cell>
          <cell r="E1700">
            <v>10</v>
          </cell>
        </row>
        <row r="1701">
          <cell r="C1701" t="str">
            <v>B577312/A</v>
          </cell>
          <cell r="D1701" t="str">
            <v>SH707NF506</v>
          </cell>
          <cell r="E1701">
            <v>25</v>
          </cell>
        </row>
        <row r="1702">
          <cell r="C1702" t="str">
            <v>B577859/A</v>
          </cell>
          <cell r="D1702" t="str">
            <v>AR110F834-BASE</v>
          </cell>
          <cell r="E1702">
            <v>34</v>
          </cell>
        </row>
        <row r="1703">
          <cell r="C1703" t="str">
            <v>B577860/A</v>
          </cell>
          <cell r="D1703" t="str">
            <v>AR110F834-BASE</v>
          </cell>
          <cell r="E1703">
            <v>26</v>
          </cell>
        </row>
        <row r="1704">
          <cell r="C1704" t="str">
            <v>B576884/A</v>
          </cell>
          <cell r="D1704" t="str">
            <v>AR110F834-TOP</v>
          </cell>
          <cell r="E1704">
            <v>36</v>
          </cell>
        </row>
        <row r="1705">
          <cell r="C1705" t="str">
            <v>B576885/A</v>
          </cell>
          <cell r="D1705" t="str">
            <v>AR110F834-TOP</v>
          </cell>
          <cell r="E1705">
            <v>64</v>
          </cell>
        </row>
        <row r="1706">
          <cell r="C1706" t="str">
            <v>B578353/A</v>
          </cell>
          <cell r="D1706" t="str">
            <v>AR112NF906-BASE</v>
          </cell>
          <cell r="E1706">
            <v>17</v>
          </cell>
        </row>
        <row r="1707">
          <cell r="C1707" t="str">
            <v>B578354/A</v>
          </cell>
          <cell r="D1707" t="str">
            <v>AR112NF906-BASE</v>
          </cell>
          <cell r="E1707">
            <v>33</v>
          </cell>
        </row>
        <row r="1708">
          <cell r="C1708" t="str">
            <v>B577866/A</v>
          </cell>
          <cell r="D1708" t="str">
            <v>AR125F834-BASE</v>
          </cell>
          <cell r="E1708">
            <v>20</v>
          </cell>
        </row>
        <row r="1709">
          <cell r="C1709" t="str">
            <v>B577867/A</v>
          </cell>
          <cell r="D1709" t="str">
            <v>AR125F834-BASE</v>
          </cell>
          <cell r="E1709">
            <v>30</v>
          </cell>
        </row>
        <row r="1710">
          <cell r="C1710" t="str">
            <v>B577869/A</v>
          </cell>
          <cell r="D1710" t="str">
            <v>AR185F906-BASE</v>
          </cell>
          <cell r="E1710">
            <v>40</v>
          </cell>
        </row>
        <row r="1711">
          <cell r="C1711" t="str">
            <v>B577872/A</v>
          </cell>
          <cell r="D1711" t="str">
            <v>AR190F834-BASE</v>
          </cell>
          <cell r="E1711">
            <v>18</v>
          </cell>
        </row>
        <row r="1712">
          <cell r="C1712" t="str">
            <v>B577873/A</v>
          </cell>
          <cell r="D1712" t="str">
            <v>AR190F834-BASE</v>
          </cell>
          <cell r="E1712">
            <v>7</v>
          </cell>
        </row>
        <row r="1713">
          <cell r="C1713" t="str">
            <v>B577765/A</v>
          </cell>
          <cell r="D1713" t="str">
            <v>AR829AF1049</v>
          </cell>
          <cell r="E1713">
            <v>18</v>
          </cell>
        </row>
        <row r="1714">
          <cell r="C1714" t="str">
            <v>B577766/A</v>
          </cell>
          <cell r="D1714" t="str">
            <v>AR829AF1049</v>
          </cell>
          <cell r="E1714">
            <v>7</v>
          </cell>
        </row>
        <row r="1715">
          <cell r="C1715" t="str">
            <v>B577769/A</v>
          </cell>
          <cell r="D1715" t="str">
            <v>AR829AF906</v>
          </cell>
          <cell r="E1715">
            <v>18</v>
          </cell>
        </row>
        <row r="1716">
          <cell r="C1716" t="str">
            <v>B577770/A</v>
          </cell>
          <cell r="D1716" t="str">
            <v>AR829AF906</v>
          </cell>
          <cell r="E1716">
            <v>7</v>
          </cell>
        </row>
        <row r="1717">
          <cell r="C1717" t="str">
            <v>B577773/A</v>
          </cell>
          <cell r="D1717" t="str">
            <v>AR931F906</v>
          </cell>
          <cell r="E1717">
            <v>18</v>
          </cell>
        </row>
        <row r="1718">
          <cell r="C1718" t="str">
            <v>B577774/A</v>
          </cell>
          <cell r="D1718" t="str">
            <v>AR931F906</v>
          </cell>
          <cell r="E1718">
            <v>7</v>
          </cell>
        </row>
        <row r="1719">
          <cell r="C1719" t="str">
            <v>B571563/A</v>
          </cell>
          <cell r="D1719" t="str">
            <v>AT418F1089</v>
          </cell>
          <cell r="E1719">
            <v>60</v>
          </cell>
        </row>
        <row r="1720">
          <cell r="C1720" t="str">
            <v>B571564/A</v>
          </cell>
          <cell r="D1720" t="str">
            <v>AT418F535</v>
          </cell>
          <cell r="E1720">
            <v>50</v>
          </cell>
        </row>
        <row r="1721">
          <cell r="C1721" t="str">
            <v>B577760/A</v>
          </cell>
          <cell r="D1721" t="str">
            <v>AT452F1022</v>
          </cell>
          <cell r="E1721">
            <v>25</v>
          </cell>
        </row>
        <row r="1722">
          <cell r="C1722" t="str">
            <v>B577900/A</v>
          </cell>
          <cell r="D1722" t="str">
            <v>AT479NF00</v>
          </cell>
          <cell r="E1722">
            <v>25</v>
          </cell>
        </row>
        <row r="1723">
          <cell r="C1723" t="str">
            <v>B577901/A</v>
          </cell>
          <cell r="D1723" t="str">
            <v>AT479NF00</v>
          </cell>
          <cell r="E1723">
            <v>25</v>
          </cell>
        </row>
        <row r="1724">
          <cell r="C1724" t="str">
            <v>B577905/A</v>
          </cell>
          <cell r="D1724" t="str">
            <v>AT616F1022</v>
          </cell>
          <cell r="E1724">
            <v>25</v>
          </cell>
        </row>
        <row r="1725">
          <cell r="C1725" t="str">
            <v>B577907/A</v>
          </cell>
          <cell r="D1725" t="str">
            <v>AT616F884</v>
          </cell>
          <cell r="E1725">
            <v>25</v>
          </cell>
        </row>
        <row r="1726">
          <cell r="C1726" t="str">
            <v>B577910/A</v>
          </cell>
          <cell r="D1726" t="str">
            <v>AT627F00</v>
          </cell>
          <cell r="E1726">
            <v>25</v>
          </cell>
        </row>
        <row r="1727">
          <cell r="C1727" t="str">
            <v>B577911/A</v>
          </cell>
          <cell r="D1727" t="str">
            <v>AT627F00</v>
          </cell>
          <cell r="E1727">
            <v>25</v>
          </cell>
        </row>
        <row r="1728">
          <cell r="C1728" t="str">
            <v>B577776/A</v>
          </cell>
          <cell r="D1728" t="str">
            <v>AT628F1059</v>
          </cell>
          <cell r="E1728">
            <v>50</v>
          </cell>
        </row>
        <row r="1729">
          <cell r="C1729" t="str">
            <v>B577778/A</v>
          </cell>
          <cell r="D1729" t="str">
            <v>AT628F877</v>
          </cell>
          <cell r="E1729">
            <v>50</v>
          </cell>
        </row>
        <row r="1730">
          <cell r="C1730" t="str">
            <v>B577914/A</v>
          </cell>
          <cell r="D1730" t="str">
            <v>AT665NF00</v>
          </cell>
          <cell r="E1730">
            <v>25</v>
          </cell>
        </row>
        <row r="1731">
          <cell r="C1731" t="str">
            <v>B577915/A</v>
          </cell>
          <cell r="D1731" t="str">
            <v>AT665NF00</v>
          </cell>
          <cell r="E1731">
            <v>25</v>
          </cell>
        </row>
        <row r="1732">
          <cell r="C1732" t="str">
            <v>B574334/A</v>
          </cell>
          <cell r="D1732" t="str">
            <v>BN012F01</v>
          </cell>
          <cell r="E1732">
            <v>25</v>
          </cell>
        </row>
        <row r="1733">
          <cell r="C1733" t="str">
            <v>B577918/A</v>
          </cell>
          <cell r="D1733" t="str">
            <v>BN3186NF355</v>
          </cell>
          <cell r="E1733">
            <v>10</v>
          </cell>
        </row>
        <row r="1734">
          <cell r="C1734" t="str">
            <v>B577919/A</v>
          </cell>
          <cell r="D1734" t="str">
            <v>BN3186NF355</v>
          </cell>
          <cell r="E1734">
            <v>10</v>
          </cell>
        </row>
        <row r="1735">
          <cell r="C1735" t="str">
            <v>B578499/A</v>
          </cell>
          <cell r="D1735" t="str">
            <v>BN3187F355</v>
          </cell>
          <cell r="E1735">
            <v>1</v>
          </cell>
        </row>
        <row r="1736">
          <cell r="C1736" t="str">
            <v>B577762/A</v>
          </cell>
          <cell r="D1736" t="str">
            <v>BN3216F356</v>
          </cell>
          <cell r="E1736">
            <v>10</v>
          </cell>
        </row>
        <row r="1737">
          <cell r="C1737" t="str">
            <v>B577783/A</v>
          </cell>
          <cell r="D1737" t="str">
            <v>CZ821NF188</v>
          </cell>
          <cell r="E1737">
            <v>12</v>
          </cell>
        </row>
        <row r="1738">
          <cell r="C1738" t="str">
            <v>B577784/A</v>
          </cell>
          <cell r="D1738" t="str">
            <v>CZ821NF188</v>
          </cell>
          <cell r="E1738">
            <v>3</v>
          </cell>
        </row>
        <row r="1739">
          <cell r="C1739" t="str">
            <v>B577785/A</v>
          </cell>
          <cell r="D1739" t="str">
            <v>CZ821NF188</v>
          </cell>
          <cell r="E1739">
            <v>1</v>
          </cell>
        </row>
        <row r="1740">
          <cell r="C1740" t="str">
            <v>B577786/A</v>
          </cell>
          <cell r="D1740" t="str">
            <v>CZ821NF188</v>
          </cell>
          <cell r="E1740">
            <v>3</v>
          </cell>
        </row>
        <row r="1741">
          <cell r="C1741" t="str">
            <v>B577789/A</v>
          </cell>
          <cell r="D1741" t="str">
            <v>CZ821NF381</v>
          </cell>
          <cell r="E1741">
            <v>11</v>
          </cell>
        </row>
        <row r="1742">
          <cell r="C1742" t="str">
            <v>B577790/A</v>
          </cell>
          <cell r="D1742" t="str">
            <v>CZ821NF381</v>
          </cell>
          <cell r="E1742">
            <v>4</v>
          </cell>
        </row>
        <row r="1743">
          <cell r="C1743" t="str">
            <v>B577793/A</v>
          </cell>
          <cell r="D1743" t="str">
            <v>CZ821NF409</v>
          </cell>
          <cell r="E1743">
            <v>7</v>
          </cell>
        </row>
        <row r="1744">
          <cell r="C1744" t="str">
            <v>B577794/A</v>
          </cell>
          <cell r="D1744" t="str">
            <v>CZ821NF409</v>
          </cell>
          <cell r="E1744">
            <v>8</v>
          </cell>
        </row>
        <row r="1745">
          <cell r="C1745" t="str">
            <v>B577922/A</v>
          </cell>
          <cell r="D1745" t="str">
            <v>CZ822NF188</v>
          </cell>
          <cell r="E1745">
            <v>8</v>
          </cell>
        </row>
        <row r="1746">
          <cell r="C1746" t="str">
            <v>B577923/A</v>
          </cell>
          <cell r="D1746" t="str">
            <v>CZ822NF188</v>
          </cell>
          <cell r="E1746">
            <v>4</v>
          </cell>
        </row>
        <row r="1747">
          <cell r="C1747" t="str">
            <v>B577929/A</v>
          </cell>
          <cell r="D1747" t="str">
            <v>CZ822NF409</v>
          </cell>
          <cell r="E1747">
            <v>11</v>
          </cell>
        </row>
        <row r="1748">
          <cell r="C1748" t="str">
            <v>B577930/A</v>
          </cell>
          <cell r="D1748" t="str">
            <v>CZ822NF409</v>
          </cell>
          <cell r="E1748">
            <v>7</v>
          </cell>
        </row>
        <row r="1749">
          <cell r="C1749" t="str">
            <v>B577805/A</v>
          </cell>
          <cell r="D1749" t="str">
            <v>CZ848F196</v>
          </cell>
          <cell r="E1749">
            <v>10</v>
          </cell>
        </row>
        <row r="1750">
          <cell r="C1750" t="str">
            <v>B577806/A</v>
          </cell>
          <cell r="D1750" t="str">
            <v>CZ848F196</v>
          </cell>
          <cell r="E1750">
            <v>6</v>
          </cell>
        </row>
        <row r="1751">
          <cell r="C1751" t="str">
            <v>B577810/A</v>
          </cell>
          <cell r="D1751" t="str">
            <v>CZ848F409</v>
          </cell>
          <cell r="E1751">
            <v>34</v>
          </cell>
        </row>
        <row r="1752">
          <cell r="C1752" t="str">
            <v>B577933/A</v>
          </cell>
          <cell r="D1752" t="str">
            <v>CZ858F188</v>
          </cell>
          <cell r="E1752">
            <v>2</v>
          </cell>
        </row>
        <row r="1753">
          <cell r="C1753" t="str">
            <v>B577934/A</v>
          </cell>
          <cell r="D1753" t="str">
            <v>CZ858F188</v>
          </cell>
          <cell r="E1753">
            <v>2</v>
          </cell>
        </row>
        <row r="1754">
          <cell r="C1754" t="str">
            <v>B577937/A</v>
          </cell>
          <cell r="D1754" t="str">
            <v>CZ858F196</v>
          </cell>
          <cell r="E1754">
            <v>12</v>
          </cell>
        </row>
        <row r="1755">
          <cell r="C1755" t="str">
            <v>B577938/A</v>
          </cell>
          <cell r="D1755" t="str">
            <v>CZ858F196</v>
          </cell>
          <cell r="E1755">
            <v>4</v>
          </cell>
        </row>
        <row r="1756">
          <cell r="C1756" t="str">
            <v>B577941/A</v>
          </cell>
          <cell r="D1756" t="str">
            <v>CZ858F409</v>
          </cell>
          <cell r="E1756">
            <v>3</v>
          </cell>
        </row>
        <row r="1757">
          <cell r="C1757" t="str">
            <v>B577942/A</v>
          </cell>
          <cell r="D1757" t="str">
            <v>CZ858F409</v>
          </cell>
          <cell r="E1757">
            <v>2</v>
          </cell>
        </row>
        <row r="1758">
          <cell r="C1758" t="str">
            <v>B577815/A</v>
          </cell>
          <cell r="D1758" t="str">
            <v>CZ886F188</v>
          </cell>
          <cell r="E1758">
            <v>7</v>
          </cell>
        </row>
        <row r="1759">
          <cell r="C1759" t="str">
            <v>B577817/A</v>
          </cell>
          <cell r="D1759" t="str">
            <v>CZ886F188</v>
          </cell>
          <cell r="E1759">
            <v>8</v>
          </cell>
        </row>
        <row r="1760">
          <cell r="C1760" t="str">
            <v>B577821/A</v>
          </cell>
          <cell r="D1760" t="str">
            <v>CZ886F196</v>
          </cell>
          <cell r="E1760">
            <v>11</v>
          </cell>
        </row>
        <row r="1761">
          <cell r="C1761" t="str">
            <v>B577823/A</v>
          </cell>
          <cell r="D1761" t="str">
            <v>CZ886F196</v>
          </cell>
          <cell r="E1761">
            <v>14</v>
          </cell>
        </row>
        <row r="1762">
          <cell r="C1762" t="str">
            <v>B577829/A</v>
          </cell>
          <cell r="D1762" t="str">
            <v>CZ886F409</v>
          </cell>
          <cell r="E1762">
            <v>14</v>
          </cell>
        </row>
        <row r="1763">
          <cell r="C1763" t="str">
            <v>B577830/A</v>
          </cell>
          <cell r="D1763" t="str">
            <v>CZ886F409</v>
          </cell>
          <cell r="E1763">
            <v>15</v>
          </cell>
        </row>
        <row r="1764">
          <cell r="C1764" t="str">
            <v>B577835/A</v>
          </cell>
          <cell r="D1764" t="str">
            <v>CZ887F188</v>
          </cell>
          <cell r="E1764">
            <v>10</v>
          </cell>
        </row>
        <row r="1765">
          <cell r="C1765" t="str">
            <v>B577837/A</v>
          </cell>
          <cell r="D1765" t="str">
            <v>CZ887F188</v>
          </cell>
          <cell r="E1765">
            <v>12</v>
          </cell>
        </row>
        <row r="1766">
          <cell r="C1766" t="str">
            <v>B577840/A</v>
          </cell>
          <cell r="D1766" t="str">
            <v>CZ887F196</v>
          </cell>
          <cell r="E1766">
            <v>14</v>
          </cell>
        </row>
        <row r="1767">
          <cell r="C1767" t="str">
            <v>B577842/A</v>
          </cell>
          <cell r="D1767" t="str">
            <v>CZ887F196</v>
          </cell>
          <cell r="E1767">
            <v>15</v>
          </cell>
        </row>
        <row r="1768">
          <cell r="C1768" t="str">
            <v>B577845/A</v>
          </cell>
          <cell r="D1768" t="str">
            <v>CZ887F381</v>
          </cell>
          <cell r="E1768">
            <v>6</v>
          </cell>
        </row>
        <row r="1769">
          <cell r="C1769" t="str">
            <v>B577846/A</v>
          </cell>
          <cell r="D1769" t="str">
            <v>CZ887F381</v>
          </cell>
          <cell r="E1769">
            <v>8</v>
          </cell>
        </row>
        <row r="1770">
          <cell r="C1770" t="str">
            <v>B577849/A</v>
          </cell>
          <cell r="D1770" t="str">
            <v>CZ887F409</v>
          </cell>
          <cell r="E1770">
            <v>12</v>
          </cell>
        </row>
        <row r="1771">
          <cell r="C1771" t="str">
            <v>B577850/A</v>
          </cell>
          <cell r="D1771" t="str">
            <v>CZ887F409</v>
          </cell>
          <cell r="E1771">
            <v>13</v>
          </cell>
        </row>
        <row r="1772">
          <cell r="C1772" t="str">
            <v>B578136/A</v>
          </cell>
          <cell r="D1772" t="str">
            <v>CZ888F188</v>
          </cell>
          <cell r="E1772">
            <v>5</v>
          </cell>
        </row>
        <row r="1773">
          <cell r="C1773" t="str">
            <v>B578137/A</v>
          </cell>
          <cell r="D1773" t="str">
            <v>CZ888F188</v>
          </cell>
          <cell r="E1773">
            <v>3</v>
          </cell>
        </row>
        <row r="1774">
          <cell r="C1774" t="str">
            <v>B578141/A</v>
          </cell>
          <cell r="D1774" t="str">
            <v>CZ888F196</v>
          </cell>
          <cell r="E1774">
            <v>6</v>
          </cell>
        </row>
        <row r="1775">
          <cell r="C1775" t="str">
            <v>B578149/A</v>
          </cell>
          <cell r="D1775" t="str">
            <v>CZ888F381</v>
          </cell>
          <cell r="E1775">
            <v>6</v>
          </cell>
        </row>
        <row r="1776">
          <cell r="C1776" t="str">
            <v>B578151/A</v>
          </cell>
          <cell r="D1776" t="str">
            <v>CZ888F381</v>
          </cell>
          <cell r="E1776">
            <v>3</v>
          </cell>
        </row>
        <row r="1777">
          <cell r="C1777" t="str">
            <v>B578155/A</v>
          </cell>
          <cell r="D1777" t="str">
            <v>CZ888F409</v>
          </cell>
          <cell r="E1777">
            <v>4</v>
          </cell>
        </row>
        <row r="1778">
          <cell r="C1778" t="str">
            <v>B577225/A</v>
          </cell>
          <cell r="D1778" t="str">
            <v>DL018F837</v>
          </cell>
          <cell r="E1778">
            <v>35</v>
          </cell>
        </row>
        <row r="1779">
          <cell r="C1779" t="str">
            <v>B578487/A</v>
          </cell>
          <cell r="D1779" t="str">
            <v>HS5247ANF1162</v>
          </cell>
          <cell r="E1779">
            <v>1</v>
          </cell>
        </row>
        <row r="1780">
          <cell r="C1780" t="str">
            <v>B573624/A</v>
          </cell>
          <cell r="D1780" t="str">
            <v>HS5247NF1162</v>
          </cell>
          <cell r="E1780">
            <v>3</v>
          </cell>
        </row>
        <row r="1781">
          <cell r="C1781" t="str">
            <v>B573626/A</v>
          </cell>
          <cell r="D1781" t="str">
            <v>HS5748NF1162</v>
          </cell>
          <cell r="E1781">
            <v>3</v>
          </cell>
        </row>
        <row r="1782">
          <cell r="C1782" t="str">
            <v>B573722/A</v>
          </cell>
          <cell r="D1782" t="str">
            <v>HS5751NF1162</v>
          </cell>
          <cell r="E1782">
            <v>5</v>
          </cell>
        </row>
        <row r="1783">
          <cell r="C1783" t="str">
            <v>B578157/A</v>
          </cell>
          <cell r="D1783" t="str">
            <v>JV007F580</v>
          </cell>
          <cell r="E1783">
            <v>19</v>
          </cell>
        </row>
        <row r="1784">
          <cell r="C1784" t="str">
            <v>B578168/A</v>
          </cell>
          <cell r="D1784" t="str">
            <v>JV014F837</v>
          </cell>
          <cell r="E1784">
            <v>25</v>
          </cell>
        </row>
        <row r="1785">
          <cell r="C1785" t="str">
            <v>B577229/A</v>
          </cell>
          <cell r="D1785" t="str">
            <v>JV036F1121</v>
          </cell>
          <cell r="E1785">
            <v>19</v>
          </cell>
        </row>
        <row r="1786">
          <cell r="C1786" t="str">
            <v>B578171/A</v>
          </cell>
          <cell r="D1786" t="str">
            <v>JV047F1212</v>
          </cell>
          <cell r="E1786">
            <v>24</v>
          </cell>
        </row>
        <row r="1787">
          <cell r="C1787" t="str">
            <v>B578049/A</v>
          </cell>
          <cell r="D1787" t="str">
            <v>RH1561F95.BC</v>
          </cell>
          <cell r="E1787">
            <v>18</v>
          </cell>
        </row>
        <row r="1788">
          <cell r="C1788" t="str">
            <v>B578053/A</v>
          </cell>
          <cell r="D1788" t="str">
            <v>RH1561F95.BC</v>
          </cell>
          <cell r="E1788">
            <v>17</v>
          </cell>
        </row>
        <row r="1789">
          <cell r="C1789" t="str">
            <v>B578058/A</v>
          </cell>
          <cell r="D1789" t="str">
            <v>RH1563-BNF95.BC</v>
          </cell>
          <cell r="E1789">
            <v>5</v>
          </cell>
        </row>
        <row r="1790">
          <cell r="C1790" t="str">
            <v>B578059/A</v>
          </cell>
          <cell r="D1790" t="str">
            <v>RH1563-BNF95.BC</v>
          </cell>
          <cell r="E1790">
            <v>25</v>
          </cell>
        </row>
        <row r="1791">
          <cell r="C1791" t="str">
            <v>B578060/A</v>
          </cell>
          <cell r="D1791" t="str">
            <v>RH1563-BNF95.BC</v>
          </cell>
          <cell r="E1791">
            <v>5</v>
          </cell>
        </row>
        <row r="1792">
          <cell r="C1792" t="str">
            <v>B578061/A</v>
          </cell>
          <cell r="D1792" t="str">
            <v>RH1563-BNF95.BC</v>
          </cell>
          <cell r="E1792">
            <v>25</v>
          </cell>
        </row>
        <row r="1793">
          <cell r="C1793" t="str">
            <v>B578064/A</v>
          </cell>
          <cell r="D1793" t="str">
            <v>RH2127F95.BC</v>
          </cell>
          <cell r="E1793">
            <v>13</v>
          </cell>
        </row>
        <row r="1794">
          <cell r="C1794" t="str">
            <v>B578065/A</v>
          </cell>
          <cell r="D1794" t="str">
            <v>RH2127F95.BC</v>
          </cell>
          <cell r="E1794">
            <v>12</v>
          </cell>
        </row>
        <row r="1795">
          <cell r="C1795" t="str">
            <v>B578222/A</v>
          </cell>
          <cell r="D1795" t="str">
            <v>RH2662F02-BASE</v>
          </cell>
          <cell r="E1795">
            <v>5</v>
          </cell>
        </row>
        <row r="1796">
          <cell r="C1796" t="str">
            <v>B578221/A</v>
          </cell>
          <cell r="D1796" t="str">
            <v>RH2662F02-BASE</v>
          </cell>
          <cell r="E1796">
            <v>10</v>
          </cell>
        </row>
        <row r="1797">
          <cell r="C1797" t="str">
            <v>B578076/A</v>
          </cell>
          <cell r="D1797" t="str">
            <v>RH3455NF112.BC</v>
          </cell>
          <cell r="E1797">
            <v>13</v>
          </cell>
        </row>
        <row r="1798">
          <cell r="C1798" t="str">
            <v>B578077/A</v>
          </cell>
          <cell r="D1798" t="str">
            <v>RH3455NF112.BC</v>
          </cell>
          <cell r="E1798">
            <v>12</v>
          </cell>
        </row>
        <row r="1799">
          <cell r="C1799" t="str">
            <v>B578080/A</v>
          </cell>
          <cell r="D1799" t="str">
            <v>RH3455NF153.BC</v>
          </cell>
          <cell r="E1799">
            <v>8</v>
          </cell>
        </row>
        <row r="1800">
          <cell r="C1800" t="str">
            <v>B578081/A</v>
          </cell>
          <cell r="D1800" t="str">
            <v>RH3455NF153.BC</v>
          </cell>
          <cell r="E1800">
            <v>7</v>
          </cell>
        </row>
        <row r="1801">
          <cell r="C1801" t="str">
            <v>B578086/A</v>
          </cell>
          <cell r="D1801" t="str">
            <v>RH3503F95</v>
          </cell>
          <cell r="E1801">
            <v>5</v>
          </cell>
        </row>
        <row r="1802">
          <cell r="C1802" t="str">
            <v>B578087/A</v>
          </cell>
          <cell r="D1802" t="str">
            <v>RH3503F95</v>
          </cell>
          <cell r="E1802">
            <v>10</v>
          </cell>
        </row>
        <row r="1803">
          <cell r="C1803" t="str">
            <v>B578088/A</v>
          </cell>
          <cell r="D1803" t="str">
            <v>RH3503F95</v>
          </cell>
          <cell r="E1803">
            <v>5</v>
          </cell>
        </row>
        <row r="1804">
          <cell r="C1804" t="str">
            <v>B578091/A</v>
          </cell>
          <cell r="D1804" t="str">
            <v>RH3503F95</v>
          </cell>
          <cell r="E1804">
            <v>10</v>
          </cell>
        </row>
        <row r="1805">
          <cell r="C1805" t="str">
            <v>B578501/A</v>
          </cell>
          <cell r="D1805" t="str">
            <v>RH5117NF26</v>
          </cell>
          <cell r="E1805">
            <v>1</v>
          </cell>
        </row>
        <row r="1806">
          <cell r="C1806" t="str">
            <v>B578095/A</v>
          </cell>
          <cell r="D1806" t="str">
            <v>RH5125NF95.BC</v>
          </cell>
          <cell r="E1806">
            <v>10</v>
          </cell>
        </row>
        <row r="1807">
          <cell r="C1807" t="str">
            <v>B578097/A</v>
          </cell>
          <cell r="D1807" t="str">
            <v>RH5125NF95.BC</v>
          </cell>
          <cell r="E1807">
            <v>10</v>
          </cell>
        </row>
        <row r="1808">
          <cell r="C1808" t="str">
            <v>B578497/A</v>
          </cell>
          <cell r="D1808" t="str">
            <v>RH5130F08</v>
          </cell>
          <cell r="E1808">
            <v>1</v>
          </cell>
        </row>
        <row r="1809">
          <cell r="C1809" t="str">
            <v>B578495/A</v>
          </cell>
          <cell r="D1809" t="str">
            <v>RH5492F95</v>
          </cell>
          <cell r="E1809">
            <v>1</v>
          </cell>
        </row>
        <row r="1810">
          <cell r="C1810" t="str">
            <v>B578106/A</v>
          </cell>
          <cell r="D1810" t="str">
            <v>RH6854F08</v>
          </cell>
          <cell r="E1810">
            <v>3</v>
          </cell>
        </row>
        <row r="1811">
          <cell r="C1811" t="str">
            <v>B578108/A</v>
          </cell>
          <cell r="D1811" t="str">
            <v>RH6854F08</v>
          </cell>
          <cell r="E1811">
            <v>5</v>
          </cell>
        </row>
        <row r="1812">
          <cell r="C1812" t="str">
            <v>B578110/A</v>
          </cell>
          <cell r="D1812" t="str">
            <v>RH6854F08</v>
          </cell>
          <cell r="E1812">
            <v>7</v>
          </cell>
        </row>
        <row r="1813">
          <cell r="C1813" t="str">
            <v>B578112/A</v>
          </cell>
          <cell r="D1813" t="str">
            <v>RH6854F08</v>
          </cell>
          <cell r="E1813">
            <v>5</v>
          </cell>
        </row>
        <row r="1814">
          <cell r="C1814" t="str">
            <v>B578225/A</v>
          </cell>
          <cell r="D1814" t="str">
            <v>RH7217F381</v>
          </cell>
          <cell r="E1814">
            <v>8</v>
          </cell>
        </row>
        <row r="1815">
          <cell r="C1815" t="str">
            <v>B578226/A</v>
          </cell>
          <cell r="D1815" t="str">
            <v>RH7217F381</v>
          </cell>
          <cell r="E1815">
            <v>4</v>
          </cell>
        </row>
        <row r="1816">
          <cell r="C1816" t="str">
            <v>B578229/A</v>
          </cell>
          <cell r="D1816" t="str">
            <v>RH7365NF381</v>
          </cell>
          <cell r="E1816">
            <v>5</v>
          </cell>
        </row>
        <row r="1817">
          <cell r="C1817" t="str">
            <v>B578230/A</v>
          </cell>
          <cell r="D1817" t="str">
            <v>RH7365NF381</v>
          </cell>
          <cell r="E1817">
            <v>5</v>
          </cell>
        </row>
        <row r="1818">
          <cell r="C1818" t="str">
            <v>B578233/A</v>
          </cell>
          <cell r="D1818" t="str">
            <v>RH7365NF383</v>
          </cell>
          <cell r="E1818">
            <v>3</v>
          </cell>
        </row>
        <row r="1819">
          <cell r="C1819" t="str">
            <v>B578234/A</v>
          </cell>
          <cell r="D1819" t="str">
            <v>RH7365NF383</v>
          </cell>
          <cell r="E1819">
            <v>2</v>
          </cell>
        </row>
        <row r="1820">
          <cell r="C1820" t="str">
            <v>B578239/A</v>
          </cell>
          <cell r="D1820" t="str">
            <v>RH7368F409</v>
          </cell>
          <cell r="E1820">
            <v>4</v>
          </cell>
        </row>
        <row r="1821">
          <cell r="C1821" t="str">
            <v>B578240/A</v>
          </cell>
          <cell r="D1821" t="str">
            <v>RH7368F409</v>
          </cell>
          <cell r="E1821">
            <v>5</v>
          </cell>
        </row>
        <row r="1822">
          <cell r="C1822" t="str">
            <v>B578241/A</v>
          </cell>
          <cell r="D1822" t="str">
            <v>RH7368F409</v>
          </cell>
          <cell r="E1822">
            <v>1</v>
          </cell>
        </row>
        <row r="1823">
          <cell r="C1823" t="str">
            <v>B578242/A</v>
          </cell>
          <cell r="D1823" t="str">
            <v>RH7368F409</v>
          </cell>
          <cell r="E1823">
            <v>10</v>
          </cell>
        </row>
        <row r="1824">
          <cell r="C1824" t="str">
            <v>B578177/A</v>
          </cell>
          <cell r="D1824" t="str">
            <v>RH7369F381</v>
          </cell>
          <cell r="E1824">
            <v>17</v>
          </cell>
        </row>
        <row r="1825">
          <cell r="C1825" t="str">
            <v>B578178/A</v>
          </cell>
          <cell r="D1825" t="str">
            <v>RH7369F381</v>
          </cell>
          <cell r="E1825">
            <v>6</v>
          </cell>
        </row>
        <row r="1826">
          <cell r="C1826" t="str">
            <v>B578180/A</v>
          </cell>
          <cell r="D1826" t="str">
            <v>RH7369F383</v>
          </cell>
          <cell r="E1826">
            <v>1</v>
          </cell>
        </row>
        <row r="1827">
          <cell r="C1827" t="str">
            <v>B578245/A</v>
          </cell>
          <cell r="D1827" t="str">
            <v>RH7588F382</v>
          </cell>
          <cell r="E1827">
            <v>7</v>
          </cell>
        </row>
        <row r="1828">
          <cell r="C1828" t="str">
            <v>B578246/A</v>
          </cell>
          <cell r="D1828" t="str">
            <v>RH7588F382</v>
          </cell>
          <cell r="E1828">
            <v>15</v>
          </cell>
        </row>
        <row r="1829">
          <cell r="C1829" t="str">
            <v>B578248/A</v>
          </cell>
          <cell r="D1829" t="str">
            <v>RH7588F409</v>
          </cell>
          <cell r="E1829">
            <v>2</v>
          </cell>
        </row>
        <row r="1830">
          <cell r="C1830" t="str">
            <v>B578251/A</v>
          </cell>
          <cell r="D1830" t="str">
            <v>RH895F01</v>
          </cell>
          <cell r="E1830">
            <v>3</v>
          </cell>
        </row>
        <row r="1831">
          <cell r="C1831" t="str">
            <v>B578252/A</v>
          </cell>
          <cell r="D1831" t="str">
            <v>RH895F01</v>
          </cell>
          <cell r="E1831">
            <v>4</v>
          </cell>
        </row>
        <row r="1832">
          <cell r="C1832" t="str">
            <v>B578255/A</v>
          </cell>
          <cell r="D1832" t="str">
            <v>RH895F02</v>
          </cell>
          <cell r="E1832">
            <v>3</v>
          </cell>
        </row>
        <row r="1833">
          <cell r="C1833" t="str">
            <v>B578256/A</v>
          </cell>
          <cell r="D1833" t="str">
            <v>RH895F02</v>
          </cell>
          <cell r="E1833">
            <v>5</v>
          </cell>
        </row>
        <row r="1834">
          <cell r="C1834" t="str">
            <v>B578259/A</v>
          </cell>
          <cell r="D1834" t="str">
            <v>RH9284F402</v>
          </cell>
          <cell r="E1834">
            <v>8</v>
          </cell>
        </row>
        <row r="1835">
          <cell r="C1835" t="str">
            <v>B578260/A</v>
          </cell>
          <cell r="D1835" t="str">
            <v>RH9284F402</v>
          </cell>
          <cell r="E1835">
            <v>8</v>
          </cell>
        </row>
        <row r="1836">
          <cell r="C1836" t="str">
            <v>B578183/A</v>
          </cell>
          <cell r="D1836" t="str">
            <v>RH9422F424</v>
          </cell>
          <cell r="E1836">
            <v>1</v>
          </cell>
        </row>
        <row r="1837">
          <cell r="C1837" t="str">
            <v>B578184/A</v>
          </cell>
          <cell r="D1837" t="str">
            <v>RH9422F424</v>
          </cell>
          <cell r="E1837">
            <v>4</v>
          </cell>
        </row>
        <row r="1838">
          <cell r="C1838" t="str">
            <v>B578187/A</v>
          </cell>
          <cell r="D1838" t="str">
            <v>RH9422F426</v>
          </cell>
          <cell r="E1838">
            <v>5</v>
          </cell>
        </row>
        <row r="1839">
          <cell r="C1839" t="str">
            <v>B578188/A</v>
          </cell>
          <cell r="D1839" t="str">
            <v>RH9422F426</v>
          </cell>
          <cell r="E1839">
            <v>5</v>
          </cell>
        </row>
        <row r="1840">
          <cell r="C1840" t="str">
            <v>B578265/A</v>
          </cell>
          <cell r="D1840" t="str">
            <v>RH9478F424</v>
          </cell>
          <cell r="E1840">
            <v>1</v>
          </cell>
        </row>
        <row r="1841">
          <cell r="C1841" t="str">
            <v>B578266/A</v>
          </cell>
          <cell r="D1841" t="str">
            <v>RH9478F424</v>
          </cell>
          <cell r="E1841">
            <v>1</v>
          </cell>
        </row>
        <row r="1842">
          <cell r="C1842" t="str">
            <v>B578267/A</v>
          </cell>
          <cell r="D1842" t="str">
            <v>RH9478F424</v>
          </cell>
          <cell r="E1842">
            <v>3</v>
          </cell>
        </row>
        <row r="1843">
          <cell r="C1843" t="str">
            <v>B578268/A</v>
          </cell>
          <cell r="D1843" t="str">
            <v>RH9478F424</v>
          </cell>
          <cell r="E1843">
            <v>3</v>
          </cell>
        </row>
        <row r="1844">
          <cell r="C1844" t="str">
            <v>B578272/A</v>
          </cell>
          <cell r="D1844" t="str">
            <v>RH9478F425</v>
          </cell>
          <cell r="E1844">
            <v>2</v>
          </cell>
        </row>
        <row r="1845">
          <cell r="C1845" t="str">
            <v>B578273/A</v>
          </cell>
          <cell r="D1845" t="str">
            <v>RH9478F425</v>
          </cell>
          <cell r="E1845">
            <v>2</v>
          </cell>
        </row>
        <row r="1846">
          <cell r="C1846" t="str">
            <v>B578274/A</v>
          </cell>
          <cell r="D1846" t="str">
            <v>RH9478F425</v>
          </cell>
          <cell r="E1846">
            <v>2</v>
          </cell>
        </row>
        <row r="1847">
          <cell r="C1847" t="str">
            <v>B578279/A</v>
          </cell>
          <cell r="D1847" t="str">
            <v>RH9478F426</v>
          </cell>
          <cell r="E1847">
            <v>4</v>
          </cell>
        </row>
        <row r="1848">
          <cell r="C1848" t="str">
            <v>B578280/A</v>
          </cell>
          <cell r="D1848" t="str">
            <v>RH9478F426</v>
          </cell>
          <cell r="E1848">
            <v>2</v>
          </cell>
        </row>
        <row r="1849">
          <cell r="C1849" t="str">
            <v>B578281/A</v>
          </cell>
          <cell r="D1849" t="str">
            <v>RH9478F426</v>
          </cell>
          <cell r="E1849">
            <v>2</v>
          </cell>
        </row>
        <row r="1850">
          <cell r="C1850" t="str">
            <v>B578282/A</v>
          </cell>
          <cell r="D1850" t="str">
            <v>RH9478F426</v>
          </cell>
          <cell r="E1850">
            <v>5</v>
          </cell>
        </row>
        <row r="1851">
          <cell r="C1851" t="str">
            <v>B578191/A</v>
          </cell>
          <cell r="D1851" t="str">
            <v>RH9530F423</v>
          </cell>
          <cell r="E1851">
            <v>5</v>
          </cell>
        </row>
        <row r="1852">
          <cell r="C1852" t="str">
            <v>B578192/A</v>
          </cell>
          <cell r="D1852" t="str">
            <v>RH9530F423</v>
          </cell>
          <cell r="E1852">
            <v>4</v>
          </cell>
        </row>
        <row r="1853">
          <cell r="C1853" t="str">
            <v>B578195/A</v>
          </cell>
          <cell r="D1853" t="str">
            <v>RH9530F425</v>
          </cell>
          <cell r="E1853">
            <v>8</v>
          </cell>
        </row>
        <row r="1854">
          <cell r="C1854" t="str">
            <v>B578196/A</v>
          </cell>
          <cell r="D1854" t="str">
            <v>RH9530F425</v>
          </cell>
          <cell r="E1854">
            <v>2</v>
          </cell>
        </row>
        <row r="1855">
          <cell r="C1855" t="str">
            <v>B578199/A</v>
          </cell>
          <cell r="D1855" t="str">
            <v>RH9531AF423</v>
          </cell>
          <cell r="E1855">
            <v>5</v>
          </cell>
        </row>
        <row r="1856">
          <cell r="C1856" t="str">
            <v>B578200/A</v>
          </cell>
          <cell r="D1856" t="str">
            <v>RH9531AF423</v>
          </cell>
          <cell r="E1856">
            <v>3</v>
          </cell>
        </row>
        <row r="1857">
          <cell r="C1857" t="str">
            <v>B578203/A</v>
          </cell>
          <cell r="D1857" t="str">
            <v>RH9531AF424</v>
          </cell>
          <cell r="E1857">
            <v>4</v>
          </cell>
        </row>
        <row r="1858">
          <cell r="C1858" t="str">
            <v>B578204/A</v>
          </cell>
          <cell r="D1858" t="str">
            <v>RH9531AF424</v>
          </cell>
          <cell r="E1858">
            <v>1</v>
          </cell>
        </row>
        <row r="1859">
          <cell r="C1859" t="str">
            <v>B578207/A</v>
          </cell>
          <cell r="D1859" t="str">
            <v>RH9531AF425</v>
          </cell>
          <cell r="E1859">
            <v>5</v>
          </cell>
        </row>
        <row r="1860">
          <cell r="C1860" t="str">
            <v>B578208/A</v>
          </cell>
          <cell r="D1860" t="str">
            <v>RH9531AF425</v>
          </cell>
          <cell r="E1860">
            <v>1</v>
          </cell>
        </row>
        <row r="1861">
          <cell r="C1861" t="str">
            <v>B578289/A</v>
          </cell>
          <cell r="D1861" t="str">
            <v>RH9541F425</v>
          </cell>
          <cell r="E1861">
            <v>5</v>
          </cell>
        </row>
        <row r="1862">
          <cell r="C1862" t="str">
            <v>B578290/A</v>
          </cell>
          <cell r="D1862" t="str">
            <v>RH9541F425</v>
          </cell>
          <cell r="E1862">
            <v>2</v>
          </cell>
        </row>
        <row r="1863">
          <cell r="C1863" t="str">
            <v>B578293/A</v>
          </cell>
          <cell r="D1863" t="str">
            <v>RH9541F426</v>
          </cell>
          <cell r="E1863">
            <v>1</v>
          </cell>
        </row>
        <row r="1864">
          <cell r="C1864" t="str">
            <v>B578294/A</v>
          </cell>
          <cell r="D1864" t="str">
            <v>RH9541F426</v>
          </cell>
          <cell r="E1864">
            <v>3</v>
          </cell>
        </row>
        <row r="1865">
          <cell r="C1865" t="str">
            <v>B578297/A</v>
          </cell>
          <cell r="D1865" t="str">
            <v>RH9848F423</v>
          </cell>
          <cell r="E1865">
            <v>4</v>
          </cell>
        </row>
        <row r="1866">
          <cell r="C1866" t="str">
            <v>B578298/A</v>
          </cell>
          <cell r="D1866" t="str">
            <v>RH9848F423</v>
          </cell>
          <cell r="E1866">
            <v>3</v>
          </cell>
        </row>
        <row r="1867">
          <cell r="C1867" t="str">
            <v>B578300/A</v>
          </cell>
          <cell r="D1867" t="str">
            <v>RH9848F425</v>
          </cell>
          <cell r="E1867">
            <v>1</v>
          </cell>
        </row>
        <row r="1868">
          <cell r="C1868" t="str">
            <v>B578304/A</v>
          </cell>
          <cell r="D1868" t="str">
            <v>RH9848F426</v>
          </cell>
          <cell r="E1868">
            <v>3</v>
          </cell>
        </row>
        <row r="1869">
          <cell r="C1869" t="str">
            <v>B578305/A</v>
          </cell>
          <cell r="D1869" t="str">
            <v>RH9848F426</v>
          </cell>
          <cell r="E1869">
            <v>2</v>
          </cell>
        </row>
        <row r="1870">
          <cell r="C1870" t="str">
            <v>B578306/A</v>
          </cell>
          <cell r="D1870" t="str">
            <v>RH9848F426</v>
          </cell>
          <cell r="E1870">
            <v>7</v>
          </cell>
        </row>
        <row r="1871">
          <cell r="C1871" t="str">
            <v>B578308/A</v>
          </cell>
          <cell r="D1871" t="str">
            <v>RH9858F423</v>
          </cell>
          <cell r="E1871">
            <v>1</v>
          </cell>
        </row>
        <row r="1872">
          <cell r="C1872" t="str">
            <v>B578311/A</v>
          </cell>
          <cell r="D1872" t="str">
            <v>RH9858F425</v>
          </cell>
          <cell r="E1872">
            <v>8</v>
          </cell>
        </row>
        <row r="1873">
          <cell r="C1873" t="str">
            <v>B578312/A</v>
          </cell>
          <cell r="D1873" t="str">
            <v>RH9858F425</v>
          </cell>
          <cell r="E1873">
            <v>7</v>
          </cell>
        </row>
        <row r="1874">
          <cell r="C1874" t="str">
            <v>B578317/A</v>
          </cell>
          <cell r="D1874" t="str">
            <v>RH9858F426</v>
          </cell>
          <cell r="E1874">
            <v>2</v>
          </cell>
        </row>
        <row r="1875">
          <cell r="C1875" t="str">
            <v>B578318/A</v>
          </cell>
          <cell r="D1875" t="str">
            <v>RH9858F426</v>
          </cell>
          <cell r="E1875">
            <v>1</v>
          </cell>
        </row>
        <row r="1876">
          <cell r="C1876" t="str">
            <v>B578319/A</v>
          </cell>
          <cell r="D1876" t="str">
            <v>RH9858F426</v>
          </cell>
          <cell r="E1876">
            <v>2</v>
          </cell>
        </row>
        <row r="1877">
          <cell r="C1877" t="str">
            <v>B578320/A</v>
          </cell>
          <cell r="D1877" t="str">
            <v>RH9858F426</v>
          </cell>
          <cell r="E1877">
            <v>2</v>
          </cell>
        </row>
        <row r="1878">
          <cell r="C1878" t="str">
            <v>B578210/A</v>
          </cell>
          <cell r="D1878" t="str">
            <v>RH9866F423</v>
          </cell>
          <cell r="E1878">
            <v>7</v>
          </cell>
        </row>
        <row r="1879">
          <cell r="C1879" t="str">
            <v>B578213/A</v>
          </cell>
          <cell r="D1879" t="str">
            <v>RH9866F424</v>
          </cell>
          <cell r="E1879">
            <v>4</v>
          </cell>
        </row>
        <row r="1880">
          <cell r="C1880" t="str">
            <v>B578214/A</v>
          </cell>
          <cell r="D1880" t="str">
            <v>RH9866F424</v>
          </cell>
          <cell r="E1880">
            <v>3</v>
          </cell>
        </row>
        <row r="1881">
          <cell r="C1881" t="str">
            <v>B578217/A</v>
          </cell>
          <cell r="D1881" t="str">
            <v>RH9866F426</v>
          </cell>
          <cell r="E1881">
            <v>2</v>
          </cell>
        </row>
        <row r="1882">
          <cell r="C1882" t="str">
            <v>B578218/A</v>
          </cell>
          <cell r="D1882" t="str">
            <v>RH9866F426</v>
          </cell>
          <cell r="E1882">
            <v>3</v>
          </cell>
        </row>
        <row r="1883">
          <cell r="C1883" t="str">
            <v>B578323/A</v>
          </cell>
          <cell r="D1883" t="str">
            <v>RH9882F423</v>
          </cell>
          <cell r="E1883">
            <v>7</v>
          </cell>
        </row>
        <row r="1884">
          <cell r="C1884" t="str">
            <v>B578324/A</v>
          </cell>
          <cell r="D1884" t="str">
            <v>RH9882F423</v>
          </cell>
          <cell r="E1884">
            <v>1</v>
          </cell>
        </row>
        <row r="1885">
          <cell r="C1885" t="str">
            <v>B578327/A</v>
          </cell>
          <cell r="D1885" t="str">
            <v>RH9882F426</v>
          </cell>
          <cell r="E1885">
            <v>4</v>
          </cell>
        </row>
        <row r="1886">
          <cell r="C1886" t="str">
            <v>B578328/A</v>
          </cell>
          <cell r="D1886" t="str">
            <v>RH9882F426</v>
          </cell>
          <cell r="E1886">
            <v>4</v>
          </cell>
        </row>
        <row r="1887">
          <cell r="C1887" t="str">
            <v>B578331/A</v>
          </cell>
          <cell r="D1887" t="str">
            <v>RH9884F423</v>
          </cell>
          <cell r="E1887">
            <v>6</v>
          </cell>
        </row>
        <row r="1888">
          <cell r="C1888" t="str">
            <v>B578332/A</v>
          </cell>
          <cell r="D1888" t="str">
            <v>RH9884F423</v>
          </cell>
          <cell r="E1888">
            <v>2</v>
          </cell>
        </row>
        <row r="1889">
          <cell r="C1889" t="str">
            <v>B578335/A</v>
          </cell>
          <cell r="D1889" t="str">
            <v>RH9884F425</v>
          </cell>
          <cell r="E1889">
            <v>2</v>
          </cell>
        </row>
        <row r="1890">
          <cell r="C1890" t="str">
            <v>B578336/A</v>
          </cell>
          <cell r="D1890" t="str">
            <v>RH9884F425</v>
          </cell>
          <cell r="E1890">
            <v>1</v>
          </cell>
        </row>
        <row r="1891">
          <cell r="C1891" t="str">
            <v>B578339/A</v>
          </cell>
          <cell r="D1891" t="str">
            <v>RH9884F426</v>
          </cell>
          <cell r="E1891">
            <v>5</v>
          </cell>
        </row>
        <row r="1892">
          <cell r="C1892" t="str">
            <v>B578340/A</v>
          </cell>
          <cell r="D1892" t="str">
            <v>RH9884F426</v>
          </cell>
          <cell r="E1892">
            <v>3</v>
          </cell>
        </row>
        <row r="1893">
          <cell r="C1893" t="str">
            <v>B578343/A</v>
          </cell>
          <cell r="D1893" t="str">
            <v>RH9949NF423</v>
          </cell>
          <cell r="E1893">
            <v>3</v>
          </cell>
        </row>
        <row r="1894">
          <cell r="C1894" t="str">
            <v>B578344/A</v>
          </cell>
          <cell r="D1894" t="str">
            <v>RH9949NF423</v>
          </cell>
          <cell r="E1894">
            <v>1</v>
          </cell>
        </row>
        <row r="1895">
          <cell r="C1895" t="str">
            <v>B578347/A</v>
          </cell>
          <cell r="D1895" t="str">
            <v>RH9949NF424</v>
          </cell>
          <cell r="E1895">
            <v>4</v>
          </cell>
        </row>
        <row r="1896">
          <cell r="C1896" t="str">
            <v>B578348/A</v>
          </cell>
          <cell r="D1896" t="str">
            <v>RH9949NF424</v>
          </cell>
          <cell r="E1896">
            <v>2</v>
          </cell>
        </row>
        <row r="1897">
          <cell r="C1897" t="str">
            <v>B578128/A</v>
          </cell>
          <cell r="D1897" t="str">
            <v>SH293FMT02</v>
          </cell>
          <cell r="E1897">
            <v>40</v>
          </cell>
        </row>
        <row r="1898">
          <cell r="C1898" t="str">
            <v>B578350/A</v>
          </cell>
          <cell r="D1898" t="str">
            <v>MN5792F610-LEGCE</v>
          </cell>
          <cell r="E1898">
            <v>20</v>
          </cell>
        </row>
        <row r="1899">
          <cell r="C1899" t="str">
            <v>B578047/A</v>
          </cell>
          <cell r="D1899" t="str">
            <v>RH094F03</v>
          </cell>
          <cell r="E1899">
            <v>108</v>
          </cell>
        </row>
        <row r="1900">
          <cell r="C1900" t="str">
            <v>B578067/A</v>
          </cell>
          <cell r="D1900" t="str">
            <v>RH2588F08-DOLH</v>
          </cell>
          <cell r="E1900">
            <v>5</v>
          </cell>
        </row>
        <row r="1901">
          <cell r="C1901" t="str">
            <v>B578069/A</v>
          </cell>
          <cell r="D1901" t="str">
            <v>RH2588F08-DORH</v>
          </cell>
          <cell r="E1901">
            <v>5</v>
          </cell>
        </row>
        <row r="1902">
          <cell r="C1902" t="str">
            <v>B578071/A</v>
          </cell>
          <cell r="D1902" t="str">
            <v>RH2900F08-DOLH</v>
          </cell>
          <cell r="E1902">
            <v>5</v>
          </cell>
        </row>
        <row r="1903">
          <cell r="C1903" t="str">
            <v>B578073/A</v>
          </cell>
          <cell r="D1903" t="str">
            <v>RH2900F08-DORH</v>
          </cell>
          <cell r="E1903">
            <v>5</v>
          </cell>
        </row>
        <row r="1904">
          <cell r="C1904" t="str">
            <v>B578043/A</v>
          </cell>
          <cell r="D1904" t="str">
            <v>RH9032F397-PLPNS</v>
          </cell>
          <cell r="E1904">
            <v>5</v>
          </cell>
        </row>
        <row r="1905">
          <cell r="C1905" t="str">
            <v>B578045/A</v>
          </cell>
          <cell r="D1905" t="str">
            <v>RH9032F397-SPRL</v>
          </cell>
          <cell r="E1905">
            <v>5</v>
          </cell>
        </row>
        <row r="1906">
          <cell r="C1906" t="str">
            <v>B578116/A</v>
          </cell>
          <cell r="D1906" t="str">
            <v>RH9950F423</v>
          </cell>
          <cell r="E1906">
            <v>108</v>
          </cell>
        </row>
        <row r="1907">
          <cell r="C1907" t="str">
            <v>B578120/A</v>
          </cell>
          <cell r="D1907" t="str">
            <v>RH9950F425</v>
          </cell>
          <cell r="E1907">
            <v>108</v>
          </cell>
        </row>
        <row r="1908">
          <cell r="C1908" t="str">
            <v>B578124/A</v>
          </cell>
          <cell r="D1908" t="str">
            <v>RH9950F426</v>
          </cell>
          <cell r="E1908">
            <v>108</v>
          </cell>
        </row>
        <row r="1909">
          <cell r="C1909" t="str">
            <v>B578895/A</v>
          </cell>
          <cell r="D1909" t="str">
            <v>AR978AF1221</v>
          </cell>
          <cell r="E1909">
            <v>3</v>
          </cell>
        </row>
        <row r="1910">
          <cell r="C1910" t="str">
            <v>B578897/A</v>
          </cell>
          <cell r="D1910" t="str">
            <v>AR979AF1221</v>
          </cell>
          <cell r="E1910">
            <v>1</v>
          </cell>
        </row>
        <row r="1911">
          <cell r="C1911" t="str">
            <v>B578859/A</v>
          </cell>
          <cell r="D1911" t="str">
            <v>AT302AF00-VE</v>
          </cell>
          <cell r="E1911">
            <v>30</v>
          </cell>
        </row>
        <row r="1912">
          <cell r="C1912" t="str">
            <v>B578860/A</v>
          </cell>
          <cell r="D1912" t="str">
            <v>AT302AF00-VE</v>
          </cell>
          <cell r="E1912">
            <v>30</v>
          </cell>
        </row>
        <row r="1913">
          <cell r="C1913" t="str">
            <v>B578862/A</v>
          </cell>
          <cell r="D1913" t="str">
            <v>AT303ANF00-VE</v>
          </cell>
          <cell r="E1913">
            <v>40</v>
          </cell>
        </row>
        <row r="1914">
          <cell r="C1914" t="str">
            <v>B578864/A</v>
          </cell>
          <cell r="D1914" t="str">
            <v>AT358AF00-VE</v>
          </cell>
          <cell r="E1914">
            <v>50</v>
          </cell>
        </row>
        <row r="1915">
          <cell r="C1915" t="str">
            <v>B578872/A</v>
          </cell>
          <cell r="D1915" t="str">
            <v>AT382F00-VE</v>
          </cell>
          <cell r="E1915">
            <v>50</v>
          </cell>
        </row>
        <row r="1916">
          <cell r="C1916" t="str">
            <v>B578873/A</v>
          </cell>
          <cell r="D1916" t="str">
            <v>AT382F00-VE</v>
          </cell>
          <cell r="E1916">
            <v>50</v>
          </cell>
        </row>
        <row r="1917">
          <cell r="C1917" t="str">
            <v>B578868/A</v>
          </cell>
          <cell r="D1917" t="str">
            <v>AT615F1024</v>
          </cell>
          <cell r="E1917">
            <v>5</v>
          </cell>
        </row>
        <row r="1918">
          <cell r="C1918" t="str">
            <v>B578866/A</v>
          </cell>
          <cell r="D1918" t="str">
            <v>AT615F884</v>
          </cell>
          <cell r="E1918">
            <v>20</v>
          </cell>
        </row>
        <row r="1919">
          <cell r="C1919" t="str">
            <v>B579484/A</v>
          </cell>
          <cell r="D1919" t="str">
            <v>AT305NF00-VE</v>
          </cell>
          <cell r="E1919">
            <v>40</v>
          </cell>
        </row>
        <row r="1920">
          <cell r="C1920" t="str">
            <v>B579485/A</v>
          </cell>
          <cell r="D1920" t="str">
            <v>AT305NF00-VE</v>
          </cell>
          <cell r="E1920">
            <v>40</v>
          </cell>
        </row>
        <row r="1921">
          <cell r="C1921" t="str">
            <v>B579487/A</v>
          </cell>
          <cell r="D1921" t="str">
            <v>AT383F00-VE</v>
          </cell>
          <cell r="E1921">
            <v>40</v>
          </cell>
        </row>
        <row r="1922">
          <cell r="C1922" t="str">
            <v>B579003/A</v>
          </cell>
          <cell r="D1922" t="str">
            <v>AT653AF1198</v>
          </cell>
          <cell r="E1922">
            <v>3</v>
          </cell>
        </row>
        <row r="1923">
          <cell r="C1923" t="str">
            <v>B579005/A</v>
          </cell>
          <cell r="D1923" t="str">
            <v>AT682F1294</v>
          </cell>
          <cell r="E1923">
            <v>3</v>
          </cell>
        </row>
        <row r="1924">
          <cell r="C1924" t="str">
            <v>B579006/A</v>
          </cell>
          <cell r="D1924" t="str">
            <v>AR980AF1221</v>
          </cell>
          <cell r="E1924">
            <v>3</v>
          </cell>
        </row>
        <row r="1925">
          <cell r="C1925" t="str">
            <v>B579173/A</v>
          </cell>
          <cell r="D1925" t="str">
            <v>AR981AF1221</v>
          </cell>
          <cell r="E1925">
            <v>1</v>
          </cell>
        </row>
        <row r="1926">
          <cell r="C1926" t="str">
            <v>B579314/A</v>
          </cell>
          <cell r="D1926" t="str">
            <v>AR110F834-BASE</v>
          </cell>
          <cell r="E1926">
            <v>16</v>
          </cell>
        </row>
        <row r="1927">
          <cell r="C1927" t="str">
            <v>B579315/A</v>
          </cell>
          <cell r="D1927" t="str">
            <v>AR110F834-BASE</v>
          </cell>
          <cell r="E1927">
            <v>54</v>
          </cell>
        </row>
        <row r="1928">
          <cell r="C1928" t="str">
            <v>B576892/A</v>
          </cell>
          <cell r="D1928" t="str">
            <v>AR110F906-TOP</v>
          </cell>
          <cell r="E1928">
            <v>27</v>
          </cell>
        </row>
        <row r="1929">
          <cell r="C1929" t="str">
            <v>B576893/A</v>
          </cell>
          <cell r="D1929" t="str">
            <v>AR110F906-TOP</v>
          </cell>
          <cell r="E1929">
            <v>48</v>
          </cell>
        </row>
        <row r="1930">
          <cell r="C1930" t="str">
            <v>B579233/A</v>
          </cell>
          <cell r="D1930" t="str">
            <v>AR117NF1039</v>
          </cell>
          <cell r="E1930">
            <v>18</v>
          </cell>
        </row>
        <row r="1931">
          <cell r="C1931" t="str">
            <v>B579234/A</v>
          </cell>
          <cell r="D1931" t="str">
            <v>AR117NF1039</v>
          </cell>
          <cell r="E1931">
            <v>7</v>
          </cell>
        </row>
        <row r="1932">
          <cell r="C1932" t="str">
            <v>B579237/A</v>
          </cell>
          <cell r="D1932" t="str">
            <v>AR137F999</v>
          </cell>
          <cell r="E1932">
            <v>18</v>
          </cell>
        </row>
        <row r="1933">
          <cell r="C1933" t="str">
            <v>B579238/A</v>
          </cell>
          <cell r="D1933" t="str">
            <v>AR137F999</v>
          </cell>
          <cell r="E1933">
            <v>7</v>
          </cell>
        </row>
        <row r="1934">
          <cell r="C1934" t="str">
            <v>B579241/A</v>
          </cell>
          <cell r="D1934" t="str">
            <v>AR165F1039</v>
          </cell>
          <cell r="E1934">
            <v>18</v>
          </cell>
        </row>
        <row r="1935">
          <cell r="C1935" t="str">
            <v>B579242/A</v>
          </cell>
          <cell r="D1935" t="str">
            <v>AR165F1039</v>
          </cell>
          <cell r="E1935">
            <v>7</v>
          </cell>
        </row>
        <row r="1936">
          <cell r="C1936" t="str">
            <v>B576888/A</v>
          </cell>
          <cell r="D1936" t="str">
            <v>AR190F834-TOP</v>
          </cell>
          <cell r="E1936">
            <v>8</v>
          </cell>
        </row>
        <row r="1937">
          <cell r="C1937" t="str">
            <v>B576889/A</v>
          </cell>
          <cell r="D1937" t="str">
            <v>AR190F834-TOP</v>
          </cell>
          <cell r="E1937">
            <v>27</v>
          </cell>
        </row>
        <row r="1938">
          <cell r="C1938" t="str">
            <v>B579434/A</v>
          </cell>
          <cell r="D1938" t="str">
            <v>AR196NF906</v>
          </cell>
          <cell r="E1938">
            <v>17</v>
          </cell>
        </row>
        <row r="1939">
          <cell r="C1939" t="str">
            <v>B579435/A</v>
          </cell>
          <cell r="D1939" t="str">
            <v>AR196NF906</v>
          </cell>
          <cell r="E1939">
            <v>8</v>
          </cell>
        </row>
        <row r="1940">
          <cell r="C1940" t="str">
            <v>B577876/A</v>
          </cell>
          <cell r="D1940" t="str">
            <v>AR803F1049-FBSR</v>
          </cell>
          <cell r="E1940">
            <v>7</v>
          </cell>
        </row>
        <row r="1941">
          <cell r="C1941" t="str">
            <v>B577877/A</v>
          </cell>
          <cell r="D1941" t="str">
            <v>AR803F1049-FBSR</v>
          </cell>
          <cell r="E1941">
            <v>3</v>
          </cell>
        </row>
        <row r="1942">
          <cell r="C1942" t="str">
            <v>B577880/A</v>
          </cell>
          <cell r="D1942" t="str">
            <v>AR803F1049-HBEX</v>
          </cell>
          <cell r="E1942">
            <v>7</v>
          </cell>
        </row>
        <row r="1943">
          <cell r="C1943" t="str">
            <v>B577881/A</v>
          </cell>
          <cell r="D1943" t="str">
            <v>AR803F1049-HBEX</v>
          </cell>
          <cell r="E1943">
            <v>3</v>
          </cell>
        </row>
        <row r="1944">
          <cell r="C1944" t="str">
            <v>B577884/A</v>
          </cell>
          <cell r="D1944" t="str">
            <v>AR803F1049-PLA</v>
          </cell>
          <cell r="E1944">
            <v>7</v>
          </cell>
        </row>
        <row r="1945">
          <cell r="C1945" t="str">
            <v>B577885/A</v>
          </cell>
          <cell r="D1945" t="str">
            <v>AR803F1049-PLA</v>
          </cell>
          <cell r="E1945">
            <v>3</v>
          </cell>
        </row>
        <row r="1946">
          <cell r="C1946" t="str">
            <v>B577896/A</v>
          </cell>
          <cell r="D1946" t="str">
            <v>AR803F906-FBSR</v>
          </cell>
          <cell r="E1946">
            <v>11</v>
          </cell>
        </row>
        <row r="1947">
          <cell r="C1947" t="str">
            <v>B577888/A</v>
          </cell>
          <cell r="D1947" t="str">
            <v>AR803F906-FBSR</v>
          </cell>
          <cell r="E1947">
            <v>4</v>
          </cell>
        </row>
        <row r="1948">
          <cell r="C1948" t="str">
            <v>B577897/A</v>
          </cell>
          <cell r="D1948" t="str">
            <v>AR803F906-HBEX</v>
          </cell>
          <cell r="E1948">
            <v>11</v>
          </cell>
        </row>
        <row r="1949">
          <cell r="C1949" t="str">
            <v>B577891/A</v>
          </cell>
          <cell r="D1949" t="str">
            <v>AR803F906-HBEX</v>
          </cell>
          <cell r="E1949">
            <v>4</v>
          </cell>
        </row>
        <row r="1950">
          <cell r="C1950" t="str">
            <v>B577894/A</v>
          </cell>
          <cell r="D1950" t="str">
            <v>AR803F906-PLA</v>
          </cell>
          <cell r="E1950">
            <v>11</v>
          </cell>
        </row>
        <row r="1951">
          <cell r="C1951" t="str">
            <v>B577895/A</v>
          </cell>
          <cell r="D1951" t="str">
            <v>AR803F906-PLA</v>
          </cell>
          <cell r="E1951">
            <v>4</v>
          </cell>
        </row>
        <row r="1952">
          <cell r="C1952" t="str">
            <v>B579252/A</v>
          </cell>
          <cell r="D1952" t="str">
            <v>AT203F01</v>
          </cell>
          <cell r="E1952">
            <v>25</v>
          </cell>
        </row>
        <row r="1953">
          <cell r="C1953" t="str">
            <v>B579350/A</v>
          </cell>
          <cell r="D1953" t="str">
            <v>AT302AF00-VE</v>
          </cell>
          <cell r="E1953">
            <v>30</v>
          </cell>
        </row>
        <row r="1954">
          <cell r="C1954" t="str">
            <v>B579353/A</v>
          </cell>
          <cell r="D1954" t="str">
            <v>AT302AF00-VE</v>
          </cell>
          <cell r="E1954">
            <v>30</v>
          </cell>
        </row>
        <row r="1955">
          <cell r="C1955" t="str">
            <v>B579365/A</v>
          </cell>
          <cell r="D1955" t="str">
            <v>AT358AF00-VE</v>
          </cell>
          <cell r="E1955">
            <v>50</v>
          </cell>
        </row>
        <row r="1956">
          <cell r="C1956" t="str">
            <v>B579366/A</v>
          </cell>
          <cell r="D1956" t="str">
            <v>AT358AF00-VE</v>
          </cell>
          <cell r="E1956">
            <v>50</v>
          </cell>
        </row>
        <row r="1957">
          <cell r="C1957" t="str">
            <v>B579479/A</v>
          </cell>
          <cell r="D1957" t="str">
            <v>AT383F00-VE</v>
          </cell>
          <cell r="E1957">
            <v>40</v>
          </cell>
        </row>
        <row r="1958">
          <cell r="C1958" t="str">
            <v>B579437/A</v>
          </cell>
          <cell r="D1958" t="str">
            <v>AT453NF00</v>
          </cell>
          <cell r="E1958">
            <v>25</v>
          </cell>
        </row>
        <row r="1959">
          <cell r="C1959" t="str">
            <v>B579464/A</v>
          </cell>
          <cell r="D1959" t="str">
            <v>AT481F1059</v>
          </cell>
          <cell r="E1959">
            <v>25</v>
          </cell>
        </row>
        <row r="1960">
          <cell r="C1960" t="str">
            <v>B579453/A</v>
          </cell>
          <cell r="D1960" t="str">
            <v>AT481F1237</v>
          </cell>
          <cell r="E1960">
            <v>25</v>
          </cell>
        </row>
        <row r="1961">
          <cell r="C1961" t="str">
            <v>B579457/A</v>
          </cell>
          <cell r="D1961" t="str">
            <v>AT522NF1294</v>
          </cell>
          <cell r="E1961">
            <v>25</v>
          </cell>
        </row>
        <row r="1962">
          <cell r="C1962" t="str">
            <v>B579455/A</v>
          </cell>
          <cell r="D1962" t="str">
            <v>AT522NF877</v>
          </cell>
          <cell r="E1962">
            <v>25</v>
          </cell>
        </row>
        <row r="1963">
          <cell r="C1963" t="str">
            <v>B579439/A</v>
          </cell>
          <cell r="D1963" t="str">
            <v>AT570F00</v>
          </cell>
          <cell r="E1963">
            <v>25</v>
          </cell>
        </row>
        <row r="1964">
          <cell r="C1964" t="str">
            <v>B580122/A</v>
          </cell>
          <cell r="D1964" t="str">
            <v>AT574F00-VE</v>
          </cell>
          <cell r="E1964">
            <v>50</v>
          </cell>
        </row>
        <row r="1965">
          <cell r="C1965" t="str">
            <v>B580123/A</v>
          </cell>
          <cell r="D1965" t="str">
            <v>AT574F00-VE</v>
          </cell>
          <cell r="E1965">
            <v>50</v>
          </cell>
        </row>
        <row r="1966">
          <cell r="C1966" t="str">
            <v>B579460/A</v>
          </cell>
          <cell r="D1966" t="str">
            <v>AT628F877</v>
          </cell>
          <cell r="E1966">
            <v>25</v>
          </cell>
        </row>
        <row r="1967">
          <cell r="C1967" t="str">
            <v>B579461/A</v>
          </cell>
          <cell r="D1967" t="str">
            <v>AT628F877</v>
          </cell>
          <cell r="E1967">
            <v>25</v>
          </cell>
        </row>
        <row r="1968">
          <cell r="C1968" t="str">
            <v>B576914/A</v>
          </cell>
          <cell r="D1968" t="str">
            <v>AT646F1059</v>
          </cell>
          <cell r="E1968">
            <v>25</v>
          </cell>
        </row>
        <row r="1969">
          <cell r="C1969" t="str">
            <v>B576915/A</v>
          </cell>
          <cell r="D1969" t="str">
            <v>AT646F877</v>
          </cell>
          <cell r="E1969">
            <v>25</v>
          </cell>
        </row>
        <row r="1970">
          <cell r="C1970" t="str">
            <v>B579441/A</v>
          </cell>
          <cell r="D1970" t="str">
            <v>AT675F1059</v>
          </cell>
          <cell r="E1970">
            <v>20</v>
          </cell>
        </row>
        <row r="1971">
          <cell r="C1971" t="str">
            <v>B579443/A</v>
          </cell>
          <cell r="D1971" t="str">
            <v>AT675F877</v>
          </cell>
          <cell r="E1971">
            <v>30</v>
          </cell>
        </row>
        <row r="1972">
          <cell r="C1972" t="str">
            <v>B579260/A</v>
          </cell>
          <cell r="D1972" t="str">
            <v>BN2317NF38</v>
          </cell>
          <cell r="E1972">
            <v>10</v>
          </cell>
        </row>
        <row r="1973">
          <cell r="C1973" t="str">
            <v>B579258/A</v>
          </cell>
          <cell r="D1973" t="str">
            <v>BN2317NF38</v>
          </cell>
          <cell r="E1973">
            <v>10</v>
          </cell>
        </row>
        <row r="1974">
          <cell r="C1974" t="str">
            <v>B579212/A</v>
          </cell>
          <cell r="D1974" t="str">
            <v>BN2399CF746</v>
          </cell>
          <cell r="E1974">
            <v>95</v>
          </cell>
        </row>
        <row r="1975">
          <cell r="C1975" t="str">
            <v>B578408/A</v>
          </cell>
          <cell r="D1975" t="str">
            <v>CZ044NF08</v>
          </cell>
          <cell r="E1975">
            <v>10</v>
          </cell>
        </row>
        <row r="1976">
          <cell r="C1976" t="str">
            <v>B579265/A</v>
          </cell>
          <cell r="D1976" t="str">
            <v>CZ044NF191</v>
          </cell>
          <cell r="E1976">
            <v>10</v>
          </cell>
        </row>
        <row r="1977">
          <cell r="C1977" t="str">
            <v>B579266/A</v>
          </cell>
          <cell r="D1977" t="str">
            <v>CZ044NF191</v>
          </cell>
          <cell r="E1977">
            <v>4</v>
          </cell>
        </row>
        <row r="1978">
          <cell r="C1978" t="str">
            <v>B579269/A</v>
          </cell>
          <cell r="D1978" t="str">
            <v>CZ1032F188</v>
          </cell>
          <cell r="E1978">
            <v>2</v>
          </cell>
        </row>
        <row r="1979">
          <cell r="C1979" t="str">
            <v>B579270/A</v>
          </cell>
          <cell r="D1979" t="str">
            <v>CZ1032F188</v>
          </cell>
          <cell r="E1979">
            <v>9</v>
          </cell>
        </row>
        <row r="1980">
          <cell r="C1980" t="str">
            <v>B579273/A</v>
          </cell>
          <cell r="D1980" t="str">
            <v>CZ1032F196</v>
          </cell>
          <cell r="E1980">
            <v>1</v>
          </cell>
        </row>
        <row r="1981">
          <cell r="C1981" t="str">
            <v>B579274/A</v>
          </cell>
          <cell r="D1981" t="str">
            <v>CZ1032F196</v>
          </cell>
          <cell r="E1981">
            <v>5</v>
          </cell>
        </row>
        <row r="1982">
          <cell r="C1982" t="str">
            <v>B579277/A</v>
          </cell>
          <cell r="D1982" t="str">
            <v>CZ1032F381</v>
          </cell>
          <cell r="E1982">
            <v>1</v>
          </cell>
        </row>
        <row r="1983">
          <cell r="C1983" t="str">
            <v>B579278/A</v>
          </cell>
          <cell r="D1983" t="str">
            <v>CZ1032F381</v>
          </cell>
          <cell r="E1983">
            <v>2</v>
          </cell>
        </row>
        <row r="1984">
          <cell r="C1984" t="str">
            <v>B579281/A</v>
          </cell>
          <cell r="D1984" t="str">
            <v>CZ1032F409</v>
          </cell>
          <cell r="E1984">
            <v>3</v>
          </cell>
        </row>
        <row r="1985">
          <cell r="C1985" t="str">
            <v>B579282/A</v>
          </cell>
          <cell r="D1985" t="str">
            <v>CZ1032F409</v>
          </cell>
          <cell r="E1985">
            <v>8</v>
          </cell>
        </row>
        <row r="1986">
          <cell r="C1986" t="str">
            <v>B578402/A</v>
          </cell>
          <cell r="D1986" t="str">
            <v>CZ121NF09</v>
          </cell>
          <cell r="E1986">
            <v>16</v>
          </cell>
        </row>
        <row r="1987">
          <cell r="C1987" t="str">
            <v>B579285/A</v>
          </cell>
          <cell r="D1987" t="str">
            <v>CZ121NF10</v>
          </cell>
          <cell r="E1987">
            <v>14</v>
          </cell>
        </row>
        <row r="1988">
          <cell r="C1988" t="str">
            <v>B579286/A</v>
          </cell>
          <cell r="D1988" t="str">
            <v>CZ121NF10</v>
          </cell>
          <cell r="E1988">
            <v>1</v>
          </cell>
        </row>
        <row r="1989">
          <cell r="C1989" t="str">
            <v>B577455/A</v>
          </cell>
          <cell r="D1989" t="str">
            <v>CZ129F08</v>
          </cell>
          <cell r="E1989">
            <v>10</v>
          </cell>
        </row>
        <row r="1990">
          <cell r="C1990" t="str">
            <v>B577454/A</v>
          </cell>
          <cell r="D1990" t="str">
            <v>CZ129F08</v>
          </cell>
          <cell r="E1990">
            <v>5</v>
          </cell>
        </row>
        <row r="1991">
          <cell r="C1991" t="str">
            <v>B578410/A</v>
          </cell>
          <cell r="D1991" t="str">
            <v>CZ558F09</v>
          </cell>
          <cell r="E1991">
            <v>14</v>
          </cell>
        </row>
        <row r="1992">
          <cell r="C1992" t="str">
            <v>B577459/A</v>
          </cell>
          <cell r="D1992" t="str">
            <v>CZ558F09</v>
          </cell>
          <cell r="E1992">
            <v>2</v>
          </cell>
        </row>
        <row r="1993">
          <cell r="C1993" t="str">
            <v>B577461/A</v>
          </cell>
          <cell r="D1993" t="str">
            <v>CZ558F09</v>
          </cell>
          <cell r="E1993">
            <v>2</v>
          </cell>
        </row>
        <row r="1994">
          <cell r="C1994" t="str">
            <v>B579445/A</v>
          </cell>
          <cell r="D1994" t="str">
            <v>CZ558F191</v>
          </cell>
          <cell r="E1994">
            <v>1</v>
          </cell>
        </row>
        <row r="1995">
          <cell r="C1995" t="str">
            <v>B579289/A</v>
          </cell>
          <cell r="D1995" t="str">
            <v>CZ566F10</v>
          </cell>
          <cell r="E1995">
            <v>6</v>
          </cell>
        </row>
        <row r="1996">
          <cell r="C1996" t="str">
            <v>B579290/A</v>
          </cell>
          <cell r="D1996" t="str">
            <v>CZ566F10</v>
          </cell>
          <cell r="E1996">
            <v>4</v>
          </cell>
        </row>
        <row r="1997">
          <cell r="C1997" t="str">
            <v>B577465/A</v>
          </cell>
          <cell r="D1997" t="str">
            <v>CZ567F08</v>
          </cell>
          <cell r="E1997">
            <v>13</v>
          </cell>
        </row>
        <row r="1998">
          <cell r="C1998" t="str">
            <v>B577464/A</v>
          </cell>
          <cell r="D1998" t="str">
            <v>CZ567F08</v>
          </cell>
          <cell r="E1998">
            <v>2</v>
          </cell>
        </row>
        <row r="1999">
          <cell r="C1999" t="str">
            <v>B577475/A</v>
          </cell>
          <cell r="D1999" t="str">
            <v>CZ580F09</v>
          </cell>
          <cell r="E1999">
            <v>9</v>
          </cell>
        </row>
        <row r="2000">
          <cell r="C2000" t="str">
            <v>B577474/A</v>
          </cell>
          <cell r="D2000" t="str">
            <v>CZ580F09</v>
          </cell>
          <cell r="E2000">
            <v>11</v>
          </cell>
        </row>
        <row r="2001">
          <cell r="C2001" t="str">
            <v>B577476/A</v>
          </cell>
          <cell r="D2001" t="str">
            <v>CZ580F09</v>
          </cell>
          <cell r="E2001">
            <v>3</v>
          </cell>
        </row>
        <row r="2002">
          <cell r="C2002" t="str">
            <v>B578400/A</v>
          </cell>
          <cell r="D2002" t="str">
            <v>CZ580F09</v>
          </cell>
          <cell r="E2002">
            <v>11</v>
          </cell>
        </row>
        <row r="2003">
          <cell r="C2003" t="str">
            <v>B579293/A</v>
          </cell>
          <cell r="D2003" t="str">
            <v>CZ580F190</v>
          </cell>
          <cell r="E2003">
            <v>3</v>
          </cell>
        </row>
        <row r="2004">
          <cell r="C2004" t="str">
            <v>B579294/A</v>
          </cell>
          <cell r="D2004" t="str">
            <v>CZ580F190</v>
          </cell>
          <cell r="E2004">
            <v>7</v>
          </cell>
        </row>
        <row r="2005">
          <cell r="C2005" t="str">
            <v>B579297/A</v>
          </cell>
          <cell r="D2005" t="str">
            <v>CZ673F09</v>
          </cell>
          <cell r="E2005">
            <v>1</v>
          </cell>
        </row>
        <row r="2006">
          <cell r="C2006" t="str">
            <v>B579298/A</v>
          </cell>
          <cell r="D2006" t="str">
            <v>CZ673F09</v>
          </cell>
          <cell r="E2006">
            <v>4</v>
          </cell>
        </row>
        <row r="2007">
          <cell r="C2007" t="str">
            <v>B579215/A</v>
          </cell>
          <cell r="D2007" t="str">
            <v>CZ824F196</v>
          </cell>
          <cell r="E2007">
            <v>15</v>
          </cell>
        </row>
        <row r="2008">
          <cell r="C2008" t="str">
            <v>B579216/A</v>
          </cell>
          <cell r="D2008" t="str">
            <v>CZ824F196</v>
          </cell>
          <cell r="E2008">
            <v>12</v>
          </cell>
        </row>
        <row r="2009">
          <cell r="C2009" t="str">
            <v>B579218/A</v>
          </cell>
          <cell r="D2009" t="str">
            <v>CZ824F381</v>
          </cell>
          <cell r="E2009">
            <v>1</v>
          </cell>
        </row>
        <row r="2010">
          <cell r="C2010" t="str">
            <v>B579221/A</v>
          </cell>
          <cell r="D2010" t="str">
            <v>CZ824F409</v>
          </cell>
          <cell r="E2010">
            <v>14</v>
          </cell>
        </row>
        <row r="2011">
          <cell r="C2011" t="str">
            <v>B579222/A</v>
          </cell>
          <cell r="D2011" t="str">
            <v>CZ824F409</v>
          </cell>
          <cell r="E2011">
            <v>12</v>
          </cell>
        </row>
        <row r="2012">
          <cell r="C2012" t="str">
            <v>B579226/A</v>
          </cell>
          <cell r="D2012" t="str">
            <v>CZ826F196</v>
          </cell>
          <cell r="E2012">
            <v>11</v>
          </cell>
        </row>
        <row r="2013">
          <cell r="C2013" t="str">
            <v>B579224/A</v>
          </cell>
          <cell r="D2013" t="str">
            <v>CZ826F196</v>
          </cell>
          <cell r="E2013">
            <v>10</v>
          </cell>
        </row>
        <row r="2014">
          <cell r="C2014" t="str">
            <v>B579228/A</v>
          </cell>
          <cell r="D2014" t="str">
            <v>CZ826F381</v>
          </cell>
          <cell r="E2014">
            <v>6</v>
          </cell>
        </row>
        <row r="2015">
          <cell r="C2015" t="str">
            <v>B579230/A</v>
          </cell>
          <cell r="D2015" t="str">
            <v>CZ826F409</v>
          </cell>
          <cell r="E2015">
            <v>38</v>
          </cell>
        </row>
        <row r="2016">
          <cell r="C2016" t="str">
            <v>B579448/A</v>
          </cell>
          <cell r="D2016" t="str">
            <v>CZ848F196</v>
          </cell>
          <cell r="E2016">
            <v>2</v>
          </cell>
        </row>
        <row r="2017">
          <cell r="C2017" t="str">
            <v>B579449/A</v>
          </cell>
          <cell r="D2017" t="str">
            <v>CZ848F196</v>
          </cell>
          <cell r="E2017">
            <v>4</v>
          </cell>
        </row>
        <row r="2018">
          <cell r="C2018" t="str">
            <v>B579451/A</v>
          </cell>
          <cell r="D2018" t="str">
            <v>CZ848F409</v>
          </cell>
          <cell r="E2018">
            <v>12</v>
          </cell>
        </row>
        <row r="2019">
          <cell r="C2019" t="str">
            <v>B579301/A</v>
          </cell>
          <cell r="D2019" t="str">
            <v>CZ849F188</v>
          </cell>
          <cell r="E2019">
            <v>9</v>
          </cell>
        </row>
        <row r="2020">
          <cell r="C2020" t="str">
            <v>B579302/A</v>
          </cell>
          <cell r="D2020" t="str">
            <v>CZ849F188</v>
          </cell>
          <cell r="E2020">
            <v>4</v>
          </cell>
        </row>
        <row r="2021">
          <cell r="C2021" t="str">
            <v>B579305/A</v>
          </cell>
          <cell r="D2021" t="str">
            <v>CZ849F196</v>
          </cell>
          <cell r="E2021">
            <v>5</v>
          </cell>
        </row>
        <row r="2022">
          <cell r="C2022" t="str">
            <v>B579306/A</v>
          </cell>
          <cell r="D2022" t="str">
            <v>CZ849F196</v>
          </cell>
          <cell r="E2022">
            <v>2</v>
          </cell>
        </row>
        <row r="2023">
          <cell r="C2023" t="str">
            <v>B579309/A</v>
          </cell>
          <cell r="D2023" t="str">
            <v>CZ849F409</v>
          </cell>
          <cell r="E2023">
            <v>12</v>
          </cell>
        </row>
        <row r="2024">
          <cell r="C2024" t="str">
            <v>B579310/A</v>
          </cell>
          <cell r="D2024" t="str">
            <v>CZ849F409</v>
          </cell>
          <cell r="E2024">
            <v>4</v>
          </cell>
        </row>
        <row r="2025">
          <cell r="C2025" t="str">
            <v>B579360/A</v>
          </cell>
          <cell r="D2025" t="str">
            <v>AT303ANF00-VE</v>
          </cell>
          <cell r="E2025">
            <v>40</v>
          </cell>
        </row>
        <row r="2026">
          <cell r="C2026" t="str">
            <v>B579374/A</v>
          </cell>
          <cell r="D2026" t="str">
            <v>AT418F00-VE</v>
          </cell>
          <cell r="E2026">
            <v>50</v>
          </cell>
        </row>
        <row r="2027">
          <cell r="C2027" t="str">
            <v>B579500/A</v>
          </cell>
          <cell r="D2027" t="str">
            <v>AT471F00-VE</v>
          </cell>
          <cell r="E2027">
            <v>40</v>
          </cell>
        </row>
        <row r="2028">
          <cell r="C2028" t="str">
            <v>B580006/A</v>
          </cell>
          <cell r="D2028" t="str">
            <v>AT573F00-VE</v>
          </cell>
          <cell r="E2028">
            <v>25</v>
          </cell>
        </row>
        <row r="2029">
          <cell r="C2029" t="str">
            <v>B580007/A</v>
          </cell>
          <cell r="D2029" t="str">
            <v>AT573F00-VE</v>
          </cell>
          <cell r="E2029">
            <v>25</v>
          </cell>
        </row>
        <row r="2030">
          <cell r="C2030" t="str">
            <v>B579541/A</v>
          </cell>
          <cell r="D2030" t="str">
            <v>AT659F839</v>
          </cell>
          <cell r="E2030">
            <v>3</v>
          </cell>
        </row>
        <row r="2031">
          <cell r="C2031" t="str">
            <v>B579543/A</v>
          </cell>
          <cell r="D2031" t="str">
            <v>AT666F877</v>
          </cell>
          <cell r="E2031">
            <v>3</v>
          </cell>
        </row>
        <row r="2032">
          <cell r="C2032" t="str">
            <v>B579778/A</v>
          </cell>
          <cell r="D2032" t="str">
            <v>CZ861F188</v>
          </cell>
          <cell r="E2032">
            <v>2</v>
          </cell>
        </row>
        <row r="2033">
          <cell r="C2033" t="str">
            <v>B579781/A</v>
          </cell>
          <cell r="D2033" t="str">
            <v>CZ861F196</v>
          </cell>
          <cell r="E2033">
            <v>1</v>
          </cell>
        </row>
        <row r="2034">
          <cell r="C2034" t="str">
            <v>B579782/A</v>
          </cell>
          <cell r="D2034" t="str">
            <v>CZ861F196</v>
          </cell>
          <cell r="E2034">
            <v>2</v>
          </cell>
        </row>
        <row r="2035">
          <cell r="C2035" t="str">
            <v>B579576/A</v>
          </cell>
          <cell r="D2035" t="str">
            <v>CZ863F286TR</v>
          </cell>
          <cell r="E2035">
            <v>15</v>
          </cell>
        </row>
        <row r="2036">
          <cell r="C2036" t="str">
            <v>B579579/A</v>
          </cell>
          <cell r="D2036" t="str">
            <v>CZ863F409TR</v>
          </cell>
          <cell r="E2036">
            <v>15</v>
          </cell>
        </row>
        <row r="2037">
          <cell r="C2037" t="str">
            <v>B579785/A</v>
          </cell>
          <cell r="D2037" t="str">
            <v>CZ876F188</v>
          </cell>
          <cell r="E2037">
            <v>2</v>
          </cell>
        </row>
        <row r="2038">
          <cell r="C2038" t="str">
            <v>B579786/A</v>
          </cell>
          <cell r="D2038" t="str">
            <v>CZ876F188</v>
          </cell>
          <cell r="E2038">
            <v>11</v>
          </cell>
        </row>
        <row r="2039">
          <cell r="C2039" t="str">
            <v>B579788/A</v>
          </cell>
          <cell r="D2039" t="str">
            <v>CZ876F381</v>
          </cell>
          <cell r="E2039">
            <v>1</v>
          </cell>
        </row>
        <row r="2040">
          <cell r="C2040" t="str">
            <v>B579790/A</v>
          </cell>
          <cell r="D2040" t="str">
            <v>CZ876F409</v>
          </cell>
          <cell r="E2040">
            <v>2</v>
          </cell>
        </row>
        <row r="2041">
          <cell r="C2041" t="str">
            <v>B579792/A</v>
          </cell>
          <cell r="D2041" t="str">
            <v>CZ877F188</v>
          </cell>
          <cell r="E2041">
            <v>3</v>
          </cell>
        </row>
        <row r="2042">
          <cell r="C2042" t="str">
            <v>B579795/A</v>
          </cell>
          <cell r="D2042" t="str">
            <v>CZ877F196</v>
          </cell>
          <cell r="E2042">
            <v>3</v>
          </cell>
        </row>
        <row r="2043">
          <cell r="C2043" t="str">
            <v>B579796/A</v>
          </cell>
          <cell r="D2043" t="str">
            <v>CZ877F196</v>
          </cell>
          <cell r="E2043">
            <v>7</v>
          </cell>
        </row>
        <row r="2044">
          <cell r="C2044" t="str">
            <v>B579799/A</v>
          </cell>
          <cell r="D2044" t="str">
            <v>CZ877F381</v>
          </cell>
          <cell r="E2044">
            <v>1</v>
          </cell>
        </row>
        <row r="2045">
          <cell r="C2045" t="str">
            <v>B579800/A</v>
          </cell>
          <cell r="D2045" t="str">
            <v>CZ877F381</v>
          </cell>
          <cell r="E2045">
            <v>1</v>
          </cell>
        </row>
        <row r="2046">
          <cell r="C2046" t="str">
            <v>B579803/A</v>
          </cell>
          <cell r="D2046" t="str">
            <v>CZ886F188</v>
          </cell>
          <cell r="E2046">
            <v>2</v>
          </cell>
        </row>
        <row r="2047">
          <cell r="C2047" t="str">
            <v>B579804/A</v>
          </cell>
          <cell r="D2047" t="str">
            <v>CZ886F188</v>
          </cell>
          <cell r="E2047">
            <v>3</v>
          </cell>
        </row>
        <row r="2048">
          <cell r="C2048" t="str">
            <v>B579808/A</v>
          </cell>
          <cell r="D2048" t="str">
            <v>CZ886F196</v>
          </cell>
          <cell r="E2048">
            <v>4</v>
          </cell>
        </row>
        <row r="2049">
          <cell r="C2049" t="str">
            <v>B579809/A</v>
          </cell>
          <cell r="D2049" t="str">
            <v>CZ886F196</v>
          </cell>
          <cell r="E2049">
            <v>5</v>
          </cell>
        </row>
        <row r="2050">
          <cell r="C2050" t="str">
            <v>B579812/A</v>
          </cell>
          <cell r="D2050" t="str">
            <v>CZ886F409</v>
          </cell>
          <cell r="E2050">
            <v>5</v>
          </cell>
        </row>
        <row r="2051">
          <cell r="C2051" t="str">
            <v>B579813/A</v>
          </cell>
          <cell r="D2051" t="str">
            <v>CZ886F409</v>
          </cell>
          <cell r="E2051">
            <v>6</v>
          </cell>
        </row>
        <row r="2052">
          <cell r="C2052" t="str">
            <v>B579816/A</v>
          </cell>
          <cell r="D2052" t="str">
            <v>CZ888F188</v>
          </cell>
          <cell r="E2052">
            <v>2</v>
          </cell>
        </row>
        <row r="2053">
          <cell r="C2053" t="str">
            <v>B579817/A</v>
          </cell>
          <cell r="D2053" t="str">
            <v>CZ888F188</v>
          </cell>
          <cell r="E2053">
            <v>2</v>
          </cell>
        </row>
        <row r="2054">
          <cell r="C2054" t="str">
            <v>B579820/A</v>
          </cell>
          <cell r="D2054" t="str">
            <v>CZ888F196</v>
          </cell>
          <cell r="E2054">
            <v>2</v>
          </cell>
        </row>
        <row r="2055">
          <cell r="C2055" t="str">
            <v>B579821/A</v>
          </cell>
          <cell r="D2055" t="str">
            <v>CZ888F196</v>
          </cell>
          <cell r="E2055">
            <v>5</v>
          </cell>
        </row>
        <row r="2056">
          <cell r="C2056" t="str">
            <v>B579824/A</v>
          </cell>
          <cell r="D2056" t="str">
            <v>CZ888F381</v>
          </cell>
          <cell r="E2056">
            <v>2</v>
          </cell>
        </row>
        <row r="2057">
          <cell r="C2057" t="str">
            <v>B579825/A</v>
          </cell>
          <cell r="D2057" t="str">
            <v>CZ888F381</v>
          </cell>
          <cell r="E2057">
            <v>2</v>
          </cell>
        </row>
        <row r="2058">
          <cell r="C2058" t="str">
            <v>B579828/A</v>
          </cell>
          <cell r="D2058" t="str">
            <v>CZ888F409</v>
          </cell>
          <cell r="E2058">
            <v>3</v>
          </cell>
        </row>
        <row r="2059">
          <cell r="C2059" t="str">
            <v>B579829/A</v>
          </cell>
          <cell r="D2059" t="str">
            <v>CZ888F409</v>
          </cell>
          <cell r="E2059">
            <v>2</v>
          </cell>
        </row>
        <row r="2060">
          <cell r="C2060" t="str">
            <v>B579582/A</v>
          </cell>
          <cell r="D2060" t="str">
            <v>CZ889F188</v>
          </cell>
          <cell r="E2060">
            <v>19</v>
          </cell>
        </row>
        <row r="2061">
          <cell r="C2061" t="str">
            <v>B579585/A</v>
          </cell>
          <cell r="D2061" t="str">
            <v>CZ889F196</v>
          </cell>
          <cell r="E2061">
            <v>7</v>
          </cell>
        </row>
        <row r="2062">
          <cell r="C2062" t="str">
            <v>B579586/A</v>
          </cell>
          <cell r="D2062" t="str">
            <v>CZ889F196</v>
          </cell>
          <cell r="E2062">
            <v>9</v>
          </cell>
        </row>
        <row r="2063">
          <cell r="C2063" t="str">
            <v>B579589/A</v>
          </cell>
          <cell r="D2063" t="str">
            <v>CZ889F381</v>
          </cell>
          <cell r="E2063">
            <v>6</v>
          </cell>
        </row>
        <row r="2064">
          <cell r="C2064" t="str">
            <v>B579590/A</v>
          </cell>
          <cell r="D2064" t="str">
            <v>CZ889F381</v>
          </cell>
          <cell r="E2064">
            <v>9</v>
          </cell>
        </row>
        <row r="2065">
          <cell r="C2065" t="str">
            <v>B579593/A</v>
          </cell>
          <cell r="D2065" t="str">
            <v>CZ889F409</v>
          </cell>
          <cell r="E2065">
            <v>7</v>
          </cell>
        </row>
        <row r="2066">
          <cell r="C2066" t="str">
            <v>B579594/A</v>
          </cell>
          <cell r="D2066" t="str">
            <v>CZ889F409</v>
          </cell>
          <cell r="E2066">
            <v>9</v>
          </cell>
        </row>
        <row r="2067">
          <cell r="C2067" t="str">
            <v>B579597/A</v>
          </cell>
          <cell r="D2067" t="str">
            <v>CZ890F196</v>
          </cell>
          <cell r="E2067">
            <v>8</v>
          </cell>
        </row>
        <row r="2068">
          <cell r="C2068" t="str">
            <v>B579598/A</v>
          </cell>
          <cell r="D2068" t="str">
            <v>CZ890F196</v>
          </cell>
          <cell r="E2068">
            <v>9</v>
          </cell>
        </row>
        <row r="2069">
          <cell r="C2069" t="str">
            <v>B579602/A</v>
          </cell>
          <cell r="D2069" t="str">
            <v>CZ890F381</v>
          </cell>
          <cell r="E2069">
            <v>4</v>
          </cell>
        </row>
        <row r="2070">
          <cell r="C2070" t="str">
            <v>B579603/A</v>
          </cell>
          <cell r="D2070" t="str">
            <v>CZ890F381</v>
          </cell>
          <cell r="E2070">
            <v>2</v>
          </cell>
        </row>
        <row r="2071">
          <cell r="C2071" t="str">
            <v>B579611/A</v>
          </cell>
          <cell r="D2071" t="str">
            <v>CZ890F409</v>
          </cell>
          <cell r="E2071">
            <v>5</v>
          </cell>
        </row>
        <row r="2072">
          <cell r="C2072" t="str">
            <v>B579610/A</v>
          </cell>
          <cell r="D2072" t="str">
            <v>CZ890F409</v>
          </cell>
          <cell r="E2072">
            <v>7</v>
          </cell>
        </row>
        <row r="2073">
          <cell r="C2073" t="str">
            <v>B579606/A</v>
          </cell>
          <cell r="D2073" t="str">
            <v>CZ891F188</v>
          </cell>
          <cell r="E2073">
            <v>7</v>
          </cell>
        </row>
        <row r="2074">
          <cell r="C2074" t="str">
            <v>B579607/A</v>
          </cell>
          <cell r="D2074" t="str">
            <v>CZ891F188</v>
          </cell>
          <cell r="E2074">
            <v>5</v>
          </cell>
        </row>
        <row r="2075">
          <cell r="C2075" t="str">
            <v>B579616/A</v>
          </cell>
          <cell r="D2075" t="str">
            <v>CZ891F196</v>
          </cell>
          <cell r="E2075">
            <v>4</v>
          </cell>
        </row>
        <row r="2076">
          <cell r="C2076" t="str">
            <v>B579617/A</v>
          </cell>
          <cell r="D2076" t="str">
            <v>CZ891F196</v>
          </cell>
          <cell r="E2076">
            <v>2</v>
          </cell>
        </row>
        <row r="2077">
          <cell r="C2077" t="str">
            <v>B579618/A</v>
          </cell>
          <cell r="D2077" t="str">
            <v>CZ891F196</v>
          </cell>
          <cell r="E2077">
            <v>3</v>
          </cell>
        </row>
        <row r="2078">
          <cell r="C2078" t="str">
            <v>B579619/A</v>
          </cell>
          <cell r="D2078" t="str">
            <v>CZ891F196</v>
          </cell>
          <cell r="E2078">
            <v>1</v>
          </cell>
        </row>
        <row r="2079">
          <cell r="C2079" t="str">
            <v>B579621/A</v>
          </cell>
          <cell r="D2079" t="str">
            <v>CZ891F381</v>
          </cell>
          <cell r="E2079">
            <v>1</v>
          </cell>
        </row>
        <row r="2080">
          <cell r="C2080" t="str">
            <v>B579626/A</v>
          </cell>
          <cell r="D2080" t="str">
            <v>CZ893F188</v>
          </cell>
          <cell r="E2080">
            <v>5</v>
          </cell>
        </row>
        <row r="2081">
          <cell r="C2081" t="str">
            <v>B579627/A</v>
          </cell>
          <cell r="D2081" t="str">
            <v>CZ893F188</v>
          </cell>
          <cell r="E2081">
            <v>2</v>
          </cell>
        </row>
        <row r="2082">
          <cell r="C2082" t="str">
            <v>B579628/A</v>
          </cell>
          <cell r="D2082" t="str">
            <v>CZ893F188</v>
          </cell>
          <cell r="E2082">
            <v>2</v>
          </cell>
        </row>
        <row r="2083">
          <cell r="C2083" t="str">
            <v>B579629/A</v>
          </cell>
          <cell r="D2083" t="str">
            <v>CZ893F188</v>
          </cell>
          <cell r="E2083">
            <v>6</v>
          </cell>
        </row>
        <row r="2084">
          <cell r="C2084" t="str">
            <v>B579634/A</v>
          </cell>
          <cell r="D2084" t="str">
            <v>CZ893F409</v>
          </cell>
          <cell r="E2084">
            <v>3</v>
          </cell>
        </row>
        <row r="2085">
          <cell r="C2085" t="str">
            <v>B579635/A</v>
          </cell>
          <cell r="D2085" t="str">
            <v>CZ893F409</v>
          </cell>
          <cell r="E2085">
            <v>1</v>
          </cell>
        </row>
        <row r="2086">
          <cell r="C2086" t="str">
            <v>B579636/A</v>
          </cell>
          <cell r="D2086" t="str">
            <v>CZ893F409</v>
          </cell>
          <cell r="E2086">
            <v>1</v>
          </cell>
        </row>
        <row r="2087">
          <cell r="C2087" t="str">
            <v>B579637/A</v>
          </cell>
          <cell r="D2087" t="str">
            <v>CZ893F409</v>
          </cell>
          <cell r="E2087">
            <v>4</v>
          </cell>
        </row>
        <row r="2088">
          <cell r="C2088" t="str">
            <v>B579545/A</v>
          </cell>
          <cell r="D2088" t="str">
            <v>CZ894F188</v>
          </cell>
          <cell r="E2088">
            <v>8</v>
          </cell>
        </row>
        <row r="2089">
          <cell r="C2089" t="str">
            <v>B579549/A</v>
          </cell>
          <cell r="D2089" t="str">
            <v>CZ894F196</v>
          </cell>
          <cell r="E2089">
            <v>10</v>
          </cell>
        </row>
        <row r="2090">
          <cell r="C2090" t="str">
            <v>B579550/A</v>
          </cell>
          <cell r="D2090" t="str">
            <v>CZ894F196</v>
          </cell>
          <cell r="E2090">
            <v>3</v>
          </cell>
        </row>
        <row r="2091">
          <cell r="C2091" t="str">
            <v>B579551/A</v>
          </cell>
          <cell r="D2091" t="str">
            <v>CZ894F196</v>
          </cell>
          <cell r="E2091">
            <v>9</v>
          </cell>
        </row>
        <row r="2092">
          <cell r="C2092" t="str">
            <v>B579557/A</v>
          </cell>
          <cell r="D2092" t="str">
            <v>CZ894F381</v>
          </cell>
          <cell r="E2092">
            <v>10</v>
          </cell>
        </row>
        <row r="2093">
          <cell r="C2093" t="str">
            <v>B579558/A</v>
          </cell>
          <cell r="D2093" t="str">
            <v>CZ894F381</v>
          </cell>
          <cell r="E2093">
            <v>4</v>
          </cell>
        </row>
        <row r="2094">
          <cell r="C2094" t="str">
            <v>B579562/A</v>
          </cell>
          <cell r="D2094" t="str">
            <v>CZ894F409</v>
          </cell>
          <cell r="E2094">
            <v>4</v>
          </cell>
        </row>
        <row r="2095">
          <cell r="C2095" t="str">
            <v>B579642/A</v>
          </cell>
          <cell r="D2095" t="str">
            <v>CZ895F188</v>
          </cell>
          <cell r="E2095">
            <v>17</v>
          </cell>
        </row>
        <row r="2096">
          <cell r="C2096" t="str">
            <v>B579643/A</v>
          </cell>
          <cell r="D2096" t="str">
            <v>CZ895F188</v>
          </cell>
          <cell r="E2096">
            <v>4</v>
          </cell>
        </row>
        <row r="2097">
          <cell r="C2097" t="str">
            <v>B579644/A</v>
          </cell>
          <cell r="D2097" t="str">
            <v>CZ895F188</v>
          </cell>
          <cell r="E2097">
            <v>9</v>
          </cell>
        </row>
        <row r="2098">
          <cell r="C2098" t="str">
            <v>B579645/A</v>
          </cell>
          <cell r="D2098" t="str">
            <v>CZ895F188</v>
          </cell>
          <cell r="E2098">
            <v>5</v>
          </cell>
        </row>
        <row r="2099">
          <cell r="C2099" t="str">
            <v>B579647/A</v>
          </cell>
          <cell r="D2099" t="str">
            <v>CZ895F381</v>
          </cell>
          <cell r="E2099">
            <v>2</v>
          </cell>
        </row>
        <row r="2100">
          <cell r="C2100" t="str">
            <v>B579650/A</v>
          </cell>
          <cell r="D2100" t="str">
            <v>CZ895F409</v>
          </cell>
          <cell r="E2100">
            <v>3</v>
          </cell>
        </row>
        <row r="2101">
          <cell r="C2101" t="str">
            <v>B579651/A</v>
          </cell>
          <cell r="D2101" t="str">
            <v>CZ895F409</v>
          </cell>
          <cell r="E2101">
            <v>11</v>
          </cell>
        </row>
        <row r="2102">
          <cell r="C2102" t="str">
            <v>B579652/A</v>
          </cell>
          <cell r="D2102" t="str">
            <v>CZ895F409</v>
          </cell>
          <cell r="E2102">
            <v>5</v>
          </cell>
        </row>
        <row r="2103">
          <cell r="C2103" t="str">
            <v>B579831/A</v>
          </cell>
          <cell r="D2103" t="str">
            <v>CZ898NF196</v>
          </cell>
          <cell r="E2103">
            <v>3</v>
          </cell>
        </row>
        <row r="2104">
          <cell r="C2104" t="str">
            <v>B579834/A</v>
          </cell>
          <cell r="D2104" t="str">
            <v>CZ898NF409</v>
          </cell>
          <cell r="E2104">
            <v>4</v>
          </cell>
        </row>
        <row r="2105">
          <cell r="C2105" t="str">
            <v>B579835/A</v>
          </cell>
          <cell r="D2105" t="str">
            <v>CZ898NF409</v>
          </cell>
          <cell r="E2105">
            <v>8</v>
          </cell>
        </row>
        <row r="2106">
          <cell r="C2106" t="str">
            <v>B579869/A</v>
          </cell>
          <cell r="D2106" t="str">
            <v>DL016WF836</v>
          </cell>
          <cell r="E2106">
            <v>24</v>
          </cell>
        </row>
        <row r="2107">
          <cell r="C2107" t="str">
            <v>B579574/A</v>
          </cell>
          <cell r="D2107" t="str">
            <v>HS5167F1170</v>
          </cell>
          <cell r="E2107">
            <v>3</v>
          </cell>
        </row>
        <row r="2108">
          <cell r="C2108" t="str">
            <v>B579874/A</v>
          </cell>
          <cell r="D2108" t="str">
            <v>JV014F837</v>
          </cell>
          <cell r="E2108">
            <v>19</v>
          </cell>
        </row>
        <row r="2109">
          <cell r="C2109" t="str">
            <v>B579872/A</v>
          </cell>
          <cell r="D2109" t="str">
            <v>JV034F1165</v>
          </cell>
          <cell r="E2109">
            <v>30</v>
          </cell>
        </row>
        <row r="2110">
          <cell r="C2110" t="str">
            <v>B579655/A</v>
          </cell>
          <cell r="D2110" t="str">
            <v>JV044AF1202</v>
          </cell>
          <cell r="E2110">
            <v>19</v>
          </cell>
        </row>
        <row r="2111">
          <cell r="C2111" t="str">
            <v>B579564/A</v>
          </cell>
          <cell r="D2111" t="str">
            <v>JV045F1121</v>
          </cell>
          <cell r="E2111">
            <v>25</v>
          </cell>
        </row>
        <row r="2112">
          <cell r="C2112" t="str">
            <v>B579566/A</v>
          </cell>
          <cell r="D2112" t="str">
            <v>JV045F1164</v>
          </cell>
          <cell r="E2112">
            <v>30</v>
          </cell>
        </row>
        <row r="2113">
          <cell r="C2113" t="str">
            <v>B579657/A</v>
          </cell>
          <cell r="D2113" t="str">
            <v>MN5803N</v>
          </cell>
          <cell r="E2113">
            <v>30</v>
          </cell>
        </row>
        <row r="2114">
          <cell r="C2114" t="str">
            <v>B579659/A</v>
          </cell>
          <cell r="D2114" t="str">
            <v>MN5880NF1010</v>
          </cell>
          <cell r="E2114">
            <v>25</v>
          </cell>
        </row>
        <row r="2115">
          <cell r="C2115" t="str">
            <v>B579661/A</v>
          </cell>
          <cell r="D2115" t="str">
            <v>RH1653NF40.BC</v>
          </cell>
          <cell r="E2115">
            <v>11</v>
          </cell>
        </row>
        <row r="2116">
          <cell r="C2116" t="str">
            <v>B579663/A</v>
          </cell>
          <cell r="D2116" t="str">
            <v>RH1653NF40.BC</v>
          </cell>
          <cell r="E2116">
            <v>12</v>
          </cell>
        </row>
        <row r="2117">
          <cell r="C2117" t="str">
            <v>B579667/A</v>
          </cell>
          <cell r="D2117" t="str">
            <v>RH1740F40.BC</v>
          </cell>
          <cell r="E2117">
            <v>10</v>
          </cell>
        </row>
        <row r="2118">
          <cell r="C2118" t="str">
            <v>B579668/A</v>
          </cell>
          <cell r="D2118" t="str">
            <v>RH1740F40.BC</v>
          </cell>
          <cell r="E2118">
            <v>10</v>
          </cell>
        </row>
        <row r="2119">
          <cell r="C2119" t="str">
            <v>B579672/A</v>
          </cell>
          <cell r="D2119" t="str">
            <v>RH1745F96.BC</v>
          </cell>
          <cell r="E2119">
            <v>10</v>
          </cell>
        </row>
        <row r="2120">
          <cell r="C2120" t="str">
            <v>B579671/A</v>
          </cell>
          <cell r="D2120" t="str">
            <v>RH1745F96.BC</v>
          </cell>
          <cell r="E2120">
            <v>10</v>
          </cell>
        </row>
        <row r="2121">
          <cell r="C2121" t="str">
            <v>B579675/A</v>
          </cell>
          <cell r="D2121" t="str">
            <v>RH2074F95</v>
          </cell>
          <cell r="E2121">
            <v>12</v>
          </cell>
        </row>
        <row r="2122">
          <cell r="C2122" t="str">
            <v>B579676/A</v>
          </cell>
          <cell r="D2122" t="str">
            <v>RH2074F95</v>
          </cell>
          <cell r="E2122">
            <v>12</v>
          </cell>
        </row>
        <row r="2123">
          <cell r="C2123" t="str">
            <v>B579877/A</v>
          </cell>
          <cell r="D2123" t="str">
            <v>RH2667F01-BASE</v>
          </cell>
          <cell r="E2123">
            <v>6</v>
          </cell>
        </row>
        <row r="2124">
          <cell r="C2124" t="str">
            <v>B579878/A</v>
          </cell>
          <cell r="D2124" t="str">
            <v>RH2667F01-BASE</v>
          </cell>
          <cell r="E2124">
            <v>3</v>
          </cell>
        </row>
        <row r="2125">
          <cell r="C2125" t="str">
            <v>B579880/A</v>
          </cell>
          <cell r="D2125" t="str">
            <v>RH2667F02-BASE</v>
          </cell>
          <cell r="E2125">
            <v>6</v>
          </cell>
        </row>
        <row r="2126">
          <cell r="C2126" t="str">
            <v>B579679/A</v>
          </cell>
          <cell r="D2126" t="str">
            <v>RH2691F190</v>
          </cell>
          <cell r="E2126">
            <v>2</v>
          </cell>
        </row>
        <row r="2127">
          <cell r="C2127" t="str">
            <v>B579680/A</v>
          </cell>
          <cell r="D2127" t="str">
            <v>RH2691F190</v>
          </cell>
          <cell r="E2127">
            <v>5</v>
          </cell>
        </row>
        <row r="2128">
          <cell r="C2128" t="str">
            <v>B579683/A</v>
          </cell>
          <cell r="D2128" t="str">
            <v>RH2691F191</v>
          </cell>
          <cell r="E2128">
            <v>3</v>
          </cell>
        </row>
        <row r="2129">
          <cell r="C2129" t="str">
            <v>B579684/A</v>
          </cell>
          <cell r="D2129" t="str">
            <v>RH2691F191</v>
          </cell>
          <cell r="E2129">
            <v>10</v>
          </cell>
        </row>
        <row r="2130">
          <cell r="C2130" t="str">
            <v>B579687/A</v>
          </cell>
          <cell r="D2130" t="str">
            <v>RH3567AF152.BC</v>
          </cell>
          <cell r="E2130">
            <v>7</v>
          </cell>
        </row>
        <row r="2131">
          <cell r="C2131" t="str">
            <v>B579688/A</v>
          </cell>
          <cell r="D2131" t="str">
            <v>RH3567AF152.BC</v>
          </cell>
          <cell r="E2131">
            <v>8</v>
          </cell>
        </row>
        <row r="2132">
          <cell r="C2132" t="str">
            <v>B579889/A</v>
          </cell>
          <cell r="D2132" t="str">
            <v>RH5492F95</v>
          </cell>
          <cell r="E2132">
            <v>7</v>
          </cell>
        </row>
        <row r="2133">
          <cell r="C2133" t="str">
            <v>B579890/A</v>
          </cell>
          <cell r="D2133" t="str">
            <v>RH5492F95</v>
          </cell>
          <cell r="E2133">
            <v>8</v>
          </cell>
        </row>
        <row r="2134">
          <cell r="C2134" t="str">
            <v>B579690/A</v>
          </cell>
          <cell r="D2134" t="str">
            <v>RH5795F246TR</v>
          </cell>
          <cell r="E2134">
            <v>25</v>
          </cell>
        </row>
        <row r="2135">
          <cell r="C2135" t="str">
            <v>B579893/A</v>
          </cell>
          <cell r="D2135" t="str">
            <v>RH7148F382</v>
          </cell>
          <cell r="E2135">
            <v>1</v>
          </cell>
        </row>
        <row r="2136">
          <cell r="C2136" t="str">
            <v>B579894/A</v>
          </cell>
          <cell r="D2136" t="str">
            <v>RH7148F382</v>
          </cell>
          <cell r="E2136">
            <v>7</v>
          </cell>
        </row>
        <row r="2137">
          <cell r="C2137" t="str">
            <v>B579896/A</v>
          </cell>
          <cell r="D2137" t="str">
            <v>RH7148F383</v>
          </cell>
          <cell r="E2137">
            <v>2</v>
          </cell>
        </row>
        <row r="2138">
          <cell r="C2138" t="str">
            <v>B579898/A</v>
          </cell>
          <cell r="D2138" t="str">
            <v>RH7363NF382</v>
          </cell>
          <cell r="E2138">
            <v>5</v>
          </cell>
        </row>
        <row r="2139">
          <cell r="C2139" t="str">
            <v>B579900/A</v>
          </cell>
          <cell r="D2139" t="str">
            <v>RH7367F409</v>
          </cell>
          <cell r="E2139">
            <v>5</v>
          </cell>
        </row>
        <row r="2140">
          <cell r="C2140" t="str">
            <v>B579693/A</v>
          </cell>
          <cell r="D2140" t="str">
            <v>RH7371F381</v>
          </cell>
          <cell r="E2140">
            <v>17</v>
          </cell>
        </row>
        <row r="2141">
          <cell r="C2141" t="str">
            <v>B579694/A</v>
          </cell>
          <cell r="D2141" t="str">
            <v>RH7371F381</v>
          </cell>
          <cell r="E2141">
            <v>7</v>
          </cell>
        </row>
        <row r="2142">
          <cell r="C2142" t="str">
            <v>B579696/A</v>
          </cell>
          <cell r="D2142" t="str">
            <v>RH7371F383</v>
          </cell>
          <cell r="E2142">
            <v>1</v>
          </cell>
        </row>
        <row r="2143">
          <cell r="C2143" t="str">
            <v>B579701/A</v>
          </cell>
          <cell r="D2143" t="str">
            <v>RH7371F409</v>
          </cell>
          <cell r="E2143">
            <v>3</v>
          </cell>
        </row>
        <row r="2144">
          <cell r="C2144" t="str">
            <v>B579702/A</v>
          </cell>
          <cell r="D2144" t="str">
            <v>RH7371F409</v>
          </cell>
          <cell r="E2144">
            <v>6</v>
          </cell>
        </row>
        <row r="2145">
          <cell r="C2145" t="str">
            <v>B579703/A</v>
          </cell>
          <cell r="D2145" t="str">
            <v>RH7371F409</v>
          </cell>
          <cell r="E2145">
            <v>6</v>
          </cell>
        </row>
        <row r="2146">
          <cell r="C2146" t="str">
            <v>B579704/A</v>
          </cell>
          <cell r="D2146" t="str">
            <v>RH7371F409</v>
          </cell>
          <cell r="E2146">
            <v>8</v>
          </cell>
        </row>
        <row r="2147">
          <cell r="C2147" t="str">
            <v>B579707/A</v>
          </cell>
          <cell r="D2147" t="str">
            <v>RH7374F383</v>
          </cell>
          <cell r="E2147">
            <v>4</v>
          </cell>
        </row>
        <row r="2148">
          <cell r="C2148" t="str">
            <v>B579708/A</v>
          </cell>
          <cell r="D2148" t="str">
            <v>RH7374F383</v>
          </cell>
          <cell r="E2148">
            <v>3</v>
          </cell>
        </row>
        <row r="2149">
          <cell r="C2149" t="str">
            <v>B579710/A</v>
          </cell>
          <cell r="D2149" t="str">
            <v>RH7375F381</v>
          </cell>
          <cell r="E2149">
            <v>3</v>
          </cell>
        </row>
        <row r="2150">
          <cell r="C2150" t="str">
            <v>B579713/A</v>
          </cell>
          <cell r="D2150" t="str">
            <v>RH7375F383</v>
          </cell>
          <cell r="E2150">
            <v>2</v>
          </cell>
        </row>
        <row r="2151">
          <cell r="C2151" t="str">
            <v>B579714/A</v>
          </cell>
          <cell r="D2151" t="str">
            <v>RH7375F383</v>
          </cell>
          <cell r="E2151">
            <v>5</v>
          </cell>
        </row>
        <row r="2152">
          <cell r="C2152" t="str">
            <v>B579903/A</v>
          </cell>
          <cell r="D2152" t="str">
            <v>RH7376F381</v>
          </cell>
          <cell r="E2152">
            <v>1</v>
          </cell>
        </row>
        <row r="2153">
          <cell r="C2153" t="str">
            <v>B579904/A</v>
          </cell>
          <cell r="D2153" t="str">
            <v>RH7376F381</v>
          </cell>
          <cell r="E2153">
            <v>4</v>
          </cell>
        </row>
        <row r="2154">
          <cell r="C2154" t="str">
            <v>B579717/A</v>
          </cell>
          <cell r="D2154" t="str">
            <v>RH7388F383</v>
          </cell>
          <cell r="E2154">
            <v>1</v>
          </cell>
        </row>
        <row r="2155">
          <cell r="C2155" t="str">
            <v>B579718/A</v>
          </cell>
          <cell r="D2155" t="str">
            <v>RH7388F383</v>
          </cell>
          <cell r="E2155">
            <v>4</v>
          </cell>
        </row>
        <row r="2156">
          <cell r="C2156" t="str">
            <v>B579721/A</v>
          </cell>
          <cell r="D2156" t="str">
            <v>RH7476F381</v>
          </cell>
          <cell r="E2156">
            <v>2</v>
          </cell>
        </row>
        <row r="2157">
          <cell r="C2157" t="str">
            <v>B579722/A</v>
          </cell>
          <cell r="D2157" t="str">
            <v>RH7476F381</v>
          </cell>
          <cell r="E2157">
            <v>3</v>
          </cell>
        </row>
        <row r="2158">
          <cell r="C2158" t="str">
            <v>B579725/A</v>
          </cell>
          <cell r="D2158" t="str">
            <v>RH7476F383</v>
          </cell>
          <cell r="E2158">
            <v>3</v>
          </cell>
        </row>
        <row r="2159">
          <cell r="C2159" t="str">
            <v>B579726/A</v>
          </cell>
          <cell r="D2159" t="str">
            <v>RH7476F383</v>
          </cell>
          <cell r="E2159">
            <v>2</v>
          </cell>
        </row>
        <row r="2160">
          <cell r="C2160" t="str">
            <v>B579729/A</v>
          </cell>
          <cell r="D2160" t="str">
            <v>RH7479F382</v>
          </cell>
          <cell r="E2160">
            <v>4</v>
          </cell>
        </row>
        <row r="2161">
          <cell r="C2161" t="str">
            <v>B579730/A</v>
          </cell>
          <cell r="D2161" t="str">
            <v>RH7479F382</v>
          </cell>
          <cell r="E2161">
            <v>6</v>
          </cell>
        </row>
        <row r="2162">
          <cell r="C2162" t="str">
            <v>B579906/A</v>
          </cell>
          <cell r="D2162" t="str">
            <v>RH7481NF381</v>
          </cell>
          <cell r="E2162">
            <v>1</v>
          </cell>
        </row>
        <row r="2163">
          <cell r="C2163" t="str">
            <v>B579917/A</v>
          </cell>
          <cell r="D2163" t="str">
            <v>RH7481NF409</v>
          </cell>
          <cell r="E2163">
            <v>6</v>
          </cell>
        </row>
        <row r="2164">
          <cell r="C2164" t="str">
            <v>B579908/A</v>
          </cell>
          <cell r="D2164" t="str">
            <v>RH7481NF409</v>
          </cell>
          <cell r="E2164">
            <v>2</v>
          </cell>
        </row>
        <row r="2165">
          <cell r="C2165" t="str">
            <v>B579912/A</v>
          </cell>
          <cell r="D2165" t="str">
            <v>RH9285F402</v>
          </cell>
          <cell r="E2165">
            <v>5</v>
          </cell>
        </row>
        <row r="2166">
          <cell r="C2166" t="str">
            <v>B579913/A</v>
          </cell>
          <cell r="D2166" t="str">
            <v>RH9285F402</v>
          </cell>
          <cell r="E2166">
            <v>4</v>
          </cell>
        </row>
        <row r="2167">
          <cell r="C2167" t="str">
            <v>B579915/A</v>
          </cell>
          <cell r="D2167" t="str">
            <v>RH9285F403</v>
          </cell>
          <cell r="E2167">
            <v>1</v>
          </cell>
        </row>
        <row r="2168">
          <cell r="C2168" t="str">
            <v>B579920/A</v>
          </cell>
          <cell r="D2168" t="str">
            <v>RH9338F423</v>
          </cell>
          <cell r="E2168">
            <v>4</v>
          </cell>
        </row>
        <row r="2169">
          <cell r="C2169" t="str">
            <v>B579925/A</v>
          </cell>
          <cell r="D2169" t="str">
            <v>RH9338F424</v>
          </cell>
          <cell r="E2169">
            <v>1</v>
          </cell>
        </row>
        <row r="2170">
          <cell r="C2170" t="str">
            <v>B579926/A</v>
          </cell>
          <cell r="D2170" t="str">
            <v>RH9338F424</v>
          </cell>
          <cell r="E2170">
            <v>2</v>
          </cell>
        </row>
        <row r="2171">
          <cell r="C2171" t="str">
            <v>B579927/A</v>
          </cell>
          <cell r="D2171" t="str">
            <v>RH9338F424</v>
          </cell>
          <cell r="E2171">
            <v>2</v>
          </cell>
        </row>
        <row r="2172">
          <cell r="C2172" t="str">
            <v>B579928/A</v>
          </cell>
          <cell r="D2172" t="str">
            <v>RH9338F424</v>
          </cell>
          <cell r="E2172">
            <v>4</v>
          </cell>
        </row>
        <row r="2173">
          <cell r="C2173" t="str">
            <v>B579930/A</v>
          </cell>
          <cell r="D2173" t="str">
            <v>RH9338F425</v>
          </cell>
          <cell r="E2173">
            <v>2</v>
          </cell>
        </row>
        <row r="2174">
          <cell r="C2174" t="str">
            <v>B579934/A</v>
          </cell>
          <cell r="D2174" t="str">
            <v>RH9457NF423</v>
          </cell>
          <cell r="E2174">
            <v>3</v>
          </cell>
        </row>
        <row r="2175">
          <cell r="C2175" t="str">
            <v>B579935/A</v>
          </cell>
          <cell r="D2175" t="str">
            <v>RH9457NF423</v>
          </cell>
          <cell r="E2175">
            <v>2</v>
          </cell>
        </row>
        <row r="2176">
          <cell r="C2176" t="str">
            <v>B579938/A</v>
          </cell>
          <cell r="D2176" t="str">
            <v>RH9457NF424</v>
          </cell>
          <cell r="E2176">
            <v>2</v>
          </cell>
        </row>
        <row r="2177">
          <cell r="C2177" t="str">
            <v>B579939/A</v>
          </cell>
          <cell r="D2177" t="str">
            <v>RH9457NF424</v>
          </cell>
          <cell r="E2177">
            <v>1</v>
          </cell>
        </row>
        <row r="2178">
          <cell r="C2178" t="str">
            <v>B579941/A</v>
          </cell>
          <cell r="D2178" t="str">
            <v>RH9457NF425</v>
          </cell>
          <cell r="E2178">
            <v>1</v>
          </cell>
        </row>
        <row r="2179">
          <cell r="C2179" t="str">
            <v>B579943/A</v>
          </cell>
          <cell r="D2179" t="str">
            <v>RH9457NF426</v>
          </cell>
          <cell r="E2179">
            <v>1</v>
          </cell>
        </row>
        <row r="2180">
          <cell r="C2180" t="str">
            <v>B579946/A</v>
          </cell>
          <cell r="D2180" t="str">
            <v>RH9859F423</v>
          </cell>
          <cell r="E2180">
            <v>1</v>
          </cell>
        </row>
        <row r="2181">
          <cell r="C2181" t="str">
            <v>B579947/A</v>
          </cell>
          <cell r="D2181" t="str">
            <v>RH9859F423</v>
          </cell>
          <cell r="E2181">
            <v>1</v>
          </cell>
        </row>
        <row r="2182">
          <cell r="C2182" t="str">
            <v>B579952/A</v>
          </cell>
          <cell r="D2182" t="str">
            <v>RH9859F424</v>
          </cell>
          <cell r="E2182">
            <v>3</v>
          </cell>
        </row>
        <row r="2183">
          <cell r="C2183" t="str">
            <v>B579953/A</v>
          </cell>
          <cell r="D2183" t="str">
            <v>RH9859F424</v>
          </cell>
          <cell r="E2183">
            <v>1</v>
          </cell>
        </row>
        <row r="2184">
          <cell r="C2184" t="str">
            <v>B579954/A</v>
          </cell>
          <cell r="D2184" t="str">
            <v>RH9859F424</v>
          </cell>
          <cell r="E2184">
            <v>1</v>
          </cell>
        </row>
        <row r="2185">
          <cell r="C2185" t="str">
            <v>B579955/A</v>
          </cell>
          <cell r="D2185" t="str">
            <v>RH9859F424</v>
          </cell>
          <cell r="E2185">
            <v>2</v>
          </cell>
        </row>
        <row r="2186">
          <cell r="C2186" t="str">
            <v>B579960/A</v>
          </cell>
          <cell r="D2186" t="str">
            <v>RH9859F425</v>
          </cell>
          <cell r="E2186">
            <v>2</v>
          </cell>
        </row>
        <row r="2187">
          <cell r="C2187" t="str">
            <v>B579961/A</v>
          </cell>
          <cell r="D2187" t="str">
            <v>RH9859F425</v>
          </cell>
          <cell r="E2187">
            <v>1</v>
          </cell>
        </row>
        <row r="2188">
          <cell r="C2188" t="str">
            <v>B579962/A</v>
          </cell>
          <cell r="D2188" t="str">
            <v>RH9859F425</v>
          </cell>
          <cell r="E2188">
            <v>1</v>
          </cell>
        </row>
        <row r="2189">
          <cell r="C2189" t="str">
            <v>B579963/A</v>
          </cell>
          <cell r="D2189" t="str">
            <v>RH9859F425</v>
          </cell>
          <cell r="E2189">
            <v>2</v>
          </cell>
        </row>
        <row r="2190">
          <cell r="C2190" t="str">
            <v>B579966/A</v>
          </cell>
          <cell r="D2190" t="str">
            <v>RH9859F426</v>
          </cell>
          <cell r="E2190">
            <v>1</v>
          </cell>
        </row>
        <row r="2191">
          <cell r="C2191" t="str">
            <v>B579967/A</v>
          </cell>
          <cell r="D2191" t="str">
            <v>RH9859F426</v>
          </cell>
          <cell r="E2191">
            <v>1</v>
          </cell>
        </row>
        <row r="2192">
          <cell r="C2192" t="str">
            <v>B579733/A</v>
          </cell>
          <cell r="D2192" t="str">
            <v>RH9862F425</v>
          </cell>
          <cell r="E2192">
            <v>8</v>
          </cell>
        </row>
        <row r="2193">
          <cell r="C2193" t="str">
            <v>B579734/A</v>
          </cell>
          <cell r="D2193" t="str">
            <v>RH9862F425</v>
          </cell>
          <cell r="E2193">
            <v>7</v>
          </cell>
        </row>
        <row r="2194">
          <cell r="C2194" t="str">
            <v>B579737/A</v>
          </cell>
          <cell r="D2194" t="str">
            <v>RH9874F423</v>
          </cell>
          <cell r="E2194">
            <v>6</v>
          </cell>
        </row>
        <row r="2195">
          <cell r="C2195" t="str">
            <v>B579738/A</v>
          </cell>
          <cell r="D2195" t="str">
            <v>RH9874F423</v>
          </cell>
          <cell r="E2195">
            <v>6</v>
          </cell>
        </row>
        <row r="2196">
          <cell r="C2196" t="str">
            <v>B579740/A</v>
          </cell>
          <cell r="D2196" t="str">
            <v>RH9874F425</v>
          </cell>
          <cell r="E2196">
            <v>1</v>
          </cell>
        </row>
        <row r="2197">
          <cell r="C2197" t="str">
            <v>B579742/A</v>
          </cell>
          <cell r="D2197" t="str">
            <v>RH9874F426</v>
          </cell>
          <cell r="E2197">
            <v>2</v>
          </cell>
        </row>
        <row r="2198">
          <cell r="C2198" t="str">
            <v>B579970/A</v>
          </cell>
          <cell r="D2198" t="str">
            <v>RH9875F423</v>
          </cell>
          <cell r="E2198">
            <v>2</v>
          </cell>
        </row>
        <row r="2199">
          <cell r="C2199" t="str">
            <v>B579971/A</v>
          </cell>
          <cell r="D2199" t="str">
            <v>RH9875F423</v>
          </cell>
          <cell r="E2199">
            <v>3</v>
          </cell>
        </row>
        <row r="2200">
          <cell r="C2200" t="str">
            <v>B579973/A</v>
          </cell>
          <cell r="D2200" t="str">
            <v>RH9879F423</v>
          </cell>
          <cell r="E2200">
            <v>2</v>
          </cell>
        </row>
        <row r="2201">
          <cell r="C2201" t="str">
            <v>B579976/A</v>
          </cell>
          <cell r="D2201" t="str">
            <v>RH9879F424</v>
          </cell>
          <cell r="E2201">
            <v>2</v>
          </cell>
        </row>
        <row r="2202">
          <cell r="C2202" t="str">
            <v>B579977/A</v>
          </cell>
          <cell r="D2202" t="str">
            <v>RH9879F424</v>
          </cell>
          <cell r="E2202">
            <v>4</v>
          </cell>
        </row>
        <row r="2203">
          <cell r="C2203" t="str">
            <v>B579980/A</v>
          </cell>
          <cell r="D2203" t="str">
            <v>RH9879F425</v>
          </cell>
          <cell r="E2203">
            <v>4</v>
          </cell>
        </row>
        <row r="2204">
          <cell r="C2204" t="str">
            <v>B579981/A</v>
          </cell>
          <cell r="D2204" t="str">
            <v>RH9879F425</v>
          </cell>
          <cell r="E2204">
            <v>3</v>
          </cell>
        </row>
        <row r="2205">
          <cell r="C2205" t="str">
            <v>B579984/A</v>
          </cell>
          <cell r="D2205" t="str">
            <v>RH9883F424</v>
          </cell>
          <cell r="E2205">
            <v>1</v>
          </cell>
        </row>
        <row r="2206">
          <cell r="C2206" t="str">
            <v>B579985/A</v>
          </cell>
          <cell r="D2206" t="str">
            <v>RH9883F424</v>
          </cell>
          <cell r="E2206">
            <v>3</v>
          </cell>
        </row>
        <row r="2207">
          <cell r="C2207" t="str">
            <v>B579987/A</v>
          </cell>
          <cell r="D2207" t="str">
            <v>RH9883F425</v>
          </cell>
          <cell r="E2207">
            <v>3</v>
          </cell>
        </row>
        <row r="2208">
          <cell r="C2208" t="str">
            <v>B579992/A</v>
          </cell>
          <cell r="D2208" t="str">
            <v>RH9883F426</v>
          </cell>
          <cell r="E2208">
            <v>3</v>
          </cell>
        </row>
        <row r="2209">
          <cell r="C2209" t="str">
            <v>B579991/A</v>
          </cell>
          <cell r="D2209" t="str">
            <v>RH9883F426</v>
          </cell>
          <cell r="E2209">
            <v>4</v>
          </cell>
        </row>
        <row r="2210">
          <cell r="C2210" t="str">
            <v>B579993/A</v>
          </cell>
          <cell r="D2210" t="str">
            <v>RH9883F426</v>
          </cell>
          <cell r="E2210">
            <v>1</v>
          </cell>
        </row>
        <row r="2211">
          <cell r="C2211" t="str">
            <v>B579996/A</v>
          </cell>
          <cell r="D2211" t="str">
            <v>RH9889F425</v>
          </cell>
          <cell r="E2211">
            <v>4</v>
          </cell>
        </row>
        <row r="2212">
          <cell r="C2212" t="str">
            <v>B579997/A</v>
          </cell>
          <cell r="D2212" t="str">
            <v>RH9889F425</v>
          </cell>
          <cell r="E2212">
            <v>2</v>
          </cell>
        </row>
        <row r="2213">
          <cell r="C2213" t="str">
            <v>B580000/A</v>
          </cell>
          <cell r="D2213" t="str">
            <v>RH9889F426</v>
          </cell>
          <cell r="E2213">
            <v>2</v>
          </cell>
        </row>
        <row r="2214">
          <cell r="C2214" t="str">
            <v>B580001/A</v>
          </cell>
          <cell r="D2214" t="str">
            <v>RH9889F426</v>
          </cell>
          <cell r="E2214">
            <v>2</v>
          </cell>
        </row>
        <row r="2215">
          <cell r="C2215" t="str">
            <v>B579744/A</v>
          </cell>
          <cell r="D2215" t="str">
            <v>SH195F521-FB</v>
          </cell>
          <cell r="E2215">
            <v>10</v>
          </cell>
        </row>
        <row r="2216">
          <cell r="C2216" t="str">
            <v>B579746/A</v>
          </cell>
          <cell r="D2216" t="str">
            <v>SH195F521-HB</v>
          </cell>
          <cell r="E2216">
            <v>10</v>
          </cell>
        </row>
        <row r="2217">
          <cell r="C2217" t="str">
            <v>B579749/A</v>
          </cell>
          <cell r="D2217" t="str">
            <v>SH195F521-SR</v>
          </cell>
          <cell r="E2217">
            <v>10</v>
          </cell>
        </row>
        <row r="2218">
          <cell r="C2218" t="str">
            <v>B579751/A</v>
          </cell>
          <cell r="D2218" t="str">
            <v>SH232F521-FB</v>
          </cell>
          <cell r="E2218">
            <v>20</v>
          </cell>
        </row>
        <row r="2219">
          <cell r="C2219" t="str">
            <v>B579753/A</v>
          </cell>
          <cell r="D2219" t="str">
            <v>SH232F521-HB</v>
          </cell>
          <cell r="E2219">
            <v>20</v>
          </cell>
        </row>
        <row r="2220">
          <cell r="C2220" t="str">
            <v>B579755/A</v>
          </cell>
          <cell r="D2220" t="str">
            <v>SH232F521-SR</v>
          </cell>
          <cell r="E2220">
            <v>20</v>
          </cell>
        </row>
        <row r="2221">
          <cell r="C2221" t="str">
            <v>B579757/A</v>
          </cell>
          <cell r="D2221" t="str">
            <v>SH233F521-FB</v>
          </cell>
          <cell r="E2221">
            <v>20</v>
          </cell>
        </row>
        <row r="2222">
          <cell r="C2222" t="str">
            <v>B579759/A</v>
          </cell>
          <cell r="D2222" t="str">
            <v>SH233F521-HB</v>
          </cell>
          <cell r="E2222">
            <v>20</v>
          </cell>
        </row>
        <row r="2223">
          <cell r="C2223" t="str">
            <v>B579761/A</v>
          </cell>
          <cell r="D2223" t="str">
            <v>SH233F521-SR</v>
          </cell>
          <cell r="E2223">
            <v>20</v>
          </cell>
        </row>
        <row r="2224">
          <cell r="C2224" t="str">
            <v>B579763/A</v>
          </cell>
          <cell r="D2224" t="str">
            <v>SH236F521-FB</v>
          </cell>
          <cell r="E2224">
            <v>10</v>
          </cell>
        </row>
        <row r="2225">
          <cell r="C2225" t="str">
            <v>B579765/A</v>
          </cell>
          <cell r="D2225" t="str">
            <v>SH236F521-HB</v>
          </cell>
          <cell r="E2225">
            <v>10</v>
          </cell>
        </row>
        <row r="2226">
          <cell r="C2226" t="str">
            <v>B579767/A</v>
          </cell>
          <cell r="D2226" t="str">
            <v>SH236F521-SR</v>
          </cell>
          <cell r="E2226">
            <v>10</v>
          </cell>
        </row>
        <row r="2227">
          <cell r="C2227" t="str">
            <v>B579769/A</v>
          </cell>
          <cell r="D2227" t="str">
            <v>SH293FMT02.UK</v>
          </cell>
          <cell r="E2227">
            <v>30</v>
          </cell>
        </row>
        <row r="2228">
          <cell r="C2228" t="str">
            <v>B579568/A</v>
          </cell>
          <cell r="D2228" t="str">
            <v>SH332F521</v>
          </cell>
          <cell r="E2228">
            <v>40</v>
          </cell>
        </row>
        <row r="2229">
          <cell r="C2229" t="str">
            <v>B579570/A</v>
          </cell>
          <cell r="D2229" t="str">
            <v>SH332F521.UK</v>
          </cell>
          <cell r="E2229">
            <v>40</v>
          </cell>
        </row>
        <row r="2230">
          <cell r="C2230" t="str">
            <v>B579771/A</v>
          </cell>
          <cell r="D2230" t="str">
            <v>SH332F521-31856</v>
          </cell>
          <cell r="E2230">
            <v>50</v>
          </cell>
        </row>
        <row r="2231">
          <cell r="C2231" t="str">
            <v>B579773/A</v>
          </cell>
          <cell r="D2231" t="str">
            <v>SH346NF506</v>
          </cell>
          <cell r="E2231">
            <v>30</v>
          </cell>
        </row>
        <row r="2232">
          <cell r="C2232" t="str">
            <v>B579776/A</v>
          </cell>
          <cell r="D2232" t="str">
            <v>SH764F651-BASE</v>
          </cell>
          <cell r="E2232">
            <v>25</v>
          </cell>
        </row>
        <row r="2233">
          <cell r="C2233" t="str">
            <v>B580003/A</v>
          </cell>
          <cell r="D2233" t="str">
            <v>SR113F01</v>
          </cell>
          <cell r="E2233">
            <v>25</v>
          </cell>
        </row>
        <row r="2234">
          <cell r="C2234" t="str">
            <v>B579244/A</v>
          </cell>
          <cell r="D2234" t="str">
            <v>AR950AF1280-SWAT1</v>
          </cell>
          <cell r="E2234">
            <v>125</v>
          </cell>
        </row>
        <row r="2235">
          <cell r="C2235" t="str">
            <v>B579246/A</v>
          </cell>
          <cell r="D2235" t="str">
            <v>AR950AF1280-SWAT2</v>
          </cell>
          <cell r="E2235">
            <v>425</v>
          </cell>
        </row>
        <row r="2236">
          <cell r="C2236" t="str">
            <v>B579248/A</v>
          </cell>
          <cell r="D2236" t="str">
            <v>AR950AF1280-SWAT3</v>
          </cell>
          <cell r="E2236">
            <v>125</v>
          </cell>
        </row>
        <row r="2237">
          <cell r="C2237" t="str">
            <v>B579250/A</v>
          </cell>
          <cell r="D2237" t="str">
            <v>AR950AF1280-SWAT4</v>
          </cell>
          <cell r="E2237">
            <v>425</v>
          </cell>
        </row>
        <row r="2238">
          <cell r="C2238" t="str">
            <v>B579208/A</v>
          </cell>
          <cell r="D2238" t="str">
            <v>AR950F1279-SWAT1</v>
          </cell>
          <cell r="E2238">
            <v>125</v>
          </cell>
        </row>
        <row r="2239">
          <cell r="C2239" t="str">
            <v>B579210/A</v>
          </cell>
          <cell r="D2239" t="str">
            <v>AR950F1279-SWAT2</v>
          </cell>
          <cell r="E2239">
            <v>425</v>
          </cell>
        </row>
        <row r="2240">
          <cell r="C2240" t="str">
            <v>B579560/A</v>
          </cell>
          <cell r="D2240" t="str">
            <v>JV007F580-DWUP</v>
          </cell>
          <cell r="E2240">
            <v>1</v>
          </cell>
        </row>
        <row r="2241">
          <cell r="C2241" t="str">
            <v>B579572/A</v>
          </cell>
          <cell r="D2241" t="str">
            <v>MN5879KF1010-LEGCE</v>
          </cell>
          <cell r="E2241">
            <v>1</v>
          </cell>
        </row>
        <row r="2242">
          <cell r="C2242" t="str">
            <v>B580018/A</v>
          </cell>
          <cell r="D2242" t="str">
            <v>RH439F21-WDRLS</v>
          </cell>
          <cell r="E2242">
            <v>1</v>
          </cell>
        </row>
        <row r="2243">
          <cell r="C2243" t="str">
            <v>B580126/A</v>
          </cell>
          <cell r="D2243" t="str">
            <v>AR866F1233-BASE</v>
          </cell>
          <cell r="E2243">
            <v>1</v>
          </cell>
        </row>
        <row r="2244">
          <cell r="C2244" t="str">
            <v>B580127/A</v>
          </cell>
          <cell r="D2244" t="str">
            <v>AR866F1233-BASE</v>
          </cell>
          <cell r="E2244">
            <v>3</v>
          </cell>
        </row>
        <row r="2245">
          <cell r="C2245" t="str">
            <v>B580130/A</v>
          </cell>
          <cell r="D2245" t="str">
            <v>AR866F1233-TOP</v>
          </cell>
          <cell r="E2245">
            <v>1</v>
          </cell>
        </row>
        <row r="2246">
          <cell r="C2246" t="str">
            <v>B580131/A</v>
          </cell>
          <cell r="D2246" t="str">
            <v>AR866F1233-TOP</v>
          </cell>
          <cell r="E2246">
            <v>3</v>
          </cell>
        </row>
        <row r="2247">
          <cell r="C2247" t="str">
            <v>B580962/A</v>
          </cell>
          <cell r="D2247" t="str">
            <v>AR110F906-BASE</v>
          </cell>
          <cell r="E2247">
            <v>53</v>
          </cell>
        </row>
        <row r="2248">
          <cell r="C2248" t="str">
            <v>B580963/A</v>
          </cell>
          <cell r="D2248" t="str">
            <v>AR110F906-BASE</v>
          </cell>
          <cell r="E2248">
            <v>72</v>
          </cell>
        </row>
        <row r="2249">
          <cell r="C2249" t="str">
            <v>B580803/A</v>
          </cell>
          <cell r="D2249" t="str">
            <v>AR115F834</v>
          </cell>
          <cell r="E2249">
            <v>29</v>
          </cell>
        </row>
        <row r="2250">
          <cell r="C2250" t="str">
            <v>B580804/A</v>
          </cell>
          <cell r="D2250" t="str">
            <v>AR115F834</v>
          </cell>
          <cell r="E2250">
            <v>26</v>
          </cell>
        </row>
        <row r="2251">
          <cell r="C2251" t="str">
            <v>B576903/A</v>
          </cell>
          <cell r="D2251" t="str">
            <v>AR125F834-TOP</v>
          </cell>
          <cell r="E2251">
            <v>18</v>
          </cell>
        </row>
        <row r="2252">
          <cell r="C2252" t="str">
            <v>B576904/A</v>
          </cell>
          <cell r="D2252" t="str">
            <v>AR125F834-TOP</v>
          </cell>
          <cell r="E2252">
            <v>52</v>
          </cell>
        </row>
        <row r="2253">
          <cell r="C2253" t="str">
            <v>B580965/A</v>
          </cell>
          <cell r="D2253" t="str">
            <v>AR125F906-BASE</v>
          </cell>
          <cell r="E2253">
            <v>16</v>
          </cell>
        </row>
        <row r="2254">
          <cell r="C2254" t="str">
            <v>B580968/A</v>
          </cell>
          <cell r="D2254" t="str">
            <v>AR125F906-BASE</v>
          </cell>
          <cell r="E2254">
            <v>59</v>
          </cell>
        </row>
        <row r="2255">
          <cell r="C2255" t="str">
            <v>B576907/A</v>
          </cell>
          <cell r="D2255" t="str">
            <v>AR125F906-TOP</v>
          </cell>
          <cell r="E2255">
            <v>20</v>
          </cell>
        </row>
        <row r="2256">
          <cell r="C2256" t="str">
            <v>B576908/A</v>
          </cell>
          <cell r="D2256" t="str">
            <v>AR125F906-TOP</v>
          </cell>
          <cell r="E2256">
            <v>30</v>
          </cell>
        </row>
        <row r="2257">
          <cell r="C2257" t="str">
            <v>B580973/A</v>
          </cell>
          <cell r="D2257" t="str">
            <v>AR127NF834-BASE</v>
          </cell>
          <cell r="E2257">
            <v>35</v>
          </cell>
        </row>
        <row r="2258">
          <cell r="C2258" t="str">
            <v>B580974/A</v>
          </cell>
          <cell r="D2258" t="str">
            <v>AR127NF834-BASE</v>
          </cell>
          <cell r="E2258">
            <v>15</v>
          </cell>
        </row>
        <row r="2259">
          <cell r="C2259" t="str">
            <v>B580975/A</v>
          </cell>
          <cell r="D2259" t="str">
            <v>AR127NF834-BASE</v>
          </cell>
          <cell r="E2259">
            <v>17</v>
          </cell>
        </row>
        <row r="2260">
          <cell r="C2260" t="str">
            <v>B580976/A</v>
          </cell>
          <cell r="D2260" t="str">
            <v>AR127NF834-BASE</v>
          </cell>
          <cell r="E2260">
            <v>33</v>
          </cell>
        </row>
        <row r="2261">
          <cell r="C2261" t="str">
            <v>B580808/A</v>
          </cell>
          <cell r="D2261" t="str">
            <v>AR127NF906-BASE</v>
          </cell>
          <cell r="E2261">
            <v>19</v>
          </cell>
        </row>
        <row r="2262">
          <cell r="C2262" t="str">
            <v>B580809/A</v>
          </cell>
          <cell r="D2262" t="str">
            <v>AR127NF906-BASE</v>
          </cell>
          <cell r="E2262">
            <v>51</v>
          </cell>
        </row>
        <row r="2263">
          <cell r="C2263" t="str">
            <v>B580814/A</v>
          </cell>
          <cell r="D2263" t="str">
            <v>AR164F834</v>
          </cell>
          <cell r="E2263">
            <v>18</v>
          </cell>
        </row>
        <row r="2264">
          <cell r="C2264" t="str">
            <v>B580815/A</v>
          </cell>
          <cell r="D2264" t="str">
            <v>AR164F834</v>
          </cell>
          <cell r="E2264">
            <v>7</v>
          </cell>
        </row>
        <row r="2265">
          <cell r="C2265" t="str">
            <v>B580979/A</v>
          </cell>
          <cell r="D2265" t="str">
            <v>AR190F834-BASE</v>
          </cell>
          <cell r="E2265">
            <v>8</v>
          </cell>
        </row>
        <row r="2266">
          <cell r="C2266" t="str">
            <v>B580980/A</v>
          </cell>
          <cell r="D2266" t="str">
            <v>AR190F834-BASE</v>
          </cell>
          <cell r="E2266">
            <v>17</v>
          </cell>
        </row>
        <row r="2267">
          <cell r="C2267" t="str">
            <v>B581463/A</v>
          </cell>
          <cell r="D2267" t="str">
            <v>AR196NF906</v>
          </cell>
          <cell r="E2267">
            <v>11</v>
          </cell>
        </row>
        <row r="2268">
          <cell r="C2268" t="str">
            <v>B581464/A</v>
          </cell>
          <cell r="D2268" t="str">
            <v>AR196NF906</v>
          </cell>
          <cell r="E2268">
            <v>14</v>
          </cell>
        </row>
        <row r="2269">
          <cell r="C2269" t="str">
            <v>B580983/A</v>
          </cell>
          <cell r="D2269" t="str">
            <v>AR884F1234-BASE</v>
          </cell>
          <cell r="E2269">
            <v>9</v>
          </cell>
        </row>
        <row r="2270">
          <cell r="C2270" t="str">
            <v>B580984/A</v>
          </cell>
          <cell r="D2270" t="str">
            <v>AR884F1234-BASE</v>
          </cell>
          <cell r="E2270">
            <v>21</v>
          </cell>
        </row>
        <row r="2271">
          <cell r="C2271" t="str">
            <v>B580264/A</v>
          </cell>
          <cell r="D2271" t="str">
            <v>AR979AF1221</v>
          </cell>
          <cell r="E2271">
            <v>3</v>
          </cell>
        </row>
        <row r="2272">
          <cell r="C2272" t="str">
            <v>B580133/A</v>
          </cell>
          <cell r="D2272" t="str">
            <v>AR981AF1221</v>
          </cell>
          <cell r="E2272">
            <v>2</v>
          </cell>
        </row>
        <row r="2273">
          <cell r="C2273" t="str">
            <v>B580483/A</v>
          </cell>
          <cell r="D2273" t="str">
            <v>AT300AF00-VE</v>
          </cell>
          <cell r="E2273">
            <v>25</v>
          </cell>
        </row>
        <row r="2274">
          <cell r="C2274" t="str">
            <v>B580485/A</v>
          </cell>
          <cell r="D2274" t="str">
            <v>AT303ANF00-VE</v>
          </cell>
          <cell r="E2274">
            <v>25</v>
          </cell>
        </row>
        <row r="2275">
          <cell r="C2275" t="str">
            <v>B580986/A</v>
          </cell>
          <cell r="D2275" t="str">
            <v>AT305NF00-VE</v>
          </cell>
          <cell r="E2275">
            <v>40</v>
          </cell>
        </row>
        <row r="2276">
          <cell r="C2276" t="str">
            <v>B580988/A</v>
          </cell>
          <cell r="D2276" t="str">
            <v>AT358AF00-VE</v>
          </cell>
          <cell r="E2276">
            <v>50</v>
          </cell>
        </row>
        <row r="2277">
          <cell r="C2277" t="str">
            <v>B580995/A</v>
          </cell>
          <cell r="D2277" t="str">
            <v>AT358BF839-VE</v>
          </cell>
          <cell r="E2277">
            <v>40</v>
          </cell>
        </row>
        <row r="2278">
          <cell r="C2278" t="str">
            <v>B580998/A</v>
          </cell>
          <cell r="D2278" t="str">
            <v>AT382F00-VE</v>
          </cell>
          <cell r="E2278">
            <v>50</v>
          </cell>
        </row>
        <row r="2279">
          <cell r="C2279" t="str">
            <v>B580999/A</v>
          </cell>
          <cell r="D2279" t="str">
            <v>AT382F00-VE</v>
          </cell>
          <cell r="E2279">
            <v>50</v>
          </cell>
        </row>
        <row r="2280">
          <cell r="C2280" t="str">
            <v>B581001/A</v>
          </cell>
          <cell r="D2280" t="str">
            <v>AT384F00-VE</v>
          </cell>
          <cell r="E2280">
            <v>40</v>
          </cell>
        </row>
        <row r="2281">
          <cell r="C2281" t="str">
            <v>B580493/A</v>
          </cell>
          <cell r="D2281" t="str">
            <v>AT418F00-VE</v>
          </cell>
          <cell r="E2281">
            <v>50</v>
          </cell>
        </row>
        <row r="2282">
          <cell r="C2282" t="str">
            <v>B580820/A</v>
          </cell>
          <cell r="D2282" t="str">
            <v>AT452F00</v>
          </cell>
          <cell r="E2282">
            <v>25</v>
          </cell>
        </row>
        <row r="2283">
          <cell r="C2283" t="str">
            <v>B580821/A</v>
          </cell>
          <cell r="D2283" t="str">
            <v>AT452F00</v>
          </cell>
          <cell r="E2283">
            <v>25</v>
          </cell>
        </row>
        <row r="2284">
          <cell r="C2284" t="str">
            <v>B580823/A</v>
          </cell>
          <cell r="D2284" t="str">
            <v>AT452F00</v>
          </cell>
          <cell r="E2284">
            <v>25</v>
          </cell>
        </row>
        <row r="2285">
          <cell r="C2285" t="str">
            <v>B581004/A</v>
          </cell>
          <cell r="D2285" t="str">
            <v>AT453NF00</v>
          </cell>
          <cell r="E2285">
            <v>25</v>
          </cell>
        </row>
        <row r="2286">
          <cell r="C2286" t="str">
            <v>B581460/A</v>
          </cell>
          <cell r="D2286" t="str">
            <v>AT469F805</v>
          </cell>
          <cell r="E2286">
            <v>30</v>
          </cell>
        </row>
        <row r="2287">
          <cell r="C2287" t="str">
            <v>B580495/A</v>
          </cell>
          <cell r="D2287" t="str">
            <v>AT471F00-VE</v>
          </cell>
          <cell r="E2287">
            <v>40</v>
          </cell>
        </row>
        <row r="2288">
          <cell r="C2288" t="str">
            <v>B581012/A</v>
          </cell>
          <cell r="D2288" t="str">
            <v>AT532NF00</v>
          </cell>
          <cell r="E2288">
            <v>25</v>
          </cell>
        </row>
        <row r="2289">
          <cell r="C2289" t="str">
            <v>B581019/A</v>
          </cell>
          <cell r="D2289" t="str">
            <v>AT570F00</v>
          </cell>
          <cell r="E2289">
            <v>25</v>
          </cell>
        </row>
        <row r="2290">
          <cell r="C2290" t="str">
            <v>B581028/A</v>
          </cell>
          <cell r="D2290" t="str">
            <v>AT573F00-VE</v>
          </cell>
          <cell r="E2290">
            <v>25</v>
          </cell>
        </row>
        <row r="2291">
          <cell r="C2291" t="str">
            <v>B581029/A</v>
          </cell>
          <cell r="D2291" t="str">
            <v>AT573F00-VE</v>
          </cell>
          <cell r="E2291">
            <v>25</v>
          </cell>
        </row>
        <row r="2292">
          <cell r="C2292" t="str">
            <v>B581030/A</v>
          </cell>
          <cell r="D2292" t="str">
            <v>AT574F1089-VE</v>
          </cell>
          <cell r="E2292">
            <v>25</v>
          </cell>
        </row>
        <row r="2293">
          <cell r="C2293" t="str">
            <v>B580826/A</v>
          </cell>
          <cell r="D2293" t="str">
            <v>AT583F1040</v>
          </cell>
          <cell r="E2293">
            <v>30</v>
          </cell>
        </row>
        <row r="2294">
          <cell r="C2294" t="str">
            <v>B580827/A</v>
          </cell>
          <cell r="D2294" t="str">
            <v>AT583F1040</v>
          </cell>
          <cell r="E2294">
            <v>7</v>
          </cell>
        </row>
        <row r="2295">
          <cell r="C2295" t="str">
            <v>B580834/A</v>
          </cell>
          <cell r="D2295" t="str">
            <v>AT583F1132</v>
          </cell>
          <cell r="E2295">
            <v>25</v>
          </cell>
        </row>
        <row r="2296">
          <cell r="C2296" t="str">
            <v>B580135/A</v>
          </cell>
          <cell r="D2296" t="str">
            <v>AT658F1040</v>
          </cell>
          <cell r="E2296">
            <v>3</v>
          </cell>
        </row>
        <row r="2297">
          <cell r="C2297" t="str">
            <v>B580137/A</v>
          </cell>
          <cell r="D2297" t="str">
            <v>AT667F943</v>
          </cell>
          <cell r="E2297">
            <v>3</v>
          </cell>
        </row>
        <row r="2298">
          <cell r="C2298" t="str">
            <v>B580139/A</v>
          </cell>
          <cell r="D2298" t="str">
            <v>AT673F1247</v>
          </cell>
          <cell r="E2298">
            <v>3</v>
          </cell>
        </row>
        <row r="2299">
          <cell r="C2299" t="str">
            <v>B578986/A</v>
          </cell>
          <cell r="D2299" t="str">
            <v>BN056AF1227</v>
          </cell>
          <cell r="E2299">
            <v>25</v>
          </cell>
        </row>
        <row r="2300">
          <cell r="C2300" t="str">
            <v>B580837/A</v>
          </cell>
          <cell r="D2300" t="str">
            <v>BN1095AF1226</v>
          </cell>
          <cell r="E2300">
            <v>21</v>
          </cell>
        </row>
        <row r="2301">
          <cell r="C2301" t="str">
            <v>B580845/A</v>
          </cell>
          <cell r="D2301" t="str">
            <v>BN1098AF1226</v>
          </cell>
          <cell r="E2301">
            <v>25</v>
          </cell>
        </row>
        <row r="2302">
          <cell r="C2302" t="str">
            <v>B578995/A</v>
          </cell>
          <cell r="D2302" t="str">
            <v>BN1108AF1228-CASE</v>
          </cell>
          <cell r="E2302">
            <v>21</v>
          </cell>
        </row>
        <row r="2303">
          <cell r="C2303" t="str">
            <v>B580847/A</v>
          </cell>
          <cell r="D2303" t="str">
            <v>BN1124AF1229</v>
          </cell>
          <cell r="E2303">
            <v>18</v>
          </cell>
        </row>
        <row r="2304">
          <cell r="C2304" t="str">
            <v>B581077/A</v>
          </cell>
          <cell r="D2304" t="str">
            <v>BN1124AF1229</v>
          </cell>
          <cell r="E2304">
            <v>21</v>
          </cell>
        </row>
        <row r="2305">
          <cell r="C2305" t="str">
            <v>B580849/A</v>
          </cell>
          <cell r="D2305" t="str">
            <v>BN1506AF1226</v>
          </cell>
          <cell r="E2305">
            <v>22</v>
          </cell>
        </row>
        <row r="2306">
          <cell r="C2306" t="str">
            <v>B581110/A</v>
          </cell>
          <cell r="D2306" t="str">
            <v>BN1881AF1231</v>
          </cell>
          <cell r="E2306">
            <v>3</v>
          </cell>
        </row>
        <row r="2307">
          <cell r="C2307" t="str">
            <v>B578983/A</v>
          </cell>
          <cell r="D2307" t="str">
            <v>BN238AF1227</v>
          </cell>
          <cell r="E2307">
            <v>22</v>
          </cell>
        </row>
        <row r="2308">
          <cell r="C2308" t="str">
            <v>B581033/A</v>
          </cell>
          <cell r="D2308" t="str">
            <v>CZ042F191</v>
          </cell>
          <cell r="E2308">
            <v>1</v>
          </cell>
        </row>
        <row r="2309">
          <cell r="C2309" t="str">
            <v>B581034/A</v>
          </cell>
          <cell r="D2309" t="str">
            <v>CZ042F191</v>
          </cell>
          <cell r="E2309">
            <v>4</v>
          </cell>
        </row>
        <row r="2310">
          <cell r="C2310" t="str">
            <v>B581036/A</v>
          </cell>
          <cell r="D2310" t="str">
            <v>CZ047NF08</v>
          </cell>
          <cell r="E2310">
            <v>1</v>
          </cell>
        </row>
        <row r="2311">
          <cell r="C2311" t="str">
            <v>B581044/A</v>
          </cell>
          <cell r="D2311" t="str">
            <v>CZ047NF09</v>
          </cell>
          <cell r="E2311">
            <v>12</v>
          </cell>
        </row>
        <row r="2312">
          <cell r="C2312" t="str">
            <v>B581047/A</v>
          </cell>
          <cell r="D2312" t="str">
            <v>CZ047NF10</v>
          </cell>
          <cell r="E2312">
            <v>2</v>
          </cell>
        </row>
        <row r="2313">
          <cell r="C2313" t="str">
            <v>B581056/A</v>
          </cell>
          <cell r="D2313" t="str">
            <v>CZ065F09</v>
          </cell>
          <cell r="E2313">
            <v>4</v>
          </cell>
        </row>
        <row r="2314">
          <cell r="C2314" t="str">
            <v>B581057/A</v>
          </cell>
          <cell r="D2314" t="str">
            <v>CZ065F09</v>
          </cell>
          <cell r="E2314">
            <v>7</v>
          </cell>
        </row>
        <row r="2315">
          <cell r="C2315" t="str">
            <v>B581063/A</v>
          </cell>
          <cell r="D2315" t="str">
            <v>CZ065F10</v>
          </cell>
          <cell r="E2315">
            <v>4</v>
          </cell>
        </row>
        <row r="2316">
          <cell r="C2316" t="str">
            <v>B581061/A</v>
          </cell>
          <cell r="D2316" t="str">
            <v>CZ131F191</v>
          </cell>
          <cell r="E2316">
            <v>3</v>
          </cell>
        </row>
        <row r="2317">
          <cell r="C2317" t="str">
            <v>B581060/A</v>
          </cell>
          <cell r="D2317" t="str">
            <v>CZ131F191</v>
          </cell>
          <cell r="E2317">
            <v>2</v>
          </cell>
        </row>
        <row r="2318">
          <cell r="C2318" t="str">
            <v>B578405/A</v>
          </cell>
          <cell r="D2318" t="str">
            <v>CZ133F09</v>
          </cell>
          <cell r="E2318">
            <v>2</v>
          </cell>
        </row>
        <row r="2319">
          <cell r="C2319" t="str">
            <v>B578406/A</v>
          </cell>
          <cell r="D2319" t="str">
            <v>CZ133F09</v>
          </cell>
          <cell r="E2319">
            <v>2</v>
          </cell>
        </row>
        <row r="2320">
          <cell r="C2320" t="str">
            <v>B580875/A</v>
          </cell>
          <cell r="D2320" t="str">
            <v>CZ133F10</v>
          </cell>
          <cell r="E2320">
            <v>1</v>
          </cell>
        </row>
        <row r="2321">
          <cell r="C2321" t="str">
            <v>B580879/A</v>
          </cell>
          <cell r="D2321" t="str">
            <v>CZ134F190</v>
          </cell>
          <cell r="E2321">
            <v>6</v>
          </cell>
        </row>
        <row r="2322">
          <cell r="C2322" t="str">
            <v>B580880/A</v>
          </cell>
          <cell r="D2322" t="str">
            <v>CZ134F190</v>
          </cell>
          <cell r="E2322">
            <v>4</v>
          </cell>
        </row>
        <row r="2323">
          <cell r="C2323" t="str">
            <v>B580885/A</v>
          </cell>
          <cell r="D2323" t="str">
            <v>CZ147F08</v>
          </cell>
          <cell r="E2323">
            <v>1</v>
          </cell>
        </row>
        <row r="2324">
          <cell r="C2324" t="str">
            <v>B580887/A</v>
          </cell>
          <cell r="D2324" t="str">
            <v>CZ147F08</v>
          </cell>
          <cell r="E2324">
            <v>2</v>
          </cell>
        </row>
        <row r="2325">
          <cell r="C2325" t="str">
            <v>B580891/A</v>
          </cell>
          <cell r="D2325" t="str">
            <v>CZ147F191</v>
          </cell>
          <cell r="E2325">
            <v>2</v>
          </cell>
        </row>
        <row r="2326">
          <cell r="C2326" t="str">
            <v>B581066/A</v>
          </cell>
          <cell r="D2326" t="str">
            <v>CZ163F09</v>
          </cell>
          <cell r="E2326">
            <v>5</v>
          </cell>
        </row>
        <row r="2327">
          <cell r="C2327" t="str">
            <v>B581067/A</v>
          </cell>
          <cell r="D2327" t="str">
            <v>CZ163F09</v>
          </cell>
          <cell r="E2327">
            <v>3</v>
          </cell>
        </row>
        <row r="2328">
          <cell r="C2328" t="str">
            <v>B581069/A</v>
          </cell>
          <cell r="D2328" t="str">
            <v>CZ163F190</v>
          </cell>
          <cell r="E2328">
            <v>2</v>
          </cell>
        </row>
        <row r="2329">
          <cell r="C2329" t="str">
            <v>B581071/A</v>
          </cell>
          <cell r="D2329" t="str">
            <v>CZ543F08</v>
          </cell>
          <cell r="E2329">
            <v>5</v>
          </cell>
        </row>
        <row r="2330">
          <cell r="C2330" t="str">
            <v>B581074/A</v>
          </cell>
          <cell r="D2330" t="str">
            <v>CZ550NF08</v>
          </cell>
          <cell r="E2330">
            <v>7</v>
          </cell>
        </row>
        <row r="2331">
          <cell r="C2331" t="str">
            <v>B581075/A</v>
          </cell>
          <cell r="D2331" t="str">
            <v>CZ550NF08</v>
          </cell>
          <cell r="E2331">
            <v>3</v>
          </cell>
        </row>
        <row r="2332">
          <cell r="C2332" t="str">
            <v>B580895/A</v>
          </cell>
          <cell r="D2332" t="str">
            <v>CZ551F09</v>
          </cell>
          <cell r="E2332">
            <v>55</v>
          </cell>
        </row>
        <row r="2333">
          <cell r="C2333" t="str">
            <v>B580897/A</v>
          </cell>
          <cell r="D2333" t="str">
            <v>CZ551F09</v>
          </cell>
          <cell r="E2333">
            <v>2</v>
          </cell>
        </row>
        <row r="2334">
          <cell r="C2334" t="str">
            <v>B580901/A</v>
          </cell>
          <cell r="D2334" t="str">
            <v>CZ551F10</v>
          </cell>
          <cell r="E2334">
            <v>32</v>
          </cell>
        </row>
        <row r="2335">
          <cell r="C2335" t="str">
            <v>B580907/A</v>
          </cell>
          <cell r="D2335" t="str">
            <v>CZ551F191</v>
          </cell>
          <cell r="E2335">
            <v>16</v>
          </cell>
        </row>
        <row r="2336">
          <cell r="C2336" t="str">
            <v>B580909/A</v>
          </cell>
          <cell r="D2336" t="str">
            <v>CZ551F191</v>
          </cell>
          <cell r="E2336">
            <v>3</v>
          </cell>
        </row>
        <row r="2337">
          <cell r="C2337" t="str">
            <v>B580910/A</v>
          </cell>
          <cell r="D2337" t="str">
            <v>CZ551F191</v>
          </cell>
          <cell r="E2337">
            <v>5</v>
          </cell>
        </row>
        <row r="2338">
          <cell r="C2338" t="str">
            <v>B580921/A</v>
          </cell>
          <cell r="D2338" t="str">
            <v>CZ557NF08</v>
          </cell>
          <cell r="E2338">
            <v>4</v>
          </cell>
        </row>
        <row r="2339">
          <cell r="C2339" t="str">
            <v>B580915/A</v>
          </cell>
          <cell r="D2339" t="str">
            <v>CZ557NF08</v>
          </cell>
          <cell r="E2339">
            <v>1</v>
          </cell>
        </row>
        <row r="2340">
          <cell r="C2340" t="str">
            <v>B580917/A</v>
          </cell>
          <cell r="D2340" t="str">
            <v>CZ557NF08</v>
          </cell>
          <cell r="E2340">
            <v>7</v>
          </cell>
        </row>
        <row r="2341">
          <cell r="C2341" t="str">
            <v>B580929/A</v>
          </cell>
          <cell r="D2341" t="str">
            <v>CZ557NF09</v>
          </cell>
          <cell r="E2341">
            <v>3</v>
          </cell>
        </row>
        <row r="2342">
          <cell r="C2342" t="str">
            <v>B580925/A</v>
          </cell>
          <cell r="D2342" t="str">
            <v>CZ557NF09</v>
          </cell>
          <cell r="E2342">
            <v>4</v>
          </cell>
        </row>
        <row r="2343">
          <cell r="C2343" t="str">
            <v>B580926/A</v>
          </cell>
          <cell r="D2343" t="str">
            <v>CZ557NF09</v>
          </cell>
          <cell r="E2343">
            <v>8</v>
          </cell>
        </row>
        <row r="2344">
          <cell r="C2344" t="str">
            <v>B580927/A</v>
          </cell>
          <cell r="D2344" t="str">
            <v>CZ557NF09</v>
          </cell>
          <cell r="E2344">
            <v>5</v>
          </cell>
        </row>
        <row r="2345">
          <cell r="C2345" t="str">
            <v>B580934/A</v>
          </cell>
          <cell r="D2345" t="str">
            <v>CZ557NF10</v>
          </cell>
          <cell r="E2345">
            <v>4</v>
          </cell>
        </row>
        <row r="2346">
          <cell r="C2346" t="str">
            <v>B580935/A</v>
          </cell>
          <cell r="D2346" t="str">
            <v>CZ557NF10</v>
          </cell>
          <cell r="E2346">
            <v>4</v>
          </cell>
        </row>
        <row r="2347">
          <cell r="C2347" t="str">
            <v>B580937/A</v>
          </cell>
          <cell r="D2347" t="str">
            <v>CZ557NF10</v>
          </cell>
          <cell r="E2347">
            <v>2</v>
          </cell>
        </row>
        <row r="2348">
          <cell r="C2348" t="str">
            <v>B580939/A</v>
          </cell>
          <cell r="D2348" t="str">
            <v>CZ557NF10</v>
          </cell>
          <cell r="E2348">
            <v>4</v>
          </cell>
        </row>
        <row r="2349">
          <cell r="C2349" t="str">
            <v>B581136/A</v>
          </cell>
          <cell r="D2349" t="str">
            <v>CZ640F09</v>
          </cell>
          <cell r="E2349">
            <v>2</v>
          </cell>
        </row>
        <row r="2350">
          <cell r="C2350" t="str">
            <v>B581138/A</v>
          </cell>
          <cell r="D2350" t="str">
            <v>CZ640F10</v>
          </cell>
          <cell r="E2350">
            <v>7</v>
          </cell>
        </row>
        <row r="2351">
          <cell r="C2351" t="str">
            <v>B581130/A</v>
          </cell>
          <cell r="D2351" t="str">
            <v>CZ640F10</v>
          </cell>
          <cell r="E2351">
            <v>1</v>
          </cell>
        </row>
        <row r="2352">
          <cell r="C2352" t="str">
            <v>B581140/A</v>
          </cell>
          <cell r="D2352" t="str">
            <v>CZ644NF09</v>
          </cell>
          <cell r="E2352">
            <v>1</v>
          </cell>
        </row>
        <row r="2353">
          <cell r="C2353" t="str">
            <v>B581133/A</v>
          </cell>
          <cell r="D2353" t="str">
            <v>CZ644NF10</v>
          </cell>
          <cell r="E2353">
            <v>2</v>
          </cell>
        </row>
        <row r="2354">
          <cell r="C2354" t="str">
            <v>B581134/A</v>
          </cell>
          <cell r="D2354" t="str">
            <v>CZ644NF10</v>
          </cell>
          <cell r="E2354">
            <v>3</v>
          </cell>
        </row>
        <row r="2355">
          <cell r="C2355" t="str">
            <v>B581143/A</v>
          </cell>
          <cell r="D2355" t="str">
            <v>CZ644NF191</v>
          </cell>
          <cell r="E2355">
            <v>1</v>
          </cell>
        </row>
        <row r="2356">
          <cell r="C2356" t="str">
            <v>B581144/A</v>
          </cell>
          <cell r="D2356" t="str">
            <v>CZ644NF191</v>
          </cell>
          <cell r="E2356">
            <v>7</v>
          </cell>
        </row>
        <row r="2357">
          <cell r="C2357" t="str">
            <v>B581184/A</v>
          </cell>
          <cell r="D2357" t="str">
            <v>CZ669F09</v>
          </cell>
          <cell r="E2357">
            <v>2</v>
          </cell>
        </row>
        <row r="2358">
          <cell r="C2358" t="str">
            <v>B581185/A</v>
          </cell>
          <cell r="D2358" t="str">
            <v>CZ669F09</v>
          </cell>
          <cell r="E2358">
            <v>1</v>
          </cell>
        </row>
        <row r="2359">
          <cell r="C2359" t="str">
            <v>B581187/A</v>
          </cell>
          <cell r="D2359" t="str">
            <v>CZ669F190</v>
          </cell>
          <cell r="E2359">
            <v>2</v>
          </cell>
        </row>
        <row r="2360">
          <cell r="C2360" t="str">
            <v>B581319/A</v>
          </cell>
          <cell r="D2360" t="str">
            <v>CZ823NF409</v>
          </cell>
          <cell r="E2360">
            <v>2</v>
          </cell>
        </row>
        <row r="2361">
          <cell r="C2361" t="str">
            <v>B581320/A</v>
          </cell>
          <cell r="D2361" t="str">
            <v>CZ823NF409</v>
          </cell>
          <cell r="E2361">
            <v>3</v>
          </cell>
        </row>
        <row r="2362">
          <cell r="C2362" t="str">
            <v>B581323/A</v>
          </cell>
          <cell r="D2362" t="str">
            <v>CZ842F188-31931</v>
          </cell>
          <cell r="E2362">
            <v>1</v>
          </cell>
        </row>
        <row r="2363">
          <cell r="C2363" t="str">
            <v>B581324/A</v>
          </cell>
          <cell r="D2363" t="str">
            <v>CZ842F188-31931</v>
          </cell>
          <cell r="E2363">
            <v>1</v>
          </cell>
        </row>
        <row r="2364">
          <cell r="C2364" t="str">
            <v>B581327/A</v>
          </cell>
          <cell r="D2364" t="str">
            <v>CZ842F196-31931</v>
          </cell>
          <cell r="E2364">
            <v>2</v>
          </cell>
        </row>
        <row r="2365">
          <cell r="C2365" t="str">
            <v>B581328/A</v>
          </cell>
          <cell r="D2365" t="str">
            <v>CZ842F196-31931</v>
          </cell>
          <cell r="E2365">
            <v>2</v>
          </cell>
        </row>
        <row r="2366">
          <cell r="C2366" t="str">
            <v>B581331/A</v>
          </cell>
          <cell r="D2366" t="str">
            <v>CZ842F381-31931</v>
          </cell>
          <cell r="E2366">
            <v>1</v>
          </cell>
        </row>
        <row r="2367">
          <cell r="C2367" t="str">
            <v>B581332/A</v>
          </cell>
          <cell r="D2367" t="str">
            <v>CZ842F381-31931</v>
          </cell>
          <cell r="E2367">
            <v>1</v>
          </cell>
        </row>
        <row r="2368">
          <cell r="C2368" t="str">
            <v>B581334/A</v>
          </cell>
          <cell r="D2368" t="str">
            <v>CZ875F196</v>
          </cell>
          <cell r="E2368">
            <v>1</v>
          </cell>
        </row>
        <row r="2369">
          <cell r="C2369" t="str">
            <v>B581337/A</v>
          </cell>
          <cell r="D2369" t="str">
            <v>CZ875F381</v>
          </cell>
          <cell r="E2369">
            <v>2</v>
          </cell>
        </row>
        <row r="2370">
          <cell r="C2370" t="str">
            <v>B581338/A</v>
          </cell>
          <cell r="D2370" t="str">
            <v>CZ875F381</v>
          </cell>
          <cell r="E2370">
            <v>1</v>
          </cell>
        </row>
        <row r="2371">
          <cell r="C2371" t="str">
            <v>B581340/A</v>
          </cell>
          <cell r="D2371" t="str">
            <v>CZ875F409</v>
          </cell>
          <cell r="E2371">
            <v>1</v>
          </cell>
        </row>
        <row r="2372">
          <cell r="C2372" t="str">
            <v>B581343/A</v>
          </cell>
          <cell r="D2372" t="str">
            <v>CZ887F188</v>
          </cell>
          <cell r="E2372">
            <v>4</v>
          </cell>
        </row>
        <row r="2373">
          <cell r="C2373" t="str">
            <v>B581344/A</v>
          </cell>
          <cell r="D2373" t="str">
            <v>CZ887F188</v>
          </cell>
          <cell r="E2373">
            <v>5</v>
          </cell>
        </row>
        <row r="2374">
          <cell r="C2374" t="str">
            <v>B581347/A</v>
          </cell>
          <cell r="D2374" t="str">
            <v>CZ887F196</v>
          </cell>
          <cell r="E2374">
            <v>5</v>
          </cell>
        </row>
        <row r="2375">
          <cell r="C2375" t="str">
            <v>B581348/A</v>
          </cell>
          <cell r="D2375" t="str">
            <v>CZ887F196</v>
          </cell>
          <cell r="E2375">
            <v>6</v>
          </cell>
        </row>
        <row r="2376">
          <cell r="C2376" t="str">
            <v>B581351/A</v>
          </cell>
          <cell r="D2376" t="str">
            <v>CZ887F381</v>
          </cell>
          <cell r="E2376">
            <v>2</v>
          </cell>
        </row>
        <row r="2377">
          <cell r="C2377" t="str">
            <v>B581352/A</v>
          </cell>
          <cell r="D2377" t="str">
            <v>CZ887F381</v>
          </cell>
          <cell r="E2377">
            <v>2</v>
          </cell>
        </row>
        <row r="2378">
          <cell r="C2378" t="str">
            <v>B581355/A</v>
          </cell>
          <cell r="D2378" t="str">
            <v>CZ887F409</v>
          </cell>
          <cell r="E2378">
            <v>4</v>
          </cell>
        </row>
        <row r="2379">
          <cell r="C2379" t="str">
            <v>B581356/A</v>
          </cell>
          <cell r="D2379" t="str">
            <v>CZ887F409</v>
          </cell>
          <cell r="E2379">
            <v>5</v>
          </cell>
        </row>
        <row r="2380">
          <cell r="C2380" t="str">
            <v>B581358/A</v>
          </cell>
          <cell r="D2380" t="str">
            <v>CZ889F188</v>
          </cell>
          <cell r="E2380">
            <v>7</v>
          </cell>
        </row>
        <row r="2381">
          <cell r="C2381" t="str">
            <v>B581361/A</v>
          </cell>
          <cell r="D2381" t="str">
            <v>CZ889F196</v>
          </cell>
          <cell r="E2381">
            <v>2</v>
          </cell>
        </row>
        <row r="2382">
          <cell r="C2382" t="str">
            <v>B581362/A</v>
          </cell>
          <cell r="D2382" t="str">
            <v>CZ889F196</v>
          </cell>
          <cell r="E2382">
            <v>3</v>
          </cell>
        </row>
        <row r="2383">
          <cell r="C2383" t="str">
            <v>B581365/A</v>
          </cell>
          <cell r="D2383" t="str">
            <v>CZ889F381</v>
          </cell>
          <cell r="E2383">
            <v>3</v>
          </cell>
        </row>
        <row r="2384">
          <cell r="C2384" t="str">
            <v>B581366/A</v>
          </cell>
          <cell r="D2384" t="str">
            <v>CZ889F381</v>
          </cell>
          <cell r="E2384">
            <v>2</v>
          </cell>
        </row>
        <row r="2385">
          <cell r="C2385" t="str">
            <v>B581369/A</v>
          </cell>
          <cell r="D2385" t="str">
            <v>CZ889F409</v>
          </cell>
          <cell r="E2385">
            <v>2</v>
          </cell>
        </row>
        <row r="2386">
          <cell r="C2386" t="str">
            <v>B581370/A</v>
          </cell>
          <cell r="D2386" t="str">
            <v>CZ889F409</v>
          </cell>
          <cell r="E2386">
            <v>3</v>
          </cell>
        </row>
        <row r="2387">
          <cell r="C2387" t="str">
            <v>B581373/A</v>
          </cell>
          <cell r="D2387" t="str">
            <v>CZ890F188</v>
          </cell>
          <cell r="E2387">
            <v>2</v>
          </cell>
        </row>
        <row r="2388">
          <cell r="C2388" t="str">
            <v>B581374/A</v>
          </cell>
          <cell r="D2388" t="str">
            <v>CZ890F188</v>
          </cell>
          <cell r="E2388">
            <v>7</v>
          </cell>
        </row>
        <row r="2389">
          <cell r="C2389" t="str">
            <v>B581377/A</v>
          </cell>
          <cell r="D2389" t="str">
            <v>CZ890F196</v>
          </cell>
          <cell r="E2389">
            <v>3</v>
          </cell>
        </row>
        <row r="2390">
          <cell r="C2390" t="str">
            <v>B581378/A</v>
          </cell>
          <cell r="D2390" t="str">
            <v>CZ890F196</v>
          </cell>
          <cell r="E2390">
            <v>4</v>
          </cell>
        </row>
        <row r="2391">
          <cell r="C2391" t="str">
            <v>B581381/A</v>
          </cell>
          <cell r="D2391" t="str">
            <v>CZ890F381</v>
          </cell>
          <cell r="E2391">
            <v>1</v>
          </cell>
        </row>
        <row r="2392">
          <cell r="C2392" t="str">
            <v>B581382/A</v>
          </cell>
          <cell r="D2392" t="str">
            <v>CZ890F381</v>
          </cell>
          <cell r="E2392">
            <v>3</v>
          </cell>
        </row>
        <row r="2393">
          <cell r="C2393" t="str">
            <v>B581386/A</v>
          </cell>
          <cell r="D2393" t="str">
            <v>CZ890F409</v>
          </cell>
          <cell r="E2393">
            <v>1</v>
          </cell>
        </row>
        <row r="2394">
          <cell r="C2394" t="str">
            <v>B581384/A</v>
          </cell>
          <cell r="D2394" t="str">
            <v>CZ890F409</v>
          </cell>
          <cell r="E2394">
            <v>2</v>
          </cell>
        </row>
        <row r="2395">
          <cell r="C2395" t="str">
            <v>B581204/A</v>
          </cell>
          <cell r="D2395" t="str">
            <v>CZ892F188</v>
          </cell>
          <cell r="E2395">
            <v>6</v>
          </cell>
        </row>
        <row r="2396">
          <cell r="C2396" t="str">
            <v>B581205/A</v>
          </cell>
          <cell r="D2396" t="str">
            <v>CZ892F188</v>
          </cell>
          <cell r="E2396">
            <v>2</v>
          </cell>
        </row>
        <row r="2397">
          <cell r="C2397" t="str">
            <v>B581206/A</v>
          </cell>
          <cell r="D2397" t="str">
            <v>CZ892F188</v>
          </cell>
          <cell r="E2397">
            <v>4</v>
          </cell>
        </row>
        <row r="2398">
          <cell r="C2398" t="str">
            <v>B581207/A</v>
          </cell>
          <cell r="D2398" t="str">
            <v>CZ892F188</v>
          </cell>
          <cell r="E2398">
            <v>4</v>
          </cell>
        </row>
        <row r="2399">
          <cell r="C2399" t="str">
            <v>B581212/A</v>
          </cell>
          <cell r="D2399" t="str">
            <v>CZ892F381</v>
          </cell>
          <cell r="E2399">
            <v>4</v>
          </cell>
        </row>
        <row r="2400">
          <cell r="C2400" t="str">
            <v>B581213/A</v>
          </cell>
          <cell r="D2400" t="str">
            <v>CZ892F381</v>
          </cell>
          <cell r="E2400">
            <v>2</v>
          </cell>
        </row>
        <row r="2401">
          <cell r="C2401" t="str">
            <v>B581214/A</v>
          </cell>
          <cell r="D2401" t="str">
            <v>CZ892F381</v>
          </cell>
          <cell r="E2401">
            <v>1</v>
          </cell>
        </row>
        <row r="2402">
          <cell r="C2402" t="str">
            <v>B581220/A</v>
          </cell>
          <cell r="D2402" t="str">
            <v>CZ892F381</v>
          </cell>
          <cell r="E2402">
            <v>5</v>
          </cell>
        </row>
        <row r="2403">
          <cell r="C2403" t="str">
            <v>B580487/A</v>
          </cell>
          <cell r="D2403" t="str">
            <v>HS5868F973</v>
          </cell>
          <cell r="E2403">
            <v>1</v>
          </cell>
        </row>
        <row r="2404">
          <cell r="C2404" t="str">
            <v>B580141/A</v>
          </cell>
          <cell r="D2404" t="str">
            <v>HS5870F973</v>
          </cell>
          <cell r="E2404">
            <v>3</v>
          </cell>
        </row>
        <row r="2405">
          <cell r="C2405" t="str">
            <v>B580489/A</v>
          </cell>
          <cell r="D2405" t="str">
            <v>HS5874F973</v>
          </cell>
          <cell r="E2405">
            <v>2</v>
          </cell>
        </row>
        <row r="2406">
          <cell r="C2406" t="str">
            <v>B580491/A</v>
          </cell>
          <cell r="D2406" t="str">
            <v>HS5877F973</v>
          </cell>
          <cell r="E2406">
            <v>1</v>
          </cell>
        </row>
        <row r="2407">
          <cell r="C2407" t="str">
            <v>B581389/A</v>
          </cell>
          <cell r="D2407" t="str">
            <v>HS5883F973</v>
          </cell>
          <cell r="E2407">
            <v>1</v>
          </cell>
        </row>
        <row r="2408">
          <cell r="C2408" t="str">
            <v>B581243/A</v>
          </cell>
          <cell r="D2408" t="str">
            <v>JV007F580</v>
          </cell>
          <cell r="E2408">
            <v>25</v>
          </cell>
        </row>
        <row r="2409">
          <cell r="C2409" t="str">
            <v>B581245/A</v>
          </cell>
          <cell r="D2409" t="str">
            <v>JV007F989</v>
          </cell>
          <cell r="E2409">
            <v>30</v>
          </cell>
        </row>
        <row r="2410">
          <cell r="C2410" t="str">
            <v>B581247/A</v>
          </cell>
          <cell r="D2410" t="str">
            <v>JV008F580</v>
          </cell>
          <cell r="E2410">
            <v>25</v>
          </cell>
        </row>
        <row r="2411">
          <cell r="C2411" t="str">
            <v>B581251/A</v>
          </cell>
          <cell r="D2411" t="str">
            <v>LA012F01</v>
          </cell>
          <cell r="E2411">
            <v>25</v>
          </cell>
        </row>
        <row r="2412">
          <cell r="C2412" t="str">
            <v>B581391/A</v>
          </cell>
          <cell r="D2412" t="str">
            <v>MH577F1250</v>
          </cell>
          <cell r="E2412">
            <v>25</v>
          </cell>
        </row>
        <row r="2413">
          <cell r="C2413" t="str">
            <v>B578994/A</v>
          </cell>
          <cell r="D2413" t="str">
            <v>RD1146AF1228</v>
          </cell>
          <cell r="E2413">
            <v>25</v>
          </cell>
        </row>
        <row r="2414">
          <cell r="C2414" t="str">
            <v>B581269/A</v>
          </cell>
          <cell r="D2414" t="str">
            <v>RH1197NF26</v>
          </cell>
          <cell r="E2414">
            <v>7</v>
          </cell>
        </row>
        <row r="2415">
          <cell r="C2415" t="str">
            <v>B581253/A</v>
          </cell>
          <cell r="D2415" t="str">
            <v>RH1197NF26</v>
          </cell>
          <cell r="E2415">
            <v>8</v>
          </cell>
        </row>
        <row r="2416">
          <cell r="C2416" t="str">
            <v>B581255/A</v>
          </cell>
          <cell r="D2416" t="str">
            <v>RH1612NF73.BC</v>
          </cell>
          <cell r="E2416">
            <v>5</v>
          </cell>
        </row>
        <row r="2417">
          <cell r="C2417" t="str">
            <v>B581394/A</v>
          </cell>
          <cell r="D2417" t="str">
            <v>RH2018F95</v>
          </cell>
          <cell r="E2417">
            <v>10</v>
          </cell>
        </row>
        <row r="2418">
          <cell r="C2418" t="str">
            <v>B581395/A</v>
          </cell>
          <cell r="D2418" t="str">
            <v>RH2018F95</v>
          </cell>
          <cell r="E2418">
            <v>10</v>
          </cell>
        </row>
        <row r="2419">
          <cell r="C2419" t="str">
            <v>B581262/A</v>
          </cell>
          <cell r="D2419" t="str">
            <v>RH2688F08CZ</v>
          </cell>
          <cell r="E2419">
            <v>5</v>
          </cell>
        </row>
        <row r="2420">
          <cell r="C2420" t="str">
            <v>B581263/A</v>
          </cell>
          <cell r="D2420" t="str">
            <v>RH2688F08CZ</v>
          </cell>
          <cell r="E2420">
            <v>4</v>
          </cell>
        </row>
        <row r="2421">
          <cell r="C2421" t="str">
            <v>B581266/A</v>
          </cell>
          <cell r="D2421" t="str">
            <v>RH2688F10CZ</v>
          </cell>
          <cell r="E2421">
            <v>5</v>
          </cell>
        </row>
        <row r="2422">
          <cell r="C2422" t="str">
            <v>B581267/A</v>
          </cell>
          <cell r="D2422" t="str">
            <v>RH2688F10CZ</v>
          </cell>
          <cell r="E2422">
            <v>1</v>
          </cell>
        </row>
        <row r="2423">
          <cell r="C2423" t="str">
            <v>B581476/A</v>
          </cell>
          <cell r="D2423" t="str">
            <v>RH5061F01</v>
          </cell>
          <cell r="E2423">
            <v>7</v>
          </cell>
        </row>
        <row r="2424">
          <cell r="C2424" t="str">
            <v>B581478/A</v>
          </cell>
          <cell r="D2424" t="str">
            <v>RH5061F03</v>
          </cell>
          <cell r="E2424">
            <v>3</v>
          </cell>
        </row>
        <row r="2425">
          <cell r="C2425" t="str">
            <v>B581281/A</v>
          </cell>
          <cell r="D2425" t="str">
            <v>RH7151F382</v>
          </cell>
          <cell r="E2425">
            <v>8</v>
          </cell>
        </row>
        <row r="2426">
          <cell r="C2426" t="str">
            <v>B581282/A</v>
          </cell>
          <cell r="D2426" t="str">
            <v>RH7151F382</v>
          </cell>
          <cell r="E2426">
            <v>1</v>
          </cell>
        </row>
        <row r="2427">
          <cell r="C2427" t="str">
            <v>B581283/A</v>
          </cell>
          <cell r="D2427" t="str">
            <v>RH7151F382</v>
          </cell>
          <cell r="E2427">
            <v>6</v>
          </cell>
        </row>
        <row r="2428">
          <cell r="C2428" t="str">
            <v>B581400/A</v>
          </cell>
          <cell r="D2428" t="str">
            <v>RH7214F381</v>
          </cell>
          <cell r="E2428">
            <v>3</v>
          </cell>
        </row>
        <row r="2429">
          <cell r="C2429" t="str">
            <v>B581401/A</v>
          </cell>
          <cell r="D2429" t="str">
            <v>RH7214F381</v>
          </cell>
          <cell r="E2429">
            <v>5</v>
          </cell>
        </row>
        <row r="2430">
          <cell r="C2430" t="str">
            <v>B581403/A</v>
          </cell>
          <cell r="D2430" t="str">
            <v>RH7214F409</v>
          </cell>
          <cell r="E2430">
            <v>2</v>
          </cell>
        </row>
        <row r="2431">
          <cell r="C2431" t="str">
            <v>B581286/A</v>
          </cell>
          <cell r="D2431" t="str">
            <v>RH7358F383</v>
          </cell>
          <cell r="E2431">
            <v>4</v>
          </cell>
        </row>
        <row r="2432">
          <cell r="C2432" t="str">
            <v>B581287/A</v>
          </cell>
          <cell r="D2432" t="str">
            <v>RH7358F383</v>
          </cell>
          <cell r="E2432">
            <v>1</v>
          </cell>
        </row>
        <row r="2433">
          <cell r="C2433" t="str">
            <v>B581290/A</v>
          </cell>
          <cell r="D2433" t="str">
            <v>RH7359F382</v>
          </cell>
          <cell r="E2433">
            <v>3</v>
          </cell>
        </row>
        <row r="2434">
          <cell r="C2434" t="str">
            <v>B581291/A</v>
          </cell>
          <cell r="D2434" t="str">
            <v>RH7359F382</v>
          </cell>
          <cell r="E2434">
            <v>1</v>
          </cell>
        </row>
        <row r="2435">
          <cell r="C2435" t="str">
            <v>B581293/A</v>
          </cell>
          <cell r="D2435" t="str">
            <v>RH7359F409</v>
          </cell>
          <cell r="E2435">
            <v>1</v>
          </cell>
        </row>
        <row r="2436">
          <cell r="C2436" t="str">
            <v>B581467/A</v>
          </cell>
          <cell r="D2436" t="str">
            <v>RH7370F409</v>
          </cell>
          <cell r="E2436">
            <v>5</v>
          </cell>
        </row>
        <row r="2437">
          <cell r="C2437" t="str">
            <v>B581468/A</v>
          </cell>
          <cell r="D2437" t="str">
            <v>RH7370F409</v>
          </cell>
          <cell r="E2437">
            <v>5</v>
          </cell>
        </row>
        <row r="2438">
          <cell r="C2438" t="str">
            <v>B581295/A</v>
          </cell>
          <cell r="D2438" t="str">
            <v>RH7372F381</v>
          </cell>
          <cell r="E2438">
            <v>6</v>
          </cell>
        </row>
        <row r="2439">
          <cell r="C2439" t="str">
            <v>B581297/A</v>
          </cell>
          <cell r="D2439" t="str">
            <v>RH7372F382</v>
          </cell>
          <cell r="E2439">
            <v>4</v>
          </cell>
        </row>
        <row r="2440">
          <cell r="C2440" t="str">
            <v>B581405/A</v>
          </cell>
          <cell r="D2440" t="str">
            <v>RH7392F381</v>
          </cell>
          <cell r="E2440">
            <v>2</v>
          </cell>
        </row>
        <row r="2441">
          <cell r="C2441" t="str">
            <v>B581407/A</v>
          </cell>
          <cell r="D2441" t="str">
            <v>RH7392F409</v>
          </cell>
          <cell r="E2441">
            <v>3</v>
          </cell>
        </row>
        <row r="2442">
          <cell r="C2442" t="str">
            <v>B581409/A</v>
          </cell>
          <cell r="D2442" t="str">
            <v>RH7394F381</v>
          </cell>
          <cell r="E2442">
            <v>3</v>
          </cell>
        </row>
        <row r="2443">
          <cell r="C2443" t="str">
            <v>B581412/A</v>
          </cell>
          <cell r="D2443" t="str">
            <v>RH7394F382</v>
          </cell>
          <cell r="E2443">
            <v>6</v>
          </cell>
        </row>
        <row r="2444">
          <cell r="C2444" t="str">
            <v>B581413/A</v>
          </cell>
          <cell r="D2444" t="str">
            <v>RH7394F382</v>
          </cell>
          <cell r="E2444">
            <v>1</v>
          </cell>
        </row>
        <row r="2445">
          <cell r="C2445" t="str">
            <v>B581299/A</v>
          </cell>
          <cell r="D2445" t="str">
            <v>RH9155F382</v>
          </cell>
          <cell r="E2445">
            <v>4</v>
          </cell>
        </row>
        <row r="2446">
          <cell r="C2446" t="str">
            <v>B581301/A</v>
          </cell>
          <cell r="D2446" t="str">
            <v>RH9155F383</v>
          </cell>
          <cell r="E2446">
            <v>1</v>
          </cell>
        </row>
        <row r="2447">
          <cell r="C2447" t="str">
            <v>B581304/A</v>
          </cell>
          <cell r="D2447" t="str">
            <v>RH9283F408</v>
          </cell>
          <cell r="E2447">
            <v>11</v>
          </cell>
        </row>
        <row r="2448">
          <cell r="C2448" t="str">
            <v>B581305/A</v>
          </cell>
          <cell r="D2448" t="str">
            <v>RH9283F408</v>
          </cell>
          <cell r="E2448">
            <v>3</v>
          </cell>
        </row>
        <row r="2449">
          <cell r="C2449" t="str">
            <v>B581416/A</v>
          </cell>
          <cell r="D2449" t="str">
            <v>RH9532F423</v>
          </cell>
          <cell r="E2449">
            <v>7</v>
          </cell>
        </row>
        <row r="2450">
          <cell r="C2450" t="str">
            <v>B581417/A</v>
          </cell>
          <cell r="D2450" t="str">
            <v>RH9532F423</v>
          </cell>
          <cell r="E2450">
            <v>3</v>
          </cell>
        </row>
        <row r="2451">
          <cell r="C2451" t="str">
            <v>B581420/A</v>
          </cell>
          <cell r="D2451" t="str">
            <v>RH9532F425</v>
          </cell>
          <cell r="E2451">
            <v>3</v>
          </cell>
        </row>
        <row r="2452">
          <cell r="C2452" t="str">
            <v>B581422/A</v>
          </cell>
          <cell r="D2452" t="str">
            <v>RH9532F426</v>
          </cell>
          <cell r="E2452">
            <v>2</v>
          </cell>
        </row>
        <row r="2453">
          <cell r="C2453" t="str">
            <v>B581425/A</v>
          </cell>
          <cell r="D2453" t="str">
            <v>RH9542F426</v>
          </cell>
          <cell r="E2453">
            <v>2</v>
          </cell>
        </row>
        <row r="2454">
          <cell r="C2454" t="str">
            <v>B581426/A</v>
          </cell>
          <cell r="D2454" t="str">
            <v>RH9542F426</v>
          </cell>
          <cell r="E2454">
            <v>3</v>
          </cell>
        </row>
        <row r="2455">
          <cell r="C2455" t="str">
            <v>B581428/A</v>
          </cell>
          <cell r="D2455" t="str">
            <v>RH9849F423</v>
          </cell>
          <cell r="E2455">
            <v>14</v>
          </cell>
        </row>
        <row r="2456">
          <cell r="C2456" t="str">
            <v>B581430/A</v>
          </cell>
          <cell r="D2456" t="str">
            <v>RH9849F424</v>
          </cell>
          <cell r="E2456">
            <v>1</v>
          </cell>
        </row>
        <row r="2457">
          <cell r="C2457" t="str">
            <v>B581433/A</v>
          </cell>
          <cell r="D2457" t="str">
            <v>RH9849F425</v>
          </cell>
          <cell r="E2457">
            <v>4</v>
          </cell>
        </row>
        <row r="2458">
          <cell r="C2458" t="str">
            <v>B581434/A</v>
          </cell>
          <cell r="D2458" t="str">
            <v>RH9849F425</v>
          </cell>
          <cell r="E2458">
            <v>3</v>
          </cell>
        </row>
        <row r="2459">
          <cell r="C2459" t="str">
            <v>B581437/A</v>
          </cell>
          <cell r="D2459" t="str">
            <v>RH9849F426</v>
          </cell>
          <cell r="E2459">
            <v>7</v>
          </cell>
        </row>
        <row r="2460">
          <cell r="C2460" t="str">
            <v>B581438/A</v>
          </cell>
          <cell r="D2460" t="str">
            <v>RH9849F426</v>
          </cell>
          <cell r="E2460">
            <v>10</v>
          </cell>
        </row>
        <row r="2461">
          <cell r="C2461" t="str">
            <v>B581471/A</v>
          </cell>
          <cell r="D2461" t="str">
            <v>RH9860F424</v>
          </cell>
          <cell r="E2461">
            <v>1</v>
          </cell>
        </row>
        <row r="2462">
          <cell r="C2462" t="str">
            <v>B581472/A</v>
          </cell>
          <cell r="D2462" t="str">
            <v>RH9860F424</v>
          </cell>
          <cell r="E2462">
            <v>2</v>
          </cell>
        </row>
        <row r="2463">
          <cell r="C2463" t="str">
            <v>B581474/A</v>
          </cell>
          <cell r="D2463" t="str">
            <v>RH9860F426</v>
          </cell>
          <cell r="E2463">
            <v>2</v>
          </cell>
        </row>
        <row r="2464">
          <cell r="C2464" t="str">
            <v>B581440/A</v>
          </cell>
          <cell r="D2464" t="str">
            <v>RH9864F425</v>
          </cell>
          <cell r="E2464">
            <v>3</v>
          </cell>
        </row>
        <row r="2465">
          <cell r="C2465" t="str">
            <v>B581442/A</v>
          </cell>
          <cell r="D2465" t="str">
            <v>RH9864F426</v>
          </cell>
          <cell r="E2465">
            <v>2</v>
          </cell>
        </row>
        <row r="2466">
          <cell r="C2466" t="str">
            <v>B581445/A</v>
          </cell>
          <cell r="D2466" t="str">
            <v>RH9887F423</v>
          </cell>
          <cell r="E2466">
            <v>3</v>
          </cell>
        </row>
        <row r="2467">
          <cell r="C2467" t="str">
            <v>B581446/A</v>
          </cell>
          <cell r="D2467" t="str">
            <v>RH9887F423</v>
          </cell>
          <cell r="E2467">
            <v>2</v>
          </cell>
        </row>
        <row r="2468">
          <cell r="C2468" t="str">
            <v>B581449/A</v>
          </cell>
          <cell r="D2468" t="str">
            <v>RH9972F423</v>
          </cell>
          <cell r="E2468">
            <v>2</v>
          </cell>
        </row>
        <row r="2469">
          <cell r="C2469" t="str">
            <v>B581450/A</v>
          </cell>
          <cell r="D2469" t="str">
            <v>RH9972F423</v>
          </cell>
          <cell r="E2469">
            <v>5</v>
          </cell>
        </row>
        <row r="2470">
          <cell r="C2470" t="str">
            <v>B581453/A</v>
          </cell>
          <cell r="D2470" t="str">
            <v>RH9972F425</v>
          </cell>
          <cell r="E2470">
            <v>6</v>
          </cell>
        </row>
        <row r="2471">
          <cell r="C2471" t="str">
            <v>B581454/A</v>
          </cell>
          <cell r="D2471" t="str">
            <v>RH9972F425</v>
          </cell>
          <cell r="E2471">
            <v>2</v>
          </cell>
        </row>
        <row r="2472">
          <cell r="C2472" t="str">
            <v>B581457/A</v>
          </cell>
          <cell r="D2472" t="str">
            <v>SH379F506</v>
          </cell>
          <cell r="E2472">
            <v>20</v>
          </cell>
        </row>
        <row r="2473">
          <cell r="C2473" t="str">
            <v>B581458/A</v>
          </cell>
          <cell r="D2473" t="str">
            <v>SH379F506</v>
          </cell>
          <cell r="E2473">
            <v>16</v>
          </cell>
        </row>
        <row r="2474">
          <cell r="C2474" t="str">
            <v>B576896/A</v>
          </cell>
          <cell r="D2474" t="str">
            <v>SH402F521</v>
          </cell>
          <cell r="E2474">
            <v>50</v>
          </cell>
        </row>
        <row r="2475">
          <cell r="C2475" t="str">
            <v>B576897/A</v>
          </cell>
          <cell r="D2475" t="str">
            <v>SH402F521</v>
          </cell>
          <cell r="E2475">
            <v>40</v>
          </cell>
        </row>
        <row r="2476">
          <cell r="C2476" t="str">
            <v>B576900/A</v>
          </cell>
          <cell r="D2476" t="str">
            <v>SH649F506</v>
          </cell>
          <cell r="E2476">
            <v>25</v>
          </cell>
        </row>
        <row r="2477">
          <cell r="C2477" t="str">
            <v>B581113/A</v>
          </cell>
          <cell r="D2477" t="str">
            <v>RH2393F18-FOOT</v>
          </cell>
          <cell r="E2477">
            <v>8</v>
          </cell>
        </row>
        <row r="2478">
          <cell r="C2478" t="str">
            <v>B581128/A</v>
          </cell>
          <cell r="D2478" t="str">
            <v>RH3354NF09-DWCL</v>
          </cell>
          <cell r="E2478">
            <v>1</v>
          </cell>
        </row>
        <row r="2479">
          <cell r="C2479" t="str">
            <v>B581126/A</v>
          </cell>
          <cell r="D2479" t="str">
            <v>RH3412F40-GRLO</v>
          </cell>
          <cell r="E2479">
            <v>30</v>
          </cell>
        </row>
        <row r="2480">
          <cell r="C2480" t="str">
            <v>B581119/A</v>
          </cell>
          <cell r="D2480" t="str">
            <v>RH3432F130-RLFR</v>
          </cell>
          <cell r="E2480">
            <v>10</v>
          </cell>
        </row>
        <row r="2481">
          <cell r="C2481" t="str">
            <v>B581116/A</v>
          </cell>
          <cell r="D2481" t="str">
            <v>RH4090F29-LEG</v>
          </cell>
          <cell r="E2481">
            <v>5</v>
          </cell>
        </row>
        <row r="2482">
          <cell r="C2482" t="str">
            <v>B581783/A</v>
          </cell>
          <cell r="D2482" t="str">
            <v>HS5414F1162</v>
          </cell>
          <cell r="E2482">
            <v>3</v>
          </cell>
        </row>
        <row r="2483">
          <cell r="C2483" t="str">
            <v>B582030/A</v>
          </cell>
          <cell r="D2483" t="str">
            <v>AR110F906-TOP</v>
          </cell>
          <cell r="E2483">
            <v>17</v>
          </cell>
        </row>
        <row r="2484">
          <cell r="C2484" t="str">
            <v>B582031/A</v>
          </cell>
          <cell r="D2484" t="str">
            <v>AR110F906-TOP</v>
          </cell>
          <cell r="E2484">
            <v>8</v>
          </cell>
        </row>
        <row r="2485">
          <cell r="C2485" t="str">
            <v>B582158/A</v>
          </cell>
          <cell r="D2485" t="str">
            <v>AR996F1291</v>
          </cell>
          <cell r="E2485">
            <v>39</v>
          </cell>
        </row>
        <row r="2486">
          <cell r="C2486" t="str">
            <v>B582159/A</v>
          </cell>
          <cell r="D2486" t="str">
            <v>AR996F1291</v>
          </cell>
          <cell r="E2486">
            <v>18</v>
          </cell>
        </row>
        <row r="2487">
          <cell r="C2487" t="str">
            <v>B582165/A</v>
          </cell>
          <cell r="D2487" t="str">
            <v>AR998F1291</v>
          </cell>
          <cell r="E2487">
            <v>42</v>
          </cell>
        </row>
        <row r="2488">
          <cell r="C2488" t="str">
            <v>B582166/A</v>
          </cell>
          <cell r="D2488" t="str">
            <v>AR998F1291</v>
          </cell>
          <cell r="E2488">
            <v>18</v>
          </cell>
        </row>
        <row r="2489">
          <cell r="C2489" t="str">
            <v>B582167/A</v>
          </cell>
          <cell r="D2489" t="str">
            <v>AR999F1291</v>
          </cell>
          <cell r="E2489">
            <v>63</v>
          </cell>
        </row>
        <row r="2490">
          <cell r="C2490" t="str">
            <v>B582162/A</v>
          </cell>
          <cell r="D2490" t="str">
            <v>AR999F1291</v>
          </cell>
          <cell r="E2490">
            <v>24</v>
          </cell>
        </row>
        <row r="2491">
          <cell r="C2491" t="str">
            <v>B582033/A</v>
          </cell>
          <cell r="D2491" t="str">
            <v>AT292AF00-VE</v>
          </cell>
          <cell r="E2491">
            <v>25</v>
          </cell>
        </row>
        <row r="2492">
          <cell r="C2492" t="str">
            <v>B582009/A</v>
          </cell>
          <cell r="D2492" t="str">
            <v>AT292AF00-VE</v>
          </cell>
          <cell r="E2492">
            <v>40</v>
          </cell>
        </row>
        <row r="2493">
          <cell r="C2493" t="str">
            <v>B582049/A</v>
          </cell>
          <cell r="D2493" t="str">
            <v>AT292AF00-VE</v>
          </cell>
          <cell r="E2493">
            <v>25</v>
          </cell>
        </row>
        <row r="2494">
          <cell r="C2494" t="str">
            <v>B582011/A</v>
          </cell>
          <cell r="D2494" t="str">
            <v>AT292AF793-VE</v>
          </cell>
          <cell r="E2494">
            <v>11</v>
          </cell>
        </row>
        <row r="2495">
          <cell r="C2495" t="str">
            <v>B582035/A</v>
          </cell>
          <cell r="D2495" t="str">
            <v>AT292BF839-VE</v>
          </cell>
          <cell r="E2495">
            <v>25</v>
          </cell>
        </row>
        <row r="2496">
          <cell r="C2496" t="str">
            <v>B582037/A</v>
          </cell>
          <cell r="D2496" t="str">
            <v>AT303ANF00-VE</v>
          </cell>
          <cell r="E2496">
            <v>25</v>
          </cell>
        </row>
        <row r="2497">
          <cell r="C2497" t="str">
            <v>B582039/A</v>
          </cell>
          <cell r="D2497" t="str">
            <v>AT418F00-VE</v>
          </cell>
          <cell r="E2497">
            <v>50</v>
          </cell>
        </row>
        <row r="2498">
          <cell r="C2498" t="str">
            <v>B582041/A</v>
          </cell>
          <cell r="D2498" t="str">
            <v>AT499F543</v>
          </cell>
          <cell r="E2498">
            <v>25</v>
          </cell>
        </row>
        <row r="2499">
          <cell r="C2499" t="str">
            <v>B582043/A</v>
          </cell>
          <cell r="D2499" t="str">
            <v>AT499F549</v>
          </cell>
          <cell r="E2499">
            <v>25</v>
          </cell>
        </row>
        <row r="2500">
          <cell r="C2500" t="str">
            <v>B582013/A</v>
          </cell>
          <cell r="D2500" t="str">
            <v>HS5178F1180</v>
          </cell>
          <cell r="E2500">
            <v>3</v>
          </cell>
        </row>
        <row r="2501">
          <cell r="C2501" t="str">
            <v>B582015/A</v>
          </cell>
          <cell r="D2501" t="str">
            <v>HS5866NF1090</v>
          </cell>
          <cell r="E2501">
            <v>1</v>
          </cell>
        </row>
        <row r="2502">
          <cell r="C2502" t="str">
            <v>B582017/A</v>
          </cell>
          <cell r="D2502" t="str">
            <v>HS5871F1090</v>
          </cell>
          <cell r="E2502">
            <v>2</v>
          </cell>
        </row>
        <row r="2503">
          <cell r="C2503" t="str">
            <v>B582019/A</v>
          </cell>
          <cell r="D2503" t="str">
            <v>HS5872F1090</v>
          </cell>
          <cell r="E2503">
            <v>1</v>
          </cell>
        </row>
        <row r="2504">
          <cell r="C2504" t="str">
            <v>B582021/A</v>
          </cell>
          <cell r="D2504" t="str">
            <v>HS5880F1090</v>
          </cell>
          <cell r="E2504">
            <v>1</v>
          </cell>
        </row>
        <row r="2505">
          <cell r="C2505" t="str">
            <v>B582024/A</v>
          </cell>
          <cell r="D2505" t="str">
            <v>HS5881F1090</v>
          </cell>
          <cell r="E2505">
            <v>2</v>
          </cell>
        </row>
        <row r="2506">
          <cell r="C2506" t="str">
            <v>B582027/A</v>
          </cell>
          <cell r="D2506" t="str">
            <v>HS5910F973</v>
          </cell>
          <cell r="E2506">
            <v>1</v>
          </cell>
        </row>
        <row r="2507">
          <cell r="C2507" t="str">
            <v>B582046/A</v>
          </cell>
          <cell r="D2507" t="str">
            <v>SH627CF1239</v>
          </cell>
          <cell r="E2507">
            <v>19</v>
          </cell>
        </row>
        <row r="2508">
          <cell r="C2508" t="str">
            <v>B582047/A</v>
          </cell>
          <cell r="D2508" t="str">
            <v>SH627CF1239</v>
          </cell>
          <cell r="E2508">
            <v>31</v>
          </cell>
        </row>
        <row r="2509">
          <cell r="C2509" t="str">
            <v>B582260/A</v>
          </cell>
          <cell r="D2509" t="str">
            <v>AR080F871</v>
          </cell>
          <cell r="E2509">
            <v>13</v>
          </cell>
        </row>
        <row r="2510">
          <cell r="C2510" t="str">
            <v>B582265/A</v>
          </cell>
          <cell r="D2510" t="str">
            <v>AR080F871</v>
          </cell>
          <cell r="E2510">
            <v>12</v>
          </cell>
        </row>
        <row r="2511">
          <cell r="C2511" t="str">
            <v>B582268/A</v>
          </cell>
          <cell r="D2511" t="str">
            <v>AR110F906-BASE</v>
          </cell>
          <cell r="E2511">
            <v>25</v>
          </cell>
        </row>
        <row r="2512">
          <cell r="C2512" t="str">
            <v>B582269/A</v>
          </cell>
          <cell r="D2512" t="str">
            <v>AR110F906-BASE</v>
          </cell>
          <cell r="E2512">
            <v>10</v>
          </cell>
        </row>
        <row r="2513">
          <cell r="C2513" t="str">
            <v>B582272/A</v>
          </cell>
          <cell r="D2513" t="str">
            <v>AR112NF906-BASE</v>
          </cell>
          <cell r="E2513">
            <v>43</v>
          </cell>
        </row>
        <row r="2514">
          <cell r="C2514" t="str">
            <v>B582273/A</v>
          </cell>
          <cell r="D2514" t="str">
            <v>AR112NF906-BASE</v>
          </cell>
          <cell r="E2514">
            <v>12</v>
          </cell>
        </row>
        <row r="2515">
          <cell r="C2515" t="str">
            <v>B582174/A</v>
          </cell>
          <cell r="D2515" t="str">
            <v>AR117NF834</v>
          </cell>
          <cell r="E2515">
            <v>35</v>
          </cell>
        </row>
        <row r="2516">
          <cell r="C2516" t="str">
            <v>B582172/A</v>
          </cell>
          <cell r="D2516" t="str">
            <v>AR117NF834</v>
          </cell>
          <cell r="E2516">
            <v>15</v>
          </cell>
        </row>
        <row r="2517">
          <cell r="C2517" t="str">
            <v>B582339/A</v>
          </cell>
          <cell r="D2517" t="str">
            <v>AR127NF906-BASE</v>
          </cell>
          <cell r="E2517">
            <v>34</v>
          </cell>
        </row>
        <row r="2518">
          <cell r="C2518" t="str">
            <v>B582340/A</v>
          </cell>
          <cell r="D2518" t="str">
            <v>AR127NF906-BASE</v>
          </cell>
          <cell r="E2518">
            <v>16</v>
          </cell>
        </row>
        <row r="2519">
          <cell r="C2519" t="str">
            <v>B582177/A</v>
          </cell>
          <cell r="D2519" t="str">
            <v>AR163F834</v>
          </cell>
          <cell r="E2519">
            <v>18</v>
          </cell>
        </row>
        <row r="2520">
          <cell r="C2520" t="str">
            <v>B582178/A</v>
          </cell>
          <cell r="D2520" t="str">
            <v>AR163F834</v>
          </cell>
          <cell r="E2520">
            <v>7</v>
          </cell>
        </row>
        <row r="2521">
          <cell r="C2521" t="str">
            <v>B582335/A</v>
          </cell>
          <cell r="D2521" t="str">
            <v>AR190F834-BASE</v>
          </cell>
          <cell r="E2521">
            <v>19</v>
          </cell>
        </row>
        <row r="2522">
          <cell r="C2522" t="str">
            <v>B582336/A</v>
          </cell>
          <cell r="D2522" t="str">
            <v>AR190F834-BASE</v>
          </cell>
          <cell r="E2522">
            <v>6</v>
          </cell>
        </row>
        <row r="2523">
          <cell r="C2523" t="str">
            <v>B582282/A</v>
          </cell>
          <cell r="D2523" t="str">
            <v>AR330F871</v>
          </cell>
          <cell r="E2523">
            <v>19</v>
          </cell>
        </row>
        <row r="2524">
          <cell r="C2524" t="str">
            <v>B582280/A</v>
          </cell>
          <cell r="D2524" t="str">
            <v>AR330F871</v>
          </cell>
          <cell r="E2524">
            <v>6</v>
          </cell>
        </row>
        <row r="2525">
          <cell r="C2525" t="str">
            <v>B582286/A</v>
          </cell>
          <cell r="D2525" t="str">
            <v>AR455F906-BASE</v>
          </cell>
          <cell r="E2525">
            <v>18</v>
          </cell>
        </row>
        <row r="2526">
          <cell r="C2526" t="str">
            <v>B582287/A</v>
          </cell>
          <cell r="D2526" t="str">
            <v>AR455F906-BASE</v>
          </cell>
          <cell r="E2526">
            <v>7</v>
          </cell>
        </row>
        <row r="2527">
          <cell r="C2527" t="str">
            <v>B582190/A</v>
          </cell>
          <cell r="D2527" t="str">
            <v>AR721F892-BASE2</v>
          </cell>
          <cell r="E2527">
            <v>60</v>
          </cell>
        </row>
        <row r="2528">
          <cell r="C2528" t="str">
            <v>B582193/A</v>
          </cell>
          <cell r="D2528" t="str">
            <v>AR721F892-TOP</v>
          </cell>
          <cell r="E2528">
            <v>60</v>
          </cell>
        </row>
        <row r="2529">
          <cell r="C2529" t="str">
            <v>B582290/A</v>
          </cell>
          <cell r="D2529" t="str">
            <v>AR723F892-BASE</v>
          </cell>
          <cell r="E2529">
            <v>25</v>
          </cell>
        </row>
        <row r="2530">
          <cell r="C2530" t="str">
            <v>B582291/A</v>
          </cell>
          <cell r="D2530" t="str">
            <v>AR723F892-BASE</v>
          </cell>
          <cell r="E2530">
            <v>10</v>
          </cell>
        </row>
        <row r="2531">
          <cell r="C2531" t="str">
            <v>B582294/A</v>
          </cell>
          <cell r="D2531" t="str">
            <v>AR723F892-TOP</v>
          </cell>
          <cell r="E2531">
            <v>25</v>
          </cell>
        </row>
        <row r="2532">
          <cell r="C2532" t="str">
            <v>B582295/A</v>
          </cell>
          <cell r="D2532" t="str">
            <v>AR723F892-TOP</v>
          </cell>
          <cell r="E2532">
            <v>10</v>
          </cell>
        </row>
        <row r="2533">
          <cell r="C2533" t="str">
            <v>B582298/A</v>
          </cell>
          <cell r="D2533" t="str">
            <v>AT382F00-VE</v>
          </cell>
          <cell r="E2533">
            <v>40</v>
          </cell>
        </row>
        <row r="2534">
          <cell r="C2534" t="str">
            <v>B582299/A</v>
          </cell>
          <cell r="D2534" t="str">
            <v>AT382F00-VE</v>
          </cell>
          <cell r="E2534">
            <v>40</v>
          </cell>
        </row>
        <row r="2535">
          <cell r="C2535" t="str">
            <v>B582195/A</v>
          </cell>
          <cell r="D2535" t="str">
            <v>AT382F535-VE</v>
          </cell>
          <cell r="E2535">
            <v>22</v>
          </cell>
        </row>
        <row r="2536">
          <cell r="C2536" t="str">
            <v>B582301/A</v>
          </cell>
          <cell r="D2536" t="str">
            <v>AT383F00-VE</v>
          </cell>
          <cell r="E2536">
            <v>25</v>
          </cell>
        </row>
        <row r="2537">
          <cell r="C2537" t="str">
            <v>B582305/A</v>
          </cell>
          <cell r="D2537" t="str">
            <v>AT384F00-VE</v>
          </cell>
          <cell r="E2537">
            <v>25</v>
          </cell>
        </row>
        <row r="2538">
          <cell r="C2538" t="str">
            <v>B582203/A</v>
          </cell>
          <cell r="D2538" t="str">
            <v>AT452F00</v>
          </cell>
          <cell r="E2538">
            <v>25</v>
          </cell>
        </row>
        <row r="2539">
          <cell r="C2539" t="str">
            <v>B582204/A</v>
          </cell>
          <cell r="D2539" t="str">
            <v>AT452F00</v>
          </cell>
          <cell r="E2539">
            <v>40</v>
          </cell>
        </row>
        <row r="2540">
          <cell r="C2540" t="str">
            <v>B582307/A</v>
          </cell>
          <cell r="D2540" t="str">
            <v>AT452F00</v>
          </cell>
          <cell r="E2540">
            <v>25</v>
          </cell>
        </row>
        <row r="2541">
          <cell r="C2541" t="str">
            <v>B582310/A</v>
          </cell>
          <cell r="D2541" t="str">
            <v>AT479NF00</v>
          </cell>
          <cell r="E2541">
            <v>25</v>
          </cell>
        </row>
        <row r="2542">
          <cell r="C2542" t="str">
            <v>B582311/A</v>
          </cell>
          <cell r="D2542" t="str">
            <v>AT479NF00</v>
          </cell>
          <cell r="E2542">
            <v>25</v>
          </cell>
        </row>
        <row r="2543">
          <cell r="C2543" t="str">
            <v>B582314/A</v>
          </cell>
          <cell r="D2543" t="str">
            <v>AT481F1294</v>
          </cell>
          <cell r="E2543">
            <v>25</v>
          </cell>
        </row>
        <row r="2544">
          <cell r="C2544" t="str">
            <v>B582315/A</v>
          </cell>
          <cell r="D2544" t="str">
            <v>AT481F1294</v>
          </cell>
          <cell r="E2544">
            <v>16</v>
          </cell>
        </row>
        <row r="2545">
          <cell r="C2545" t="str">
            <v>B582343/A</v>
          </cell>
          <cell r="D2545" t="str">
            <v>AT536F1285</v>
          </cell>
          <cell r="E2545">
            <v>25</v>
          </cell>
        </row>
        <row r="2546">
          <cell r="C2546" t="str">
            <v>B582348/A</v>
          </cell>
          <cell r="D2546" t="str">
            <v>AT537BNF1040</v>
          </cell>
          <cell r="E2546">
            <v>4</v>
          </cell>
        </row>
        <row r="2547">
          <cell r="C2547" t="str">
            <v>B582317/A</v>
          </cell>
          <cell r="D2547" t="str">
            <v>AT573F00-VE</v>
          </cell>
          <cell r="E2547">
            <v>40</v>
          </cell>
        </row>
        <row r="2548">
          <cell r="C2548" t="str">
            <v>B582320/A</v>
          </cell>
          <cell r="D2548" t="str">
            <v>AT574F00-VE</v>
          </cell>
          <cell r="E2548">
            <v>30</v>
          </cell>
        </row>
        <row r="2549">
          <cell r="C2549" t="str">
            <v>B582321/A</v>
          </cell>
          <cell r="D2549" t="str">
            <v>AT574F00-VE</v>
          </cell>
          <cell r="E2549">
            <v>30</v>
          </cell>
        </row>
        <row r="2550">
          <cell r="C2550" t="str">
            <v>B582324/A</v>
          </cell>
          <cell r="D2550" t="str">
            <v>AT627F00</v>
          </cell>
          <cell r="E2550">
            <v>25</v>
          </cell>
        </row>
        <row r="2551">
          <cell r="C2551" t="str">
            <v>B582325/A</v>
          </cell>
          <cell r="D2551" t="str">
            <v>AT627F00</v>
          </cell>
          <cell r="E2551">
            <v>25</v>
          </cell>
        </row>
        <row r="2552">
          <cell r="C2552" t="str">
            <v>B582328/A</v>
          </cell>
          <cell r="D2552" t="str">
            <v>AT665NF00</v>
          </cell>
          <cell r="E2552">
            <v>25</v>
          </cell>
        </row>
        <row r="2553">
          <cell r="C2553" t="str">
            <v>B582330/A</v>
          </cell>
          <cell r="D2553" t="str">
            <v>AT665NF00</v>
          </cell>
          <cell r="E2553">
            <v>25</v>
          </cell>
        </row>
        <row r="2554">
          <cell r="C2554" t="str">
            <v>B582169/A</v>
          </cell>
          <cell r="D2554" t="str">
            <v>AT690F877</v>
          </cell>
          <cell r="E2554">
            <v>3</v>
          </cell>
        </row>
        <row r="2555">
          <cell r="C2555" t="str">
            <v>B582206/A</v>
          </cell>
          <cell r="D2555" t="str">
            <v>BN037AF1232</v>
          </cell>
          <cell r="E2555">
            <v>24</v>
          </cell>
        </row>
        <row r="2556">
          <cell r="C2556" t="str">
            <v>B582208/A</v>
          </cell>
          <cell r="D2556" t="str">
            <v>BN1092AF1225</v>
          </cell>
          <cell r="E2556">
            <v>25</v>
          </cell>
        </row>
        <row r="2557">
          <cell r="C2557" t="str">
            <v>B582210/A</v>
          </cell>
          <cell r="D2557" t="str">
            <v>BN1093AF1225</v>
          </cell>
          <cell r="E2557">
            <v>25</v>
          </cell>
        </row>
        <row r="2558">
          <cell r="C2558" t="str">
            <v>B582212/A</v>
          </cell>
          <cell r="D2558" t="str">
            <v>BN1123AF1230</v>
          </cell>
          <cell r="E2558">
            <v>24</v>
          </cell>
        </row>
        <row r="2559">
          <cell r="C2559" t="str">
            <v>B582214/A</v>
          </cell>
          <cell r="D2559" t="str">
            <v>BN1503AF1225</v>
          </cell>
          <cell r="E2559">
            <v>25</v>
          </cell>
        </row>
        <row r="2560">
          <cell r="C2560" t="str">
            <v>B582332/A</v>
          </cell>
          <cell r="D2560" t="str">
            <v>BN1506AF1226</v>
          </cell>
          <cell r="E2560">
            <v>3</v>
          </cell>
        </row>
        <row r="2561">
          <cell r="C2561" t="str">
            <v>B578989/A</v>
          </cell>
          <cell r="D2561" t="str">
            <v>BN1873AF1227</v>
          </cell>
          <cell r="E2561">
            <v>25</v>
          </cell>
        </row>
        <row r="2562">
          <cell r="C2562" t="str">
            <v>B578991/A</v>
          </cell>
          <cell r="D2562" t="str">
            <v>BN278AF1227</v>
          </cell>
          <cell r="E2562">
            <v>25</v>
          </cell>
        </row>
        <row r="2563">
          <cell r="C2563" t="str">
            <v>B580852/A</v>
          </cell>
          <cell r="D2563" t="str">
            <v>BN3187F355</v>
          </cell>
          <cell r="E2563">
            <v>9</v>
          </cell>
        </row>
        <row r="2564">
          <cell r="C2564" t="str">
            <v>B580853/A</v>
          </cell>
          <cell r="D2564" t="str">
            <v>BN3187F355</v>
          </cell>
          <cell r="E2564">
            <v>11</v>
          </cell>
        </row>
        <row r="2565">
          <cell r="C2565" t="str">
            <v>B580855/A</v>
          </cell>
          <cell r="D2565" t="str">
            <v>CZ051F09</v>
          </cell>
          <cell r="E2565">
            <v>41</v>
          </cell>
        </row>
        <row r="2566">
          <cell r="C2566" t="str">
            <v>B580858/A</v>
          </cell>
          <cell r="D2566" t="str">
            <v>CZ051F10</v>
          </cell>
          <cell r="E2566">
            <v>13</v>
          </cell>
        </row>
        <row r="2567">
          <cell r="C2567" t="str">
            <v>B580859/A</v>
          </cell>
          <cell r="D2567" t="str">
            <v>CZ051F10</v>
          </cell>
          <cell r="E2567">
            <v>3</v>
          </cell>
        </row>
        <row r="2568">
          <cell r="C2568" t="str">
            <v>B580863/A</v>
          </cell>
          <cell r="D2568" t="str">
            <v>CZ052F09</v>
          </cell>
          <cell r="E2568">
            <v>5</v>
          </cell>
        </row>
        <row r="2569">
          <cell r="C2569" t="str">
            <v>B580864/A</v>
          </cell>
          <cell r="D2569" t="str">
            <v>CZ052F09</v>
          </cell>
          <cell r="E2569">
            <v>15</v>
          </cell>
        </row>
        <row r="2570">
          <cell r="C2570" t="str">
            <v>B580865/A</v>
          </cell>
          <cell r="D2570" t="str">
            <v>CZ052F09</v>
          </cell>
          <cell r="E2570">
            <v>6</v>
          </cell>
        </row>
        <row r="2571">
          <cell r="C2571" t="str">
            <v>B580868/A</v>
          </cell>
          <cell r="D2571" t="str">
            <v>CZ130F191</v>
          </cell>
          <cell r="E2571">
            <v>8</v>
          </cell>
        </row>
        <row r="2572">
          <cell r="C2572" t="str">
            <v>B580869/A</v>
          </cell>
          <cell r="D2572" t="str">
            <v>CZ130F191</v>
          </cell>
          <cell r="E2572">
            <v>7</v>
          </cell>
        </row>
        <row r="2573">
          <cell r="C2573" t="str">
            <v>B581152/A</v>
          </cell>
          <cell r="D2573" t="str">
            <v>CZ653F191</v>
          </cell>
          <cell r="E2573">
            <v>7</v>
          </cell>
        </row>
        <row r="2574">
          <cell r="C2574" t="str">
            <v>B581154/A</v>
          </cell>
          <cell r="D2574" t="str">
            <v>CZ653F191</v>
          </cell>
          <cell r="E2574">
            <v>3</v>
          </cell>
        </row>
        <row r="2575">
          <cell r="C2575" t="str">
            <v>B581155/A</v>
          </cell>
          <cell r="D2575" t="str">
            <v>CZ653F191</v>
          </cell>
          <cell r="E2575">
            <v>7</v>
          </cell>
        </row>
        <row r="2576">
          <cell r="C2576" t="str">
            <v>B581156/A</v>
          </cell>
          <cell r="D2576" t="str">
            <v>CZ653F191</v>
          </cell>
          <cell r="E2576">
            <v>4</v>
          </cell>
        </row>
        <row r="2577">
          <cell r="C2577" t="str">
            <v>B581189/A</v>
          </cell>
          <cell r="D2577" t="str">
            <v>CZ824F188</v>
          </cell>
          <cell r="E2577">
            <v>4</v>
          </cell>
        </row>
        <row r="2578">
          <cell r="C2578" t="str">
            <v>B581192/A</v>
          </cell>
          <cell r="D2578" t="str">
            <v>CZ824F196</v>
          </cell>
          <cell r="E2578">
            <v>4</v>
          </cell>
        </row>
        <row r="2579">
          <cell r="C2579" t="str">
            <v>B581193/A</v>
          </cell>
          <cell r="D2579" t="str">
            <v>CZ824F196</v>
          </cell>
          <cell r="E2579">
            <v>6</v>
          </cell>
        </row>
        <row r="2580">
          <cell r="C2580" t="str">
            <v>B581195/A</v>
          </cell>
          <cell r="D2580" t="str">
            <v>CZ824F381</v>
          </cell>
          <cell r="E2580">
            <v>4</v>
          </cell>
        </row>
        <row r="2581">
          <cell r="C2581" t="str">
            <v>B581198/A</v>
          </cell>
          <cell r="D2581" t="str">
            <v>CZ824F409</v>
          </cell>
          <cell r="E2581">
            <v>5</v>
          </cell>
        </row>
        <row r="2582">
          <cell r="C2582" t="str">
            <v>B581199/A</v>
          </cell>
          <cell r="D2582" t="str">
            <v>CZ824F409</v>
          </cell>
          <cell r="E2582">
            <v>8</v>
          </cell>
        </row>
        <row r="2583">
          <cell r="C2583" t="str">
            <v>B582562/A</v>
          </cell>
          <cell r="D2583" t="str">
            <v>CZ899F188</v>
          </cell>
          <cell r="E2583">
            <v>4</v>
          </cell>
        </row>
        <row r="2584">
          <cell r="C2584" t="str">
            <v>B582564/A</v>
          </cell>
          <cell r="D2584" t="str">
            <v>CZ899F381</v>
          </cell>
          <cell r="E2584">
            <v>2</v>
          </cell>
        </row>
        <row r="2585">
          <cell r="C2585" t="str">
            <v>B582572/A</v>
          </cell>
          <cell r="D2585" t="str">
            <v>CZ899F409</v>
          </cell>
          <cell r="E2585">
            <v>1</v>
          </cell>
        </row>
        <row r="2586">
          <cell r="C2586" t="str">
            <v>B582566/A</v>
          </cell>
          <cell r="D2586" t="str">
            <v>CZ899F409</v>
          </cell>
          <cell r="E2586">
            <v>8</v>
          </cell>
        </row>
        <row r="2587">
          <cell r="C2587" t="str">
            <v>B581228/A</v>
          </cell>
          <cell r="D2587" t="str">
            <v>CZ900F188</v>
          </cell>
          <cell r="E2587">
            <v>7</v>
          </cell>
        </row>
        <row r="2588">
          <cell r="C2588" t="str">
            <v>B581229/A</v>
          </cell>
          <cell r="D2588" t="str">
            <v>CZ900F188</v>
          </cell>
          <cell r="E2588">
            <v>7</v>
          </cell>
        </row>
        <row r="2589">
          <cell r="C2589" t="str">
            <v>B581232/A</v>
          </cell>
          <cell r="D2589" t="str">
            <v>CZ900F196</v>
          </cell>
          <cell r="E2589">
            <v>3</v>
          </cell>
        </row>
        <row r="2590">
          <cell r="C2590" t="str">
            <v>B581233/A</v>
          </cell>
          <cell r="D2590" t="str">
            <v>CZ900F196</v>
          </cell>
          <cell r="E2590">
            <v>5</v>
          </cell>
        </row>
        <row r="2591">
          <cell r="C2591" t="str">
            <v>B581239/A</v>
          </cell>
          <cell r="D2591" t="str">
            <v>CZ900F381</v>
          </cell>
          <cell r="E2591">
            <v>1</v>
          </cell>
        </row>
        <row r="2592">
          <cell r="C2592" t="str">
            <v>B581235/A</v>
          </cell>
          <cell r="D2592" t="str">
            <v>CZ900F381</v>
          </cell>
          <cell r="E2592">
            <v>2</v>
          </cell>
        </row>
        <row r="2593">
          <cell r="C2593" t="str">
            <v>B581241/A</v>
          </cell>
          <cell r="D2593" t="str">
            <v>CZ900F409</v>
          </cell>
          <cell r="E2593">
            <v>6</v>
          </cell>
        </row>
        <row r="2594">
          <cell r="C2594" t="str">
            <v>B582569/A</v>
          </cell>
          <cell r="D2594" t="str">
            <v>CZ901F188</v>
          </cell>
          <cell r="E2594">
            <v>3</v>
          </cell>
        </row>
        <row r="2595">
          <cell r="C2595" t="str">
            <v>B582570/A</v>
          </cell>
          <cell r="D2595" t="str">
            <v>CZ901F188</v>
          </cell>
          <cell r="E2595">
            <v>5</v>
          </cell>
        </row>
        <row r="2596">
          <cell r="C2596" t="str">
            <v>B582575/A</v>
          </cell>
          <cell r="D2596" t="str">
            <v>CZ901F409</v>
          </cell>
          <cell r="E2596">
            <v>4</v>
          </cell>
        </row>
        <row r="2597">
          <cell r="C2597" t="str">
            <v>B582576/A</v>
          </cell>
          <cell r="D2597" t="str">
            <v>CZ901F409</v>
          </cell>
          <cell r="E2597">
            <v>4</v>
          </cell>
        </row>
        <row r="2598">
          <cell r="C2598" t="str">
            <v>B582578/A</v>
          </cell>
          <cell r="D2598" t="str">
            <v>HS5169F1162</v>
          </cell>
          <cell r="E2598">
            <v>5</v>
          </cell>
        </row>
        <row r="2599">
          <cell r="C2599" t="str">
            <v>B582431/A</v>
          </cell>
          <cell r="D2599" t="str">
            <v>HS5170F1161</v>
          </cell>
          <cell r="E2599">
            <v>3</v>
          </cell>
        </row>
        <row r="2600">
          <cell r="C2600" t="str">
            <v>B582726/A</v>
          </cell>
          <cell r="D2600" t="str">
            <v>HS5912F1161</v>
          </cell>
          <cell r="E2600">
            <v>3</v>
          </cell>
        </row>
        <row r="2601">
          <cell r="C2601" t="str">
            <v>B581249/A</v>
          </cell>
          <cell r="D2601" t="str">
            <v>JV044F1165</v>
          </cell>
          <cell r="E2601">
            <v>60</v>
          </cell>
        </row>
        <row r="2602">
          <cell r="C2602" t="str">
            <v>B582457/A</v>
          </cell>
          <cell r="D2602" t="str">
            <v>MN5675ANF1010</v>
          </cell>
          <cell r="E2602">
            <v>25</v>
          </cell>
        </row>
        <row r="2603">
          <cell r="C2603" t="str">
            <v>B578993/A</v>
          </cell>
          <cell r="D2603" t="str">
            <v>RD1145AF1228</v>
          </cell>
          <cell r="E2603">
            <v>22</v>
          </cell>
        </row>
        <row r="2604">
          <cell r="C2604" t="str">
            <v>B582461/A</v>
          </cell>
          <cell r="D2604" t="str">
            <v>RH1658-BF96</v>
          </cell>
          <cell r="E2604">
            <v>11</v>
          </cell>
        </row>
        <row r="2605">
          <cell r="C2605" t="str">
            <v>B582462/A</v>
          </cell>
          <cell r="D2605" t="str">
            <v>RH1658-BF96</v>
          </cell>
          <cell r="E2605">
            <v>11</v>
          </cell>
        </row>
        <row r="2606">
          <cell r="C2606" t="str">
            <v>B581258/A</v>
          </cell>
          <cell r="D2606" t="str">
            <v>RH1680F96.BC</v>
          </cell>
          <cell r="E2606">
            <v>11</v>
          </cell>
        </row>
        <row r="2607">
          <cell r="C2607" t="str">
            <v>B581259/A</v>
          </cell>
          <cell r="D2607" t="str">
            <v>RH1680F96.BC</v>
          </cell>
          <cell r="E2607">
            <v>11</v>
          </cell>
        </row>
        <row r="2608">
          <cell r="C2608" t="str">
            <v>B582466/A</v>
          </cell>
          <cell r="D2608" t="str">
            <v>RH2113F100</v>
          </cell>
          <cell r="E2608">
            <v>3</v>
          </cell>
        </row>
        <row r="2609">
          <cell r="C2609" t="str">
            <v>B582467/A</v>
          </cell>
          <cell r="D2609" t="str">
            <v>RH2113F100</v>
          </cell>
          <cell r="E2609">
            <v>2</v>
          </cell>
        </row>
        <row r="2610">
          <cell r="C2610" t="str">
            <v>B582470/A</v>
          </cell>
          <cell r="D2610" t="str">
            <v>RH2267F102</v>
          </cell>
          <cell r="E2610">
            <v>1</v>
          </cell>
        </row>
        <row r="2611">
          <cell r="C2611" t="str">
            <v>B582471/A</v>
          </cell>
          <cell r="D2611" t="str">
            <v>RH2267F102</v>
          </cell>
          <cell r="E2611">
            <v>3</v>
          </cell>
        </row>
        <row r="2612">
          <cell r="C2612" t="str">
            <v>B582473/A</v>
          </cell>
          <cell r="D2612" t="str">
            <v>RH2267F191</v>
          </cell>
          <cell r="E2612">
            <v>1</v>
          </cell>
        </row>
        <row r="2613">
          <cell r="C2613" t="str">
            <v>B578683/A</v>
          </cell>
          <cell r="D2613" t="str">
            <v>RH2379F73.BC</v>
          </cell>
          <cell r="E2613">
            <v>15</v>
          </cell>
        </row>
        <row r="2614">
          <cell r="C2614" t="str">
            <v>B582476/A</v>
          </cell>
          <cell r="D2614" t="str">
            <v>RH2417F96.BC</v>
          </cell>
          <cell r="E2614">
            <v>10</v>
          </cell>
        </row>
        <row r="2615">
          <cell r="C2615" t="str">
            <v>B582477/A</v>
          </cell>
          <cell r="D2615" t="str">
            <v>RH2417F96.BC</v>
          </cell>
          <cell r="E2615">
            <v>10</v>
          </cell>
        </row>
        <row r="2616">
          <cell r="C2616" t="str">
            <v>B581272/A</v>
          </cell>
          <cell r="D2616" t="str">
            <v>RH2690F08CZ</v>
          </cell>
          <cell r="E2616">
            <v>3</v>
          </cell>
        </row>
        <row r="2617">
          <cell r="C2617" t="str">
            <v>B581273/A</v>
          </cell>
          <cell r="D2617" t="str">
            <v>RH2690F08CZ</v>
          </cell>
          <cell r="E2617">
            <v>4</v>
          </cell>
        </row>
        <row r="2618">
          <cell r="C2618" t="str">
            <v>B581276/A</v>
          </cell>
          <cell r="D2618" t="str">
            <v>RH2690F10CZ</v>
          </cell>
          <cell r="E2618">
            <v>6</v>
          </cell>
        </row>
        <row r="2619">
          <cell r="C2619" t="str">
            <v>B581277/A</v>
          </cell>
          <cell r="D2619" t="str">
            <v>RH2690F10CZ</v>
          </cell>
          <cell r="E2619">
            <v>2</v>
          </cell>
        </row>
        <row r="2620">
          <cell r="C2620" t="str">
            <v>B582539/A</v>
          </cell>
          <cell r="D2620" t="str">
            <v>RH3540F40.BC</v>
          </cell>
          <cell r="E2620">
            <v>10</v>
          </cell>
        </row>
        <row r="2621">
          <cell r="C2621" t="str">
            <v>B582540/A</v>
          </cell>
          <cell r="D2621" t="str">
            <v>RH3540F40.BC</v>
          </cell>
          <cell r="E2621">
            <v>10</v>
          </cell>
        </row>
        <row r="2622">
          <cell r="C2622" t="str">
            <v>B582584/A</v>
          </cell>
          <cell r="D2622" t="str">
            <v>RH6998F382</v>
          </cell>
          <cell r="E2622">
            <v>1</v>
          </cell>
        </row>
        <row r="2623">
          <cell r="C2623" t="str">
            <v>B582586/A</v>
          </cell>
          <cell r="D2623" t="str">
            <v>RH6998F383</v>
          </cell>
          <cell r="E2623">
            <v>3</v>
          </cell>
        </row>
        <row r="2624">
          <cell r="C2624" t="str">
            <v>B582589/A</v>
          </cell>
          <cell r="D2624" t="str">
            <v>RH6998F409</v>
          </cell>
          <cell r="E2624">
            <v>3</v>
          </cell>
        </row>
        <row r="2625">
          <cell r="C2625" t="str">
            <v>B582590/A</v>
          </cell>
          <cell r="D2625" t="str">
            <v>RH6998F409</v>
          </cell>
          <cell r="E2625">
            <v>8</v>
          </cell>
        </row>
        <row r="2626">
          <cell r="C2626" t="str">
            <v>B581820/A</v>
          </cell>
          <cell r="D2626" t="str">
            <v>RH7022M00</v>
          </cell>
          <cell r="E2626">
            <v>1</v>
          </cell>
        </row>
        <row r="2627">
          <cell r="C2627" t="str">
            <v>B581483/A</v>
          </cell>
          <cell r="D2627" t="str">
            <v>RH9456NF424</v>
          </cell>
          <cell r="E2627">
            <v>3</v>
          </cell>
        </row>
        <row r="2628">
          <cell r="C2628" t="str">
            <v>B581484/A</v>
          </cell>
          <cell r="D2628" t="str">
            <v>RH9456NF424</v>
          </cell>
          <cell r="E2628">
            <v>2</v>
          </cell>
        </row>
        <row r="2629">
          <cell r="C2629" t="str">
            <v>B581485/A</v>
          </cell>
          <cell r="D2629" t="str">
            <v>RH9456NF424</v>
          </cell>
          <cell r="E2629">
            <v>9</v>
          </cell>
        </row>
        <row r="2630">
          <cell r="C2630" t="str">
            <v>B581486/A</v>
          </cell>
          <cell r="D2630" t="str">
            <v>RH9456NF424</v>
          </cell>
          <cell r="E2630">
            <v>4</v>
          </cell>
        </row>
        <row r="2631">
          <cell r="C2631" t="str">
            <v>B581489/A</v>
          </cell>
          <cell r="D2631" t="str">
            <v>RH9456NF425</v>
          </cell>
          <cell r="E2631">
            <v>4</v>
          </cell>
        </row>
        <row r="2632">
          <cell r="C2632" t="str">
            <v>B581490/A</v>
          </cell>
          <cell r="D2632" t="str">
            <v>RH9456NF425</v>
          </cell>
          <cell r="E2632">
            <v>5</v>
          </cell>
        </row>
        <row r="2633">
          <cell r="C2633" t="str">
            <v>B581495/A</v>
          </cell>
          <cell r="D2633" t="str">
            <v>RH9456NF426</v>
          </cell>
          <cell r="E2633">
            <v>3</v>
          </cell>
        </row>
        <row r="2634">
          <cell r="C2634" t="str">
            <v>B581496/A</v>
          </cell>
          <cell r="D2634" t="str">
            <v>RH9456NF426</v>
          </cell>
          <cell r="E2634">
            <v>4</v>
          </cell>
        </row>
        <row r="2635">
          <cell r="C2635" t="str">
            <v>B581497/A</v>
          </cell>
          <cell r="D2635" t="str">
            <v>RH9456NF426</v>
          </cell>
          <cell r="E2635">
            <v>3</v>
          </cell>
        </row>
        <row r="2636">
          <cell r="C2636" t="str">
            <v>B581498/A</v>
          </cell>
          <cell r="D2636" t="str">
            <v>RH9456NF426</v>
          </cell>
          <cell r="E2636">
            <v>4</v>
          </cell>
        </row>
        <row r="2637">
          <cell r="C2637" t="str">
            <v>B581500/A</v>
          </cell>
          <cell r="D2637" t="str">
            <v>RH9536NF425</v>
          </cell>
          <cell r="E2637">
            <v>2</v>
          </cell>
        </row>
        <row r="2638">
          <cell r="C2638" t="str">
            <v>B581505/A</v>
          </cell>
          <cell r="D2638" t="str">
            <v>RH9536NF426</v>
          </cell>
          <cell r="E2638">
            <v>11</v>
          </cell>
        </row>
        <row r="2639">
          <cell r="C2639" t="str">
            <v>B581506/A</v>
          </cell>
          <cell r="D2639" t="str">
            <v>RH9536NF426</v>
          </cell>
          <cell r="E2639">
            <v>4</v>
          </cell>
        </row>
        <row r="2640">
          <cell r="C2640" t="str">
            <v>B581507/A</v>
          </cell>
          <cell r="D2640" t="str">
            <v>RH9536NF426</v>
          </cell>
          <cell r="E2640">
            <v>9</v>
          </cell>
        </row>
        <row r="2641">
          <cell r="C2641" t="str">
            <v>B581508/A</v>
          </cell>
          <cell r="D2641" t="str">
            <v>RH9536NF426</v>
          </cell>
          <cell r="E2641">
            <v>3</v>
          </cell>
        </row>
        <row r="2642">
          <cell r="C2642" t="str">
            <v>B582617/A</v>
          </cell>
          <cell r="D2642" t="str">
            <v>RH9873F424</v>
          </cell>
          <cell r="E2642">
            <v>2</v>
          </cell>
        </row>
        <row r="2643">
          <cell r="C2643" t="str">
            <v>B582618/A</v>
          </cell>
          <cell r="D2643" t="str">
            <v>RH9873F424</v>
          </cell>
          <cell r="E2643">
            <v>3</v>
          </cell>
        </row>
        <row r="2644">
          <cell r="C2644" t="str">
            <v>B582429/A</v>
          </cell>
          <cell r="D2644" t="str">
            <v>CZ042F09-SLSPN</v>
          </cell>
          <cell r="E2644">
            <v>20</v>
          </cell>
        </row>
        <row r="2645">
          <cell r="C2645" t="str">
            <v>B582433/A</v>
          </cell>
          <cell r="D2645" t="str">
            <v>JV013F836-DOORS</v>
          </cell>
          <cell r="E2645">
            <v>3</v>
          </cell>
        </row>
        <row r="2646">
          <cell r="C2646" t="str">
            <v>B582435/A</v>
          </cell>
          <cell r="D2646" t="str">
            <v>JV035F1165-DWFR</v>
          </cell>
          <cell r="E2646">
            <v>5</v>
          </cell>
        </row>
        <row r="2647">
          <cell r="C2647" t="str">
            <v>B582728/A</v>
          </cell>
          <cell r="D2647" t="str">
            <v>RH1616F73.BC-DWTL</v>
          </cell>
          <cell r="E2647">
            <v>1</v>
          </cell>
        </row>
        <row r="2648">
          <cell r="C2648" t="str">
            <v>B582482/A</v>
          </cell>
          <cell r="D2648" t="str">
            <v>RH2755F123</v>
          </cell>
          <cell r="E2648">
            <v>6</v>
          </cell>
        </row>
        <row r="2649">
          <cell r="C2649" t="str">
            <v>B582483/A</v>
          </cell>
          <cell r="D2649" t="str">
            <v>RH2755F123</v>
          </cell>
          <cell r="E2649">
            <v>8</v>
          </cell>
        </row>
        <row r="2650">
          <cell r="C2650" t="str">
            <v>B582484/A</v>
          </cell>
          <cell r="D2650" t="str">
            <v>RH2755F123</v>
          </cell>
          <cell r="E2650">
            <v>1</v>
          </cell>
        </row>
        <row r="2651">
          <cell r="C2651" t="str">
            <v>B582485/A</v>
          </cell>
          <cell r="D2651" t="str">
            <v>RH2755F123</v>
          </cell>
          <cell r="E2651">
            <v>1</v>
          </cell>
        </row>
        <row r="2652">
          <cell r="C2652" t="str">
            <v>B582488/A</v>
          </cell>
          <cell r="D2652" t="str">
            <v>RH2755F190</v>
          </cell>
          <cell r="E2652">
            <v>4</v>
          </cell>
        </row>
        <row r="2653">
          <cell r="C2653" t="str">
            <v>B582489/A</v>
          </cell>
          <cell r="D2653" t="str">
            <v>RH2755F190</v>
          </cell>
          <cell r="E2653">
            <v>1</v>
          </cell>
        </row>
        <row r="2654">
          <cell r="C2654" t="str">
            <v>B582514/A</v>
          </cell>
          <cell r="D2654" t="str">
            <v>RH2755F191</v>
          </cell>
          <cell r="E2654">
            <v>3</v>
          </cell>
        </row>
        <row r="2655">
          <cell r="C2655" t="str">
            <v>B582515/A</v>
          </cell>
          <cell r="D2655" t="str">
            <v>RH2755F191</v>
          </cell>
          <cell r="E2655">
            <v>3</v>
          </cell>
        </row>
        <row r="2656">
          <cell r="C2656" t="str">
            <v>B582516/A</v>
          </cell>
          <cell r="D2656" t="str">
            <v>RH2755F191</v>
          </cell>
          <cell r="E2656">
            <v>14</v>
          </cell>
        </row>
        <row r="2657">
          <cell r="C2657" t="str">
            <v>B582986/A</v>
          </cell>
          <cell r="D2657" t="str">
            <v>RH9431F229TR</v>
          </cell>
          <cell r="E2657">
            <v>1</v>
          </cell>
        </row>
        <row r="2658">
          <cell r="C2658" t="str">
            <v>B583354/A</v>
          </cell>
          <cell r="D2658" t="str">
            <v>AR092F871</v>
          </cell>
          <cell r="E2658">
            <v>16</v>
          </cell>
        </row>
        <row r="2659">
          <cell r="C2659" t="str">
            <v>B583355/A</v>
          </cell>
          <cell r="D2659" t="str">
            <v>AR092F871</v>
          </cell>
          <cell r="E2659">
            <v>9</v>
          </cell>
        </row>
        <row r="2660">
          <cell r="C2660" t="str">
            <v>B583599/A</v>
          </cell>
          <cell r="D2660" t="str">
            <v>AR1092F1039</v>
          </cell>
          <cell r="E2660">
            <v>1</v>
          </cell>
        </row>
        <row r="2661">
          <cell r="C2661" t="str">
            <v>B583822/A</v>
          </cell>
          <cell r="D2661" t="str">
            <v>AR1092F1039</v>
          </cell>
          <cell r="E2661">
            <v>3</v>
          </cell>
        </row>
        <row r="2662">
          <cell r="C2662" t="str">
            <v>B582052/A</v>
          </cell>
          <cell r="D2662" t="str">
            <v>AR110F834-TOP</v>
          </cell>
          <cell r="E2662">
            <v>24</v>
          </cell>
        </row>
        <row r="2663">
          <cell r="C2663" t="str">
            <v>B582053/A</v>
          </cell>
          <cell r="D2663" t="str">
            <v>AR110F834-TOP</v>
          </cell>
          <cell r="E2663">
            <v>11</v>
          </cell>
        </row>
        <row r="2664">
          <cell r="C2664" t="str">
            <v>B583360/A</v>
          </cell>
          <cell r="D2664" t="str">
            <v>AR115F1039</v>
          </cell>
          <cell r="E2664">
            <v>18</v>
          </cell>
        </row>
        <row r="2665">
          <cell r="C2665" t="str">
            <v>B583358/A</v>
          </cell>
          <cell r="D2665" t="str">
            <v>AR115F1039</v>
          </cell>
          <cell r="E2665">
            <v>7</v>
          </cell>
        </row>
        <row r="2666">
          <cell r="C2666" t="str">
            <v>B582066/A</v>
          </cell>
          <cell r="D2666" t="str">
            <v>AR127NF906-TOP</v>
          </cell>
          <cell r="E2666">
            <v>41</v>
          </cell>
        </row>
        <row r="2667">
          <cell r="C2667" t="str">
            <v>B582067/A</v>
          </cell>
          <cell r="D2667" t="str">
            <v>AR127NF906-TOP</v>
          </cell>
          <cell r="E2667">
            <v>19</v>
          </cell>
        </row>
        <row r="2668">
          <cell r="C2668" t="str">
            <v>B583364/A</v>
          </cell>
          <cell r="D2668" t="str">
            <v>AR164F1039</v>
          </cell>
          <cell r="E2668">
            <v>25</v>
          </cell>
        </row>
        <row r="2669">
          <cell r="C2669" t="str">
            <v>B582278/A</v>
          </cell>
          <cell r="D2669" t="str">
            <v>AR165F834</v>
          </cell>
          <cell r="E2669">
            <v>39</v>
          </cell>
        </row>
        <row r="2670">
          <cell r="C2670" t="str">
            <v>B582276/A</v>
          </cell>
          <cell r="D2670" t="str">
            <v>AR165F834</v>
          </cell>
          <cell r="E2670">
            <v>16</v>
          </cell>
        </row>
        <row r="2671">
          <cell r="C2671" t="str">
            <v>B582070/A</v>
          </cell>
          <cell r="D2671" t="str">
            <v>AR190F834-TOP</v>
          </cell>
          <cell r="E2671">
            <v>17</v>
          </cell>
        </row>
        <row r="2672">
          <cell r="C2672" t="str">
            <v>B582071/A</v>
          </cell>
          <cell r="D2672" t="str">
            <v>AR190F834-TOP</v>
          </cell>
          <cell r="E2672">
            <v>8</v>
          </cell>
        </row>
        <row r="2673">
          <cell r="C2673" t="str">
            <v>B582074/A</v>
          </cell>
          <cell r="D2673" t="str">
            <v>AR190F906-TOP</v>
          </cell>
          <cell r="E2673">
            <v>18</v>
          </cell>
        </row>
        <row r="2674">
          <cell r="C2674" t="str">
            <v>B582075/A</v>
          </cell>
          <cell r="D2674" t="str">
            <v>AR190F906-TOP</v>
          </cell>
          <cell r="E2674">
            <v>7</v>
          </cell>
        </row>
        <row r="2675">
          <cell r="C2675" t="str">
            <v>B582078/A</v>
          </cell>
          <cell r="D2675" t="str">
            <v>AT418F00-VE</v>
          </cell>
          <cell r="E2675">
            <v>50</v>
          </cell>
        </row>
        <row r="2676">
          <cell r="C2676" t="str">
            <v>B582079/A</v>
          </cell>
          <cell r="D2676" t="str">
            <v>AT418F00-VE</v>
          </cell>
          <cell r="E2676">
            <v>50</v>
          </cell>
        </row>
        <row r="2677">
          <cell r="C2677" t="str">
            <v>B582081/A</v>
          </cell>
          <cell r="D2677" t="str">
            <v>AT471F00-VE</v>
          </cell>
          <cell r="E2677">
            <v>25</v>
          </cell>
        </row>
        <row r="2678">
          <cell r="C2678" t="str">
            <v>B584060/A</v>
          </cell>
          <cell r="D2678" t="str">
            <v>AT471F1089-VE</v>
          </cell>
          <cell r="E2678">
            <v>7</v>
          </cell>
        </row>
        <row r="2679">
          <cell r="C2679" t="str">
            <v>B583406/A</v>
          </cell>
          <cell r="D2679" t="str">
            <v>AT479NF00</v>
          </cell>
          <cell r="E2679">
            <v>25</v>
          </cell>
        </row>
        <row r="2680">
          <cell r="C2680" t="str">
            <v>B583407/A</v>
          </cell>
          <cell r="D2680" t="str">
            <v>AT479NF00</v>
          </cell>
          <cell r="E2680">
            <v>25</v>
          </cell>
        </row>
        <row r="2681">
          <cell r="C2681" t="str">
            <v>B583408/A</v>
          </cell>
          <cell r="D2681" t="str">
            <v>AT479NF00</v>
          </cell>
          <cell r="E2681">
            <v>25</v>
          </cell>
        </row>
        <row r="2682">
          <cell r="C2682" t="str">
            <v>B583511/A</v>
          </cell>
          <cell r="D2682" t="str">
            <v>AT479NF00</v>
          </cell>
          <cell r="E2682">
            <v>25</v>
          </cell>
        </row>
        <row r="2683">
          <cell r="C2683" t="str">
            <v>B583485/A</v>
          </cell>
          <cell r="D2683" t="str">
            <v>AT479NF1294</v>
          </cell>
          <cell r="E2683">
            <v>11</v>
          </cell>
        </row>
        <row r="2684">
          <cell r="C2684" t="str">
            <v>B583486/A</v>
          </cell>
          <cell r="D2684" t="str">
            <v>AT479NF1294</v>
          </cell>
          <cell r="E2684">
            <v>8</v>
          </cell>
        </row>
        <row r="2685">
          <cell r="C2685" t="str">
            <v>B583493/A</v>
          </cell>
          <cell r="D2685" t="str">
            <v>AT481F1310</v>
          </cell>
          <cell r="E2685">
            <v>25</v>
          </cell>
        </row>
        <row r="2686">
          <cell r="C2686" t="str">
            <v>B583494/A</v>
          </cell>
          <cell r="D2686" t="str">
            <v>AT481F1310</v>
          </cell>
          <cell r="E2686">
            <v>6</v>
          </cell>
        </row>
        <row r="2687">
          <cell r="C2687" t="str">
            <v>B583497/A</v>
          </cell>
          <cell r="D2687" t="str">
            <v>AT522NF00</v>
          </cell>
          <cell r="E2687">
            <v>25</v>
          </cell>
        </row>
        <row r="2688">
          <cell r="C2688" t="str">
            <v>B583498/A</v>
          </cell>
          <cell r="D2688" t="str">
            <v>AT522NF00</v>
          </cell>
          <cell r="E2688">
            <v>25</v>
          </cell>
        </row>
        <row r="2689">
          <cell r="C2689" t="str">
            <v>B583515/A</v>
          </cell>
          <cell r="D2689" t="str">
            <v>AT536BF1040</v>
          </cell>
          <cell r="E2689">
            <v>50</v>
          </cell>
        </row>
        <row r="2690">
          <cell r="C2690" t="str">
            <v>B583514/A</v>
          </cell>
          <cell r="D2690" t="str">
            <v>AT536BF1040</v>
          </cell>
          <cell r="E2690">
            <v>6</v>
          </cell>
        </row>
        <row r="2691">
          <cell r="C2691" t="str">
            <v>B583500/A</v>
          </cell>
          <cell r="D2691" t="str">
            <v>AT537BNF1040</v>
          </cell>
          <cell r="E2691">
            <v>25</v>
          </cell>
        </row>
        <row r="2692">
          <cell r="C2692" t="str">
            <v>B583506/A</v>
          </cell>
          <cell r="D2692" t="str">
            <v>AT665NF1305</v>
          </cell>
          <cell r="E2692">
            <v>30</v>
          </cell>
        </row>
        <row r="2693">
          <cell r="C2693" t="str">
            <v>B583507/A</v>
          </cell>
          <cell r="D2693" t="str">
            <v>AT665NF1305</v>
          </cell>
          <cell r="E2693">
            <v>4</v>
          </cell>
        </row>
        <row r="2694">
          <cell r="C2694" t="str">
            <v>B583568/A</v>
          </cell>
          <cell r="D2694" t="str">
            <v>AT693F877</v>
          </cell>
          <cell r="E2694">
            <v>3</v>
          </cell>
        </row>
        <row r="2695">
          <cell r="C2695" t="str">
            <v>B583509/A</v>
          </cell>
          <cell r="D2695" t="str">
            <v>BN037AF1232</v>
          </cell>
          <cell r="E2695">
            <v>24</v>
          </cell>
        </row>
        <row r="2696">
          <cell r="C2696" t="str">
            <v>B583145/A</v>
          </cell>
          <cell r="D2696" t="str">
            <v>BN056AF1227</v>
          </cell>
          <cell r="E2696">
            <v>25</v>
          </cell>
        </row>
        <row r="2697">
          <cell r="C2697" t="str">
            <v>B583396/A</v>
          </cell>
          <cell r="D2697" t="str">
            <v>BN1092AF1225</v>
          </cell>
          <cell r="E2697">
            <v>25</v>
          </cell>
        </row>
        <row r="2698">
          <cell r="C2698" t="str">
            <v>B583398/A</v>
          </cell>
          <cell r="D2698" t="str">
            <v>BN1093AF1225</v>
          </cell>
          <cell r="E2698">
            <v>25</v>
          </cell>
        </row>
        <row r="2699">
          <cell r="C2699" t="str">
            <v>B583149/A</v>
          </cell>
          <cell r="D2699" t="str">
            <v>BN1108AF1228-CASE</v>
          </cell>
          <cell r="E2699">
            <v>21</v>
          </cell>
        </row>
        <row r="2700">
          <cell r="C2700" t="str">
            <v>B583400/A</v>
          </cell>
          <cell r="D2700" t="str">
            <v>BN1123AF1230</v>
          </cell>
          <cell r="E2700">
            <v>24</v>
          </cell>
        </row>
        <row r="2701">
          <cell r="C2701" t="str">
            <v>B583402/A</v>
          </cell>
          <cell r="D2701" t="str">
            <v>BN1503AF1225</v>
          </cell>
          <cell r="E2701">
            <v>25</v>
          </cell>
        </row>
        <row r="2702">
          <cell r="C2702" t="str">
            <v>B583135/A</v>
          </cell>
          <cell r="D2702" t="str">
            <v>BN171F01-TOP</v>
          </cell>
          <cell r="E2702">
            <v>25</v>
          </cell>
        </row>
        <row r="2703">
          <cell r="C2703" t="str">
            <v>B583137/A</v>
          </cell>
          <cell r="D2703" t="str">
            <v>BN184F02</v>
          </cell>
          <cell r="E2703">
            <v>10</v>
          </cell>
        </row>
        <row r="2704">
          <cell r="C2704" t="str">
            <v>B583129/A</v>
          </cell>
          <cell r="D2704" t="str">
            <v>BN184F02</v>
          </cell>
          <cell r="E2704">
            <v>20</v>
          </cell>
        </row>
        <row r="2705">
          <cell r="C2705" t="str">
            <v>B583143/A</v>
          </cell>
          <cell r="D2705" t="str">
            <v>BN1873AF1227</v>
          </cell>
          <cell r="E2705">
            <v>25</v>
          </cell>
        </row>
        <row r="2706">
          <cell r="C2706" t="str">
            <v>B583139/A</v>
          </cell>
          <cell r="D2706" t="str">
            <v>BN282F01-TOP</v>
          </cell>
          <cell r="E2706">
            <v>30</v>
          </cell>
        </row>
        <row r="2707">
          <cell r="C2707" t="str">
            <v>B583141/A</v>
          </cell>
          <cell r="D2707" t="str">
            <v>BN415F01-TOP</v>
          </cell>
          <cell r="E2707">
            <v>15</v>
          </cell>
        </row>
        <row r="2708">
          <cell r="C2708" t="str">
            <v>B583131/A</v>
          </cell>
          <cell r="D2708" t="str">
            <v>BN415F01-TOP</v>
          </cell>
          <cell r="E2708">
            <v>15</v>
          </cell>
        </row>
        <row r="2709">
          <cell r="C2709" t="str">
            <v>B582217/A</v>
          </cell>
          <cell r="D2709" t="str">
            <v>CZ054F191</v>
          </cell>
          <cell r="E2709">
            <v>5</v>
          </cell>
        </row>
        <row r="2710">
          <cell r="C2710" t="str">
            <v>B582218/A</v>
          </cell>
          <cell r="D2710" t="str">
            <v>CZ054F191</v>
          </cell>
          <cell r="E2710">
            <v>5</v>
          </cell>
        </row>
        <row r="2711">
          <cell r="C2711" t="str">
            <v>B582220/A</v>
          </cell>
          <cell r="D2711" t="str">
            <v>CZ496F10</v>
          </cell>
          <cell r="E2711">
            <v>3</v>
          </cell>
        </row>
        <row r="2712">
          <cell r="C2712" t="str">
            <v>B582222/A</v>
          </cell>
          <cell r="D2712" t="str">
            <v>CZ496F190</v>
          </cell>
          <cell r="E2712">
            <v>7</v>
          </cell>
        </row>
        <row r="2713">
          <cell r="C2713" t="str">
            <v>B582224/A</v>
          </cell>
          <cell r="D2713" t="str">
            <v>CZ551F08</v>
          </cell>
          <cell r="E2713">
            <v>10</v>
          </cell>
        </row>
        <row r="2714">
          <cell r="C2714" t="str">
            <v>B582227/A</v>
          </cell>
          <cell r="D2714" t="str">
            <v>CZ551F09</v>
          </cell>
          <cell r="E2714">
            <v>14</v>
          </cell>
        </row>
        <row r="2715">
          <cell r="C2715" t="str">
            <v>B582228/A</v>
          </cell>
          <cell r="D2715" t="str">
            <v>CZ551F09</v>
          </cell>
          <cell r="E2715">
            <v>17</v>
          </cell>
        </row>
        <row r="2716">
          <cell r="C2716" t="str">
            <v>B582230/A</v>
          </cell>
          <cell r="D2716" t="str">
            <v>CZ551F10</v>
          </cell>
          <cell r="E2716">
            <v>17</v>
          </cell>
        </row>
        <row r="2717">
          <cell r="C2717" t="str">
            <v>B582243/A</v>
          </cell>
          <cell r="D2717" t="str">
            <v>CZ652F08</v>
          </cell>
          <cell r="E2717">
            <v>6</v>
          </cell>
        </row>
        <row r="2718">
          <cell r="C2718" t="str">
            <v>B582234/A</v>
          </cell>
          <cell r="D2718" t="str">
            <v>CZ652F08</v>
          </cell>
          <cell r="E2718">
            <v>5</v>
          </cell>
        </row>
        <row r="2719">
          <cell r="C2719" t="str">
            <v>B582235/A</v>
          </cell>
          <cell r="D2719" t="str">
            <v>CZ652F08</v>
          </cell>
          <cell r="E2719">
            <v>17</v>
          </cell>
        </row>
        <row r="2720">
          <cell r="C2720" t="str">
            <v>B582236/A</v>
          </cell>
          <cell r="D2720" t="str">
            <v>CZ652F08</v>
          </cell>
          <cell r="E2720">
            <v>6</v>
          </cell>
        </row>
        <row r="2721">
          <cell r="C2721" t="str">
            <v>B582246/A</v>
          </cell>
          <cell r="D2721" t="str">
            <v>CZ652F09</v>
          </cell>
          <cell r="E2721">
            <v>4</v>
          </cell>
        </row>
        <row r="2722">
          <cell r="C2722" t="str">
            <v>B582247/A</v>
          </cell>
          <cell r="D2722" t="str">
            <v>CZ652F09</v>
          </cell>
          <cell r="E2722">
            <v>6</v>
          </cell>
        </row>
        <row r="2723">
          <cell r="C2723" t="str">
            <v>B582255/A</v>
          </cell>
          <cell r="D2723" t="str">
            <v>CZ652F10</v>
          </cell>
          <cell r="E2723">
            <v>3</v>
          </cell>
        </row>
        <row r="2724">
          <cell r="C2724" t="str">
            <v>B582257/A</v>
          </cell>
          <cell r="D2724" t="str">
            <v>CZ652F191</v>
          </cell>
          <cell r="E2724">
            <v>6</v>
          </cell>
        </row>
        <row r="2725">
          <cell r="C2725" t="str">
            <v>B582552/A</v>
          </cell>
          <cell r="D2725" t="str">
            <v>CZ826F188</v>
          </cell>
          <cell r="E2725">
            <v>4</v>
          </cell>
        </row>
        <row r="2726">
          <cell r="C2726" t="str">
            <v>B582556/A</v>
          </cell>
          <cell r="D2726" t="str">
            <v>CZ826F196</v>
          </cell>
          <cell r="E2726">
            <v>4</v>
          </cell>
        </row>
        <row r="2727">
          <cell r="C2727" t="str">
            <v>B582554/A</v>
          </cell>
          <cell r="D2727" t="str">
            <v>CZ826F196</v>
          </cell>
          <cell r="E2727">
            <v>3</v>
          </cell>
        </row>
        <row r="2728">
          <cell r="C2728" t="str">
            <v>B582558/A</v>
          </cell>
          <cell r="D2728" t="str">
            <v>CZ826F381</v>
          </cell>
          <cell r="E2728">
            <v>1</v>
          </cell>
        </row>
        <row r="2729">
          <cell r="C2729" t="str">
            <v>B582560/A</v>
          </cell>
          <cell r="D2729" t="str">
            <v>CZ826F409</v>
          </cell>
          <cell r="E2729">
            <v>17</v>
          </cell>
        </row>
        <row r="2730">
          <cell r="C2730" t="str">
            <v>B582544/A</v>
          </cell>
          <cell r="D2730" t="str">
            <v>HS5860NF1090</v>
          </cell>
          <cell r="E2730">
            <v>1</v>
          </cell>
        </row>
        <row r="2731">
          <cell r="C2731" t="str">
            <v>B583736/A</v>
          </cell>
          <cell r="D2731" t="str">
            <v>HS5861NF1090</v>
          </cell>
          <cell r="E2731">
            <v>2</v>
          </cell>
        </row>
        <row r="2732">
          <cell r="C2732" t="str">
            <v>B583738/A</v>
          </cell>
          <cell r="D2732" t="str">
            <v>HS5867NF1090</v>
          </cell>
          <cell r="E2732">
            <v>1</v>
          </cell>
        </row>
        <row r="2733">
          <cell r="C2733" t="str">
            <v>B583167/A</v>
          </cell>
          <cell r="D2733" t="str">
            <v>HS5869F1090</v>
          </cell>
          <cell r="E2733">
            <v>1</v>
          </cell>
        </row>
        <row r="2734">
          <cell r="C2734" t="str">
            <v>B582085/A</v>
          </cell>
          <cell r="D2734" t="str">
            <v>HS5873F1119</v>
          </cell>
          <cell r="E2734">
            <v>3</v>
          </cell>
        </row>
        <row r="2735">
          <cell r="C2735" t="str">
            <v>B582546/A</v>
          </cell>
          <cell r="D2735" t="str">
            <v>HS5884F1090</v>
          </cell>
          <cell r="E2735">
            <v>6</v>
          </cell>
        </row>
        <row r="2736">
          <cell r="C2736" t="str">
            <v>B582548/A</v>
          </cell>
          <cell r="D2736" t="str">
            <v>HS5885F1090</v>
          </cell>
          <cell r="E2736">
            <v>5</v>
          </cell>
        </row>
        <row r="2737">
          <cell r="C2737" t="str">
            <v>B583740/A</v>
          </cell>
          <cell r="D2737" t="str">
            <v>HS5906F1090-COM</v>
          </cell>
          <cell r="E2737">
            <v>2</v>
          </cell>
        </row>
        <row r="2738">
          <cell r="C2738" t="str">
            <v>B583742/A</v>
          </cell>
          <cell r="D2738" t="str">
            <v>HS5907F1090-COM</v>
          </cell>
          <cell r="E2738">
            <v>1</v>
          </cell>
        </row>
        <row r="2739">
          <cell r="C2739" t="str">
            <v>B583147/A</v>
          </cell>
          <cell r="D2739" t="str">
            <v>RD1145AF1228</v>
          </cell>
          <cell r="E2739">
            <v>25</v>
          </cell>
        </row>
        <row r="2740">
          <cell r="C2740" t="str">
            <v>B583612/A</v>
          </cell>
          <cell r="D2740" t="str">
            <v>RD1443F01</v>
          </cell>
          <cell r="E2740">
            <v>15</v>
          </cell>
        </row>
        <row r="2741">
          <cell r="C2741" t="str">
            <v>B582445/A</v>
          </cell>
          <cell r="D2741" t="str">
            <v>RD2213F01</v>
          </cell>
          <cell r="E2741">
            <v>25</v>
          </cell>
        </row>
        <row r="2742">
          <cell r="C2742" t="str">
            <v>B582447/A</v>
          </cell>
          <cell r="D2742" t="str">
            <v>RD2213F02</v>
          </cell>
          <cell r="E2742">
            <v>15</v>
          </cell>
        </row>
        <row r="2743">
          <cell r="C2743" t="str">
            <v>B583615/A</v>
          </cell>
          <cell r="D2743" t="str">
            <v>RD905F01</v>
          </cell>
          <cell r="E2743">
            <v>15</v>
          </cell>
        </row>
        <row r="2744">
          <cell r="C2744" t="str">
            <v>B582518/A</v>
          </cell>
          <cell r="D2744" t="str">
            <v>RH2768F122</v>
          </cell>
          <cell r="E2744">
            <v>5</v>
          </cell>
        </row>
        <row r="2745">
          <cell r="C2745" t="str">
            <v>B582522/A</v>
          </cell>
          <cell r="D2745" t="str">
            <v>RH2774F10CZ</v>
          </cell>
          <cell r="E2745">
            <v>1</v>
          </cell>
        </row>
        <row r="2746">
          <cell r="C2746" t="str">
            <v>B582523/A</v>
          </cell>
          <cell r="D2746" t="str">
            <v>RH2774F10CZ</v>
          </cell>
          <cell r="E2746">
            <v>1</v>
          </cell>
        </row>
        <row r="2747">
          <cell r="C2747" t="str">
            <v>B582527/A</v>
          </cell>
          <cell r="D2747" t="str">
            <v>RH2774F190</v>
          </cell>
          <cell r="E2747">
            <v>3</v>
          </cell>
        </row>
        <row r="2748">
          <cell r="C2748" t="str">
            <v>B582528/A</v>
          </cell>
          <cell r="D2748" t="str">
            <v>RH2774F190</v>
          </cell>
          <cell r="E2748">
            <v>14</v>
          </cell>
        </row>
        <row r="2749">
          <cell r="C2749" t="str">
            <v>B582533/A</v>
          </cell>
          <cell r="D2749" t="str">
            <v>RH2902F190</v>
          </cell>
          <cell r="E2749">
            <v>5</v>
          </cell>
        </row>
        <row r="2750">
          <cell r="C2750" t="str">
            <v>B582534/A</v>
          </cell>
          <cell r="D2750" t="str">
            <v>RH2902F190</v>
          </cell>
          <cell r="E2750">
            <v>4</v>
          </cell>
        </row>
        <row r="2751">
          <cell r="C2751" t="str">
            <v>B582535/A</v>
          </cell>
          <cell r="D2751" t="str">
            <v>RH2902F190</v>
          </cell>
          <cell r="E2751">
            <v>14</v>
          </cell>
        </row>
        <row r="2752">
          <cell r="C2752" t="str">
            <v>B582536/A</v>
          </cell>
          <cell r="D2752" t="str">
            <v>RH2902F190</v>
          </cell>
          <cell r="E2752">
            <v>5</v>
          </cell>
        </row>
        <row r="2753">
          <cell r="C2753" t="str">
            <v>B582581/A</v>
          </cell>
          <cell r="D2753" t="str">
            <v>RH5528AF40</v>
          </cell>
          <cell r="E2753">
            <v>7</v>
          </cell>
        </row>
        <row r="2754">
          <cell r="C2754" t="str">
            <v>B582582/A</v>
          </cell>
          <cell r="D2754" t="str">
            <v>RH5528AF40</v>
          </cell>
          <cell r="E2754">
            <v>8</v>
          </cell>
        </row>
        <row r="2755">
          <cell r="C2755" t="str">
            <v>B582593/A</v>
          </cell>
          <cell r="D2755" t="str">
            <v>RH7383F381</v>
          </cell>
          <cell r="E2755">
            <v>2</v>
          </cell>
        </row>
        <row r="2756">
          <cell r="C2756" t="str">
            <v>B582594/A</v>
          </cell>
          <cell r="D2756" t="str">
            <v>RH7383F381</v>
          </cell>
          <cell r="E2756">
            <v>2</v>
          </cell>
        </row>
        <row r="2757">
          <cell r="C2757" t="str">
            <v>B582596/A</v>
          </cell>
          <cell r="D2757" t="str">
            <v>RH7383F382</v>
          </cell>
          <cell r="E2757">
            <v>4</v>
          </cell>
        </row>
        <row r="2758">
          <cell r="C2758" t="str">
            <v>B582598/A</v>
          </cell>
          <cell r="D2758" t="str">
            <v>RH7383F383</v>
          </cell>
          <cell r="E2758">
            <v>2</v>
          </cell>
        </row>
        <row r="2759">
          <cell r="C2759" t="str">
            <v>B582600/A</v>
          </cell>
          <cell r="D2759" t="str">
            <v>RH7384F381</v>
          </cell>
          <cell r="E2759">
            <v>1</v>
          </cell>
        </row>
        <row r="2760">
          <cell r="C2760" t="str">
            <v>B582602/A</v>
          </cell>
          <cell r="D2760" t="str">
            <v>RH7384F409</v>
          </cell>
          <cell r="E2760">
            <v>4</v>
          </cell>
        </row>
        <row r="2761">
          <cell r="C2761" t="str">
            <v>B582450/A</v>
          </cell>
          <cell r="D2761" t="str">
            <v>RH9339F424</v>
          </cell>
          <cell r="E2761">
            <v>6</v>
          </cell>
        </row>
        <row r="2762">
          <cell r="C2762" t="str">
            <v>B582451/A</v>
          </cell>
          <cell r="D2762" t="str">
            <v>RH9339F424</v>
          </cell>
          <cell r="E2762">
            <v>4</v>
          </cell>
        </row>
        <row r="2763">
          <cell r="C2763" t="str">
            <v>B582454/A</v>
          </cell>
          <cell r="D2763" t="str">
            <v>RH9339F425</v>
          </cell>
          <cell r="E2763">
            <v>2</v>
          </cell>
        </row>
        <row r="2764">
          <cell r="C2764" t="str">
            <v>B582455/A</v>
          </cell>
          <cell r="D2764" t="str">
            <v>RH9339F425</v>
          </cell>
          <cell r="E2764">
            <v>3</v>
          </cell>
        </row>
        <row r="2765">
          <cell r="C2765" t="str">
            <v>B582604/A</v>
          </cell>
          <cell r="D2765" t="str">
            <v>RH9458F424</v>
          </cell>
          <cell r="E2765">
            <v>3</v>
          </cell>
        </row>
        <row r="2766">
          <cell r="C2766" t="str">
            <v>B582607/A</v>
          </cell>
          <cell r="D2766" t="str">
            <v>RH9458F426</v>
          </cell>
          <cell r="E2766">
            <v>1</v>
          </cell>
        </row>
        <row r="2767">
          <cell r="C2767" t="str">
            <v>B582608/A</v>
          </cell>
          <cell r="D2767" t="str">
            <v>RH9458F426</v>
          </cell>
          <cell r="E2767">
            <v>6</v>
          </cell>
        </row>
        <row r="2768">
          <cell r="C2768" t="str">
            <v>B582440/A</v>
          </cell>
          <cell r="D2768" t="str">
            <v>RH9841F424</v>
          </cell>
          <cell r="E2768">
            <v>11</v>
          </cell>
        </row>
        <row r="2769">
          <cell r="C2769" t="str">
            <v>B582441/A</v>
          </cell>
          <cell r="D2769" t="str">
            <v>RH9841F424</v>
          </cell>
          <cell r="E2769">
            <v>4</v>
          </cell>
        </row>
        <row r="2770">
          <cell r="C2770" t="str">
            <v>B582442/A</v>
          </cell>
          <cell r="D2770" t="str">
            <v>RH9841F424</v>
          </cell>
          <cell r="E2770">
            <v>7</v>
          </cell>
        </row>
        <row r="2771">
          <cell r="C2771" t="str">
            <v>B582443/A</v>
          </cell>
          <cell r="D2771" t="str">
            <v>RH9841F424</v>
          </cell>
          <cell r="E2771">
            <v>5</v>
          </cell>
        </row>
        <row r="2772">
          <cell r="C2772" t="str">
            <v>B582610/A</v>
          </cell>
          <cell r="D2772" t="str">
            <v>RH9868F424</v>
          </cell>
          <cell r="E2772">
            <v>2</v>
          </cell>
        </row>
        <row r="2773">
          <cell r="C2773" t="str">
            <v>B582613/A</v>
          </cell>
          <cell r="D2773" t="str">
            <v>RH9868F425</v>
          </cell>
          <cell r="E2773">
            <v>2</v>
          </cell>
        </row>
        <row r="2774">
          <cell r="C2774" t="str">
            <v>B582614/A</v>
          </cell>
          <cell r="D2774" t="str">
            <v>RH9868F425</v>
          </cell>
          <cell r="E2774">
            <v>2</v>
          </cell>
        </row>
        <row r="2775">
          <cell r="C2775" t="str">
            <v>B583746/A</v>
          </cell>
          <cell r="D2775" t="str">
            <v>SB020NF01</v>
          </cell>
          <cell r="E2775">
            <v>25</v>
          </cell>
        </row>
        <row r="2776">
          <cell r="C2776" t="str">
            <v>B583748/A</v>
          </cell>
          <cell r="D2776" t="str">
            <v>SB033NF01</v>
          </cell>
          <cell r="E2776">
            <v>25</v>
          </cell>
        </row>
        <row r="2777">
          <cell r="C2777" t="str">
            <v>B583341/A</v>
          </cell>
          <cell r="D2777" t="str">
            <v>CT008F610-DWTP</v>
          </cell>
          <cell r="E2777">
            <v>1</v>
          </cell>
        </row>
        <row r="2778">
          <cell r="C2778" t="str">
            <v>B583345/A</v>
          </cell>
          <cell r="D2778" t="str">
            <v>CZ798F188</v>
          </cell>
          <cell r="E2778">
            <v>108</v>
          </cell>
        </row>
        <row r="2779">
          <cell r="C2779" t="str">
            <v>B583347/A</v>
          </cell>
          <cell r="D2779" t="str">
            <v>CZ798F196</v>
          </cell>
          <cell r="E2779">
            <v>108</v>
          </cell>
        </row>
        <row r="2780">
          <cell r="C2780" t="str">
            <v>B583852/A</v>
          </cell>
          <cell r="D2780" t="str">
            <v>HS5391AF1090-DRIN</v>
          </cell>
          <cell r="E2780">
            <v>11</v>
          </cell>
        </row>
        <row r="2781">
          <cell r="C2781" t="str">
            <v>B583572/A</v>
          </cell>
          <cell r="D2781" t="str">
            <v>JV011F536-DOOR</v>
          </cell>
          <cell r="E2781">
            <v>10</v>
          </cell>
        </row>
        <row r="2782">
          <cell r="C2782" t="str">
            <v>B583574/A</v>
          </cell>
          <cell r="D2782" t="str">
            <v>JV012F536-DOLH</v>
          </cell>
          <cell r="E2782">
            <v>10</v>
          </cell>
        </row>
        <row r="2783">
          <cell r="C2783" t="str">
            <v>B583577/A</v>
          </cell>
          <cell r="D2783" t="str">
            <v>JV012F536-DORH</v>
          </cell>
          <cell r="E2783">
            <v>10</v>
          </cell>
        </row>
        <row r="2784">
          <cell r="C2784" t="str">
            <v>B583744/A</v>
          </cell>
          <cell r="D2784" t="str">
            <v>MN5689N-SWAT1</v>
          </cell>
          <cell r="E2784">
            <v>75</v>
          </cell>
        </row>
        <row r="2785">
          <cell r="C2785" t="str">
            <v>B583580/A</v>
          </cell>
          <cell r="D2785" t="str">
            <v>RH7455F381.EU</v>
          </cell>
          <cell r="E2785">
            <v>108</v>
          </cell>
        </row>
        <row r="2786">
          <cell r="C2786" t="str">
            <v>B583584/A</v>
          </cell>
          <cell r="D2786" t="str">
            <v>RH7455F382.EU</v>
          </cell>
          <cell r="E2786">
            <v>108</v>
          </cell>
        </row>
        <row r="2787">
          <cell r="C2787" t="str">
            <v>B583587/A</v>
          </cell>
          <cell r="D2787" t="str">
            <v>RH7455F383.EU</v>
          </cell>
          <cell r="E2787">
            <v>108</v>
          </cell>
        </row>
        <row r="2788">
          <cell r="C2788" t="str">
            <v>B583589/A</v>
          </cell>
          <cell r="D2788" t="str">
            <v>RH7455F409.EU</v>
          </cell>
          <cell r="E2788">
            <v>108</v>
          </cell>
        </row>
        <row r="2789">
          <cell r="C2789" t="str">
            <v>B583591/A</v>
          </cell>
          <cell r="D2789" t="str">
            <v>RH9950F423.EU</v>
          </cell>
          <cell r="E2789">
            <v>108</v>
          </cell>
        </row>
        <row r="2790">
          <cell r="C2790" t="str">
            <v>B583603/A</v>
          </cell>
          <cell r="D2790" t="str">
            <v>RH9950F424</v>
          </cell>
          <cell r="E2790">
            <v>108</v>
          </cell>
        </row>
        <row r="2791">
          <cell r="C2791" t="str">
            <v>B583133/A</v>
          </cell>
          <cell r="D2791" t="str">
            <v>RH7022M00</v>
          </cell>
          <cell r="E2791">
            <v>1</v>
          </cell>
        </row>
        <row r="2792">
          <cell r="C2792" t="str">
            <v>B583489/A</v>
          </cell>
          <cell r="D2792" t="str">
            <v>AT481F00</v>
          </cell>
          <cell r="E2792">
            <v>25</v>
          </cell>
        </row>
        <row r="2793">
          <cell r="C2793" t="str">
            <v>B583490/A</v>
          </cell>
          <cell r="D2793" t="str">
            <v>AT481F00</v>
          </cell>
          <cell r="E2793">
            <v>25</v>
          </cell>
        </row>
        <row r="2794">
          <cell r="C2794" t="str">
            <v>B583503/A</v>
          </cell>
          <cell r="D2794" t="str">
            <v>AT628F00</v>
          </cell>
          <cell r="E2794">
            <v>30</v>
          </cell>
        </row>
        <row r="2795">
          <cell r="C2795" t="str">
            <v>B584104/A</v>
          </cell>
          <cell r="D2795" t="str">
            <v>BN1095AF1226</v>
          </cell>
          <cell r="E2795">
            <v>24</v>
          </cell>
        </row>
        <row r="2796">
          <cell r="C2796" t="str">
            <v>B584106/A</v>
          </cell>
          <cell r="D2796" t="str">
            <v>BN1098AF1226</v>
          </cell>
          <cell r="E2796">
            <v>25</v>
          </cell>
        </row>
        <row r="2797">
          <cell r="C2797" t="str">
            <v>B584102/A</v>
          </cell>
          <cell r="D2797" t="str">
            <v>BN1506AF1226</v>
          </cell>
          <cell r="E2797">
            <v>22</v>
          </cell>
        </row>
        <row r="2798">
          <cell r="C2798" t="str">
            <v>B583153/A</v>
          </cell>
          <cell r="D2798" t="str">
            <v>BN238AF1227</v>
          </cell>
          <cell r="E2798">
            <v>25</v>
          </cell>
        </row>
        <row r="2799">
          <cell r="C2799" t="str">
            <v>B583155/A</v>
          </cell>
          <cell r="D2799" t="str">
            <v>BN278AF1227</v>
          </cell>
          <cell r="E2799">
            <v>25</v>
          </cell>
        </row>
        <row r="2800">
          <cell r="C2800" t="str">
            <v>B583157/A</v>
          </cell>
          <cell r="D2800" t="str">
            <v>RD1146AF1228</v>
          </cell>
          <cell r="E2800">
            <v>25</v>
          </cell>
        </row>
        <row r="2801">
          <cell r="C2801" t="str">
            <v>B583621/A</v>
          </cell>
          <cell r="D2801" t="str">
            <v>RH10011F423</v>
          </cell>
          <cell r="E2801">
            <v>2</v>
          </cell>
        </row>
        <row r="2802">
          <cell r="C2802" t="str">
            <v>B583623/A</v>
          </cell>
          <cell r="D2802" t="str">
            <v>RH10011F423</v>
          </cell>
          <cell r="E2802">
            <v>3</v>
          </cell>
        </row>
        <row r="2803">
          <cell r="C2803" t="str">
            <v>B583626/A</v>
          </cell>
          <cell r="D2803" t="str">
            <v>RH10011F424</v>
          </cell>
          <cell r="E2803">
            <v>13</v>
          </cell>
        </row>
        <row r="2804">
          <cell r="C2804" t="str">
            <v>B583627/A</v>
          </cell>
          <cell r="D2804" t="str">
            <v>RH10011F424</v>
          </cell>
          <cell r="E2804">
            <v>5</v>
          </cell>
        </row>
        <row r="2805">
          <cell r="C2805" t="str">
            <v>B583642/A</v>
          </cell>
          <cell r="D2805" t="str">
            <v>RH10011F425</v>
          </cell>
          <cell r="E2805">
            <v>9</v>
          </cell>
        </row>
        <row r="2806">
          <cell r="C2806" t="str">
            <v>B583644/A</v>
          </cell>
          <cell r="D2806" t="str">
            <v>RH10011F425</v>
          </cell>
          <cell r="E2806">
            <v>4</v>
          </cell>
        </row>
        <row r="2807">
          <cell r="C2807" t="str">
            <v>B583645/A</v>
          </cell>
          <cell r="D2807" t="str">
            <v>RH10011F425</v>
          </cell>
          <cell r="E2807">
            <v>10</v>
          </cell>
        </row>
        <row r="2808">
          <cell r="C2808" t="str">
            <v>B583646/A</v>
          </cell>
          <cell r="D2808" t="str">
            <v>RH10011F425</v>
          </cell>
          <cell r="E2808">
            <v>4</v>
          </cell>
        </row>
        <row r="2809">
          <cell r="C2809" t="str">
            <v>B583664/A</v>
          </cell>
          <cell r="D2809" t="str">
            <v>RH9533F425</v>
          </cell>
          <cell r="E2809">
            <v>3</v>
          </cell>
        </row>
        <row r="2810">
          <cell r="C2810" t="str">
            <v>B583666/A</v>
          </cell>
          <cell r="D2810" t="str">
            <v>RH9533F425</v>
          </cell>
          <cell r="E2810">
            <v>7</v>
          </cell>
        </row>
        <row r="2811">
          <cell r="C2811" t="str">
            <v>B583669/A</v>
          </cell>
          <cell r="D2811" t="str">
            <v>RH9533F426</v>
          </cell>
          <cell r="E2811">
            <v>5</v>
          </cell>
        </row>
        <row r="2812">
          <cell r="C2812" t="str">
            <v>B583674/A</v>
          </cell>
          <cell r="D2812" t="str">
            <v>RH9842F423</v>
          </cell>
          <cell r="E2812">
            <v>3</v>
          </cell>
        </row>
        <row r="2813">
          <cell r="C2813" t="str">
            <v>B583676/A</v>
          </cell>
          <cell r="D2813" t="str">
            <v>RH9842F423</v>
          </cell>
          <cell r="E2813">
            <v>8</v>
          </cell>
        </row>
        <row r="2814">
          <cell r="C2814" t="str">
            <v>B583677/A</v>
          </cell>
          <cell r="D2814" t="str">
            <v>RH9842F423</v>
          </cell>
          <cell r="E2814">
            <v>10</v>
          </cell>
        </row>
        <row r="2815">
          <cell r="C2815" t="str">
            <v>B583681/A</v>
          </cell>
          <cell r="D2815" t="str">
            <v>RH9842F425</v>
          </cell>
          <cell r="E2815">
            <v>2</v>
          </cell>
        </row>
        <row r="2816">
          <cell r="C2816" t="str">
            <v>B583687/A</v>
          </cell>
          <cell r="D2816" t="str">
            <v>RH9842F426</v>
          </cell>
          <cell r="E2816">
            <v>14</v>
          </cell>
        </row>
        <row r="2817">
          <cell r="C2817" t="str">
            <v>B583688/A</v>
          </cell>
          <cell r="D2817" t="str">
            <v>RH9842F426</v>
          </cell>
          <cell r="E2817">
            <v>6</v>
          </cell>
        </row>
        <row r="2818">
          <cell r="C2818" t="str">
            <v>B583689/A</v>
          </cell>
          <cell r="D2818" t="str">
            <v>RH9842F426</v>
          </cell>
          <cell r="E2818">
            <v>13</v>
          </cell>
        </row>
        <row r="2819">
          <cell r="C2819" t="str">
            <v>B583690/A</v>
          </cell>
          <cell r="D2819" t="str">
            <v>RH9842F426</v>
          </cell>
          <cell r="E2819">
            <v>7</v>
          </cell>
        </row>
        <row r="2820">
          <cell r="C2820" t="str">
            <v>B583366/A</v>
          </cell>
          <cell r="D2820" t="str">
            <v>AR721F892-BASE2</v>
          </cell>
          <cell r="E2820">
            <v>35</v>
          </cell>
        </row>
        <row r="2821">
          <cell r="C2821" t="str">
            <v>B583368/A</v>
          </cell>
          <cell r="D2821" t="str">
            <v>AR721F892-TOP</v>
          </cell>
          <cell r="E2821">
            <v>35</v>
          </cell>
        </row>
        <row r="2822">
          <cell r="C2822" t="str">
            <v>B583371/A</v>
          </cell>
          <cell r="D2822" t="str">
            <v>AR724F892-BASE</v>
          </cell>
          <cell r="E2822">
            <v>18</v>
          </cell>
        </row>
        <row r="2823">
          <cell r="C2823" t="str">
            <v>B583372/A</v>
          </cell>
          <cell r="D2823" t="str">
            <v>AR724F892-BASE</v>
          </cell>
          <cell r="E2823">
            <v>7</v>
          </cell>
        </row>
        <row r="2824">
          <cell r="C2824" t="str">
            <v>B583375/A</v>
          </cell>
          <cell r="D2824" t="str">
            <v>AR724F892-TOP</v>
          </cell>
          <cell r="E2824">
            <v>18</v>
          </cell>
        </row>
        <row r="2825">
          <cell r="C2825" t="str">
            <v>B583376/A</v>
          </cell>
          <cell r="D2825" t="str">
            <v>AR724F892-TOP</v>
          </cell>
          <cell r="E2825">
            <v>7</v>
          </cell>
        </row>
        <row r="2826">
          <cell r="C2826" t="str">
            <v>B583382/A</v>
          </cell>
          <cell r="D2826" t="str">
            <v>AR978AF1221</v>
          </cell>
          <cell r="E2826">
            <v>56</v>
          </cell>
        </row>
        <row r="2827">
          <cell r="C2827" t="str">
            <v>B583386/A</v>
          </cell>
          <cell r="D2827" t="str">
            <v>AR980AF1221</v>
          </cell>
          <cell r="E2827">
            <v>5</v>
          </cell>
        </row>
        <row r="2828">
          <cell r="C2828" t="str">
            <v>B583387/A</v>
          </cell>
          <cell r="D2828" t="str">
            <v>AR980AF1221</v>
          </cell>
          <cell r="E2828">
            <v>2</v>
          </cell>
        </row>
        <row r="2829">
          <cell r="C2829" t="str">
            <v>B583388/A</v>
          </cell>
          <cell r="D2829" t="str">
            <v>AR980AF1221</v>
          </cell>
          <cell r="E2829">
            <v>10</v>
          </cell>
        </row>
        <row r="2830">
          <cell r="C2830" t="str">
            <v>B583392/A</v>
          </cell>
          <cell r="D2830" t="str">
            <v>AR981AF1221</v>
          </cell>
          <cell r="E2830">
            <v>6</v>
          </cell>
        </row>
        <row r="2831">
          <cell r="C2831" t="str">
            <v>B583393/A</v>
          </cell>
          <cell r="D2831" t="str">
            <v>AR981AF1221</v>
          </cell>
          <cell r="E2831">
            <v>7</v>
          </cell>
        </row>
        <row r="2832">
          <cell r="C2832" t="str">
            <v>B583394/A</v>
          </cell>
          <cell r="D2832" t="str">
            <v>AR981AF1221</v>
          </cell>
          <cell r="E2832">
            <v>18</v>
          </cell>
        </row>
        <row r="2833">
          <cell r="C2833" t="str">
            <v>B584509/A</v>
          </cell>
          <cell r="D2833" t="str">
            <v>AT479NF00</v>
          </cell>
          <cell r="E2833">
            <v>25</v>
          </cell>
        </row>
        <row r="2834">
          <cell r="C2834" t="str">
            <v>B584510/A</v>
          </cell>
          <cell r="D2834" t="str">
            <v>AT479NF00</v>
          </cell>
          <cell r="E2834">
            <v>25</v>
          </cell>
        </row>
        <row r="2835">
          <cell r="C2835" t="str">
            <v>B584524/A</v>
          </cell>
          <cell r="D2835" t="str">
            <v>AT479NF00</v>
          </cell>
          <cell r="E2835">
            <v>25</v>
          </cell>
        </row>
        <row r="2836">
          <cell r="C2836" t="str">
            <v>B583343/A</v>
          </cell>
          <cell r="D2836" t="str">
            <v>BN1881AF1231</v>
          </cell>
          <cell r="E2836">
            <v>17</v>
          </cell>
        </row>
        <row r="2837">
          <cell r="C2837" t="str">
            <v>B584520/A</v>
          </cell>
          <cell r="D2837" t="str">
            <v>CZ850F381</v>
          </cell>
          <cell r="E2837">
            <v>5</v>
          </cell>
        </row>
        <row r="2838">
          <cell r="C2838" t="str">
            <v>B584518/A</v>
          </cell>
          <cell r="D2838" t="str">
            <v>CZ902F188</v>
          </cell>
          <cell r="E2838">
            <v>9</v>
          </cell>
        </row>
        <row r="2839">
          <cell r="C2839" t="str">
            <v>B584522/A</v>
          </cell>
          <cell r="D2839" t="str">
            <v>CZ902F381</v>
          </cell>
          <cell r="E2839">
            <v>11</v>
          </cell>
        </row>
        <row r="2840">
          <cell r="C2840" t="str">
            <v>B584405/A</v>
          </cell>
          <cell r="D2840" t="str">
            <v>RH10024F423</v>
          </cell>
          <cell r="E2840">
            <v>1</v>
          </cell>
        </row>
        <row r="2841">
          <cell r="C2841" t="str">
            <v>B584407/A</v>
          </cell>
          <cell r="D2841" t="str">
            <v>RH10024F424</v>
          </cell>
          <cell r="E2841">
            <v>4</v>
          </cell>
        </row>
        <row r="2842">
          <cell r="C2842" t="str">
            <v>B584402/A</v>
          </cell>
          <cell r="D2842" t="str">
            <v>RH10024F426</v>
          </cell>
          <cell r="E2842">
            <v>9</v>
          </cell>
        </row>
        <row r="2843">
          <cell r="C2843" t="str">
            <v>B584403/A</v>
          </cell>
          <cell r="D2843" t="str">
            <v>RH10024F426</v>
          </cell>
          <cell r="E2843">
            <v>4</v>
          </cell>
        </row>
        <row r="2844">
          <cell r="C2844" t="str">
            <v>B583650/A</v>
          </cell>
          <cell r="D2844" t="str">
            <v>RH10025F423</v>
          </cell>
          <cell r="E2844">
            <v>3</v>
          </cell>
        </row>
        <row r="2845">
          <cell r="C2845" t="str">
            <v>B583651/A</v>
          </cell>
          <cell r="D2845" t="str">
            <v>RH10025F423</v>
          </cell>
          <cell r="E2845">
            <v>2</v>
          </cell>
        </row>
        <row r="2846">
          <cell r="C2846" t="str">
            <v>B583653/A</v>
          </cell>
          <cell r="D2846" t="str">
            <v>RH10025F424</v>
          </cell>
          <cell r="E2846">
            <v>3</v>
          </cell>
        </row>
        <row r="2847">
          <cell r="C2847" t="str">
            <v>B583655/A</v>
          </cell>
          <cell r="D2847" t="str">
            <v>RH10025F425</v>
          </cell>
          <cell r="E2847">
            <v>1</v>
          </cell>
        </row>
        <row r="2848">
          <cell r="C2848" t="str">
            <v>B583658/A</v>
          </cell>
          <cell r="D2848" t="str">
            <v>RH10025F426</v>
          </cell>
          <cell r="E2848">
            <v>1</v>
          </cell>
        </row>
        <row r="2849">
          <cell r="C2849" t="str">
            <v>B583659/A</v>
          </cell>
          <cell r="D2849" t="str">
            <v>RH10025F426</v>
          </cell>
          <cell r="E2849">
            <v>5</v>
          </cell>
        </row>
        <row r="2850">
          <cell r="C2850" t="str">
            <v>B584512/A</v>
          </cell>
          <cell r="D2850" t="str">
            <v>RH2562F01-BASE</v>
          </cell>
          <cell r="E2850">
            <v>9</v>
          </cell>
        </row>
        <row r="2851">
          <cell r="C2851" t="str">
            <v>B584516/A</v>
          </cell>
          <cell r="D2851" t="str">
            <v>RH2562F02-BASE</v>
          </cell>
          <cell r="E2851">
            <v>2</v>
          </cell>
        </row>
        <row r="2852">
          <cell r="C2852" t="str">
            <v>B584514/A</v>
          </cell>
          <cell r="D2852" t="str">
            <v>RH2562F03-BASE</v>
          </cell>
          <cell r="E2852">
            <v>7</v>
          </cell>
        </row>
        <row r="2853">
          <cell r="C2853" t="str">
            <v>B584503/A</v>
          </cell>
          <cell r="D2853" t="str">
            <v>RH7587F374TR-31931</v>
          </cell>
          <cell r="E2853">
            <v>34</v>
          </cell>
        </row>
        <row r="2854">
          <cell r="C2854" t="str">
            <v>B583697/A</v>
          </cell>
          <cell r="D2854" t="str">
            <v>RH9988F424</v>
          </cell>
          <cell r="E2854">
            <v>1</v>
          </cell>
        </row>
        <row r="2855">
          <cell r="C2855" t="str">
            <v>B583699/A</v>
          </cell>
          <cell r="D2855" t="str">
            <v>RH9988F424</v>
          </cell>
          <cell r="E2855">
            <v>8</v>
          </cell>
        </row>
        <row r="2856">
          <cell r="C2856" t="str">
            <v>B583713/A</v>
          </cell>
          <cell r="D2856" t="str">
            <v>RH9988F425</v>
          </cell>
          <cell r="E2856">
            <v>8</v>
          </cell>
        </row>
        <row r="2857">
          <cell r="C2857" t="str">
            <v>B583714/A</v>
          </cell>
          <cell r="D2857" t="str">
            <v>RH9988F425</v>
          </cell>
          <cell r="E2857">
            <v>3</v>
          </cell>
        </row>
        <row r="2858">
          <cell r="C2858" t="str">
            <v>B583715/A</v>
          </cell>
          <cell r="D2858" t="str">
            <v>RH9988F425</v>
          </cell>
          <cell r="E2858">
            <v>8</v>
          </cell>
        </row>
        <row r="2859">
          <cell r="C2859" t="str">
            <v>B583716/A</v>
          </cell>
          <cell r="D2859" t="str">
            <v>RH9988F425</v>
          </cell>
          <cell r="E2859">
            <v>3</v>
          </cell>
        </row>
        <row r="2860">
          <cell r="C2860" t="str">
            <v>B583719/A</v>
          </cell>
          <cell r="D2860" t="str">
            <v>RH9988F426</v>
          </cell>
          <cell r="E2860">
            <v>5</v>
          </cell>
        </row>
        <row r="2861">
          <cell r="C2861" t="str">
            <v>B583720/A</v>
          </cell>
          <cell r="D2861" t="str">
            <v>RH9988F426</v>
          </cell>
          <cell r="E2861">
            <v>2</v>
          </cell>
        </row>
        <row r="2862">
          <cell r="C2862" t="str">
            <v>B584485/A</v>
          </cell>
          <cell r="D2862" t="str">
            <v>RH5200M00</v>
          </cell>
          <cell r="E2862">
            <v>2</v>
          </cell>
        </row>
        <row r="2863">
          <cell r="C2863" t="str">
            <v>B584643/A</v>
          </cell>
          <cell r="D2863" t="str">
            <v>AR165F1039</v>
          </cell>
          <cell r="E2863">
            <v>23</v>
          </cell>
        </row>
        <row r="2864">
          <cell r="C2864" t="str">
            <v>B584644/A</v>
          </cell>
          <cell r="D2864" t="str">
            <v>AR165F1039</v>
          </cell>
          <cell r="E2864">
            <v>2</v>
          </cell>
        </row>
        <row r="2865">
          <cell r="C2865" t="str">
            <v>B584655/A</v>
          </cell>
          <cell r="D2865" t="str">
            <v>AR978AF1221</v>
          </cell>
          <cell r="E2865">
            <v>59</v>
          </cell>
        </row>
        <row r="2866">
          <cell r="C2866" t="str">
            <v>B584769/A</v>
          </cell>
          <cell r="D2866" t="str">
            <v>AR978AF1221</v>
          </cell>
          <cell r="E2866">
            <v>58</v>
          </cell>
        </row>
        <row r="2867">
          <cell r="C2867" t="str">
            <v>B584658/A</v>
          </cell>
          <cell r="D2867" t="str">
            <v>AT384F888-VE</v>
          </cell>
          <cell r="E2867">
            <v>60</v>
          </cell>
        </row>
        <row r="2868">
          <cell r="C2868" t="str">
            <v>B584659/A</v>
          </cell>
          <cell r="D2868" t="str">
            <v>AT384F888-VE</v>
          </cell>
          <cell r="E2868">
            <v>4</v>
          </cell>
        </row>
        <row r="2869">
          <cell r="C2869" t="str">
            <v>B584662/A</v>
          </cell>
          <cell r="D2869" t="str">
            <v>AT479NF1310</v>
          </cell>
          <cell r="E2869">
            <v>20</v>
          </cell>
        </row>
        <row r="2870">
          <cell r="C2870" t="str">
            <v>B584663/A</v>
          </cell>
          <cell r="D2870" t="str">
            <v>AT479NF1310</v>
          </cell>
          <cell r="E2870">
            <v>2</v>
          </cell>
        </row>
        <row r="2871">
          <cell r="C2871" t="str">
            <v>B584667/A</v>
          </cell>
          <cell r="D2871" t="str">
            <v>AT522NF00</v>
          </cell>
          <cell r="E2871">
            <v>25</v>
          </cell>
        </row>
        <row r="2872">
          <cell r="C2872" t="str">
            <v>B584669/A</v>
          </cell>
          <cell r="D2872" t="str">
            <v>AT522NF00</v>
          </cell>
          <cell r="E2872">
            <v>25</v>
          </cell>
        </row>
        <row r="2873">
          <cell r="C2873" t="str">
            <v>B584673/A</v>
          </cell>
          <cell r="D2873" t="str">
            <v>AT534NF943</v>
          </cell>
          <cell r="E2873">
            <v>40</v>
          </cell>
        </row>
        <row r="2874">
          <cell r="C2874" t="str">
            <v>B584674/A</v>
          </cell>
          <cell r="D2874" t="str">
            <v>AT534NF943</v>
          </cell>
          <cell r="E2874">
            <v>3</v>
          </cell>
        </row>
        <row r="2875">
          <cell r="C2875" t="str">
            <v>B584676/A</v>
          </cell>
          <cell r="D2875" t="str">
            <v>AT665NF1310</v>
          </cell>
          <cell r="E2875">
            <v>25</v>
          </cell>
        </row>
        <row r="2876">
          <cell r="C2876" t="str">
            <v>B584684/A</v>
          </cell>
          <cell r="D2876" t="str">
            <v>AT676F1089</v>
          </cell>
          <cell r="E2876">
            <v>50</v>
          </cell>
        </row>
        <row r="2877">
          <cell r="C2877" t="str">
            <v>B584685/A</v>
          </cell>
          <cell r="D2877" t="str">
            <v>AT676F1089</v>
          </cell>
          <cell r="E2877">
            <v>11</v>
          </cell>
        </row>
        <row r="2878">
          <cell r="C2878" t="str">
            <v>B584686/A</v>
          </cell>
          <cell r="D2878" t="str">
            <v>AT676F1089</v>
          </cell>
          <cell r="E2878">
            <v>8</v>
          </cell>
        </row>
        <row r="2879">
          <cell r="C2879" t="str">
            <v>B584688/A</v>
          </cell>
          <cell r="D2879" t="str">
            <v>AT676F535</v>
          </cell>
          <cell r="E2879">
            <v>60</v>
          </cell>
        </row>
        <row r="2880">
          <cell r="C2880" t="str">
            <v>B584691/A</v>
          </cell>
          <cell r="D2880" t="str">
            <v>AT688F877</v>
          </cell>
          <cell r="E2880">
            <v>25</v>
          </cell>
        </row>
        <row r="2881">
          <cell r="C2881" t="str">
            <v>B584692/A</v>
          </cell>
          <cell r="D2881" t="str">
            <v>AT688F877</v>
          </cell>
          <cell r="E2881">
            <v>25</v>
          </cell>
        </row>
        <row r="2882">
          <cell r="C2882" t="str">
            <v>B583151/A</v>
          </cell>
          <cell r="D2882" t="str">
            <v>BN012F01</v>
          </cell>
          <cell r="E2882">
            <v>125</v>
          </cell>
        </row>
        <row r="2883">
          <cell r="C2883" t="str">
            <v>B584695/A</v>
          </cell>
          <cell r="D2883" t="str">
            <v>BN1881AF1231</v>
          </cell>
          <cell r="E2883">
            <v>21</v>
          </cell>
        </row>
        <row r="2884">
          <cell r="C2884" t="str">
            <v>B584696/A</v>
          </cell>
          <cell r="D2884" t="str">
            <v>BN1881AF1231</v>
          </cell>
          <cell r="E2884">
            <v>1</v>
          </cell>
        </row>
        <row r="2885">
          <cell r="C2885" t="str">
            <v>B584698/A</v>
          </cell>
          <cell r="D2885" t="str">
            <v>BN2399CF746</v>
          </cell>
          <cell r="E2885">
            <v>30</v>
          </cell>
        </row>
        <row r="2886">
          <cell r="C2886" t="str">
            <v>B584706/A</v>
          </cell>
          <cell r="D2886" t="str">
            <v>DL018F837</v>
          </cell>
          <cell r="E2886">
            <v>50</v>
          </cell>
        </row>
        <row r="2887">
          <cell r="C2887" t="str">
            <v>B584702/A</v>
          </cell>
          <cell r="D2887" t="str">
            <v>JV047F1212</v>
          </cell>
          <cell r="E2887">
            <v>25</v>
          </cell>
        </row>
        <row r="2888">
          <cell r="C2888" t="str">
            <v>B584704/A</v>
          </cell>
          <cell r="D2888" t="str">
            <v>MH1086CNF01</v>
          </cell>
          <cell r="E2888">
            <v>25</v>
          </cell>
        </row>
        <row r="2889">
          <cell r="C2889" t="str">
            <v>B584708/A</v>
          </cell>
          <cell r="D2889" t="str">
            <v>MH168F01</v>
          </cell>
          <cell r="E2889">
            <v>25</v>
          </cell>
        </row>
        <row r="2890">
          <cell r="C2890" t="str">
            <v>B584710/A</v>
          </cell>
          <cell r="D2890" t="str">
            <v>MH438CF1099</v>
          </cell>
          <cell r="E2890">
            <v>25</v>
          </cell>
        </row>
        <row r="2891">
          <cell r="C2891" t="str">
            <v>B584712/A</v>
          </cell>
          <cell r="D2891" t="str">
            <v>MH650-QF01</v>
          </cell>
          <cell r="E2891">
            <v>10</v>
          </cell>
        </row>
        <row r="2892">
          <cell r="C2892" t="str">
            <v>B584714/A</v>
          </cell>
          <cell r="D2892" t="str">
            <v>MN5879KF1010-F</v>
          </cell>
          <cell r="E2892">
            <v>15</v>
          </cell>
        </row>
        <row r="2893">
          <cell r="C2893" t="str">
            <v>B584716/A</v>
          </cell>
          <cell r="D2893" t="str">
            <v>MN5879KF1010-H</v>
          </cell>
          <cell r="E2893">
            <v>15</v>
          </cell>
        </row>
        <row r="2894">
          <cell r="C2894" t="str">
            <v>B584718/A</v>
          </cell>
          <cell r="D2894" t="str">
            <v>MN5879KF1010-R</v>
          </cell>
          <cell r="E2894">
            <v>15</v>
          </cell>
        </row>
        <row r="2895">
          <cell r="C2895" t="str">
            <v>B584720/A</v>
          </cell>
          <cell r="D2895" t="str">
            <v>MN5879QF1010-F</v>
          </cell>
          <cell r="E2895">
            <v>15</v>
          </cell>
        </row>
        <row r="2896">
          <cell r="C2896" t="str">
            <v>B584722/A</v>
          </cell>
          <cell r="D2896" t="str">
            <v>MN5879QF1010-H</v>
          </cell>
          <cell r="E2896">
            <v>15</v>
          </cell>
        </row>
        <row r="2897">
          <cell r="C2897" t="str">
            <v>B584724/A</v>
          </cell>
          <cell r="D2897" t="str">
            <v>MN5879QF1010-R</v>
          </cell>
          <cell r="E2897">
            <v>15</v>
          </cell>
        </row>
        <row r="2898">
          <cell r="C2898" t="str">
            <v>B584773/A</v>
          </cell>
          <cell r="D2898" t="str">
            <v>RH10025F425</v>
          </cell>
          <cell r="E2898">
            <v>15</v>
          </cell>
        </row>
        <row r="2899">
          <cell r="C2899" t="str">
            <v>B584776/A</v>
          </cell>
          <cell r="D2899" t="str">
            <v>RH10091F384</v>
          </cell>
          <cell r="E2899">
            <v>81</v>
          </cell>
        </row>
        <row r="2900">
          <cell r="C2900" t="str">
            <v>B584780/A</v>
          </cell>
          <cell r="D2900" t="str">
            <v>RH10092F382</v>
          </cell>
          <cell r="E2900">
            <v>59</v>
          </cell>
        </row>
        <row r="2901">
          <cell r="C2901" t="str">
            <v>B584784/A</v>
          </cell>
          <cell r="D2901" t="str">
            <v>RH9531AF426</v>
          </cell>
          <cell r="E2901">
            <v>15</v>
          </cell>
        </row>
        <row r="2902">
          <cell r="C2902" t="str">
            <v>B584787/A</v>
          </cell>
          <cell r="D2902" t="str">
            <v>RH9842F424</v>
          </cell>
          <cell r="E2902">
            <v>19</v>
          </cell>
        </row>
        <row r="2903">
          <cell r="C2903" t="str">
            <v>B584973/A</v>
          </cell>
          <cell r="D2903" t="str">
            <v>RH9864F426</v>
          </cell>
          <cell r="E2903">
            <v>15</v>
          </cell>
        </row>
        <row r="2904">
          <cell r="C2904" t="str">
            <v>B584726/A</v>
          </cell>
          <cell r="D2904" t="str">
            <v>SB027NF01</v>
          </cell>
          <cell r="E2904">
            <v>25</v>
          </cell>
        </row>
        <row r="2905">
          <cell r="C2905" t="str">
            <v>B584609/A</v>
          </cell>
          <cell r="D2905" t="str">
            <v>AR865F1233-SWAT1</v>
          </cell>
          <cell r="E2905">
            <v>125</v>
          </cell>
        </row>
        <row r="2906">
          <cell r="C2906" t="str">
            <v>B584611/A</v>
          </cell>
          <cell r="D2906" t="str">
            <v>AR865F1233-SWAT2</v>
          </cell>
          <cell r="E2906">
            <v>500</v>
          </cell>
        </row>
        <row r="2907">
          <cell r="C2907" t="str">
            <v>B584605/A</v>
          </cell>
          <cell r="D2907" t="str">
            <v>DL016WF836-SHBT</v>
          </cell>
          <cell r="E2907">
            <v>2</v>
          </cell>
        </row>
        <row r="2908">
          <cell r="C2908" t="str">
            <v>B584607/A</v>
          </cell>
          <cell r="D2908" t="str">
            <v>JV033F1165-DOORS</v>
          </cell>
          <cell r="E2908">
            <v>3</v>
          </cell>
        </row>
        <row r="2909">
          <cell r="C2909" t="str">
            <v>B584613/A</v>
          </cell>
          <cell r="D2909" t="str">
            <v>RH1760F29.BC</v>
          </cell>
          <cell r="E2909">
            <v>30</v>
          </cell>
        </row>
        <row r="2910">
          <cell r="C2910" t="str">
            <v>B584615/A</v>
          </cell>
          <cell r="D2910" t="str">
            <v>RH1762F40</v>
          </cell>
          <cell r="E2910">
            <v>30</v>
          </cell>
        </row>
        <row r="2911">
          <cell r="C2911" t="str">
            <v>B584617/A</v>
          </cell>
          <cell r="D2911" t="str">
            <v>RH315F05</v>
          </cell>
          <cell r="E2911">
            <v>10</v>
          </cell>
        </row>
        <row r="2912">
          <cell r="C2912" t="str">
            <v>B584619/A</v>
          </cell>
          <cell r="D2912" t="str">
            <v>RH9950F424.EU</v>
          </cell>
          <cell r="E2912">
            <v>108</v>
          </cell>
        </row>
        <row r="2913">
          <cell r="C2913" t="str">
            <v>B584640/A</v>
          </cell>
          <cell r="D2913" t="str">
            <v>RH9950F425.EU</v>
          </cell>
          <cell r="E2913">
            <v>108</v>
          </cell>
        </row>
        <row r="2914">
          <cell r="C2914" t="str">
            <v>B585084/A</v>
          </cell>
          <cell r="D2914" t="str">
            <v>RH9426F336TR</v>
          </cell>
          <cell r="E2914">
            <v>5</v>
          </cell>
        </row>
        <row r="2915">
          <cell r="C2915" t="str">
            <v>B585086/A</v>
          </cell>
          <cell r="D2915" t="str">
            <v>RH9427F336TR</v>
          </cell>
          <cell r="E2915">
            <v>5</v>
          </cell>
        </row>
        <row r="2916">
          <cell r="C2916" t="str">
            <v>B585315/A</v>
          </cell>
          <cell r="D2916" t="str">
            <v>AT479NF00</v>
          </cell>
          <cell r="E2916">
            <v>50</v>
          </cell>
        </row>
        <row r="2917">
          <cell r="C2917" t="str">
            <v>B585311/A</v>
          </cell>
          <cell r="D2917" t="str">
            <v>AT479NF00</v>
          </cell>
          <cell r="E2917">
            <v>50</v>
          </cell>
        </row>
        <row r="2918">
          <cell r="C2918" t="str">
            <v>B585312/A</v>
          </cell>
          <cell r="D2918" t="str">
            <v>AT479NF00</v>
          </cell>
          <cell r="E2918">
            <v>25</v>
          </cell>
        </row>
        <row r="2919">
          <cell r="C2919" t="str">
            <v>B585313/A</v>
          </cell>
          <cell r="D2919" t="str">
            <v>AT479NF00</v>
          </cell>
          <cell r="E2919">
            <v>50</v>
          </cell>
        </row>
        <row r="2920">
          <cell r="C2920" t="str">
            <v>B585314/A</v>
          </cell>
          <cell r="D2920" t="str">
            <v>AT479NF00</v>
          </cell>
          <cell r="E2920">
            <v>50</v>
          </cell>
        </row>
        <row r="2921">
          <cell r="C2921" t="str">
            <v>B585184/A</v>
          </cell>
          <cell r="D2921" t="str">
            <v>AT479NF1305</v>
          </cell>
          <cell r="E2921">
            <v>25</v>
          </cell>
        </row>
        <row r="2922">
          <cell r="C2922" t="str">
            <v>B585318/A</v>
          </cell>
          <cell r="D2922" t="str">
            <v>AT481F00</v>
          </cell>
          <cell r="E2922">
            <v>50</v>
          </cell>
        </row>
        <row r="2923">
          <cell r="C2923" t="str">
            <v>B585319/A</v>
          </cell>
          <cell r="D2923" t="str">
            <v>AT481F00</v>
          </cell>
          <cell r="E2923">
            <v>50</v>
          </cell>
        </row>
        <row r="2924">
          <cell r="C2924" t="str">
            <v>B585187/A</v>
          </cell>
          <cell r="D2924" t="str">
            <v>AT481F1305</v>
          </cell>
          <cell r="E2924">
            <v>30</v>
          </cell>
        </row>
        <row r="2925">
          <cell r="C2925" t="str">
            <v>B585190/A</v>
          </cell>
          <cell r="D2925" t="str">
            <v>AT481F1305</v>
          </cell>
          <cell r="E2925">
            <v>8</v>
          </cell>
        </row>
        <row r="2926">
          <cell r="C2926" t="str">
            <v>B585189/A</v>
          </cell>
          <cell r="D2926" t="str">
            <v>AT522NF1305</v>
          </cell>
          <cell r="E2926">
            <v>25</v>
          </cell>
        </row>
        <row r="2927">
          <cell r="C2927" t="str">
            <v>B585194/A</v>
          </cell>
          <cell r="D2927" t="str">
            <v>AT522NF1305</v>
          </cell>
          <cell r="E2927">
            <v>4</v>
          </cell>
        </row>
        <row r="2928">
          <cell r="C2928" t="str">
            <v>B585195/A</v>
          </cell>
          <cell r="D2928" t="str">
            <v>AT522NF1305</v>
          </cell>
          <cell r="E2928">
            <v>4</v>
          </cell>
        </row>
        <row r="2929">
          <cell r="C2929" t="str">
            <v>B585323/A</v>
          </cell>
          <cell r="D2929" t="str">
            <v>AT665NF00</v>
          </cell>
          <cell r="E2929">
            <v>50</v>
          </cell>
        </row>
        <row r="2930">
          <cell r="C2930" t="str">
            <v>B585322/A</v>
          </cell>
          <cell r="D2930" t="str">
            <v>AT665NF00</v>
          </cell>
          <cell r="E2930">
            <v>50</v>
          </cell>
        </row>
        <row r="2931">
          <cell r="C2931" t="str">
            <v>B583734/A</v>
          </cell>
          <cell r="D2931" t="str">
            <v>HS5746NF1162</v>
          </cell>
          <cell r="E2931">
            <v>6</v>
          </cell>
        </row>
        <row r="2932">
          <cell r="C2932" t="str">
            <v>B585103/A</v>
          </cell>
          <cell r="D2932" t="str">
            <v>HS5748NF1162</v>
          </cell>
          <cell r="E2932">
            <v>2</v>
          </cell>
        </row>
        <row r="2933">
          <cell r="C2933" t="str">
            <v>B585105/A</v>
          </cell>
          <cell r="D2933" t="str">
            <v>HS5887NF1162</v>
          </cell>
          <cell r="E2933">
            <v>2</v>
          </cell>
        </row>
        <row r="2934">
          <cell r="C2934" t="str">
            <v>B585335/A</v>
          </cell>
          <cell r="D2934" t="str">
            <v>RH11126F456</v>
          </cell>
          <cell r="E2934">
            <v>1</v>
          </cell>
        </row>
        <row r="2935">
          <cell r="C2935" t="str">
            <v>B585336/A</v>
          </cell>
          <cell r="D2935" t="str">
            <v>RH11126F456</v>
          </cell>
          <cell r="E2935">
            <v>2</v>
          </cell>
        </row>
        <row r="2936">
          <cell r="C2936" t="str">
            <v>B585339/A</v>
          </cell>
          <cell r="D2936" t="str">
            <v>RH11127F456</v>
          </cell>
          <cell r="E2936">
            <v>1</v>
          </cell>
        </row>
        <row r="2937">
          <cell r="C2937" t="str">
            <v>B585340/A</v>
          </cell>
          <cell r="D2937" t="str">
            <v>RH11127F456</v>
          </cell>
          <cell r="E2937">
            <v>2</v>
          </cell>
        </row>
        <row r="2938">
          <cell r="C2938" t="str">
            <v>B585343/A</v>
          </cell>
          <cell r="D2938" t="str">
            <v>RH11132NF451</v>
          </cell>
          <cell r="E2938">
            <v>1</v>
          </cell>
        </row>
        <row r="2939">
          <cell r="C2939" t="str">
            <v>B585344/A</v>
          </cell>
          <cell r="D2939" t="str">
            <v>RH11132NF451</v>
          </cell>
          <cell r="E2939">
            <v>2</v>
          </cell>
        </row>
        <row r="2940">
          <cell r="C2940" t="str">
            <v>B585347/A</v>
          </cell>
          <cell r="D2940" t="str">
            <v>RH11133F456</v>
          </cell>
          <cell r="E2940">
            <v>1</v>
          </cell>
        </row>
        <row r="2941">
          <cell r="C2941" t="str">
            <v>B585348/A</v>
          </cell>
          <cell r="D2941" t="str">
            <v>RH11133F456</v>
          </cell>
          <cell r="E2941">
            <v>2</v>
          </cell>
        </row>
        <row r="2942">
          <cell r="C2942" t="str">
            <v>B585350/A</v>
          </cell>
          <cell r="D2942" t="str">
            <v>RH11137F451</v>
          </cell>
          <cell r="E2942">
            <v>2</v>
          </cell>
        </row>
        <row r="2943">
          <cell r="C2943" t="str">
            <v>B585353/A</v>
          </cell>
          <cell r="D2943" t="str">
            <v>RH11137F456</v>
          </cell>
          <cell r="E2943">
            <v>1</v>
          </cell>
        </row>
        <row r="2944">
          <cell r="C2944" t="str">
            <v>B585354/A</v>
          </cell>
          <cell r="D2944" t="str">
            <v>RH11137F456</v>
          </cell>
          <cell r="E2944">
            <v>2</v>
          </cell>
        </row>
        <row r="2945">
          <cell r="C2945" t="str">
            <v>B585283/A</v>
          </cell>
          <cell r="D2945" t="str">
            <v>RH1560-BIGF95.BC</v>
          </cell>
          <cell r="E2945">
            <v>10</v>
          </cell>
        </row>
        <row r="2946">
          <cell r="C2946" t="str">
            <v>B585281/A</v>
          </cell>
          <cell r="D2946" t="str">
            <v>RH1560-BIGF95.BC</v>
          </cell>
          <cell r="E2946">
            <v>10</v>
          </cell>
        </row>
        <row r="2947">
          <cell r="C2947" t="str">
            <v>B585286/A</v>
          </cell>
          <cell r="D2947" t="str">
            <v>RH1658-BF96</v>
          </cell>
          <cell r="E2947">
            <v>14</v>
          </cell>
        </row>
        <row r="2948">
          <cell r="C2948" t="str">
            <v>B585287/A</v>
          </cell>
          <cell r="D2948" t="str">
            <v>RH1658-BF96</v>
          </cell>
          <cell r="E2948">
            <v>14</v>
          </cell>
        </row>
        <row r="2949">
          <cell r="C2949" t="str">
            <v>B585290/A</v>
          </cell>
          <cell r="D2949" t="str">
            <v>RH2020F95.BC</v>
          </cell>
          <cell r="E2949">
            <v>9</v>
          </cell>
        </row>
        <row r="2950">
          <cell r="C2950" t="str">
            <v>B585291/A</v>
          </cell>
          <cell r="D2950" t="str">
            <v>RH2020F95.BC</v>
          </cell>
          <cell r="E2950">
            <v>9</v>
          </cell>
        </row>
        <row r="2951">
          <cell r="C2951" t="str">
            <v>B585293/A</v>
          </cell>
          <cell r="D2951" t="str">
            <v>RH3357F09</v>
          </cell>
          <cell r="E2951">
            <v>17</v>
          </cell>
        </row>
        <row r="2952">
          <cell r="C2952" t="str">
            <v>B585301/A</v>
          </cell>
          <cell r="D2952" t="str">
            <v>RH3541F40.BC</v>
          </cell>
          <cell r="E2952">
            <v>17</v>
          </cell>
        </row>
        <row r="2953">
          <cell r="C2953" t="str">
            <v>B585295/A</v>
          </cell>
          <cell r="D2953" t="str">
            <v>RH3541F40.BC</v>
          </cell>
          <cell r="E2953">
            <v>16</v>
          </cell>
        </row>
        <row r="2954">
          <cell r="C2954" t="str">
            <v>B585298/A</v>
          </cell>
          <cell r="D2954" t="str">
            <v>RH5063F08-B.BC</v>
          </cell>
          <cell r="E2954">
            <v>16</v>
          </cell>
        </row>
        <row r="2955">
          <cell r="C2955" t="str">
            <v>B585299/A</v>
          </cell>
          <cell r="D2955" t="str">
            <v>RH5063F08-B.BC</v>
          </cell>
          <cell r="E2955">
            <v>16</v>
          </cell>
        </row>
        <row r="2956">
          <cell r="C2956" t="str">
            <v>B585304/A</v>
          </cell>
          <cell r="D2956" t="str">
            <v>RH6565F40</v>
          </cell>
          <cell r="E2956">
            <v>13</v>
          </cell>
        </row>
        <row r="2957">
          <cell r="C2957" t="str">
            <v>B585305/A</v>
          </cell>
          <cell r="D2957" t="str">
            <v>RH6565F40</v>
          </cell>
          <cell r="E2957">
            <v>12</v>
          </cell>
        </row>
        <row r="2958">
          <cell r="C2958" t="str">
            <v>B585325/A</v>
          </cell>
          <cell r="D2958" t="str">
            <v>RH9175M00</v>
          </cell>
          <cell r="E2958">
            <v>2</v>
          </cell>
        </row>
        <row r="2959">
          <cell r="C2959" t="str">
            <v>B585224/A</v>
          </cell>
          <cell r="D2959" t="str">
            <v>SH884F1215.US-31761</v>
          </cell>
          <cell r="E2959">
            <v>3</v>
          </cell>
        </row>
        <row r="2960">
          <cell r="C2960" t="str">
            <v>B585834/A</v>
          </cell>
          <cell r="D2960" t="str">
            <v>AR869F1233</v>
          </cell>
          <cell r="E2960">
            <v>1</v>
          </cell>
        </row>
        <row r="2961">
          <cell r="C2961" t="str">
            <v>B585835/A</v>
          </cell>
          <cell r="D2961" t="str">
            <v>AR869F1233</v>
          </cell>
          <cell r="E2961">
            <v>3</v>
          </cell>
        </row>
        <row r="2962">
          <cell r="C2962" t="str">
            <v>B585993/A</v>
          </cell>
          <cell r="D2962" t="str">
            <v>AT358AF543-VE</v>
          </cell>
          <cell r="E2962">
            <v>50</v>
          </cell>
        </row>
        <row r="2963">
          <cell r="C2963" t="str">
            <v>B585932/A</v>
          </cell>
          <cell r="D2963" t="str">
            <v>AT358AF549-VE</v>
          </cell>
          <cell r="E2963">
            <v>50</v>
          </cell>
        </row>
        <row r="2964">
          <cell r="C2964" t="str">
            <v>B585996/A</v>
          </cell>
          <cell r="D2964" t="str">
            <v>AT358AF549-VE</v>
          </cell>
          <cell r="E2964">
            <v>50</v>
          </cell>
        </row>
        <row r="2965">
          <cell r="C2965" t="str">
            <v>B585934/A</v>
          </cell>
          <cell r="D2965" t="str">
            <v>AT358BF839-VE</v>
          </cell>
          <cell r="E2965">
            <v>25</v>
          </cell>
        </row>
        <row r="2966">
          <cell r="C2966" t="str">
            <v>B585936/A</v>
          </cell>
          <cell r="D2966" t="str">
            <v>BN3175F355</v>
          </cell>
          <cell r="E2966">
            <v>20</v>
          </cell>
        </row>
        <row r="2967">
          <cell r="C2967" t="str">
            <v>B585998/A</v>
          </cell>
          <cell r="D2967" t="str">
            <v>BN3175F355</v>
          </cell>
          <cell r="E2967">
            <v>20</v>
          </cell>
        </row>
        <row r="2968">
          <cell r="C2968" t="str">
            <v>B585938/A</v>
          </cell>
          <cell r="D2968" t="str">
            <v>BN3183F355</v>
          </cell>
          <cell r="E2968">
            <v>15</v>
          </cell>
        </row>
        <row r="2969">
          <cell r="C2969" t="str">
            <v>B585940/A</v>
          </cell>
          <cell r="D2969" t="str">
            <v>BN3184NF355</v>
          </cell>
          <cell r="E2969">
            <v>15</v>
          </cell>
        </row>
        <row r="2970">
          <cell r="C2970" t="str">
            <v>B586000/A</v>
          </cell>
          <cell r="D2970" t="str">
            <v>BN3186NF355</v>
          </cell>
          <cell r="E2970">
            <v>15</v>
          </cell>
        </row>
        <row r="2971">
          <cell r="C2971" t="str">
            <v>B585942/A</v>
          </cell>
          <cell r="D2971" t="str">
            <v>CZ671F09</v>
          </cell>
          <cell r="E2971">
            <v>4</v>
          </cell>
        </row>
        <row r="2972">
          <cell r="C2972" t="str">
            <v>B585944/A</v>
          </cell>
          <cell r="D2972" t="str">
            <v>CZ671F191</v>
          </cell>
          <cell r="E2972">
            <v>2</v>
          </cell>
        </row>
        <row r="2973">
          <cell r="C2973" t="str">
            <v>B586003/A</v>
          </cell>
          <cell r="D2973" t="str">
            <v>RH1562-BNF95.BC</v>
          </cell>
          <cell r="E2973">
            <v>8</v>
          </cell>
        </row>
        <row r="2974">
          <cell r="C2974" t="str">
            <v>B586004/A</v>
          </cell>
          <cell r="D2974" t="str">
            <v>RH1562-BNF95.BC</v>
          </cell>
          <cell r="E2974">
            <v>7</v>
          </cell>
        </row>
        <row r="2975">
          <cell r="C2975" t="str">
            <v>B585949/A</v>
          </cell>
          <cell r="D2975" t="str">
            <v>RH1653NF40.BC</v>
          </cell>
          <cell r="E2975">
            <v>10</v>
          </cell>
        </row>
        <row r="2976">
          <cell r="C2976" t="str">
            <v>B585946/A</v>
          </cell>
          <cell r="D2976" t="str">
            <v>RH1653NF40.BC</v>
          </cell>
          <cell r="E2976">
            <v>10</v>
          </cell>
        </row>
        <row r="2977">
          <cell r="C2977" t="str">
            <v>B586007/A</v>
          </cell>
          <cell r="D2977" t="str">
            <v>RH1685NF40.BC</v>
          </cell>
          <cell r="E2977">
            <v>13</v>
          </cell>
        </row>
        <row r="2978">
          <cell r="C2978" t="str">
            <v>B586008/A</v>
          </cell>
          <cell r="D2978" t="str">
            <v>RH1685NF40.BC</v>
          </cell>
          <cell r="E2978">
            <v>12</v>
          </cell>
        </row>
        <row r="2979">
          <cell r="C2979" t="str">
            <v>B585952/A</v>
          </cell>
          <cell r="D2979" t="str">
            <v>RH2077F95</v>
          </cell>
          <cell r="E2979">
            <v>8</v>
          </cell>
        </row>
        <row r="2980">
          <cell r="C2980" t="str">
            <v>B585953/A</v>
          </cell>
          <cell r="D2980" t="str">
            <v>RH2077F95</v>
          </cell>
          <cell r="E2980">
            <v>7</v>
          </cell>
        </row>
        <row r="2981">
          <cell r="C2981" t="str">
            <v>B585956/A</v>
          </cell>
          <cell r="D2981" t="str">
            <v>RH3377F40.BC</v>
          </cell>
          <cell r="E2981">
            <v>8</v>
          </cell>
        </row>
        <row r="2982">
          <cell r="C2982" t="str">
            <v>B585957/A</v>
          </cell>
          <cell r="D2982" t="str">
            <v>RH3377F40.BC</v>
          </cell>
          <cell r="E2982">
            <v>7</v>
          </cell>
        </row>
        <row r="2983">
          <cell r="C2983" t="str">
            <v>B585968/A</v>
          </cell>
          <cell r="D2983" t="str">
            <v>RH3412F40.BC</v>
          </cell>
          <cell r="E2983">
            <v>10</v>
          </cell>
        </row>
        <row r="2984">
          <cell r="C2984" t="str">
            <v>B585969/A</v>
          </cell>
          <cell r="D2984" t="str">
            <v>RH3412F40.BC</v>
          </cell>
          <cell r="E2984">
            <v>10</v>
          </cell>
        </row>
        <row r="2985">
          <cell r="C2985" t="str">
            <v>B586011/A</v>
          </cell>
          <cell r="D2985" t="str">
            <v>RH3437NF29</v>
          </cell>
          <cell r="E2985">
            <v>8</v>
          </cell>
        </row>
        <row r="2986">
          <cell r="C2986" t="str">
            <v>B586012/A</v>
          </cell>
          <cell r="D2986" t="str">
            <v>RH3437NF29</v>
          </cell>
          <cell r="E2986">
            <v>7</v>
          </cell>
        </row>
        <row r="2987">
          <cell r="C2987" t="str">
            <v>B586015/A</v>
          </cell>
          <cell r="D2987" t="str">
            <v>RH3540F40.BC</v>
          </cell>
          <cell r="E2987">
            <v>8</v>
          </cell>
        </row>
        <row r="2988">
          <cell r="C2988" t="str">
            <v>B586016/A</v>
          </cell>
          <cell r="D2988" t="str">
            <v>RH3540F40.BC</v>
          </cell>
          <cell r="E2988">
            <v>7</v>
          </cell>
        </row>
        <row r="2989">
          <cell r="C2989" t="str">
            <v>B586018/A</v>
          </cell>
          <cell r="D2989" t="str">
            <v>RH3541F40.BC</v>
          </cell>
          <cell r="E2989">
            <v>13</v>
          </cell>
        </row>
        <row r="2990">
          <cell r="C2990" t="str">
            <v>B586025/A</v>
          </cell>
          <cell r="D2990" t="str">
            <v>RH3541F40.BC</v>
          </cell>
          <cell r="E2990">
            <v>12</v>
          </cell>
        </row>
        <row r="2991">
          <cell r="C2991" t="str">
            <v>B585973/A</v>
          </cell>
          <cell r="D2991" t="str">
            <v>RH4135F29</v>
          </cell>
          <cell r="E2991">
            <v>8</v>
          </cell>
        </row>
        <row r="2992">
          <cell r="C2992" t="str">
            <v>B585975/A</v>
          </cell>
          <cell r="D2992" t="str">
            <v>RH4135F29</v>
          </cell>
          <cell r="E2992">
            <v>7</v>
          </cell>
        </row>
        <row r="2993">
          <cell r="C2993" t="str">
            <v>B585981/A</v>
          </cell>
          <cell r="D2993" t="str">
            <v>RH5574F152</v>
          </cell>
          <cell r="E2993">
            <v>10</v>
          </cell>
        </row>
        <row r="2994">
          <cell r="C2994" t="str">
            <v>B585982/A</v>
          </cell>
          <cell r="D2994" t="str">
            <v>RH5574F152</v>
          </cell>
          <cell r="E2994">
            <v>10</v>
          </cell>
        </row>
        <row r="2995">
          <cell r="C2995" t="str">
            <v>B586027/A</v>
          </cell>
          <cell r="D2995" t="str">
            <v>RH578NF05</v>
          </cell>
          <cell r="E2995">
            <v>8</v>
          </cell>
        </row>
        <row r="2996">
          <cell r="C2996" t="str">
            <v>B586021/A</v>
          </cell>
          <cell r="D2996" t="str">
            <v>RH578NF05</v>
          </cell>
          <cell r="E2996">
            <v>7</v>
          </cell>
        </row>
        <row r="2997">
          <cell r="C2997" t="str">
            <v>B586023/A</v>
          </cell>
          <cell r="D2997" t="str">
            <v>RH6564F40</v>
          </cell>
          <cell r="E2997">
            <v>15</v>
          </cell>
        </row>
        <row r="2998">
          <cell r="C2998" t="str">
            <v>B586348/A</v>
          </cell>
          <cell r="D2998" t="str">
            <v>HS5917F1119</v>
          </cell>
          <cell r="E2998">
            <v>1</v>
          </cell>
        </row>
        <row r="2999">
          <cell r="C2999" t="str">
            <v>B583349/A</v>
          </cell>
          <cell r="D2999" t="str">
            <v>AR866F1233-BASE</v>
          </cell>
          <cell r="E2999">
            <v>35</v>
          </cell>
        </row>
        <row r="3000">
          <cell r="C3000" t="str">
            <v>B583378/A</v>
          </cell>
          <cell r="D3000" t="str">
            <v>AR866F1233-BASE</v>
          </cell>
          <cell r="E3000">
            <v>26</v>
          </cell>
        </row>
        <row r="3001">
          <cell r="C3001" t="str">
            <v>B583351/A</v>
          </cell>
          <cell r="D3001" t="str">
            <v>AR866F1233-TOP</v>
          </cell>
          <cell r="E3001">
            <v>35</v>
          </cell>
        </row>
        <row r="3002">
          <cell r="C3002" t="str">
            <v>B583380/A</v>
          </cell>
          <cell r="D3002" t="str">
            <v>AR866F1233-TOP</v>
          </cell>
          <cell r="E3002">
            <v>26</v>
          </cell>
        </row>
        <row r="3003">
          <cell r="C3003" t="str">
            <v>B586135/A</v>
          </cell>
          <cell r="D3003" t="str">
            <v>AR112NF1039-BASE</v>
          </cell>
          <cell r="E3003">
            <v>1</v>
          </cell>
        </row>
        <row r="3004">
          <cell r="C3004" t="str">
            <v>B586137/A</v>
          </cell>
          <cell r="D3004" t="str">
            <v>AR112NF834-TOP</v>
          </cell>
          <cell r="E3004">
            <v>1</v>
          </cell>
        </row>
        <row r="3005">
          <cell r="C3005" t="str">
            <v>B586139/A</v>
          </cell>
          <cell r="D3005" t="str">
            <v>AR113NF1039-BASE</v>
          </cell>
          <cell r="E3005">
            <v>1</v>
          </cell>
        </row>
        <row r="3006">
          <cell r="C3006" t="str">
            <v>B586141/A</v>
          </cell>
          <cell r="D3006" t="str">
            <v>AR113NF834-TOP</v>
          </cell>
          <cell r="E3006">
            <v>1</v>
          </cell>
        </row>
        <row r="3007">
          <cell r="C3007" t="str">
            <v>B585771/A</v>
          </cell>
          <cell r="D3007" t="str">
            <v>AR756F892-BASE3</v>
          </cell>
          <cell r="E3007">
            <v>18</v>
          </cell>
        </row>
        <row r="3008">
          <cell r="C3008" t="str">
            <v>B585772/A</v>
          </cell>
          <cell r="D3008" t="str">
            <v>AR756F892-BASE3</v>
          </cell>
          <cell r="E3008">
            <v>7</v>
          </cell>
        </row>
        <row r="3009">
          <cell r="C3009" t="str">
            <v>B585767/A</v>
          </cell>
          <cell r="D3009" t="str">
            <v>AR756F892-TOP</v>
          </cell>
          <cell r="E3009">
            <v>7</v>
          </cell>
        </row>
        <row r="3010">
          <cell r="C3010" t="str">
            <v>B585768/A</v>
          </cell>
          <cell r="D3010" t="str">
            <v>AR756F892-TOP</v>
          </cell>
          <cell r="E3010">
            <v>18</v>
          </cell>
        </row>
        <row r="3011">
          <cell r="C3011" t="str">
            <v>B585775/A</v>
          </cell>
          <cell r="D3011" t="str">
            <v>AR978AF1221</v>
          </cell>
          <cell r="E3011">
            <v>59</v>
          </cell>
        </row>
        <row r="3012">
          <cell r="C3012" t="str">
            <v>B584729/A</v>
          </cell>
          <cell r="D3012" t="str">
            <v>AR978AF1221</v>
          </cell>
          <cell r="E3012">
            <v>59</v>
          </cell>
        </row>
        <row r="3013">
          <cell r="C3013" t="str">
            <v>B586196/A</v>
          </cell>
          <cell r="D3013" t="str">
            <v>AT305NF00-VE</v>
          </cell>
          <cell r="E3013">
            <v>60</v>
          </cell>
        </row>
        <row r="3014">
          <cell r="C3014" t="str">
            <v>B586144/A</v>
          </cell>
          <cell r="D3014" t="str">
            <v>AT305NF00-VE</v>
          </cell>
          <cell r="E3014">
            <v>60</v>
          </cell>
        </row>
        <row r="3015">
          <cell r="C3015" t="str">
            <v>B586165/A</v>
          </cell>
          <cell r="D3015" t="str">
            <v>AT382F00-VE</v>
          </cell>
          <cell r="E3015">
            <v>50</v>
          </cell>
        </row>
        <row r="3016">
          <cell r="C3016" t="str">
            <v>B586166/A</v>
          </cell>
          <cell r="D3016" t="str">
            <v>AT382F00-VE</v>
          </cell>
          <cell r="E3016">
            <v>50</v>
          </cell>
        </row>
        <row r="3017">
          <cell r="C3017" t="str">
            <v>B586219/A</v>
          </cell>
          <cell r="D3017" t="str">
            <v>AT383F00-VE</v>
          </cell>
          <cell r="E3017">
            <v>50</v>
          </cell>
        </row>
        <row r="3018">
          <cell r="C3018" t="str">
            <v>B586167/A</v>
          </cell>
          <cell r="D3018" t="str">
            <v>AT383F00-VE</v>
          </cell>
          <cell r="E3018">
            <v>50</v>
          </cell>
        </row>
        <row r="3019">
          <cell r="C3019" t="str">
            <v>B585762/A</v>
          </cell>
          <cell r="D3019" t="str">
            <v>AT479NF1059</v>
          </cell>
          <cell r="E3019">
            <v>25</v>
          </cell>
        </row>
        <row r="3020">
          <cell r="C3020" t="str">
            <v>B585777/A</v>
          </cell>
          <cell r="D3020" t="str">
            <v>AT481F1305</v>
          </cell>
          <cell r="E3020">
            <v>30</v>
          </cell>
        </row>
        <row r="3021">
          <cell r="C3021" t="str">
            <v>B585779/A</v>
          </cell>
          <cell r="D3021" t="str">
            <v>AT522NF1237</v>
          </cell>
          <cell r="E3021">
            <v>50</v>
          </cell>
        </row>
        <row r="3022">
          <cell r="C3022" t="str">
            <v>B585782/A</v>
          </cell>
          <cell r="D3022" t="str">
            <v>AT522NF1310</v>
          </cell>
          <cell r="E3022">
            <v>40</v>
          </cell>
        </row>
        <row r="3023">
          <cell r="C3023" t="str">
            <v>B585783/A</v>
          </cell>
          <cell r="D3023" t="str">
            <v>AT522NF1310</v>
          </cell>
          <cell r="E3023">
            <v>3</v>
          </cell>
        </row>
        <row r="3024">
          <cell r="C3024" t="str">
            <v>B585785/A</v>
          </cell>
          <cell r="D3024" t="str">
            <v>AT536F1285</v>
          </cell>
          <cell r="E3024">
            <v>25</v>
          </cell>
        </row>
        <row r="3025">
          <cell r="C3025" t="str">
            <v>B586168/A</v>
          </cell>
          <cell r="D3025" t="str">
            <v>AT573F00-VE</v>
          </cell>
          <cell r="E3025">
            <v>50</v>
          </cell>
        </row>
        <row r="3026">
          <cell r="C3026" t="str">
            <v>B586161/A</v>
          </cell>
          <cell r="D3026" t="str">
            <v>AT574F00-VE</v>
          </cell>
          <cell r="E3026">
            <v>50</v>
          </cell>
        </row>
        <row r="3027">
          <cell r="C3027" t="str">
            <v>B586197/A</v>
          </cell>
          <cell r="D3027" t="str">
            <v>AT574F00-VE</v>
          </cell>
          <cell r="E3027">
            <v>50</v>
          </cell>
        </row>
        <row r="3028">
          <cell r="C3028" t="str">
            <v>B586169/A</v>
          </cell>
          <cell r="D3028" t="str">
            <v>AT574F00-VE</v>
          </cell>
          <cell r="E3028">
            <v>50</v>
          </cell>
        </row>
        <row r="3029">
          <cell r="C3029" t="str">
            <v>B586170/A</v>
          </cell>
          <cell r="D3029" t="str">
            <v>AT574F00-VE</v>
          </cell>
          <cell r="E3029">
            <v>50</v>
          </cell>
        </row>
        <row r="3030">
          <cell r="C3030" t="str">
            <v>B586221/A</v>
          </cell>
          <cell r="D3030" t="str">
            <v>AT574F00-VE</v>
          </cell>
          <cell r="E3030">
            <v>50</v>
          </cell>
        </row>
        <row r="3031">
          <cell r="C3031" t="str">
            <v>B585790/A</v>
          </cell>
          <cell r="D3031" t="str">
            <v>AT635F1040</v>
          </cell>
          <cell r="E3031">
            <v>25</v>
          </cell>
        </row>
        <row r="3032">
          <cell r="C3032" t="str">
            <v>B585791/A</v>
          </cell>
          <cell r="D3032" t="str">
            <v>AT635F1040</v>
          </cell>
          <cell r="E3032">
            <v>3</v>
          </cell>
        </row>
        <row r="3033">
          <cell r="C3033" t="str">
            <v>B585794/A</v>
          </cell>
          <cell r="D3033" t="str">
            <v>AT653AF1198</v>
          </cell>
          <cell r="E3033">
            <v>37</v>
          </cell>
        </row>
        <row r="3034">
          <cell r="C3034" t="str">
            <v>B585795/A</v>
          </cell>
          <cell r="D3034" t="str">
            <v>AT653AF1198</v>
          </cell>
          <cell r="E3034">
            <v>4</v>
          </cell>
        </row>
        <row r="3035">
          <cell r="C3035" t="str">
            <v>B586175/A</v>
          </cell>
          <cell r="D3035" t="str">
            <v>AT665NF00</v>
          </cell>
          <cell r="E3035">
            <v>25</v>
          </cell>
        </row>
        <row r="3036">
          <cell r="C3036" t="str">
            <v>B586178/A</v>
          </cell>
          <cell r="D3036" t="str">
            <v>AT665NF00</v>
          </cell>
          <cell r="E3036">
            <v>50</v>
          </cell>
        </row>
        <row r="3037">
          <cell r="C3037" t="str">
            <v>B586176/A</v>
          </cell>
          <cell r="D3037" t="str">
            <v>AT665NF00</v>
          </cell>
          <cell r="E3037">
            <v>50</v>
          </cell>
        </row>
        <row r="3038">
          <cell r="C3038" t="str">
            <v>B586179/A</v>
          </cell>
          <cell r="D3038" t="str">
            <v>AT665NF00</v>
          </cell>
          <cell r="E3038">
            <v>50</v>
          </cell>
        </row>
        <row r="3039">
          <cell r="C3039" t="str">
            <v>B585803/A</v>
          </cell>
          <cell r="D3039" t="str">
            <v>AT665NF1059</v>
          </cell>
          <cell r="E3039">
            <v>25</v>
          </cell>
        </row>
        <row r="3040">
          <cell r="C3040" t="str">
            <v>B585805/A</v>
          </cell>
          <cell r="D3040" t="str">
            <v>AT665NF1171</v>
          </cell>
          <cell r="E3040">
            <v>25</v>
          </cell>
        </row>
        <row r="3041">
          <cell r="C3041" t="str">
            <v>B585809/A</v>
          </cell>
          <cell r="D3041" t="str">
            <v>AT665NF1237</v>
          </cell>
          <cell r="E3041">
            <v>50</v>
          </cell>
        </row>
        <row r="3042">
          <cell r="C3042" t="str">
            <v>B585810/A</v>
          </cell>
          <cell r="D3042" t="str">
            <v>AT665NF1237</v>
          </cell>
          <cell r="E3042">
            <v>50</v>
          </cell>
        </row>
        <row r="3043">
          <cell r="C3043" t="str">
            <v>B585811/A</v>
          </cell>
          <cell r="D3043" t="str">
            <v>AT665NF1237</v>
          </cell>
          <cell r="E3043">
            <v>25</v>
          </cell>
        </row>
        <row r="3044">
          <cell r="C3044" t="str">
            <v>B585813/A</v>
          </cell>
          <cell r="D3044" t="str">
            <v>AT665NF877</v>
          </cell>
          <cell r="E3044">
            <v>25</v>
          </cell>
        </row>
        <row r="3045">
          <cell r="C3045" t="str">
            <v>B585820/A</v>
          </cell>
          <cell r="D3045" t="str">
            <v>AT668NF877</v>
          </cell>
          <cell r="E3045">
            <v>60</v>
          </cell>
        </row>
        <row r="3046">
          <cell r="C3046" t="str">
            <v>B585821/A</v>
          </cell>
          <cell r="D3046" t="str">
            <v>AT668NF877</v>
          </cell>
          <cell r="E3046">
            <v>8</v>
          </cell>
        </row>
        <row r="3047">
          <cell r="C3047" t="str">
            <v>B585825/A</v>
          </cell>
          <cell r="D3047" t="str">
            <v>AT674F1040</v>
          </cell>
          <cell r="E3047">
            <v>50</v>
          </cell>
        </row>
        <row r="3048">
          <cell r="C3048" t="str">
            <v>B585826/A</v>
          </cell>
          <cell r="D3048" t="str">
            <v>AT674F1040</v>
          </cell>
          <cell r="E3048">
            <v>11</v>
          </cell>
        </row>
        <row r="3049">
          <cell r="C3049" t="str">
            <v>B585827/A</v>
          </cell>
          <cell r="D3049" t="str">
            <v>AT674F1040</v>
          </cell>
          <cell r="E3049">
            <v>6</v>
          </cell>
        </row>
        <row r="3050">
          <cell r="C3050" t="str">
            <v>B585870/A</v>
          </cell>
          <cell r="D3050" t="str">
            <v>AT680F877</v>
          </cell>
          <cell r="E3050">
            <v>25</v>
          </cell>
        </row>
        <row r="3051">
          <cell r="C3051" t="str">
            <v>B585872/A</v>
          </cell>
          <cell r="D3051" t="str">
            <v>AT680F877</v>
          </cell>
          <cell r="E3051">
            <v>25</v>
          </cell>
        </row>
        <row r="3052">
          <cell r="C3052" t="str">
            <v>B585875/A</v>
          </cell>
          <cell r="D3052" t="str">
            <v>AT680F877</v>
          </cell>
          <cell r="E3052">
            <v>10</v>
          </cell>
        </row>
        <row r="3053">
          <cell r="C3053" t="str">
            <v>B585882/A</v>
          </cell>
          <cell r="D3053" t="str">
            <v>AT682F1294</v>
          </cell>
          <cell r="E3053">
            <v>22</v>
          </cell>
        </row>
        <row r="3054">
          <cell r="C3054" t="str">
            <v>B585885/A</v>
          </cell>
          <cell r="D3054" t="str">
            <v>AT682F877</v>
          </cell>
          <cell r="E3054">
            <v>25</v>
          </cell>
        </row>
        <row r="3055">
          <cell r="C3055" t="str">
            <v>B585890/A</v>
          </cell>
          <cell r="D3055" t="str">
            <v>BN2400CF746</v>
          </cell>
          <cell r="E3055">
            <v>25</v>
          </cell>
        </row>
        <row r="3056">
          <cell r="C3056" t="str">
            <v>B585899/A</v>
          </cell>
          <cell r="D3056" t="str">
            <v>CT008F610</v>
          </cell>
          <cell r="E3056">
            <v>45</v>
          </cell>
        </row>
        <row r="3057">
          <cell r="C3057" t="str">
            <v>B585902/A</v>
          </cell>
          <cell r="D3057" t="str">
            <v>CT012F610-FBSR</v>
          </cell>
          <cell r="E3057">
            <v>25</v>
          </cell>
        </row>
        <row r="3058">
          <cell r="C3058" t="str">
            <v>B585906/A</v>
          </cell>
          <cell r="D3058" t="str">
            <v>CT012F610-HB</v>
          </cell>
          <cell r="E3058">
            <v>25</v>
          </cell>
        </row>
        <row r="3059">
          <cell r="C3059" t="str">
            <v>B585909/A</v>
          </cell>
          <cell r="D3059" t="str">
            <v>CT017F610-BASE</v>
          </cell>
          <cell r="E3059">
            <v>25</v>
          </cell>
        </row>
        <row r="3060">
          <cell r="C3060" t="str">
            <v>B585914/A</v>
          </cell>
          <cell r="D3060" t="str">
            <v>CT037F633-FBSR</v>
          </cell>
          <cell r="E3060">
            <v>27</v>
          </cell>
        </row>
        <row r="3061">
          <cell r="C3061" t="str">
            <v>B585918/A</v>
          </cell>
          <cell r="D3061" t="str">
            <v>CT037F633-HB</v>
          </cell>
          <cell r="E3061">
            <v>25</v>
          </cell>
        </row>
        <row r="3062">
          <cell r="C3062" t="str">
            <v>B585922/A</v>
          </cell>
          <cell r="D3062" t="str">
            <v>CT053F633</v>
          </cell>
          <cell r="E3062">
            <v>20</v>
          </cell>
        </row>
        <row r="3063">
          <cell r="C3063" t="str">
            <v>B586030/A</v>
          </cell>
          <cell r="D3063" t="str">
            <v>CT061F633</v>
          </cell>
          <cell r="E3063">
            <v>25</v>
          </cell>
        </row>
        <row r="3064">
          <cell r="C3064" t="str">
            <v>B586038/A</v>
          </cell>
          <cell r="D3064" t="str">
            <v>DL015F836</v>
          </cell>
          <cell r="E3064">
            <v>50</v>
          </cell>
        </row>
        <row r="3065">
          <cell r="C3065" t="str">
            <v>B586032/A</v>
          </cell>
          <cell r="D3065" t="str">
            <v>DL016WF836</v>
          </cell>
          <cell r="E3065">
            <v>35</v>
          </cell>
        </row>
        <row r="3066">
          <cell r="C3066" t="str">
            <v>B586040/A</v>
          </cell>
          <cell r="D3066" t="str">
            <v>MH650-KF01</v>
          </cell>
          <cell r="E3066">
            <v>15</v>
          </cell>
        </row>
        <row r="3067">
          <cell r="C3067" t="str">
            <v>B586036/A</v>
          </cell>
          <cell r="D3067" t="str">
            <v>RH10088F383</v>
          </cell>
          <cell r="E3067">
            <v>2</v>
          </cell>
        </row>
        <row r="3068">
          <cell r="C3068" t="str">
            <v>B586043/A</v>
          </cell>
          <cell r="D3068" t="str">
            <v>RH10088F384</v>
          </cell>
          <cell r="E3068">
            <v>12</v>
          </cell>
        </row>
        <row r="3069">
          <cell r="C3069" t="str">
            <v>B586045/A</v>
          </cell>
          <cell r="D3069" t="str">
            <v>RH10088F409</v>
          </cell>
          <cell r="E3069">
            <v>43</v>
          </cell>
        </row>
        <row r="3070">
          <cell r="C3070" t="str">
            <v>B586200/A</v>
          </cell>
          <cell r="D3070" t="str">
            <v>RH1560-BIGF95.BC</v>
          </cell>
          <cell r="E3070">
            <v>11</v>
          </cell>
        </row>
        <row r="3071">
          <cell r="C3071" t="str">
            <v>B586204/A</v>
          </cell>
          <cell r="D3071" t="str">
            <v>RH1560-BIGF95.BC</v>
          </cell>
          <cell r="E3071">
            <v>11</v>
          </cell>
        </row>
        <row r="3072">
          <cell r="C3072" t="str">
            <v>B586206/A</v>
          </cell>
          <cell r="D3072" t="str">
            <v>RH1658-TF40</v>
          </cell>
          <cell r="E3072">
            <v>8</v>
          </cell>
        </row>
        <row r="3073">
          <cell r="C3073" t="str">
            <v>B586203/A</v>
          </cell>
          <cell r="D3073" t="str">
            <v>RH1658-TF40</v>
          </cell>
          <cell r="E3073">
            <v>7</v>
          </cell>
        </row>
        <row r="3074">
          <cell r="C3074" t="str">
            <v>B586209/A</v>
          </cell>
          <cell r="D3074" t="str">
            <v>RH1658-TF96</v>
          </cell>
          <cell r="E3074">
            <v>8</v>
          </cell>
        </row>
        <row r="3075">
          <cell r="C3075" t="str">
            <v>B586210/A</v>
          </cell>
          <cell r="D3075" t="str">
            <v>RH1658-TF96</v>
          </cell>
          <cell r="E3075">
            <v>7</v>
          </cell>
        </row>
        <row r="3076">
          <cell r="C3076" t="str">
            <v>B586049/A</v>
          </cell>
          <cell r="D3076" t="str">
            <v>RH3384F09</v>
          </cell>
          <cell r="E3076">
            <v>9</v>
          </cell>
        </row>
        <row r="3077">
          <cell r="C3077" t="str">
            <v>B586050/A</v>
          </cell>
          <cell r="D3077" t="str">
            <v>RH3384F09</v>
          </cell>
          <cell r="E3077">
            <v>8</v>
          </cell>
        </row>
        <row r="3078">
          <cell r="C3078" t="str">
            <v>B586058/A</v>
          </cell>
          <cell r="D3078" t="str">
            <v>RH3436F29</v>
          </cell>
          <cell r="E3078">
            <v>13</v>
          </cell>
        </row>
        <row r="3079">
          <cell r="C3079" t="str">
            <v>B586054/A</v>
          </cell>
          <cell r="D3079" t="str">
            <v>RH3436F29</v>
          </cell>
          <cell r="E3079">
            <v>12</v>
          </cell>
        </row>
        <row r="3080">
          <cell r="C3080" t="str">
            <v>B586055/A</v>
          </cell>
          <cell r="D3080" t="str">
            <v>RH3436F29</v>
          </cell>
          <cell r="E3080">
            <v>5</v>
          </cell>
        </row>
        <row r="3081">
          <cell r="C3081" t="str">
            <v>B586056/A</v>
          </cell>
          <cell r="D3081" t="str">
            <v>RH3436F29</v>
          </cell>
          <cell r="E3081">
            <v>5</v>
          </cell>
        </row>
        <row r="3082">
          <cell r="C3082" t="str">
            <v>B586182/A</v>
          </cell>
          <cell r="D3082" t="str">
            <v>RH3439F29</v>
          </cell>
          <cell r="E3082">
            <v>10</v>
          </cell>
        </row>
        <row r="3083">
          <cell r="C3083" t="str">
            <v>B586183/A</v>
          </cell>
          <cell r="D3083" t="str">
            <v>RH3439F29</v>
          </cell>
          <cell r="E3083">
            <v>10</v>
          </cell>
        </row>
        <row r="3084">
          <cell r="C3084" t="str">
            <v>B586061/A</v>
          </cell>
          <cell r="D3084" t="str">
            <v>RH3503F95</v>
          </cell>
          <cell r="E3084">
            <v>8</v>
          </cell>
        </row>
        <row r="3085">
          <cell r="C3085" t="str">
            <v>B586062/A</v>
          </cell>
          <cell r="D3085" t="str">
            <v>RH3503F95</v>
          </cell>
          <cell r="E3085">
            <v>7</v>
          </cell>
        </row>
        <row r="3086">
          <cell r="C3086" t="str">
            <v>B586065/A</v>
          </cell>
          <cell r="D3086" t="str">
            <v>RH4144F96</v>
          </cell>
          <cell r="E3086">
            <v>8</v>
          </cell>
        </row>
        <row r="3087">
          <cell r="C3087" t="str">
            <v>B586066/A</v>
          </cell>
          <cell r="D3087" t="str">
            <v>RH4144F96</v>
          </cell>
          <cell r="E3087">
            <v>7</v>
          </cell>
        </row>
        <row r="3088">
          <cell r="C3088" t="str">
            <v>B586186/A</v>
          </cell>
          <cell r="D3088" t="str">
            <v>RH5063F08-B.BC</v>
          </cell>
          <cell r="E3088">
            <v>12</v>
          </cell>
        </row>
        <row r="3089">
          <cell r="C3089" t="str">
            <v>B586187/A</v>
          </cell>
          <cell r="D3089" t="str">
            <v>RH5063F08-B.BC</v>
          </cell>
          <cell r="E3089">
            <v>11</v>
          </cell>
        </row>
        <row r="3090">
          <cell r="C3090" t="str">
            <v>B586082/A</v>
          </cell>
          <cell r="D3090" t="str">
            <v>RH5065NF08.BC</v>
          </cell>
          <cell r="E3090">
            <v>9</v>
          </cell>
        </row>
        <row r="3091">
          <cell r="C3091" t="str">
            <v>B586068/A</v>
          </cell>
          <cell r="D3091" t="str">
            <v>RH5065NF08.BC</v>
          </cell>
          <cell r="E3091">
            <v>8</v>
          </cell>
        </row>
        <row r="3092">
          <cell r="C3092" t="str">
            <v>B586084/A</v>
          </cell>
          <cell r="D3092" t="str">
            <v>RH5122NF40.BC</v>
          </cell>
          <cell r="E3092">
            <v>8</v>
          </cell>
        </row>
        <row r="3093">
          <cell r="C3093" t="str">
            <v>B586072/A</v>
          </cell>
          <cell r="D3093" t="str">
            <v>RH5122NF40.BC</v>
          </cell>
          <cell r="E3093">
            <v>7</v>
          </cell>
        </row>
        <row r="3094">
          <cell r="C3094" t="str">
            <v>B586073/A</v>
          </cell>
          <cell r="D3094" t="str">
            <v>RH5122NF40.BC</v>
          </cell>
          <cell r="E3094">
            <v>10</v>
          </cell>
        </row>
        <row r="3095">
          <cell r="C3095" t="str">
            <v>B586074/A</v>
          </cell>
          <cell r="D3095" t="str">
            <v>RH5122NF40.BC</v>
          </cell>
          <cell r="E3095">
            <v>10</v>
          </cell>
        </row>
        <row r="3096">
          <cell r="C3096" t="str">
            <v>B586213/A</v>
          </cell>
          <cell r="D3096" t="str">
            <v>RH5194F29</v>
          </cell>
          <cell r="E3096">
            <v>10</v>
          </cell>
        </row>
        <row r="3097">
          <cell r="C3097" t="str">
            <v>B586214/A</v>
          </cell>
          <cell r="D3097" t="str">
            <v>RH5194F29</v>
          </cell>
          <cell r="E3097">
            <v>10</v>
          </cell>
        </row>
        <row r="3098">
          <cell r="C3098" t="str">
            <v>B586077/A</v>
          </cell>
          <cell r="D3098" t="str">
            <v>RH5340F38BN</v>
          </cell>
          <cell r="E3098">
            <v>8</v>
          </cell>
        </row>
        <row r="3099">
          <cell r="C3099" t="str">
            <v>B586078/A</v>
          </cell>
          <cell r="D3099" t="str">
            <v>RH5340F38BN</v>
          </cell>
          <cell r="E3099">
            <v>7</v>
          </cell>
        </row>
        <row r="3100">
          <cell r="C3100" t="str">
            <v>B586190/A</v>
          </cell>
          <cell r="D3100" t="str">
            <v>RH5527AF40</v>
          </cell>
          <cell r="E3100">
            <v>8</v>
          </cell>
        </row>
        <row r="3101">
          <cell r="C3101" t="str">
            <v>B586191/A</v>
          </cell>
          <cell r="D3101" t="str">
            <v>RH5527AF40</v>
          </cell>
          <cell r="E3101">
            <v>7</v>
          </cell>
        </row>
        <row r="3102">
          <cell r="C3102" t="str">
            <v>B586080/A</v>
          </cell>
          <cell r="D3102" t="str">
            <v>SH882F1211.US-31854</v>
          </cell>
          <cell r="E3102">
            <v>3</v>
          </cell>
        </row>
        <row r="3103">
          <cell r="C3103" t="str">
            <v>B585742/A</v>
          </cell>
          <cell r="D3103" t="str">
            <v>CZ798F188</v>
          </cell>
          <cell r="E3103">
            <v>108</v>
          </cell>
        </row>
        <row r="3104">
          <cell r="C3104" t="str">
            <v>B585744/A</v>
          </cell>
          <cell r="D3104" t="str">
            <v>CZ798F196</v>
          </cell>
          <cell r="E3104">
            <v>108</v>
          </cell>
        </row>
        <row r="3105">
          <cell r="C3105" t="str">
            <v>B585746/A</v>
          </cell>
          <cell r="D3105" t="str">
            <v>MN2000-FPN</v>
          </cell>
          <cell r="E3105">
            <v>25</v>
          </cell>
        </row>
        <row r="3106">
          <cell r="C3106" t="str">
            <v>B585748/A</v>
          </cell>
          <cell r="D3106" t="str">
            <v>MN5364-SWAT</v>
          </cell>
          <cell r="E3106">
            <v>30</v>
          </cell>
        </row>
        <row r="3107">
          <cell r="C3107" t="str">
            <v>B585750/A</v>
          </cell>
          <cell r="D3107" t="str">
            <v>MN5507-SWAT</v>
          </cell>
          <cell r="E3107">
            <v>25</v>
          </cell>
        </row>
        <row r="3108">
          <cell r="C3108" t="str">
            <v>B585752/A</v>
          </cell>
          <cell r="D3108" t="str">
            <v>MN5767-FPN</v>
          </cell>
          <cell r="E3108">
            <v>50</v>
          </cell>
        </row>
        <row r="3109">
          <cell r="C3109" t="str">
            <v>B585754/A</v>
          </cell>
          <cell r="D3109" t="str">
            <v>MN5802-FPN</v>
          </cell>
          <cell r="E3109">
            <v>75</v>
          </cell>
        </row>
        <row r="3110">
          <cell r="C3110" t="str">
            <v>B585756/A</v>
          </cell>
          <cell r="D3110" t="str">
            <v>MN5814-SWAT</v>
          </cell>
          <cell r="E3110">
            <v>50</v>
          </cell>
        </row>
        <row r="3111">
          <cell r="C3111" t="str">
            <v>B585758/A</v>
          </cell>
          <cell r="D3111" t="str">
            <v>MN5863F629-SWAT</v>
          </cell>
          <cell r="E3111">
            <v>40</v>
          </cell>
        </row>
        <row r="3112">
          <cell r="C3112" t="str">
            <v>B585760/A</v>
          </cell>
          <cell r="D3112" t="str">
            <v>MN5875NF927-SWAT</v>
          </cell>
          <cell r="E3112">
            <v>25</v>
          </cell>
        </row>
        <row r="3113">
          <cell r="C3113" t="str">
            <v>B586234/A</v>
          </cell>
          <cell r="D3113" t="str">
            <v>RH1985F18-SRFT</v>
          </cell>
          <cell r="E3113">
            <v>1</v>
          </cell>
        </row>
        <row r="3114">
          <cell r="C3114" t="str">
            <v>B586230/A</v>
          </cell>
          <cell r="D3114" t="str">
            <v>RH3541F96-LEGCE</v>
          </cell>
          <cell r="E3114">
            <v>3</v>
          </cell>
        </row>
        <row r="3115">
          <cell r="C3115" t="str">
            <v>B586232/A</v>
          </cell>
          <cell r="D3115" t="str">
            <v>RH849F26-GRSH</v>
          </cell>
          <cell r="E3115">
            <v>1</v>
          </cell>
        </row>
        <row r="3116">
          <cell r="C3116" t="str">
            <v>B585816/A</v>
          </cell>
          <cell r="D3116" t="str">
            <v>AT667F943</v>
          </cell>
          <cell r="E3116">
            <v>37</v>
          </cell>
        </row>
        <row r="3117">
          <cell r="C3117" t="str">
            <v>B585817/A</v>
          </cell>
          <cell r="D3117" t="str">
            <v>AT667F943</v>
          </cell>
          <cell r="E3117">
            <v>6</v>
          </cell>
        </row>
        <row r="3118">
          <cell r="C3118" t="str">
            <v>B584679/A</v>
          </cell>
          <cell r="D3118" t="str">
            <v>AT673F1247</v>
          </cell>
          <cell r="E3118">
            <v>37</v>
          </cell>
        </row>
        <row r="3119">
          <cell r="C3119" t="str">
            <v>B584680/A</v>
          </cell>
          <cell r="D3119" t="str">
            <v>AT673F1247</v>
          </cell>
          <cell r="E3119">
            <v>11</v>
          </cell>
        </row>
        <row r="3120">
          <cell r="C3120" t="str">
            <v>B586592/A</v>
          </cell>
          <cell r="D3120" t="str">
            <v>RH11287F451</v>
          </cell>
          <cell r="E3120">
            <v>1</v>
          </cell>
        </row>
        <row r="3121">
          <cell r="C3121" t="str">
            <v>B586593/A</v>
          </cell>
          <cell r="D3121" t="str">
            <v>RH11287F451</v>
          </cell>
          <cell r="E3121">
            <v>2</v>
          </cell>
        </row>
        <row r="3122">
          <cell r="C3122" t="str">
            <v>B586034/A</v>
          </cell>
          <cell r="D3122" t="str">
            <v>HS5167F1170</v>
          </cell>
          <cell r="E3122">
            <v>22</v>
          </cell>
        </row>
        <row r="3123">
          <cell r="C3123" t="str">
            <v>B585787/A</v>
          </cell>
          <cell r="D3123" t="str">
            <v>HS5167F1170</v>
          </cell>
          <cell r="E3123">
            <v>20</v>
          </cell>
        </row>
        <row r="3124">
          <cell r="C3124" t="str">
            <v>B586931/A</v>
          </cell>
          <cell r="D3124" t="str">
            <v>HS5246NF1162</v>
          </cell>
          <cell r="E3124">
            <v>4</v>
          </cell>
        </row>
        <row r="3125">
          <cell r="C3125" t="str">
            <v>B586927/A</v>
          </cell>
          <cell r="D3125" t="str">
            <v>HS5857NF1162</v>
          </cell>
          <cell r="E3125">
            <v>2</v>
          </cell>
        </row>
        <row r="3126">
          <cell r="C3126" t="str">
            <v>B586923/A</v>
          </cell>
          <cell r="D3126" t="str">
            <v>HS5858NF1162</v>
          </cell>
          <cell r="E3126">
            <v>2</v>
          </cell>
        </row>
        <row r="3127">
          <cell r="C3127" t="str">
            <v>B586857/A</v>
          </cell>
          <cell r="D3127" t="str">
            <v>RH11134F456</v>
          </cell>
          <cell r="E3127">
            <v>1</v>
          </cell>
        </row>
        <row r="3128">
          <cell r="C3128" t="str">
            <v>B586858/A</v>
          </cell>
          <cell r="D3128" t="str">
            <v>RH11134F456</v>
          </cell>
          <cell r="E3128">
            <v>2</v>
          </cell>
        </row>
        <row r="3129">
          <cell r="C3129" t="str">
            <v>B586767/A</v>
          </cell>
          <cell r="D3129" t="str">
            <v>SH950NF521</v>
          </cell>
          <cell r="E3129">
            <v>3</v>
          </cell>
        </row>
        <row r="3130">
          <cell r="C3130" t="str">
            <v>B587177/A</v>
          </cell>
          <cell r="D3130" t="str">
            <v>BN3175F355</v>
          </cell>
          <cell r="E3130">
            <v>1</v>
          </cell>
        </row>
        <row r="3131">
          <cell r="C3131" t="str">
            <v>B587175/A</v>
          </cell>
          <cell r="D3131" t="str">
            <v>RH2077F95</v>
          </cell>
          <cell r="E3131">
            <v>1</v>
          </cell>
        </row>
        <row r="3132">
          <cell r="C3132" t="str">
            <v>B587182/A</v>
          </cell>
          <cell r="D3132" t="str">
            <v>RH3357F09</v>
          </cell>
          <cell r="E3132">
            <v>1</v>
          </cell>
        </row>
        <row r="3133">
          <cell r="C3133" t="str">
            <v>B587195/A</v>
          </cell>
          <cell r="D3133" t="str">
            <v>RH3412F40.BC</v>
          </cell>
          <cell r="E3133">
            <v>1</v>
          </cell>
        </row>
        <row r="3134">
          <cell r="C3134" t="str">
            <v>B587171/A</v>
          </cell>
          <cell r="D3134" t="str">
            <v>RH3439F29</v>
          </cell>
          <cell r="E3134">
            <v>1</v>
          </cell>
        </row>
        <row r="3135">
          <cell r="C3135" t="str">
            <v>B587173/A</v>
          </cell>
          <cell r="D3135" t="str">
            <v>RH4135F29</v>
          </cell>
          <cell r="E3135">
            <v>1</v>
          </cell>
        </row>
        <row r="3136">
          <cell r="C3136" t="str">
            <v>B587179/A</v>
          </cell>
          <cell r="D3136" t="str">
            <v>RH6564F40</v>
          </cell>
          <cell r="E3136">
            <v>1</v>
          </cell>
        </row>
        <row r="3137">
          <cell r="C3137" t="str">
            <v>B587058/A</v>
          </cell>
          <cell r="D3137" t="str">
            <v>AR1096NF1291</v>
          </cell>
          <cell r="E3137">
            <v>1</v>
          </cell>
        </row>
        <row r="3138">
          <cell r="C3138" t="str">
            <v>B587059/A</v>
          </cell>
          <cell r="D3138" t="str">
            <v>AR1096NF1291</v>
          </cell>
          <cell r="E3138">
            <v>3</v>
          </cell>
        </row>
        <row r="3139">
          <cell r="C3139" t="str">
            <v>B587062/A</v>
          </cell>
          <cell r="D3139" t="str">
            <v>AR110F1039-BASE</v>
          </cell>
          <cell r="E3139">
            <v>18</v>
          </cell>
        </row>
        <row r="3140">
          <cell r="C3140" t="str">
            <v>B587063/A</v>
          </cell>
          <cell r="D3140" t="str">
            <v>AR110F1039-BASE</v>
          </cell>
          <cell r="E3140">
            <v>7</v>
          </cell>
        </row>
        <row r="3141">
          <cell r="C3141" t="str">
            <v>B587066/A</v>
          </cell>
          <cell r="D3141" t="str">
            <v>AR112NF1039-BASE</v>
          </cell>
          <cell r="E3141">
            <v>25</v>
          </cell>
        </row>
        <row r="3142">
          <cell r="C3142" t="str">
            <v>B587067/A</v>
          </cell>
          <cell r="D3142" t="str">
            <v>AR112NF1039-BASE</v>
          </cell>
          <cell r="E3142">
            <v>10</v>
          </cell>
        </row>
        <row r="3143">
          <cell r="C3143" t="str">
            <v>B587024/A</v>
          </cell>
          <cell r="D3143" t="str">
            <v>AR1141F1291</v>
          </cell>
          <cell r="E3143">
            <v>3</v>
          </cell>
        </row>
        <row r="3144">
          <cell r="C3144" t="str">
            <v>B587127/A</v>
          </cell>
          <cell r="D3144" t="str">
            <v>AR1142NF1291</v>
          </cell>
          <cell r="E3144">
            <v>1</v>
          </cell>
        </row>
        <row r="3145">
          <cell r="C3145" t="str">
            <v>B587128/A</v>
          </cell>
          <cell r="D3145" t="str">
            <v>AR1142NF1291</v>
          </cell>
          <cell r="E3145">
            <v>3</v>
          </cell>
        </row>
        <row r="3146">
          <cell r="C3146" t="str">
            <v>B587030/A</v>
          </cell>
          <cell r="D3146" t="str">
            <v>AR721F892-BASE2</v>
          </cell>
          <cell r="E3146">
            <v>18</v>
          </cell>
        </row>
        <row r="3147">
          <cell r="C3147" t="str">
            <v>B587031/A</v>
          </cell>
          <cell r="D3147" t="str">
            <v>AR721F892-BASE2</v>
          </cell>
          <cell r="E3147">
            <v>7</v>
          </cell>
        </row>
        <row r="3148">
          <cell r="C3148" t="str">
            <v>B587034/A</v>
          </cell>
          <cell r="D3148" t="str">
            <v>AR721F892-TOP</v>
          </cell>
          <cell r="E3148">
            <v>7</v>
          </cell>
        </row>
        <row r="3149">
          <cell r="C3149" t="str">
            <v>B587035/A</v>
          </cell>
          <cell r="D3149" t="str">
            <v>AR721F892-TOP</v>
          </cell>
          <cell r="E3149">
            <v>18</v>
          </cell>
        </row>
        <row r="3150">
          <cell r="C3150" t="str">
            <v>B587070/A</v>
          </cell>
          <cell r="D3150" t="str">
            <v>AR865F1233-BASE</v>
          </cell>
          <cell r="E3150">
            <v>14</v>
          </cell>
        </row>
        <row r="3151">
          <cell r="C3151" t="str">
            <v>B587071/A</v>
          </cell>
          <cell r="D3151" t="str">
            <v>AR865F1233-BASE</v>
          </cell>
          <cell r="E3151">
            <v>36</v>
          </cell>
        </row>
        <row r="3152">
          <cell r="C3152" t="str">
            <v>B587074/A</v>
          </cell>
          <cell r="D3152" t="str">
            <v>AR865F1233-TOP</v>
          </cell>
          <cell r="E3152">
            <v>14</v>
          </cell>
        </row>
        <row r="3153">
          <cell r="C3153" t="str">
            <v>B587075/A</v>
          </cell>
          <cell r="D3153" t="str">
            <v>AR865F1233-TOP</v>
          </cell>
          <cell r="E3153">
            <v>36</v>
          </cell>
        </row>
        <row r="3154">
          <cell r="C3154" t="str">
            <v>B587077/A</v>
          </cell>
          <cell r="D3154" t="str">
            <v>AR980AF1221</v>
          </cell>
          <cell r="E3154">
            <v>22</v>
          </cell>
        </row>
        <row r="3155">
          <cell r="C3155" t="str">
            <v>B587041/A</v>
          </cell>
          <cell r="D3155" t="str">
            <v>AT479NF00</v>
          </cell>
          <cell r="E3155">
            <v>25</v>
          </cell>
        </row>
        <row r="3156">
          <cell r="C3156" t="str">
            <v>B587104/A</v>
          </cell>
          <cell r="D3156" t="str">
            <v>AT479NF00</v>
          </cell>
          <cell r="E3156">
            <v>25</v>
          </cell>
        </row>
        <row r="3157">
          <cell r="C3157" t="str">
            <v>B587042/A</v>
          </cell>
          <cell r="D3157" t="str">
            <v>AT479NF00</v>
          </cell>
          <cell r="E3157">
            <v>50</v>
          </cell>
        </row>
        <row r="3158">
          <cell r="C3158" t="str">
            <v>B587043/A</v>
          </cell>
          <cell r="D3158" t="str">
            <v>AT479NF00</v>
          </cell>
          <cell r="E3158">
            <v>50</v>
          </cell>
        </row>
        <row r="3159">
          <cell r="C3159" t="str">
            <v>B587101/A</v>
          </cell>
          <cell r="D3159" t="str">
            <v>AT479NF1305</v>
          </cell>
          <cell r="E3159">
            <v>25</v>
          </cell>
        </row>
        <row r="3160">
          <cell r="C3160" t="str">
            <v>B587106/A</v>
          </cell>
          <cell r="D3160" t="str">
            <v>AT479NF1310</v>
          </cell>
          <cell r="E3160">
            <v>20</v>
          </cell>
        </row>
        <row r="3161">
          <cell r="C3161" t="str">
            <v>B587109/A</v>
          </cell>
          <cell r="D3161" t="str">
            <v>AT481F00</v>
          </cell>
          <cell r="E3161">
            <v>50</v>
          </cell>
        </row>
        <row r="3162">
          <cell r="C3162" t="str">
            <v>B587110/A</v>
          </cell>
          <cell r="D3162" t="str">
            <v>AT481F00</v>
          </cell>
          <cell r="E3162">
            <v>50</v>
          </cell>
        </row>
        <row r="3163">
          <cell r="C3163" t="str">
            <v>B587112/A</v>
          </cell>
          <cell r="D3163" t="str">
            <v>AT481F1310</v>
          </cell>
          <cell r="E3163">
            <v>25</v>
          </cell>
        </row>
        <row r="3164">
          <cell r="C3164" t="str">
            <v>B587115/A</v>
          </cell>
          <cell r="D3164" t="str">
            <v>AT522NF00</v>
          </cell>
          <cell r="E3164">
            <v>25</v>
          </cell>
        </row>
        <row r="3165">
          <cell r="C3165" t="str">
            <v>B587116/A</v>
          </cell>
          <cell r="D3165" t="str">
            <v>AT522NF00</v>
          </cell>
          <cell r="E3165">
            <v>25</v>
          </cell>
        </row>
        <row r="3166">
          <cell r="C3166" t="str">
            <v>B587118/A</v>
          </cell>
          <cell r="D3166" t="str">
            <v>AT537BNF1040</v>
          </cell>
          <cell r="E3166">
            <v>25</v>
          </cell>
        </row>
        <row r="3167">
          <cell r="C3167" t="str">
            <v>B587120/A</v>
          </cell>
          <cell r="D3167" t="str">
            <v>AT537NF1285</v>
          </cell>
          <cell r="E3167">
            <v>50</v>
          </cell>
        </row>
        <row r="3168">
          <cell r="C3168" t="str">
            <v>B587123/A</v>
          </cell>
          <cell r="D3168" t="str">
            <v>AT627F00</v>
          </cell>
          <cell r="E3168">
            <v>25</v>
          </cell>
        </row>
        <row r="3169">
          <cell r="C3169" t="str">
            <v>B587124/A</v>
          </cell>
          <cell r="D3169" t="str">
            <v>AT627F00</v>
          </cell>
          <cell r="E3169">
            <v>25</v>
          </cell>
        </row>
        <row r="3170">
          <cell r="C3170" t="str">
            <v>B587126/A</v>
          </cell>
          <cell r="D3170" t="str">
            <v>AT632F00</v>
          </cell>
          <cell r="E3170">
            <v>25</v>
          </cell>
        </row>
        <row r="3171">
          <cell r="C3171" t="str">
            <v>B585799/A</v>
          </cell>
          <cell r="D3171" t="str">
            <v>AT658F1040</v>
          </cell>
          <cell r="E3171">
            <v>47</v>
          </cell>
        </row>
        <row r="3172">
          <cell r="C3172" t="str">
            <v>B585800/A</v>
          </cell>
          <cell r="D3172" t="str">
            <v>AT658F1040</v>
          </cell>
          <cell r="E3172">
            <v>4</v>
          </cell>
        </row>
        <row r="3173">
          <cell r="C3173" t="str">
            <v>B585801/A</v>
          </cell>
          <cell r="D3173" t="str">
            <v>AT658F1040</v>
          </cell>
          <cell r="E3173">
            <v>7</v>
          </cell>
        </row>
        <row r="3174">
          <cell r="C3174" t="str">
            <v>B587099/A</v>
          </cell>
          <cell r="D3174" t="str">
            <v>AT665NF00</v>
          </cell>
          <cell r="E3174">
            <v>25</v>
          </cell>
        </row>
        <row r="3175">
          <cell r="C3175" t="str">
            <v>B587080/A</v>
          </cell>
          <cell r="D3175" t="str">
            <v>AT665NF1310</v>
          </cell>
          <cell r="E3175">
            <v>25</v>
          </cell>
        </row>
        <row r="3176">
          <cell r="C3176" t="str">
            <v>B587081/A</v>
          </cell>
          <cell r="D3176" t="str">
            <v>AT665NF1310</v>
          </cell>
          <cell r="E3176">
            <v>4</v>
          </cell>
        </row>
        <row r="3177">
          <cell r="C3177" t="str">
            <v>B587084/A</v>
          </cell>
          <cell r="D3177" t="str">
            <v>AT683F1294</v>
          </cell>
          <cell r="E3177">
            <v>25</v>
          </cell>
        </row>
        <row r="3178">
          <cell r="C3178" t="str">
            <v>B587085/A</v>
          </cell>
          <cell r="D3178" t="str">
            <v>AT683F1294</v>
          </cell>
          <cell r="E3178">
            <v>4</v>
          </cell>
        </row>
        <row r="3179">
          <cell r="C3179" t="str">
            <v>B587091/A</v>
          </cell>
          <cell r="D3179" t="str">
            <v>AT683F877</v>
          </cell>
          <cell r="E3179">
            <v>25</v>
          </cell>
        </row>
        <row r="3180">
          <cell r="C3180" t="str">
            <v>B587092/A</v>
          </cell>
          <cell r="D3180" t="str">
            <v>AT683F877</v>
          </cell>
          <cell r="E3180">
            <v>5</v>
          </cell>
        </row>
        <row r="3181">
          <cell r="C3181" t="str">
            <v>B587046/A</v>
          </cell>
          <cell r="D3181" t="str">
            <v>HS5167F1170</v>
          </cell>
          <cell r="E3181">
            <v>20</v>
          </cell>
        </row>
        <row r="3182">
          <cell r="C3182" t="str">
            <v>B587047/A</v>
          </cell>
          <cell r="D3182" t="str">
            <v>HS5167F1170</v>
          </cell>
          <cell r="E3182">
            <v>20</v>
          </cell>
        </row>
        <row r="3183">
          <cell r="C3183" t="str">
            <v>B587161/A</v>
          </cell>
          <cell r="D3183" t="str">
            <v>BN3104F355-SHEL</v>
          </cell>
          <cell r="E3183">
            <v>10</v>
          </cell>
        </row>
        <row r="3184">
          <cell r="C3184" t="str">
            <v>B587004/A</v>
          </cell>
          <cell r="D3184" t="str">
            <v>CZ912F190.EU</v>
          </cell>
          <cell r="E3184">
            <v>108</v>
          </cell>
        </row>
        <row r="3185">
          <cell r="C3185" t="str">
            <v>B587006/A</v>
          </cell>
          <cell r="D3185" t="str">
            <v>CZ913F08</v>
          </cell>
          <cell r="E3185">
            <v>189</v>
          </cell>
        </row>
        <row r="3186">
          <cell r="C3186" t="str">
            <v>B587008/A</v>
          </cell>
          <cell r="D3186" t="str">
            <v>CZ913F09</v>
          </cell>
          <cell r="E3186">
            <v>189</v>
          </cell>
        </row>
        <row r="3187">
          <cell r="C3187" t="str">
            <v>B587010/A</v>
          </cell>
          <cell r="D3187" t="str">
            <v>CZ913F10</v>
          </cell>
          <cell r="E3187">
            <v>189</v>
          </cell>
        </row>
        <row r="3188">
          <cell r="C3188" t="str">
            <v>B587012/A</v>
          </cell>
          <cell r="D3188" t="str">
            <v>CZ913F190.EU</v>
          </cell>
          <cell r="E3188">
            <v>20</v>
          </cell>
        </row>
        <row r="3189">
          <cell r="C3189" t="str">
            <v>B586937/A</v>
          </cell>
          <cell r="D3189" t="str">
            <v>JV047F1212-DWFB</v>
          </cell>
          <cell r="E3189">
            <v>1</v>
          </cell>
        </row>
        <row r="3190">
          <cell r="C3190" t="str">
            <v>B586935/A</v>
          </cell>
          <cell r="D3190" t="str">
            <v>JV047F1212-DWFT</v>
          </cell>
          <cell r="E3190">
            <v>1</v>
          </cell>
        </row>
        <row r="3191">
          <cell r="C3191" t="str">
            <v>B587014/A</v>
          </cell>
          <cell r="D3191" t="str">
            <v>RH7591F409.EU</v>
          </cell>
          <cell r="E3191">
            <v>108</v>
          </cell>
        </row>
        <row r="3192">
          <cell r="C3192" t="str">
            <v>B587016/A</v>
          </cell>
          <cell r="D3192" t="str">
            <v>RH9951F423.EU</v>
          </cell>
          <cell r="E3192">
            <v>20</v>
          </cell>
        </row>
        <row r="3193">
          <cell r="C3193" t="str">
            <v>B587018/A</v>
          </cell>
          <cell r="D3193" t="str">
            <v>RH9951F424.EU</v>
          </cell>
          <cell r="E3193">
            <v>20</v>
          </cell>
        </row>
        <row r="3194">
          <cell r="C3194" t="str">
            <v>B587020/A</v>
          </cell>
          <cell r="D3194" t="str">
            <v>RH9951F425.EU</v>
          </cell>
          <cell r="E3194">
            <v>20</v>
          </cell>
        </row>
        <row r="3195">
          <cell r="C3195" t="str">
            <v>B587022/A</v>
          </cell>
          <cell r="D3195" t="str">
            <v>RH9951F426.EU</v>
          </cell>
          <cell r="E3195">
            <v>20</v>
          </cell>
        </row>
        <row r="3196">
          <cell r="C3196" t="str">
            <v>B587406/A</v>
          </cell>
          <cell r="D3196" t="str">
            <v>RH2974F245-SLPNS</v>
          </cell>
          <cell r="E3196">
            <v>1</v>
          </cell>
        </row>
        <row r="3197">
          <cell r="C3197" t="str">
            <v>B587408/A</v>
          </cell>
          <cell r="D3197" t="str">
            <v>CT007NF610-DRAWS</v>
          </cell>
          <cell r="E3197">
            <v>1</v>
          </cell>
        </row>
        <row r="3198">
          <cell r="C3198" t="str">
            <v>B587052/A</v>
          </cell>
          <cell r="D3198" t="str">
            <v>AR1092F1039</v>
          </cell>
          <cell r="E3198">
            <v>7</v>
          </cell>
        </row>
        <row r="3199">
          <cell r="C3199" t="str">
            <v>B587053/A</v>
          </cell>
          <cell r="D3199" t="str">
            <v>AR1092F1039</v>
          </cell>
          <cell r="E3199">
            <v>5</v>
          </cell>
        </row>
        <row r="3200">
          <cell r="C3200" t="str">
            <v>B587054/A</v>
          </cell>
          <cell r="D3200" t="str">
            <v>AR1092F1039</v>
          </cell>
          <cell r="E3200">
            <v>6</v>
          </cell>
        </row>
        <row r="3201">
          <cell r="C3201" t="str">
            <v>B587055/A</v>
          </cell>
          <cell r="D3201" t="str">
            <v>AR1092F1039</v>
          </cell>
          <cell r="E3201">
            <v>18</v>
          </cell>
        </row>
        <row r="3202">
          <cell r="C3202" t="str">
            <v>B587095/A</v>
          </cell>
          <cell r="D3202" t="str">
            <v>AT659F839</v>
          </cell>
          <cell r="E3202">
            <v>57</v>
          </cell>
        </row>
        <row r="3203">
          <cell r="C3203" t="str">
            <v>B587096/A</v>
          </cell>
          <cell r="D3203" t="str">
            <v>AT659F839</v>
          </cell>
          <cell r="E3203">
            <v>4</v>
          </cell>
        </row>
        <row r="3204">
          <cell r="C3204" t="str">
            <v>B587088/A</v>
          </cell>
          <cell r="D3204" t="str">
            <v>AT693F877</v>
          </cell>
          <cell r="E3204">
            <v>6</v>
          </cell>
        </row>
        <row r="3205">
          <cell r="C3205" t="str">
            <v>B587089/A</v>
          </cell>
          <cell r="D3205" t="str">
            <v>AT693F877</v>
          </cell>
          <cell r="E3205">
            <v>22</v>
          </cell>
        </row>
        <row r="3206">
          <cell r="C3206" t="str">
            <v>B587606/A</v>
          </cell>
          <cell r="D3206" t="str">
            <v>CZ047NF09</v>
          </cell>
          <cell r="E3206">
            <v>5</v>
          </cell>
        </row>
        <row r="3207">
          <cell r="C3207" t="str">
            <v>B587659/A</v>
          </cell>
          <cell r="D3207" t="str">
            <v>CZ047NF10</v>
          </cell>
          <cell r="E3207">
            <v>7</v>
          </cell>
        </row>
        <row r="3208">
          <cell r="C3208" t="str">
            <v>B587662/A</v>
          </cell>
          <cell r="D3208" t="str">
            <v>CZ047NF190</v>
          </cell>
          <cell r="E3208">
            <v>13</v>
          </cell>
        </row>
        <row r="3209">
          <cell r="C3209" t="str">
            <v>B587663/A</v>
          </cell>
          <cell r="D3209" t="str">
            <v>CZ047NF190</v>
          </cell>
          <cell r="E3209">
            <v>5</v>
          </cell>
        </row>
        <row r="3210">
          <cell r="C3210" t="str">
            <v>B587522/A</v>
          </cell>
          <cell r="D3210" t="str">
            <v>CZ551F08</v>
          </cell>
          <cell r="E3210">
            <v>30</v>
          </cell>
        </row>
        <row r="3211">
          <cell r="C3211" t="str">
            <v>B587523/A</v>
          </cell>
          <cell r="D3211" t="str">
            <v>CZ551F08</v>
          </cell>
          <cell r="E3211">
            <v>10</v>
          </cell>
        </row>
        <row r="3212">
          <cell r="C3212" t="str">
            <v>B587525/A</v>
          </cell>
          <cell r="D3212" t="str">
            <v>CZ551F09</v>
          </cell>
          <cell r="E3212">
            <v>15</v>
          </cell>
        </row>
        <row r="3213">
          <cell r="C3213" t="str">
            <v>B587527/A</v>
          </cell>
          <cell r="D3213" t="str">
            <v>CZ551F190</v>
          </cell>
          <cell r="E3213">
            <v>7</v>
          </cell>
        </row>
        <row r="3214">
          <cell r="C3214" t="str">
            <v>B587529/A</v>
          </cell>
          <cell r="D3214" t="str">
            <v>CZ551F191</v>
          </cell>
          <cell r="E3214">
            <v>10</v>
          </cell>
        </row>
        <row r="3215">
          <cell r="C3215" t="str">
            <v>B587531/A</v>
          </cell>
          <cell r="D3215" t="str">
            <v>CZ640F08</v>
          </cell>
          <cell r="E3215">
            <v>4</v>
          </cell>
        </row>
        <row r="3216">
          <cell r="C3216" t="str">
            <v>B587533/A</v>
          </cell>
          <cell r="D3216" t="str">
            <v>CZ640F09</v>
          </cell>
          <cell r="E3216">
            <v>8</v>
          </cell>
        </row>
        <row r="3217">
          <cell r="C3217" t="str">
            <v>B587537/A</v>
          </cell>
          <cell r="D3217" t="str">
            <v>CZ640F10</v>
          </cell>
          <cell r="E3217">
            <v>4</v>
          </cell>
        </row>
        <row r="3218">
          <cell r="C3218" t="str">
            <v>B587535/A</v>
          </cell>
          <cell r="D3218" t="str">
            <v>CZ640F10</v>
          </cell>
          <cell r="E3218">
            <v>4</v>
          </cell>
        </row>
        <row r="3219">
          <cell r="C3219" t="str">
            <v>B587674/A</v>
          </cell>
          <cell r="D3219" t="str">
            <v>CZ641F09</v>
          </cell>
          <cell r="E3219">
            <v>4</v>
          </cell>
        </row>
        <row r="3220">
          <cell r="C3220" t="str">
            <v>B587676/A</v>
          </cell>
          <cell r="D3220" t="str">
            <v>CZ641F10</v>
          </cell>
          <cell r="E3220">
            <v>5</v>
          </cell>
        </row>
        <row r="3221">
          <cell r="C3221" t="str">
            <v>B587665/A</v>
          </cell>
          <cell r="D3221" t="str">
            <v>CZ641F10</v>
          </cell>
          <cell r="E3221">
            <v>11</v>
          </cell>
        </row>
        <row r="3222">
          <cell r="C3222" t="str">
            <v>B587668/A</v>
          </cell>
          <cell r="D3222" t="str">
            <v>CZ641F191</v>
          </cell>
          <cell r="E3222">
            <v>9</v>
          </cell>
        </row>
        <row r="3223">
          <cell r="C3223" t="str">
            <v>B587540/A</v>
          </cell>
          <cell r="D3223" t="str">
            <v>CZ653F10</v>
          </cell>
          <cell r="E3223">
            <v>24</v>
          </cell>
        </row>
        <row r="3224">
          <cell r="C3224" t="str">
            <v>B587541/A</v>
          </cell>
          <cell r="D3224" t="str">
            <v>CZ653F10</v>
          </cell>
          <cell r="E3224">
            <v>34</v>
          </cell>
        </row>
        <row r="3225">
          <cell r="C3225" t="str">
            <v>B587670/A</v>
          </cell>
          <cell r="D3225" t="str">
            <v>CZ821NF381</v>
          </cell>
          <cell r="E3225">
            <v>5</v>
          </cell>
        </row>
        <row r="3226">
          <cell r="C3226" t="str">
            <v>B587678/A</v>
          </cell>
          <cell r="D3226" t="str">
            <v>CZ821NF409</v>
          </cell>
          <cell r="E3226">
            <v>9</v>
          </cell>
        </row>
        <row r="3227">
          <cell r="C3227" t="str">
            <v>B587672/A</v>
          </cell>
          <cell r="D3227" t="str">
            <v>CZ821NF409</v>
          </cell>
          <cell r="E3227">
            <v>14</v>
          </cell>
        </row>
        <row r="3228">
          <cell r="C3228" t="str">
            <v>B587789/A</v>
          </cell>
          <cell r="D3228" t="str">
            <v>CZ821NF409</v>
          </cell>
          <cell r="E3228">
            <v>1</v>
          </cell>
        </row>
        <row r="3229">
          <cell r="C3229" t="str">
            <v>B587544/A</v>
          </cell>
          <cell r="D3229" t="str">
            <v>CZ842F409-31931</v>
          </cell>
          <cell r="E3229">
            <v>20</v>
          </cell>
        </row>
        <row r="3230">
          <cell r="C3230" t="str">
            <v>B587547/A</v>
          </cell>
          <cell r="D3230" t="str">
            <v>CZ888F196</v>
          </cell>
          <cell r="E3230">
            <v>9</v>
          </cell>
        </row>
        <row r="3231">
          <cell r="C3231" t="str">
            <v>B587548/A</v>
          </cell>
          <cell r="D3231" t="str">
            <v>CZ888F196</v>
          </cell>
          <cell r="E3231">
            <v>2</v>
          </cell>
        </row>
        <row r="3232">
          <cell r="C3232" t="str">
            <v>B587550/A</v>
          </cell>
          <cell r="D3232" t="str">
            <v>CZ888F381</v>
          </cell>
          <cell r="E3232">
            <v>4</v>
          </cell>
        </row>
        <row r="3233">
          <cell r="C3233" t="str">
            <v>B587553/A</v>
          </cell>
          <cell r="D3233" t="str">
            <v>CZ888F409</v>
          </cell>
          <cell r="E3233">
            <v>10</v>
          </cell>
        </row>
        <row r="3234">
          <cell r="C3234" t="str">
            <v>B587554/A</v>
          </cell>
          <cell r="D3234" t="str">
            <v>CZ888F409</v>
          </cell>
          <cell r="E3234">
            <v>11</v>
          </cell>
        </row>
        <row r="3235">
          <cell r="C3235" t="str">
            <v>B587681/A</v>
          </cell>
          <cell r="D3235" t="str">
            <v>CZ892F188</v>
          </cell>
          <cell r="E3235">
            <v>6</v>
          </cell>
        </row>
        <row r="3236">
          <cell r="C3236" t="str">
            <v>B587682/A</v>
          </cell>
          <cell r="D3236" t="str">
            <v>CZ892F188</v>
          </cell>
          <cell r="E3236">
            <v>8</v>
          </cell>
        </row>
        <row r="3237">
          <cell r="C3237" t="str">
            <v>B587684/A</v>
          </cell>
          <cell r="D3237" t="str">
            <v>CZ892F196</v>
          </cell>
          <cell r="E3237">
            <v>9</v>
          </cell>
        </row>
        <row r="3238">
          <cell r="C3238" t="str">
            <v>B587686/A</v>
          </cell>
          <cell r="D3238" t="str">
            <v>CZ892F409</v>
          </cell>
          <cell r="E3238">
            <v>13</v>
          </cell>
        </row>
        <row r="3239">
          <cell r="C3239" t="str">
            <v>B587556/A</v>
          </cell>
          <cell r="D3239" t="str">
            <v>CZ894F188</v>
          </cell>
          <cell r="E3239">
            <v>5</v>
          </cell>
        </row>
        <row r="3240">
          <cell r="C3240" t="str">
            <v>B587653/A</v>
          </cell>
          <cell r="D3240" t="str">
            <v>CZ894F188</v>
          </cell>
          <cell r="E3240">
            <v>3</v>
          </cell>
        </row>
        <row r="3241">
          <cell r="C3241" t="str">
            <v>B587559/A</v>
          </cell>
          <cell r="D3241" t="str">
            <v>CZ894F409</v>
          </cell>
          <cell r="E3241">
            <v>8</v>
          </cell>
        </row>
        <row r="3242">
          <cell r="C3242" t="str">
            <v>B587558/A</v>
          </cell>
          <cell r="D3242" t="str">
            <v>CZ894F409</v>
          </cell>
          <cell r="E3242">
            <v>11</v>
          </cell>
        </row>
        <row r="3243">
          <cell r="C3243" t="str">
            <v>B587953/A</v>
          </cell>
          <cell r="D3243" t="str">
            <v>HS5233F973</v>
          </cell>
          <cell r="E3243">
            <v>6</v>
          </cell>
        </row>
        <row r="3244">
          <cell r="C3244" t="str">
            <v>B587955/A</v>
          </cell>
          <cell r="D3244" t="str">
            <v>HS5384AF1090</v>
          </cell>
          <cell r="E3244">
            <v>13</v>
          </cell>
        </row>
        <row r="3245">
          <cell r="C3245" t="str">
            <v>B587957/A</v>
          </cell>
          <cell r="D3245" t="str">
            <v>HS5386AF1090</v>
          </cell>
          <cell r="E3245">
            <v>3</v>
          </cell>
        </row>
        <row r="3246">
          <cell r="C3246" t="str">
            <v>B587563/A</v>
          </cell>
          <cell r="D3246" t="str">
            <v>RH078F01</v>
          </cell>
          <cell r="E3246">
            <v>4</v>
          </cell>
        </row>
        <row r="3247">
          <cell r="C3247" t="str">
            <v>B587564/A</v>
          </cell>
          <cell r="D3247" t="str">
            <v>RH078F01</v>
          </cell>
          <cell r="E3247">
            <v>11</v>
          </cell>
        </row>
        <row r="3248">
          <cell r="C3248" t="str">
            <v>B587688/A</v>
          </cell>
          <cell r="D3248" t="str">
            <v>RH10000F382</v>
          </cell>
          <cell r="E3248">
            <v>4</v>
          </cell>
        </row>
        <row r="3249">
          <cell r="C3249" t="str">
            <v>B587690/A</v>
          </cell>
          <cell r="D3249" t="str">
            <v>RH10000F383</v>
          </cell>
          <cell r="E3249">
            <v>7</v>
          </cell>
        </row>
        <row r="3250">
          <cell r="C3250" t="str">
            <v>B587787/A</v>
          </cell>
          <cell r="D3250" t="str">
            <v>RH10000F384</v>
          </cell>
          <cell r="E3250">
            <v>1</v>
          </cell>
        </row>
        <row r="3251">
          <cell r="C3251" t="str">
            <v>B587694/A</v>
          </cell>
          <cell r="D3251" t="str">
            <v>RH10000F409</v>
          </cell>
          <cell r="E3251">
            <v>13</v>
          </cell>
        </row>
        <row r="3252">
          <cell r="C3252" t="str">
            <v>B587692/A</v>
          </cell>
          <cell r="D3252" t="str">
            <v>RH10056NF382</v>
          </cell>
          <cell r="E3252">
            <v>23</v>
          </cell>
        </row>
        <row r="3253">
          <cell r="C3253" t="str">
            <v>B587696/A</v>
          </cell>
          <cell r="D3253" t="str">
            <v>RH10056NF384</v>
          </cell>
          <cell r="E3253">
            <v>13</v>
          </cell>
        </row>
        <row r="3254">
          <cell r="C3254" t="str">
            <v>B587698/A</v>
          </cell>
          <cell r="D3254" t="str">
            <v>RH10056NF409</v>
          </cell>
          <cell r="E3254">
            <v>1</v>
          </cell>
        </row>
        <row r="3255">
          <cell r="C3255" t="str">
            <v>B587566/A</v>
          </cell>
          <cell r="D3255" t="str">
            <v>RH109F02</v>
          </cell>
          <cell r="E3255">
            <v>2</v>
          </cell>
        </row>
        <row r="3256">
          <cell r="C3256" t="str">
            <v>B587568/A</v>
          </cell>
          <cell r="D3256" t="str">
            <v>RH133NF03</v>
          </cell>
          <cell r="E3256">
            <v>17</v>
          </cell>
        </row>
        <row r="3257">
          <cell r="C3257" t="str">
            <v>B587703/A</v>
          </cell>
          <cell r="D3257" t="str">
            <v>RH2113F100</v>
          </cell>
          <cell r="E3257">
            <v>11</v>
          </cell>
        </row>
        <row r="3258">
          <cell r="C3258" t="str">
            <v>B587704/A</v>
          </cell>
          <cell r="D3258" t="str">
            <v>RH2113F100</v>
          </cell>
          <cell r="E3258">
            <v>17</v>
          </cell>
        </row>
        <row r="3259">
          <cell r="C3259" t="str">
            <v>B587570/A</v>
          </cell>
          <cell r="D3259" t="str">
            <v>RH2250F09</v>
          </cell>
          <cell r="E3259">
            <v>26</v>
          </cell>
        </row>
        <row r="3260">
          <cell r="C3260" t="str">
            <v>B587572/A</v>
          </cell>
          <cell r="D3260" t="str">
            <v>RH2252F09</v>
          </cell>
          <cell r="E3260">
            <v>41</v>
          </cell>
        </row>
        <row r="3261">
          <cell r="C3261" t="str">
            <v>B587574/A</v>
          </cell>
          <cell r="D3261" t="str">
            <v>RH2255NF09</v>
          </cell>
          <cell r="E3261">
            <v>21</v>
          </cell>
        </row>
        <row r="3262">
          <cell r="C3262" t="str">
            <v>B587577/A</v>
          </cell>
          <cell r="D3262" t="str">
            <v>RH2690F08CZ</v>
          </cell>
          <cell r="E3262">
            <v>16</v>
          </cell>
        </row>
        <row r="3263">
          <cell r="C3263" t="str">
            <v>B587578/A</v>
          </cell>
          <cell r="D3263" t="str">
            <v>RH2690F08CZ</v>
          </cell>
          <cell r="E3263">
            <v>7</v>
          </cell>
        </row>
        <row r="3264">
          <cell r="C3264" t="str">
            <v>B587581/A</v>
          </cell>
          <cell r="D3264" t="str">
            <v>RH2691F09CZ</v>
          </cell>
          <cell r="E3264">
            <v>8</v>
          </cell>
        </row>
        <row r="3265">
          <cell r="C3265" t="str">
            <v>B587582/A</v>
          </cell>
          <cell r="D3265" t="str">
            <v>RH2691F09CZ</v>
          </cell>
          <cell r="E3265">
            <v>10</v>
          </cell>
        </row>
        <row r="3266">
          <cell r="C3266" t="str">
            <v>B587584/A</v>
          </cell>
          <cell r="D3266" t="str">
            <v>RH2691F191</v>
          </cell>
          <cell r="E3266">
            <v>9</v>
          </cell>
        </row>
        <row r="3267">
          <cell r="C3267" t="str">
            <v>B587586/A</v>
          </cell>
          <cell r="D3267" t="str">
            <v>RH3553F08</v>
          </cell>
          <cell r="E3267">
            <v>5</v>
          </cell>
        </row>
        <row r="3268">
          <cell r="C3268" t="str">
            <v>B587588/A</v>
          </cell>
          <cell r="D3268" t="str">
            <v>RH3553F09</v>
          </cell>
          <cell r="E3268">
            <v>35</v>
          </cell>
        </row>
        <row r="3269">
          <cell r="C3269" t="str">
            <v>B587591/A</v>
          </cell>
          <cell r="D3269" t="str">
            <v>RH6999NF381</v>
          </cell>
          <cell r="E3269">
            <v>2</v>
          </cell>
        </row>
        <row r="3270">
          <cell r="C3270" t="str">
            <v>B587594/A</v>
          </cell>
          <cell r="D3270" t="str">
            <v>RH6999NF409</v>
          </cell>
          <cell r="E3270">
            <v>19</v>
          </cell>
        </row>
        <row r="3271">
          <cell r="C3271" t="str">
            <v>B587596/A</v>
          </cell>
          <cell r="D3271" t="str">
            <v>RH7369F382</v>
          </cell>
          <cell r="E3271">
            <v>8</v>
          </cell>
        </row>
        <row r="3272">
          <cell r="C3272" t="str">
            <v>B587598/A</v>
          </cell>
          <cell r="D3272" t="str">
            <v>RH7369F383</v>
          </cell>
          <cell r="E3272">
            <v>5</v>
          </cell>
        </row>
        <row r="3273">
          <cell r="C3273" t="str">
            <v>B587715/A</v>
          </cell>
          <cell r="D3273" t="str">
            <v>RH7394F381</v>
          </cell>
          <cell r="E3273">
            <v>8</v>
          </cell>
        </row>
        <row r="3274">
          <cell r="C3274" t="str">
            <v>B587795/A</v>
          </cell>
          <cell r="D3274" t="str">
            <v>RH7394F381</v>
          </cell>
          <cell r="E3274">
            <v>5</v>
          </cell>
        </row>
        <row r="3275">
          <cell r="C3275" t="str">
            <v>B587717/A</v>
          </cell>
          <cell r="D3275" t="str">
            <v>RH7394F382</v>
          </cell>
          <cell r="E3275">
            <v>1</v>
          </cell>
        </row>
        <row r="3276">
          <cell r="C3276" t="str">
            <v>B587797/A</v>
          </cell>
          <cell r="D3276" t="str">
            <v>RH7394F382</v>
          </cell>
          <cell r="E3276">
            <v>1</v>
          </cell>
        </row>
        <row r="3277">
          <cell r="C3277" t="str">
            <v>B587719/A</v>
          </cell>
          <cell r="D3277" t="str">
            <v>RH7394F383</v>
          </cell>
          <cell r="E3277">
            <v>15</v>
          </cell>
        </row>
        <row r="3278">
          <cell r="C3278" t="str">
            <v>B587722/A</v>
          </cell>
          <cell r="D3278" t="str">
            <v>RH7394F409</v>
          </cell>
          <cell r="E3278">
            <v>4</v>
          </cell>
        </row>
        <row r="3279">
          <cell r="C3279" t="str">
            <v>B587723/A</v>
          </cell>
          <cell r="D3279" t="str">
            <v>RH7394F409</v>
          </cell>
          <cell r="E3279">
            <v>5</v>
          </cell>
        </row>
        <row r="3280">
          <cell r="C3280" t="str">
            <v>B587726/A</v>
          </cell>
          <cell r="D3280" t="str">
            <v>RH844AF08</v>
          </cell>
          <cell r="E3280">
            <v>21</v>
          </cell>
        </row>
        <row r="3281">
          <cell r="C3281" t="str">
            <v>B587727/A</v>
          </cell>
          <cell r="D3281" t="str">
            <v>RH844AF08</v>
          </cell>
          <cell r="E3281">
            <v>4</v>
          </cell>
        </row>
        <row r="3282">
          <cell r="C3282" t="str">
            <v>B587600/A</v>
          </cell>
          <cell r="D3282" t="str">
            <v>RH9153F381</v>
          </cell>
          <cell r="E3282">
            <v>7</v>
          </cell>
        </row>
        <row r="3283">
          <cell r="C3283" t="str">
            <v>B587655/A</v>
          </cell>
          <cell r="D3283" t="str">
            <v>RH9153F382</v>
          </cell>
          <cell r="E3283">
            <v>1</v>
          </cell>
        </row>
        <row r="3284">
          <cell r="C3284" t="str">
            <v>B587602/A</v>
          </cell>
          <cell r="D3284" t="str">
            <v>RH9153F382</v>
          </cell>
          <cell r="E3284">
            <v>2</v>
          </cell>
        </row>
        <row r="3285">
          <cell r="C3285" t="str">
            <v>B587604/A</v>
          </cell>
          <cell r="D3285" t="str">
            <v>RH9153F409</v>
          </cell>
          <cell r="E3285">
            <v>11</v>
          </cell>
        </row>
        <row r="3286">
          <cell r="C3286" t="str">
            <v>B587730/A</v>
          </cell>
          <cell r="D3286" t="str">
            <v>RH9338F423</v>
          </cell>
          <cell r="E3286">
            <v>8</v>
          </cell>
        </row>
        <row r="3287">
          <cell r="C3287" t="str">
            <v>B587731/A</v>
          </cell>
          <cell r="D3287" t="str">
            <v>RH9338F423</v>
          </cell>
          <cell r="E3287">
            <v>3</v>
          </cell>
        </row>
        <row r="3288">
          <cell r="C3288" t="str">
            <v>B587733/A</v>
          </cell>
          <cell r="D3288" t="str">
            <v>RH9338F424</v>
          </cell>
          <cell r="E3288">
            <v>2</v>
          </cell>
        </row>
        <row r="3289">
          <cell r="C3289" t="str">
            <v>B587735/A</v>
          </cell>
          <cell r="D3289" t="str">
            <v>RH9338F425</v>
          </cell>
          <cell r="E3289">
            <v>6</v>
          </cell>
        </row>
        <row r="3290">
          <cell r="C3290" t="str">
            <v>B587738/A</v>
          </cell>
          <cell r="D3290" t="str">
            <v>RH9456NF424</v>
          </cell>
          <cell r="E3290">
            <v>9</v>
          </cell>
        </row>
        <row r="3291">
          <cell r="C3291" t="str">
            <v>B587739/A</v>
          </cell>
          <cell r="D3291" t="str">
            <v>RH9456NF424</v>
          </cell>
          <cell r="E3291">
            <v>8</v>
          </cell>
        </row>
        <row r="3292">
          <cell r="C3292" t="str">
            <v>B587798/A</v>
          </cell>
          <cell r="D3292" t="str">
            <v>RH9456NF424</v>
          </cell>
          <cell r="E3292">
            <v>1</v>
          </cell>
        </row>
        <row r="3293">
          <cell r="C3293" t="str">
            <v>B587742/A</v>
          </cell>
          <cell r="D3293" t="str">
            <v>RH9456NF426</v>
          </cell>
          <cell r="E3293">
            <v>4</v>
          </cell>
        </row>
        <row r="3294">
          <cell r="C3294" t="str">
            <v>B587743/A</v>
          </cell>
          <cell r="D3294" t="str">
            <v>RH9456NF426</v>
          </cell>
          <cell r="E3294">
            <v>8</v>
          </cell>
        </row>
        <row r="3295">
          <cell r="C3295" t="str">
            <v>B587745/A</v>
          </cell>
          <cell r="D3295" t="str">
            <v>RH9530F423</v>
          </cell>
          <cell r="E3295">
            <v>6</v>
          </cell>
        </row>
        <row r="3296">
          <cell r="C3296" t="str">
            <v>B587747/A</v>
          </cell>
          <cell r="D3296" t="str">
            <v>RH9530F425</v>
          </cell>
          <cell r="E3296">
            <v>6</v>
          </cell>
        </row>
        <row r="3297">
          <cell r="C3297" t="str">
            <v>B587799/A</v>
          </cell>
          <cell r="D3297" t="str">
            <v>RH9530F425</v>
          </cell>
          <cell r="E3297">
            <v>1</v>
          </cell>
        </row>
        <row r="3298">
          <cell r="C3298" t="str">
            <v>B587749/A</v>
          </cell>
          <cell r="D3298" t="str">
            <v>RH9532F423</v>
          </cell>
          <cell r="E3298">
            <v>14</v>
          </cell>
        </row>
        <row r="3299">
          <cell r="C3299" t="str">
            <v>B587751/A</v>
          </cell>
          <cell r="D3299" t="str">
            <v>RH9532F426</v>
          </cell>
          <cell r="E3299">
            <v>14</v>
          </cell>
        </row>
        <row r="3300">
          <cell r="C3300" t="str">
            <v>B587753/A</v>
          </cell>
          <cell r="D3300" t="str">
            <v>RH9540F423</v>
          </cell>
          <cell r="E3300">
            <v>1</v>
          </cell>
        </row>
        <row r="3301">
          <cell r="C3301" t="str">
            <v>B587755/A</v>
          </cell>
          <cell r="D3301" t="str">
            <v>RH9540F425</v>
          </cell>
          <cell r="E3301">
            <v>9</v>
          </cell>
        </row>
        <row r="3302">
          <cell r="C3302" t="str">
            <v>B587757/A</v>
          </cell>
          <cell r="D3302" t="str">
            <v>RH9540F426</v>
          </cell>
          <cell r="E3302">
            <v>10</v>
          </cell>
        </row>
        <row r="3303">
          <cell r="C3303" t="str">
            <v>B587759/A</v>
          </cell>
          <cell r="D3303" t="str">
            <v>RH9856F424</v>
          </cell>
          <cell r="E3303">
            <v>13</v>
          </cell>
        </row>
        <row r="3304">
          <cell r="C3304" t="str">
            <v>B587762/A</v>
          </cell>
          <cell r="D3304" t="str">
            <v>RH9856F425</v>
          </cell>
          <cell r="E3304">
            <v>6</v>
          </cell>
        </row>
        <row r="3305">
          <cell r="C3305" t="str">
            <v>B587763/A</v>
          </cell>
          <cell r="D3305" t="str">
            <v>RH9856F425</v>
          </cell>
          <cell r="E3305">
            <v>4</v>
          </cell>
        </row>
        <row r="3306">
          <cell r="C3306" t="str">
            <v>B587766/A</v>
          </cell>
          <cell r="D3306" t="str">
            <v>RH9856F426</v>
          </cell>
          <cell r="E3306">
            <v>3</v>
          </cell>
        </row>
        <row r="3307">
          <cell r="C3307" t="str">
            <v>B587767/A</v>
          </cell>
          <cell r="D3307" t="str">
            <v>RH9856F426</v>
          </cell>
          <cell r="E3307">
            <v>9</v>
          </cell>
        </row>
        <row r="3308">
          <cell r="C3308" t="str">
            <v>B587769/A</v>
          </cell>
          <cell r="D3308" t="str">
            <v>RH9879F423</v>
          </cell>
          <cell r="E3308">
            <v>9</v>
          </cell>
        </row>
        <row r="3309">
          <cell r="C3309" t="str">
            <v>B587800/A</v>
          </cell>
          <cell r="D3309" t="str">
            <v>RH9879F423</v>
          </cell>
          <cell r="E3309">
            <v>1</v>
          </cell>
        </row>
        <row r="3310">
          <cell r="C3310" t="str">
            <v>B587771/A</v>
          </cell>
          <cell r="D3310" t="str">
            <v>RH9879F425</v>
          </cell>
          <cell r="E3310">
            <v>5</v>
          </cell>
        </row>
        <row r="3311">
          <cell r="C3311" t="str">
            <v>B587801/A</v>
          </cell>
          <cell r="D3311" t="str">
            <v>RH9879F425</v>
          </cell>
          <cell r="E3311">
            <v>1</v>
          </cell>
        </row>
        <row r="3312">
          <cell r="C3312" t="str">
            <v>B587773/A</v>
          </cell>
          <cell r="D3312" t="str">
            <v>RH9879F426</v>
          </cell>
          <cell r="E3312">
            <v>4</v>
          </cell>
        </row>
        <row r="3313">
          <cell r="C3313" t="str">
            <v>B587657/A</v>
          </cell>
          <cell r="D3313" t="str">
            <v>RH9879F426</v>
          </cell>
          <cell r="E3313">
            <v>2</v>
          </cell>
        </row>
        <row r="3314">
          <cell r="C3314" t="str">
            <v>B587802/A</v>
          </cell>
          <cell r="D3314" t="str">
            <v>RH9879F426</v>
          </cell>
          <cell r="E3314">
            <v>1</v>
          </cell>
        </row>
        <row r="3315">
          <cell r="C3315" t="str">
            <v>B587775/A</v>
          </cell>
          <cell r="D3315" t="str">
            <v>RH9882F423</v>
          </cell>
          <cell r="E3315">
            <v>21</v>
          </cell>
        </row>
        <row r="3316">
          <cell r="C3316" t="str">
            <v>B587777/A</v>
          </cell>
          <cell r="D3316" t="str">
            <v>RH9882F424</v>
          </cell>
          <cell r="E3316">
            <v>2</v>
          </cell>
        </row>
        <row r="3317">
          <cell r="C3317" t="str">
            <v>B587779/A</v>
          </cell>
          <cell r="D3317" t="str">
            <v>RH9882F425</v>
          </cell>
          <cell r="E3317">
            <v>1</v>
          </cell>
        </row>
        <row r="3318">
          <cell r="C3318" t="str">
            <v>B587782/A</v>
          </cell>
          <cell r="D3318" t="str">
            <v>RH9999F382</v>
          </cell>
          <cell r="E3318">
            <v>8</v>
          </cell>
        </row>
        <row r="3319">
          <cell r="C3319" t="str">
            <v>B587783/A</v>
          </cell>
          <cell r="D3319" t="str">
            <v>RH9999F382</v>
          </cell>
          <cell r="E3319">
            <v>9</v>
          </cell>
        </row>
        <row r="3320">
          <cell r="C3320" t="str">
            <v>B587785/A</v>
          </cell>
          <cell r="D3320" t="str">
            <v>RH9999F384</v>
          </cell>
          <cell r="E3320">
            <v>10</v>
          </cell>
        </row>
        <row r="3321">
          <cell r="C3321" t="str">
            <v>B588370/A</v>
          </cell>
          <cell r="D3321" t="str">
            <v>RH11216F456</v>
          </cell>
          <cell r="E3321">
            <v>1</v>
          </cell>
        </row>
        <row r="3322">
          <cell r="C3322" t="str">
            <v>B588371/A</v>
          </cell>
          <cell r="D3322" t="str">
            <v>RH11216F456</v>
          </cell>
          <cell r="E3322">
            <v>2</v>
          </cell>
        </row>
        <row r="3323">
          <cell r="C3323" t="str">
            <v>B588374/A</v>
          </cell>
          <cell r="D3323" t="str">
            <v>RH11234F456</v>
          </cell>
          <cell r="E3323">
            <v>1</v>
          </cell>
        </row>
        <row r="3324">
          <cell r="C3324" t="str">
            <v>B588375/A</v>
          </cell>
          <cell r="D3324" t="str">
            <v>RH11234F456</v>
          </cell>
          <cell r="E3324">
            <v>2</v>
          </cell>
        </row>
        <row r="3325">
          <cell r="C3325" t="str">
            <v>B588378/A</v>
          </cell>
          <cell r="D3325" t="str">
            <v>RH11235F456</v>
          </cell>
          <cell r="E3325">
            <v>1</v>
          </cell>
        </row>
        <row r="3326">
          <cell r="C3326" t="str">
            <v>B588379/A</v>
          </cell>
          <cell r="D3326" t="str">
            <v>RH11235F456</v>
          </cell>
          <cell r="E3326">
            <v>2</v>
          </cell>
        </row>
        <row r="3327">
          <cell r="C3327" t="str">
            <v>B588561/A</v>
          </cell>
          <cell r="D3327" t="str">
            <v>AR109NF1039-BASE</v>
          </cell>
          <cell r="E3327">
            <v>21</v>
          </cell>
        </row>
        <row r="3328">
          <cell r="C3328" t="str">
            <v>B588562/A</v>
          </cell>
          <cell r="D3328" t="str">
            <v>AR109NF1039-BASE</v>
          </cell>
          <cell r="E3328">
            <v>9</v>
          </cell>
        </row>
        <row r="3329">
          <cell r="C3329" t="str">
            <v>B588565/A</v>
          </cell>
          <cell r="D3329" t="str">
            <v>AR113NF1039-BASE</v>
          </cell>
          <cell r="E3329">
            <v>18</v>
          </cell>
        </row>
        <row r="3330">
          <cell r="C3330" t="str">
            <v>B588566/A</v>
          </cell>
          <cell r="D3330" t="str">
            <v>AR113NF1039-BASE</v>
          </cell>
          <cell r="E3330">
            <v>7</v>
          </cell>
        </row>
        <row r="3331">
          <cell r="C3331" t="str">
            <v>B588577/A</v>
          </cell>
          <cell r="D3331" t="str">
            <v>AR866F1233-BASE</v>
          </cell>
          <cell r="E3331">
            <v>14</v>
          </cell>
        </row>
        <row r="3332">
          <cell r="C3332" t="str">
            <v>B588578/A</v>
          </cell>
          <cell r="D3332" t="str">
            <v>AR866F1233-BASE</v>
          </cell>
          <cell r="E3332">
            <v>36</v>
          </cell>
        </row>
        <row r="3333">
          <cell r="C3333" t="str">
            <v>B588581/A</v>
          </cell>
          <cell r="D3333" t="str">
            <v>AR866F1233-TOP</v>
          </cell>
          <cell r="E3333">
            <v>14</v>
          </cell>
        </row>
        <row r="3334">
          <cell r="C3334" t="str">
            <v>B588582/A</v>
          </cell>
          <cell r="D3334" t="str">
            <v>AR866F1233-TOP</v>
          </cell>
          <cell r="E3334">
            <v>36</v>
          </cell>
        </row>
        <row r="3335">
          <cell r="C3335" t="str">
            <v>B588569/A</v>
          </cell>
          <cell r="D3335" t="str">
            <v>AR858F1233-BASE</v>
          </cell>
          <cell r="E3335">
            <v>7</v>
          </cell>
        </row>
        <row r="3336">
          <cell r="C3336" t="str">
            <v>B588570/A</v>
          </cell>
          <cell r="D3336" t="str">
            <v>AR858F1233-BASE</v>
          </cell>
          <cell r="E3336">
            <v>18</v>
          </cell>
        </row>
        <row r="3337">
          <cell r="C3337" t="str">
            <v>B588573/A</v>
          </cell>
          <cell r="D3337" t="str">
            <v>AR858F1233-TOP</v>
          </cell>
          <cell r="E3337">
            <v>7</v>
          </cell>
        </row>
        <row r="3338">
          <cell r="C3338" t="str">
            <v>B588574/A</v>
          </cell>
          <cell r="D3338" t="str">
            <v>AR858F1233-TOP</v>
          </cell>
          <cell r="E3338">
            <v>18</v>
          </cell>
        </row>
        <row r="3339">
          <cell r="C3339" t="str">
            <v>B588585/A</v>
          </cell>
          <cell r="D3339" t="str">
            <v>AR978AF1221</v>
          </cell>
          <cell r="E3339">
            <v>15</v>
          </cell>
        </row>
        <row r="3340">
          <cell r="C3340" t="str">
            <v>B588586/A</v>
          </cell>
          <cell r="D3340" t="str">
            <v>AR978AF1221</v>
          </cell>
          <cell r="E3340">
            <v>35</v>
          </cell>
        </row>
        <row r="3341">
          <cell r="C3341" t="str">
            <v>B588589/A</v>
          </cell>
          <cell r="D3341" t="str">
            <v>AR979AF1221</v>
          </cell>
          <cell r="E3341">
            <v>17</v>
          </cell>
        </row>
        <row r="3342">
          <cell r="C3342" t="str">
            <v>B588590/A</v>
          </cell>
          <cell r="D3342" t="str">
            <v>AR979AF1221</v>
          </cell>
          <cell r="E3342">
            <v>9</v>
          </cell>
        </row>
        <row r="3343">
          <cell r="C3343" t="str">
            <v>B588606/A</v>
          </cell>
          <cell r="D3343" t="str">
            <v>AT382F00-VE</v>
          </cell>
          <cell r="E3343">
            <v>50</v>
          </cell>
        </row>
        <row r="3344">
          <cell r="C3344" t="str">
            <v>B588607/A</v>
          </cell>
          <cell r="D3344" t="str">
            <v>AT382F00-VE</v>
          </cell>
          <cell r="E3344">
            <v>50</v>
          </cell>
        </row>
        <row r="3345">
          <cell r="C3345" t="str">
            <v>B588608/A</v>
          </cell>
          <cell r="D3345" t="str">
            <v>AT383F00-VE</v>
          </cell>
          <cell r="E3345">
            <v>50</v>
          </cell>
        </row>
        <row r="3346">
          <cell r="C3346" t="str">
            <v>B586850/A</v>
          </cell>
          <cell r="D3346" t="str">
            <v>AT418F00-VE</v>
          </cell>
          <cell r="E3346">
            <v>50</v>
          </cell>
        </row>
        <row r="3347">
          <cell r="C3347" t="str">
            <v>B586851/A</v>
          </cell>
          <cell r="D3347" t="str">
            <v>AT418F00-VE</v>
          </cell>
          <cell r="E3347">
            <v>50</v>
          </cell>
        </row>
        <row r="3348">
          <cell r="C3348" t="str">
            <v>B586852/A</v>
          </cell>
          <cell r="D3348" t="str">
            <v>AT471F00-VE</v>
          </cell>
          <cell r="E3348">
            <v>50</v>
          </cell>
        </row>
        <row r="3349">
          <cell r="C3349" t="str">
            <v>B586853/A</v>
          </cell>
          <cell r="D3349" t="str">
            <v>AT471F00-VE</v>
          </cell>
          <cell r="E3349">
            <v>50</v>
          </cell>
        </row>
        <row r="3350">
          <cell r="C3350" t="str">
            <v>B588558/A</v>
          </cell>
          <cell r="D3350" t="str">
            <v>AT479NF00</v>
          </cell>
          <cell r="E3350">
            <v>50</v>
          </cell>
        </row>
        <row r="3351">
          <cell r="C3351" t="str">
            <v>B588609/A</v>
          </cell>
          <cell r="D3351" t="str">
            <v>AT481F00</v>
          </cell>
          <cell r="E3351">
            <v>50</v>
          </cell>
        </row>
        <row r="3352">
          <cell r="C3352" t="str">
            <v>B588610/A</v>
          </cell>
          <cell r="D3352" t="str">
            <v>AT481F00</v>
          </cell>
          <cell r="E3352">
            <v>50</v>
          </cell>
        </row>
        <row r="3353">
          <cell r="C3353" t="str">
            <v>B588603/A</v>
          </cell>
          <cell r="D3353" t="str">
            <v>AT522NF00</v>
          </cell>
          <cell r="E3353">
            <v>25</v>
          </cell>
        </row>
        <row r="3354">
          <cell r="C3354" t="str">
            <v>B588604/A</v>
          </cell>
          <cell r="D3354" t="str">
            <v>AT522NF00</v>
          </cell>
          <cell r="E3354">
            <v>25</v>
          </cell>
        </row>
        <row r="3355">
          <cell r="C3355" t="str">
            <v>B588611/A</v>
          </cell>
          <cell r="D3355" t="str">
            <v>AT522NF00</v>
          </cell>
          <cell r="E3355">
            <v>50</v>
          </cell>
        </row>
        <row r="3356">
          <cell r="C3356" t="str">
            <v>B588557/A</v>
          </cell>
          <cell r="D3356" t="str">
            <v>AT522NF00</v>
          </cell>
          <cell r="E3356">
            <v>50</v>
          </cell>
        </row>
        <row r="3357">
          <cell r="C3357" t="str">
            <v>B588613/A</v>
          </cell>
          <cell r="D3357" t="str">
            <v>AT522NF1059</v>
          </cell>
          <cell r="E3357">
            <v>4</v>
          </cell>
        </row>
        <row r="3358">
          <cell r="C3358" t="str">
            <v>B588615/A</v>
          </cell>
          <cell r="D3358" t="str">
            <v>AT522NF1294</v>
          </cell>
          <cell r="E3358">
            <v>8</v>
          </cell>
        </row>
        <row r="3359">
          <cell r="C3359" t="str">
            <v>B588617/A</v>
          </cell>
          <cell r="D3359" t="str">
            <v>AT522NF877</v>
          </cell>
          <cell r="E3359">
            <v>4</v>
          </cell>
        </row>
        <row r="3360">
          <cell r="C3360" t="str">
            <v>B588629/A</v>
          </cell>
          <cell r="D3360" t="str">
            <v>AT573F00-VE</v>
          </cell>
          <cell r="E3360">
            <v>30</v>
          </cell>
        </row>
        <row r="3361">
          <cell r="C3361" t="str">
            <v>B588621/A</v>
          </cell>
          <cell r="D3361" t="str">
            <v>AT627F00</v>
          </cell>
          <cell r="E3361">
            <v>25</v>
          </cell>
        </row>
        <row r="3362">
          <cell r="C3362" t="str">
            <v>B588622/A</v>
          </cell>
          <cell r="D3362" t="str">
            <v>AT627F00</v>
          </cell>
          <cell r="E3362">
            <v>25</v>
          </cell>
        </row>
        <row r="3363">
          <cell r="C3363" t="str">
            <v>B588630/A</v>
          </cell>
          <cell r="D3363" t="str">
            <v>AT665NF00</v>
          </cell>
          <cell r="E3363">
            <v>25</v>
          </cell>
        </row>
        <row r="3364">
          <cell r="C3364" t="str">
            <v>B588631/A</v>
          </cell>
          <cell r="D3364" t="str">
            <v>AT665NF00</v>
          </cell>
          <cell r="E3364">
            <v>25</v>
          </cell>
        </row>
        <row r="3365">
          <cell r="C3365" t="str">
            <v>B588633/A</v>
          </cell>
          <cell r="D3365" t="str">
            <v>AT665NF1294</v>
          </cell>
          <cell r="E3365">
            <v>6</v>
          </cell>
        </row>
        <row r="3366">
          <cell r="C3366" t="str">
            <v>B588635/A</v>
          </cell>
          <cell r="D3366" t="str">
            <v>AT665NF1305</v>
          </cell>
          <cell r="E3366">
            <v>30</v>
          </cell>
        </row>
        <row r="3367">
          <cell r="C3367" t="str">
            <v>B588648/A</v>
          </cell>
          <cell r="D3367" t="str">
            <v>CT008F610</v>
          </cell>
          <cell r="E3367">
            <v>25</v>
          </cell>
        </row>
        <row r="3368">
          <cell r="C3368" t="str">
            <v>B588693/A</v>
          </cell>
          <cell r="D3368" t="str">
            <v>CT020AF633</v>
          </cell>
          <cell r="E3368">
            <v>25</v>
          </cell>
        </row>
        <row r="3369">
          <cell r="C3369" t="str">
            <v>B588697/A</v>
          </cell>
          <cell r="D3369" t="str">
            <v>CT021ANF633</v>
          </cell>
          <cell r="E3369">
            <v>20</v>
          </cell>
        </row>
        <row r="3370">
          <cell r="C3370" t="str">
            <v>B588702/A</v>
          </cell>
          <cell r="D3370" t="str">
            <v>CZ042F08</v>
          </cell>
          <cell r="E3370">
            <v>3</v>
          </cell>
        </row>
        <row r="3371">
          <cell r="C3371" t="str">
            <v>B588703/A</v>
          </cell>
          <cell r="D3371" t="str">
            <v>CZ042F08</v>
          </cell>
          <cell r="E3371">
            <v>8</v>
          </cell>
        </row>
        <row r="3372">
          <cell r="C3372" t="str">
            <v>B588329/A</v>
          </cell>
          <cell r="D3372" t="str">
            <v>CZ051F09</v>
          </cell>
          <cell r="E3372">
            <v>16</v>
          </cell>
        </row>
        <row r="3373">
          <cell r="C3373" t="str">
            <v>B588491/A</v>
          </cell>
          <cell r="D3373" t="str">
            <v>CZ051F10</v>
          </cell>
          <cell r="E3373">
            <v>4</v>
          </cell>
        </row>
        <row r="3374">
          <cell r="C3374" t="str">
            <v>B588492/A</v>
          </cell>
          <cell r="D3374" t="str">
            <v>CZ051F10</v>
          </cell>
          <cell r="E3374">
            <v>4</v>
          </cell>
        </row>
        <row r="3375">
          <cell r="C3375" t="str">
            <v>B588496/A</v>
          </cell>
          <cell r="D3375" t="str">
            <v>CZ051F190</v>
          </cell>
          <cell r="E3375">
            <v>31</v>
          </cell>
        </row>
        <row r="3376">
          <cell r="C3376" t="str">
            <v>B588497/A</v>
          </cell>
          <cell r="D3376" t="str">
            <v>CZ051F190</v>
          </cell>
          <cell r="E3376">
            <v>6</v>
          </cell>
        </row>
        <row r="3377">
          <cell r="C3377" t="str">
            <v>B588500/A</v>
          </cell>
          <cell r="D3377" t="str">
            <v>CZ051F191</v>
          </cell>
          <cell r="E3377">
            <v>11</v>
          </cell>
        </row>
        <row r="3378">
          <cell r="C3378" t="str">
            <v>B588501/A</v>
          </cell>
          <cell r="D3378" t="str">
            <v>CZ051F191</v>
          </cell>
          <cell r="E3378">
            <v>2</v>
          </cell>
        </row>
        <row r="3379">
          <cell r="C3379" t="str">
            <v>B588459/A</v>
          </cell>
          <cell r="D3379" t="str">
            <v>CZ550NF08</v>
          </cell>
          <cell r="E3379">
            <v>1</v>
          </cell>
        </row>
        <row r="3380">
          <cell r="C3380" t="str">
            <v>B588707/A</v>
          </cell>
          <cell r="D3380" t="str">
            <v>CZ644NF08</v>
          </cell>
          <cell r="E3380">
            <v>3</v>
          </cell>
        </row>
        <row r="3381">
          <cell r="C3381" t="str">
            <v>B588746/A</v>
          </cell>
          <cell r="D3381" t="str">
            <v>CZ644NF09</v>
          </cell>
          <cell r="E3381">
            <v>10</v>
          </cell>
        </row>
        <row r="3382">
          <cell r="C3382" t="str">
            <v>B588734/A</v>
          </cell>
          <cell r="D3382" t="str">
            <v>CZ644NF10</v>
          </cell>
          <cell r="E3382">
            <v>3</v>
          </cell>
        </row>
        <row r="3383">
          <cell r="C3383" t="str">
            <v>B588736/A</v>
          </cell>
          <cell r="D3383" t="str">
            <v>CZ644NF190</v>
          </cell>
          <cell r="E3383">
            <v>2</v>
          </cell>
        </row>
        <row r="3384">
          <cell r="C3384" t="str">
            <v>B588738/A</v>
          </cell>
          <cell r="D3384" t="str">
            <v>CZ644NF191</v>
          </cell>
          <cell r="E3384">
            <v>4</v>
          </cell>
        </row>
        <row r="3385">
          <cell r="C3385" t="str">
            <v>B588547/A</v>
          </cell>
          <cell r="D3385" t="str">
            <v>CZ644NF191</v>
          </cell>
          <cell r="E3385">
            <v>2</v>
          </cell>
        </row>
        <row r="3386">
          <cell r="C3386" t="str">
            <v>B588503/A</v>
          </cell>
          <cell r="D3386" t="str">
            <v>CZ824F381</v>
          </cell>
          <cell r="E3386">
            <v>14</v>
          </cell>
        </row>
        <row r="3387">
          <cell r="C3387" t="str">
            <v>B588504/A</v>
          </cell>
          <cell r="D3387" t="str">
            <v>CZ824F381</v>
          </cell>
          <cell r="E3387">
            <v>3</v>
          </cell>
        </row>
        <row r="3388">
          <cell r="C3388" t="str">
            <v>B588740/A</v>
          </cell>
          <cell r="D3388" t="str">
            <v>CZ843F188-31931</v>
          </cell>
          <cell r="E3388">
            <v>3</v>
          </cell>
        </row>
        <row r="3389">
          <cell r="C3389" t="str">
            <v>B588743/A</v>
          </cell>
          <cell r="D3389" t="str">
            <v>CZ843F409-31931</v>
          </cell>
          <cell r="E3389">
            <v>13</v>
          </cell>
        </row>
        <row r="3390">
          <cell r="C3390" t="str">
            <v>B588747/A</v>
          </cell>
          <cell r="D3390" t="str">
            <v>CZ887F188</v>
          </cell>
          <cell r="E3390">
            <v>9</v>
          </cell>
        </row>
        <row r="3391">
          <cell r="C3391" t="str">
            <v>B588750/A</v>
          </cell>
          <cell r="D3391" t="str">
            <v>CZ887F196</v>
          </cell>
          <cell r="E3391">
            <v>4</v>
          </cell>
        </row>
        <row r="3392">
          <cell r="C3392" t="str">
            <v>B588549/A</v>
          </cell>
          <cell r="D3392" t="str">
            <v>CZ887F196</v>
          </cell>
          <cell r="E3392">
            <v>1</v>
          </cell>
        </row>
        <row r="3393">
          <cell r="C3393" t="str">
            <v>B588752/A</v>
          </cell>
          <cell r="D3393" t="str">
            <v>CZ887F381</v>
          </cell>
          <cell r="E3393">
            <v>6</v>
          </cell>
        </row>
        <row r="3394">
          <cell r="C3394" t="str">
            <v>B588551/A</v>
          </cell>
          <cell r="D3394" t="str">
            <v>CZ887F381</v>
          </cell>
          <cell r="E3394">
            <v>1</v>
          </cell>
        </row>
        <row r="3395">
          <cell r="C3395" t="str">
            <v>B588754/A</v>
          </cell>
          <cell r="D3395" t="str">
            <v>CZ887F409</v>
          </cell>
          <cell r="E3395">
            <v>6</v>
          </cell>
        </row>
        <row r="3396">
          <cell r="C3396" t="str">
            <v>B588756/A</v>
          </cell>
          <cell r="D3396" t="str">
            <v>CZ890F188</v>
          </cell>
          <cell r="E3396">
            <v>5</v>
          </cell>
        </row>
        <row r="3397">
          <cell r="C3397" t="str">
            <v>B588553/A</v>
          </cell>
          <cell r="D3397" t="str">
            <v>CZ890F188</v>
          </cell>
          <cell r="E3397">
            <v>2</v>
          </cell>
        </row>
        <row r="3398">
          <cell r="C3398" t="str">
            <v>B588759/A</v>
          </cell>
          <cell r="D3398" t="str">
            <v>CZ890F381</v>
          </cell>
          <cell r="E3398">
            <v>2</v>
          </cell>
        </row>
        <row r="3399">
          <cell r="C3399" t="str">
            <v>B588760/A</v>
          </cell>
          <cell r="D3399" t="str">
            <v>CZ890F381</v>
          </cell>
          <cell r="E3399">
            <v>1</v>
          </cell>
        </row>
        <row r="3400">
          <cell r="C3400" t="str">
            <v>B588771/A</v>
          </cell>
          <cell r="D3400" t="str">
            <v>CZ890F409</v>
          </cell>
          <cell r="E3400">
            <v>1</v>
          </cell>
        </row>
        <row r="3401">
          <cell r="C3401" t="str">
            <v>B588772/A</v>
          </cell>
          <cell r="D3401" t="str">
            <v>CZ890F409</v>
          </cell>
          <cell r="E3401">
            <v>6</v>
          </cell>
        </row>
        <row r="3402">
          <cell r="C3402" t="str">
            <v>B588774/A</v>
          </cell>
          <cell r="D3402" t="str">
            <v>DL015F836</v>
          </cell>
          <cell r="E3402">
            <v>45</v>
          </cell>
        </row>
        <row r="3403">
          <cell r="C3403" t="str">
            <v>B588765/A</v>
          </cell>
          <cell r="D3403" t="str">
            <v>DL016WF836</v>
          </cell>
          <cell r="E3403">
            <v>35</v>
          </cell>
        </row>
        <row r="3404">
          <cell r="C3404" t="str">
            <v>B583732/A</v>
          </cell>
          <cell r="D3404" t="str">
            <v>HS5246NF1162</v>
          </cell>
          <cell r="E3404">
            <v>24</v>
          </cell>
        </row>
        <row r="3405">
          <cell r="C3405" t="str">
            <v>B588767/A</v>
          </cell>
          <cell r="D3405" t="str">
            <v>HS5403F973</v>
          </cell>
          <cell r="E3405">
            <v>1</v>
          </cell>
        </row>
        <row r="3406">
          <cell r="C3406" t="str">
            <v>B588769/A</v>
          </cell>
          <cell r="D3406" t="str">
            <v>HS5542F1090</v>
          </cell>
          <cell r="E3406">
            <v>1</v>
          </cell>
        </row>
        <row r="3407">
          <cell r="C3407" t="str">
            <v>B588776/A</v>
          </cell>
          <cell r="D3407" t="str">
            <v>JV011F536</v>
          </cell>
          <cell r="E3407">
            <v>25</v>
          </cell>
        </row>
        <row r="3408">
          <cell r="C3408" t="str">
            <v>B588506/A</v>
          </cell>
          <cell r="D3408" t="str">
            <v>RH10085F382</v>
          </cell>
          <cell r="E3408">
            <v>3</v>
          </cell>
        </row>
        <row r="3409">
          <cell r="C3409" t="str">
            <v>B588508/A</v>
          </cell>
          <cell r="D3409" t="str">
            <v>RH10085F384</v>
          </cell>
          <cell r="E3409">
            <v>6</v>
          </cell>
        </row>
        <row r="3410">
          <cell r="C3410" t="str">
            <v>B588511/A</v>
          </cell>
          <cell r="D3410" t="str">
            <v>RH10085F409</v>
          </cell>
          <cell r="E3410">
            <v>3</v>
          </cell>
        </row>
        <row r="3411">
          <cell r="C3411" t="str">
            <v>B588512/A</v>
          </cell>
          <cell r="D3411" t="str">
            <v>RH10085F409</v>
          </cell>
          <cell r="E3411">
            <v>11</v>
          </cell>
        </row>
        <row r="3412">
          <cell r="C3412" t="str">
            <v>B588221/A</v>
          </cell>
          <cell r="D3412" t="str">
            <v>RH10086NF382</v>
          </cell>
          <cell r="E3412">
            <v>3</v>
          </cell>
        </row>
        <row r="3413">
          <cell r="C3413" t="str">
            <v>B588227/A</v>
          </cell>
          <cell r="D3413" t="str">
            <v>RH10086NF384</v>
          </cell>
          <cell r="E3413">
            <v>12</v>
          </cell>
        </row>
        <row r="3414">
          <cell r="C3414" t="str">
            <v>B588225/A</v>
          </cell>
          <cell r="D3414" t="str">
            <v>RH10086NF409</v>
          </cell>
          <cell r="E3414">
            <v>7</v>
          </cell>
        </row>
        <row r="3415">
          <cell r="C3415" t="str">
            <v>B588223/A</v>
          </cell>
          <cell r="D3415" t="str">
            <v>RH10086NF409</v>
          </cell>
          <cell r="E3415">
            <v>9</v>
          </cell>
        </row>
        <row r="3416">
          <cell r="C3416" t="str">
            <v>B588065/A</v>
          </cell>
          <cell r="D3416" t="str">
            <v>RH10089F382</v>
          </cell>
          <cell r="E3416">
            <v>17</v>
          </cell>
        </row>
        <row r="3417">
          <cell r="C3417" t="str">
            <v>B588067/A</v>
          </cell>
          <cell r="D3417" t="str">
            <v>RH10089F384</v>
          </cell>
          <cell r="E3417">
            <v>12</v>
          </cell>
        </row>
        <row r="3418">
          <cell r="C3418" t="str">
            <v>B588073/A</v>
          </cell>
          <cell r="D3418" t="str">
            <v>RH10092F383</v>
          </cell>
          <cell r="E3418">
            <v>19</v>
          </cell>
        </row>
        <row r="3419">
          <cell r="C3419" t="str">
            <v>B588069/A</v>
          </cell>
          <cell r="D3419" t="str">
            <v>RH10092F383</v>
          </cell>
          <cell r="E3419">
            <v>15</v>
          </cell>
        </row>
        <row r="3420">
          <cell r="C3420" t="str">
            <v>B588077/A</v>
          </cell>
          <cell r="D3420" t="str">
            <v>RH10092F384</v>
          </cell>
          <cell r="E3420">
            <v>6</v>
          </cell>
        </row>
        <row r="3421">
          <cell r="C3421" t="str">
            <v>B588075/A</v>
          </cell>
          <cell r="D3421" t="str">
            <v>RH10092F409</v>
          </cell>
          <cell r="E3421">
            <v>5</v>
          </cell>
        </row>
        <row r="3422">
          <cell r="C3422" t="str">
            <v>B588247/A</v>
          </cell>
          <cell r="D3422" t="str">
            <v>RH10150F382</v>
          </cell>
          <cell r="E3422">
            <v>18</v>
          </cell>
        </row>
        <row r="3423">
          <cell r="C3423" t="str">
            <v>B588515/A</v>
          </cell>
          <cell r="D3423" t="str">
            <v>RH10169F382</v>
          </cell>
          <cell r="E3423">
            <v>10</v>
          </cell>
        </row>
        <row r="3424">
          <cell r="C3424" t="str">
            <v>B588516/A</v>
          </cell>
          <cell r="D3424" t="str">
            <v>RH10169F382</v>
          </cell>
          <cell r="E3424">
            <v>11</v>
          </cell>
        </row>
        <row r="3425">
          <cell r="C3425" t="str">
            <v>B588519/A</v>
          </cell>
          <cell r="D3425" t="str">
            <v>RH10169F383</v>
          </cell>
          <cell r="E3425">
            <v>9</v>
          </cell>
        </row>
        <row r="3426">
          <cell r="C3426" t="str">
            <v>B588520/A</v>
          </cell>
          <cell r="D3426" t="str">
            <v>RH10169F383</v>
          </cell>
          <cell r="E3426">
            <v>12</v>
          </cell>
        </row>
        <row r="3427">
          <cell r="C3427" t="str">
            <v>B588249/A</v>
          </cell>
          <cell r="D3427" t="str">
            <v>RH10174F382</v>
          </cell>
          <cell r="E3427">
            <v>6</v>
          </cell>
        </row>
        <row r="3428">
          <cell r="C3428" t="str">
            <v>B588251/A</v>
          </cell>
          <cell r="D3428" t="str">
            <v>RH10174F383</v>
          </cell>
          <cell r="E3428">
            <v>10</v>
          </cell>
        </row>
        <row r="3429">
          <cell r="C3429" t="str">
            <v>B588253/A</v>
          </cell>
          <cell r="D3429" t="str">
            <v>RH10174F384</v>
          </cell>
          <cell r="E3429">
            <v>11</v>
          </cell>
        </row>
        <row r="3430">
          <cell r="C3430" t="str">
            <v>B588779/A</v>
          </cell>
          <cell r="D3430" t="str">
            <v>RH11128F451</v>
          </cell>
          <cell r="E3430">
            <v>25</v>
          </cell>
        </row>
        <row r="3431">
          <cell r="C3431" t="str">
            <v>B588780/A</v>
          </cell>
          <cell r="D3431" t="str">
            <v>RH11128F451</v>
          </cell>
          <cell r="E3431">
            <v>25</v>
          </cell>
        </row>
        <row r="3432">
          <cell r="C3432" t="str">
            <v>B588783/A</v>
          </cell>
          <cell r="D3432" t="str">
            <v>RH11128F456</v>
          </cell>
          <cell r="E3432">
            <v>15</v>
          </cell>
        </row>
        <row r="3433">
          <cell r="C3433" t="str">
            <v>B588784/A</v>
          </cell>
          <cell r="D3433" t="str">
            <v>RH11128F456</v>
          </cell>
          <cell r="E3433">
            <v>15</v>
          </cell>
        </row>
        <row r="3434">
          <cell r="C3434" t="str">
            <v>B588787/A</v>
          </cell>
          <cell r="D3434" t="str">
            <v>RH11129F451</v>
          </cell>
          <cell r="E3434">
            <v>20</v>
          </cell>
        </row>
        <row r="3435">
          <cell r="C3435" t="str">
            <v>B588788/A</v>
          </cell>
          <cell r="D3435" t="str">
            <v>RH11129F451</v>
          </cell>
          <cell r="E3435">
            <v>20</v>
          </cell>
        </row>
        <row r="3436">
          <cell r="C3436" t="str">
            <v>B588791/A</v>
          </cell>
          <cell r="D3436" t="str">
            <v>RH11129F456</v>
          </cell>
          <cell r="E3436">
            <v>13</v>
          </cell>
        </row>
        <row r="3437">
          <cell r="C3437" t="str">
            <v>B588816/A</v>
          </cell>
          <cell r="D3437" t="str">
            <v>RH11129F456</v>
          </cell>
          <cell r="E3437">
            <v>12</v>
          </cell>
        </row>
        <row r="3438">
          <cell r="C3438" t="str">
            <v>B588819/A</v>
          </cell>
          <cell r="D3438" t="str">
            <v>RH11136F451</v>
          </cell>
          <cell r="E3438">
            <v>8</v>
          </cell>
        </row>
        <row r="3439">
          <cell r="C3439" t="str">
            <v>B588820/A</v>
          </cell>
          <cell r="D3439" t="str">
            <v>RH11136F451</v>
          </cell>
          <cell r="E3439">
            <v>7</v>
          </cell>
        </row>
        <row r="3440">
          <cell r="C3440" t="str">
            <v>B588823/A</v>
          </cell>
          <cell r="D3440" t="str">
            <v>RH11136F456</v>
          </cell>
          <cell r="E3440">
            <v>5</v>
          </cell>
        </row>
        <row r="3441">
          <cell r="C3441" t="str">
            <v>B588824/A</v>
          </cell>
          <cell r="D3441" t="str">
            <v>RH11136F456</v>
          </cell>
          <cell r="E3441">
            <v>5</v>
          </cell>
        </row>
        <row r="3442">
          <cell r="C3442" t="str">
            <v>B587706/A</v>
          </cell>
          <cell r="D3442" t="str">
            <v>RH2755F10CZ</v>
          </cell>
          <cell r="E3442">
            <v>12</v>
          </cell>
        </row>
        <row r="3443">
          <cell r="C3443" t="str">
            <v>B587709/A</v>
          </cell>
          <cell r="D3443" t="str">
            <v>RH2755F123</v>
          </cell>
          <cell r="E3443">
            <v>18</v>
          </cell>
        </row>
        <row r="3444">
          <cell r="C3444" t="str">
            <v>B587791/A</v>
          </cell>
          <cell r="D3444" t="str">
            <v>RH2755F123</v>
          </cell>
          <cell r="E3444">
            <v>5</v>
          </cell>
        </row>
        <row r="3445">
          <cell r="C3445" t="str">
            <v>B588522/A</v>
          </cell>
          <cell r="D3445" t="str">
            <v>RH2755F123</v>
          </cell>
          <cell r="E3445">
            <v>1</v>
          </cell>
        </row>
        <row r="3446">
          <cell r="C3446" t="str">
            <v>B587711/A</v>
          </cell>
          <cell r="D3446" t="str">
            <v>RH2755F190</v>
          </cell>
          <cell r="E3446">
            <v>3</v>
          </cell>
        </row>
        <row r="3447">
          <cell r="C3447" t="str">
            <v>B587713/A</v>
          </cell>
          <cell r="D3447" t="str">
            <v>RH2755F191</v>
          </cell>
          <cell r="E3447">
            <v>11</v>
          </cell>
        </row>
        <row r="3448">
          <cell r="C3448" t="str">
            <v>B587793/A</v>
          </cell>
          <cell r="D3448" t="str">
            <v>RH2755F191</v>
          </cell>
          <cell r="E3448">
            <v>2</v>
          </cell>
        </row>
        <row r="3449">
          <cell r="C3449" t="str">
            <v>B588869/A</v>
          </cell>
          <cell r="D3449" t="str">
            <v>RH3553F08</v>
          </cell>
          <cell r="E3449">
            <v>17</v>
          </cell>
        </row>
        <row r="3450">
          <cell r="C3450" t="str">
            <v>B588872/A</v>
          </cell>
          <cell r="D3450" t="str">
            <v>RH3553F09</v>
          </cell>
          <cell r="E3450">
            <v>24</v>
          </cell>
        </row>
        <row r="3451">
          <cell r="C3451" t="str">
            <v>B588873/A</v>
          </cell>
          <cell r="D3451" t="str">
            <v>RH3553F09</v>
          </cell>
          <cell r="E3451">
            <v>30</v>
          </cell>
        </row>
        <row r="3452">
          <cell r="C3452" t="str">
            <v>B588826/A</v>
          </cell>
          <cell r="D3452" t="str">
            <v>RH7156F381</v>
          </cell>
          <cell r="E3452">
            <v>3</v>
          </cell>
        </row>
        <row r="3453">
          <cell r="C3453" t="str">
            <v>B588828/A</v>
          </cell>
          <cell r="D3453" t="str">
            <v>RH7156F382</v>
          </cell>
          <cell r="E3453">
            <v>12</v>
          </cell>
        </row>
        <row r="3454">
          <cell r="C3454" t="str">
            <v>B588838/A</v>
          </cell>
          <cell r="D3454" t="str">
            <v>RH7214F409</v>
          </cell>
          <cell r="E3454">
            <v>10</v>
          </cell>
        </row>
        <row r="3455">
          <cell r="C3455" t="str">
            <v>B588831/A</v>
          </cell>
          <cell r="D3455" t="str">
            <v>RH7363NF381</v>
          </cell>
          <cell r="E3455">
            <v>3</v>
          </cell>
        </row>
        <row r="3456">
          <cell r="C3456" t="str">
            <v>B588833/A</v>
          </cell>
          <cell r="D3456" t="str">
            <v>RH7363NF382</v>
          </cell>
          <cell r="E3456">
            <v>5</v>
          </cell>
        </row>
        <row r="3457">
          <cell r="C3457" t="str">
            <v>B588835/A</v>
          </cell>
          <cell r="D3457" t="str">
            <v>RH7363NF409</v>
          </cell>
          <cell r="E3457">
            <v>12</v>
          </cell>
        </row>
        <row r="3458">
          <cell r="C3458" t="str">
            <v>B588837/A</v>
          </cell>
          <cell r="D3458" t="str">
            <v>RH894AF01</v>
          </cell>
          <cell r="E3458">
            <v>4</v>
          </cell>
        </row>
        <row r="3459">
          <cell r="C3459" t="str">
            <v>B588848/A</v>
          </cell>
          <cell r="D3459" t="str">
            <v>RH894AF02</v>
          </cell>
          <cell r="E3459">
            <v>9</v>
          </cell>
        </row>
        <row r="3460">
          <cell r="C3460" t="str">
            <v>B588858/A</v>
          </cell>
          <cell r="D3460" t="str">
            <v>RH9284F408</v>
          </cell>
          <cell r="E3460">
            <v>11</v>
          </cell>
        </row>
        <row r="3461">
          <cell r="C3461" t="str">
            <v>B588861/A</v>
          </cell>
          <cell r="D3461" t="str">
            <v>RH9478F423</v>
          </cell>
          <cell r="E3461">
            <v>4</v>
          </cell>
        </row>
        <row r="3462">
          <cell r="C3462" t="str">
            <v>B588862/A</v>
          </cell>
          <cell r="D3462" t="str">
            <v>RH9478F423</v>
          </cell>
          <cell r="E3462">
            <v>18</v>
          </cell>
        </row>
        <row r="3463">
          <cell r="C3463" t="str">
            <v>B588864/A</v>
          </cell>
          <cell r="D3463" t="str">
            <v>RH9478F426</v>
          </cell>
          <cell r="E3463">
            <v>2</v>
          </cell>
        </row>
        <row r="3464">
          <cell r="C3464" t="str">
            <v>B588525/A</v>
          </cell>
          <cell r="D3464" t="str">
            <v>RH9498NF382</v>
          </cell>
          <cell r="E3464">
            <v>5</v>
          </cell>
        </row>
        <row r="3465">
          <cell r="C3465" t="str">
            <v>B588526/A</v>
          </cell>
          <cell r="D3465" t="str">
            <v>RH9498NF382</v>
          </cell>
          <cell r="E3465">
            <v>10</v>
          </cell>
        </row>
        <row r="3466">
          <cell r="C3466" t="str">
            <v>B588528/A</v>
          </cell>
          <cell r="D3466" t="str">
            <v>RH9498NF384</v>
          </cell>
          <cell r="E3466">
            <v>6</v>
          </cell>
        </row>
        <row r="3467">
          <cell r="C3467" t="str">
            <v>B588052/A</v>
          </cell>
          <cell r="D3467" t="str">
            <v>RH9499F382</v>
          </cell>
          <cell r="E3467">
            <v>17</v>
          </cell>
        </row>
        <row r="3468">
          <cell r="C3468" t="str">
            <v>B588053/A</v>
          </cell>
          <cell r="D3468" t="str">
            <v>RH9499F382</v>
          </cell>
          <cell r="E3468">
            <v>17</v>
          </cell>
        </row>
        <row r="3469">
          <cell r="C3469" t="str">
            <v>B588083/A</v>
          </cell>
          <cell r="D3469" t="str">
            <v>RH9499F384</v>
          </cell>
          <cell r="E3469">
            <v>11</v>
          </cell>
        </row>
        <row r="3470">
          <cell r="C3470" t="str">
            <v>B588081/A</v>
          </cell>
          <cell r="D3470" t="str">
            <v>RH9499F384</v>
          </cell>
          <cell r="E3470">
            <v>9</v>
          </cell>
        </row>
        <row r="3471">
          <cell r="C3471" t="str">
            <v>B588027/A</v>
          </cell>
          <cell r="D3471" t="str">
            <v>RH9499F409</v>
          </cell>
          <cell r="E3471">
            <v>10</v>
          </cell>
        </row>
        <row r="3472">
          <cell r="C3472" t="str">
            <v>B588023/A</v>
          </cell>
          <cell r="D3472" t="str">
            <v>RH9499F409</v>
          </cell>
          <cell r="E3472">
            <v>21</v>
          </cell>
        </row>
        <row r="3473">
          <cell r="C3473" t="str">
            <v>B588211/A</v>
          </cell>
          <cell r="D3473" t="str">
            <v>RH9527F382</v>
          </cell>
          <cell r="E3473">
            <v>1</v>
          </cell>
        </row>
        <row r="3474">
          <cell r="C3474" t="str">
            <v>B588213/A</v>
          </cell>
          <cell r="D3474" t="str">
            <v>RH9527F383</v>
          </cell>
          <cell r="E3474">
            <v>7</v>
          </cell>
        </row>
        <row r="3475">
          <cell r="C3475" t="str">
            <v>B588215/A</v>
          </cell>
          <cell r="D3475" t="str">
            <v>RH9527F383</v>
          </cell>
          <cell r="E3475">
            <v>9</v>
          </cell>
        </row>
        <row r="3476">
          <cell r="C3476" t="str">
            <v>B588217/A</v>
          </cell>
          <cell r="D3476" t="str">
            <v>RH9527F384</v>
          </cell>
          <cell r="E3476">
            <v>2</v>
          </cell>
        </row>
        <row r="3477">
          <cell r="C3477" t="str">
            <v>B588219/A</v>
          </cell>
          <cell r="D3477" t="str">
            <v>RH9527F409</v>
          </cell>
          <cell r="E3477">
            <v>6</v>
          </cell>
        </row>
        <row r="3478">
          <cell r="C3478" t="str">
            <v>B588530/A</v>
          </cell>
          <cell r="D3478" t="str">
            <v>RH9531AF423</v>
          </cell>
          <cell r="E3478">
            <v>5</v>
          </cell>
        </row>
        <row r="3479">
          <cell r="C3479" t="str">
            <v>B588532/A</v>
          </cell>
          <cell r="D3479" t="str">
            <v>RH9531AF424</v>
          </cell>
          <cell r="E3479">
            <v>2</v>
          </cell>
        </row>
        <row r="3480">
          <cell r="C3480" t="str">
            <v>B588534/A</v>
          </cell>
          <cell r="D3480" t="str">
            <v>RH9531AF425</v>
          </cell>
          <cell r="E3480">
            <v>2</v>
          </cell>
        </row>
        <row r="3481">
          <cell r="C3481" t="str">
            <v>B588536/A</v>
          </cell>
          <cell r="D3481" t="str">
            <v>RH9531AF426</v>
          </cell>
          <cell r="E3481">
            <v>1</v>
          </cell>
        </row>
        <row r="3482">
          <cell r="C3482" t="str">
            <v>B588850/A</v>
          </cell>
          <cell r="D3482" t="str">
            <v>RH9859F423</v>
          </cell>
          <cell r="E3482">
            <v>16</v>
          </cell>
        </row>
        <row r="3483">
          <cell r="C3483" t="str">
            <v>B588852/A</v>
          </cell>
          <cell r="D3483" t="str">
            <v>RH9859F426</v>
          </cell>
          <cell r="E3483">
            <v>8</v>
          </cell>
        </row>
        <row r="3484">
          <cell r="C3484" t="str">
            <v>B588539/A</v>
          </cell>
          <cell r="D3484" t="str">
            <v>RH9863F423</v>
          </cell>
          <cell r="E3484">
            <v>2</v>
          </cell>
        </row>
        <row r="3485">
          <cell r="C3485" t="str">
            <v>B588540/A</v>
          </cell>
          <cell r="D3485" t="str">
            <v>RH9863F423</v>
          </cell>
          <cell r="E3485">
            <v>5</v>
          </cell>
        </row>
        <row r="3486">
          <cell r="C3486" t="str">
            <v>B588543/A</v>
          </cell>
          <cell r="D3486" t="str">
            <v>RH9863F425</v>
          </cell>
          <cell r="E3486">
            <v>10</v>
          </cell>
        </row>
        <row r="3487">
          <cell r="C3487" t="str">
            <v>B588544/A</v>
          </cell>
          <cell r="D3487" t="str">
            <v>RH9863F425</v>
          </cell>
          <cell r="E3487">
            <v>13</v>
          </cell>
        </row>
        <row r="3488">
          <cell r="C3488" t="str">
            <v>B588545/A</v>
          </cell>
          <cell r="D3488" t="str">
            <v>RH9863F425</v>
          </cell>
          <cell r="E3488">
            <v>1</v>
          </cell>
        </row>
        <row r="3489">
          <cell r="C3489" t="str">
            <v>B588854/A</v>
          </cell>
          <cell r="D3489" t="str">
            <v>RH9884F425</v>
          </cell>
          <cell r="E3489">
            <v>7</v>
          </cell>
        </row>
        <row r="3490">
          <cell r="C3490" t="str">
            <v>B588856/A</v>
          </cell>
          <cell r="D3490" t="str">
            <v>RH9884F426</v>
          </cell>
          <cell r="E3490">
            <v>19</v>
          </cell>
        </row>
        <row r="3491">
          <cell r="C3491" t="str">
            <v>B588554/A</v>
          </cell>
          <cell r="D3491" t="str">
            <v>RH9884F426</v>
          </cell>
          <cell r="E3491">
            <v>1</v>
          </cell>
        </row>
        <row r="3492">
          <cell r="C3492" t="str">
            <v>B588059/A</v>
          </cell>
          <cell r="D3492" t="str">
            <v>RH9989F382</v>
          </cell>
          <cell r="E3492">
            <v>9</v>
          </cell>
        </row>
        <row r="3493">
          <cell r="C3493" t="str">
            <v>B588087/A</v>
          </cell>
          <cell r="D3493" t="str">
            <v>RH9989F384</v>
          </cell>
          <cell r="E3493">
            <v>5</v>
          </cell>
        </row>
        <row r="3494">
          <cell r="C3494" t="str">
            <v>B588062/A</v>
          </cell>
          <cell r="D3494" t="str">
            <v>RH9989F409</v>
          </cell>
          <cell r="E3494">
            <v>9</v>
          </cell>
        </row>
        <row r="3495">
          <cell r="C3495" t="str">
            <v>B588063/A</v>
          </cell>
          <cell r="D3495" t="str">
            <v>RH9989F409</v>
          </cell>
          <cell r="E3495">
            <v>14</v>
          </cell>
        </row>
        <row r="3496">
          <cell r="C3496" t="str">
            <v>B588207/A</v>
          </cell>
          <cell r="D3496" t="str">
            <v>RH9992NF384</v>
          </cell>
          <cell r="E3496">
            <v>11</v>
          </cell>
        </row>
        <row r="3497">
          <cell r="C3497" t="str">
            <v>B589029/A</v>
          </cell>
          <cell r="D3497" t="str">
            <v>BN2377F38-DWSL</v>
          </cell>
          <cell r="E3497">
            <v>1</v>
          </cell>
        </row>
        <row r="3498">
          <cell r="C3498" t="str">
            <v>B588461/A</v>
          </cell>
          <cell r="D3498" t="str">
            <v>CZ798F381.EU</v>
          </cell>
          <cell r="E3498">
            <v>108</v>
          </cell>
        </row>
        <row r="3499">
          <cell r="C3499" t="str">
            <v>B588463/A</v>
          </cell>
          <cell r="D3499" t="str">
            <v>CZ798F409.EU</v>
          </cell>
          <cell r="E3499">
            <v>108</v>
          </cell>
        </row>
        <row r="3500">
          <cell r="C3500" t="str">
            <v>B588465/A</v>
          </cell>
          <cell r="D3500" t="str">
            <v>CZ799F381.EU</v>
          </cell>
          <cell r="E3500">
            <v>20</v>
          </cell>
        </row>
        <row r="3501">
          <cell r="C3501" t="str">
            <v>B588467/A</v>
          </cell>
          <cell r="D3501" t="str">
            <v>CZ799F409.EU</v>
          </cell>
          <cell r="E3501">
            <v>20</v>
          </cell>
        </row>
        <row r="3502">
          <cell r="C3502" t="str">
            <v>B588469/A</v>
          </cell>
          <cell r="D3502" t="str">
            <v>CZ912F09.EU</v>
          </cell>
          <cell r="E3502">
            <v>108</v>
          </cell>
        </row>
        <row r="3503">
          <cell r="C3503" t="str">
            <v>B588471/A</v>
          </cell>
          <cell r="D3503" t="str">
            <v>CZ912F10.EU</v>
          </cell>
          <cell r="E3503">
            <v>108</v>
          </cell>
        </row>
        <row r="3504">
          <cell r="C3504" t="str">
            <v>B588475/A</v>
          </cell>
          <cell r="D3504" t="str">
            <v>CZ913F09.EU</v>
          </cell>
          <cell r="E3504">
            <v>20</v>
          </cell>
        </row>
        <row r="3505">
          <cell r="C3505" t="str">
            <v>B588473/A</v>
          </cell>
          <cell r="D3505" t="str">
            <v>CZ913F10.EU</v>
          </cell>
          <cell r="E3505">
            <v>20</v>
          </cell>
        </row>
        <row r="3506">
          <cell r="C3506" t="str">
            <v>B589027/A</v>
          </cell>
          <cell r="D3506" t="str">
            <v>RH2296F115-RLFR</v>
          </cell>
          <cell r="E3506">
            <v>1</v>
          </cell>
        </row>
        <row r="3507">
          <cell r="C3507" t="str">
            <v>B589021/A</v>
          </cell>
          <cell r="D3507" t="str">
            <v>RH3316F26-SRFT</v>
          </cell>
          <cell r="E3507">
            <v>1</v>
          </cell>
        </row>
        <row r="3508">
          <cell r="C3508" t="str">
            <v>B589025/A</v>
          </cell>
          <cell r="D3508" t="str">
            <v>RH3369F95.BC-LEGCE</v>
          </cell>
          <cell r="E3508">
            <v>1</v>
          </cell>
        </row>
        <row r="3509">
          <cell r="C3509" t="str">
            <v>B589031/A</v>
          </cell>
          <cell r="D3509" t="str">
            <v>RH3377F96.BC-GRLO</v>
          </cell>
          <cell r="E3509">
            <v>1</v>
          </cell>
        </row>
        <row r="3510">
          <cell r="C3510" t="str">
            <v>B589023/A</v>
          </cell>
          <cell r="D3510" t="str">
            <v>RH3490F29-STZ</v>
          </cell>
          <cell r="E3510">
            <v>1</v>
          </cell>
        </row>
        <row r="3511">
          <cell r="C3511" t="str">
            <v>B589017/A</v>
          </cell>
          <cell r="D3511" t="str">
            <v>RH4033F26-WDCPS</v>
          </cell>
          <cell r="E3511">
            <v>1</v>
          </cell>
        </row>
        <row r="3512">
          <cell r="C3512" t="str">
            <v>B589019/A</v>
          </cell>
          <cell r="D3512" t="str">
            <v>RH5319F29-LEG</v>
          </cell>
          <cell r="E3512">
            <v>2</v>
          </cell>
        </row>
        <row r="3513">
          <cell r="C3513" t="str">
            <v>B588477/A</v>
          </cell>
          <cell r="D3513" t="str">
            <v>RH7455F381.EU</v>
          </cell>
          <cell r="E3513">
            <v>108</v>
          </cell>
        </row>
        <row r="3514">
          <cell r="C3514" t="str">
            <v>B588479/A</v>
          </cell>
          <cell r="D3514" t="str">
            <v>RH7455F382.EU</v>
          </cell>
          <cell r="E3514">
            <v>108</v>
          </cell>
        </row>
        <row r="3515">
          <cell r="C3515" t="str">
            <v>B588481/A</v>
          </cell>
          <cell r="D3515" t="str">
            <v>RH7455F383.EU</v>
          </cell>
          <cell r="E3515">
            <v>108</v>
          </cell>
        </row>
        <row r="3516">
          <cell r="C3516" t="str">
            <v>B588483/A</v>
          </cell>
          <cell r="D3516" t="str">
            <v>RH7455F409.EU</v>
          </cell>
          <cell r="E3516">
            <v>108</v>
          </cell>
        </row>
        <row r="3517">
          <cell r="C3517" t="str">
            <v>B588485/A</v>
          </cell>
          <cell r="D3517" t="str">
            <v>RH7592F381.EU</v>
          </cell>
          <cell r="E3517">
            <v>20</v>
          </cell>
        </row>
        <row r="3518">
          <cell r="C3518" t="str">
            <v>B588487/A</v>
          </cell>
          <cell r="D3518" t="str">
            <v>RH7592F382.EU</v>
          </cell>
          <cell r="E3518">
            <v>20</v>
          </cell>
        </row>
        <row r="3519">
          <cell r="C3519" t="str">
            <v>B588489/A</v>
          </cell>
          <cell r="D3519" t="str">
            <v>RH7592F383.EU</v>
          </cell>
          <cell r="E3519">
            <v>20</v>
          </cell>
        </row>
        <row r="3520">
          <cell r="C3520" t="str">
            <v>B587002/A</v>
          </cell>
          <cell r="D3520" t="str">
            <v>HS5917F1119</v>
          </cell>
          <cell r="E3520">
            <v>14</v>
          </cell>
        </row>
        <row r="3521">
          <cell r="C3521" t="str">
            <v>B590032/A</v>
          </cell>
          <cell r="D3521" t="str">
            <v>AR125F1039-BASE</v>
          </cell>
          <cell r="E3521">
            <v>21</v>
          </cell>
        </row>
        <row r="3522">
          <cell r="C3522" t="str">
            <v>B590034/A</v>
          </cell>
          <cell r="D3522" t="str">
            <v>AR125F1039-BASE</v>
          </cell>
          <cell r="E3522">
            <v>9</v>
          </cell>
        </row>
        <row r="3523">
          <cell r="C3523" t="str">
            <v>B590039/A</v>
          </cell>
          <cell r="D3523" t="str">
            <v>AR127NF1039-BASE</v>
          </cell>
          <cell r="E3523">
            <v>32</v>
          </cell>
        </row>
        <row r="3524">
          <cell r="C3524" t="str">
            <v>B590041/A</v>
          </cell>
          <cell r="D3524" t="str">
            <v>AR127NF1039-BASE</v>
          </cell>
          <cell r="E3524">
            <v>13</v>
          </cell>
        </row>
        <row r="3525">
          <cell r="C3525" t="str">
            <v>B590050/A</v>
          </cell>
          <cell r="D3525" t="str">
            <v>AT606NF00</v>
          </cell>
          <cell r="E3525">
            <v>40</v>
          </cell>
        </row>
        <row r="3526">
          <cell r="C3526" t="str">
            <v>B590056/A</v>
          </cell>
          <cell r="D3526" t="str">
            <v>AT627F00</v>
          </cell>
          <cell r="E3526">
            <v>25</v>
          </cell>
        </row>
        <row r="3527">
          <cell r="C3527" t="str">
            <v>B590057/A</v>
          </cell>
          <cell r="D3527" t="str">
            <v>AT627F00</v>
          </cell>
          <cell r="E3527">
            <v>25</v>
          </cell>
        </row>
        <row r="3528">
          <cell r="C3528" t="str">
            <v>B590062/A</v>
          </cell>
          <cell r="D3528" t="str">
            <v>AT665NF00</v>
          </cell>
          <cell r="E3528">
            <v>50</v>
          </cell>
        </row>
        <row r="3529">
          <cell r="C3529" t="str">
            <v>B588331/A</v>
          </cell>
          <cell r="D3529" t="str">
            <v>CZ053F08</v>
          </cell>
          <cell r="E3529">
            <v>51</v>
          </cell>
        </row>
        <row r="3530">
          <cell r="C3530" t="str">
            <v>B589910/A</v>
          </cell>
          <cell r="D3530" t="str">
            <v>CZ053F190</v>
          </cell>
          <cell r="E3530">
            <v>8</v>
          </cell>
        </row>
        <row r="3531">
          <cell r="C3531" t="str">
            <v>B589911/A</v>
          </cell>
          <cell r="D3531" t="str">
            <v>CZ053F190</v>
          </cell>
          <cell r="E3531">
            <v>5</v>
          </cell>
        </row>
        <row r="3532">
          <cell r="C3532" t="str">
            <v>B589912/A</v>
          </cell>
          <cell r="D3532" t="str">
            <v>CZ053F190</v>
          </cell>
          <cell r="E3532">
            <v>1</v>
          </cell>
        </row>
        <row r="3533">
          <cell r="C3533" t="str">
            <v>B589914/A</v>
          </cell>
          <cell r="D3533" t="str">
            <v>CZ053F191</v>
          </cell>
          <cell r="E3533">
            <v>4</v>
          </cell>
        </row>
        <row r="3534">
          <cell r="C3534" t="str">
            <v>B589916/A</v>
          </cell>
          <cell r="D3534" t="str">
            <v>CZ069F09</v>
          </cell>
          <cell r="E3534">
            <v>1</v>
          </cell>
        </row>
        <row r="3535">
          <cell r="C3535" t="str">
            <v>B589925/A</v>
          </cell>
          <cell r="D3535" t="str">
            <v>CZ069F190</v>
          </cell>
          <cell r="E3535">
            <v>11</v>
          </cell>
        </row>
        <row r="3536">
          <cell r="C3536" t="str">
            <v>B589918/A</v>
          </cell>
          <cell r="D3536" t="str">
            <v>CZ069F190</v>
          </cell>
          <cell r="E3536">
            <v>5</v>
          </cell>
        </row>
        <row r="3537">
          <cell r="C3537" t="str">
            <v>B589921/A</v>
          </cell>
          <cell r="D3537" t="str">
            <v>CZ1032F196</v>
          </cell>
          <cell r="E3537">
            <v>6</v>
          </cell>
        </row>
        <row r="3538">
          <cell r="C3538" t="str">
            <v>B589923/A</v>
          </cell>
          <cell r="D3538" t="str">
            <v>CZ1032F381</v>
          </cell>
          <cell r="E3538">
            <v>7</v>
          </cell>
        </row>
        <row r="3539">
          <cell r="C3539" t="str">
            <v>B589927/A</v>
          </cell>
          <cell r="D3539" t="str">
            <v>CZ1032F409</v>
          </cell>
          <cell r="E3539">
            <v>5</v>
          </cell>
        </row>
        <row r="3540">
          <cell r="C3540" t="str">
            <v>B590028/A</v>
          </cell>
          <cell r="D3540" t="str">
            <v>CZ1032F409</v>
          </cell>
          <cell r="E3540">
            <v>1</v>
          </cell>
        </row>
        <row r="3541">
          <cell r="C3541" t="str">
            <v>B588333/A</v>
          </cell>
          <cell r="D3541" t="str">
            <v>CZ551F08</v>
          </cell>
          <cell r="E3541">
            <v>22</v>
          </cell>
        </row>
        <row r="3542">
          <cell r="C3542" t="str">
            <v>B590010/A</v>
          </cell>
          <cell r="D3542" t="str">
            <v>CZ551F08</v>
          </cell>
          <cell r="E3542">
            <v>3</v>
          </cell>
        </row>
        <row r="3543">
          <cell r="C3543" t="str">
            <v>B588335/A</v>
          </cell>
          <cell r="D3543" t="str">
            <v>CZ551F09</v>
          </cell>
          <cell r="E3543">
            <v>17</v>
          </cell>
        </row>
        <row r="3544">
          <cell r="C3544" t="str">
            <v>B590012/A</v>
          </cell>
          <cell r="D3544" t="str">
            <v>CZ551F09</v>
          </cell>
          <cell r="E3544">
            <v>1</v>
          </cell>
        </row>
        <row r="3545">
          <cell r="C3545" t="str">
            <v>B589929/A</v>
          </cell>
          <cell r="D3545" t="str">
            <v>CZ551F10</v>
          </cell>
          <cell r="E3545">
            <v>24</v>
          </cell>
        </row>
        <row r="3546">
          <cell r="C3546" t="str">
            <v>B589934/A</v>
          </cell>
          <cell r="D3546" t="str">
            <v>CZ551F190</v>
          </cell>
          <cell r="E3546">
            <v>6</v>
          </cell>
        </row>
        <row r="3547">
          <cell r="C3547" t="str">
            <v>B589932/A</v>
          </cell>
          <cell r="D3547" t="str">
            <v>CZ551F190</v>
          </cell>
          <cell r="E3547">
            <v>9</v>
          </cell>
        </row>
        <row r="3548">
          <cell r="C3548" t="str">
            <v>B589936/A</v>
          </cell>
          <cell r="D3548" t="str">
            <v>CZ551F191</v>
          </cell>
          <cell r="E3548">
            <v>8</v>
          </cell>
        </row>
        <row r="3549">
          <cell r="C3549" t="str">
            <v>B588356/A</v>
          </cell>
          <cell r="D3549" t="str">
            <v>CZ557NF08</v>
          </cell>
          <cell r="E3549">
            <v>10</v>
          </cell>
        </row>
        <row r="3550">
          <cell r="C3550" t="str">
            <v>B588354/A</v>
          </cell>
          <cell r="D3550" t="str">
            <v>CZ557NF08</v>
          </cell>
          <cell r="E3550">
            <v>13</v>
          </cell>
        </row>
        <row r="3551">
          <cell r="C3551" t="str">
            <v>B590021/A</v>
          </cell>
          <cell r="D3551" t="str">
            <v>CZ557NF08</v>
          </cell>
          <cell r="E3551">
            <v>2</v>
          </cell>
        </row>
        <row r="3552">
          <cell r="C3552" t="str">
            <v>B589938/A</v>
          </cell>
          <cell r="D3552" t="str">
            <v>CZ557NF10</v>
          </cell>
          <cell r="E3552">
            <v>2</v>
          </cell>
        </row>
        <row r="3553">
          <cell r="C3553" t="str">
            <v>B589940/A</v>
          </cell>
          <cell r="D3553" t="str">
            <v>CZ557NF190</v>
          </cell>
          <cell r="E3553">
            <v>1</v>
          </cell>
        </row>
        <row r="3554">
          <cell r="C3554" t="str">
            <v>B590677/A</v>
          </cell>
          <cell r="D3554" t="str">
            <v>CZ899F196</v>
          </cell>
          <cell r="E3554">
            <v>7</v>
          </cell>
        </row>
        <row r="3555">
          <cell r="C3555" t="str">
            <v>B590675/A</v>
          </cell>
          <cell r="D3555" t="str">
            <v>CZ899F196</v>
          </cell>
          <cell r="E3555">
            <v>1</v>
          </cell>
        </row>
        <row r="3556">
          <cell r="C3556" t="str">
            <v>B590685/A</v>
          </cell>
          <cell r="D3556" t="str">
            <v>CZ899F409</v>
          </cell>
          <cell r="E3556">
            <v>8</v>
          </cell>
        </row>
        <row r="3557">
          <cell r="C3557" t="str">
            <v>B590679/A</v>
          </cell>
          <cell r="D3557" t="str">
            <v>CZ899F409</v>
          </cell>
          <cell r="E3557">
            <v>2</v>
          </cell>
        </row>
        <row r="3558">
          <cell r="C3558" t="str">
            <v>B590681/A</v>
          </cell>
          <cell r="D3558" t="str">
            <v>CZ900F188</v>
          </cell>
          <cell r="E3558">
            <v>5</v>
          </cell>
        </row>
        <row r="3559">
          <cell r="C3559" t="str">
            <v>B590683/A</v>
          </cell>
          <cell r="D3559" t="str">
            <v>CZ900F196</v>
          </cell>
          <cell r="E3559">
            <v>10</v>
          </cell>
        </row>
        <row r="3560">
          <cell r="C3560" t="str">
            <v>B590691/A</v>
          </cell>
          <cell r="D3560" t="str">
            <v>CZ900F381</v>
          </cell>
          <cell r="E3560">
            <v>8</v>
          </cell>
        </row>
        <row r="3561">
          <cell r="C3561" t="str">
            <v>B590687/A</v>
          </cell>
          <cell r="D3561" t="str">
            <v>CZ900F409</v>
          </cell>
          <cell r="E3561">
            <v>5</v>
          </cell>
        </row>
        <row r="3562">
          <cell r="C3562" t="str">
            <v>B590688/A</v>
          </cell>
          <cell r="D3562" t="str">
            <v>CZ900F409</v>
          </cell>
          <cell r="E3562">
            <v>4</v>
          </cell>
        </row>
        <row r="3563">
          <cell r="C3563" t="str">
            <v>B583752/A</v>
          </cell>
          <cell r="D3563" t="str">
            <v>HS5246NF1162</v>
          </cell>
          <cell r="E3563">
            <v>21</v>
          </cell>
        </row>
        <row r="3564">
          <cell r="C3564" t="str">
            <v>B590023/A</v>
          </cell>
          <cell r="D3564" t="str">
            <v>HS5414F1162</v>
          </cell>
          <cell r="E3564">
            <v>93</v>
          </cell>
        </row>
        <row r="3565">
          <cell r="C3565" t="str">
            <v>B584700/A</v>
          </cell>
          <cell r="D3565" t="str">
            <v>HS5858NF1162</v>
          </cell>
          <cell r="E3565">
            <v>27</v>
          </cell>
        </row>
        <row r="3566">
          <cell r="C3566" t="str">
            <v>B590063/A</v>
          </cell>
          <cell r="D3566" t="str">
            <v>HS5912F1161</v>
          </cell>
          <cell r="E3566">
            <v>26</v>
          </cell>
        </row>
        <row r="3567">
          <cell r="C3567" t="str">
            <v>B590697/A</v>
          </cell>
          <cell r="D3567" t="str">
            <v>RH070F01</v>
          </cell>
          <cell r="E3567">
            <v>31</v>
          </cell>
        </row>
        <row r="3568">
          <cell r="C3568" t="str">
            <v>B590695/A</v>
          </cell>
          <cell r="D3568" t="str">
            <v>RH070F01</v>
          </cell>
          <cell r="E3568">
            <v>34</v>
          </cell>
        </row>
        <row r="3569">
          <cell r="C3569" t="str">
            <v>B590701/A</v>
          </cell>
          <cell r="D3569" t="str">
            <v>RH070F02</v>
          </cell>
          <cell r="E3569">
            <v>3</v>
          </cell>
        </row>
        <row r="3570">
          <cell r="C3570" t="str">
            <v>B590699/A</v>
          </cell>
          <cell r="D3570" t="str">
            <v>RH070F02</v>
          </cell>
          <cell r="E3570">
            <v>11</v>
          </cell>
        </row>
        <row r="3571">
          <cell r="C3571" t="str">
            <v>B589943/A</v>
          </cell>
          <cell r="D3571" t="str">
            <v>RH071NF01</v>
          </cell>
          <cell r="E3571">
            <v>10</v>
          </cell>
        </row>
        <row r="3572">
          <cell r="C3572" t="str">
            <v>B589944/A</v>
          </cell>
          <cell r="D3572" t="str">
            <v>RH071NF01</v>
          </cell>
          <cell r="E3572">
            <v>15</v>
          </cell>
        </row>
        <row r="3573">
          <cell r="C3573" t="str">
            <v>B589954/A</v>
          </cell>
          <cell r="D3573" t="str">
            <v>RH071NF02</v>
          </cell>
          <cell r="E3573">
            <v>5</v>
          </cell>
        </row>
        <row r="3574">
          <cell r="C3574" t="str">
            <v>B589906/A</v>
          </cell>
          <cell r="D3574" t="str">
            <v>RH10024F423</v>
          </cell>
          <cell r="E3574">
            <v>25</v>
          </cell>
        </row>
        <row r="3575">
          <cell r="C3575" t="str">
            <v>B589802/A</v>
          </cell>
          <cell r="D3575" t="str">
            <v>RH10024F423</v>
          </cell>
          <cell r="E3575">
            <v>11</v>
          </cell>
        </row>
        <row r="3576">
          <cell r="C3576" t="str">
            <v>B589804/A</v>
          </cell>
          <cell r="D3576" t="str">
            <v>RH10024F425</v>
          </cell>
          <cell r="E3576">
            <v>5</v>
          </cell>
        </row>
        <row r="3577">
          <cell r="C3577" t="str">
            <v>B589806/A</v>
          </cell>
          <cell r="D3577" t="str">
            <v>RH10025F423</v>
          </cell>
          <cell r="E3577">
            <v>17</v>
          </cell>
        </row>
        <row r="3578">
          <cell r="C3578" t="str">
            <v>B589808/A</v>
          </cell>
          <cell r="D3578" t="str">
            <v>RH10025F424</v>
          </cell>
          <cell r="E3578">
            <v>3</v>
          </cell>
        </row>
        <row r="3579">
          <cell r="C3579" t="str">
            <v>B588101/A</v>
          </cell>
          <cell r="D3579" t="str">
            <v>RH10058NF382</v>
          </cell>
          <cell r="E3579">
            <v>4</v>
          </cell>
        </row>
        <row r="3580">
          <cell r="C3580" t="str">
            <v>B588103/A</v>
          </cell>
          <cell r="D3580" t="str">
            <v>RH10058NF383</v>
          </cell>
          <cell r="E3580">
            <v>2</v>
          </cell>
        </row>
        <row r="3581">
          <cell r="C3581" t="str">
            <v>B588209/A</v>
          </cell>
          <cell r="D3581" t="str">
            <v>RH10058NF384</v>
          </cell>
          <cell r="E3581">
            <v>5</v>
          </cell>
        </row>
        <row r="3582">
          <cell r="C3582" t="str">
            <v>B588106/A</v>
          </cell>
          <cell r="D3582" t="str">
            <v>RH10058NF409</v>
          </cell>
          <cell r="E3582">
            <v>5</v>
          </cell>
        </row>
        <row r="3583">
          <cell r="C3583" t="str">
            <v>B588107/A</v>
          </cell>
          <cell r="D3583" t="str">
            <v>RH10058NF409</v>
          </cell>
          <cell r="E3583">
            <v>9</v>
          </cell>
        </row>
        <row r="3584">
          <cell r="C3584" t="str">
            <v>B589810/A</v>
          </cell>
          <cell r="D3584" t="str">
            <v>RH10080F382</v>
          </cell>
          <cell r="E3584">
            <v>8</v>
          </cell>
        </row>
        <row r="3585">
          <cell r="C3585" t="str">
            <v>B589865/A</v>
          </cell>
          <cell r="D3585" t="str">
            <v>RH10080F383</v>
          </cell>
          <cell r="E3585">
            <v>5</v>
          </cell>
        </row>
        <row r="3586">
          <cell r="C3586" t="str">
            <v>B589867/A</v>
          </cell>
          <cell r="D3586" t="str">
            <v>RH10080F384</v>
          </cell>
          <cell r="E3586">
            <v>12</v>
          </cell>
        </row>
        <row r="3587">
          <cell r="C3587" t="str">
            <v>B589870/A</v>
          </cell>
          <cell r="D3587" t="str">
            <v>RH10083F382</v>
          </cell>
          <cell r="E3587">
            <v>15</v>
          </cell>
        </row>
        <row r="3588">
          <cell r="C3588" t="str">
            <v>B589871/A</v>
          </cell>
          <cell r="D3588" t="str">
            <v>RH10083F382</v>
          </cell>
          <cell r="E3588">
            <v>3</v>
          </cell>
        </row>
        <row r="3589">
          <cell r="C3589" t="str">
            <v>B589873/A</v>
          </cell>
          <cell r="D3589" t="str">
            <v>RH10083F384</v>
          </cell>
          <cell r="E3589">
            <v>11</v>
          </cell>
        </row>
        <row r="3590">
          <cell r="C3590" t="str">
            <v>B589875/A</v>
          </cell>
          <cell r="D3590" t="str">
            <v>RH10083F409</v>
          </cell>
          <cell r="E3590">
            <v>4</v>
          </cell>
        </row>
        <row r="3591">
          <cell r="C3591" t="str">
            <v>B589947/A</v>
          </cell>
          <cell r="D3591" t="str">
            <v>RH10084F382</v>
          </cell>
          <cell r="E3591">
            <v>13</v>
          </cell>
        </row>
        <row r="3592">
          <cell r="C3592" t="str">
            <v>B589948/A</v>
          </cell>
          <cell r="D3592" t="str">
            <v>RH10084F382</v>
          </cell>
          <cell r="E3592">
            <v>24</v>
          </cell>
        </row>
        <row r="3593">
          <cell r="C3593" t="str">
            <v>B589951/A</v>
          </cell>
          <cell r="D3593" t="str">
            <v>RH10084F384</v>
          </cell>
          <cell r="E3593">
            <v>6</v>
          </cell>
        </row>
        <row r="3594">
          <cell r="C3594" t="str">
            <v>B589952/A</v>
          </cell>
          <cell r="D3594" t="str">
            <v>RH10084F384</v>
          </cell>
          <cell r="E3594">
            <v>11</v>
          </cell>
        </row>
        <row r="3595">
          <cell r="C3595" t="str">
            <v>B588231/A</v>
          </cell>
          <cell r="D3595" t="str">
            <v>RH10090F382</v>
          </cell>
          <cell r="E3595">
            <v>9</v>
          </cell>
        </row>
        <row r="3596">
          <cell r="C3596" t="str">
            <v>B588230/A</v>
          </cell>
          <cell r="D3596" t="str">
            <v>RH10090F382</v>
          </cell>
          <cell r="E3596">
            <v>11</v>
          </cell>
        </row>
        <row r="3597">
          <cell r="C3597" t="str">
            <v>B588235/A</v>
          </cell>
          <cell r="D3597" t="str">
            <v>RH10090F384</v>
          </cell>
          <cell r="E3597">
            <v>5</v>
          </cell>
        </row>
        <row r="3598">
          <cell r="C3598" t="str">
            <v>B588233/A</v>
          </cell>
          <cell r="D3598" t="str">
            <v>RH10090F409</v>
          </cell>
          <cell r="E3598">
            <v>3</v>
          </cell>
        </row>
        <row r="3599">
          <cell r="C3599" t="str">
            <v>B588239/A</v>
          </cell>
          <cell r="D3599" t="str">
            <v>RH10091F382</v>
          </cell>
          <cell r="E3599">
            <v>11</v>
          </cell>
        </row>
        <row r="3600">
          <cell r="C3600" t="str">
            <v>B588238/A</v>
          </cell>
          <cell r="D3600" t="str">
            <v>RH10091F382</v>
          </cell>
          <cell r="E3600">
            <v>12</v>
          </cell>
        </row>
        <row r="3601">
          <cell r="C3601" t="str">
            <v>B588245/A</v>
          </cell>
          <cell r="D3601" t="str">
            <v>RH10091F383</v>
          </cell>
          <cell r="E3601">
            <v>2</v>
          </cell>
        </row>
        <row r="3602">
          <cell r="C3602" t="str">
            <v>B588243/A</v>
          </cell>
          <cell r="D3602" t="str">
            <v>RH10091F409</v>
          </cell>
          <cell r="E3602">
            <v>23</v>
          </cell>
        </row>
        <row r="3603">
          <cell r="C3603" t="str">
            <v>B588242/A</v>
          </cell>
          <cell r="D3603" t="str">
            <v>RH10091F409</v>
          </cell>
          <cell r="E3603">
            <v>17</v>
          </cell>
        </row>
        <row r="3604">
          <cell r="C3604" t="str">
            <v>B589877/A</v>
          </cell>
          <cell r="D3604" t="str">
            <v>RH10119F382</v>
          </cell>
          <cell r="E3604">
            <v>14</v>
          </cell>
        </row>
        <row r="3605">
          <cell r="C3605" t="str">
            <v>B589879/A</v>
          </cell>
          <cell r="D3605" t="str">
            <v>RH10119F384</v>
          </cell>
          <cell r="E3605">
            <v>9</v>
          </cell>
        </row>
        <row r="3606">
          <cell r="C3606" t="str">
            <v>B589957/A</v>
          </cell>
          <cell r="D3606" t="str">
            <v>RH10122F382</v>
          </cell>
          <cell r="E3606">
            <v>12</v>
          </cell>
        </row>
        <row r="3607">
          <cell r="C3607" t="str">
            <v>B589958/A</v>
          </cell>
          <cell r="D3607" t="str">
            <v>RH10122F382</v>
          </cell>
          <cell r="E3607">
            <v>8</v>
          </cell>
        </row>
        <row r="3608">
          <cell r="C3608" t="str">
            <v>B589961/A</v>
          </cell>
          <cell r="D3608" t="str">
            <v>RH10122F384</v>
          </cell>
          <cell r="E3608">
            <v>6</v>
          </cell>
        </row>
        <row r="3609">
          <cell r="C3609" t="str">
            <v>B589966/A</v>
          </cell>
          <cell r="D3609" t="str">
            <v>RH10126F382</v>
          </cell>
          <cell r="E3609">
            <v>15</v>
          </cell>
        </row>
        <row r="3610">
          <cell r="C3610" t="str">
            <v>B589967/A</v>
          </cell>
          <cell r="D3610" t="str">
            <v>RH10126F382</v>
          </cell>
          <cell r="E3610">
            <v>17</v>
          </cell>
        </row>
        <row r="3611">
          <cell r="C3611" t="str">
            <v>B589970/A</v>
          </cell>
          <cell r="D3611" t="str">
            <v>RH10126F383</v>
          </cell>
          <cell r="E3611">
            <v>2</v>
          </cell>
        </row>
        <row r="3612">
          <cell r="C3612" t="str">
            <v>B589882/A</v>
          </cell>
          <cell r="D3612" t="str">
            <v>RH10159F382</v>
          </cell>
          <cell r="E3612">
            <v>12</v>
          </cell>
        </row>
        <row r="3613">
          <cell r="C3613" t="str">
            <v>B589883/A</v>
          </cell>
          <cell r="D3613" t="str">
            <v>RH10159F382</v>
          </cell>
          <cell r="E3613">
            <v>15</v>
          </cell>
        </row>
        <row r="3614">
          <cell r="C3614" t="str">
            <v>B589885/A</v>
          </cell>
          <cell r="D3614" t="str">
            <v>RH10159F409</v>
          </cell>
          <cell r="E3614">
            <v>3</v>
          </cell>
        </row>
        <row r="3615">
          <cell r="C3615" t="str">
            <v>B589972/A</v>
          </cell>
          <cell r="D3615" t="str">
            <v>RH10173F382</v>
          </cell>
          <cell r="E3615">
            <v>11</v>
          </cell>
        </row>
        <row r="3616">
          <cell r="C3616" t="str">
            <v>B589974/A</v>
          </cell>
          <cell r="D3616" t="str">
            <v>RH10173F383</v>
          </cell>
          <cell r="E3616">
            <v>3</v>
          </cell>
        </row>
        <row r="3617">
          <cell r="C3617" t="str">
            <v>B589976/A</v>
          </cell>
          <cell r="D3617" t="str">
            <v>RH10173F384</v>
          </cell>
          <cell r="E3617">
            <v>11</v>
          </cell>
        </row>
        <row r="3618">
          <cell r="C3618" t="str">
            <v>B590069/A</v>
          </cell>
          <cell r="D3618" t="str">
            <v>RH10197F382</v>
          </cell>
          <cell r="E3618">
            <v>2</v>
          </cell>
        </row>
        <row r="3619">
          <cell r="C3619" t="str">
            <v>B590081/A</v>
          </cell>
          <cell r="D3619" t="str">
            <v>RH10197F383</v>
          </cell>
          <cell r="E3619">
            <v>2</v>
          </cell>
        </row>
        <row r="3620">
          <cell r="C3620" t="str">
            <v>B590083/A</v>
          </cell>
          <cell r="D3620" t="str">
            <v>RH10197F384</v>
          </cell>
          <cell r="E3620">
            <v>3</v>
          </cell>
        </row>
        <row r="3621">
          <cell r="C3621" t="str">
            <v>B590085/A</v>
          </cell>
          <cell r="D3621" t="str">
            <v>RH10197F409</v>
          </cell>
          <cell r="E3621">
            <v>3</v>
          </cell>
        </row>
        <row r="3622">
          <cell r="C3622" t="str">
            <v>B590087/A</v>
          </cell>
          <cell r="D3622" t="str">
            <v>RH10198F382</v>
          </cell>
          <cell r="E3622">
            <v>2</v>
          </cell>
        </row>
        <row r="3623">
          <cell r="C3623" t="str">
            <v>B590102/A</v>
          </cell>
          <cell r="D3623" t="str">
            <v>RH10198F383</v>
          </cell>
          <cell r="E3623">
            <v>2</v>
          </cell>
        </row>
        <row r="3624">
          <cell r="C3624" t="str">
            <v>B590105/A</v>
          </cell>
          <cell r="D3624" t="str">
            <v>RH10198F384</v>
          </cell>
          <cell r="E3624">
            <v>3</v>
          </cell>
        </row>
        <row r="3625">
          <cell r="C3625" t="str">
            <v>B590109/A</v>
          </cell>
          <cell r="D3625" t="str">
            <v>RH10198F409</v>
          </cell>
          <cell r="E3625">
            <v>3</v>
          </cell>
        </row>
        <row r="3626">
          <cell r="C3626" t="str">
            <v>B590125/A</v>
          </cell>
          <cell r="D3626" t="str">
            <v>RH10199F382</v>
          </cell>
          <cell r="E3626">
            <v>2</v>
          </cell>
        </row>
        <row r="3627">
          <cell r="C3627" t="str">
            <v>B590127/A</v>
          </cell>
          <cell r="D3627" t="str">
            <v>RH10199F383</v>
          </cell>
          <cell r="E3627">
            <v>2</v>
          </cell>
        </row>
        <row r="3628">
          <cell r="C3628" t="str">
            <v>B590129/A</v>
          </cell>
          <cell r="D3628" t="str">
            <v>RH10199F384</v>
          </cell>
          <cell r="E3628">
            <v>3</v>
          </cell>
        </row>
        <row r="3629">
          <cell r="C3629" t="str">
            <v>B590131/A</v>
          </cell>
          <cell r="D3629" t="str">
            <v>RH10199F409</v>
          </cell>
          <cell r="E3629">
            <v>3</v>
          </cell>
        </row>
        <row r="3630">
          <cell r="C3630" t="str">
            <v>B589978/A</v>
          </cell>
          <cell r="D3630" t="str">
            <v>RH107F01</v>
          </cell>
          <cell r="E3630">
            <v>20</v>
          </cell>
        </row>
        <row r="3631">
          <cell r="C3631" t="str">
            <v>B589980/A</v>
          </cell>
          <cell r="D3631" t="str">
            <v>RH107F03</v>
          </cell>
          <cell r="E3631">
            <v>8</v>
          </cell>
        </row>
        <row r="3632">
          <cell r="C3632" t="str">
            <v>B589898/A</v>
          </cell>
          <cell r="D3632" t="str">
            <v>RH11044F349TR</v>
          </cell>
          <cell r="E3632">
            <v>3</v>
          </cell>
        </row>
        <row r="3633">
          <cell r="C3633" t="str">
            <v>B590171/A</v>
          </cell>
          <cell r="D3633" t="str">
            <v>RH11045F349TR</v>
          </cell>
          <cell r="E3633">
            <v>3</v>
          </cell>
        </row>
        <row r="3634">
          <cell r="C3634" t="str">
            <v>B590173/A</v>
          </cell>
          <cell r="D3634" t="str">
            <v>RH11049F349TR</v>
          </cell>
          <cell r="E3634">
            <v>3</v>
          </cell>
        </row>
        <row r="3635">
          <cell r="C3635" t="str">
            <v>B589887/A</v>
          </cell>
          <cell r="D3635" t="str">
            <v>RH11051F349TR</v>
          </cell>
          <cell r="E3635">
            <v>3</v>
          </cell>
        </row>
        <row r="3636">
          <cell r="C3636" t="str">
            <v>B590342/A</v>
          </cell>
          <cell r="D3636" t="str">
            <v>RH11052F348TR</v>
          </cell>
          <cell r="E3636">
            <v>18</v>
          </cell>
        </row>
        <row r="3637">
          <cell r="C3637" t="str">
            <v>B590343/A</v>
          </cell>
          <cell r="D3637" t="str">
            <v>RH11052F348TR</v>
          </cell>
          <cell r="E3637">
            <v>18</v>
          </cell>
        </row>
        <row r="3638">
          <cell r="C3638" t="str">
            <v>B590472/A</v>
          </cell>
          <cell r="D3638" t="str">
            <v>RH11052F348TR</v>
          </cell>
          <cell r="E3638">
            <v>18</v>
          </cell>
        </row>
        <row r="3639">
          <cell r="C3639" t="str">
            <v>B590346/A</v>
          </cell>
          <cell r="D3639" t="str">
            <v>RH11053F348TR</v>
          </cell>
          <cell r="E3639">
            <v>18</v>
          </cell>
        </row>
        <row r="3640">
          <cell r="C3640" t="str">
            <v>B590347/A</v>
          </cell>
          <cell r="D3640" t="str">
            <v>RH11053F348TR</v>
          </cell>
          <cell r="E3640">
            <v>18</v>
          </cell>
        </row>
        <row r="3641">
          <cell r="C3641" t="str">
            <v>B590474/A</v>
          </cell>
          <cell r="D3641" t="str">
            <v>RH11053F348TR</v>
          </cell>
          <cell r="E3641">
            <v>18</v>
          </cell>
        </row>
        <row r="3642">
          <cell r="C3642" t="str">
            <v>B590369/A</v>
          </cell>
          <cell r="D3642" t="str">
            <v>RH11054F348TR</v>
          </cell>
          <cell r="E3642">
            <v>2</v>
          </cell>
        </row>
        <row r="3643">
          <cell r="C3643" t="str">
            <v>B590370/A</v>
          </cell>
          <cell r="D3643" t="str">
            <v>RH11054F348TR</v>
          </cell>
          <cell r="E3643">
            <v>2</v>
          </cell>
        </row>
        <row r="3644">
          <cell r="C3644" t="str">
            <v>B590479/A</v>
          </cell>
          <cell r="D3644" t="str">
            <v>RH11054F348TR</v>
          </cell>
          <cell r="E3644">
            <v>2</v>
          </cell>
        </row>
        <row r="3645">
          <cell r="C3645" t="str">
            <v>B590476/A</v>
          </cell>
          <cell r="D3645" t="str">
            <v>RH11055F348TR</v>
          </cell>
          <cell r="E3645">
            <v>6</v>
          </cell>
        </row>
        <row r="3646">
          <cell r="C3646" t="str">
            <v>B589983/A</v>
          </cell>
          <cell r="D3646" t="str">
            <v>RH11130NF451</v>
          </cell>
          <cell r="E3646">
            <v>5</v>
          </cell>
        </row>
        <row r="3647">
          <cell r="C3647" t="str">
            <v>B589984/A</v>
          </cell>
          <cell r="D3647" t="str">
            <v>RH11130NF451</v>
          </cell>
          <cell r="E3647">
            <v>5</v>
          </cell>
        </row>
        <row r="3648">
          <cell r="C3648" t="str">
            <v>B589987/A</v>
          </cell>
          <cell r="D3648" t="str">
            <v>RH11130NF456</v>
          </cell>
          <cell r="E3648">
            <v>8</v>
          </cell>
        </row>
        <row r="3649">
          <cell r="C3649" t="str">
            <v>B589988/A</v>
          </cell>
          <cell r="D3649" t="str">
            <v>RH11130NF456</v>
          </cell>
          <cell r="E3649">
            <v>7</v>
          </cell>
        </row>
        <row r="3650">
          <cell r="C3650" t="str">
            <v>B589999/A</v>
          </cell>
          <cell r="D3650" t="str">
            <v>RH11132NF451</v>
          </cell>
          <cell r="E3650">
            <v>20</v>
          </cell>
        </row>
        <row r="3651">
          <cell r="C3651" t="str">
            <v>B590000/A</v>
          </cell>
          <cell r="D3651" t="str">
            <v>RH11132NF451</v>
          </cell>
          <cell r="E3651">
            <v>18</v>
          </cell>
        </row>
        <row r="3652">
          <cell r="C3652" t="str">
            <v>B590003/A</v>
          </cell>
          <cell r="D3652" t="str">
            <v>RH11132NF456</v>
          </cell>
          <cell r="E3652">
            <v>13</v>
          </cell>
        </row>
        <row r="3653">
          <cell r="C3653" t="str">
            <v>B590004/A</v>
          </cell>
          <cell r="D3653" t="str">
            <v>RH11132NF456</v>
          </cell>
          <cell r="E3653">
            <v>12</v>
          </cell>
        </row>
        <row r="3654">
          <cell r="C3654" t="str">
            <v>B590367/A</v>
          </cell>
          <cell r="D3654" t="str">
            <v>RH11135F451</v>
          </cell>
          <cell r="E3654">
            <v>5</v>
          </cell>
        </row>
        <row r="3655">
          <cell r="C3655" t="str">
            <v>B590368/A</v>
          </cell>
          <cell r="D3655" t="str">
            <v>RH11135F451</v>
          </cell>
          <cell r="E3655">
            <v>5</v>
          </cell>
        </row>
        <row r="3656">
          <cell r="C3656" t="str">
            <v>B590372/A</v>
          </cell>
          <cell r="D3656" t="str">
            <v>RH11135F456</v>
          </cell>
          <cell r="E3656">
            <v>5</v>
          </cell>
        </row>
        <row r="3657">
          <cell r="C3657" t="str">
            <v>B590478/A</v>
          </cell>
          <cell r="D3657" t="str">
            <v>RH11164F348TR</v>
          </cell>
          <cell r="E3657">
            <v>1</v>
          </cell>
        </row>
        <row r="3658">
          <cell r="C3658" t="str">
            <v>B589889/A</v>
          </cell>
          <cell r="D3658" t="str">
            <v>RH11214F348TR</v>
          </cell>
          <cell r="E3658">
            <v>3</v>
          </cell>
        </row>
        <row r="3659">
          <cell r="C3659" t="str">
            <v>B590595/A</v>
          </cell>
          <cell r="D3659" t="str">
            <v>RH11345F451</v>
          </cell>
          <cell r="E3659">
            <v>1</v>
          </cell>
        </row>
        <row r="3660">
          <cell r="C3660" t="str">
            <v>B590594/A</v>
          </cell>
          <cell r="D3660" t="str">
            <v>RH11345F451</v>
          </cell>
          <cell r="E3660">
            <v>2</v>
          </cell>
        </row>
        <row r="3661">
          <cell r="C3661" t="str">
            <v>B590598/A</v>
          </cell>
          <cell r="D3661" t="str">
            <v>RH11567F451</v>
          </cell>
          <cell r="E3661">
            <v>1</v>
          </cell>
        </row>
        <row r="3662">
          <cell r="C3662" t="str">
            <v>B590596/A</v>
          </cell>
          <cell r="D3662" t="str">
            <v>RH11567F451</v>
          </cell>
          <cell r="E3662">
            <v>2</v>
          </cell>
        </row>
        <row r="3663">
          <cell r="C3663" t="str">
            <v>B590600/A</v>
          </cell>
          <cell r="D3663" t="str">
            <v>RH11592F451</v>
          </cell>
          <cell r="E3663">
            <v>1</v>
          </cell>
        </row>
        <row r="3664">
          <cell r="C3664" t="str">
            <v>B590599/A</v>
          </cell>
          <cell r="D3664" t="str">
            <v>RH11592F451</v>
          </cell>
          <cell r="E3664">
            <v>2</v>
          </cell>
        </row>
        <row r="3665">
          <cell r="C3665" t="str">
            <v>B590704/A</v>
          </cell>
          <cell r="D3665" t="str">
            <v>RH1169F02</v>
          </cell>
          <cell r="E3665">
            <v>18</v>
          </cell>
        </row>
        <row r="3666">
          <cell r="C3666" t="str">
            <v>B590705/A</v>
          </cell>
          <cell r="D3666" t="str">
            <v>RH1169F02</v>
          </cell>
          <cell r="E3666">
            <v>2</v>
          </cell>
        </row>
        <row r="3667">
          <cell r="C3667" t="str">
            <v>B590707/A</v>
          </cell>
          <cell r="D3667" t="str">
            <v>RH1169F03</v>
          </cell>
          <cell r="E3667">
            <v>12</v>
          </cell>
        </row>
        <row r="3668">
          <cell r="C3668" t="str">
            <v>B590231/A</v>
          </cell>
          <cell r="D3668" t="str">
            <v>RH133NF01</v>
          </cell>
          <cell r="E3668">
            <v>11</v>
          </cell>
        </row>
        <row r="3669">
          <cell r="C3669" t="str">
            <v>B590232/A</v>
          </cell>
          <cell r="D3669" t="str">
            <v>RH133NF01</v>
          </cell>
          <cell r="E3669">
            <v>4</v>
          </cell>
        </row>
        <row r="3670">
          <cell r="C3670" t="str">
            <v>B590236/A</v>
          </cell>
          <cell r="D3670" t="str">
            <v>RH133NF03</v>
          </cell>
          <cell r="E3670">
            <v>6</v>
          </cell>
        </row>
        <row r="3671">
          <cell r="C3671" t="str">
            <v>B590237/A</v>
          </cell>
          <cell r="D3671" t="str">
            <v>RH133NF03</v>
          </cell>
          <cell r="E3671">
            <v>18</v>
          </cell>
        </row>
        <row r="3672">
          <cell r="C3672" t="str">
            <v>B590241/A</v>
          </cell>
          <cell r="D3672" t="str">
            <v>RH1859F08</v>
          </cell>
          <cell r="E3672">
            <v>8</v>
          </cell>
        </row>
        <row r="3673">
          <cell r="C3673" t="str">
            <v>B590242/A</v>
          </cell>
          <cell r="D3673" t="str">
            <v>RH1859F08</v>
          </cell>
          <cell r="E3673">
            <v>30</v>
          </cell>
        </row>
        <row r="3674">
          <cell r="C3674" t="str">
            <v>B590243/A</v>
          </cell>
          <cell r="D3674" t="str">
            <v>RH1859F08</v>
          </cell>
          <cell r="E3674">
            <v>1</v>
          </cell>
        </row>
        <row r="3675">
          <cell r="C3675" t="str">
            <v>B590710/A</v>
          </cell>
          <cell r="D3675" t="str">
            <v>RH2252F09</v>
          </cell>
          <cell r="E3675">
            <v>8</v>
          </cell>
        </row>
        <row r="3676">
          <cell r="C3676" t="str">
            <v>B590711/A</v>
          </cell>
          <cell r="D3676" t="str">
            <v>RH2252F09</v>
          </cell>
          <cell r="E3676">
            <v>74</v>
          </cell>
        </row>
        <row r="3677">
          <cell r="C3677" t="str">
            <v>B590247/A</v>
          </cell>
          <cell r="D3677" t="str">
            <v>RH2372F123</v>
          </cell>
          <cell r="E3677">
            <v>1</v>
          </cell>
        </row>
        <row r="3678">
          <cell r="C3678" t="str">
            <v>B590248/A</v>
          </cell>
          <cell r="D3678" t="str">
            <v>RH2372F123</v>
          </cell>
          <cell r="E3678">
            <v>7</v>
          </cell>
        </row>
        <row r="3679">
          <cell r="C3679" t="str">
            <v>B590249/A</v>
          </cell>
          <cell r="D3679" t="str">
            <v>RH2372F123</v>
          </cell>
          <cell r="E3679">
            <v>8</v>
          </cell>
        </row>
        <row r="3680">
          <cell r="C3680" t="str">
            <v>B590713/A</v>
          </cell>
          <cell r="D3680" t="str">
            <v>RH2774F10CZ</v>
          </cell>
          <cell r="E3680">
            <v>3</v>
          </cell>
        </row>
        <row r="3681">
          <cell r="C3681" t="str">
            <v>B590716/A</v>
          </cell>
          <cell r="D3681" t="str">
            <v>RH2774F122</v>
          </cell>
          <cell r="E3681">
            <v>9</v>
          </cell>
        </row>
        <row r="3682">
          <cell r="C3682" t="str">
            <v>B590251/A</v>
          </cell>
          <cell r="D3682" t="str">
            <v>RH323NF01</v>
          </cell>
          <cell r="E3682">
            <v>1</v>
          </cell>
        </row>
        <row r="3683">
          <cell r="C3683" t="str">
            <v>B590254/A</v>
          </cell>
          <cell r="D3683" t="str">
            <v>RH323NF01</v>
          </cell>
          <cell r="E3683">
            <v>10</v>
          </cell>
        </row>
        <row r="3684">
          <cell r="C3684" t="str">
            <v>B590255/A</v>
          </cell>
          <cell r="D3684" t="str">
            <v>RH323NF01</v>
          </cell>
          <cell r="E3684">
            <v>17</v>
          </cell>
        </row>
        <row r="3685">
          <cell r="C3685" t="str">
            <v>B590263/A</v>
          </cell>
          <cell r="D3685" t="str">
            <v>RH323NF02</v>
          </cell>
          <cell r="E3685">
            <v>1</v>
          </cell>
        </row>
        <row r="3686">
          <cell r="C3686" t="str">
            <v>B590266/A</v>
          </cell>
          <cell r="D3686" t="str">
            <v>RH323NF03</v>
          </cell>
          <cell r="E3686">
            <v>11</v>
          </cell>
        </row>
        <row r="3687">
          <cell r="C3687" t="str">
            <v>B590267/A</v>
          </cell>
          <cell r="D3687" t="str">
            <v>RH323NF03</v>
          </cell>
          <cell r="E3687">
            <v>1</v>
          </cell>
        </row>
        <row r="3688">
          <cell r="C3688" t="str">
            <v>B590270/A</v>
          </cell>
          <cell r="D3688" t="str">
            <v>RH3726AF08</v>
          </cell>
          <cell r="E3688">
            <v>7</v>
          </cell>
        </row>
        <row r="3689">
          <cell r="C3689" t="str">
            <v>B590271/A</v>
          </cell>
          <cell r="D3689" t="str">
            <v>RH3726AF08</v>
          </cell>
          <cell r="E3689">
            <v>15</v>
          </cell>
        </row>
        <row r="3690">
          <cell r="C3690" t="str">
            <v>B590720/A</v>
          </cell>
          <cell r="D3690" t="str">
            <v>RH404F03</v>
          </cell>
          <cell r="E3690">
            <v>7</v>
          </cell>
        </row>
        <row r="3691">
          <cell r="C3691" t="str">
            <v>B590721/A</v>
          </cell>
          <cell r="D3691" t="str">
            <v>RH404F03</v>
          </cell>
          <cell r="E3691">
            <v>26</v>
          </cell>
        </row>
        <row r="3692">
          <cell r="C3692" t="str">
            <v>B590392/A</v>
          </cell>
          <cell r="D3692" t="str">
            <v>RH5061F01</v>
          </cell>
          <cell r="E3692">
            <v>14</v>
          </cell>
        </row>
        <row r="3693">
          <cell r="C3693" t="str">
            <v>B590394/A</v>
          </cell>
          <cell r="D3693" t="str">
            <v>RH5061F03</v>
          </cell>
          <cell r="E3693">
            <v>1</v>
          </cell>
        </row>
        <row r="3694">
          <cell r="C3694" t="str">
            <v>B590274/A</v>
          </cell>
          <cell r="D3694" t="str">
            <v>RH7151F381</v>
          </cell>
          <cell r="E3694">
            <v>3</v>
          </cell>
        </row>
        <row r="3695">
          <cell r="C3695" t="str">
            <v>B590275/A</v>
          </cell>
          <cell r="D3695" t="str">
            <v>RH7151F381</v>
          </cell>
          <cell r="E3695">
            <v>9</v>
          </cell>
        </row>
        <row r="3696">
          <cell r="C3696" t="str">
            <v>B590277/A</v>
          </cell>
          <cell r="D3696" t="str">
            <v>RH7151F383</v>
          </cell>
          <cell r="E3696">
            <v>5</v>
          </cell>
        </row>
        <row r="3697">
          <cell r="C3697" t="str">
            <v>B590280/A</v>
          </cell>
          <cell r="D3697" t="str">
            <v>RH7152F382</v>
          </cell>
          <cell r="E3697">
            <v>2</v>
          </cell>
        </row>
        <row r="3698">
          <cell r="C3698" t="str">
            <v>B590281/A</v>
          </cell>
          <cell r="D3698" t="str">
            <v>RH7152F382</v>
          </cell>
          <cell r="E3698">
            <v>6</v>
          </cell>
        </row>
        <row r="3699">
          <cell r="C3699" t="str">
            <v>B590284/A</v>
          </cell>
          <cell r="D3699" t="str">
            <v>RH7152F409</v>
          </cell>
          <cell r="E3699">
            <v>7</v>
          </cell>
        </row>
        <row r="3700">
          <cell r="C3700" t="str">
            <v>B590285/A</v>
          </cell>
          <cell r="D3700" t="str">
            <v>RH7152F409</v>
          </cell>
          <cell r="E3700">
            <v>22</v>
          </cell>
        </row>
        <row r="3701">
          <cell r="C3701" t="str">
            <v>B590397/A</v>
          </cell>
          <cell r="D3701" t="str">
            <v>RH7365NF381</v>
          </cell>
          <cell r="E3701">
            <v>2</v>
          </cell>
        </row>
        <row r="3702">
          <cell r="C3702" t="str">
            <v>B590398/A</v>
          </cell>
          <cell r="D3702" t="str">
            <v>RH7365NF381</v>
          </cell>
          <cell r="E3702">
            <v>1</v>
          </cell>
        </row>
        <row r="3703">
          <cell r="C3703" t="str">
            <v>B590400/A</v>
          </cell>
          <cell r="D3703" t="str">
            <v>RH7365NF409</v>
          </cell>
          <cell r="E3703">
            <v>10</v>
          </cell>
        </row>
        <row r="3704">
          <cell r="C3704" t="str">
            <v>B590402/A</v>
          </cell>
          <cell r="D3704" t="str">
            <v>RH7368F383</v>
          </cell>
          <cell r="E3704">
            <v>11</v>
          </cell>
        </row>
        <row r="3705">
          <cell r="C3705" t="str">
            <v>B590404/A</v>
          </cell>
          <cell r="D3705" t="str">
            <v>RH7368F409</v>
          </cell>
          <cell r="E3705">
            <v>3</v>
          </cell>
        </row>
        <row r="3706">
          <cell r="C3706" t="str">
            <v>B590288/A</v>
          </cell>
          <cell r="D3706" t="str">
            <v>RH7369F381</v>
          </cell>
          <cell r="E3706">
            <v>9</v>
          </cell>
        </row>
        <row r="3707">
          <cell r="C3707" t="str">
            <v>B590289/A</v>
          </cell>
          <cell r="D3707" t="str">
            <v>RH7369F381</v>
          </cell>
          <cell r="E3707">
            <v>2</v>
          </cell>
        </row>
        <row r="3708">
          <cell r="C3708" t="str">
            <v>B590291/A</v>
          </cell>
          <cell r="D3708" t="str">
            <v>RH7369F382</v>
          </cell>
          <cell r="E3708">
            <v>5</v>
          </cell>
        </row>
        <row r="3709">
          <cell r="C3709" t="str">
            <v>B590293/A</v>
          </cell>
          <cell r="D3709" t="str">
            <v>RH7369F383</v>
          </cell>
          <cell r="E3709">
            <v>6</v>
          </cell>
        </row>
        <row r="3710">
          <cell r="C3710" t="str">
            <v>B590296/A</v>
          </cell>
          <cell r="D3710" t="str">
            <v>RH7369F409</v>
          </cell>
          <cell r="E3710">
            <v>6</v>
          </cell>
        </row>
        <row r="3711">
          <cell r="C3711" t="str">
            <v>B590297/A</v>
          </cell>
          <cell r="D3711" t="str">
            <v>RH7369F409</v>
          </cell>
          <cell r="E3711">
            <v>4</v>
          </cell>
        </row>
        <row r="3712">
          <cell r="C3712" t="str">
            <v>B589891/A</v>
          </cell>
          <cell r="D3712" t="str">
            <v>RH7371F383</v>
          </cell>
          <cell r="E3712">
            <v>14</v>
          </cell>
        </row>
        <row r="3713">
          <cell r="C3713" t="str">
            <v>B589893/A</v>
          </cell>
          <cell r="D3713" t="str">
            <v>RH7371F409</v>
          </cell>
          <cell r="E3713">
            <v>14</v>
          </cell>
        </row>
        <row r="3714">
          <cell r="C3714" t="str">
            <v>B589896/A</v>
          </cell>
          <cell r="D3714" t="str">
            <v>RH7371F409</v>
          </cell>
          <cell r="E3714">
            <v>1</v>
          </cell>
        </row>
        <row r="3715">
          <cell r="C3715" t="str">
            <v>B589897/A</v>
          </cell>
          <cell r="D3715" t="str">
            <v>RH7371F409</v>
          </cell>
          <cell r="E3715">
            <v>7</v>
          </cell>
        </row>
        <row r="3716">
          <cell r="C3716" t="str">
            <v>B590406/A</v>
          </cell>
          <cell r="D3716" t="str">
            <v>RH7392F381</v>
          </cell>
          <cell r="E3716">
            <v>3</v>
          </cell>
        </row>
        <row r="3717">
          <cell r="C3717" t="str">
            <v>B590408/A</v>
          </cell>
          <cell r="D3717" t="str">
            <v>RH7392F383</v>
          </cell>
          <cell r="E3717">
            <v>10</v>
          </cell>
        </row>
        <row r="3718">
          <cell r="C3718" t="str">
            <v>B590410/A</v>
          </cell>
          <cell r="D3718" t="str">
            <v>RH7561F381</v>
          </cell>
          <cell r="E3718">
            <v>1</v>
          </cell>
        </row>
        <row r="3719">
          <cell r="C3719" t="str">
            <v>B590412/A</v>
          </cell>
          <cell r="D3719" t="str">
            <v>RH7561F382</v>
          </cell>
          <cell r="E3719">
            <v>10</v>
          </cell>
        </row>
        <row r="3720">
          <cell r="C3720" t="str">
            <v>B590414/A</v>
          </cell>
          <cell r="D3720" t="str">
            <v>RH7561F383</v>
          </cell>
          <cell r="E3720">
            <v>2</v>
          </cell>
        </row>
        <row r="3721">
          <cell r="C3721" t="str">
            <v>B590299/A</v>
          </cell>
          <cell r="D3721" t="str">
            <v>RH822F02</v>
          </cell>
          <cell r="E3721">
            <v>14</v>
          </cell>
        </row>
        <row r="3722">
          <cell r="C3722" t="str">
            <v>B590416/A</v>
          </cell>
          <cell r="D3722" t="str">
            <v>RH895F01</v>
          </cell>
          <cell r="E3722">
            <v>1</v>
          </cell>
        </row>
        <row r="3723">
          <cell r="C3723" t="str">
            <v>B590418/A</v>
          </cell>
          <cell r="D3723" t="str">
            <v>RH895F02</v>
          </cell>
          <cell r="E3723">
            <v>11</v>
          </cell>
        </row>
        <row r="3724">
          <cell r="C3724" t="str">
            <v>B590420/A</v>
          </cell>
          <cell r="D3724" t="str">
            <v>RH900F02</v>
          </cell>
          <cell r="E3724">
            <v>4</v>
          </cell>
        </row>
        <row r="3725">
          <cell r="C3725" t="str">
            <v>B590422/A</v>
          </cell>
          <cell r="D3725" t="str">
            <v>RH900F03</v>
          </cell>
          <cell r="E3725">
            <v>8</v>
          </cell>
        </row>
        <row r="3726">
          <cell r="C3726" t="str">
            <v>B590723/A</v>
          </cell>
          <cell r="D3726" t="str">
            <v>RH9283F403</v>
          </cell>
          <cell r="E3726">
            <v>9</v>
          </cell>
        </row>
        <row r="3727">
          <cell r="C3727" t="str">
            <v>B590726/A</v>
          </cell>
          <cell r="D3727" t="str">
            <v>RH9283F408</v>
          </cell>
          <cell r="E3727">
            <v>2</v>
          </cell>
        </row>
        <row r="3728">
          <cell r="C3728" t="str">
            <v>B590302/A</v>
          </cell>
          <cell r="D3728" t="str">
            <v>RH9497F382</v>
          </cell>
          <cell r="E3728">
            <v>12</v>
          </cell>
        </row>
        <row r="3729">
          <cell r="C3729" t="str">
            <v>B590303/A</v>
          </cell>
          <cell r="D3729" t="str">
            <v>RH9497F382</v>
          </cell>
          <cell r="E3729">
            <v>11</v>
          </cell>
        </row>
        <row r="3730">
          <cell r="C3730" t="str">
            <v>B590306/A</v>
          </cell>
          <cell r="D3730" t="str">
            <v>RH9498NF382</v>
          </cell>
          <cell r="E3730">
            <v>8</v>
          </cell>
        </row>
        <row r="3731">
          <cell r="C3731" t="str">
            <v>B590307/A</v>
          </cell>
          <cell r="D3731" t="str">
            <v>RH9498NF382</v>
          </cell>
          <cell r="E3731">
            <v>8</v>
          </cell>
        </row>
        <row r="3732">
          <cell r="C3732" t="str">
            <v>B590309/A</v>
          </cell>
          <cell r="D3732" t="str">
            <v>RH9498NF384</v>
          </cell>
          <cell r="E3732">
            <v>8</v>
          </cell>
        </row>
        <row r="3733">
          <cell r="C3733" t="str">
            <v>B590312/A</v>
          </cell>
          <cell r="D3733" t="str">
            <v>RH9533F426</v>
          </cell>
          <cell r="E3733">
            <v>15</v>
          </cell>
        </row>
        <row r="3734">
          <cell r="C3734" t="str">
            <v>B590313/A</v>
          </cell>
          <cell r="D3734" t="str">
            <v>RH9533F426</v>
          </cell>
          <cell r="E3734">
            <v>16</v>
          </cell>
        </row>
        <row r="3735">
          <cell r="C3735" t="str">
            <v>B590316/A</v>
          </cell>
          <cell r="D3735" t="str">
            <v>RH9841F424</v>
          </cell>
          <cell r="E3735">
            <v>16</v>
          </cell>
        </row>
        <row r="3736">
          <cell r="C3736" t="str">
            <v>B590317/A</v>
          </cell>
          <cell r="D3736" t="str">
            <v>RH9841F424</v>
          </cell>
          <cell r="E3736">
            <v>7</v>
          </cell>
        </row>
        <row r="3737">
          <cell r="C3737" t="str">
            <v>B589900/A</v>
          </cell>
          <cell r="D3737" t="str">
            <v>RH9874F423</v>
          </cell>
          <cell r="E3737">
            <v>12</v>
          </cell>
        </row>
        <row r="3738">
          <cell r="C3738" t="str">
            <v>B589903/A</v>
          </cell>
          <cell r="D3738" t="str">
            <v>RH9874F425</v>
          </cell>
          <cell r="E3738">
            <v>5</v>
          </cell>
        </row>
        <row r="3739">
          <cell r="C3739" t="str">
            <v>B589904/A</v>
          </cell>
          <cell r="D3739" t="str">
            <v>RH9874F425</v>
          </cell>
          <cell r="E3739">
            <v>2</v>
          </cell>
        </row>
        <row r="3740">
          <cell r="C3740" t="str">
            <v>B590481/A</v>
          </cell>
          <cell r="D3740" t="str">
            <v>RH9874F425</v>
          </cell>
          <cell r="E3740">
            <v>3</v>
          </cell>
        </row>
        <row r="3741">
          <cell r="C3741" t="str">
            <v>B590446/A</v>
          </cell>
          <cell r="D3741" t="str">
            <v>RH9888F424</v>
          </cell>
          <cell r="E3741">
            <v>5</v>
          </cell>
        </row>
        <row r="3742">
          <cell r="C3742" t="str">
            <v>B590448/A</v>
          </cell>
          <cell r="D3742" t="str">
            <v>RH9888F425</v>
          </cell>
          <cell r="E3742">
            <v>6</v>
          </cell>
        </row>
        <row r="3743">
          <cell r="C3743" t="str">
            <v>B588055/A</v>
          </cell>
          <cell r="D3743" t="str">
            <v>RH9986F382</v>
          </cell>
          <cell r="E3743">
            <v>11</v>
          </cell>
        </row>
        <row r="3744">
          <cell r="C3744" t="str">
            <v>B588085/A</v>
          </cell>
          <cell r="D3744" t="str">
            <v>RH9986F384</v>
          </cell>
          <cell r="E3744">
            <v>4</v>
          </cell>
        </row>
        <row r="3745">
          <cell r="C3745" t="str">
            <v>B588057/A</v>
          </cell>
          <cell r="D3745" t="str">
            <v>RH9986F409</v>
          </cell>
          <cell r="E3745">
            <v>14</v>
          </cell>
        </row>
        <row r="3746">
          <cell r="C3746" t="str">
            <v>B588091/A</v>
          </cell>
          <cell r="D3746" t="str">
            <v>RH9991NF382</v>
          </cell>
          <cell r="E3746">
            <v>9</v>
          </cell>
        </row>
        <row r="3747">
          <cell r="C3747" t="str">
            <v>B588089/A</v>
          </cell>
          <cell r="D3747" t="str">
            <v>RH9991NF382</v>
          </cell>
          <cell r="E3747">
            <v>7</v>
          </cell>
        </row>
        <row r="3748">
          <cell r="C3748" t="str">
            <v>B588093/A</v>
          </cell>
          <cell r="D3748" t="str">
            <v>RH9991NF383</v>
          </cell>
          <cell r="E3748">
            <v>1</v>
          </cell>
        </row>
        <row r="3749">
          <cell r="C3749" t="str">
            <v>B588205/A</v>
          </cell>
          <cell r="D3749" t="str">
            <v>RH9991NF384</v>
          </cell>
          <cell r="E3749">
            <v>13</v>
          </cell>
        </row>
        <row r="3750">
          <cell r="C3750" t="str">
            <v>B588099/A</v>
          </cell>
          <cell r="D3750" t="str">
            <v>RH9991NF409</v>
          </cell>
          <cell r="E3750">
            <v>14</v>
          </cell>
        </row>
        <row r="3751">
          <cell r="C3751" t="str">
            <v>B588097/A</v>
          </cell>
          <cell r="D3751" t="str">
            <v>RH9991NF409</v>
          </cell>
          <cell r="E3751">
            <v>6</v>
          </cell>
        </row>
        <row r="3752">
          <cell r="C3752" t="str">
            <v>B589642/A</v>
          </cell>
          <cell r="D3752" t="str">
            <v>SH649F506</v>
          </cell>
          <cell r="E3752">
            <v>50</v>
          </cell>
        </row>
        <row r="3753">
          <cell r="C3753" t="str">
            <v>B590730/A</v>
          </cell>
          <cell r="D3753" t="str">
            <v>SH764F651-BASE</v>
          </cell>
          <cell r="E3753">
            <v>15</v>
          </cell>
        </row>
        <row r="3754">
          <cell r="C3754" t="str">
            <v>B590731/A</v>
          </cell>
          <cell r="D3754" t="str">
            <v>SH764F651-BASE</v>
          </cell>
          <cell r="E3754">
            <v>15</v>
          </cell>
        </row>
        <row r="3755">
          <cell r="C3755" t="str">
            <v>B589645/A</v>
          </cell>
          <cell r="D3755" t="str">
            <v>SH764F651-TOP</v>
          </cell>
          <cell r="E3755">
            <v>15</v>
          </cell>
        </row>
        <row r="3756">
          <cell r="C3756" t="str">
            <v>B589646/A</v>
          </cell>
          <cell r="D3756" t="str">
            <v>SH764F651-TOP</v>
          </cell>
          <cell r="E3756">
            <v>15</v>
          </cell>
        </row>
        <row r="3757">
          <cell r="C3757" t="str">
            <v>B590465/A</v>
          </cell>
          <cell r="D3757" t="str">
            <v>SH876F909</v>
          </cell>
          <cell r="E3757">
            <v>74</v>
          </cell>
        </row>
        <row r="3758">
          <cell r="C3758" t="str">
            <v>B590466/A</v>
          </cell>
          <cell r="D3758" t="str">
            <v>SH876F909</v>
          </cell>
          <cell r="E3758">
            <v>48</v>
          </cell>
        </row>
        <row r="3759">
          <cell r="C3759" t="str">
            <v>B590469/A</v>
          </cell>
          <cell r="D3759" t="str">
            <v>SH886F1284</v>
          </cell>
          <cell r="E3759">
            <v>48</v>
          </cell>
        </row>
        <row r="3760">
          <cell r="C3760" t="str">
            <v>B590470/A</v>
          </cell>
          <cell r="D3760" t="str">
            <v>SH886F1284</v>
          </cell>
          <cell r="E3760">
            <v>32</v>
          </cell>
        </row>
        <row r="3761">
          <cell r="C3761" t="str">
            <v>B589798/A</v>
          </cell>
          <cell r="D3761" t="str">
            <v>BN3060NF357-SHEL</v>
          </cell>
          <cell r="E3761">
            <v>4</v>
          </cell>
        </row>
        <row r="3762">
          <cell r="C3762" t="str">
            <v>B590661/A</v>
          </cell>
          <cell r="D3762" t="str">
            <v>RH1704F40-SLSP</v>
          </cell>
          <cell r="E3762">
            <v>1</v>
          </cell>
        </row>
        <row r="3763">
          <cell r="C3763" t="str">
            <v>B590665/A</v>
          </cell>
          <cell r="D3763" t="str">
            <v>RH3316F26-MTSP</v>
          </cell>
          <cell r="E3763">
            <v>2</v>
          </cell>
        </row>
        <row r="3764">
          <cell r="C3764" t="str">
            <v>B590663/A</v>
          </cell>
          <cell r="D3764" t="str">
            <v>RH3316F26-SRFT</v>
          </cell>
          <cell r="E3764">
            <v>1</v>
          </cell>
        </row>
        <row r="3765">
          <cell r="C3765" t="str">
            <v>B590667/A</v>
          </cell>
          <cell r="D3765" t="str">
            <v>RH4104F17-SRFT</v>
          </cell>
          <cell r="E3765">
            <v>1</v>
          </cell>
        </row>
        <row r="3766">
          <cell r="C3766" t="str">
            <v>B590669/A</v>
          </cell>
          <cell r="D3766" t="str">
            <v>RH850F115-STZS</v>
          </cell>
          <cell r="E3766">
            <v>1</v>
          </cell>
        </row>
        <row r="3767">
          <cell r="C3767" t="str">
            <v>B591268/A</v>
          </cell>
          <cell r="D3767" t="str">
            <v>RH11570F451</v>
          </cell>
          <cell r="E3767">
            <v>2</v>
          </cell>
        </row>
        <row r="3768">
          <cell r="C3768" t="str">
            <v>B591269/A</v>
          </cell>
          <cell r="D3768" t="str">
            <v>RH11570F451</v>
          </cell>
          <cell r="E3768">
            <v>1</v>
          </cell>
        </row>
        <row r="3769">
          <cell r="C3769" t="str">
            <v>B590425/A</v>
          </cell>
          <cell r="D3769" t="str">
            <v>RH9338F423</v>
          </cell>
          <cell r="E3769">
            <v>5</v>
          </cell>
        </row>
        <row r="3770">
          <cell r="C3770" t="str">
            <v>B590426/A</v>
          </cell>
          <cell r="D3770" t="str">
            <v>RH9338F423</v>
          </cell>
          <cell r="E3770">
            <v>6</v>
          </cell>
        </row>
        <row r="3771">
          <cell r="C3771" t="str">
            <v>B590428/A</v>
          </cell>
          <cell r="D3771" t="str">
            <v>RH9338F424</v>
          </cell>
          <cell r="E3771">
            <v>5</v>
          </cell>
        </row>
        <row r="3772">
          <cell r="C3772" t="str">
            <v>B590431/A</v>
          </cell>
          <cell r="D3772" t="str">
            <v>RH9338F425</v>
          </cell>
          <cell r="E3772">
            <v>4</v>
          </cell>
        </row>
        <row r="3773">
          <cell r="C3773" t="str">
            <v>B590432/A</v>
          </cell>
          <cell r="D3773" t="str">
            <v>RH9338F425</v>
          </cell>
          <cell r="E3773">
            <v>3</v>
          </cell>
        </row>
        <row r="3774">
          <cell r="C3774" t="str">
            <v>B590319/A</v>
          </cell>
          <cell r="D3774" t="str">
            <v>RH9848F424</v>
          </cell>
          <cell r="E3774">
            <v>7</v>
          </cell>
        </row>
        <row r="3775">
          <cell r="C3775" t="str">
            <v>B590321/A</v>
          </cell>
          <cell r="D3775" t="str">
            <v>RH9848F425</v>
          </cell>
          <cell r="E3775">
            <v>13</v>
          </cell>
        </row>
        <row r="3776">
          <cell r="C3776" t="str">
            <v>B590324/A</v>
          </cell>
          <cell r="D3776" t="str">
            <v>RH9848F426</v>
          </cell>
          <cell r="E3776">
            <v>11</v>
          </cell>
        </row>
        <row r="3777">
          <cell r="C3777" t="str">
            <v>B590325/A</v>
          </cell>
          <cell r="D3777" t="str">
            <v>RH9848F426</v>
          </cell>
          <cell r="E3777">
            <v>1</v>
          </cell>
        </row>
        <row r="3778">
          <cell r="C3778" t="str">
            <v>B590327/A</v>
          </cell>
          <cell r="D3778" t="str">
            <v>RH9849F424</v>
          </cell>
          <cell r="E3778">
            <v>21</v>
          </cell>
        </row>
        <row r="3779">
          <cell r="C3779" t="str">
            <v>B590434/A</v>
          </cell>
          <cell r="D3779" t="str">
            <v>RH9856F424</v>
          </cell>
          <cell r="E3779">
            <v>8</v>
          </cell>
        </row>
        <row r="3780">
          <cell r="C3780" t="str">
            <v>B590438/A</v>
          </cell>
          <cell r="D3780" t="str">
            <v>RH9856F425</v>
          </cell>
          <cell r="E3780">
            <v>4</v>
          </cell>
        </row>
        <row r="3781">
          <cell r="C3781" t="str">
            <v>B590439/A</v>
          </cell>
          <cell r="D3781" t="str">
            <v>RH9856F425</v>
          </cell>
          <cell r="E3781">
            <v>4</v>
          </cell>
        </row>
        <row r="3782">
          <cell r="C3782" t="str">
            <v>B590440/A</v>
          </cell>
          <cell r="D3782" t="str">
            <v>RH9856F425</v>
          </cell>
          <cell r="E3782">
            <v>3</v>
          </cell>
        </row>
        <row r="3783">
          <cell r="C3783" t="str">
            <v>B590443/A</v>
          </cell>
          <cell r="D3783" t="str">
            <v>RH9856F426</v>
          </cell>
          <cell r="E3783">
            <v>6</v>
          </cell>
        </row>
        <row r="3784">
          <cell r="C3784" t="str">
            <v>B590444/A</v>
          </cell>
          <cell r="D3784" t="str">
            <v>RH9856F426</v>
          </cell>
          <cell r="E3784">
            <v>6</v>
          </cell>
        </row>
        <row r="3785">
          <cell r="C3785" t="str">
            <v>B590329/A</v>
          </cell>
          <cell r="D3785" t="str">
            <v>RH9866F424</v>
          </cell>
          <cell r="E3785">
            <v>2</v>
          </cell>
        </row>
        <row r="3786">
          <cell r="C3786" t="str">
            <v>B590331/A</v>
          </cell>
          <cell r="D3786" t="str">
            <v>RH9866F426</v>
          </cell>
          <cell r="E3786">
            <v>9</v>
          </cell>
        </row>
        <row r="3787">
          <cell r="C3787" t="str">
            <v>B590333/A</v>
          </cell>
          <cell r="D3787" t="str">
            <v>RH9883F423</v>
          </cell>
          <cell r="E3787">
            <v>4</v>
          </cell>
        </row>
        <row r="3788">
          <cell r="C3788" t="str">
            <v>B590335/A</v>
          </cell>
          <cell r="D3788" t="str">
            <v>RH9883F424</v>
          </cell>
          <cell r="E3788">
            <v>6</v>
          </cell>
        </row>
        <row r="3789">
          <cell r="C3789" t="str">
            <v>B590338/A</v>
          </cell>
          <cell r="D3789" t="str">
            <v>RH9883F426</v>
          </cell>
          <cell r="E3789">
            <v>14</v>
          </cell>
        </row>
        <row r="3790">
          <cell r="C3790" t="str">
            <v>B590339/A</v>
          </cell>
          <cell r="D3790" t="str">
            <v>RH9883F426</v>
          </cell>
          <cell r="E3790">
            <v>7</v>
          </cell>
        </row>
        <row r="3791">
          <cell r="C3791" t="str">
            <v>B590450/A</v>
          </cell>
          <cell r="D3791" t="str">
            <v>RH9949NF423</v>
          </cell>
          <cell r="E3791">
            <v>10</v>
          </cell>
        </row>
        <row r="3792">
          <cell r="C3792" t="str">
            <v>B590453/A</v>
          </cell>
          <cell r="D3792" t="str">
            <v>RH9949NF426</v>
          </cell>
          <cell r="E3792">
            <v>3</v>
          </cell>
        </row>
        <row r="3793">
          <cell r="C3793" t="str">
            <v>B590454/A</v>
          </cell>
          <cell r="D3793" t="str">
            <v>RH9949NF426</v>
          </cell>
          <cell r="E3793">
            <v>3</v>
          </cell>
        </row>
        <row r="3794">
          <cell r="C3794" t="str">
            <v>B590458/A</v>
          </cell>
          <cell r="D3794" t="str">
            <v>RH9972F423</v>
          </cell>
          <cell r="E3794">
            <v>5</v>
          </cell>
        </row>
        <row r="3795">
          <cell r="C3795" t="str">
            <v>B590456/A</v>
          </cell>
          <cell r="D3795" t="str">
            <v>RH9972F425</v>
          </cell>
          <cell r="E3795">
            <v>1</v>
          </cell>
        </row>
        <row r="3796">
          <cell r="C3796" t="str">
            <v>B590461/A</v>
          </cell>
          <cell r="D3796" t="str">
            <v>RH9972F426</v>
          </cell>
          <cell r="E3796">
            <v>3</v>
          </cell>
        </row>
        <row r="3797">
          <cell r="C3797" t="str">
            <v>B590462/A</v>
          </cell>
          <cell r="D3797" t="str">
            <v>RH9972F426</v>
          </cell>
          <cell r="E3797">
            <v>1</v>
          </cell>
        </row>
        <row r="3798">
          <cell r="C3798" t="str">
            <v>B592097/A</v>
          </cell>
          <cell r="D3798" t="str">
            <v>AT358AF543-VE</v>
          </cell>
          <cell r="E3798">
            <v>25</v>
          </cell>
        </row>
        <row r="3799">
          <cell r="C3799" t="str">
            <v>B592095/A</v>
          </cell>
          <cell r="D3799" t="str">
            <v>AT358AF793-VE</v>
          </cell>
          <cell r="E3799">
            <v>25</v>
          </cell>
        </row>
        <row r="3800">
          <cell r="C3800" t="str">
            <v>B582088/A</v>
          </cell>
          <cell r="D3800" t="str">
            <v>AT418F1089-VE</v>
          </cell>
          <cell r="E3800">
            <v>30</v>
          </cell>
        </row>
        <row r="3801">
          <cell r="C3801" t="str">
            <v>B582089/A</v>
          </cell>
          <cell r="D3801" t="str">
            <v>AT418F1089-VE</v>
          </cell>
          <cell r="E3801">
            <v>30</v>
          </cell>
        </row>
        <row r="3802">
          <cell r="C3802" t="str">
            <v>B588338/A</v>
          </cell>
          <cell r="D3802" t="str">
            <v>CZ052F08</v>
          </cell>
          <cell r="E3802">
            <v>9</v>
          </cell>
        </row>
        <row r="3803">
          <cell r="C3803" t="str">
            <v>B588342/A</v>
          </cell>
          <cell r="D3803" t="str">
            <v>CZ052F09</v>
          </cell>
          <cell r="E3803">
            <v>9</v>
          </cell>
        </row>
        <row r="3804">
          <cell r="C3804" t="str">
            <v>B588341/A</v>
          </cell>
          <cell r="D3804" t="str">
            <v>CZ052F09</v>
          </cell>
          <cell r="E3804">
            <v>19</v>
          </cell>
        </row>
        <row r="3805">
          <cell r="C3805" t="str">
            <v>B591392/A</v>
          </cell>
          <cell r="D3805" t="str">
            <v>CZ052F10</v>
          </cell>
          <cell r="E3805">
            <v>1</v>
          </cell>
        </row>
        <row r="3806">
          <cell r="C3806" t="str">
            <v>B591393/A</v>
          </cell>
          <cell r="D3806" t="str">
            <v>CZ052F10</v>
          </cell>
          <cell r="E3806">
            <v>1</v>
          </cell>
        </row>
        <row r="3807">
          <cell r="C3807" t="str">
            <v>B591395/A</v>
          </cell>
          <cell r="D3807" t="str">
            <v>CZ052F190</v>
          </cell>
          <cell r="E3807">
            <v>3</v>
          </cell>
        </row>
        <row r="3808">
          <cell r="C3808" t="str">
            <v>B591397/A</v>
          </cell>
          <cell r="D3808" t="str">
            <v>CZ065F09</v>
          </cell>
          <cell r="E3808">
            <v>1</v>
          </cell>
        </row>
        <row r="3809">
          <cell r="C3809" t="str">
            <v>B588357/A</v>
          </cell>
          <cell r="D3809" t="str">
            <v>CZ065F09</v>
          </cell>
          <cell r="E3809">
            <v>13</v>
          </cell>
        </row>
        <row r="3810">
          <cell r="C3810" t="str">
            <v>B591399/A</v>
          </cell>
          <cell r="D3810" t="str">
            <v>CZ065F10</v>
          </cell>
          <cell r="E3810">
            <v>7</v>
          </cell>
        </row>
        <row r="3811">
          <cell r="C3811" t="str">
            <v>B589316/A</v>
          </cell>
          <cell r="D3811" t="str">
            <v>CZ543F09</v>
          </cell>
          <cell r="E3811">
            <v>3</v>
          </cell>
        </row>
        <row r="3812">
          <cell r="C3812" t="str">
            <v>B591401/A</v>
          </cell>
          <cell r="D3812" t="str">
            <v>CZ543F190</v>
          </cell>
          <cell r="E3812">
            <v>15</v>
          </cell>
        </row>
        <row r="3813">
          <cell r="C3813" t="str">
            <v>B588345/A</v>
          </cell>
          <cell r="D3813" t="str">
            <v>CZ566F08</v>
          </cell>
          <cell r="E3813">
            <v>12</v>
          </cell>
        </row>
        <row r="3814">
          <cell r="C3814" t="str">
            <v>B591403/A</v>
          </cell>
          <cell r="D3814" t="str">
            <v>CZ566F10</v>
          </cell>
          <cell r="E3814">
            <v>4</v>
          </cell>
        </row>
        <row r="3815">
          <cell r="C3815" t="str">
            <v>B588347/A</v>
          </cell>
          <cell r="D3815" t="str">
            <v>CZ580F08</v>
          </cell>
          <cell r="E3815">
            <v>9</v>
          </cell>
        </row>
        <row r="3816">
          <cell r="C3816" t="str">
            <v>B591405/A</v>
          </cell>
          <cell r="D3816" t="str">
            <v>CZ580F190</v>
          </cell>
          <cell r="E3816">
            <v>8</v>
          </cell>
        </row>
        <row r="3817">
          <cell r="C3817" t="str">
            <v>B591429/A</v>
          </cell>
          <cell r="D3817" t="str">
            <v>CZ653F08</v>
          </cell>
          <cell r="E3817">
            <v>1</v>
          </cell>
        </row>
        <row r="3818">
          <cell r="C3818" t="str">
            <v>B591408/A</v>
          </cell>
          <cell r="D3818" t="str">
            <v>CZ653F08</v>
          </cell>
          <cell r="E3818">
            <v>16</v>
          </cell>
        </row>
        <row r="3819">
          <cell r="C3819" t="str">
            <v>B591409/A</v>
          </cell>
          <cell r="D3819" t="str">
            <v>CZ653F08</v>
          </cell>
          <cell r="E3819">
            <v>8</v>
          </cell>
        </row>
        <row r="3820">
          <cell r="C3820" t="str">
            <v>B591413/A</v>
          </cell>
          <cell r="D3820" t="str">
            <v>CZ653F10</v>
          </cell>
          <cell r="E3820">
            <v>15</v>
          </cell>
        </row>
        <row r="3821">
          <cell r="C3821" t="str">
            <v>B591414/A</v>
          </cell>
          <cell r="D3821" t="str">
            <v>CZ653F10</v>
          </cell>
          <cell r="E3821">
            <v>17</v>
          </cell>
        </row>
        <row r="3822">
          <cell r="C3822" t="str">
            <v>B591415/A</v>
          </cell>
          <cell r="D3822" t="str">
            <v>CZ653F10</v>
          </cell>
          <cell r="E3822">
            <v>3</v>
          </cell>
        </row>
        <row r="3823">
          <cell r="C3823" t="str">
            <v>B591418/A</v>
          </cell>
          <cell r="D3823" t="str">
            <v>CZ653F191</v>
          </cell>
          <cell r="E3823">
            <v>1</v>
          </cell>
        </row>
        <row r="3824">
          <cell r="C3824" t="str">
            <v>B591419/A</v>
          </cell>
          <cell r="D3824" t="str">
            <v>CZ653F191</v>
          </cell>
          <cell r="E3824">
            <v>6</v>
          </cell>
        </row>
        <row r="3825">
          <cell r="C3825" t="str">
            <v>B591552/A</v>
          </cell>
          <cell r="D3825" t="str">
            <v>CZ830F196TR</v>
          </cell>
          <cell r="E3825">
            <v>5</v>
          </cell>
        </row>
        <row r="3826">
          <cell r="C3826" t="str">
            <v>B591555/A</v>
          </cell>
          <cell r="D3826" t="str">
            <v>CZ830F409TR</v>
          </cell>
          <cell r="E3826">
            <v>5</v>
          </cell>
        </row>
        <row r="3827">
          <cell r="C3827" t="str">
            <v>B591559/A</v>
          </cell>
          <cell r="D3827" t="str">
            <v>CZ851F196TR-31931</v>
          </cell>
          <cell r="E3827">
            <v>5</v>
          </cell>
        </row>
        <row r="3828">
          <cell r="C3828" t="str">
            <v>B591563/A</v>
          </cell>
          <cell r="D3828" t="str">
            <v>CZ851F409TR-31931</v>
          </cell>
          <cell r="E3828">
            <v>5</v>
          </cell>
        </row>
        <row r="3829">
          <cell r="C3829" t="str">
            <v>B591421/A</v>
          </cell>
          <cell r="D3829" t="str">
            <v>CZ876F188</v>
          </cell>
          <cell r="E3829">
            <v>1</v>
          </cell>
        </row>
        <row r="3830">
          <cell r="C3830" t="str">
            <v>B591423/A</v>
          </cell>
          <cell r="D3830" t="str">
            <v>CZ876F381</v>
          </cell>
          <cell r="E3830">
            <v>2</v>
          </cell>
        </row>
        <row r="3831">
          <cell r="C3831" t="str">
            <v>B591426/A</v>
          </cell>
          <cell r="D3831" t="str">
            <v>CZ876F409</v>
          </cell>
          <cell r="E3831">
            <v>9</v>
          </cell>
        </row>
        <row r="3832">
          <cell r="C3832" t="str">
            <v>B591427/A</v>
          </cell>
          <cell r="D3832" t="str">
            <v>CZ876F409</v>
          </cell>
          <cell r="E3832">
            <v>1</v>
          </cell>
        </row>
        <row r="3833">
          <cell r="C3833" t="str">
            <v>B591435/A</v>
          </cell>
          <cell r="D3833" t="str">
            <v>CZ888F188</v>
          </cell>
          <cell r="E3833">
            <v>3</v>
          </cell>
        </row>
        <row r="3834">
          <cell r="C3834" t="str">
            <v>B591439/A</v>
          </cell>
          <cell r="D3834" t="str">
            <v>CZ888F196</v>
          </cell>
          <cell r="E3834">
            <v>5</v>
          </cell>
        </row>
        <row r="3835">
          <cell r="C3835" t="str">
            <v>B591440/A</v>
          </cell>
          <cell r="D3835" t="str">
            <v>CZ888F196</v>
          </cell>
          <cell r="E3835">
            <v>6</v>
          </cell>
        </row>
        <row r="3836">
          <cell r="C3836" t="str">
            <v>B591441/A</v>
          </cell>
          <cell r="D3836" t="str">
            <v>CZ888F196</v>
          </cell>
          <cell r="E3836">
            <v>3</v>
          </cell>
        </row>
        <row r="3837">
          <cell r="C3837" t="str">
            <v>B591445/A</v>
          </cell>
          <cell r="D3837" t="str">
            <v>CZ888F381</v>
          </cell>
          <cell r="E3837">
            <v>4</v>
          </cell>
        </row>
        <row r="3838">
          <cell r="C3838" t="str">
            <v>B591446/A</v>
          </cell>
          <cell r="D3838" t="str">
            <v>CZ888F381</v>
          </cell>
          <cell r="E3838">
            <v>4</v>
          </cell>
        </row>
        <row r="3839">
          <cell r="C3839" t="str">
            <v>B591447/A</v>
          </cell>
          <cell r="D3839" t="str">
            <v>CZ888F381</v>
          </cell>
          <cell r="E3839">
            <v>1</v>
          </cell>
        </row>
        <row r="3840">
          <cell r="C3840" t="str">
            <v>B591451/A</v>
          </cell>
          <cell r="D3840" t="str">
            <v>CZ888F409</v>
          </cell>
          <cell r="E3840">
            <v>4</v>
          </cell>
        </row>
        <row r="3841">
          <cell r="C3841" t="str">
            <v>B591452/A</v>
          </cell>
          <cell r="D3841" t="str">
            <v>CZ888F409</v>
          </cell>
          <cell r="E3841">
            <v>6</v>
          </cell>
        </row>
        <row r="3842">
          <cell r="C3842" t="str">
            <v>B591453/A</v>
          </cell>
          <cell r="D3842" t="str">
            <v>CZ888F409</v>
          </cell>
          <cell r="E3842">
            <v>1</v>
          </cell>
        </row>
        <row r="3843">
          <cell r="C3843" t="str">
            <v>B591576/A</v>
          </cell>
          <cell r="D3843" t="str">
            <v>HS5170F1161</v>
          </cell>
          <cell r="E3843">
            <v>99</v>
          </cell>
        </row>
        <row r="3844">
          <cell r="C3844" t="str">
            <v>B587280/A</v>
          </cell>
          <cell r="D3844" t="str">
            <v>HS5246NF1162</v>
          </cell>
          <cell r="E3844">
            <v>16</v>
          </cell>
        </row>
        <row r="3845">
          <cell r="C3845" t="str">
            <v>B582283/A</v>
          </cell>
          <cell r="D3845" t="str">
            <v>HS5248NF1162</v>
          </cell>
          <cell r="E3845">
            <v>4</v>
          </cell>
        </row>
        <row r="3846">
          <cell r="C3846" t="str">
            <v>B589528/A</v>
          </cell>
          <cell r="D3846" t="str">
            <v>HS5752NF1162</v>
          </cell>
          <cell r="E3846">
            <v>4</v>
          </cell>
        </row>
        <row r="3847">
          <cell r="C3847" t="str">
            <v>B591289/A</v>
          </cell>
          <cell r="D3847" t="str">
            <v>HS5857NF1162</v>
          </cell>
          <cell r="E3847">
            <v>15</v>
          </cell>
        </row>
        <row r="3848">
          <cell r="C3848" t="str">
            <v>B591569/A</v>
          </cell>
          <cell r="D3848" t="str">
            <v>JV012F536</v>
          </cell>
          <cell r="E3848">
            <v>25</v>
          </cell>
        </row>
        <row r="3849">
          <cell r="C3849" t="str">
            <v>B588272/A</v>
          </cell>
          <cell r="D3849" t="str">
            <v>RH10059NF382</v>
          </cell>
          <cell r="E3849">
            <v>4</v>
          </cell>
        </row>
        <row r="3850">
          <cell r="C3850" t="str">
            <v>B588273/A</v>
          </cell>
          <cell r="D3850" t="str">
            <v>RH10059NF382</v>
          </cell>
          <cell r="E3850">
            <v>1</v>
          </cell>
        </row>
        <row r="3851">
          <cell r="C3851" t="str">
            <v>B588275/A</v>
          </cell>
          <cell r="D3851" t="str">
            <v>RH10059NF383</v>
          </cell>
          <cell r="E3851">
            <v>2</v>
          </cell>
        </row>
        <row r="3852">
          <cell r="C3852" t="str">
            <v>B588279/A</v>
          </cell>
          <cell r="D3852" t="str">
            <v>RH10059NF384</v>
          </cell>
          <cell r="E3852">
            <v>10</v>
          </cell>
        </row>
        <row r="3853">
          <cell r="C3853" t="str">
            <v>B588277/A</v>
          </cell>
          <cell r="D3853" t="str">
            <v>RH10059NF409</v>
          </cell>
          <cell r="E3853">
            <v>7</v>
          </cell>
        </row>
        <row r="3854">
          <cell r="C3854" t="str">
            <v>B591464/A</v>
          </cell>
          <cell r="D3854" t="str">
            <v>RH10078NF382</v>
          </cell>
          <cell r="E3854">
            <v>5</v>
          </cell>
        </row>
        <row r="3855">
          <cell r="C3855" t="str">
            <v>B591466/A</v>
          </cell>
          <cell r="D3855" t="str">
            <v>RH10078NF384</v>
          </cell>
          <cell r="E3855">
            <v>14</v>
          </cell>
        </row>
        <row r="3856">
          <cell r="C3856" t="str">
            <v>B591335/A</v>
          </cell>
          <cell r="D3856" t="str">
            <v>RH10079F382</v>
          </cell>
          <cell r="E3856">
            <v>4</v>
          </cell>
        </row>
        <row r="3857">
          <cell r="C3857" t="str">
            <v>B591337/A</v>
          </cell>
          <cell r="D3857" t="str">
            <v>RH10079F384</v>
          </cell>
          <cell r="E3857">
            <v>13</v>
          </cell>
        </row>
        <row r="3858">
          <cell r="C3858" t="str">
            <v>B591340/A</v>
          </cell>
          <cell r="D3858" t="str">
            <v>RH10079F409</v>
          </cell>
          <cell r="E3858">
            <v>11</v>
          </cell>
        </row>
        <row r="3859">
          <cell r="C3859" t="str">
            <v>B591341/A</v>
          </cell>
          <cell r="D3859" t="str">
            <v>RH10079F409</v>
          </cell>
          <cell r="E3859">
            <v>3</v>
          </cell>
        </row>
        <row r="3860">
          <cell r="C3860" t="str">
            <v>B591343/A</v>
          </cell>
          <cell r="D3860" t="str">
            <v>RH10081F409</v>
          </cell>
          <cell r="E3860">
            <v>20</v>
          </cell>
        </row>
        <row r="3861">
          <cell r="C3861" t="str">
            <v>B588281/A</v>
          </cell>
          <cell r="D3861" t="str">
            <v>RH10086NF382</v>
          </cell>
          <cell r="E3861">
            <v>5</v>
          </cell>
        </row>
        <row r="3862">
          <cell r="C3862" t="str">
            <v>B588290/A</v>
          </cell>
          <cell r="D3862" t="str">
            <v>RH10086NF384</v>
          </cell>
          <cell r="E3862">
            <v>7</v>
          </cell>
        </row>
        <row r="3863">
          <cell r="C3863" t="str">
            <v>B588286/A</v>
          </cell>
          <cell r="D3863" t="str">
            <v>RH10086NF409</v>
          </cell>
          <cell r="E3863">
            <v>8</v>
          </cell>
        </row>
        <row r="3864">
          <cell r="C3864" t="str">
            <v>B588285/A</v>
          </cell>
          <cell r="D3864" t="str">
            <v>RH10086NF409</v>
          </cell>
          <cell r="E3864">
            <v>8</v>
          </cell>
        </row>
        <row r="3865">
          <cell r="C3865" t="str">
            <v>B588287/A</v>
          </cell>
          <cell r="D3865" t="str">
            <v>RH10086NF409</v>
          </cell>
          <cell r="E3865">
            <v>1</v>
          </cell>
        </row>
        <row r="3866">
          <cell r="C3866" t="str">
            <v>B591474/A</v>
          </cell>
          <cell r="D3866" t="str">
            <v>RH10111F382</v>
          </cell>
          <cell r="E3866">
            <v>3</v>
          </cell>
        </row>
        <row r="3867">
          <cell r="C3867" t="str">
            <v>B591477/A</v>
          </cell>
          <cell r="D3867" t="str">
            <v>RH10111F384</v>
          </cell>
          <cell r="E3867">
            <v>12</v>
          </cell>
        </row>
        <row r="3868">
          <cell r="C3868" t="str">
            <v>B588298/A</v>
          </cell>
          <cell r="D3868" t="str">
            <v>RH10115F382</v>
          </cell>
          <cell r="E3868">
            <v>8</v>
          </cell>
        </row>
        <row r="3869">
          <cell r="C3869" t="str">
            <v>B588302/A</v>
          </cell>
          <cell r="D3869" t="str">
            <v>RH10115F384</v>
          </cell>
          <cell r="E3869">
            <v>1</v>
          </cell>
        </row>
        <row r="3870">
          <cell r="C3870" t="str">
            <v>B588300/A</v>
          </cell>
          <cell r="D3870" t="str">
            <v>RH10115F409</v>
          </cell>
          <cell r="E3870">
            <v>6</v>
          </cell>
        </row>
        <row r="3871">
          <cell r="C3871" t="str">
            <v>B591345/A</v>
          </cell>
          <cell r="D3871" t="str">
            <v>RH10121F382</v>
          </cell>
          <cell r="E3871">
            <v>13</v>
          </cell>
        </row>
        <row r="3872">
          <cell r="C3872" t="str">
            <v>B591347/A</v>
          </cell>
          <cell r="D3872" t="str">
            <v>RH10121F384</v>
          </cell>
          <cell r="E3872">
            <v>4</v>
          </cell>
        </row>
        <row r="3873">
          <cell r="C3873" t="str">
            <v>B588304/A</v>
          </cell>
          <cell r="D3873" t="str">
            <v>RH10123F382</v>
          </cell>
          <cell r="E3873">
            <v>9</v>
          </cell>
        </row>
        <row r="3874">
          <cell r="C3874" t="str">
            <v>B588306/A</v>
          </cell>
          <cell r="D3874" t="str">
            <v>RH10123F384</v>
          </cell>
          <cell r="E3874">
            <v>3</v>
          </cell>
        </row>
        <row r="3875">
          <cell r="C3875" t="str">
            <v>B588321/A</v>
          </cell>
          <cell r="D3875" t="str">
            <v>RH10125F382</v>
          </cell>
          <cell r="E3875">
            <v>19</v>
          </cell>
        </row>
        <row r="3876">
          <cell r="C3876" t="str">
            <v>B588309/A</v>
          </cell>
          <cell r="D3876" t="str">
            <v>RH10125F383</v>
          </cell>
          <cell r="E3876">
            <v>9</v>
          </cell>
        </row>
        <row r="3877">
          <cell r="C3877" t="str">
            <v>B588311/A</v>
          </cell>
          <cell r="D3877" t="str">
            <v>RH10125F384</v>
          </cell>
          <cell r="E3877">
            <v>3</v>
          </cell>
        </row>
        <row r="3878">
          <cell r="C3878" t="str">
            <v>B591494/A</v>
          </cell>
          <cell r="D3878" t="str">
            <v>RH10127F382</v>
          </cell>
          <cell r="E3878">
            <v>20</v>
          </cell>
        </row>
        <row r="3879">
          <cell r="C3879" t="str">
            <v>B591486/A</v>
          </cell>
          <cell r="D3879" t="str">
            <v>RH10149F383</v>
          </cell>
          <cell r="E3879">
            <v>8</v>
          </cell>
        </row>
        <row r="3880">
          <cell r="C3880" t="str">
            <v>B591488/A</v>
          </cell>
          <cell r="D3880" t="str">
            <v>RH10149F384</v>
          </cell>
          <cell r="E3880">
            <v>10</v>
          </cell>
        </row>
        <row r="3881">
          <cell r="C3881" t="str">
            <v>B591350/A</v>
          </cell>
          <cell r="D3881" t="str">
            <v>RH10157F382</v>
          </cell>
          <cell r="E3881">
            <v>1</v>
          </cell>
        </row>
        <row r="3882">
          <cell r="C3882" t="str">
            <v>B591351/A</v>
          </cell>
          <cell r="D3882" t="str">
            <v>RH10157F382</v>
          </cell>
          <cell r="E3882">
            <v>2</v>
          </cell>
        </row>
        <row r="3883">
          <cell r="C3883" t="str">
            <v>B591353/A</v>
          </cell>
          <cell r="D3883" t="str">
            <v>RH10157F384</v>
          </cell>
          <cell r="E3883">
            <v>9</v>
          </cell>
        </row>
        <row r="3884">
          <cell r="C3884" t="str">
            <v>B591355/A</v>
          </cell>
          <cell r="D3884" t="str">
            <v>RH10157F409</v>
          </cell>
          <cell r="E3884">
            <v>13</v>
          </cell>
        </row>
        <row r="3885">
          <cell r="C3885" t="str">
            <v>B591357/A</v>
          </cell>
          <cell r="D3885" t="str">
            <v>RH10167F384</v>
          </cell>
          <cell r="E3885">
            <v>13</v>
          </cell>
        </row>
        <row r="3886">
          <cell r="C3886" t="str">
            <v>B591491/A</v>
          </cell>
          <cell r="D3886" t="str">
            <v>RH10169F382</v>
          </cell>
          <cell r="E3886">
            <v>7</v>
          </cell>
        </row>
        <row r="3887">
          <cell r="C3887" t="str">
            <v>B591492/A</v>
          </cell>
          <cell r="D3887" t="str">
            <v>RH10169F382</v>
          </cell>
          <cell r="E3887">
            <v>8</v>
          </cell>
        </row>
        <row r="3888">
          <cell r="C3888" t="str">
            <v>B591497/A</v>
          </cell>
          <cell r="D3888" t="str">
            <v>RH10169F383</v>
          </cell>
          <cell r="E3888">
            <v>7</v>
          </cell>
        </row>
        <row r="3889">
          <cell r="C3889" t="str">
            <v>B591498/A</v>
          </cell>
          <cell r="D3889" t="str">
            <v>RH10169F383</v>
          </cell>
          <cell r="E3889">
            <v>8</v>
          </cell>
        </row>
        <row r="3890">
          <cell r="C3890" t="str">
            <v>B591501/A</v>
          </cell>
          <cell r="D3890" t="str">
            <v>RH10169F384</v>
          </cell>
          <cell r="E3890">
            <v>2</v>
          </cell>
        </row>
        <row r="3891">
          <cell r="C3891" t="str">
            <v>B591502/A</v>
          </cell>
          <cell r="D3891" t="str">
            <v>RH10169F384</v>
          </cell>
          <cell r="E3891">
            <v>2</v>
          </cell>
        </row>
        <row r="3892">
          <cell r="C3892" t="str">
            <v>B589649/A</v>
          </cell>
          <cell r="D3892" t="str">
            <v>RH10172F382</v>
          </cell>
          <cell r="E3892">
            <v>1</v>
          </cell>
        </row>
        <row r="3893">
          <cell r="C3893" t="str">
            <v>B589650/A</v>
          </cell>
          <cell r="D3893" t="str">
            <v>RH10172F382</v>
          </cell>
          <cell r="E3893">
            <v>3</v>
          </cell>
        </row>
        <row r="3894">
          <cell r="C3894" t="str">
            <v>B589652/A</v>
          </cell>
          <cell r="D3894" t="str">
            <v>RH10172F383</v>
          </cell>
          <cell r="E3894">
            <v>1</v>
          </cell>
        </row>
        <row r="3895">
          <cell r="C3895" t="str">
            <v>B589654/A</v>
          </cell>
          <cell r="D3895" t="str">
            <v>RH10172F384</v>
          </cell>
          <cell r="E3895">
            <v>5</v>
          </cell>
        </row>
        <row r="3896">
          <cell r="C3896" t="str">
            <v>B589991/A</v>
          </cell>
          <cell r="D3896" t="str">
            <v>RH11131F451</v>
          </cell>
          <cell r="E3896">
            <v>5</v>
          </cell>
        </row>
        <row r="3897">
          <cell r="C3897" t="str">
            <v>B589992/A</v>
          </cell>
          <cell r="D3897" t="str">
            <v>RH11131F451</v>
          </cell>
          <cell r="E3897">
            <v>5</v>
          </cell>
        </row>
        <row r="3898">
          <cell r="C3898" t="str">
            <v>B589995/A</v>
          </cell>
          <cell r="D3898" t="str">
            <v>RH11131F456</v>
          </cell>
          <cell r="E3898">
            <v>5</v>
          </cell>
        </row>
        <row r="3899">
          <cell r="C3899" t="str">
            <v>B589996/A</v>
          </cell>
          <cell r="D3899" t="str">
            <v>RH11131F456</v>
          </cell>
          <cell r="E3899">
            <v>5</v>
          </cell>
        </row>
        <row r="3900">
          <cell r="C3900" t="str">
            <v>B590007/A</v>
          </cell>
          <cell r="D3900" t="str">
            <v>RH11133F451</v>
          </cell>
          <cell r="E3900">
            <v>5</v>
          </cell>
        </row>
        <row r="3901">
          <cell r="C3901" t="str">
            <v>B590008/A</v>
          </cell>
          <cell r="D3901" t="str">
            <v>RH11133F451</v>
          </cell>
          <cell r="E3901">
            <v>5</v>
          </cell>
        </row>
        <row r="3902">
          <cell r="C3902" t="str">
            <v>B590233/A</v>
          </cell>
          <cell r="D3902" t="str">
            <v>RH11133F456</v>
          </cell>
          <cell r="E3902">
            <v>5</v>
          </cell>
        </row>
        <row r="3903">
          <cell r="C3903" t="str">
            <v>B590213/A</v>
          </cell>
          <cell r="D3903" t="str">
            <v>RH11133F456</v>
          </cell>
          <cell r="E3903">
            <v>3</v>
          </cell>
        </row>
        <row r="3904">
          <cell r="C3904" t="str">
            <v>B590375/A</v>
          </cell>
          <cell r="D3904" t="str">
            <v>RH11137F451</v>
          </cell>
          <cell r="E3904">
            <v>8</v>
          </cell>
        </row>
        <row r="3905">
          <cell r="C3905" t="str">
            <v>B590376/A</v>
          </cell>
          <cell r="D3905" t="str">
            <v>RH11137F451</v>
          </cell>
          <cell r="E3905">
            <v>5</v>
          </cell>
        </row>
        <row r="3906">
          <cell r="C3906" t="str">
            <v>B590378/A</v>
          </cell>
          <cell r="D3906" t="str">
            <v>RH11137F456</v>
          </cell>
          <cell r="E3906">
            <v>3</v>
          </cell>
        </row>
        <row r="3907">
          <cell r="C3907" t="str">
            <v>B591582/A</v>
          </cell>
          <cell r="D3907" t="str">
            <v>RH11276NF2003TR</v>
          </cell>
          <cell r="E3907">
            <v>4</v>
          </cell>
        </row>
        <row r="3908">
          <cell r="C3908" t="str">
            <v>B591583/A</v>
          </cell>
          <cell r="D3908" t="str">
            <v>RH11276NF2003TR</v>
          </cell>
          <cell r="E3908">
            <v>1</v>
          </cell>
        </row>
        <row r="3909">
          <cell r="C3909" t="str">
            <v>B591585/A</v>
          </cell>
          <cell r="D3909" t="str">
            <v>RH11276NF409TR</v>
          </cell>
          <cell r="E3909">
            <v>5</v>
          </cell>
        </row>
        <row r="3910">
          <cell r="C3910" t="str">
            <v>B590380/A</v>
          </cell>
          <cell r="D3910" t="str">
            <v>RH11285F451</v>
          </cell>
          <cell r="E3910">
            <v>5</v>
          </cell>
        </row>
        <row r="3911">
          <cell r="C3911" t="str">
            <v>B590382/A</v>
          </cell>
          <cell r="D3911" t="str">
            <v>RH11285F456</v>
          </cell>
          <cell r="E3911">
            <v>5</v>
          </cell>
        </row>
        <row r="3912">
          <cell r="C3912" t="str">
            <v>B590388/A</v>
          </cell>
          <cell r="D3912" t="str">
            <v>RH11287F451</v>
          </cell>
          <cell r="E3912">
            <v>5</v>
          </cell>
        </row>
        <row r="3913">
          <cell r="C3913" t="str">
            <v>B590390/A</v>
          </cell>
          <cell r="D3913" t="str">
            <v>RH11287F456</v>
          </cell>
          <cell r="E3913">
            <v>5</v>
          </cell>
        </row>
        <row r="3914">
          <cell r="C3914" t="str">
            <v>B591959/A</v>
          </cell>
          <cell r="D3914" t="str">
            <v>RH2373F122</v>
          </cell>
          <cell r="E3914">
            <v>1</v>
          </cell>
        </row>
        <row r="3915">
          <cell r="C3915" t="str">
            <v>B591960/A</v>
          </cell>
          <cell r="D3915" t="str">
            <v>RH2373F122</v>
          </cell>
          <cell r="E3915">
            <v>4</v>
          </cell>
        </row>
        <row r="3916">
          <cell r="C3916" t="str">
            <v>B591961/A</v>
          </cell>
          <cell r="D3916" t="str">
            <v>RH2373F122</v>
          </cell>
          <cell r="E3916">
            <v>5</v>
          </cell>
        </row>
        <row r="3917">
          <cell r="C3917" t="str">
            <v>B591963/A</v>
          </cell>
          <cell r="D3917" t="str">
            <v>RH2373F123</v>
          </cell>
          <cell r="E3917">
            <v>3</v>
          </cell>
        </row>
        <row r="3918">
          <cell r="C3918" t="str">
            <v>B591967/A</v>
          </cell>
          <cell r="D3918" t="str">
            <v>RH2690F08CZ</v>
          </cell>
          <cell r="E3918">
            <v>8</v>
          </cell>
        </row>
        <row r="3919">
          <cell r="C3919" t="str">
            <v>B591968/A</v>
          </cell>
          <cell r="D3919" t="str">
            <v>RH2690F08CZ</v>
          </cell>
          <cell r="E3919">
            <v>11</v>
          </cell>
        </row>
        <row r="3920">
          <cell r="C3920" t="str">
            <v>B591969/A</v>
          </cell>
          <cell r="D3920" t="str">
            <v>RH2690F08CZ</v>
          </cell>
          <cell r="E3920">
            <v>7</v>
          </cell>
        </row>
        <row r="3921">
          <cell r="C3921" t="str">
            <v>B591972/A</v>
          </cell>
          <cell r="D3921" t="str">
            <v>RH2768F122</v>
          </cell>
          <cell r="E3921">
            <v>14</v>
          </cell>
        </row>
        <row r="3922">
          <cell r="C3922" t="str">
            <v>B591973/A</v>
          </cell>
          <cell r="D3922" t="str">
            <v>RH2768F122</v>
          </cell>
          <cell r="E3922">
            <v>5</v>
          </cell>
        </row>
        <row r="3923">
          <cell r="C3923" t="str">
            <v>B591976/A</v>
          </cell>
          <cell r="D3923" t="str">
            <v>RH2768F190</v>
          </cell>
          <cell r="E3923">
            <v>13</v>
          </cell>
        </row>
        <row r="3924">
          <cell r="C3924" t="str">
            <v>B591977/A</v>
          </cell>
          <cell r="D3924" t="str">
            <v>RH2768F190</v>
          </cell>
          <cell r="E3924">
            <v>9</v>
          </cell>
        </row>
        <row r="3925">
          <cell r="C3925" t="str">
            <v>B591979/A</v>
          </cell>
          <cell r="D3925" t="str">
            <v>RH2768F191</v>
          </cell>
          <cell r="E3925">
            <v>6</v>
          </cell>
        </row>
        <row r="3926">
          <cell r="C3926" t="str">
            <v>B592064/A</v>
          </cell>
          <cell r="D3926" t="str">
            <v>RH3412F40TR</v>
          </cell>
          <cell r="E3926">
            <v>5</v>
          </cell>
        </row>
        <row r="3927">
          <cell r="C3927" t="str">
            <v>B592073/A</v>
          </cell>
          <cell r="D3927" t="str">
            <v>RH3412F40TR</v>
          </cell>
          <cell r="E3927">
            <v>5</v>
          </cell>
        </row>
        <row r="3928">
          <cell r="C3928" t="str">
            <v>B592069/A</v>
          </cell>
          <cell r="D3928" t="str">
            <v>RH7150NF381</v>
          </cell>
          <cell r="E3928">
            <v>1</v>
          </cell>
        </row>
        <row r="3929">
          <cell r="C3929" t="str">
            <v>B592070/A</v>
          </cell>
          <cell r="D3929" t="str">
            <v>RH7150NF381</v>
          </cell>
          <cell r="E3929">
            <v>2</v>
          </cell>
        </row>
        <row r="3930">
          <cell r="C3930" t="str">
            <v>B592071/A</v>
          </cell>
          <cell r="D3930" t="str">
            <v>RH7150NF381</v>
          </cell>
          <cell r="E3930">
            <v>4</v>
          </cell>
        </row>
        <row r="3931">
          <cell r="C3931" t="str">
            <v>B592072/A</v>
          </cell>
          <cell r="D3931" t="str">
            <v>RH7150NF381</v>
          </cell>
          <cell r="E3931">
            <v>4</v>
          </cell>
        </row>
        <row r="3932">
          <cell r="C3932" t="str">
            <v>B592093/A</v>
          </cell>
          <cell r="D3932" t="str">
            <v>RH7150NF382</v>
          </cell>
          <cell r="E3932">
            <v>4</v>
          </cell>
        </row>
        <row r="3933">
          <cell r="C3933" t="str">
            <v>B592076/A</v>
          </cell>
          <cell r="D3933" t="str">
            <v>RH7150NF409</v>
          </cell>
          <cell r="E3933">
            <v>3</v>
          </cell>
        </row>
        <row r="3934">
          <cell r="C3934" t="str">
            <v>B592077/A</v>
          </cell>
          <cell r="D3934" t="str">
            <v>RH7150NF409</v>
          </cell>
          <cell r="E3934">
            <v>1</v>
          </cell>
        </row>
        <row r="3935">
          <cell r="C3935" t="str">
            <v>B592079/A</v>
          </cell>
          <cell r="D3935" t="str">
            <v>RH7257NF372TR</v>
          </cell>
          <cell r="E3935">
            <v>5</v>
          </cell>
        </row>
        <row r="3936">
          <cell r="C3936" t="str">
            <v>B592081/A</v>
          </cell>
          <cell r="D3936" t="str">
            <v>RH7257NF374TR</v>
          </cell>
          <cell r="E3936">
            <v>5</v>
          </cell>
        </row>
        <row r="3937">
          <cell r="C3937" t="str">
            <v>B592084/A</v>
          </cell>
          <cell r="D3937" t="str">
            <v>RH7364NF409</v>
          </cell>
          <cell r="E3937">
            <v>2</v>
          </cell>
        </row>
        <row r="3938">
          <cell r="C3938" t="str">
            <v>B592085/A</v>
          </cell>
          <cell r="D3938" t="str">
            <v>RH7364NF409</v>
          </cell>
          <cell r="E3938">
            <v>4</v>
          </cell>
        </row>
        <row r="3939">
          <cell r="C3939" t="str">
            <v>B592088/A</v>
          </cell>
          <cell r="D3939" t="str">
            <v>RH9285F402</v>
          </cell>
          <cell r="E3939">
            <v>2</v>
          </cell>
        </row>
        <row r="3940">
          <cell r="C3940" t="str">
            <v>B592089/A</v>
          </cell>
          <cell r="D3940" t="str">
            <v>RH9285F402</v>
          </cell>
          <cell r="E3940">
            <v>3</v>
          </cell>
        </row>
        <row r="3941">
          <cell r="C3941" t="str">
            <v>B591998/A</v>
          </cell>
          <cell r="D3941" t="str">
            <v>RH9339F423</v>
          </cell>
          <cell r="E3941">
            <v>7</v>
          </cell>
        </row>
        <row r="3942">
          <cell r="C3942" t="str">
            <v>B592001/A</v>
          </cell>
          <cell r="D3942" t="str">
            <v>RH9339F424</v>
          </cell>
          <cell r="E3942">
            <v>6</v>
          </cell>
        </row>
        <row r="3943">
          <cell r="C3943" t="str">
            <v>B592002/A</v>
          </cell>
          <cell r="D3943" t="str">
            <v>RH9339F424</v>
          </cell>
          <cell r="E3943">
            <v>7</v>
          </cell>
        </row>
        <row r="3944">
          <cell r="C3944" t="str">
            <v>B592006/A</v>
          </cell>
          <cell r="D3944" t="str">
            <v>RH9339F425</v>
          </cell>
          <cell r="E3944">
            <v>13</v>
          </cell>
        </row>
        <row r="3945">
          <cell r="C3945" t="str">
            <v>B592014/A</v>
          </cell>
          <cell r="D3945" t="str">
            <v>RH9868F424</v>
          </cell>
          <cell r="E3945">
            <v>6</v>
          </cell>
        </row>
        <row r="3946">
          <cell r="C3946" t="str">
            <v>B592017/A</v>
          </cell>
          <cell r="D3946" t="str">
            <v>RH9868F425</v>
          </cell>
          <cell r="E3946">
            <v>3</v>
          </cell>
        </row>
        <row r="3947">
          <cell r="C3947" t="str">
            <v>B592018/A</v>
          </cell>
          <cell r="D3947" t="str">
            <v>RH9868F425</v>
          </cell>
          <cell r="E3947">
            <v>3</v>
          </cell>
        </row>
        <row r="3948">
          <cell r="C3948" t="str">
            <v>B592021/A</v>
          </cell>
          <cell r="D3948" t="str">
            <v>RH9868F426</v>
          </cell>
          <cell r="E3948">
            <v>12</v>
          </cell>
        </row>
        <row r="3949">
          <cell r="C3949" t="str">
            <v>B592022/A</v>
          </cell>
          <cell r="D3949" t="str">
            <v>RH9868F426</v>
          </cell>
          <cell r="E3949">
            <v>1</v>
          </cell>
        </row>
        <row r="3950">
          <cell r="C3950" t="str">
            <v>B592024/A</v>
          </cell>
          <cell r="D3950" t="str">
            <v>RH9877F423</v>
          </cell>
          <cell r="E3950">
            <v>18</v>
          </cell>
        </row>
        <row r="3951">
          <cell r="C3951" t="str">
            <v>B592026/A</v>
          </cell>
          <cell r="D3951" t="str">
            <v>RH9877F424</v>
          </cell>
          <cell r="E3951">
            <v>4</v>
          </cell>
        </row>
        <row r="3952">
          <cell r="C3952" t="str">
            <v>B592028/A</v>
          </cell>
          <cell r="D3952" t="str">
            <v>RH9877F425</v>
          </cell>
          <cell r="E3952">
            <v>1</v>
          </cell>
        </row>
        <row r="3953">
          <cell r="C3953" t="str">
            <v>B592030/A</v>
          </cell>
          <cell r="D3953" t="str">
            <v>RH9877F426</v>
          </cell>
          <cell r="E3953">
            <v>3</v>
          </cell>
        </row>
        <row r="3954">
          <cell r="C3954" t="str">
            <v>B592032/A</v>
          </cell>
          <cell r="D3954" t="str">
            <v>RH9878F425</v>
          </cell>
          <cell r="E3954">
            <v>5</v>
          </cell>
        </row>
        <row r="3955">
          <cell r="C3955" t="str">
            <v>B592034/A</v>
          </cell>
          <cell r="D3955" t="str">
            <v>RH9878F426</v>
          </cell>
          <cell r="E3955">
            <v>12</v>
          </cell>
        </row>
        <row r="3956">
          <cell r="C3956" t="str">
            <v>B592036/A</v>
          </cell>
          <cell r="D3956" t="str">
            <v>RH9976NF382</v>
          </cell>
          <cell r="E3956">
            <v>8</v>
          </cell>
        </row>
        <row r="3957">
          <cell r="C3957" t="str">
            <v>B592038/A</v>
          </cell>
          <cell r="D3957" t="str">
            <v>RH9976NF409</v>
          </cell>
          <cell r="E3957">
            <v>6</v>
          </cell>
        </row>
        <row r="3958">
          <cell r="C3958" t="str">
            <v>B591588/A</v>
          </cell>
          <cell r="D3958" t="str">
            <v>RH9988F423</v>
          </cell>
          <cell r="E3958">
            <v>12</v>
          </cell>
        </row>
        <row r="3959">
          <cell r="C3959" t="str">
            <v>B591589/A</v>
          </cell>
          <cell r="D3959" t="str">
            <v>RH9988F423</v>
          </cell>
          <cell r="E3959">
            <v>15</v>
          </cell>
        </row>
        <row r="3960">
          <cell r="C3960" t="str">
            <v>B591591/A</v>
          </cell>
          <cell r="D3960" t="str">
            <v>RH9988F425</v>
          </cell>
          <cell r="E3960">
            <v>2</v>
          </cell>
        </row>
        <row r="3961">
          <cell r="C3961" t="str">
            <v>B591593/A</v>
          </cell>
          <cell r="D3961" t="str">
            <v>RH9990F382</v>
          </cell>
          <cell r="E3961">
            <v>11</v>
          </cell>
        </row>
        <row r="3962">
          <cell r="C3962" t="str">
            <v>B591596/A</v>
          </cell>
          <cell r="D3962" t="str">
            <v>RH9990F384</v>
          </cell>
          <cell r="E3962">
            <v>12</v>
          </cell>
        </row>
        <row r="3963">
          <cell r="C3963" t="str">
            <v>B591597/A</v>
          </cell>
          <cell r="D3963" t="str">
            <v>RH9990F384</v>
          </cell>
          <cell r="E3963">
            <v>7</v>
          </cell>
        </row>
        <row r="3964">
          <cell r="C3964" t="str">
            <v>B591602/A</v>
          </cell>
          <cell r="D3964" t="str">
            <v>RH9990F409</v>
          </cell>
          <cell r="E3964">
            <v>1</v>
          </cell>
        </row>
        <row r="3965">
          <cell r="C3965" t="str">
            <v>B591603/A</v>
          </cell>
          <cell r="D3965" t="str">
            <v>RH9990F409</v>
          </cell>
          <cell r="E3965">
            <v>6</v>
          </cell>
        </row>
        <row r="3966">
          <cell r="C3966" t="str">
            <v>B592040/A</v>
          </cell>
          <cell r="D3966" t="str">
            <v>SH206F506</v>
          </cell>
          <cell r="E3966">
            <v>40</v>
          </cell>
        </row>
        <row r="3967">
          <cell r="C3967" t="str">
            <v>B592044/A</v>
          </cell>
          <cell r="D3967" t="str">
            <v>SH207F506</v>
          </cell>
          <cell r="E3967">
            <v>15</v>
          </cell>
        </row>
        <row r="3968">
          <cell r="C3968" t="str">
            <v>B592043/A</v>
          </cell>
          <cell r="D3968" t="str">
            <v>SH207F506</v>
          </cell>
          <cell r="E3968">
            <v>15</v>
          </cell>
        </row>
        <row r="3969">
          <cell r="C3969" t="str">
            <v>B592091/A</v>
          </cell>
          <cell r="D3969" t="str">
            <v>SH228F611</v>
          </cell>
          <cell r="E3969">
            <v>30</v>
          </cell>
        </row>
        <row r="3970">
          <cell r="C3970" t="str">
            <v>B592057/A</v>
          </cell>
          <cell r="D3970" t="str">
            <v>SH379F506</v>
          </cell>
          <cell r="E3970">
            <v>50</v>
          </cell>
        </row>
        <row r="3971">
          <cell r="C3971" t="str">
            <v>B589656/A</v>
          </cell>
          <cell r="D3971" t="str">
            <v>SH402F521</v>
          </cell>
          <cell r="E3971">
            <v>50</v>
          </cell>
        </row>
        <row r="3972">
          <cell r="C3972" t="str">
            <v>B589636/A</v>
          </cell>
          <cell r="D3972" t="str">
            <v>SH402F521</v>
          </cell>
          <cell r="E3972">
            <v>50</v>
          </cell>
        </row>
        <row r="3973">
          <cell r="C3973" t="str">
            <v>B592059/A</v>
          </cell>
          <cell r="D3973" t="str">
            <v>SH494F506</v>
          </cell>
          <cell r="E3973">
            <v>30</v>
          </cell>
        </row>
        <row r="3974">
          <cell r="C3974" t="str">
            <v>B592061/A</v>
          </cell>
          <cell r="D3974" t="str">
            <v>SH544F521</v>
          </cell>
          <cell r="E3974">
            <v>30</v>
          </cell>
        </row>
        <row r="3975">
          <cell r="C3975" t="str">
            <v>B589639/A</v>
          </cell>
          <cell r="D3975" t="str">
            <v>SH548F826</v>
          </cell>
          <cell r="E3975">
            <v>30</v>
          </cell>
        </row>
        <row r="3976">
          <cell r="C3976" t="str">
            <v>B589640/A</v>
          </cell>
          <cell r="D3976" t="str">
            <v>SH548F826</v>
          </cell>
          <cell r="E3976">
            <v>40</v>
          </cell>
        </row>
        <row r="3977">
          <cell r="C3977" t="str">
            <v>B590856/A</v>
          </cell>
          <cell r="D3977" t="str">
            <v>SH706NF521</v>
          </cell>
          <cell r="E3977">
            <v>25</v>
          </cell>
        </row>
        <row r="3978">
          <cell r="C3978" t="str">
            <v>B590857/A</v>
          </cell>
          <cell r="D3978" t="str">
            <v>SH706NF521</v>
          </cell>
          <cell r="E3978">
            <v>25</v>
          </cell>
        </row>
        <row r="3979">
          <cell r="C3979" t="str">
            <v>B591606/A</v>
          </cell>
          <cell r="D3979" t="str">
            <v>RH1930F01.EU</v>
          </cell>
          <cell r="E3979">
            <v>20</v>
          </cell>
        </row>
        <row r="3980">
          <cell r="C3980" t="str">
            <v>B591610/A</v>
          </cell>
          <cell r="D3980" t="str">
            <v>RH1930F03.EU</v>
          </cell>
          <cell r="E3980">
            <v>20</v>
          </cell>
        </row>
        <row r="3981">
          <cell r="C3981" t="str">
            <v>B591613/A</v>
          </cell>
          <cell r="D3981" t="str">
            <v>RH1931F08.EU</v>
          </cell>
          <cell r="E3981">
            <v>20</v>
          </cell>
        </row>
        <row r="3982">
          <cell r="C3982" t="str">
            <v>B591617/A</v>
          </cell>
          <cell r="D3982" t="str">
            <v>RH1931F09.EU</v>
          </cell>
          <cell r="E3982">
            <v>20</v>
          </cell>
        </row>
        <row r="3983">
          <cell r="C3983" t="str">
            <v>B591620/A</v>
          </cell>
          <cell r="D3983" t="str">
            <v>RH7456F381.EU</v>
          </cell>
          <cell r="E3983">
            <v>20</v>
          </cell>
        </row>
        <row r="3984">
          <cell r="C3984" t="str">
            <v>B591622/A</v>
          </cell>
          <cell r="D3984" t="str">
            <v>RH7456F382.EU</v>
          </cell>
          <cell r="E3984">
            <v>20</v>
          </cell>
        </row>
        <row r="3985">
          <cell r="C3985" t="str">
            <v>B591624/A</v>
          </cell>
          <cell r="D3985" t="str">
            <v>RH7456F383.EU</v>
          </cell>
          <cell r="E3985">
            <v>20</v>
          </cell>
        </row>
        <row r="3986">
          <cell r="C3986" t="str">
            <v>B591627/A</v>
          </cell>
          <cell r="D3986" t="str">
            <v>RH7456F409.EU</v>
          </cell>
          <cell r="E3986">
            <v>20</v>
          </cell>
        </row>
        <row r="3987">
          <cell r="C3987" t="str">
            <v>B590045/A</v>
          </cell>
          <cell r="D3987" t="str">
            <v>AR869F1233</v>
          </cell>
          <cell r="E3987">
            <v>41</v>
          </cell>
        </row>
        <row r="3988">
          <cell r="C3988" t="str">
            <v>B590047/A</v>
          </cell>
          <cell r="D3988" t="str">
            <v>AR869F1233</v>
          </cell>
          <cell r="E3988">
            <v>30</v>
          </cell>
        </row>
        <row r="3989">
          <cell r="C3989" t="str">
            <v>B590219/A</v>
          </cell>
          <cell r="D3989" t="str">
            <v>RH11134F451</v>
          </cell>
          <cell r="E3989">
            <v>10</v>
          </cell>
        </row>
        <row r="3990">
          <cell r="C3990" t="str">
            <v>B590220/A</v>
          </cell>
          <cell r="D3990" t="str">
            <v>RH11134F451</v>
          </cell>
          <cell r="E3990">
            <v>10</v>
          </cell>
        </row>
        <row r="3991">
          <cell r="C3991" t="str">
            <v>B590227/A</v>
          </cell>
          <cell r="D3991" t="str">
            <v>RH11134F456</v>
          </cell>
          <cell r="E3991">
            <v>5</v>
          </cell>
        </row>
        <row r="3992">
          <cell r="C3992" t="str">
            <v>B590228/A</v>
          </cell>
          <cell r="D3992" t="str">
            <v>RH11134F456</v>
          </cell>
          <cell r="E3992">
            <v>3</v>
          </cell>
        </row>
        <row r="3993">
          <cell r="C3993" t="str">
            <v>B593274/A</v>
          </cell>
          <cell r="D3993" t="str">
            <v>AR110F1039-BASE</v>
          </cell>
          <cell r="E3993">
            <v>7</v>
          </cell>
        </row>
        <row r="3994">
          <cell r="C3994" t="str">
            <v>B593275/A</v>
          </cell>
          <cell r="D3994" t="str">
            <v>AR110F1039-BASE</v>
          </cell>
          <cell r="E3994">
            <v>18</v>
          </cell>
        </row>
        <row r="3995">
          <cell r="C3995" t="str">
            <v>B593267/A</v>
          </cell>
          <cell r="D3995" t="str">
            <v>AR110F906-BASE</v>
          </cell>
          <cell r="E3995">
            <v>48</v>
          </cell>
        </row>
        <row r="3996">
          <cell r="C3996" t="str">
            <v>B592939/A</v>
          </cell>
          <cell r="D3996" t="str">
            <v>AR186F834-BASE</v>
          </cell>
          <cell r="E3996">
            <v>7</v>
          </cell>
        </row>
        <row r="3997">
          <cell r="C3997" t="str">
            <v>B592940/A</v>
          </cell>
          <cell r="D3997" t="str">
            <v>AR186F834-BASE</v>
          </cell>
          <cell r="E3997">
            <v>23</v>
          </cell>
        </row>
        <row r="3998">
          <cell r="C3998" t="str">
            <v>B592759/A</v>
          </cell>
          <cell r="D3998" t="str">
            <v>AR340F892-7060</v>
          </cell>
          <cell r="E3998">
            <v>18</v>
          </cell>
        </row>
        <row r="3999">
          <cell r="C3999" t="str">
            <v>B592760/A</v>
          </cell>
          <cell r="D3999" t="str">
            <v>AR340F892-7060</v>
          </cell>
          <cell r="E3999">
            <v>7</v>
          </cell>
        </row>
        <row r="4000">
          <cell r="C4000" t="str">
            <v>B592763/A</v>
          </cell>
          <cell r="D4000" t="str">
            <v>AR829AF1049</v>
          </cell>
          <cell r="E4000">
            <v>7</v>
          </cell>
        </row>
        <row r="4001">
          <cell r="C4001" t="str">
            <v>B592764/A</v>
          </cell>
          <cell r="D4001" t="str">
            <v>AR829AF1049</v>
          </cell>
          <cell r="E4001">
            <v>18</v>
          </cell>
        </row>
        <row r="4002">
          <cell r="C4002" t="str">
            <v>B592767/A</v>
          </cell>
          <cell r="D4002" t="str">
            <v>AR829AF906</v>
          </cell>
          <cell r="E4002">
            <v>10</v>
          </cell>
        </row>
        <row r="4003">
          <cell r="C4003" t="str">
            <v>B592768/A</v>
          </cell>
          <cell r="D4003" t="str">
            <v>AR829AF906</v>
          </cell>
          <cell r="E4003">
            <v>25</v>
          </cell>
        </row>
        <row r="4004">
          <cell r="C4004" t="str">
            <v>B592943/A</v>
          </cell>
          <cell r="D4004" t="str">
            <v>AR869F1233</v>
          </cell>
          <cell r="E4004">
            <v>7</v>
          </cell>
        </row>
        <row r="4005">
          <cell r="C4005" t="str">
            <v>B592944/A</v>
          </cell>
          <cell r="D4005" t="str">
            <v>AR869F1233</v>
          </cell>
          <cell r="E4005">
            <v>18</v>
          </cell>
        </row>
        <row r="4006">
          <cell r="C4006" t="str">
            <v>B592947/A</v>
          </cell>
          <cell r="D4006" t="str">
            <v>AR869F1275</v>
          </cell>
          <cell r="E4006">
            <v>7</v>
          </cell>
        </row>
        <row r="4007">
          <cell r="C4007" t="str">
            <v>B592948/A</v>
          </cell>
          <cell r="D4007" t="str">
            <v>AR869F1275</v>
          </cell>
          <cell r="E4007">
            <v>18</v>
          </cell>
        </row>
        <row r="4008">
          <cell r="C4008" t="str">
            <v>B592771/A</v>
          </cell>
          <cell r="D4008" t="str">
            <v>AR884F1234-BASE</v>
          </cell>
          <cell r="E4008">
            <v>7</v>
          </cell>
        </row>
        <row r="4009">
          <cell r="C4009" t="str">
            <v>B592772/A</v>
          </cell>
          <cell r="D4009" t="str">
            <v>AR884F1234-BASE</v>
          </cell>
          <cell r="E4009">
            <v>18</v>
          </cell>
        </row>
        <row r="4010">
          <cell r="C4010" t="str">
            <v>B592775/A</v>
          </cell>
          <cell r="D4010" t="str">
            <v>AR884F1235-BASE</v>
          </cell>
          <cell r="E4010">
            <v>9</v>
          </cell>
        </row>
        <row r="4011">
          <cell r="C4011" t="str">
            <v>B592776/A</v>
          </cell>
          <cell r="D4011" t="str">
            <v>AR884F1235-BASE</v>
          </cell>
          <cell r="E4011">
            <v>21</v>
          </cell>
        </row>
        <row r="4012">
          <cell r="C4012" t="str">
            <v>B591541/A</v>
          </cell>
          <cell r="D4012" t="str">
            <v>AR983F1233</v>
          </cell>
          <cell r="E4012">
            <v>7</v>
          </cell>
        </row>
        <row r="4013">
          <cell r="C4013" t="str">
            <v>B591542/A</v>
          </cell>
          <cell r="D4013" t="str">
            <v>AR983F1233</v>
          </cell>
          <cell r="E4013">
            <v>18</v>
          </cell>
        </row>
        <row r="4014">
          <cell r="C4014" t="str">
            <v>B591545/A</v>
          </cell>
          <cell r="D4014" t="str">
            <v>AR983F1275</v>
          </cell>
          <cell r="E4014">
            <v>7</v>
          </cell>
        </row>
        <row r="4015">
          <cell r="C4015" t="str">
            <v>B591546/A</v>
          </cell>
          <cell r="D4015" t="str">
            <v>AR983F1275</v>
          </cell>
          <cell r="E4015">
            <v>18</v>
          </cell>
        </row>
        <row r="4016">
          <cell r="C4016" t="str">
            <v>B592779/A</v>
          </cell>
          <cell r="D4016" t="str">
            <v>AR998F1291</v>
          </cell>
          <cell r="E4016">
            <v>7</v>
          </cell>
        </row>
        <row r="4017">
          <cell r="C4017" t="str">
            <v>B592786/A</v>
          </cell>
          <cell r="D4017" t="str">
            <v>AR998F1291</v>
          </cell>
          <cell r="E4017">
            <v>18</v>
          </cell>
        </row>
        <row r="4018">
          <cell r="C4018" t="str">
            <v>B592597/A</v>
          </cell>
          <cell r="D4018" t="str">
            <v>AT302AF793-VE</v>
          </cell>
          <cell r="E4018">
            <v>40</v>
          </cell>
        </row>
        <row r="4019">
          <cell r="C4019" t="str">
            <v>B592604/A</v>
          </cell>
          <cell r="D4019" t="str">
            <v>AT479NF1059</v>
          </cell>
          <cell r="E4019">
            <v>25</v>
          </cell>
        </row>
        <row r="4020">
          <cell r="C4020" t="str">
            <v>B592600/A</v>
          </cell>
          <cell r="D4020" t="str">
            <v>AT479NF1294</v>
          </cell>
          <cell r="E4020">
            <v>25</v>
          </cell>
        </row>
        <row r="4021">
          <cell r="C4021" t="str">
            <v>B592601/A</v>
          </cell>
          <cell r="D4021" t="str">
            <v>AT479NF1294</v>
          </cell>
          <cell r="E4021">
            <v>25</v>
          </cell>
        </row>
        <row r="4022">
          <cell r="C4022" t="str">
            <v>B592609/A</v>
          </cell>
          <cell r="D4022" t="str">
            <v>AT574F535-VE</v>
          </cell>
          <cell r="E4022">
            <v>40</v>
          </cell>
        </row>
        <row r="4023">
          <cell r="C4023" t="str">
            <v>B592861/A</v>
          </cell>
          <cell r="D4023" t="str">
            <v>CZ501F190-31912</v>
          </cell>
          <cell r="E4023">
            <v>2</v>
          </cell>
        </row>
        <row r="4024">
          <cell r="C4024" t="str">
            <v>B592862/A</v>
          </cell>
          <cell r="D4024" t="str">
            <v>CZ501F190-31912</v>
          </cell>
          <cell r="E4024">
            <v>3</v>
          </cell>
        </row>
        <row r="4025">
          <cell r="C4025" t="str">
            <v>B592612/A</v>
          </cell>
          <cell r="D4025" t="str">
            <v>CZ640F08</v>
          </cell>
          <cell r="E4025">
            <v>9</v>
          </cell>
        </row>
        <row r="4026">
          <cell r="C4026" t="str">
            <v>B592616/A</v>
          </cell>
          <cell r="D4026" t="str">
            <v>CZ640F09</v>
          </cell>
          <cell r="E4026">
            <v>7</v>
          </cell>
        </row>
        <row r="4027">
          <cell r="C4027" t="str">
            <v>B592614/A</v>
          </cell>
          <cell r="D4027" t="str">
            <v>CZ640F09</v>
          </cell>
          <cell r="E4027">
            <v>4</v>
          </cell>
        </row>
        <row r="4028">
          <cell r="C4028" t="str">
            <v>B592621/A</v>
          </cell>
          <cell r="D4028" t="str">
            <v>CZ640F10</v>
          </cell>
          <cell r="E4028">
            <v>5</v>
          </cell>
        </row>
        <row r="4029">
          <cell r="C4029" t="str">
            <v>B592619/A</v>
          </cell>
          <cell r="D4029" t="str">
            <v>CZ640F10</v>
          </cell>
          <cell r="E4029">
            <v>8</v>
          </cell>
        </row>
        <row r="4030">
          <cell r="C4030" t="str">
            <v>B592788/A</v>
          </cell>
          <cell r="D4030" t="str">
            <v>CZ822NF188</v>
          </cell>
          <cell r="E4030">
            <v>5</v>
          </cell>
        </row>
        <row r="4031">
          <cell r="C4031" t="str">
            <v>B592978/A</v>
          </cell>
          <cell r="D4031" t="str">
            <v>CZ823NF188</v>
          </cell>
          <cell r="E4031">
            <v>1</v>
          </cell>
        </row>
        <row r="4032">
          <cell r="C4032" t="str">
            <v>B592980/A</v>
          </cell>
          <cell r="D4032" t="str">
            <v>CZ823NF409</v>
          </cell>
          <cell r="E4032">
            <v>4</v>
          </cell>
        </row>
        <row r="4033">
          <cell r="C4033" t="str">
            <v>B592792/A</v>
          </cell>
          <cell r="D4033" t="str">
            <v>CZ826F381</v>
          </cell>
          <cell r="E4033">
            <v>2</v>
          </cell>
        </row>
        <row r="4034">
          <cell r="C4034" t="str">
            <v>B592794/A</v>
          </cell>
          <cell r="D4034" t="str">
            <v>CZ826F381</v>
          </cell>
          <cell r="E4034">
            <v>2</v>
          </cell>
        </row>
        <row r="4035">
          <cell r="C4035" t="str">
            <v>B592795/A</v>
          </cell>
          <cell r="D4035" t="str">
            <v>CZ826F381</v>
          </cell>
          <cell r="E4035">
            <v>2</v>
          </cell>
        </row>
        <row r="4036">
          <cell r="C4036" t="str">
            <v>B592803/A</v>
          </cell>
          <cell r="D4036" t="str">
            <v>CZ826F409</v>
          </cell>
          <cell r="E4036">
            <v>2</v>
          </cell>
        </row>
        <row r="4037">
          <cell r="C4037" t="str">
            <v>B592804/A</v>
          </cell>
          <cell r="D4037" t="str">
            <v>CZ826F409</v>
          </cell>
          <cell r="E4037">
            <v>2</v>
          </cell>
        </row>
        <row r="4038">
          <cell r="C4038" t="str">
            <v>B592814/A</v>
          </cell>
          <cell r="D4038" t="str">
            <v>CZ877F188</v>
          </cell>
          <cell r="E4038">
            <v>9</v>
          </cell>
        </row>
        <row r="4039">
          <cell r="C4039" t="str">
            <v>B592816/A</v>
          </cell>
          <cell r="D4039" t="str">
            <v>CZ877F381</v>
          </cell>
          <cell r="E4039">
            <v>1</v>
          </cell>
        </row>
        <row r="4040">
          <cell r="C4040" t="str">
            <v>B589622/A</v>
          </cell>
          <cell r="D4040" t="str">
            <v>CZ882F409TR</v>
          </cell>
          <cell r="E4040">
            <v>5</v>
          </cell>
        </row>
        <row r="4041">
          <cell r="C4041" t="str">
            <v>B591432/A</v>
          </cell>
          <cell r="D4041" t="str">
            <v>CZ886F381</v>
          </cell>
          <cell r="E4041">
            <v>7</v>
          </cell>
        </row>
        <row r="4042">
          <cell r="C4042" t="str">
            <v>B591433/A</v>
          </cell>
          <cell r="D4042" t="str">
            <v>CZ886F381</v>
          </cell>
          <cell r="E4042">
            <v>9</v>
          </cell>
        </row>
        <row r="4043">
          <cell r="C4043" t="str">
            <v>B589624/A</v>
          </cell>
          <cell r="D4043" t="str">
            <v>CZ887F409TR</v>
          </cell>
          <cell r="E4043">
            <v>5</v>
          </cell>
        </row>
        <row r="4044">
          <cell r="C4044" t="str">
            <v>B591455/A</v>
          </cell>
          <cell r="D4044" t="str">
            <v>CZ891F381</v>
          </cell>
          <cell r="E4044">
            <v>2</v>
          </cell>
        </row>
        <row r="4045">
          <cell r="C4045" t="str">
            <v>B591461/A</v>
          </cell>
          <cell r="D4045" t="str">
            <v>CZ891F409</v>
          </cell>
          <cell r="E4045">
            <v>9</v>
          </cell>
        </row>
        <row r="4046">
          <cell r="C4046" t="str">
            <v>B591462/A</v>
          </cell>
          <cell r="D4046" t="str">
            <v>CZ891F409</v>
          </cell>
          <cell r="E4046">
            <v>1</v>
          </cell>
        </row>
        <row r="4047">
          <cell r="C4047" t="str">
            <v>B592819/A</v>
          </cell>
          <cell r="D4047" t="str">
            <v>CZ895F188</v>
          </cell>
          <cell r="E4047">
            <v>4</v>
          </cell>
        </row>
        <row r="4048">
          <cell r="C4048" t="str">
            <v>B592820/A</v>
          </cell>
          <cell r="D4048" t="str">
            <v>CZ895F188</v>
          </cell>
          <cell r="E4048">
            <v>4</v>
          </cell>
        </row>
        <row r="4049">
          <cell r="C4049" t="str">
            <v>B592822/A</v>
          </cell>
          <cell r="D4049" t="str">
            <v>CZ895F409</v>
          </cell>
          <cell r="E4049">
            <v>2</v>
          </cell>
        </row>
        <row r="4050">
          <cell r="C4050" t="str">
            <v>B592825/A</v>
          </cell>
          <cell r="D4050" t="str">
            <v>CZ898NF196</v>
          </cell>
          <cell r="E4050">
            <v>3</v>
          </cell>
        </row>
        <row r="4051">
          <cell r="C4051" t="str">
            <v>B592826/A</v>
          </cell>
          <cell r="D4051" t="str">
            <v>CZ898NF196</v>
          </cell>
          <cell r="E4051">
            <v>7</v>
          </cell>
        </row>
        <row r="4052">
          <cell r="C4052" t="str">
            <v>B592924/A</v>
          </cell>
          <cell r="D4052" t="str">
            <v>CZ933F08</v>
          </cell>
          <cell r="E4052">
            <v>2</v>
          </cell>
        </row>
        <row r="4053">
          <cell r="C4053" t="str">
            <v>B592932/A</v>
          </cell>
          <cell r="D4053" t="str">
            <v>CZ933F09</v>
          </cell>
          <cell r="E4053">
            <v>2</v>
          </cell>
        </row>
        <row r="4054">
          <cell r="C4054" t="str">
            <v>B592934/A</v>
          </cell>
          <cell r="D4054" t="str">
            <v>CZ933F191</v>
          </cell>
          <cell r="E4054">
            <v>1</v>
          </cell>
        </row>
        <row r="4055">
          <cell r="C4055" t="str">
            <v>B582632/A</v>
          </cell>
          <cell r="D4055" t="str">
            <v>HS5169F1162</v>
          </cell>
          <cell r="E4055">
            <v>193</v>
          </cell>
        </row>
        <row r="4056">
          <cell r="C4056" t="str">
            <v>B589524/A</v>
          </cell>
          <cell r="D4056" t="str">
            <v>HS5178F1180</v>
          </cell>
          <cell r="E4056">
            <v>46</v>
          </cell>
        </row>
        <row r="4057">
          <cell r="C4057" t="str">
            <v>B592623/A</v>
          </cell>
          <cell r="D4057" t="str">
            <v>JV011F536</v>
          </cell>
          <cell r="E4057">
            <v>25</v>
          </cell>
        </row>
        <row r="4058">
          <cell r="C4058" t="str">
            <v>B592626/A</v>
          </cell>
          <cell r="D4058" t="str">
            <v>RH078F01</v>
          </cell>
          <cell r="E4058">
            <v>6</v>
          </cell>
        </row>
        <row r="4059">
          <cell r="C4059" t="str">
            <v>B592627/A</v>
          </cell>
          <cell r="D4059" t="str">
            <v>RH078F01</v>
          </cell>
          <cell r="E4059">
            <v>7</v>
          </cell>
        </row>
        <row r="4060">
          <cell r="C4060" t="str">
            <v>B590786/A</v>
          </cell>
          <cell r="D4060" t="str">
            <v>RH10058NF382</v>
          </cell>
          <cell r="E4060">
            <v>5</v>
          </cell>
        </row>
        <row r="4061">
          <cell r="C4061" t="str">
            <v>B590788/A</v>
          </cell>
          <cell r="D4061" t="str">
            <v>RH10058NF383</v>
          </cell>
          <cell r="E4061">
            <v>5</v>
          </cell>
        </row>
        <row r="4062">
          <cell r="C4062" t="str">
            <v>B590790/A</v>
          </cell>
          <cell r="D4062" t="str">
            <v>RH10058NF384</v>
          </cell>
          <cell r="E4062">
            <v>6</v>
          </cell>
        </row>
        <row r="4063">
          <cell r="C4063" t="str">
            <v>B590793/A</v>
          </cell>
          <cell r="D4063" t="str">
            <v>RH10058NF409</v>
          </cell>
          <cell r="E4063">
            <v>6</v>
          </cell>
        </row>
        <row r="4064">
          <cell r="C4064" t="str">
            <v>B590794/A</v>
          </cell>
          <cell r="D4064" t="str">
            <v>RH10058NF409</v>
          </cell>
          <cell r="E4064">
            <v>8</v>
          </cell>
        </row>
        <row r="4065">
          <cell r="C4065" t="str">
            <v>B591468/A</v>
          </cell>
          <cell r="D4065" t="str">
            <v>RH10082F383</v>
          </cell>
          <cell r="E4065">
            <v>11</v>
          </cell>
        </row>
        <row r="4066">
          <cell r="C4066" t="str">
            <v>B591471/A</v>
          </cell>
          <cell r="D4066" t="str">
            <v>RH10082F384</v>
          </cell>
          <cell r="E4066">
            <v>19</v>
          </cell>
        </row>
        <row r="4067">
          <cell r="C4067" t="str">
            <v>B588292/A</v>
          </cell>
          <cell r="D4067" t="str">
            <v>RH10087F382</v>
          </cell>
          <cell r="E4067">
            <v>1</v>
          </cell>
        </row>
        <row r="4068">
          <cell r="C4068" t="str">
            <v>B588294/A</v>
          </cell>
          <cell r="D4068" t="str">
            <v>RH10087F383</v>
          </cell>
          <cell r="E4068">
            <v>2</v>
          </cell>
        </row>
        <row r="4069">
          <cell r="C4069" t="str">
            <v>B588296/A</v>
          </cell>
          <cell r="D4069" t="str">
            <v>RH10087F409</v>
          </cell>
          <cell r="E4069">
            <v>20</v>
          </cell>
        </row>
        <row r="4070">
          <cell r="C4070" t="str">
            <v>B591480/A</v>
          </cell>
          <cell r="D4070" t="str">
            <v>RH10124F382</v>
          </cell>
          <cell r="E4070">
            <v>1</v>
          </cell>
        </row>
        <row r="4071">
          <cell r="C4071" t="str">
            <v>B591483/A</v>
          </cell>
          <cell r="D4071" t="str">
            <v>RH10124F384</v>
          </cell>
          <cell r="E4071">
            <v>9</v>
          </cell>
        </row>
        <row r="4072">
          <cell r="C4072" t="str">
            <v>B588313/A</v>
          </cell>
          <cell r="D4072" t="str">
            <v>RH10165F382</v>
          </cell>
          <cell r="E4072">
            <v>10</v>
          </cell>
        </row>
        <row r="4073">
          <cell r="C4073" t="str">
            <v>B591507/A</v>
          </cell>
          <cell r="D4073" t="str">
            <v>RH108F01</v>
          </cell>
          <cell r="E4073">
            <v>13</v>
          </cell>
        </row>
        <row r="4074">
          <cell r="C4074" t="str">
            <v>B591508/A</v>
          </cell>
          <cell r="D4074" t="str">
            <v>RH108F01</v>
          </cell>
          <cell r="E4074">
            <v>1</v>
          </cell>
        </row>
        <row r="4075">
          <cell r="C4075" t="str">
            <v>B590350/A</v>
          </cell>
          <cell r="D4075" t="str">
            <v>RH11126F451</v>
          </cell>
          <cell r="E4075">
            <v>10</v>
          </cell>
        </row>
        <row r="4076">
          <cell r="C4076" t="str">
            <v>B590351/A</v>
          </cell>
          <cell r="D4076" t="str">
            <v>RH11126F451</v>
          </cell>
          <cell r="E4076">
            <v>10</v>
          </cell>
        </row>
        <row r="4077">
          <cell r="C4077" t="str">
            <v>B590354/A</v>
          </cell>
          <cell r="D4077" t="str">
            <v>RH11126F456</v>
          </cell>
          <cell r="E4077">
            <v>5</v>
          </cell>
        </row>
        <row r="4078">
          <cell r="C4078" t="str">
            <v>B590355/A</v>
          </cell>
          <cell r="D4078" t="str">
            <v>RH11126F456</v>
          </cell>
          <cell r="E4078">
            <v>3</v>
          </cell>
        </row>
        <row r="4079">
          <cell r="C4079" t="str">
            <v>B590359/A</v>
          </cell>
          <cell r="D4079" t="str">
            <v>RH11127F451</v>
          </cell>
          <cell r="E4079">
            <v>5</v>
          </cell>
        </row>
        <row r="4080">
          <cell r="C4080" t="str">
            <v>B590360/A</v>
          </cell>
          <cell r="D4080" t="str">
            <v>RH11127F451</v>
          </cell>
          <cell r="E4080">
            <v>5</v>
          </cell>
        </row>
        <row r="4081">
          <cell r="C4081" t="str">
            <v>B590363/A</v>
          </cell>
          <cell r="D4081" t="str">
            <v>RH11127F456</v>
          </cell>
          <cell r="E4081">
            <v>5</v>
          </cell>
        </row>
        <row r="4082">
          <cell r="C4082" t="str">
            <v>B590364/A</v>
          </cell>
          <cell r="D4082" t="str">
            <v>RH11127F456</v>
          </cell>
          <cell r="E4082">
            <v>3</v>
          </cell>
        </row>
        <row r="4083">
          <cell r="C4083" t="str">
            <v>B592629/A</v>
          </cell>
          <cell r="D4083" t="str">
            <v>RH11275F2003TR</v>
          </cell>
          <cell r="E4083">
            <v>10</v>
          </cell>
        </row>
        <row r="4084">
          <cell r="C4084" t="str">
            <v>B592631/A</v>
          </cell>
          <cell r="D4084" t="str">
            <v>RH11275F409TR</v>
          </cell>
          <cell r="E4084">
            <v>10</v>
          </cell>
        </row>
        <row r="4085">
          <cell r="C4085" t="str">
            <v>B590384/A</v>
          </cell>
          <cell r="D4085" t="str">
            <v>RH11286F451</v>
          </cell>
          <cell r="E4085">
            <v>5</v>
          </cell>
        </row>
        <row r="4086">
          <cell r="C4086" t="str">
            <v>B590386/A</v>
          </cell>
          <cell r="D4086" t="str">
            <v>RH11286F456</v>
          </cell>
          <cell r="E4086">
            <v>5</v>
          </cell>
        </row>
        <row r="4087">
          <cell r="C4087" t="str">
            <v>B591878/A</v>
          </cell>
          <cell r="D4087" t="str">
            <v>RH1170F03</v>
          </cell>
          <cell r="E4087">
            <v>12</v>
          </cell>
        </row>
        <row r="4088">
          <cell r="C4088" t="str">
            <v>B591879/A</v>
          </cell>
          <cell r="D4088" t="str">
            <v>RH1170F03</v>
          </cell>
          <cell r="E4088">
            <v>21</v>
          </cell>
        </row>
        <row r="4089">
          <cell r="C4089" t="str">
            <v>B591882/A</v>
          </cell>
          <cell r="D4089" t="str">
            <v>RH1171F03</v>
          </cell>
          <cell r="E4089">
            <v>1</v>
          </cell>
        </row>
        <row r="4090">
          <cell r="C4090" t="str">
            <v>B591883/A</v>
          </cell>
          <cell r="D4090" t="str">
            <v>RH1171F03</v>
          </cell>
          <cell r="E4090">
            <v>9</v>
          </cell>
        </row>
        <row r="4091">
          <cell r="C4091" t="str">
            <v>B591951/A</v>
          </cell>
          <cell r="D4091" t="str">
            <v>RH1263F01</v>
          </cell>
          <cell r="E4091">
            <v>5</v>
          </cell>
        </row>
        <row r="4092">
          <cell r="C4092" t="str">
            <v>B592634/A</v>
          </cell>
          <cell r="D4092" t="str">
            <v>RH1654F40TR</v>
          </cell>
          <cell r="E4092">
            <v>5</v>
          </cell>
        </row>
        <row r="4093">
          <cell r="C4093" t="str">
            <v>B592635/A</v>
          </cell>
          <cell r="D4093" t="str">
            <v>RH1654F40TR</v>
          </cell>
          <cell r="E4093">
            <v>5</v>
          </cell>
        </row>
        <row r="4094">
          <cell r="C4094" t="str">
            <v>B592829/A</v>
          </cell>
          <cell r="D4094" t="str">
            <v>RH1772NF08</v>
          </cell>
          <cell r="E4094">
            <v>5</v>
          </cell>
        </row>
        <row r="4095">
          <cell r="C4095" t="str">
            <v>B592830/A</v>
          </cell>
          <cell r="D4095" t="str">
            <v>RH1772NF08</v>
          </cell>
          <cell r="E4095">
            <v>5</v>
          </cell>
        </row>
        <row r="4096">
          <cell r="C4096" t="str">
            <v>B591886/A</v>
          </cell>
          <cell r="D4096" t="str">
            <v>RH2249F08</v>
          </cell>
          <cell r="E4096">
            <v>13</v>
          </cell>
        </row>
        <row r="4097">
          <cell r="C4097" t="str">
            <v>B591887/A</v>
          </cell>
          <cell r="D4097" t="str">
            <v>RH2249F08</v>
          </cell>
          <cell r="E4097">
            <v>2</v>
          </cell>
        </row>
        <row r="4098">
          <cell r="C4098" t="str">
            <v>B591891/A</v>
          </cell>
          <cell r="D4098" t="str">
            <v>RH2249F09</v>
          </cell>
          <cell r="E4098">
            <v>3</v>
          </cell>
        </row>
        <row r="4099">
          <cell r="C4099" t="str">
            <v>B591892/A</v>
          </cell>
          <cell r="D4099" t="str">
            <v>RH2249F09</v>
          </cell>
          <cell r="E4099">
            <v>9</v>
          </cell>
        </row>
        <row r="4100">
          <cell r="C4100" t="str">
            <v>B591893/A</v>
          </cell>
          <cell r="D4100" t="str">
            <v>RH2249F09</v>
          </cell>
          <cell r="E4100">
            <v>1</v>
          </cell>
        </row>
        <row r="4101">
          <cell r="C4101" t="str">
            <v>B591954/A</v>
          </cell>
          <cell r="D4101" t="str">
            <v>RH2250F09</v>
          </cell>
          <cell r="E4101">
            <v>15</v>
          </cell>
        </row>
        <row r="4102">
          <cell r="C4102" t="str">
            <v>B591955/A</v>
          </cell>
          <cell r="D4102" t="str">
            <v>RH2250F09</v>
          </cell>
          <cell r="E4102">
            <v>17</v>
          </cell>
        </row>
        <row r="4103">
          <cell r="C4103" t="str">
            <v>B592832/A</v>
          </cell>
          <cell r="D4103" t="str">
            <v>RH2552F08-BASE</v>
          </cell>
          <cell r="E4103">
            <v>6</v>
          </cell>
        </row>
        <row r="4104">
          <cell r="C4104" t="str">
            <v>B592982/A</v>
          </cell>
          <cell r="D4104" t="str">
            <v>RH2553F08-BASE</v>
          </cell>
          <cell r="E4104">
            <v>5</v>
          </cell>
        </row>
        <row r="4105">
          <cell r="C4105" t="str">
            <v>B592653/A</v>
          </cell>
          <cell r="D4105" t="str">
            <v>RH2771F372TR</v>
          </cell>
          <cell r="E4105">
            <v>10</v>
          </cell>
        </row>
        <row r="4106">
          <cell r="C4106" t="str">
            <v>B592655/A</v>
          </cell>
          <cell r="D4106" t="str">
            <v>RH2771F374TR</v>
          </cell>
          <cell r="E4106">
            <v>10</v>
          </cell>
        </row>
        <row r="4107">
          <cell r="C4107" t="str">
            <v>B592004/A</v>
          </cell>
          <cell r="D4107" t="str">
            <v>RH3023F09</v>
          </cell>
          <cell r="E4107">
            <v>2</v>
          </cell>
        </row>
        <row r="4108">
          <cell r="C4108" t="str">
            <v>B591983/A</v>
          </cell>
          <cell r="D4108" t="str">
            <v>RH3023F09</v>
          </cell>
          <cell r="E4108">
            <v>27</v>
          </cell>
        </row>
        <row r="4109">
          <cell r="C4109" t="str">
            <v>B591984/A</v>
          </cell>
          <cell r="D4109" t="str">
            <v>RH3023F09</v>
          </cell>
          <cell r="E4109">
            <v>3</v>
          </cell>
        </row>
        <row r="4110">
          <cell r="C4110" t="str">
            <v>B592985/A</v>
          </cell>
          <cell r="D4110" t="str">
            <v>RH3528F01-31914</v>
          </cell>
          <cell r="E4110">
            <v>2</v>
          </cell>
        </row>
        <row r="4111">
          <cell r="C4111" t="str">
            <v>B592986/A</v>
          </cell>
          <cell r="D4111" t="str">
            <v>RH3528F01-31914</v>
          </cell>
          <cell r="E4111">
            <v>3</v>
          </cell>
        </row>
        <row r="4112">
          <cell r="C4112" t="str">
            <v>B592658/A</v>
          </cell>
          <cell r="D4112" t="str">
            <v>RH3541F40TR</v>
          </cell>
          <cell r="E4112">
            <v>5</v>
          </cell>
        </row>
        <row r="4113">
          <cell r="C4113" t="str">
            <v>B592659/A</v>
          </cell>
          <cell r="D4113" t="str">
            <v>RH3541F40TR</v>
          </cell>
          <cell r="E4113">
            <v>5</v>
          </cell>
        </row>
        <row r="4114">
          <cell r="C4114" t="str">
            <v>B592835/A</v>
          </cell>
          <cell r="D4114" t="str">
            <v>RH3722AF09</v>
          </cell>
          <cell r="E4114">
            <v>6</v>
          </cell>
        </row>
        <row r="4115">
          <cell r="C4115" t="str">
            <v>B592836/A</v>
          </cell>
          <cell r="D4115" t="str">
            <v>RH3722AF09</v>
          </cell>
          <cell r="E4115">
            <v>4</v>
          </cell>
        </row>
        <row r="4116">
          <cell r="C4116" t="str">
            <v>B591988/A</v>
          </cell>
          <cell r="D4116" t="str">
            <v>RH405F01</v>
          </cell>
          <cell r="E4116">
            <v>9</v>
          </cell>
        </row>
        <row r="4117">
          <cell r="C4117" t="str">
            <v>B591991/A</v>
          </cell>
          <cell r="D4117" t="str">
            <v>RH405F03</v>
          </cell>
          <cell r="E4117">
            <v>5</v>
          </cell>
        </row>
        <row r="4118">
          <cell r="C4118" t="str">
            <v>B591992/A</v>
          </cell>
          <cell r="D4118" t="str">
            <v>RH405F03</v>
          </cell>
          <cell r="E4118">
            <v>16</v>
          </cell>
        </row>
        <row r="4119">
          <cell r="C4119" t="str">
            <v>B592838/A</v>
          </cell>
          <cell r="D4119" t="str">
            <v>RH4068F03</v>
          </cell>
          <cell r="E4119">
            <v>8</v>
          </cell>
        </row>
        <row r="4120">
          <cell r="C4120" t="str">
            <v>B592988/A</v>
          </cell>
          <cell r="D4120" t="str">
            <v>RH7147F381</v>
          </cell>
          <cell r="E4120">
            <v>2</v>
          </cell>
        </row>
        <row r="4121">
          <cell r="C4121" t="str">
            <v>B592990/A</v>
          </cell>
          <cell r="D4121" t="str">
            <v>RH7147F382</v>
          </cell>
          <cell r="E4121">
            <v>4</v>
          </cell>
        </row>
        <row r="4122">
          <cell r="C4122" t="str">
            <v>B592972/A</v>
          </cell>
          <cell r="D4122" t="str">
            <v>RH7148F381</v>
          </cell>
          <cell r="E4122">
            <v>9</v>
          </cell>
        </row>
        <row r="4123">
          <cell r="C4123" t="str">
            <v>B592661/A</v>
          </cell>
          <cell r="D4123" t="str">
            <v>RH7153F381</v>
          </cell>
          <cell r="E4123">
            <v>14</v>
          </cell>
        </row>
        <row r="4124">
          <cell r="C4124" t="str">
            <v>B592664/A</v>
          </cell>
          <cell r="D4124" t="str">
            <v>RH7153F383</v>
          </cell>
          <cell r="E4124">
            <v>2</v>
          </cell>
        </row>
        <row r="4125">
          <cell r="C4125" t="str">
            <v>B592665/A</v>
          </cell>
          <cell r="D4125" t="str">
            <v>RH7153F383</v>
          </cell>
          <cell r="E4125">
            <v>1</v>
          </cell>
        </row>
        <row r="4126">
          <cell r="C4126" t="str">
            <v>B592668/A</v>
          </cell>
          <cell r="D4126" t="str">
            <v>RH7153F409</v>
          </cell>
          <cell r="E4126">
            <v>2</v>
          </cell>
        </row>
        <row r="4127">
          <cell r="C4127" t="str">
            <v>B592669/A</v>
          </cell>
          <cell r="D4127" t="str">
            <v>RH7153F409</v>
          </cell>
          <cell r="E4127">
            <v>1</v>
          </cell>
        </row>
        <row r="4128">
          <cell r="C4128" t="str">
            <v>B592840/A</v>
          </cell>
          <cell r="D4128" t="str">
            <v>RH7154F382</v>
          </cell>
          <cell r="E4128">
            <v>1</v>
          </cell>
        </row>
        <row r="4129">
          <cell r="C4129" t="str">
            <v>B592756/A</v>
          </cell>
          <cell r="D4129" t="str">
            <v>RH7154F383</v>
          </cell>
          <cell r="E4129">
            <v>1</v>
          </cell>
        </row>
        <row r="4130">
          <cell r="C4130" t="str">
            <v>B592842/A</v>
          </cell>
          <cell r="D4130" t="str">
            <v>RH7154F383</v>
          </cell>
          <cell r="E4130">
            <v>4</v>
          </cell>
        </row>
        <row r="4131">
          <cell r="C4131" t="str">
            <v>B592992/A</v>
          </cell>
          <cell r="D4131" t="str">
            <v>RH7333F382</v>
          </cell>
          <cell r="E4131">
            <v>2</v>
          </cell>
        </row>
        <row r="4132">
          <cell r="C4132" t="str">
            <v>B592994/A</v>
          </cell>
          <cell r="D4132" t="str">
            <v>RH7333F409</v>
          </cell>
          <cell r="E4132">
            <v>3</v>
          </cell>
        </row>
        <row r="4133">
          <cell r="C4133" t="str">
            <v>B592974/A</v>
          </cell>
          <cell r="D4133" t="str">
            <v>RH7340F382</v>
          </cell>
          <cell r="E4133">
            <v>8</v>
          </cell>
        </row>
        <row r="4134">
          <cell r="C4134" t="str">
            <v>B592976/A</v>
          </cell>
          <cell r="D4134" t="str">
            <v>RH7340F409</v>
          </cell>
          <cell r="E4134">
            <v>2</v>
          </cell>
        </row>
        <row r="4135">
          <cell r="C4135" t="str">
            <v>B592713/A</v>
          </cell>
          <cell r="D4135" t="str">
            <v>RH7357AF382TR</v>
          </cell>
          <cell r="E4135">
            <v>5</v>
          </cell>
        </row>
        <row r="4136">
          <cell r="C4136" t="str">
            <v>B592715/A</v>
          </cell>
          <cell r="D4136" t="str">
            <v>RH7357AF383TR</v>
          </cell>
          <cell r="E4136">
            <v>5</v>
          </cell>
        </row>
        <row r="4137">
          <cell r="C4137" t="str">
            <v>B591994/A</v>
          </cell>
          <cell r="D4137" t="str">
            <v>RH7357F381</v>
          </cell>
          <cell r="E4137">
            <v>3</v>
          </cell>
        </row>
        <row r="4138">
          <cell r="C4138" t="str">
            <v>B591996/A</v>
          </cell>
          <cell r="D4138" t="str">
            <v>RH7357F409</v>
          </cell>
          <cell r="E4138">
            <v>16</v>
          </cell>
        </row>
        <row r="4139">
          <cell r="C4139" t="str">
            <v>B592719/A</v>
          </cell>
          <cell r="D4139" t="str">
            <v>RH7379F381</v>
          </cell>
          <cell r="E4139">
            <v>2</v>
          </cell>
        </row>
        <row r="4140">
          <cell r="C4140" t="str">
            <v>B592720/A</v>
          </cell>
          <cell r="D4140" t="str">
            <v>RH7379F381</v>
          </cell>
          <cell r="E4140">
            <v>6</v>
          </cell>
        </row>
        <row r="4141">
          <cell r="C4141" t="str">
            <v>B592721/A</v>
          </cell>
          <cell r="D4141" t="str">
            <v>RH7379F381</v>
          </cell>
          <cell r="E4141">
            <v>2</v>
          </cell>
        </row>
        <row r="4142">
          <cell r="C4142" t="str">
            <v>B592723/A</v>
          </cell>
          <cell r="D4142" t="str">
            <v>RH7379F382</v>
          </cell>
          <cell r="E4142">
            <v>4</v>
          </cell>
        </row>
        <row r="4143">
          <cell r="C4143" t="str">
            <v>B592996/A</v>
          </cell>
          <cell r="D4143" t="str">
            <v>RH7393F383</v>
          </cell>
          <cell r="E4143">
            <v>5</v>
          </cell>
        </row>
        <row r="4144">
          <cell r="C4144" t="str">
            <v>B592999/A</v>
          </cell>
          <cell r="D4144" t="str">
            <v>RH7481NF381</v>
          </cell>
          <cell r="E4144">
            <v>5</v>
          </cell>
        </row>
        <row r="4145">
          <cell r="C4145" t="str">
            <v>B593000/A</v>
          </cell>
          <cell r="D4145" t="str">
            <v>RH7481NF381</v>
          </cell>
          <cell r="E4145">
            <v>1</v>
          </cell>
        </row>
        <row r="4146">
          <cell r="C4146" t="str">
            <v>B593002/A</v>
          </cell>
          <cell r="D4146" t="str">
            <v>RH7481NF409</v>
          </cell>
          <cell r="E4146">
            <v>4</v>
          </cell>
        </row>
        <row r="4147">
          <cell r="C4147" t="str">
            <v>B589632/A</v>
          </cell>
          <cell r="D4147" t="str">
            <v>RH7561F382TR</v>
          </cell>
          <cell r="E4147">
            <v>5</v>
          </cell>
        </row>
        <row r="4148">
          <cell r="C4148" t="str">
            <v>B589626/A</v>
          </cell>
          <cell r="D4148" t="str">
            <v>RH7561F409TR</v>
          </cell>
          <cell r="E4148">
            <v>5</v>
          </cell>
        </row>
        <row r="4149">
          <cell r="C4149" t="str">
            <v>B592725/A</v>
          </cell>
          <cell r="D4149" t="str">
            <v>RH7616F372TR</v>
          </cell>
          <cell r="E4149">
            <v>5</v>
          </cell>
        </row>
        <row r="4150">
          <cell r="C4150" t="str">
            <v>B592727/A</v>
          </cell>
          <cell r="D4150" t="str">
            <v>RH7616F374TR</v>
          </cell>
          <cell r="E4150">
            <v>5</v>
          </cell>
        </row>
        <row r="4151">
          <cell r="C4151" t="str">
            <v>B592844/A</v>
          </cell>
          <cell r="D4151" t="str">
            <v>RH877F01</v>
          </cell>
          <cell r="E4151">
            <v>7</v>
          </cell>
        </row>
        <row r="4152">
          <cell r="C4152" t="str">
            <v>B592846/A</v>
          </cell>
          <cell r="D4152" t="str">
            <v>RH877F02</v>
          </cell>
          <cell r="E4152">
            <v>3</v>
          </cell>
        </row>
        <row r="4153">
          <cell r="C4153" t="str">
            <v>B592848/A</v>
          </cell>
          <cell r="D4153" t="str">
            <v>RH892AF02</v>
          </cell>
          <cell r="E4153">
            <v>6</v>
          </cell>
        </row>
        <row r="4154">
          <cell r="C4154" t="str">
            <v>B593004/A</v>
          </cell>
          <cell r="D4154" t="str">
            <v>RH893AF03</v>
          </cell>
          <cell r="E4154">
            <v>10</v>
          </cell>
        </row>
        <row r="4155">
          <cell r="C4155" t="str">
            <v>B593006/A</v>
          </cell>
          <cell r="D4155" t="str">
            <v>RH896F01</v>
          </cell>
          <cell r="E4155">
            <v>5</v>
          </cell>
        </row>
        <row r="4156">
          <cell r="C4156" t="str">
            <v>B592936/A</v>
          </cell>
          <cell r="D4156" t="str">
            <v>RH9364F409</v>
          </cell>
          <cell r="E4156">
            <v>5</v>
          </cell>
        </row>
        <row r="4157">
          <cell r="C4157" t="str">
            <v>B592008/A</v>
          </cell>
          <cell r="D4157" t="str">
            <v>RH9422F423</v>
          </cell>
          <cell r="E4157">
            <v>17</v>
          </cell>
        </row>
        <row r="4158">
          <cell r="C4158" t="str">
            <v>B592011/A</v>
          </cell>
          <cell r="D4158" t="str">
            <v>RH9422F426</v>
          </cell>
          <cell r="E4158">
            <v>15</v>
          </cell>
        </row>
        <row r="4159">
          <cell r="C4159" t="str">
            <v>B592012/A</v>
          </cell>
          <cell r="D4159" t="str">
            <v>RH9422F426</v>
          </cell>
          <cell r="E4159">
            <v>1</v>
          </cell>
        </row>
        <row r="4160">
          <cell r="C4160" t="str">
            <v>B593008/A</v>
          </cell>
          <cell r="D4160" t="str">
            <v>RH9457NF425</v>
          </cell>
          <cell r="E4160">
            <v>2</v>
          </cell>
        </row>
        <row r="4161">
          <cell r="C4161" t="str">
            <v>B593011/A</v>
          </cell>
          <cell r="D4161" t="str">
            <v>RH9457NF426</v>
          </cell>
          <cell r="E4161">
            <v>1</v>
          </cell>
        </row>
        <row r="4162">
          <cell r="C4162" t="str">
            <v>B593010/A</v>
          </cell>
          <cell r="D4162" t="str">
            <v>RH9457NF426</v>
          </cell>
          <cell r="E4162">
            <v>7</v>
          </cell>
        </row>
        <row r="4163">
          <cell r="C4163" t="str">
            <v>B588263/A</v>
          </cell>
          <cell r="D4163" t="str">
            <v>RH9499F382</v>
          </cell>
          <cell r="E4163">
            <v>11</v>
          </cell>
        </row>
        <row r="4164">
          <cell r="C4164" t="str">
            <v>B588262/A</v>
          </cell>
          <cell r="D4164" t="str">
            <v>RH9499F382</v>
          </cell>
          <cell r="E4164">
            <v>14</v>
          </cell>
        </row>
        <row r="4165">
          <cell r="C4165" t="str">
            <v>B588323/A</v>
          </cell>
          <cell r="D4165" t="str">
            <v>RH9499F384</v>
          </cell>
          <cell r="E4165">
            <v>7</v>
          </cell>
        </row>
        <row r="4166">
          <cell r="C4166" t="str">
            <v>B588317/A</v>
          </cell>
          <cell r="D4166" t="str">
            <v>RH9499F384</v>
          </cell>
          <cell r="E4166">
            <v>7</v>
          </cell>
        </row>
        <row r="4167">
          <cell r="C4167" t="str">
            <v>B588257/A</v>
          </cell>
          <cell r="D4167" t="str">
            <v>RH9499F409</v>
          </cell>
          <cell r="E4167">
            <v>14</v>
          </cell>
        </row>
        <row r="4168">
          <cell r="C4168" t="str">
            <v>B588256/A</v>
          </cell>
          <cell r="D4168" t="str">
            <v>RH9499F409</v>
          </cell>
          <cell r="E4168">
            <v>17</v>
          </cell>
        </row>
        <row r="4169">
          <cell r="C4169" t="str">
            <v>B592850/A</v>
          </cell>
          <cell r="D4169" t="str">
            <v>RH9536NF423</v>
          </cell>
          <cell r="E4169">
            <v>1</v>
          </cell>
        </row>
        <row r="4170">
          <cell r="C4170" t="str">
            <v>B592853/A</v>
          </cell>
          <cell r="D4170" t="str">
            <v>RH9536NF425</v>
          </cell>
          <cell r="E4170">
            <v>3</v>
          </cell>
        </row>
        <row r="4171">
          <cell r="C4171" t="str">
            <v>B592854/A</v>
          </cell>
          <cell r="D4171" t="str">
            <v>RH9536NF425</v>
          </cell>
          <cell r="E4171">
            <v>6</v>
          </cell>
        </row>
        <row r="4172">
          <cell r="C4172" t="str">
            <v>B593013/A</v>
          </cell>
          <cell r="D4172" t="str">
            <v>RH9858F423</v>
          </cell>
          <cell r="E4172">
            <v>6</v>
          </cell>
        </row>
        <row r="4173">
          <cell r="C4173" t="str">
            <v>B593016/A</v>
          </cell>
          <cell r="D4173" t="str">
            <v>RH9858F424</v>
          </cell>
          <cell r="E4173">
            <v>9</v>
          </cell>
        </row>
        <row r="4174">
          <cell r="C4174" t="str">
            <v>B593017/A</v>
          </cell>
          <cell r="D4174" t="str">
            <v>RH9858F424</v>
          </cell>
          <cell r="E4174">
            <v>1</v>
          </cell>
        </row>
        <row r="4175">
          <cell r="C4175" t="str">
            <v>B593269/A</v>
          </cell>
          <cell r="D4175" t="str">
            <v>RH9861F425</v>
          </cell>
          <cell r="E4175">
            <v>6</v>
          </cell>
        </row>
        <row r="4176">
          <cell r="C4176" t="str">
            <v>B593271/A</v>
          </cell>
          <cell r="D4176" t="str">
            <v>RH9861F426</v>
          </cell>
          <cell r="E4176">
            <v>5</v>
          </cell>
        </row>
        <row r="4177">
          <cell r="C4177" t="str">
            <v>B593019/A</v>
          </cell>
          <cell r="D4177" t="str">
            <v>RH9865F423</v>
          </cell>
          <cell r="E4177">
            <v>1</v>
          </cell>
        </row>
        <row r="4178">
          <cell r="C4178" t="str">
            <v>B593021/A</v>
          </cell>
          <cell r="D4178" t="str">
            <v>RH9865F424</v>
          </cell>
          <cell r="E4178">
            <v>4</v>
          </cell>
        </row>
        <row r="4179">
          <cell r="C4179" t="str">
            <v>B588265/A</v>
          </cell>
          <cell r="D4179" t="str">
            <v>RH9989F382</v>
          </cell>
          <cell r="E4179">
            <v>8</v>
          </cell>
        </row>
        <row r="4180">
          <cell r="C4180" t="str">
            <v>B588319/A</v>
          </cell>
          <cell r="D4180" t="str">
            <v>RH9989F384</v>
          </cell>
          <cell r="E4180">
            <v>6</v>
          </cell>
        </row>
        <row r="4181">
          <cell r="C4181" t="str">
            <v>B588269/A</v>
          </cell>
          <cell r="D4181" t="str">
            <v>RH9989F409</v>
          </cell>
          <cell r="E4181">
            <v>11</v>
          </cell>
        </row>
        <row r="4182">
          <cell r="C4182" t="str">
            <v>B588268/A</v>
          </cell>
          <cell r="D4182" t="str">
            <v>RH9989F409</v>
          </cell>
          <cell r="E4182">
            <v>13</v>
          </cell>
        </row>
        <row r="4183">
          <cell r="C4183" t="str">
            <v>B590840/A</v>
          </cell>
          <cell r="D4183" t="str">
            <v>RH9991NF382</v>
          </cell>
          <cell r="E4183">
            <v>5</v>
          </cell>
        </row>
        <row r="4184">
          <cell r="C4184" t="str">
            <v>B590842/A</v>
          </cell>
          <cell r="D4184" t="str">
            <v>RH9991NF382</v>
          </cell>
          <cell r="E4184">
            <v>7</v>
          </cell>
        </row>
        <row r="4185">
          <cell r="C4185" t="str">
            <v>B590830/A</v>
          </cell>
          <cell r="D4185" t="str">
            <v>RH9991NF384</v>
          </cell>
          <cell r="E4185">
            <v>11</v>
          </cell>
        </row>
        <row r="4186">
          <cell r="C4186" t="str">
            <v>B590848/A</v>
          </cell>
          <cell r="D4186" t="str">
            <v>RH9991NF409</v>
          </cell>
          <cell r="E4186">
            <v>10</v>
          </cell>
        </row>
        <row r="4187">
          <cell r="C4187" t="str">
            <v>B590850/A</v>
          </cell>
          <cell r="D4187" t="str">
            <v>RH9991NF409</v>
          </cell>
          <cell r="E4187">
            <v>11</v>
          </cell>
        </row>
        <row r="4188">
          <cell r="C4188" t="str">
            <v>B590845/A</v>
          </cell>
          <cell r="D4188" t="str">
            <v>SH182NF515</v>
          </cell>
          <cell r="E4188">
            <v>50</v>
          </cell>
        </row>
        <row r="4189">
          <cell r="C4189" t="str">
            <v>B590846/A</v>
          </cell>
          <cell r="D4189" t="str">
            <v>SH182NF515</v>
          </cell>
          <cell r="E4189">
            <v>30</v>
          </cell>
        </row>
        <row r="4190">
          <cell r="C4190" t="str">
            <v>B592857/A</v>
          </cell>
          <cell r="D4190" t="str">
            <v>SH219BF506-BASE</v>
          </cell>
          <cell r="E4190">
            <v>15</v>
          </cell>
        </row>
        <row r="4191">
          <cell r="C4191" t="str">
            <v>B592858/A</v>
          </cell>
          <cell r="D4191" t="str">
            <v>SH219BF506-BASE</v>
          </cell>
          <cell r="E4191">
            <v>15</v>
          </cell>
        </row>
        <row r="4192">
          <cell r="C4192" t="str">
            <v>B592587/A</v>
          </cell>
          <cell r="D4192" t="str">
            <v>SH337F707-BASE</v>
          </cell>
          <cell r="E4192">
            <v>40</v>
          </cell>
        </row>
        <row r="4193">
          <cell r="C4193" t="str">
            <v>B592588/A</v>
          </cell>
          <cell r="D4193" t="str">
            <v>SH337F707-BASE</v>
          </cell>
          <cell r="E4193">
            <v>25</v>
          </cell>
        </row>
        <row r="4194">
          <cell r="C4194" t="str">
            <v>B592595/A</v>
          </cell>
          <cell r="D4194" t="str">
            <v>SH337F707-TOP</v>
          </cell>
          <cell r="E4194">
            <v>40</v>
          </cell>
        </row>
        <row r="4195">
          <cell r="C4195" t="str">
            <v>B592591/A</v>
          </cell>
          <cell r="D4195" t="str">
            <v>SH337F707-TOP</v>
          </cell>
          <cell r="E4195">
            <v>25</v>
          </cell>
        </row>
        <row r="4196">
          <cell r="C4196" t="str">
            <v>B592729/A</v>
          </cell>
          <cell r="D4196" t="str">
            <v>SH484F506-BASE</v>
          </cell>
          <cell r="E4196">
            <v>30</v>
          </cell>
        </row>
        <row r="4197">
          <cell r="C4197" t="str">
            <v>B590918/A</v>
          </cell>
          <cell r="D4197" t="str">
            <v>SH567F846</v>
          </cell>
          <cell r="E4197">
            <v>20</v>
          </cell>
        </row>
        <row r="4198">
          <cell r="C4198" t="str">
            <v>B590919/A</v>
          </cell>
          <cell r="D4198" t="str">
            <v>SH567F846</v>
          </cell>
          <cell r="E4198">
            <v>10</v>
          </cell>
        </row>
        <row r="4199">
          <cell r="C4199" t="str">
            <v>B592731/A</v>
          </cell>
          <cell r="D4199" t="str">
            <v>SH597FMT02.UK-1486</v>
          </cell>
          <cell r="E4199">
            <v>50</v>
          </cell>
        </row>
        <row r="4200">
          <cell r="C4200" t="str">
            <v>B592732/A</v>
          </cell>
          <cell r="D4200" t="str">
            <v>SH597FMT02-1486</v>
          </cell>
          <cell r="E4200">
            <v>30</v>
          </cell>
        </row>
        <row r="4201">
          <cell r="C4201" t="str">
            <v>B592733/A</v>
          </cell>
          <cell r="D4201" t="str">
            <v>SH597FMT02-1594</v>
          </cell>
          <cell r="E4201">
            <v>30</v>
          </cell>
        </row>
        <row r="4202">
          <cell r="C4202" t="str">
            <v>B592737/A</v>
          </cell>
          <cell r="D4202" t="str">
            <v>SH598F521-31856</v>
          </cell>
          <cell r="E4202">
            <v>40</v>
          </cell>
        </row>
        <row r="4203">
          <cell r="C4203" t="str">
            <v>B590925/A</v>
          </cell>
          <cell r="D4203" t="str">
            <v>SH627F846</v>
          </cell>
          <cell r="E4203">
            <v>55</v>
          </cell>
        </row>
        <row r="4204">
          <cell r="C4204" t="str">
            <v>B590923/A</v>
          </cell>
          <cell r="D4204" t="str">
            <v>SH627F846</v>
          </cell>
          <cell r="E4204">
            <v>45</v>
          </cell>
        </row>
        <row r="4205">
          <cell r="C4205" t="str">
            <v>B592740/A</v>
          </cell>
          <cell r="D4205" t="str">
            <v>SH633F506</v>
          </cell>
          <cell r="E4205">
            <v>15</v>
          </cell>
        </row>
        <row r="4206">
          <cell r="C4206" t="str">
            <v>B592741/A</v>
          </cell>
          <cell r="D4206" t="str">
            <v>SH633F506</v>
          </cell>
          <cell r="E4206">
            <v>20</v>
          </cell>
        </row>
        <row r="4207">
          <cell r="C4207" t="str">
            <v>B592743/A</v>
          </cell>
          <cell r="D4207" t="str">
            <v>SH884F1060.UK-32343</v>
          </cell>
          <cell r="E4207">
            <v>40</v>
          </cell>
        </row>
        <row r="4208">
          <cell r="C4208" t="str">
            <v>B592744/A</v>
          </cell>
          <cell r="D4208" t="str">
            <v>SH884F1060.US-32343</v>
          </cell>
          <cell r="E4208">
            <v>28</v>
          </cell>
        </row>
        <row r="4209">
          <cell r="C4209" t="str">
            <v>B592748/A</v>
          </cell>
          <cell r="D4209" t="str">
            <v>SH884F1215.UK-31761</v>
          </cell>
          <cell r="E4209">
            <v>40</v>
          </cell>
        </row>
        <row r="4210">
          <cell r="C4210" t="str">
            <v>B592751/A</v>
          </cell>
          <cell r="D4210" t="str">
            <v>SH884F1215.US-31761</v>
          </cell>
          <cell r="E4210">
            <v>25</v>
          </cell>
        </row>
        <row r="4211">
          <cell r="C4211" t="str">
            <v>B592754/A</v>
          </cell>
          <cell r="D4211" t="str">
            <v>SH885F1284</v>
          </cell>
          <cell r="E4211">
            <v>58</v>
          </cell>
        </row>
        <row r="4212">
          <cell r="C4212" t="str">
            <v>B592755/A</v>
          </cell>
          <cell r="D4212" t="str">
            <v>SH885F1284</v>
          </cell>
          <cell r="E4212">
            <v>38</v>
          </cell>
        </row>
        <row r="4213">
          <cell r="C4213" t="str">
            <v>B590942/A</v>
          </cell>
          <cell r="D4213" t="str">
            <v>SH911AF1265</v>
          </cell>
          <cell r="E4213">
            <v>44</v>
          </cell>
        </row>
        <row r="4214">
          <cell r="C4214" t="str">
            <v>B590943/A</v>
          </cell>
          <cell r="D4214" t="str">
            <v>SH911AF1265</v>
          </cell>
          <cell r="E4214">
            <v>28</v>
          </cell>
        </row>
        <row r="4215">
          <cell r="C4215" t="str">
            <v>B593128/A</v>
          </cell>
          <cell r="D4215" t="str">
            <v>BN164F01-LEGS</v>
          </cell>
          <cell r="E4215">
            <v>1</v>
          </cell>
        </row>
        <row r="4216">
          <cell r="C4216" t="str">
            <v>B593265/A</v>
          </cell>
          <cell r="D4216" t="str">
            <v>BN2503F193-SHEL</v>
          </cell>
          <cell r="E4216">
            <v>5</v>
          </cell>
        </row>
        <row r="4217">
          <cell r="C4217" t="str">
            <v>B590910/A</v>
          </cell>
          <cell r="D4217" t="str">
            <v>SH219BF506-TOP</v>
          </cell>
          <cell r="E4217">
            <v>15</v>
          </cell>
        </row>
        <row r="4218">
          <cell r="C4218" t="str">
            <v>B590911/A</v>
          </cell>
          <cell r="D4218" t="str">
            <v>SH219BF506-TOP</v>
          </cell>
          <cell r="E4218">
            <v>15</v>
          </cell>
        </row>
        <row r="4219">
          <cell r="C4219" t="str">
            <v>B590853/A</v>
          </cell>
          <cell r="D4219" t="str">
            <v>SH484F506-TOP</v>
          </cell>
          <cell r="E4219">
            <v>30</v>
          </cell>
        </row>
        <row r="4220">
          <cell r="C4220" t="str">
            <v>B590950/A</v>
          </cell>
          <cell r="D4220" t="str">
            <v>AR109NF906-TOP</v>
          </cell>
          <cell r="E4220">
            <v>10</v>
          </cell>
        </row>
        <row r="4221">
          <cell r="C4221" t="str">
            <v>B590951/A</v>
          </cell>
          <cell r="D4221" t="str">
            <v>AR109NF906-TOP</v>
          </cell>
          <cell r="E4221">
            <v>20</v>
          </cell>
        </row>
        <row r="4222">
          <cell r="C4222" t="str">
            <v>B593769/A</v>
          </cell>
          <cell r="D4222" t="str">
            <v>AR110F834-BASE</v>
          </cell>
          <cell r="E4222">
            <v>29</v>
          </cell>
        </row>
        <row r="4223">
          <cell r="C4223" t="str">
            <v>B593770/A</v>
          </cell>
          <cell r="D4223" t="str">
            <v>AR110F834-BASE</v>
          </cell>
          <cell r="E4223">
            <v>51</v>
          </cell>
        </row>
        <row r="4224">
          <cell r="C4224" t="str">
            <v>B590991/A</v>
          </cell>
          <cell r="D4224" t="str">
            <v>AR110F834-TOP</v>
          </cell>
          <cell r="E4224">
            <v>48</v>
          </cell>
        </row>
        <row r="4225">
          <cell r="C4225" t="str">
            <v>B590992/A</v>
          </cell>
          <cell r="D4225" t="str">
            <v>AR110F834-TOP</v>
          </cell>
          <cell r="E4225">
            <v>102</v>
          </cell>
        </row>
        <row r="4226">
          <cell r="C4226" t="str">
            <v>B593772/A</v>
          </cell>
          <cell r="D4226" t="str">
            <v>AR110F906-BASE</v>
          </cell>
          <cell r="E4226">
            <v>122</v>
          </cell>
        </row>
        <row r="4227">
          <cell r="C4227" t="str">
            <v>B593775/A</v>
          </cell>
          <cell r="D4227" t="str">
            <v>AR113NF906-BASE</v>
          </cell>
          <cell r="E4227">
            <v>6</v>
          </cell>
        </row>
        <row r="4228">
          <cell r="C4228" t="str">
            <v>B593776/A</v>
          </cell>
          <cell r="D4228" t="str">
            <v>AR113NF906-BASE</v>
          </cell>
          <cell r="E4228">
            <v>19</v>
          </cell>
        </row>
        <row r="4229">
          <cell r="C4229" t="str">
            <v>B593781/A</v>
          </cell>
          <cell r="D4229" t="str">
            <v>AR133F834-BASE</v>
          </cell>
          <cell r="E4229">
            <v>7</v>
          </cell>
        </row>
        <row r="4230">
          <cell r="C4230" t="str">
            <v>B593783/A</v>
          </cell>
          <cell r="D4230" t="str">
            <v>AR133F834-BASE</v>
          </cell>
          <cell r="E4230">
            <v>18</v>
          </cell>
        </row>
        <row r="4231">
          <cell r="C4231" t="str">
            <v>B593786/A</v>
          </cell>
          <cell r="D4231" t="str">
            <v>AR186F834-BASE</v>
          </cell>
          <cell r="E4231">
            <v>14</v>
          </cell>
        </row>
        <row r="4232">
          <cell r="C4232" t="str">
            <v>B593788/A</v>
          </cell>
          <cell r="D4232" t="str">
            <v>AR186F834-BASE</v>
          </cell>
          <cell r="E4232">
            <v>51</v>
          </cell>
        </row>
        <row r="4233">
          <cell r="C4233" t="str">
            <v>B590995/A</v>
          </cell>
          <cell r="D4233" t="str">
            <v>AR186F834-MBTP</v>
          </cell>
          <cell r="E4233">
            <v>12</v>
          </cell>
        </row>
        <row r="4234">
          <cell r="C4234" t="str">
            <v>B590996/A</v>
          </cell>
          <cell r="D4234" t="str">
            <v>AR186F834-MBTP</v>
          </cell>
          <cell r="E4234">
            <v>58</v>
          </cell>
        </row>
        <row r="4235">
          <cell r="C4235" t="str">
            <v>B593724/A</v>
          </cell>
          <cell r="D4235" t="str">
            <v>AR186F906-BASE</v>
          </cell>
          <cell r="E4235">
            <v>11</v>
          </cell>
        </row>
        <row r="4236">
          <cell r="C4236" t="str">
            <v>B593725/A</v>
          </cell>
          <cell r="D4236" t="str">
            <v>AR186F906-BASE</v>
          </cell>
          <cell r="E4236">
            <v>44</v>
          </cell>
        </row>
        <row r="4237">
          <cell r="C4237" t="str">
            <v>B590954/A</v>
          </cell>
          <cell r="D4237" t="str">
            <v>AR186F906-MBTP</v>
          </cell>
          <cell r="E4237">
            <v>10</v>
          </cell>
        </row>
        <row r="4238">
          <cell r="C4238" t="str">
            <v>B590955/A</v>
          </cell>
          <cell r="D4238" t="str">
            <v>AR186F906-MBTP</v>
          </cell>
          <cell r="E4238">
            <v>25</v>
          </cell>
        </row>
        <row r="4239">
          <cell r="C4239" t="str">
            <v>B593728/A</v>
          </cell>
          <cell r="D4239" t="str">
            <v>AR368F1049</v>
          </cell>
          <cell r="E4239">
            <v>10</v>
          </cell>
        </row>
        <row r="4240">
          <cell r="C4240" t="str">
            <v>B593729/A</v>
          </cell>
          <cell r="D4240" t="str">
            <v>AR368F1049</v>
          </cell>
          <cell r="E4240">
            <v>25</v>
          </cell>
        </row>
        <row r="4241">
          <cell r="C4241" t="str">
            <v>B593732/A</v>
          </cell>
          <cell r="D4241" t="str">
            <v>AR368F906</v>
          </cell>
          <cell r="E4241">
            <v>15</v>
          </cell>
        </row>
        <row r="4242">
          <cell r="C4242" t="str">
            <v>B593733/A</v>
          </cell>
          <cell r="D4242" t="str">
            <v>AR368F906</v>
          </cell>
          <cell r="E4242">
            <v>35</v>
          </cell>
        </row>
        <row r="4243">
          <cell r="C4243" t="str">
            <v>B593740/A</v>
          </cell>
          <cell r="D4243" t="str">
            <v>AR413F1039</v>
          </cell>
          <cell r="E4243">
            <v>9</v>
          </cell>
        </row>
        <row r="4244">
          <cell r="C4244" t="str">
            <v>B593741/A</v>
          </cell>
          <cell r="D4244" t="str">
            <v>AR413F1039</v>
          </cell>
          <cell r="E4244">
            <v>21</v>
          </cell>
        </row>
        <row r="4245">
          <cell r="C4245" t="str">
            <v>B593744/A</v>
          </cell>
          <cell r="D4245" t="str">
            <v>AR463F834-BASE</v>
          </cell>
          <cell r="E4245">
            <v>18</v>
          </cell>
        </row>
        <row r="4246">
          <cell r="C4246" t="str">
            <v>B593745/A</v>
          </cell>
          <cell r="D4246" t="str">
            <v>AR463F834-BASE</v>
          </cell>
          <cell r="E4246">
            <v>42</v>
          </cell>
        </row>
        <row r="4247">
          <cell r="C4247" t="str">
            <v>B593813/A</v>
          </cell>
          <cell r="D4247" t="str">
            <v>AR463F834-BASE</v>
          </cell>
          <cell r="E4247">
            <v>21</v>
          </cell>
        </row>
        <row r="4248">
          <cell r="C4248" t="str">
            <v>B590961/A</v>
          </cell>
          <cell r="D4248" t="str">
            <v>AR463F834-TOP</v>
          </cell>
          <cell r="E4248">
            <v>18</v>
          </cell>
        </row>
        <row r="4249">
          <cell r="C4249" t="str">
            <v>B590958/A</v>
          </cell>
          <cell r="D4249" t="str">
            <v>AR463F834-TOP</v>
          </cell>
          <cell r="E4249">
            <v>42</v>
          </cell>
        </row>
        <row r="4250">
          <cell r="C4250" t="str">
            <v>B593815/A</v>
          </cell>
          <cell r="D4250" t="str">
            <v>AR463F906-BASE</v>
          </cell>
          <cell r="E4250">
            <v>39</v>
          </cell>
        </row>
        <row r="4251">
          <cell r="C4251" t="str">
            <v>B593796/A</v>
          </cell>
          <cell r="D4251" t="str">
            <v>AR801F1039</v>
          </cell>
          <cell r="E4251">
            <v>10</v>
          </cell>
        </row>
        <row r="4252">
          <cell r="C4252" t="str">
            <v>B593797/A</v>
          </cell>
          <cell r="D4252" t="str">
            <v>AR801F1039</v>
          </cell>
          <cell r="E4252">
            <v>25</v>
          </cell>
        </row>
        <row r="4253">
          <cell r="C4253" t="str">
            <v>B593818/A</v>
          </cell>
          <cell r="D4253" t="str">
            <v>AR978AF1221</v>
          </cell>
          <cell r="E4253">
            <v>7</v>
          </cell>
        </row>
        <row r="4254">
          <cell r="C4254" t="str">
            <v>B593819/A</v>
          </cell>
          <cell r="D4254" t="str">
            <v>AR978AF1221</v>
          </cell>
          <cell r="E4254">
            <v>18</v>
          </cell>
        </row>
        <row r="4255">
          <cell r="C4255" t="str">
            <v>B593752/A</v>
          </cell>
          <cell r="D4255" t="str">
            <v>AR999F1291</v>
          </cell>
          <cell r="E4255">
            <v>7</v>
          </cell>
        </row>
        <row r="4256">
          <cell r="C4256" t="str">
            <v>B593753/A</v>
          </cell>
          <cell r="D4256" t="str">
            <v>AR999F1291</v>
          </cell>
          <cell r="E4256">
            <v>18</v>
          </cell>
        </row>
        <row r="4257">
          <cell r="C4257" t="str">
            <v>B593759/A</v>
          </cell>
          <cell r="D4257" t="str">
            <v>AT627F00</v>
          </cell>
          <cell r="E4257">
            <v>100</v>
          </cell>
        </row>
        <row r="4258">
          <cell r="C4258" t="str">
            <v>B593446/A</v>
          </cell>
          <cell r="D4258" t="str">
            <v>AT627F1059</v>
          </cell>
          <cell r="E4258">
            <v>3</v>
          </cell>
        </row>
        <row r="4259">
          <cell r="C4259" t="str">
            <v>B593755/A</v>
          </cell>
          <cell r="D4259" t="str">
            <v>AT627F1294</v>
          </cell>
          <cell r="E4259">
            <v>25</v>
          </cell>
        </row>
        <row r="4260">
          <cell r="C4260" t="str">
            <v>B593757/A</v>
          </cell>
          <cell r="D4260" t="str">
            <v>AT627F1310</v>
          </cell>
          <cell r="E4260">
            <v>22</v>
          </cell>
        </row>
        <row r="4261">
          <cell r="C4261" t="str">
            <v>B593289/A</v>
          </cell>
          <cell r="D4261" t="str">
            <v>CZ044NF08</v>
          </cell>
          <cell r="E4261">
            <v>2</v>
          </cell>
        </row>
        <row r="4262">
          <cell r="C4262" t="str">
            <v>B593283/A</v>
          </cell>
          <cell r="D4262" t="str">
            <v>CZ044NF08</v>
          </cell>
          <cell r="E4262">
            <v>8</v>
          </cell>
        </row>
        <row r="4263">
          <cell r="C4263" t="str">
            <v>B593761/A</v>
          </cell>
          <cell r="D4263" t="str">
            <v>CZ147F08</v>
          </cell>
          <cell r="E4263">
            <v>3</v>
          </cell>
        </row>
        <row r="4264">
          <cell r="C4264" t="str">
            <v>B593763/A</v>
          </cell>
          <cell r="D4264" t="str">
            <v>CZ147F10</v>
          </cell>
          <cell r="E4264">
            <v>2</v>
          </cell>
        </row>
        <row r="4265">
          <cell r="C4265" t="str">
            <v>B593765/A</v>
          </cell>
          <cell r="D4265" t="str">
            <v>CZ355F190</v>
          </cell>
          <cell r="E4265">
            <v>1</v>
          </cell>
        </row>
        <row r="4266">
          <cell r="C4266" t="str">
            <v>B593285/A</v>
          </cell>
          <cell r="D4266" t="str">
            <v>CZ496F09</v>
          </cell>
          <cell r="E4266">
            <v>1</v>
          </cell>
        </row>
        <row r="4267">
          <cell r="C4267" t="str">
            <v>B592913/A</v>
          </cell>
          <cell r="D4267" t="str">
            <v>CZ496F10</v>
          </cell>
          <cell r="E4267">
            <v>3</v>
          </cell>
        </row>
        <row r="4268">
          <cell r="C4268" t="str">
            <v>B592912/A</v>
          </cell>
          <cell r="D4268" t="str">
            <v>CZ496F10</v>
          </cell>
          <cell r="E4268">
            <v>6</v>
          </cell>
        </row>
        <row r="4269">
          <cell r="C4269" t="str">
            <v>B593715/A</v>
          </cell>
          <cell r="D4269" t="str">
            <v>CZ543F08</v>
          </cell>
          <cell r="E4269">
            <v>1</v>
          </cell>
        </row>
        <row r="4270">
          <cell r="C4270" t="str">
            <v>B592648/A</v>
          </cell>
          <cell r="D4270" t="str">
            <v>CZ551F08</v>
          </cell>
          <cell r="E4270">
            <v>19</v>
          </cell>
        </row>
        <row r="4271">
          <cell r="C4271" t="str">
            <v>B593281/A</v>
          </cell>
          <cell r="D4271" t="str">
            <v>CZ551F09</v>
          </cell>
          <cell r="E4271">
            <v>44</v>
          </cell>
        </row>
        <row r="4272">
          <cell r="C4272" t="str">
            <v>B593668/A</v>
          </cell>
          <cell r="D4272" t="str">
            <v>CZ551F10</v>
          </cell>
          <cell r="E4272">
            <v>8</v>
          </cell>
        </row>
        <row r="4273">
          <cell r="C4273" t="str">
            <v>B593695/A</v>
          </cell>
          <cell r="D4273" t="str">
            <v>CZ551F190</v>
          </cell>
          <cell r="E4273">
            <v>8</v>
          </cell>
        </row>
        <row r="4274">
          <cell r="C4274" t="str">
            <v>B593671/A</v>
          </cell>
          <cell r="D4274" t="str">
            <v>CZ551F191</v>
          </cell>
          <cell r="E4274">
            <v>10</v>
          </cell>
        </row>
        <row r="4275">
          <cell r="C4275" t="str">
            <v>B593672/A</v>
          </cell>
          <cell r="D4275" t="str">
            <v>CZ551F191</v>
          </cell>
          <cell r="E4275">
            <v>1</v>
          </cell>
        </row>
        <row r="4276">
          <cell r="C4276" t="str">
            <v>B593719/A</v>
          </cell>
          <cell r="D4276" t="str">
            <v>CZ644NF10</v>
          </cell>
          <cell r="E4276">
            <v>1</v>
          </cell>
        </row>
        <row r="4277">
          <cell r="C4277" t="str">
            <v>B593287/A</v>
          </cell>
          <cell r="D4277" t="str">
            <v>CZ652F08</v>
          </cell>
          <cell r="E4277">
            <v>11</v>
          </cell>
        </row>
        <row r="4278">
          <cell r="C4278" t="str">
            <v>B593676/A</v>
          </cell>
          <cell r="D4278" t="str">
            <v>CZ652F10</v>
          </cell>
          <cell r="E4278">
            <v>7</v>
          </cell>
        </row>
        <row r="4279">
          <cell r="C4279" t="str">
            <v>B593677/A</v>
          </cell>
          <cell r="D4279" t="str">
            <v>CZ652F10</v>
          </cell>
          <cell r="E4279">
            <v>3</v>
          </cell>
        </row>
        <row r="4280">
          <cell r="C4280" t="str">
            <v>B593678/A</v>
          </cell>
          <cell r="D4280" t="str">
            <v>CZ652F10</v>
          </cell>
          <cell r="E4280">
            <v>2</v>
          </cell>
        </row>
        <row r="4281">
          <cell r="C4281" t="str">
            <v>B593721/A</v>
          </cell>
          <cell r="D4281" t="str">
            <v>CZ877F188</v>
          </cell>
          <cell r="E4281">
            <v>1</v>
          </cell>
        </row>
        <row r="4282">
          <cell r="C4282" t="str">
            <v>B593680/A</v>
          </cell>
          <cell r="D4282" t="str">
            <v>CZ894F188</v>
          </cell>
          <cell r="E4282">
            <v>12</v>
          </cell>
        </row>
        <row r="4283">
          <cell r="C4283" t="str">
            <v>B593683/A</v>
          </cell>
          <cell r="D4283" t="str">
            <v>CZ894F381</v>
          </cell>
          <cell r="E4283">
            <v>5</v>
          </cell>
        </row>
        <row r="4284">
          <cell r="C4284" t="str">
            <v>B593684/A</v>
          </cell>
          <cell r="D4284" t="str">
            <v>CZ894F381</v>
          </cell>
          <cell r="E4284">
            <v>1</v>
          </cell>
        </row>
        <row r="4285">
          <cell r="C4285" t="str">
            <v>B593697/A</v>
          </cell>
          <cell r="D4285" t="str">
            <v>CZ894F409</v>
          </cell>
          <cell r="E4285">
            <v>8</v>
          </cell>
        </row>
        <row r="4286">
          <cell r="C4286" t="str">
            <v>B593686/A</v>
          </cell>
          <cell r="D4286" t="str">
            <v>CZ894F409</v>
          </cell>
          <cell r="E4286">
            <v>10</v>
          </cell>
        </row>
        <row r="4287">
          <cell r="C4287" t="str">
            <v>B589525/A</v>
          </cell>
          <cell r="D4287" t="str">
            <v>HS5178F1180</v>
          </cell>
          <cell r="E4287">
            <v>47</v>
          </cell>
        </row>
        <row r="4288">
          <cell r="C4288" t="str">
            <v>B582636/A</v>
          </cell>
          <cell r="D4288" t="str">
            <v>HS5900F1162</v>
          </cell>
          <cell r="E4288">
            <v>20</v>
          </cell>
        </row>
        <row r="4289">
          <cell r="C4289" t="str">
            <v>B582640/A</v>
          </cell>
          <cell r="D4289" t="str">
            <v>HS5901F1162</v>
          </cell>
          <cell r="E4289">
            <v>50</v>
          </cell>
        </row>
        <row r="4290">
          <cell r="C4290" t="str">
            <v>B594071/A</v>
          </cell>
          <cell r="D4290" t="str">
            <v>MN5704K-H</v>
          </cell>
          <cell r="E4290">
            <v>25</v>
          </cell>
        </row>
        <row r="4291">
          <cell r="C4291" t="str">
            <v>B594018/A</v>
          </cell>
          <cell r="D4291" t="str">
            <v>MN5704K-R</v>
          </cell>
          <cell r="E4291">
            <v>25</v>
          </cell>
        </row>
        <row r="4292">
          <cell r="C4292" t="str">
            <v>B594020/A</v>
          </cell>
          <cell r="D4292" t="str">
            <v>MN5705K-F</v>
          </cell>
          <cell r="E4292">
            <v>25</v>
          </cell>
        </row>
        <row r="4293">
          <cell r="C4293" t="str">
            <v>B594022/A</v>
          </cell>
          <cell r="D4293" t="str">
            <v>MN5879KF1010-F</v>
          </cell>
          <cell r="E4293">
            <v>10</v>
          </cell>
        </row>
        <row r="4294">
          <cell r="C4294" t="str">
            <v>B594024/A</v>
          </cell>
          <cell r="D4294" t="str">
            <v>MN5879KF1010-H</v>
          </cell>
          <cell r="E4294">
            <v>10</v>
          </cell>
        </row>
        <row r="4295">
          <cell r="C4295" t="str">
            <v>B594027/A</v>
          </cell>
          <cell r="D4295" t="str">
            <v>MN5879KF1010-R</v>
          </cell>
          <cell r="E4295">
            <v>10</v>
          </cell>
        </row>
        <row r="4296">
          <cell r="C4296" t="str">
            <v>B594029/A</v>
          </cell>
          <cell r="D4296" t="str">
            <v>MN5879QF1010-F</v>
          </cell>
          <cell r="E4296">
            <v>25</v>
          </cell>
        </row>
        <row r="4297">
          <cell r="C4297" t="str">
            <v>B594031/A</v>
          </cell>
          <cell r="D4297" t="str">
            <v>MN5879QF1010-H</v>
          </cell>
          <cell r="E4297">
            <v>25</v>
          </cell>
        </row>
        <row r="4298">
          <cell r="C4298" t="str">
            <v>B594033/A</v>
          </cell>
          <cell r="D4298" t="str">
            <v>MN5879QF1010-R</v>
          </cell>
          <cell r="E4298">
            <v>25</v>
          </cell>
        </row>
        <row r="4299">
          <cell r="C4299" t="str">
            <v>B593827/A</v>
          </cell>
          <cell r="D4299" t="str">
            <v>RH10011F423</v>
          </cell>
          <cell r="E4299">
            <v>12</v>
          </cell>
        </row>
        <row r="4300">
          <cell r="C4300" t="str">
            <v>B593828/A</v>
          </cell>
          <cell r="D4300" t="str">
            <v>RH10011F423</v>
          </cell>
          <cell r="E4300">
            <v>2</v>
          </cell>
        </row>
        <row r="4301">
          <cell r="C4301" t="str">
            <v>B593830/A</v>
          </cell>
          <cell r="D4301" t="str">
            <v>RH10057NF382</v>
          </cell>
          <cell r="E4301">
            <v>8</v>
          </cell>
        </row>
        <row r="4302">
          <cell r="C4302" t="str">
            <v>B593832/A</v>
          </cell>
          <cell r="D4302" t="str">
            <v>RH10057NF384</v>
          </cell>
          <cell r="E4302">
            <v>3</v>
          </cell>
        </row>
        <row r="4303">
          <cell r="C4303" t="str">
            <v>B593835/A</v>
          </cell>
          <cell r="D4303" t="str">
            <v>RH10057NF409</v>
          </cell>
          <cell r="E4303">
            <v>4</v>
          </cell>
        </row>
        <row r="4304">
          <cell r="C4304" t="str">
            <v>B593837/A</v>
          </cell>
          <cell r="D4304" t="str">
            <v>RH10079F382</v>
          </cell>
          <cell r="E4304">
            <v>5</v>
          </cell>
        </row>
        <row r="4305">
          <cell r="C4305" t="str">
            <v>B593839/A</v>
          </cell>
          <cell r="D4305" t="str">
            <v>RH10079F384</v>
          </cell>
          <cell r="E4305">
            <v>11</v>
          </cell>
        </row>
        <row r="4306">
          <cell r="C4306" t="str">
            <v>B593842/A</v>
          </cell>
          <cell r="D4306" t="str">
            <v>RH10079F409</v>
          </cell>
          <cell r="E4306">
            <v>7</v>
          </cell>
        </row>
        <row r="4307">
          <cell r="C4307" t="str">
            <v>B593843/A</v>
          </cell>
          <cell r="D4307" t="str">
            <v>RH10079F409</v>
          </cell>
          <cell r="E4307">
            <v>9</v>
          </cell>
        </row>
        <row r="4308">
          <cell r="C4308" t="str">
            <v>B593847/A</v>
          </cell>
          <cell r="D4308" t="str">
            <v>RH10080F382</v>
          </cell>
          <cell r="E4308">
            <v>10</v>
          </cell>
        </row>
        <row r="4309">
          <cell r="C4309" t="str">
            <v>B593850/A</v>
          </cell>
          <cell r="D4309" t="str">
            <v>RH10080F383</v>
          </cell>
          <cell r="E4309">
            <v>6</v>
          </cell>
        </row>
        <row r="4310">
          <cell r="C4310" t="str">
            <v>B593851/A</v>
          </cell>
          <cell r="D4310" t="str">
            <v>RH10080F383</v>
          </cell>
          <cell r="E4310">
            <v>7</v>
          </cell>
        </row>
        <row r="4311">
          <cell r="C4311" t="str">
            <v>B593853/A</v>
          </cell>
          <cell r="D4311" t="str">
            <v>RH10080F384</v>
          </cell>
          <cell r="E4311">
            <v>11</v>
          </cell>
        </row>
        <row r="4312">
          <cell r="C4312" t="str">
            <v>B593855/A</v>
          </cell>
          <cell r="D4312" t="str">
            <v>RH10080F409</v>
          </cell>
          <cell r="E4312">
            <v>6</v>
          </cell>
        </row>
        <row r="4313">
          <cell r="C4313" t="str">
            <v>B593858/A</v>
          </cell>
          <cell r="D4313" t="str">
            <v>RH10083F382</v>
          </cell>
          <cell r="E4313">
            <v>9</v>
          </cell>
        </row>
        <row r="4314">
          <cell r="C4314" t="str">
            <v>B593859/A</v>
          </cell>
          <cell r="D4314" t="str">
            <v>RH10083F382</v>
          </cell>
          <cell r="E4314">
            <v>11</v>
          </cell>
        </row>
        <row r="4315">
          <cell r="C4315" t="str">
            <v>B593862/A</v>
          </cell>
          <cell r="D4315" t="str">
            <v>RH10083F384</v>
          </cell>
          <cell r="E4315">
            <v>8</v>
          </cell>
        </row>
        <row r="4316">
          <cell r="C4316" t="str">
            <v>B593863/A</v>
          </cell>
          <cell r="D4316" t="str">
            <v>RH10083F384</v>
          </cell>
          <cell r="E4316">
            <v>8</v>
          </cell>
        </row>
        <row r="4317">
          <cell r="C4317" t="str">
            <v>B593866/A</v>
          </cell>
          <cell r="D4317" t="str">
            <v>RH10083F409</v>
          </cell>
          <cell r="E4317">
            <v>11</v>
          </cell>
        </row>
        <row r="4318">
          <cell r="C4318" t="str">
            <v>B593867/A</v>
          </cell>
          <cell r="D4318" t="str">
            <v>RH10083F409</v>
          </cell>
          <cell r="E4318">
            <v>15</v>
          </cell>
        </row>
        <row r="4319">
          <cell r="C4319" t="str">
            <v>B593870/A</v>
          </cell>
          <cell r="D4319" t="str">
            <v>RH10084F382</v>
          </cell>
          <cell r="E4319">
            <v>15</v>
          </cell>
        </row>
        <row r="4320">
          <cell r="C4320" t="str">
            <v>B593871/A</v>
          </cell>
          <cell r="D4320" t="str">
            <v>RH10084F382</v>
          </cell>
          <cell r="E4320">
            <v>18</v>
          </cell>
        </row>
        <row r="4321">
          <cell r="C4321" t="str">
            <v>B593874/A</v>
          </cell>
          <cell r="D4321" t="str">
            <v>RH10084F384</v>
          </cell>
          <cell r="E4321">
            <v>7</v>
          </cell>
        </row>
        <row r="4322">
          <cell r="C4322" t="str">
            <v>B593875/A</v>
          </cell>
          <cell r="D4322" t="str">
            <v>RH10084F384</v>
          </cell>
          <cell r="E4322">
            <v>7</v>
          </cell>
        </row>
        <row r="4323">
          <cell r="C4323" t="str">
            <v>B593878/A</v>
          </cell>
          <cell r="D4323" t="str">
            <v>RH10084F409</v>
          </cell>
          <cell r="E4323">
            <v>4</v>
          </cell>
        </row>
        <row r="4324">
          <cell r="C4324" t="str">
            <v>B593879/A</v>
          </cell>
          <cell r="D4324" t="str">
            <v>RH10084F409</v>
          </cell>
          <cell r="E4324">
            <v>25</v>
          </cell>
        </row>
        <row r="4325">
          <cell r="C4325" t="str">
            <v>B593881/A</v>
          </cell>
          <cell r="D4325" t="str">
            <v>RH10085F382</v>
          </cell>
          <cell r="E4325">
            <v>5</v>
          </cell>
        </row>
        <row r="4326">
          <cell r="C4326" t="str">
            <v>B593883/A</v>
          </cell>
          <cell r="D4326" t="str">
            <v>RH10085F384</v>
          </cell>
          <cell r="E4326">
            <v>8</v>
          </cell>
        </row>
        <row r="4327">
          <cell r="C4327" t="str">
            <v>B593886/A</v>
          </cell>
          <cell r="D4327" t="str">
            <v>RH10085F409</v>
          </cell>
          <cell r="E4327">
            <v>7</v>
          </cell>
        </row>
        <row r="4328">
          <cell r="C4328" t="str">
            <v>B593887/A</v>
          </cell>
          <cell r="D4328" t="str">
            <v>RH10085F409</v>
          </cell>
          <cell r="E4328">
            <v>9</v>
          </cell>
        </row>
        <row r="4329">
          <cell r="C4329" t="str">
            <v>B590797/A</v>
          </cell>
          <cell r="D4329" t="str">
            <v>RH10090F382</v>
          </cell>
          <cell r="E4329">
            <v>8</v>
          </cell>
        </row>
        <row r="4330">
          <cell r="C4330" t="str">
            <v>B590798/A</v>
          </cell>
          <cell r="D4330" t="str">
            <v>RH10090F382</v>
          </cell>
          <cell r="E4330">
            <v>8</v>
          </cell>
        </row>
        <row r="4331">
          <cell r="C4331" t="str">
            <v>B590800/A</v>
          </cell>
          <cell r="D4331" t="str">
            <v>RH10090F384</v>
          </cell>
          <cell r="E4331">
            <v>6</v>
          </cell>
        </row>
        <row r="4332">
          <cell r="C4332" t="str">
            <v>B590802/A</v>
          </cell>
          <cell r="D4332" t="str">
            <v>RH10090F409</v>
          </cell>
          <cell r="E4332">
            <v>8</v>
          </cell>
        </row>
        <row r="4333">
          <cell r="C4333" t="str">
            <v>B590805/A</v>
          </cell>
          <cell r="D4333" t="str">
            <v>RH10091F382</v>
          </cell>
          <cell r="E4333">
            <v>8</v>
          </cell>
        </row>
        <row r="4334">
          <cell r="C4334" t="str">
            <v>B590806/A</v>
          </cell>
          <cell r="D4334" t="str">
            <v>RH10091F382</v>
          </cell>
          <cell r="E4334">
            <v>10</v>
          </cell>
        </row>
        <row r="4335">
          <cell r="C4335" t="str">
            <v>B590809/A</v>
          </cell>
          <cell r="D4335" t="str">
            <v>RH10091F409</v>
          </cell>
          <cell r="E4335">
            <v>18</v>
          </cell>
        </row>
        <row r="4336">
          <cell r="C4336" t="str">
            <v>B590810/A</v>
          </cell>
          <cell r="D4336" t="str">
            <v>RH10091F409</v>
          </cell>
          <cell r="E4336">
            <v>20</v>
          </cell>
        </row>
        <row r="4337">
          <cell r="C4337" t="str">
            <v>B590784/A</v>
          </cell>
          <cell r="D4337" t="str">
            <v>RH10091F409</v>
          </cell>
          <cell r="E4337">
            <v>2</v>
          </cell>
        </row>
        <row r="4338">
          <cell r="C4338" t="str">
            <v>B590816/A</v>
          </cell>
          <cell r="D4338" t="str">
            <v>RH10092F383</v>
          </cell>
          <cell r="E4338">
            <v>12</v>
          </cell>
        </row>
        <row r="4339">
          <cell r="C4339" t="str">
            <v>B590813/A</v>
          </cell>
          <cell r="D4339" t="str">
            <v>RH10092F383</v>
          </cell>
          <cell r="E4339">
            <v>14</v>
          </cell>
        </row>
        <row r="4340">
          <cell r="C4340" t="str">
            <v>B590819/A</v>
          </cell>
          <cell r="D4340" t="str">
            <v>RH10092F384</v>
          </cell>
          <cell r="E4340">
            <v>5</v>
          </cell>
        </row>
        <row r="4341">
          <cell r="C4341" t="str">
            <v>B590822/A</v>
          </cell>
          <cell r="D4341" t="str">
            <v>RH10092F409</v>
          </cell>
          <cell r="E4341">
            <v>5</v>
          </cell>
        </row>
        <row r="4342">
          <cell r="C4342" t="str">
            <v>B590834/A</v>
          </cell>
          <cell r="D4342" t="str">
            <v>RH10158F383</v>
          </cell>
          <cell r="E4342">
            <v>3</v>
          </cell>
        </row>
        <row r="4343">
          <cell r="C4343" t="str">
            <v>B590837/A</v>
          </cell>
          <cell r="D4343" t="str">
            <v>RH10158F409</v>
          </cell>
          <cell r="E4343">
            <v>7</v>
          </cell>
        </row>
        <row r="4344">
          <cell r="C4344" t="str">
            <v>B593889/A</v>
          </cell>
          <cell r="D4344" t="str">
            <v>RH10173F382</v>
          </cell>
          <cell r="E4344">
            <v>8</v>
          </cell>
        </row>
        <row r="4345">
          <cell r="C4345" t="str">
            <v>B593891/A</v>
          </cell>
          <cell r="D4345" t="str">
            <v>RH10173F383</v>
          </cell>
          <cell r="E4345">
            <v>8</v>
          </cell>
        </row>
        <row r="4346">
          <cell r="C4346" t="str">
            <v>B593893/A</v>
          </cell>
          <cell r="D4346" t="str">
            <v>RH10173F384</v>
          </cell>
          <cell r="E4346">
            <v>7</v>
          </cell>
        </row>
        <row r="4347">
          <cell r="C4347" t="str">
            <v>B593895/A</v>
          </cell>
          <cell r="D4347" t="str">
            <v>RH10173F409</v>
          </cell>
          <cell r="E4347">
            <v>7</v>
          </cell>
        </row>
        <row r="4348">
          <cell r="C4348" t="str">
            <v>B593898/A</v>
          </cell>
          <cell r="D4348" t="str">
            <v>RH11128F451</v>
          </cell>
          <cell r="E4348">
            <v>25</v>
          </cell>
        </row>
        <row r="4349">
          <cell r="C4349" t="str">
            <v>B593899/A</v>
          </cell>
          <cell r="D4349" t="str">
            <v>RH11128F451</v>
          </cell>
          <cell r="E4349">
            <v>25</v>
          </cell>
        </row>
        <row r="4350">
          <cell r="C4350" t="str">
            <v>B593902/A</v>
          </cell>
          <cell r="D4350" t="str">
            <v>RH11128F456</v>
          </cell>
          <cell r="E4350">
            <v>15</v>
          </cell>
        </row>
        <row r="4351">
          <cell r="C4351" t="str">
            <v>B593903/A</v>
          </cell>
          <cell r="D4351" t="str">
            <v>RH11128F456</v>
          </cell>
          <cell r="E4351">
            <v>15</v>
          </cell>
        </row>
        <row r="4352">
          <cell r="C4352" t="str">
            <v>B593906/A</v>
          </cell>
          <cell r="D4352" t="str">
            <v>RH11132NF451</v>
          </cell>
          <cell r="E4352">
            <v>20</v>
          </cell>
        </row>
        <row r="4353">
          <cell r="C4353" t="str">
            <v>B593907/A</v>
          </cell>
          <cell r="D4353" t="str">
            <v>RH11132NF451</v>
          </cell>
          <cell r="E4353">
            <v>20</v>
          </cell>
        </row>
        <row r="4354">
          <cell r="C4354" t="str">
            <v>B593910/A</v>
          </cell>
          <cell r="D4354" t="str">
            <v>RH11132NF456</v>
          </cell>
          <cell r="E4354">
            <v>13</v>
          </cell>
        </row>
        <row r="4355">
          <cell r="C4355" t="str">
            <v>B593911/A</v>
          </cell>
          <cell r="D4355" t="str">
            <v>RH11132NF456</v>
          </cell>
          <cell r="E4355">
            <v>12</v>
          </cell>
        </row>
        <row r="4356">
          <cell r="C4356" t="str">
            <v>B593914/A</v>
          </cell>
          <cell r="D4356" t="str">
            <v>RH11133F451</v>
          </cell>
          <cell r="E4356">
            <v>5</v>
          </cell>
        </row>
        <row r="4357">
          <cell r="C4357" t="str">
            <v>B593915/A</v>
          </cell>
          <cell r="D4357" t="str">
            <v>RH11133F451</v>
          </cell>
          <cell r="E4357">
            <v>5</v>
          </cell>
        </row>
        <row r="4358">
          <cell r="C4358" t="str">
            <v>B593918/A</v>
          </cell>
          <cell r="D4358" t="str">
            <v>RH11133F456</v>
          </cell>
          <cell r="E4358">
            <v>5</v>
          </cell>
        </row>
        <row r="4359">
          <cell r="C4359" t="str">
            <v>B593919/A</v>
          </cell>
          <cell r="D4359" t="str">
            <v>RH11133F456</v>
          </cell>
          <cell r="E4359">
            <v>5</v>
          </cell>
        </row>
        <row r="4360">
          <cell r="C4360" t="str">
            <v>B593922/A</v>
          </cell>
          <cell r="D4360" t="str">
            <v>RH11136F451</v>
          </cell>
          <cell r="E4360">
            <v>8</v>
          </cell>
        </row>
        <row r="4361">
          <cell r="C4361" t="str">
            <v>B593923/A</v>
          </cell>
          <cell r="D4361" t="str">
            <v>RH11136F451</v>
          </cell>
          <cell r="E4361">
            <v>7</v>
          </cell>
        </row>
        <row r="4362">
          <cell r="C4362" t="str">
            <v>B593926/A</v>
          </cell>
          <cell r="D4362" t="str">
            <v>RH11136F456</v>
          </cell>
          <cell r="E4362">
            <v>5</v>
          </cell>
        </row>
        <row r="4363">
          <cell r="C4363" t="str">
            <v>B593927/A</v>
          </cell>
          <cell r="D4363" t="str">
            <v>RH11136F456</v>
          </cell>
          <cell r="E4363">
            <v>5</v>
          </cell>
        </row>
        <row r="4364">
          <cell r="C4364" t="str">
            <v>B593981/A</v>
          </cell>
          <cell r="D4364" t="str">
            <v>RH11137F451</v>
          </cell>
          <cell r="E4364">
            <v>5</v>
          </cell>
        </row>
        <row r="4365">
          <cell r="C4365" t="str">
            <v>B593982/A</v>
          </cell>
          <cell r="D4365" t="str">
            <v>RH11137F451</v>
          </cell>
          <cell r="E4365">
            <v>5</v>
          </cell>
        </row>
        <row r="4366">
          <cell r="C4366" t="str">
            <v>B593984/A</v>
          </cell>
          <cell r="D4366" t="str">
            <v>RH11137F456</v>
          </cell>
          <cell r="E4366">
            <v>5</v>
          </cell>
        </row>
        <row r="4367">
          <cell r="C4367" t="str">
            <v>B593986/A</v>
          </cell>
          <cell r="D4367" t="str">
            <v>RH11287F451</v>
          </cell>
          <cell r="E4367">
            <v>3</v>
          </cell>
        </row>
        <row r="4368">
          <cell r="C4368" t="str">
            <v>B593988/A</v>
          </cell>
          <cell r="D4368" t="str">
            <v>RH11287F456</v>
          </cell>
          <cell r="E4368">
            <v>5</v>
          </cell>
        </row>
        <row r="4369">
          <cell r="C4369" t="str">
            <v>B593929/A</v>
          </cell>
          <cell r="D4369" t="str">
            <v>RH125F03</v>
          </cell>
          <cell r="E4369">
            <v>9</v>
          </cell>
        </row>
        <row r="4370">
          <cell r="C4370" t="str">
            <v>B593990/A</v>
          </cell>
          <cell r="D4370" t="str">
            <v>RH164F03</v>
          </cell>
          <cell r="E4370">
            <v>1</v>
          </cell>
        </row>
        <row r="4371">
          <cell r="C4371" t="str">
            <v>B593934/A</v>
          </cell>
          <cell r="D4371" t="str">
            <v>RH1791F08</v>
          </cell>
          <cell r="E4371">
            <v>10</v>
          </cell>
        </row>
        <row r="4372">
          <cell r="C4372" t="str">
            <v>B593931/A</v>
          </cell>
          <cell r="D4372" t="str">
            <v>RH1791F08</v>
          </cell>
          <cell r="E4372">
            <v>10</v>
          </cell>
        </row>
        <row r="4373">
          <cell r="C4373" t="str">
            <v>B594043/A</v>
          </cell>
          <cell r="D4373" t="str">
            <v>RH2266F102</v>
          </cell>
          <cell r="E4373">
            <v>8</v>
          </cell>
        </row>
        <row r="4374">
          <cell r="C4374" t="str">
            <v>B594045/A</v>
          </cell>
          <cell r="D4374" t="str">
            <v>RH2266F103</v>
          </cell>
          <cell r="E4374">
            <v>2</v>
          </cell>
        </row>
        <row r="4375">
          <cell r="C4375" t="str">
            <v>B594047/A</v>
          </cell>
          <cell r="D4375" t="str">
            <v>RH2688F08CZ</v>
          </cell>
          <cell r="E4375">
            <v>5</v>
          </cell>
        </row>
        <row r="4376">
          <cell r="C4376" t="str">
            <v>B593936/A</v>
          </cell>
          <cell r="D4376" t="str">
            <v>RH2691F08CZ</v>
          </cell>
          <cell r="E4376">
            <v>5</v>
          </cell>
        </row>
        <row r="4377">
          <cell r="C4377" t="str">
            <v>B593939/A</v>
          </cell>
          <cell r="D4377" t="str">
            <v>RH2691F09CZ</v>
          </cell>
          <cell r="E4377">
            <v>5</v>
          </cell>
        </row>
        <row r="4378">
          <cell r="C4378" t="str">
            <v>B593940/A</v>
          </cell>
          <cell r="D4378" t="str">
            <v>RH2691F09CZ</v>
          </cell>
          <cell r="E4378">
            <v>5</v>
          </cell>
        </row>
        <row r="4379">
          <cell r="C4379" t="str">
            <v>B593942/A</v>
          </cell>
          <cell r="D4379" t="str">
            <v>RH2691F191</v>
          </cell>
          <cell r="E4379">
            <v>8</v>
          </cell>
        </row>
        <row r="4380">
          <cell r="C4380" t="str">
            <v>B592907/A</v>
          </cell>
          <cell r="D4380" t="str">
            <v>RH2902F10CZ</v>
          </cell>
          <cell r="E4380">
            <v>4</v>
          </cell>
        </row>
        <row r="4381">
          <cell r="C4381" t="str">
            <v>B592906/A</v>
          </cell>
          <cell r="D4381" t="str">
            <v>RH2902F10CZ</v>
          </cell>
          <cell r="E4381">
            <v>1</v>
          </cell>
        </row>
        <row r="4382">
          <cell r="C4382" t="str">
            <v>B592909/A</v>
          </cell>
          <cell r="D4382" t="str">
            <v>RH2902F191</v>
          </cell>
          <cell r="E4382">
            <v>21</v>
          </cell>
        </row>
        <row r="4383">
          <cell r="C4383" t="str">
            <v>B594050/A</v>
          </cell>
          <cell r="D4383" t="str">
            <v>RH3719F03</v>
          </cell>
          <cell r="E4383">
            <v>2</v>
          </cell>
        </row>
        <row r="4384">
          <cell r="C4384" t="str">
            <v>B594051/A</v>
          </cell>
          <cell r="D4384" t="str">
            <v>RH3719F03</v>
          </cell>
          <cell r="E4384">
            <v>3</v>
          </cell>
        </row>
        <row r="4385">
          <cell r="C4385" t="str">
            <v>B593944/A</v>
          </cell>
          <cell r="D4385" t="str">
            <v>RH6998F409</v>
          </cell>
          <cell r="E4385">
            <v>10</v>
          </cell>
        </row>
        <row r="4386">
          <cell r="C4386" t="str">
            <v>B593948/A</v>
          </cell>
          <cell r="D4386" t="str">
            <v>RH7151F381</v>
          </cell>
          <cell r="E4386">
            <v>4</v>
          </cell>
        </row>
        <row r="4387">
          <cell r="C4387" t="str">
            <v>B593949/A</v>
          </cell>
          <cell r="D4387" t="str">
            <v>RH7151F381</v>
          </cell>
          <cell r="E4387">
            <v>4</v>
          </cell>
        </row>
        <row r="4388">
          <cell r="C4388" t="str">
            <v>B593950/A</v>
          </cell>
          <cell r="D4388" t="str">
            <v>RH7151F381</v>
          </cell>
          <cell r="E4388">
            <v>3</v>
          </cell>
        </row>
        <row r="4389">
          <cell r="C4389" t="str">
            <v>B593954/A</v>
          </cell>
          <cell r="D4389" t="str">
            <v>RH7151F382</v>
          </cell>
          <cell r="E4389">
            <v>8</v>
          </cell>
        </row>
        <row r="4390">
          <cell r="C4390" t="str">
            <v>B593955/A</v>
          </cell>
          <cell r="D4390" t="str">
            <v>RH7151F382</v>
          </cell>
          <cell r="E4390">
            <v>2</v>
          </cell>
        </row>
        <row r="4391">
          <cell r="C4391" t="str">
            <v>B593956/A</v>
          </cell>
          <cell r="D4391" t="str">
            <v>RH7151F382</v>
          </cell>
          <cell r="E4391">
            <v>10</v>
          </cell>
        </row>
        <row r="4392">
          <cell r="C4392" t="str">
            <v>B593958/A</v>
          </cell>
          <cell r="D4392" t="str">
            <v>RH7151F383</v>
          </cell>
          <cell r="E4392">
            <v>7</v>
          </cell>
        </row>
        <row r="4393">
          <cell r="C4393" t="str">
            <v>B593963/A</v>
          </cell>
          <cell r="D4393" t="str">
            <v>RH7151F409</v>
          </cell>
          <cell r="E4393">
            <v>22</v>
          </cell>
        </row>
        <row r="4394">
          <cell r="C4394" t="str">
            <v>B593964/A</v>
          </cell>
          <cell r="D4394" t="str">
            <v>RH7151F409</v>
          </cell>
          <cell r="E4394">
            <v>8</v>
          </cell>
        </row>
        <row r="4395">
          <cell r="C4395" t="str">
            <v>B593966/A</v>
          </cell>
          <cell r="D4395" t="str">
            <v>RH7372F381</v>
          </cell>
          <cell r="E4395">
            <v>1</v>
          </cell>
        </row>
        <row r="4396">
          <cell r="C4396" t="str">
            <v>B593969/A</v>
          </cell>
          <cell r="D4396" t="str">
            <v>RH7372F382</v>
          </cell>
          <cell r="E4396">
            <v>7</v>
          </cell>
        </row>
        <row r="4397">
          <cell r="C4397" t="str">
            <v>B593970/A</v>
          </cell>
          <cell r="D4397" t="str">
            <v>RH7372F382</v>
          </cell>
          <cell r="E4397">
            <v>3</v>
          </cell>
        </row>
        <row r="4398">
          <cell r="C4398" t="str">
            <v>B594204/A</v>
          </cell>
          <cell r="D4398" t="str">
            <v>RH7374F409</v>
          </cell>
          <cell r="E4398">
            <v>6</v>
          </cell>
        </row>
        <row r="4399">
          <cell r="C4399" t="str">
            <v>B594202/A</v>
          </cell>
          <cell r="D4399" t="str">
            <v>RH7375F381</v>
          </cell>
          <cell r="E4399">
            <v>5</v>
          </cell>
        </row>
        <row r="4400">
          <cell r="C4400" t="str">
            <v>B594201/A</v>
          </cell>
          <cell r="D4400" t="str">
            <v>RH7375F381</v>
          </cell>
          <cell r="E4400">
            <v>1</v>
          </cell>
        </row>
        <row r="4401">
          <cell r="C4401" t="str">
            <v>B594053/A</v>
          </cell>
          <cell r="D4401" t="str">
            <v>RH7376F382</v>
          </cell>
          <cell r="E4401">
            <v>1</v>
          </cell>
        </row>
        <row r="4402">
          <cell r="C4402" t="str">
            <v>B594015/A</v>
          </cell>
          <cell r="D4402" t="str">
            <v>RH7376F383</v>
          </cell>
          <cell r="E4402">
            <v>2</v>
          </cell>
        </row>
        <row r="4403">
          <cell r="C4403" t="str">
            <v>B594016/A</v>
          </cell>
          <cell r="D4403" t="str">
            <v>RH7376F383</v>
          </cell>
          <cell r="E4403">
            <v>7</v>
          </cell>
        </row>
        <row r="4404">
          <cell r="C4404" t="str">
            <v>B593978/A</v>
          </cell>
          <cell r="D4404" t="str">
            <v>RH9137F397</v>
          </cell>
          <cell r="E4404">
            <v>5</v>
          </cell>
        </row>
        <row r="4405">
          <cell r="C4405" t="str">
            <v>B594055/A</v>
          </cell>
          <cell r="D4405" t="str">
            <v>RH9154F409</v>
          </cell>
          <cell r="E4405">
            <v>10</v>
          </cell>
        </row>
        <row r="4406">
          <cell r="C4406" t="str">
            <v>B594057/A</v>
          </cell>
          <cell r="D4406" t="str">
            <v>RH9155F381</v>
          </cell>
          <cell r="E4406">
            <v>6</v>
          </cell>
        </row>
        <row r="4407">
          <cell r="C4407" t="str">
            <v>B594059/A</v>
          </cell>
          <cell r="D4407" t="str">
            <v>RH9155F383</v>
          </cell>
          <cell r="E4407">
            <v>4</v>
          </cell>
        </row>
        <row r="4408">
          <cell r="C4408" t="str">
            <v>B594061/A</v>
          </cell>
          <cell r="D4408" t="str">
            <v>RH9873F423</v>
          </cell>
          <cell r="E4408">
            <v>10</v>
          </cell>
        </row>
        <row r="4409">
          <cell r="C4409" t="str">
            <v>B594064/A</v>
          </cell>
          <cell r="D4409" t="str">
            <v>RH9875F423</v>
          </cell>
          <cell r="E4409">
            <v>5</v>
          </cell>
        </row>
        <row r="4410">
          <cell r="C4410" t="str">
            <v>B594065/A</v>
          </cell>
          <cell r="D4410" t="str">
            <v>RH9875F423</v>
          </cell>
          <cell r="E4410">
            <v>1</v>
          </cell>
        </row>
        <row r="4411">
          <cell r="C4411" t="str">
            <v>B594067/A</v>
          </cell>
          <cell r="D4411" t="str">
            <v>RH9889F423</v>
          </cell>
          <cell r="E4411">
            <v>1</v>
          </cell>
        </row>
        <row r="4412">
          <cell r="C4412" t="str">
            <v>B594069/A</v>
          </cell>
          <cell r="D4412" t="str">
            <v>RH9889F426</v>
          </cell>
          <cell r="E4412">
            <v>4</v>
          </cell>
        </row>
        <row r="4413">
          <cell r="C4413" t="str">
            <v>B593992/A</v>
          </cell>
          <cell r="D4413" t="str">
            <v>SH293FMT02.UK</v>
          </cell>
          <cell r="E4413">
            <v>50</v>
          </cell>
        </row>
        <row r="4414">
          <cell r="C4414" t="str">
            <v>B593993/A</v>
          </cell>
          <cell r="D4414" t="str">
            <v>SH293FMT02-1486</v>
          </cell>
          <cell r="E4414">
            <v>30</v>
          </cell>
        </row>
        <row r="4415">
          <cell r="C4415" t="str">
            <v>B593994/A</v>
          </cell>
          <cell r="D4415" t="str">
            <v>SH293FMT02-1594</v>
          </cell>
          <cell r="E4415">
            <v>69</v>
          </cell>
        </row>
        <row r="4416">
          <cell r="C4416" t="str">
            <v>B593999/A</v>
          </cell>
          <cell r="D4416" t="str">
            <v>SH388F506-BASE</v>
          </cell>
          <cell r="E4416">
            <v>30</v>
          </cell>
        </row>
        <row r="4417">
          <cell r="C4417" t="str">
            <v>B594000/A</v>
          </cell>
          <cell r="D4417" t="str">
            <v>SH388F506-BASE</v>
          </cell>
          <cell r="E4417">
            <v>20</v>
          </cell>
        </row>
        <row r="4418">
          <cell r="C4418" t="str">
            <v>B590914/A</v>
          </cell>
          <cell r="D4418" t="str">
            <v>SH388F506-TOP</v>
          </cell>
          <cell r="E4418">
            <v>30</v>
          </cell>
        </row>
        <row r="4419">
          <cell r="C4419" t="str">
            <v>B590915/A</v>
          </cell>
          <cell r="D4419" t="str">
            <v>SH388F506-TOP</v>
          </cell>
          <cell r="E4419">
            <v>20</v>
          </cell>
        </row>
        <row r="4420">
          <cell r="C4420" t="str">
            <v>B594002/A</v>
          </cell>
          <cell r="D4420" t="str">
            <v>SH603F899-BASE</v>
          </cell>
          <cell r="E4420">
            <v>30</v>
          </cell>
        </row>
        <row r="4421">
          <cell r="C4421" t="str">
            <v>B590921/A</v>
          </cell>
          <cell r="D4421" t="str">
            <v>SH603F899-TOP</v>
          </cell>
          <cell r="E4421">
            <v>30</v>
          </cell>
        </row>
        <row r="4422">
          <cell r="C4422" t="str">
            <v>B590936/A</v>
          </cell>
          <cell r="D4422" t="str">
            <v>SH652F00-TOP</v>
          </cell>
          <cell r="E4422">
            <v>15</v>
          </cell>
        </row>
        <row r="4423">
          <cell r="C4423" t="str">
            <v>B590937/A</v>
          </cell>
          <cell r="D4423" t="str">
            <v>SH652F00-TOP</v>
          </cell>
          <cell r="E4423">
            <v>15</v>
          </cell>
        </row>
        <row r="4424">
          <cell r="C4424" t="str">
            <v>B594004/A</v>
          </cell>
          <cell r="D4424" t="str">
            <v>SH708F506-BASE</v>
          </cell>
          <cell r="E4424">
            <v>30</v>
          </cell>
        </row>
        <row r="4425">
          <cell r="C4425" t="str">
            <v>B590939/A</v>
          </cell>
          <cell r="D4425" t="str">
            <v>SH708F506-TOP</v>
          </cell>
          <cell r="E4425">
            <v>30</v>
          </cell>
        </row>
        <row r="4426">
          <cell r="C4426" t="str">
            <v>B594006/A</v>
          </cell>
          <cell r="D4426" t="str">
            <v>SH882F1211.UK-31854</v>
          </cell>
          <cell r="E4426">
            <v>72</v>
          </cell>
        </row>
        <row r="4427">
          <cell r="C4427" t="str">
            <v>B594007/A</v>
          </cell>
          <cell r="D4427" t="str">
            <v>SH882F1211.US-31854</v>
          </cell>
          <cell r="E4427">
            <v>43</v>
          </cell>
        </row>
        <row r="4428">
          <cell r="C4428" t="str">
            <v>B590946/A</v>
          </cell>
          <cell r="D4428" t="str">
            <v>SH919F1316</v>
          </cell>
          <cell r="E4428">
            <v>20</v>
          </cell>
        </row>
        <row r="4429">
          <cell r="C4429" t="str">
            <v>B590947/A</v>
          </cell>
          <cell r="D4429" t="str">
            <v>SH919F1316</v>
          </cell>
          <cell r="E4429">
            <v>24</v>
          </cell>
        </row>
        <row r="4430">
          <cell r="C4430" t="str">
            <v>B594010/A</v>
          </cell>
          <cell r="D4430" t="str">
            <v>SH932F1316</v>
          </cell>
          <cell r="E4430">
            <v>65</v>
          </cell>
        </row>
        <row r="4431">
          <cell r="C4431" t="str">
            <v>B594011/A</v>
          </cell>
          <cell r="D4431" t="str">
            <v>SH932F1316</v>
          </cell>
          <cell r="E4431">
            <v>43</v>
          </cell>
        </row>
        <row r="4432">
          <cell r="C4432" t="str">
            <v>B594198/A</v>
          </cell>
          <cell r="D4432" t="str">
            <v>CT007NF610-DWTL1</v>
          </cell>
          <cell r="E4432">
            <v>1</v>
          </cell>
        </row>
        <row r="4433">
          <cell r="C4433" t="str">
            <v>B594206/A</v>
          </cell>
          <cell r="D4433" t="str">
            <v>MN5875NF927</v>
          </cell>
          <cell r="E4433">
            <v>45</v>
          </cell>
        </row>
        <row r="4434">
          <cell r="C4434" t="str">
            <v>B594208/A</v>
          </cell>
          <cell r="D4434" t="str">
            <v>MN5880NF1010</v>
          </cell>
          <cell r="E4434">
            <v>25</v>
          </cell>
        </row>
        <row r="4435">
          <cell r="C4435" t="str">
            <v>B594210/A</v>
          </cell>
          <cell r="D4435" t="str">
            <v>MN5881NF1010</v>
          </cell>
          <cell r="E4435">
            <v>25</v>
          </cell>
        </row>
        <row r="4436">
          <cell r="C4436" t="str">
            <v>B593810/A</v>
          </cell>
          <cell r="D4436" t="str">
            <v>AR1096NF1291</v>
          </cell>
          <cell r="E4436">
            <v>7</v>
          </cell>
        </row>
        <row r="4437">
          <cell r="C4437" t="str">
            <v>B593811/A</v>
          </cell>
          <cell r="D4437" t="str">
            <v>AR1096NF1291</v>
          </cell>
          <cell r="E4437">
            <v>15</v>
          </cell>
        </row>
        <row r="4438">
          <cell r="C4438" t="str">
            <v>B592951/A</v>
          </cell>
          <cell r="D4438" t="str">
            <v>RH11216F451</v>
          </cell>
          <cell r="E4438">
            <v>5</v>
          </cell>
        </row>
        <row r="4439">
          <cell r="C4439" t="str">
            <v>B592952/A</v>
          </cell>
          <cell r="D4439" t="str">
            <v>RH11216F451</v>
          </cell>
          <cell r="E4439">
            <v>5</v>
          </cell>
        </row>
        <row r="4440">
          <cell r="C4440" t="str">
            <v>B592955/A</v>
          </cell>
          <cell r="D4440" t="str">
            <v>RH11216F456</v>
          </cell>
          <cell r="E4440">
            <v>5</v>
          </cell>
        </row>
        <row r="4441">
          <cell r="C4441" t="str">
            <v>B592956/A</v>
          </cell>
          <cell r="D4441" t="str">
            <v>RH11216F456</v>
          </cell>
          <cell r="E4441">
            <v>3</v>
          </cell>
        </row>
        <row r="4442">
          <cell r="C4442" t="str">
            <v>B592960/A</v>
          </cell>
          <cell r="D4442" t="str">
            <v>RH11217F451</v>
          </cell>
          <cell r="E4442">
            <v>5</v>
          </cell>
        </row>
        <row r="4443">
          <cell r="C4443" t="str">
            <v>B592961/A</v>
          </cell>
          <cell r="D4443" t="str">
            <v>RH11217F451</v>
          </cell>
          <cell r="E4443">
            <v>5</v>
          </cell>
        </row>
        <row r="4444">
          <cell r="C4444" t="str">
            <v>B592962/A</v>
          </cell>
          <cell r="D4444" t="str">
            <v>RH11217F451</v>
          </cell>
          <cell r="E4444">
            <v>5</v>
          </cell>
        </row>
        <row r="4445">
          <cell r="C4445" t="str">
            <v>B592967/A</v>
          </cell>
          <cell r="D4445" t="str">
            <v>RH11217F456</v>
          </cell>
          <cell r="E4445">
            <v>5</v>
          </cell>
        </row>
        <row r="4446">
          <cell r="C4446" t="str">
            <v>B592968/A</v>
          </cell>
          <cell r="D4446" t="str">
            <v>RH11217F456</v>
          </cell>
          <cell r="E4446">
            <v>5</v>
          </cell>
        </row>
        <row r="4447">
          <cell r="C4447" t="str">
            <v>B592969/A</v>
          </cell>
          <cell r="D4447" t="str">
            <v>RH11217F456</v>
          </cell>
          <cell r="E4447">
            <v>5</v>
          </cell>
        </row>
        <row r="4448">
          <cell r="C4448" t="str">
            <v>B592970/A</v>
          </cell>
          <cell r="D4448" t="str">
            <v>RH11217F456</v>
          </cell>
          <cell r="E4448">
            <v>5</v>
          </cell>
        </row>
        <row r="4449">
          <cell r="C4449" t="str">
            <v>B595365/A</v>
          </cell>
          <cell r="D4449" t="str">
            <v>RH4085F26</v>
          </cell>
          <cell r="E4449">
            <v>2</v>
          </cell>
        </row>
        <row r="4450">
          <cell r="C4450" t="str">
            <v>B595861/A</v>
          </cell>
          <cell r="D4450" t="str">
            <v>AR082F892</v>
          </cell>
          <cell r="E4450">
            <v>15</v>
          </cell>
        </row>
        <row r="4451">
          <cell r="C4451" t="str">
            <v>B595863/A</v>
          </cell>
          <cell r="D4451" t="str">
            <v>AR082F892</v>
          </cell>
          <cell r="E4451">
            <v>20</v>
          </cell>
        </row>
        <row r="4452">
          <cell r="C4452" t="str">
            <v>B595547/A</v>
          </cell>
          <cell r="D4452" t="str">
            <v>AR1092F1039</v>
          </cell>
          <cell r="E4452">
            <v>7</v>
          </cell>
        </row>
        <row r="4453">
          <cell r="C4453" t="str">
            <v>B595548/A</v>
          </cell>
          <cell r="D4453" t="str">
            <v>AR1092F1039</v>
          </cell>
          <cell r="E4453">
            <v>18</v>
          </cell>
        </row>
        <row r="4454">
          <cell r="C4454" t="str">
            <v>B595476/A</v>
          </cell>
          <cell r="D4454" t="str">
            <v>AR1093F1291</v>
          </cell>
          <cell r="E4454">
            <v>9</v>
          </cell>
        </row>
        <row r="4455">
          <cell r="C4455" t="str">
            <v>B595477/A</v>
          </cell>
          <cell r="D4455" t="str">
            <v>AR1093F1291</v>
          </cell>
          <cell r="E4455">
            <v>21</v>
          </cell>
        </row>
        <row r="4456">
          <cell r="C4456" t="str">
            <v>B595434/A</v>
          </cell>
          <cell r="D4456" t="str">
            <v>AR1142NF1291</v>
          </cell>
          <cell r="E4456">
            <v>9</v>
          </cell>
        </row>
        <row r="4457">
          <cell r="C4457" t="str">
            <v>B595441/A</v>
          </cell>
          <cell r="D4457" t="str">
            <v>AR1142NF1291</v>
          </cell>
          <cell r="E4457">
            <v>18</v>
          </cell>
        </row>
        <row r="4458">
          <cell r="C4458" t="str">
            <v>B595490/A</v>
          </cell>
          <cell r="D4458" t="str">
            <v>AR125F834-BASE</v>
          </cell>
          <cell r="E4458">
            <v>16</v>
          </cell>
        </row>
        <row r="4459">
          <cell r="C4459" t="str">
            <v>B595492/A</v>
          </cell>
          <cell r="D4459" t="str">
            <v>AR135F834-BASE</v>
          </cell>
          <cell r="E4459">
            <v>40</v>
          </cell>
        </row>
        <row r="4460">
          <cell r="C4460" t="str">
            <v>B595494/A</v>
          </cell>
          <cell r="D4460" t="str">
            <v>AR135F906-BASE</v>
          </cell>
          <cell r="E4460">
            <v>25</v>
          </cell>
        </row>
        <row r="4461">
          <cell r="C4461" t="str">
            <v>B595555/A</v>
          </cell>
          <cell r="D4461" t="str">
            <v>AR137F999</v>
          </cell>
          <cell r="E4461">
            <v>9</v>
          </cell>
        </row>
        <row r="4462">
          <cell r="C4462" t="str">
            <v>B595556/A</v>
          </cell>
          <cell r="D4462" t="str">
            <v>AR137F999</v>
          </cell>
          <cell r="E4462">
            <v>26</v>
          </cell>
        </row>
        <row r="4463">
          <cell r="C4463" t="str">
            <v>B595505/A</v>
          </cell>
          <cell r="D4463" t="str">
            <v>AR167NF1039</v>
          </cell>
          <cell r="E4463">
            <v>7</v>
          </cell>
        </row>
        <row r="4464">
          <cell r="C4464" t="str">
            <v>B595506/A</v>
          </cell>
          <cell r="D4464" t="str">
            <v>AR167NF1039</v>
          </cell>
          <cell r="E4464">
            <v>18</v>
          </cell>
        </row>
        <row r="4465">
          <cell r="C4465" t="str">
            <v>B595508/A</v>
          </cell>
          <cell r="D4465" t="str">
            <v>AR190F834-BASE</v>
          </cell>
          <cell r="E4465">
            <v>19</v>
          </cell>
        </row>
        <row r="4466">
          <cell r="C4466" t="str">
            <v>B595510/A</v>
          </cell>
          <cell r="D4466" t="str">
            <v>AR190F906-BASE</v>
          </cell>
          <cell r="E4466">
            <v>15</v>
          </cell>
        </row>
        <row r="4467">
          <cell r="C4467" t="str">
            <v>B595513/A</v>
          </cell>
          <cell r="D4467" t="str">
            <v>AR306F906-BASE</v>
          </cell>
          <cell r="E4467">
            <v>5</v>
          </cell>
        </row>
        <row r="4468">
          <cell r="C4468" t="str">
            <v>B595514/A</v>
          </cell>
          <cell r="D4468" t="str">
            <v>AR306F906-BASE</v>
          </cell>
          <cell r="E4468">
            <v>20</v>
          </cell>
        </row>
        <row r="4469">
          <cell r="C4469" t="str">
            <v>B595559/A</v>
          </cell>
          <cell r="D4469" t="str">
            <v>AR368F906</v>
          </cell>
          <cell r="E4469">
            <v>7</v>
          </cell>
        </row>
        <row r="4470">
          <cell r="C4470" t="str">
            <v>B595560/A</v>
          </cell>
          <cell r="D4470" t="str">
            <v>AR368F906</v>
          </cell>
          <cell r="E4470">
            <v>18</v>
          </cell>
        </row>
        <row r="4471">
          <cell r="C4471" t="str">
            <v>B595866/A</v>
          </cell>
          <cell r="D4471" t="str">
            <v>AR373F906</v>
          </cell>
          <cell r="E4471">
            <v>7</v>
          </cell>
        </row>
        <row r="4472">
          <cell r="C4472" t="str">
            <v>B595867/A</v>
          </cell>
          <cell r="D4472" t="str">
            <v>AR373F906</v>
          </cell>
          <cell r="E4472">
            <v>18</v>
          </cell>
        </row>
        <row r="4473">
          <cell r="C4473" t="str">
            <v>B593736/A</v>
          </cell>
          <cell r="D4473" t="str">
            <v>AR392AF1049</v>
          </cell>
          <cell r="E4473">
            <v>7</v>
          </cell>
        </row>
        <row r="4474">
          <cell r="C4474" t="str">
            <v>B593737/A</v>
          </cell>
          <cell r="D4474" t="str">
            <v>AR392AF1049</v>
          </cell>
          <cell r="E4474">
            <v>18</v>
          </cell>
        </row>
        <row r="4475">
          <cell r="C4475" t="str">
            <v>B595517/A</v>
          </cell>
          <cell r="D4475" t="str">
            <v>AR417F906-BASE</v>
          </cell>
          <cell r="E4475">
            <v>5</v>
          </cell>
        </row>
        <row r="4476">
          <cell r="C4476" t="str">
            <v>B595518/A</v>
          </cell>
          <cell r="D4476" t="str">
            <v>AR417F906-BASE</v>
          </cell>
          <cell r="E4476">
            <v>20</v>
          </cell>
        </row>
        <row r="4477">
          <cell r="C4477" t="str">
            <v>B593699/A</v>
          </cell>
          <cell r="D4477" t="str">
            <v>AR720F892-BASE1</v>
          </cell>
          <cell r="E4477">
            <v>41</v>
          </cell>
        </row>
        <row r="4478">
          <cell r="C4478" t="str">
            <v>B595520/A</v>
          </cell>
          <cell r="D4478" t="str">
            <v>AR720F892-BASE1</v>
          </cell>
          <cell r="E4478">
            <v>134</v>
          </cell>
        </row>
        <row r="4479">
          <cell r="C4479" t="str">
            <v>B593701/A</v>
          </cell>
          <cell r="D4479" t="str">
            <v>AR720F892-TOP</v>
          </cell>
          <cell r="E4479">
            <v>41</v>
          </cell>
        </row>
        <row r="4480">
          <cell r="C4480" t="str">
            <v>B595522/A</v>
          </cell>
          <cell r="D4480" t="str">
            <v>AR720F892-TOP</v>
          </cell>
          <cell r="E4480">
            <v>134</v>
          </cell>
        </row>
        <row r="4481">
          <cell r="C4481" t="str">
            <v>B595437/A</v>
          </cell>
          <cell r="D4481" t="str">
            <v>AR721F892-BASE2</v>
          </cell>
          <cell r="E4481">
            <v>15</v>
          </cell>
        </row>
        <row r="4482">
          <cell r="C4482" t="str">
            <v>B595438/A</v>
          </cell>
          <cell r="D4482" t="str">
            <v>AR721F892-BASE2</v>
          </cell>
          <cell r="E4482">
            <v>35</v>
          </cell>
        </row>
        <row r="4483">
          <cell r="C4483" t="str">
            <v>B595443/A</v>
          </cell>
          <cell r="D4483" t="str">
            <v>AR756F892-BASE2</v>
          </cell>
          <cell r="E4483">
            <v>25</v>
          </cell>
        </row>
        <row r="4484">
          <cell r="C4484" t="str">
            <v>B595444/A</v>
          </cell>
          <cell r="D4484" t="str">
            <v>AR756F892-BASE2</v>
          </cell>
          <cell r="E4484">
            <v>25</v>
          </cell>
        </row>
        <row r="4485">
          <cell r="C4485" t="str">
            <v>B595525/A</v>
          </cell>
          <cell r="D4485" t="str">
            <v>AR756F892-BASE2</v>
          </cell>
          <cell r="E4485">
            <v>61</v>
          </cell>
        </row>
        <row r="4486">
          <cell r="C4486" t="str">
            <v>B595526/A</v>
          </cell>
          <cell r="D4486" t="str">
            <v>AR756F892-BASE2</v>
          </cell>
          <cell r="E4486">
            <v>59</v>
          </cell>
        </row>
        <row r="4487">
          <cell r="C4487" t="str">
            <v>B595529/A</v>
          </cell>
          <cell r="D4487" t="str">
            <v>AR756F892-BASE3</v>
          </cell>
          <cell r="E4487">
            <v>7</v>
          </cell>
        </row>
        <row r="4488">
          <cell r="C4488" t="str">
            <v>B595530/A</v>
          </cell>
          <cell r="D4488" t="str">
            <v>AR756F892-BASE3</v>
          </cell>
          <cell r="E4488">
            <v>18</v>
          </cell>
        </row>
        <row r="4489">
          <cell r="C4489" t="str">
            <v>B595448/A</v>
          </cell>
          <cell r="D4489" t="str">
            <v>AR756F892-TOP</v>
          </cell>
          <cell r="E4489">
            <v>24</v>
          </cell>
        </row>
        <row r="4490">
          <cell r="C4490" t="str">
            <v>B595449/A</v>
          </cell>
          <cell r="D4490" t="str">
            <v>AR756F892-TOP</v>
          </cell>
          <cell r="E4490">
            <v>31</v>
          </cell>
        </row>
        <row r="4491">
          <cell r="C4491" t="str">
            <v>B595460/A</v>
          </cell>
          <cell r="D4491" t="str">
            <v>AR757F892-BASE</v>
          </cell>
          <cell r="E4491">
            <v>18</v>
          </cell>
        </row>
        <row r="4492">
          <cell r="C4492" t="str">
            <v>B595461/A</v>
          </cell>
          <cell r="D4492" t="str">
            <v>AR757F892-BASE</v>
          </cell>
          <cell r="E4492">
            <v>7</v>
          </cell>
        </row>
        <row r="4493">
          <cell r="C4493" t="str">
            <v>B595464/A</v>
          </cell>
          <cell r="D4493" t="str">
            <v>AR757F892-TOP</v>
          </cell>
          <cell r="E4493">
            <v>18</v>
          </cell>
        </row>
        <row r="4494">
          <cell r="C4494" t="str">
            <v>B595465/A</v>
          </cell>
          <cell r="D4494" t="str">
            <v>AR757F892-TOP</v>
          </cell>
          <cell r="E4494">
            <v>7</v>
          </cell>
        </row>
        <row r="4495">
          <cell r="C4495" t="str">
            <v>B595532/A</v>
          </cell>
          <cell r="D4495" t="str">
            <v>AR759F834-BASE</v>
          </cell>
          <cell r="E4495">
            <v>25</v>
          </cell>
        </row>
        <row r="4496">
          <cell r="C4496" t="str">
            <v>B595468/A</v>
          </cell>
          <cell r="D4496" t="str">
            <v>AR762F892-BASE</v>
          </cell>
          <cell r="E4496">
            <v>18</v>
          </cell>
        </row>
        <row r="4497">
          <cell r="C4497" t="str">
            <v>B595469/A</v>
          </cell>
          <cell r="D4497" t="str">
            <v>AR762F892-BASE</v>
          </cell>
          <cell r="E4497">
            <v>7</v>
          </cell>
        </row>
        <row r="4498">
          <cell r="C4498" t="str">
            <v>B595472/A</v>
          </cell>
          <cell r="D4498" t="str">
            <v>AR762F892-TOP</v>
          </cell>
          <cell r="E4498">
            <v>18</v>
          </cell>
        </row>
        <row r="4499">
          <cell r="C4499" t="str">
            <v>B595473/A</v>
          </cell>
          <cell r="D4499" t="str">
            <v>AR762F892-TOP</v>
          </cell>
          <cell r="E4499">
            <v>7</v>
          </cell>
        </row>
        <row r="4500">
          <cell r="C4500" t="str">
            <v>B595479/A</v>
          </cell>
          <cell r="D4500" t="str">
            <v>AR784F1049</v>
          </cell>
          <cell r="E4500">
            <v>15</v>
          </cell>
        </row>
        <row r="4501">
          <cell r="C4501" t="str">
            <v>B595481/A</v>
          </cell>
          <cell r="D4501" t="str">
            <v>AR784F906</v>
          </cell>
          <cell r="E4501">
            <v>24</v>
          </cell>
        </row>
        <row r="4502">
          <cell r="C4502" t="str">
            <v>B593748/A</v>
          </cell>
          <cell r="D4502" t="str">
            <v>AR790F1049</v>
          </cell>
          <cell r="E4502">
            <v>9</v>
          </cell>
        </row>
        <row r="4503">
          <cell r="C4503" t="str">
            <v>B593749/A</v>
          </cell>
          <cell r="D4503" t="str">
            <v>AR790F1049</v>
          </cell>
          <cell r="E4503">
            <v>21</v>
          </cell>
        </row>
        <row r="4504">
          <cell r="C4504" t="str">
            <v>B595535/A</v>
          </cell>
          <cell r="D4504" t="str">
            <v>AR801F1039</v>
          </cell>
          <cell r="E4504">
            <v>7</v>
          </cell>
        </row>
        <row r="4505">
          <cell r="C4505" t="str">
            <v>B595536/A</v>
          </cell>
          <cell r="D4505" t="str">
            <v>AR801F1039</v>
          </cell>
          <cell r="E4505">
            <v>18</v>
          </cell>
        </row>
        <row r="4506">
          <cell r="C4506" t="str">
            <v>B595595/A</v>
          </cell>
          <cell r="D4506" t="str">
            <v>AR979AF1221</v>
          </cell>
          <cell r="E4506">
            <v>7</v>
          </cell>
        </row>
        <row r="4507">
          <cell r="C4507" t="str">
            <v>B595596/A</v>
          </cell>
          <cell r="D4507" t="str">
            <v>AR979AF1221</v>
          </cell>
          <cell r="E4507">
            <v>18</v>
          </cell>
        </row>
        <row r="4508">
          <cell r="C4508" t="str">
            <v>B595575/A</v>
          </cell>
          <cell r="D4508" t="str">
            <v>AR980AF1221</v>
          </cell>
          <cell r="E4508">
            <v>7</v>
          </cell>
        </row>
        <row r="4509">
          <cell r="C4509" t="str">
            <v>B595576/A</v>
          </cell>
          <cell r="D4509" t="str">
            <v>AR980AF1221</v>
          </cell>
          <cell r="E4509">
            <v>18</v>
          </cell>
        </row>
        <row r="4510">
          <cell r="C4510" t="str">
            <v>B595808/A</v>
          </cell>
          <cell r="D4510" t="str">
            <v>AT383F535-VE</v>
          </cell>
          <cell r="E4510">
            <v>25</v>
          </cell>
        </row>
        <row r="4511">
          <cell r="C4511" t="str">
            <v>B595810/A</v>
          </cell>
          <cell r="D4511" t="str">
            <v>AT452F884</v>
          </cell>
          <cell r="E4511">
            <v>25</v>
          </cell>
        </row>
        <row r="4512">
          <cell r="C4512" t="str">
            <v>B595837/A</v>
          </cell>
          <cell r="D4512" t="str">
            <v>AT479NF1059</v>
          </cell>
          <cell r="E4512">
            <v>25</v>
          </cell>
        </row>
        <row r="4513">
          <cell r="C4513" t="str">
            <v>B595840/A</v>
          </cell>
          <cell r="D4513" t="str">
            <v>AT479NF1294</v>
          </cell>
          <cell r="E4513">
            <v>50</v>
          </cell>
        </row>
        <row r="4514">
          <cell r="C4514" t="str">
            <v>B595834/A</v>
          </cell>
          <cell r="D4514" t="str">
            <v>AT479NF877</v>
          </cell>
          <cell r="E4514">
            <v>25</v>
          </cell>
        </row>
        <row r="4515">
          <cell r="C4515" t="str">
            <v>B595899/A</v>
          </cell>
          <cell r="D4515" t="str">
            <v>AT481F1059</v>
          </cell>
          <cell r="E4515">
            <v>50</v>
          </cell>
        </row>
        <row r="4516">
          <cell r="C4516" t="str">
            <v>B595909/A</v>
          </cell>
          <cell r="D4516" t="str">
            <v>AT481F1059</v>
          </cell>
          <cell r="E4516">
            <v>50</v>
          </cell>
        </row>
        <row r="4517">
          <cell r="C4517" t="str">
            <v>B595901/A</v>
          </cell>
          <cell r="D4517" t="str">
            <v>AT481F1310</v>
          </cell>
          <cell r="E4517">
            <v>50</v>
          </cell>
        </row>
        <row r="4518">
          <cell r="C4518" t="str">
            <v>B595903/A</v>
          </cell>
          <cell r="D4518" t="str">
            <v>AT522NF1059</v>
          </cell>
          <cell r="E4518">
            <v>25</v>
          </cell>
        </row>
        <row r="4519">
          <cell r="C4519" t="str">
            <v>B595844/A</v>
          </cell>
          <cell r="D4519" t="str">
            <v>AT522NF1237</v>
          </cell>
          <cell r="E4519">
            <v>25</v>
          </cell>
        </row>
        <row r="4520">
          <cell r="C4520" t="str">
            <v>B595905/A</v>
          </cell>
          <cell r="D4520" t="str">
            <v>AT522NF1294</v>
          </cell>
          <cell r="E4520">
            <v>25</v>
          </cell>
        </row>
        <row r="4521">
          <cell r="C4521" t="str">
            <v>B595812/A</v>
          </cell>
          <cell r="D4521" t="str">
            <v>AT532NF884</v>
          </cell>
          <cell r="E4521">
            <v>25</v>
          </cell>
        </row>
        <row r="4522">
          <cell r="C4522" t="str">
            <v>B595424/A</v>
          </cell>
          <cell r="D4522" t="str">
            <v>AT537NF1040</v>
          </cell>
          <cell r="E4522">
            <v>30</v>
          </cell>
        </row>
        <row r="4523">
          <cell r="C4523" t="str">
            <v>B595817/A</v>
          </cell>
          <cell r="D4523" t="str">
            <v>AT573F1089-VE</v>
          </cell>
          <cell r="E4523">
            <v>25</v>
          </cell>
        </row>
        <row r="4524">
          <cell r="C4524" t="str">
            <v>B595818/A</v>
          </cell>
          <cell r="D4524" t="str">
            <v>AT573F1089-VE</v>
          </cell>
          <cell r="E4524">
            <v>25</v>
          </cell>
        </row>
        <row r="4525">
          <cell r="C4525" t="str">
            <v>B595814/A</v>
          </cell>
          <cell r="D4525" t="str">
            <v>AT573F535-VE</v>
          </cell>
          <cell r="E4525">
            <v>25</v>
          </cell>
        </row>
        <row r="4526">
          <cell r="C4526" t="str">
            <v>B595426/A</v>
          </cell>
          <cell r="D4526" t="str">
            <v>AT635F1132</v>
          </cell>
          <cell r="E4526">
            <v>25</v>
          </cell>
        </row>
        <row r="4527">
          <cell r="C4527" t="str">
            <v>B595891/A</v>
          </cell>
          <cell r="D4527" t="str">
            <v>AT635F1132</v>
          </cell>
          <cell r="E4527">
            <v>3</v>
          </cell>
        </row>
        <row r="4528">
          <cell r="C4528" t="str">
            <v>B595428/A</v>
          </cell>
          <cell r="D4528" t="str">
            <v>AT640F1198</v>
          </cell>
          <cell r="E4528">
            <v>25</v>
          </cell>
        </row>
        <row r="4529">
          <cell r="C4529" t="str">
            <v>B595851/A</v>
          </cell>
          <cell r="D4529" t="str">
            <v>AT665NF1294</v>
          </cell>
          <cell r="E4529">
            <v>50</v>
          </cell>
        </row>
        <row r="4530">
          <cell r="C4530" t="str">
            <v>B595496/A</v>
          </cell>
          <cell r="D4530" t="str">
            <v>AT676F1089</v>
          </cell>
          <cell r="E4530">
            <v>30</v>
          </cell>
        </row>
        <row r="4531">
          <cell r="C4531" t="str">
            <v>B592646/A</v>
          </cell>
          <cell r="D4531" t="str">
            <v>CZ054F09</v>
          </cell>
          <cell r="E4531">
            <v>1</v>
          </cell>
        </row>
        <row r="4532">
          <cell r="C4532" t="str">
            <v>B592645/A</v>
          </cell>
          <cell r="D4532" t="str">
            <v>CZ054F09</v>
          </cell>
          <cell r="E4532">
            <v>2</v>
          </cell>
        </row>
        <row r="4533">
          <cell r="C4533" t="str">
            <v>B595398/A</v>
          </cell>
          <cell r="D4533" t="str">
            <v>CZ054F10</v>
          </cell>
          <cell r="E4533">
            <v>2</v>
          </cell>
        </row>
        <row r="4534">
          <cell r="C4534" t="str">
            <v>B595401/A</v>
          </cell>
          <cell r="D4534" t="str">
            <v>CZ054F190</v>
          </cell>
          <cell r="E4534">
            <v>2</v>
          </cell>
        </row>
        <row r="4535">
          <cell r="C4535" t="str">
            <v>B595402/A</v>
          </cell>
          <cell r="D4535" t="str">
            <v>CZ054F190</v>
          </cell>
          <cell r="E4535">
            <v>3</v>
          </cell>
        </row>
        <row r="4536">
          <cell r="C4536" t="str">
            <v>B593717/A</v>
          </cell>
          <cell r="D4536" t="str">
            <v>CZ355F190</v>
          </cell>
          <cell r="E4536">
            <v>3</v>
          </cell>
        </row>
        <row r="4537">
          <cell r="C4537" t="str">
            <v>B593713/A</v>
          </cell>
          <cell r="D4537" t="str">
            <v>CZ355F191</v>
          </cell>
          <cell r="E4537">
            <v>7</v>
          </cell>
        </row>
        <row r="4538">
          <cell r="C4538" t="str">
            <v>B590019/A</v>
          </cell>
          <cell r="D4538" t="str">
            <v>CZ495F09</v>
          </cell>
          <cell r="E4538">
            <v>7</v>
          </cell>
        </row>
        <row r="4539">
          <cell r="C4539" t="str">
            <v>B595774/A</v>
          </cell>
          <cell r="D4539" t="str">
            <v>CZ495F190</v>
          </cell>
          <cell r="E4539">
            <v>1</v>
          </cell>
        </row>
        <row r="4540">
          <cell r="C4540" t="str">
            <v>B595777/A</v>
          </cell>
          <cell r="D4540" t="str">
            <v>CZ495F191</v>
          </cell>
          <cell r="E4540">
            <v>2</v>
          </cell>
        </row>
        <row r="4541">
          <cell r="C4541" t="str">
            <v>B595907/A</v>
          </cell>
          <cell r="D4541" t="str">
            <v>CZ501F10-31912</v>
          </cell>
          <cell r="E4541">
            <v>2</v>
          </cell>
        </row>
        <row r="4542">
          <cell r="C4542" t="str">
            <v>B595779/A</v>
          </cell>
          <cell r="D4542" t="str">
            <v>CZ558F191</v>
          </cell>
          <cell r="E4542">
            <v>10</v>
          </cell>
        </row>
        <row r="4543">
          <cell r="C4543" t="str">
            <v>B595893/A</v>
          </cell>
          <cell r="D4543" t="str">
            <v>CZ824F286TR</v>
          </cell>
          <cell r="E4543">
            <v>15</v>
          </cell>
        </row>
        <row r="4544">
          <cell r="C4544" t="str">
            <v>B595895/A</v>
          </cell>
          <cell r="D4544" t="str">
            <v>CZ828F286TR</v>
          </cell>
          <cell r="E4544">
            <v>15</v>
          </cell>
        </row>
        <row r="4545">
          <cell r="C4545" t="str">
            <v>B595897/A</v>
          </cell>
          <cell r="D4545" t="str">
            <v>CZ829F286TR</v>
          </cell>
          <cell r="E4545">
            <v>15</v>
          </cell>
        </row>
        <row r="4546">
          <cell r="C4546" t="str">
            <v>B595781/A</v>
          </cell>
          <cell r="D4546" t="str">
            <v>CZ875F188</v>
          </cell>
          <cell r="E4546">
            <v>2</v>
          </cell>
        </row>
        <row r="4547">
          <cell r="C4547" t="str">
            <v>B595783/A</v>
          </cell>
          <cell r="D4547" t="str">
            <v>CZ875F196</v>
          </cell>
          <cell r="E4547">
            <v>8</v>
          </cell>
        </row>
        <row r="4548">
          <cell r="C4548" t="str">
            <v>B595412/A</v>
          </cell>
          <cell r="D4548" t="str">
            <v>CZ893F409</v>
          </cell>
          <cell r="E4548">
            <v>1</v>
          </cell>
        </row>
        <row r="4549">
          <cell r="C4549" t="str">
            <v>B595414/A</v>
          </cell>
          <cell r="D4549" t="str">
            <v>CZ941F08</v>
          </cell>
          <cell r="E4549">
            <v>3</v>
          </cell>
        </row>
        <row r="4550">
          <cell r="C4550" t="str">
            <v>B595416/A</v>
          </cell>
          <cell r="D4550" t="str">
            <v>CZ941F09</v>
          </cell>
          <cell r="E4550">
            <v>3</v>
          </cell>
        </row>
        <row r="4551">
          <cell r="C4551" t="str">
            <v>B595418/A</v>
          </cell>
          <cell r="D4551" t="str">
            <v>CZ943F09</v>
          </cell>
          <cell r="E4551">
            <v>5</v>
          </cell>
        </row>
        <row r="4552">
          <cell r="C4552" t="str">
            <v>B595420/A</v>
          </cell>
          <cell r="D4552" t="str">
            <v>CZ944F191</v>
          </cell>
          <cell r="E4552">
            <v>5</v>
          </cell>
        </row>
        <row r="4553">
          <cell r="C4553" t="str">
            <v>B595786/A</v>
          </cell>
          <cell r="D4553" t="str">
            <v>RH10114F382</v>
          </cell>
          <cell r="E4553">
            <v>7</v>
          </cell>
        </row>
        <row r="4554">
          <cell r="C4554" t="str">
            <v>B595788/A</v>
          </cell>
          <cell r="D4554" t="str">
            <v>RH10114F384</v>
          </cell>
          <cell r="E4554">
            <v>3</v>
          </cell>
        </row>
        <row r="4555">
          <cell r="C4555" t="str">
            <v>B595790/A</v>
          </cell>
          <cell r="D4555" t="str">
            <v>RH10116F382</v>
          </cell>
          <cell r="E4555">
            <v>5</v>
          </cell>
        </row>
        <row r="4556">
          <cell r="C4556" t="str">
            <v>B590886/A</v>
          </cell>
          <cell r="D4556" t="str">
            <v>RH10128F382</v>
          </cell>
          <cell r="E4556">
            <v>5</v>
          </cell>
        </row>
        <row r="4557">
          <cell r="C4557" t="str">
            <v>B590888/A</v>
          </cell>
          <cell r="D4557" t="str">
            <v>RH10163F382</v>
          </cell>
          <cell r="E4557">
            <v>2</v>
          </cell>
        </row>
        <row r="4558">
          <cell r="C4558" t="str">
            <v>B590899/A</v>
          </cell>
          <cell r="D4558" t="str">
            <v>RH10163F409</v>
          </cell>
          <cell r="E4558">
            <v>6</v>
          </cell>
        </row>
        <row r="4559">
          <cell r="C4559" t="str">
            <v>B595792/A</v>
          </cell>
          <cell r="D4559" t="str">
            <v>RH10164F382</v>
          </cell>
          <cell r="E4559">
            <v>10</v>
          </cell>
        </row>
        <row r="4560">
          <cell r="C4560" t="str">
            <v>B595794/A</v>
          </cell>
          <cell r="D4560" t="str">
            <v>RH10166F382</v>
          </cell>
          <cell r="E4560">
            <v>3</v>
          </cell>
        </row>
        <row r="4561">
          <cell r="C4561" t="str">
            <v>B595796/A</v>
          </cell>
          <cell r="D4561" t="str">
            <v>RH10166F409</v>
          </cell>
          <cell r="E4561">
            <v>7</v>
          </cell>
        </row>
        <row r="4562">
          <cell r="C4562" t="str">
            <v>B595763/A</v>
          </cell>
          <cell r="D4562" t="str">
            <v>RH10171F382</v>
          </cell>
          <cell r="E4562">
            <v>1</v>
          </cell>
        </row>
        <row r="4563">
          <cell r="C4563" t="str">
            <v>B595767/A</v>
          </cell>
          <cell r="D4563" t="str">
            <v>RH10171F383</v>
          </cell>
          <cell r="E4563">
            <v>2</v>
          </cell>
        </row>
        <row r="4564">
          <cell r="C4564" t="str">
            <v>B595771/A</v>
          </cell>
          <cell r="D4564" t="str">
            <v>RH10171F409</v>
          </cell>
          <cell r="E4564">
            <v>9</v>
          </cell>
        </row>
        <row r="4565">
          <cell r="C4565" t="str">
            <v>B595601/A</v>
          </cell>
          <cell r="D4565" t="str">
            <v>RH11126F451</v>
          </cell>
          <cell r="E4565">
            <v>5</v>
          </cell>
        </row>
        <row r="4566">
          <cell r="C4566" t="str">
            <v>B595602/A</v>
          </cell>
          <cell r="D4566" t="str">
            <v>RH11126F451</v>
          </cell>
          <cell r="E4566">
            <v>5</v>
          </cell>
        </row>
        <row r="4567">
          <cell r="C4567" t="str">
            <v>B595605/A</v>
          </cell>
          <cell r="D4567" t="str">
            <v>RH11126F456</v>
          </cell>
          <cell r="E4567">
            <v>5</v>
          </cell>
        </row>
        <row r="4568">
          <cell r="C4568" t="str">
            <v>B595606/A</v>
          </cell>
          <cell r="D4568" t="str">
            <v>RH11126F456</v>
          </cell>
          <cell r="E4568">
            <v>5</v>
          </cell>
        </row>
        <row r="4569">
          <cell r="C4569" t="str">
            <v>B595609/A</v>
          </cell>
          <cell r="D4569" t="str">
            <v>RH11127F451</v>
          </cell>
          <cell r="E4569">
            <v>5</v>
          </cell>
        </row>
        <row r="4570">
          <cell r="C4570" t="str">
            <v>B595610/A</v>
          </cell>
          <cell r="D4570" t="str">
            <v>RH11127F451</v>
          </cell>
          <cell r="E4570">
            <v>5</v>
          </cell>
        </row>
        <row r="4571">
          <cell r="C4571" t="str">
            <v>B595613/A</v>
          </cell>
          <cell r="D4571" t="str">
            <v>RH11127F456</v>
          </cell>
          <cell r="E4571">
            <v>5</v>
          </cell>
        </row>
        <row r="4572">
          <cell r="C4572" t="str">
            <v>B595614/A</v>
          </cell>
          <cell r="D4572" t="str">
            <v>RH11127F456</v>
          </cell>
          <cell r="E4572">
            <v>5</v>
          </cell>
        </row>
        <row r="4573">
          <cell r="C4573" t="str">
            <v>B595617/A</v>
          </cell>
          <cell r="D4573" t="str">
            <v>RH11129F451</v>
          </cell>
          <cell r="E4573">
            <v>20</v>
          </cell>
        </row>
        <row r="4574">
          <cell r="C4574" t="str">
            <v>B595618/A</v>
          </cell>
          <cell r="D4574" t="str">
            <v>RH11129F451</v>
          </cell>
          <cell r="E4574">
            <v>20</v>
          </cell>
        </row>
        <row r="4575">
          <cell r="C4575" t="str">
            <v>B595621/A</v>
          </cell>
          <cell r="D4575" t="str">
            <v>RH11129F456</v>
          </cell>
          <cell r="E4575">
            <v>13</v>
          </cell>
        </row>
        <row r="4576">
          <cell r="C4576" t="str">
            <v>B595622/A</v>
          </cell>
          <cell r="D4576" t="str">
            <v>RH11129F456</v>
          </cell>
          <cell r="E4576">
            <v>12</v>
          </cell>
        </row>
        <row r="4577">
          <cell r="C4577" t="str">
            <v>B595625/A</v>
          </cell>
          <cell r="D4577" t="str">
            <v>RH11130NF451</v>
          </cell>
          <cell r="E4577">
            <v>5</v>
          </cell>
        </row>
        <row r="4578">
          <cell r="C4578" t="str">
            <v>B595626/A</v>
          </cell>
          <cell r="D4578" t="str">
            <v>RH11130NF451</v>
          </cell>
          <cell r="E4578">
            <v>5</v>
          </cell>
        </row>
        <row r="4579">
          <cell r="C4579" t="str">
            <v>B595629/A</v>
          </cell>
          <cell r="D4579" t="str">
            <v>RH11130NF456</v>
          </cell>
          <cell r="E4579">
            <v>5</v>
          </cell>
        </row>
        <row r="4580">
          <cell r="C4580" t="str">
            <v>B595630/A</v>
          </cell>
          <cell r="D4580" t="str">
            <v>RH11130NF456</v>
          </cell>
          <cell r="E4580">
            <v>5</v>
          </cell>
        </row>
        <row r="4581">
          <cell r="C4581" t="str">
            <v>B595633/A</v>
          </cell>
          <cell r="D4581" t="str">
            <v>RH11131F451</v>
          </cell>
          <cell r="E4581">
            <v>5</v>
          </cell>
        </row>
        <row r="4582">
          <cell r="C4582" t="str">
            <v>B595634/A</v>
          </cell>
          <cell r="D4582" t="str">
            <v>RH11131F451</v>
          </cell>
          <cell r="E4582">
            <v>5</v>
          </cell>
        </row>
        <row r="4583">
          <cell r="C4583" t="str">
            <v>B595637/A</v>
          </cell>
          <cell r="D4583" t="str">
            <v>RH11131F456</v>
          </cell>
          <cell r="E4583">
            <v>5</v>
          </cell>
        </row>
        <row r="4584">
          <cell r="C4584" t="str">
            <v>B595638/A</v>
          </cell>
          <cell r="D4584" t="str">
            <v>RH11131F456</v>
          </cell>
          <cell r="E4584">
            <v>5</v>
          </cell>
        </row>
        <row r="4585">
          <cell r="C4585" t="str">
            <v>B595641/A</v>
          </cell>
          <cell r="D4585" t="str">
            <v>RH11134F451</v>
          </cell>
          <cell r="E4585">
            <v>5</v>
          </cell>
        </row>
        <row r="4586">
          <cell r="C4586" t="str">
            <v>B595642/A</v>
          </cell>
          <cell r="D4586" t="str">
            <v>RH11134F451</v>
          </cell>
          <cell r="E4586">
            <v>5</v>
          </cell>
        </row>
        <row r="4587">
          <cell r="C4587" t="str">
            <v>B595645/A</v>
          </cell>
          <cell r="D4587" t="str">
            <v>RH11134F456</v>
          </cell>
          <cell r="E4587">
            <v>5</v>
          </cell>
        </row>
        <row r="4588">
          <cell r="C4588" t="str">
            <v>B595646/A</v>
          </cell>
          <cell r="D4588" t="str">
            <v>RH11134F456</v>
          </cell>
          <cell r="E4588">
            <v>5</v>
          </cell>
        </row>
        <row r="4589">
          <cell r="C4589" t="str">
            <v>B595649/A</v>
          </cell>
          <cell r="D4589" t="str">
            <v>RH11135F451</v>
          </cell>
          <cell r="E4589">
            <v>5</v>
          </cell>
        </row>
        <row r="4590">
          <cell r="C4590" t="str">
            <v>B595650/A</v>
          </cell>
          <cell r="D4590" t="str">
            <v>RH11135F451</v>
          </cell>
          <cell r="E4590">
            <v>5</v>
          </cell>
        </row>
        <row r="4591">
          <cell r="C4591" t="str">
            <v>B595652/A</v>
          </cell>
          <cell r="D4591" t="str">
            <v>RH11135F456</v>
          </cell>
          <cell r="E4591">
            <v>5</v>
          </cell>
        </row>
        <row r="4592">
          <cell r="C4592" t="str">
            <v>B595657/A</v>
          </cell>
          <cell r="D4592" t="str">
            <v>RH11234F451</v>
          </cell>
          <cell r="E4592">
            <v>10</v>
          </cell>
        </row>
        <row r="4593">
          <cell r="C4593" t="str">
            <v>B595658/A</v>
          </cell>
          <cell r="D4593" t="str">
            <v>RH11234F451</v>
          </cell>
          <cell r="E4593">
            <v>10</v>
          </cell>
        </row>
        <row r="4594">
          <cell r="C4594" t="str">
            <v>B595659/A</v>
          </cell>
          <cell r="D4594" t="str">
            <v>RH11234F451</v>
          </cell>
          <cell r="E4594">
            <v>5</v>
          </cell>
        </row>
        <row r="4595">
          <cell r="C4595" t="str">
            <v>B595660/A</v>
          </cell>
          <cell r="D4595" t="str">
            <v>RH11234F451</v>
          </cell>
          <cell r="E4595">
            <v>5</v>
          </cell>
        </row>
        <row r="4596">
          <cell r="C4596" t="str">
            <v>B595665/A</v>
          </cell>
          <cell r="D4596" t="str">
            <v>RH11234F456</v>
          </cell>
          <cell r="E4596">
            <v>5</v>
          </cell>
        </row>
        <row r="4597">
          <cell r="C4597" t="str">
            <v>B595666/A</v>
          </cell>
          <cell r="D4597" t="str">
            <v>RH11234F456</v>
          </cell>
          <cell r="E4597">
            <v>3</v>
          </cell>
        </row>
        <row r="4598">
          <cell r="C4598" t="str">
            <v>B595667/A</v>
          </cell>
          <cell r="D4598" t="str">
            <v>RH11234F456</v>
          </cell>
          <cell r="E4598">
            <v>5</v>
          </cell>
        </row>
        <row r="4599">
          <cell r="C4599" t="str">
            <v>B595668/A</v>
          </cell>
          <cell r="D4599" t="str">
            <v>RH11234F456</v>
          </cell>
          <cell r="E4599">
            <v>5</v>
          </cell>
        </row>
        <row r="4600">
          <cell r="C4600" t="str">
            <v>B595673/A</v>
          </cell>
          <cell r="D4600" t="str">
            <v>RH11235F451</v>
          </cell>
          <cell r="E4600">
            <v>5</v>
          </cell>
        </row>
        <row r="4601">
          <cell r="C4601" t="str">
            <v>B595674/A</v>
          </cell>
          <cell r="D4601" t="str">
            <v>RH11235F451</v>
          </cell>
          <cell r="E4601">
            <v>5</v>
          </cell>
        </row>
        <row r="4602">
          <cell r="C4602" t="str">
            <v>B595675/A</v>
          </cell>
          <cell r="D4602" t="str">
            <v>RH11235F451</v>
          </cell>
          <cell r="E4602">
            <v>5</v>
          </cell>
        </row>
        <row r="4603">
          <cell r="C4603" t="str">
            <v>B595676/A</v>
          </cell>
          <cell r="D4603" t="str">
            <v>RH11235F451</v>
          </cell>
          <cell r="E4603">
            <v>5</v>
          </cell>
        </row>
        <row r="4604">
          <cell r="C4604" t="str">
            <v>B595681/A</v>
          </cell>
          <cell r="D4604" t="str">
            <v>RH11235F456</v>
          </cell>
          <cell r="E4604">
            <v>5</v>
          </cell>
        </row>
        <row r="4605">
          <cell r="C4605" t="str">
            <v>B595682/A</v>
          </cell>
          <cell r="D4605" t="str">
            <v>RH11235F456</v>
          </cell>
          <cell r="E4605">
            <v>5</v>
          </cell>
        </row>
        <row r="4606">
          <cell r="C4606" t="str">
            <v>B595683/A</v>
          </cell>
          <cell r="D4606" t="str">
            <v>RH11235F456</v>
          </cell>
          <cell r="E4606">
            <v>5</v>
          </cell>
        </row>
        <row r="4607">
          <cell r="C4607" t="str">
            <v>B595684/A</v>
          </cell>
          <cell r="D4607" t="str">
            <v>RH11235F456</v>
          </cell>
          <cell r="E4607">
            <v>3</v>
          </cell>
        </row>
        <row r="4608">
          <cell r="C4608" t="str">
            <v>B595686/A</v>
          </cell>
          <cell r="D4608" t="str">
            <v>RH11285F451</v>
          </cell>
          <cell r="E4608">
            <v>5</v>
          </cell>
        </row>
        <row r="4609">
          <cell r="C4609" t="str">
            <v>B595688/A</v>
          </cell>
          <cell r="D4609" t="str">
            <v>RH11285F456</v>
          </cell>
          <cell r="E4609">
            <v>5</v>
          </cell>
        </row>
        <row r="4610">
          <cell r="C4610" t="str">
            <v>B595755/A</v>
          </cell>
          <cell r="D4610" t="str">
            <v>RH11286F451</v>
          </cell>
          <cell r="E4610">
            <v>5</v>
          </cell>
        </row>
        <row r="4611">
          <cell r="C4611" t="str">
            <v>B595759/A</v>
          </cell>
          <cell r="D4611" t="str">
            <v>RH11286F456</v>
          </cell>
          <cell r="E4611">
            <v>5</v>
          </cell>
        </row>
        <row r="4612">
          <cell r="C4612" t="str">
            <v>B595798/A</v>
          </cell>
          <cell r="D4612" t="str">
            <v>RH2871F100</v>
          </cell>
          <cell r="E4612">
            <v>10</v>
          </cell>
        </row>
        <row r="4613">
          <cell r="C4613" t="str">
            <v>B595801/A</v>
          </cell>
          <cell r="D4613" t="str">
            <v>RH7373F409</v>
          </cell>
          <cell r="E4613">
            <v>2</v>
          </cell>
        </row>
        <row r="4614">
          <cell r="C4614" t="str">
            <v>B595802/A</v>
          </cell>
          <cell r="D4614" t="str">
            <v>RH7373F409</v>
          </cell>
          <cell r="E4614">
            <v>8</v>
          </cell>
        </row>
        <row r="4615">
          <cell r="C4615" t="str">
            <v>B590901/A</v>
          </cell>
          <cell r="D4615" t="str">
            <v>RH9527F383</v>
          </cell>
          <cell r="E4615">
            <v>6</v>
          </cell>
        </row>
        <row r="4616">
          <cell r="C4616" t="str">
            <v>B590903/A</v>
          </cell>
          <cell r="D4616" t="str">
            <v>RH9527F383</v>
          </cell>
          <cell r="E4616">
            <v>6</v>
          </cell>
        </row>
        <row r="4617">
          <cell r="C4617" t="str">
            <v>B590905/A</v>
          </cell>
          <cell r="D4617" t="str">
            <v>RH9527F384</v>
          </cell>
          <cell r="E4617">
            <v>3</v>
          </cell>
        </row>
        <row r="4618">
          <cell r="C4618" t="str">
            <v>B590907/A</v>
          </cell>
          <cell r="D4618" t="str">
            <v>RH9527F409</v>
          </cell>
          <cell r="E4618">
            <v>8</v>
          </cell>
        </row>
        <row r="4619">
          <cell r="C4619" t="str">
            <v>B595805/A</v>
          </cell>
          <cell r="D4619" t="str">
            <v>RH9842F425</v>
          </cell>
          <cell r="E4619">
            <v>4</v>
          </cell>
        </row>
        <row r="4620">
          <cell r="C4620" t="str">
            <v>B595806/A</v>
          </cell>
          <cell r="D4620" t="str">
            <v>RH9842F425</v>
          </cell>
          <cell r="E4620">
            <v>6</v>
          </cell>
        </row>
        <row r="4621">
          <cell r="C4621" t="str">
            <v>B595456/A</v>
          </cell>
          <cell r="D4621" t="str">
            <v>SH219F506-BASE</v>
          </cell>
          <cell r="E4621">
            <v>15</v>
          </cell>
        </row>
        <row r="4622">
          <cell r="C4622" t="str">
            <v>B595457/A</v>
          </cell>
          <cell r="D4622" t="str">
            <v>SH219F506-BASE</v>
          </cell>
          <cell r="E4622">
            <v>15</v>
          </cell>
        </row>
        <row r="4623">
          <cell r="C4623" t="str">
            <v>B595498/A</v>
          </cell>
          <cell r="D4623" t="str">
            <v>SH346NF506</v>
          </cell>
          <cell r="E4623">
            <v>30</v>
          </cell>
        </row>
        <row r="4624">
          <cell r="C4624" t="str">
            <v>B595500/A</v>
          </cell>
          <cell r="D4624" t="str">
            <v>SH379F506</v>
          </cell>
          <cell r="E4624">
            <v>25</v>
          </cell>
        </row>
        <row r="4625">
          <cell r="C4625" t="str">
            <v>B595483/A</v>
          </cell>
          <cell r="D4625" t="str">
            <v>SH388AF506-BASE</v>
          </cell>
          <cell r="E4625">
            <v>15</v>
          </cell>
        </row>
        <row r="4626">
          <cell r="C4626" t="str">
            <v>B595485/A</v>
          </cell>
          <cell r="D4626" t="str">
            <v>SH388AF506-BASE</v>
          </cell>
          <cell r="E4626">
            <v>25</v>
          </cell>
        </row>
        <row r="4627">
          <cell r="C4627" t="str">
            <v>B595502/A</v>
          </cell>
          <cell r="D4627" t="str">
            <v>SH707NF506</v>
          </cell>
          <cell r="E4627">
            <v>30</v>
          </cell>
        </row>
        <row r="4628">
          <cell r="C4628" t="str">
            <v>B595598/A</v>
          </cell>
          <cell r="D4628" t="str">
            <v>CT008F610-DWTP</v>
          </cell>
          <cell r="E4628">
            <v>1</v>
          </cell>
        </row>
        <row r="4629">
          <cell r="C4629" t="str">
            <v>B595404/A</v>
          </cell>
          <cell r="D4629" t="str">
            <v>RH11392F451</v>
          </cell>
          <cell r="E4629">
            <v>20</v>
          </cell>
        </row>
        <row r="4630">
          <cell r="C4630" t="str">
            <v>B595406/A</v>
          </cell>
          <cell r="D4630" t="str">
            <v>RH11392F456</v>
          </cell>
          <cell r="E4630">
            <v>20</v>
          </cell>
        </row>
        <row r="4631">
          <cell r="C4631" t="str">
            <v>B595408/A</v>
          </cell>
          <cell r="D4631" t="str">
            <v>RH11393F451</v>
          </cell>
          <cell r="E4631">
            <v>140</v>
          </cell>
        </row>
        <row r="4632">
          <cell r="C4632" t="str">
            <v>B595410/A</v>
          </cell>
          <cell r="D4632" t="str">
            <v>RH11393F456</v>
          </cell>
          <cell r="E4632">
            <v>140</v>
          </cell>
        </row>
        <row r="4633">
          <cell r="C4633" t="str">
            <v>B596144/A</v>
          </cell>
          <cell r="D4633" t="str">
            <v>AR1001F1001</v>
          </cell>
          <cell r="E4633">
            <v>21</v>
          </cell>
        </row>
        <row r="4634">
          <cell r="C4634" t="str">
            <v>B596145/A</v>
          </cell>
          <cell r="D4634" t="str">
            <v>AR1001F1001</v>
          </cell>
          <cell r="E4634">
            <v>49</v>
          </cell>
        </row>
        <row r="4635">
          <cell r="C4635" t="str">
            <v>B595550/A</v>
          </cell>
          <cell r="D4635" t="str">
            <v>AR112NF906-BASE</v>
          </cell>
          <cell r="E4635">
            <v>6</v>
          </cell>
        </row>
        <row r="4636">
          <cell r="C4636" t="str">
            <v>B595552/A</v>
          </cell>
          <cell r="D4636" t="str">
            <v>AR112NF906-BASE</v>
          </cell>
          <cell r="E4636">
            <v>19</v>
          </cell>
        </row>
        <row r="4637">
          <cell r="C4637" t="str">
            <v>B595431/A</v>
          </cell>
          <cell r="D4637" t="str">
            <v>AR1141F1291</v>
          </cell>
          <cell r="E4637">
            <v>9</v>
          </cell>
        </row>
        <row r="4638">
          <cell r="C4638" t="str">
            <v>B595440/A</v>
          </cell>
          <cell r="D4638" t="str">
            <v>AR1141F1291</v>
          </cell>
          <cell r="E4638">
            <v>18</v>
          </cell>
        </row>
        <row r="4639">
          <cell r="C4639" t="str">
            <v>B597052/A</v>
          </cell>
          <cell r="D4639" t="str">
            <v>AR115F1039</v>
          </cell>
          <cell r="E4639">
            <v>7</v>
          </cell>
        </row>
        <row r="4640">
          <cell r="C4640" t="str">
            <v>B597057/A</v>
          </cell>
          <cell r="D4640" t="str">
            <v>AR115F1039</v>
          </cell>
          <cell r="E4640">
            <v>18</v>
          </cell>
        </row>
        <row r="4641">
          <cell r="C4641" t="str">
            <v>B597066/A</v>
          </cell>
          <cell r="D4641" t="str">
            <v>AR186F834-HUTCH</v>
          </cell>
          <cell r="E4641">
            <v>7</v>
          </cell>
        </row>
        <row r="4642">
          <cell r="C4642" t="str">
            <v>B597067/A</v>
          </cell>
          <cell r="D4642" t="str">
            <v>AR186F834-HUTCH</v>
          </cell>
          <cell r="E4642">
            <v>23</v>
          </cell>
        </row>
        <row r="4643">
          <cell r="C4643" t="str">
            <v>B597070/A</v>
          </cell>
          <cell r="D4643" t="str">
            <v>AR186F906-BASE</v>
          </cell>
          <cell r="E4643">
            <v>5</v>
          </cell>
        </row>
        <row r="4644">
          <cell r="C4644" t="str">
            <v>B597071/A</v>
          </cell>
          <cell r="D4644" t="str">
            <v>AR186F906-BASE</v>
          </cell>
          <cell r="E4644">
            <v>20</v>
          </cell>
        </row>
        <row r="4645">
          <cell r="C4645" t="str">
            <v>B595563/A</v>
          </cell>
          <cell r="D4645" t="str">
            <v>AR371NF906</v>
          </cell>
          <cell r="E4645">
            <v>9</v>
          </cell>
        </row>
        <row r="4646">
          <cell r="C4646" t="str">
            <v>B595564/A</v>
          </cell>
          <cell r="D4646" t="str">
            <v>AR371NF906</v>
          </cell>
          <cell r="E4646">
            <v>21</v>
          </cell>
        </row>
        <row r="4647">
          <cell r="C4647" t="str">
            <v>B597108/A</v>
          </cell>
          <cell r="D4647" t="str">
            <v>AR372AF1049</v>
          </cell>
          <cell r="E4647">
            <v>7</v>
          </cell>
        </row>
        <row r="4648">
          <cell r="C4648" t="str">
            <v>B597097/A</v>
          </cell>
          <cell r="D4648" t="str">
            <v>AR372AF1049</v>
          </cell>
          <cell r="E4648">
            <v>18</v>
          </cell>
        </row>
        <row r="4649">
          <cell r="C4649" t="str">
            <v>B597103/A</v>
          </cell>
          <cell r="D4649" t="str">
            <v>AR372AF906</v>
          </cell>
          <cell r="E4649">
            <v>15</v>
          </cell>
        </row>
        <row r="4650">
          <cell r="C4650" t="str">
            <v>B597104/A</v>
          </cell>
          <cell r="D4650" t="str">
            <v>AR372AF906</v>
          </cell>
          <cell r="E4650">
            <v>35</v>
          </cell>
        </row>
        <row r="4651">
          <cell r="C4651" t="str">
            <v>B595869/A</v>
          </cell>
          <cell r="D4651" t="str">
            <v>AR720F892-BASE1</v>
          </cell>
          <cell r="E4651">
            <v>54</v>
          </cell>
        </row>
        <row r="4652">
          <cell r="C4652" t="str">
            <v>B597112/A</v>
          </cell>
          <cell r="D4652" t="str">
            <v>AR720F892-BASE1</v>
          </cell>
          <cell r="E4652">
            <v>101</v>
          </cell>
        </row>
        <row r="4653">
          <cell r="C4653" t="str">
            <v>B595871/A</v>
          </cell>
          <cell r="D4653" t="str">
            <v>AR720F892-TOP</v>
          </cell>
          <cell r="E4653">
            <v>54</v>
          </cell>
        </row>
        <row r="4654">
          <cell r="C4654" t="str">
            <v>B597116/A</v>
          </cell>
          <cell r="D4654" t="str">
            <v>AR720F892-TOP</v>
          </cell>
          <cell r="E4654">
            <v>101</v>
          </cell>
        </row>
        <row r="4655">
          <cell r="C4655" t="str">
            <v>B597121/A</v>
          </cell>
          <cell r="D4655" t="str">
            <v>AR721F892-BASE</v>
          </cell>
          <cell r="E4655">
            <v>29</v>
          </cell>
        </row>
        <row r="4656">
          <cell r="C4656" t="str">
            <v>B597123/A</v>
          </cell>
          <cell r="D4656" t="str">
            <v>AR721F892-BASE</v>
          </cell>
          <cell r="E4656">
            <v>41</v>
          </cell>
        </row>
        <row r="4657">
          <cell r="C4657" t="str">
            <v>B597128/A</v>
          </cell>
          <cell r="D4657" t="str">
            <v>AR756F892-TOP</v>
          </cell>
          <cell r="E4657">
            <v>88</v>
          </cell>
        </row>
        <row r="4658">
          <cell r="C4658" t="str">
            <v>B597130/A</v>
          </cell>
          <cell r="D4658" t="str">
            <v>AR756F892-TOP</v>
          </cell>
          <cell r="E4658">
            <v>112</v>
          </cell>
        </row>
        <row r="4659">
          <cell r="C4659" t="str">
            <v>B594098/A</v>
          </cell>
          <cell r="D4659" t="str">
            <v>AR759F834-TOP</v>
          </cell>
          <cell r="E4659">
            <v>25</v>
          </cell>
        </row>
        <row r="4660">
          <cell r="C4660" t="str">
            <v>B595848/A</v>
          </cell>
          <cell r="D4660" t="str">
            <v>AR760F906-BASE</v>
          </cell>
          <cell r="E4660">
            <v>3</v>
          </cell>
        </row>
        <row r="4661">
          <cell r="C4661" t="str">
            <v>B595849/A</v>
          </cell>
          <cell r="D4661" t="str">
            <v>AR760F906-BASE</v>
          </cell>
          <cell r="E4661">
            <v>37</v>
          </cell>
        </row>
        <row r="4662">
          <cell r="C4662" t="str">
            <v>B597135/A</v>
          </cell>
          <cell r="D4662" t="str">
            <v>AR762F892-BASE</v>
          </cell>
          <cell r="E4662">
            <v>7</v>
          </cell>
        </row>
        <row r="4663">
          <cell r="C4663" t="str">
            <v>B597137/A</v>
          </cell>
          <cell r="D4663" t="str">
            <v>AR762F892-BASE</v>
          </cell>
          <cell r="E4663">
            <v>18</v>
          </cell>
        </row>
        <row r="4664">
          <cell r="C4664" t="str">
            <v>B597142/A</v>
          </cell>
          <cell r="D4664" t="str">
            <v>AR762F892-TOP</v>
          </cell>
          <cell r="E4664">
            <v>7</v>
          </cell>
        </row>
        <row r="4665">
          <cell r="C4665" t="str">
            <v>B597143/A</v>
          </cell>
          <cell r="D4665" t="str">
            <v>AR762F892-TOP</v>
          </cell>
          <cell r="E4665">
            <v>18</v>
          </cell>
        </row>
        <row r="4666">
          <cell r="C4666" t="str">
            <v>B595451/A</v>
          </cell>
          <cell r="D4666" t="str">
            <v>AR784F1049</v>
          </cell>
          <cell r="E4666">
            <v>35</v>
          </cell>
        </row>
        <row r="4667">
          <cell r="C4667" t="str">
            <v>B597148/A</v>
          </cell>
          <cell r="D4667" t="str">
            <v>AR784F1049</v>
          </cell>
          <cell r="E4667">
            <v>7</v>
          </cell>
        </row>
        <row r="4668">
          <cell r="C4668" t="str">
            <v>B597150/A</v>
          </cell>
          <cell r="D4668" t="str">
            <v>AR784F1049</v>
          </cell>
          <cell r="E4668">
            <v>18</v>
          </cell>
        </row>
        <row r="4669">
          <cell r="C4669" t="str">
            <v>B595453/A</v>
          </cell>
          <cell r="D4669" t="str">
            <v>AR784F906</v>
          </cell>
          <cell r="E4669">
            <v>56</v>
          </cell>
        </row>
        <row r="4670">
          <cell r="C4670" t="str">
            <v>B597154/A</v>
          </cell>
          <cell r="D4670" t="str">
            <v>AR784F906</v>
          </cell>
          <cell r="E4670">
            <v>37</v>
          </cell>
        </row>
        <row r="4671">
          <cell r="C4671" t="str">
            <v>B597167/A</v>
          </cell>
          <cell r="D4671" t="str">
            <v>AR784F906</v>
          </cell>
          <cell r="E4671">
            <v>88</v>
          </cell>
        </row>
        <row r="4672">
          <cell r="C4672" t="str">
            <v>B595567/A</v>
          </cell>
          <cell r="D4672" t="str">
            <v>AR858F1233-BASE</v>
          </cell>
          <cell r="E4672">
            <v>7</v>
          </cell>
        </row>
        <row r="4673">
          <cell r="C4673" t="str">
            <v>B595568/A</v>
          </cell>
          <cell r="D4673" t="str">
            <v>AR858F1233-BASE</v>
          </cell>
          <cell r="E4673">
            <v>18</v>
          </cell>
        </row>
        <row r="4674">
          <cell r="C4674" t="str">
            <v>B595571/A</v>
          </cell>
          <cell r="D4674" t="str">
            <v>AR858F1233-TOP</v>
          </cell>
          <cell r="E4674">
            <v>7</v>
          </cell>
        </row>
        <row r="4675">
          <cell r="C4675" t="str">
            <v>B595572/A</v>
          </cell>
          <cell r="D4675" t="str">
            <v>AR858F1233-TOP</v>
          </cell>
          <cell r="E4675">
            <v>18</v>
          </cell>
        </row>
        <row r="4676">
          <cell r="C4676" t="str">
            <v>B595539/A</v>
          </cell>
          <cell r="D4676" t="str">
            <v>AR865F1233-BASE</v>
          </cell>
          <cell r="E4676">
            <v>7</v>
          </cell>
        </row>
        <row r="4677">
          <cell r="C4677" t="str">
            <v>B595540/A</v>
          </cell>
          <cell r="D4677" t="str">
            <v>AR865F1233-BASE</v>
          </cell>
          <cell r="E4677">
            <v>18</v>
          </cell>
        </row>
        <row r="4678">
          <cell r="C4678" t="str">
            <v>B595543/A</v>
          </cell>
          <cell r="D4678" t="str">
            <v>AR865F1233-TOP</v>
          </cell>
          <cell r="E4678">
            <v>7</v>
          </cell>
        </row>
        <row r="4679">
          <cell r="C4679" t="str">
            <v>B595544/A</v>
          </cell>
          <cell r="D4679" t="str">
            <v>AR865F1233-TOP</v>
          </cell>
          <cell r="E4679">
            <v>18</v>
          </cell>
        </row>
        <row r="4680">
          <cell r="C4680" t="str">
            <v>B596885/A</v>
          </cell>
          <cell r="D4680" t="str">
            <v>AR968F1039-BASE</v>
          </cell>
          <cell r="E4680">
            <v>10</v>
          </cell>
        </row>
        <row r="4681">
          <cell r="C4681" t="str">
            <v>B596886/A</v>
          </cell>
          <cell r="D4681" t="str">
            <v>AR968F1039-BASE</v>
          </cell>
          <cell r="E4681">
            <v>25</v>
          </cell>
        </row>
        <row r="4682">
          <cell r="C4682" t="str">
            <v>B596819/A</v>
          </cell>
          <cell r="D4682" t="str">
            <v>AT203F869</v>
          </cell>
          <cell r="E4682">
            <v>25</v>
          </cell>
        </row>
        <row r="4683">
          <cell r="C4683" t="str">
            <v>B596822/A</v>
          </cell>
          <cell r="D4683" t="str">
            <v>AT302AF543-VE</v>
          </cell>
          <cell r="E4683">
            <v>25</v>
          </cell>
        </row>
        <row r="4684">
          <cell r="C4684" t="str">
            <v>B596823/A</v>
          </cell>
          <cell r="D4684" t="str">
            <v>AT302AF543-VE</v>
          </cell>
          <cell r="E4684">
            <v>25</v>
          </cell>
        </row>
        <row r="4685">
          <cell r="C4685" t="str">
            <v>B596825/A</v>
          </cell>
          <cell r="D4685" t="str">
            <v>AT302AF793-VE</v>
          </cell>
          <cell r="E4685">
            <v>25</v>
          </cell>
        </row>
        <row r="4686">
          <cell r="C4686" t="str">
            <v>B596827/A</v>
          </cell>
          <cell r="D4686" t="str">
            <v>AT303ANF543-VE</v>
          </cell>
          <cell r="E4686">
            <v>25</v>
          </cell>
        </row>
        <row r="4687">
          <cell r="C4687" t="str">
            <v>B596829/A</v>
          </cell>
          <cell r="D4687" t="str">
            <v>AT303ANF793-VE</v>
          </cell>
          <cell r="E4687">
            <v>25</v>
          </cell>
        </row>
        <row r="4688">
          <cell r="C4688" t="str">
            <v>B595822/A</v>
          </cell>
          <cell r="D4688" t="str">
            <v>AT305NF1089-VE</v>
          </cell>
          <cell r="E4688">
            <v>25</v>
          </cell>
        </row>
        <row r="4689">
          <cell r="C4689" t="str">
            <v>B595824/A</v>
          </cell>
          <cell r="D4689" t="str">
            <v>AT305NF535-VE</v>
          </cell>
          <cell r="E4689">
            <v>25</v>
          </cell>
        </row>
        <row r="4690">
          <cell r="C4690" t="str">
            <v>B595820/A</v>
          </cell>
          <cell r="D4690" t="str">
            <v>AT305NF888-VE</v>
          </cell>
          <cell r="E4690">
            <v>25</v>
          </cell>
        </row>
        <row r="4691">
          <cell r="C4691" t="str">
            <v>B595826/A</v>
          </cell>
          <cell r="D4691" t="str">
            <v>AT382F1089-VE</v>
          </cell>
          <cell r="E4691">
            <v>50</v>
          </cell>
        </row>
        <row r="4692">
          <cell r="C4692" t="str">
            <v>B595828/A</v>
          </cell>
          <cell r="D4692" t="str">
            <v>AT382F535-VE</v>
          </cell>
          <cell r="E4692">
            <v>50</v>
          </cell>
        </row>
        <row r="4693">
          <cell r="C4693" t="str">
            <v>B595830/A</v>
          </cell>
          <cell r="D4693" t="str">
            <v>AT383F1089-VE</v>
          </cell>
          <cell r="E4693">
            <v>25</v>
          </cell>
        </row>
        <row r="4694">
          <cell r="C4694" t="str">
            <v>B595832/A</v>
          </cell>
          <cell r="D4694" t="str">
            <v>AT383F535-VE</v>
          </cell>
          <cell r="E4694">
            <v>25</v>
          </cell>
        </row>
        <row r="4695">
          <cell r="C4695" t="str">
            <v>B596902/A</v>
          </cell>
          <cell r="D4695" t="str">
            <v>AT453NF884</v>
          </cell>
          <cell r="E4695">
            <v>25</v>
          </cell>
        </row>
        <row r="4696">
          <cell r="C4696" t="str">
            <v>B594083/A</v>
          </cell>
          <cell r="D4696" t="str">
            <v>AT471F1089-VE</v>
          </cell>
          <cell r="E4696">
            <v>50</v>
          </cell>
        </row>
        <row r="4697">
          <cell r="C4697" t="str">
            <v>B596831/A</v>
          </cell>
          <cell r="D4697" t="str">
            <v>AT481F1059</v>
          </cell>
          <cell r="E4697">
            <v>50</v>
          </cell>
        </row>
        <row r="4698">
          <cell r="C4698" t="str">
            <v>B596834/A</v>
          </cell>
          <cell r="D4698" t="str">
            <v>AT481F1059</v>
          </cell>
          <cell r="E4698">
            <v>25</v>
          </cell>
        </row>
        <row r="4699">
          <cell r="C4699" t="str">
            <v>B596904/A</v>
          </cell>
          <cell r="D4699" t="str">
            <v>AT481F1059</v>
          </cell>
          <cell r="E4699">
            <v>50</v>
          </cell>
        </row>
        <row r="4700">
          <cell r="C4700" t="str">
            <v>B596906/A</v>
          </cell>
          <cell r="D4700" t="str">
            <v>AT481F1171</v>
          </cell>
          <cell r="E4700">
            <v>25</v>
          </cell>
        </row>
        <row r="4701">
          <cell r="C4701" t="str">
            <v>B596836/A</v>
          </cell>
          <cell r="D4701" t="str">
            <v>AT481F1237</v>
          </cell>
          <cell r="E4701">
            <v>50</v>
          </cell>
        </row>
        <row r="4702">
          <cell r="C4702" t="str">
            <v>B596908/A</v>
          </cell>
          <cell r="D4702" t="str">
            <v>AT481F1237</v>
          </cell>
          <cell r="E4702">
            <v>25</v>
          </cell>
        </row>
        <row r="4703">
          <cell r="C4703" t="str">
            <v>B596838/A</v>
          </cell>
          <cell r="D4703" t="str">
            <v>AT481F1241</v>
          </cell>
          <cell r="E4703">
            <v>25</v>
          </cell>
        </row>
        <row r="4704">
          <cell r="C4704" t="str">
            <v>B596910/A</v>
          </cell>
          <cell r="D4704" t="str">
            <v>AT481F1241</v>
          </cell>
          <cell r="E4704">
            <v>25</v>
          </cell>
        </row>
        <row r="4705">
          <cell r="C4705" t="str">
            <v>B596840/A</v>
          </cell>
          <cell r="D4705" t="str">
            <v>AT481F877</v>
          </cell>
          <cell r="E4705">
            <v>50</v>
          </cell>
        </row>
        <row r="4706">
          <cell r="C4706" t="str">
            <v>B596912/A</v>
          </cell>
          <cell r="D4706" t="str">
            <v>AT481F877</v>
          </cell>
          <cell r="E4706">
            <v>25</v>
          </cell>
        </row>
        <row r="4707">
          <cell r="C4707" t="str">
            <v>B595842/A</v>
          </cell>
          <cell r="D4707" t="str">
            <v>AT522NF1059</v>
          </cell>
          <cell r="E4707">
            <v>25</v>
          </cell>
        </row>
        <row r="4708">
          <cell r="C4708" t="str">
            <v>B596914/A</v>
          </cell>
          <cell r="D4708" t="str">
            <v>AT570F1022</v>
          </cell>
          <cell r="E4708">
            <v>25</v>
          </cell>
        </row>
        <row r="4709">
          <cell r="C4709" t="str">
            <v>B596918/A</v>
          </cell>
          <cell r="D4709" t="str">
            <v>AT606NF877</v>
          </cell>
          <cell r="E4709">
            <v>50</v>
          </cell>
        </row>
        <row r="4710">
          <cell r="C4710" t="str">
            <v>B597059/A</v>
          </cell>
          <cell r="D4710" t="str">
            <v>AT627F1059</v>
          </cell>
          <cell r="E4710">
            <v>25</v>
          </cell>
        </row>
        <row r="4711">
          <cell r="C4711" t="str">
            <v>B596920/A</v>
          </cell>
          <cell r="D4711" t="str">
            <v>AT627F1237</v>
          </cell>
          <cell r="E4711">
            <v>25</v>
          </cell>
        </row>
        <row r="4712">
          <cell r="C4712" t="str">
            <v>B596922/A</v>
          </cell>
          <cell r="D4712" t="str">
            <v>AT627F1294</v>
          </cell>
          <cell r="E4712">
            <v>25</v>
          </cell>
        </row>
        <row r="4713">
          <cell r="C4713" t="str">
            <v>B596924/A</v>
          </cell>
          <cell r="D4713" t="str">
            <v>AT627F1310</v>
          </cell>
          <cell r="E4713">
            <v>25</v>
          </cell>
        </row>
        <row r="4714">
          <cell r="C4714" t="str">
            <v>B596928/A</v>
          </cell>
          <cell r="D4714" t="str">
            <v>AT665NF1171</v>
          </cell>
          <cell r="E4714">
            <v>25</v>
          </cell>
        </row>
        <row r="4715">
          <cell r="C4715" t="str">
            <v>B596931/A</v>
          </cell>
          <cell r="D4715" t="str">
            <v>AT665NF1310</v>
          </cell>
          <cell r="E4715">
            <v>25</v>
          </cell>
        </row>
        <row r="4716">
          <cell r="C4716" t="str">
            <v>B597201/A</v>
          </cell>
          <cell r="D4716" t="str">
            <v>AT666F877A</v>
          </cell>
          <cell r="E4716">
            <v>40</v>
          </cell>
        </row>
        <row r="4717">
          <cell r="C4717" t="str">
            <v>B596933/A</v>
          </cell>
          <cell r="D4717" t="str">
            <v>CE553NF1011D</v>
          </cell>
          <cell r="E4717">
            <v>25</v>
          </cell>
        </row>
        <row r="4718">
          <cell r="C4718" t="str">
            <v>B595853/A</v>
          </cell>
          <cell r="D4718" t="str">
            <v>CZ875F188</v>
          </cell>
          <cell r="E4718">
            <v>1</v>
          </cell>
        </row>
        <row r="4719">
          <cell r="C4719" t="str">
            <v>B595855/A</v>
          </cell>
          <cell r="D4719" t="str">
            <v>CZ875F196</v>
          </cell>
          <cell r="E4719">
            <v>3</v>
          </cell>
        </row>
        <row r="4720">
          <cell r="C4720" t="str">
            <v>B595857/A</v>
          </cell>
          <cell r="D4720" t="str">
            <v>CZ875F381</v>
          </cell>
          <cell r="E4720">
            <v>2</v>
          </cell>
        </row>
        <row r="4721">
          <cell r="C4721" t="str">
            <v>B595859/A</v>
          </cell>
          <cell r="D4721" t="str">
            <v>CZ875F409</v>
          </cell>
          <cell r="E4721">
            <v>4</v>
          </cell>
        </row>
        <row r="4722">
          <cell r="C4722" t="str">
            <v>B597194/A</v>
          </cell>
          <cell r="D4722" t="str">
            <v>DL015F836</v>
          </cell>
          <cell r="E4722">
            <v>30</v>
          </cell>
        </row>
        <row r="4723">
          <cell r="C4723" t="str">
            <v>B596842/A</v>
          </cell>
          <cell r="D4723" t="str">
            <v>DL016WF836</v>
          </cell>
          <cell r="E4723">
            <v>40</v>
          </cell>
        </row>
        <row r="4724">
          <cell r="C4724" t="str">
            <v>B596844/A</v>
          </cell>
          <cell r="D4724" t="str">
            <v>DL018F837</v>
          </cell>
          <cell r="E4724">
            <v>40</v>
          </cell>
        </row>
        <row r="4725">
          <cell r="C4725" t="str">
            <v>B596847/A</v>
          </cell>
          <cell r="D4725" t="str">
            <v>JV007F580</v>
          </cell>
          <cell r="E4725">
            <v>25</v>
          </cell>
        </row>
        <row r="4726">
          <cell r="C4726" t="str">
            <v>B596848/A</v>
          </cell>
          <cell r="D4726" t="str">
            <v>JV007F580</v>
          </cell>
          <cell r="E4726">
            <v>25</v>
          </cell>
        </row>
        <row r="4727">
          <cell r="C4727" t="str">
            <v>B596850/A</v>
          </cell>
          <cell r="D4727" t="str">
            <v>JV013F836</v>
          </cell>
          <cell r="E4727">
            <v>25</v>
          </cell>
        </row>
        <row r="4728">
          <cell r="C4728" t="str">
            <v>B597196/A</v>
          </cell>
          <cell r="D4728" t="str">
            <v>JV013F836</v>
          </cell>
          <cell r="E4728">
            <v>30</v>
          </cell>
        </row>
        <row r="4729">
          <cell r="C4729" t="str">
            <v>B597061/A</v>
          </cell>
          <cell r="D4729" t="str">
            <v>RD1508F01</v>
          </cell>
          <cell r="E4729">
            <v>15</v>
          </cell>
        </row>
        <row r="4730">
          <cell r="C4730" t="str">
            <v>B597049/A</v>
          </cell>
          <cell r="D4730" t="str">
            <v>RD1687F01</v>
          </cell>
          <cell r="E4730">
            <v>15</v>
          </cell>
        </row>
        <row r="4731">
          <cell r="C4731" t="str">
            <v>B590962/A</v>
          </cell>
          <cell r="D4731" t="str">
            <v>RH10088F383</v>
          </cell>
          <cell r="E4731">
            <v>1</v>
          </cell>
        </row>
        <row r="4732">
          <cell r="C4732" t="str">
            <v>B590965/A</v>
          </cell>
          <cell r="D4732" t="str">
            <v>RH10088F384</v>
          </cell>
          <cell r="E4732">
            <v>2</v>
          </cell>
        </row>
        <row r="4733">
          <cell r="C4733" t="str">
            <v>B590966/A</v>
          </cell>
          <cell r="D4733" t="str">
            <v>RH10088F384</v>
          </cell>
          <cell r="E4733">
            <v>3</v>
          </cell>
        </row>
        <row r="4734">
          <cell r="C4734" t="str">
            <v>B590969/A</v>
          </cell>
          <cell r="D4734" t="str">
            <v>RH10088F409</v>
          </cell>
          <cell r="E4734">
            <v>6</v>
          </cell>
        </row>
        <row r="4735">
          <cell r="C4735" t="str">
            <v>B590970/A</v>
          </cell>
          <cell r="D4735" t="str">
            <v>RH10088F409</v>
          </cell>
          <cell r="E4735">
            <v>8</v>
          </cell>
        </row>
        <row r="4736">
          <cell r="C4736" t="str">
            <v>B595422/A</v>
          </cell>
          <cell r="D4736" t="str">
            <v>RH10110NF382</v>
          </cell>
          <cell r="E4736">
            <v>5</v>
          </cell>
        </row>
        <row r="4737">
          <cell r="C4737" t="str">
            <v>B594077/A</v>
          </cell>
          <cell r="D4737" t="str">
            <v>RH10120F382</v>
          </cell>
          <cell r="E4737">
            <v>22</v>
          </cell>
        </row>
        <row r="4738">
          <cell r="C4738" t="str">
            <v>B594073/A</v>
          </cell>
          <cell r="D4738" t="str">
            <v>RH10168F382</v>
          </cell>
          <cell r="E4738">
            <v>2</v>
          </cell>
        </row>
        <row r="4739">
          <cell r="C4739" t="str">
            <v>B594075/A</v>
          </cell>
          <cell r="D4739" t="str">
            <v>RH10168F384</v>
          </cell>
          <cell r="E4739">
            <v>8</v>
          </cell>
        </row>
        <row r="4740">
          <cell r="C4740" t="str">
            <v>B597288/A</v>
          </cell>
          <cell r="D4740" t="str">
            <v>RH11043F349TR</v>
          </cell>
          <cell r="E4740">
            <v>75</v>
          </cell>
        </row>
        <row r="4741">
          <cell r="C4741" t="str">
            <v>B596935/A</v>
          </cell>
          <cell r="D4741" t="str">
            <v>RH11050F349TR</v>
          </cell>
          <cell r="E4741">
            <v>150</v>
          </cell>
        </row>
        <row r="4742">
          <cell r="C4742" t="str">
            <v>B597197/A</v>
          </cell>
          <cell r="D4742" t="str">
            <v>RH11051F349TR</v>
          </cell>
          <cell r="E4742">
            <v>42</v>
          </cell>
        </row>
        <row r="4743">
          <cell r="C4743" t="str">
            <v>B597198/A</v>
          </cell>
          <cell r="D4743" t="str">
            <v>RH11214F348TR</v>
          </cell>
          <cell r="E4743">
            <v>111</v>
          </cell>
        </row>
        <row r="4744">
          <cell r="C4744" t="str">
            <v>B596939/A</v>
          </cell>
          <cell r="D4744" t="str">
            <v>RH11215F348TR</v>
          </cell>
          <cell r="E4744">
            <v>7</v>
          </cell>
        </row>
        <row r="4745">
          <cell r="C4745" t="str">
            <v>B595874/A</v>
          </cell>
          <cell r="D4745" t="str">
            <v>RH11344F451</v>
          </cell>
          <cell r="E4745">
            <v>20</v>
          </cell>
        </row>
        <row r="4746">
          <cell r="C4746" t="str">
            <v>B595873/A</v>
          </cell>
          <cell r="D4746" t="str">
            <v>RH11344F456</v>
          </cell>
          <cell r="E4746">
            <v>20</v>
          </cell>
        </row>
        <row r="4747">
          <cell r="C4747" t="str">
            <v>B595876/A</v>
          </cell>
          <cell r="D4747" t="str">
            <v>RH11345F451</v>
          </cell>
          <cell r="E4747">
            <v>13</v>
          </cell>
        </row>
        <row r="4748">
          <cell r="C4748" t="str">
            <v>B595885/A</v>
          </cell>
          <cell r="D4748" t="str">
            <v>RH11345F456</v>
          </cell>
          <cell r="E4748">
            <v>15</v>
          </cell>
        </row>
        <row r="4749">
          <cell r="C4749" t="str">
            <v>B595887/A</v>
          </cell>
          <cell r="D4749" t="str">
            <v>RH11567F451</v>
          </cell>
          <cell r="E4749">
            <v>18</v>
          </cell>
        </row>
        <row r="4750">
          <cell r="C4750" t="str">
            <v>B595889/A</v>
          </cell>
          <cell r="D4750" t="str">
            <v>RH11567F456</v>
          </cell>
          <cell r="E4750">
            <v>20</v>
          </cell>
        </row>
        <row r="4751">
          <cell r="C4751" t="str">
            <v>B596852/A</v>
          </cell>
          <cell r="D4751" t="str">
            <v>RH3022NF09</v>
          </cell>
          <cell r="E4751">
            <v>20</v>
          </cell>
        </row>
        <row r="4752">
          <cell r="C4752" t="str">
            <v>B596854/A</v>
          </cell>
          <cell r="D4752" t="str">
            <v>RH7147F383</v>
          </cell>
          <cell r="E4752">
            <v>5</v>
          </cell>
        </row>
        <row r="4753">
          <cell r="C4753" t="str">
            <v>B596856/A</v>
          </cell>
          <cell r="D4753" t="str">
            <v>RH7340F409</v>
          </cell>
          <cell r="E4753">
            <v>10</v>
          </cell>
        </row>
        <row r="4754">
          <cell r="C4754" t="str">
            <v>B596858/A</v>
          </cell>
          <cell r="D4754" t="str">
            <v>RH7384F381</v>
          </cell>
          <cell r="E4754">
            <v>5</v>
          </cell>
        </row>
        <row r="4755">
          <cell r="C4755" t="str">
            <v>B590973/A</v>
          </cell>
          <cell r="D4755" t="str">
            <v>RH9606F382</v>
          </cell>
          <cell r="E4755">
            <v>5</v>
          </cell>
        </row>
        <row r="4756">
          <cell r="C4756" t="str">
            <v>B590981/A</v>
          </cell>
          <cell r="D4756" t="str">
            <v>RH9606F383</v>
          </cell>
          <cell r="E4756">
            <v>5</v>
          </cell>
        </row>
        <row r="4757">
          <cell r="C4757" t="str">
            <v>B590975/A</v>
          </cell>
          <cell r="D4757" t="str">
            <v>RH9985F382</v>
          </cell>
          <cell r="E4757">
            <v>7</v>
          </cell>
        </row>
        <row r="4758">
          <cell r="C4758" t="str">
            <v>B590977/A</v>
          </cell>
          <cell r="D4758" t="str">
            <v>RH9985F383</v>
          </cell>
          <cell r="E4758">
            <v>3</v>
          </cell>
        </row>
        <row r="4759">
          <cell r="C4759" t="str">
            <v>B595488/A</v>
          </cell>
          <cell r="D4759" t="str">
            <v>SH598F521</v>
          </cell>
          <cell r="E4759">
            <v>68</v>
          </cell>
        </row>
        <row r="4760">
          <cell r="C4760" t="str">
            <v>B596796/A</v>
          </cell>
          <cell r="D4760" t="str">
            <v>AR998F1291-SWAT1</v>
          </cell>
          <cell r="E4760">
            <v>150</v>
          </cell>
        </row>
        <row r="4761">
          <cell r="C4761" t="str">
            <v>B596798/A</v>
          </cell>
          <cell r="D4761" t="str">
            <v>AR998F1291-SWAT2</v>
          </cell>
          <cell r="E4761">
            <v>425</v>
          </cell>
        </row>
        <row r="4762">
          <cell r="C4762" t="str">
            <v>B596811/A</v>
          </cell>
          <cell r="D4762" t="str">
            <v>JV013F836-SHBT</v>
          </cell>
          <cell r="E4762">
            <v>5</v>
          </cell>
        </row>
        <row r="4763">
          <cell r="C4763" t="str">
            <v>B596813/A</v>
          </cell>
          <cell r="D4763" t="str">
            <v>RH2255F09-DWMD</v>
          </cell>
          <cell r="E4763">
            <v>1</v>
          </cell>
        </row>
        <row r="4764">
          <cell r="C4764" t="str">
            <v>B596800/A</v>
          </cell>
          <cell r="D4764" t="str">
            <v>RH5141F08-EPNS</v>
          </cell>
          <cell r="E4764">
            <v>1</v>
          </cell>
        </row>
        <row r="4765">
          <cell r="C4765" t="str">
            <v>B596806/A</v>
          </cell>
          <cell r="D4765" t="str">
            <v>RH5463F38BN-WDCPS</v>
          </cell>
          <cell r="E4765">
            <v>1</v>
          </cell>
        </row>
        <row r="4766">
          <cell r="C4766" t="str">
            <v>B596815/A</v>
          </cell>
          <cell r="D4766" t="str">
            <v>RH7561F381-SHLH</v>
          </cell>
          <cell r="E4766">
            <v>10</v>
          </cell>
        </row>
        <row r="4767">
          <cell r="C4767" t="str">
            <v>B596817/A</v>
          </cell>
          <cell r="D4767" t="str">
            <v>RH7561F381-SHRH</v>
          </cell>
          <cell r="E4767">
            <v>10</v>
          </cell>
        </row>
        <row r="4768">
          <cell r="C4768" t="str">
            <v>B596808/A</v>
          </cell>
          <cell r="D4768" t="str">
            <v>RH850F26-STZS</v>
          </cell>
          <cell r="E4768">
            <v>2</v>
          </cell>
        </row>
        <row r="4769">
          <cell r="C4769" t="str">
            <v>B597311/A</v>
          </cell>
          <cell r="D4769" t="str">
            <v>AR1014F1039</v>
          </cell>
          <cell r="E4769">
            <v>25</v>
          </cell>
        </row>
        <row r="4770">
          <cell r="C4770" t="str">
            <v>B597314/A</v>
          </cell>
          <cell r="D4770" t="str">
            <v>AR1015NF1039</v>
          </cell>
          <cell r="E4770">
            <v>7</v>
          </cell>
        </row>
        <row r="4771">
          <cell r="C4771" t="str">
            <v>B597315/A</v>
          </cell>
          <cell r="D4771" t="str">
            <v>AR1015NF1039</v>
          </cell>
          <cell r="E4771">
            <v>18</v>
          </cell>
        </row>
        <row r="4772">
          <cell r="C4772" t="str">
            <v>B596168/A</v>
          </cell>
          <cell r="D4772" t="str">
            <v>AR1076NF1208</v>
          </cell>
          <cell r="E4772">
            <v>10</v>
          </cell>
        </row>
        <row r="4773">
          <cell r="C4773" t="str">
            <v>B596169/A</v>
          </cell>
          <cell r="D4773" t="str">
            <v>AR1076NF1208</v>
          </cell>
          <cell r="E4773">
            <v>5</v>
          </cell>
        </row>
        <row r="4774">
          <cell r="C4774" t="str">
            <v>B596164/A</v>
          </cell>
          <cell r="D4774" t="str">
            <v>AR1076NF1039</v>
          </cell>
          <cell r="E4774">
            <v>5</v>
          </cell>
        </row>
        <row r="4775">
          <cell r="C4775" t="str">
            <v>B596165/A</v>
          </cell>
          <cell r="D4775" t="str">
            <v>AR1076NF1039</v>
          </cell>
          <cell r="E4775">
            <v>10</v>
          </cell>
        </row>
        <row r="4776">
          <cell r="C4776" t="str">
            <v>B597614/A</v>
          </cell>
          <cell r="D4776" t="str">
            <v>JV063F1312</v>
          </cell>
          <cell r="E4776">
            <v>3</v>
          </cell>
        </row>
        <row r="4777">
          <cell r="C4777" t="str">
            <v>B597616/A</v>
          </cell>
          <cell r="D4777" t="str">
            <v>JV067F1313</v>
          </cell>
          <cell r="E4777">
            <v>3</v>
          </cell>
        </row>
        <row r="4778">
          <cell r="C4778" t="str">
            <v>B597697/A</v>
          </cell>
          <cell r="D4778" t="str">
            <v>RH11348F456</v>
          </cell>
          <cell r="E4778">
            <v>2</v>
          </cell>
        </row>
        <row r="4779">
          <cell r="C4779" t="str">
            <v>B597695/A</v>
          </cell>
          <cell r="D4779" t="str">
            <v>RH11348F456</v>
          </cell>
          <cell r="E4779">
            <v>1</v>
          </cell>
        </row>
        <row r="4780">
          <cell r="C4780" t="str">
            <v>B599016/A</v>
          </cell>
          <cell r="D4780" t="str">
            <v>RH9457NF426</v>
          </cell>
          <cell r="E4780">
            <v>2</v>
          </cell>
        </row>
        <row r="4781">
          <cell r="C4781" t="str">
            <v>B599013/A</v>
          </cell>
          <cell r="D4781" t="str">
            <v>RH9457NF426</v>
          </cell>
          <cell r="E4781">
            <v>4</v>
          </cell>
        </row>
        <row r="4782">
          <cell r="C4782" t="str">
            <v>B598749/A</v>
          </cell>
          <cell r="D4782" t="str">
            <v>AR1014F1039</v>
          </cell>
          <cell r="E4782">
            <v>10</v>
          </cell>
        </row>
        <row r="4783">
          <cell r="C4783" t="str">
            <v>B598754/A</v>
          </cell>
          <cell r="D4783" t="str">
            <v>AR1014F1208</v>
          </cell>
          <cell r="E4783">
            <v>7</v>
          </cell>
        </row>
        <row r="4784">
          <cell r="C4784" t="str">
            <v>B598755/A</v>
          </cell>
          <cell r="D4784" t="str">
            <v>AR1014F1208</v>
          </cell>
          <cell r="E4784">
            <v>18</v>
          </cell>
        </row>
        <row r="4785">
          <cell r="C4785" t="str">
            <v>B598871/A</v>
          </cell>
          <cell r="D4785" t="str">
            <v>AR1015NF1208</v>
          </cell>
          <cell r="E4785">
            <v>7</v>
          </cell>
        </row>
        <row r="4786">
          <cell r="C4786" t="str">
            <v>B598872/A</v>
          </cell>
          <cell r="D4786" t="str">
            <v>AR1015NF1208</v>
          </cell>
          <cell r="E4786">
            <v>18</v>
          </cell>
        </row>
        <row r="4787">
          <cell r="C4787" t="str">
            <v>B597157/A</v>
          </cell>
          <cell r="D4787" t="str">
            <v>AR125F834-BASE</v>
          </cell>
          <cell r="E4787">
            <v>9</v>
          </cell>
        </row>
        <row r="4788">
          <cell r="C4788" t="str">
            <v>B595578/A</v>
          </cell>
          <cell r="D4788" t="str">
            <v>AR190F834-BASE</v>
          </cell>
          <cell r="E4788">
            <v>6</v>
          </cell>
        </row>
        <row r="4789">
          <cell r="C4789" t="str">
            <v>B595580/A</v>
          </cell>
          <cell r="D4789" t="str">
            <v>AR190F906-BASE</v>
          </cell>
          <cell r="E4789">
            <v>10</v>
          </cell>
        </row>
        <row r="4790">
          <cell r="C4790" t="str">
            <v>B595583/A</v>
          </cell>
          <cell r="D4790" t="str">
            <v>AR367F1049</v>
          </cell>
          <cell r="E4790">
            <v>7</v>
          </cell>
        </row>
        <row r="4791">
          <cell r="C4791" t="str">
            <v>B595584/A</v>
          </cell>
          <cell r="D4791" t="str">
            <v>AR367F1049</v>
          </cell>
          <cell r="E4791">
            <v>18</v>
          </cell>
        </row>
        <row r="4792">
          <cell r="C4792" t="str">
            <v>B595587/A</v>
          </cell>
          <cell r="D4792" t="str">
            <v>AR367F906</v>
          </cell>
          <cell r="E4792">
            <v>7</v>
          </cell>
        </row>
        <row r="4793">
          <cell r="C4793" t="str">
            <v>B595588/A</v>
          </cell>
          <cell r="D4793" t="str">
            <v>AR367F906</v>
          </cell>
          <cell r="E4793">
            <v>18</v>
          </cell>
        </row>
        <row r="4794">
          <cell r="C4794" t="str">
            <v>B597160/A</v>
          </cell>
          <cell r="D4794" t="str">
            <v>AR373F1049</v>
          </cell>
          <cell r="E4794">
            <v>7</v>
          </cell>
        </row>
        <row r="4795">
          <cell r="C4795" t="str">
            <v>B597161/A</v>
          </cell>
          <cell r="D4795" t="str">
            <v>AR373F1049</v>
          </cell>
          <cell r="E4795">
            <v>18</v>
          </cell>
        </row>
        <row r="4796">
          <cell r="C4796" t="str">
            <v>B597165/A</v>
          </cell>
          <cell r="D4796" t="str">
            <v>AR392AF906</v>
          </cell>
          <cell r="E4796">
            <v>13</v>
          </cell>
        </row>
        <row r="4797">
          <cell r="C4797" t="str">
            <v>B597163/A</v>
          </cell>
          <cell r="D4797" t="str">
            <v>AR392AF906</v>
          </cell>
          <cell r="E4797">
            <v>32</v>
          </cell>
        </row>
        <row r="4798">
          <cell r="C4798" t="str">
            <v>B597373/A</v>
          </cell>
          <cell r="D4798" t="str">
            <v>AR452F1001</v>
          </cell>
          <cell r="E4798">
            <v>7</v>
          </cell>
        </row>
        <row r="4799">
          <cell r="C4799" t="str">
            <v>B597371/A</v>
          </cell>
          <cell r="D4799" t="str">
            <v>AR452F1001</v>
          </cell>
          <cell r="E4799">
            <v>18</v>
          </cell>
        </row>
        <row r="4800">
          <cell r="C4800" t="str">
            <v>B595590/A</v>
          </cell>
          <cell r="D4800" t="str">
            <v>AR463F834-BASE</v>
          </cell>
          <cell r="E4800">
            <v>9</v>
          </cell>
        </row>
        <row r="4801">
          <cell r="C4801" t="str">
            <v>B595592/A</v>
          </cell>
          <cell r="D4801" t="str">
            <v>AR463F906-BASE</v>
          </cell>
          <cell r="E4801">
            <v>16</v>
          </cell>
        </row>
        <row r="4802">
          <cell r="C4802" t="str">
            <v>B597368/A</v>
          </cell>
          <cell r="D4802" t="str">
            <v>AR805F1001</v>
          </cell>
          <cell r="E4802">
            <v>7</v>
          </cell>
        </row>
        <row r="4803">
          <cell r="C4803" t="str">
            <v>B597369/A</v>
          </cell>
          <cell r="D4803" t="str">
            <v>AR805F1001</v>
          </cell>
          <cell r="E4803">
            <v>18</v>
          </cell>
        </row>
        <row r="4804">
          <cell r="C4804" t="str">
            <v>B597170/A</v>
          </cell>
          <cell r="D4804" t="str">
            <v>AR931F1049</v>
          </cell>
          <cell r="E4804">
            <v>10</v>
          </cell>
        </row>
        <row r="4805">
          <cell r="C4805" t="str">
            <v>B597171/A</v>
          </cell>
          <cell r="D4805" t="str">
            <v>AR931F1049</v>
          </cell>
          <cell r="E4805">
            <v>25</v>
          </cell>
        </row>
        <row r="4806">
          <cell r="C4806" t="str">
            <v>B596889/A</v>
          </cell>
          <cell r="D4806" t="str">
            <v>AT358AF793-VE</v>
          </cell>
          <cell r="E4806">
            <v>2</v>
          </cell>
        </row>
        <row r="4807">
          <cell r="C4807" t="str">
            <v>B596890/A</v>
          </cell>
          <cell r="D4807" t="str">
            <v>AT358AF793-VE</v>
          </cell>
          <cell r="E4807">
            <v>25</v>
          </cell>
        </row>
        <row r="4808">
          <cell r="C4808" t="str">
            <v>B596893/A</v>
          </cell>
          <cell r="D4808" t="str">
            <v>AT358BF839-VE</v>
          </cell>
          <cell r="E4808">
            <v>25</v>
          </cell>
        </row>
        <row r="4809">
          <cell r="C4809" t="str">
            <v>B596894/A</v>
          </cell>
          <cell r="D4809" t="str">
            <v>AT358BF839-VE</v>
          </cell>
          <cell r="E4809">
            <v>3</v>
          </cell>
        </row>
        <row r="4810">
          <cell r="C4810" t="str">
            <v>B599111/A</v>
          </cell>
          <cell r="D4810" t="str">
            <v>AT382F1089-VE</v>
          </cell>
          <cell r="E4810">
            <v>6</v>
          </cell>
        </row>
        <row r="4811">
          <cell r="C4811" t="str">
            <v>B596898/A</v>
          </cell>
          <cell r="D4811" t="str">
            <v>AT382F1089-VE</v>
          </cell>
          <cell r="E4811">
            <v>50</v>
          </cell>
        </row>
        <row r="4812">
          <cell r="C4812" t="str">
            <v>B596900/A</v>
          </cell>
          <cell r="D4812" t="str">
            <v>AT382F535-VE</v>
          </cell>
          <cell r="E4812">
            <v>50</v>
          </cell>
        </row>
        <row r="4813">
          <cell r="C4813" t="str">
            <v>B598329/A</v>
          </cell>
          <cell r="D4813" t="str">
            <v>AT383F1089-VE</v>
          </cell>
          <cell r="E4813">
            <v>50</v>
          </cell>
        </row>
        <row r="4814">
          <cell r="C4814" t="str">
            <v>B598331/A</v>
          </cell>
          <cell r="D4814" t="str">
            <v>AT383F535-VE</v>
          </cell>
          <cell r="E4814">
            <v>3</v>
          </cell>
        </row>
        <row r="4815">
          <cell r="C4815" t="str">
            <v>B594081/A</v>
          </cell>
          <cell r="D4815" t="str">
            <v>AT418F1089-VE</v>
          </cell>
          <cell r="E4815">
            <v>50</v>
          </cell>
        </row>
        <row r="4816">
          <cell r="C4816" t="str">
            <v>B594080/A</v>
          </cell>
          <cell r="D4816" t="str">
            <v>AT418F1089-VE</v>
          </cell>
          <cell r="E4816">
            <v>25</v>
          </cell>
        </row>
        <row r="4817">
          <cell r="C4817" t="str">
            <v>B594080/A</v>
          </cell>
          <cell r="D4817" t="str">
            <v>AT418F535-VE</v>
          </cell>
          <cell r="E4817">
            <v>25</v>
          </cell>
        </row>
        <row r="4818">
          <cell r="C4818" t="str">
            <v>B594111/A</v>
          </cell>
          <cell r="D4818" t="str">
            <v>AT471F1089-VE</v>
          </cell>
          <cell r="E4818">
            <v>2</v>
          </cell>
        </row>
        <row r="4819">
          <cell r="C4819" t="str">
            <v>B594107/A</v>
          </cell>
          <cell r="D4819" t="str">
            <v>AT471F535-VE</v>
          </cell>
          <cell r="E4819">
            <v>50</v>
          </cell>
        </row>
        <row r="4820">
          <cell r="C4820" t="str">
            <v>B598341/A</v>
          </cell>
          <cell r="D4820" t="str">
            <v>AT479NF1059</v>
          </cell>
          <cell r="E4820">
            <v>25</v>
          </cell>
        </row>
        <row r="4821">
          <cell r="C4821" t="str">
            <v>B598345/A</v>
          </cell>
          <cell r="D4821" t="str">
            <v>AT479NF877</v>
          </cell>
          <cell r="E4821">
            <v>25</v>
          </cell>
        </row>
        <row r="4822">
          <cell r="C4822" t="str">
            <v>B598343/A</v>
          </cell>
          <cell r="D4822" t="str">
            <v>AT522NF1237</v>
          </cell>
          <cell r="E4822">
            <v>25</v>
          </cell>
        </row>
        <row r="4823">
          <cell r="C4823" t="str">
            <v>B598347/A</v>
          </cell>
          <cell r="D4823" t="str">
            <v>AT522NF877</v>
          </cell>
          <cell r="E4823">
            <v>25</v>
          </cell>
        </row>
        <row r="4824">
          <cell r="C4824" t="str">
            <v>B598349/A</v>
          </cell>
          <cell r="D4824" t="str">
            <v>AT536BF1040</v>
          </cell>
          <cell r="E4824">
            <v>30</v>
          </cell>
        </row>
        <row r="4825">
          <cell r="C4825" t="str">
            <v>B598352/A</v>
          </cell>
          <cell r="D4825" t="str">
            <v>AT537BNF1040</v>
          </cell>
          <cell r="E4825">
            <v>30</v>
          </cell>
        </row>
        <row r="4826">
          <cell r="C4826" t="str">
            <v>B598365/A</v>
          </cell>
          <cell r="D4826" t="str">
            <v>AT574F1089-VE</v>
          </cell>
          <cell r="E4826">
            <v>50</v>
          </cell>
        </row>
        <row r="4827">
          <cell r="C4827" t="str">
            <v>B596916/A</v>
          </cell>
          <cell r="D4827" t="str">
            <v>AT574F535-VE</v>
          </cell>
          <cell r="E4827">
            <v>50</v>
          </cell>
        </row>
        <row r="4828">
          <cell r="C4828" t="str">
            <v>B598367/A</v>
          </cell>
          <cell r="D4828" t="str">
            <v>AT606NF877</v>
          </cell>
          <cell r="E4828">
            <v>50</v>
          </cell>
        </row>
        <row r="4829">
          <cell r="C4829" t="str">
            <v>B598373/A</v>
          </cell>
          <cell r="D4829" t="str">
            <v>BN3183F356</v>
          </cell>
          <cell r="E4829">
            <v>40</v>
          </cell>
        </row>
        <row r="4830">
          <cell r="C4830" t="str">
            <v>B598374/A</v>
          </cell>
          <cell r="D4830" t="str">
            <v>BN3183F356</v>
          </cell>
          <cell r="E4830">
            <v>40</v>
          </cell>
        </row>
        <row r="4831">
          <cell r="C4831" t="str">
            <v>B598759/A</v>
          </cell>
          <cell r="D4831" t="str">
            <v>CT007NF610</v>
          </cell>
          <cell r="E4831">
            <v>10</v>
          </cell>
        </row>
        <row r="4832">
          <cell r="C4832" t="str">
            <v>B598760/A</v>
          </cell>
          <cell r="D4832" t="str">
            <v>CT007NF610</v>
          </cell>
          <cell r="E4832">
            <v>10</v>
          </cell>
        </row>
        <row r="4833">
          <cell r="C4833" t="str">
            <v>B598761/A</v>
          </cell>
          <cell r="D4833" t="str">
            <v>CT007NF610</v>
          </cell>
          <cell r="E4833">
            <v>5</v>
          </cell>
        </row>
        <row r="4834">
          <cell r="C4834" t="str">
            <v>B598765/A</v>
          </cell>
          <cell r="D4834" t="str">
            <v>CT020AF633</v>
          </cell>
          <cell r="E4834">
            <v>10</v>
          </cell>
        </row>
        <row r="4835">
          <cell r="C4835" t="str">
            <v>B598766/A</v>
          </cell>
          <cell r="D4835" t="str">
            <v>CT020AF633</v>
          </cell>
          <cell r="E4835">
            <v>10</v>
          </cell>
        </row>
        <row r="4836">
          <cell r="C4836" t="str">
            <v>B598767/A</v>
          </cell>
          <cell r="D4836" t="str">
            <v>CT020AF633</v>
          </cell>
          <cell r="E4836">
            <v>5</v>
          </cell>
        </row>
        <row r="4837">
          <cell r="C4837" t="str">
            <v>B598769/A</v>
          </cell>
          <cell r="D4837" t="str">
            <v>CT041F633</v>
          </cell>
          <cell r="E4837">
            <v>15</v>
          </cell>
        </row>
        <row r="4838">
          <cell r="C4838" t="str">
            <v>B598773/A</v>
          </cell>
          <cell r="D4838" t="str">
            <v>CT050F633-FBSR</v>
          </cell>
          <cell r="E4838">
            <v>10</v>
          </cell>
        </row>
        <row r="4839">
          <cell r="C4839" t="str">
            <v>B598774/A</v>
          </cell>
          <cell r="D4839" t="str">
            <v>CT050F633-FBSR</v>
          </cell>
          <cell r="E4839">
            <v>10</v>
          </cell>
        </row>
        <row r="4840">
          <cell r="C4840" t="str">
            <v>B598775/A</v>
          </cell>
          <cell r="D4840" t="str">
            <v>CT050F633-FBSR</v>
          </cell>
          <cell r="E4840">
            <v>5</v>
          </cell>
        </row>
        <row r="4841">
          <cell r="C4841" t="str">
            <v>B598779/A</v>
          </cell>
          <cell r="D4841" t="str">
            <v>CT050F633-HB</v>
          </cell>
          <cell r="E4841">
            <v>10</v>
          </cell>
        </row>
        <row r="4842">
          <cell r="C4842" t="str">
            <v>B598780/A</v>
          </cell>
          <cell r="D4842" t="str">
            <v>CT050F633-HB</v>
          </cell>
          <cell r="E4842">
            <v>10</v>
          </cell>
        </row>
        <row r="4843">
          <cell r="C4843" t="str">
            <v>B598781/A</v>
          </cell>
          <cell r="D4843" t="str">
            <v>CT050F633-HB</v>
          </cell>
          <cell r="E4843">
            <v>5</v>
          </cell>
        </row>
        <row r="4844">
          <cell r="C4844" t="str">
            <v>B598247/A</v>
          </cell>
          <cell r="D4844" t="str">
            <v>MN5782</v>
          </cell>
          <cell r="E4844">
            <v>25</v>
          </cell>
        </row>
        <row r="4845">
          <cell r="C4845" t="str">
            <v>B598376/A</v>
          </cell>
          <cell r="D4845" t="str">
            <v>RD2166F01</v>
          </cell>
          <cell r="E4845">
            <v>25</v>
          </cell>
        </row>
        <row r="4846">
          <cell r="C4846" t="str">
            <v>B598602/A</v>
          </cell>
          <cell r="D4846" t="str">
            <v>RH10056NF382</v>
          </cell>
          <cell r="E4846">
            <v>2</v>
          </cell>
        </row>
        <row r="4847">
          <cell r="C4847" t="str">
            <v>B598604/A</v>
          </cell>
          <cell r="D4847" t="str">
            <v>RH10056NF382</v>
          </cell>
          <cell r="E4847">
            <v>11</v>
          </cell>
        </row>
        <row r="4848">
          <cell r="C4848" t="str">
            <v>B598609/A</v>
          </cell>
          <cell r="D4848" t="str">
            <v>RH10056NF384</v>
          </cell>
          <cell r="E4848">
            <v>2</v>
          </cell>
        </row>
        <row r="4849">
          <cell r="C4849" t="str">
            <v>B598611/A</v>
          </cell>
          <cell r="D4849" t="str">
            <v>RH10056NF384</v>
          </cell>
          <cell r="E4849">
            <v>10</v>
          </cell>
        </row>
        <row r="4850">
          <cell r="C4850" t="str">
            <v>B598617/A</v>
          </cell>
          <cell r="D4850" t="str">
            <v>RH10056NF409</v>
          </cell>
          <cell r="E4850">
            <v>8</v>
          </cell>
        </row>
        <row r="4851">
          <cell r="C4851" t="str">
            <v>B598618/A</v>
          </cell>
          <cell r="D4851" t="str">
            <v>RH10056NF409</v>
          </cell>
          <cell r="E4851">
            <v>8</v>
          </cell>
        </row>
        <row r="4852">
          <cell r="C4852" t="str">
            <v>B598239/A</v>
          </cell>
          <cell r="D4852" t="str">
            <v>RH10060F405</v>
          </cell>
          <cell r="E4852">
            <v>2</v>
          </cell>
        </row>
        <row r="4853">
          <cell r="C4853" t="str">
            <v>B598240/A</v>
          </cell>
          <cell r="D4853" t="str">
            <v>RH10060F405</v>
          </cell>
          <cell r="E4853">
            <v>1</v>
          </cell>
        </row>
        <row r="4854">
          <cell r="C4854" t="str">
            <v>B598237/A</v>
          </cell>
          <cell r="D4854" t="str">
            <v>RH10061F405</v>
          </cell>
          <cell r="E4854">
            <v>1</v>
          </cell>
        </row>
        <row r="4855">
          <cell r="C4855" t="str">
            <v>B598238/A</v>
          </cell>
          <cell r="D4855" t="str">
            <v>RH10061F405</v>
          </cell>
          <cell r="E4855">
            <v>1</v>
          </cell>
        </row>
        <row r="4856">
          <cell r="C4856" t="str">
            <v>B598627/A</v>
          </cell>
          <cell r="D4856" t="str">
            <v>RH10084F382</v>
          </cell>
          <cell r="E4856">
            <v>7</v>
          </cell>
        </row>
        <row r="4857">
          <cell r="C4857" t="str">
            <v>B598628/A</v>
          </cell>
          <cell r="D4857" t="str">
            <v>RH10084F382</v>
          </cell>
          <cell r="E4857">
            <v>3</v>
          </cell>
        </row>
        <row r="4858">
          <cell r="C4858" t="str">
            <v>B598632/A</v>
          </cell>
          <cell r="D4858" t="str">
            <v>RH10084F384</v>
          </cell>
          <cell r="E4858">
            <v>4</v>
          </cell>
        </row>
        <row r="4859">
          <cell r="C4859" t="str">
            <v>B598635/A</v>
          </cell>
          <cell r="D4859" t="str">
            <v>RH10084F409</v>
          </cell>
          <cell r="E4859">
            <v>20</v>
          </cell>
        </row>
        <row r="4860">
          <cell r="C4860" t="str">
            <v>B598637/A</v>
          </cell>
          <cell r="D4860" t="str">
            <v>RH10114F382</v>
          </cell>
          <cell r="E4860">
            <v>2</v>
          </cell>
        </row>
        <row r="4861">
          <cell r="C4861" t="str">
            <v>B598639/A</v>
          </cell>
          <cell r="D4861" t="str">
            <v>RH10114F382</v>
          </cell>
          <cell r="E4861">
            <v>6</v>
          </cell>
        </row>
        <row r="4862">
          <cell r="C4862" t="str">
            <v>B598713/A</v>
          </cell>
          <cell r="D4862" t="str">
            <v>RH10114F384</v>
          </cell>
          <cell r="E4862">
            <v>2</v>
          </cell>
        </row>
        <row r="4863">
          <cell r="C4863" t="str">
            <v>B598379/A</v>
          </cell>
          <cell r="D4863" t="str">
            <v>RH10126F382</v>
          </cell>
          <cell r="E4863">
            <v>4</v>
          </cell>
        </row>
        <row r="4864">
          <cell r="C4864" t="str">
            <v>B598380/A</v>
          </cell>
          <cell r="D4864" t="str">
            <v>RH10126F382</v>
          </cell>
          <cell r="E4864">
            <v>7</v>
          </cell>
        </row>
        <row r="4865">
          <cell r="C4865" t="str">
            <v>B598382/A</v>
          </cell>
          <cell r="D4865" t="str">
            <v>RH10126F383</v>
          </cell>
          <cell r="E4865">
            <v>4</v>
          </cell>
        </row>
        <row r="4866">
          <cell r="C4866" t="str">
            <v>B598385/A</v>
          </cell>
          <cell r="D4866" t="str">
            <v>RH10126F384</v>
          </cell>
          <cell r="E4866">
            <v>2</v>
          </cell>
        </row>
        <row r="4867">
          <cell r="C4867" t="str">
            <v>B598717/A</v>
          </cell>
          <cell r="D4867" t="str">
            <v>RH10159F382</v>
          </cell>
          <cell r="E4867">
            <v>8</v>
          </cell>
        </row>
        <row r="4868">
          <cell r="C4868" t="str">
            <v>B598718/A</v>
          </cell>
          <cell r="D4868" t="str">
            <v>RH10159F382</v>
          </cell>
          <cell r="E4868">
            <v>4</v>
          </cell>
        </row>
        <row r="4869">
          <cell r="C4869" t="str">
            <v>B598719/A</v>
          </cell>
          <cell r="D4869" t="str">
            <v>RH10159F382</v>
          </cell>
          <cell r="E4869">
            <v>8</v>
          </cell>
        </row>
        <row r="4870">
          <cell r="C4870" t="str">
            <v>B598721/A</v>
          </cell>
          <cell r="D4870" t="str">
            <v>RH10159F384</v>
          </cell>
          <cell r="E4870">
            <v>4</v>
          </cell>
        </row>
        <row r="4871">
          <cell r="C4871" t="str">
            <v>B598724/A</v>
          </cell>
          <cell r="D4871" t="str">
            <v>RH10159F409</v>
          </cell>
          <cell r="E4871">
            <v>8</v>
          </cell>
        </row>
        <row r="4872">
          <cell r="C4872" t="str">
            <v>B598725/A</v>
          </cell>
          <cell r="D4872" t="str">
            <v>RH10159F409</v>
          </cell>
          <cell r="E4872">
            <v>5</v>
          </cell>
        </row>
        <row r="4873">
          <cell r="C4873" t="str">
            <v>B598728/A</v>
          </cell>
          <cell r="D4873" t="str">
            <v>RH10164F382</v>
          </cell>
          <cell r="E4873">
            <v>18</v>
          </cell>
        </row>
        <row r="4874">
          <cell r="C4874" t="str">
            <v>B598729/A</v>
          </cell>
          <cell r="D4874" t="str">
            <v>RH10164F382</v>
          </cell>
          <cell r="E4874">
            <v>1</v>
          </cell>
        </row>
        <row r="4875">
          <cell r="C4875" t="str">
            <v>B598731/A</v>
          </cell>
          <cell r="D4875" t="str">
            <v>RH10164F383</v>
          </cell>
          <cell r="E4875">
            <v>16</v>
          </cell>
        </row>
        <row r="4876">
          <cell r="C4876" t="str">
            <v>B598733/A</v>
          </cell>
          <cell r="D4876" t="str">
            <v>RH10164F409</v>
          </cell>
          <cell r="E4876">
            <v>4</v>
          </cell>
        </row>
        <row r="4877">
          <cell r="C4877" t="str">
            <v>B598736/A</v>
          </cell>
          <cell r="D4877" t="str">
            <v>RH10166F382</v>
          </cell>
          <cell r="E4877">
            <v>2</v>
          </cell>
        </row>
        <row r="4878">
          <cell r="C4878" t="str">
            <v>B598737/A</v>
          </cell>
          <cell r="D4878" t="str">
            <v>RH10166F382</v>
          </cell>
          <cell r="E4878">
            <v>3</v>
          </cell>
        </row>
        <row r="4879">
          <cell r="C4879" t="str">
            <v>B598739/A</v>
          </cell>
          <cell r="D4879" t="str">
            <v>RH10166F409</v>
          </cell>
          <cell r="E4879">
            <v>5</v>
          </cell>
        </row>
        <row r="4880">
          <cell r="C4880" t="str">
            <v>B598393/A</v>
          </cell>
          <cell r="D4880" t="str">
            <v>RH10169F382</v>
          </cell>
          <cell r="E4880">
            <v>2</v>
          </cell>
        </row>
        <row r="4881">
          <cell r="C4881" t="str">
            <v>B598394/A</v>
          </cell>
          <cell r="D4881" t="str">
            <v>RH10169F382</v>
          </cell>
          <cell r="E4881">
            <v>5</v>
          </cell>
        </row>
        <row r="4882">
          <cell r="C4882" t="str">
            <v>B598396/A</v>
          </cell>
          <cell r="D4882" t="str">
            <v>RH10169F382</v>
          </cell>
          <cell r="E4882">
            <v>10</v>
          </cell>
        </row>
        <row r="4883">
          <cell r="C4883" t="str">
            <v>B598402/A</v>
          </cell>
          <cell r="D4883" t="str">
            <v>RH10169F383</v>
          </cell>
          <cell r="E4883">
            <v>4</v>
          </cell>
        </row>
        <row r="4884">
          <cell r="C4884" t="str">
            <v>B598403/A</v>
          </cell>
          <cell r="D4884" t="str">
            <v>RH10169F383</v>
          </cell>
          <cell r="E4884">
            <v>10</v>
          </cell>
        </row>
        <row r="4885">
          <cell r="C4885" t="str">
            <v>B598407/A</v>
          </cell>
          <cell r="D4885" t="str">
            <v>RH10169F384</v>
          </cell>
          <cell r="E4885">
            <v>4</v>
          </cell>
        </row>
        <row r="4886">
          <cell r="C4886" t="str">
            <v>B598412/A</v>
          </cell>
          <cell r="D4886" t="str">
            <v>RH10169F409</v>
          </cell>
          <cell r="E4886">
            <v>4</v>
          </cell>
        </row>
        <row r="4887">
          <cell r="C4887" t="str">
            <v>B598416/A</v>
          </cell>
          <cell r="D4887" t="str">
            <v>RH10175F383</v>
          </cell>
          <cell r="E4887">
            <v>3</v>
          </cell>
        </row>
        <row r="4888">
          <cell r="C4888" t="str">
            <v>B598418/A</v>
          </cell>
          <cell r="D4888" t="str">
            <v>RH10175F383</v>
          </cell>
          <cell r="E4888">
            <v>5</v>
          </cell>
        </row>
        <row r="4889">
          <cell r="C4889" t="str">
            <v>B598424/A</v>
          </cell>
          <cell r="D4889" t="str">
            <v>RH10175F384</v>
          </cell>
          <cell r="E4889">
            <v>3</v>
          </cell>
        </row>
        <row r="4890">
          <cell r="C4890" t="str">
            <v>B598427/A</v>
          </cell>
          <cell r="D4890" t="str">
            <v>RH10175F409</v>
          </cell>
          <cell r="E4890">
            <v>4</v>
          </cell>
        </row>
        <row r="4891">
          <cell r="C4891" t="str">
            <v>B598428/A</v>
          </cell>
          <cell r="D4891" t="str">
            <v>RH10175F409</v>
          </cell>
          <cell r="E4891">
            <v>6</v>
          </cell>
        </row>
        <row r="4892">
          <cell r="C4892" t="str">
            <v>B598249/A</v>
          </cell>
          <cell r="D4892" t="str">
            <v>RH11044F349TR</v>
          </cell>
          <cell r="E4892">
            <v>42</v>
          </cell>
        </row>
        <row r="4893">
          <cell r="C4893" t="str">
            <v>B598432/A</v>
          </cell>
          <cell r="D4893" t="str">
            <v>RH11045F349TR</v>
          </cell>
          <cell r="E4893">
            <v>28</v>
          </cell>
        </row>
        <row r="4894">
          <cell r="C4894" t="str">
            <v>B598254/A</v>
          </cell>
          <cell r="D4894" t="str">
            <v>RH11045F349TR</v>
          </cell>
          <cell r="E4894">
            <v>30</v>
          </cell>
        </row>
        <row r="4895">
          <cell r="C4895" t="str">
            <v>B598253/A</v>
          </cell>
          <cell r="D4895" t="str">
            <v>RH11046F349TR</v>
          </cell>
          <cell r="E4895">
            <v>60</v>
          </cell>
        </row>
        <row r="4896">
          <cell r="C4896" t="str">
            <v>B598435/A</v>
          </cell>
          <cell r="D4896" t="str">
            <v>RH11046F349TR</v>
          </cell>
          <cell r="E4896">
            <v>60</v>
          </cell>
        </row>
        <row r="4897">
          <cell r="C4897" t="str">
            <v>B598440/A</v>
          </cell>
          <cell r="D4897" t="str">
            <v>RH11047F349TR-32314COM</v>
          </cell>
          <cell r="E4897">
            <v>30</v>
          </cell>
        </row>
        <row r="4898">
          <cell r="C4898" t="str">
            <v>B598442/A</v>
          </cell>
          <cell r="D4898" t="str">
            <v>RH11047F349TR-32314COM</v>
          </cell>
          <cell r="E4898">
            <v>60</v>
          </cell>
        </row>
        <row r="4899">
          <cell r="C4899" t="str">
            <v>B598256/A</v>
          </cell>
          <cell r="D4899" t="str">
            <v>RH11047F349TR-32314COM</v>
          </cell>
          <cell r="E4899">
            <v>30</v>
          </cell>
        </row>
        <row r="4900">
          <cell r="C4900" t="str">
            <v>B598448/A</v>
          </cell>
          <cell r="D4900" t="str">
            <v>RH11049F349TR</v>
          </cell>
          <cell r="E4900">
            <v>57</v>
          </cell>
        </row>
        <row r="4901">
          <cell r="C4901" t="str">
            <v>B598450/A</v>
          </cell>
          <cell r="D4901" t="str">
            <v>RH11049F349TR</v>
          </cell>
          <cell r="E4901">
            <v>60</v>
          </cell>
        </row>
        <row r="4902">
          <cell r="C4902" t="str">
            <v>B598452/A</v>
          </cell>
          <cell r="D4902" t="str">
            <v>RH11349F2006TR</v>
          </cell>
          <cell r="E4902">
            <v>10</v>
          </cell>
        </row>
        <row r="4903">
          <cell r="C4903" t="str">
            <v>B598467/A</v>
          </cell>
          <cell r="D4903" t="str">
            <v>RH11350F2006TR</v>
          </cell>
          <cell r="E4903">
            <v>4</v>
          </cell>
        </row>
        <row r="4904">
          <cell r="C4904" t="str">
            <v>B598471/A</v>
          </cell>
          <cell r="D4904" t="str">
            <v>RH11351NF2006TR</v>
          </cell>
          <cell r="E4904">
            <v>35</v>
          </cell>
        </row>
        <row r="4905">
          <cell r="C4905" t="str">
            <v>B598475/A</v>
          </cell>
          <cell r="D4905" t="str">
            <v>RH11353F2006TR</v>
          </cell>
          <cell r="E4905">
            <v>14</v>
          </cell>
        </row>
        <row r="4906">
          <cell r="C4906" t="str">
            <v>B598479/A</v>
          </cell>
          <cell r="D4906" t="str">
            <v>RH11375F349TR</v>
          </cell>
          <cell r="E4906">
            <v>29</v>
          </cell>
        </row>
        <row r="4907">
          <cell r="C4907" t="str">
            <v>B598258/A</v>
          </cell>
          <cell r="D4907" t="str">
            <v>RH11375F349TR</v>
          </cell>
          <cell r="E4907">
            <v>30</v>
          </cell>
        </row>
        <row r="4908">
          <cell r="C4908" t="str">
            <v>B598488/A</v>
          </cell>
          <cell r="D4908" t="str">
            <v>RH1653NF40.BC</v>
          </cell>
          <cell r="E4908">
            <v>40</v>
          </cell>
        </row>
        <row r="4909">
          <cell r="C4909" t="str">
            <v>B598490/A</v>
          </cell>
          <cell r="D4909" t="str">
            <v>RH1658-TF40</v>
          </cell>
          <cell r="E4909">
            <v>20</v>
          </cell>
        </row>
        <row r="4910">
          <cell r="C4910" t="str">
            <v>B598496/A</v>
          </cell>
          <cell r="D4910" t="str">
            <v>RH1685NF40.BC</v>
          </cell>
          <cell r="E4910">
            <v>20</v>
          </cell>
        </row>
        <row r="4911">
          <cell r="C4911" t="str">
            <v>B598269/A</v>
          </cell>
          <cell r="D4911" t="str">
            <v>RH1745F40.BC</v>
          </cell>
          <cell r="E4911">
            <v>1</v>
          </cell>
        </row>
        <row r="4912">
          <cell r="C4912" t="str">
            <v>B598500/A</v>
          </cell>
          <cell r="D4912" t="str">
            <v>RH1967F26</v>
          </cell>
          <cell r="E4912">
            <v>1</v>
          </cell>
        </row>
        <row r="4913">
          <cell r="C4913" t="str">
            <v>B598271/A</v>
          </cell>
          <cell r="D4913" t="str">
            <v>RH2006AF95</v>
          </cell>
          <cell r="E4913">
            <v>1</v>
          </cell>
        </row>
        <row r="4914">
          <cell r="C4914" t="str">
            <v>B598503/A</v>
          </cell>
          <cell r="D4914" t="str">
            <v>RH2246NF36</v>
          </cell>
          <cell r="E4914">
            <v>1</v>
          </cell>
        </row>
        <row r="4915">
          <cell r="C4915" t="str">
            <v>B598274/A</v>
          </cell>
          <cell r="D4915" t="str">
            <v>RH2271F08</v>
          </cell>
          <cell r="E4915">
            <v>1</v>
          </cell>
        </row>
        <row r="4916">
          <cell r="C4916" t="str">
            <v>B598507/A</v>
          </cell>
          <cell r="D4916" t="str">
            <v>RH2273F08</v>
          </cell>
          <cell r="E4916">
            <v>10</v>
          </cell>
        </row>
        <row r="4917">
          <cell r="C4917" t="str">
            <v>B598509/A</v>
          </cell>
          <cell r="D4917" t="str">
            <v>RH2273F08</v>
          </cell>
          <cell r="E4917">
            <v>10</v>
          </cell>
        </row>
        <row r="4918">
          <cell r="C4918" t="str">
            <v>B598278/A</v>
          </cell>
          <cell r="D4918" t="str">
            <v>RH3384F09</v>
          </cell>
          <cell r="E4918">
            <v>1</v>
          </cell>
        </row>
        <row r="4919">
          <cell r="C4919" t="str">
            <v>B598514/A</v>
          </cell>
          <cell r="D4919" t="str">
            <v>RH3438NF130</v>
          </cell>
          <cell r="E4919">
            <v>10</v>
          </cell>
        </row>
        <row r="4920">
          <cell r="C4920" t="str">
            <v>B598515/A</v>
          </cell>
          <cell r="D4920" t="str">
            <v>RH3438NF130</v>
          </cell>
          <cell r="E4920">
            <v>10</v>
          </cell>
        </row>
        <row r="4921">
          <cell r="C4921" t="str">
            <v>B598517/A</v>
          </cell>
          <cell r="D4921" t="str">
            <v>RH3541F40.BC</v>
          </cell>
          <cell r="E4921">
            <v>40</v>
          </cell>
        </row>
        <row r="4922">
          <cell r="C4922" t="str">
            <v>B598536/A</v>
          </cell>
          <cell r="D4922" t="str">
            <v>RH4135F29</v>
          </cell>
          <cell r="E4922">
            <v>10</v>
          </cell>
        </row>
        <row r="4923">
          <cell r="C4923" t="str">
            <v>B598537/A</v>
          </cell>
          <cell r="D4923" t="str">
            <v>RH4135F29</v>
          </cell>
          <cell r="E4923">
            <v>10</v>
          </cell>
        </row>
        <row r="4924">
          <cell r="C4924" t="str">
            <v>B598541/A</v>
          </cell>
          <cell r="D4924" t="str">
            <v>RH5345F38BN</v>
          </cell>
          <cell r="E4924">
            <v>43</v>
          </cell>
        </row>
        <row r="4925">
          <cell r="C4925" t="str">
            <v>B598542/A</v>
          </cell>
          <cell r="D4925" t="str">
            <v>RH5345F38BN</v>
          </cell>
          <cell r="E4925">
            <v>20</v>
          </cell>
        </row>
        <row r="4926">
          <cell r="C4926" t="str">
            <v>B598546/A</v>
          </cell>
          <cell r="D4926" t="str">
            <v>RH578NF05</v>
          </cell>
          <cell r="E4926">
            <v>50</v>
          </cell>
        </row>
        <row r="4927">
          <cell r="C4927" t="str">
            <v>B598551/A</v>
          </cell>
          <cell r="D4927" t="str">
            <v>RH619F01</v>
          </cell>
          <cell r="E4927">
            <v>25</v>
          </cell>
        </row>
        <row r="4928">
          <cell r="C4928" t="str">
            <v>B598564/A</v>
          </cell>
          <cell r="D4928" t="str">
            <v>RH619F05</v>
          </cell>
          <cell r="E4928">
            <v>50</v>
          </cell>
        </row>
        <row r="4929">
          <cell r="C4929" t="str">
            <v>B598741/A</v>
          </cell>
          <cell r="D4929" t="str">
            <v>RH9498NF382</v>
          </cell>
          <cell r="E4929">
            <v>8</v>
          </cell>
        </row>
        <row r="4930">
          <cell r="C4930" t="str">
            <v>B598743/A</v>
          </cell>
          <cell r="D4930" t="str">
            <v>RH9498NF384</v>
          </cell>
          <cell r="E4930">
            <v>8</v>
          </cell>
        </row>
        <row r="4931">
          <cell r="C4931" t="str">
            <v>B598746/A</v>
          </cell>
          <cell r="D4931" t="str">
            <v>RH9498NF409</v>
          </cell>
          <cell r="E4931">
            <v>8</v>
          </cell>
        </row>
        <row r="4932">
          <cell r="C4932" t="str">
            <v>B598747/A</v>
          </cell>
          <cell r="D4932" t="str">
            <v>RH9498NF409</v>
          </cell>
          <cell r="E4932">
            <v>5</v>
          </cell>
        </row>
        <row r="4933">
          <cell r="C4933" t="str">
            <v>B598280/A</v>
          </cell>
          <cell r="D4933" t="str">
            <v>RH9953F01</v>
          </cell>
          <cell r="E4933">
            <v>1</v>
          </cell>
        </row>
        <row r="4934">
          <cell r="C4934" t="str">
            <v>B598555/A</v>
          </cell>
          <cell r="D4934" t="str">
            <v>RH9974NF382</v>
          </cell>
          <cell r="E4934">
            <v>3</v>
          </cell>
        </row>
        <row r="4935">
          <cell r="C4935" t="str">
            <v>B598570/A</v>
          </cell>
          <cell r="D4935" t="str">
            <v>RH9974NF383</v>
          </cell>
          <cell r="E4935">
            <v>2</v>
          </cell>
        </row>
        <row r="4936">
          <cell r="C4936" t="str">
            <v>B598574/A</v>
          </cell>
          <cell r="D4936" t="str">
            <v>RH9975F382</v>
          </cell>
          <cell r="E4936">
            <v>24</v>
          </cell>
        </row>
        <row r="4937">
          <cell r="C4937" t="str">
            <v>B598577/A</v>
          </cell>
          <cell r="D4937" t="str">
            <v>RH9975F384</v>
          </cell>
          <cell r="E4937">
            <v>1</v>
          </cell>
        </row>
        <row r="4938">
          <cell r="C4938" t="str">
            <v>B598583/A</v>
          </cell>
          <cell r="D4938" t="str">
            <v>RH9975F409</v>
          </cell>
          <cell r="E4938">
            <v>20</v>
          </cell>
        </row>
        <row r="4939">
          <cell r="C4939" t="str">
            <v>B598585/A</v>
          </cell>
          <cell r="D4939" t="str">
            <v>RH9975F409</v>
          </cell>
          <cell r="E4939">
            <v>10</v>
          </cell>
        </row>
        <row r="4940">
          <cell r="C4940" t="str">
            <v>B598589/A</v>
          </cell>
          <cell r="D4940" t="str">
            <v>RH9999F382</v>
          </cell>
          <cell r="E4940">
            <v>1</v>
          </cell>
        </row>
        <row r="4941">
          <cell r="C4941" t="str">
            <v>B598591/A</v>
          </cell>
          <cell r="D4941" t="str">
            <v>RH9999F382</v>
          </cell>
          <cell r="E4941">
            <v>5</v>
          </cell>
        </row>
        <row r="4942">
          <cell r="C4942" t="str">
            <v>B598592/A</v>
          </cell>
          <cell r="D4942" t="str">
            <v>RH9999F382</v>
          </cell>
          <cell r="E4942">
            <v>7</v>
          </cell>
        </row>
        <row r="4943">
          <cell r="C4943" t="str">
            <v>B598596/A</v>
          </cell>
          <cell r="D4943" t="str">
            <v>RH9999F384</v>
          </cell>
          <cell r="E4943">
            <v>9</v>
          </cell>
        </row>
        <row r="4944">
          <cell r="C4944" t="str">
            <v>B598711/A</v>
          </cell>
          <cell r="D4944" t="str">
            <v>SH532F506-DRAWS</v>
          </cell>
          <cell r="E4944">
            <v>1</v>
          </cell>
        </row>
        <row r="4945">
          <cell r="C4945" t="str">
            <v>B594087/A</v>
          </cell>
          <cell r="D4945" t="str">
            <v>AR190F906-TOP</v>
          </cell>
          <cell r="E4945">
            <v>18</v>
          </cell>
        </row>
        <row r="4946">
          <cell r="C4946" t="str">
            <v>B594090/A</v>
          </cell>
          <cell r="D4946" t="str">
            <v>AR417F906-TOP</v>
          </cell>
          <cell r="E4946">
            <v>6</v>
          </cell>
        </row>
        <row r="4947">
          <cell r="C4947" t="str">
            <v>B594091/A</v>
          </cell>
          <cell r="D4947" t="str">
            <v>AR417F906-TOP</v>
          </cell>
          <cell r="E4947">
            <v>19</v>
          </cell>
        </row>
        <row r="4948">
          <cell r="C4948" t="str">
            <v>B590987/A</v>
          </cell>
          <cell r="D4948" t="str">
            <v>SH219F506-TOP</v>
          </cell>
          <cell r="E4948">
            <v>15</v>
          </cell>
        </row>
        <row r="4949">
          <cell r="C4949" t="str">
            <v>B590988/A</v>
          </cell>
          <cell r="D4949" t="str">
            <v>SH219F506-TOP</v>
          </cell>
          <cell r="E4949">
            <v>15</v>
          </cell>
        </row>
        <row r="4950">
          <cell r="C4950" t="str">
            <v>B591002/A</v>
          </cell>
          <cell r="D4950" t="str">
            <v>SH388AF506-TOP</v>
          </cell>
          <cell r="E4950">
            <v>15</v>
          </cell>
        </row>
        <row r="4951">
          <cell r="C4951" t="str">
            <v>B591000/A</v>
          </cell>
          <cell r="D4951" t="str">
            <v>SH388AF506-TOP</v>
          </cell>
          <cell r="E4951">
            <v>25</v>
          </cell>
        </row>
        <row r="4952">
          <cell r="C4952" t="str">
            <v>B600125/A</v>
          </cell>
          <cell r="D4952" t="str">
            <v>RH9457NF423</v>
          </cell>
          <cell r="E4952">
            <v>2</v>
          </cell>
        </row>
        <row r="4953">
          <cell r="C4953" t="str">
            <v>B600123/A</v>
          </cell>
          <cell r="D4953" t="str">
            <v>RH9457NF426</v>
          </cell>
          <cell r="E4953">
            <v>4</v>
          </cell>
        </row>
        <row r="4954">
          <cell r="C4954" t="str">
            <v>B599860/A</v>
          </cell>
          <cell r="D4954" t="str">
            <v>AR1132F1039-3786-FB</v>
          </cell>
          <cell r="E4954">
            <v>4</v>
          </cell>
        </row>
        <row r="4955">
          <cell r="C4955" t="str">
            <v>B599871/A</v>
          </cell>
          <cell r="D4955" t="str">
            <v>AR1132F1039-3786-FB</v>
          </cell>
          <cell r="E4955">
            <v>11</v>
          </cell>
        </row>
        <row r="4956">
          <cell r="C4956" t="str">
            <v>B599874/A</v>
          </cell>
          <cell r="D4956" t="str">
            <v>AR1132F1039-3786-HB</v>
          </cell>
          <cell r="E4956">
            <v>4</v>
          </cell>
        </row>
        <row r="4957">
          <cell r="C4957" t="str">
            <v>B599875/A</v>
          </cell>
          <cell r="D4957" t="str">
            <v>AR1132F1039-3786-HB</v>
          </cell>
          <cell r="E4957">
            <v>11</v>
          </cell>
        </row>
        <row r="4958">
          <cell r="C4958" t="str">
            <v>B599878/A</v>
          </cell>
          <cell r="D4958" t="str">
            <v>AR1132F1039-3786-SR</v>
          </cell>
          <cell r="E4958">
            <v>4</v>
          </cell>
        </row>
        <row r="4959">
          <cell r="C4959" t="str">
            <v>B599879/A</v>
          </cell>
          <cell r="D4959" t="str">
            <v>AR1132F1039-3786-SR</v>
          </cell>
          <cell r="E4959">
            <v>11</v>
          </cell>
        </row>
        <row r="4960">
          <cell r="C4960" t="str">
            <v>B599883/A</v>
          </cell>
          <cell r="D4960" t="str">
            <v>AR1132F1208-32126-FB</v>
          </cell>
          <cell r="E4960">
            <v>4</v>
          </cell>
        </row>
        <row r="4961">
          <cell r="C4961" t="str">
            <v>B599884/A</v>
          </cell>
          <cell r="D4961" t="str">
            <v>AR1132F1208-32126-FB</v>
          </cell>
          <cell r="E4961">
            <v>11</v>
          </cell>
        </row>
        <row r="4962">
          <cell r="C4962" t="str">
            <v>B599887/A</v>
          </cell>
          <cell r="D4962" t="str">
            <v>AR1132F1208-32126-HB</v>
          </cell>
          <cell r="E4962">
            <v>4</v>
          </cell>
        </row>
        <row r="4963">
          <cell r="C4963" t="str">
            <v>B599888/A</v>
          </cell>
          <cell r="D4963" t="str">
            <v>AR1132F1208-32126-HB</v>
          </cell>
          <cell r="E4963">
            <v>11</v>
          </cell>
        </row>
        <row r="4964">
          <cell r="C4964" t="str">
            <v>B599893/A</v>
          </cell>
          <cell r="D4964" t="str">
            <v>AR1132F1208-32126-SR</v>
          </cell>
          <cell r="E4964">
            <v>4</v>
          </cell>
        </row>
        <row r="4965">
          <cell r="C4965" t="str">
            <v>B599895/A</v>
          </cell>
          <cell r="D4965" t="str">
            <v>AR1132F1208-32126-SR</v>
          </cell>
          <cell r="E4965">
            <v>11</v>
          </cell>
        </row>
        <row r="4966">
          <cell r="C4966" t="str">
            <v>B599521/A</v>
          </cell>
          <cell r="D4966" t="str">
            <v>AT203F01</v>
          </cell>
          <cell r="E4966">
            <v>25</v>
          </cell>
        </row>
        <row r="4967">
          <cell r="C4967" t="str">
            <v>B599523/A</v>
          </cell>
          <cell r="D4967" t="str">
            <v>AT203F869</v>
          </cell>
          <cell r="E4967">
            <v>25</v>
          </cell>
        </row>
        <row r="4968">
          <cell r="C4968" t="str">
            <v>B598325/A</v>
          </cell>
          <cell r="D4968" t="str">
            <v>AT305NF1089-VE</v>
          </cell>
          <cell r="E4968">
            <v>25</v>
          </cell>
        </row>
        <row r="4969">
          <cell r="C4969" t="str">
            <v>B598327/A</v>
          </cell>
          <cell r="D4969" t="str">
            <v>AT305NF535-VE</v>
          </cell>
          <cell r="E4969">
            <v>25</v>
          </cell>
        </row>
        <row r="4970">
          <cell r="C4970" t="str">
            <v>B599525/A</v>
          </cell>
          <cell r="D4970" t="str">
            <v>AT383F00-VE</v>
          </cell>
          <cell r="E4970">
            <v>25</v>
          </cell>
        </row>
        <row r="4971">
          <cell r="C4971" t="str">
            <v>B599527/A</v>
          </cell>
          <cell r="D4971" t="str">
            <v>AT383F1089-VE</v>
          </cell>
          <cell r="E4971">
            <v>25</v>
          </cell>
        </row>
        <row r="4972">
          <cell r="C4972" t="str">
            <v>B598334/A</v>
          </cell>
          <cell r="D4972" t="str">
            <v>AT384F1089-VE</v>
          </cell>
          <cell r="E4972">
            <v>4</v>
          </cell>
        </row>
        <row r="4973">
          <cell r="C4973" t="str">
            <v>B598335/A</v>
          </cell>
          <cell r="D4973" t="str">
            <v>AT384F1089-VE</v>
          </cell>
          <cell r="E4973">
            <v>25</v>
          </cell>
        </row>
        <row r="4974">
          <cell r="C4974" t="str">
            <v>B594104/A</v>
          </cell>
          <cell r="D4974" t="str">
            <v>AT418F1089-VE</v>
          </cell>
          <cell r="E4974">
            <v>25</v>
          </cell>
        </row>
        <row r="4975">
          <cell r="C4975" t="str">
            <v>B594104/A</v>
          </cell>
          <cell r="D4975" t="str">
            <v>AT418F535-VE</v>
          </cell>
          <cell r="E4975">
            <v>25</v>
          </cell>
        </row>
        <row r="4976">
          <cell r="C4976" t="str">
            <v>B594109/A</v>
          </cell>
          <cell r="D4976" t="str">
            <v>AT418F535-VE</v>
          </cell>
          <cell r="E4976">
            <v>5</v>
          </cell>
        </row>
        <row r="4977">
          <cell r="C4977" t="str">
            <v>B594103/A</v>
          </cell>
          <cell r="D4977" t="str">
            <v>AT418F888-VE</v>
          </cell>
          <cell r="E4977">
            <v>50</v>
          </cell>
        </row>
        <row r="4978">
          <cell r="C4978" t="str">
            <v>B599529/A</v>
          </cell>
          <cell r="D4978" t="str">
            <v>AT452F884</v>
          </cell>
          <cell r="E4978">
            <v>25</v>
          </cell>
        </row>
        <row r="4979">
          <cell r="C4979" t="str">
            <v>B599531/A</v>
          </cell>
          <cell r="D4979" t="str">
            <v>AT479NF1058</v>
          </cell>
          <cell r="E4979">
            <v>2</v>
          </cell>
        </row>
        <row r="4980">
          <cell r="C4980" t="str">
            <v>B599533/A</v>
          </cell>
          <cell r="D4980" t="str">
            <v>AT479NF1059</v>
          </cell>
          <cell r="E4980">
            <v>25</v>
          </cell>
        </row>
        <row r="4981">
          <cell r="C4981" t="str">
            <v>B599535/A</v>
          </cell>
          <cell r="D4981" t="str">
            <v>AT479NF1237</v>
          </cell>
          <cell r="E4981">
            <v>2</v>
          </cell>
        </row>
        <row r="4982">
          <cell r="C4982" t="str">
            <v>B600031/A</v>
          </cell>
          <cell r="D4982" t="str">
            <v>AT479NF877</v>
          </cell>
          <cell r="E4982">
            <v>25</v>
          </cell>
        </row>
        <row r="4983">
          <cell r="C4983" t="str">
            <v>B599538/A</v>
          </cell>
          <cell r="D4983" t="str">
            <v>AT481F1058</v>
          </cell>
          <cell r="E4983">
            <v>4</v>
          </cell>
        </row>
        <row r="4984">
          <cell r="C4984" t="str">
            <v>B599540/A</v>
          </cell>
          <cell r="D4984" t="str">
            <v>AT481F877</v>
          </cell>
          <cell r="E4984">
            <v>6</v>
          </cell>
        </row>
        <row r="4985">
          <cell r="C4985" t="str">
            <v>B599542/A</v>
          </cell>
          <cell r="D4985" t="str">
            <v>AT522NF1058</v>
          </cell>
          <cell r="E4985">
            <v>2</v>
          </cell>
        </row>
        <row r="4986">
          <cell r="C4986" t="str">
            <v>B599544/A</v>
          </cell>
          <cell r="D4986" t="str">
            <v>AT522NF1237</v>
          </cell>
          <cell r="E4986">
            <v>4</v>
          </cell>
        </row>
        <row r="4987">
          <cell r="C4987" t="str">
            <v>B599546/A</v>
          </cell>
          <cell r="D4987" t="str">
            <v>AT537NF1040</v>
          </cell>
          <cell r="E4987">
            <v>25</v>
          </cell>
        </row>
        <row r="4988">
          <cell r="C4988" t="str">
            <v>B598355/A</v>
          </cell>
          <cell r="D4988" t="str">
            <v>AT573F1089-VE</v>
          </cell>
          <cell r="E4988">
            <v>3</v>
          </cell>
        </row>
        <row r="4989">
          <cell r="C4989" t="str">
            <v>B598356/A</v>
          </cell>
          <cell r="D4989" t="str">
            <v>AT573F1089-VE</v>
          </cell>
          <cell r="E4989">
            <v>25</v>
          </cell>
        </row>
        <row r="4990">
          <cell r="C4990" t="str">
            <v>B599548/A</v>
          </cell>
          <cell r="D4990" t="str">
            <v>AT573F1089-VE</v>
          </cell>
          <cell r="E4990">
            <v>25</v>
          </cell>
        </row>
        <row r="4991">
          <cell r="C4991" t="str">
            <v>B598360/A</v>
          </cell>
          <cell r="D4991" t="str">
            <v>AT573F535-VE</v>
          </cell>
          <cell r="E4991">
            <v>2</v>
          </cell>
        </row>
        <row r="4992">
          <cell r="C4992" t="str">
            <v>B598361/A</v>
          </cell>
          <cell r="D4992" t="str">
            <v>AT573F535-VE</v>
          </cell>
          <cell r="E4992">
            <v>25</v>
          </cell>
        </row>
        <row r="4993">
          <cell r="C4993" t="str">
            <v>B598363/A</v>
          </cell>
          <cell r="D4993" t="str">
            <v>AT573F888-VE</v>
          </cell>
          <cell r="E4993">
            <v>5</v>
          </cell>
        </row>
        <row r="4994">
          <cell r="C4994" t="str">
            <v>B599550/A</v>
          </cell>
          <cell r="D4994" t="str">
            <v>AT573F888-VE</v>
          </cell>
          <cell r="E4994">
            <v>25</v>
          </cell>
        </row>
        <row r="4995">
          <cell r="C4995" t="str">
            <v>B599552/A</v>
          </cell>
          <cell r="D4995" t="str">
            <v>AT627F1059</v>
          </cell>
          <cell r="E4995">
            <v>25</v>
          </cell>
        </row>
        <row r="4996">
          <cell r="C4996" t="str">
            <v>B599554/A</v>
          </cell>
          <cell r="D4996" t="str">
            <v>AT627F877</v>
          </cell>
          <cell r="E4996">
            <v>25</v>
          </cell>
        </row>
        <row r="4997">
          <cell r="C4997" t="str">
            <v>B599556/A</v>
          </cell>
          <cell r="D4997" t="str">
            <v>AT640F1198</v>
          </cell>
          <cell r="E4997">
            <v>25</v>
          </cell>
        </row>
        <row r="4998">
          <cell r="C4998" t="str">
            <v>B598369/A</v>
          </cell>
          <cell r="D4998" t="str">
            <v>AT659F839</v>
          </cell>
          <cell r="E4998">
            <v>80</v>
          </cell>
        </row>
        <row r="4999">
          <cell r="C4999" t="str">
            <v>B599558/A</v>
          </cell>
          <cell r="D4999" t="str">
            <v>BN3182F356</v>
          </cell>
          <cell r="E4999">
            <v>20</v>
          </cell>
        </row>
        <row r="5000">
          <cell r="C5000" t="str">
            <v>B599561/A</v>
          </cell>
          <cell r="D5000" t="str">
            <v>BN3186NF355</v>
          </cell>
          <cell r="E5000">
            <v>10</v>
          </cell>
        </row>
        <row r="5001">
          <cell r="C5001" t="str">
            <v>B599562/A</v>
          </cell>
          <cell r="D5001" t="str">
            <v>BN3186NF355</v>
          </cell>
          <cell r="E5001">
            <v>10</v>
          </cell>
        </row>
        <row r="5002">
          <cell r="C5002" t="str">
            <v>B599903/A</v>
          </cell>
          <cell r="D5002" t="str">
            <v>BN3186NF356</v>
          </cell>
          <cell r="E5002">
            <v>15</v>
          </cell>
        </row>
        <row r="5003">
          <cell r="C5003" t="str">
            <v>B599564/A</v>
          </cell>
          <cell r="D5003" t="str">
            <v>BN3186NF356</v>
          </cell>
          <cell r="E5003">
            <v>25</v>
          </cell>
        </row>
        <row r="5004">
          <cell r="C5004" t="str">
            <v>B599495/A</v>
          </cell>
          <cell r="D5004" t="str">
            <v>BN3217F356</v>
          </cell>
          <cell r="E5004">
            <v>1</v>
          </cell>
        </row>
        <row r="5005">
          <cell r="C5005" t="str">
            <v>B600053/A</v>
          </cell>
          <cell r="D5005" t="str">
            <v>CE212F01</v>
          </cell>
          <cell r="E5005">
            <v>25</v>
          </cell>
        </row>
        <row r="5006">
          <cell r="C5006" t="str">
            <v>B599913/A</v>
          </cell>
          <cell r="D5006" t="str">
            <v>CT008F610</v>
          </cell>
          <cell r="E5006">
            <v>10</v>
          </cell>
        </row>
        <row r="5007">
          <cell r="C5007" t="str">
            <v>B599915/A</v>
          </cell>
          <cell r="D5007" t="str">
            <v>CT008F610</v>
          </cell>
          <cell r="E5007">
            <v>10</v>
          </cell>
        </row>
        <row r="5008">
          <cell r="C5008" t="str">
            <v>B599916/A</v>
          </cell>
          <cell r="D5008" t="str">
            <v>CT008F610</v>
          </cell>
          <cell r="E5008">
            <v>8</v>
          </cell>
        </row>
        <row r="5009">
          <cell r="C5009" t="str">
            <v>B599921/A</v>
          </cell>
          <cell r="D5009" t="str">
            <v>CT009F610-FBSR</v>
          </cell>
          <cell r="E5009">
            <v>10</v>
          </cell>
        </row>
        <row r="5010">
          <cell r="C5010" t="str">
            <v>B599922/A</v>
          </cell>
          <cell r="D5010" t="str">
            <v>CT009F610-FBSR</v>
          </cell>
          <cell r="E5010">
            <v>10</v>
          </cell>
        </row>
        <row r="5011">
          <cell r="C5011" t="str">
            <v>B599923/A</v>
          </cell>
          <cell r="D5011" t="str">
            <v>CT009F610-FBSR</v>
          </cell>
          <cell r="E5011">
            <v>5</v>
          </cell>
        </row>
        <row r="5012">
          <cell r="C5012" t="str">
            <v>B599927/A</v>
          </cell>
          <cell r="D5012" t="str">
            <v>CT009F610-HB</v>
          </cell>
          <cell r="E5012">
            <v>10</v>
          </cell>
        </row>
        <row r="5013">
          <cell r="C5013" t="str">
            <v>B599928/A</v>
          </cell>
          <cell r="D5013" t="str">
            <v>CT009F610-HB</v>
          </cell>
          <cell r="E5013">
            <v>10</v>
          </cell>
        </row>
        <row r="5014">
          <cell r="C5014" t="str">
            <v>B599929/A</v>
          </cell>
          <cell r="D5014" t="str">
            <v>CT009F610-HB</v>
          </cell>
          <cell r="E5014">
            <v>5</v>
          </cell>
        </row>
        <row r="5015">
          <cell r="C5015" t="str">
            <v>B599933/A</v>
          </cell>
          <cell r="D5015" t="str">
            <v>CT021ANF633</v>
          </cell>
          <cell r="E5015">
            <v>10</v>
          </cell>
        </row>
        <row r="5016">
          <cell r="C5016" t="str">
            <v>B599934/A</v>
          </cell>
          <cell r="D5016" t="str">
            <v>CT021ANF633</v>
          </cell>
          <cell r="E5016">
            <v>10</v>
          </cell>
        </row>
        <row r="5017">
          <cell r="C5017" t="str">
            <v>B599936/A</v>
          </cell>
          <cell r="D5017" t="str">
            <v>CT021ANF633</v>
          </cell>
          <cell r="E5017">
            <v>5</v>
          </cell>
        </row>
        <row r="5018">
          <cell r="C5018" t="str">
            <v>B599941/A</v>
          </cell>
          <cell r="D5018" t="str">
            <v>CT035F610</v>
          </cell>
          <cell r="E5018">
            <v>10</v>
          </cell>
        </row>
        <row r="5019">
          <cell r="C5019" t="str">
            <v>B599942/A</v>
          </cell>
          <cell r="D5019" t="str">
            <v>CT035F610</v>
          </cell>
          <cell r="E5019">
            <v>10</v>
          </cell>
        </row>
        <row r="5020">
          <cell r="C5020" t="str">
            <v>B599944/A</v>
          </cell>
          <cell r="D5020" t="str">
            <v>CT035F610</v>
          </cell>
          <cell r="E5020">
            <v>5</v>
          </cell>
        </row>
        <row r="5021">
          <cell r="C5021" t="str">
            <v>B599968/A</v>
          </cell>
          <cell r="D5021" t="str">
            <v>CT059ANF633</v>
          </cell>
          <cell r="E5021">
            <v>7</v>
          </cell>
        </row>
        <row r="5022">
          <cell r="C5022" t="str">
            <v>B599969/A</v>
          </cell>
          <cell r="D5022" t="str">
            <v>CT059ANF633</v>
          </cell>
          <cell r="E5022">
            <v>7</v>
          </cell>
        </row>
        <row r="5023">
          <cell r="C5023" t="str">
            <v>B599971/A</v>
          </cell>
          <cell r="D5023" t="str">
            <v>CT059ANF633</v>
          </cell>
          <cell r="E5023">
            <v>11</v>
          </cell>
        </row>
        <row r="5024">
          <cell r="C5024" t="str">
            <v>B599566/A</v>
          </cell>
          <cell r="D5024" t="str">
            <v>CZ876F188</v>
          </cell>
          <cell r="E5024">
            <v>7</v>
          </cell>
        </row>
        <row r="5025">
          <cell r="C5025" t="str">
            <v>B599568/A</v>
          </cell>
          <cell r="D5025" t="str">
            <v>CZ876F196</v>
          </cell>
          <cell r="E5025">
            <v>4</v>
          </cell>
        </row>
        <row r="5026">
          <cell r="C5026" t="str">
            <v>B599570/A</v>
          </cell>
          <cell r="D5026" t="str">
            <v>CZ876F381</v>
          </cell>
          <cell r="E5026">
            <v>7</v>
          </cell>
        </row>
        <row r="5027">
          <cell r="C5027" t="str">
            <v>B599572/A</v>
          </cell>
          <cell r="D5027" t="str">
            <v>CZ876F409</v>
          </cell>
          <cell r="E5027">
            <v>1</v>
          </cell>
        </row>
        <row r="5028">
          <cell r="C5028" t="str">
            <v>B599574/A</v>
          </cell>
          <cell r="D5028" t="str">
            <v>MH1181NF876</v>
          </cell>
          <cell r="E5028">
            <v>25</v>
          </cell>
        </row>
        <row r="5029">
          <cell r="C5029" t="str">
            <v>B600055/A</v>
          </cell>
          <cell r="D5029" t="str">
            <v>MH892CNF01</v>
          </cell>
          <cell r="E5029">
            <v>25</v>
          </cell>
        </row>
        <row r="5030">
          <cell r="C5030" t="str">
            <v>B599576/A</v>
          </cell>
          <cell r="D5030" t="str">
            <v>MN5787AF998</v>
          </cell>
          <cell r="E5030">
            <v>25</v>
          </cell>
        </row>
        <row r="5031">
          <cell r="C5031" t="str">
            <v>B599578/A</v>
          </cell>
          <cell r="D5031" t="str">
            <v>MN5875NF927</v>
          </cell>
          <cell r="E5031">
            <v>25</v>
          </cell>
        </row>
        <row r="5032">
          <cell r="C5032" t="str">
            <v>B599947/A</v>
          </cell>
          <cell r="D5032" t="str">
            <v>RD1443F01</v>
          </cell>
          <cell r="E5032">
            <v>15</v>
          </cell>
        </row>
        <row r="5033">
          <cell r="C5033" t="str">
            <v>B599951/A</v>
          </cell>
          <cell r="D5033" t="str">
            <v>RD1680F01</v>
          </cell>
          <cell r="E5033">
            <v>25</v>
          </cell>
        </row>
        <row r="5034">
          <cell r="C5034" t="str">
            <v>B599953/A</v>
          </cell>
          <cell r="D5034" t="str">
            <v>RD1680F04</v>
          </cell>
          <cell r="E5034">
            <v>15</v>
          </cell>
        </row>
        <row r="5035">
          <cell r="C5035" t="str">
            <v>B599580/A</v>
          </cell>
          <cell r="D5035" t="str">
            <v>RH10000F382</v>
          </cell>
          <cell r="E5035">
            <v>3</v>
          </cell>
        </row>
        <row r="5036">
          <cell r="C5036" t="str">
            <v>B599583/A</v>
          </cell>
          <cell r="D5036" t="str">
            <v>RH10000F383</v>
          </cell>
          <cell r="E5036">
            <v>6</v>
          </cell>
        </row>
        <row r="5037">
          <cell r="C5037" t="str">
            <v>B599584/A</v>
          </cell>
          <cell r="D5037" t="str">
            <v>RH10000F383</v>
          </cell>
          <cell r="E5037">
            <v>5</v>
          </cell>
        </row>
        <row r="5038">
          <cell r="C5038" t="str">
            <v>B599695/A</v>
          </cell>
          <cell r="D5038" t="str">
            <v>RH10000F384</v>
          </cell>
          <cell r="E5038">
            <v>11</v>
          </cell>
        </row>
        <row r="5039">
          <cell r="C5039" t="str">
            <v>B599697/A</v>
          </cell>
          <cell r="D5039" t="str">
            <v>RH10023F384</v>
          </cell>
          <cell r="E5039">
            <v>10</v>
          </cell>
        </row>
        <row r="5040">
          <cell r="C5040" t="str">
            <v>B599700/A</v>
          </cell>
          <cell r="D5040" t="str">
            <v>RH10078NF382</v>
          </cell>
          <cell r="E5040">
            <v>1</v>
          </cell>
        </row>
        <row r="5041">
          <cell r="C5041" t="str">
            <v>B599701/A</v>
          </cell>
          <cell r="D5041" t="str">
            <v>RH10078NF382</v>
          </cell>
          <cell r="E5041">
            <v>8</v>
          </cell>
        </row>
        <row r="5042">
          <cell r="C5042" t="str">
            <v>B599703/A</v>
          </cell>
          <cell r="D5042" t="str">
            <v>RH10078NF384</v>
          </cell>
          <cell r="E5042">
            <v>8</v>
          </cell>
        </row>
        <row r="5043">
          <cell r="C5043" t="str">
            <v>B599707/A</v>
          </cell>
          <cell r="D5043" t="str">
            <v>RH10078NF409</v>
          </cell>
          <cell r="E5043">
            <v>3</v>
          </cell>
        </row>
        <row r="5044">
          <cell r="C5044" t="str">
            <v>B599708/A</v>
          </cell>
          <cell r="D5044" t="str">
            <v>RH10078NF409</v>
          </cell>
          <cell r="E5044">
            <v>1</v>
          </cell>
        </row>
        <row r="5045">
          <cell r="C5045" t="str">
            <v>B599709/A</v>
          </cell>
          <cell r="D5045" t="str">
            <v>RH10078NF409</v>
          </cell>
          <cell r="E5045">
            <v>9</v>
          </cell>
        </row>
        <row r="5046">
          <cell r="C5046" t="str">
            <v>B599711/A</v>
          </cell>
          <cell r="D5046" t="str">
            <v>RH10171F382</v>
          </cell>
          <cell r="E5046">
            <v>4</v>
          </cell>
        </row>
        <row r="5047">
          <cell r="C5047" t="str">
            <v>B599713/A</v>
          </cell>
          <cell r="D5047" t="str">
            <v>RH10171F383</v>
          </cell>
          <cell r="E5047">
            <v>6</v>
          </cell>
        </row>
        <row r="5048">
          <cell r="C5048" t="str">
            <v>B599728/A</v>
          </cell>
          <cell r="D5048" t="str">
            <v>RH10171F384</v>
          </cell>
          <cell r="E5048">
            <v>3</v>
          </cell>
        </row>
        <row r="5049">
          <cell r="C5049" t="str">
            <v>B599734/A</v>
          </cell>
          <cell r="D5049" t="str">
            <v>RH10171F409</v>
          </cell>
          <cell r="E5049">
            <v>2</v>
          </cell>
        </row>
        <row r="5050">
          <cell r="C5050" t="str">
            <v>B599735/A</v>
          </cell>
          <cell r="D5050" t="str">
            <v>RH10171F409</v>
          </cell>
          <cell r="E5050">
            <v>6</v>
          </cell>
        </row>
        <row r="5051">
          <cell r="C5051" t="str">
            <v>B599738/A</v>
          </cell>
          <cell r="D5051" t="str">
            <v>RH11349F2006TR</v>
          </cell>
          <cell r="E5051">
            <v>23</v>
          </cell>
        </row>
        <row r="5052">
          <cell r="C5052" t="str">
            <v>B599740/A</v>
          </cell>
          <cell r="D5052" t="str">
            <v>RH11350F2006TR</v>
          </cell>
          <cell r="E5052">
            <v>4</v>
          </cell>
        </row>
        <row r="5053">
          <cell r="C5053" t="str">
            <v>B599742/A</v>
          </cell>
          <cell r="D5053" t="str">
            <v>RH11352F2006TR</v>
          </cell>
          <cell r="E5053">
            <v>8</v>
          </cell>
        </row>
        <row r="5054">
          <cell r="C5054" t="str">
            <v>B599744/A</v>
          </cell>
          <cell r="D5054" t="str">
            <v>RH11353F2006TR</v>
          </cell>
          <cell r="E5054">
            <v>13</v>
          </cell>
        </row>
        <row r="5055">
          <cell r="C5055" t="str">
            <v>B599746/A</v>
          </cell>
          <cell r="D5055" t="str">
            <v>RH11354NF2006TR</v>
          </cell>
          <cell r="E5055">
            <v>2</v>
          </cell>
        </row>
        <row r="5056">
          <cell r="C5056" t="str">
            <v>B599748/A</v>
          </cell>
          <cell r="D5056" t="str">
            <v>RH11355F2006TR</v>
          </cell>
          <cell r="E5056">
            <v>2</v>
          </cell>
        </row>
        <row r="5057">
          <cell r="C5057" t="str">
            <v>B599896/A</v>
          </cell>
          <cell r="D5057" t="str">
            <v>RH11356F2006TR</v>
          </cell>
          <cell r="E5057">
            <v>29</v>
          </cell>
        </row>
        <row r="5058">
          <cell r="C5058" t="str">
            <v>B599753/A</v>
          </cell>
          <cell r="D5058" t="str">
            <v>RH11389F2006TR</v>
          </cell>
          <cell r="E5058">
            <v>64</v>
          </cell>
        </row>
        <row r="5059">
          <cell r="C5059" t="str">
            <v>B599756/A</v>
          </cell>
          <cell r="D5059" t="str">
            <v>RH11407F2006TR</v>
          </cell>
          <cell r="E5059">
            <v>6</v>
          </cell>
        </row>
        <row r="5060">
          <cell r="C5060" t="str">
            <v>B599758/A</v>
          </cell>
          <cell r="D5060" t="str">
            <v>RH11456F2006TR</v>
          </cell>
          <cell r="E5060">
            <v>10</v>
          </cell>
        </row>
        <row r="5061">
          <cell r="C5061" t="str">
            <v>B599497/A</v>
          </cell>
          <cell r="D5061" t="str">
            <v>RH1565AF95.BC</v>
          </cell>
          <cell r="E5061">
            <v>1</v>
          </cell>
        </row>
        <row r="5062">
          <cell r="C5062" t="str">
            <v>B599778/A</v>
          </cell>
          <cell r="D5062" t="str">
            <v>RH1680F40.BC</v>
          </cell>
          <cell r="E5062">
            <v>80</v>
          </cell>
        </row>
        <row r="5063">
          <cell r="C5063" t="str">
            <v>B599780/A</v>
          </cell>
          <cell r="D5063" t="str">
            <v>RH1680F40.BC</v>
          </cell>
          <cell r="E5063">
            <v>25</v>
          </cell>
        </row>
        <row r="5064">
          <cell r="C5064" t="str">
            <v>B599786/A</v>
          </cell>
          <cell r="D5064" t="str">
            <v>RH1680F96.BC</v>
          </cell>
          <cell r="E5064">
            <v>25</v>
          </cell>
        </row>
        <row r="5065">
          <cell r="C5065" t="str">
            <v>B599787/A</v>
          </cell>
          <cell r="D5065" t="str">
            <v>RH1680F96.BC</v>
          </cell>
          <cell r="E5065">
            <v>15</v>
          </cell>
        </row>
        <row r="5066">
          <cell r="C5066" t="str">
            <v>B599791/A</v>
          </cell>
          <cell r="D5066" t="str">
            <v>RH2084F95</v>
          </cell>
          <cell r="E5066">
            <v>10</v>
          </cell>
        </row>
        <row r="5067">
          <cell r="C5067" t="str">
            <v>B599793/A</v>
          </cell>
          <cell r="D5067" t="str">
            <v>RH2084F95</v>
          </cell>
          <cell r="E5067">
            <v>10</v>
          </cell>
        </row>
        <row r="5068">
          <cell r="C5068" t="str">
            <v>B599880/A</v>
          </cell>
          <cell r="D5068" t="str">
            <v>RH3412F40.BC</v>
          </cell>
          <cell r="E5068">
            <v>25</v>
          </cell>
        </row>
        <row r="5069">
          <cell r="C5069" t="str">
            <v>B599797/A</v>
          </cell>
          <cell r="D5069" t="str">
            <v>RH3412F40.BC</v>
          </cell>
          <cell r="E5069">
            <v>20</v>
          </cell>
        </row>
        <row r="5070">
          <cell r="C5070" t="str">
            <v>B599509/A</v>
          </cell>
          <cell r="D5070" t="str">
            <v>RH3481F09</v>
          </cell>
          <cell r="E5070">
            <v>1</v>
          </cell>
        </row>
        <row r="5071">
          <cell r="C5071" t="str">
            <v>B599799/A</v>
          </cell>
          <cell r="D5071" t="str">
            <v>RH3541F40.BC</v>
          </cell>
          <cell r="E5071">
            <v>45</v>
          </cell>
        </row>
        <row r="5072">
          <cell r="C5072" t="str">
            <v>B599801/A</v>
          </cell>
          <cell r="D5072" t="str">
            <v>RH3548F29</v>
          </cell>
          <cell r="E5072">
            <v>20</v>
          </cell>
        </row>
        <row r="5073">
          <cell r="C5073" t="str">
            <v>B599503/A</v>
          </cell>
          <cell r="D5073" t="str">
            <v>RH5344F38BN-BASE</v>
          </cell>
          <cell r="E5073">
            <v>1</v>
          </cell>
        </row>
        <row r="5074">
          <cell r="C5074" t="str">
            <v>B599505/A</v>
          </cell>
          <cell r="D5074" t="str">
            <v>RH5344F38BN-HUTCH</v>
          </cell>
          <cell r="E5074">
            <v>1</v>
          </cell>
        </row>
        <row r="5075">
          <cell r="C5075" t="str">
            <v>B599803/A</v>
          </cell>
          <cell r="D5075" t="str">
            <v>RH7156F381</v>
          </cell>
          <cell r="E5075">
            <v>4</v>
          </cell>
        </row>
        <row r="5076">
          <cell r="C5076" t="str">
            <v>B599805/A</v>
          </cell>
          <cell r="D5076" t="str">
            <v>RH7156F409</v>
          </cell>
          <cell r="E5076">
            <v>16</v>
          </cell>
        </row>
        <row r="5077">
          <cell r="C5077" t="str">
            <v>B599808/A</v>
          </cell>
          <cell r="D5077" t="str">
            <v>RH7157NF381</v>
          </cell>
          <cell r="E5077">
            <v>5</v>
          </cell>
        </row>
        <row r="5078">
          <cell r="C5078" t="str">
            <v>B599812/A</v>
          </cell>
          <cell r="D5078" t="str">
            <v>RH7157NF382</v>
          </cell>
          <cell r="E5078">
            <v>2</v>
          </cell>
        </row>
        <row r="5079">
          <cell r="C5079" t="str">
            <v>B599821/A</v>
          </cell>
          <cell r="D5079" t="str">
            <v>RH9497F382</v>
          </cell>
          <cell r="E5079">
            <v>11</v>
          </cell>
        </row>
        <row r="5080">
          <cell r="C5080" t="str">
            <v>B599822/A</v>
          </cell>
          <cell r="D5080" t="str">
            <v>RH9497F382</v>
          </cell>
          <cell r="E5080">
            <v>4</v>
          </cell>
        </row>
        <row r="5081">
          <cell r="C5081" t="str">
            <v>B599824/A</v>
          </cell>
          <cell r="D5081" t="str">
            <v>RH9497F382</v>
          </cell>
          <cell r="E5081">
            <v>8</v>
          </cell>
        </row>
        <row r="5082">
          <cell r="C5082" t="str">
            <v>B599828/A</v>
          </cell>
          <cell r="D5082" t="str">
            <v>RH9497F383</v>
          </cell>
          <cell r="E5082">
            <v>7</v>
          </cell>
        </row>
        <row r="5083">
          <cell r="C5083" t="str">
            <v>B599834/A</v>
          </cell>
          <cell r="D5083" t="str">
            <v>RH9498NF382</v>
          </cell>
          <cell r="E5083">
            <v>1</v>
          </cell>
        </row>
        <row r="5084">
          <cell r="C5084" t="str">
            <v>B599836/A</v>
          </cell>
          <cell r="D5084" t="str">
            <v>RH9498NF382</v>
          </cell>
          <cell r="E5084">
            <v>8</v>
          </cell>
        </row>
        <row r="5085">
          <cell r="C5085" t="str">
            <v>B599837/A</v>
          </cell>
          <cell r="D5085" t="str">
            <v>RH9498NF382</v>
          </cell>
          <cell r="E5085">
            <v>6</v>
          </cell>
        </row>
        <row r="5086">
          <cell r="C5086" t="str">
            <v>B599512/A</v>
          </cell>
          <cell r="D5086" t="str">
            <v>RH9990F382</v>
          </cell>
          <cell r="E5086">
            <v>5</v>
          </cell>
        </row>
        <row r="5087">
          <cell r="C5087" t="str">
            <v>B599513/A</v>
          </cell>
          <cell r="D5087" t="str">
            <v>RH9990F382</v>
          </cell>
          <cell r="E5087">
            <v>3</v>
          </cell>
        </row>
        <row r="5088">
          <cell r="C5088" t="str">
            <v>B599516/A</v>
          </cell>
          <cell r="D5088" t="str">
            <v>RH9990F384</v>
          </cell>
          <cell r="E5088">
            <v>2</v>
          </cell>
        </row>
        <row r="5089">
          <cell r="C5089" t="str">
            <v>B599517/A</v>
          </cell>
          <cell r="D5089" t="str">
            <v>RH9990F384</v>
          </cell>
          <cell r="E5089">
            <v>5</v>
          </cell>
        </row>
        <row r="5090">
          <cell r="C5090" t="str">
            <v>B599519/A</v>
          </cell>
          <cell r="D5090" t="str">
            <v>RH9990F409</v>
          </cell>
          <cell r="E5090">
            <v>21</v>
          </cell>
        </row>
        <row r="5091">
          <cell r="C5091" t="str">
            <v>B599845/A</v>
          </cell>
          <cell r="D5091" t="str">
            <v>SH332F521-32042</v>
          </cell>
          <cell r="E5091">
            <v>28</v>
          </cell>
        </row>
        <row r="5092">
          <cell r="C5092" t="str">
            <v>B594193/A</v>
          </cell>
          <cell r="D5092" t="str">
            <v>SH402F521</v>
          </cell>
          <cell r="E5092">
            <v>50</v>
          </cell>
        </row>
        <row r="5093">
          <cell r="C5093" t="str">
            <v>B599849/A</v>
          </cell>
          <cell r="D5093" t="str">
            <v>SH597FMT02.UK-31859</v>
          </cell>
          <cell r="E5093">
            <v>35</v>
          </cell>
        </row>
        <row r="5094">
          <cell r="C5094" t="str">
            <v>B599851/A</v>
          </cell>
          <cell r="D5094" t="str">
            <v>SH597FMT02-31859</v>
          </cell>
          <cell r="E5094">
            <v>28</v>
          </cell>
        </row>
        <row r="5095">
          <cell r="C5095" t="str">
            <v>B597828/A</v>
          </cell>
          <cell r="D5095" t="str">
            <v>SH636F909</v>
          </cell>
          <cell r="E5095">
            <v>10</v>
          </cell>
        </row>
        <row r="5096">
          <cell r="C5096" t="str">
            <v>B597829/A</v>
          </cell>
          <cell r="D5096" t="str">
            <v>SH636F909</v>
          </cell>
          <cell r="E5096">
            <v>20</v>
          </cell>
        </row>
        <row r="5097">
          <cell r="C5097" t="str">
            <v>B599487/A</v>
          </cell>
          <cell r="D5097" t="str">
            <v>BN2445F197-SHLH</v>
          </cell>
          <cell r="E5097">
            <v>5</v>
          </cell>
        </row>
        <row r="5098">
          <cell r="C5098" t="str">
            <v>B599489/A</v>
          </cell>
          <cell r="D5098" t="str">
            <v>BN2445F197-SHRH</v>
          </cell>
          <cell r="E5098">
            <v>5</v>
          </cell>
        </row>
        <row r="5099">
          <cell r="C5099" t="str">
            <v>B599485/A</v>
          </cell>
          <cell r="D5099" t="str">
            <v>CT007NF610-DWTR</v>
          </cell>
          <cell r="E5099">
            <v>1</v>
          </cell>
        </row>
        <row r="5100">
          <cell r="C5100" t="str">
            <v>B599491/A</v>
          </cell>
          <cell r="D5100" t="str">
            <v>RH2258F08-LEG</v>
          </cell>
          <cell r="E5100">
            <v>20</v>
          </cell>
        </row>
        <row r="5101">
          <cell r="C5101" t="str">
            <v>B599507/A</v>
          </cell>
          <cell r="D5101" t="str">
            <v>RH819F02-LEG</v>
          </cell>
          <cell r="E5101">
            <v>20</v>
          </cell>
        </row>
        <row r="5102">
          <cell r="C5102" t="str">
            <v>B594153/A</v>
          </cell>
          <cell r="D5102" t="str">
            <v>AR112NF906-TOP</v>
          </cell>
          <cell r="E5102">
            <v>6</v>
          </cell>
        </row>
        <row r="5103">
          <cell r="C5103" t="str">
            <v>B594155/A</v>
          </cell>
          <cell r="D5103" t="str">
            <v>AR112NF906-TOP</v>
          </cell>
          <cell r="E5103">
            <v>19</v>
          </cell>
        </row>
        <row r="5104">
          <cell r="C5104" t="str">
            <v>B594188/A</v>
          </cell>
          <cell r="D5104" t="str">
            <v>AR113NF906-TOP</v>
          </cell>
          <cell r="E5104">
            <v>11</v>
          </cell>
        </row>
        <row r="5105">
          <cell r="C5105" t="str">
            <v>B594189/A</v>
          </cell>
          <cell r="D5105" t="str">
            <v>AR113NF906-TOP</v>
          </cell>
          <cell r="E5105">
            <v>14</v>
          </cell>
        </row>
        <row r="5106">
          <cell r="C5106" t="str">
            <v>B594191/A</v>
          </cell>
          <cell r="D5106" t="str">
            <v>AR125F834-TOP</v>
          </cell>
          <cell r="E5106">
            <v>18</v>
          </cell>
        </row>
        <row r="5107">
          <cell r="C5107" t="str">
            <v>B590998/A</v>
          </cell>
          <cell r="D5107" t="str">
            <v>AR125F834-TOP</v>
          </cell>
          <cell r="E5107">
            <v>32</v>
          </cell>
        </row>
        <row r="5108">
          <cell r="C5108" t="str">
            <v>B594160/A</v>
          </cell>
          <cell r="D5108" t="str">
            <v>AR186F834-MBTP</v>
          </cell>
          <cell r="E5108">
            <v>4</v>
          </cell>
        </row>
        <row r="5109">
          <cell r="C5109" t="str">
            <v>B594161/A</v>
          </cell>
          <cell r="D5109" t="str">
            <v>AR186F834-MBTP</v>
          </cell>
          <cell r="E5109">
            <v>21</v>
          </cell>
        </row>
        <row r="5110">
          <cell r="C5110" t="str">
            <v>B594216/A</v>
          </cell>
          <cell r="D5110" t="str">
            <v>AR190F834-TOP</v>
          </cell>
          <cell r="E5110">
            <v>8</v>
          </cell>
        </row>
        <row r="5111">
          <cell r="C5111" t="str">
            <v>B594085/A</v>
          </cell>
          <cell r="D5111" t="str">
            <v>AR190F834-TOP</v>
          </cell>
          <cell r="E5111">
            <v>17</v>
          </cell>
        </row>
        <row r="5112">
          <cell r="C5112" t="str">
            <v>B594219/A</v>
          </cell>
          <cell r="D5112" t="str">
            <v>AR190F906-TOP</v>
          </cell>
          <cell r="E5112">
            <v>7</v>
          </cell>
        </row>
        <row r="5113">
          <cell r="C5113" t="str">
            <v>B594230/A</v>
          </cell>
          <cell r="D5113" t="str">
            <v>AR463F834-TOP</v>
          </cell>
          <cell r="E5113">
            <v>9</v>
          </cell>
        </row>
        <row r="5114">
          <cell r="C5114" t="str">
            <v>B594096/A</v>
          </cell>
          <cell r="D5114" t="str">
            <v>AR463F834-TOP</v>
          </cell>
          <cell r="E5114">
            <v>21</v>
          </cell>
        </row>
        <row r="5115">
          <cell r="C5115" t="str">
            <v>B594223/A</v>
          </cell>
          <cell r="D5115" t="str">
            <v>AR463F906-TOP</v>
          </cell>
          <cell r="E5115">
            <v>16</v>
          </cell>
        </row>
        <row r="5116">
          <cell r="C5116" t="str">
            <v>B594093/A</v>
          </cell>
          <cell r="D5116" t="str">
            <v>AR463F906-TOP</v>
          </cell>
          <cell r="E5116">
            <v>39</v>
          </cell>
        </row>
        <row r="5117">
          <cell r="C5117" t="str">
            <v>B600537/A</v>
          </cell>
          <cell r="D5117" t="str">
            <v>CZ047NF09</v>
          </cell>
          <cell r="E5117">
            <v>31</v>
          </cell>
        </row>
        <row r="5118">
          <cell r="C5118" t="str">
            <v>B600612/A</v>
          </cell>
          <cell r="D5118" t="str">
            <v>CZ051F08</v>
          </cell>
          <cell r="E5118">
            <v>53</v>
          </cell>
        </row>
        <row r="5119">
          <cell r="C5119" t="str">
            <v>B600541/A</v>
          </cell>
          <cell r="D5119" t="str">
            <v>CZ051F09</v>
          </cell>
          <cell r="E5119">
            <v>21</v>
          </cell>
        </row>
        <row r="5120">
          <cell r="C5120" t="str">
            <v>B600545/A</v>
          </cell>
          <cell r="D5120" t="str">
            <v>CZ051F10</v>
          </cell>
          <cell r="E5120">
            <v>20</v>
          </cell>
        </row>
        <row r="5121">
          <cell r="C5121" t="str">
            <v>B600548/A</v>
          </cell>
          <cell r="D5121" t="str">
            <v>CZ065F08</v>
          </cell>
          <cell r="E5121">
            <v>2</v>
          </cell>
        </row>
        <row r="5122">
          <cell r="C5122" t="str">
            <v>B600549/A</v>
          </cell>
          <cell r="D5122" t="str">
            <v>CZ065F08</v>
          </cell>
          <cell r="E5122">
            <v>6</v>
          </cell>
        </row>
        <row r="5123">
          <cell r="C5123" t="str">
            <v>B600552/A</v>
          </cell>
          <cell r="D5123" t="str">
            <v>CZ065F09</v>
          </cell>
          <cell r="E5123">
            <v>7</v>
          </cell>
        </row>
        <row r="5124">
          <cell r="C5124" t="str">
            <v>B600553/A</v>
          </cell>
          <cell r="D5124" t="str">
            <v>CZ065F09</v>
          </cell>
          <cell r="E5124">
            <v>13</v>
          </cell>
        </row>
        <row r="5125">
          <cell r="C5125" t="str">
            <v>B600556/A</v>
          </cell>
          <cell r="D5125" t="str">
            <v>CZ065F10</v>
          </cell>
          <cell r="E5125">
            <v>13</v>
          </cell>
        </row>
        <row r="5126">
          <cell r="C5126" t="str">
            <v>B600557/A</v>
          </cell>
          <cell r="D5126" t="str">
            <v>CZ065F10</v>
          </cell>
          <cell r="E5126">
            <v>5</v>
          </cell>
        </row>
        <row r="5127">
          <cell r="C5127" t="str">
            <v>B600560/A</v>
          </cell>
          <cell r="D5127" t="str">
            <v>CZ065F190</v>
          </cell>
          <cell r="E5127">
            <v>10</v>
          </cell>
        </row>
        <row r="5128">
          <cell r="C5128" t="str">
            <v>B600561/A</v>
          </cell>
          <cell r="D5128" t="str">
            <v>CZ065F190</v>
          </cell>
          <cell r="E5128">
            <v>8</v>
          </cell>
        </row>
        <row r="5129">
          <cell r="C5129" t="str">
            <v>B600563/A</v>
          </cell>
          <cell r="D5129" t="str">
            <v>CZ065F191</v>
          </cell>
          <cell r="E5129">
            <v>9</v>
          </cell>
        </row>
        <row r="5130">
          <cell r="C5130" t="str">
            <v>B600566/A</v>
          </cell>
          <cell r="D5130" t="str">
            <v>CZ069F08</v>
          </cell>
          <cell r="E5130">
            <v>11</v>
          </cell>
        </row>
        <row r="5131">
          <cell r="C5131" t="str">
            <v>B600567/A</v>
          </cell>
          <cell r="D5131" t="str">
            <v>CZ069F08</v>
          </cell>
          <cell r="E5131">
            <v>13</v>
          </cell>
        </row>
        <row r="5132">
          <cell r="C5132" t="str">
            <v>B600570/A</v>
          </cell>
          <cell r="D5132" t="str">
            <v>CZ069F09</v>
          </cell>
          <cell r="E5132">
            <v>13</v>
          </cell>
        </row>
        <row r="5133">
          <cell r="C5133" t="str">
            <v>B600571/A</v>
          </cell>
          <cell r="D5133" t="str">
            <v>CZ069F09</v>
          </cell>
          <cell r="E5133">
            <v>6</v>
          </cell>
        </row>
        <row r="5134">
          <cell r="C5134" t="str">
            <v>B600573/A</v>
          </cell>
          <cell r="D5134" t="str">
            <v>CZ069F10</v>
          </cell>
          <cell r="E5134">
            <v>6</v>
          </cell>
        </row>
        <row r="5135">
          <cell r="C5135" t="str">
            <v>B600575/A</v>
          </cell>
          <cell r="D5135" t="str">
            <v>CZ543F08</v>
          </cell>
          <cell r="E5135">
            <v>3</v>
          </cell>
        </row>
        <row r="5136">
          <cell r="C5136" t="str">
            <v>B600577/A</v>
          </cell>
          <cell r="D5136" t="str">
            <v>CZ543F09</v>
          </cell>
          <cell r="E5136">
            <v>18</v>
          </cell>
        </row>
        <row r="5137">
          <cell r="C5137" t="str">
            <v>B600579/A</v>
          </cell>
          <cell r="D5137" t="str">
            <v>CZ543F190</v>
          </cell>
          <cell r="E5137">
            <v>4</v>
          </cell>
        </row>
        <row r="5138">
          <cell r="C5138" t="str">
            <v>B600583/A</v>
          </cell>
          <cell r="D5138" t="str">
            <v>CZ640F08</v>
          </cell>
          <cell r="E5138">
            <v>9</v>
          </cell>
        </row>
        <row r="5139">
          <cell r="C5139" t="str">
            <v>B600586/A</v>
          </cell>
          <cell r="D5139" t="str">
            <v>CZ640F09</v>
          </cell>
          <cell r="E5139">
            <v>3</v>
          </cell>
        </row>
        <row r="5140">
          <cell r="C5140" t="str">
            <v>B600593/A</v>
          </cell>
          <cell r="D5140" t="str">
            <v>CZ640F09</v>
          </cell>
          <cell r="E5140">
            <v>14</v>
          </cell>
        </row>
        <row r="5141">
          <cell r="C5141" t="str">
            <v>B600588/A</v>
          </cell>
          <cell r="D5141" t="str">
            <v>CZ640F10</v>
          </cell>
          <cell r="E5141">
            <v>4</v>
          </cell>
        </row>
        <row r="5142">
          <cell r="C5142" t="str">
            <v>B600591/A</v>
          </cell>
          <cell r="D5142" t="str">
            <v>CZ887F188</v>
          </cell>
          <cell r="E5142">
            <v>5</v>
          </cell>
        </row>
        <row r="5143">
          <cell r="C5143" t="str">
            <v>B600592/A</v>
          </cell>
          <cell r="D5143" t="str">
            <v>CZ887F188</v>
          </cell>
          <cell r="E5143">
            <v>8</v>
          </cell>
        </row>
        <row r="5144">
          <cell r="C5144" t="str">
            <v>B600596/A</v>
          </cell>
          <cell r="D5144" t="str">
            <v>CZ887F196</v>
          </cell>
          <cell r="E5144">
            <v>9</v>
          </cell>
        </row>
        <row r="5145">
          <cell r="C5145" t="str">
            <v>B600597/A</v>
          </cell>
          <cell r="D5145" t="str">
            <v>CZ887F196</v>
          </cell>
          <cell r="E5145">
            <v>2</v>
          </cell>
        </row>
        <row r="5146">
          <cell r="C5146" t="str">
            <v>B600600/A</v>
          </cell>
          <cell r="D5146" t="str">
            <v>CZ887F409</v>
          </cell>
          <cell r="E5146">
            <v>10</v>
          </cell>
        </row>
        <row r="5147">
          <cell r="C5147" t="str">
            <v>B600601/A</v>
          </cell>
          <cell r="D5147" t="str">
            <v>CZ887F409</v>
          </cell>
          <cell r="E5147">
            <v>10</v>
          </cell>
        </row>
        <row r="5148">
          <cell r="C5148" t="str">
            <v>B600128/A</v>
          </cell>
          <cell r="D5148" t="str">
            <v>RH10000F409</v>
          </cell>
          <cell r="E5148">
            <v>13</v>
          </cell>
        </row>
        <row r="5149">
          <cell r="C5149" t="str">
            <v>B600130/A</v>
          </cell>
          <cell r="D5149" t="str">
            <v>RH10078NF383</v>
          </cell>
          <cell r="E5149">
            <v>5</v>
          </cell>
        </row>
        <row r="5150">
          <cell r="C5150" t="str">
            <v>B600604/A</v>
          </cell>
          <cell r="D5150" t="str">
            <v>RH7150NF381</v>
          </cell>
          <cell r="E5150">
            <v>10</v>
          </cell>
        </row>
        <row r="5151">
          <cell r="C5151" t="str">
            <v>B600605/A</v>
          </cell>
          <cell r="D5151" t="str">
            <v>RH7150NF381</v>
          </cell>
          <cell r="E5151">
            <v>9</v>
          </cell>
        </row>
        <row r="5152">
          <cell r="C5152" t="str">
            <v>B600607/A</v>
          </cell>
          <cell r="D5152" t="str">
            <v>RH7150NF382</v>
          </cell>
          <cell r="E5152">
            <v>6</v>
          </cell>
        </row>
        <row r="5153">
          <cell r="C5153" t="str">
            <v>B600610/A</v>
          </cell>
          <cell r="D5153" t="str">
            <v>RH7150NF409</v>
          </cell>
          <cell r="E5153">
            <v>8</v>
          </cell>
        </row>
        <row r="5154">
          <cell r="C5154" t="str">
            <v>B600611/A</v>
          </cell>
          <cell r="D5154" t="str">
            <v>RH7150NF409</v>
          </cell>
          <cell r="E5154">
            <v>34</v>
          </cell>
        </row>
        <row r="5155">
          <cell r="C5155" t="str">
            <v>B600132/A</v>
          </cell>
          <cell r="D5155" t="str">
            <v>RH9497F383</v>
          </cell>
          <cell r="E5155">
            <v>2</v>
          </cell>
        </row>
        <row r="5156">
          <cell r="C5156" t="str">
            <v>B600266/A</v>
          </cell>
          <cell r="D5156" t="str">
            <v>SH332F1406.UK-32038</v>
          </cell>
          <cell r="E5156">
            <v>35</v>
          </cell>
        </row>
        <row r="5157">
          <cell r="C5157" t="str">
            <v>B600267/A</v>
          </cell>
          <cell r="D5157" t="str">
            <v>SH332F1406-32038</v>
          </cell>
          <cell r="E5157">
            <v>28</v>
          </cell>
        </row>
        <row r="5158">
          <cell r="C5158" t="str">
            <v>B601589/A</v>
          </cell>
          <cell r="D5158" t="str">
            <v>AT305NF1089-VE</v>
          </cell>
          <cell r="E5158">
            <v>25</v>
          </cell>
        </row>
        <row r="5159">
          <cell r="C5159" t="str">
            <v>B601591/A</v>
          </cell>
          <cell r="D5159" t="str">
            <v>AT305NF535-VE</v>
          </cell>
          <cell r="E5159">
            <v>25</v>
          </cell>
        </row>
        <row r="5160">
          <cell r="C5160" t="str">
            <v>B601597/A</v>
          </cell>
          <cell r="D5160" t="str">
            <v>AT382F1089-VE</v>
          </cell>
          <cell r="E5160">
            <v>50</v>
          </cell>
        </row>
        <row r="5161">
          <cell r="C5161" t="str">
            <v>B601469/A</v>
          </cell>
          <cell r="D5161" t="str">
            <v>AT382F535-VE</v>
          </cell>
          <cell r="E5161">
            <v>6</v>
          </cell>
        </row>
        <row r="5162">
          <cell r="C5162" t="str">
            <v>B601593/A</v>
          </cell>
          <cell r="D5162" t="str">
            <v>AT382F535-VE</v>
          </cell>
          <cell r="E5162">
            <v>25</v>
          </cell>
        </row>
        <row r="5163">
          <cell r="C5163" t="str">
            <v>B601471/A</v>
          </cell>
          <cell r="D5163" t="str">
            <v>AT382F888-VE</v>
          </cell>
          <cell r="E5163">
            <v>6</v>
          </cell>
        </row>
        <row r="5164">
          <cell r="C5164" t="str">
            <v>B601595/A</v>
          </cell>
          <cell r="D5164" t="str">
            <v>AT382F888-VE</v>
          </cell>
          <cell r="E5164">
            <v>25</v>
          </cell>
        </row>
        <row r="5165">
          <cell r="C5165" t="str">
            <v>B597763/A</v>
          </cell>
          <cell r="D5165" t="str">
            <v>AT418F1089-VE</v>
          </cell>
          <cell r="E5165">
            <v>50</v>
          </cell>
        </row>
        <row r="5166">
          <cell r="C5166" t="str">
            <v>B597764/A</v>
          </cell>
          <cell r="D5166" t="str">
            <v>AT418F535-VE</v>
          </cell>
          <cell r="E5166">
            <v>25</v>
          </cell>
        </row>
        <row r="5167">
          <cell r="C5167" t="str">
            <v>B597764/A</v>
          </cell>
          <cell r="D5167" t="str">
            <v>AT418F888-VE</v>
          </cell>
          <cell r="E5167">
            <v>25</v>
          </cell>
        </row>
        <row r="5168">
          <cell r="C5168" t="str">
            <v>B594126/A</v>
          </cell>
          <cell r="D5168" t="str">
            <v>AT471F1089-VE</v>
          </cell>
          <cell r="E5168">
            <v>25</v>
          </cell>
        </row>
        <row r="5169">
          <cell r="C5169" t="str">
            <v>B594126/A</v>
          </cell>
          <cell r="D5169" t="str">
            <v>AT471F535-VE</v>
          </cell>
          <cell r="E5169">
            <v>25</v>
          </cell>
        </row>
        <row r="5170">
          <cell r="C5170" t="str">
            <v>B601615/A</v>
          </cell>
          <cell r="D5170" t="str">
            <v>AT479NF1059</v>
          </cell>
          <cell r="E5170">
            <v>25</v>
          </cell>
        </row>
        <row r="5171">
          <cell r="C5171" t="str">
            <v>B601613/A</v>
          </cell>
          <cell r="D5171" t="str">
            <v>AT479NF877</v>
          </cell>
          <cell r="E5171">
            <v>25</v>
          </cell>
        </row>
        <row r="5172">
          <cell r="C5172" t="str">
            <v>B601619/A</v>
          </cell>
          <cell r="D5172" t="str">
            <v>AT574F535-VE</v>
          </cell>
          <cell r="E5172">
            <v>50</v>
          </cell>
        </row>
        <row r="5173">
          <cell r="C5173" t="str">
            <v>B601863/A</v>
          </cell>
          <cell r="D5173" t="str">
            <v>AT606NF1237</v>
          </cell>
          <cell r="E5173">
            <v>25</v>
          </cell>
        </row>
        <row r="5174">
          <cell r="C5174" t="str">
            <v>B601618/A</v>
          </cell>
          <cell r="D5174" t="str">
            <v>AT606NF877</v>
          </cell>
          <cell r="E5174">
            <v>25</v>
          </cell>
        </row>
        <row r="5175">
          <cell r="C5175" t="str">
            <v>B601623/A</v>
          </cell>
          <cell r="D5175" t="str">
            <v>AT627F1059</v>
          </cell>
          <cell r="E5175">
            <v>25</v>
          </cell>
        </row>
        <row r="5176">
          <cell r="C5176" t="str">
            <v>B601621/A</v>
          </cell>
          <cell r="D5176" t="str">
            <v>AT627F877</v>
          </cell>
          <cell r="E5176">
            <v>25</v>
          </cell>
        </row>
        <row r="5177">
          <cell r="C5177" t="str">
            <v>B601319/A</v>
          </cell>
          <cell r="D5177" t="str">
            <v>CZ053F09</v>
          </cell>
          <cell r="E5177">
            <v>21</v>
          </cell>
        </row>
        <row r="5178">
          <cell r="C5178" t="str">
            <v>B601320/A</v>
          </cell>
          <cell r="D5178" t="str">
            <v>CZ053F09</v>
          </cell>
          <cell r="E5178">
            <v>19</v>
          </cell>
        </row>
        <row r="5179">
          <cell r="C5179" t="str">
            <v>B601325/A</v>
          </cell>
          <cell r="D5179" t="str">
            <v>CZ053F190</v>
          </cell>
          <cell r="E5179">
            <v>8</v>
          </cell>
        </row>
        <row r="5180">
          <cell r="C5180" t="str">
            <v>B601326/A</v>
          </cell>
          <cell r="D5180" t="str">
            <v>CZ053F190</v>
          </cell>
          <cell r="E5180">
            <v>3</v>
          </cell>
        </row>
        <row r="5181">
          <cell r="C5181" t="str">
            <v>B601329/A</v>
          </cell>
          <cell r="D5181" t="str">
            <v>CZ053F191</v>
          </cell>
          <cell r="E5181">
            <v>9</v>
          </cell>
        </row>
        <row r="5182">
          <cell r="C5182" t="str">
            <v>B601352/A</v>
          </cell>
          <cell r="D5182" t="str">
            <v>CZ053F191</v>
          </cell>
          <cell r="E5182">
            <v>10</v>
          </cell>
        </row>
        <row r="5183">
          <cell r="C5183" t="str">
            <v>B601356/A</v>
          </cell>
          <cell r="D5183" t="str">
            <v>CZ121NF08</v>
          </cell>
          <cell r="E5183">
            <v>44</v>
          </cell>
        </row>
        <row r="5184">
          <cell r="C5184" t="str">
            <v>B601355/A</v>
          </cell>
          <cell r="D5184" t="str">
            <v>CZ121NF10</v>
          </cell>
          <cell r="E5184">
            <v>4</v>
          </cell>
        </row>
        <row r="5185">
          <cell r="C5185" t="str">
            <v>B601416/A</v>
          </cell>
          <cell r="D5185" t="str">
            <v>CZ121NF190</v>
          </cell>
          <cell r="E5185">
            <v>5</v>
          </cell>
        </row>
        <row r="5186">
          <cell r="C5186" t="str">
            <v>B601533/A</v>
          </cell>
          <cell r="D5186" t="str">
            <v>CZ641F09</v>
          </cell>
          <cell r="E5186">
            <v>3</v>
          </cell>
        </row>
        <row r="5187">
          <cell r="C5187" t="str">
            <v>B601535/A</v>
          </cell>
          <cell r="D5187" t="str">
            <v>CZ641F190</v>
          </cell>
          <cell r="E5187">
            <v>16</v>
          </cell>
        </row>
        <row r="5188">
          <cell r="C5188" t="str">
            <v>B601537/A</v>
          </cell>
          <cell r="D5188" t="str">
            <v>CZ641F191</v>
          </cell>
          <cell r="E5188">
            <v>12</v>
          </cell>
        </row>
        <row r="5189">
          <cell r="C5189" t="str">
            <v>B601418/A</v>
          </cell>
          <cell r="D5189" t="str">
            <v>CZ644NF08</v>
          </cell>
          <cell r="E5189">
            <v>13</v>
          </cell>
        </row>
        <row r="5190">
          <cell r="C5190" t="str">
            <v>B601421/A</v>
          </cell>
          <cell r="D5190" t="str">
            <v>CZ644NF09</v>
          </cell>
          <cell r="E5190">
            <v>5</v>
          </cell>
        </row>
        <row r="5191">
          <cell r="C5191" t="str">
            <v>B601422/A</v>
          </cell>
          <cell r="D5191" t="str">
            <v>CZ644NF09</v>
          </cell>
          <cell r="E5191">
            <v>11</v>
          </cell>
        </row>
        <row r="5192">
          <cell r="C5192" t="str">
            <v>B601424/A</v>
          </cell>
          <cell r="D5192" t="str">
            <v>CZ644NF10</v>
          </cell>
          <cell r="E5192">
            <v>3</v>
          </cell>
        </row>
        <row r="5193">
          <cell r="C5193" t="str">
            <v>B601427/A</v>
          </cell>
          <cell r="D5193" t="str">
            <v>CZ652F08</v>
          </cell>
          <cell r="E5193">
            <v>1</v>
          </cell>
        </row>
        <row r="5194">
          <cell r="C5194" t="str">
            <v>B601428/A</v>
          </cell>
          <cell r="D5194" t="str">
            <v>CZ652F08</v>
          </cell>
          <cell r="E5194">
            <v>5</v>
          </cell>
        </row>
        <row r="5195">
          <cell r="C5195" t="str">
            <v>B601431/A</v>
          </cell>
          <cell r="D5195" t="str">
            <v>CZ652F09</v>
          </cell>
          <cell r="E5195">
            <v>14</v>
          </cell>
        </row>
        <row r="5196">
          <cell r="C5196" t="str">
            <v>B601432/A</v>
          </cell>
          <cell r="D5196" t="str">
            <v>CZ652F09</v>
          </cell>
          <cell r="E5196">
            <v>18</v>
          </cell>
        </row>
        <row r="5197">
          <cell r="C5197" t="str">
            <v>B601434/A</v>
          </cell>
          <cell r="D5197" t="str">
            <v>CZ652F10</v>
          </cell>
          <cell r="E5197">
            <v>1</v>
          </cell>
        </row>
        <row r="5198">
          <cell r="C5198" t="str">
            <v>B601436/A</v>
          </cell>
          <cell r="D5198" t="str">
            <v>CZ854F409-31931</v>
          </cell>
          <cell r="E5198">
            <v>5</v>
          </cell>
        </row>
        <row r="5199">
          <cell r="C5199" t="str">
            <v>B601439/A</v>
          </cell>
          <cell r="D5199" t="str">
            <v>CZ890F188</v>
          </cell>
          <cell r="E5199">
            <v>8</v>
          </cell>
        </row>
        <row r="5200">
          <cell r="C5200" t="str">
            <v>B601440/A</v>
          </cell>
          <cell r="D5200" t="str">
            <v>CZ890F188</v>
          </cell>
          <cell r="E5200">
            <v>12</v>
          </cell>
        </row>
        <row r="5201">
          <cell r="C5201" t="str">
            <v>B601442/A</v>
          </cell>
          <cell r="D5201" t="str">
            <v>CZ890F409</v>
          </cell>
          <cell r="E5201">
            <v>2</v>
          </cell>
        </row>
        <row r="5202">
          <cell r="C5202" t="str">
            <v>B601454/A</v>
          </cell>
          <cell r="D5202" t="str">
            <v>MN5498K-F</v>
          </cell>
          <cell r="E5202">
            <v>25</v>
          </cell>
        </row>
        <row r="5203">
          <cell r="C5203" t="str">
            <v>B601456/A</v>
          </cell>
          <cell r="D5203" t="str">
            <v>MN5498K-H</v>
          </cell>
          <cell r="E5203">
            <v>25</v>
          </cell>
        </row>
        <row r="5204">
          <cell r="C5204" t="str">
            <v>B601458/A</v>
          </cell>
          <cell r="D5204" t="str">
            <v>MN5498K-R</v>
          </cell>
          <cell r="E5204">
            <v>25</v>
          </cell>
        </row>
        <row r="5205">
          <cell r="C5205" t="str">
            <v>B601460/A</v>
          </cell>
          <cell r="D5205" t="str">
            <v>MN5801</v>
          </cell>
          <cell r="E5205">
            <v>25</v>
          </cell>
        </row>
        <row r="5206">
          <cell r="C5206" t="str">
            <v>B600892/A</v>
          </cell>
          <cell r="D5206" t="str">
            <v>RH10002F382</v>
          </cell>
          <cell r="E5206">
            <v>1</v>
          </cell>
        </row>
        <row r="5207">
          <cell r="C5207" t="str">
            <v>B600893/A</v>
          </cell>
          <cell r="D5207" t="str">
            <v>RH10002F382</v>
          </cell>
          <cell r="E5207">
            <v>4</v>
          </cell>
        </row>
        <row r="5208">
          <cell r="C5208" t="str">
            <v>B600896/A</v>
          </cell>
          <cell r="D5208" t="str">
            <v>RH10002F409</v>
          </cell>
          <cell r="E5208">
            <v>2</v>
          </cell>
        </row>
        <row r="5209">
          <cell r="C5209" t="str">
            <v>B600897/A</v>
          </cell>
          <cell r="D5209" t="str">
            <v>RH10002F409</v>
          </cell>
          <cell r="E5209">
            <v>4</v>
          </cell>
        </row>
        <row r="5210">
          <cell r="C5210" t="str">
            <v>B600900/A</v>
          </cell>
          <cell r="D5210" t="str">
            <v>RH10018F382</v>
          </cell>
          <cell r="E5210">
            <v>1</v>
          </cell>
        </row>
        <row r="5211">
          <cell r="C5211" t="str">
            <v>B600901/A</v>
          </cell>
          <cell r="D5211" t="str">
            <v>RH10018F382</v>
          </cell>
          <cell r="E5211">
            <v>2</v>
          </cell>
        </row>
        <row r="5212">
          <cell r="C5212" t="str">
            <v>B600905/A</v>
          </cell>
          <cell r="D5212" t="str">
            <v>RH10018F384</v>
          </cell>
          <cell r="E5212">
            <v>1</v>
          </cell>
        </row>
        <row r="5213">
          <cell r="C5213" t="str">
            <v>B600906/A</v>
          </cell>
          <cell r="D5213" t="str">
            <v>RH10018F384</v>
          </cell>
          <cell r="E5213">
            <v>2</v>
          </cell>
        </row>
        <row r="5214">
          <cell r="C5214" t="str">
            <v>B600909/A</v>
          </cell>
          <cell r="D5214" t="str">
            <v>RH10018F409</v>
          </cell>
          <cell r="E5214">
            <v>3</v>
          </cell>
        </row>
        <row r="5215">
          <cell r="C5215" t="str">
            <v>B600910/A</v>
          </cell>
          <cell r="D5215" t="str">
            <v>RH10018F409</v>
          </cell>
          <cell r="E5215">
            <v>3</v>
          </cell>
        </row>
        <row r="5216">
          <cell r="C5216" t="str">
            <v>B600912/A</v>
          </cell>
          <cell r="D5216" t="str">
            <v>RH10020F383</v>
          </cell>
          <cell r="E5216">
            <v>4</v>
          </cell>
        </row>
        <row r="5217">
          <cell r="C5217" t="str">
            <v>B600914/A</v>
          </cell>
          <cell r="D5217" t="str">
            <v>RH10020F384</v>
          </cell>
          <cell r="E5217">
            <v>1</v>
          </cell>
        </row>
        <row r="5218">
          <cell r="C5218" t="str">
            <v>B597766/A</v>
          </cell>
          <cell r="D5218" t="str">
            <v>RH10058NF382</v>
          </cell>
          <cell r="E5218">
            <v>5</v>
          </cell>
        </row>
        <row r="5219">
          <cell r="C5219" t="str">
            <v>B597768/A</v>
          </cell>
          <cell r="D5219" t="str">
            <v>RH10058NF383</v>
          </cell>
          <cell r="E5219">
            <v>2</v>
          </cell>
        </row>
        <row r="5220">
          <cell r="C5220" t="str">
            <v>B597770/A</v>
          </cell>
          <cell r="D5220" t="str">
            <v>RH10058NF384</v>
          </cell>
          <cell r="E5220">
            <v>6</v>
          </cell>
        </row>
        <row r="5221">
          <cell r="C5221" t="str">
            <v>B597773/A</v>
          </cell>
          <cell r="D5221" t="str">
            <v>RH10058NF409</v>
          </cell>
          <cell r="E5221">
            <v>12</v>
          </cell>
        </row>
        <row r="5222">
          <cell r="C5222" t="str">
            <v>B597774/A</v>
          </cell>
          <cell r="D5222" t="str">
            <v>RH10058NF409</v>
          </cell>
          <cell r="E5222">
            <v>12</v>
          </cell>
        </row>
        <row r="5223">
          <cell r="C5223" t="str">
            <v>B600781/A</v>
          </cell>
          <cell r="D5223" t="str">
            <v>RH10080F382</v>
          </cell>
          <cell r="E5223">
            <v>9</v>
          </cell>
        </row>
        <row r="5224">
          <cell r="C5224" t="str">
            <v>B600784/A</v>
          </cell>
          <cell r="D5224" t="str">
            <v>RH10080F383</v>
          </cell>
          <cell r="E5224">
            <v>4</v>
          </cell>
        </row>
        <row r="5225">
          <cell r="C5225" t="str">
            <v>B600785/A</v>
          </cell>
          <cell r="D5225" t="str">
            <v>RH10080F383</v>
          </cell>
          <cell r="E5225">
            <v>10</v>
          </cell>
        </row>
        <row r="5226">
          <cell r="C5226" t="str">
            <v>B600787/A</v>
          </cell>
          <cell r="D5226" t="str">
            <v>RH10080F384</v>
          </cell>
          <cell r="E5226">
            <v>10</v>
          </cell>
        </row>
        <row r="5227">
          <cell r="C5227" t="str">
            <v>B600790/A</v>
          </cell>
          <cell r="D5227" t="str">
            <v>RH10080F409</v>
          </cell>
          <cell r="E5227">
            <v>1</v>
          </cell>
        </row>
        <row r="5228">
          <cell r="C5228" t="str">
            <v>B600791/A</v>
          </cell>
          <cell r="D5228" t="str">
            <v>RH10080F409</v>
          </cell>
          <cell r="E5228">
            <v>11</v>
          </cell>
        </row>
        <row r="5229">
          <cell r="C5229" t="str">
            <v>B600794/A</v>
          </cell>
          <cell r="D5229" t="str">
            <v>RH10083F382</v>
          </cell>
          <cell r="E5229">
            <v>17</v>
          </cell>
        </row>
        <row r="5230">
          <cell r="C5230" t="str">
            <v>B600795/A</v>
          </cell>
          <cell r="D5230" t="str">
            <v>RH10083F382</v>
          </cell>
          <cell r="E5230">
            <v>7</v>
          </cell>
        </row>
        <row r="5231">
          <cell r="C5231" t="str">
            <v>B600797/A</v>
          </cell>
          <cell r="D5231" t="str">
            <v>RH10083F383</v>
          </cell>
          <cell r="E5231">
            <v>6</v>
          </cell>
        </row>
        <row r="5232">
          <cell r="C5232" t="str">
            <v>B600800/A</v>
          </cell>
          <cell r="D5232" t="str">
            <v>RH10083F384</v>
          </cell>
          <cell r="E5232">
            <v>3</v>
          </cell>
        </row>
        <row r="5233">
          <cell r="C5233" t="str">
            <v>B600801/A</v>
          </cell>
          <cell r="D5233" t="str">
            <v>RH10083F384</v>
          </cell>
          <cell r="E5233">
            <v>12</v>
          </cell>
        </row>
        <row r="5234">
          <cell r="C5234" t="str">
            <v>B600805/A</v>
          </cell>
          <cell r="D5234" t="str">
            <v>RH10083F409</v>
          </cell>
          <cell r="E5234">
            <v>1</v>
          </cell>
        </row>
        <row r="5235">
          <cell r="C5235" t="str">
            <v>B600806/A</v>
          </cell>
          <cell r="D5235" t="str">
            <v>RH10083F409</v>
          </cell>
          <cell r="E5235">
            <v>5</v>
          </cell>
        </row>
        <row r="5236">
          <cell r="C5236" t="str">
            <v>B600807/A</v>
          </cell>
          <cell r="D5236" t="str">
            <v>RH10083F409</v>
          </cell>
          <cell r="E5236">
            <v>14</v>
          </cell>
        </row>
        <row r="5237">
          <cell r="C5237" t="str">
            <v>B600810/A</v>
          </cell>
          <cell r="D5237" t="str">
            <v>RH10085F382</v>
          </cell>
          <cell r="E5237">
            <v>8</v>
          </cell>
        </row>
        <row r="5238">
          <cell r="C5238" t="str">
            <v>B600811/A</v>
          </cell>
          <cell r="D5238" t="str">
            <v>RH10085F382</v>
          </cell>
          <cell r="E5238">
            <v>1</v>
          </cell>
        </row>
        <row r="5239">
          <cell r="C5239" t="str">
            <v>B600813/A</v>
          </cell>
          <cell r="D5239" t="str">
            <v>RH10085F384</v>
          </cell>
          <cell r="E5239">
            <v>5</v>
          </cell>
        </row>
        <row r="5240">
          <cell r="C5240" t="str">
            <v>B600816/A</v>
          </cell>
          <cell r="D5240" t="str">
            <v>RH10085F409</v>
          </cell>
          <cell r="E5240">
            <v>5</v>
          </cell>
        </row>
        <row r="5241">
          <cell r="C5241" t="str">
            <v>B600817/A</v>
          </cell>
          <cell r="D5241" t="str">
            <v>RH10085F409</v>
          </cell>
          <cell r="E5241">
            <v>10</v>
          </cell>
        </row>
        <row r="5242">
          <cell r="C5242" t="str">
            <v>B597776/A</v>
          </cell>
          <cell r="D5242" t="str">
            <v>RH10086NF382</v>
          </cell>
          <cell r="E5242">
            <v>4</v>
          </cell>
        </row>
        <row r="5243">
          <cell r="C5243" t="str">
            <v>B597778/A</v>
          </cell>
          <cell r="D5243" t="str">
            <v>RH10086NF384</v>
          </cell>
          <cell r="E5243">
            <v>9</v>
          </cell>
        </row>
        <row r="5244">
          <cell r="C5244" t="str">
            <v>B597782/A</v>
          </cell>
          <cell r="D5244" t="str">
            <v>RH10086NF409</v>
          </cell>
          <cell r="E5244">
            <v>6</v>
          </cell>
        </row>
        <row r="5245">
          <cell r="C5245" t="str">
            <v>B597780/A</v>
          </cell>
          <cell r="D5245" t="str">
            <v>RH10086NF409</v>
          </cell>
          <cell r="E5245">
            <v>12</v>
          </cell>
        </row>
        <row r="5246">
          <cell r="C5246" t="str">
            <v>B600916/A</v>
          </cell>
          <cell r="D5246" t="str">
            <v>RH10111F382</v>
          </cell>
          <cell r="E5246">
            <v>3</v>
          </cell>
        </row>
        <row r="5247">
          <cell r="C5247" t="str">
            <v>B600918/A</v>
          </cell>
          <cell r="D5247" t="str">
            <v>RH10111F384</v>
          </cell>
          <cell r="E5247">
            <v>7</v>
          </cell>
        </row>
        <row r="5248">
          <cell r="C5248" t="str">
            <v>B600819/A</v>
          </cell>
          <cell r="D5248" t="str">
            <v>RH10112F382</v>
          </cell>
          <cell r="E5248">
            <v>7</v>
          </cell>
        </row>
        <row r="5249">
          <cell r="C5249" t="str">
            <v>B600822/A</v>
          </cell>
          <cell r="D5249" t="str">
            <v>RH10112F384</v>
          </cell>
          <cell r="E5249">
            <v>1</v>
          </cell>
        </row>
        <row r="5250">
          <cell r="C5250" t="str">
            <v>B600823/A</v>
          </cell>
          <cell r="D5250" t="str">
            <v>RH10112F384</v>
          </cell>
          <cell r="E5250">
            <v>2</v>
          </cell>
        </row>
        <row r="5251">
          <cell r="C5251" t="str">
            <v>B600826/A</v>
          </cell>
          <cell r="D5251" t="str">
            <v>RH10116F382</v>
          </cell>
          <cell r="E5251">
            <v>13</v>
          </cell>
        </row>
        <row r="5252">
          <cell r="C5252" t="str">
            <v>B600827/A</v>
          </cell>
          <cell r="D5252" t="str">
            <v>RH10116F382</v>
          </cell>
          <cell r="E5252">
            <v>3</v>
          </cell>
        </row>
        <row r="5253">
          <cell r="C5253" t="str">
            <v>B600829/A</v>
          </cell>
          <cell r="D5253" t="str">
            <v>RH10116F383</v>
          </cell>
          <cell r="E5253">
            <v>9</v>
          </cell>
        </row>
        <row r="5254">
          <cell r="C5254" t="str">
            <v>B600831/A</v>
          </cell>
          <cell r="D5254" t="str">
            <v>RH10116F409</v>
          </cell>
          <cell r="E5254">
            <v>2</v>
          </cell>
        </row>
        <row r="5255">
          <cell r="C5255" t="str">
            <v>B600833/A</v>
          </cell>
          <cell r="D5255" t="str">
            <v>RH10119F382</v>
          </cell>
          <cell r="E5255">
            <v>7</v>
          </cell>
        </row>
        <row r="5256">
          <cell r="C5256" t="str">
            <v>B600835/A</v>
          </cell>
          <cell r="D5256" t="str">
            <v>RH10119F384</v>
          </cell>
          <cell r="E5256">
            <v>5</v>
          </cell>
        </row>
        <row r="5257">
          <cell r="C5257" t="str">
            <v>B600838/A</v>
          </cell>
          <cell r="D5257" t="str">
            <v>RH10122F382</v>
          </cell>
          <cell r="E5257">
            <v>4</v>
          </cell>
        </row>
        <row r="5258">
          <cell r="C5258" t="str">
            <v>B600839/A</v>
          </cell>
          <cell r="D5258" t="str">
            <v>RH10122F382</v>
          </cell>
          <cell r="E5258">
            <v>4</v>
          </cell>
        </row>
        <row r="5259">
          <cell r="C5259" t="str">
            <v>B600841/A</v>
          </cell>
          <cell r="D5259" t="str">
            <v>RH10122F384</v>
          </cell>
          <cell r="E5259">
            <v>4</v>
          </cell>
        </row>
        <row r="5260">
          <cell r="C5260" t="str">
            <v>B600843/A</v>
          </cell>
          <cell r="D5260" t="str">
            <v>RH10124F382</v>
          </cell>
          <cell r="E5260">
            <v>2</v>
          </cell>
        </row>
        <row r="5261">
          <cell r="C5261" t="str">
            <v>B600845/A</v>
          </cell>
          <cell r="D5261" t="str">
            <v>RH10124F383</v>
          </cell>
          <cell r="E5261">
            <v>2</v>
          </cell>
        </row>
        <row r="5262">
          <cell r="C5262" t="str">
            <v>B600847/A</v>
          </cell>
          <cell r="D5262" t="str">
            <v>RH10124F384</v>
          </cell>
          <cell r="E5262">
            <v>4</v>
          </cell>
        </row>
        <row r="5263">
          <cell r="C5263" t="str">
            <v>B600849/A</v>
          </cell>
          <cell r="D5263" t="str">
            <v>RH10124F409</v>
          </cell>
          <cell r="E5263">
            <v>2</v>
          </cell>
        </row>
        <row r="5264">
          <cell r="C5264" t="str">
            <v>B600852/A</v>
          </cell>
          <cell r="D5264" t="str">
            <v>RH10145F382</v>
          </cell>
          <cell r="E5264">
            <v>5</v>
          </cell>
        </row>
        <row r="5265">
          <cell r="C5265" t="str">
            <v>B600853/A</v>
          </cell>
          <cell r="D5265" t="str">
            <v>RH10145F382</v>
          </cell>
          <cell r="E5265">
            <v>3</v>
          </cell>
        </row>
        <row r="5266">
          <cell r="C5266" t="str">
            <v>B600855/A</v>
          </cell>
          <cell r="D5266" t="str">
            <v>RH10145F409</v>
          </cell>
          <cell r="E5266">
            <v>2</v>
          </cell>
        </row>
        <row r="5267">
          <cell r="C5267" t="str">
            <v>B600858/A</v>
          </cell>
          <cell r="D5267" t="str">
            <v>RH10147F382</v>
          </cell>
          <cell r="E5267">
            <v>2</v>
          </cell>
        </row>
        <row r="5268">
          <cell r="C5268" t="str">
            <v>B600859/A</v>
          </cell>
          <cell r="D5268" t="str">
            <v>RH10147F382</v>
          </cell>
          <cell r="E5268">
            <v>5</v>
          </cell>
        </row>
        <row r="5269">
          <cell r="C5269" t="str">
            <v>B600861/A</v>
          </cell>
          <cell r="D5269" t="str">
            <v>RH10147F384</v>
          </cell>
          <cell r="E5269">
            <v>2</v>
          </cell>
        </row>
        <row r="5270">
          <cell r="C5270" t="str">
            <v>B600863/A</v>
          </cell>
          <cell r="D5270" t="str">
            <v>RH10147F409</v>
          </cell>
          <cell r="E5270">
            <v>1</v>
          </cell>
        </row>
        <row r="5271">
          <cell r="C5271" t="str">
            <v>B600865/A</v>
          </cell>
          <cell r="D5271" t="str">
            <v>RH10157F382</v>
          </cell>
          <cell r="E5271">
            <v>7</v>
          </cell>
        </row>
        <row r="5272">
          <cell r="C5272" t="str">
            <v>B600867/A</v>
          </cell>
          <cell r="D5272" t="str">
            <v>RH10157F384</v>
          </cell>
          <cell r="E5272">
            <v>5</v>
          </cell>
        </row>
        <row r="5273">
          <cell r="C5273" t="str">
            <v>B600869/A</v>
          </cell>
          <cell r="D5273" t="str">
            <v>RH10157F409</v>
          </cell>
          <cell r="E5273">
            <v>8</v>
          </cell>
        </row>
        <row r="5274">
          <cell r="C5274" t="str">
            <v>B600874/A</v>
          </cell>
          <cell r="D5274" t="str">
            <v>RH10161F382</v>
          </cell>
          <cell r="E5274">
            <v>2</v>
          </cell>
        </row>
        <row r="5275">
          <cell r="C5275" t="str">
            <v>B600875/A</v>
          </cell>
          <cell r="D5275" t="str">
            <v>RH10161F382</v>
          </cell>
          <cell r="E5275">
            <v>8</v>
          </cell>
        </row>
        <row r="5276">
          <cell r="C5276" t="str">
            <v>B600877/A</v>
          </cell>
          <cell r="D5276" t="str">
            <v>RH10167F382</v>
          </cell>
          <cell r="E5276">
            <v>1</v>
          </cell>
        </row>
        <row r="5277">
          <cell r="C5277" t="str">
            <v>B600879/A</v>
          </cell>
          <cell r="D5277" t="str">
            <v>RH10167F384</v>
          </cell>
          <cell r="E5277">
            <v>9</v>
          </cell>
        </row>
        <row r="5278">
          <cell r="C5278" t="str">
            <v>B600921/A</v>
          </cell>
          <cell r="D5278" t="str">
            <v>RH10173F382</v>
          </cell>
          <cell r="E5278">
            <v>2</v>
          </cell>
        </row>
        <row r="5279">
          <cell r="C5279" t="str">
            <v>B600922/A</v>
          </cell>
          <cell r="D5279" t="str">
            <v>RH10173F382</v>
          </cell>
          <cell r="E5279">
            <v>8</v>
          </cell>
        </row>
        <row r="5280">
          <cell r="C5280" t="str">
            <v>B600924/A</v>
          </cell>
          <cell r="D5280" t="str">
            <v>RH10173F383</v>
          </cell>
          <cell r="E5280">
            <v>7</v>
          </cell>
        </row>
        <row r="5281">
          <cell r="C5281" t="str">
            <v>B600926/A</v>
          </cell>
          <cell r="D5281" t="str">
            <v>RH10173F384</v>
          </cell>
          <cell r="E5281">
            <v>9</v>
          </cell>
        </row>
        <row r="5282">
          <cell r="C5282" t="str">
            <v>B600928/A</v>
          </cell>
          <cell r="D5282" t="str">
            <v>RH10173F409</v>
          </cell>
          <cell r="E5282">
            <v>9</v>
          </cell>
        </row>
        <row r="5283">
          <cell r="C5283" t="str">
            <v>B600882/A</v>
          </cell>
          <cell r="D5283" t="str">
            <v>RH1170F03</v>
          </cell>
          <cell r="E5283">
            <v>21</v>
          </cell>
        </row>
        <row r="5284">
          <cell r="C5284" t="str">
            <v>B600883/A</v>
          </cell>
          <cell r="D5284" t="str">
            <v>RH1170F03</v>
          </cell>
          <cell r="E5284">
            <v>21</v>
          </cell>
        </row>
        <row r="5285">
          <cell r="C5285" t="str">
            <v>B600885/A</v>
          </cell>
          <cell r="D5285" t="str">
            <v>RH128F02</v>
          </cell>
          <cell r="E5285">
            <v>4</v>
          </cell>
        </row>
        <row r="5286">
          <cell r="C5286" t="str">
            <v>B600887/A</v>
          </cell>
          <cell r="D5286" t="str">
            <v>RH128F03</v>
          </cell>
          <cell r="E5286">
            <v>5</v>
          </cell>
        </row>
        <row r="5287">
          <cell r="C5287" t="str">
            <v>B600937/A</v>
          </cell>
          <cell r="D5287" t="str">
            <v>RH1309F01</v>
          </cell>
          <cell r="E5287">
            <v>16</v>
          </cell>
        </row>
        <row r="5288">
          <cell r="C5288" t="str">
            <v>B600938/A</v>
          </cell>
          <cell r="D5288" t="str">
            <v>RH1309F01</v>
          </cell>
          <cell r="E5288">
            <v>10</v>
          </cell>
        </row>
        <row r="5289">
          <cell r="C5289" t="str">
            <v>B600941/A</v>
          </cell>
          <cell r="D5289" t="str">
            <v>RH1309F02</v>
          </cell>
          <cell r="E5289">
            <v>8</v>
          </cell>
        </row>
        <row r="5290">
          <cell r="C5290" t="str">
            <v>B600947/A</v>
          </cell>
          <cell r="D5290" t="str">
            <v>RH1685NF40.BC</v>
          </cell>
          <cell r="E5290">
            <v>22</v>
          </cell>
        </row>
        <row r="5291">
          <cell r="C5291" t="str">
            <v>B600961/A</v>
          </cell>
          <cell r="D5291" t="str">
            <v>RH1859F08</v>
          </cell>
          <cell r="E5291">
            <v>14</v>
          </cell>
        </row>
        <row r="5292">
          <cell r="C5292" t="str">
            <v>B600962/A</v>
          </cell>
          <cell r="D5292" t="str">
            <v>RH1859F08</v>
          </cell>
          <cell r="E5292">
            <v>18</v>
          </cell>
        </row>
        <row r="5293">
          <cell r="C5293" t="str">
            <v>B600965/A</v>
          </cell>
          <cell r="D5293" t="str">
            <v>RH2252F08</v>
          </cell>
          <cell r="E5293">
            <v>37</v>
          </cell>
        </row>
        <row r="5294">
          <cell r="C5294" t="str">
            <v>B600966/A</v>
          </cell>
          <cell r="D5294" t="str">
            <v>RH2252F08</v>
          </cell>
          <cell r="E5294">
            <v>58</v>
          </cell>
        </row>
        <row r="5295">
          <cell r="C5295" t="str">
            <v>B600969/A</v>
          </cell>
          <cell r="D5295" t="str">
            <v>RH2252F09</v>
          </cell>
          <cell r="E5295">
            <v>23</v>
          </cell>
        </row>
        <row r="5296">
          <cell r="C5296" t="str">
            <v>B600970/A</v>
          </cell>
          <cell r="D5296" t="str">
            <v>RH2252F09</v>
          </cell>
          <cell r="E5296">
            <v>100</v>
          </cell>
        </row>
        <row r="5297">
          <cell r="C5297" t="str">
            <v>B600973/A</v>
          </cell>
          <cell r="D5297" t="str">
            <v>RH2254NF08</v>
          </cell>
          <cell r="E5297">
            <v>42</v>
          </cell>
        </row>
        <row r="5298">
          <cell r="C5298" t="str">
            <v>B600974/A</v>
          </cell>
          <cell r="D5298" t="str">
            <v>RH2254NF08</v>
          </cell>
          <cell r="E5298">
            <v>5</v>
          </cell>
        </row>
        <row r="5299">
          <cell r="C5299" t="str">
            <v>B600977/A</v>
          </cell>
          <cell r="D5299" t="str">
            <v>RH2254NF09</v>
          </cell>
          <cell r="E5299">
            <v>41</v>
          </cell>
        </row>
        <row r="5300">
          <cell r="C5300" t="str">
            <v>B600978/A</v>
          </cell>
          <cell r="D5300" t="str">
            <v>RH2254NF09</v>
          </cell>
          <cell r="E5300">
            <v>14</v>
          </cell>
        </row>
        <row r="5301">
          <cell r="C5301" t="str">
            <v>B600986/A</v>
          </cell>
          <cell r="D5301" t="str">
            <v>RH2676NF08</v>
          </cell>
          <cell r="E5301">
            <v>14</v>
          </cell>
        </row>
        <row r="5302">
          <cell r="C5302" t="str">
            <v>B600989/A</v>
          </cell>
          <cell r="D5302" t="str">
            <v>RH2676NF09</v>
          </cell>
          <cell r="E5302">
            <v>17</v>
          </cell>
        </row>
        <row r="5303">
          <cell r="C5303" t="str">
            <v>B600990/A</v>
          </cell>
          <cell r="D5303" t="str">
            <v>RH2676NF09</v>
          </cell>
          <cell r="E5303">
            <v>5</v>
          </cell>
        </row>
        <row r="5304">
          <cell r="C5304" t="str">
            <v>B600998/A</v>
          </cell>
          <cell r="D5304" t="str">
            <v>RH3064NF01</v>
          </cell>
          <cell r="E5304">
            <v>18</v>
          </cell>
        </row>
        <row r="5305">
          <cell r="C5305" t="str">
            <v>B601001/A</v>
          </cell>
          <cell r="D5305" t="str">
            <v>RH3064NF02</v>
          </cell>
          <cell r="E5305">
            <v>10</v>
          </cell>
        </row>
        <row r="5306">
          <cell r="C5306" t="str">
            <v>B601004/A</v>
          </cell>
          <cell r="D5306" t="str">
            <v>RH3064NF03</v>
          </cell>
          <cell r="E5306">
            <v>20</v>
          </cell>
        </row>
        <row r="5307">
          <cell r="C5307" t="str">
            <v>B601005/A</v>
          </cell>
          <cell r="D5307" t="str">
            <v>RH3064NF03</v>
          </cell>
          <cell r="E5307">
            <v>17</v>
          </cell>
        </row>
        <row r="5308">
          <cell r="C5308" t="str">
            <v>B601540/A</v>
          </cell>
          <cell r="D5308" t="str">
            <v>RH323NF01</v>
          </cell>
          <cell r="E5308">
            <v>11</v>
          </cell>
        </row>
        <row r="5309">
          <cell r="C5309" t="str">
            <v>B601541/A</v>
          </cell>
          <cell r="D5309" t="str">
            <v>RH323NF01</v>
          </cell>
          <cell r="E5309">
            <v>21</v>
          </cell>
        </row>
        <row r="5310">
          <cell r="C5310" t="str">
            <v>B601544/A</v>
          </cell>
          <cell r="D5310" t="str">
            <v>RH323NF02</v>
          </cell>
          <cell r="E5310">
            <v>15</v>
          </cell>
        </row>
        <row r="5311">
          <cell r="C5311" t="str">
            <v>B601545/A</v>
          </cell>
          <cell r="D5311" t="str">
            <v>RH323NF02</v>
          </cell>
          <cell r="E5311">
            <v>27</v>
          </cell>
        </row>
        <row r="5312">
          <cell r="C5312" t="str">
            <v>B601548/A</v>
          </cell>
          <cell r="D5312" t="str">
            <v>RH323NF03</v>
          </cell>
          <cell r="E5312">
            <v>18</v>
          </cell>
        </row>
        <row r="5313">
          <cell r="C5313" t="str">
            <v>B601549/A</v>
          </cell>
          <cell r="D5313" t="str">
            <v>RH323NF03</v>
          </cell>
          <cell r="E5313">
            <v>22</v>
          </cell>
        </row>
        <row r="5314">
          <cell r="C5314" t="str">
            <v>B601008/A</v>
          </cell>
          <cell r="D5314" t="str">
            <v>RH327NF03</v>
          </cell>
          <cell r="E5314">
            <v>26</v>
          </cell>
        </row>
        <row r="5315">
          <cell r="C5315" t="str">
            <v>B601009/A</v>
          </cell>
          <cell r="D5315" t="str">
            <v>RH327NF03</v>
          </cell>
          <cell r="E5315">
            <v>4</v>
          </cell>
        </row>
        <row r="5316">
          <cell r="C5316" t="str">
            <v>B601012/A</v>
          </cell>
          <cell r="D5316" t="str">
            <v>RH3441NF40.BC</v>
          </cell>
          <cell r="E5316">
            <v>20</v>
          </cell>
        </row>
        <row r="5317">
          <cell r="C5317" t="str">
            <v>B601015/A</v>
          </cell>
          <cell r="D5317" t="str">
            <v>RH3553F08</v>
          </cell>
          <cell r="E5317">
            <v>10</v>
          </cell>
        </row>
        <row r="5318">
          <cell r="C5318" t="str">
            <v>B601016/A</v>
          </cell>
          <cell r="D5318" t="str">
            <v>RH3553F08</v>
          </cell>
          <cell r="E5318">
            <v>13</v>
          </cell>
        </row>
        <row r="5319">
          <cell r="C5319" t="str">
            <v>B601019/A</v>
          </cell>
          <cell r="D5319" t="str">
            <v>RH3553F09</v>
          </cell>
          <cell r="E5319">
            <v>3</v>
          </cell>
        </row>
        <row r="5320">
          <cell r="C5320" t="str">
            <v>B601020/A</v>
          </cell>
          <cell r="D5320" t="str">
            <v>RH3553F09</v>
          </cell>
          <cell r="E5320">
            <v>3</v>
          </cell>
        </row>
        <row r="5321">
          <cell r="C5321" t="str">
            <v>B601022/A</v>
          </cell>
          <cell r="D5321" t="str">
            <v>RH387F01</v>
          </cell>
          <cell r="E5321">
            <v>31</v>
          </cell>
        </row>
        <row r="5322">
          <cell r="C5322" t="str">
            <v>B601024/A</v>
          </cell>
          <cell r="D5322" t="str">
            <v>RH387F03</v>
          </cell>
          <cell r="E5322">
            <v>2</v>
          </cell>
        </row>
        <row r="5323">
          <cell r="C5323" t="str">
            <v>B601490/A</v>
          </cell>
          <cell r="D5323" t="str">
            <v>RH5061F01</v>
          </cell>
          <cell r="E5323">
            <v>4</v>
          </cell>
        </row>
        <row r="5324">
          <cell r="C5324" t="str">
            <v>B601491/A</v>
          </cell>
          <cell r="D5324" t="str">
            <v>RH5061F01</v>
          </cell>
          <cell r="E5324">
            <v>7</v>
          </cell>
        </row>
        <row r="5325">
          <cell r="C5325" t="str">
            <v>B601494/A</v>
          </cell>
          <cell r="D5325" t="str">
            <v>RH5061F03</v>
          </cell>
          <cell r="E5325">
            <v>17</v>
          </cell>
        </row>
        <row r="5326">
          <cell r="C5326" t="str">
            <v>B601495/A</v>
          </cell>
          <cell r="D5326" t="str">
            <v>RH5061F03</v>
          </cell>
          <cell r="E5326">
            <v>1</v>
          </cell>
        </row>
        <row r="5327">
          <cell r="C5327" t="str">
            <v>B601038/A</v>
          </cell>
          <cell r="D5327" t="str">
            <v>RH531F08</v>
          </cell>
          <cell r="E5327">
            <v>25</v>
          </cell>
        </row>
        <row r="5328">
          <cell r="C5328" t="str">
            <v>B601039/A</v>
          </cell>
          <cell r="D5328" t="str">
            <v>RH531F08</v>
          </cell>
          <cell r="E5328">
            <v>3</v>
          </cell>
        </row>
        <row r="5329">
          <cell r="C5329" t="str">
            <v>B601042/A</v>
          </cell>
          <cell r="D5329" t="str">
            <v>RH7151F381</v>
          </cell>
          <cell r="E5329">
            <v>3</v>
          </cell>
        </row>
        <row r="5330">
          <cell r="C5330" t="str">
            <v>B601043/A</v>
          </cell>
          <cell r="D5330" t="str">
            <v>RH7151F381</v>
          </cell>
          <cell r="E5330">
            <v>8</v>
          </cell>
        </row>
        <row r="5331">
          <cell r="C5331" t="str">
            <v>B601046/A</v>
          </cell>
          <cell r="D5331" t="str">
            <v>RH7151F409</v>
          </cell>
          <cell r="E5331">
            <v>6</v>
          </cell>
        </row>
        <row r="5332">
          <cell r="C5332" t="str">
            <v>B601047/A</v>
          </cell>
          <cell r="D5332" t="str">
            <v>RH7151F409</v>
          </cell>
          <cell r="E5332">
            <v>8</v>
          </cell>
        </row>
        <row r="5333">
          <cell r="C5333" t="str">
            <v>B601501/A</v>
          </cell>
          <cell r="D5333" t="str">
            <v>RH7363NF381</v>
          </cell>
          <cell r="E5333">
            <v>4</v>
          </cell>
        </row>
        <row r="5334">
          <cell r="C5334" t="str">
            <v>B601503/A</v>
          </cell>
          <cell r="D5334" t="str">
            <v>RH7363NF382</v>
          </cell>
          <cell r="E5334">
            <v>11</v>
          </cell>
        </row>
        <row r="5335">
          <cell r="C5335" t="str">
            <v>B601505/A</v>
          </cell>
          <cell r="D5335" t="str">
            <v>RH7363NF409</v>
          </cell>
          <cell r="E5335">
            <v>2</v>
          </cell>
        </row>
        <row r="5336">
          <cell r="C5336" t="str">
            <v>B601506/A</v>
          </cell>
          <cell r="D5336" t="str">
            <v>RH7363NF409</v>
          </cell>
          <cell r="E5336">
            <v>18</v>
          </cell>
        </row>
        <row r="5337">
          <cell r="C5337" t="str">
            <v>B601209/A</v>
          </cell>
          <cell r="D5337" t="str">
            <v>RH816F03</v>
          </cell>
          <cell r="E5337">
            <v>10</v>
          </cell>
        </row>
        <row r="5338">
          <cell r="C5338" t="str">
            <v>B601210/A</v>
          </cell>
          <cell r="D5338" t="str">
            <v>RH816F03</v>
          </cell>
          <cell r="E5338">
            <v>13</v>
          </cell>
        </row>
        <row r="5339">
          <cell r="C5339" t="str">
            <v>B601518/A</v>
          </cell>
          <cell r="D5339" t="str">
            <v>RH844AF08</v>
          </cell>
          <cell r="E5339">
            <v>10</v>
          </cell>
        </row>
        <row r="5340">
          <cell r="C5340" t="str">
            <v>B601519/A</v>
          </cell>
          <cell r="D5340" t="str">
            <v>RH844AF08</v>
          </cell>
          <cell r="E5340">
            <v>5</v>
          </cell>
        </row>
        <row r="5341">
          <cell r="C5341" t="str">
            <v>B601521/A</v>
          </cell>
          <cell r="D5341" t="str">
            <v>RH892AF01</v>
          </cell>
          <cell r="E5341">
            <v>7</v>
          </cell>
        </row>
        <row r="5342">
          <cell r="C5342" t="str">
            <v>B601523/A</v>
          </cell>
          <cell r="D5342" t="str">
            <v>RH892AF02</v>
          </cell>
          <cell r="E5342">
            <v>3</v>
          </cell>
        </row>
        <row r="5343">
          <cell r="C5343" t="str">
            <v>B601525/A</v>
          </cell>
          <cell r="D5343" t="str">
            <v>RH892AF03</v>
          </cell>
          <cell r="E5343">
            <v>2</v>
          </cell>
        </row>
        <row r="5344">
          <cell r="C5344" t="str">
            <v>B601551/A</v>
          </cell>
          <cell r="D5344" t="str">
            <v>RH895F01</v>
          </cell>
          <cell r="E5344">
            <v>13</v>
          </cell>
        </row>
        <row r="5345">
          <cell r="C5345" t="str">
            <v>B601553/A</v>
          </cell>
          <cell r="D5345" t="str">
            <v>RH895F03</v>
          </cell>
          <cell r="E5345">
            <v>14</v>
          </cell>
        </row>
        <row r="5346">
          <cell r="C5346" t="str">
            <v>B601555/A</v>
          </cell>
          <cell r="D5346" t="str">
            <v>RH899AF01</v>
          </cell>
          <cell r="E5346">
            <v>7</v>
          </cell>
        </row>
        <row r="5347">
          <cell r="C5347" t="str">
            <v>B601557/A</v>
          </cell>
          <cell r="D5347" t="str">
            <v>RH899AF03</v>
          </cell>
          <cell r="E5347">
            <v>7</v>
          </cell>
        </row>
        <row r="5348">
          <cell r="C5348" t="str">
            <v>B601213/A</v>
          </cell>
          <cell r="D5348" t="str">
            <v>RH901AF01</v>
          </cell>
          <cell r="E5348">
            <v>6</v>
          </cell>
        </row>
        <row r="5349">
          <cell r="C5349" t="str">
            <v>B601214/A</v>
          </cell>
          <cell r="D5349" t="str">
            <v>RH901AF01</v>
          </cell>
          <cell r="E5349">
            <v>4</v>
          </cell>
        </row>
        <row r="5350">
          <cell r="C5350" t="str">
            <v>B601216/A</v>
          </cell>
          <cell r="D5350" t="str">
            <v>RH901AF02</v>
          </cell>
          <cell r="E5350">
            <v>11</v>
          </cell>
        </row>
        <row r="5351">
          <cell r="C5351" t="str">
            <v>B601220/A</v>
          </cell>
          <cell r="D5351" t="str">
            <v>RH901AF03</v>
          </cell>
          <cell r="E5351">
            <v>1</v>
          </cell>
        </row>
        <row r="5352">
          <cell r="C5352" t="str">
            <v>B601221/A</v>
          </cell>
          <cell r="D5352" t="str">
            <v>RH901AF03</v>
          </cell>
          <cell r="E5352">
            <v>10</v>
          </cell>
        </row>
        <row r="5353">
          <cell r="C5353" t="str">
            <v>B601224/A</v>
          </cell>
          <cell r="D5353" t="str">
            <v>RH9283F403</v>
          </cell>
          <cell r="E5353">
            <v>10</v>
          </cell>
        </row>
        <row r="5354">
          <cell r="C5354" t="str">
            <v>B601227/A</v>
          </cell>
          <cell r="D5354" t="str">
            <v>RH9283F408</v>
          </cell>
          <cell r="E5354">
            <v>10</v>
          </cell>
        </row>
        <row r="5355">
          <cell r="C5355" t="str">
            <v>B601229/A</v>
          </cell>
          <cell r="D5355" t="str">
            <v>RH9339F423</v>
          </cell>
          <cell r="E5355">
            <v>52</v>
          </cell>
        </row>
        <row r="5356">
          <cell r="C5356" t="str">
            <v>B601232/A</v>
          </cell>
          <cell r="D5356" t="str">
            <v>RH9339F424</v>
          </cell>
          <cell r="E5356">
            <v>1</v>
          </cell>
        </row>
        <row r="5357">
          <cell r="C5357" t="str">
            <v>B601233/A</v>
          </cell>
          <cell r="D5357" t="str">
            <v>RH9339F424</v>
          </cell>
          <cell r="E5357">
            <v>1</v>
          </cell>
        </row>
        <row r="5358">
          <cell r="C5358" t="str">
            <v>B601235/A</v>
          </cell>
          <cell r="D5358" t="str">
            <v>RH9339F426</v>
          </cell>
          <cell r="E5358">
            <v>10</v>
          </cell>
        </row>
        <row r="5359">
          <cell r="C5359" t="str">
            <v>B601237/A</v>
          </cell>
          <cell r="D5359" t="str">
            <v>RH9478F423</v>
          </cell>
          <cell r="E5359">
            <v>9</v>
          </cell>
        </row>
        <row r="5360">
          <cell r="C5360" t="str">
            <v>B601239/A</v>
          </cell>
          <cell r="D5360" t="str">
            <v>RH9478F424</v>
          </cell>
          <cell r="E5360">
            <v>5</v>
          </cell>
        </row>
        <row r="5361">
          <cell r="C5361" t="str">
            <v>B601241/A</v>
          </cell>
          <cell r="D5361" t="str">
            <v>RH9478F425</v>
          </cell>
          <cell r="E5361">
            <v>11</v>
          </cell>
        </row>
        <row r="5362">
          <cell r="C5362" t="str">
            <v>B601243/A</v>
          </cell>
          <cell r="D5362" t="str">
            <v>RH9478F426</v>
          </cell>
          <cell r="E5362">
            <v>8</v>
          </cell>
        </row>
        <row r="5363">
          <cell r="C5363" t="str">
            <v>B597816/A</v>
          </cell>
          <cell r="D5363" t="str">
            <v>RH9527F382</v>
          </cell>
          <cell r="E5363">
            <v>2</v>
          </cell>
        </row>
        <row r="5364">
          <cell r="C5364" t="str">
            <v>B597821/A</v>
          </cell>
          <cell r="D5364" t="str">
            <v>RH9527F383</v>
          </cell>
          <cell r="E5364">
            <v>6</v>
          </cell>
        </row>
        <row r="5365">
          <cell r="C5365" t="str">
            <v>B597822/A</v>
          </cell>
          <cell r="D5365" t="str">
            <v>RH9527F383</v>
          </cell>
          <cell r="E5365">
            <v>4</v>
          </cell>
        </row>
        <row r="5366">
          <cell r="C5366" t="str">
            <v>B597820/A</v>
          </cell>
          <cell r="D5366" t="str">
            <v>RH9527F384</v>
          </cell>
          <cell r="E5366">
            <v>1</v>
          </cell>
        </row>
        <row r="5367">
          <cell r="C5367" t="str">
            <v>B597825/A</v>
          </cell>
          <cell r="D5367" t="str">
            <v>RH9527F409</v>
          </cell>
          <cell r="E5367">
            <v>4</v>
          </cell>
        </row>
        <row r="5368">
          <cell r="C5368" t="str">
            <v>B597830/A</v>
          </cell>
          <cell r="D5368" t="str">
            <v>RH9527F409</v>
          </cell>
          <cell r="E5368">
            <v>4</v>
          </cell>
        </row>
        <row r="5369">
          <cell r="C5369" t="str">
            <v>B601245/A</v>
          </cell>
          <cell r="D5369" t="str">
            <v>RH9848F424</v>
          </cell>
          <cell r="E5369">
            <v>9</v>
          </cell>
        </row>
        <row r="5370">
          <cell r="C5370" t="str">
            <v>B601247/A</v>
          </cell>
          <cell r="D5370" t="str">
            <v>RH9848F425</v>
          </cell>
          <cell r="E5370">
            <v>17</v>
          </cell>
        </row>
        <row r="5371">
          <cell r="C5371" t="str">
            <v>B601528/A</v>
          </cell>
          <cell r="D5371" t="str">
            <v>RH9858F423</v>
          </cell>
          <cell r="E5371">
            <v>10</v>
          </cell>
        </row>
        <row r="5372">
          <cell r="C5372" t="str">
            <v>B601529/A</v>
          </cell>
          <cell r="D5372" t="str">
            <v>RH9858F423</v>
          </cell>
          <cell r="E5372">
            <v>14</v>
          </cell>
        </row>
        <row r="5373">
          <cell r="C5373" t="str">
            <v>B601531/A</v>
          </cell>
          <cell r="D5373" t="str">
            <v>RH9858F426</v>
          </cell>
          <cell r="E5373">
            <v>15</v>
          </cell>
        </row>
        <row r="5374">
          <cell r="C5374" t="str">
            <v>B601261/A</v>
          </cell>
          <cell r="D5374" t="str">
            <v>RH9882F424</v>
          </cell>
          <cell r="E5374">
            <v>3</v>
          </cell>
        </row>
        <row r="5375">
          <cell r="C5375" t="str">
            <v>B601263/A</v>
          </cell>
          <cell r="D5375" t="str">
            <v>RH9882F425</v>
          </cell>
          <cell r="E5375">
            <v>3</v>
          </cell>
        </row>
        <row r="5376">
          <cell r="C5376" t="str">
            <v>B601265/A</v>
          </cell>
          <cell r="D5376" t="str">
            <v>RH9882F426</v>
          </cell>
          <cell r="E5376">
            <v>18</v>
          </cell>
        </row>
        <row r="5377">
          <cell r="C5377" t="str">
            <v>B600779/A</v>
          </cell>
          <cell r="D5377" t="str">
            <v>RH7157NF409-SHEL</v>
          </cell>
          <cell r="E5377">
            <v>10</v>
          </cell>
        </row>
        <row r="5378">
          <cell r="C5378" t="str">
            <v>B601661/A</v>
          </cell>
          <cell r="D5378" t="str">
            <v>RH849AF26-LEG</v>
          </cell>
          <cell r="E5378">
            <v>4</v>
          </cell>
        </row>
        <row r="5379">
          <cell r="C5379" t="str">
            <v>B602847/A</v>
          </cell>
          <cell r="D5379" t="str">
            <v>AR1159F1256-BASE</v>
          </cell>
          <cell r="E5379">
            <v>3</v>
          </cell>
        </row>
        <row r="5380">
          <cell r="C5380" t="str">
            <v>B602849/A</v>
          </cell>
          <cell r="D5380" t="str">
            <v>AR1159F1256-TOP</v>
          </cell>
          <cell r="E5380">
            <v>3</v>
          </cell>
        </row>
        <row r="5381">
          <cell r="C5381" t="str">
            <v>B602852/A</v>
          </cell>
          <cell r="D5381" t="str">
            <v>AR1160F1256-BASE</v>
          </cell>
          <cell r="E5381">
            <v>1</v>
          </cell>
        </row>
        <row r="5382">
          <cell r="C5382" t="str">
            <v>B602853/A</v>
          </cell>
          <cell r="D5382" t="str">
            <v>AR1160F1256-BASE</v>
          </cell>
          <cell r="E5382">
            <v>2</v>
          </cell>
        </row>
        <row r="5383">
          <cell r="C5383" t="str">
            <v>B602856/A</v>
          </cell>
          <cell r="D5383" t="str">
            <v>AR1160F1256-TOP</v>
          </cell>
          <cell r="E5383">
            <v>1</v>
          </cell>
        </row>
        <row r="5384">
          <cell r="C5384" t="str">
            <v>B602857/A</v>
          </cell>
          <cell r="D5384" t="str">
            <v>AR1160F1256-TOP</v>
          </cell>
          <cell r="E5384">
            <v>2</v>
          </cell>
        </row>
        <row r="5385">
          <cell r="C5385" t="str">
            <v>B602838/A</v>
          </cell>
          <cell r="D5385" t="str">
            <v>AR137F999</v>
          </cell>
          <cell r="E5385">
            <v>7</v>
          </cell>
        </row>
        <row r="5386">
          <cell r="C5386" t="str">
            <v>B602839/A</v>
          </cell>
          <cell r="D5386" t="str">
            <v>AR137F999</v>
          </cell>
          <cell r="E5386">
            <v>18</v>
          </cell>
        </row>
        <row r="5387">
          <cell r="C5387" t="str">
            <v>B602733/A</v>
          </cell>
          <cell r="D5387" t="str">
            <v>AR367F1049</v>
          </cell>
          <cell r="E5387">
            <v>34</v>
          </cell>
        </row>
        <row r="5388">
          <cell r="C5388" t="str">
            <v>B602803/A</v>
          </cell>
          <cell r="D5388" t="str">
            <v>AR367F1049</v>
          </cell>
          <cell r="E5388">
            <v>81</v>
          </cell>
        </row>
        <row r="5389">
          <cell r="C5389" t="str">
            <v>B602736/A</v>
          </cell>
          <cell r="D5389" t="str">
            <v>AR368F906</v>
          </cell>
          <cell r="E5389">
            <v>7</v>
          </cell>
        </row>
        <row r="5390">
          <cell r="C5390" t="str">
            <v>B602737/A</v>
          </cell>
          <cell r="D5390" t="str">
            <v>AR368F906</v>
          </cell>
          <cell r="E5390">
            <v>18</v>
          </cell>
        </row>
        <row r="5391">
          <cell r="C5391" t="str">
            <v>B602517/A</v>
          </cell>
          <cell r="D5391" t="str">
            <v>AR720F892-BASE1</v>
          </cell>
          <cell r="E5391">
            <v>45</v>
          </cell>
        </row>
        <row r="5392">
          <cell r="C5392" t="str">
            <v>B602519/A</v>
          </cell>
          <cell r="D5392" t="str">
            <v>AR720F892-TOP</v>
          </cell>
          <cell r="E5392">
            <v>45</v>
          </cell>
        </row>
        <row r="5393">
          <cell r="C5393" t="str">
            <v>B602739/A</v>
          </cell>
          <cell r="D5393" t="str">
            <v>AR756F892-BASE2</v>
          </cell>
          <cell r="E5393">
            <v>30</v>
          </cell>
        </row>
        <row r="5394">
          <cell r="C5394" t="str">
            <v>B602522/A</v>
          </cell>
          <cell r="D5394" t="str">
            <v>AR756F892-TOP</v>
          </cell>
          <cell r="E5394">
            <v>44</v>
          </cell>
        </row>
        <row r="5395">
          <cell r="C5395" t="str">
            <v>B602523/A</v>
          </cell>
          <cell r="D5395" t="str">
            <v>AR756F892-TOP</v>
          </cell>
          <cell r="E5395">
            <v>56</v>
          </cell>
        </row>
        <row r="5396">
          <cell r="C5396" t="str">
            <v>B602805/A</v>
          </cell>
          <cell r="D5396" t="str">
            <v>AR790F1049</v>
          </cell>
          <cell r="E5396">
            <v>39</v>
          </cell>
        </row>
        <row r="5397">
          <cell r="C5397" t="str">
            <v>B602741/A</v>
          </cell>
          <cell r="D5397" t="str">
            <v>AR790F1049</v>
          </cell>
          <cell r="E5397">
            <v>91</v>
          </cell>
        </row>
        <row r="5398">
          <cell r="C5398" t="str">
            <v>B602841/A</v>
          </cell>
          <cell r="D5398" t="str">
            <v>AR980AF1221</v>
          </cell>
          <cell r="E5398">
            <v>18</v>
          </cell>
        </row>
        <row r="5399">
          <cell r="C5399" t="str">
            <v>B602845/A</v>
          </cell>
          <cell r="D5399" t="str">
            <v>AT358AF00-VE</v>
          </cell>
          <cell r="E5399">
            <v>25</v>
          </cell>
        </row>
        <row r="5400">
          <cell r="C5400" t="str">
            <v>B598127/A</v>
          </cell>
          <cell r="D5400" t="str">
            <v>AT471F00-VE</v>
          </cell>
          <cell r="E5400">
            <v>50</v>
          </cell>
        </row>
        <row r="5401">
          <cell r="C5401" t="str">
            <v>B602843/A</v>
          </cell>
          <cell r="D5401" t="str">
            <v>AT573F00-VE</v>
          </cell>
          <cell r="E5401">
            <v>50</v>
          </cell>
        </row>
        <row r="5402">
          <cell r="C5402" t="str">
            <v>B602798/A</v>
          </cell>
          <cell r="D5402" t="str">
            <v>AT606NF00</v>
          </cell>
          <cell r="E5402">
            <v>25</v>
          </cell>
        </row>
        <row r="5403">
          <cell r="C5403" t="str">
            <v>B602799/A</v>
          </cell>
          <cell r="D5403" t="str">
            <v>AT606NF00</v>
          </cell>
          <cell r="E5403">
            <v>25</v>
          </cell>
        </row>
        <row r="5404">
          <cell r="C5404" t="str">
            <v>B602800/A</v>
          </cell>
          <cell r="D5404" t="str">
            <v>AT606NF00</v>
          </cell>
          <cell r="E5404">
            <v>25</v>
          </cell>
        </row>
        <row r="5405">
          <cell r="C5405" t="str">
            <v>B602801/A</v>
          </cell>
          <cell r="D5405" t="str">
            <v>AT606NF00</v>
          </cell>
          <cell r="E5405">
            <v>25</v>
          </cell>
        </row>
        <row r="5406">
          <cell r="C5406" t="str">
            <v>B602743/A</v>
          </cell>
          <cell r="D5406" t="str">
            <v>BN3217F356</v>
          </cell>
          <cell r="E5406">
            <v>20</v>
          </cell>
        </row>
        <row r="5407">
          <cell r="C5407" t="str">
            <v>B602745/A</v>
          </cell>
          <cell r="D5407" t="str">
            <v>CZ047NF09</v>
          </cell>
          <cell r="E5407">
            <v>7</v>
          </cell>
        </row>
        <row r="5408">
          <cell r="C5408" t="str">
            <v>B602747/A</v>
          </cell>
          <cell r="D5408" t="str">
            <v>CZ047NF10</v>
          </cell>
          <cell r="E5408">
            <v>7</v>
          </cell>
        </row>
        <row r="5409">
          <cell r="C5409" t="str">
            <v>B602749/A</v>
          </cell>
          <cell r="D5409" t="str">
            <v>CZ121NF08</v>
          </cell>
          <cell r="E5409">
            <v>14</v>
          </cell>
        </row>
        <row r="5410">
          <cell r="C5410" t="str">
            <v>B602751/A</v>
          </cell>
          <cell r="D5410" t="str">
            <v>CZ121NF09</v>
          </cell>
          <cell r="E5410">
            <v>20</v>
          </cell>
        </row>
        <row r="5411">
          <cell r="C5411" t="str">
            <v>B602808/A</v>
          </cell>
          <cell r="D5411" t="str">
            <v>CZ557NF09</v>
          </cell>
          <cell r="E5411">
            <v>8</v>
          </cell>
        </row>
        <row r="5412">
          <cell r="C5412" t="str">
            <v>B602809/A</v>
          </cell>
          <cell r="D5412" t="str">
            <v>CZ557NF09</v>
          </cell>
          <cell r="E5412">
            <v>18</v>
          </cell>
        </row>
        <row r="5413">
          <cell r="C5413" t="str">
            <v>B602812/A</v>
          </cell>
          <cell r="D5413" t="str">
            <v>CZ557NF10</v>
          </cell>
          <cell r="E5413">
            <v>5</v>
          </cell>
        </row>
        <row r="5414">
          <cell r="C5414" t="str">
            <v>B602813/A</v>
          </cell>
          <cell r="D5414" t="str">
            <v>CZ557NF10</v>
          </cell>
          <cell r="E5414">
            <v>7</v>
          </cell>
        </row>
        <row r="5415">
          <cell r="C5415" t="str">
            <v>B602815/A</v>
          </cell>
          <cell r="D5415" t="str">
            <v>CZ557NF190</v>
          </cell>
          <cell r="E5415">
            <v>10</v>
          </cell>
        </row>
        <row r="5416">
          <cell r="C5416" t="str">
            <v>B602817/A</v>
          </cell>
          <cell r="D5416" t="str">
            <v>CZ566F08</v>
          </cell>
          <cell r="E5416">
            <v>17</v>
          </cell>
        </row>
        <row r="5417">
          <cell r="C5417" t="str">
            <v>B602819/A</v>
          </cell>
          <cell r="D5417" t="str">
            <v>CZ566F10</v>
          </cell>
          <cell r="E5417">
            <v>3</v>
          </cell>
        </row>
        <row r="5418">
          <cell r="C5418" t="str">
            <v>B602821/A</v>
          </cell>
          <cell r="D5418" t="str">
            <v>CZ566F191</v>
          </cell>
          <cell r="E5418">
            <v>6</v>
          </cell>
        </row>
        <row r="5419">
          <cell r="C5419" t="str">
            <v>B602823/A</v>
          </cell>
          <cell r="D5419" t="str">
            <v>CZ568F09</v>
          </cell>
          <cell r="E5419">
            <v>19</v>
          </cell>
        </row>
        <row r="5420">
          <cell r="C5420" t="str">
            <v>B602825/A</v>
          </cell>
          <cell r="D5420" t="str">
            <v>CZ568F10</v>
          </cell>
          <cell r="E5420">
            <v>4</v>
          </cell>
        </row>
        <row r="5421">
          <cell r="C5421" t="str">
            <v>B602827/A</v>
          </cell>
          <cell r="D5421" t="str">
            <v>CZ568F190</v>
          </cell>
          <cell r="E5421">
            <v>13</v>
          </cell>
        </row>
        <row r="5422">
          <cell r="C5422" t="str">
            <v>B602829/A</v>
          </cell>
          <cell r="D5422" t="str">
            <v>CZ821NF188</v>
          </cell>
          <cell r="E5422">
            <v>6</v>
          </cell>
        </row>
        <row r="5423">
          <cell r="C5423" t="str">
            <v>B602831/A</v>
          </cell>
          <cell r="D5423" t="str">
            <v>CZ821NF381</v>
          </cell>
          <cell r="E5423">
            <v>5</v>
          </cell>
        </row>
        <row r="5424">
          <cell r="C5424" t="str">
            <v>B602567/A</v>
          </cell>
          <cell r="D5424" t="str">
            <v>CZ821NF409</v>
          </cell>
          <cell r="E5424">
            <v>2</v>
          </cell>
        </row>
        <row r="5425">
          <cell r="C5425" t="str">
            <v>B602834/A</v>
          </cell>
          <cell r="D5425" t="str">
            <v>CZ821NF409</v>
          </cell>
          <cell r="E5425">
            <v>9</v>
          </cell>
        </row>
        <row r="5426">
          <cell r="C5426" t="str">
            <v>B602835/A</v>
          </cell>
          <cell r="D5426" t="str">
            <v>CZ821NF409</v>
          </cell>
          <cell r="E5426">
            <v>18</v>
          </cell>
        </row>
        <row r="5427">
          <cell r="C5427" t="str">
            <v>B602753/A</v>
          </cell>
          <cell r="D5427" t="str">
            <v>CZ888F188</v>
          </cell>
          <cell r="E5427">
            <v>9</v>
          </cell>
        </row>
        <row r="5428">
          <cell r="C5428" t="str">
            <v>B602756/A</v>
          </cell>
          <cell r="D5428" t="str">
            <v>CZ888F196</v>
          </cell>
          <cell r="E5428">
            <v>3</v>
          </cell>
        </row>
        <row r="5429">
          <cell r="C5429" t="str">
            <v>B602757/A</v>
          </cell>
          <cell r="D5429" t="str">
            <v>CZ888F196</v>
          </cell>
          <cell r="E5429">
            <v>5</v>
          </cell>
        </row>
        <row r="5430">
          <cell r="C5430" t="str">
            <v>B602759/A</v>
          </cell>
          <cell r="D5430" t="str">
            <v>CZ888F381</v>
          </cell>
          <cell r="E5430">
            <v>1</v>
          </cell>
        </row>
        <row r="5431">
          <cell r="C5431" t="str">
            <v>B602569/A</v>
          </cell>
          <cell r="D5431" t="str">
            <v>CZ888F409</v>
          </cell>
          <cell r="E5431">
            <v>1</v>
          </cell>
        </row>
        <row r="5432">
          <cell r="C5432" t="str">
            <v>B602768/A</v>
          </cell>
          <cell r="D5432" t="str">
            <v>CZ889F188</v>
          </cell>
          <cell r="E5432">
            <v>6</v>
          </cell>
        </row>
        <row r="5433">
          <cell r="C5433" t="str">
            <v>B602774/A</v>
          </cell>
          <cell r="D5433" t="str">
            <v>CZ889F196</v>
          </cell>
          <cell r="E5433">
            <v>16</v>
          </cell>
        </row>
        <row r="5434">
          <cell r="C5434" t="str">
            <v>B602776/A</v>
          </cell>
          <cell r="D5434" t="str">
            <v>CZ889F196</v>
          </cell>
          <cell r="E5434">
            <v>14</v>
          </cell>
        </row>
        <row r="5435">
          <cell r="C5435" t="str">
            <v>B601444/A</v>
          </cell>
          <cell r="D5435" t="str">
            <v>CZ899F196</v>
          </cell>
          <cell r="E5435">
            <v>19</v>
          </cell>
        </row>
        <row r="5436">
          <cell r="C5436" t="str">
            <v>B601447/A</v>
          </cell>
          <cell r="D5436" t="str">
            <v>CZ899F409</v>
          </cell>
          <cell r="E5436">
            <v>16</v>
          </cell>
        </row>
        <row r="5437">
          <cell r="C5437" t="str">
            <v>B602779/A</v>
          </cell>
          <cell r="D5437" t="str">
            <v>DL016WF836</v>
          </cell>
          <cell r="E5437">
            <v>25</v>
          </cell>
        </row>
        <row r="5438">
          <cell r="C5438" t="str">
            <v>B602782/A</v>
          </cell>
          <cell r="D5438" t="str">
            <v>DL018F837</v>
          </cell>
          <cell r="E5438">
            <v>30</v>
          </cell>
        </row>
        <row r="5439">
          <cell r="C5439" t="str">
            <v>B602786/A</v>
          </cell>
          <cell r="D5439" t="str">
            <v>JV007F989</v>
          </cell>
          <cell r="E5439">
            <v>25</v>
          </cell>
        </row>
        <row r="5440">
          <cell r="C5440" t="str">
            <v>B602790/A</v>
          </cell>
          <cell r="D5440" t="str">
            <v>JV014F837</v>
          </cell>
          <cell r="E5440">
            <v>25</v>
          </cell>
        </row>
        <row r="5441">
          <cell r="C5441" t="str">
            <v>B602793/A</v>
          </cell>
          <cell r="D5441" t="str">
            <v>JV044F1165</v>
          </cell>
          <cell r="E5441">
            <v>25</v>
          </cell>
        </row>
        <row r="5442">
          <cell r="C5442" t="str">
            <v>B602525/A</v>
          </cell>
          <cell r="D5442" t="str">
            <v>RH10057NF382</v>
          </cell>
          <cell r="E5442">
            <v>5</v>
          </cell>
        </row>
        <row r="5443">
          <cell r="C5443" t="str">
            <v>B602527/A</v>
          </cell>
          <cell r="D5443" t="str">
            <v>RH10057NF384</v>
          </cell>
          <cell r="E5443">
            <v>5</v>
          </cell>
        </row>
        <row r="5444">
          <cell r="C5444" t="str">
            <v>B602529/A</v>
          </cell>
          <cell r="D5444" t="str">
            <v>RH10057NF409</v>
          </cell>
          <cell r="E5444">
            <v>3</v>
          </cell>
        </row>
        <row r="5445">
          <cell r="C5445" t="str">
            <v>B602531/A</v>
          </cell>
          <cell r="D5445" t="str">
            <v>RH10079F382</v>
          </cell>
          <cell r="E5445">
            <v>9</v>
          </cell>
        </row>
        <row r="5446">
          <cell r="C5446" t="str">
            <v>B602533/A</v>
          </cell>
          <cell r="D5446" t="str">
            <v>RH10079F384</v>
          </cell>
          <cell r="E5446">
            <v>10</v>
          </cell>
        </row>
        <row r="5447">
          <cell r="C5447" t="str">
            <v>B602535/A</v>
          </cell>
          <cell r="D5447" t="str">
            <v>RH10079F409</v>
          </cell>
          <cell r="E5447">
            <v>14</v>
          </cell>
        </row>
        <row r="5448">
          <cell r="C5448" t="str">
            <v>B597784/A</v>
          </cell>
          <cell r="D5448" t="str">
            <v>RH10092F382</v>
          </cell>
          <cell r="E5448">
            <v>22</v>
          </cell>
        </row>
        <row r="5449">
          <cell r="C5449" t="str">
            <v>B597787/A</v>
          </cell>
          <cell r="D5449" t="str">
            <v>RH10092F383</v>
          </cell>
          <cell r="E5449">
            <v>11</v>
          </cell>
        </row>
        <row r="5450">
          <cell r="C5450" t="str">
            <v>B597788/A</v>
          </cell>
          <cell r="D5450" t="str">
            <v>RH10092F383</v>
          </cell>
          <cell r="E5450">
            <v>11</v>
          </cell>
        </row>
        <row r="5451">
          <cell r="C5451" t="str">
            <v>B597791/A</v>
          </cell>
          <cell r="D5451" t="str">
            <v>RH10092F384</v>
          </cell>
          <cell r="E5451">
            <v>7</v>
          </cell>
        </row>
        <row r="5452">
          <cell r="C5452" t="str">
            <v>B597793/A</v>
          </cell>
          <cell r="D5452" t="str">
            <v>RH10092F409</v>
          </cell>
          <cell r="E5452">
            <v>5</v>
          </cell>
        </row>
        <row r="5453">
          <cell r="C5453" t="str">
            <v>B602537/A</v>
          </cell>
          <cell r="D5453" t="str">
            <v>RH10121F382</v>
          </cell>
          <cell r="E5453">
            <v>6</v>
          </cell>
        </row>
        <row r="5454">
          <cell r="C5454" t="str">
            <v>B602539/A</v>
          </cell>
          <cell r="D5454" t="str">
            <v>RH10121F384</v>
          </cell>
          <cell r="E5454">
            <v>4</v>
          </cell>
        </row>
        <row r="5455">
          <cell r="C5455" t="str">
            <v>B602541/A</v>
          </cell>
          <cell r="D5455" t="str">
            <v>RH10127F382</v>
          </cell>
          <cell r="E5455">
            <v>7</v>
          </cell>
        </row>
        <row r="5456">
          <cell r="C5456" t="str">
            <v>B602543/A</v>
          </cell>
          <cell r="D5456" t="str">
            <v>RH10127F409</v>
          </cell>
          <cell r="E5456">
            <v>3</v>
          </cell>
        </row>
        <row r="5457">
          <cell r="C5457" t="str">
            <v>B602545/A</v>
          </cell>
          <cell r="D5457" t="str">
            <v>RH10143F382</v>
          </cell>
          <cell r="E5457">
            <v>4</v>
          </cell>
        </row>
        <row r="5458">
          <cell r="C5458" t="str">
            <v>B602547/A</v>
          </cell>
          <cell r="D5458" t="str">
            <v>RH10143F384</v>
          </cell>
          <cell r="E5458">
            <v>2</v>
          </cell>
        </row>
        <row r="5459">
          <cell r="C5459" t="str">
            <v>B602549/A</v>
          </cell>
          <cell r="D5459" t="str">
            <v>RH10143F409</v>
          </cell>
          <cell r="E5459">
            <v>4</v>
          </cell>
        </row>
        <row r="5460">
          <cell r="C5460" t="str">
            <v>B597795/A</v>
          </cell>
          <cell r="D5460" t="str">
            <v>RH10148F382</v>
          </cell>
          <cell r="E5460">
            <v>4</v>
          </cell>
        </row>
        <row r="5461">
          <cell r="C5461" t="str">
            <v>B597797/A</v>
          </cell>
          <cell r="D5461" t="str">
            <v>RH10148F409</v>
          </cell>
          <cell r="E5461">
            <v>6</v>
          </cell>
        </row>
        <row r="5462">
          <cell r="C5462" t="str">
            <v>B602551/A</v>
          </cell>
          <cell r="D5462" t="str">
            <v>RH10149F383</v>
          </cell>
          <cell r="E5462">
            <v>6</v>
          </cell>
        </row>
        <row r="5463">
          <cell r="C5463" t="str">
            <v>B602553/A</v>
          </cell>
          <cell r="D5463" t="str">
            <v>RH10149F384</v>
          </cell>
          <cell r="E5463">
            <v>4</v>
          </cell>
        </row>
        <row r="5464">
          <cell r="C5464" t="str">
            <v>B597923/A</v>
          </cell>
          <cell r="D5464" t="str">
            <v>RH10150F382</v>
          </cell>
          <cell r="E5464">
            <v>10</v>
          </cell>
        </row>
        <row r="5465">
          <cell r="C5465" t="str">
            <v>B597933/A</v>
          </cell>
          <cell r="D5465" t="str">
            <v>RH10174F382</v>
          </cell>
          <cell r="E5465">
            <v>2</v>
          </cell>
        </row>
        <row r="5466">
          <cell r="C5466" t="str">
            <v>B597938/A</v>
          </cell>
          <cell r="D5466" t="str">
            <v>RH10174F383</v>
          </cell>
          <cell r="E5466">
            <v>5</v>
          </cell>
        </row>
        <row r="5467">
          <cell r="C5467" t="str">
            <v>B597942/A</v>
          </cell>
          <cell r="D5467" t="str">
            <v>RH10174F384</v>
          </cell>
          <cell r="E5467">
            <v>4</v>
          </cell>
        </row>
        <row r="5468">
          <cell r="C5468" t="str">
            <v>B597946/A</v>
          </cell>
          <cell r="D5468" t="str">
            <v>RH10174F409</v>
          </cell>
          <cell r="E5468">
            <v>1</v>
          </cell>
        </row>
        <row r="5469">
          <cell r="C5469" t="str">
            <v>B600930/A</v>
          </cell>
          <cell r="D5469" t="str">
            <v>RH106F01</v>
          </cell>
          <cell r="E5469">
            <v>12</v>
          </cell>
        </row>
        <row r="5470">
          <cell r="C5470" t="str">
            <v>B600932/A</v>
          </cell>
          <cell r="D5470" t="str">
            <v>RH106F02</v>
          </cell>
          <cell r="E5470">
            <v>15</v>
          </cell>
        </row>
        <row r="5471">
          <cell r="C5471" t="str">
            <v>B600934/A</v>
          </cell>
          <cell r="D5471" t="str">
            <v>RH106F03</v>
          </cell>
          <cell r="E5471">
            <v>5</v>
          </cell>
        </row>
        <row r="5472">
          <cell r="C5472" t="str">
            <v>B602576/A</v>
          </cell>
          <cell r="D5472" t="str">
            <v>RH109F01</v>
          </cell>
          <cell r="E5472">
            <v>6</v>
          </cell>
        </row>
        <row r="5473">
          <cell r="C5473" t="str">
            <v>B602577/A</v>
          </cell>
          <cell r="D5473" t="str">
            <v>RH109F01</v>
          </cell>
          <cell r="E5473">
            <v>9</v>
          </cell>
        </row>
        <row r="5474">
          <cell r="C5474" t="str">
            <v>B602580/A</v>
          </cell>
          <cell r="D5474" t="str">
            <v>RH109F03</v>
          </cell>
          <cell r="E5474">
            <v>2</v>
          </cell>
        </row>
        <row r="5475">
          <cell r="C5475" t="str">
            <v>B602581/A</v>
          </cell>
          <cell r="D5475" t="str">
            <v>RH109F03</v>
          </cell>
          <cell r="E5475">
            <v>14</v>
          </cell>
        </row>
        <row r="5476">
          <cell r="C5476" t="str">
            <v>B602583/A</v>
          </cell>
          <cell r="D5476" t="str">
            <v>RH1263F02</v>
          </cell>
          <cell r="E5476">
            <v>23</v>
          </cell>
        </row>
        <row r="5477">
          <cell r="C5477" t="str">
            <v>B602585/A</v>
          </cell>
          <cell r="D5477" t="str">
            <v>RH1263F03</v>
          </cell>
          <cell r="E5477">
            <v>6</v>
          </cell>
        </row>
        <row r="5478">
          <cell r="C5478" t="str">
            <v>B600944/A</v>
          </cell>
          <cell r="D5478" t="str">
            <v>RH1658-BF40</v>
          </cell>
          <cell r="E5478">
            <v>45</v>
          </cell>
        </row>
        <row r="5479">
          <cell r="C5479" t="str">
            <v>B600945/A</v>
          </cell>
          <cell r="D5479" t="str">
            <v>RH1658-BF40</v>
          </cell>
          <cell r="E5479">
            <v>30</v>
          </cell>
        </row>
        <row r="5480">
          <cell r="C5480" t="str">
            <v>B600957/A</v>
          </cell>
          <cell r="D5480" t="str">
            <v>RH175F03</v>
          </cell>
          <cell r="E5480">
            <v>10</v>
          </cell>
        </row>
        <row r="5481">
          <cell r="C5481" t="str">
            <v>B600958/A</v>
          </cell>
          <cell r="D5481" t="str">
            <v>RH175F03</v>
          </cell>
          <cell r="E5481">
            <v>10</v>
          </cell>
        </row>
        <row r="5482">
          <cell r="C5482" t="str">
            <v>B602591/A</v>
          </cell>
          <cell r="D5482" t="str">
            <v>RH2255NF08</v>
          </cell>
          <cell r="E5482">
            <v>28</v>
          </cell>
        </row>
        <row r="5483">
          <cell r="C5483" t="str">
            <v>B602594/A</v>
          </cell>
          <cell r="D5483" t="str">
            <v>RH2255NF09</v>
          </cell>
          <cell r="E5483">
            <v>8</v>
          </cell>
        </row>
        <row r="5484">
          <cell r="C5484" t="str">
            <v>B602595/A</v>
          </cell>
          <cell r="D5484" t="str">
            <v>RH2255NF09</v>
          </cell>
          <cell r="E5484">
            <v>16</v>
          </cell>
        </row>
        <row r="5485">
          <cell r="C5485" t="str">
            <v>B600981/A</v>
          </cell>
          <cell r="D5485" t="str">
            <v>RH2417F96.BC</v>
          </cell>
          <cell r="E5485">
            <v>30</v>
          </cell>
        </row>
        <row r="5486">
          <cell r="C5486" t="str">
            <v>B600982/A</v>
          </cell>
          <cell r="D5486" t="str">
            <v>RH2417F96.BC</v>
          </cell>
          <cell r="E5486">
            <v>30</v>
          </cell>
        </row>
        <row r="5487">
          <cell r="C5487" t="str">
            <v>B600984/A</v>
          </cell>
          <cell r="D5487" t="str">
            <v>RH2549F09</v>
          </cell>
          <cell r="E5487">
            <v>15</v>
          </cell>
        </row>
        <row r="5488">
          <cell r="C5488" t="str">
            <v>B602606/A</v>
          </cell>
          <cell r="D5488" t="str">
            <v>RH3384F09</v>
          </cell>
          <cell r="E5488">
            <v>35</v>
          </cell>
        </row>
        <row r="5489">
          <cell r="C5489" t="str">
            <v>B602607/A</v>
          </cell>
          <cell r="D5489" t="str">
            <v>RH3384F09</v>
          </cell>
          <cell r="E5489">
            <v>30</v>
          </cell>
        </row>
        <row r="5490">
          <cell r="C5490" t="str">
            <v>B602609/A</v>
          </cell>
          <cell r="D5490" t="str">
            <v>RH386F01</v>
          </cell>
          <cell r="E5490">
            <v>41</v>
          </cell>
        </row>
        <row r="5491">
          <cell r="C5491" t="str">
            <v>B602612/A</v>
          </cell>
          <cell r="D5491" t="str">
            <v>RH386F02</v>
          </cell>
          <cell r="E5491">
            <v>3</v>
          </cell>
        </row>
        <row r="5492">
          <cell r="C5492" t="str">
            <v>B602613/A</v>
          </cell>
          <cell r="D5492" t="str">
            <v>RH386F02</v>
          </cell>
          <cell r="E5492">
            <v>32</v>
          </cell>
        </row>
        <row r="5493">
          <cell r="C5493" t="str">
            <v>B602616/A</v>
          </cell>
          <cell r="D5493" t="str">
            <v>RH386F03</v>
          </cell>
          <cell r="E5493">
            <v>44</v>
          </cell>
        </row>
        <row r="5494">
          <cell r="C5494" t="str">
            <v>B602617/A</v>
          </cell>
          <cell r="D5494" t="str">
            <v>RH386F03</v>
          </cell>
          <cell r="E5494">
            <v>29</v>
          </cell>
        </row>
        <row r="5495">
          <cell r="C5495" t="str">
            <v>B602620/A</v>
          </cell>
          <cell r="D5495" t="str">
            <v>RH403F03</v>
          </cell>
          <cell r="E5495">
            <v>34</v>
          </cell>
        </row>
        <row r="5496">
          <cell r="C5496" t="str">
            <v>B602621/A</v>
          </cell>
          <cell r="D5496" t="str">
            <v>RH403F03</v>
          </cell>
          <cell r="E5496">
            <v>26</v>
          </cell>
        </row>
        <row r="5497">
          <cell r="C5497" t="str">
            <v>B601027/A</v>
          </cell>
          <cell r="D5497" t="str">
            <v>RH406F01</v>
          </cell>
          <cell r="E5497">
            <v>2</v>
          </cell>
        </row>
        <row r="5498">
          <cell r="C5498" t="str">
            <v>B601030/A</v>
          </cell>
          <cell r="D5498" t="str">
            <v>RH406F02</v>
          </cell>
          <cell r="E5498">
            <v>1</v>
          </cell>
        </row>
        <row r="5499">
          <cell r="C5499" t="str">
            <v>B601031/A</v>
          </cell>
          <cell r="D5499" t="str">
            <v>RH406F02</v>
          </cell>
          <cell r="E5499">
            <v>9</v>
          </cell>
        </row>
        <row r="5500">
          <cell r="C5500" t="str">
            <v>B601034/A</v>
          </cell>
          <cell r="D5500" t="str">
            <v>RH406F03</v>
          </cell>
          <cell r="E5500">
            <v>21</v>
          </cell>
        </row>
        <row r="5501">
          <cell r="C5501" t="str">
            <v>B601035/A</v>
          </cell>
          <cell r="D5501" t="str">
            <v>RH406F03</v>
          </cell>
          <cell r="E5501">
            <v>10</v>
          </cell>
        </row>
        <row r="5502">
          <cell r="C5502" t="str">
            <v>B602623/A</v>
          </cell>
          <cell r="D5502" t="str">
            <v>RH5344F38BN-BASE</v>
          </cell>
          <cell r="E5502">
            <v>20</v>
          </cell>
        </row>
        <row r="5503">
          <cell r="C5503" t="str">
            <v>B602625/A</v>
          </cell>
          <cell r="D5503" t="str">
            <v>RH5344F38BN-HUTCH</v>
          </cell>
          <cell r="E5503">
            <v>20</v>
          </cell>
        </row>
        <row r="5504">
          <cell r="C5504" t="str">
            <v>B602627/A</v>
          </cell>
          <cell r="D5504" t="str">
            <v>RH578NF05</v>
          </cell>
          <cell r="E5504">
            <v>17</v>
          </cell>
        </row>
        <row r="5505">
          <cell r="C5505" t="str">
            <v>B602629/A</v>
          </cell>
          <cell r="D5505" t="str">
            <v>RH619F01</v>
          </cell>
          <cell r="E5505">
            <v>15</v>
          </cell>
        </row>
        <row r="5506">
          <cell r="C5506" t="str">
            <v>B602631/A</v>
          </cell>
          <cell r="D5506" t="str">
            <v>RH619F05</v>
          </cell>
          <cell r="E5506">
            <v>15</v>
          </cell>
        </row>
        <row r="5507">
          <cell r="C5507" t="str">
            <v>B601497/A</v>
          </cell>
          <cell r="D5507" t="str">
            <v>RH7148F381</v>
          </cell>
          <cell r="E5507">
            <v>7</v>
          </cell>
        </row>
        <row r="5508">
          <cell r="C5508" t="str">
            <v>B601499/A</v>
          </cell>
          <cell r="D5508" t="str">
            <v>RH7148F409</v>
          </cell>
          <cell r="E5508">
            <v>22</v>
          </cell>
        </row>
        <row r="5509">
          <cell r="C5509" t="str">
            <v>B601204/A</v>
          </cell>
          <cell r="D5509" t="str">
            <v>RH7350F381</v>
          </cell>
          <cell r="E5509">
            <v>10</v>
          </cell>
        </row>
        <row r="5510">
          <cell r="C5510" t="str">
            <v>B601206/A</v>
          </cell>
          <cell r="D5510" t="str">
            <v>RH7357F382</v>
          </cell>
          <cell r="E5510">
            <v>11</v>
          </cell>
        </row>
        <row r="5511">
          <cell r="C5511" t="str">
            <v>B601509/A</v>
          </cell>
          <cell r="D5511" t="str">
            <v>RH7394F382</v>
          </cell>
          <cell r="E5511">
            <v>3</v>
          </cell>
        </row>
        <row r="5512">
          <cell r="C5512" t="str">
            <v>B601511/A</v>
          </cell>
          <cell r="D5512" t="str">
            <v>RH7394F383</v>
          </cell>
          <cell r="E5512">
            <v>7</v>
          </cell>
        </row>
        <row r="5513">
          <cell r="C5513" t="str">
            <v>B601514/A</v>
          </cell>
          <cell r="D5513" t="str">
            <v>RH7394F409</v>
          </cell>
          <cell r="E5513">
            <v>9</v>
          </cell>
        </row>
        <row r="5514">
          <cell r="C5514" t="str">
            <v>B601515/A</v>
          </cell>
          <cell r="D5514" t="str">
            <v>RH7394F409</v>
          </cell>
          <cell r="E5514">
            <v>12</v>
          </cell>
        </row>
        <row r="5515">
          <cell r="C5515" t="str">
            <v>B602571/A</v>
          </cell>
          <cell r="D5515" t="str">
            <v>RH9456NF424</v>
          </cell>
          <cell r="E5515">
            <v>2</v>
          </cell>
        </row>
        <row r="5516">
          <cell r="C5516" t="str">
            <v>B602645/A</v>
          </cell>
          <cell r="D5516" t="str">
            <v>RH9456NF424</v>
          </cell>
          <cell r="E5516">
            <v>6</v>
          </cell>
        </row>
        <row r="5517">
          <cell r="C5517" t="str">
            <v>B602648/A</v>
          </cell>
          <cell r="D5517" t="str">
            <v>RH9456NF426</v>
          </cell>
          <cell r="E5517">
            <v>4</v>
          </cell>
        </row>
        <row r="5518">
          <cell r="C5518" t="str">
            <v>B602649/A</v>
          </cell>
          <cell r="D5518" t="str">
            <v>RH9456NF426</v>
          </cell>
          <cell r="E5518">
            <v>10</v>
          </cell>
        </row>
        <row r="5519">
          <cell r="C5519" t="str">
            <v>B597800/A</v>
          </cell>
          <cell r="D5519" t="str">
            <v>RH9499F382</v>
          </cell>
          <cell r="E5519">
            <v>11</v>
          </cell>
        </row>
        <row r="5520">
          <cell r="C5520" t="str">
            <v>B597801/A</v>
          </cell>
          <cell r="D5520" t="str">
            <v>RH9499F382</v>
          </cell>
          <cell r="E5520">
            <v>12</v>
          </cell>
        </row>
        <row r="5521">
          <cell r="C5521" t="str">
            <v>B597807/A</v>
          </cell>
          <cell r="D5521" t="str">
            <v>RH9499F384</v>
          </cell>
          <cell r="E5521">
            <v>1</v>
          </cell>
        </row>
        <row r="5522">
          <cell r="C5522" t="str">
            <v>B597804/A</v>
          </cell>
          <cell r="D5522" t="str">
            <v>RH9499F384</v>
          </cell>
          <cell r="E5522">
            <v>9</v>
          </cell>
        </row>
        <row r="5523">
          <cell r="C5523" t="str">
            <v>B597805/A</v>
          </cell>
          <cell r="D5523" t="str">
            <v>RH9499F384</v>
          </cell>
          <cell r="E5523">
            <v>7</v>
          </cell>
        </row>
        <row r="5524">
          <cell r="C5524" t="str">
            <v>B597812/A</v>
          </cell>
          <cell r="D5524" t="str">
            <v>RH9499F409</v>
          </cell>
          <cell r="E5524">
            <v>1</v>
          </cell>
        </row>
        <row r="5525">
          <cell r="C5525" t="str">
            <v>B597813/A</v>
          </cell>
          <cell r="D5525" t="str">
            <v>RH9499F409</v>
          </cell>
          <cell r="E5525">
            <v>8</v>
          </cell>
        </row>
        <row r="5526">
          <cell r="C5526" t="str">
            <v>B597814/A</v>
          </cell>
          <cell r="D5526" t="str">
            <v>RH9499F409</v>
          </cell>
          <cell r="E5526">
            <v>15</v>
          </cell>
        </row>
        <row r="5527">
          <cell r="C5527" t="str">
            <v>B598068/A</v>
          </cell>
          <cell r="D5527" t="str">
            <v>RH9606F383</v>
          </cell>
          <cell r="E5527">
            <v>6</v>
          </cell>
        </row>
        <row r="5528">
          <cell r="C5528" t="str">
            <v>B597952/A</v>
          </cell>
          <cell r="D5528" t="str">
            <v>RH9606F383</v>
          </cell>
          <cell r="E5528">
            <v>4</v>
          </cell>
        </row>
        <row r="5529">
          <cell r="C5529" t="str">
            <v>B602573/A</v>
          </cell>
          <cell r="D5529" t="str">
            <v>RH9849F423</v>
          </cell>
          <cell r="E5529">
            <v>1</v>
          </cell>
        </row>
        <row r="5530">
          <cell r="C5530" t="str">
            <v>B602652/A</v>
          </cell>
          <cell r="D5530" t="str">
            <v>RH9849F423</v>
          </cell>
          <cell r="E5530">
            <v>13</v>
          </cell>
        </row>
        <row r="5531">
          <cell r="C5531" t="str">
            <v>B602653/A</v>
          </cell>
          <cell r="D5531" t="str">
            <v>RH9849F423</v>
          </cell>
          <cell r="E5531">
            <v>9</v>
          </cell>
        </row>
        <row r="5532">
          <cell r="C5532" t="str">
            <v>B602655/A</v>
          </cell>
          <cell r="D5532" t="str">
            <v>RH9849F425</v>
          </cell>
          <cell r="E5532">
            <v>11</v>
          </cell>
        </row>
        <row r="5533">
          <cell r="C5533" t="str">
            <v>B601249/A</v>
          </cell>
          <cell r="D5533" t="str">
            <v>RH9868F423</v>
          </cell>
          <cell r="E5533">
            <v>3</v>
          </cell>
        </row>
        <row r="5534">
          <cell r="C5534" t="str">
            <v>B601251/A</v>
          </cell>
          <cell r="D5534" t="str">
            <v>RH9868F424</v>
          </cell>
          <cell r="E5534">
            <v>7</v>
          </cell>
        </row>
        <row r="5535">
          <cell r="C5535" t="str">
            <v>B601254/A</v>
          </cell>
          <cell r="D5535" t="str">
            <v>RH9868F426</v>
          </cell>
          <cell r="E5535">
            <v>11</v>
          </cell>
        </row>
        <row r="5536">
          <cell r="C5536" t="str">
            <v>B601255/A</v>
          </cell>
          <cell r="D5536" t="str">
            <v>RH9868F426</v>
          </cell>
          <cell r="E5536">
            <v>5</v>
          </cell>
        </row>
        <row r="5537">
          <cell r="C5537" t="str">
            <v>B601257/A</v>
          </cell>
          <cell r="D5537" t="str">
            <v>RH9874F424</v>
          </cell>
          <cell r="E5537">
            <v>6</v>
          </cell>
        </row>
        <row r="5538">
          <cell r="C5538" t="str">
            <v>B601259/A</v>
          </cell>
          <cell r="D5538" t="str">
            <v>RH9874F426</v>
          </cell>
          <cell r="E5538">
            <v>4</v>
          </cell>
        </row>
        <row r="5539">
          <cell r="C5539" t="str">
            <v>B602666/A</v>
          </cell>
          <cell r="D5539" t="str">
            <v>RH9879F423</v>
          </cell>
          <cell r="E5539">
            <v>15</v>
          </cell>
        </row>
        <row r="5540">
          <cell r="C5540" t="str">
            <v>B602668/A</v>
          </cell>
          <cell r="D5540" t="str">
            <v>RH9879F424</v>
          </cell>
          <cell r="E5540">
            <v>3</v>
          </cell>
        </row>
        <row r="5541">
          <cell r="C5541" t="str">
            <v>B602670/A</v>
          </cell>
          <cell r="D5541" t="str">
            <v>RH9879F426</v>
          </cell>
          <cell r="E5541">
            <v>10</v>
          </cell>
        </row>
        <row r="5542">
          <cell r="C5542" t="str">
            <v>B602672/A</v>
          </cell>
          <cell r="D5542" t="str">
            <v>RH9884F423</v>
          </cell>
          <cell r="E5542">
            <v>15</v>
          </cell>
        </row>
        <row r="5543">
          <cell r="C5543" t="str">
            <v>B602674/A</v>
          </cell>
          <cell r="D5543" t="str">
            <v>RH9884F425</v>
          </cell>
          <cell r="E5543">
            <v>13</v>
          </cell>
        </row>
        <row r="5544">
          <cell r="C5544" t="str">
            <v>B602676/A</v>
          </cell>
          <cell r="D5544" t="str">
            <v>RH9884F426</v>
          </cell>
          <cell r="E5544">
            <v>3</v>
          </cell>
        </row>
        <row r="5545">
          <cell r="C5545" t="str">
            <v>B602679/A</v>
          </cell>
          <cell r="D5545" t="str">
            <v>RH9976NF384</v>
          </cell>
          <cell r="E5545">
            <v>3</v>
          </cell>
        </row>
        <row r="5546">
          <cell r="C5546" t="str">
            <v>B602680/A</v>
          </cell>
          <cell r="D5546" t="str">
            <v>RH9976NF384</v>
          </cell>
          <cell r="E5546">
            <v>7</v>
          </cell>
        </row>
        <row r="5547">
          <cell r="C5547" t="str">
            <v>B601267/A</v>
          </cell>
          <cell r="D5547" t="str">
            <v>RH9988F423</v>
          </cell>
          <cell r="E5547">
            <v>10</v>
          </cell>
        </row>
        <row r="5548">
          <cell r="C5548" t="str">
            <v>B601269/A</v>
          </cell>
          <cell r="D5548" t="str">
            <v>RH9988F425</v>
          </cell>
          <cell r="E5548">
            <v>1</v>
          </cell>
        </row>
        <row r="5549">
          <cell r="C5549" t="str">
            <v>B601271/A</v>
          </cell>
          <cell r="D5549" t="str">
            <v>RH9988F426</v>
          </cell>
          <cell r="E5549">
            <v>10</v>
          </cell>
        </row>
        <row r="5550">
          <cell r="C5550" t="str">
            <v>B602556/A</v>
          </cell>
          <cell r="D5550" t="str">
            <v>RH9990F382</v>
          </cell>
          <cell r="E5550">
            <v>8</v>
          </cell>
        </row>
        <row r="5551">
          <cell r="C5551" t="str">
            <v>B602557/A</v>
          </cell>
          <cell r="D5551" t="str">
            <v>RH9990F382</v>
          </cell>
          <cell r="E5551">
            <v>2</v>
          </cell>
        </row>
        <row r="5552">
          <cell r="C5552" t="str">
            <v>B602560/A</v>
          </cell>
          <cell r="D5552" t="str">
            <v>RH9990F384</v>
          </cell>
          <cell r="E5552">
            <v>5</v>
          </cell>
        </row>
        <row r="5553">
          <cell r="C5553" t="str">
            <v>B602561/A</v>
          </cell>
          <cell r="D5553" t="str">
            <v>RH9990F384</v>
          </cell>
          <cell r="E5553">
            <v>6</v>
          </cell>
        </row>
        <row r="5554">
          <cell r="C5554" t="str">
            <v>B602563/A</v>
          </cell>
          <cell r="D5554" t="str">
            <v>RH9990F409</v>
          </cell>
          <cell r="E5554">
            <v>10</v>
          </cell>
        </row>
        <row r="5555">
          <cell r="C5555" t="str">
            <v>B597976/A</v>
          </cell>
          <cell r="D5555" t="str">
            <v>RH9991NF382</v>
          </cell>
          <cell r="E5555">
            <v>1</v>
          </cell>
        </row>
        <row r="5556">
          <cell r="C5556" t="str">
            <v>B597977/A</v>
          </cell>
          <cell r="D5556" t="str">
            <v>RH9991NF382</v>
          </cell>
          <cell r="E5556">
            <v>12</v>
          </cell>
        </row>
        <row r="5557">
          <cell r="C5557" t="str">
            <v>B597979/A</v>
          </cell>
          <cell r="D5557" t="str">
            <v>RH9991NF383</v>
          </cell>
          <cell r="E5557">
            <v>3</v>
          </cell>
        </row>
        <row r="5558">
          <cell r="C5558" t="str">
            <v>B597981/A</v>
          </cell>
          <cell r="D5558" t="str">
            <v>RH9991NF384</v>
          </cell>
          <cell r="E5558">
            <v>10</v>
          </cell>
        </row>
        <row r="5559">
          <cell r="C5559" t="str">
            <v>B597984/A</v>
          </cell>
          <cell r="D5559" t="str">
            <v>RH9991NF409</v>
          </cell>
          <cell r="E5559">
            <v>2</v>
          </cell>
        </row>
        <row r="5560">
          <cell r="C5560" t="str">
            <v>B597985/A</v>
          </cell>
          <cell r="D5560" t="str">
            <v>RH9991NF409</v>
          </cell>
          <cell r="E5560">
            <v>6</v>
          </cell>
        </row>
        <row r="5561">
          <cell r="C5561" t="str">
            <v>B597986/A</v>
          </cell>
          <cell r="D5561" t="str">
            <v>RH9991NF409</v>
          </cell>
          <cell r="E5561">
            <v>15</v>
          </cell>
        </row>
        <row r="5562">
          <cell r="C5562" t="str">
            <v>B598002/A</v>
          </cell>
          <cell r="D5562" t="str">
            <v>RH9992NF382</v>
          </cell>
          <cell r="E5562">
            <v>3</v>
          </cell>
        </row>
        <row r="5563">
          <cell r="C5563" t="str">
            <v>B598003/A</v>
          </cell>
          <cell r="D5563" t="str">
            <v>RH9992NF382</v>
          </cell>
          <cell r="E5563">
            <v>5</v>
          </cell>
        </row>
        <row r="5564">
          <cell r="C5564" t="str">
            <v>B598006/A</v>
          </cell>
          <cell r="D5564" t="str">
            <v>RH9992NF409</v>
          </cell>
          <cell r="E5564">
            <v>2</v>
          </cell>
        </row>
        <row r="5565">
          <cell r="C5565" t="str">
            <v>B598007/A</v>
          </cell>
          <cell r="D5565" t="str">
            <v>RH9992NF409</v>
          </cell>
          <cell r="E5565">
            <v>2</v>
          </cell>
        </row>
        <row r="5566">
          <cell r="C5566" t="str">
            <v>B602727/A</v>
          </cell>
          <cell r="D5566" t="str">
            <v>SH597FMT02.UK-32038</v>
          </cell>
          <cell r="E5566">
            <v>35</v>
          </cell>
        </row>
        <row r="5567">
          <cell r="C5567" t="str">
            <v>B602728/A</v>
          </cell>
          <cell r="D5567" t="str">
            <v>SH597FMT02-32038</v>
          </cell>
          <cell r="E5567">
            <v>28</v>
          </cell>
        </row>
        <row r="5568">
          <cell r="C5568" t="str">
            <v>B602731/A</v>
          </cell>
          <cell r="D5568" t="str">
            <v>SH833F899-BASE</v>
          </cell>
          <cell r="E5568">
            <v>30</v>
          </cell>
        </row>
        <row r="5569">
          <cell r="C5569" t="str">
            <v>B598666/A</v>
          </cell>
          <cell r="D5569" t="str">
            <v>SH833F899-TOP</v>
          </cell>
          <cell r="E5569">
            <v>30</v>
          </cell>
        </row>
        <row r="5570">
          <cell r="C5570" t="str">
            <v>B602503/A</v>
          </cell>
          <cell r="D5570" t="str">
            <v>RH094F03</v>
          </cell>
          <cell r="E5570">
            <v>108</v>
          </cell>
        </row>
        <row r="5571">
          <cell r="C5571" t="str">
            <v>B602505/A</v>
          </cell>
          <cell r="D5571" t="str">
            <v>RH2115F08</v>
          </cell>
          <cell r="E5571">
            <v>108</v>
          </cell>
        </row>
        <row r="5572">
          <cell r="C5572" t="str">
            <v>B602507/A</v>
          </cell>
          <cell r="D5572" t="str">
            <v>RH2501F29-STZS</v>
          </cell>
          <cell r="E5572">
            <v>1</v>
          </cell>
        </row>
        <row r="5573">
          <cell r="C5573" t="str">
            <v>B602509/A</v>
          </cell>
          <cell r="D5573" t="str">
            <v>RH3040F09</v>
          </cell>
          <cell r="E5573">
            <v>20</v>
          </cell>
        </row>
        <row r="5574">
          <cell r="C5574" t="str">
            <v>B602511/A</v>
          </cell>
          <cell r="D5574" t="str">
            <v>RH3377F96.BC-LDDR</v>
          </cell>
          <cell r="E5574">
            <v>1</v>
          </cell>
        </row>
        <row r="5575">
          <cell r="C5575" t="str">
            <v>B602513/A</v>
          </cell>
          <cell r="D5575" t="str">
            <v>RH9950F423</v>
          </cell>
          <cell r="E5575">
            <v>108</v>
          </cell>
        </row>
        <row r="5576">
          <cell r="C5576" t="str">
            <v>B602515/A</v>
          </cell>
          <cell r="D5576" t="str">
            <v>RH9950F426</v>
          </cell>
          <cell r="E5576">
            <v>108</v>
          </cell>
        </row>
        <row r="5577">
          <cell r="C5577" t="str">
            <v>B604381/A</v>
          </cell>
          <cell r="D5577" t="str">
            <v>AR082F892</v>
          </cell>
          <cell r="E5577">
            <v>14</v>
          </cell>
        </row>
        <row r="5578">
          <cell r="C5578" t="str">
            <v>B604383/A</v>
          </cell>
          <cell r="D5578" t="str">
            <v>AR125F906-BASE</v>
          </cell>
          <cell r="E5578">
            <v>49</v>
          </cell>
        </row>
        <row r="5579">
          <cell r="C5579" t="str">
            <v>B604385/A</v>
          </cell>
          <cell r="D5579" t="str">
            <v>AR720F892-BASE1</v>
          </cell>
          <cell r="E5579">
            <v>60</v>
          </cell>
        </row>
        <row r="5580">
          <cell r="C5580" t="str">
            <v>B604387/A</v>
          </cell>
          <cell r="D5580" t="str">
            <v>AR720F892-TOP</v>
          </cell>
          <cell r="E5580">
            <v>60</v>
          </cell>
        </row>
        <row r="5581">
          <cell r="C5581" t="str">
            <v>B604389/A</v>
          </cell>
          <cell r="D5581" t="str">
            <v>AR761F906-BASE</v>
          </cell>
          <cell r="E5581">
            <v>23</v>
          </cell>
        </row>
        <row r="5582">
          <cell r="C5582" t="str">
            <v>B604258/A</v>
          </cell>
          <cell r="D5582" t="str">
            <v>AR790F906</v>
          </cell>
          <cell r="E5582">
            <v>7</v>
          </cell>
        </row>
        <row r="5583">
          <cell r="C5583" t="str">
            <v>B604259/A</v>
          </cell>
          <cell r="D5583" t="str">
            <v>AR790F906</v>
          </cell>
          <cell r="E5583">
            <v>18</v>
          </cell>
        </row>
        <row r="5584">
          <cell r="C5584" t="str">
            <v>B603048/A</v>
          </cell>
          <cell r="D5584" t="str">
            <v>AR798F1001</v>
          </cell>
          <cell r="E5584">
            <v>7</v>
          </cell>
        </row>
        <row r="5585">
          <cell r="C5585" t="str">
            <v>B603049/A</v>
          </cell>
          <cell r="D5585" t="str">
            <v>AR798F1001</v>
          </cell>
          <cell r="E5585">
            <v>18</v>
          </cell>
        </row>
        <row r="5586">
          <cell r="C5586" t="str">
            <v>B604391/A</v>
          </cell>
          <cell r="D5586" t="str">
            <v>AR980AF1221</v>
          </cell>
          <cell r="E5586">
            <v>7</v>
          </cell>
        </row>
        <row r="5587">
          <cell r="C5587" t="str">
            <v>B604261/A</v>
          </cell>
          <cell r="D5587" t="str">
            <v>CZ062F08</v>
          </cell>
          <cell r="E5587">
            <v>8</v>
          </cell>
        </row>
        <row r="5588">
          <cell r="C5588" t="str">
            <v>B604263/A</v>
          </cell>
          <cell r="D5588" t="str">
            <v>CZ062F190</v>
          </cell>
          <cell r="E5588">
            <v>10</v>
          </cell>
        </row>
        <row r="5589">
          <cell r="C5589" t="str">
            <v>B604047/A</v>
          </cell>
          <cell r="D5589" t="str">
            <v>CZ1032F188</v>
          </cell>
          <cell r="E5589">
            <v>7</v>
          </cell>
        </row>
        <row r="5590">
          <cell r="C5590" t="str">
            <v>B604050/A</v>
          </cell>
          <cell r="D5590" t="str">
            <v>CZ1032F196</v>
          </cell>
          <cell r="E5590">
            <v>3</v>
          </cell>
        </row>
        <row r="5591">
          <cell r="C5591" t="str">
            <v>B604061/A</v>
          </cell>
          <cell r="D5591" t="str">
            <v>CZ1032F381</v>
          </cell>
          <cell r="E5591">
            <v>10</v>
          </cell>
        </row>
        <row r="5592">
          <cell r="C5592" t="str">
            <v>B604265/A</v>
          </cell>
          <cell r="D5592" t="str">
            <v>CZ121NF09</v>
          </cell>
          <cell r="E5592">
            <v>51</v>
          </cell>
        </row>
        <row r="5593">
          <cell r="C5593" t="str">
            <v>B604267/A</v>
          </cell>
          <cell r="D5593" t="str">
            <v>CZ121NF10</v>
          </cell>
          <cell r="E5593">
            <v>9</v>
          </cell>
        </row>
        <row r="5594">
          <cell r="C5594" t="str">
            <v>B604413/A</v>
          </cell>
          <cell r="D5594" t="str">
            <v>CZ163F08</v>
          </cell>
          <cell r="E5594">
            <v>2</v>
          </cell>
        </row>
        <row r="5595">
          <cell r="C5595" t="str">
            <v>B604415/A</v>
          </cell>
          <cell r="D5595" t="str">
            <v>CZ163F190</v>
          </cell>
          <cell r="E5595">
            <v>8</v>
          </cell>
        </row>
        <row r="5596">
          <cell r="C5596" t="str">
            <v>B604417/A</v>
          </cell>
          <cell r="D5596" t="str">
            <v>CZ495F09</v>
          </cell>
          <cell r="E5596">
            <v>1</v>
          </cell>
        </row>
        <row r="5597">
          <cell r="C5597" t="str">
            <v>B604419/A</v>
          </cell>
          <cell r="D5597" t="str">
            <v>CZ495F190</v>
          </cell>
          <cell r="E5597">
            <v>15</v>
          </cell>
        </row>
        <row r="5598">
          <cell r="C5598" t="str">
            <v>B604064/A</v>
          </cell>
          <cell r="D5598" t="str">
            <v>CZ551F08</v>
          </cell>
          <cell r="E5598">
            <v>33</v>
          </cell>
        </row>
        <row r="5599">
          <cell r="C5599" t="str">
            <v>B604081/A</v>
          </cell>
          <cell r="D5599" t="str">
            <v>CZ551F09</v>
          </cell>
          <cell r="E5599">
            <v>16</v>
          </cell>
        </row>
        <row r="5600">
          <cell r="C5600" t="str">
            <v>B604083/A</v>
          </cell>
          <cell r="D5600" t="str">
            <v>CZ551F10</v>
          </cell>
          <cell r="E5600">
            <v>12</v>
          </cell>
        </row>
        <row r="5601">
          <cell r="C5601" t="str">
            <v>B604085/A</v>
          </cell>
          <cell r="D5601" t="str">
            <v>CZ551F190</v>
          </cell>
          <cell r="E5601">
            <v>22</v>
          </cell>
        </row>
        <row r="5602">
          <cell r="C5602" t="str">
            <v>B604269/A</v>
          </cell>
          <cell r="D5602" t="str">
            <v>CZ558F08</v>
          </cell>
          <cell r="E5602">
            <v>1</v>
          </cell>
        </row>
        <row r="5603">
          <cell r="C5603" t="str">
            <v>B604272/A</v>
          </cell>
          <cell r="D5603" t="str">
            <v>CZ558F09</v>
          </cell>
          <cell r="E5603">
            <v>1</v>
          </cell>
        </row>
        <row r="5604">
          <cell r="C5604" t="str">
            <v>B604273/A</v>
          </cell>
          <cell r="D5604" t="str">
            <v>CZ558F09</v>
          </cell>
          <cell r="E5604">
            <v>4</v>
          </cell>
        </row>
        <row r="5605">
          <cell r="C5605" t="str">
            <v>B604275/A</v>
          </cell>
          <cell r="D5605" t="str">
            <v>CZ558F190</v>
          </cell>
          <cell r="E5605">
            <v>8</v>
          </cell>
        </row>
        <row r="5606">
          <cell r="C5606" t="str">
            <v>B604277/A</v>
          </cell>
          <cell r="D5606" t="str">
            <v>CZ558F191</v>
          </cell>
          <cell r="E5606">
            <v>7</v>
          </cell>
        </row>
        <row r="5607">
          <cell r="C5607" t="str">
            <v>B604087/A</v>
          </cell>
          <cell r="D5607" t="str">
            <v>CZ567F08</v>
          </cell>
          <cell r="E5607">
            <v>11</v>
          </cell>
        </row>
        <row r="5608">
          <cell r="C5608" t="str">
            <v>B604089/A</v>
          </cell>
          <cell r="D5608" t="str">
            <v>CZ567F09</v>
          </cell>
          <cell r="E5608">
            <v>6</v>
          </cell>
        </row>
        <row r="5609">
          <cell r="C5609" t="str">
            <v>B604091/A</v>
          </cell>
          <cell r="D5609" t="str">
            <v>CZ567F10</v>
          </cell>
          <cell r="E5609">
            <v>7</v>
          </cell>
        </row>
        <row r="5610">
          <cell r="C5610" t="str">
            <v>B604093/A</v>
          </cell>
          <cell r="D5610" t="str">
            <v>CZ567F190</v>
          </cell>
          <cell r="E5610">
            <v>7</v>
          </cell>
        </row>
        <row r="5611">
          <cell r="C5611" t="str">
            <v>B604095/A</v>
          </cell>
          <cell r="D5611" t="str">
            <v>CZ567F191</v>
          </cell>
          <cell r="E5611">
            <v>2</v>
          </cell>
        </row>
        <row r="5612">
          <cell r="C5612" t="str">
            <v>B604279/A</v>
          </cell>
          <cell r="D5612" t="str">
            <v>CZ877F188</v>
          </cell>
          <cell r="E5612">
            <v>13</v>
          </cell>
        </row>
        <row r="5613">
          <cell r="C5613" t="str">
            <v>B604281/A</v>
          </cell>
          <cell r="D5613" t="str">
            <v>MH477CF976</v>
          </cell>
          <cell r="E5613">
            <v>25</v>
          </cell>
        </row>
        <row r="5614">
          <cell r="C5614" t="str">
            <v>B604283/A</v>
          </cell>
          <cell r="D5614" t="str">
            <v>MH577F1250</v>
          </cell>
          <cell r="E5614">
            <v>25</v>
          </cell>
        </row>
        <row r="5615">
          <cell r="C5615" t="str">
            <v>B604427/A</v>
          </cell>
          <cell r="D5615" t="str">
            <v>RH073F01</v>
          </cell>
          <cell r="E5615">
            <v>10</v>
          </cell>
        </row>
        <row r="5616">
          <cell r="C5616" t="str">
            <v>B604286/A</v>
          </cell>
          <cell r="D5616" t="str">
            <v>RH078F01</v>
          </cell>
          <cell r="E5616">
            <v>12</v>
          </cell>
        </row>
        <row r="5617">
          <cell r="C5617" t="str">
            <v>B604287/A</v>
          </cell>
          <cell r="D5617" t="str">
            <v>RH078F01</v>
          </cell>
          <cell r="E5617">
            <v>8</v>
          </cell>
        </row>
        <row r="5618">
          <cell r="C5618" t="str">
            <v>B604289/A</v>
          </cell>
          <cell r="D5618" t="str">
            <v>RH078F02</v>
          </cell>
          <cell r="E5618">
            <v>1</v>
          </cell>
        </row>
        <row r="5619">
          <cell r="C5619" t="str">
            <v>B604291/A</v>
          </cell>
          <cell r="D5619" t="str">
            <v>RH078F03</v>
          </cell>
          <cell r="E5619">
            <v>1</v>
          </cell>
        </row>
        <row r="5620">
          <cell r="C5620" t="str">
            <v>B604097/A</v>
          </cell>
          <cell r="D5620" t="str">
            <v>RH10082F382</v>
          </cell>
          <cell r="E5620">
            <v>24</v>
          </cell>
        </row>
        <row r="5621">
          <cell r="C5621" t="str">
            <v>B604100/A</v>
          </cell>
          <cell r="D5621" t="str">
            <v>RH10082F383</v>
          </cell>
          <cell r="E5621">
            <v>3</v>
          </cell>
        </row>
        <row r="5622">
          <cell r="C5622" t="str">
            <v>B604101/A</v>
          </cell>
          <cell r="D5622" t="str">
            <v>RH10082F383</v>
          </cell>
          <cell r="E5622">
            <v>5</v>
          </cell>
        </row>
        <row r="5623">
          <cell r="C5623" t="str">
            <v>B604103/A</v>
          </cell>
          <cell r="D5623" t="str">
            <v>RH10082F384</v>
          </cell>
          <cell r="E5623">
            <v>7</v>
          </cell>
        </row>
        <row r="5624">
          <cell r="C5624" t="str">
            <v>B604106/A</v>
          </cell>
          <cell r="D5624" t="str">
            <v>RH10084F382</v>
          </cell>
          <cell r="E5624">
            <v>18</v>
          </cell>
        </row>
        <row r="5625">
          <cell r="C5625" t="str">
            <v>B604107/A</v>
          </cell>
          <cell r="D5625" t="str">
            <v>RH10084F382</v>
          </cell>
          <cell r="E5625">
            <v>14</v>
          </cell>
        </row>
        <row r="5626">
          <cell r="C5626" t="str">
            <v>B604110/A</v>
          </cell>
          <cell r="D5626" t="str">
            <v>RH10084F384</v>
          </cell>
          <cell r="E5626">
            <v>7</v>
          </cell>
        </row>
        <row r="5627">
          <cell r="C5627" t="str">
            <v>B604111/A</v>
          </cell>
          <cell r="D5627" t="str">
            <v>RH10084F384</v>
          </cell>
          <cell r="E5627">
            <v>7</v>
          </cell>
        </row>
        <row r="5628">
          <cell r="C5628" t="str">
            <v>B604114/A</v>
          </cell>
          <cell r="D5628" t="str">
            <v>RH10084F409</v>
          </cell>
          <cell r="E5628">
            <v>6</v>
          </cell>
        </row>
        <row r="5629">
          <cell r="C5629" t="str">
            <v>B604115/A</v>
          </cell>
          <cell r="D5629" t="str">
            <v>RH10084F409</v>
          </cell>
          <cell r="E5629">
            <v>9</v>
          </cell>
        </row>
        <row r="5630">
          <cell r="C5630" t="str">
            <v>B598009/A</v>
          </cell>
          <cell r="D5630" t="str">
            <v>RH10087F382</v>
          </cell>
          <cell r="E5630">
            <v>10</v>
          </cell>
        </row>
        <row r="5631">
          <cell r="C5631" t="str">
            <v>B597832/A</v>
          </cell>
          <cell r="D5631" t="str">
            <v>RH10087F383</v>
          </cell>
          <cell r="E5631">
            <v>3</v>
          </cell>
        </row>
        <row r="5632">
          <cell r="C5632" t="str">
            <v>B598011/A</v>
          </cell>
          <cell r="D5632" t="str">
            <v>RH10087F383</v>
          </cell>
          <cell r="E5632">
            <v>7</v>
          </cell>
        </row>
        <row r="5633">
          <cell r="C5633" t="str">
            <v>B598170/A</v>
          </cell>
          <cell r="D5633" t="str">
            <v>RH10087F384</v>
          </cell>
          <cell r="E5633">
            <v>6</v>
          </cell>
        </row>
        <row r="5634">
          <cell r="C5634" t="str">
            <v>B597834/A</v>
          </cell>
          <cell r="D5634" t="str">
            <v>RH10087F409</v>
          </cell>
          <cell r="E5634">
            <v>8</v>
          </cell>
        </row>
        <row r="5635">
          <cell r="C5635" t="str">
            <v>B597836/A</v>
          </cell>
          <cell r="D5635" t="str">
            <v>RH10088F383</v>
          </cell>
          <cell r="E5635">
            <v>4</v>
          </cell>
        </row>
        <row r="5636">
          <cell r="C5636" t="str">
            <v>B597838/A</v>
          </cell>
          <cell r="D5636" t="str">
            <v>RH10088F384</v>
          </cell>
          <cell r="E5636">
            <v>1</v>
          </cell>
        </row>
        <row r="5637">
          <cell r="C5637" t="str">
            <v>B597840/A</v>
          </cell>
          <cell r="D5637" t="str">
            <v>RH10088F409</v>
          </cell>
          <cell r="E5637">
            <v>10</v>
          </cell>
        </row>
        <row r="5638">
          <cell r="C5638" t="str">
            <v>B597843/A</v>
          </cell>
          <cell r="D5638" t="str">
            <v>RH10091F382</v>
          </cell>
          <cell r="E5638">
            <v>8</v>
          </cell>
        </row>
        <row r="5639">
          <cell r="C5639" t="str">
            <v>B597844/A</v>
          </cell>
          <cell r="D5639" t="str">
            <v>RH10091F382</v>
          </cell>
          <cell r="E5639">
            <v>9</v>
          </cell>
        </row>
        <row r="5640">
          <cell r="C5640" t="str">
            <v>B597846/A</v>
          </cell>
          <cell r="D5640" t="str">
            <v>RH10091F383</v>
          </cell>
          <cell r="E5640">
            <v>9</v>
          </cell>
        </row>
        <row r="5641">
          <cell r="C5641" t="str">
            <v>B597848/A</v>
          </cell>
          <cell r="D5641" t="str">
            <v>RH10091F384</v>
          </cell>
          <cell r="E5641">
            <v>18</v>
          </cell>
        </row>
        <row r="5642">
          <cell r="C5642" t="str">
            <v>B597851/A</v>
          </cell>
          <cell r="D5642" t="str">
            <v>RH10091F409</v>
          </cell>
          <cell r="E5642">
            <v>12</v>
          </cell>
        </row>
        <row r="5643">
          <cell r="C5643" t="str">
            <v>B597852/A</v>
          </cell>
          <cell r="D5643" t="str">
            <v>RH10091F409</v>
          </cell>
          <cell r="E5643">
            <v>23</v>
          </cell>
        </row>
        <row r="5644">
          <cell r="C5644" t="str">
            <v>B604429/A</v>
          </cell>
          <cell r="D5644" t="str">
            <v>RH10110NF382</v>
          </cell>
          <cell r="E5644">
            <v>23</v>
          </cell>
        </row>
        <row r="5645">
          <cell r="C5645" t="str">
            <v>B604431/A</v>
          </cell>
          <cell r="D5645" t="str">
            <v>RH10110NF409</v>
          </cell>
          <cell r="E5645">
            <v>9</v>
          </cell>
        </row>
        <row r="5646">
          <cell r="C5646" t="str">
            <v>B597854/A</v>
          </cell>
          <cell r="D5646" t="str">
            <v>RH10115F382</v>
          </cell>
          <cell r="E5646">
            <v>4</v>
          </cell>
        </row>
        <row r="5647">
          <cell r="C5647" t="str">
            <v>B597856/A</v>
          </cell>
          <cell r="D5647" t="str">
            <v>RH10115F384</v>
          </cell>
          <cell r="E5647">
            <v>5</v>
          </cell>
        </row>
        <row r="5648">
          <cell r="C5648" t="str">
            <v>B597858/A</v>
          </cell>
          <cell r="D5648" t="str">
            <v>RH10115F409</v>
          </cell>
          <cell r="E5648">
            <v>5</v>
          </cell>
        </row>
        <row r="5649">
          <cell r="C5649" t="str">
            <v>B597860/A</v>
          </cell>
          <cell r="D5649" t="str">
            <v>RH10125F382</v>
          </cell>
          <cell r="E5649">
            <v>6</v>
          </cell>
        </row>
        <row r="5650">
          <cell r="C5650" t="str">
            <v>B597919/A</v>
          </cell>
          <cell r="D5650" t="str">
            <v>RH10125F383</v>
          </cell>
          <cell r="E5650">
            <v>4</v>
          </cell>
        </row>
        <row r="5651">
          <cell r="C5651" t="str">
            <v>B597921/A</v>
          </cell>
          <cell r="D5651" t="str">
            <v>RH10125F384</v>
          </cell>
          <cell r="E5651">
            <v>1</v>
          </cell>
        </row>
        <row r="5652">
          <cell r="C5652" t="str">
            <v>B597929/A</v>
          </cell>
          <cell r="D5652" t="str">
            <v>RH10165F409</v>
          </cell>
          <cell r="E5652">
            <v>4</v>
          </cell>
        </row>
        <row r="5653">
          <cell r="C5653" t="str">
            <v>B600766/A</v>
          </cell>
          <cell r="D5653" t="str">
            <v>RH10165F409</v>
          </cell>
          <cell r="E5653">
            <v>1</v>
          </cell>
        </row>
        <row r="5654">
          <cell r="C5654" t="str">
            <v>B600765/A</v>
          </cell>
          <cell r="D5654" t="str">
            <v>RH10165F409</v>
          </cell>
          <cell r="E5654">
            <v>5</v>
          </cell>
        </row>
        <row r="5655">
          <cell r="C5655" t="str">
            <v>B604433/A</v>
          </cell>
          <cell r="D5655" t="str">
            <v>RH10169F384</v>
          </cell>
          <cell r="E5655">
            <v>14</v>
          </cell>
        </row>
        <row r="5656">
          <cell r="C5656" t="str">
            <v>B604436/A</v>
          </cell>
          <cell r="D5656" t="str">
            <v>RH10169F409</v>
          </cell>
          <cell r="E5656">
            <v>30</v>
          </cell>
        </row>
        <row r="5657">
          <cell r="C5657" t="str">
            <v>B604437/A</v>
          </cell>
          <cell r="D5657" t="str">
            <v>RH10169F409</v>
          </cell>
          <cell r="E5657">
            <v>29</v>
          </cell>
        </row>
        <row r="5658">
          <cell r="C5658" t="str">
            <v>B604293/A</v>
          </cell>
          <cell r="D5658" t="str">
            <v>RH10175F382</v>
          </cell>
          <cell r="E5658">
            <v>11</v>
          </cell>
        </row>
        <row r="5659">
          <cell r="C5659" t="str">
            <v>B604295/A</v>
          </cell>
          <cell r="D5659" t="str">
            <v>RH10175F383</v>
          </cell>
          <cell r="E5659">
            <v>5</v>
          </cell>
        </row>
        <row r="5660">
          <cell r="C5660" t="str">
            <v>B604298/A</v>
          </cell>
          <cell r="D5660" t="str">
            <v>RH10175F409</v>
          </cell>
          <cell r="E5660">
            <v>21</v>
          </cell>
        </row>
        <row r="5661">
          <cell r="C5661" t="str">
            <v>B604299/A</v>
          </cell>
          <cell r="D5661" t="str">
            <v>RH10175F409</v>
          </cell>
          <cell r="E5661">
            <v>10</v>
          </cell>
        </row>
        <row r="5662">
          <cell r="C5662" t="str">
            <v>B598062/A</v>
          </cell>
          <cell r="D5662" t="str">
            <v>RH10176F383</v>
          </cell>
          <cell r="E5662">
            <v>3</v>
          </cell>
        </row>
        <row r="5663">
          <cell r="C5663" t="str">
            <v>B598064/A</v>
          </cell>
          <cell r="D5663" t="str">
            <v>RH10176F384</v>
          </cell>
          <cell r="E5663">
            <v>5</v>
          </cell>
        </row>
        <row r="5664">
          <cell r="C5664" t="str">
            <v>B598066/A</v>
          </cell>
          <cell r="D5664" t="str">
            <v>RH10176F409</v>
          </cell>
          <cell r="E5664">
            <v>2</v>
          </cell>
        </row>
        <row r="5665">
          <cell r="C5665" t="str">
            <v>B603988/A</v>
          </cell>
          <cell r="D5665" t="str">
            <v>RH11570F451</v>
          </cell>
          <cell r="E5665">
            <v>13</v>
          </cell>
        </row>
        <row r="5666">
          <cell r="C5666" t="str">
            <v>B603990/A</v>
          </cell>
          <cell r="D5666" t="str">
            <v>RH11570F456</v>
          </cell>
          <cell r="E5666">
            <v>15</v>
          </cell>
        </row>
        <row r="5667">
          <cell r="C5667" t="str">
            <v>B604122/A</v>
          </cell>
          <cell r="D5667" t="str">
            <v>RH1170F03</v>
          </cell>
          <cell r="E5667">
            <v>13</v>
          </cell>
        </row>
        <row r="5668">
          <cell r="C5668" t="str">
            <v>B604123/A</v>
          </cell>
          <cell r="D5668" t="str">
            <v>RH1170F03</v>
          </cell>
          <cell r="E5668">
            <v>16</v>
          </cell>
        </row>
        <row r="5669">
          <cell r="C5669" t="str">
            <v>B604126/A</v>
          </cell>
          <cell r="D5669" t="str">
            <v>RH1565AF95.BC</v>
          </cell>
          <cell r="E5669">
            <v>20</v>
          </cell>
        </row>
        <row r="5670">
          <cell r="C5670" t="str">
            <v>B604127/A</v>
          </cell>
          <cell r="D5670" t="str">
            <v>RH1565AF95.BC</v>
          </cell>
          <cell r="E5670">
            <v>20</v>
          </cell>
        </row>
        <row r="5671">
          <cell r="C5671" t="str">
            <v>B604129/A</v>
          </cell>
          <cell r="D5671" t="str">
            <v>RH164F03</v>
          </cell>
          <cell r="E5671">
            <v>14</v>
          </cell>
        </row>
        <row r="5672">
          <cell r="C5672" t="str">
            <v>B604439/A</v>
          </cell>
          <cell r="D5672" t="str">
            <v>RH1774F08</v>
          </cell>
          <cell r="E5672">
            <v>12</v>
          </cell>
        </row>
        <row r="5673">
          <cell r="C5673" t="str">
            <v>B604441/A</v>
          </cell>
          <cell r="D5673" t="str">
            <v>RH1777F08</v>
          </cell>
          <cell r="E5673">
            <v>10</v>
          </cell>
        </row>
        <row r="5674">
          <cell r="C5674" t="str">
            <v>B604132/A</v>
          </cell>
          <cell r="D5674" t="str">
            <v>RH1793NF08</v>
          </cell>
          <cell r="E5674">
            <v>3</v>
          </cell>
        </row>
        <row r="5675">
          <cell r="C5675" t="str">
            <v>B604133/A</v>
          </cell>
          <cell r="D5675" t="str">
            <v>RH1793NF08</v>
          </cell>
          <cell r="E5675">
            <v>33</v>
          </cell>
        </row>
        <row r="5676">
          <cell r="C5676" t="str">
            <v>B602588/A</v>
          </cell>
          <cell r="D5676" t="str">
            <v>RH1866F08</v>
          </cell>
          <cell r="E5676">
            <v>29</v>
          </cell>
        </row>
        <row r="5677">
          <cell r="C5677" t="str">
            <v>B602589/A</v>
          </cell>
          <cell r="D5677" t="str">
            <v>RH1866F08</v>
          </cell>
          <cell r="E5677">
            <v>1</v>
          </cell>
        </row>
        <row r="5678">
          <cell r="C5678" t="str">
            <v>B604301/A</v>
          </cell>
          <cell r="D5678" t="str">
            <v>RH1967F26</v>
          </cell>
          <cell r="E5678">
            <v>20</v>
          </cell>
        </row>
        <row r="5679">
          <cell r="C5679" t="str">
            <v>B604136/A</v>
          </cell>
          <cell r="D5679" t="str">
            <v>RH2006AF95</v>
          </cell>
          <cell r="E5679">
            <v>10</v>
          </cell>
        </row>
        <row r="5680">
          <cell r="C5680" t="str">
            <v>B604137/A</v>
          </cell>
          <cell r="D5680" t="str">
            <v>RH2006AF95</v>
          </cell>
          <cell r="E5680">
            <v>10</v>
          </cell>
        </row>
        <row r="5681">
          <cell r="C5681" t="str">
            <v>B604140/A</v>
          </cell>
          <cell r="D5681" t="str">
            <v>RH2113F100</v>
          </cell>
          <cell r="E5681">
            <v>12</v>
          </cell>
        </row>
        <row r="5682">
          <cell r="C5682" t="str">
            <v>B604141/A</v>
          </cell>
          <cell r="D5682" t="str">
            <v>RH2113F100</v>
          </cell>
          <cell r="E5682">
            <v>8</v>
          </cell>
        </row>
        <row r="5683">
          <cell r="C5683" t="str">
            <v>B604303/A</v>
          </cell>
          <cell r="D5683" t="str">
            <v>RH2246NF36</v>
          </cell>
          <cell r="E5683">
            <v>20</v>
          </cell>
        </row>
        <row r="5684">
          <cell r="C5684" t="str">
            <v>B604143/A</v>
          </cell>
          <cell r="D5684" t="str">
            <v>RH2267F102</v>
          </cell>
          <cell r="E5684">
            <v>17</v>
          </cell>
        </row>
        <row r="5685">
          <cell r="C5685" t="str">
            <v>B604145/A</v>
          </cell>
          <cell r="D5685" t="str">
            <v>RH2267F103</v>
          </cell>
          <cell r="E5685">
            <v>3</v>
          </cell>
        </row>
        <row r="5686">
          <cell r="C5686" t="str">
            <v>B604305/A</v>
          </cell>
          <cell r="D5686" t="str">
            <v>RH2562F03-BASE</v>
          </cell>
          <cell r="E5686">
            <v>13</v>
          </cell>
        </row>
        <row r="5687">
          <cell r="C5687" t="str">
            <v>B604443/A</v>
          </cell>
          <cell r="D5687" t="str">
            <v>RH2667F01-BASE</v>
          </cell>
          <cell r="E5687">
            <v>3</v>
          </cell>
        </row>
        <row r="5688">
          <cell r="C5688" t="str">
            <v>B604445/A</v>
          </cell>
          <cell r="D5688" t="str">
            <v>RH2667F03-BASE</v>
          </cell>
          <cell r="E5688">
            <v>6</v>
          </cell>
        </row>
        <row r="5689">
          <cell r="C5689" t="str">
            <v>B604447/A</v>
          </cell>
          <cell r="D5689" t="str">
            <v>RH2668F08-BASE</v>
          </cell>
          <cell r="E5689">
            <v>10</v>
          </cell>
        </row>
        <row r="5690">
          <cell r="C5690" t="str">
            <v>B604147/A</v>
          </cell>
          <cell r="D5690" t="str">
            <v>RH2755F10CZ</v>
          </cell>
          <cell r="E5690">
            <v>6</v>
          </cell>
        </row>
        <row r="5691">
          <cell r="C5691" t="str">
            <v>B604150/A</v>
          </cell>
          <cell r="D5691" t="str">
            <v>RH2755F122</v>
          </cell>
          <cell r="E5691">
            <v>6</v>
          </cell>
        </row>
        <row r="5692">
          <cell r="C5692" t="str">
            <v>B604151/A</v>
          </cell>
          <cell r="D5692" t="str">
            <v>RH2755F122</v>
          </cell>
          <cell r="E5692">
            <v>14</v>
          </cell>
        </row>
        <row r="5693">
          <cell r="C5693" t="str">
            <v>B604154/A</v>
          </cell>
          <cell r="D5693" t="str">
            <v>RH2755F123</v>
          </cell>
          <cell r="E5693">
            <v>15</v>
          </cell>
        </row>
        <row r="5694">
          <cell r="C5694" t="str">
            <v>B604155/A</v>
          </cell>
          <cell r="D5694" t="str">
            <v>RH2755F123</v>
          </cell>
          <cell r="E5694">
            <v>3</v>
          </cell>
        </row>
        <row r="5695">
          <cell r="C5695" t="str">
            <v>B604157/A</v>
          </cell>
          <cell r="D5695" t="str">
            <v>RH2755F190</v>
          </cell>
          <cell r="E5695">
            <v>5</v>
          </cell>
        </row>
        <row r="5696">
          <cell r="C5696" t="str">
            <v>B604160/A</v>
          </cell>
          <cell r="D5696" t="str">
            <v>RH2755F191</v>
          </cell>
          <cell r="E5696">
            <v>3</v>
          </cell>
        </row>
        <row r="5697">
          <cell r="C5697" t="str">
            <v>B604161/A</v>
          </cell>
          <cell r="D5697" t="str">
            <v>RH2755F191</v>
          </cell>
          <cell r="E5697">
            <v>5</v>
          </cell>
        </row>
        <row r="5698">
          <cell r="C5698" t="str">
            <v>B604163/A</v>
          </cell>
          <cell r="D5698" t="str">
            <v>RH2902F10CZ</v>
          </cell>
          <cell r="E5698">
            <v>7</v>
          </cell>
        </row>
        <row r="5699">
          <cell r="C5699" t="str">
            <v>B604166/A</v>
          </cell>
          <cell r="D5699" t="str">
            <v>RH2902F123</v>
          </cell>
          <cell r="E5699">
            <v>15</v>
          </cell>
        </row>
        <row r="5700">
          <cell r="C5700" t="str">
            <v>B604167/A</v>
          </cell>
          <cell r="D5700" t="str">
            <v>RH2902F123</v>
          </cell>
          <cell r="E5700">
            <v>6</v>
          </cell>
        </row>
        <row r="5701">
          <cell r="C5701" t="str">
            <v>B604175/A</v>
          </cell>
          <cell r="D5701" t="str">
            <v>RH2902F190</v>
          </cell>
          <cell r="E5701">
            <v>10</v>
          </cell>
        </row>
        <row r="5702">
          <cell r="C5702" t="str">
            <v>B604169/A</v>
          </cell>
          <cell r="D5702" t="str">
            <v>RH2902F191</v>
          </cell>
          <cell r="E5702">
            <v>13</v>
          </cell>
        </row>
        <row r="5703">
          <cell r="C5703" t="str">
            <v>B604172/A</v>
          </cell>
          <cell r="D5703" t="str">
            <v>RH2916F03</v>
          </cell>
          <cell r="E5703">
            <v>22</v>
          </cell>
        </row>
        <row r="5704">
          <cell r="C5704" t="str">
            <v>B604173/A</v>
          </cell>
          <cell r="D5704" t="str">
            <v>RH2916F03</v>
          </cell>
          <cell r="E5704">
            <v>1</v>
          </cell>
        </row>
        <row r="5705">
          <cell r="C5705" t="str">
            <v>B602599/A</v>
          </cell>
          <cell r="D5705" t="str">
            <v>RH2926F09</v>
          </cell>
          <cell r="E5705">
            <v>25</v>
          </cell>
        </row>
        <row r="5706">
          <cell r="C5706" t="str">
            <v>B604308/A</v>
          </cell>
          <cell r="D5706" t="str">
            <v>RH3066NF03</v>
          </cell>
          <cell r="E5706">
            <v>15</v>
          </cell>
        </row>
        <row r="5707">
          <cell r="C5707" t="str">
            <v>B604309/A</v>
          </cell>
          <cell r="D5707" t="str">
            <v>RH3066NF03</v>
          </cell>
          <cell r="E5707">
            <v>30</v>
          </cell>
        </row>
        <row r="5708">
          <cell r="C5708" t="str">
            <v>B604408/A</v>
          </cell>
          <cell r="D5708" t="str">
            <v>RH3066NF03</v>
          </cell>
          <cell r="E5708">
            <v>14</v>
          </cell>
        </row>
        <row r="5709">
          <cell r="C5709" t="str">
            <v>B604409/A</v>
          </cell>
          <cell r="D5709" t="str">
            <v>RH3066NF03</v>
          </cell>
          <cell r="E5709">
            <v>16</v>
          </cell>
        </row>
        <row r="5710">
          <cell r="C5710" t="str">
            <v>B604450/A</v>
          </cell>
          <cell r="D5710" t="str">
            <v>RH323NF01</v>
          </cell>
          <cell r="E5710">
            <v>12</v>
          </cell>
        </row>
        <row r="5711">
          <cell r="C5711" t="str">
            <v>B604451/A</v>
          </cell>
          <cell r="D5711" t="str">
            <v>RH323NF01</v>
          </cell>
          <cell r="E5711">
            <v>15</v>
          </cell>
        </row>
        <row r="5712">
          <cell r="C5712" t="str">
            <v>B604454/A</v>
          </cell>
          <cell r="D5712" t="str">
            <v>RH323NF02</v>
          </cell>
          <cell r="E5712">
            <v>9</v>
          </cell>
        </row>
        <row r="5713">
          <cell r="C5713" t="str">
            <v>B604455/A</v>
          </cell>
          <cell r="D5713" t="str">
            <v>RH323NF02</v>
          </cell>
          <cell r="E5713">
            <v>10</v>
          </cell>
        </row>
        <row r="5714">
          <cell r="C5714" t="str">
            <v>B604458/A</v>
          </cell>
          <cell r="D5714" t="str">
            <v>RH323NF03</v>
          </cell>
          <cell r="E5714">
            <v>11</v>
          </cell>
        </row>
        <row r="5715">
          <cell r="C5715" t="str">
            <v>B604459/A</v>
          </cell>
          <cell r="D5715" t="str">
            <v>RH323NF03</v>
          </cell>
          <cell r="E5715">
            <v>14</v>
          </cell>
        </row>
        <row r="5716">
          <cell r="C5716" t="str">
            <v>B604311/A</v>
          </cell>
          <cell r="D5716" t="str">
            <v>RH3349F09-31958</v>
          </cell>
          <cell r="E5716">
            <v>20</v>
          </cell>
        </row>
        <row r="5717">
          <cell r="C5717" t="str">
            <v>B604178/A</v>
          </cell>
          <cell r="D5717" t="str">
            <v>RH3722AF09</v>
          </cell>
          <cell r="E5717">
            <v>31</v>
          </cell>
        </row>
        <row r="5718">
          <cell r="C5718" t="str">
            <v>B604179/A</v>
          </cell>
          <cell r="D5718" t="str">
            <v>RH3722AF09</v>
          </cell>
          <cell r="E5718">
            <v>29</v>
          </cell>
        </row>
        <row r="5719">
          <cell r="C5719" t="str">
            <v>B604186/A</v>
          </cell>
          <cell r="D5719" t="str">
            <v>RH405F01</v>
          </cell>
          <cell r="E5719">
            <v>17</v>
          </cell>
        </row>
        <row r="5720">
          <cell r="C5720" t="str">
            <v>B604187/A</v>
          </cell>
          <cell r="D5720" t="str">
            <v>RH405F01</v>
          </cell>
          <cell r="E5720">
            <v>34</v>
          </cell>
        </row>
        <row r="5721">
          <cell r="C5721" t="str">
            <v>B604190/A</v>
          </cell>
          <cell r="D5721" t="str">
            <v>RH405F03</v>
          </cell>
          <cell r="E5721">
            <v>38</v>
          </cell>
        </row>
        <row r="5722">
          <cell r="C5722" t="str">
            <v>B604191/A</v>
          </cell>
          <cell r="D5722" t="str">
            <v>RH405F03</v>
          </cell>
          <cell r="E5722">
            <v>31</v>
          </cell>
        </row>
        <row r="5723">
          <cell r="C5723" t="str">
            <v>B604193/A</v>
          </cell>
          <cell r="D5723" t="str">
            <v>RH428F01</v>
          </cell>
          <cell r="E5723">
            <v>7</v>
          </cell>
        </row>
        <row r="5724">
          <cell r="C5724" t="str">
            <v>B604196/A</v>
          </cell>
          <cell r="D5724" t="str">
            <v>RH428F03</v>
          </cell>
          <cell r="E5724">
            <v>6</v>
          </cell>
        </row>
        <row r="5725">
          <cell r="C5725" t="str">
            <v>B604197/A</v>
          </cell>
          <cell r="D5725" t="str">
            <v>RH428F03</v>
          </cell>
          <cell r="E5725">
            <v>9</v>
          </cell>
        </row>
        <row r="5726">
          <cell r="C5726" t="str">
            <v>B604203/A</v>
          </cell>
          <cell r="D5726" t="str">
            <v>RH6998F381</v>
          </cell>
          <cell r="E5726">
            <v>2</v>
          </cell>
        </row>
        <row r="5727">
          <cell r="C5727" t="str">
            <v>B604205/A</v>
          </cell>
          <cell r="D5727" t="str">
            <v>RH6998F382</v>
          </cell>
          <cell r="E5727">
            <v>11</v>
          </cell>
        </row>
        <row r="5728">
          <cell r="C5728" t="str">
            <v>B604207/A</v>
          </cell>
          <cell r="D5728" t="str">
            <v>RH6998F409</v>
          </cell>
          <cell r="E5728">
            <v>10</v>
          </cell>
        </row>
        <row r="5729">
          <cell r="C5729" t="str">
            <v>B604313/A</v>
          </cell>
          <cell r="D5729" t="str">
            <v>RH6999NF381</v>
          </cell>
          <cell r="E5729">
            <v>10</v>
          </cell>
        </row>
        <row r="5730">
          <cell r="C5730" t="str">
            <v>B604316/A</v>
          </cell>
          <cell r="D5730" t="str">
            <v>RH6999NF409</v>
          </cell>
          <cell r="E5730">
            <v>3</v>
          </cell>
        </row>
        <row r="5731">
          <cell r="C5731" t="str">
            <v>B604317/A</v>
          </cell>
          <cell r="D5731" t="str">
            <v>RH6999NF409</v>
          </cell>
          <cell r="E5731">
            <v>11</v>
          </cell>
        </row>
        <row r="5732">
          <cell r="C5732" t="str">
            <v>B604463/A</v>
          </cell>
          <cell r="D5732" t="str">
            <v>RH7150NF381</v>
          </cell>
          <cell r="E5732">
            <v>2</v>
          </cell>
        </row>
        <row r="5733">
          <cell r="C5733" t="str">
            <v>B604464/A</v>
          </cell>
          <cell r="D5733" t="str">
            <v>RH7150NF381</v>
          </cell>
          <cell r="E5733">
            <v>4</v>
          </cell>
        </row>
        <row r="5734">
          <cell r="C5734" t="str">
            <v>B604465/A</v>
          </cell>
          <cell r="D5734" t="str">
            <v>RH7150NF381</v>
          </cell>
          <cell r="E5734">
            <v>5</v>
          </cell>
        </row>
        <row r="5735">
          <cell r="C5735" t="str">
            <v>B604467/A</v>
          </cell>
          <cell r="D5735" t="str">
            <v>RH7150NF382</v>
          </cell>
          <cell r="E5735">
            <v>6</v>
          </cell>
        </row>
        <row r="5736">
          <cell r="C5736" t="str">
            <v>B604470/A</v>
          </cell>
          <cell r="D5736" t="str">
            <v>RH7150NF409</v>
          </cell>
          <cell r="E5736">
            <v>12</v>
          </cell>
        </row>
        <row r="5737">
          <cell r="C5737" t="str">
            <v>B604471/A</v>
          </cell>
          <cell r="D5737" t="str">
            <v>RH7150NF409</v>
          </cell>
          <cell r="E5737">
            <v>13</v>
          </cell>
        </row>
        <row r="5738">
          <cell r="C5738" t="str">
            <v>B604329/A</v>
          </cell>
          <cell r="D5738" t="str">
            <v>RH7340F381</v>
          </cell>
          <cell r="E5738">
            <v>4</v>
          </cell>
        </row>
        <row r="5739">
          <cell r="C5739" t="str">
            <v>B604319/A</v>
          </cell>
          <cell r="D5739" t="str">
            <v>RH7340F382</v>
          </cell>
          <cell r="E5739">
            <v>10</v>
          </cell>
        </row>
        <row r="5740">
          <cell r="C5740" t="str">
            <v>B604321/A</v>
          </cell>
          <cell r="D5740" t="str">
            <v>RH7340F409</v>
          </cell>
          <cell r="E5740">
            <v>3</v>
          </cell>
        </row>
        <row r="5741">
          <cell r="C5741" t="str">
            <v>B604209/A</v>
          </cell>
          <cell r="D5741" t="str">
            <v>RH7357F382</v>
          </cell>
          <cell r="E5741">
            <v>9</v>
          </cell>
        </row>
        <row r="5742">
          <cell r="C5742" t="str">
            <v>B604211/A</v>
          </cell>
          <cell r="D5742" t="str">
            <v>RH7357F383</v>
          </cell>
          <cell r="E5742">
            <v>9</v>
          </cell>
        </row>
        <row r="5743">
          <cell r="C5743" t="str">
            <v>B604213/A</v>
          </cell>
          <cell r="D5743" t="str">
            <v>RH7358F382</v>
          </cell>
          <cell r="E5743">
            <v>10</v>
          </cell>
        </row>
        <row r="5744">
          <cell r="C5744" t="str">
            <v>B604215/A</v>
          </cell>
          <cell r="D5744" t="str">
            <v>RH7358F383</v>
          </cell>
          <cell r="E5744">
            <v>4</v>
          </cell>
        </row>
        <row r="5745">
          <cell r="C5745" t="str">
            <v>B604323/A</v>
          </cell>
          <cell r="D5745" t="str">
            <v>RH7374F381</v>
          </cell>
          <cell r="E5745">
            <v>2</v>
          </cell>
        </row>
        <row r="5746">
          <cell r="C5746" t="str">
            <v>B604325/A</v>
          </cell>
          <cell r="D5746" t="str">
            <v>RH7374F382</v>
          </cell>
          <cell r="E5746">
            <v>6</v>
          </cell>
        </row>
        <row r="5747">
          <cell r="C5747" t="str">
            <v>B604327/A</v>
          </cell>
          <cell r="D5747" t="str">
            <v>RH7374F383</v>
          </cell>
          <cell r="E5747">
            <v>2</v>
          </cell>
        </row>
        <row r="5748">
          <cell r="C5748" t="str">
            <v>B604217/A</v>
          </cell>
          <cell r="D5748" t="str">
            <v>RH7382F381</v>
          </cell>
          <cell r="E5748">
            <v>7</v>
          </cell>
        </row>
        <row r="5749">
          <cell r="C5749" t="str">
            <v>B604219/A</v>
          </cell>
          <cell r="D5749" t="str">
            <v>RH7382F382</v>
          </cell>
          <cell r="E5749">
            <v>5</v>
          </cell>
        </row>
        <row r="5750">
          <cell r="C5750" t="str">
            <v>B604221/A</v>
          </cell>
          <cell r="D5750" t="str">
            <v>RH7382F409</v>
          </cell>
          <cell r="E5750">
            <v>7</v>
          </cell>
        </row>
        <row r="5751">
          <cell r="C5751" t="str">
            <v>B604473/A</v>
          </cell>
          <cell r="D5751" t="str">
            <v>RH7392F381</v>
          </cell>
          <cell r="E5751">
            <v>2</v>
          </cell>
        </row>
        <row r="5752">
          <cell r="C5752" t="str">
            <v>B604475/A</v>
          </cell>
          <cell r="D5752" t="str">
            <v>RH7392F383</v>
          </cell>
          <cell r="E5752">
            <v>17</v>
          </cell>
        </row>
        <row r="5753">
          <cell r="C5753" t="str">
            <v>B604331/A</v>
          </cell>
          <cell r="D5753" t="str">
            <v>RH7481NF409</v>
          </cell>
          <cell r="E5753">
            <v>12</v>
          </cell>
        </row>
        <row r="5754">
          <cell r="C5754" t="str">
            <v>B604333/A</v>
          </cell>
          <cell r="D5754" t="str">
            <v>RH7561F381</v>
          </cell>
          <cell r="E5754">
            <v>17</v>
          </cell>
        </row>
        <row r="5755">
          <cell r="C5755" t="str">
            <v>B604335/A</v>
          </cell>
          <cell r="D5755" t="str">
            <v>RH7561F382</v>
          </cell>
          <cell r="E5755">
            <v>8</v>
          </cell>
        </row>
        <row r="5756">
          <cell r="C5756" t="str">
            <v>B604337/A</v>
          </cell>
          <cell r="D5756" t="str">
            <v>RH7561F383</v>
          </cell>
          <cell r="E5756">
            <v>1</v>
          </cell>
        </row>
        <row r="5757">
          <cell r="C5757" t="str">
            <v>B602634/A</v>
          </cell>
          <cell r="D5757" t="str">
            <v>RH819F03</v>
          </cell>
          <cell r="E5757">
            <v>18</v>
          </cell>
        </row>
        <row r="5758">
          <cell r="C5758" t="str">
            <v>B602635/A</v>
          </cell>
          <cell r="D5758" t="str">
            <v>RH819F03</v>
          </cell>
          <cell r="E5758">
            <v>32</v>
          </cell>
        </row>
        <row r="5759">
          <cell r="C5759" t="str">
            <v>B602637/A</v>
          </cell>
          <cell r="D5759" t="str">
            <v>RH822F01</v>
          </cell>
          <cell r="E5759">
            <v>17</v>
          </cell>
        </row>
        <row r="5760">
          <cell r="C5760" t="str">
            <v>B602641/A</v>
          </cell>
          <cell r="D5760" t="str">
            <v>RH822F02</v>
          </cell>
          <cell r="E5760">
            <v>9</v>
          </cell>
        </row>
        <row r="5761">
          <cell r="C5761" t="str">
            <v>B602643/A</v>
          </cell>
          <cell r="D5761" t="str">
            <v>RH822F03</v>
          </cell>
          <cell r="E5761">
            <v>10</v>
          </cell>
        </row>
        <row r="5762">
          <cell r="C5762" t="str">
            <v>B604339/A</v>
          </cell>
          <cell r="D5762" t="str">
            <v>RH900F01</v>
          </cell>
          <cell r="E5762">
            <v>4</v>
          </cell>
        </row>
        <row r="5763">
          <cell r="C5763" t="str">
            <v>B604341/A</v>
          </cell>
          <cell r="D5763" t="str">
            <v>RH900F02</v>
          </cell>
          <cell r="E5763">
            <v>9</v>
          </cell>
        </row>
        <row r="5764">
          <cell r="C5764" t="str">
            <v>B604343/A</v>
          </cell>
          <cell r="D5764" t="str">
            <v>RH900F03</v>
          </cell>
          <cell r="E5764">
            <v>13</v>
          </cell>
        </row>
        <row r="5765">
          <cell r="C5765" t="str">
            <v>B604223/A</v>
          </cell>
          <cell r="D5765" t="str">
            <v>RH9154F383</v>
          </cell>
          <cell r="E5765">
            <v>2</v>
          </cell>
        </row>
        <row r="5766">
          <cell r="C5766" t="str">
            <v>B604225/A</v>
          </cell>
          <cell r="D5766" t="str">
            <v>RH9154F409</v>
          </cell>
          <cell r="E5766">
            <v>21</v>
          </cell>
        </row>
        <row r="5767">
          <cell r="C5767" t="str">
            <v>B604483/A</v>
          </cell>
          <cell r="D5767" t="str">
            <v>RH9422F423</v>
          </cell>
          <cell r="E5767">
            <v>1</v>
          </cell>
        </row>
        <row r="5768">
          <cell r="C5768" t="str">
            <v>B604479/A</v>
          </cell>
          <cell r="D5768" t="str">
            <v>RH9422F425</v>
          </cell>
          <cell r="E5768">
            <v>9</v>
          </cell>
        </row>
        <row r="5769">
          <cell r="C5769" t="str">
            <v>B604227/A</v>
          </cell>
          <cell r="D5769" t="str">
            <v>RH9458F423</v>
          </cell>
          <cell r="E5769">
            <v>11</v>
          </cell>
        </row>
        <row r="5770">
          <cell r="C5770" t="str">
            <v>B604229/A</v>
          </cell>
          <cell r="D5770" t="str">
            <v>RH9458F424</v>
          </cell>
          <cell r="E5770">
            <v>1</v>
          </cell>
        </row>
        <row r="5771">
          <cell r="C5771" t="str">
            <v>B604231/A</v>
          </cell>
          <cell r="D5771" t="str">
            <v>RH9458F426</v>
          </cell>
          <cell r="E5771">
            <v>10</v>
          </cell>
        </row>
        <row r="5772">
          <cell r="C5772" t="str">
            <v>B604234/A</v>
          </cell>
          <cell r="D5772" t="str">
            <v>RH947NF03</v>
          </cell>
          <cell r="E5772">
            <v>11</v>
          </cell>
        </row>
        <row r="5773">
          <cell r="C5773" t="str">
            <v>B604235/A</v>
          </cell>
          <cell r="D5773" t="str">
            <v>RH947NF03</v>
          </cell>
          <cell r="E5773">
            <v>15</v>
          </cell>
        </row>
        <row r="5774">
          <cell r="C5774" t="str">
            <v>B604346/A</v>
          </cell>
          <cell r="D5774" t="str">
            <v>RH969F29-31958</v>
          </cell>
          <cell r="E5774">
            <v>10</v>
          </cell>
        </row>
        <row r="5775">
          <cell r="C5775" t="str">
            <v>B604347/A</v>
          </cell>
          <cell r="D5775" t="str">
            <v>RH969F29-31958</v>
          </cell>
          <cell r="E5775">
            <v>10</v>
          </cell>
        </row>
        <row r="5776">
          <cell r="C5776" t="str">
            <v>B604238/A</v>
          </cell>
          <cell r="D5776" t="str">
            <v>RH9841F423</v>
          </cell>
          <cell r="E5776">
            <v>4</v>
          </cell>
        </row>
        <row r="5777">
          <cell r="C5777" t="str">
            <v>B604239/A</v>
          </cell>
          <cell r="D5777" t="str">
            <v>RH9841F423</v>
          </cell>
          <cell r="E5777">
            <v>47</v>
          </cell>
        </row>
        <row r="5778">
          <cell r="C5778" t="str">
            <v>B604242/A</v>
          </cell>
          <cell r="D5778" t="str">
            <v>RH9841F424</v>
          </cell>
          <cell r="E5778">
            <v>1</v>
          </cell>
        </row>
        <row r="5779">
          <cell r="C5779" t="str">
            <v>B604243/A</v>
          </cell>
          <cell r="D5779" t="str">
            <v>RH9841F424</v>
          </cell>
          <cell r="E5779">
            <v>5</v>
          </cell>
        </row>
        <row r="5780">
          <cell r="C5780" t="str">
            <v>B604245/A</v>
          </cell>
          <cell r="D5780" t="str">
            <v>RH9842F425</v>
          </cell>
          <cell r="E5780">
            <v>22</v>
          </cell>
        </row>
        <row r="5781">
          <cell r="C5781" t="str">
            <v>B604351/A</v>
          </cell>
          <cell r="D5781" t="str">
            <v>RH9856F423</v>
          </cell>
          <cell r="E5781">
            <v>1</v>
          </cell>
        </row>
        <row r="5782">
          <cell r="C5782" t="str">
            <v>B604352/A</v>
          </cell>
          <cell r="D5782" t="str">
            <v>RH9856F423</v>
          </cell>
          <cell r="E5782">
            <v>12</v>
          </cell>
        </row>
        <row r="5783">
          <cell r="C5783" t="str">
            <v>B604353/A</v>
          </cell>
          <cell r="D5783" t="str">
            <v>RH9856F423</v>
          </cell>
          <cell r="E5783">
            <v>12</v>
          </cell>
        </row>
        <row r="5784">
          <cell r="C5784" t="str">
            <v>B604355/A</v>
          </cell>
          <cell r="D5784" t="str">
            <v>RH9856F424</v>
          </cell>
          <cell r="E5784">
            <v>7</v>
          </cell>
        </row>
        <row r="5785">
          <cell r="C5785" t="str">
            <v>B604358/A</v>
          </cell>
          <cell r="D5785" t="str">
            <v>RH9856F425</v>
          </cell>
          <cell r="E5785">
            <v>1</v>
          </cell>
        </row>
        <row r="5786">
          <cell r="C5786" t="str">
            <v>B604359/A</v>
          </cell>
          <cell r="D5786" t="str">
            <v>RH9856F425</v>
          </cell>
          <cell r="E5786">
            <v>1</v>
          </cell>
        </row>
        <row r="5787">
          <cell r="C5787" t="str">
            <v>B604362/A</v>
          </cell>
          <cell r="D5787" t="str">
            <v>RH9856F426</v>
          </cell>
          <cell r="E5787">
            <v>5</v>
          </cell>
        </row>
        <row r="5788">
          <cell r="C5788" t="str">
            <v>B604363/A</v>
          </cell>
          <cell r="D5788" t="str">
            <v>RH9856F426</v>
          </cell>
          <cell r="E5788">
            <v>7</v>
          </cell>
        </row>
        <row r="5789">
          <cell r="C5789" t="str">
            <v>B604365/A</v>
          </cell>
          <cell r="D5789" t="str">
            <v>RH9860F423</v>
          </cell>
          <cell r="E5789">
            <v>10</v>
          </cell>
        </row>
        <row r="5790">
          <cell r="C5790" t="str">
            <v>B604367/A</v>
          </cell>
          <cell r="D5790" t="str">
            <v>RH9860F426</v>
          </cell>
          <cell r="E5790">
            <v>3</v>
          </cell>
        </row>
        <row r="5791">
          <cell r="C5791" t="str">
            <v>B604369/A</v>
          </cell>
          <cell r="D5791" t="str">
            <v>RH9861F426</v>
          </cell>
          <cell r="E5791">
            <v>10</v>
          </cell>
        </row>
        <row r="5792">
          <cell r="C5792" t="str">
            <v>B604247/A</v>
          </cell>
          <cell r="D5792" t="str">
            <v>RH9874F423</v>
          </cell>
          <cell r="E5792">
            <v>4</v>
          </cell>
        </row>
        <row r="5793">
          <cell r="C5793" t="str">
            <v>B604249/A</v>
          </cell>
          <cell r="D5793" t="str">
            <v>RH9874F424</v>
          </cell>
          <cell r="E5793">
            <v>6</v>
          </cell>
        </row>
        <row r="5794">
          <cell r="C5794" t="str">
            <v>B604251/A</v>
          </cell>
          <cell r="D5794" t="str">
            <v>RH9874F425</v>
          </cell>
          <cell r="E5794">
            <v>6</v>
          </cell>
        </row>
        <row r="5795">
          <cell r="C5795" t="str">
            <v>B604253/A</v>
          </cell>
          <cell r="D5795" t="str">
            <v>RH9874F426</v>
          </cell>
          <cell r="E5795">
            <v>14</v>
          </cell>
        </row>
        <row r="5796">
          <cell r="C5796" t="str">
            <v>B604371/A</v>
          </cell>
          <cell r="D5796" t="str">
            <v>RH9949NF423</v>
          </cell>
          <cell r="E5796">
            <v>2</v>
          </cell>
        </row>
        <row r="5797">
          <cell r="C5797" t="str">
            <v>B604373/A</v>
          </cell>
          <cell r="D5797" t="str">
            <v>RH9949NF426</v>
          </cell>
          <cell r="E5797">
            <v>9</v>
          </cell>
        </row>
        <row r="5798">
          <cell r="C5798" t="str">
            <v>B604255/A</v>
          </cell>
          <cell r="D5798" t="str">
            <v>RH9953F01</v>
          </cell>
          <cell r="E5798">
            <v>20</v>
          </cell>
        </row>
        <row r="5799">
          <cell r="C5799" t="str">
            <v>B604375/A</v>
          </cell>
          <cell r="D5799" t="str">
            <v>RH9972F423</v>
          </cell>
          <cell r="E5799">
            <v>26</v>
          </cell>
        </row>
        <row r="5800">
          <cell r="C5800" t="str">
            <v>B604377/A</v>
          </cell>
          <cell r="D5800" t="str">
            <v>RH9972F425</v>
          </cell>
          <cell r="E5800">
            <v>8</v>
          </cell>
        </row>
        <row r="5801">
          <cell r="C5801" t="str">
            <v>B604379/A</v>
          </cell>
          <cell r="D5801" t="str">
            <v>RH9972F426</v>
          </cell>
          <cell r="E5801">
            <v>12</v>
          </cell>
        </row>
        <row r="5802">
          <cell r="C5802" t="str">
            <v>B597957/A</v>
          </cell>
          <cell r="D5802" t="str">
            <v>RH9986F382</v>
          </cell>
          <cell r="E5802">
            <v>4</v>
          </cell>
        </row>
        <row r="5803">
          <cell r="C5803" t="str">
            <v>B597959/A</v>
          </cell>
          <cell r="D5803" t="str">
            <v>RH9986F384</v>
          </cell>
          <cell r="E5803">
            <v>2</v>
          </cell>
        </row>
        <row r="5804">
          <cell r="C5804" t="str">
            <v>B597961/A</v>
          </cell>
          <cell r="D5804" t="str">
            <v>RH9986F409</v>
          </cell>
          <cell r="E5804">
            <v>7</v>
          </cell>
        </row>
        <row r="5805">
          <cell r="C5805" t="str">
            <v>B597963/A</v>
          </cell>
          <cell r="D5805" t="str">
            <v>RH9989F382</v>
          </cell>
          <cell r="E5805">
            <v>10</v>
          </cell>
        </row>
        <row r="5806">
          <cell r="C5806" t="str">
            <v>B597966/A</v>
          </cell>
          <cell r="D5806" t="str">
            <v>RH9989F384</v>
          </cell>
          <cell r="E5806">
            <v>1</v>
          </cell>
        </row>
        <row r="5807">
          <cell r="C5807" t="str">
            <v>B597967/A</v>
          </cell>
          <cell r="D5807" t="str">
            <v>RH9989F384</v>
          </cell>
          <cell r="E5807">
            <v>4</v>
          </cell>
        </row>
        <row r="5808">
          <cell r="C5808" t="str">
            <v>B597971/A</v>
          </cell>
          <cell r="D5808" t="str">
            <v>RH9989F409</v>
          </cell>
          <cell r="E5808">
            <v>1</v>
          </cell>
        </row>
        <row r="5809">
          <cell r="C5809" t="str">
            <v>B597972/A</v>
          </cell>
          <cell r="D5809" t="str">
            <v>RH9989F409</v>
          </cell>
          <cell r="E5809">
            <v>9</v>
          </cell>
        </row>
        <row r="5810">
          <cell r="C5810" t="str">
            <v>B597973/A</v>
          </cell>
          <cell r="D5810" t="str">
            <v>RH9989F409</v>
          </cell>
          <cell r="E5810">
            <v>16</v>
          </cell>
        </row>
        <row r="5811">
          <cell r="C5811" t="str">
            <v>B604411/A</v>
          </cell>
          <cell r="D5811" t="str">
            <v>SH379F506</v>
          </cell>
          <cell r="E5811">
            <v>33</v>
          </cell>
        </row>
        <row r="5812">
          <cell r="C5812" t="str">
            <v>B594238/A</v>
          </cell>
          <cell r="D5812" t="str">
            <v>SH568F846</v>
          </cell>
          <cell r="E5812">
            <v>20</v>
          </cell>
        </row>
        <row r="5813">
          <cell r="C5813" t="str">
            <v>B594239/A</v>
          </cell>
          <cell r="D5813" t="str">
            <v>SH568F846</v>
          </cell>
          <cell r="E5813">
            <v>10</v>
          </cell>
        </row>
        <row r="5814">
          <cell r="C5814" t="str">
            <v>B594134/A</v>
          </cell>
          <cell r="D5814" t="str">
            <v>SH758AF521</v>
          </cell>
          <cell r="E5814">
            <v>30</v>
          </cell>
        </row>
        <row r="5815">
          <cell r="C5815" t="str">
            <v>B594135/A</v>
          </cell>
          <cell r="D5815" t="str">
            <v>SH758AF521</v>
          </cell>
          <cell r="E5815">
            <v>22</v>
          </cell>
        </row>
        <row r="5816">
          <cell r="C5816" t="str">
            <v>B604481/A</v>
          </cell>
          <cell r="D5816" t="str">
            <v>SH843F1190.US-31858</v>
          </cell>
          <cell r="E5816">
            <v>50</v>
          </cell>
        </row>
        <row r="5817">
          <cell r="C5817" t="str">
            <v>B603986/A</v>
          </cell>
          <cell r="D5817" t="str">
            <v>DL016WF836-SHBT</v>
          </cell>
          <cell r="E5817">
            <v>3</v>
          </cell>
        </row>
        <row r="5818">
          <cell r="C5818" t="str">
            <v>B603953/A</v>
          </cell>
          <cell r="D5818" t="str">
            <v>RH2125F95.BC-SHMES</v>
          </cell>
          <cell r="E5818">
            <v>1</v>
          </cell>
        </row>
        <row r="5819">
          <cell r="C5819" t="str">
            <v>B603995/A</v>
          </cell>
          <cell r="D5819" t="str">
            <v>RH3039F08.EU</v>
          </cell>
          <cell r="E5819">
            <v>108</v>
          </cell>
        </row>
        <row r="5820">
          <cell r="C5820" t="str">
            <v>B603997/A</v>
          </cell>
          <cell r="D5820" t="str">
            <v>RH3039F09.EU</v>
          </cell>
          <cell r="E5820">
            <v>108</v>
          </cell>
        </row>
        <row r="5821">
          <cell r="C5821" t="str">
            <v>B604519/A</v>
          </cell>
          <cell r="D5821" t="str">
            <v>RH337F05-SRFT</v>
          </cell>
          <cell r="E5821">
            <v>1</v>
          </cell>
        </row>
        <row r="5822">
          <cell r="C5822" t="str">
            <v>B604002/A</v>
          </cell>
          <cell r="D5822" t="str">
            <v>RH7456F381</v>
          </cell>
          <cell r="E5822">
            <v>20</v>
          </cell>
        </row>
        <row r="5823">
          <cell r="C5823" t="str">
            <v>B604005/A</v>
          </cell>
          <cell r="D5823" t="str">
            <v>RH7456F382</v>
          </cell>
          <cell r="E5823">
            <v>20</v>
          </cell>
        </row>
        <row r="5824">
          <cell r="C5824" t="str">
            <v>B603958/A</v>
          </cell>
          <cell r="D5824" t="str">
            <v>RH7456F383</v>
          </cell>
          <cell r="E5824">
            <v>20</v>
          </cell>
        </row>
        <row r="5825">
          <cell r="C5825" t="str">
            <v>B604007/A</v>
          </cell>
          <cell r="D5825" t="str">
            <v>RH7591F381</v>
          </cell>
          <cell r="E5825">
            <v>108</v>
          </cell>
        </row>
        <row r="5826">
          <cell r="C5826" t="str">
            <v>B604008/A</v>
          </cell>
          <cell r="D5826" t="str">
            <v>RH7591F381.EU</v>
          </cell>
          <cell r="E5826">
            <v>108</v>
          </cell>
        </row>
        <row r="5827">
          <cell r="C5827" t="str">
            <v>B604012/A</v>
          </cell>
          <cell r="D5827" t="str">
            <v>RH7591F382</v>
          </cell>
          <cell r="E5827">
            <v>108</v>
          </cell>
        </row>
        <row r="5828">
          <cell r="C5828" t="str">
            <v>B604014/A</v>
          </cell>
          <cell r="D5828" t="str">
            <v>RH7591F382.EU</v>
          </cell>
          <cell r="E5828">
            <v>108</v>
          </cell>
        </row>
        <row r="5829">
          <cell r="C5829" t="str">
            <v>B604019/A</v>
          </cell>
          <cell r="D5829" t="str">
            <v>RH7591F383</v>
          </cell>
          <cell r="E5829">
            <v>108</v>
          </cell>
        </row>
        <row r="5830">
          <cell r="C5830" t="str">
            <v>B604021/A</v>
          </cell>
          <cell r="D5830" t="str">
            <v>RH7591F383.EU</v>
          </cell>
          <cell r="E5830">
            <v>108</v>
          </cell>
        </row>
        <row r="5831">
          <cell r="C5831" t="str">
            <v>B604026/A</v>
          </cell>
          <cell r="D5831" t="str">
            <v>RH7591F409</v>
          </cell>
          <cell r="E5831">
            <v>108</v>
          </cell>
        </row>
        <row r="5832">
          <cell r="C5832" t="str">
            <v>B604030/A</v>
          </cell>
          <cell r="D5832" t="str">
            <v>RH850F26-STZS</v>
          </cell>
          <cell r="E5832">
            <v>1</v>
          </cell>
        </row>
        <row r="5833">
          <cell r="C5833" t="str">
            <v>B605264/A</v>
          </cell>
          <cell r="D5833" t="str">
            <v>RH11592F451</v>
          </cell>
          <cell r="E5833">
            <v>13</v>
          </cell>
        </row>
        <row r="5834">
          <cell r="C5834" t="str">
            <v>B605261/A</v>
          </cell>
          <cell r="D5834" t="str">
            <v>RH11592F456</v>
          </cell>
          <cell r="E5834">
            <v>15</v>
          </cell>
        </row>
        <row r="5835">
          <cell r="C5835" t="str">
            <v>B603846/A</v>
          </cell>
          <cell r="D5835" t="str">
            <v>AR125F906-BASE</v>
          </cell>
          <cell r="E5835">
            <v>26</v>
          </cell>
        </row>
        <row r="5836">
          <cell r="C5836" t="str">
            <v>B605704/A</v>
          </cell>
          <cell r="D5836" t="str">
            <v>AR165F834</v>
          </cell>
          <cell r="E5836">
            <v>11</v>
          </cell>
        </row>
        <row r="5837">
          <cell r="C5837" t="str">
            <v>B605705/A</v>
          </cell>
          <cell r="D5837" t="str">
            <v>AR165F834</v>
          </cell>
          <cell r="E5837">
            <v>14</v>
          </cell>
        </row>
        <row r="5838">
          <cell r="C5838" t="str">
            <v>B603849/A</v>
          </cell>
          <cell r="D5838" t="str">
            <v>AR186F834-BASE</v>
          </cell>
          <cell r="E5838">
            <v>5</v>
          </cell>
        </row>
        <row r="5839">
          <cell r="C5839" t="str">
            <v>B603850/A</v>
          </cell>
          <cell r="D5839" t="str">
            <v>AR186F834-BASE</v>
          </cell>
          <cell r="E5839">
            <v>20</v>
          </cell>
        </row>
        <row r="5840">
          <cell r="C5840" t="str">
            <v>B605990/A</v>
          </cell>
          <cell r="D5840" t="str">
            <v>AR186F834-HUTCH</v>
          </cell>
          <cell r="E5840">
            <v>6</v>
          </cell>
        </row>
        <row r="5841">
          <cell r="C5841" t="str">
            <v>B605991/A</v>
          </cell>
          <cell r="D5841" t="str">
            <v>AR186F834-HUTCH</v>
          </cell>
          <cell r="E5841">
            <v>19</v>
          </cell>
        </row>
        <row r="5842">
          <cell r="C5842" t="str">
            <v>B605994/A</v>
          </cell>
          <cell r="D5842" t="str">
            <v>AR186F906-HUTCH</v>
          </cell>
          <cell r="E5842">
            <v>5</v>
          </cell>
        </row>
        <row r="5843">
          <cell r="C5843" t="str">
            <v>B605995/A</v>
          </cell>
          <cell r="D5843" t="str">
            <v>AR186F906-HUTCH</v>
          </cell>
          <cell r="E5843">
            <v>20</v>
          </cell>
        </row>
        <row r="5844">
          <cell r="C5844" t="str">
            <v>B598109/A</v>
          </cell>
          <cell r="D5844" t="str">
            <v>AR306F906-TOP</v>
          </cell>
          <cell r="E5844">
            <v>6</v>
          </cell>
        </row>
        <row r="5845">
          <cell r="C5845" t="str">
            <v>B598110/A</v>
          </cell>
          <cell r="D5845" t="str">
            <v>AR306F906-TOP</v>
          </cell>
          <cell r="E5845">
            <v>19</v>
          </cell>
        </row>
        <row r="5846">
          <cell r="C5846" t="str">
            <v>B605708/A</v>
          </cell>
          <cell r="D5846" t="str">
            <v>AR371NF1049</v>
          </cell>
          <cell r="E5846">
            <v>9</v>
          </cell>
        </row>
        <row r="5847">
          <cell r="C5847" t="str">
            <v>B605709/A</v>
          </cell>
          <cell r="D5847" t="str">
            <v>AR371NF1049</v>
          </cell>
          <cell r="E5847">
            <v>21</v>
          </cell>
        </row>
        <row r="5848">
          <cell r="C5848" t="str">
            <v>B606016/A</v>
          </cell>
          <cell r="D5848" t="str">
            <v>AR805F1001</v>
          </cell>
          <cell r="E5848">
            <v>7</v>
          </cell>
        </row>
        <row r="5849">
          <cell r="C5849" t="str">
            <v>B606017/A</v>
          </cell>
          <cell r="D5849" t="str">
            <v>AR805F1001</v>
          </cell>
          <cell r="E5849">
            <v>18</v>
          </cell>
        </row>
        <row r="5850">
          <cell r="C5850" t="str">
            <v>B605712/A</v>
          </cell>
          <cell r="D5850" t="str">
            <v>AR833F906-FB</v>
          </cell>
          <cell r="E5850">
            <v>3</v>
          </cell>
        </row>
        <row r="5851">
          <cell r="C5851" t="str">
            <v>B605713/A</v>
          </cell>
          <cell r="D5851" t="str">
            <v>AR833F906-FB</v>
          </cell>
          <cell r="E5851">
            <v>7</v>
          </cell>
        </row>
        <row r="5852">
          <cell r="C5852" t="str">
            <v>B605716/A</v>
          </cell>
          <cell r="D5852" t="str">
            <v>AR833F906-HBPL</v>
          </cell>
          <cell r="E5852">
            <v>3</v>
          </cell>
        </row>
        <row r="5853">
          <cell r="C5853" t="str">
            <v>B605717/A</v>
          </cell>
          <cell r="D5853" t="str">
            <v>AR833F906-HBPL</v>
          </cell>
          <cell r="E5853">
            <v>7</v>
          </cell>
        </row>
        <row r="5854">
          <cell r="C5854" t="str">
            <v>B605720/A</v>
          </cell>
          <cell r="D5854" t="str">
            <v>AR833F906-SR</v>
          </cell>
          <cell r="E5854">
            <v>3</v>
          </cell>
        </row>
        <row r="5855">
          <cell r="C5855" t="str">
            <v>B605721/A</v>
          </cell>
          <cell r="D5855" t="str">
            <v>AR833F906-SR</v>
          </cell>
          <cell r="E5855">
            <v>7</v>
          </cell>
        </row>
        <row r="5856">
          <cell r="C5856" t="str">
            <v>B606020/A</v>
          </cell>
          <cell r="D5856" t="str">
            <v>AR981AF1221</v>
          </cell>
          <cell r="E5856">
            <v>7</v>
          </cell>
        </row>
        <row r="5857">
          <cell r="C5857" t="str">
            <v>B606021/A</v>
          </cell>
          <cell r="D5857" t="str">
            <v>AR981AF1221</v>
          </cell>
          <cell r="E5857">
            <v>18</v>
          </cell>
        </row>
        <row r="5858">
          <cell r="C5858" t="str">
            <v>B606023/A</v>
          </cell>
          <cell r="D5858" t="str">
            <v>AR996F1291</v>
          </cell>
          <cell r="E5858">
            <v>25</v>
          </cell>
        </row>
        <row r="5859">
          <cell r="C5859" t="str">
            <v>B606028/A</v>
          </cell>
          <cell r="D5859" t="str">
            <v>AR998F1291</v>
          </cell>
          <cell r="E5859">
            <v>7</v>
          </cell>
        </row>
        <row r="5860">
          <cell r="C5860" t="str">
            <v>B606030/A</v>
          </cell>
          <cell r="D5860" t="str">
            <v>AR998F1291</v>
          </cell>
          <cell r="E5860">
            <v>18</v>
          </cell>
        </row>
        <row r="5861">
          <cell r="C5861" t="str">
            <v>B605806/A</v>
          </cell>
          <cell r="D5861" t="str">
            <v>AT305NF1089-VE</v>
          </cell>
          <cell r="E5861">
            <v>25</v>
          </cell>
        </row>
        <row r="5862">
          <cell r="C5862" t="str">
            <v>B605808/A</v>
          </cell>
          <cell r="D5862" t="str">
            <v>AT383F1089-VE</v>
          </cell>
          <cell r="E5862">
            <v>25</v>
          </cell>
        </row>
        <row r="5863">
          <cell r="C5863" t="str">
            <v>B605810/A</v>
          </cell>
          <cell r="D5863" t="str">
            <v>AT383F535-VE</v>
          </cell>
          <cell r="E5863">
            <v>25</v>
          </cell>
        </row>
        <row r="5864">
          <cell r="C5864" t="str">
            <v>B605812/A</v>
          </cell>
          <cell r="D5864" t="str">
            <v>AT384F1089-VE</v>
          </cell>
          <cell r="E5864">
            <v>25</v>
          </cell>
        </row>
        <row r="5865">
          <cell r="C5865" t="str">
            <v>B605814/A</v>
          </cell>
          <cell r="D5865" t="str">
            <v>AT481F1059</v>
          </cell>
          <cell r="E5865">
            <v>50</v>
          </cell>
        </row>
        <row r="5866">
          <cell r="C5866" t="str">
            <v>B605816/A</v>
          </cell>
          <cell r="D5866" t="str">
            <v>AT522NF1059</v>
          </cell>
          <cell r="E5866">
            <v>25</v>
          </cell>
        </row>
        <row r="5867">
          <cell r="C5867" t="str">
            <v>B605818/A</v>
          </cell>
          <cell r="D5867" t="str">
            <v>AT522NF1237</v>
          </cell>
          <cell r="E5867">
            <v>25</v>
          </cell>
        </row>
        <row r="5868">
          <cell r="C5868" t="str">
            <v>B605820/A</v>
          </cell>
          <cell r="D5868" t="str">
            <v>AT574F1089-VE</v>
          </cell>
          <cell r="E5868">
            <v>25</v>
          </cell>
        </row>
        <row r="5869">
          <cell r="C5869" t="str">
            <v>B605822/A</v>
          </cell>
          <cell r="D5869" t="str">
            <v>AT574F888-VE</v>
          </cell>
          <cell r="E5869">
            <v>25</v>
          </cell>
        </row>
        <row r="5870">
          <cell r="C5870" t="str">
            <v>B605826/A</v>
          </cell>
          <cell r="D5870" t="str">
            <v>CZ044NF09</v>
          </cell>
          <cell r="E5870">
            <v>22</v>
          </cell>
        </row>
        <row r="5871">
          <cell r="C5871" t="str">
            <v>B605829/A</v>
          </cell>
          <cell r="D5871" t="str">
            <v>CZ044NF10</v>
          </cell>
          <cell r="E5871">
            <v>10</v>
          </cell>
        </row>
        <row r="5872">
          <cell r="C5872" t="str">
            <v>B605830/A</v>
          </cell>
          <cell r="D5872" t="str">
            <v>CZ044NF10</v>
          </cell>
          <cell r="E5872">
            <v>12</v>
          </cell>
        </row>
        <row r="5873">
          <cell r="C5873" t="str">
            <v>B605833/A</v>
          </cell>
          <cell r="D5873" t="str">
            <v>CZ047NF190</v>
          </cell>
          <cell r="E5873">
            <v>9</v>
          </cell>
        </row>
        <row r="5874">
          <cell r="C5874" t="str">
            <v>B605834/A</v>
          </cell>
          <cell r="D5874" t="str">
            <v>CZ047NF190</v>
          </cell>
          <cell r="E5874">
            <v>4</v>
          </cell>
        </row>
        <row r="5875">
          <cell r="C5875" t="str">
            <v>B605836/A</v>
          </cell>
          <cell r="D5875" t="str">
            <v>CZ047NF191</v>
          </cell>
          <cell r="E5875">
            <v>11</v>
          </cell>
        </row>
        <row r="5876">
          <cell r="C5876" t="str">
            <v>B605391/A</v>
          </cell>
          <cell r="D5876" t="str">
            <v>CZ051F10</v>
          </cell>
          <cell r="E5876">
            <v>8</v>
          </cell>
        </row>
        <row r="5877">
          <cell r="C5877" t="str">
            <v>B605394/A</v>
          </cell>
          <cell r="D5877" t="str">
            <v>CZ051F190</v>
          </cell>
          <cell r="E5877">
            <v>2</v>
          </cell>
        </row>
        <row r="5878">
          <cell r="C5878" t="str">
            <v>B605395/A</v>
          </cell>
          <cell r="D5878" t="str">
            <v>CZ051F190</v>
          </cell>
          <cell r="E5878">
            <v>3</v>
          </cell>
        </row>
        <row r="5879">
          <cell r="C5879" t="str">
            <v>B605398/A</v>
          </cell>
          <cell r="D5879" t="str">
            <v>CZ051F191</v>
          </cell>
          <cell r="E5879">
            <v>7</v>
          </cell>
        </row>
        <row r="5880">
          <cell r="C5880" t="str">
            <v>B605399/A</v>
          </cell>
          <cell r="D5880" t="str">
            <v>CZ051F191</v>
          </cell>
          <cell r="E5880">
            <v>2</v>
          </cell>
        </row>
        <row r="5881">
          <cell r="C5881" t="str">
            <v>B605401/A</v>
          </cell>
          <cell r="D5881" t="str">
            <v>CZ064F10</v>
          </cell>
          <cell r="E5881">
            <v>1</v>
          </cell>
        </row>
        <row r="5882">
          <cell r="C5882" t="str">
            <v>B605404/A</v>
          </cell>
          <cell r="D5882" t="str">
            <v>CZ127F08</v>
          </cell>
          <cell r="E5882">
            <v>3</v>
          </cell>
        </row>
        <row r="5883">
          <cell r="C5883" t="str">
            <v>B605406/A</v>
          </cell>
          <cell r="D5883" t="str">
            <v>CZ127F09</v>
          </cell>
          <cell r="E5883">
            <v>19</v>
          </cell>
        </row>
        <row r="5884">
          <cell r="C5884" t="str">
            <v>B605408/A</v>
          </cell>
          <cell r="D5884" t="str">
            <v>CZ127F191</v>
          </cell>
          <cell r="E5884">
            <v>1</v>
          </cell>
        </row>
        <row r="5885">
          <cell r="C5885" t="str">
            <v>B605410/A</v>
          </cell>
          <cell r="D5885" t="str">
            <v>CZ129F08</v>
          </cell>
          <cell r="E5885">
            <v>7</v>
          </cell>
        </row>
        <row r="5886">
          <cell r="C5886" t="str">
            <v>B605413/A</v>
          </cell>
          <cell r="D5886" t="str">
            <v>CZ129F09</v>
          </cell>
          <cell r="E5886">
            <v>10</v>
          </cell>
        </row>
        <row r="5887">
          <cell r="C5887" t="str">
            <v>B605414/A</v>
          </cell>
          <cell r="D5887" t="str">
            <v>CZ129F09</v>
          </cell>
          <cell r="E5887">
            <v>19</v>
          </cell>
        </row>
        <row r="5888">
          <cell r="C5888" t="str">
            <v>B605416/A</v>
          </cell>
          <cell r="D5888" t="str">
            <v>CZ130F08</v>
          </cell>
          <cell r="E5888">
            <v>7</v>
          </cell>
        </row>
        <row r="5889">
          <cell r="C5889" t="str">
            <v>B605418/A</v>
          </cell>
          <cell r="D5889" t="str">
            <v>CZ130F10</v>
          </cell>
          <cell r="E5889">
            <v>12</v>
          </cell>
        </row>
        <row r="5890">
          <cell r="C5890" t="str">
            <v>B605420/A</v>
          </cell>
          <cell r="D5890" t="str">
            <v>CZ130F190</v>
          </cell>
          <cell r="E5890">
            <v>23</v>
          </cell>
        </row>
        <row r="5891">
          <cell r="C5891" t="str">
            <v>B605422/A</v>
          </cell>
          <cell r="D5891" t="str">
            <v>CZ136F09</v>
          </cell>
          <cell r="E5891">
            <v>26</v>
          </cell>
        </row>
        <row r="5892">
          <cell r="C5892" t="str">
            <v>B605425/A</v>
          </cell>
          <cell r="D5892" t="str">
            <v>CZ580F08</v>
          </cell>
          <cell r="E5892">
            <v>11</v>
          </cell>
        </row>
        <row r="5893">
          <cell r="C5893" t="str">
            <v>B605426/A</v>
          </cell>
          <cell r="D5893" t="str">
            <v>CZ580F08</v>
          </cell>
          <cell r="E5893">
            <v>2</v>
          </cell>
        </row>
        <row r="5894">
          <cell r="C5894" t="str">
            <v>B605429/A</v>
          </cell>
          <cell r="D5894" t="str">
            <v>CZ580F09</v>
          </cell>
          <cell r="E5894">
            <v>3</v>
          </cell>
        </row>
        <row r="5895">
          <cell r="C5895" t="str">
            <v>B605430/A</v>
          </cell>
          <cell r="D5895" t="str">
            <v>CZ580F09</v>
          </cell>
          <cell r="E5895">
            <v>19</v>
          </cell>
        </row>
        <row r="5896">
          <cell r="C5896" t="str">
            <v>B605432/A</v>
          </cell>
          <cell r="D5896" t="str">
            <v>CZ580F190</v>
          </cell>
          <cell r="E5896">
            <v>5</v>
          </cell>
        </row>
        <row r="5897">
          <cell r="C5897" t="str">
            <v>B605434/A</v>
          </cell>
          <cell r="D5897" t="str">
            <v>CZ580F191</v>
          </cell>
          <cell r="E5897">
            <v>13</v>
          </cell>
        </row>
        <row r="5898">
          <cell r="C5898" t="str">
            <v>B605438/A</v>
          </cell>
          <cell r="D5898" t="str">
            <v>CZ891F188</v>
          </cell>
          <cell r="E5898">
            <v>2</v>
          </cell>
        </row>
        <row r="5899">
          <cell r="C5899" t="str">
            <v>B605440/A</v>
          </cell>
          <cell r="D5899" t="str">
            <v>CZ891F381</v>
          </cell>
          <cell r="E5899">
            <v>9</v>
          </cell>
        </row>
        <row r="5900">
          <cell r="C5900" t="str">
            <v>B605443/A</v>
          </cell>
          <cell r="D5900" t="str">
            <v>CZ892F188</v>
          </cell>
          <cell r="E5900">
            <v>5</v>
          </cell>
        </row>
        <row r="5901">
          <cell r="C5901" t="str">
            <v>B605444/A</v>
          </cell>
          <cell r="D5901" t="str">
            <v>CZ892F188</v>
          </cell>
          <cell r="E5901">
            <v>5</v>
          </cell>
        </row>
        <row r="5902">
          <cell r="C5902" t="str">
            <v>B605446/A</v>
          </cell>
          <cell r="D5902" t="str">
            <v>CZ892F196</v>
          </cell>
          <cell r="E5902">
            <v>4</v>
          </cell>
        </row>
        <row r="5903">
          <cell r="C5903" t="str">
            <v>B605448/A</v>
          </cell>
          <cell r="D5903" t="str">
            <v>CZ892F409</v>
          </cell>
          <cell r="E5903">
            <v>7</v>
          </cell>
        </row>
        <row r="5904">
          <cell r="C5904" t="str">
            <v>B605450/A</v>
          </cell>
          <cell r="D5904" t="str">
            <v>CZ893F381</v>
          </cell>
          <cell r="E5904">
            <v>2</v>
          </cell>
        </row>
        <row r="5905">
          <cell r="C5905" t="str">
            <v>B605452/A</v>
          </cell>
          <cell r="D5905" t="str">
            <v>CZ893F409</v>
          </cell>
          <cell r="E5905">
            <v>9</v>
          </cell>
        </row>
        <row r="5906">
          <cell r="C5906" t="str">
            <v>B605842/A</v>
          </cell>
          <cell r="D5906" t="str">
            <v>JV008F989</v>
          </cell>
          <cell r="E5906">
            <v>25</v>
          </cell>
        </row>
        <row r="5907">
          <cell r="C5907" t="str">
            <v>B605844/A</v>
          </cell>
          <cell r="D5907" t="str">
            <v>JV063F1312</v>
          </cell>
          <cell r="E5907">
            <v>22</v>
          </cell>
        </row>
        <row r="5908">
          <cell r="C5908" t="str">
            <v>B605846/A</v>
          </cell>
          <cell r="D5908" t="str">
            <v>JV063F1313</v>
          </cell>
          <cell r="E5908">
            <v>25</v>
          </cell>
        </row>
        <row r="5909">
          <cell r="C5909" t="str">
            <v>B605848/A</v>
          </cell>
          <cell r="D5909" t="str">
            <v>JV065F1312</v>
          </cell>
          <cell r="E5909">
            <v>45</v>
          </cell>
        </row>
        <row r="5910">
          <cell r="C5910" t="str">
            <v>B605850/A</v>
          </cell>
          <cell r="D5910" t="str">
            <v>JV065F1313</v>
          </cell>
          <cell r="E5910">
            <v>30</v>
          </cell>
        </row>
        <row r="5911">
          <cell r="C5911" t="str">
            <v>B605852/A</v>
          </cell>
          <cell r="D5911" t="str">
            <v>JV067F1312</v>
          </cell>
          <cell r="E5911">
            <v>25</v>
          </cell>
        </row>
        <row r="5912">
          <cell r="C5912" t="str">
            <v>B605854/A</v>
          </cell>
          <cell r="D5912" t="str">
            <v>JV067F1313</v>
          </cell>
          <cell r="E5912">
            <v>22</v>
          </cell>
        </row>
        <row r="5913">
          <cell r="C5913" t="str">
            <v>B606042/A</v>
          </cell>
          <cell r="D5913" t="str">
            <v>RH071NF03</v>
          </cell>
          <cell r="E5913">
            <v>14</v>
          </cell>
        </row>
        <row r="5914">
          <cell r="C5914" t="str">
            <v>B606043/A</v>
          </cell>
          <cell r="D5914" t="str">
            <v>RH071NF03</v>
          </cell>
          <cell r="E5914">
            <v>1</v>
          </cell>
        </row>
        <row r="5915">
          <cell r="C5915" t="str">
            <v>B605459/A</v>
          </cell>
          <cell r="D5915" t="str">
            <v>RH072NF01</v>
          </cell>
          <cell r="E5915">
            <v>9</v>
          </cell>
        </row>
        <row r="5916">
          <cell r="C5916" t="str">
            <v>B605460/A</v>
          </cell>
          <cell r="D5916" t="str">
            <v>RH072NF01</v>
          </cell>
          <cell r="E5916">
            <v>12</v>
          </cell>
        </row>
        <row r="5917">
          <cell r="C5917" t="str">
            <v>B605462/A</v>
          </cell>
          <cell r="D5917" t="str">
            <v>RH072NF02</v>
          </cell>
          <cell r="E5917">
            <v>4</v>
          </cell>
        </row>
        <row r="5918">
          <cell r="C5918" t="str">
            <v>B605467/A</v>
          </cell>
          <cell r="D5918" t="str">
            <v>RH10011F423</v>
          </cell>
          <cell r="E5918">
            <v>4</v>
          </cell>
        </row>
        <row r="5919">
          <cell r="C5919" t="str">
            <v>B605468/A</v>
          </cell>
          <cell r="D5919" t="str">
            <v>RH10011F423</v>
          </cell>
          <cell r="E5919">
            <v>11</v>
          </cell>
        </row>
        <row r="5920">
          <cell r="C5920" t="str">
            <v>B605470/A</v>
          </cell>
          <cell r="D5920" t="str">
            <v>RH10011F426</v>
          </cell>
          <cell r="E5920">
            <v>2</v>
          </cell>
        </row>
        <row r="5921">
          <cell r="C5921" t="str">
            <v>B605473/A</v>
          </cell>
          <cell r="D5921" t="str">
            <v>RH10024F425</v>
          </cell>
          <cell r="E5921">
            <v>6</v>
          </cell>
        </row>
        <row r="5922">
          <cell r="C5922" t="str">
            <v>B605476/A</v>
          </cell>
          <cell r="D5922" t="str">
            <v>RH10024F426</v>
          </cell>
          <cell r="E5922">
            <v>4</v>
          </cell>
        </row>
        <row r="5923">
          <cell r="C5923" t="str">
            <v>B605480/A</v>
          </cell>
          <cell r="D5923" t="str">
            <v>RH10057NF382</v>
          </cell>
          <cell r="E5923">
            <v>14</v>
          </cell>
        </row>
        <row r="5924">
          <cell r="C5924" t="str">
            <v>B605481/A</v>
          </cell>
          <cell r="D5924" t="str">
            <v>RH10057NF382</v>
          </cell>
          <cell r="E5924">
            <v>4</v>
          </cell>
        </row>
        <row r="5925">
          <cell r="C5925" t="str">
            <v>B605483/A</v>
          </cell>
          <cell r="D5925" t="str">
            <v>RH10057NF384</v>
          </cell>
          <cell r="E5925">
            <v>16</v>
          </cell>
        </row>
        <row r="5926">
          <cell r="C5926" t="str">
            <v>B605485/A</v>
          </cell>
          <cell r="D5926" t="str">
            <v>RH10057NF409</v>
          </cell>
          <cell r="E5926">
            <v>8</v>
          </cell>
        </row>
        <row r="5927">
          <cell r="C5927" t="str">
            <v>B598016/A</v>
          </cell>
          <cell r="D5927" t="str">
            <v>RH10059NF382</v>
          </cell>
          <cell r="E5927">
            <v>2</v>
          </cell>
        </row>
        <row r="5928">
          <cell r="C5928" t="str">
            <v>B598017/A</v>
          </cell>
          <cell r="D5928" t="str">
            <v>RH10059NF382</v>
          </cell>
          <cell r="E5928">
            <v>3</v>
          </cell>
        </row>
        <row r="5929">
          <cell r="C5929" t="str">
            <v>B598019/A</v>
          </cell>
          <cell r="D5929" t="str">
            <v>RH10059NF383</v>
          </cell>
          <cell r="E5929">
            <v>2</v>
          </cell>
        </row>
        <row r="5930">
          <cell r="C5930" t="str">
            <v>B598072/A</v>
          </cell>
          <cell r="D5930" t="str">
            <v>RH10059NF409</v>
          </cell>
          <cell r="E5930">
            <v>3</v>
          </cell>
        </row>
        <row r="5931">
          <cell r="C5931" t="str">
            <v>B598021/A</v>
          </cell>
          <cell r="D5931" t="str">
            <v>RH10059NF409</v>
          </cell>
          <cell r="E5931">
            <v>4</v>
          </cell>
        </row>
        <row r="5932">
          <cell r="C5932" t="str">
            <v>B605487/A</v>
          </cell>
          <cell r="D5932" t="str">
            <v>RH10061F403</v>
          </cell>
          <cell r="E5932">
            <v>2</v>
          </cell>
        </row>
        <row r="5933">
          <cell r="C5933" t="str">
            <v>B605490/A</v>
          </cell>
          <cell r="D5933" t="str">
            <v>RH10061F404</v>
          </cell>
          <cell r="E5933">
            <v>2</v>
          </cell>
        </row>
        <row r="5934">
          <cell r="C5934" t="str">
            <v>B605491/A</v>
          </cell>
          <cell r="D5934" t="str">
            <v>RH10061F404</v>
          </cell>
          <cell r="E5934">
            <v>2</v>
          </cell>
        </row>
        <row r="5935">
          <cell r="C5935" t="str">
            <v>B605494/A</v>
          </cell>
          <cell r="D5935" t="str">
            <v>RH10061F408</v>
          </cell>
          <cell r="E5935">
            <v>7</v>
          </cell>
        </row>
        <row r="5936">
          <cell r="C5936" t="str">
            <v>B605495/A</v>
          </cell>
          <cell r="D5936" t="str">
            <v>RH10061F408</v>
          </cell>
          <cell r="E5936">
            <v>2</v>
          </cell>
        </row>
        <row r="5937">
          <cell r="C5937" t="str">
            <v>B605498/A</v>
          </cell>
          <cell r="D5937" t="str">
            <v>RH10071F403</v>
          </cell>
          <cell r="E5937">
            <v>2</v>
          </cell>
        </row>
        <row r="5938">
          <cell r="C5938" t="str">
            <v>B605499/A</v>
          </cell>
          <cell r="D5938" t="str">
            <v>RH10071F403</v>
          </cell>
          <cell r="E5938">
            <v>2</v>
          </cell>
        </row>
        <row r="5939">
          <cell r="C5939" t="str">
            <v>B605501/A</v>
          </cell>
          <cell r="D5939" t="str">
            <v>RH10071F404</v>
          </cell>
          <cell r="E5939">
            <v>1</v>
          </cell>
        </row>
        <row r="5940">
          <cell r="C5940" t="str">
            <v>B605503/A</v>
          </cell>
          <cell r="D5940" t="str">
            <v>RH10071F405</v>
          </cell>
          <cell r="E5940">
            <v>2</v>
          </cell>
        </row>
        <row r="5941">
          <cell r="C5941" t="str">
            <v>B605506/A</v>
          </cell>
          <cell r="D5941" t="str">
            <v>RH10071F408</v>
          </cell>
          <cell r="E5941">
            <v>2</v>
          </cell>
        </row>
        <row r="5942">
          <cell r="C5942" t="str">
            <v>B605507/A</v>
          </cell>
          <cell r="D5942" t="str">
            <v>RH10071F408</v>
          </cell>
          <cell r="E5942">
            <v>3</v>
          </cell>
        </row>
        <row r="5943">
          <cell r="C5943" t="str">
            <v>B598076/A</v>
          </cell>
          <cell r="D5943" t="str">
            <v>RH10120F382</v>
          </cell>
          <cell r="E5943">
            <v>1</v>
          </cell>
        </row>
        <row r="5944">
          <cell r="C5944" t="str">
            <v>B598080/A</v>
          </cell>
          <cell r="D5944" t="str">
            <v>RH10120F409</v>
          </cell>
          <cell r="E5944">
            <v>5</v>
          </cell>
        </row>
        <row r="5945">
          <cell r="C5945" t="str">
            <v>B600758/A</v>
          </cell>
          <cell r="D5945" t="str">
            <v>RH10120F409</v>
          </cell>
          <cell r="E5945">
            <v>4</v>
          </cell>
        </row>
        <row r="5946">
          <cell r="C5946" t="str">
            <v>B598040/A</v>
          </cell>
          <cell r="D5946" t="str">
            <v>RH10128F382</v>
          </cell>
          <cell r="E5946">
            <v>7</v>
          </cell>
        </row>
        <row r="5947">
          <cell r="C5947" t="str">
            <v>B598086/A</v>
          </cell>
          <cell r="D5947" t="str">
            <v>RH10128F409</v>
          </cell>
          <cell r="E5947">
            <v>3</v>
          </cell>
        </row>
        <row r="5948">
          <cell r="C5948" t="str">
            <v>B598050/A</v>
          </cell>
          <cell r="D5948" t="str">
            <v>RH10172F382</v>
          </cell>
          <cell r="E5948">
            <v>2</v>
          </cell>
        </row>
        <row r="5949">
          <cell r="C5949" t="str">
            <v>B598052/A</v>
          </cell>
          <cell r="D5949" t="str">
            <v>RH10172F383</v>
          </cell>
          <cell r="E5949">
            <v>2</v>
          </cell>
        </row>
        <row r="5950">
          <cell r="C5950" t="str">
            <v>B598058/A</v>
          </cell>
          <cell r="D5950" t="str">
            <v>RH10172F384</v>
          </cell>
          <cell r="E5950">
            <v>3</v>
          </cell>
        </row>
        <row r="5951">
          <cell r="C5951" t="str">
            <v>B598060/A</v>
          </cell>
          <cell r="D5951" t="str">
            <v>RH10172F409</v>
          </cell>
          <cell r="E5951">
            <v>3</v>
          </cell>
        </row>
        <row r="5952">
          <cell r="C5952" t="str">
            <v>B602130/A</v>
          </cell>
          <cell r="D5952" t="str">
            <v>RH10176F382</v>
          </cell>
          <cell r="E5952">
            <v>3</v>
          </cell>
        </row>
        <row r="5953">
          <cell r="C5953" t="str">
            <v>B602133/A</v>
          </cell>
          <cell r="D5953" t="str">
            <v>RH10176F409</v>
          </cell>
          <cell r="E5953">
            <v>18</v>
          </cell>
        </row>
        <row r="5954">
          <cell r="C5954" t="str">
            <v>B602134/A</v>
          </cell>
          <cell r="D5954" t="str">
            <v>RH10176F409</v>
          </cell>
          <cell r="E5954">
            <v>16</v>
          </cell>
        </row>
        <row r="5955">
          <cell r="C5955" t="str">
            <v>B605510/A</v>
          </cell>
          <cell r="D5955" t="str">
            <v>RH108F02</v>
          </cell>
          <cell r="E5955">
            <v>2</v>
          </cell>
        </row>
        <row r="5956">
          <cell r="C5956" t="str">
            <v>B605511/A</v>
          </cell>
          <cell r="D5956" t="str">
            <v>RH108F02</v>
          </cell>
          <cell r="E5956">
            <v>1</v>
          </cell>
        </row>
        <row r="5957">
          <cell r="C5957" t="str">
            <v>B605514/A</v>
          </cell>
          <cell r="D5957" t="str">
            <v>RH108F03</v>
          </cell>
          <cell r="E5957">
            <v>13</v>
          </cell>
        </row>
        <row r="5958">
          <cell r="C5958" t="str">
            <v>B604117/A</v>
          </cell>
          <cell r="D5958" t="str">
            <v>RH11348F451</v>
          </cell>
          <cell r="E5958">
            <v>10</v>
          </cell>
        </row>
        <row r="5959">
          <cell r="C5959" t="str">
            <v>B604119/A</v>
          </cell>
          <cell r="D5959" t="str">
            <v>RH11348F456</v>
          </cell>
          <cell r="E5959">
            <v>8</v>
          </cell>
        </row>
        <row r="5960">
          <cell r="C5960" t="str">
            <v>B605856/A</v>
          </cell>
          <cell r="D5960" t="str">
            <v>RH1159F29</v>
          </cell>
          <cell r="E5960">
            <v>1</v>
          </cell>
        </row>
        <row r="5961">
          <cell r="C5961" t="str">
            <v>B605517/A</v>
          </cell>
          <cell r="D5961" t="str">
            <v>RH1171F03</v>
          </cell>
          <cell r="E5961">
            <v>23</v>
          </cell>
        </row>
        <row r="5962">
          <cell r="C5962" t="str">
            <v>B605518/A</v>
          </cell>
          <cell r="D5962" t="str">
            <v>RH1171F03</v>
          </cell>
          <cell r="E5962">
            <v>23</v>
          </cell>
        </row>
        <row r="5963">
          <cell r="C5963" t="str">
            <v>B606046/A</v>
          </cell>
          <cell r="D5963" t="str">
            <v>RH125F03</v>
          </cell>
          <cell r="E5963">
            <v>9</v>
          </cell>
        </row>
        <row r="5964">
          <cell r="C5964" t="str">
            <v>B605520/A</v>
          </cell>
          <cell r="D5964" t="str">
            <v>RH1333NF01</v>
          </cell>
          <cell r="E5964">
            <v>10</v>
          </cell>
        </row>
        <row r="5965">
          <cell r="C5965" t="str">
            <v>B605522/A</v>
          </cell>
          <cell r="D5965" t="str">
            <v>RH1333NF03</v>
          </cell>
          <cell r="E5965">
            <v>20</v>
          </cell>
        </row>
        <row r="5966">
          <cell r="C5966" t="str">
            <v>B605525/A</v>
          </cell>
          <cell r="D5966" t="str">
            <v>RH1356F01</v>
          </cell>
          <cell r="E5966">
            <v>14</v>
          </cell>
        </row>
        <row r="5967">
          <cell r="C5967" t="str">
            <v>B605526/A</v>
          </cell>
          <cell r="D5967" t="str">
            <v>RH1356F01</v>
          </cell>
          <cell r="E5967">
            <v>10</v>
          </cell>
        </row>
        <row r="5968">
          <cell r="C5968" t="str">
            <v>B605528/A</v>
          </cell>
          <cell r="D5968" t="str">
            <v>RH1356F03</v>
          </cell>
          <cell r="E5968">
            <v>9</v>
          </cell>
        </row>
        <row r="5969">
          <cell r="C5969" t="str">
            <v>B605531/A</v>
          </cell>
          <cell r="D5969" t="str">
            <v>RH1365F01</v>
          </cell>
          <cell r="E5969">
            <v>1</v>
          </cell>
        </row>
        <row r="5970">
          <cell r="C5970" t="str">
            <v>B605532/A</v>
          </cell>
          <cell r="D5970" t="str">
            <v>RH1365F01</v>
          </cell>
          <cell r="E5970">
            <v>26</v>
          </cell>
        </row>
        <row r="5971">
          <cell r="C5971" t="str">
            <v>B605387/A</v>
          </cell>
          <cell r="D5971" t="str">
            <v>RH1564F95.BC</v>
          </cell>
          <cell r="E5971">
            <v>1</v>
          </cell>
        </row>
        <row r="5972">
          <cell r="C5972" t="str">
            <v>B605540/A</v>
          </cell>
          <cell r="D5972" t="str">
            <v>RH1772NF08</v>
          </cell>
          <cell r="E5972">
            <v>8</v>
          </cell>
        </row>
        <row r="5973">
          <cell r="C5973" t="str">
            <v>B605542/A</v>
          </cell>
          <cell r="D5973" t="str">
            <v>RH1779F08</v>
          </cell>
          <cell r="E5973">
            <v>16</v>
          </cell>
        </row>
        <row r="5974">
          <cell r="C5974" t="str">
            <v>B605544/A</v>
          </cell>
          <cell r="D5974" t="str">
            <v>RH1781NF08</v>
          </cell>
          <cell r="E5974">
            <v>29</v>
          </cell>
        </row>
        <row r="5975">
          <cell r="C5975" t="str">
            <v>B605548/A</v>
          </cell>
          <cell r="D5975" t="str">
            <v>RH1792F08</v>
          </cell>
          <cell r="E5975">
            <v>32</v>
          </cell>
        </row>
        <row r="5976">
          <cell r="C5976" t="str">
            <v>B605549/A</v>
          </cell>
          <cell r="D5976" t="str">
            <v>RH1792F08</v>
          </cell>
          <cell r="E5976">
            <v>16</v>
          </cell>
        </row>
        <row r="5977">
          <cell r="C5977" t="str">
            <v>B605553/A</v>
          </cell>
          <cell r="D5977" t="str">
            <v>RH1797F08</v>
          </cell>
          <cell r="E5977">
            <v>20</v>
          </cell>
        </row>
        <row r="5978">
          <cell r="C5978" t="str">
            <v>B605554/A</v>
          </cell>
          <cell r="D5978" t="str">
            <v>RH1797F08</v>
          </cell>
          <cell r="E5978">
            <v>10</v>
          </cell>
        </row>
        <row r="5979">
          <cell r="C5979" t="str">
            <v>B606050/A</v>
          </cell>
          <cell r="D5979" t="str">
            <v>RH1798F08</v>
          </cell>
          <cell r="E5979">
            <v>11</v>
          </cell>
        </row>
        <row r="5980">
          <cell r="C5980" t="str">
            <v>B606051/A</v>
          </cell>
          <cell r="D5980" t="str">
            <v>RH1798F08</v>
          </cell>
          <cell r="E5980">
            <v>13</v>
          </cell>
        </row>
        <row r="5981">
          <cell r="C5981" t="str">
            <v>B605559/A</v>
          </cell>
          <cell r="D5981" t="str">
            <v>RH1860F08</v>
          </cell>
          <cell r="E5981">
            <v>4</v>
          </cell>
        </row>
        <row r="5982">
          <cell r="C5982" t="str">
            <v>B605560/A</v>
          </cell>
          <cell r="D5982" t="str">
            <v>RH1860F08</v>
          </cell>
          <cell r="E5982">
            <v>16</v>
          </cell>
        </row>
        <row r="5983">
          <cell r="C5983" t="str">
            <v>B605562/A</v>
          </cell>
          <cell r="D5983" t="str">
            <v>RH1902F08</v>
          </cell>
          <cell r="E5983">
            <v>18</v>
          </cell>
        </row>
        <row r="5984">
          <cell r="C5984" t="str">
            <v>B605580/A</v>
          </cell>
          <cell r="D5984" t="str">
            <v>RH2373F122</v>
          </cell>
          <cell r="E5984">
            <v>8</v>
          </cell>
        </row>
        <row r="5985">
          <cell r="C5985" t="str">
            <v>B605581/A</v>
          </cell>
          <cell r="D5985" t="str">
            <v>RH2373F122</v>
          </cell>
          <cell r="E5985">
            <v>13</v>
          </cell>
        </row>
        <row r="5986">
          <cell r="C5986" t="str">
            <v>B605584/A</v>
          </cell>
          <cell r="D5986" t="str">
            <v>RH2373F123</v>
          </cell>
          <cell r="E5986">
            <v>12</v>
          </cell>
        </row>
        <row r="5987">
          <cell r="C5987" t="str">
            <v>B605858/A</v>
          </cell>
          <cell r="D5987" t="str">
            <v>RH2565F03-BASE</v>
          </cell>
          <cell r="E5987">
            <v>10</v>
          </cell>
        </row>
        <row r="5988">
          <cell r="C5988" t="str">
            <v>B605860/A</v>
          </cell>
          <cell r="D5988" t="str">
            <v>RH2662F01-BASE</v>
          </cell>
          <cell r="E5988">
            <v>5</v>
          </cell>
        </row>
        <row r="5989">
          <cell r="C5989" t="str">
            <v>B606056/A</v>
          </cell>
          <cell r="D5989" t="str">
            <v>RH2768F10CZ</v>
          </cell>
          <cell r="E5989">
            <v>12</v>
          </cell>
        </row>
        <row r="5990">
          <cell r="C5990" t="str">
            <v>B606057/A</v>
          </cell>
          <cell r="D5990" t="str">
            <v>RH2768F10CZ</v>
          </cell>
          <cell r="E5990">
            <v>11</v>
          </cell>
        </row>
        <row r="5991">
          <cell r="C5991" t="str">
            <v>B606059/A</v>
          </cell>
          <cell r="D5991" t="str">
            <v>RH2768F122</v>
          </cell>
          <cell r="E5991">
            <v>4</v>
          </cell>
        </row>
        <row r="5992">
          <cell r="C5992" t="str">
            <v>B606062/A</v>
          </cell>
          <cell r="D5992" t="str">
            <v>RH2768F123</v>
          </cell>
          <cell r="E5992">
            <v>3</v>
          </cell>
        </row>
        <row r="5993">
          <cell r="C5993" t="str">
            <v>B606066/A</v>
          </cell>
          <cell r="D5993" t="str">
            <v>RH2768F190</v>
          </cell>
          <cell r="E5993">
            <v>5</v>
          </cell>
        </row>
        <row r="5994">
          <cell r="C5994" t="str">
            <v>B606067/A</v>
          </cell>
          <cell r="D5994" t="str">
            <v>RH2768F190</v>
          </cell>
          <cell r="E5994">
            <v>3</v>
          </cell>
        </row>
        <row r="5995">
          <cell r="C5995" t="str">
            <v>B605588/A</v>
          </cell>
          <cell r="D5995" t="str">
            <v>RH2871F100</v>
          </cell>
          <cell r="E5995">
            <v>14</v>
          </cell>
        </row>
        <row r="5996">
          <cell r="C5996" t="str">
            <v>B605589/A</v>
          </cell>
          <cell r="D5996" t="str">
            <v>RH2871F100</v>
          </cell>
          <cell r="E5996">
            <v>21</v>
          </cell>
        </row>
        <row r="5997">
          <cell r="C5997" t="str">
            <v>B605591/A</v>
          </cell>
          <cell r="D5997" t="str">
            <v>RH3023F08</v>
          </cell>
          <cell r="E5997">
            <v>28</v>
          </cell>
        </row>
        <row r="5998">
          <cell r="C5998" t="str">
            <v>B605594/A</v>
          </cell>
          <cell r="D5998" t="str">
            <v>RH3023F09</v>
          </cell>
          <cell r="E5998">
            <v>12</v>
          </cell>
        </row>
        <row r="5999">
          <cell r="C5999" t="str">
            <v>B605595/A</v>
          </cell>
          <cell r="D5999" t="str">
            <v>RH3023F09</v>
          </cell>
          <cell r="E5999">
            <v>8</v>
          </cell>
        </row>
        <row r="6000">
          <cell r="C6000" t="str">
            <v>B605879/A</v>
          </cell>
          <cell r="D6000" t="str">
            <v>RH3495F29</v>
          </cell>
          <cell r="E6000">
            <v>1</v>
          </cell>
        </row>
        <row r="6001">
          <cell r="C6001" t="str">
            <v>B606071/A</v>
          </cell>
          <cell r="D6001" t="str">
            <v>RH387F01</v>
          </cell>
          <cell r="E6001">
            <v>2</v>
          </cell>
        </row>
        <row r="6002">
          <cell r="C6002" t="str">
            <v>B606072/A</v>
          </cell>
          <cell r="D6002" t="str">
            <v>RH387F01</v>
          </cell>
          <cell r="E6002">
            <v>16</v>
          </cell>
        </row>
        <row r="6003">
          <cell r="C6003" t="str">
            <v>B606076/A</v>
          </cell>
          <cell r="D6003" t="str">
            <v>RH387F03</v>
          </cell>
          <cell r="E6003">
            <v>14</v>
          </cell>
        </row>
        <row r="6004">
          <cell r="C6004" t="str">
            <v>B606094/A</v>
          </cell>
          <cell r="D6004" t="str">
            <v>RH403F03</v>
          </cell>
          <cell r="E6004">
            <v>18</v>
          </cell>
        </row>
        <row r="6005">
          <cell r="C6005" t="str">
            <v>B606095/A</v>
          </cell>
          <cell r="D6005" t="str">
            <v>RH403F03</v>
          </cell>
          <cell r="E6005">
            <v>24</v>
          </cell>
        </row>
        <row r="6006">
          <cell r="C6006" t="str">
            <v>B604182/A</v>
          </cell>
          <cell r="D6006" t="str">
            <v>RH404F03</v>
          </cell>
          <cell r="E6006">
            <v>16</v>
          </cell>
        </row>
        <row r="6007">
          <cell r="C6007" t="str">
            <v>B604183/A</v>
          </cell>
          <cell r="D6007" t="str">
            <v>RH404F03</v>
          </cell>
          <cell r="E6007">
            <v>9</v>
          </cell>
        </row>
        <row r="6008">
          <cell r="C6008" t="str">
            <v>B605607/A</v>
          </cell>
          <cell r="D6008" t="str">
            <v>RH418F01</v>
          </cell>
          <cell r="E6008">
            <v>2</v>
          </cell>
        </row>
        <row r="6009">
          <cell r="C6009" t="str">
            <v>B605610/A</v>
          </cell>
          <cell r="D6009" t="str">
            <v>RH418F03</v>
          </cell>
          <cell r="E6009">
            <v>4</v>
          </cell>
        </row>
        <row r="6010">
          <cell r="C6010" t="str">
            <v>B605611/A</v>
          </cell>
          <cell r="D6010" t="str">
            <v>RH418F03</v>
          </cell>
          <cell r="E6010">
            <v>27</v>
          </cell>
        </row>
        <row r="6011">
          <cell r="C6011" t="str">
            <v>B605614/A</v>
          </cell>
          <cell r="D6011" t="str">
            <v>RH441F01</v>
          </cell>
          <cell r="E6011">
            <v>11</v>
          </cell>
        </row>
        <row r="6012">
          <cell r="C6012" t="str">
            <v>B605615/A</v>
          </cell>
          <cell r="D6012" t="str">
            <v>RH441F01</v>
          </cell>
          <cell r="E6012">
            <v>10</v>
          </cell>
        </row>
        <row r="6013">
          <cell r="C6013" t="str">
            <v>B605617/A</v>
          </cell>
          <cell r="D6013" t="str">
            <v>RH441F02</v>
          </cell>
          <cell r="E6013">
            <v>13</v>
          </cell>
        </row>
        <row r="6014">
          <cell r="C6014" t="str">
            <v>B605620/A</v>
          </cell>
          <cell r="D6014" t="str">
            <v>RH441F03</v>
          </cell>
          <cell r="E6014">
            <v>10</v>
          </cell>
        </row>
        <row r="6015">
          <cell r="C6015" t="str">
            <v>B605621/A</v>
          </cell>
          <cell r="D6015" t="str">
            <v>RH441F03</v>
          </cell>
          <cell r="E6015">
            <v>17</v>
          </cell>
        </row>
        <row r="6016">
          <cell r="C6016" t="str">
            <v>B605389/A</v>
          </cell>
          <cell r="D6016" t="str">
            <v>RH5160F08.BC</v>
          </cell>
          <cell r="E6016">
            <v>1</v>
          </cell>
        </row>
        <row r="6017">
          <cell r="C6017" t="str">
            <v>B604199/A</v>
          </cell>
          <cell r="D6017" t="str">
            <v>RH518F01</v>
          </cell>
          <cell r="E6017">
            <v>12</v>
          </cell>
        </row>
        <row r="6018">
          <cell r="C6018" t="str">
            <v>B604201/A</v>
          </cell>
          <cell r="D6018" t="str">
            <v>RH518F03</v>
          </cell>
          <cell r="E6018">
            <v>7</v>
          </cell>
        </row>
        <row r="6019">
          <cell r="C6019" t="str">
            <v>B605385/A</v>
          </cell>
          <cell r="D6019" t="str">
            <v>RH5276F153.BC</v>
          </cell>
          <cell r="E6019">
            <v>1</v>
          </cell>
        </row>
        <row r="6020">
          <cell r="C6020" t="str">
            <v>B605626/A</v>
          </cell>
          <cell r="D6020" t="str">
            <v>RH7152F382</v>
          </cell>
          <cell r="E6020">
            <v>19</v>
          </cell>
        </row>
        <row r="6021">
          <cell r="C6021" t="str">
            <v>B605627/A</v>
          </cell>
          <cell r="D6021" t="str">
            <v>RH7152F382</v>
          </cell>
          <cell r="E6021">
            <v>7</v>
          </cell>
        </row>
        <row r="6022">
          <cell r="C6022" t="str">
            <v>B605630/A</v>
          </cell>
          <cell r="D6022" t="str">
            <v>RH7152F383</v>
          </cell>
          <cell r="E6022">
            <v>3</v>
          </cell>
        </row>
        <row r="6023">
          <cell r="C6023" t="str">
            <v>B605631/A</v>
          </cell>
          <cell r="D6023" t="str">
            <v>RH7152F383</v>
          </cell>
          <cell r="E6023">
            <v>3</v>
          </cell>
        </row>
        <row r="6024">
          <cell r="C6024" t="str">
            <v>B605634/A</v>
          </cell>
          <cell r="D6024" t="str">
            <v>RH7152F409</v>
          </cell>
          <cell r="E6024">
            <v>2</v>
          </cell>
        </row>
        <row r="6025">
          <cell r="C6025" t="str">
            <v>B605635/A</v>
          </cell>
          <cell r="D6025" t="str">
            <v>RH7152F409</v>
          </cell>
          <cell r="E6025">
            <v>18</v>
          </cell>
        </row>
        <row r="6026">
          <cell r="C6026" t="str">
            <v>B605881/A</v>
          </cell>
          <cell r="D6026" t="str">
            <v>RH7156F381</v>
          </cell>
          <cell r="E6026">
            <v>6</v>
          </cell>
        </row>
        <row r="6027">
          <cell r="C6027" t="str">
            <v>B605929/A</v>
          </cell>
          <cell r="D6027" t="str">
            <v>RH7156F382</v>
          </cell>
          <cell r="E6027">
            <v>6</v>
          </cell>
        </row>
        <row r="6028">
          <cell r="C6028" t="str">
            <v>B605931/A</v>
          </cell>
          <cell r="D6028" t="str">
            <v>RH7214F382</v>
          </cell>
          <cell r="E6028">
            <v>4</v>
          </cell>
        </row>
        <row r="6029">
          <cell r="C6029" t="str">
            <v>B605935/A</v>
          </cell>
          <cell r="D6029" t="str">
            <v>RH7214F409</v>
          </cell>
          <cell r="E6029">
            <v>6</v>
          </cell>
        </row>
        <row r="6030">
          <cell r="C6030" t="str">
            <v>B605637/A</v>
          </cell>
          <cell r="D6030" t="str">
            <v>RH7350F381</v>
          </cell>
          <cell r="E6030">
            <v>8</v>
          </cell>
        </row>
        <row r="6031">
          <cell r="C6031" t="str">
            <v>B605639/A</v>
          </cell>
          <cell r="D6031" t="str">
            <v>RH7350F383</v>
          </cell>
          <cell r="E6031">
            <v>2</v>
          </cell>
        </row>
        <row r="6032">
          <cell r="C6032" t="str">
            <v>B605641/A</v>
          </cell>
          <cell r="D6032" t="str">
            <v>RH7359F381</v>
          </cell>
          <cell r="E6032">
            <v>2</v>
          </cell>
        </row>
        <row r="6033">
          <cell r="C6033" t="str">
            <v>B605643/A</v>
          </cell>
          <cell r="D6033" t="str">
            <v>RH7359F382</v>
          </cell>
          <cell r="E6033">
            <v>4</v>
          </cell>
        </row>
        <row r="6034">
          <cell r="C6034" t="str">
            <v>B605645/A</v>
          </cell>
          <cell r="D6034" t="str">
            <v>RH7359F409</v>
          </cell>
          <cell r="E6034">
            <v>4</v>
          </cell>
        </row>
        <row r="6035">
          <cell r="C6035" t="str">
            <v>B605937/A</v>
          </cell>
          <cell r="D6035" t="str">
            <v>RH7368F381</v>
          </cell>
          <cell r="E6035">
            <v>9</v>
          </cell>
        </row>
        <row r="6036">
          <cell r="C6036" t="str">
            <v>B605939/A</v>
          </cell>
          <cell r="D6036" t="str">
            <v>RH7368F409</v>
          </cell>
          <cell r="E6036">
            <v>2</v>
          </cell>
        </row>
        <row r="6037">
          <cell r="C6037" t="str">
            <v>B605647/A</v>
          </cell>
          <cell r="D6037" t="str">
            <v>RH7588F409</v>
          </cell>
          <cell r="E6037">
            <v>23</v>
          </cell>
        </row>
        <row r="6038">
          <cell r="C6038" t="str">
            <v>B605649/A</v>
          </cell>
          <cell r="D6038" t="str">
            <v>RH820F03</v>
          </cell>
          <cell r="E6038">
            <v>11</v>
          </cell>
        </row>
        <row r="6039">
          <cell r="C6039" t="str">
            <v>B605651/A</v>
          </cell>
          <cell r="D6039" t="str">
            <v>RH877F02</v>
          </cell>
          <cell r="E6039">
            <v>15</v>
          </cell>
        </row>
        <row r="6040">
          <cell r="C6040" t="str">
            <v>B605654/A</v>
          </cell>
          <cell r="D6040" t="str">
            <v>RH877F03</v>
          </cell>
          <cell r="E6040">
            <v>2</v>
          </cell>
        </row>
        <row r="6041">
          <cell r="C6041" t="str">
            <v>B605655/A</v>
          </cell>
          <cell r="D6041" t="str">
            <v>RH877F03</v>
          </cell>
          <cell r="E6041">
            <v>15</v>
          </cell>
        </row>
        <row r="6042">
          <cell r="C6042" t="str">
            <v>B606099/A</v>
          </cell>
          <cell r="D6042" t="str">
            <v>RH901AF01</v>
          </cell>
          <cell r="E6042">
            <v>3</v>
          </cell>
        </row>
        <row r="6043">
          <cell r="C6043" t="str">
            <v>B606100/A</v>
          </cell>
          <cell r="D6043" t="str">
            <v>RH901AF01</v>
          </cell>
          <cell r="E6043">
            <v>4</v>
          </cell>
        </row>
        <row r="6044">
          <cell r="C6044" t="str">
            <v>B606103/A</v>
          </cell>
          <cell r="D6044" t="str">
            <v>RH901AF02</v>
          </cell>
          <cell r="E6044">
            <v>5</v>
          </cell>
        </row>
        <row r="6045">
          <cell r="C6045" t="str">
            <v>B606107/A</v>
          </cell>
          <cell r="D6045" t="str">
            <v>RH901AF03</v>
          </cell>
          <cell r="E6045">
            <v>4</v>
          </cell>
        </row>
        <row r="6046">
          <cell r="C6046" t="str">
            <v>B606108/A</v>
          </cell>
          <cell r="D6046" t="str">
            <v>RH901AF03</v>
          </cell>
          <cell r="E6046">
            <v>4</v>
          </cell>
        </row>
        <row r="6047">
          <cell r="C6047" t="str">
            <v>B605657/A</v>
          </cell>
          <cell r="D6047" t="str">
            <v>RH9153F382</v>
          </cell>
          <cell r="E6047">
            <v>3</v>
          </cell>
        </row>
        <row r="6048">
          <cell r="C6048" t="str">
            <v>B605659/A</v>
          </cell>
          <cell r="D6048" t="str">
            <v>RH9153F383</v>
          </cell>
          <cell r="E6048">
            <v>3</v>
          </cell>
        </row>
        <row r="6049">
          <cell r="C6049" t="str">
            <v>B605661/A</v>
          </cell>
          <cell r="D6049" t="str">
            <v>RH9153F409</v>
          </cell>
          <cell r="E6049">
            <v>4</v>
          </cell>
        </row>
        <row r="6050">
          <cell r="C6050" t="str">
            <v>B605955/A</v>
          </cell>
          <cell r="D6050" t="str">
            <v>RH9338F423</v>
          </cell>
          <cell r="E6050">
            <v>10</v>
          </cell>
        </row>
        <row r="6051">
          <cell r="C6051" t="str">
            <v>B605957/A</v>
          </cell>
          <cell r="D6051" t="str">
            <v>RH9338F423</v>
          </cell>
          <cell r="E6051">
            <v>12</v>
          </cell>
        </row>
        <row r="6052">
          <cell r="C6052" t="str">
            <v>B606080/A</v>
          </cell>
          <cell r="D6052" t="str">
            <v>RH9339F423</v>
          </cell>
          <cell r="E6052">
            <v>2</v>
          </cell>
        </row>
        <row r="6053">
          <cell r="C6053" t="str">
            <v>B606081/A</v>
          </cell>
          <cell r="D6053" t="str">
            <v>RH9339F423</v>
          </cell>
          <cell r="E6053">
            <v>40</v>
          </cell>
        </row>
        <row r="6054">
          <cell r="C6054" t="str">
            <v>B606085/A</v>
          </cell>
          <cell r="D6054" t="str">
            <v>RH9339F424</v>
          </cell>
          <cell r="E6054">
            <v>4</v>
          </cell>
        </row>
        <row r="6055">
          <cell r="C6055" t="str">
            <v>B606086/A</v>
          </cell>
          <cell r="D6055" t="str">
            <v>RH9339F424</v>
          </cell>
          <cell r="E6055">
            <v>5</v>
          </cell>
        </row>
        <row r="6056">
          <cell r="C6056" t="str">
            <v>B606089/A</v>
          </cell>
          <cell r="D6056" t="str">
            <v>RH9339F426</v>
          </cell>
          <cell r="E6056">
            <v>16</v>
          </cell>
        </row>
        <row r="6057">
          <cell r="C6057" t="str">
            <v>B605962/A</v>
          </cell>
          <cell r="D6057" t="str">
            <v>RH9457NF423</v>
          </cell>
          <cell r="E6057">
            <v>2</v>
          </cell>
        </row>
        <row r="6058">
          <cell r="C6058" t="str">
            <v>B605964/A</v>
          </cell>
          <cell r="D6058" t="str">
            <v>RH9457NF424</v>
          </cell>
          <cell r="E6058">
            <v>5</v>
          </cell>
        </row>
        <row r="6059">
          <cell r="C6059" t="str">
            <v>B605966/A</v>
          </cell>
          <cell r="D6059" t="str">
            <v>RH9457NF426</v>
          </cell>
          <cell r="E6059">
            <v>12</v>
          </cell>
        </row>
        <row r="6060">
          <cell r="C6060" t="str">
            <v>B605970/A</v>
          </cell>
          <cell r="D6060" t="str">
            <v>RH9478F423</v>
          </cell>
          <cell r="E6060">
            <v>5</v>
          </cell>
        </row>
        <row r="6061">
          <cell r="C6061" t="str">
            <v>B605971/A</v>
          </cell>
          <cell r="D6061" t="str">
            <v>RH9478F423</v>
          </cell>
          <cell r="E6061">
            <v>4</v>
          </cell>
        </row>
        <row r="6062">
          <cell r="C6062" t="str">
            <v>B605973/A</v>
          </cell>
          <cell r="D6062" t="str">
            <v>RH9478F424</v>
          </cell>
          <cell r="E6062">
            <v>4</v>
          </cell>
        </row>
        <row r="6063">
          <cell r="C6063" t="str">
            <v>B605975/A</v>
          </cell>
          <cell r="D6063" t="str">
            <v>RH9478F425</v>
          </cell>
          <cell r="E6063">
            <v>5</v>
          </cell>
        </row>
        <row r="6064">
          <cell r="C6064" t="str">
            <v>B605977/A</v>
          </cell>
          <cell r="D6064" t="str">
            <v>RH9478F426</v>
          </cell>
          <cell r="E6064">
            <v>5</v>
          </cell>
        </row>
        <row r="6065">
          <cell r="C6065" t="str">
            <v>B605663/A</v>
          </cell>
          <cell r="D6065" t="str">
            <v>RH9530F423</v>
          </cell>
          <cell r="E6065">
            <v>12</v>
          </cell>
        </row>
        <row r="6066">
          <cell r="C6066" t="str">
            <v>B605665/A</v>
          </cell>
          <cell r="D6066" t="str">
            <v>RH9530F425</v>
          </cell>
          <cell r="E6066">
            <v>1</v>
          </cell>
        </row>
        <row r="6067">
          <cell r="C6067" t="str">
            <v>B605667/A</v>
          </cell>
          <cell r="D6067" t="str">
            <v>RH9530F426</v>
          </cell>
          <cell r="E6067">
            <v>10</v>
          </cell>
        </row>
        <row r="6068">
          <cell r="C6068" t="str">
            <v>B605669/A</v>
          </cell>
          <cell r="D6068" t="str">
            <v>RH9531AF423</v>
          </cell>
          <cell r="E6068">
            <v>2</v>
          </cell>
        </row>
        <row r="6069">
          <cell r="C6069" t="str">
            <v>B605671/A</v>
          </cell>
          <cell r="D6069" t="str">
            <v>RH9531AF424</v>
          </cell>
          <cell r="E6069">
            <v>2</v>
          </cell>
        </row>
        <row r="6070">
          <cell r="C6070" t="str">
            <v>B605673/A</v>
          </cell>
          <cell r="D6070" t="str">
            <v>RH9531AF425</v>
          </cell>
          <cell r="E6070">
            <v>9</v>
          </cell>
        </row>
        <row r="6071">
          <cell r="C6071" t="str">
            <v>B605675/A</v>
          </cell>
          <cell r="D6071" t="str">
            <v>RH9532F424</v>
          </cell>
          <cell r="E6071">
            <v>10</v>
          </cell>
        </row>
        <row r="6072">
          <cell r="C6072" t="str">
            <v>B605677/A</v>
          </cell>
          <cell r="D6072" t="str">
            <v>RH9532F425</v>
          </cell>
          <cell r="E6072">
            <v>9</v>
          </cell>
        </row>
        <row r="6073">
          <cell r="C6073" t="str">
            <v>B605687/A</v>
          </cell>
          <cell r="D6073" t="str">
            <v>RH9540F423</v>
          </cell>
          <cell r="E6073">
            <v>26</v>
          </cell>
        </row>
        <row r="6074">
          <cell r="C6074" t="str">
            <v>B605679/A</v>
          </cell>
          <cell r="D6074" t="str">
            <v>RH9540F423</v>
          </cell>
          <cell r="E6074">
            <v>6</v>
          </cell>
        </row>
        <row r="6075">
          <cell r="C6075" t="str">
            <v>B605681/A</v>
          </cell>
          <cell r="D6075" t="str">
            <v>RH9540F426</v>
          </cell>
          <cell r="E6075">
            <v>7</v>
          </cell>
        </row>
        <row r="6076">
          <cell r="C6076" t="str">
            <v>B605979/A</v>
          </cell>
          <cell r="D6076" t="str">
            <v>RH9859F425</v>
          </cell>
          <cell r="E6076">
            <v>3</v>
          </cell>
        </row>
        <row r="6077">
          <cell r="C6077" t="str">
            <v>B605981/A</v>
          </cell>
          <cell r="D6077" t="str">
            <v>RH9859F426</v>
          </cell>
          <cell r="E6077">
            <v>11</v>
          </cell>
        </row>
        <row r="6078">
          <cell r="C6078" t="str">
            <v>B605684/A</v>
          </cell>
          <cell r="D6078" t="str">
            <v>RH9863F423</v>
          </cell>
          <cell r="E6078">
            <v>6</v>
          </cell>
        </row>
        <row r="6079">
          <cell r="C6079" t="str">
            <v>B605685/A</v>
          </cell>
          <cell r="D6079" t="str">
            <v>RH9863F423</v>
          </cell>
          <cell r="E6079">
            <v>2</v>
          </cell>
        </row>
        <row r="6080">
          <cell r="C6080" t="str">
            <v>B605690/A</v>
          </cell>
          <cell r="D6080" t="str">
            <v>RH9863F425</v>
          </cell>
          <cell r="E6080">
            <v>5</v>
          </cell>
        </row>
        <row r="6081">
          <cell r="C6081" t="str">
            <v>B605691/A</v>
          </cell>
          <cell r="D6081" t="str">
            <v>RH9863F425</v>
          </cell>
          <cell r="E6081">
            <v>11</v>
          </cell>
        </row>
        <row r="6082">
          <cell r="C6082" t="str">
            <v>B605693/A</v>
          </cell>
          <cell r="D6082" t="str">
            <v>RH9873F423</v>
          </cell>
          <cell r="E6082">
            <v>4</v>
          </cell>
        </row>
        <row r="6083">
          <cell r="C6083" t="str">
            <v>B605695/A</v>
          </cell>
          <cell r="D6083" t="str">
            <v>RH9873F425</v>
          </cell>
          <cell r="E6083">
            <v>12</v>
          </cell>
        </row>
        <row r="6084">
          <cell r="C6084" t="str">
            <v>B605697/A</v>
          </cell>
          <cell r="D6084" t="str">
            <v>RH9999F383</v>
          </cell>
          <cell r="E6084">
            <v>23</v>
          </cell>
        </row>
        <row r="6085">
          <cell r="C6085" t="str">
            <v>B605700/A</v>
          </cell>
          <cell r="D6085" t="str">
            <v>RH9999F409</v>
          </cell>
          <cell r="E6085">
            <v>14</v>
          </cell>
        </row>
        <row r="6086">
          <cell r="C6086" t="str">
            <v>B605701/A</v>
          </cell>
          <cell r="D6086" t="str">
            <v>RH9999F409</v>
          </cell>
          <cell r="E6086">
            <v>5</v>
          </cell>
        </row>
        <row r="6087">
          <cell r="C6087" t="str">
            <v>B606112/A</v>
          </cell>
          <cell r="D6087" t="str">
            <v>SH833F899-BASE</v>
          </cell>
          <cell r="E6087">
            <v>30</v>
          </cell>
        </row>
        <row r="6088">
          <cell r="C6088" t="str">
            <v>B606114/A</v>
          </cell>
          <cell r="D6088" t="str">
            <v>SH833F899-BASE</v>
          </cell>
          <cell r="E6088">
            <v>30</v>
          </cell>
        </row>
        <row r="6089">
          <cell r="C6089" t="str">
            <v>B605436/A</v>
          </cell>
          <cell r="D6089" t="str">
            <v>CZ798F188.EU</v>
          </cell>
          <cell r="E6089">
            <v>108</v>
          </cell>
        </row>
        <row r="6090">
          <cell r="C6090" t="str">
            <v>B605838/A</v>
          </cell>
          <cell r="D6090" t="str">
            <v>CZ799F196</v>
          </cell>
          <cell r="E6090">
            <v>20</v>
          </cell>
        </row>
        <row r="6091">
          <cell r="C6091" t="str">
            <v>B605840/A</v>
          </cell>
          <cell r="D6091" t="str">
            <v>CZ913F191</v>
          </cell>
          <cell r="E6091">
            <v>20</v>
          </cell>
        </row>
        <row r="6092">
          <cell r="C6092" t="str">
            <v>B605997/A</v>
          </cell>
          <cell r="D6092" t="str">
            <v>MN5590N-DRAW</v>
          </cell>
          <cell r="E6092">
            <v>1</v>
          </cell>
        </row>
        <row r="6093">
          <cell r="C6093" t="str">
            <v>B605999/A</v>
          </cell>
          <cell r="D6093" t="str">
            <v>RH094F01</v>
          </cell>
          <cell r="E6093">
            <v>108</v>
          </cell>
        </row>
        <row r="6094">
          <cell r="C6094" t="str">
            <v>B605464/A</v>
          </cell>
          <cell r="D6094" t="str">
            <v>RH094F03.EU</v>
          </cell>
          <cell r="E6094">
            <v>108</v>
          </cell>
        </row>
        <row r="6095">
          <cell r="C6095" t="str">
            <v>B606143/A</v>
          </cell>
          <cell r="D6095" t="str">
            <v>RH1655F96-SHEL</v>
          </cell>
          <cell r="E6095">
            <v>3</v>
          </cell>
        </row>
        <row r="6096">
          <cell r="C6096" t="str">
            <v>B606001/A</v>
          </cell>
          <cell r="D6096" t="str">
            <v>RH3528F02-SLSP</v>
          </cell>
          <cell r="E6096">
            <v>5</v>
          </cell>
        </row>
        <row r="6097">
          <cell r="C6097" t="str">
            <v>B605948/A</v>
          </cell>
          <cell r="D6097" t="str">
            <v>RH7592F409.EU</v>
          </cell>
          <cell r="E6097">
            <v>20</v>
          </cell>
        </row>
        <row r="6098">
          <cell r="C6098" t="str">
            <v>B605824/A</v>
          </cell>
          <cell r="D6098" t="str">
            <v>RH850F115-STZS</v>
          </cell>
          <cell r="E6098">
            <v>1</v>
          </cell>
        </row>
        <row r="6099">
          <cell r="C6099" t="str">
            <v>B607112/A</v>
          </cell>
          <cell r="D6099" t="str">
            <v>AR1092F1039</v>
          </cell>
          <cell r="E6099">
            <v>7</v>
          </cell>
        </row>
        <row r="6100">
          <cell r="C6100" t="str">
            <v>B607113/A</v>
          </cell>
          <cell r="D6100" t="str">
            <v>AR1092F1039</v>
          </cell>
          <cell r="E6100">
            <v>18</v>
          </cell>
        </row>
        <row r="6101">
          <cell r="C6101" t="str">
            <v>B607116/A</v>
          </cell>
          <cell r="D6101" t="str">
            <v>AR109NF906-BASE</v>
          </cell>
          <cell r="E6101">
            <v>23</v>
          </cell>
        </row>
        <row r="6102">
          <cell r="C6102" t="str">
            <v>B607117/A</v>
          </cell>
          <cell r="D6102" t="str">
            <v>AR109NF906-BASE</v>
          </cell>
          <cell r="E6102">
            <v>32</v>
          </cell>
        </row>
        <row r="6103">
          <cell r="C6103" t="str">
            <v>B606004/A</v>
          </cell>
          <cell r="D6103" t="str">
            <v>AR1132F1039-3786-FB</v>
          </cell>
          <cell r="E6103">
            <v>7</v>
          </cell>
        </row>
        <row r="6104">
          <cell r="C6104" t="str">
            <v>B606005/A</v>
          </cell>
          <cell r="D6104" t="str">
            <v>AR1132F1039-3786-FB</v>
          </cell>
          <cell r="E6104">
            <v>18</v>
          </cell>
        </row>
        <row r="6105">
          <cell r="C6105" t="str">
            <v>B606008/A</v>
          </cell>
          <cell r="D6105" t="str">
            <v>AR1132F1039-3786-HB</v>
          </cell>
          <cell r="E6105">
            <v>7</v>
          </cell>
        </row>
        <row r="6106">
          <cell r="C6106" t="str">
            <v>B606009/A</v>
          </cell>
          <cell r="D6106" t="str">
            <v>AR1132F1039-3786-HB</v>
          </cell>
          <cell r="E6106">
            <v>18</v>
          </cell>
        </row>
        <row r="6107">
          <cell r="C6107" t="str">
            <v>B606012/A</v>
          </cell>
          <cell r="D6107" t="str">
            <v>AR1132F1039-3786-SR</v>
          </cell>
          <cell r="E6107">
            <v>7</v>
          </cell>
        </row>
        <row r="6108">
          <cell r="C6108" t="str">
            <v>B606013/A</v>
          </cell>
          <cell r="D6108" t="str">
            <v>AR1132F1039-3786-SR</v>
          </cell>
          <cell r="E6108">
            <v>18</v>
          </cell>
        </row>
        <row r="6109">
          <cell r="C6109" t="str">
            <v>B598121/A</v>
          </cell>
          <cell r="D6109" t="str">
            <v>AR125F834-TOP</v>
          </cell>
          <cell r="E6109">
            <v>9</v>
          </cell>
        </row>
        <row r="6110">
          <cell r="C6110" t="str">
            <v>B598122/A</v>
          </cell>
          <cell r="D6110" t="str">
            <v>AR125F834-TOP</v>
          </cell>
          <cell r="E6110">
            <v>16</v>
          </cell>
        </row>
        <row r="6111">
          <cell r="C6111" t="str">
            <v>B607126/A</v>
          </cell>
          <cell r="D6111" t="str">
            <v>AR127NF834-BASE</v>
          </cell>
          <cell r="E6111">
            <v>7</v>
          </cell>
        </row>
        <row r="6112">
          <cell r="C6112" t="str">
            <v>B607127/A</v>
          </cell>
          <cell r="D6112" t="str">
            <v>AR127NF834-BASE</v>
          </cell>
          <cell r="E6112">
            <v>18</v>
          </cell>
        </row>
        <row r="6113">
          <cell r="C6113" t="str">
            <v>B607130/A</v>
          </cell>
          <cell r="D6113" t="str">
            <v>AR293F906-BASE</v>
          </cell>
          <cell r="E6113">
            <v>4</v>
          </cell>
        </row>
        <row r="6114">
          <cell r="C6114" t="str">
            <v>B607131/A</v>
          </cell>
          <cell r="D6114" t="str">
            <v>AR293F906-BASE</v>
          </cell>
          <cell r="E6114">
            <v>21</v>
          </cell>
        </row>
        <row r="6115">
          <cell r="C6115" t="str">
            <v>B607134/A</v>
          </cell>
          <cell r="D6115" t="str">
            <v>AR371NF1049</v>
          </cell>
          <cell r="E6115">
            <v>15</v>
          </cell>
        </row>
        <row r="6116">
          <cell r="C6116" t="str">
            <v>B607135/A</v>
          </cell>
          <cell r="D6116" t="str">
            <v>AR371NF1049</v>
          </cell>
          <cell r="E6116">
            <v>35</v>
          </cell>
        </row>
        <row r="6117">
          <cell r="C6117" t="str">
            <v>B607139/A</v>
          </cell>
          <cell r="D6117" t="str">
            <v>AR371NF906</v>
          </cell>
          <cell r="E6117">
            <v>9</v>
          </cell>
        </row>
        <row r="6118">
          <cell r="C6118" t="str">
            <v>B607140/A</v>
          </cell>
          <cell r="D6118" t="str">
            <v>AR371NF906</v>
          </cell>
          <cell r="E6118">
            <v>21</v>
          </cell>
        </row>
        <row r="6119">
          <cell r="C6119" t="str">
            <v>B607143/A</v>
          </cell>
          <cell r="D6119" t="str">
            <v>AR389F1049-FB</v>
          </cell>
          <cell r="E6119">
            <v>7</v>
          </cell>
        </row>
        <row r="6120">
          <cell r="C6120" t="str">
            <v>B607144/A</v>
          </cell>
          <cell r="D6120" t="str">
            <v>AR389F1049-FB</v>
          </cell>
          <cell r="E6120">
            <v>18</v>
          </cell>
        </row>
        <row r="6121">
          <cell r="C6121" t="str">
            <v>B607147/A</v>
          </cell>
          <cell r="D6121" t="str">
            <v>AR389F1049-HBPL</v>
          </cell>
          <cell r="E6121">
            <v>7</v>
          </cell>
        </row>
        <row r="6122">
          <cell r="C6122" t="str">
            <v>B607148/A</v>
          </cell>
          <cell r="D6122" t="str">
            <v>AR389F1049-HBPL</v>
          </cell>
          <cell r="E6122">
            <v>18</v>
          </cell>
        </row>
        <row r="6123">
          <cell r="C6123" t="str">
            <v>B607151/A</v>
          </cell>
          <cell r="D6123" t="str">
            <v>AR389F1049-SR</v>
          </cell>
          <cell r="E6123">
            <v>7</v>
          </cell>
        </row>
        <row r="6124">
          <cell r="C6124" t="str">
            <v>B607152/A</v>
          </cell>
          <cell r="D6124" t="str">
            <v>AR389F1049-SR</v>
          </cell>
          <cell r="E6124">
            <v>18</v>
          </cell>
        </row>
        <row r="6125">
          <cell r="C6125" t="str">
            <v>B607155/A</v>
          </cell>
          <cell r="D6125" t="str">
            <v>AR395F1039-BASE</v>
          </cell>
          <cell r="E6125">
            <v>7</v>
          </cell>
        </row>
        <row r="6126">
          <cell r="C6126" t="str">
            <v>B607156/A</v>
          </cell>
          <cell r="D6126" t="str">
            <v>AR395F1039-BASE</v>
          </cell>
          <cell r="E6126">
            <v>18</v>
          </cell>
        </row>
        <row r="6127">
          <cell r="C6127" t="str">
            <v>B607159/A</v>
          </cell>
          <cell r="D6127" t="str">
            <v>AR395F1039-TOP</v>
          </cell>
          <cell r="E6127">
            <v>7</v>
          </cell>
        </row>
        <row r="6128">
          <cell r="C6128" t="str">
            <v>B607160/A</v>
          </cell>
          <cell r="D6128" t="str">
            <v>AR395F1039-TOP</v>
          </cell>
          <cell r="E6128">
            <v>18</v>
          </cell>
        </row>
        <row r="6129">
          <cell r="C6129" t="str">
            <v>B598113/A</v>
          </cell>
          <cell r="D6129" t="str">
            <v>AR417F834-TOP</v>
          </cell>
          <cell r="E6129">
            <v>9</v>
          </cell>
        </row>
        <row r="6130">
          <cell r="C6130" t="str">
            <v>B598114/A</v>
          </cell>
          <cell r="D6130" t="str">
            <v>AR417F834-TOP</v>
          </cell>
          <cell r="E6130">
            <v>16</v>
          </cell>
        </row>
        <row r="6131">
          <cell r="C6131" t="str">
            <v>B598117/A</v>
          </cell>
          <cell r="D6131" t="str">
            <v>AR418F834-TOP</v>
          </cell>
          <cell r="E6131">
            <v>19</v>
          </cell>
        </row>
        <row r="6132">
          <cell r="C6132" t="str">
            <v>B598118/A</v>
          </cell>
          <cell r="D6132" t="str">
            <v>AR418F834-TOP</v>
          </cell>
          <cell r="E6132">
            <v>6</v>
          </cell>
        </row>
        <row r="6133">
          <cell r="C6133" t="str">
            <v>B607169/A</v>
          </cell>
          <cell r="D6133" t="str">
            <v>AR790F1049</v>
          </cell>
          <cell r="E6133">
            <v>7</v>
          </cell>
        </row>
        <row r="6134">
          <cell r="C6134" t="str">
            <v>B607170/A</v>
          </cell>
          <cell r="D6134" t="str">
            <v>AR790F1049</v>
          </cell>
          <cell r="E6134">
            <v>18</v>
          </cell>
        </row>
        <row r="6135">
          <cell r="C6135" t="str">
            <v>B606997/A</v>
          </cell>
          <cell r="D6135" t="str">
            <v>AT382F1089-VE</v>
          </cell>
          <cell r="E6135">
            <v>50</v>
          </cell>
        </row>
        <row r="6136">
          <cell r="C6136" t="str">
            <v>B606998/A</v>
          </cell>
          <cell r="D6136" t="str">
            <v>AT382F1089-VE</v>
          </cell>
          <cell r="E6136">
            <v>50</v>
          </cell>
        </row>
        <row r="6137">
          <cell r="C6137" t="str">
            <v>B606986/A</v>
          </cell>
          <cell r="D6137" t="str">
            <v>AT481F1059</v>
          </cell>
          <cell r="E6137">
            <v>50</v>
          </cell>
        </row>
        <row r="6138">
          <cell r="C6138" t="str">
            <v>B606988/A</v>
          </cell>
          <cell r="D6138" t="str">
            <v>AT481F1237</v>
          </cell>
          <cell r="E6138">
            <v>25</v>
          </cell>
        </row>
        <row r="6139">
          <cell r="C6139" t="str">
            <v>B606990/A</v>
          </cell>
          <cell r="D6139" t="str">
            <v>AT481F877</v>
          </cell>
          <cell r="E6139">
            <v>25</v>
          </cell>
        </row>
        <row r="6140">
          <cell r="C6140" t="str">
            <v>B606982/A</v>
          </cell>
          <cell r="D6140" t="str">
            <v>BN3176F356</v>
          </cell>
          <cell r="E6140">
            <v>1</v>
          </cell>
        </row>
        <row r="6141">
          <cell r="C6141" t="str">
            <v>B607309/A</v>
          </cell>
          <cell r="D6141" t="str">
            <v>CE578F1175-BASE</v>
          </cell>
          <cell r="E6141">
            <v>16</v>
          </cell>
        </row>
        <row r="6142">
          <cell r="C6142" t="str">
            <v>B607311/A</v>
          </cell>
          <cell r="D6142" t="str">
            <v>CE578F1175-TOP</v>
          </cell>
          <cell r="E6142">
            <v>15</v>
          </cell>
        </row>
        <row r="6143">
          <cell r="C6143" t="str">
            <v>B607313/A</v>
          </cell>
          <cell r="D6143" t="str">
            <v>CE578FMT88-BASE</v>
          </cell>
          <cell r="E6143">
            <v>14</v>
          </cell>
        </row>
        <row r="6144">
          <cell r="C6144" t="str">
            <v>B607315/A</v>
          </cell>
          <cell r="D6144" t="str">
            <v>CE578FMT88-TOP</v>
          </cell>
          <cell r="E6144">
            <v>10</v>
          </cell>
        </row>
        <row r="6145">
          <cell r="C6145" t="str">
            <v>B606874/A</v>
          </cell>
          <cell r="D6145" t="str">
            <v>CZ052F08</v>
          </cell>
          <cell r="E6145">
            <v>3</v>
          </cell>
        </row>
        <row r="6146">
          <cell r="C6146" t="str">
            <v>B606877/A</v>
          </cell>
          <cell r="D6146" t="str">
            <v>CZ052F09</v>
          </cell>
          <cell r="E6146">
            <v>5</v>
          </cell>
        </row>
        <row r="6147">
          <cell r="C6147" t="str">
            <v>B606878/A</v>
          </cell>
          <cell r="D6147" t="str">
            <v>CZ052F09</v>
          </cell>
          <cell r="E6147">
            <v>14</v>
          </cell>
        </row>
        <row r="6148">
          <cell r="C6148" t="str">
            <v>B606881/A</v>
          </cell>
          <cell r="D6148" t="str">
            <v>CZ052F10</v>
          </cell>
          <cell r="E6148">
            <v>5</v>
          </cell>
        </row>
        <row r="6149">
          <cell r="C6149" t="str">
            <v>B606882/A</v>
          </cell>
          <cell r="D6149" t="str">
            <v>CZ052F10</v>
          </cell>
          <cell r="E6149">
            <v>8</v>
          </cell>
        </row>
        <row r="6150">
          <cell r="C6150" t="str">
            <v>B606885/A</v>
          </cell>
          <cell r="D6150" t="str">
            <v>CZ052F190</v>
          </cell>
          <cell r="E6150">
            <v>3</v>
          </cell>
        </row>
        <row r="6151">
          <cell r="C6151" t="str">
            <v>B606886/A</v>
          </cell>
          <cell r="D6151" t="str">
            <v>CZ052F190</v>
          </cell>
          <cell r="E6151">
            <v>20</v>
          </cell>
        </row>
        <row r="6152">
          <cell r="C6152" t="str">
            <v>B607197/A</v>
          </cell>
          <cell r="D6152" t="str">
            <v>CZ121NF08</v>
          </cell>
          <cell r="E6152">
            <v>19</v>
          </cell>
        </row>
        <row r="6153">
          <cell r="C6153" t="str">
            <v>B607199/A</v>
          </cell>
          <cell r="D6153" t="str">
            <v>CZ121NF09</v>
          </cell>
          <cell r="E6153">
            <v>35</v>
          </cell>
        </row>
        <row r="6154">
          <cell r="C6154" t="str">
            <v>B607201/A</v>
          </cell>
          <cell r="D6154" t="str">
            <v>CZ121NF10</v>
          </cell>
          <cell r="E6154">
            <v>11</v>
          </cell>
        </row>
        <row r="6155">
          <cell r="C6155" t="str">
            <v>B607203/A</v>
          </cell>
          <cell r="D6155" t="str">
            <v>CZ121NF190</v>
          </cell>
          <cell r="E6155">
            <v>12</v>
          </cell>
        </row>
        <row r="6156">
          <cell r="C6156" t="str">
            <v>B606888/A</v>
          </cell>
          <cell r="D6156" t="str">
            <v>CZ131F08</v>
          </cell>
          <cell r="E6156">
            <v>14</v>
          </cell>
        </row>
        <row r="6157">
          <cell r="C6157" t="str">
            <v>B606891/A</v>
          </cell>
          <cell r="D6157" t="str">
            <v>CZ131F09</v>
          </cell>
          <cell r="E6157">
            <v>8</v>
          </cell>
        </row>
        <row r="6158">
          <cell r="C6158" t="str">
            <v>B606892/A</v>
          </cell>
          <cell r="D6158" t="str">
            <v>CZ131F09</v>
          </cell>
          <cell r="E6158">
            <v>3</v>
          </cell>
        </row>
        <row r="6159">
          <cell r="C6159" t="str">
            <v>B606894/A</v>
          </cell>
          <cell r="D6159" t="str">
            <v>CZ131F10</v>
          </cell>
          <cell r="E6159">
            <v>3</v>
          </cell>
        </row>
        <row r="6160">
          <cell r="C6160" t="str">
            <v>B606896/A</v>
          </cell>
          <cell r="D6160" t="str">
            <v>CZ131F190</v>
          </cell>
          <cell r="E6160">
            <v>6</v>
          </cell>
        </row>
        <row r="6161">
          <cell r="C6161" t="str">
            <v>B606909/A</v>
          </cell>
          <cell r="D6161" t="str">
            <v>CZ642F09</v>
          </cell>
          <cell r="E6161">
            <v>3</v>
          </cell>
        </row>
        <row r="6162">
          <cell r="C6162" t="str">
            <v>B606924/A</v>
          </cell>
          <cell r="D6162" t="str">
            <v>CZ642F10</v>
          </cell>
          <cell r="E6162">
            <v>3</v>
          </cell>
        </row>
        <row r="6163">
          <cell r="C6163" t="str">
            <v>B606927/A</v>
          </cell>
          <cell r="D6163" t="str">
            <v>CZ653F08</v>
          </cell>
          <cell r="E6163">
            <v>10</v>
          </cell>
        </row>
        <row r="6164">
          <cell r="C6164" t="str">
            <v>B606928/A</v>
          </cell>
          <cell r="D6164" t="str">
            <v>CZ653F08</v>
          </cell>
          <cell r="E6164">
            <v>12</v>
          </cell>
        </row>
        <row r="6165">
          <cell r="C6165" t="str">
            <v>B606930/A</v>
          </cell>
          <cell r="D6165" t="str">
            <v>CZ653F10</v>
          </cell>
          <cell r="E6165">
            <v>5</v>
          </cell>
        </row>
        <row r="6166">
          <cell r="C6166" t="str">
            <v>B606932/A</v>
          </cell>
          <cell r="D6166" t="str">
            <v>CZ653F190</v>
          </cell>
          <cell r="E6166">
            <v>6</v>
          </cell>
        </row>
        <row r="6167">
          <cell r="C6167" t="str">
            <v>B606935/A</v>
          </cell>
          <cell r="D6167" t="str">
            <v>CZ653F191</v>
          </cell>
          <cell r="E6167">
            <v>15</v>
          </cell>
        </row>
        <row r="6168">
          <cell r="C6168" t="str">
            <v>B606936/A</v>
          </cell>
          <cell r="D6168" t="str">
            <v>CZ653F191</v>
          </cell>
          <cell r="E6168">
            <v>9</v>
          </cell>
        </row>
        <row r="6169">
          <cell r="C6169" t="str">
            <v>B607205/A</v>
          </cell>
          <cell r="D6169" t="str">
            <v>CZ669F09</v>
          </cell>
          <cell r="E6169">
            <v>8</v>
          </cell>
        </row>
        <row r="6170">
          <cell r="C6170" t="str">
            <v>B607207/A</v>
          </cell>
          <cell r="D6170" t="str">
            <v>CZ670F08</v>
          </cell>
          <cell r="E6170">
            <v>7</v>
          </cell>
        </row>
        <row r="6171">
          <cell r="C6171" t="str">
            <v>B607209/A</v>
          </cell>
          <cell r="D6171" t="str">
            <v>CZ670F09</v>
          </cell>
          <cell r="E6171">
            <v>4</v>
          </cell>
        </row>
        <row r="6172">
          <cell r="C6172" t="str">
            <v>B607211/A</v>
          </cell>
          <cell r="D6172" t="str">
            <v>CZ670F190</v>
          </cell>
          <cell r="E6172">
            <v>2</v>
          </cell>
        </row>
        <row r="6173">
          <cell r="C6173" t="str">
            <v>B607213/A</v>
          </cell>
          <cell r="D6173" t="str">
            <v>CZ941F08</v>
          </cell>
          <cell r="E6173">
            <v>1</v>
          </cell>
        </row>
        <row r="6174">
          <cell r="C6174" t="str">
            <v>B607215/A</v>
          </cell>
          <cell r="D6174" t="str">
            <v>CZ941F09</v>
          </cell>
          <cell r="E6174">
            <v>3</v>
          </cell>
        </row>
        <row r="6175">
          <cell r="C6175" t="str">
            <v>B607217/A</v>
          </cell>
          <cell r="D6175" t="str">
            <v>CZ941F10</v>
          </cell>
          <cell r="E6175">
            <v>1</v>
          </cell>
        </row>
        <row r="6176">
          <cell r="C6176" t="str">
            <v>B607230/A</v>
          </cell>
          <cell r="D6176" t="str">
            <v>JV064F1312</v>
          </cell>
          <cell r="E6176">
            <v>25</v>
          </cell>
        </row>
        <row r="6177">
          <cell r="C6177" t="str">
            <v>B607219/A</v>
          </cell>
          <cell r="D6177" t="str">
            <v>JV064F1313</v>
          </cell>
          <cell r="E6177">
            <v>25</v>
          </cell>
        </row>
        <row r="6178">
          <cell r="C6178" t="str">
            <v>B607224/A</v>
          </cell>
          <cell r="D6178" t="str">
            <v>JV066F1312</v>
          </cell>
          <cell r="E6178">
            <v>25</v>
          </cell>
        </row>
        <row r="6179">
          <cell r="C6179" t="str">
            <v>B607232/A</v>
          </cell>
          <cell r="D6179" t="str">
            <v>JV066F1313</v>
          </cell>
          <cell r="E6179">
            <v>30</v>
          </cell>
        </row>
        <row r="6180">
          <cell r="C6180" t="str">
            <v>B606940/A</v>
          </cell>
          <cell r="D6180" t="str">
            <v>RH10000F382</v>
          </cell>
          <cell r="E6180">
            <v>2</v>
          </cell>
        </row>
        <row r="6181">
          <cell r="C6181" t="str">
            <v>B607000/A</v>
          </cell>
          <cell r="D6181" t="str">
            <v>RH10000F383</v>
          </cell>
          <cell r="E6181">
            <v>5</v>
          </cell>
        </row>
        <row r="6182">
          <cell r="C6182" t="str">
            <v>B607002/A</v>
          </cell>
          <cell r="D6182" t="str">
            <v>RH10000F384</v>
          </cell>
          <cell r="E6182">
            <v>13</v>
          </cell>
        </row>
        <row r="6183">
          <cell r="C6183" t="str">
            <v>B607004/A</v>
          </cell>
          <cell r="D6183" t="str">
            <v>RH10001F382</v>
          </cell>
          <cell r="E6183">
            <v>7</v>
          </cell>
        </row>
        <row r="6184">
          <cell r="C6184" t="str">
            <v>B607006/A</v>
          </cell>
          <cell r="D6184" t="str">
            <v>RH10001F384</v>
          </cell>
          <cell r="E6184">
            <v>4</v>
          </cell>
        </row>
        <row r="6185">
          <cell r="C6185" t="str">
            <v>B607008/A</v>
          </cell>
          <cell r="D6185" t="str">
            <v>RH10019F382</v>
          </cell>
          <cell r="E6185">
            <v>8</v>
          </cell>
        </row>
        <row r="6186">
          <cell r="C6186" t="str">
            <v>B607368/A</v>
          </cell>
          <cell r="D6186" t="str">
            <v>RH10019F384</v>
          </cell>
          <cell r="E6186">
            <v>13</v>
          </cell>
        </row>
        <row r="6187">
          <cell r="C6187" t="str">
            <v>B602103/A</v>
          </cell>
          <cell r="D6187" t="str">
            <v>RH10059NF382</v>
          </cell>
          <cell r="E6187">
            <v>9</v>
          </cell>
        </row>
        <row r="6188">
          <cell r="C6188" t="str">
            <v>B602105/A</v>
          </cell>
          <cell r="D6188" t="str">
            <v>RH10059NF383</v>
          </cell>
          <cell r="E6188">
            <v>7</v>
          </cell>
        </row>
        <row r="6189">
          <cell r="C6189" t="str">
            <v>B602107/A</v>
          </cell>
          <cell r="D6189" t="str">
            <v>RH10059NF384</v>
          </cell>
          <cell r="E6189">
            <v>6</v>
          </cell>
        </row>
        <row r="6190">
          <cell r="C6190" t="str">
            <v>B602109/A</v>
          </cell>
          <cell r="D6190" t="str">
            <v>RH10059NF409</v>
          </cell>
          <cell r="E6190">
            <v>20</v>
          </cell>
        </row>
        <row r="6191">
          <cell r="C6191" t="str">
            <v>B606674/A</v>
          </cell>
          <cell r="D6191" t="str">
            <v>RH10060F403</v>
          </cell>
          <cell r="E6191">
            <v>2</v>
          </cell>
        </row>
        <row r="6192">
          <cell r="C6192" t="str">
            <v>B606673/A</v>
          </cell>
          <cell r="D6192" t="str">
            <v>RH10060F404</v>
          </cell>
          <cell r="E6192">
            <v>2</v>
          </cell>
        </row>
        <row r="6193">
          <cell r="C6193" t="str">
            <v>B606675/A</v>
          </cell>
          <cell r="D6193" t="str">
            <v>RH10060F408</v>
          </cell>
          <cell r="E6193">
            <v>1</v>
          </cell>
        </row>
        <row r="6194">
          <cell r="C6194" t="str">
            <v>B606676/A</v>
          </cell>
          <cell r="D6194" t="str">
            <v>RH10060F408</v>
          </cell>
          <cell r="E6194">
            <v>3</v>
          </cell>
        </row>
        <row r="6195">
          <cell r="C6195" t="str">
            <v>B606663/A</v>
          </cell>
          <cell r="D6195" t="str">
            <v>RH10070F403</v>
          </cell>
          <cell r="E6195">
            <v>4</v>
          </cell>
        </row>
        <row r="6196">
          <cell r="C6196" t="str">
            <v>B606664/A</v>
          </cell>
          <cell r="D6196" t="str">
            <v>RH10070F403</v>
          </cell>
          <cell r="E6196">
            <v>3</v>
          </cell>
        </row>
        <row r="6197">
          <cell r="C6197" t="str">
            <v>B606668/A</v>
          </cell>
          <cell r="D6197" t="str">
            <v>RH10070F404</v>
          </cell>
          <cell r="E6197">
            <v>1</v>
          </cell>
        </row>
        <row r="6198">
          <cell r="C6198" t="str">
            <v>B606652/A</v>
          </cell>
          <cell r="D6198" t="str">
            <v>RH10070F405</v>
          </cell>
          <cell r="E6198">
            <v>3</v>
          </cell>
        </row>
        <row r="6199">
          <cell r="C6199" t="str">
            <v>B606671/A</v>
          </cell>
          <cell r="D6199" t="str">
            <v>RH10070F408</v>
          </cell>
          <cell r="E6199">
            <v>2</v>
          </cell>
        </row>
        <row r="6200">
          <cell r="C6200" t="str">
            <v>B606672/A</v>
          </cell>
          <cell r="D6200" t="str">
            <v>RH10070F408</v>
          </cell>
          <cell r="E6200">
            <v>3</v>
          </cell>
        </row>
        <row r="6201">
          <cell r="C6201" t="str">
            <v>B606660/A</v>
          </cell>
          <cell r="D6201" t="str">
            <v>RH10079F382</v>
          </cell>
          <cell r="E6201">
            <v>18</v>
          </cell>
        </row>
        <row r="6202">
          <cell r="C6202" t="str">
            <v>B606658/A</v>
          </cell>
          <cell r="D6202" t="str">
            <v>RH10079F382</v>
          </cell>
          <cell r="E6202">
            <v>5</v>
          </cell>
        </row>
        <row r="6203">
          <cell r="C6203" t="str">
            <v>B606666/A</v>
          </cell>
          <cell r="D6203" t="str">
            <v>RH10079F383</v>
          </cell>
          <cell r="E6203">
            <v>23</v>
          </cell>
        </row>
        <row r="6204">
          <cell r="C6204" t="str">
            <v>B606654/A</v>
          </cell>
          <cell r="D6204" t="str">
            <v>RH10081F382</v>
          </cell>
          <cell r="E6204">
            <v>2</v>
          </cell>
        </row>
        <row r="6205">
          <cell r="C6205" t="str">
            <v>B606656/A</v>
          </cell>
          <cell r="D6205" t="str">
            <v>RH10081F384</v>
          </cell>
          <cell r="E6205">
            <v>8</v>
          </cell>
        </row>
        <row r="6206">
          <cell r="C6206" t="str">
            <v>B606855/A</v>
          </cell>
          <cell r="D6206" t="str">
            <v>RH10082F382</v>
          </cell>
          <cell r="E6206">
            <v>14</v>
          </cell>
        </row>
        <row r="6207">
          <cell r="C6207" t="str">
            <v>B606856/A</v>
          </cell>
          <cell r="D6207" t="str">
            <v>RH10082F382</v>
          </cell>
          <cell r="E6207">
            <v>16</v>
          </cell>
        </row>
        <row r="6208">
          <cell r="C6208" t="str">
            <v>B606859/A</v>
          </cell>
          <cell r="D6208" t="str">
            <v>RH10082F383</v>
          </cell>
          <cell r="E6208">
            <v>7</v>
          </cell>
        </row>
        <row r="6209">
          <cell r="C6209" t="str">
            <v>B606860/A</v>
          </cell>
          <cell r="D6209" t="str">
            <v>RH10082F383</v>
          </cell>
          <cell r="E6209">
            <v>7</v>
          </cell>
        </row>
        <row r="6210">
          <cell r="C6210" t="str">
            <v>B606862/A</v>
          </cell>
          <cell r="D6210" t="str">
            <v>RH10082F384</v>
          </cell>
          <cell r="E6210">
            <v>3</v>
          </cell>
        </row>
        <row r="6211">
          <cell r="C6211" t="str">
            <v>B606865/A</v>
          </cell>
          <cell r="D6211" t="str">
            <v>RH10082F409</v>
          </cell>
          <cell r="E6211">
            <v>2</v>
          </cell>
        </row>
        <row r="6212">
          <cell r="C6212" t="str">
            <v>B606866/A</v>
          </cell>
          <cell r="D6212" t="str">
            <v>RH10082F409</v>
          </cell>
          <cell r="E6212">
            <v>16</v>
          </cell>
        </row>
        <row r="6213">
          <cell r="C6213" t="str">
            <v>B602079/A</v>
          </cell>
          <cell r="D6213" t="str">
            <v>RH10087F382</v>
          </cell>
          <cell r="E6213">
            <v>15</v>
          </cell>
        </row>
        <row r="6214">
          <cell r="C6214" t="str">
            <v>B602081/A</v>
          </cell>
          <cell r="D6214" t="str">
            <v>RH10087F383</v>
          </cell>
          <cell r="E6214">
            <v>13</v>
          </cell>
        </row>
        <row r="6215">
          <cell r="C6215" t="str">
            <v>B602083/A</v>
          </cell>
          <cell r="D6215" t="str">
            <v>RH10087F384</v>
          </cell>
          <cell r="E6215">
            <v>9</v>
          </cell>
        </row>
        <row r="6216">
          <cell r="C6216" t="str">
            <v>B602085/A</v>
          </cell>
          <cell r="D6216" t="str">
            <v>RH10088F382</v>
          </cell>
          <cell r="E6216">
            <v>15</v>
          </cell>
        </row>
        <row r="6217">
          <cell r="C6217" t="str">
            <v>B602087/A</v>
          </cell>
          <cell r="D6217" t="str">
            <v>RH10088F384</v>
          </cell>
          <cell r="E6217">
            <v>10</v>
          </cell>
        </row>
        <row r="6218">
          <cell r="C6218" t="str">
            <v>B598023/A</v>
          </cell>
          <cell r="D6218" t="str">
            <v>RH10089F382</v>
          </cell>
          <cell r="E6218">
            <v>7</v>
          </cell>
        </row>
        <row r="6219">
          <cell r="C6219" t="str">
            <v>B598025/A</v>
          </cell>
          <cell r="D6219" t="str">
            <v>RH10089F384</v>
          </cell>
          <cell r="E6219">
            <v>5</v>
          </cell>
        </row>
        <row r="6220">
          <cell r="C6220" t="str">
            <v>B598027/A</v>
          </cell>
          <cell r="D6220" t="str">
            <v>RH10090F382</v>
          </cell>
          <cell r="E6220">
            <v>11</v>
          </cell>
        </row>
        <row r="6221">
          <cell r="C6221" t="str">
            <v>B602112/A</v>
          </cell>
          <cell r="D6221" t="str">
            <v>RH10090F383</v>
          </cell>
          <cell r="E6221">
            <v>16</v>
          </cell>
        </row>
        <row r="6222">
          <cell r="C6222" t="str">
            <v>B602113/A</v>
          </cell>
          <cell r="D6222" t="str">
            <v>RH10090F383</v>
          </cell>
          <cell r="E6222">
            <v>13</v>
          </cell>
        </row>
        <row r="6223">
          <cell r="C6223" t="str">
            <v>B598029/A</v>
          </cell>
          <cell r="D6223" t="str">
            <v>RH10090F384</v>
          </cell>
          <cell r="E6223">
            <v>4</v>
          </cell>
        </row>
        <row r="6224">
          <cell r="C6224" t="str">
            <v>B602115/A</v>
          </cell>
          <cell r="D6224" t="str">
            <v>RH10090F384</v>
          </cell>
          <cell r="E6224">
            <v>2</v>
          </cell>
        </row>
        <row r="6225">
          <cell r="C6225" t="str">
            <v>B598074/A</v>
          </cell>
          <cell r="D6225" t="str">
            <v>RH10090F409</v>
          </cell>
          <cell r="E6225">
            <v>8</v>
          </cell>
        </row>
        <row r="6226">
          <cell r="C6226" t="str">
            <v>B602119/A</v>
          </cell>
          <cell r="D6226" t="str">
            <v>RH10090F409</v>
          </cell>
          <cell r="E6226">
            <v>23</v>
          </cell>
        </row>
        <row r="6227">
          <cell r="C6227" t="str">
            <v>B602120/A</v>
          </cell>
          <cell r="D6227" t="str">
            <v>RH10090F409</v>
          </cell>
          <cell r="E6227">
            <v>26</v>
          </cell>
        </row>
        <row r="6228">
          <cell r="C6228" t="str">
            <v>B602123/A</v>
          </cell>
          <cell r="D6228" t="str">
            <v>RH10092F384</v>
          </cell>
          <cell r="E6228">
            <v>15</v>
          </cell>
        </row>
        <row r="6229">
          <cell r="C6229" t="str">
            <v>B602124/A</v>
          </cell>
          <cell r="D6229" t="str">
            <v>RH10092F384</v>
          </cell>
          <cell r="E6229">
            <v>3</v>
          </cell>
        </row>
        <row r="6230">
          <cell r="C6230" t="str">
            <v>B602127/A</v>
          </cell>
          <cell r="D6230" t="str">
            <v>RH10092F409</v>
          </cell>
          <cell r="E6230">
            <v>17</v>
          </cell>
        </row>
        <row r="6231">
          <cell r="C6231" t="str">
            <v>B602128/A</v>
          </cell>
          <cell r="D6231" t="str">
            <v>RH10092F409</v>
          </cell>
          <cell r="E6231">
            <v>21</v>
          </cell>
        </row>
        <row r="6232">
          <cell r="C6232" t="str">
            <v>B598031/A</v>
          </cell>
          <cell r="D6232" t="str">
            <v>RH10113F382</v>
          </cell>
          <cell r="E6232">
            <v>4</v>
          </cell>
        </row>
        <row r="6233">
          <cell r="C6233" t="str">
            <v>B600756/A</v>
          </cell>
          <cell r="D6233" t="str">
            <v>RH10113F382</v>
          </cell>
          <cell r="E6233">
            <v>2</v>
          </cell>
        </row>
        <row r="6234">
          <cell r="C6234" t="str">
            <v>B598033/A</v>
          </cell>
          <cell r="D6234" t="str">
            <v>RH10113F383</v>
          </cell>
          <cell r="E6234">
            <v>1</v>
          </cell>
        </row>
        <row r="6235">
          <cell r="C6235" t="str">
            <v>B598035/A</v>
          </cell>
          <cell r="D6235" t="str">
            <v>RH10113F409</v>
          </cell>
          <cell r="E6235">
            <v>3</v>
          </cell>
        </row>
        <row r="6236">
          <cell r="C6236" t="str">
            <v>B606870/A</v>
          </cell>
          <cell r="D6236" t="str">
            <v>RH10114F382</v>
          </cell>
          <cell r="E6236">
            <v>14</v>
          </cell>
        </row>
        <row r="6237">
          <cell r="C6237" t="str">
            <v>B606869/A</v>
          </cell>
          <cell r="D6237" t="str">
            <v>RH10114F382</v>
          </cell>
          <cell r="E6237">
            <v>4</v>
          </cell>
        </row>
        <row r="6238">
          <cell r="C6238" t="str">
            <v>B606872/A</v>
          </cell>
          <cell r="D6238" t="str">
            <v>RH10114F384</v>
          </cell>
          <cell r="E6238">
            <v>2</v>
          </cell>
        </row>
        <row r="6239">
          <cell r="C6239" t="str">
            <v>B598082/A</v>
          </cell>
          <cell r="D6239" t="str">
            <v>RH10123F382</v>
          </cell>
          <cell r="E6239">
            <v>4</v>
          </cell>
        </row>
        <row r="6240">
          <cell r="C6240" t="str">
            <v>B598038/A</v>
          </cell>
          <cell r="D6240" t="str">
            <v>RH10123F384</v>
          </cell>
          <cell r="E6240">
            <v>3</v>
          </cell>
        </row>
        <row r="6241">
          <cell r="C6241" t="str">
            <v>B598084/A</v>
          </cell>
          <cell r="D6241" t="str">
            <v>RH10123F409</v>
          </cell>
          <cell r="E6241">
            <v>3</v>
          </cell>
        </row>
        <row r="6242">
          <cell r="C6242" t="str">
            <v>B607012/A</v>
          </cell>
          <cell r="D6242" t="str">
            <v>RH10124F382</v>
          </cell>
          <cell r="E6242">
            <v>14</v>
          </cell>
        </row>
        <row r="6243">
          <cell r="C6243" t="str">
            <v>B607014/A</v>
          </cell>
          <cell r="D6243" t="str">
            <v>RH10124F383</v>
          </cell>
          <cell r="E6243">
            <v>12</v>
          </cell>
        </row>
        <row r="6244">
          <cell r="C6244" t="str">
            <v>B598042/A</v>
          </cell>
          <cell r="D6244" t="str">
            <v>RH10158F382</v>
          </cell>
          <cell r="E6244">
            <v>3</v>
          </cell>
        </row>
        <row r="6245">
          <cell r="C6245" t="str">
            <v>B600761/A</v>
          </cell>
          <cell r="D6245" t="str">
            <v>RH10158F382</v>
          </cell>
          <cell r="E6245">
            <v>2</v>
          </cell>
        </row>
        <row r="6246">
          <cell r="C6246" t="str">
            <v>B600762/A</v>
          </cell>
          <cell r="D6246" t="str">
            <v>RH10158F382</v>
          </cell>
          <cell r="E6246">
            <v>5</v>
          </cell>
        </row>
        <row r="6247">
          <cell r="C6247" t="str">
            <v>B598044/A</v>
          </cell>
          <cell r="D6247" t="str">
            <v>RH10163F382</v>
          </cell>
          <cell r="E6247">
            <v>3</v>
          </cell>
        </row>
        <row r="6248">
          <cell r="C6248" t="str">
            <v>B598092/A</v>
          </cell>
          <cell r="D6248" t="str">
            <v>RH10163F409</v>
          </cell>
          <cell r="E6248">
            <v>7</v>
          </cell>
        </row>
        <row r="6249">
          <cell r="C6249" t="str">
            <v>B598046/A</v>
          </cell>
          <cell r="D6249" t="str">
            <v>RH10168F382</v>
          </cell>
          <cell r="E6249">
            <v>2</v>
          </cell>
        </row>
        <row r="6250">
          <cell r="C6250" t="str">
            <v>B598048/A</v>
          </cell>
          <cell r="D6250" t="str">
            <v>RH10168F384</v>
          </cell>
          <cell r="E6250">
            <v>6</v>
          </cell>
        </row>
        <row r="6251">
          <cell r="C6251" t="str">
            <v>B607016/A</v>
          </cell>
          <cell r="D6251" t="str">
            <v>RH10171F382</v>
          </cell>
          <cell r="E6251">
            <v>10</v>
          </cell>
        </row>
        <row r="6252">
          <cell r="C6252" t="str">
            <v>B607018/A</v>
          </cell>
          <cell r="D6252" t="str">
            <v>RH10171F384</v>
          </cell>
          <cell r="E6252">
            <v>7</v>
          </cell>
        </row>
        <row r="6253">
          <cell r="C6253" t="str">
            <v>B607020/A</v>
          </cell>
          <cell r="D6253" t="str">
            <v>RH10171F409</v>
          </cell>
          <cell r="E6253">
            <v>4</v>
          </cell>
        </row>
        <row r="6254">
          <cell r="C6254" t="str">
            <v>B607022/A</v>
          </cell>
          <cell r="D6254" t="str">
            <v>RH106F01</v>
          </cell>
          <cell r="E6254">
            <v>16</v>
          </cell>
        </row>
        <row r="6255">
          <cell r="C6255" t="str">
            <v>B607024/A</v>
          </cell>
          <cell r="D6255" t="str">
            <v>RH106F02</v>
          </cell>
          <cell r="E6255">
            <v>10</v>
          </cell>
        </row>
        <row r="6256">
          <cell r="C6256" t="str">
            <v>B607026/A</v>
          </cell>
          <cell r="D6256" t="str">
            <v>RH106F03</v>
          </cell>
          <cell r="E6256">
            <v>5</v>
          </cell>
        </row>
        <row r="6257">
          <cell r="C6257" t="str">
            <v>B607346/A</v>
          </cell>
          <cell r="D6257" t="str">
            <v>RH1309F01</v>
          </cell>
          <cell r="E6257">
            <v>6</v>
          </cell>
        </row>
        <row r="6258">
          <cell r="C6258" t="str">
            <v>B607347/A</v>
          </cell>
          <cell r="D6258" t="str">
            <v>RH1309F01</v>
          </cell>
          <cell r="E6258">
            <v>8</v>
          </cell>
        </row>
        <row r="6259">
          <cell r="C6259" t="str">
            <v>B607349/A</v>
          </cell>
          <cell r="D6259" t="str">
            <v>RH1309F02</v>
          </cell>
          <cell r="E6259">
            <v>8</v>
          </cell>
        </row>
        <row r="6260">
          <cell r="C6260" t="str">
            <v>B607351/A</v>
          </cell>
          <cell r="D6260" t="str">
            <v>RH1309F03</v>
          </cell>
          <cell r="E6260">
            <v>1</v>
          </cell>
        </row>
        <row r="6261">
          <cell r="C6261" t="str">
            <v>B607354/A</v>
          </cell>
          <cell r="D6261" t="str">
            <v>RH1838F08</v>
          </cell>
          <cell r="E6261">
            <v>4</v>
          </cell>
        </row>
        <row r="6262">
          <cell r="C6262" t="str">
            <v>B607355/A</v>
          </cell>
          <cell r="D6262" t="str">
            <v>RH1838F08</v>
          </cell>
          <cell r="E6262">
            <v>6</v>
          </cell>
        </row>
        <row r="6263">
          <cell r="C6263" t="str">
            <v>B607357/A</v>
          </cell>
          <cell r="D6263" t="str">
            <v>RH1852NF08</v>
          </cell>
          <cell r="E6263">
            <v>8</v>
          </cell>
        </row>
        <row r="6264">
          <cell r="C6264" t="str">
            <v>B607028/A</v>
          </cell>
          <cell r="D6264" t="str">
            <v>RH1964F26-TRDL</v>
          </cell>
          <cell r="E6264">
            <v>1</v>
          </cell>
        </row>
        <row r="6265">
          <cell r="C6265" t="str">
            <v>B607227/A</v>
          </cell>
          <cell r="D6265" t="str">
            <v>RH2252F08</v>
          </cell>
          <cell r="E6265">
            <v>27</v>
          </cell>
        </row>
        <row r="6266">
          <cell r="C6266" t="str">
            <v>B607228/A</v>
          </cell>
          <cell r="D6266" t="str">
            <v>RH2252F08</v>
          </cell>
          <cell r="E6266">
            <v>33</v>
          </cell>
        </row>
        <row r="6267">
          <cell r="C6267" t="str">
            <v>B607236/A</v>
          </cell>
          <cell r="D6267" t="str">
            <v>RH2252F09</v>
          </cell>
          <cell r="E6267">
            <v>2</v>
          </cell>
        </row>
        <row r="6268">
          <cell r="C6268" t="str">
            <v>B607237/A</v>
          </cell>
          <cell r="D6268" t="str">
            <v>RH2252F09</v>
          </cell>
          <cell r="E6268">
            <v>38</v>
          </cell>
        </row>
        <row r="6269">
          <cell r="C6269" t="str">
            <v>B607238/A</v>
          </cell>
          <cell r="D6269" t="str">
            <v>RH2252F09</v>
          </cell>
          <cell r="E6269">
            <v>47</v>
          </cell>
        </row>
        <row r="6270">
          <cell r="C6270" t="str">
            <v>B607030/A</v>
          </cell>
          <cell r="D6270" t="str">
            <v>RH2270F102</v>
          </cell>
          <cell r="E6270">
            <v>13</v>
          </cell>
        </row>
        <row r="6271">
          <cell r="C6271" t="str">
            <v>B607032/A</v>
          </cell>
          <cell r="D6271" t="str">
            <v>RH2270F10CZ</v>
          </cell>
          <cell r="E6271">
            <v>11</v>
          </cell>
        </row>
        <row r="6272">
          <cell r="C6272" t="str">
            <v>B607034/A</v>
          </cell>
          <cell r="D6272" t="str">
            <v>RH2270F190</v>
          </cell>
          <cell r="E6272">
            <v>8</v>
          </cell>
        </row>
        <row r="6273">
          <cell r="C6273" t="str">
            <v>B607038/A</v>
          </cell>
          <cell r="D6273" t="str">
            <v>RH2285F08</v>
          </cell>
          <cell r="E6273">
            <v>2</v>
          </cell>
        </row>
        <row r="6274">
          <cell r="C6274" t="str">
            <v>B607039/A</v>
          </cell>
          <cell r="D6274" t="str">
            <v>RH2285F08</v>
          </cell>
          <cell r="E6274">
            <v>10</v>
          </cell>
        </row>
        <row r="6275">
          <cell r="C6275" t="str">
            <v>B607040/A</v>
          </cell>
          <cell r="D6275" t="str">
            <v>RH2285F08</v>
          </cell>
          <cell r="E6275">
            <v>10</v>
          </cell>
        </row>
        <row r="6276">
          <cell r="C6276" t="str">
            <v>B607042/A</v>
          </cell>
          <cell r="D6276" t="str">
            <v>RH2372F122</v>
          </cell>
          <cell r="E6276">
            <v>21</v>
          </cell>
        </row>
        <row r="6277">
          <cell r="C6277" t="str">
            <v>B607044/A</v>
          </cell>
          <cell r="D6277" t="str">
            <v>RH2372F123</v>
          </cell>
          <cell r="E6277">
            <v>17</v>
          </cell>
        </row>
        <row r="6278">
          <cell r="C6278" t="str">
            <v>B607046/A</v>
          </cell>
          <cell r="D6278" t="str">
            <v>RH2688F08CZ</v>
          </cell>
          <cell r="E6278">
            <v>2</v>
          </cell>
        </row>
        <row r="6279">
          <cell r="C6279" t="str">
            <v>B607048/A</v>
          </cell>
          <cell r="D6279" t="str">
            <v>RH2688F190</v>
          </cell>
          <cell r="E6279">
            <v>13</v>
          </cell>
        </row>
        <row r="6280">
          <cell r="C6280" t="str">
            <v>B607107/A</v>
          </cell>
          <cell r="D6280" t="str">
            <v>RH3316F26</v>
          </cell>
          <cell r="E6280">
            <v>1</v>
          </cell>
        </row>
        <row r="6281">
          <cell r="C6281" t="str">
            <v>B607241/A</v>
          </cell>
          <cell r="D6281" t="str">
            <v>RH3521F09</v>
          </cell>
          <cell r="E6281">
            <v>11</v>
          </cell>
        </row>
        <row r="6282">
          <cell r="C6282" t="str">
            <v>B607245/A</v>
          </cell>
          <cell r="D6282" t="str">
            <v>RH3553F08</v>
          </cell>
          <cell r="E6282">
            <v>8</v>
          </cell>
        </row>
        <row r="6283">
          <cell r="C6283" t="str">
            <v>B607246/A</v>
          </cell>
          <cell r="D6283" t="str">
            <v>RH3553F08</v>
          </cell>
          <cell r="E6283">
            <v>11</v>
          </cell>
        </row>
        <row r="6284">
          <cell r="C6284" t="str">
            <v>B607249/A</v>
          </cell>
          <cell r="D6284" t="str">
            <v>RH3553F09</v>
          </cell>
          <cell r="E6284">
            <v>19</v>
          </cell>
        </row>
        <row r="6285">
          <cell r="C6285" t="str">
            <v>B607250/A</v>
          </cell>
          <cell r="D6285" t="str">
            <v>RH3553F09</v>
          </cell>
          <cell r="E6285">
            <v>24</v>
          </cell>
        </row>
        <row r="6286">
          <cell r="C6286" t="str">
            <v>B607050/A</v>
          </cell>
          <cell r="D6286" t="str">
            <v>RH3554F08</v>
          </cell>
          <cell r="E6286">
            <v>3</v>
          </cell>
        </row>
        <row r="6287">
          <cell r="C6287" t="str">
            <v>B607052/A</v>
          </cell>
          <cell r="D6287" t="str">
            <v>RH3554F09</v>
          </cell>
          <cell r="E6287">
            <v>15</v>
          </cell>
        </row>
        <row r="6288">
          <cell r="C6288" t="str">
            <v>B607054/A</v>
          </cell>
          <cell r="D6288" t="str">
            <v>RH3719F03</v>
          </cell>
          <cell r="E6288">
            <v>10</v>
          </cell>
        </row>
        <row r="6289">
          <cell r="C6289" t="str">
            <v>B607253/A</v>
          </cell>
          <cell r="D6289" t="str">
            <v>RH7151F381</v>
          </cell>
          <cell r="E6289">
            <v>4</v>
          </cell>
        </row>
        <row r="6290">
          <cell r="C6290" t="str">
            <v>B607254/A</v>
          </cell>
          <cell r="D6290" t="str">
            <v>RH7151F381</v>
          </cell>
          <cell r="E6290">
            <v>5</v>
          </cell>
        </row>
        <row r="6291">
          <cell r="C6291" t="str">
            <v>B607256/A</v>
          </cell>
          <cell r="D6291" t="str">
            <v>RH7151F383</v>
          </cell>
          <cell r="E6291">
            <v>3</v>
          </cell>
        </row>
        <row r="6292">
          <cell r="C6292" t="str">
            <v>B607259/A</v>
          </cell>
          <cell r="D6292" t="str">
            <v>RH7151F409</v>
          </cell>
          <cell r="E6292">
            <v>11</v>
          </cell>
        </row>
        <row r="6293">
          <cell r="C6293" t="str">
            <v>B607260/A</v>
          </cell>
          <cell r="D6293" t="str">
            <v>RH7151F409</v>
          </cell>
          <cell r="E6293">
            <v>13</v>
          </cell>
        </row>
        <row r="6294">
          <cell r="C6294" t="str">
            <v>B607056/A</v>
          </cell>
          <cell r="D6294" t="str">
            <v>RH7367F409</v>
          </cell>
          <cell r="E6294">
            <v>15</v>
          </cell>
        </row>
        <row r="6295">
          <cell r="C6295" t="str">
            <v>B607058/A</v>
          </cell>
          <cell r="D6295" t="str">
            <v>RH7370F382</v>
          </cell>
          <cell r="E6295">
            <v>4</v>
          </cell>
        </row>
        <row r="6296">
          <cell r="C6296" t="str">
            <v>B607060/A</v>
          </cell>
          <cell r="D6296" t="str">
            <v>RH7370F409</v>
          </cell>
          <cell r="E6296">
            <v>14</v>
          </cell>
        </row>
        <row r="6297">
          <cell r="C6297" t="str">
            <v>B607262/A</v>
          </cell>
          <cell r="D6297" t="str">
            <v>RH7372F381</v>
          </cell>
          <cell r="E6297">
            <v>13</v>
          </cell>
        </row>
        <row r="6298">
          <cell r="C6298" t="str">
            <v>B607264/A</v>
          </cell>
          <cell r="D6298" t="str">
            <v>RH7372F382</v>
          </cell>
          <cell r="E6298">
            <v>2</v>
          </cell>
        </row>
        <row r="6299">
          <cell r="C6299" t="str">
            <v>B607266/A</v>
          </cell>
          <cell r="D6299" t="str">
            <v>RH7372F409</v>
          </cell>
          <cell r="E6299">
            <v>3</v>
          </cell>
        </row>
        <row r="6300">
          <cell r="C6300" t="str">
            <v>B607062/A</v>
          </cell>
          <cell r="D6300" t="str">
            <v>RH7373F409</v>
          </cell>
          <cell r="E6300">
            <v>10</v>
          </cell>
        </row>
        <row r="6301">
          <cell r="C6301" t="str">
            <v>B607268/A</v>
          </cell>
          <cell r="D6301" t="str">
            <v>RH7383F409</v>
          </cell>
          <cell r="E6301">
            <v>5</v>
          </cell>
        </row>
        <row r="6302">
          <cell r="C6302" t="str">
            <v>B607270/A</v>
          </cell>
          <cell r="D6302" t="str">
            <v>RH7393F383</v>
          </cell>
          <cell r="E6302">
            <v>2</v>
          </cell>
        </row>
        <row r="6303">
          <cell r="C6303" t="str">
            <v>B607272/A</v>
          </cell>
          <cell r="D6303" t="str">
            <v>RH7393F409</v>
          </cell>
          <cell r="E6303">
            <v>16</v>
          </cell>
        </row>
        <row r="6304">
          <cell r="C6304" t="str">
            <v>B607064/A</v>
          </cell>
          <cell r="D6304" t="str">
            <v>RH7563F409</v>
          </cell>
          <cell r="E6304">
            <v>10</v>
          </cell>
        </row>
        <row r="6305">
          <cell r="C6305" t="str">
            <v>B607274/A</v>
          </cell>
          <cell r="D6305" t="str">
            <v>RH9283F403</v>
          </cell>
          <cell r="E6305">
            <v>9</v>
          </cell>
        </row>
        <row r="6306">
          <cell r="C6306" t="str">
            <v>B607276/A</v>
          </cell>
          <cell r="D6306" t="str">
            <v>RH9283F408</v>
          </cell>
          <cell r="E6306">
            <v>9</v>
          </cell>
        </row>
        <row r="6307">
          <cell r="C6307" t="str">
            <v>B607066/A</v>
          </cell>
          <cell r="D6307" t="str">
            <v>RH9284F408</v>
          </cell>
          <cell r="E6307">
            <v>10</v>
          </cell>
        </row>
        <row r="6308">
          <cell r="C6308" t="str">
            <v>B607279/A</v>
          </cell>
          <cell r="D6308" t="str">
            <v>RH9348F409</v>
          </cell>
          <cell r="E6308">
            <v>5</v>
          </cell>
        </row>
        <row r="6309">
          <cell r="C6309" t="str">
            <v>B607281/A</v>
          </cell>
          <cell r="D6309" t="str">
            <v>RH9349F382</v>
          </cell>
          <cell r="E6309">
            <v>5</v>
          </cell>
        </row>
        <row r="6310">
          <cell r="C6310" t="str">
            <v>B607069/A</v>
          </cell>
          <cell r="D6310" t="str">
            <v>RH9498NF382</v>
          </cell>
          <cell r="E6310">
            <v>31</v>
          </cell>
        </row>
        <row r="6311">
          <cell r="C6311" t="str">
            <v>B607070/A</v>
          </cell>
          <cell r="D6311" t="str">
            <v>RH9498NF382</v>
          </cell>
          <cell r="E6311">
            <v>34</v>
          </cell>
        </row>
        <row r="6312">
          <cell r="C6312" t="str">
            <v>B607073/A</v>
          </cell>
          <cell r="D6312" t="str">
            <v>RH9498NF383</v>
          </cell>
          <cell r="E6312">
            <v>3</v>
          </cell>
        </row>
        <row r="6313">
          <cell r="C6313" t="str">
            <v>B607076/A</v>
          </cell>
          <cell r="D6313" t="str">
            <v>RH9498NF384</v>
          </cell>
          <cell r="E6313">
            <v>10</v>
          </cell>
        </row>
        <row r="6314">
          <cell r="C6314" t="str">
            <v>B607077/A</v>
          </cell>
          <cell r="D6314" t="str">
            <v>RH9498NF384</v>
          </cell>
          <cell r="E6314">
            <v>9</v>
          </cell>
        </row>
        <row r="6315">
          <cell r="C6315" t="str">
            <v>B607080/A</v>
          </cell>
          <cell r="D6315" t="str">
            <v>RH9498NF409</v>
          </cell>
          <cell r="E6315">
            <v>21</v>
          </cell>
        </row>
        <row r="6316">
          <cell r="C6316" t="str">
            <v>B607081/A</v>
          </cell>
          <cell r="D6316" t="str">
            <v>RH9498NF409</v>
          </cell>
          <cell r="E6316">
            <v>29</v>
          </cell>
        </row>
        <row r="6317">
          <cell r="C6317" t="str">
            <v>B602090/A</v>
          </cell>
          <cell r="D6317" t="str">
            <v>RH9499F382</v>
          </cell>
          <cell r="E6317">
            <v>22</v>
          </cell>
        </row>
        <row r="6318">
          <cell r="C6318" t="str">
            <v>B602091/A</v>
          </cell>
          <cell r="D6318" t="str">
            <v>RH9499F382</v>
          </cell>
          <cell r="E6318">
            <v>24</v>
          </cell>
        </row>
        <row r="6319">
          <cell r="C6319" t="str">
            <v>B602093/A</v>
          </cell>
          <cell r="D6319" t="str">
            <v>RH9499F383</v>
          </cell>
          <cell r="E6319">
            <v>17</v>
          </cell>
        </row>
        <row r="6320">
          <cell r="C6320" t="str">
            <v>B602096/A</v>
          </cell>
          <cell r="D6320" t="str">
            <v>RH9499F384</v>
          </cell>
          <cell r="E6320">
            <v>10</v>
          </cell>
        </row>
        <row r="6321">
          <cell r="C6321" t="str">
            <v>B602097/A</v>
          </cell>
          <cell r="D6321" t="str">
            <v>RH9499F384</v>
          </cell>
          <cell r="E6321">
            <v>14</v>
          </cell>
        </row>
        <row r="6322">
          <cell r="C6322" t="str">
            <v>B602100/A</v>
          </cell>
          <cell r="D6322" t="str">
            <v>RH9499F409</v>
          </cell>
          <cell r="E6322">
            <v>21</v>
          </cell>
        </row>
        <row r="6323">
          <cell r="C6323" t="str">
            <v>B602101/A</v>
          </cell>
          <cell r="D6323" t="str">
            <v>RH9499F409</v>
          </cell>
          <cell r="E6323">
            <v>35</v>
          </cell>
        </row>
        <row r="6324">
          <cell r="C6324" t="str">
            <v>B607284/A</v>
          </cell>
          <cell r="D6324" t="str">
            <v>RH9536NF423</v>
          </cell>
          <cell r="E6324">
            <v>8</v>
          </cell>
        </row>
        <row r="6325">
          <cell r="C6325" t="str">
            <v>B607286/A</v>
          </cell>
          <cell r="D6325" t="str">
            <v>RH9536NF424</v>
          </cell>
          <cell r="E6325">
            <v>2</v>
          </cell>
        </row>
        <row r="6326">
          <cell r="C6326" t="str">
            <v>B607290/A</v>
          </cell>
          <cell r="D6326" t="str">
            <v>RH9863F423</v>
          </cell>
          <cell r="E6326">
            <v>4</v>
          </cell>
        </row>
        <row r="6327">
          <cell r="C6327" t="str">
            <v>B607291/A</v>
          </cell>
          <cell r="D6327" t="str">
            <v>RH9863F423</v>
          </cell>
          <cell r="E6327">
            <v>5</v>
          </cell>
        </row>
        <row r="6328">
          <cell r="C6328" t="str">
            <v>B607295/A</v>
          </cell>
          <cell r="D6328" t="str">
            <v>RH9863F425</v>
          </cell>
          <cell r="E6328">
            <v>5</v>
          </cell>
        </row>
        <row r="6329">
          <cell r="C6329" t="str">
            <v>B607296/A</v>
          </cell>
          <cell r="D6329" t="str">
            <v>RH9863F425</v>
          </cell>
          <cell r="E6329">
            <v>6</v>
          </cell>
        </row>
        <row r="6330">
          <cell r="C6330" t="str">
            <v>B607301/A</v>
          </cell>
          <cell r="D6330" t="str">
            <v>RH9863F426</v>
          </cell>
          <cell r="E6330">
            <v>8</v>
          </cell>
        </row>
        <row r="6331">
          <cell r="C6331" t="str">
            <v>B607302/A</v>
          </cell>
          <cell r="D6331" t="str">
            <v>RH9863F426</v>
          </cell>
          <cell r="E6331">
            <v>1</v>
          </cell>
        </row>
        <row r="6332">
          <cell r="C6332" t="str">
            <v>B607083/A</v>
          </cell>
          <cell r="D6332" t="str">
            <v>RH9866F424</v>
          </cell>
          <cell r="E6332">
            <v>3</v>
          </cell>
        </row>
        <row r="6333">
          <cell r="C6333" t="str">
            <v>B607085/A</v>
          </cell>
          <cell r="D6333" t="str">
            <v>RH9866F425</v>
          </cell>
          <cell r="E6333">
            <v>8</v>
          </cell>
        </row>
        <row r="6334">
          <cell r="C6334" t="str">
            <v>B607087/A</v>
          </cell>
          <cell r="D6334" t="str">
            <v>RH9866F426</v>
          </cell>
          <cell r="E6334">
            <v>8</v>
          </cell>
        </row>
        <row r="6335">
          <cell r="C6335" t="str">
            <v>B607305/A</v>
          </cell>
          <cell r="D6335" t="str">
            <v>RH9875F423</v>
          </cell>
          <cell r="E6335">
            <v>8</v>
          </cell>
        </row>
        <row r="6336">
          <cell r="C6336" t="str">
            <v>B607307/A</v>
          </cell>
          <cell r="D6336" t="str">
            <v>RH9875F424</v>
          </cell>
          <cell r="E6336">
            <v>2</v>
          </cell>
        </row>
        <row r="6337">
          <cell r="C6337" t="str">
            <v>B607089/A</v>
          </cell>
          <cell r="D6337" t="str">
            <v>RH9878F423</v>
          </cell>
          <cell r="E6337">
            <v>12</v>
          </cell>
        </row>
        <row r="6338">
          <cell r="C6338" t="str">
            <v>B607091/A</v>
          </cell>
          <cell r="D6338" t="str">
            <v>RH9878F425</v>
          </cell>
          <cell r="E6338">
            <v>3</v>
          </cell>
        </row>
        <row r="6339">
          <cell r="C6339" t="str">
            <v>B607093/A</v>
          </cell>
          <cell r="D6339" t="str">
            <v>RH9883F423</v>
          </cell>
          <cell r="E6339">
            <v>13</v>
          </cell>
        </row>
        <row r="6340">
          <cell r="C6340" t="str">
            <v>B607379/A</v>
          </cell>
          <cell r="D6340" t="str">
            <v>RH9883F423</v>
          </cell>
          <cell r="E6340">
            <v>2</v>
          </cell>
        </row>
        <row r="6341">
          <cell r="C6341" t="str">
            <v>B607095/A</v>
          </cell>
          <cell r="D6341" t="str">
            <v>RH9883F426</v>
          </cell>
          <cell r="E6341">
            <v>3</v>
          </cell>
        </row>
        <row r="6342">
          <cell r="C6342" t="str">
            <v>B607097/A</v>
          </cell>
          <cell r="D6342" t="str">
            <v>RH9888F426</v>
          </cell>
          <cell r="E6342">
            <v>10</v>
          </cell>
        </row>
        <row r="6343">
          <cell r="C6343" t="str">
            <v>B598054/A</v>
          </cell>
          <cell r="D6343" t="str">
            <v>RH9987F382</v>
          </cell>
          <cell r="E6343">
            <v>4</v>
          </cell>
        </row>
        <row r="6344">
          <cell r="C6344" t="str">
            <v>B598056/A</v>
          </cell>
          <cell r="D6344" t="str">
            <v>RH9987F383</v>
          </cell>
          <cell r="E6344">
            <v>2</v>
          </cell>
        </row>
        <row r="6345">
          <cell r="C6345" t="str">
            <v>B598070/A</v>
          </cell>
          <cell r="D6345" t="str">
            <v>RH9987F409</v>
          </cell>
          <cell r="E6345">
            <v>4</v>
          </cell>
        </row>
        <row r="6346">
          <cell r="C6346" t="str">
            <v>B607100/A</v>
          </cell>
          <cell r="D6346" t="str">
            <v>RH9988F423</v>
          </cell>
          <cell r="E6346">
            <v>4</v>
          </cell>
        </row>
        <row r="6347">
          <cell r="C6347" t="str">
            <v>B607101/A</v>
          </cell>
          <cell r="D6347" t="str">
            <v>RH9988F423</v>
          </cell>
          <cell r="E6347">
            <v>12</v>
          </cell>
        </row>
        <row r="6348">
          <cell r="C6348" t="str">
            <v>B607105/A</v>
          </cell>
          <cell r="D6348" t="str">
            <v>RH9988F425</v>
          </cell>
          <cell r="E6348">
            <v>4</v>
          </cell>
        </row>
        <row r="6349">
          <cell r="C6349" t="str">
            <v>B607103/A</v>
          </cell>
          <cell r="D6349" t="str">
            <v>RH9988F426</v>
          </cell>
          <cell r="E6349">
            <v>7</v>
          </cell>
        </row>
        <row r="6350">
          <cell r="C6350" t="str">
            <v>B602137/A</v>
          </cell>
          <cell r="D6350" t="str">
            <v>RH9989F382</v>
          </cell>
          <cell r="E6350">
            <v>5</v>
          </cell>
        </row>
        <row r="6351">
          <cell r="C6351" t="str">
            <v>B602139/A</v>
          </cell>
          <cell r="D6351" t="str">
            <v>RH9989F382</v>
          </cell>
          <cell r="E6351">
            <v>4</v>
          </cell>
        </row>
        <row r="6352">
          <cell r="C6352" t="str">
            <v>B602141/A</v>
          </cell>
          <cell r="D6352" t="str">
            <v>RH9989F384</v>
          </cell>
          <cell r="E6352">
            <v>12</v>
          </cell>
        </row>
        <row r="6353">
          <cell r="C6353" t="str">
            <v>B602143/A</v>
          </cell>
          <cell r="D6353" t="str">
            <v>RH9991NF382</v>
          </cell>
          <cell r="E6353">
            <v>3</v>
          </cell>
        </row>
        <row r="6354">
          <cell r="C6354" t="str">
            <v>B602145/A</v>
          </cell>
          <cell r="D6354" t="str">
            <v>RH9991NF384</v>
          </cell>
          <cell r="E6354">
            <v>2</v>
          </cell>
        </row>
        <row r="6355">
          <cell r="C6355" t="str">
            <v>B602148/A</v>
          </cell>
          <cell r="D6355" t="str">
            <v>RH9991NF409</v>
          </cell>
          <cell r="E6355">
            <v>9</v>
          </cell>
        </row>
        <row r="6356">
          <cell r="C6356" t="str">
            <v>B602149/A</v>
          </cell>
          <cell r="D6356" t="str">
            <v>RH9991NF409</v>
          </cell>
          <cell r="E6356">
            <v>11</v>
          </cell>
        </row>
        <row r="6357">
          <cell r="C6357" t="str">
            <v>B604644/A</v>
          </cell>
          <cell r="D6357" t="str">
            <v>SD495F01-TOP</v>
          </cell>
          <cell r="E6357">
            <v>25</v>
          </cell>
        </row>
        <row r="6358">
          <cell r="C6358" t="str">
            <v>B604642/A</v>
          </cell>
          <cell r="D6358" t="str">
            <v>SD497F01-TOP</v>
          </cell>
          <cell r="E6358">
            <v>25</v>
          </cell>
        </row>
        <row r="6359">
          <cell r="C6359" t="str">
            <v>B605983/A</v>
          </cell>
          <cell r="D6359" t="str">
            <v>SH332F521-1463</v>
          </cell>
          <cell r="E6359">
            <v>28</v>
          </cell>
        </row>
        <row r="6360">
          <cell r="C6360" t="str">
            <v>B605984/A</v>
          </cell>
          <cell r="D6360" t="str">
            <v>SH332F521-31856</v>
          </cell>
          <cell r="E6360">
            <v>30</v>
          </cell>
        </row>
        <row r="6361">
          <cell r="C6361" t="str">
            <v>B605987/A</v>
          </cell>
          <cell r="D6361" t="str">
            <v>SH598F521-1463</v>
          </cell>
          <cell r="E6361">
            <v>28</v>
          </cell>
        </row>
        <row r="6362">
          <cell r="C6362" t="str">
            <v>B606938/A</v>
          </cell>
          <cell r="D6362" t="str">
            <v>JV065F1313-SWAT</v>
          </cell>
          <cell r="E6362">
            <v>900</v>
          </cell>
        </row>
        <row r="6363">
          <cell r="C6363" t="str">
            <v>B607222/A</v>
          </cell>
          <cell r="D6363" t="str">
            <v>JV065F1313-SWAT</v>
          </cell>
          <cell r="E6363">
            <v>900</v>
          </cell>
        </row>
        <row r="6364">
          <cell r="C6364" t="str">
            <v>B607807/A</v>
          </cell>
          <cell r="D6364" t="str">
            <v>BN3224F355</v>
          </cell>
          <cell r="E6364">
            <v>1</v>
          </cell>
        </row>
        <row r="6365">
          <cell r="C6365" t="str">
            <v>B607785/A</v>
          </cell>
          <cell r="D6365" t="str">
            <v>RH1656F96.BC</v>
          </cell>
          <cell r="E6365">
            <v>1</v>
          </cell>
        </row>
        <row r="6366">
          <cell r="C6366" t="str">
            <v>B607805/A</v>
          </cell>
          <cell r="D6366" t="str">
            <v>RH1713AF40</v>
          </cell>
          <cell r="E6366">
            <v>1</v>
          </cell>
        </row>
        <row r="6367">
          <cell r="C6367" t="str">
            <v>B607789/A</v>
          </cell>
          <cell r="D6367" t="str">
            <v>RH3347F09</v>
          </cell>
          <cell r="E6367">
            <v>1</v>
          </cell>
        </row>
        <row r="6368">
          <cell r="C6368" t="str">
            <v>B607793/A</v>
          </cell>
          <cell r="D6368" t="str">
            <v>RH3353F09</v>
          </cell>
          <cell r="E6368">
            <v>1</v>
          </cell>
        </row>
        <row r="6369">
          <cell r="C6369" t="str">
            <v>B607791/A</v>
          </cell>
          <cell r="D6369" t="str">
            <v>RH3381F09</v>
          </cell>
          <cell r="E6369">
            <v>1</v>
          </cell>
        </row>
        <row r="6370">
          <cell r="C6370" t="str">
            <v>B607797/A</v>
          </cell>
          <cell r="D6370" t="str">
            <v>RH5122NF40.BC</v>
          </cell>
          <cell r="E6370">
            <v>1</v>
          </cell>
        </row>
        <row r="6371">
          <cell r="C6371" t="str">
            <v>B607781/A</v>
          </cell>
          <cell r="D6371" t="str">
            <v>RH5464F40</v>
          </cell>
          <cell r="E6371">
            <v>1</v>
          </cell>
        </row>
        <row r="6372">
          <cell r="C6372" t="str">
            <v>B607783/A</v>
          </cell>
          <cell r="D6372" t="str">
            <v>RH5466F40</v>
          </cell>
          <cell r="E6372">
            <v>1</v>
          </cell>
        </row>
        <row r="6373">
          <cell r="C6373" t="str">
            <v>B607787/A</v>
          </cell>
          <cell r="D6373" t="str">
            <v>RH6680F96</v>
          </cell>
          <cell r="E6373">
            <v>1</v>
          </cell>
        </row>
        <row r="6374">
          <cell r="C6374" t="str">
            <v>B607803/A</v>
          </cell>
          <cell r="D6374" t="str">
            <v>RH848F26</v>
          </cell>
          <cell r="E6374">
            <v>1</v>
          </cell>
        </row>
        <row r="6375">
          <cell r="C6375" t="str">
            <v>B607362/A</v>
          </cell>
          <cell r="D6375" t="str">
            <v>AR1014F1039</v>
          </cell>
          <cell r="E6375">
            <v>10</v>
          </cell>
        </row>
        <row r="6376">
          <cell r="C6376" t="str">
            <v>B607363/A</v>
          </cell>
          <cell r="D6376" t="str">
            <v>AR1014F1039</v>
          </cell>
          <cell r="E6376">
            <v>25</v>
          </cell>
        </row>
        <row r="6377">
          <cell r="C6377" t="str">
            <v>B607366/A</v>
          </cell>
          <cell r="D6377" t="str">
            <v>AR1014F1208</v>
          </cell>
          <cell r="E6377">
            <v>7</v>
          </cell>
        </row>
        <row r="6378">
          <cell r="C6378" t="str">
            <v>B607367/A</v>
          </cell>
          <cell r="D6378" t="str">
            <v>AR1014F1208</v>
          </cell>
          <cell r="E6378">
            <v>18</v>
          </cell>
        </row>
        <row r="6379">
          <cell r="C6379" t="str">
            <v>B602286/A</v>
          </cell>
          <cell r="D6379" t="str">
            <v>AR110F834-TOP</v>
          </cell>
          <cell r="E6379">
            <v>29</v>
          </cell>
        </row>
        <row r="6380">
          <cell r="C6380" t="str">
            <v>B602287/A</v>
          </cell>
          <cell r="D6380" t="str">
            <v>AR110F834-TOP</v>
          </cell>
          <cell r="E6380">
            <v>61</v>
          </cell>
        </row>
        <row r="6381">
          <cell r="C6381" t="str">
            <v>B607122/A</v>
          </cell>
          <cell r="D6381" t="str">
            <v>AR115F1039</v>
          </cell>
          <cell r="E6381">
            <v>10</v>
          </cell>
        </row>
        <row r="6382">
          <cell r="C6382" t="str">
            <v>B607176/A</v>
          </cell>
          <cell r="D6382" t="str">
            <v>AR115F1039</v>
          </cell>
          <cell r="E6382">
            <v>25</v>
          </cell>
        </row>
        <row r="6383">
          <cell r="C6383" t="str">
            <v>B608319/A</v>
          </cell>
          <cell r="D6383" t="str">
            <v>AR117NF1039</v>
          </cell>
          <cell r="E6383">
            <v>35</v>
          </cell>
        </row>
        <row r="6384">
          <cell r="C6384" t="str">
            <v>B608322/A</v>
          </cell>
          <cell r="D6384" t="str">
            <v>AR125F834-BASE</v>
          </cell>
          <cell r="E6384">
            <v>52</v>
          </cell>
        </row>
        <row r="6385">
          <cell r="C6385" t="str">
            <v>B608323/A</v>
          </cell>
          <cell r="D6385" t="str">
            <v>AR125F834-BASE</v>
          </cell>
          <cell r="E6385">
            <v>98</v>
          </cell>
        </row>
        <row r="6386">
          <cell r="C6386" t="str">
            <v>B607318/A</v>
          </cell>
          <cell r="D6386" t="str">
            <v>AR128F834-32133-FB</v>
          </cell>
          <cell r="E6386">
            <v>18</v>
          </cell>
        </row>
        <row r="6387">
          <cell r="C6387" t="str">
            <v>B607319/A</v>
          </cell>
          <cell r="D6387" t="str">
            <v>AR128F834-32133-FB</v>
          </cell>
          <cell r="E6387">
            <v>12</v>
          </cell>
        </row>
        <row r="6388">
          <cell r="C6388" t="str">
            <v>B607322/A</v>
          </cell>
          <cell r="D6388" t="str">
            <v>AR128F834-32133-HB</v>
          </cell>
          <cell r="E6388">
            <v>18</v>
          </cell>
        </row>
        <row r="6389">
          <cell r="C6389" t="str">
            <v>B607323/A</v>
          </cell>
          <cell r="D6389" t="str">
            <v>AR128F834-32133-HB</v>
          </cell>
          <cell r="E6389">
            <v>12</v>
          </cell>
        </row>
        <row r="6390">
          <cell r="C6390" t="str">
            <v>B607326/A</v>
          </cell>
          <cell r="D6390" t="str">
            <v>AR128F834-32133-SR</v>
          </cell>
          <cell r="E6390">
            <v>18</v>
          </cell>
        </row>
        <row r="6391">
          <cell r="C6391" t="str">
            <v>B607327/A</v>
          </cell>
          <cell r="D6391" t="str">
            <v>AR128F834-32133-SR</v>
          </cell>
          <cell r="E6391">
            <v>12</v>
          </cell>
        </row>
        <row r="6392">
          <cell r="C6392" t="str">
            <v>B608326/A</v>
          </cell>
          <cell r="D6392" t="str">
            <v>AR133F834-BASE</v>
          </cell>
          <cell r="E6392">
            <v>7</v>
          </cell>
        </row>
        <row r="6393">
          <cell r="C6393" t="str">
            <v>B608327/A</v>
          </cell>
          <cell r="D6393" t="str">
            <v>AR133F834-BASE</v>
          </cell>
          <cell r="E6393">
            <v>18</v>
          </cell>
        </row>
        <row r="6394">
          <cell r="C6394" t="str">
            <v>B608334/A</v>
          </cell>
          <cell r="D6394" t="str">
            <v>AR190F906-BASE</v>
          </cell>
          <cell r="E6394">
            <v>10</v>
          </cell>
        </row>
        <row r="6395">
          <cell r="C6395" t="str">
            <v>B608335/A</v>
          </cell>
          <cell r="D6395" t="str">
            <v>AR190F906-BASE</v>
          </cell>
          <cell r="E6395">
            <v>15</v>
          </cell>
        </row>
        <row r="6396">
          <cell r="C6396" t="str">
            <v>B608338/A</v>
          </cell>
          <cell r="D6396" t="str">
            <v>AR367F1049</v>
          </cell>
          <cell r="E6396">
            <v>7</v>
          </cell>
        </row>
        <row r="6397">
          <cell r="C6397" t="str">
            <v>B608339/A</v>
          </cell>
          <cell r="D6397" t="str">
            <v>AR367F1049</v>
          </cell>
          <cell r="E6397">
            <v>18</v>
          </cell>
        </row>
        <row r="6398">
          <cell r="C6398" t="str">
            <v>B608342/A</v>
          </cell>
          <cell r="D6398" t="str">
            <v>AR367F906</v>
          </cell>
          <cell r="E6398">
            <v>7</v>
          </cell>
        </row>
        <row r="6399">
          <cell r="C6399" t="str">
            <v>B608343/A</v>
          </cell>
          <cell r="D6399" t="str">
            <v>AR367F906</v>
          </cell>
          <cell r="E6399">
            <v>18</v>
          </cell>
        </row>
        <row r="6400">
          <cell r="C6400" t="str">
            <v>B607330/A</v>
          </cell>
          <cell r="D6400" t="str">
            <v>AR389F906-FB</v>
          </cell>
          <cell r="E6400">
            <v>7</v>
          </cell>
        </row>
        <row r="6401">
          <cell r="C6401" t="str">
            <v>B607331/A</v>
          </cell>
          <cell r="D6401" t="str">
            <v>AR389F906-FB</v>
          </cell>
          <cell r="E6401">
            <v>18</v>
          </cell>
        </row>
        <row r="6402">
          <cell r="C6402" t="str">
            <v>B607334/A</v>
          </cell>
          <cell r="D6402" t="str">
            <v>AR389F906-HBPL</v>
          </cell>
          <cell r="E6402">
            <v>7</v>
          </cell>
        </row>
        <row r="6403">
          <cell r="C6403" t="str">
            <v>B607335/A</v>
          </cell>
          <cell r="D6403" t="str">
            <v>AR389F906-HBPL</v>
          </cell>
          <cell r="E6403">
            <v>18</v>
          </cell>
        </row>
        <row r="6404">
          <cell r="C6404" t="str">
            <v>B607338/A</v>
          </cell>
          <cell r="D6404" t="str">
            <v>AR389F906-SR</v>
          </cell>
          <cell r="E6404">
            <v>7</v>
          </cell>
        </row>
        <row r="6405">
          <cell r="C6405" t="str">
            <v>B607339/A</v>
          </cell>
          <cell r="D6405" t="str">
            <v>AR389F906-SR</v>
          </cell>
          <cell r="E6405">
            <v>18</v>
          </cell>
        </row>
        <row r="6406">
          <cell r="C6406" t="str">
            <v>B608346/A</v>
          </cell>
          <cell r="D6406" t="str">
            <v>AR392AF1049</v>
          </cell>
          <cell r="E6406">
            <v>7</v>
          </cell>
        </row>
        <row r="6407">
          <cell r="C6407" t="str">
            <v>B608347/A</v>
          </cell>
          <cell r="D6407" t="str">
            <v>AR392AF1049</v>
          </cell>
          <cell r="E6407">
            <v>18</v>
          </cell>
        </row>
        <row r="6408">
          <cell r="C6408" t="str">
            <v>B608349/A</v>
          </cell>
          <cell r="D6408" t="str">
            <v>AR392AF906</v>
          </cell>
          <cell r="E6408">
            <v>46</v>
          </cell>
        </row>
        <row r="6409">
          <cell r="C6409" t="str">
            <v>B608352/A</v>
          </cell>
          <cell r="D6409" t="str">
            <v>AR413F1039</v>
          </cell>
          <cell r="E6409">
            <v>7</v>
          </cell>
        </row>
        <row r="6410">
          <cell r="C6410" t="str">
            <v>B608353/A</v>
          </cell>
          <cell r="D6410" t="str">
            <v>AR413F1039</v>
          </cell>
          <cell r="E6410">
            <v>18</v>
          </cell>
        </row>
        <row r="6411">
          <cell r="C6411" t="str">
            <v>B607163/A</v>
          </cell>
          <cell r="D6411" t="str">
            <v>AR721F892-TOP</v>
          </cell>
          <cell r="E6411">
            <v>21</v>
          </cell>
        </row>
        <row r="6412">
          <cell r="C6412" t="str">
            <v>B607164/A</v>
          </cell>
          <cell r="D6412" t="str">
            <v>AR721F892-TOP</v>
          </cell>
          <cell r="E6412">
            <v>29</v>
          </cell>
        </row>
        <row r="6413">
          <cell r="C6413" t="str">
            <v>B607166/A</v>
          </cell>
          <cell r="D6413" t="str">
            <v>AR756F892-BASE2</v>
          </cell>
          <cell r="E6413">
            <v>30</v>
          </cell>
        </row>
        <row r="6414">
          <cell r="C6414" t="str">
            <v>B607342/A</v>
          </cell>
          <cell r="D6414" t="str">
            <v>AR794NF906</v>
          </cell>
          <cell r="E6414">
            <v>9</v>
          </cell>
        </row>
        <row r="6415">
          <cell r="C6415" t="str">
            <v>B607343/A</v>
          </cell>
          <cell r="D6415" t="str">
            <v>AR794NF906</v>
          </cell>
          <cell r="E6415">
            <v>21</v>
          </cell>
        </row>
        <row r="6416">
          <cell r="C6416" t="str">
            <v>B607173/A</v>
          </cell>
          <cell r="D6416" t="str">
            <v>AR931F906</v>
          </cell>
          <cell r="E6416">
            <v>9</v>
          </cell>
        </row>
        <row r="6417">
          <cell r="C6417" t="str">
            <v>B607174/A</v>
          </cell>
          <cell r="D6417" t="str">
            <v>AR931F906</v>
          </cell>
          <cell r="E6417">
            <v>21</v>
          </cell>
        </row>
        <row r="6418">
          <cell r="C6418" t="str">
            <v>B608366/A</v>
          </cell>
          <cell r="D6418" t="str">
            <v>CZ047NF09</v>
          </cell>
          <cell r="E6418">
            <v>14</v>
          </cell>
        </row>
        <row r="6419">
          <cell r="C6419" t="str">
            <v>B608367/A</v>
          </cell>
          <cell r="D6419" t="str">
            <v>CZ047NF09</v>
          </cell>
          <cell r="E6419">
            <v>17</v>
          </cell>
        </row>
        <row r="6420">
          <cell r="C6420" t="str">
            <v>B608369/A</v>
          </cell>
          <cell r="D6420" t="str">
            <v>CZ047NF10</v>
          </cell>
          <cell r="E6420">
            <v>12</v>
          </cell>
        </row>
        <row r="6421">
          <cell r="C6421" t="str">
            <v>B608372/A</v>
          </cell>
          <cell r="D6421" t="str">
            <v>CZ047NF190</v>
          </cell>
          <cell r="E6421">
            <v>4</v>
          </cell>
        </row>
        <row r="6422">
          <cell r="C6422" t="str">
            <v>B608373/A</v>
          </cell>
          <cell r="D6422" t="str">
            <v>CZ047NF190</v>
          </cell>
          <cell r="E6422">
            <v>7</v>
          </cell>
        </row>
        <row r="6423">
          <cell r="C6423" t="str">
            <v>B608375/A</v>
          </cell>
          <cell r="D6423" t="str">
            <v>CZ047NF191</v>
          </cell>
          <cell r="E6423">
            <v>8</v>
          </cell>
        </row>
        <row r="6424">
          <cell r="C6424" t="str">
            <v>B607180/A</v>
          </cell>
          <cell r="D6424" t="str">
            <v>CZ065F08</v>
          </cell>
          <cell r="E6424">
            <v>2</v>
          </cell>
        </row>
        <row r="6425">
          <cell r="C6425" t="str">
            <v>B607181/A</v>
          </cell>
          <cell r="D6425" t="str">
            <v>CZ065F08</v>
          </cell>
          <cell r="E6425">
            <v>9</v>
          </cell>
        </row>
        <row r="6426">
          <cell r="C6426" t="str">
            <v>B607184/A</v>
          </cell>
          <cell r="D6426" t="str">
            <v>CZ065F09</v>
          </cell>
          <cell r="E6426">
            <v>8</v>
          </cell>
        </row>
        <row r="6427">
          <cell r="C6427" t="str">
            <v>B607185/A</v>
          </cell>
          <cell r="D6427" t="str">
            <v>CZ065F09</v>
          </cell>
          <cell r="E6427">
            <v>10</v>
          </cell>
        </row>
        <row r="6428">
          <cell r="C6428" t="str">
            <v>B607189/A</v>
          </cell>
          <cell r="D6428" t="str">
            <v>CZ065F10</v>
          </cell>
          <cell r="E6428">
            <v>4</v>
          </cell>
        </row>
        <row r="6429">
          <cell r="C6429" t="str">
            <v>B607193/A</v>
          </cell>
          <cell r="D6429" t="str">
            <v>CZ065F190</v>
          </cell>
          <cell r="E6429">
            <v>4</v>
          </cell>
        </row>
        <row r="6430">
          <cell r="C6430" t="str">
            <v>B607195/A</v>
          </cell>
          <cell r="D6430" t="str">
            <v>CZ065F191</v>
          </cell>
          <cell r="E6430">
            <v>7</v>
          </cell>
        </row>
        <row r="6431">
          <cell r="C6431" t="str">
            <v>B608209/A</v>
          </cell>
          <cell r="D6431" t="str">
            <v>CZ496F09</v>
          </cell>
          <cell r="E6431">
            <v>5</v>
          </cell>
        </row>
        <row r="6432">
          <cell r="C6432" t="str">
            <v>B608212/A</v>
          </cell>
          <cell r="D6432" t="str">
            <v>CZ496F190</v>
          </cell>
          <cell r="E6432">
            <v>1</v>
          </cell>
        </row>
        <row r="6433">
          <cell r="C6433" t="str">
            <v>B608213/A</v>
          </cell>
          <cell r="D6433" t="str">
            <v>CZ496F190</v>
          </cell>
          <cell r="E6433">
            <v>15</v>
          </cell>
        </row>
        <row r="6434">
          <cell r="C6434" t="str">
            <v>B608215/A</v>
          </cell>
          <cell r="D6434" t="str">
            <v>CZ551F09</v>
          </cell>
          <cell r="E6434">
            <v>24</v>
          </cell>
        </row>
        <row r="6435">
          <cell r="C6435" t="str">
            <v>B608217/A</v>
          </cell>
          <cell r="D6435" t="str">
            <v>CZ551F10</v>
          </cell>
          <cell r="E6435">
            <v>25</v>
          </cell>
        </row>
        <row r="6436">
          <cell r="C6436" t="str">
            <v>B608219/A</v>
          </cell>
          <cell r="D6436" t="str">
            <v>CZ551F190</v>
          </cell>
          <cell r="E6436">
            <v>28</v>
          </cell>
        </row>
        <row r="6437">
          <cell r="C6437" t="str">
            <v>B608221/A</v>
          </cell>
          <cell r="D6437" t="str">
            <v>CZ551F191</v>
          </cell>
          <cell r="E6437">
            <v>3</v>
          </cell>
        </row>
        <row r="6438">
          <cell r="C6438" t="str">
            <v>B608831/A</v>
          </cell>
          <cell r="D6438" t="str">
            <v>CZ842F196-31931</v>
          </cell>
          <cell r="E6438">
            <v>1</v>
          </cell>
        </row>
        <row r="6439">
          <cell r="C6439" t="str">
            <v>B608837/A</v>
          </cell>
          <cell r="D6439" t="str">
            <v>CZ842F381-31931</v>
          </cell>
          <cell r="E6439">
            <v>5</v>
          </cell>
        </row>
        <row r="6440">
          <cell r="C6440" t="str">
            <v>B608839/A</v>
          </cell>
          <cell r="D6440" t="str">
            <v>CZ842F409-31931</v>
          </cell>
          <cell r="E6440">
            <v>8</v>
          </cell>
        </row>
        <row r="6441">
          <cell r="C6441" t="str">
            <v>B608420/A</v>
          </cell>
          <cell r="D6441" t="str">
            <v>CZ854F409-31931</v>
          </cell>
          <cell r="E6441">
            <v>5</v>
          </cell>
        </row>
        <row r="6442">
          <cell r="C6442" t="str">
            <v>B608421/A</v>
          </cell>
          <cell r="D6442" t="str">
            <v>CZ854F409-31931</v>
          </cell>
          <cell r="E6442">
            <v>1</v>
          </cell>
        </row>
        <row r="6443">
          <cell r="C6443" t="str">
            <v>B608423/A</v>
          </cell>
          <cell r="D6443" t="str">
            <v>CZ862F381</v>
          </cell>
          <cell r="E6443">
            <v>5</v>
          </cell>
        </row>
        <row r="6444">
          <cell r="C6444" t="str">
            <v>B604421/A</v>
          </cell>
          <cell r="D6444" t="str">
            <v>CZ876F188</v>
          </cell>
          <cell r="E6444">
            <v>3</v>
          </cell>
        </row>
        <row r="6445">
          <cell r="C6445" t="str">
            <v>B604423/A</v>
          </cell>
          <cell r="D6445" t="str">
            <v>CZ876F196</v>
          </cell>
          <cell r="E6445">
            <v>3</v>
          </cell>
        </row>
        <row r="6446">
          <cell r="C6446" t="str">
            <v>B604425/A</v>
          </cell>
          <cell r="D6446" t="str">
            <v>CZ876F409</v>
          </cell>
          <cell r="E6446">
            <v>4</v>
          </cell>
        </row>
        <row r="6447">
          <cell r="C6447" t="str">
            <v>B608425/A</v>
          </cell>
          <cell r="D6447" t="str">
            <v>CZ934F190</v>
          </cell>
          <cell r="E6447">
            <v>5</v>
          </cell>
        </row>
        <row r="6448">
          <cell r="C6448" t="str">
            <v>B608478/A</v>
          </cell>
          <cell r="D6448" t="str">
            <v>CZ935F08-31898</v>
          </cell>
          <cell r="E6448">
            <v>2</v>
          </cell>
        </row>
        <row r="6449">
          <cell r="C6449" t="str">
            <v>B608480/A</v>
          </cell>
          <cell r="D6449" t="str">
            <v>CZ935F09-31898</v>
          </cell>
          <cell r="E6449">
            <v>5</v>
          </cell>
        </row>
        <row r="6450">
          <cell r="C6450" t="str">
            <v>B608482/A</v>
          </cell>
          <cell r="D6450" t="str">
            <v>CZ935F10-31898</v>
          </cell>
          <cell r="E6450">
            <v>2</v>
          </cell>
        </row>
        <row r="6451">
          <cell r="C6451" t="str">
            <v>B608484/A</v>
          </cell>
          <cell r="D6451" t="str">
            <v>CZ935F190-31898</v>
          </cell>
          <cell r="E6451">
            <v>2</v>
          </cell>
        </row>
        <row r="6452">
          <cell r="C6452" t="str">
            <v>B608486/A</v>
          </cell>
          <cell r="D6452" t="str">
            <v>CZ935F191-31898</v>
          </cell>
          <cell r="E6452">
            <v>2</v>
          </cell>
        </row>
        <row r="6453">
          <cell r="C6453" t="str">
            <v>B608488/A</v>
          </cell>
          <cell r="D6453" t="str">
            <v>JV034F1165</v>
          </cell>
          <cell r="E6453">
            <v>25</v>
          </cell>
        </row>
        <row r="6454">
          <cell r="C6454" t="str">
            <v>B608494/A</v>
          </cell>
          <cell r="D6454" t="str">
            <v>JV037F1121</v>
          </cell>
          <cell r="E6454">
            <v>25</v>
          </cell>
        </row>
        <row r="6455">
          <cell r="C6455" t="str">
            <v>B608496/A</v>
          </cell>
          <cell r="D6455" t="str">
            <v>RH079F01</v>
          </cell>
          <cell r="E6455">
            <v>2</v>
          </cell>
        </row>
        <row r="6456">
          <cell r="C6456" t="str">
            <v>B608498/A</v>
          </cell>
          <cell r="D6456" t="str">
            <v>RH079F03</v>
          </cell>
          <cell r="E6456">
            <v>3</v>
          </cell>
        </row>
        <row r="6457">
          <cell r="C6457" t="str">
            <v>B608225/A</v>
          </cell>
          <cell r="D6457" t="str">
            <v>RH10018F382</v>
          </cell>
          <cell r="E6457">
            <v>12</v>
          </cell>
        </row>
        <row r="6458">
          <cell r="C6458" t="str">
            <v>B608227/A</v>
          </cell>
          <cell r="D6458" t="str">
            <v>RH10018F384</v>
          </cell>
          <cell r="E6458">
            <v>8</v>
          </cell>
        </row>
        <row r="6459">
          <cell r="C6459" t="str">
            <v>B608229/A</v>
          </cell>
          <cell r="D6459" t="str">
            <v>RH10018F409</v>
          </cell>
          <cell r="E6459">
            <v>8</v>
          </cell>
        </row>
        <row r="6460">
          <cell r="C6460" t="str">
            <v>B608232/A</v>
          </cell>
          <cell r="D6460" t="str">
            <v>RH10078NF382</v>
          </cell>
          <cell r="E6460">
            <v>14</v>
          </cell>
        </row>
        <row r="6461">
          <cell r="C6461" t="str">
            <v>B608233/A</v>
          </cell>
          <cell r="D6461" t="str">
            <v>RH10078NF382</v>
          </cell>
          <cell r="E6461">
            <v>22</v>
          </cell>
        </row>
        <row r="6462">
          <cell r="C6462" t="str">
            <v>B608235/A</v>
          </cell>
          <cell r="D6462" t="str">
            <v>RH10078NF384</v>
          </cell>
          <cell r="E6462">
            <v>9</v>
          </cell>
        </row>
        <row r="6463">
          <cell r="C6463" t="str">
            <v>B608238/A</v>
          </cell>
          <cell r="D6463" t="str">
            <v>RH10078NF409</v>
          </cell>
          <cell r="E6463">
            <v>16</v>
          </cell>
        </row>
        <row r="6464">
          <cell r="C6464" t="str">
            <v>B608239/A</v>
          </cell>
          <cell r="D6464" t="str">
            <v>RH10078NF409</v>
          </cell>
          <cell r="E6464">
            <v>21</v>
          </cell>
        </row>
        <row r="6465">
          <cell r="C6465" t="str">
            <v>B608168/A</v>
          </cell>
          <cell r="D6465" t="str">
            <v>RH10080F382</v>
          </cell>
          <cell r="E6465">
            <v>14</v>
          </cell>
        </row>
        <row r="6466">
          <cell r="C6466" t="str">
            <v>B608169/A</v>
          </cell>
          <cell r="D6466" t="str">
            <v>RH10080F382</v>
          </cell>
          <cell r="E6466">
            <v>12</v>
          </cell>
        </row>
        <row r="6467">
          <cell r="C6467" t="str">
            <v>B608172/A</v>
          </cell>
          <cell r="D6467" t="str">
            <v>RH10080F383</v>
          </cell>
          <cell r="E6467">
            <v>9</v>
          </cell>
        </row>
        <row r="6468">
          <cell r="C6468" t="str">
            <v>B608173/A</v>
          </cell>
          <cell r="D6468" t="str">
            <v>RH10080F383</v>
          </cell>
          <cell r="E6468">
            <v>6</v>
          </cell>
        </row>
        <row r="6469">
          <cell r="C6469" t="str">
            <v>B608176/A</v>
          </cell>
          <cell r="D6469" t="str">
            <v>RH10080F409</v>
          </cell>
          <cell r="E6469">
            <v>11</v>
          </cell>
        </row>
        <row r="6470">
          <cell r="C6470" t="str">
            <v>B608177/A</v>
          </cell>
          <cell r="D6470" t="str">
            <v>RH10080F409</v>
          </cell>
          <cell r="E6470">
            <v>5</v>
          </cell>
        </row>
        <row r="6471">
          <cell r="C6471" t="str">
            <v>B608181/A</v>
          </cell>
          <cell r="D6471" t="str">
            <v>RH10083F382</v>
          </cell>
          <cell r="E6471">
            <v>28</v>
          </cell>
        </row>
        <row r="6472">
          <cell r="C6472" t="str">
            <v>B608183/A</v>
          </cell>
          <cell r="D6472" t="str">
            <v>RH10083F382</v>
          </cell>
          <cell r="E6472">
            <v>36</v>
          </cell>
        </row>
        <row r="6473">
          <cell r="C6473" t="str">
            <v>B608185/A</v>
          </cell>
          <cell r="D6473" t="str">
            <v>RH10083F383</v>
          </cell>
          <cell r="E6473">
            <v>4</v>
          </cell>
        </row>
        <row r="6474">
          <cell r="C6474" t="str">
            <v>B608188/A</v>
          </cell>
          <cell r="D6474" t="str">
            <v>RH10083F384</v>
          </cell>
          <cell r="E6474">
            <v>4</v>
          </cell>
        </row>
        <row r="6475">
          <cell r="C6475" t="str">
            <v>B608189/A</v>
          </cell>
          <cell r="D6475" t="str">
            <v>RH10083F384</v>
          </cell>
          <cell r="E6475">
            <v>7</v>
          </cell>
        </row>
        <row r="6476">
          <cell r="C6476" t="str">
            <v>B608192/A</v>
          </cell>
          <cell r="D6476" t="str">
            <v>RH10083F409</v>
          </cell>
          <cell r="E6476">
            <v>10</v>
          </cell>
        </row>
        <row r="6477">
          <cell r="C6477" t="str">
            <v>B608193/A</v>
          </cell>
          <cell r="D6477" t="str">
            <v>RH10083F409</v>
          </cell>
          <cell r="E6477">
            <v>21</v>
          </cell>
        </row>
        <row r="6478">
          <cell r="C6478" t="str">
            <v>B608242/A</v>
          </cell>
          <cell r="D6478" t="str">
            <v>RH10084F382</v>
          </cell>
          <cell r="E6478">
            <v>31</v>
          </cell>
        </row>
        <row r="6479">
          <cell r="C6479" t="str">
            <v>B608243/A</v>
          </cell>
          <cell r="D6479" t="str">
            <v>RH10084F382</v>
          </cell>
          <cell r="E6479">
            <v>33</v>
          </cell>
        </row>
        <row r="6480">
          <cell r="C6480" t="str">
            <v>B608245/A</v>
          </cell>
          <cell r="D6480" t="str">
            <v>RH10084F383</v>
          </cell>
          <cell r="E6480">
            <v>8</v>
          </cell>
        </row>
        <row r="6481">
          <cell r="C6481" t="str">
            <v>B608248/A</v>
          </cell>
          <cell r="D6481" t="str">
            <v>RH10084F384</v>
          </cell>
          <cell r="E6481">
            <v>44</v>
          </cell>
        </row>
        <row r="6482">
          <cell r="C6482" t="str">
            <v>B608249/A</v>
          </cell>
          <cell r="D6482" t="str">
            <v>RH10084F384</v>
          </cell>
          <cell r="E6482">
            <v>55</v>
          </cell>
        </row>
        <row r="6483">
          <cell r="C6483" t="str">
            <v>B608252/A</v>
          </cell>
          <cell r="D6483" t="str">
            <v>RH10084F409</v>
          </cell>
          <cell r="E6483">
            <v>6</v>
          </cell>
        </row>
        <row r="6484">
          <cell r="C6484" t="str">
            <v>B608253/A</v>
          </cell>
          <cell r="D6484" t="str">
            <v>RH10084F409</v>
          </cell>
          <cell r="E6484">
            <v>21</v>
          </cell>
        </row>
        <row r="6485">
          <cell r="C6485" t="str">
            <v>B602154/A</v>
          </cell>
          <cell r="D6485" t="str">
            <v>RH10086NF382</v>
          </cell>
          <cell r="E6485">
            <v>1</v>
          </cell>
        </row>
        <row r="6486">
          <cell r="C6486" t="str">
            <v>B602156/A</v>
          </cell>
          <cell r="D6486" t="str">
            <v>RH10086NF383</v>
          </cell>
          <cell r="E6486">
            <v>7</v>
          </cell>
        </row>
        <row r="6487">
          <cell r="C6487" t="str">
            <v>B602159/A</v>
          </cell>
          <cell r="D6487" t="str">
            <v>RH10086NF409</v>
          </cell>
          <cell r="E6487">
            <v>3</v>
          </cell>
        </row>
        <row r="6488">
          <cell r="C6488" t="str">
            <v>B602160/A</v>
          </cell>
          <cell r="D6488" t="str">
            <v>RH10086NF409</v>
          </cell>
          <cell r="E6488">
            <v>2</v>
          </cell>
        </row>
        <row r="6489">
          <cell r="C6489" t="str">
            <v>B602162/A</v>
          </cell>
          <cell r="D6489" t="str">
            <v>RH10088F382</v>
          </cell>
          <cell r="E6489">
            <v>11</v>
          </cell>
        </row>
        <row r="6490">
          <cell r="C6490" t="str">
            <v>B602164/A</v>
          </cell>
          <cell r="D6490" t="str">
            <v>RH10088F384</v>
          </cell>
          <cell r="E6490">
            <v>15</v>
          </cell>
        </row>
        <row r="6491">
          <cell r="C6491" t="str">
            <v>B602166/A</v>
          </cell>
          <cell r="D6491" t="str">
            <v>RH10088F409</v>
          </cell>
          <cell r="E6491">
            <v>14</v>
          </cell>
        </row>
        <row r="6492">
          <cell r="C6492" t="str">
            <v>B602168/A</v>
          </cell>
          <cell r="D6492" t="str">
            <v>RH10089F383</v>
          </cell>
          <cell r="E6492">
            <v>10</v>
          </cell>
        </row>
        <row r="6493">
          <cell r="C6493" t="str">
            <v>B602171/A</v>
          </cell>
          <cell r="D6493" t="str">
            <v>RH10091F382</v>
          </cell>
          <cell r="E6493">
            <v>16</v>
          </cell>
        </row>
        <row r="6494">
          <cell r="C6494" t="str">
            <v>B602172/A</v>
          </cell>
          <cell r="D6494" t="str">
            <v>RH10091F382</v>
          </cell>
          <cell r="E6494">
            <v>14</v>
          </cell>
        </row>
        <row r="6495">
          <cell r="C6495" t="str">
            <v>B602175/A</v>
          </cell>
          <cell r="D6495" t="str">
            <v>RH10091F383</v>
          </cell>
          <cell r="E6495">
            <v>16</v>
          </cell>
        </row>
        <row r="6496">
          <cell r="C6496" t="str">
            <v>B602176/A</v>
          </cell>
          <cell r="D6496" t="str">
            <v>RH10091F383</v>
          </cell>
          <cell r="E6496">
            <v>18</v>
          </cell>
        </row>
        <row r="6497">
          <cell r="C6497" t="str">
            <v>B602179/A</v>
          </cell>
          <cell r="D6497" t="str">
            <v>RH10091F409</v>
          </cell>
          <cell r="E6497">
            <v>15</v>
          </cell>
        </row>
        <row r="6498">
          <cell r="C6498" t="str">
            <v>B602180/A</v>
          </cell>
          <cell r="D6498" t="str">
            <v>RH10091F409</v>
          </cell>
          <cell r="E6498">
            <v>20</v>
          </cell>
        </row>
        <row r="6499">
          <cell r="C6499" t="str">
            <v>B608255/A</v>
          </cell>
          <cell r="D6499" t="str">
            <v>RH10112F382</v>
          </cell>
          <cell r="E6499">
            <v>15</v>
          </cell>
        </row>
        <row r="6500">
          <cell r="C6500" t="str">
            <v>B608257/A</v>
          </cell>
          <cell r="D6500" t="str">
            <v>RH10112F384</v>
          </cell>
          <cell r="E6500">
            <v>11</v>
          </cell>
        </row>
        <row r="6501">
          <cell r="C6501" t="str">
            <v>B602182/A</v>
          </cell>
          <cell r="D6501" t="str">
            <v>RH10120F382</v>
          </cell>
          <cell r="E6501">
            <v>9</v>
          </cell>
        </row>
        <row r="6502">
          <cell r="C6502" t="str">
            <v>B602184/A</v>
          </cell>
          <cell r="D6502" t="str">
            <v>RH10120F384</v>
          </cell>
          <cell r="E6502">
            <v>14</v>
          </cell>
        </row>
        <row r="6503">
          <cell r="C6503" t="str">
            <v>B602186/A</v>
          </cell>
          <cell r="D6503" t="str">
            <v>RH10120F409</v>
          </cell>
          <cell r="E6503">
            <v>15</v>
          </cell>
        </row>
        <row r="6504">
          <cell r="C6504" t="str">
            <v>B608260/A</v>
          </cell>
          <cell r="D6504" t="str">
            <v>RH10127F382</v>
          </cell>
          <cell r="E6504">
            <v>20</v>
          </cell>
        </row>
        <row r="6505">
          <cell r="C6505" t="str">
            <v>B608261/A</v>
          </cell>
          <cell r="D6505" t="str">
            <v>RH10127F382</v>
          </cell>
          <cell r="E6505">
            <v>1</v>
          </cell>
        </row>
        <row r="6506">
          <cell r="C6506" t="str">
            <v>B608263/A</v>
          </cell>
          <cell r="D6506" t="str">
            <v>RH10127F383</v>
          </cell>
          <cell r="E6506">
            <v>5</v>
          </cell>
        </row>
        <row r="6507">
          <cell r="C6507" t="str">
            <v>B608265/A</v>
          </cell>
          <cell r="D6507" t="str">
            <v>RH10127F409</v>
          </cell>
          <cell r="E6507">
            <v>15</v>
          </cell>
        </row>
        <row r="6508">
          <cell r="C6508" t="str">
            <v>B608268/A</v>
          </cell>
          <cell r="D6508" t="str">
            <v>RH10147F382</v>
          </cell>
          <cell r="E6508">
            <v>14</v>
          </cell>
        </row>
        <row r="6509">
          <cell r="C6509" t="str">
            <v>B608269/A</v>
          </cell>
          <cell r="D6509" t="str">
            <v>RH10147F382</v>
          </cell>
          <cell r="E6509">
            <v>10</v>
          </cell>
        </row>
        <row r="6510">
          <cell r="C6510" t="str">
            <v>B608272/A</v>
          </cell>
          <cell r="D6510" t="str">
            <v>RH10147F409</v>
          </cell>
          <cell r="E6510">
            <v>15</v>
          </cell>
        </row>
        <row r="6511">
          <cell r="C6511" t="str">
            <v>B608273/A</v>
          </cell>
          <cell r="D6511" t="str">
            <v>RH10147F409</v>
          </cell>
          <cell r="E6511">
            <v>5</v>
          </cell>
        </row>
        <row r="6512">
          <cell r="C6512" t="str">
            <v>B608275/A</v>
          </cell>
          <cell r="D6512" t="str">
            <v>RH10157F382</v>
          </cell>
          <cell r="E6512">
            <v>33</v>
          </cell>
        </row>
        <row r="6513">
          <cell r="C6513" t="str">
            <v>B608277/A</v>
          </cell>
          <cell r="D6513" t="str">
            <v>RH10157F409</v>
          </cell>
          <cell r="E6513">
            <v>16</v>
          </cell>
        </row>
        <row r="6514">
          <cell r="C6514" t="str">
            <v>B608196/A</v>
          </cell>
          <cell r="D6514" t="str">
            <v>RH10164F383</v>
          </cell>
          <cell r="E6514">
            <v>10</v>
          </cell>
        </row>
        <row r="6515">
          <cell r="C6515" t="str">
            <v>B608197/A</v>
          </cell>
          <cell r="D6515" t="str">
            <v>RH10164F383</v>
          </cell>
          <cell r="E6515">
            <v>13</v>
          </cell>
        </row>
        <row r="6516">
          <cell r="C6516" t="str">
            <v>B608199/A</v>
          </cell>
          <cell r="D6516" t="str">
            <v>RH10164F384</v>
          </cell>
          <cell r="E6516">
            <v>6</v>
          </cell>
        </row>
        <row r="6517">
          <cell r="C6517" t="str">
            <v>B602188/A</v>
          </cell>
          <cell r="D6517" t="str">
            <v>RH10174F382</v>
          </cell>
          <cell r="E6517">
            <v>10</v>
          </cell>
        </row>
        <row r="6518">
          <cell r="C6518" t="str">
            <v>B602190/A</v>
          </cell>
          <cell r="D6518" t="str">
            <v>RH10174F383</v>
          </cell>
          <cell r="E6518">
            <v>10</v>
          </cell>
        </row>
        <row r="6519">
          <cell r="C6519" t="str">
            <v>B602192/A</v>
          </cell>
          <cell r="D6519" t="str">
            <v>RH10174F409</v>
          </cell>
          <cell r="E6519">
            <v>8</v>
          </cell>
        </row>
        <row r="6520">
          <cell r="C6520" t="str">
            <v>B608504/A</v>
          </cell>
          <cell r="D6520" t="str">
            <v>RH108F01</v>
          </cell>
          <cell r="E6520">
            <v>3</v>
          </cell>
        </row>
        <row r="6521">
          <cell r="C6521" t="str">
            <v>B608506/A</v>
          </cell>
          <cell r="D6521" t="str">
            <v>RH108F02</v>
          </cell>
          <cell r="E6521">
            <v>2</v>
          </cell>
        </row>
        <row r="6522">
          <cell r="C6522" t="str">
            <v>B608508/A</v>
          </cell>
          <cell r="D6522" t="str">
            <v>RH108F03</v>
          </cell>
          <cell r="E6522">
            <v>10</v>
          </cell>
        </row>
        <row r="6523">
          <cell r="C6523" t="str">
            <v>B608510/A</v>
          </cell>
          <cell r="D6523" t="str">
            <v>RH129F01</v>
          </cell>
          <cell r="E6523">
            <v>2</v>
          </cell>
        </row>
        <row r="6524">
          <cell r="C6524" t="str">
            <v>B608512/A</v>
          </cell>
          <cell r="D6524" t="str">
            <v>RH129F02</v>
          </cell>
          <cell r="E6524">
            <v>3</v>
          </cell>
        </row>
        <row r="6525">
          <cell r="C6525" t="str">
            <v>B608526/A</v>
          </cell>
          <cell r="D6525" t="str">
            <v>RH1740F96.BC</v>
          </cell>
          <cell r="E6525">
            <v>10</v>
          </cell>
        </row>
        <row r="6526">
          <cell r="C6526" t="str">
            <v>B608842/A</v>
          </cell>
          <cell r="D6526" t="str">
            <v>RH1869F08</v>
          </cell>
          <cell r="E6526">
            <v>3</v>
          </cell>
        </row>
        <row r="6527">
          <cell r="C6527" t="str">
            <v>B608843/A</v>
          </cell>
          <cell r="D6527" t="str">
            <v>RH1869F08</v>
          </cell>
          <cell r="E6527">
            <v>2</v>
          </cell>
        </row>
        <row r="6528">
          <cell r="C6528" t="str">
            <v>B608529/A</v>
          </cell>
          <cell r="D6528" t="str">
            <v>RH1967F26</v>
          </cell>
          <cell r="E6528">
            <v>10</v>
          </cell>
        </row>
        <row r="6529">
          <cell r="C6529" t="str">
            <v>B608530/A</v>
          </cell>
          <cell r="D6529" t="str">
            <v>RH1967F26</v>
          </cell>
          <cell r="E6529">
            <v>5</v>
          </cell>
        </row>
        <row r="6530">
          <cell r="C6530" t="str">
            <v>B608533/A</v>
          </cell>
          <cell r="D6530" t="str">
            <v>RH2021F95.BC</v>
          </cell>
          <cell r="E6530">
            <v>10</v>
          </cell>
        </row>
        <row r="6531">
          <cell r="C6531" t="str">
            <v>B608534/A</v>
          </cell>
          <cell r="D6531" t="str">
            <v>RH2021F95.BC</v>
          </cell>
          <cell r="E6531">
            <v>10</v>
          </cell>
        </row>
        <row r="6532">
          <cell r="C6532" t="str">
            <v>B608537/A</v>
          </cell>
          <cell r="D6532" t="str">
            <v>RH2113F100</v>
          </cell>
          <cell r="E6532">
            <v>9</v>
          </cell>
        </row>
        <row r="6533">
          <cell r="C6533" t="str">
            <v>B608538/A</v>
          </cell>
          <cell r="D6533" t="str">
            <v>RH2113F100</v>
          </cell>
          <cell r="E6533">
            <v>12</v>
          </cell>
        </row>
        <row r="6534">
          <cell r="C6534" t="str">
            <v>B608279/A</v>
          </cell>
          <cell r="D6534" t="str">
            <v>RH2266F103</v>
          </cell>
          <cell r="E6534">
            <v>9</v>
          </cell>
        </row>
        <row r="6535">
          <cell r="C6535" t="str">
            <v>B608281/A</v>
          </cell>
          <cell r="D6535" t="str">
            <v>RH2266F10CZ</v>
          </cell>
          <cell r="E6535">
            <v>6</v>
          </cell>
        </row>
        <row r="6536">
          <cell r="C6536" t="str">
            <v>B608548/A</v>
          </cell>
          <cell r="D6536" t="str">
            <v>RH2380F40.BC</v>
          </cell>
          <cell r="E6536">
            <v>10</v>
          </cell>
        </row>
        <row r="6537">
          <cell r="C6537" t="str">
            <v>B608551/A</v>
          </cell>
          <cell r="D6537" t="str">
            <v>RH2380F96.BC</v>
          </cell>
          <cell r="E6537">
            <v>5</v>
          </cell>
        </row>
        <row r="6538">
          <cell r="C6538" t="str">
            <v>B608552/A</v>
          </cell>
          <cell r="D6538" t="str">
            <v>RH2380F96.BC</v>
          </cell>
          <cell r="E6538">
            <v>5</v>
          </cell>
        </row>
        <row r="6539">
          <cell r="C6539" t="str">
            <v>B608563/A</v>
          </cell>
          <cell r="D6539" t="str">
            <v>RH3064NF01</v>
          </cell>
          <cell r="E6539">
            <v>7</v>
          </cell>
        </row>
        <row r="6540">
          <cell r="C6540" t="str">
            <v>B608564/A</v>
          </cell>
          <cell r="D6540" t="str">
            <v>RH3064NF01</v>
          </cell>
          <cell r="E6540">
            <v>14</v>
          </cell>
        </row>
        <row r="6541">
          <cell r="C6541" t="str">
            <v>B608567/A</v>
          </cell>
          <cell r="D6541" t="str">
            <v>RH3064NF02</v>
          </cell>
          <cell r="E6541">
            <v>4</v>
          </cell>
        </row>
        <row r="6542">
          <cell r="C6542" t="str">
            <v>B608568/A</v>
          </cell>
          <cell r="D6542" t="str">
            <v>RH3064NF02</v>
          </cell>
          <cell r="E6542">
            <v>6</v>
          </cell>
        </row>
        <row r="6543">
          <cell r="C6543" t="str">
            <v>B608572/A</v>
          </cell>
          <cell r="D6543" t="str">
            <v>RH3064NF03</v>
          </cell>
          <cell r="E6543">
            <v>4</v>
          </cell>
        </row>
        <row r="6544">
          <cell r="C6544" t="str">
            <v>B608573/A</v>
          </cell>
          <cell r="D6544" t="str">
            <v>RH3064NF03</v>
          </cell>
          <cell r="E6544">
            <v>11</v>
          </cell>
        </row>
        <row r="6545">
          <cell r="C6545" t="str">
            <v>B608574/A</v>
          </cell>
          <cell r="D6545" t="str">
            <v>RH3064NF03</v>
          </cell>
          <cell r="E6545">
            <v>12</v>
          </cell>
        </row>
        <row r="6546">
          <cell r="C6546" t="str">
            <v>B607528/A</v>
          </cell>
          <cell r="D6546" t="str">
            <v>RH327NF03</v>
          </cell>
          <cell r="E6546">
            <v>9</v>
          </cell>
        </row>
        <row r="6547">
          <cell r="C6547" t="str">
            <v>B608580/A</v>
          </cell>
          <cell r="D6547" t="str">
            <v>RH3352NF09</v>
          </cell>
          <cell r="E6547">
            <v>10</v>
          </cell>
        </row>
        <row r="6548">
          <cell r="C6548" t="str">
            <v>B608576/A</v>
          </cell>
          <cell r="D6548" t="str">
            <v>RH3352NF09</v>
          </cell>
          <cell r="E6548">
            <v>25</v>
          </cell>
        </row>
        <row r="6549">
          <cell r="C6549" t="str">
            <v>B608582/A</v>
          </cell>
          <cell r="D6549" t="str">
            <v>RH3360F09</v>
          </cell>
          <cell r="E6549">
            <v>10</v>
          </cell>
        </row>
        <row r="6550">
          <cell r="C6550" t="str">
            <v>B608585/A</v>
          </cell>
          <cell r="D6550" t="str">
            <v>RH3437NF29</v>
          </cell>
          <cell r="E6550">
            <v>10</v>
          </cell>
        </row>
        <row r="6551">
          <cell r="C6551" t="str">
            <v>B608586/A</v>
          </cell>
          <cell r="D6551" t="str">
            <v>RH3437NF29</v>
          </cell>
          <cell r="E6551">
            <v>40</v>
          </cell>
        </row>
        <row r="6552">
          <cell r="C6552" t="str">
            <v>B608283/A</v>
          </cell>
          <cell r="D6552" t="str">
            <v>RH3449F29</v>
          </cell>
          <cell r="E6552">
            <v>1</v>
          </cell>
        </row>
        <row r="6553">
          <cell r="C6553" t="str">
            <v>B608589/A</v>
          </cell>
          <cell r="D6553" t="str">
            <v>RH3541F40.BC</v>
          </cell>
          <cell r="E6553">
            <v>23</v>
          </cell>
        </row>
        <row r="6554">
          <cell r="C6554" t="str">
            <v>B608590/A</v>
          </cell>
          <cell r="D6554" t="str">
            <v>RH3541F40.BC</v>
          </cell>
          <cell r="E6554">
            <v>22</v>
          </cell>
        </row>
        <row r="6555">
          <cell r="C6555" t="str">
            <v>B608592/A</v>
          </cell>
          <cell r="D6555" t="str">
            <v>RH3541F96.BC</v>
          </cell>
          <cell r="E6555">
            <v>30</v>
          </cell>
        </row>
        <row r="6556">
          <cell r="C6556" t="str">
            <v>B608657/A</v>
          </cell>
          <cell r="D6556" t="str">
            <v>RH5117NF26</v>
          </cell>
          <cell r="E6556">
            <v>10</v>
          </cell>
        </row>
        <row r="6557">
          <cell r="C6557" t="str">
            <v>B608661/A</v>
          </cell>
          <cell r="D6557" t="str">
            <v>RH5117NF26</v>
          </cell>
          <cell r="E6557">
            <v>10</v>
          </cell>
        </row>
        <row r="6558">
          <cell r="C6558" t="str">
            <v>B608662/A</v>
          </cell>
          <cell r="D6558" t="str">
            <v>RH5117NF26</v>
          </cell>
          <cell r="E6558">
            <v>5</v>
          </cell>
        </row>
        <row r="6559">
          <cell r="C6559" t="str">
            <v>B608663/A</v>
          </cell>
          <cell r="D6559" t="str">
            <v>RH5117NF26</v>
          </cell>
          <cell r="E6559">
            <v>5</v>
          </cell>
        </row>
        <row r="6560">
          <cell r="C6560" t="str">
            <v>B608667/A</v>
          </cell>
          <cell r="D6560" t="str">
            <v>RH5125NF95.BC</v>
          </cell>
          <cell r="E6560">
            <v>10</v>
          </cell>
        </row>
        <row r="6561">
          <cell r="C6561" t="str">
            <v>B608668/A</v>
          </cell>
          <cell r="D6561" t="str">
            <v>RH5125NF95.BC</v>
          </cell>
          <cell r="E6561">
            <v>30</v>
          </cell>
        </row>
        <row r="6562">
          <cell r="C6562" t="str">
            <v>B608731/A</v>
          </cell>
          <cell r="D6562" t="str">
            <v>RH5357F38BN</v>
          </cell>
          <cell r="E6562">
            <v>5</v>
          </cell>
        </row>
        <row r="6563">
          <cell r="C6563" t="str">
            <v>B608732/A</v>
          </cell>
          <cell r="D6563" t="str">
            <v>RH5357F38BN</v>
          </cell>
          <cell r="E6563">
            <v>5</v>
          </cell>
        </row>
        <row r="6564">
          <cell r="C6564" t="str">
            <v>B608734/A</v>
          </cell>
          <cell r="D6564" t="str">
            <v>RH5464F40</v>
          </cell>
          <cell r="E6564">
            <v>10</v>
          </cell>
        </row>
        <row r="6565">
          <cell r="C6565" t="str">
            <v>B608737/A</v>
          </cell>
          <cell r="D6565" t="str">
            <v>RH7147F382</v>
          </cell>
          <cell r="E6565">
            <v>5</v>
          </cell>
        </row>
        <row r="6566">
          <cell r="C6566" t="str">
            <v>B608740/A</v>
          </cell>
          <cell r="D6566" t="str">
            <v>RH7153F409</v>
          </cell>
          <cell r="E6566">
            <v>5</v>
          </cell>
        </row>
        <row r="6567">
          <cell r="C6567" t="str">
            <v>B608743/A</v>
          </cell>
          <cell r="D6567" t="str">
            <v>RH7364NF382</v>
          </cell>
          <cell r="E6567">
            <v>5</v>
          </cell>
        </row>
        <row r="6568">
          <cell r="C6568" t="str">
            <v>B608746/A</v>
          </cell>
          <cell r="D6568" t="str">
            <v>RH7365NF409</v>
          </cell>
          <cell r="E6568">
            <v>5</v>
          </cell>
        </row>
        <row r="6569">
          <cell r="C6569" t="str">
            <v>B608753/A</v>
          </cell>
          <cell r="D6569" t="str">
            <v>RH7467F38BN</v>
          </cell>
          <cell r="E6569">
            <v>10</v>
          </cell>
        </row>
        <row r="6570">
          <cell r="C6570" t="str">
            <v>B608757/A</v>
          </cell>
          <cell r="D6570" t="str">
            <v>RH7467F40</v>
          </cell>
          <cell r="E6570">
            <v>5</v>
          </cell>
        </row>
        <row r="6571">
          <cell r="C6571" t="str">
            <v>B608758/A</v>
          </cell>
          <cell r="D6571" t="str">
            <v>RH7467F40</v>
          </cell>
          <cell r="E6571">
            <v>5</v>
          </cell>
        </row>
        <row r="6572">
          <cell r="C6572" t="str">
            <v>B608763/A</v>
          </cell>
          <cell r="D6572" t="str">
            <v>RH7467F96</v>
          </cell>
          <cell r="E6572">
            <v>10</v>
          </cell>
        </row>
        <row r="6573">
          <cell r="C6573" t="str">
            <v>B608764/A</v>
          </cell>
          <cell r="D6573" t="str">
            <v>RH7467F96</v>
          </cell>
          <cell r="E6573">
            <v>20</v>
          </cell>
        </row>
        <row r="6574">
          <cell r="C6574" t="str">
            <v>B607359/A</v>
          </cell>
          <cell r="D6574" t="str">
            <v>RH894AF03</v>
          </cell>
          <cell r="E6574">
            <v>5</v>
          </cell>
        </row>
        <row r="6575">
          <cell r="C6575" t="str">
            <v>B608788/A</v>
          </cell>
          <cell r="D6575" t="str">
            <v>RH9282F408</v>
          </cell>
          <cell r="E6575">
            <v>5</v>
          </cell>
        </row>
        <row r="6576">
          <cell r="C6576" t="str">
            <v>B608767/A</v>
          </cell>
          <cell r="D6576" t="str">
            <v>RH9362F382</v>
          </cell>
          <cell r="E6576">
            <v>1</v>
          </cell>
        </row>
        <row r="6577">
          <cell r="C6577" t="str">
            <v>B608769/A</v>
          </cell>
          <cell r="D6577" t="str">
            <v>RH9362F383</v>
          </cell>
          <cell r="E6577">
            <v>2</v>
          </cell>
        </row>
        <row r="6578">
          <cell r="C6578" t="str">
            <v>B608773/A</v>
          </cell>
          <cell r="D6578" t="str">
            <v>RH9362F409</v>
          </cell>
          <cell r="E6578">
            <v>2</v>
          </cell>
        </row>
        <row r="6579">
          <cell r="C6579" t="str">
            <v>B608776/A</v>
          </cell>
          <cell r="D6579" t="str">
            <v>RH9364F382</v>
          </cell>
          <cell r="E6579">
            <v>5</v>
          </cell>
        </row>
        <row r="6580">
          <cell r="C6580" t="str">
            <v>B608783/A</v>
          </cell>
          <cell r="D6580" t="str">
            <v>RH947NF03</v>
          </cell>
          <cell r="E6580">
            <v>4</v>
          </cell>
        </row>
        <row r="6581">
          <cell r="C6581" t="str">
            <v>B608784/A</v>
          </cell>
          <cell r="D6581" t="str">
            <v>RH947NF03</v>
          </cell>
          <cell r="E6581">
            <v>11</v>
          </cell>
        </row>
        <row r="6582">
          <cell r="C6582" t="str">
            <v>B608785/A</v>
          </cell>
          <cell r="D6582" t="str">
            <v>RH947NF03</v>
          </cell>
          <cell r="E6582">
            <v>13</v>
          </cell>
        </row>
        <row r="6583">
          <cell r="C6583" t="str">
            <v>B608288/A</v>
          </cell>
          <cell r="D6583" t="str">
            <v>RH9497F382</v>
          </cell>
          <cell r="E6583">
            <v>1</v>
          </cell>
        </row>
        <row r="6584">
          <cell r="C6584" t="str">
            <v>B608289/A</v>
          </cell>
          <cell r="D6584" t="str">
            <v>RH9497F382</v>
          </cell>
          <cell r="E6584">
            <v>1</v>
          </cell>
        </row>
        <row r="6585">
          <cell r="C6585" t="str">
            <v>B608291/A</v>
          </cell>
          <cell r="D6585" t="str">
            <v>RH9497F384</v>
          </cell>
          <cell r="E6585">
            <v>20</v>
          </cell>
        </row>
        <row r="6586">
          <cell r="C6586" t="str">
            <v>B608294/A</v>
          </cell>
          <cell r="D6586" t="str">
            <v>RH9497F409</v>
          </cell>
          <cell r="E6586">
            <v>13</v>
          </cell>
        </row>
        <row r="6587">
          <cell r="C6587" t="str">
            <v>B608295/A</v>
          </cell>
          <cell r="D6587" t="str">
            <v>RH9497F409</v>
          </cell>
          <cell r="E6587">
            <v>7</v>
          </cell>
        </row>
        <row r="6588">
          <cell r="C6588" t="str">
            <v>B608803/A</v>
          </cell>
          <cell r="D6588" t="str">
            <v>RH9555F370TR-32215COM</v>
          </cell>
          <cell r="E6588">
            <v>1</v>
          </cell>
        </row>
        <row r="6589">
          <cell r="C6589" t="str">
            <v>B608804/A</v>
          </cell>
          <cell r="D6589" t="str">
            <v>RH9555F370TR-32229COM</v>
          </cell>
          <cell r="E6589">
            <v>1</v>
          </cell>
        </row>
        <row r="6590">
          <cell r="C6590" t="str">
            <v>B608810/A</v>
          </cell>
          <cell r="D6590" t="str">
            <v>RH9555F373TR-31934</v>
          </cell>
          <cell r="E6590">
            <v>1</v>
          </cell>
        </row>
        <row r="6591">
          <cell r="C6591" t="str">
            <v>B608811/A</v>
          </cell>
          <cell r="D6591" t="str">
            <v>RH9555F373TR-32226COM</v>
          </cell>
          <cell r="E6591">
            <v>1</v>
          </cell>
        </row>
        <row r="6592">
          <cell r="C6592" t="str">
            <v>B608297/A</v>
          </cell>
          <cell r="D6592" t="str">
            <v>RH9868F423</v>
          </cell>
          <cell r="E6592">
            <v>8</v>
          </cell>
        </row>
        <row r="6593">
          <cell r="C6593" t="str">
            <v>B608299/A</v>
          </cell>
          <cell r="D6593" t="str">
            <v>RH9868F424</v>
          </cell>
          <cell r="E6593">
            <v>5</v>
          </cell>
        </row>
        <row r="6594">
          <cell r="C6594" t="str">
            <v>B608301/A</v>
          </cell>
          <cell r="D6594" t="str">
            <v>RH9868F425</v>
          </cell>
          <cell r="E6594">
            <v>3</v>
          </cell>
        </row>
        <row r="6595">
          <cell r="C6595" t="str">
            <v>B608304/A</v>
          </cell>
          <cell r="D6595" t="str">
            <v>RH9868F426</v>
          </cell>
          <cell r="E6595">
            <v>6</v>
          </cell>
        </row>
        <row r="6596">
          <cell r="C6596" t="str">
            <v>B608305/A</v>
          </cell>
          <cell r="D6596" t="str">
            <v>RH9868F426</v>
          </cell>
          <cell r="E6596">
            <v>7</v>
          </cell>
        </row>
        <row r="6597">
          <cell r="C6597" t="str">
            <v>B608202/A</v>
          </cell>
          <cell r="D6597" t="str">
            <v>RH9990F382</v>
          </cell>
          <cell r="E6597">
            <v>4</v>
          </cell>
        </row>
        <row r="6598">
          <cell r="C6598" t="str">
            <v>B608203/A</v>
          </cell>
          <cell r="D6598" t="str">
            <v>RH9990F382</v>
          </cell>
          <cell r="E6598">
            <v>4</v>
          </cell>
        </row>
        <row r="6599">
          <cell r="C6599" t="str">
            <v>B608205/A</v>
          </cell>
          <cell r="D6599" t="str">
            <v>RH9990F383</v>
          </cell>
          <cell r="E6599">
            <v>6</v>
          </cell>
        </row>
        <row r="6600">
          <cell r="C6600" t="str">
            <v>B608207/A</v>
          </cell>
          <cell r="D6600" t="str">
            <v>RH9990F384</v>
          </cell>
          <cell r="E6600">
            <v>6</v>
          </cell>
        </row>
        <row r="6601">
          <cell r="C6601" t="str">
            <v>B608417/A</v>
          </cell>
          <cell r="D6601" t="str">
            <v>CZ798F196</v>
          </cell>
          <cell r="E6601">
            <v>108</v>
          </cell>
        </row>
        <row r="6602">
          <cell r="C6602" t="str">
            <v>B608146/A</v>
          </cell>
          <cell r="D6602" t="str">
            <v>MH1164F523-LEG</v>
          </cell>
          <cell r="E6602">
            <v>4</v>
          </cell>
        </row>
        <row r="6603">
          <cell r="C6603" t="str">
            <v>B608223/A</v>
          </cell>
          <cell r="D6603" t="str">
            <v>RH094F03</v>
          </cell>
          <cell r="E6603">
            <v>108</v>
          </cell>
        </row>
        <row r="6604">
          <cell r="C6604" t="str">
            <v>B608500/A</v>
          </cell>
          <cell r="D6604" t="str">
            <v>RH094F03</v>
          </cell>
          <cell r="E6604">
            <v>108</v>
          </cell>
        </row>
        <row r="6605">
          <cell r="C6605" t="str">
            <v>B608285/A</v>
          </cell>
          <cell r="D6605" t="str">
            <v>RH7591F409</v>
          </cell>
          <cell r="E6605">
            <v>108</v>
          </cell>
        </row>
        <row r="6606">
          <cell r="C6606" t="str">
            <v>B608822/A</v>
          </cell>
          <cell r="D6606" t="str">
            <v>RH9950F423</v>
          </cell>
          <cell r="E6606">
            <v>108</v>
          </cell>
        </row>
        <row r="6607">
          <cell r="C6607" t="str">
            <v>B608825/A</v>
          </cell>
          <cell r="D6607" t="str">
            <v>RH9950F424</v>
          </cell>
          <cell r="E6607">
            <v>108</v>
          </cell>
        </row>
        <row r="6608">
          <cell r="C6608" t="str">
            <v>B608307/A</v>
          </cell>
          <cell r="D6608" t="str">
            <v>RH9950F425</v>
          </cell>
          <cell r="E6608">
            <v>108</v>
          </cell>
        </row>
        <row r="6609">
          <cell r="C6609" t="str">
            <v>B608827/A</v>
          </cell>
          <cell r="D6609" t="str">
            <v>SD495F01-DRDWS</v>
          </cell>
          <cell r="E6609">
            <v>30</v>
          </cell>
        </row>
        <row r="6610">
          <cell r="C6610" t="str">
            <v>B609539/A</v>
          </cell>
          <cell r="D6610" t="str">
            <v>AR082F892</v>
          </cell>
          <cell r="E6610">
            <v>11</v>
          </cell>
        </row>
        <row r="6611">
          <cell r="C6611" t="str">
            <v>B609545/A</v>
          </cell>
          <cell r="D6611" t="str">
            <v>AR082F892</v>
          </cell>
          <cell r="E6611">
            <v>14</v>
          </cell>
        </row>
        <row r="6612">
          <cell r="C6612" t="str">
            <v>B609923/A</v>
          </cell>
          <cell r="D6612" t="str">
            <v>AR112NF834-BASE</v>
          </cell>
          <cell r="E6612">
            <v>21</v>
          </cell>
        </row>
        <row r="6613">
          <cell r="C6613" t="str">
            <v>B609924/A</v>
          </cell>
          <cell r="D6613" t="str">
            <v>AR112NF834-BASE</v>
          </cell>
          <cell r="E6613">
            <v>54</v>
          </cell>
        </row>
        <row r="6614">
          <cell r="C6614" t="str">
            <v>B609927/A</v>
          </cell>
          <cell r="D6614" t="str">
            <v>AR117NF1039</v>
          </cell>
          <cell r="E6614">
            <v>14</v>
          </cell>
        </row>
        <row r="6615">
          <cell r="C6615" t="str">
            <v>B609928/A</v>
          </cell>
          <cell r="D6615" t="str">
            <v>AR117NF1039</v>
          </cell>
          <cell r="E6615">
            <v>21</v>
          </cell>
        </row>
        <row r="6616">
          <cell r="C6616" t="str">
            <v>B609931/A</v>
          </cell>
          <cell r="D6616" t="str">
            <v>AR117NF834</v>
          </cell>
          <cell r="E6616">
            <v>16</v>
          </cell>
        </row>
        <row r="6617">
          <cell r="C6617" t="str">
            <v>B609932/A</v>
          </cell>
          <cell r="D6617" t="str">
            <v>AR117NF834</v>
          </cell>
          <cell r="E6617">
            <v>19</v>
          </cell>
        </row>
        <row r="6618">
          <cell r="C6618" t="str">
            <v>B608330/A</v>
          </cell>
          <cell r="D6618" t="str">
            <v>AR165F1039</v>
          </cell>
          <cell r="E6618">
            <v>4</v>
          </cell>
        </row>
        <row r="6619">
          <cell r="C6619" t="str">
            <v>B608331/A</v>
          </cell>
          <cell r="D6619" t="str">
            <v>AR165F1039</v>
          </cell>
          <cell r="E6619">
            <v>36</v>
          </cell>
        </row>
        <row r="6620">
          <cell r="C6620" t="str">
            <v>B609948/A</v>
          </cell>
          <cell r="D6620" t="str">
            <v>AR373F1049</v>
          </cell>
          <cell r="E6620">
            <v>7</v>
          </cell>
        </row>
        <row r="6621">
          <cell r="C6621" t="str">
            <v>B609972/A</v>
          </cell>
          <cell r="D6621" t="str">
            <v>AR373F1049</v>
          </cell>
          <cell r="E6621">
            <v>18</v>
          </cell>
        </row>
        <row r="6622">
          <cell r="C6622" t="str">
            <v>B609951/A</v>
          </cell>
          <cell r="D6622" t="str">
            <v>AR373F906</v>
          </cell>
          <cell r="E6622">
            <v>25</v>
          </cell>
        </row>
        <row r="6623">
          <cell r="C6623" t="str">
            <v>B609952/A</v>
          </cell>
          <cell r="D6623" t="str">
            <v>AR373F906</v>
          </cell>
          <cell r="E6623">
            <v>60</v>
          </cell>
        </row>
        <row r="6624">
          <cell r="C6624" t="str">
            <v>B609955/A</v>
          </cell>
          <cell r="D6624" t="str">
            <v>AR463F834-BASE</v>
          </cell>
          <cell r="E6624">
            <v>9</v>
          </cell>
        </row>
        <row r="6625">
          <cell r="C6625" t="str">
            <v>B609956/A</v>
          </cell>
          <cell r="D6625" t="str">
            <v>AR463F834-BASE</v>
          </cell>
          <cell r="E6625">
            <v>21</v>
          </cell>
        </row>
        <row r="6626">
          <cell r="C6626" t="str">
            <v>B609959/A</v>
          </cell>
          <cell r="D6626" t="str">
            <v>AR463F906-BASE</v>
          </cell>
          <cell r="E6626">
            <v>7</v>
          </cell>
        </row>
        <row r="6627">
          <cell r="C6627" t="str">
            <v>B609960/A</v>
          </cell>
          <cell r="D6627" t="str">
            <v>AR463F906-BASE</v>
          </cell>
          <cell r="E6627">
            <v>18</v>
          </cell>
        </row>
        <row r="6628">
          <cell r="C6628" t="str">
            <v>B609542/A</v>
          </cell>
          <cell r="D6628" t="str">
            <v>AR720F892-BASE1</v>
          </cell>
          <cell r="E6628">
            <v>21</v>
          </cell>
        </row>
        <row r="6629">
          <cell r="C6629" t="str">
            <v>B609543/A</v>
          </cell>
          <cell r="D6629" t="str">
            <v>AR720F892-BASE1</v>
          </cell>
          <cell r="E6629">
            <v>29</v>
          </cell>
        </row>
        <row r="6630">
          <cell r="C6630" t="str">
            <v>B609548/A</v>
          </cell>
          <cell r="D6630" t="str">
            <v>AR720F892-TOP</v>
          </cell>
          <cell r="E6630">
            <v>22</v>
          </cell>
        </row>
        <row r="6631">
          <cell r="C6631" t="str">
            <v>B609549/A</v>
          </cell>
          <cell r="D6631" t="str">
            <v>AR720F892-TOP</v>
          </cell>
          <cell r="E6631">
            <v>28</v>
          </cell>
        </row>
        <row r="6632">
          <cell r="C6632" t="str">
            <v>B608356/A</v>
          </cell>
          <cell r="D6632" t="str">
            <v>AR784F1049</v>
          </cell>
          <cell r="E6632">
            <v>8</v>
          </cell>
        </row>
        <row r="6633">
          <cell r="C6633" t="str">
            <v>B608357/A</v>
          </cell>
          <cell r="D6633" t="str">
            <v>AR784F1049</v>
          </cell>
          <cell r="E6633">
            <v>18</v>
          </cell>
        </row>
        <row r="6634">
          <cell r="C6634" t="str">
            <v>B609962/A</v>
          </cell>
          <cell r="D6634" t="str">
            <v>AR784F1049</v>
          </cell>
          <cell r="E6634">
            <v>85</v>
          </cell>
        </row>
        <row r="6635">
          <cell r="C6635" t="str">
            <v>B609965/A</v>
          </cell>
          <cell r="D6635" t="str">
            <v>AR931F1049</v>
          </cell>
          <cell r="E6635">
            <v>30</v>
          </cell>
        </row>
        <row r="6636">
          <cell r="C6636" t="str">
            <v>B609973/A</v>
          </cell>
          <cell r="D6636" t="str">
            <v>AR931F1049</v>
          </cell>
          <cell r="E6636">
            <v>70</v>
          </cell>
        </row>
        <row r="6637">
          <cell r="C6637" t="str">
            <v>B609967/A</v>
          </cell>
          <cell r="D6637" t="str">
            <v>AR931F906</v>
          </cell>
          <cell r="E6637">
            <v>60</v>
          </cell>
        </row>
        <row r="6638">
          <cell r="C6638" t="str">
            <v>B609969/A</v>
          </cell>
          <cell r="D6638" t="str">
            <v>AR996F1291</v>
          </cell>
          <cell r="E6638">
            <v>60</v>
          </cell>
        </row>
        <row r="6639">
          <cell r="C6639" t="str">
            <v>B609554/A</v>
          </cell>
          <cell r="D6639" t="str">
            <v>BN1596F38</v>
          </cell>
          <cell r="E6639">
            <v>5</v>
          </cell>
        </row>
        <row r="6640">
          <cell r="C6640" t="str">
            <v>B609555/A</v>
          </cell>
          <cell r="D6640" t="str">
            <v>BN1596F38</v>
          </cell>
          <cell r="E6640">
            <v>5</v>
          </cell>
        </row>
        <row r="6641">
          <cell r="C6641" t="str">
            <v>B609556/A</v>
          </cell>
          <cell r="D6641" t="str">
            <v>BN1596F38</v>
          </cell>
          <cell r="E6641">
            <v>5</v>
          </cell>
        </row>
        <row r="6642">
          <cell r="C6642" t="str">
            <v>B609557/A</v>
          </cell>
          <cell r="D6642" t="str">
            <v>BN1596F38</v>
          </cell>
          <cell r="E6642">
            <v>5</v>
          </cell>
        </row>
        <row r="6643">
          <cell r="C6643" t="str">
            <v>B610069/A</v>
          </cell>
          <cell r="D6643" t="str">
            <v>BN2913F356</v>
          </cell>
          <cell r="E6643">
            <v>1</v>
          </cell>
        </row>
        <row r="6644">
          <cell r="C6644" t="str">
            <v>B609971/A</v>
          </cell>
          <cell r="D6644" t="str">
            <v>BN3174F356</v>
          </cell>
          <cell r="E6644">
            <v>15</v>
          </cell>
        </row>
        <row r="6645">
          <cell r="C6645" t="str">
            <v>B609559/A</v>
          </cell>
          <cell r="D6645" t="str">
            <v>BN3176F356</v>
          </cell>
          <cell r="E6645">
            <v>15</v>
          </cell>
        </row>
        <row r="6646">
          <cell r="C6646" t="str">
            <v>B609521/A</v>
          </cell>
          <cell r="D6646" t="str">
            <v>CZ053F08</v>
          </cell>
          <cell r="E6646">
            <v>11</v>
          </cell>
        </row>
        <row r="6647">
          <cell r="C6647" t="str">
            <v>B609524/A</v>
          </cell>
          <cell r="D6647" t="str">
            <v>CZ053F09</v>
          </cell>
          <cell r="E6647">
            <v>14</v>
          </cell>
        </row>
        <row r="6648">
          <cell r="C6648" t="str">
            <v>B609525/A</v>
          </cell>
          <cell r="D6648" t="str">
            <v>CZ053F09</v>
          </cell>
          <cell r="E6648">
            <v>18</v>
          </cell>
        </row>
        <row r="6649">
          <cell r="C6649" t="str">
            <v>B609528/A</v>
          </cell>
          <cell r="D6649" t="str">
            <v>CZ053F190</v>
          </cell>
          <cell r="E6649">
            <v>6</v>
          </cell>
        </row>
        <row r="6650">
          <cell r="C6650" t="str">
            <v>B609529/A</v>
          </cell>
          <cell r="D6650" t="str">
            <v>CZ053F190</v>
          </cell>
          <cell r="E6650">
            <v>7</v>
          </cell>
        </row>
        <row r="6651">
          <cell r="C6651" t="str">
            <v>B609532/A</v>
          </cell>
          <cell r="D6651" t="str">
            <v>CZ053F191</v>
          </cell>
          <cell r="E6651">
            <v>5</v>
          </cell>
        </row>
        <row r="6652">
          <cell r="C6652" t="str">
            <v>B609533/A</v>
          </cell>
          <cell r="D6652" t="str">
            <v>CZ053F191</v>
          </cell>
          <cell r="E6652">
            <v>6</v>
          </cell>
        </row>
        <row r="6653">
          <cell r="C6653" t="str">
            <v>B608378/A</v>
          </cell>
          <cell r="D6653" t="str">
            <v>CZ069F08</v>
          </cell>
          <cell r="E6653">
            <v>4</v>
          </cell>
        </row>
        <row r="6654">
          <cell r="C6654" t="str">
            <v>B608379/A</v>
          </cell>
          <cell r="D6654" t="str">
            <v>CZ069F08</v>
          </cell>
          <cell r="E6654">
            <v>6</v>
          </cell>
        </row>
        <row r="6655">
          <cell r="C6655" t="str">
            <v>B608381/A</v>
          </cell>
          <cell r="D6655" t="str">
            <v>CZ543F08</v>
          </cell>
          <cell r="E6655">
            <v>3</v>
          </cell>
        </row>
        <row r="6656">
          <cell r="C6656" t="str">
            <v>B608383/A</v>
          </cell>
          <cell r="D6656" t="str">
            <v>CZ543F09</v>
          </cell>
          <cell r="E6656">
            <v>9</v>
          </cell>
        </row>
        <row r="6657">
          <cell r="C6657" t="str">
            <v>B608385/A</v>
          </cell>
          <cell r="D6657" t="str">
            <v>CZ543F190</v>
          </cell>
          <cell r="E6657">
            <v>8</v>
          </cell>
        </row>
        <row r="6658">
          <cell r="C6658" t="str">
            <v>B608388/A</v>
          </cell>
          <cell r="D6658" t="str">
            <v>CZ557NF08</v>
          </cell>
          <cell r="E6658">
            <v>8</v>
          </cell>
        </row>
        <row r="6659">
          <cell r="C6659" t="str">
            <v>B608389/A</v>
          </cell>
          <cell r="D6659" t="str">
            <v>CZ557NF08</v>
          </cell>
          <cell r="E6659">
            <v>2</v>
          </cell>
        </row>
        <row r="6660">
          <cell r="C6660" t="str">
            <v>B608392/A</v>
          </cell>
          <cell r="D6660" t="str">
            <v>CZ557NF09</v>
          </cell>
          <cell r="E6660">
            <v>6</v>
          </cell>
        </row>
        <row r="6661">
          <cell r="C6661" t="str">
            <v>B608393/A</v>
          </cell>
          <cell r="D6661" t="str">
            <v>CZ557NF09</v>
          </cell>
          <cell r="E6661">
            <v>9</v>
          </cell>
        </row>
        <row r="6662">
          <cell r="C6662" t="str">
            <v>B608396/A</v>
          </cell>
          <cell r="D6662" t="str">
            <v>CZ557NF10</v>
          </cell>
          <cell r="E6662">
            <v>5</v>
          </cell>
        </row>
        <row r="6663">
          <cell r="C6663" t="str">
            <v>B608397/A</v>
          </cell>
          <cell r="D6663" t="str">
            <v>CZ557NF10</v>
          </cell>
          <cell r="E6663">
            <v>5</v>
          </cell>
        </row>
        <row r="6664">
          <cell r="C6664" t="str">
            <v>B608399/A</v>
          </cell>
          <cell r="D6664" t="str">
            <v>CZ557NF190</v>
          </cell>
          <cell r="E6664">
            <v>7</v>
          </cell>
        </row>
        <row r="6665">
          <cell r="C6665" t="str">
            <v>B608402/A</v>
          </cell>
          <cell r="D6665" t="str">
            <v>CZ640F08</v>
          </cell>
          <cell r="E6665">
            <v>3</v>
          </cell>
        </row>
        <row r="6666">
          <cell r="C6666" t="str">
            <v>B608403/A</v>
          </cell>
          <cell r="D6666" t="str">
            <v>CZ640F08</v>
          </cell>
          <cell r="E6666">
            <v>6</v>
          </cell>
        </row>
        <row r="6667">
          <cell r="C6667" t="str">
            <v>B608406/A</v>
          </cell>
          <cell r="D6667" t="str">
            <v>CZ640F09</v>
          </cell>
          <cell r="E6667">
            <v>5</v>
          </cell>
        </row>
        <row r="6668">
          <cell r="C6668" t="str">
            <v>B608407/A</v>
          </cell>
          <cell r="D6668" t="str">
            <v>CZ640F09</v>
          </cell>
          <cell r="E6668">
            <v>7</v>
          </cell>
        </row>
        <row r="6669">
          <cell r="C6669" t="str">
            <v>B608415/A</v>
          </cell>
          <cell r="D6669" t="str">
            <v>CZ640F10</v>
          </cell>
          <cell r="E6669">
            <v>5</v>
          </cell>
        </row>
        <row r="6670">
          <cell r="C6670" t="str">
            <v>B609981/A</v>
          </cell>
          <cell r="D6670" t="str">
            <v>CZ877F381</v>
          </cell>
          <cell r="E6670">
            <v>6</v>
          </cell>
        </row>
        <row r="6671">
          <cell r="C6671" t="str">
            <v>B609987/A</v>
          </cell>
          <cell r="D6671" t="str">
            <v>CZ944F08</v>
          </cell>
          <cell r="E6671">
            <v>2</v>
          </cell>
        </row>
        <row r="6672">
          <cell r="C6672" t="str">
            <v>B609989/A</v>
          </cell>
          <cell r="D6672" t="str">
            <v>CZ944F190</v>
          </cell>
          <cell r="E6672">
            <v>3</v>
          </cell>
        </row>
        <row r="6673">
          <cell r="C6673" t="str">
            <v>B609991/A</v>
          </cell>
          <cell r="D6673" t="str">
            <v>CZ946F190</v>
          </cell>
          <cell r="E6673">
            <v>5</v>
          </cell>
        </row>
        <row r="6674">
          <cell r="C6674" t="str">
            <v>B609993/A</v>
          </cell>
          <cell r="D6674" t="str">
            <v>CZ962F381</v>
          </cell>
          <cell r="E6674">
            <v>2</v>
          </cell>
        </row>
        <row r="6675">
          <cell r="C6675" t="str">
            <v>B609995/A</v>
          </cell>
          <cell r="D6675" t="str">
            <v>CZ962F409</v>
          </cell>
          <cell r="E6675">
            <v>3</v>
          </cell>
        </row>
        <row r="6676">
          <cell r="C6676" t="str">
            <v>B609997/A</v>
          </cell>
          <cell r="D6676" t="str">
            <v>CZ963F188</v>
          </cell>
          <cell r="E6676">
            <v>5</v>
          </cell>
        </row>
        <row r="6677">
          <cell r="C6677" t="str">
            <v>B609999/A</v>
          </cell>
          <cell r="D6677" t="str">
            <v>CZ967F188-31898</v>
          </cell>
          <cell r="E6677">
            <v>2</v>
          </cell>
        </row>
        <row r="6678">
          <cell r="C6678" t="str">
            <v>B610001/A</v>
          </cell>
          <cell r="D6678" t="str">
            <v>CZ967F196-31898</v>
          </cell>
          <cell r="E6678">
            <v>2</v>
          </cell>
        </row>
        <row r="6679">
          <cell r="C6679" t="str">
            <v>B610003/A</v>
          </cell>
          <cell r="D6679" t="str">
            <v>CZ967F381-31898</v>
          </cell>
          <cell r="E6679">
            <v>2</v>
          </cell>
        </row>
        <row r="6680">
          <cell r="C6680" t="str">
            <v>B610011/A</v>
          </cell>
          <cell r="D6680" t="str">
            <v>JV014F837</v>
          </cell>
          <cell r="E6680">
            <v>25</v>
          </cell>
        </row>
        <row r="6681">
          <cell r="C6681" t="str">
            <v>B610014/A</v>
          </cell>
          <cell r="D6681" t="str">
            <v>JV065F1312</v>
          </cell>
          <cell r="E6681">
            <v>15</v>
          </cell>
        </row>
        <row r="6682">
          <cell r="C6682" t="str">
            <v>B610015/A</v>
          </cell>
          <cell r="D6682" t="str">
            <v>JV065F1312</v>
          </cell>
          <cell r="E6682">
            <v>10</v>
          </cell>
        </row>
        <row r="6683">
          <cell r="C6683" t="str">
            <v>B610020/A</v>
          </cell>
          <cell r="D6683" t="str">
            <v>JV065F1313</v>
          </cell>
          <cell r="E6683">
            <v>38</v>
          </cell>
        </row>
        <row r="6684">
          <cell r="C6684" t="str">
            <v>B610021/A</v>
          </cell>
          <cell r="D6684" t="str">
            <v>JV065F1313</v>
          </cell>
          <cell r="E6684">
            <v>12</v>
          </cell>
        </row>
        <row r="6685">
          <cell r="C6685" t="str">
            <v>B610029/A</v>
          </cell>
          <cell r="D6685" t="str">
            <v>MN5675N</v>
          </cell>
          <cell r="E6685">
            <v>25</v>
          </cell>
        </row>
        <row r="6686">
          <cell r="C6686" t="str">
            <v>B610031/A</v>
          </cell>
          <cell r="D6686" t="str">
            <v>MN5704Q-H</v>
          </cell>
          <cell r="E6686">
            <v>25</v>
          </cell>
        </row>
        <row r="6687">
          <cell r="C6687" t="str">
            <v>B610033/A</v>
          </cell>
          <cell r="D6687" t="str">
            <v>MN5704Q-R</v>
          </cell>
          <cell r="E6687">
            <v>25</v>
          </cell>
        </row>
        <row r="6688">
          <cell r="C6688" t="str">
            <v>B610035/A</v>
          </cell>
          <cell r="D6688" t="str">
            <v>MN5705Q-F</v>
          </cell>
          <cell r="E6688">
            <v>25</v>
          </cell>
        </row>
        <row r="6689">
          <cell r="C6689" t="str">
            <v>B610037/A</v>
          </cell>
          <cell r="D6689" t="str">
            <v>MN5781</v>
          </cell>
          <cell r="E6689">
            <v>25</v>
          </cell>
        </row>
        <row r="6690">
          <cell r="C6690" t="str">
            <v>B610061/A</v>
          </cell>
          <cell r="D6690" t="str">
            <v>MN5863BF629</v>
          </cell>
          <cell r="E6690">
            <v>15</v>
          </cell>
        </row>
        <row r="6691">
          <cell r="C6691" t="str">
            <v>B610063/A</v>
          </cell>
          <cell r="D6691" t="str">
            <v>MN5863F628-BASE</v>
          </cell>
          <cell r="E6691">
            <v>15</v>
          </cell>
        </row>
        <row r="6692">
          <cell r="C6692" t="str">
            <v>B610065/A</v>
          </cell>
          <cell r="D6692" t="str">
            <v>MN5863F628-TOP</v>
          </cell>
          <cell r="E6692">
            <v>15</v>
          </cell>
        </row>
        <row r="6693">
          <cell r="C6693" t="str">
            <v>B610067/A</v>
          </cell>
          <cell r="D6693" t="str">
            <v>MN5863TF629</v>
          </cell>
          <cell r="E6693">
            <v>15</v>
          </cell>
        </row>
        <row r="6694">
          <cell r="C6694" t="str">
            <v>B610039/A</v>
          </cell>
          <cell r="D6694" t="str">
            <v>MN5880NF1010</v>
          </cell>
          <cell r="E6694">
            <v>30</v>
          </cell>
        </row>
        <row r="6695">
          <cell r="C6695" t="str">
            <v>B610041/A</v>
          </cell>
          <cell r="D6695" t="str">
            <v>MN5881NF1010</v>
          </cell>
          <cell r="E6695">
            <v>25</v>
          </cell>
        </row>
        <row r="6696">
          <cell r="C6696" t="str">
            <v>B602383/A</v>
          </cell>
          <cell r="D6696" t="str">
            <v>RD1763F01</v>
          </cell>
          <cell r="E6696">
            <v>15</v>
          </cell>
        </row>
        <row r="6697">
          <cell r="C6697" t="str">
            <v>B609581/A</v>
          </cell>
          <cell r="D6697" t="str">
            <v>RH10002F382</v>
          </cell>
          <cell r="E6697">
            <v>5</v>
          </cell>
        </row>
        <row r="6698">
          <cell r="C6698" t="str">
            <v>B609583/A</v>
          </cell>
          <cell r="D6698" t="str">
            <v>RH10002F384</v>
          </cell>
          <cell r="E6698">
            <v>2</v>
          </cell>
        </row>
        <row r="6699">
          <cell r="C6699" t="str">
            <v>B609585/A</v>
          </cell>
          <cell r="D6699" t="str">
            <v>RH10002F409</v>
          </cell>
          <cell r="E6699">
            <v>5</v>
          </cell>
        </row>
        <row r="6700">
          <cell r="C6700" t="str">
            <v>B609587/A</v>
          </cell>
          <cell r="D6700" t="str">
            <v>RH10003F382</v>
          </cell>
          <cell r="E6700">
            <v>4</v>
          </cell>
        </row>
        <row r="6701">
          <cell r="C6701" t="str">
            <v>B609589/A</v>
          </cell>
          <cell r="D6701" t="str">
            <v>RH10003F384</v>
          </cell>
          <cell r="E6701">
            <v>4</v>
          </cell>
        </row>
        <row r="6702">
          <cell r="C6702" t="str">
            <v>B609591/A</v>
          </cell>
          <cell r="D6702" t="str">
            <v>RH10003F409</v>
          </cell>
          <cell r="E6702">
            <v>2</v>
          </cell>
        </row>
        <row r="6703">
          <cell r="C6703" t="str">
            <v>B609593/A</v>
          </cell>
          <cell r="D6703" t="str">
            <v>RH10004F382</v>
          </cell>
          <cell r="E6703">
            <v>5</v>
          </cell>
        </row>
        <row r="6704">
          <cell r="C6704" t="str">
            <v>B608502/A</v>
          </cell>
          <cell r="D6704" t="str">
            <v>RH10025F424</v>
          </cell>
          <cell r="E6704">
            <v>5</v>
          </cell>
        </row>
        <row r="6705">
          <cell r="C6705" t="str">
            <v>B609595/A</v>
          </cell>
          <cell r="D6705" t="str">
            <v>RH10056NF382</v>
          </cell>
          <cell r="E6705">
            <v>22</v>
          </cell>
        </row>
        <row r="6706">
          <cell r="C6706" t="str">
            <v>B609597/A</v>
          </cell>
          <cell r="D6706" t="str">
            <v>RH10056NF384</v>
          </cell>
          <cell r="E6706">
            <v>18</v>
          </cell>
        </row>
        <row r="6707">
          <cell r="C6707" t="str">
            <v>B609599/A</v>
          </cell>
          <cell r="D6707" t="str">
            <v>RH10056NF409</v>
          </cell>
          <cell r="E6707">
            <v>22</v>
          </cell>
        </row>
        <row r="6708">
          <cell r="C6708" t="str">
            <v>B602194/A</v>
          </cell>
          <cell r="D6708" t="str">
            <v>RH10058NF382</v>
          </cell>
          <cell r="E6708">
            <v>13</v>
          </cell>
        </row>
        <row r="6709">
          <cell r="C6709" t="str">
            <v>B602196/A</v>
          </cell>
          <cell r="D6709" t="str">
            <v>RH10058NF384</v>
          </cell>
          <cell r="E6709">
            <v>10</v>
          </cell>
        </row>
        <row r="6710">
          <cell r="C6710" t="str">
            <v>B609602/A</v>
          </cell>
          <cell r="D6710" t="str">
            <v>RH10080F382</v>
          </cell>
          <cell r="E6710">
            <v>13</v>
          </cell>
        </row>
        <row r="6711">
          <cell r="C6711" t="str">
            <v>B609603/A</v>
          </cell>
          <cell r="D6711" t="str">
            <v>RH10080F382</v>
          </cell>
          <cell r="E6711">
            <v>17</v>
          </cell>
        </row>
        <row r="6712">
          <cell r="C6712" t="str">
            <v>B609606/A</v>
          </cell>
          <cell r="D6712" t="str">
            <v>RH10080F383</v>
          </cell>
          <cell r="E6712">
            <v>14</v>
          </cell>
        </row>
        <row r="6713">
          <cell r="C6713" t="str">
            <v>B609607/A</v>
          </cell>
          <cell r="D6713" t="str">
            <v>RH10080F383</v>
          </cell>
          <cell r="E6713">
            <v>16</v>
          </cell>
        </row>
        <row r="6714">
          <cell r="C6714" t="str">
            <v>B609609/A</v>
          </cell>
          <cell r="D6714" t="str">
            <v>RH10080F384</v>
          </cell>
          <cell r="E6714">
            <v>13</v>
          </cell>
        </row>
        <row r="6715">
          <cell r="C6715" t="str">
            <v>B609612/A</v>
          </cell>
          <cell r="D6715" t="str">
            <v>RH10080F409</v>
          </cell>
          <cell r="E6715">
            <v>10</v>
          </cell>
        </row>
        <row r="6716">
          <cell r="C6716" t="str">
            <v>B609613/A</v>
          </cell>
          <cell r="D6716" t="str">
            <v>RH10080F409</v>
          </cell>
          <cell r="E6716">
            <v>13</v>
          </cell>
        </row>
        <row r="6717">
          <cell r="C6717" t="str">
            <v>B609616/A</v>
          </cell>
          <cell r="D6717" t="str">
            <v>RH10084F382</v>
          </cell>
          <cell r="E6717">
            <v>37</v>
          </cell>
        </row>
        <row r="6718">
          <cell r="C6718" t="str">
            <v>B609617/A</v>
          </cell>
          <cell r="D6718" t="str">
            <v>RH10084F382</v>
          </cell>
          <cell r="E6718">
            <v>46</v>
          </cell>
        </row>
        <row r="6719">
          <cell r="C6719" t="str">
            <v>B609619/A</v>
          </cell>
          <cell r="D6719" t="str">
            <v>RH10084F383</v>
          </cell>
          <cell r="E6719">
            <v>16</v>
          </cell>
        </row>
        <row r="6720">
          <cell r="C6720" t="str">
            <v>B609622/A</v>
          </cell>
          <cell r="D6720" t="str">
            <v>RH10085F382</v>
          </cell>
          <cell r="E6720">
            <v>11</v>
          </cell>
        </row>
        <row r="6721">
          <cell r="C6721" t="str">
            <v>B609623/A</v>
          </cell>
          <cell r="D6721" t="str">
            <v>RH10085F382</v>
          </cell>
          <cell r="E6721">
            <v>16</v>
          </cell>
        </row>
        <row r="6722">
          <cell r="C6722" t="str">
            <v>B609626/A</v>
          </cell>
          <cell r="D6722" t="str">
            <v>RH10085F409</v>
          </cell>
          <cell r="E6722">
            <v>6</v>
          </cell>
        </row>
        <row r="6723">
          <cell r="C6723" t="str">
            <v>B609627/A</v>
          </cell>
          <cell r="D6723" t="str">
            <v>RH10085F409</v>
          </cell>
          <cell r="E6723">
            <v>9</v>
          </cell>
        </row>
        <row r="6724">
          <cell r="C6724" t="str">
            <v>B604987/A</v>
          </cell>
          <cell r="D6724" t="str">
            <v>RH10086NF382</v>
          </cell>
          <cell r="E6724">
            <v>7</v>
          </cell>
        </row>
        <row r="6725">
          <cell r="C6725" t="str">
            <v>B604989/A</v>
          </cell>
          <cell r="D6725" t="str">
            <v>RH10086NF383</v>
          </cell>
          <cell r="E6725">
            <v>8</v>
          </cell>
        </row>
        <row r="6726">
          <cell r="C6726" t="str">
            <v>B604991/A</v>
          </cell>
          <cell r="D6726" t="str">
            <v>RH10086NF384</v>
          </cell>
          <cell r="E6726">
            <v>8</v>
          </cell>
        </row>
        <row r="6727">
          <cell r="C6727" t="str">
            <v>B604994/A</v>
          </cell>
          <cell r="D6727" t="str">
            <v>RH10086NF409</v>
          </cell>
          <cell r="E6727">
            <v>13</v>
          </cell>
        </row>
        <row r="6728">
          <cell r="C6728" t="str">
            <v>B604995/A</v>
          </cell>
          <cell r="D6728" t="str">
            <v>RH10086NF409</v>
          </cell>
          <cell r="E6728">
            <v>16</v>
          </cell>
        </row>
        <row r="6729">
          <cell r="C6729" t="str">
            <v>B602199/A</v>
          </cell>
          <cell r="D6729" t="str">
            <v>RH10090F383</v>
          </cell>
          <cell r="E6729">
            <v>9</v>
          </cell>
        </row>
        <row r="6730">
          <cell r="C6730" t="str">
            <v>B602200/A</v>
          </cell>
          <cell r="D6730" t="str">
            <v>RH10090F383</v>
          </cell>
          <cell r="E6730">
            <v>12</v>
          </cell>
        </row>
        <row r="6731">
          <cell r="C6731" t="str">
            <v>B602202/A</v>
          </cell>
          <cell r="D6731" t="str">
            <v>RH10090F384</v>
          </cell>
          <cell r="E6731">
            <v>10</v>
          </cell>
        </row>
        <row r="6732">
          <cell r="C6732" t="str">
            <v>B602205/A</v>
          </cell>
          <cell r="D6732" t="str">
            <v>RH10090F409</v>
          </cell>
          <cell r="E6732">
            <v>19</v>
          </cell>
        </row>
        <row r="6733">
          <cell r="C6733" t="str">
            <v>B602206/A</v>
          </cell>
          <cell r="D6733" t="str">
            <v>RH10090F409</v>
          </cell>
          <cell r="E6733">
            <v>23</v>
          </cell>
        </row>
        <row r="6734">
          <cell r="C6734" t="str">
            <v>B602251/A</v>
          </cell>
          <cell r="D6734" t="str">
            <v>RH10092F382</v>
          </cell>
          <cell r="E6734">
            <v>13</v>
          </cell>
        </row>
        <row r="6735">
          <cell r="C6735" t="str">
            <v>B602254/A</v>
          </cell>
          <cell r="D6735" t="str">
            <v>RH10092F384</v>
          </cell>
          <cell r="E6735">
            <v>9</v>
          </cell>
        </row>
        <row r="6736">
          <cell r="C6736" t="str">
            <v>B602255/A</v>
          </cell>
          <cell r="D6736" t="str">
            <v>RH10092F384</v>
          </cell>
          <cell r="E6736">
            <v>11</v>
          </cell>
        </row>
        <row r="6737">
          <cell r="C6737" t="str">
            <v>B602258/A</v>
          </cell>
          <cell r="D6737" t="str">
            <v>RH10092F409</v>
          </cell>
          <cell r="E6737">
            <v>13</v>
          </cell>
        </row>
        <row r="6738">
          <cell r="C6738" t="str">
            <v>B602259/A</v>
          </cell>
          <cell r="D6738" t="str">
            <v>RH10092F409</v>
          </cell>
          <cell r="E6738">
            <v>16</v>
          </cell>
        </row>
        <row r="6739">
          <cell r="C6739" t="str">
            <v>B609630/A</v>
          </cell>
          <cell r="D6739" t="str">
            <v>RH10114F382</v>
          </cell>
          <cell r="E6739">
            <v>10</v>
          </cell>
        </row>
        <row r="6740">
          <cell r="C6740" t="str">
            <v>B609631/A</v>
          </cell>
          <cell r="D6740" t="str">
            <v>RH10114F382</v>
          </cell>
          <cell r="E6740">
            <v>11</v>
          </cell>
        </row>
        <row r="6741">
          <cell r="C6741" t="str">
            <v>B609633/A</v>
          </cell>
          <cell r="D6741" t="str">
            <v>RH10114F383</v>
          </cell>
          <cell r="E6741">
            <v>7</v>
          </cell>
        </row>
        <row r="6742">
          <cell r="C6742" t="str">
            <v>B609635/A</v>
          </cell>
          <cell r="D6742" t="str">
            <v>RH10114F384</v>
          </cell>
          <cell r="E6742">
            <v>6</v>
          </cell>
        </row>
        <row r="6743">
          <cell r="C6743" t="str">
            <v>B602261/A</v>
          </cell>
          <cell r="D6743" t="str">
            <v>RH10115F382</v>
          </cell>
          <cell r="E6743">
            <v>3</v>
          </cell>
        </row>
        <row r="6744">
          <cell r="C6744" t="str">
            <v>B602263/A</v>
          </cell>
          <cell r="D6744" t="str">
            <v>RH10115F384</v>
          </cell>
          <cell r="E6744">
            <v>14</v>
          </cell>
        </row>
        <row r="6745">
          <cell r="C6745" t="str">
            <v>B602265/A</v>
          </cell>
          <cell r="D6745" t="str">
            <v>RH10115F409</v>
          </cell>
          <cell r="E6745">
            <v>8</v>
          </cell>
        </row>
        <row r="6746">
          <cell r="C6746" t="str">
            <v>B609637/A</v>
          </cell>
          <cell r="D6746" t="str">
            <v>RH10116F382</v>
          </cell>
          <cell r="E6746">
            <v>17</v>
          </cell>
        </row>
        <row r="6747">
          <cell r="C6747" t="str">
            <v>B609639/A</v>
          </cell>
          <cell r="D6747" t="str">
            <v>RH10116F384</v>
          </cell>
          <cell r="E6747">
            <v>15</v>
          </cell>
        </row>
        <row r="6748">
          <cell r="C6748" t="str">
            <v>B609641/A</v>
          </cell>
          <cell r="D6748" t="str">
            <v>RH10124F382</v>
          </cell>
          <cell r="E6748">
            <v>13</v>
          </cell>
        </row>
        <row r="6749">
          <cell r="C6749" t="str">
            <v>B609643/A</v>
          </cell>
          <cell r="D6749" t="str">
            <v>RH10124F383</v>
          </cell>
          <cell r="E6749">
            <v>12</v>
          </cell>
        </row>
        <row r="6750">
          <cell r="C6750" t="str">
            <v>B602267/A</v>
          </cell>
          <cell r="D6750" t="str">
            <v>RH10125F382</v>
          </cell>
          <cell r="E6750">
            <v>19</v>
          </cell>
        </row>
        <row r="6751">
          <cell r="C6751" t="str">
            <v>B602269/A</v>
          </cell>
          <cell r="D6751" t="str">
            <v>RH10125F384</v>
          </cell>
          <cell r="E6751">
            <v>5</v>
          </cell>
        </row>
        <row r="6752">
          <cell r="C6752" t="str">
            <v>B602271/A</v>
          </cell>
          <cell r="D6752" t="str">
            <v>RH10125F409</v>
          </cell>
          <cell r="E6752">
            <v>8</v>
          </cell>
        </row>
        <row r="6753">
          <cell r="C6753" t="str">
            <v>B609645/A</v>
          </cell>
          <cell r="D6753" t="str">
            <v>RH10143F382</v>
          </cell>
          <cell r="E6753">
            <v>10</v>
          </cell>
        </row>
        <row r="6754">
          <cell r="C6754" t="str">
            <v>B609647/A</v>
          </cell>
          <cell r="D6754" t="str">
            <v>RH10143F384</v>
          </cell>
          <cell r="E6754">
            <v>7</v>
          </cell>
        </row>
        <row r="6755">
          <cell r="C6755" t="str">
            <v>B609649/A</v>
          </cell>
          <cell r="D6755" t="str">
            <v>RH10143F409</v>
          </cell>
          <cell r="E6755">
            <v>18</v>
          </cell>
        </row>
        <row r="6756">
          <cell r="C6756" t="str">
            <v>B602273/A</v>
          </cell>
          <cell r="D6756" t="str">
            <v>RH10148F382</v>
          </cell>
          <cell r="E6756">
            <v>9</v>
          </cell>
        </row>
        <row r="6757">
          <cell r="C6757" t="str">
            <v>B602275/A</v>
          </cell>
          <cell r="D6757" t="str">
            <v>RH10148F384</v>
          </cell>
          <cell r="E6757">
            <v>14</v>
          </cell>
        </row>
        <row r="6758">
          <cell r="C6758" t="str">
            <v>B602277/A</v>
          </cell>
          <cell r="D6758" t="str">
            <v>RH10158F382</v>
          </cell>
          <cell r="E6758">
            <v>22</v>
          </cell>
        </row>
        <row r="6759">
          <cell r="C6759" t="str">
            <v>B609735/A</v>
          </cell>
          <cell r="D6759" t="str">
            <v>RH10162F382</v>
          </cell>
          <cell r="E6759">
            <v>24</v>
          </cell>
        </row>
        <row r="6760">
          <cell r="C6760" t="str">
            <v>B609737/A</v>
          </cell>
          <cell r="D6760" t="str">
            <v>RH10162F384</v>
          </cell>
          <cell r="E6760">
            <v>1</v>
          </cell>
        </row>
        <row r="6761">
          <cell r="C6761" t="str">
            <v>B609739/A</v>
          </cell>
          <cell r="D6761" t="str">
            <v>RH10162F409</v>
          </cell>
          <cell r="E6761">
            <v>5</v>
          </cell>
        </row>
        <row r="6762">
          <cell r="C6762" t="str">
            <v>B602279/A</v>
          </cell>
          <cell r="D6762" t="str">
            <v>RH10170F382</v>
          </cell>
          <cell r="E6762">
            <v>19</v>
          </cell>
        </row>
        <row r="6763">
          <cell r="C6763" t="str">
            <v>B602281/A</v>
          </cell>
          <cell r="D6763" t="str">
            <v>RH10170F383</v>
          </cell>
          <cell r="E6763">
            <v>16</v>
          </cell>
        </row>
        <row r="6764">
          <cell r="C6764" t="str">
            <v>B602283/A</v>
          </cell>
          <cell r="D6764" t="str">
            <v>RH10170F409</v>
          </cell>
          <cell r="E6764">
            <v>15</v>
          </cell>
        </row>
        <row r="6765">
          <cell r="C6765" t="str">
            <v>B609858/A</v>
          </cell>
          <cell r="D6765" t="str">
            <v>RH10173F382</v>
          </cell>
          <cell r="E6765">
            <v>15</v>
          </cell>
        </row>
        <row r="6766">
          <cell r="C6766" t="str">
            <v>B609859/A</v>
          </cell>
          <cell r="D6766" t="str">
            <v>RH10173F382</v>
          </cell>
          <cell r="E6766">
            <v>19</v>
          </cell>
        </row>
        <row r="6767">
          <cell r="C6767" t="str">
            <v>B609862/A</v>
          </cell>
          <cell r="D6767" t="str">
            <v>RH10173F384</v>
          </cell>
          <cell r="E6767">
            <v>5</v>
          </cell>
        </row>
        <row r="6768">
          <cell r="C6768" t="str">
            <v>B609863/A</v>
          </cell>
          <cell r="D6768" t="str">
            <v>RH10173F384</v>
          </cell>
          <cell r="E6768">
            <v>3</v>
          </cell>
        </row>
        <row r="6769">
          <cell r="C6769" t="str">
            <v>B609866/A</v>
          </cell>
          <cell r="D6769" t="str">
            <v>RH10173F409</v>
          </cell>
          <cell r="E6769">
            <v>18</v>
          </cell>
        </row>
        <row r="6770">
          <cell r="C6770" t="str">
            <v>B609867/A</v>
          </cell>
          <cell r="D6770" t="str">
            <v>RH10173F409</v>
          </cell>
          <cell r="E6770">
            <v>4</v>
          </cell>
        </row>
        <row r="6771">
          <cell r="C6771" t="str">
            <v>B609870/A</v>
          </cell>
          <cell r="D6771" t="str">
            <v>RH1560-BIGF95.BC</v>
          </cell>
          <cell r="E6771">
            <v>35</v>
          </cell>
        </row>
        <row r="6772">
          <cell r="C6772" t="str">
            <v>B609871/A</v>
          </cell>
          <cell r="D6772" t="str">
            <v>RH1560-BIGF95.BC</v>
          </cell>
          <cell r="E6772">
            <v>35</v>
          </cell>
        </row>
        <row r="6773">
          <cell r="C6773" t="str">
            <v>B608520/A</v>
          </cell>
          <cell r="D6773" t="str">
            <v>RH164F02</v>
          </cell>
          <cell r="E6773">
            <v>9</v>
          </cell>
        </row>
        <row r="6774">
          <cell r="C6774" t="str">
            <v>B608522/A</v>
          </cell>
          <cell r="D6774" t="str">
            <v>RH164F03</v>
          </cell>
          <cell r="E6774">
            <v>8</v>
          </cell>
        </row>
        <row r="6775">
          <cell r="C6775" t="str">
            <v>B609873/A</v>
          </cell>
          <cell r="D6775" t="str">
            <v>RH164F03</v>
          </cell>
          <cell r="E6775">
            <v>5</v>
          </cell>
        </row>
        <row r="6776">
          <cell r="C6776" t="str">
            <v>B609875/A</v>
          </cell>
          <cell r="D6776" t="str">
            <v>RH1659-TF96</v>
          </cell>
          <cell r="E6776">
            <v>10</v>
          </cell>
        </row>
        <row r="6777">
          <cell r="C6777" t="str">
            <v>B609878/A</v>
          </cell>
          <cell r="D6777" t="str">
            <v>RH2272F08</v>
          </cell>
          <cell r="E6777">
            <v>5</v>
          </cell>
        </row>
        <row r="6778">
          <cell r="C6778" t="str">
            <v>B609879/A</v>
          </cell>
          <cell r="D6778" t="str">
            <v>RH2272F08</v>
          </cell>
          <cell r="E6778">
            <v>5</v>
          </cell>
        </row>
        <row r="6779">
          <cell r="C6779" t="str">
            <v>B609518/A</v>
          </cell>
          <cell r="D6779" t="str">
            <v>RH2690F09CZ</v>
          </cell>
          <cell r="E6779">
            <v>18</v>
          </cell>
        </row>
        <row r="6780">
          <cell r="C6780" t="str">
            <v>B609519/A</v>
          </cell>
          <cell r="D6780" t="str">
            <v>RH2690F09CZ</v>
          </cell>
          <cell r="E6780">
            <v>17</v>
          </cell>
        </row>
        <row r="6781">
          <cell r="C6781" t="str">
            <v>B609535/A</v>
          </cell>
          <cell r="D6781" t="str">
            <v>RH2690F10CZ</v>
          </cell>
          <cell r="E6781">
            <v>5</v>
          </cell>
        </row>
        <row r="6782">
          <cell r="C6782" t="str">
            <v>B609537/A</v>
          </cell>
          <cell r="D6782" t="str">
            <v>RH2690F191</v>
          </cell>
          <cell r="E6782">
            <v>4</v>
          </cell>
        </row>
        <row r="6783">
          <cell r="C6783" t="str">
            <v>B610086/A</v>
          </cell>
          <cell r="D6783" t="str">
            <v>RH386F01</v>
          </cell>
          <cell r="E6783">
            <v>2</v>
          </cell>
        </row>
        <row r="6784">
          <cell r="C6784" t="str">
            <v>B610087/A</v>
          </cell>
          <cell r="D6784" t="str">
            <v>RH386F01</v>
          </cell>
          <cell r="E6784">
            <v>12</v>
          </cell>
        </row>
        <row r="6785">
          <cell r="C6785" t="str">
            <v>B610088/A</v>
          </cell>
          <cell r="D6785" t="str">
            <v>RH386F01</v>
          </cell>
          <cell r="E6785">
            <v>16</v>
          </cell>
        </row>
        <row r="6786">
          <cell r="C6786" t="str">
            <v>B609883/A</v>
          </cell>
          <cell r="D6786" t="str">
            <v>RH4075F01</v>
          </cell>
          <cell r="E6786">
            <v>5</v>
          </cell>
        </row>
        <row r="6787">
          <cell r="C6787" t="str">
            <v>B609885/A</v>
          </cell>
          <cell r="D6787" t="str">
            <v>RH4075F01</v>
          </cell>
          <cell r="E6787">
            <v>5</v>
          </cell>
        </row>
        <row r="6788">
          <cell r="C6788" t="str">
            <v>B609888/A</v>
          </cell>
          <cell r="D6788" t="str">
            <v>RH4075F03</v>
          </cell>
          <cell r="E6788">
            <v>15</v>
          </cell>
        </row>
        <row r="6789">
          <cell r="C6789" t="str">
            <v>B609892/A</v>
          </cell>
          <cell r="D6789" t="str">
            <v>RH4075F05</v>
          </cell>
          <cell r="E6789">
            <v>10</v>
          </cell>
        </row>
        <row r="6790">
          <cell r="C6790" t="str">
            <v>B608609/A</v>
          </cell>
          <cell r="D6790" t="str">
            <v>RH500NF01</v>
          </cell>
          <cell r="E6790">
            <v>6</v>
          </cell>
        </row>
        <row r="6791">
          <cell r="C6791" t="str">
            <v>B608610/A</v>
          </cell>
          <cell r="D6791" t="str">
            <v>RH500NF01</v>
          </cell>
          <cell r="E6791">
            <v>7</v>
          </cell>
        </row>
        <row r="6792">
          <cell r="C6792" t="str">
            <v>B608612/A</v>
          </cell>
          <cell r="D6792" t="str">
            <v>RH500NF02</v>
          </cell>
          <cell r="E6792">
            <v>6</v>
          </cell>
        </row>
        <row r="6793">
          <cell r="C6793" t="str">
            <v>B608654/A</v>
          </cell>
          <cell r="D6793" t="str">
            <v>RH500NF03</v>
          </cell>
          <cell r="E6793">
            <v>7</v>
          </cell>
        </row>
        <row r="6794">
          <cell r="C6794" t="str">
            <v>B608655/A</v>
          </cell>
          <cell r="D6794" t="str">
            <v>RH500NF03</v>
          </cell>
          <cell r="E6794">
            <v>8</v>
          </cell>
        </row>
        <row r="6795">
          <cell r="C6795" t="str">
            <v>B610046/A</v>
          </cell>
          <cell r="D6795" t="str">
            <v>RH5139F08.BC</v>
          </cell>
          <cell r="E6795">
            <v>23</v>
          </cell>
        </row>
        <row r="6796">
          <cell r="C6796" t="str">
            <v>B610047/A</v>
          </cell>
          <cell r="D6796" t="str">
            <v>RH5139F08.BC</v>
          </cell>
          <cell r="E6796">
            <v>22</v>
          </cell>
        </row>
        <row r="6797">
          <cell r="C6797" t="str">
            <v>B610048/A</v>
          </cell>
          <cell r="D6797" t="str">
            <v>RH5139F08.BC</v>
          </cell>
          <cell r="E6797">
            <v>5</v>
          </cell>
        </row>
        <row r="6798">
          <cell r="C6798" t="str">
            <v>B610049/A</v>
          </cell>
          <cell r="D6798" t="str">
            <v>RH5139F08.BC</v>
          </cell>
          <cell r="E6798">
            <v>5</v>
          </cell>
        </row>
        <row r="6799">
          <cell r="C6799" t="str">
            <v>B609896/A</v>
          </cell>
          <cell r="D6799" t="str">
            <v>RH5466F40</v>
          </cell>
          <cell r="E6799">
            <v>10</v>
          </cell>
        </row>
        <row r="6800">
          <cell r="C6800" t="str">
            <v>B610052/A</v>
          </cell>
          <cell r="D6800" t="str">
            <v>RH6564F40</v>
          </cell>
          <cell r="E6800">
            <v>25</v>
          </cell>
        </row>
        <row r="6801">
          <cell r="C6801" t="str">
            <v>B610053/A</v>
          </cell>
          <cell r="D6801" t="str">
            <v>RH6564F40</v>
          </cell>
          <cell r="E6801">
            <v>12</v>
          </cell>
        </row>
        <row r="6802">
          <cell r="C6802" t="str">
            <v>B609900/A</v>
          </cell>
          <cell r="D6802" t="str">
            <v>RH6855F08</v>
          </cell>
          <cell r="E6802">
            <v>10</v>
          </cell>
        </row>
        <row r="6803">
          <cell r="C6803" t="str">
            <v>B610055/A</v>
          </cell>
          <cell r="D6803" t="str">
            <v>RH7342F382</v>
          </cell>
          <cell r="E6803">
            <v>5</v>
          </cell>
        </row>
        <row r="6804">
          <cell r="C6804" t="str">
            <v>B608749/A</v>
          </cell>
          <cell r="D6804" t="str">
            <v>RH7371F381</v>
          </cell>
          <cell r="E6804">
            <v>4</v>
          </cell>
        </row>
        <row r="6805">
          <cell r="C6805" t="str">
            <v>B608751/A</v>
          </cell>
          <cell r="D6805" t="str">
            <v>RH7371F409</v>
          </cell>
          <cell r="E6805">
            <v>6</v>
          </cell>
        </row>
        <row r="6806">
          <cell r="C6806" t="str">
            <v>B608791/A</v>
          </cell>
          <cell r="D6806" t="str">
            <v>RH9533F423</v>
          </cell>
          <cell r="E6806">
            <v>3</v>
          </cell>
        </row>
        <row r="6807">
          <cell r="C6807" t="str">
            <v>B609904/A</v>
          </cell>
          <cell r="D6807" t="str">
            <v>RH9533F423</v>
          </cell>
          <cell r="E6807">
            <v>7</v>
          </cell>
        </row>
        <row r="6808">
          <cell r="C6808" t="str">
            <v>B608795/A</v>
          </cell>
          <cell r="D6808" t="str">
            <v>RH9537NF425</v>
          </cell>
          <cell r="E6808">
            <v>5</v>
          </cell>
        </row>
        <row r="6809">
          <cell r="C6809" t="str">
            <v>B608798/A</v>
          </cell>
          <cell r="D6809" t="str">
            <v>RH9541F424</v>
          </cell>
          <cell r="E6809">
            <v>5</v>
          </cell>
        </row>
        <row r="6810">
          <cell r="C6810" t="str">
            <v>B608817/A</v>
          </cell>
          <cell r="D6810" t="str">
            <v>RH9886F426</v>
          </cell>
          <cell r="E6810">
            <v>5</v>
          </cell>
        </row>
        <row r="6811">
          <cell r="C6811" t="str">
            <v>B608819/A</v>
          </cell>
          <cell r="D6811" t="str">
            <v>RH9901F426</v>
          </cell>
          <cell r="E6811">
            <v>5</v>
          </cell>
        </row>
        <row r="6812">
          <cell r="C6812" t="str">
            <v>B610057/A</v>
          </cell>
          <cell r="D6812" t="str">
            <v>RH9902F423</v>
          </cell>
          <cell r="E6812">
            <v>5</v>
          </cell>
        </row>
        <row r="6813">
          <cell r="C6813" t="str">
            <v>B609907/A</v>
          </cell>
          <cell r="D6813" t="str">
            <v>RH9975F384</v>
          </cell>
          <cell r="E6813">
            <v>20</v>
          </cell>
        </row>
        <row r="6814">
          <cell r="C6814" t="str">
            <v>B609910/A</v>
          </cell>
          <cell r="D6814" t="str">
            <v>RH9975F409</v>
          </cell>
          <cell r="E6814">
            <v>2</v>
          </cell>
        </row>
        <row r="6815">
          <cell r="C6815" t="str">
            <v>B609912/A</v>
          </cell>
          <cell r="D6815" t="str">
            <v>RH9976NF384</v>
          </cell>
          <cell r="E6815">
            <v>7</v>
          </cell>
        </row>
        <row r="6816">
          <cell r="C6816" t="str">
            <v>B609914/A</v>
          </cell>
          <cell r="D6816" t="str">
            <v>RH9976NF409</v>
          </cell>
          <cell r="E6816">
            <v>25</v>
          </cell>
        </row>
        <row r="6817">
          <cell r="C6817" t="str">
            <v>B610059/A</v>
          </cell>
          <cell r="D6817" t="str">
            <v>SH633F506</v>
          </cell>
          <cell r="E6817">
            <v>25</v>
          </cell>
        </row>
        <row r="6818">
          <cell r="C6818" t="str">
            <v>B609579/A</v>
          </cell>
          <cell r="D6818" t="str">
            <v>JV065F1312-SWAT</v>
          </cell>
          <cell r="E6818">
            <v>900</v>
          </cell>
        </row>
        <row r="6819">
          <cell r="C6819" t="str">
            <v>B610017/A</v>
          </cell>
          <cell r="D6819" t="str">
            <v>JV065F1312-SWAT</v>
          </cell>
          <cell r="E6819">
            <v>900</v>
          </cell>
        </row>
        <row r="6820">
          <cell r="C6820" t="str">
            <v>B609920/A</v>
          </cell>
          <cell r="D6820" t="str">
            <v>MN5705K-FINL</v>
          </cell>
          <cell r="E6820">
            <v>1</v>
          </cell>
        </row>
        <row r="6821">
          <cell r="C6821" t="str">
            <v>B609506/A</v>
          </cell>
          <cell r="D6821" t="str">
            <v>RH1926F01-STRGR</v>
          </cell>
          <cell r="E6821">
            <v>1</v>
          </cell>
        </row>
        <row r="6822">
          <cell r="C6822" t="str">
            <v>B609508/A</v>
          </cell>
          <cell r="D6822" t="str">
            <v>RH1926F05-HB</v>
          </cell>
          <cell r="E6822">
            <v>1</v>
          </cell>
        </row>
        <row r="6823">
          <cell r="C6823" t="str">
            <v>B609510/A</v>
          </cell>
          <cell r="D6823" t="str">
            <v>RH7394F381-SHCE</v>
          </cell>
          <cell r="E6823">
            <v>5</v>
          </cell>
        </row>
        <row r="6824">
          <cell r="C6824" t="str">
            <v>B609512/A</v>
          </cell>
          <cell r="D6824" t="str">
            <v>RH7394F381-SHLH</v>
          </cell>
          <cell r="E6824">
            <v>5</v>
          </cell>
        </row>
        <row r="6825">
          <cell r="C6825" t="str">
            <v>B609514/A</v>
          </cell>
          <cell r="D6825" t="str">
            <v>RH7394F381-SHRH</v>
          </cell>
          <cell r="E6825">
            <v>5</v>
          </cell>
        </row>
        <row r="6826">
          <cell r="C6826" t="str">
            <v>B610071/A</v>
          </cell>
          <cell r="D6826" t="str">
            <v>RH7394F382-SHCE</v>
          </cell>
          <cell r="E6826">
            <v>5</v>
          </cell>
        </row>
        <row r="6827">
          <cell r="C6827" t="str">
            <v>B610073/A</v>
          </cell>
          <cell r="D6827" t="str">
            <v>RH7394F382-SHLH</v>
          </cell>
          <cell r="E6827">
            <v>5</v>
          </cell>
        </row>
        <row r="6828">
          <cell r="C6828" t="str">
            <v>B610075/A</v>
          </cell>
          <cell r="D6828" t="str">
            <v>RH7394F382-SHRH</v>
          </cell>
          <cell r="E6828">
            <v>5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ổ"/>
      <sheetName val="Panel"/>
      <sheetName val="Mac"/>
      <sheetName val="Hộc kéo"/>
    </sheetNames>
    <sheetDataSet>
      <sheetData sheetId="0">
        <row r="1">
          <cell r="A1" t="str">
            <v>WO</v>
          </cell>
          <cell r="B1" t="str">
            <v>PartNumber</v>
          </cell>
          <cell r="C1">
            <v>0</v>
          </cell>
          <cell r="D1">
            <v>0</v>
          </cell>
          <cell r="E1">
            <v>0</v>
          </cell>
          <cell r="F1" t="str">
            <v>ComCode</v>
          </cell>
          <cell r="G1" t="str">
            <v>ComName</v>
          </cell>
          <cell r="H1" t="str">
            <v>Nguyên liệu</v>
          </cell>
          <cell r="I1" t="str">
            <v>OutStanding</v>
          </cell>
        </row>
        <row r="2">
          <cell r="A2" t="str">
            <v>B557875/A</v>
          </cell>
          <cell r="B2" t="str">
            <v>AR078M871</v>
          </cell>
          <cell r="C2">
            <v>20</v>
          </cell>
          <cell r="D2">
            <v>233</v>
          </cell>
          <cell r="E2">
            <v>4660</v>
          </cell>
          <cell r="F2" t="str">
            <v>A1</v>
          </cell>
          <cell r="G2" t="str">
            <v>Top Frame - Khung nóc</v>
          </cell>
          <cell r="H2" t="str">
            <v>Wd+MDF+VN</v>
          </cell>
          <cell r="I2">
            <v>20</v>
          </cell>
        </row>
        <row r="3">
          <cell r="A3" t="str">
            <v>B557875/A</v>
          </cell>
          <cell r="B3" t="str">
            <v>AR078M871</v>
          </cell>
          <cell r="C3">
            <v>20</v>
          </cell>
          <cell r="D3">
            <v>233</v>
          </cell>
          <cell r="E3">
            <v>4660</v>
          </cell>
          <cell r="F3" t="str">
            <v>A2</v>
          </cell>
          <cell r="G3" t="str">
            <v>The leg  - Chân</v>
          </cell>
          <cell r="H3" t="str">
            <v>Wd+MDF+VN</v>
          </cell>
          <cell r="I3">
            <v>40</v>
          </cell>
        </row>
        <row r="4">
          <cell r="A4" t="str">
            <v>B557875/A</v>
          </cell>
          <cell r="B4" t="str">
            <v>AR078M871</v>
          </cell>
          <cell r="C4">
            <v>20</v>
          </cell>
          <cell r="D4">
            <v>233</v>
          </cell>
          <cell r="E4">
            <v>4660</v>
          </cell>
          <cell r="F4" t="str">
            <v>A2-S1</v>
          </cell>
          <cell r="G4" t="str">
            <v xml:space="preserve">Side panel  - Ván hông </v>
          </cell>
          <cell r="H4" t="str">
            <v>MDF laminate</v>
          </cell>
          <cell r="I4">
            <v>40</v>
          </cell>
        </row>
        <row r="5">
          <cell r="A5" t="str">
            <v>B557875/A</v>
          </cell>
          <cell r="B5" t="str">
            <v>AR078M871</v>
          </cell>
          <cell r="C5">
            <v>20</v>
          </cell>
          <cell r="D5">
            <v>233</v>
          </cell>
          <cell r="E5">
            <v>4660</v>
          </cell>
          <cell r="F5" t="str">
            <v>A2-S2</v>
          </cell>
          <cell r="G5" t="str">
            <v>Bottom rail inside - Đố tiền đáy</v>
          </cell>
          <cell r="H5" t="str">
            <v>Wood EU Beech - Straight/Waving Edged ABC, 2 COM - T50mm x W100mm up x L1.8m up</v>
          </cell>
          <cell r="I5">
            <v>40</v>
          </cell>
        </row>
        <row r="6">
          <cell r="A6" t="str">
            <v>B557875/A</v>
          </cell>
          <cell r="B6" t="str">
            <v>AR078M871</v>
          </cell>
          <cell r="C6">
            <v>20</v>
          </cell>
          <cell r="D6">
            <v>233</v>
          </cell>
          <cell r="E6">
            <v>4660</v>
          </cell>
          <cell r="F6" t="str">
            <v>A3</v>
          </cell>
          <cell r="G6" t="str">
            <v>Shelf panel  - Ván kệ</v>
          </cell>
          <cell r="H6" t="str">
            <v>MDF Veneer</v>
          </cell>
          <cell r="I6">
            <v>20</v>
          </cell>
        </row>
        <row r="7">
          <cell r="A7" t="str">
            <v>B557875/A</v>
          </cell>
          <cell r="B7" t="str">
            <v>AR078M871</v>
          </cell>
          <cell r="C7">
            <v>20</v>
          </cell>
          <cell r="D7">
            <v>233</v>
          </cell>
          <cell r="E7">
            <v>4660</v>
          </cell>
          <cell r="F7" t="str">
            <v>P1</v>
          </cell>
          <cell r="G7" t="str">
            <v>Spline - Lưỡi gà</v>
          </cell>
          <cell r="H7" t="str">
            <v>Plywood LVD - 09 x 1220 x 2440mm, Bleached Poplar Veneer Both Sides [CARB P2 Compliant]</v>
          </cell>
          <cell r="I7">
            <v>40</v>
          </cell>
        </row>
        <row r="8">
          <cell r="A8" t="str">
            <v>B557875/A</v>
          </cell>
          <cell r="B8" t="str">
            <v>AR078M871</v>
          </cell>
          <cell r="C8">
            <v>20</v>
          </cell>
          <cell r="D8">
            <v>233</v>
          </cell>
          <cell r="E8">
            <v>4660</v>
          </cell>
          <cell r="F8" t="str">
            <v>P2</v>
          </cell>
          <cell r="G8" t="str">
            <v>Spline - Lưỡi gà</v>
          </cell>
          <cell r="H8" t="str">
            <v>Plywood LVD - 09 x 1220 x 2440mm, Bleached Poplar Veneer Both Sides [CARB P2 Compliant]</v>
          </cell>
          <cell r="I8">
            <v>40</v>
          </cell>
        </row>
        <row r="9">
          <cell r="A9" t="str">
            <v>B557875/A</v>
          </cell>
          <cell r="B9" t="str">
            <v>AR078M871</v>
          </cell>
          <cell r="C9">
            <v>20</v>
          </cell>
          <cell r="D9">
            <v>233</v>
          </cell>
          <cell r="E9">
            <v>4660</v>
          </cell>
          <cell r="F9" t="str">
            <v>P3</v>
          </cell>
          <cell r="G9" t="str">
            <v>Cleat - Bọ gỗ</v>
          </cell>
          <cell r="H9" t="str">
            <v>Wood EU Beech - Straight/Waving Edged ABC, 2 COM - T26mm x W100mm up x L1.8m up</v>
          </cell>
          <cell r="I9">
            <v>40</v>
          </cell>
        </row>
        <row r="10">
          <cell r="A10" t="str">
            <v>B557875/A</v>
          </cell>
          <cell r="B10" t="str">
            <v>AR078M871</v>
          </cell>
          <cell r="C10">
            <v>20</v>
          </cell>
          <cell r="D10">
            <v>233</v>
          </cell>
          <cell r="E10">
            <v>4660</v>
          </cell>
          <cell r="F10" t="str">
            <v>P6</v>
          </cell>
          <cell r="G10" t="str">
            <v>Cleat - Bọ gỗ</v>
          </cell>
          <cell r="H10" t="str">
            <v>Wood EU Beech - Straight/Waving Edged ABC, 2 COM - T26mm x W100mm up x L1.8m up</v>
          </cell>
          <cell r="I10">
            <v>40</v>
          </cell>
        </row>
        <row r="11">
          <cell r="A11" t="str">
            <v>B557876/A</v>
          </cell>
          <cell r="B11" t="str">
            <v>AR078M871</v>
          </cell>
          <cell r="C11">
            <v>30</v>
          </cell>
          <cell r="D11">
            <v>233</v>
          </cell>
          <cell r="E11">
            <v>6990</v>
          </cell>
          <cell r="F11" t="str">
            <v>A1</v>
          </cell>
          <cell r="G11" t="str">
            <v>Top Frame - Khung nóc</v>
          </cell>
          <cell r="H11" t="str">
            <v>Wd+MDF+VN</v>
          </cell>
          <cell r="I11">
            <v>30</v>
          </cell>
        </row>
        <row r="12">
          <cell r="A12" t="str">
            <v>B557876/A</v>
          </cell>
          <cell r="B12" t="str">
            <v>AR078M871</v>
          </cell>
          <cell r="C12">
            <v>30</v>
          </cell>
          <cell r="D12">
            <v>233</v>
          </cell>
          <cell r="E12">
            <v>6990</v>
          </cell>
          <cell r="F12" t="str">
            <v>A2</v>
          </cell>
          <cell r="G12" t="str">
            <v>The leg  - Chân</v>
          </cell>
          <cell r="H12" t="str">
            <v>Wd+MDF+VN</v>
          </cell>
          <cell r="I12">
            <v>60</v>
          </cell>
        </row>
        <row r="13">
          <cell r="A13" t="str">
            <v>B557876/A</v>
          </cell>
          <cell r="B13" t="str">
            <v>AR078M871</v>
          </cell>
          <cell r="C13">
            <v>30</v>
          </cell>
          <cell r="D13">
            <v>233</v>
          </cell>
          <cell r="E13">
            <v>6990</v>
          </cell>
          <cell r="F13" t="str">
            <v>A2-S1</v>
          </cell>
          <cell r="G13" t="str">
            <v xml:space="preserve">Side panel  - Ván hông </v>
          </cell>
          <cell r="H13" t="str">
            <v>MDF laminate</v>
          </cell>
          <cell r="I13">
            <v>60</v>
          </cell>
        </row>
        <row r="14">
          <cell r="A14" t="str">
            <v>B557876/A</v>
          </cell>
          <cell r="B14" t="str">
            <v>AR078M871</v>
          </cell>
          <cell r="C14">
            <v>30</v>
          </cell>
          <cell r="D14">
            <v>233</v>
          </cell>
          <cell r="E14">
            <v>6990</v>
          </cell>
          <cell r="F14" t="str">
            <v>A2-S2</v>
          </cell>
          <cell r="G14" t="str">
            <v>Bottom rail inside - Đố tiền đáy</v>
          </cell>
          <cell r="H14" t="str">
            <v>Wood EU Beech - Straight/Waving Edged ABC, 2 COM - T50mm x W100mm up x L1.8m up</v>
          </cell>
          <cell r="I14">
            <v>60</v>
          </cell>
        </row>
        <row r="15">
          <cell r="A15" t="str">
            <v>B557876/A</v>
          </cell>
          <cell r="B15" t="str">
            <v>AR078M871</v>
          </cell>
          <cell r="C15">
            <v>30</v>
          </cell>
          <cell r="D15">
            <v>233</v>
          </cell>
          <cell r="E15">
            <v>6990</v>
          </cell>
          <cell r="F15" t="str">
            <v>A3</v>
          </cell>
          <cell r="G15" t="str">
            <v>Shelf panel  - Ván kệ</v>
          </cell>
          <cell r="H15" t="str">
            <v>MDF Veneer</v>
          </cell>
          <cell r="I15">
            <v>30</v>
          </cell>
        </row>
        <row r="16">
          <cell r="A16" t="str">
            <v>B557876/A</v>
          </cell>
          <cell r="B16" t="str">
            <v>AR078M871</v>
          </cell>
          <cell r="C16">
            <v>30</v>
          </cell>
          <cell r="D16">
            <v>233</v>
          </cell>
          <cell r="E16">
            <v>6990</v>
          </cell>
          <cell r="F16" t="str">
            <v>P1</v>
          </cell>
          <cell r="G16" t="str">
            <v>Spline - Lưỡi gà</v>
          </cell>
          <cell r="H16" t="str">
            <v>Plywood LVD - 09 x 1220 x 2440mm, Bleached Poplar Veneer Both Sides [CARB P2 Compliant]</v>
          </cell>
          <cell r="I16">
            <v>60</v>
          </cell>
        </row>
        <row r="17">
          <cell r="A17" t="str">
            <v>B557876/A</v>
          </cell>
          <cell r="B17" t="str">
            <v>AR078M871</v>
          </cell>
          <cell r="C17">
            <v>30</v>
          </cell>
          <cell r="D17">
            <v>233</v>
          </cell>
          <cell r="E17">
            <v>6990</v>
          </cell>
          <cell r="F17" t="str">
            <v>P2</v>
          </cell>
          <cell r="G17" t="str">
            <v>Spline - Lưỡi gà</v>
          </cell>
          <cell r="H17" t="str">
            <v>Plywood LVD - 09 x 1220 x 2440mm, Bleached Poplar Veneer Both Sides [CARB P2 Compliant]</v>
          </cell>
          <cell r="I17">
            <v>60</v>
          </cell>
        </row>
        <row r="18">
          <cell r="A18" t="str">
            <v>B557876/A</v>
          </cell>
          <cell r="B18" t="str">
            <v>AR078M871</v>
          </cell>
          <cell r="C18">
            <v>30</v>
          </cell>
          <cell r="D18">
            <v>233</v>
          </cell>
          <cell r="E18">
            <v>6990</v>
          </cell>
          <cell r="F18" t="str">
            <v>P3</v>
          </cell>
          <cell r="G18" t="str">
            <v>Cleat - Bọ gỗ</v>
          </cell>
          <cell r="H18" t="str">
            <v>Wood EU Beech - Straight/Waving Edged ABC, 2 COM - T26mm x W100mm up x L1.8m up</v>
          </cell>
          <cell r="I18">
            <v>60</v>
          </cell>
        </row>
        <row r="19">
          <cell r="A19" t="str">
            <v>B557876/A</v>
          </cell>
          <cell r="B19" t="str">
            <v>AR078M871</v>
          </cell>
          <cell r="C19">
            <v>30</v>
          </cell>
          <cell r="D19">
            <v>233</v>
          </cell>
          <cell r="E19">
            <v>6990</v>
          </cell>
          <cell r="F19" t="str">
            <v>P6</v>
          </cell>
          <cell r="G19" t="str">
            <v>Cleat - Bọ gỗ</v>
          </cell>
          <cell r="H19" t="str">
            <v>Wood EU Beech - Straight/Waving Edged ABC, 2 COM - T26mm x W100mm up x L1.8m up</v>
          </cell>
          <cell r="I19">
            <v>60</v>
          </cell>
        </row>
        <row r="20">
          <cell r="A20" t="str">
            <v>B557903/A</v>
          </cell>
          <cell r="B20" t="str">
            <v>AR080M871</v>
          </cell>
          <cell r="C20">
            <v>11</v>
          </cell>
          <cell r="D20">
            <v>456</v>
          </cell>
          <cell r="E20">
            <v>5016</v>
          </cell>
          <cell r="F20" t="str">
            <v>A0</v>
          </cell>
          <cell r="G20" t="str">
            <v xml:space="preserve">Panel - Ván </v>
          </cell>
          <cell r="H20" t="str">
            <v>MDF Veneer</v>
          </cell>
          <cell r="I20">
            <v>11</v>
          </cell>
        </row>
        <row r="21">
          <cell r="A21" t="str">
            <v>B557903/A</v>
          </cell>
          <cell r="B21" t="str">
            <v>AR080M871</v>
          </cell>
          <cell r="C21">
            <v>11</v>
          </cell>
          <cell r="D21">
            <v>456</v>
          </cell>
          <cell r="E21">
            <v>5016</v>
          </cell>
          <cell r="F21" t="str">
            <v>A1-S01</v>
          </cell>
          <cell r="G21" t="str">
            <v xml:space="preserve">Drawer front - Mặt hộc kéo </v>
          </cell>
          <cell r="H21" t="str">
            <v>MDF Veneer</v>
          </cell>
          <cell r="I21">
            <v>11</v>
          </cell>
        </row>
        <row r="22">
          <cell r="A22" t="str">
            <v>B557903/A</v>
          </cell>
          <cell r="B22" t="str">
            <v>AR080M871</v>
          </cell>
          <cell r="C22">
            <v>11</v>
          </cell>
          <cell r="D22">
            <v>456</v>
          </cell>
          <cell r="E22">
            <v>5016</v>
          </cell>
          <cell r="F22" t="str">
            <v>A1-S02</v>
          </cell>
          <cell r="G22" t="str">
            <v xml:space="preserve">Drawer front 1 - Mặt hộc kéo </v>
          </cell>
          <cell r="H22" t="str">
            <v>MDF Veneer</v>
          </cell>
          <cell r="I22">
            <v>33</v>
          </cell>
        </row>
        <row r="23">
          <cell r="A23" t="str">
            <v>B557903/A</v>
          </cell>
          <cell r="B23" t="str">
            <v>AR080M871</v>
          </cell>
          <cell r="C23">
            <v>11</v>
          </cell>
          <cell r="D23">
            <v>456</v>
          </cell>
          <cell r="E23">
            <v>5016</v>
          </cell>
          <cell r="F23" t="str">
            <v>A1-S03</v>
          </cell>
          <cell r="G23" t="str">
            <v>Drawer back - Hậu hộc kéo</v>
          </cell>
          <cell r="H23" t="str">
            <v>MDF Veneer</v>
          </cell>
          <cell r="I23">
            <v>33</v>
          </cell>
        </row>
        <row r="24">
          <cell r="A24" t="str">
            <v>B557903/A</v>
          </cell>
          <cell r="B24" t="str">
            <v>AR080M871</v>
          </cell>
          <cell r="C24">
            <v>11</v>
          </cell>
          <cell r="D24">
            <v>456</v>
          </cell>
          <cell r="E24">
            <v>5016</v>
          </cell>
          <cell r="F24" t="str">
            <v>A1-S04</v>
          </cell>
          <cell r="G24" t="str">
            <v>Drawer side - Hông hộc kéo</v>
          </cell>
          <cell r="H24" t="str">
            <v>MDF Veneer</v>
          </cell>
          <cell r="I24">
            <v>66</v>
          </cell>
        </row>
        <row r="25">
          <cell r="A25" t="str">
            <v>B557903/A</v>
          </cell>
          <cell r="B25" t="str">
            <v>AR080M871</v>
          </cell>
          <cell r="C25">
            <v>11</v>
          </cell>
          <cell r="D25">
            <v>456</v>
          </cell>
          <cell r="E25">
            <v>5016</v>
          </cell>
          <cell r="F25" t="str">
            <v>A1-S05</v>
          </cell>
          <cell r="G25" t="str">
            <v>Drawer bottom  - Đáy hộc kéo</v>
          </cell>
          <cell r="H25" t="str">
            <v>MDF Veneer</v>
          </cell>
          <cell r="I25">
            <v>33</v>
          </cell>
        </row>
        <row r="26">
          <cell r="A26" t="str">
            <v>B557903/A</v>
          </cell>
          <cell r="B26" t="str">
            <v>AR080M871</v>
          </cell>
          <cell r="C26">
            <v>11</v>
          </cell>
          <cell r="D26">
            <v>456</v>
          </cell>
          <cell r="E26">
            <v>5016</v>
          </cell>
          <cell r="F26" t="str">
            <v>A2-S01</v>
          </cell>
          <cell r="G26" t="str">
            <v xml:space="preserve">Drawer front - Mặt hộc kéo </v>
          </cell>
          <cell r="H26" t="str">
            <v>MDF Veneer</v>
          </cell>
          <cell r="I26">
            <v>22</v>
          </cell>
        </row>
        <row r="27">
          <cell r="A27" t="str">
            <v>B557903/A</v>
          </cell>
          <cell r="B27" t="str">
            <v>AR080M871</v>
          </cell>
          <cell r="C27">
            <v>11</v>
          </cell>
          <cell r="D27">
            <v>456</v>
          </cell>
          <cell r="E27">
            <v>5016</v>
          </cell>
          <cell r="F27" t="str">
            <v>A4</v>
          </cell>
          <cell r="G27" t="str">
            <v>Side Frame - Khung hông</v>
          </cell>
          <cell r="H27" t="str">
            <v>Pre-Assembly</v>
          </cell>
          <cell r="I27">
            <v>22</v>
          </cell>
        </row>
        <row r="28">
          <cell r="A28" t="str">
            <v>B557903/A</v>
          </cell>
          <cell r="B28" t="str">
            <v>AR080M871</v>
          </cell>
          <cell r="C28">
            <v>11</v>
          </cell>
          <cell r="D28">
            <v>456</v>
          </cell>
          <cell r="E28">
            <v>5016</v>
          </cell>
          <cell r="F28" t="str">
            <v>A4-S01</v>
          </cell>
          <cell r="G28" t="str">
            <v xml:space="preserve">Panel - Ván </v>
          </cell>
          <cell r="H28" t="str">
            <v>MDF - 25 x 1830 x 2440mm [CARB P2 Compliant]</v>
          </cell>
          <cell r="I28">
            <v>22</v>
          </cell>
        </row>
        <row r="29">
          <cell r="A29" t="str">
            <v>B557903/A</v>
          </cell>
          <cell r="B29" t="str">
            <v>AR080M871</v>
          </cell>
          <cell r="C29">
            <v>11</v>
          </cell>
          <cell r="D29">
            <v>456</v>
          </cell>
          <cell r="E29">
            <v>5016</v>
          </cell>
          <cell r="F29" t="str">
            <v>A4-S03</v>
          </cell>
          <cell r="G29" t="str">
            <v>Horizontal rail 1 - Đố ngang 1</v>
          </cell>
          <cell r="H29" t="str">
            <v>Wood EU Beech - Straight/Waving Edged ABC, 2 COM - T32mm x W100mm up x L1.8m up</v>
          </cell>
          <cell r="I29">
            <v>22</v>
          </cell>
        </row>
        <row r="30">
          <cell r="A30" t="str">
            <v>B557903/A</v>
          </cell>
          <cell r="B30" t="str">
            <v>AR080M871</v>
          </cell>
          <cell r="C30">
            <v>11</v>
          </cell>
          <cell r="D30">
            <v>456</v>
          </cell>
          <cell r="E30">
            <v>5016</v>
          </cell>
          <cell r="F30" t="str">
            <v>A5-S01</v>
          </cell>
          <cell r="G30" t="str">
            <v>Bottom panel - Ván đáy</v>
          </cell>
          <cell r="H30" t="str">
            <v>MDF - 06 x 1220 x 2440mm, Veneer Okoume 0.3mm Both Faces [CARB P2 Compliant]</v>
          </cell>
          <cell r="I30">
            <v>11</v>
          </cell>
        </row>
        <row r="31">
          <cell r="A31" t="str">
            <v>B557903/A</v>
          </cell>
          <cell r="B31" t="str">
            <v>AR080M871</v>
          </cell>
          <cell r="C31">
            <v>11</v>
          </cell>
          <cell r="D31">
            <v>456</v>
          </cell>
          <cell r="E31">
            <v>5016</v>
          </cell>
          <cell r="F31" t="str">
            <v>A5-S02</v>
          </cell>
          <cell r="G31" t="str">
            <v>Bottom rail inside - Đố tiền đáy</v>
          </cell>
          <cell r="H31" t="str">
            <v>Wood laminate</v>
          </cell>
          <cell r="I31">
            <v>11</v>
          </cell>
        </row>
        <row r="32">
          <cell r="A32" t="str">
            <v>B557903/A</v>
          </cell>
          <cell r="B32" t="str">
            <v>AR080M871</v>
          </cell>
          <cell r="C32">
            <v>11</v>
          </cell>
          <cell r="D32">
            <v>456</v>
          </cell>
          <cell r="E32">
            <v>5016</v>
          </cell>
          <cell r="F32" t="str">
            <v>A5-S03</v>
          </cell>
          <cell r="G32" t="str">
            <v>Back bottom rail - Đố hậu đáy</v>
          </cell>
          <cell r="H32" t="str">
            <v>Wood laminate</v>
          </cell>
          <cell r="I32">
            <v>11</v>
          </cell>
        </row>
        <row r="33">
          <cell r="A33" t="str">
            <v>B557903/A</v>
          </cell>
          <cell r="B33" t="str">
            <v>AR080M871</v>
          </cell>
          <cell r="C33">
            <v>11</v>
          </cell>
          <cell r="D33">
            <v>456</v>
          </cell>
          <cell r="E33">
            <v>5016</v>
          </cell>
          <cell r="F33" t="str">
            <v>A6</v>
          </cell>
          <cell r="G33" t="str">
            <v xml:space="preserve">Top panel  - Ván nóc </v>
          </cell>
          <cell r="H33" t="str">
            <v>Pre-Assembly</v>
          </cell>
          <cell r="I33">
            <v>11</v>
          </cell>
        </row>
        <row r="34">
          <cell r="A34" t="str">
            <v>B557903/A</v>
          </cell>
          <cell r="B34" t="str">
            <v>AR080M871</v>
          </cell>
          <cell r="C34">
            <v>11</v>
          </cell>
          <cell r="D34">
            <v>456</v>
          </cell>
          <cell r="E34">
            <v>5016</v>
          </cell>
          <cell r="F34" t="str">
            <v>A6-S01</v>
          </cell>
          <cell r="G34" t="str">
            <v>MDF - MDF</v>
          </cell>
          <cell r="H34" t="str">
            <v>MDF Veneer</v>
          </cell>
          <cell r="I34">
            <v>11</v>
          </cell>
        </row>
        <row r="35">
          <cell r="A35" t="str">
            <v>B557903/A</v>
          </cell>
          <cell r="B35" t="str">
            <v>AR080M871</v>
          </cell>
          <cell r="C35">
            <v>11</v>
          </cell>
          <cell r="D35">
            <v>456</v>
          </cell>
          <cell r="E35">
            <v>5016</v>
          </cell>
          <cell r="F35" t="str">
            <v>A6-S02</v>
          </cell>
          <cell r="G35" t="str">
            <v>Patching moulding - Chỉ đắp</v>
          </cell>
          <cell r="H35" t="str">
            <v>Wood White Oak - Straight/Waving Edged, 2 COM - T25mm x W100mm Up x L1.5m Up</v>
          </cell>
          <cell r="I35">
            <v>11</v>
          </cell>
        </row>
        <row r="36">
          <cell r="A36" t="str">
            <v>B557903/A</v>
          </cell>
          <cell r="B36" t="str">
            <v>AR080M871</v>
          </cell>
          <cell r="C36">
            <v>11</v>
          </cell>
          <cell r="D36">
            <v>456</v>
          </cell>
          <cell r="E36">
            <v>5016</v>
          </cell>
          <cell r="F36" t="str">
            <v>P01</v>
          </cell>
          <cell r="G36" t="str">
            <v>Back panel - Ván hậu</v>
          </cell>
          <cell r="H36" t="str">
            <v>MDF Veneer</v>
          </cell>
          <cell r="I36">
            <v>11</v>
          </cell>
        </row>
        <row r="37">
          <cell r="A37" t="str">
            <v>B557903/A</v>
          </cell>
          <cell r="B37" t="str">
            <v>AR080M871</v>
          </cell>
          <cell r="C37">
            <v>11</v>
          </cell>
          <cell r="D37">
            <v>456</v>
          </cell>
          <cell r="E37">
            <v>5016</v>
          </cell>
          <cell r="F37" t="str">
            <v>P02</v>
          </cell>
          <cell r="G37" t="str">
            <v>Top rail - Đố nóc</v>
          </cell>
          <cell r="H37" t="str">
            <v>Wood laminate</v>
          </cell>
          <cell r="I37">
            <v>11</v>
          </cell>
        </row>
        <row r="38">
          <cell r="A38" t="str">
            <v>B557903/A</v>
          </cell>
          <cell r="B38" t="str">
            <v>AR080M871</v>
          </cell>
          <cell r="C38">
            <v>11</v>
          </cell>
          <cell r="D38">
            <v>456</v>
          </cell>
          <cell r="E38">
            <v>5016</v>
          </cell>
          <cell r="F38" t="str">
            <v>P03</v>
          </cell>
          <cell r="G38" t="str">
            <v>Partition panel - Vách ngăn</v>
          </cell>
          <cell r="H38" t="str">
            <v>MDF Veneer</v>
          </cell>
          <cell r="I38">
            <v>22</v>
          </cell>
        </row>
        <row r="39">
          <cell r="A39" t="str">
            <v>B557903/A</v>
          </cell>
          <cell r="B39" t="str">
            <v>AR080M871</v>
          </cell>
          <cell r="C39">
            <v>11</v>
          </cell>
          <cell r="D39">
            <v>456</v>
          </cell>
          <cell r="E39">
            <v>5016</v>
          </cell>
          <cell r="F39" t="str">
            <v>P04</v>
          </cell>
          <cell r="G39" t="str">
            <v>Spline - Lưỡi gà</v>
          </cell>
          <cell r="H39" t="str">
            <v>Plywood LVD - 06 x 1220 x 2440mm, Bleached Poplar Veneer Both Sides [CARB P2 Compliant]</v>
          </cell>
          <cell r="I39">
            <v>22</v>
          </cell>
        </row>
        <row r="40">
          <cell r="A40" t="str">
            <v>B557903/A</v>
          </cell>
          <cell r="B40" t="str">
            <v>AR080M871</v>
          </cell>
          <cell r="C40">
            <v>11</v>
          </cell>
          <cell r="D40">
            <v>456</v>
          </cell>
          <cell r="E40">
            <v>5016</v>
          </cell>
          <cell r="F40" t="str">
            <v>P08</v>
          </cell>
          <cell r="G40" t="str">
            <v>Insert Wood - Gỗ chèn</v>
          </cell>
          <cell r="H40" t="str">
            <v>Standard Wood - ALDER/ASPEN/LENGA/US POPLAR, 2 COM - T25 W120mm+ L2m+</v>
          </cell>
          <cell r="I40">
            <v>22</v>
          </cell>
        </row>
        <row r="41">
          <cell r="A41" t="str">
            <v>B557903/A</v>
          </cell>
          <cell r="B41" t="str">
            <v>AR080M871</v>
          </cell>
          <cell r="C41">
            <v>11</v>
          </cell>
          <cell r="D41">
            <v>456</v>
          </cell>
          <cell r="E41">
            <v>5016</v>
          </cell>
          <cell r="F41" t="str">
            <v>P09</v>
          </cell>
          <cell r="G41" t="str">
            <v>Drawer stop - Dừng hộc</v>
          </cell>
          <cell r="H41" t="str">
            <v>Poplar off cut</v>
          </cell>
          <cell r="I41">
            <v>66</v>
          </cell>
        </row>
        <row r="42">
          <cell r="A42" t="str">
            <v>B557904/A</v>
          </cell>
          <cell r="B42" t="str">
            <v>AR080M871</v>
          </cell>
          <cell r="C42">
            <v>14</v>
          </cell>
          <cell r="D42">
            <v>456</v>
          </cell>
          <cell r="E42">
            <v>6384</v>
          </cell>
          <cell r="F42" t="str">
            <v>A0</v>
          </cell>
          <cell r="G42" t="str">
            <v xml:space="preserve">Panel - Ván </v>
          </cell>
          <cell r="H42" t="str">
            <v>MDF Veneer</v>
          </cell>
          <cell r="I42">
            <v>14</v>
          </cell>
        </row>
        <row r="43">
          <cell r="A43" t="str">
            <v>B557904/A</v>
          </cell>
          <cell r="B43" t="str">
            <v>AR080M871</v>
          </cell>
          <cell r="C43">
            <v>14</v>
          </cell>
          <cell r="D43">
            <v>456</v>
          </cell>
          <cell r="E43">
            <v>6384</v>
          </cell>
          <cell r="F43" t="str">
            <v>A1-S01</v>
          </cell>
          <cell r="G43" t="str">
            <v xml:space="preserve">Drawer front - Mặt hộc kéo </v>
          </cell>
          <cell r="H43" t="str">
            <v>MDF Veneer</v>
          </cell>
          <cell r="I43">
            <v>14</v>
          </cell>
        </row>
        <row r="44">
          <cell r="A44" t="str">
            <v>B557904/A</v>
          </cell>
          <cell r="B44" t="str">
            <v>AR080M871</v>
          </cell>
          <cell r="C44">
            <v>14</v>
          </cell>
          <cell r="D44">
            <v>456</v>
          </cell>
          <cell r="E44">
            <v>6384</v>
          </cell>
          <cell r="F44" t="str">
            <v>A1-S02</v>
          </cell>
          <cell r="G44" t="str">
            <v xml:space="preserve">Drawer front 1 - Mặt hộc kéo </v>
          </cell>
          <cell r="H44" t="str">
            <v>MDF Veneer</v>
          </cell>
          <cell r="I44">
            <v>42</v>
          </cell>
        </row>
        <row r="45">
          <cell r="A45" t="str">
            <v>B557904/A</v>
          </cell>
          <cell r="B45" t="str">
            <v>AR080M871</v>
          </cell>
          <cell r="C45">
            <v>14</v>
          </cell>
          <cell r="D45">
            <v>456</v>
          </cell>
          <cell r="E45">
            <v>6384</v>
          </cell>
          <cell r="F45" t="str">
            <v>A1-S03</v>
          </cell>
          <cell r="G45" t="str">
            <v>Drawer back - Hậu hộc kéo</v>
          </cell>
          <cell r="H45" t="str">
            <v>MDF Veneer</v>
          </cell>
          <cell r="I45">
            <v>42</v>
          </cell>
        </row>
        <row r="46">
          <cell r="A46" t="str">
            <v>B557904/A</v>
          </cell>
          <cell r="B46" t="str">
            <v>AR080M871</v>
          </cell>
          <cell r="C46">
            <v>14</v>
          </cell>
          <cell r="D46">
            <v>456</v>
          </cell>
          <cell r="E46">
            <v>6384</v>
          </cell>
          <cell r="F46" t="str">
            <v>A1-S04</v>
          </cell>
          <cell r="G46" t="str">
            <v>Drawer side - Hông hộc kéo</v>
          </cell>
          <cell r="H46" t="str">
            <v>MDF Veneer</v>
          </cell>
          <cell r="I46">
            <v>84</v>
          </cell>
        </row>
        <row r="47">
          <cell r="A47" t="str">
            <v>B557904/A</v>
          </cell>
          <cell r="B47" t="str">
            <v>AR080M871</v>
          </cell>
          <cell r="C47">
            <v>14</v>
          </cell>
          <cell r="D47">
            <v>456</v>
          </cell>
          <cell r="E47">
            <v>6384</v>
          </cell>
          <cell r="F47" t="str">
            <v>A1-S05</v>
          </cell>
          <cell r="G47" t="str">
            <v>Drawer bottom  - Đáy hộc kéo</v>
          </cell>
          <cell r="H47" t="str">
            <v>MDF Veneer</v>
          </cell>
          <cell r="I47">
            <v>42</v>
          </cell>
        </row>
        <row r="48">
          <cell r="A48" t="str">
            <v>B557904/A</v>
          </cell>
          <cell r="B48" t="str">
            <v>AR080M871</v>
          </cell>
          <cell r="C48">
            <v>14</v>
          </cell>
          <cell r="D48">
            <v>456</v>
          </cell>
          <cell r="E48">
            <v>6384</v>
          </cell>
          <cell r="F48" t="str">
            <v>A2-S01</v>
          </cell>
          <cell r="G48" t="str">
            <v xml:space="preserve">Drawer front - Mặt hộc kéo </v>
          </cell>
          <cell r="H48" t="str">
            <v>MDF Veneer</v>
          </cell>
          <cell r="I48">
            <v>28</v>
          </cell>
        </row>
        <row r="49">
          <cell r="A49" t="str">
            <v>B557904/A</v>
          </cell>
          <cell r="B49" t="str">
            <v>AR080M871</v>
          </cell>
          <cell r="C49">
            <v>14</v>
          </cell>
          <cell r="D49">
            <v>456</v>
          </cell>
          <cell r="E49">
            <v>6384</v>
          </cell>
          <cell r="F49" t="str">
            <v>A4</v>
          </cell>
          <cell r="G49" t="str">
            <v>Side Frame - Khung hông</v>
          </cell>
          <cell r="H49" t="str">
            <v>Pre-Assembly</v>
          </cell>
          <cell r="I49">
            <v>28</v>
          </cell>
        </row>
        <row r="50">
          <cell r="A50" t="str">
            <v>B557904/A</v>
          </cell>
          <cell r="B50" t="str">
            <v>AR080M871</v>
          </cell>
          <cell r="C50">
            <v>14</v>
          </cell>
          <cell r="D50">
            <v>456</v>
          </cell>
          <cell r="E50">
            <v>6384</v>
          </cell>
          <cell r="F50" t="str">
            <v>A4-S01</v>
          </cell>
          <cell r="G50" t="str">
            <v xml:space="preserve">Panel - Ván </v>
          </cell>
          <cell r="H50" t="str">
            <v>MDF - 25 x 1830 x 2440mm [CARB P2 Compliant]</v>
          </cell>
          <cell r="I50">
            <v>28</v>
          </cell>
        </row>
        <row r="51">
          <cell r="A51" t="str">
            <v>B557904/A</v>
          </cell>
          <cell r="B51" t="str">
            <v>AR080M871</v>
          </cell>
          <cell r="C51">
            <v>14</v>
          </cell>
          <cell r="D51">
            <v>456</v>
          </cell>
          <cell r="E51">
            <v>6384</v>
          </cell>
          <cell r="F51" t="str">
            <v>A4-S03</v>
          </cell>
          <cell r="G51" t="str">
            <v>Horizontal rail 1 - Đố ngang 1</v>
          </cell>
          <cell r="H51" t="str">
            <v>Wood EU Beech - Straight/Waving Edged ABC, 2 COM - T32mm x W100mm up x L1.8m up</v>
          </cell>
          <cell r="I51">
            <v>28</v>
          </cell>
        </row>
        <row r="52">
          <cell r="A52" t="str">
            <v>B557904/A</v>
          </cell>
          <cell r="B52" t="str">
            <v>AR080M871</v>
          </cell>
          <cell r="C52">
            <v>14</v>
          </cell>
          <cell r="D52">
            <v>456</v>
          </cell>
          <cell r="E52">
            <v>6384</v>
          </cell>
          <cell r="F52" t="str">
            <v>A5-S01</v>
          </cell>
          <cell r="G52" t="str">
            <v>Bottom panel - Ván đáy</v>
          </cell>
          <cell r="H52" t="str">
            <v>MDF - 06 x 1220 x 2440mm, Veneer Okoume 0.3mm Both Faces [CARB P2 Compliant]</v>
          </cell>
          <cell r="I52">
            <v>14</v>
          </cell>
        </row>
        <row r="53">
          <cell r="A53" t="str">
            <v>B557904/A</v>
          </cell>
          <cell r="B53" t="str">
            <v>AR080M871</v>
          </cell>
          <cell r="C53">
            <v>14</v>
          </cell>
          <cell r="D53">
            <v>456</v>
          </cell>
          <cell r="E53">
            <v>6384</v>
          </cell>
          <cell r="F53" t="str">
            <v>A5-S02</v>
          </cell>
          <cell r="G53" t="str">
            <v>Bottom rail inside - Đố tiền đáy</v>
          </cell>
          <cell r="H53" t="str">
            <v>Wood laminate</v>
          </cell>
          <cell r="I53">
            <v>14</v>
          </cell>
        </row>
        <row r="54">
          <cell r="A54" t="str">
            <v>B557904/A</v>
          </cell>
          <cell r="B54" t="str">
            <v>AR080M871</v>
          </cell>
          <cell r="C54">
            <v>14</v>
          </cell>
          <cell r="D54">
            <v>456</v>
          </cell>
          <cell r="E54">
            <v>6384</v>
          </cell>
          <cell r="F54" t="str">
            <v>A5-S03</v>
          </cell>
          <cell r="G54" t="str">
            <v>Back bottom rail - Đố hậu đáy</v>
          </cell>
          <cell r="H54" t="str">
            <v>Wood laminate</v>
          </cell>
          <cell r="I54">
            <v>14</v>
          </cell>
        </row>
        <row r="55">
          <cell r="A55" t="str">
            <v>B557904/A</v>
          </cell>
          <cell r="B55" t="str">
            <v>AR080M871</v>
          </cell>
          <cell r="C55">
            <v>14</v>
          </cell>
          <cell r="D55">
            <v>456</v>
          </cell>
          <cell r="E55">
            <v>6384</v>
          </cell>
          <cell r="F55" t="str">
            <v>A6</v>
          </cell>
          <cell r="G55" t="str">
            <v xml:space="preserve">Top panel  - Ván nóc </v>
          </cell>
          <cell r="H55" t="str">
            <v>Pre-Assembly</v>
          </cell>
          <cell r="I55">
            <v>14</v>
          </cell>
        </row>
        <row r="56">
          <cell r="A56" t="str">
            <v>B557904/A</v>
          </cell>
          <cell r="B56" t="str">
            <v>AR080M871</v>
          </cell>
          <cell r="C56">
            <v>14</v>
          </cell>
          <cell r="D56">
            <v>456</v>
          </cell>
          <cell r="E56">
            <v>6384</v>
          </cell>
          <cell r="F56" t="str">
            <v>A6-S01</v>
          </cell>
          <cell r="G56" t="str">
            <v>MDF - MDF</v>
          </cell>
          <cell r="H56" t="str">
            <v>MDF Veneer</v>
          </cell>
          <cell r="I56">
            <v>14</v>
          </cell>
        </row>
        <row r="57">
          <cell r="A57" t="str">
            <v>B557904/A</v>
          </cell>
          <cell r="B57" t="str">
            <v>AR080M871</v>
          </cell>
          <cell r="C57">
            <v>14</v>
          </cell>
          <cell r="D57">
            <v>456</v>
          </cell>
          <cell r="E57">
            <v>6384</v>
          </cell>
          <cell r="F57" t="str">
            <v>A6-S02</v>
          </cell>
          <cell r="G57" t="str">
            <v>Patching moulding - Chỉ đắp</v>
          </cell>
          <cell r="H57" t="str">
            <v>Wood White Oak - Straight/Waving Edged, 2 COM - T25mm x W100mm Up x L1.5m Up</v>
          </cell>
          <cell r="I57">
            <v>14</v>
          </cell>
        </row>
        <row r="58">
          <cell r="A58" t="str">
            <v>B557904/A</v>
          </cell>
          <cell r="B58" t="str">
            <v>AR080M871</v>
          </cell>
          <cell r="C58">
            <v>14</v>
          </cell>
          <cell r="D58">
            <v>456</v>
          </cell>
          <cell r="E58">
            <v>6384</v>
          </cell>
          <cell r="F58" t="str">
            <v>P01</v>
          </cell>
          <cell r="G58" t="str">
            <v>Back panel - Ván hậu</v>
          </cell>
          <cell r="H58" t="str">
            <v>MDF Veneer</v>
          </cell>
          <cell r="I58">
            <v>14</v>
          </cell>
        </row>
        <row r="59">
          <cell r="A59" t="str">
            <v>B557904/A</v>
          </cell>
          <cell r="B59" t="str">
            <v>AR080M871</v>
          </cell>
          <cell r="C59">
            <v>14</v>
          </cell>
          <cell r="D59">
            <v>456</v>
          </cell>
          <cell r="E59">
            <v>6384</v>
          </cell>
          <cell r="F59" t="str">
            <v>P02</v>
          </cell>
          <cell r="G59" t="str">
            <v>Top rail - Đố nóc</v>
          </cell>
          <cell r="H59" t="str">
            <v>Wood laminate</v>
          </cell>
          <cell r="I59">
            <v>14</v>
          </cell>
        </row>
        <row r="60">
          <cell r="A60" t="str">
            <v>B557904/A</v>
          </cell>
          <cell r="B60" t="str">
            <v>AR080M871</v>
          </cell>
          <cell r="C60">
            <v>14</v>
          </cell>
          <cell r="D60">
            <v>456</v>
          </cell>
          <cell r="E60">
            <v>6384</v>
          </cell>
          <cell r="F60" t="str">
            <v>P03</v>
          </cell>
          <cell r="G60" t="str">
            <v>Partition panel - Vách ngăn</v>
          </cell>
          <cell r="H60" t="str">
            <v>MDF Veneer</v>
          </cell>
          <cell r="I60">
            <v>28</v>
          </cell>
        </row>
        <row r="61">
          <cell r="A61" t="str">
            <v>B557904/A</v>
          </cell>
          <cell r="B61" t="str">
            <v>AR080M871</v>
          </cell>
          <cell r="C61">
            <v>14</v>
          </cell>
          <cell r="D61">
            <v>456</v>
          </cell>
          <cell r="E61">
            <v>6384</v>
          </cell>
          <cell r="F61" t="str">
            <v>P04</v>
          </cell>
          <cell r="G61" t="str">
            <v>Spline - Lưỡi gà</v>
          </cell>
          <cell r="H61" t="str">
            <v>Plywood LVD - 06 x 1220 x 2440mm, Bleached Poplar Veneer Both Sides [CARB P2 Compliant]</v>
          </cell>
          <cell r="I61">
            <v>28</v>
          </cell>
        </row>
        <row r="62">
          <cell r="A62" t="str">
            <v>B557904/A</v>
          </cell>
          <cell r="B62" t="str">
            <v>AR080M871</v>
          </cell>
          <cell r="C62">
            <v>14</v>
          </cell>
          <cell r="D62">
            <v>456</v>
          </cell>
          <cell r="E62">
            <v>6384</v>
          </cell>
          <cell r="F62" t="str">
            <v>P08</v>
          </cell>
          <cell r="G62" t="str">
            <v>Insert Wood - Gỗ chèn</v>
          </cell>
          <cell r="H62" t="str">
            <v>Standard Wood - ALDER/ASPEN/LENGA/US POPLAR, 2 COM - T25 W120mm+ L2m+</v>
          </cell>
          <cell r="I62">
            <v>28</v>
          </cell>
        </row>
        <row r="63">
          <cell r="A63" t="str">
            <v>B557904/A</v>
          </cell>
          <cell r="B63" t="str">
            <v>AR080M871</v>
          </cell>
          <cell r="C63">
            <v>14</v>
          </cell>
          <cell r="D63">
            <v>456</v>
          </cell>
          <cell r="E63">
            <v>6384</v>
          </cell>
          <cell r="F63" t="str">
            <v>P09</v>
          </cell>
          <cell r="G63" t="str">
            <v>Drawer stop - Dừng hộc</v>
          </cell>
          <cell r="H63" t="str">
            <v>Poplar off cut</v>
          </cell>
          <cell r="I63">
            <v>84</v>
          </cell>
        </row>
        <row r="64">
          <cell r="A64" t="str">
            <v>B557879/A</v>
          </cell>
          <cell r="B64" t="str">
            <v>AR083M871</v>
          </cell>
          <cell r="C64">
            <v>17</v>
          </cell>
          <cell r="D64">
            <v>391</v>
          </cell>
          <cell r="E64">
            <v>6647</v>
          </cell>
          <cell r="F64" t="str">
            <v>A1</v>
          </cell>
          <cell r="G64" t="str">
            <v>Top Frame - Khung nóc</v>
          </cell>
          <cell r="H64" t="str">
            <v>Wd+MDF+VN</v>
          </cell>
          <cell r="I64">
            <v>17</v>
          </cell>
        </row>
        <row r="65">
          <cell r="A65" t="str">
            <v>B557879/A</v>
          </cell>
          <cell r="B65" t="str">
            <v>AR083M871</v>
          </cell>
          <cell r="C65">
            <v>17</v>
          </cell>
          <cell r="D65">
            <v>391</v>
          </cell>
          <cell r="E65">
            <v>6647</v>
          </cell>
          <cell r="F65" t="str">
            <v>A1-S2</v>
          </cell>
          <cell r="G65" t="str">
            <v>Top rail - Đố nóc</v>
          </cell>
          <cell r="H65" t="str">
            <v>Wood White Oak - Straight/Waving Edged, 1 COM - T50mm x W100mm Up x L1.8m Up</v>
          </cell>
          <cell r="I65">
            <v>34</v>
          </cell>
        </row>
        <row r="66">
          <cell r="A66" t="str">
            <v>B557879/A</v>
          </cell>
          <cell r="B66" t="str">
            <v>AR083M871</v>
          </cell>
          <cell r="C66">
            <v>17</v>
          </cell>
          <cell r="D66">
            <v>391</v>
          </cell>
          <cell r="E66">
            <v>6647</v>
          </cell>
          <cell r="F66" t="str">
            <v>A1-S3</v>
          </cell>
          <cell r="G66" t="str">
            <v xml:space="preserve">Panel - Ván </v>
          </cell>
          <cell r="H66" t="str">
            <v>MDF laminate</v>
          </cell>
          <cell r="I66">
            <v>17</v>
          </cell>
        </row>
        <row r="67">
          <cell r="A67" t="str">
            <v>B557879/A</v>
          </cell>
          <cell r="B67" t="str">
            <v>AR083M871</v>
          </cell>
          <cell r="C67">
            <v>17</v>
          </cell>
          <cell r="D67">
            <v>391</v>
          </cell>
          <cell r="E67">
            <v>6647</v>
          </cell>
          <cell r="F67" t="str">
            <v>A2</v>
          </cell>
          <cell r="G67" t="str">
            <v>The leg  - Chân</v>
          </cell>
          <cell r="H67" t="str">
            <v>Wd+MDF+VN</v>
          </cell>
          <cell r="I67">
            <v>34</v>
          </cell>
        </row>
        <row r="68">
          <cell r="A68" t="str">
            <v>B557879/A</v>
          </cell>
          <cell r="B68" t="str">
            <v>AR083M871</v>
          </cell>
          <cell r="C68">
            <v>17</v>
          </cell>
          <cell r="D68">
            <v>391</v>
          </cell>
          <cell r="E68">
            <v>6647</v>
          </cell>
          <cell r="F68" t="str">
            <v>A2-S1</v>
          </cell>
          <cell r="G68" t="str">
            <v xml:space="preserve">Side panel  - Ván hông </v>
          </cell>
          <cell r="H68" t="str">
            <v>MDF laminate</v>
          </cell>
          <cell r="I68">
            <v>34</v>
          </cell>
        </row>
        <row r="69">
          <cell r="A69" t="str">
            <v>B557879/A</v>
          </cell>
          <cell r="B69" t="str">
            <v>AR083M871</v>
          </cell>
          <cell r="C69">
            <v>17</v>
          </cell>
          <cell r="D69">
            <v>391</v>
          </cell>
          <cell r="E69">
            <v>6647</v>
          </cell>
          <cell r="F69" t="str">
            <v>A2-S2</v>
          </cell>
          <cell r="G69" t="str">
            <v>Bottom rail inside - Đố tiền đáy</v>
          </cell>
          <cell r="H69" t="str">
            <v>Wood EU Beech - Straight/Waving Edged ABC, 2 COM - T50mm x W100mm up x L1.8m up</v>
          </cell>
          <cell r="I69">
            <v>34</v>
          </cell>
        </row>
        <row r="70">
          <cell r="A70" t="str">
            <v>B557879/A</v>
          </cell>
          <cell r="B70" t="str">
            <v>AR083M871</v>
          </cell>
          <cell r="C70">
            <v>17</v>
          </cell>
          <cell r="D70">
            <v>391</v>
          </cell>
          <cell r="E70">
            <v>6647</v>
          </cell>
          <cell r="F70" t="str">
            <v>A3</v>
          </cell>
          <cell r="G70" t="str">
            <v>Shelf panel  - Ván kệ</v>
          </cell>
          <cell r="H70" t="str">
            <v>Wd+MDF+VN</v>
          </cell>
          <cell r="I70">
            <v>17</v>
          </cell>
        </row>
        <row r="71">
          <cell r="A71" t="str">
            <v>B557879/A</v>
          </cell>
          <cell r="B71" t="str">
            <v>AR083M871</v>
          </cell>
          <cell r="C71">
            <v>17</v>
          </cell>
          <cell r="D71">
            <v>391</v>
          </cell>
          <cell r="E71">
            <v>6647</v>
          </cell>
          <cell r="F71" t="str">
            <v>A3-S1</v>
          </cell>
          <cell r="G71" t="str">
            <v>MDF - MDF</v>
          </cell>
          <cell r="H71" t="str">
            <v>MDF - 18 x 1830 x 2440mm [CARB P2 Compliant]</v>
          </cell>
          <cell r="I71">
            <v>17</v>
          </cell>
        </row>
        <row r="72">
          <cell r="A72" t="str">
            <v>B557879/A</v>
          </cell>
          <cell r="B72" t="str">
            <v>AR083M871</v>
          </cell>
          <cell r="C72">
            <v>17</v>
          </cell>
          <cell r="D72">
            <v>391</v>
          </cell>
          <cell r="E72">
            <v>6647</v>
          </cell>
          <cell r="F72" t="str">
            <v>A3-S2</v>
          </cell>
          <cell r="G72" t="str">
            <v xml:space="preserve">Side rail  - Đố hông </v>
          </cell>
          <cell r="H72" t="str">
            <v>Wood laminate</v>
          </cell>
          <cell r="I72">
            <v>34</v>
          </cell>
        </row>
        <row r="73">
          <cell r="A73" t="str">
            <v>B557879/A</v>
          </cell>
          <cell r="B73" t="str">
            <v>AR083M871</v>
          </cell>
          <cell r="C73">
            <v>17</v>
          </cell>
          <cell r="D73">
            <v>391</v>
          </cell>
          <cell r="E73">
            <v>6647</v>
          </cell>
          <cell r="F73" t="str">
            <v>P2</v>
          </cell>
          <cell r="G73" t="str">
            <v>Spline - Lưỡi gà</v>
          </cell>
          <cell r="H73" t="str">
            <v>Plywood LVD - 09 x 1220 x 2440mm, Bleached Poplar Veneer Both Sides [CARB P2 Compliant]</v>
          </cell>
          <cell r="I73">
            <v>34</v>
          </cell>
        </row>
        <row r="74">
          <cell r="A74" t="str">
            <v>B557879/A</v>
          </cell>
          <cell r="B74" t="str">
            <v>AR083M871</v>
          </cell>
          <cell r="C74">
            <v>17</v>
          </cell>
          <cell r="D74">
            <v>391</v>
          </cell>
          <cell r="E74">
            <v>6647</v>
          </cell>
          <cell r="F74" t="str">
            <v>P3</v>
          </cell>
          <cell r="G74" t="str">
            <v>Spline - Lưỡi gà</v>
          </cell>
          <cell r="H74" t="str">
            <v>Plywood LVD - 09 x 1220 x 2440mm, Bleached Poplar Veneer Both Sides [CARB P2 Compliant]</v>
          </cell>
          <cell r="I74">
            <v>34</v>
          </cell>
        </row>
        <row r="75">
          <cell r="A75" t="str">
            <v>B557879/A</v>
          </cell>
          <cell r="B75" t="str">
            <v>AR083M871</v>
          </cell>
          <cell r="C75">
            <v>17</v>
          </cell>
          <cell r="D75">
            <v>391</v>
          </cell>
          <cell r="E75">
            <v>6647</v>
          </cell>
          <cell r="F75" t="str">
            <v>P5</v>
          </cell>
          <cell r="G75" t="str">
            <v>Cleat - Bọ gỗ</v>
          </cell>
          <cell r="H75" t="str">
            <v>Wood EU Beech - Straight/Waving Edged ABC, 2 COM - T26mm x W100mm up x L1.8m up</v>
          </cell>
          <cell r="I75">
            <v>34</v>
          </cell>
        </row>
        <row r="76">
          <cell r="A76" t="str">
            <v>B557879/A</v>
          </cell>
          <cell r="B76" t="str">
            <v>AR083M871</v>
          </cell>
          <cell r="C76">
            <v>17</v>
          </cell>
          <cell r="D76">
            <v>391</v>
          </cell>
          <cell r="E76">
            <v>6647</v>
          </cell>
          <cell r="F76" t="str">
            <v>P6</v>
          </cell>
          <cell r="G76" t="str">
            <v>The leg  - Chân</v>
          </cell>
          <cell r="H76" t="str">
            <v>Wood White Oak - Straight/Waving Edged, 2 COM - T38mm x W100mm Up x L1.5m Up</v>
          </cell>
          <cell r="I76">
            <v>17</v>
          </cell>
        </row>
        <row r="77">
          <cell r="A77" t="str">
            <v>B557879/A</v>
          </cell>
          <cell r="B77" t="str">
            <v>AR083M871</v>
          </cell>
          <cell r="C77">
            <v>17</v>
          </cell>
          <cell r="D77">
            <v>391</v>
          </cell>
          <cell r="E77">
            <v>6647</v>
          </cell>
          <cell r="F77" t="str">
            <v>P7</v>
          </cell>
          <cell r="G77" t="str">
            <v>Insert Wood - Gỗ chèn</v>
          </cell>
          <cell r="H77" t="str">
            <v>Beech off cut</v>
          </cell>
          <cell r="I77">
            <v>17</v>
          </cell>
        </row>
        <row r="78">
          <cell r="A78" t="str">
            <v>B557879/A</v>
          </cell>
          <cell r="B78" t="str">
            <v>AR083M871</v>
          </cell>
          <cell r="C78">
            <v>17</v>
          </cell>
          <cell r="D78">
            <v>391</v>
          </cell>
          <cell r="E78">
            <v>6647</v>
          </cell>
          <cell r="F78" t="str">
            <v>P9</v>
          </cell>
          <cell r="G78" t="str">
            <v>Cleat - Bọ gỗ</v>
          </cell>
          <cell r="H78" t="str">
            <v>Wood EU Beech - Straight/Waving Edged ABC, 2 COM - T26mm x W100mm up x L1.8m up</v>
          </cell>
          <cell r="I78">
            <v>34</v>
          </cell>
        </row>
        <row r="79">
          <cell r="A79" t="str">
            <v>B557880/A</v>
          </cell>
          <cell r="B79" t="str">
            <v>AR083M871</v>
          </cell>
          <cell r="C79">
            <v>33</v>
          </cell>
          <cell r="D79">
            <v>391</v>
          </cell>
          <cell r="E79">
            <v>12903</v>
          </cell>
          <cell r="F79" t="str">
            <v>A1</v>
          </cell>
          <cell r="G79" t="str">
            <v>Top Frame - Khung nóc</v>
          </cell>
          <cell r="H79" t="str">
            <v>Wd+MDF+VN</v>
          </cell>
          <cell r="I79">
            <v>33</v>
          </cell>
        </row>
        <row r="80">
          <cell r="A80" t="str">
            <v>B557880/A</v>
          </cell>
          <cell r="B80" t="str">
            <v>AR083M871</v>
          </cell>
          <cell r="C80">
            <v>33</v>
          </cell>
          <cell r="D80">
            <v>391</v>
          </cell>
          <cell r="E80">
            <v>12903</v>
          </cell>
          <cell r="F80" t="str">
            <v>A1-S2</v>
          </cell>
          <cell r="G80" t="str">
            <v>Top rail - Đố nóc</v>
          </cell>
          <cell r="H80" t="str">
            <v>Wood White Oak - Straight/Waving Edged, 1 COM - T50mm x W100mm Up x L1.8m Up</v>
          </cell>
          <cell r="I80">
            <v>66</v>
          </cell>
        </row>
        <row r="81">
          <cell r="A81" t="str">
            <v>B557880/A</v>
          </cell>
          <cell r="B81" t="str">
            <v>AR083M871</v>
          </cell>
          <cell r="C81">
            <v>33</v>
          </cell>
          <cell r="D81">
            <v>391</v>
          </cell>
          <cell r="E81">
            <v>12903</v>
          </cell>
          <cell r="F81" t="str">
            <v>A1-S3</v>
          </cell>
          <cell r="G81" t="str">
            <v xml:space="preserve">Panel - Ván </v>
          </cell>
          <cell r="H81" t="str">
            <v>MDF laminate</v>
          </cell>
          <cell r="I81">
            <v>33</v>
          </cell>
        </row>
        <row r="82">
          <cell r="A82" t="str">
            <v>B557880/A</v>
          </cell>
          <cell r="B82" t="str">
            <v>AR083M871</v>
          </cell>
          <cell r="C82">
            <v>33</v>
          </cell>
          <cell r="D82">
            <v>391</v>
          </cell>
          <cell r="E82">
            <v>12903</v>
          </cell>
          <cell r="F82" t="str">
            <v>A2</v>
          </cell>
          <cell r="G82" t="str">
            <v>The leg  - Chân</v>
          </cell>
          <cell r="H82" t="str">
            <v>Wd+MDF+VN</v>
          </cell>
          <cell r="I82">
            <v>66</v>
          </cell>
        </row>
        <row r="83">
          <cell r="A83" t="str">
            <v>B557880/A</v>
          </cell>
          <cell r="B83" t="str">
            <v>AR083M871</v>
          </cell>
          <cell r="C83">
            <v>33</v>
          </cell>
          <cell r="D83">
            <v>391</v>
          </cell>
          <cell r="E83">
            <v>12903</v>
          </cell>
          <cell r="F83" t="str">
            <v>A2-S1</v>
          </cell>
          <cell r="G83" t="str">
            <v xml:space="preserve">Side panel  - Ván hông </v>
          </cell>
          <cell r="H83" t="str">
            <v>MDF laminate</v>
          </cell>
          <cell r="I83">
            <v>66</v>
          </cell>
        </row>
        <row r="84">
          <cell r="A84" t="str">
            <v>B557880/A</v>
          </cell>
          <cell r="B84" t="str">
            <v>AR083M871</v>
          </cell>
          <cell r="C84">
            <v>33</v>
          </cell>
          <cell r="D84">
            <v>391</v>
          </cell>
          <cell r="E84">
            <v>12903</v>
          </cell>
          <cell r="F84" t="str">
            <v>A2-S2</v>
          </cell>
          <cell r="G84" t="str">
            <v>Bottom rail inside - Đố tiền đáy</v>
          </cell>
          <cell r="H84" t="str">
            <v>Wood EU Beech - Straight/Waving Edged ABC, 2 COM - T50mm x W100mm up x L1.8m up</v>
          </cell>
          <cell r="I84">
            <v>66</v>
          </cell>
        </row>
        <row r="85">
          <cell r="A85" t="str">
            <v>B557880/A</v>
          </cell>
          <cell r="B85" t="str">
            <v>AR083M871</v>
          </cell>
          <cell r="C85">
            <v>33</v>
          </cell>
          <cell r="D85">
            <v>391</v>
          </cell>
          <cell r="E85">
            <v>12903</v>
          </cell>
          <cell r="F85" t="str">
            <v>A3</v>
          </cell>
          <cell r="G85" t="str">
            <v>Shelf panel  - Ván kệ</v>
          </cell>
          <cell r="H85" t="str">
            <v>Wd+MDF+VN</v>
          </cell>
          <cell r="I85">
            <v>33</v>
          </cell>
        </row>
        <row r="86">
          <cell r="A86" t="str">
            <v>B557880/A</v>
          </cell>
          <cell r="B86" t="str">
            <v>AR083M871</v>
          </cell>
          <cell r="C86">
            <v>33</v>
          </cell>
          <cell r="D86">
            <v>391</v>
          </cell>
          <cell r="E86">
            <v>12903</v>
          </cell>
          <cell r="F86" t="str">
            <v>A3-S1</v>
          </cell>
          <cell r="G86" t="str">
            <v>MDF - MDF</v>
          </cell>
          <cell r="H86" t="str">
            <v>MDF - 18 x 1830 x 2440mm [CARB P2 Compliant]</v>
          </cell>
          <cell r="I86">
            <v>33</v>
          </cell>
        </row>
        <row r="87">
          <cell r="A87" t="str">
            <v>B557880/A</v>
          </cell>
          <cell r="B87" t="str">
            <v>AR083M871</v>
          </cell>
          <cell r="C87">
            <v>33</v>
          </cell>
          <cell r="D87">
            <v>391</v>
          </cell>
          <cell r="E87">
            <v>12903</v>
          </cell>
          <cell r="F87" t="str">
            <v>A3-S2</v>
          </cell>
          <cell r="G87" t="str">
            <v xml:space="preserve">Side rail  - Đố hông </v>
          </cell>
          <cell r="H87" t="str">
            <v>Wood laminate</v>
          </cell>
          <cell r="I87">
            <v>66</v>
          </cell>
        </row>
        <row r="88">
          <cell r="A88" t="str">
            <v>B557880/A</v>
          </cell>
          <cell r="B88" t="str">
            <v>AR083M871</v>
          </cell>
          <cell r="C88">
            <v>33</v>
          </cell>
          <cell r="D88">
            <v>391</v>
          </cell>
          <cell r="E88">
            <v>12903</v>
          </cell>
          <cell r="F88" t="str">
            <v>P2</v>
          </cell>
          <cell r="G88" t="str">
            <v>Spline - Lưỡi gà</v>
          </cell>
          <cell r="H88" t="str">
            <v>Plywood LVD - 09 x 1220 x 2440mm, Bleached Poplar Veneer Both Sides [CARB P2 Compliant]</v>
          </cell>
          <cell r="I88">
            <v>66</v>
          </cell>
        </row>
        <row r="89">
          <cell r="A89" t="str">
            <v>B557880/A</v>
          </cell>
          <cell r="B89" t="str">
            <v>AR083M871</v>
          </cell>
          <cell r="C89">
            <v>33</v>
          </cell>
          <cell r="D89">
            <v>391</v>
          </cell>
          <cell r="E89">
            <v>12903</v>
          </cell>
          <cell r="F89" t="str">
            <v>P3</v>
          </cell>
          <cell r="G89" t="str">
            <v>Spline - Lưỡi gà</v>
          </cell>
          <cell r="H89" t="str">
            <v>Plywood LVD - 09 x 1220 x 2440mm, Bleached Poplar Veneer Both Sides [CARB P2 Compliant]</v>
          </cell>
          <cell r="I89">
            <v>66</v>
          </cell>
        </row>
        <row r="90">
          <cell r="A90" t="str">
            <v>B557880/A</v>
          </cell>
          <cell r="B90" t="str">
            <v>AR083M871</v>
          </cell>
          <cell r="C90">
            <v>33</v>
          </cell>
          <cell r="D90">
            <v>391</v>
          </cell>
          <cell r="E90">
            <v>12903</v>
          </cell>
          <cell r="F90" t="str">
            <v>P5</v>
          </cell>
          <cell r="G90" t="str">
            <v>Cleat - Bọ gỗ</v>
          </cell>
          <cell r="H90" t="str">
            <v>Wood EU Beech - Straight/Waving Edged ABC, 2 COM - T26mm x W100mm up x L1.8m up</v>
          </cell>
          <cell r="I90">
            <v>66</v>
          </cell>
        </row>
        <row r="91">
          <cell r="A91" t="str">
            <v>B557880/A</v>
          </cell>
          <cell r="B91" t="str">
            <v>AR083M871</v>
          </cell>
          <cell r="C91">
            <v>33</v>
          </cell>
          <cell r="D91">
            <v>391</v>
          </cell>
          <cell r="E91">
            <v>12903</v>
          </cell>
          <cell r="F91" t="str">
            <v>P6</v>
          </cell>
          <cell r="G91" t="str">
            <v>The leg  - Chân</v>
          </cell>
          <cell r="H91" t="str">
            <v>Wood White Oak - Straight/Waving Edged, 2 COM - T38mm x W100mm Up x L1.5m Up</v>
          </cell>
          <cell r="I91">
            <v>33</v>
          </cell>
        </row>
        <row r="92">
          <cell r="A92" t="str">
            <v>B557880/A</v>
          </cell>
          <cell r="B92" t="str">
            <v>AR083M871</v>
          </cell>
          <cell r="C92">
            <v>33</v>
          </cell>
          <cell r="D92">
            <v>391</v>
          </cell>
          <cell r="E92">
            <v>12903</v>
          </cell>
          <cell r="F92" t="str">
            <v>P7</v>
          </cell>
          <cell r="G92" t="str">
            <v>Insert Wood - Gỗ chèn</v>
          </cell>
          <cell r="H92" t="str">
            <v>Beech off cut</v>
          </cell>
          <cell r="I92">
            <v>33</v>
          </cell>
        </row>
        <row r="93">
          <cell r="A93" t="str">
            <v>B557880/A</v>
          </cell>
          <cell r="B93" t="str">
            <v>AR083M871</v>
          </cell>
          <cell r="C93">
            <v>33</v>
          </cell>
          <cell r="D93">
            <v>391</v>
          </cell>
          <cell r="E93">
            <v>12903</v>
          </cell>
          <cell r="F93" t="str">
            <v>P9</v>
          </cell>
          <cell r="G93" t="str">
            <v>Cleat - Bọ gỗ</v>
          </cell>
          <cell r="H93" t="str">
            <v>Wood EU Beech - Straight/Waving Edged ABC, 2 COM - T26mm x W100mm up x L1.8m up</v>
          </cell>
          <cell r="I93">
            <v>66</v>
          </cell>
        </row>
        <row r="94">
          <cell r="A94" t="str">
            <v>B557907/A</v>
          </cell>
          <cell r="B94" t="str">
            <v>AR095M823</v>
          </cell>
          <cell r="C94">
            <v>11</v>
          </cell>
          <cell r="D94">
            <v>367</v>
          </cell>
          <cell r="E94">
            <v>4037</v>
          </cell>
          <cell r="F94" t="str">
            <v>A1</v>
          </cell>
          <cell r="G94" t="str">
            <v>Top Frame - Khung nóc</v>
          </cell>
          <cell r="H94" t="str">
            <v>Pre-Assembly</v>
          </cell>
          <cell r="I94">
            <v>11</v>
          </cell>
        </row>
        <row r="95">
          <cell r="A95" t="str">
            <v>B557907/A</v>
          </cell>
          <cell r="B95" t="str">
            <v>AR095M823</v>
          </cell>
          <cell r="C95">
            <v>11</v>
          </cell>
          <cell r="D95">
            <v>367</v>
          </cell>
          <cell r="E95">
            <v>4037</v>
          </cell>
          <cell r="F95" t="str">
            <v>A1-S01</v>
          </cell>
          <cell r="G95" t="str">
            <v xml:space="preserve">Top panel  - Ván nóc </v>
          </cell>
          <cell r="H95" t="str">
            <v>MDF Veneer</v>
          </cell>
          <cell r="I95">
            <v>11</v>
          </cell>
        </row>
        <row r="96">
          <cell r="A96" t="str">
            <v>B557907/A</v>
          </cell>
          <cell r="B96" t="str">
            <v>AR095M823</v>
          </cell>
          <cell r="C96">
            <v>11</v>
          </cell>
          <cell r="D96">
            <v>367</v>
          </cell>
          <cell r="E96">
            <v>4037</v>
          </cell>
          <cell r="F96" t="str">
            <v>A1-S02</v>
          </cell>
          <cell r="G96" t="str">
            <v>Top rail - Đố nóc</v>
          </cell>
          <cell r="H96" t="str">
            <v>Wood laminate</v>
          </cell>
          <cell r="I96">
            <v>88</v>
          </cell>
        </row>
        <row r="97">
          <cell r="A97" t="str">
            <v>B557907/A</v>
          </cell>
          <cell r="B97" t="str">
            <v>AR095M823</v>
          </cell>
          <cell r="C97">
            <v>11</v>
          </cell>
          <cell r="D97">
            <v>367</v>
          </cell>
          <cell r="E97">
            <v>4037</v>
          </cell>
          <cell r="F97" t="str">
            <v>A2</v>
          </cell>
          <cell r="G97" t="str">
            <v>The leg  - Chân</v>
          </cell>
          <cell r="H97" t="str">
            <v>Pre-Assembly</v>
          </cell>
          <cell r="I97">
            <v>22</v>
          </cell>
        </row>
        <row r="98">
          <cell r="A98" t="str">
            <v>B557907/A</v>
          </cell>
          <cell r="B98" t="str">
            <v>AR095M823</v>
          </cell>
          <cell r="C98">
            <v>11</v>
          </cell>
          <cell r="D98">
            <v>367</v>
          </cell>
          <cell r="E98">
            <v>4037</v>
          </cell>
          <cell r="F98" t="str">
            <v>A2-S1</v>
          </cell>
          <cell r="G98" t="str">
            <v xml:space="preserve">Frame - Khung </v>
          </cell>
          <cell r="H98" t="str">
            <v>Pre-Assembly</v>
          </cell>
          <cell r="I98">
            <v>22</v>
          </cell>
        </row>
        <row r="99">
          <cell r="A99" t="str">
            <v>B557907/A</v>
          </cell>
          <cell r="B99" t="str">
            <v>AR095M823</v>
          </cell>
          <cell r="C99">
            <v>11</v>
          </cell>
          <cell r="D99">
            <v>367</v>
          </cell>
          <cell r="E99">
            <v>4037</v>
          </cell>
          <cell r="F99" t="str">
            <v>A2-S2</v>
          </cell>
          <cell r="G99" t="str">
            <v xml:space="preserve">Frame - Khung </v>
          </cell>
          <cell r="H99" t="str">
            <v>Pre-Assembly</v>
          </cell>
          <cell r="I99">
            <v>22</v>
          </cell>
        </row>
        <row r="100">
          <cell r="A100" t="str">
            <v>B557907/A</v>
          </cell>
          <cell r="B100" t="str">
            <v>AR095M823</v>
          </cell>
          <cell r="C100">
            <v>11</v>
          </cell>
          <cell r="D100">
            <v>367</v>
          </cell>
          <cell r="E100">
            <v>4037</v>
          </cell>
          <cell r="F100" t="str">
            <v>A2-S3</v>
          </cell>
          <cell r="G100" t="str">
            <v xml:space="preserve">Panel - Ván </v>
          </cell>
          <cell r="H100" t="str">
            <v>MDF - 15 x 1830 x 2440mm [CARB P2 Compliant]</v>
          </cell>
          <cell r="I100">
            <v>44</v>
          </cell>
        </row>
        <row r="101">
          <cell r="A101" t="str">
            <v>B557907/A</v>
          </cell>
          <cell r="B101" t="str">
            <v>AR095M823</v>
          </cell>
          <cell r="C101">
            <v>11</v>
          </cell>
          <cell r="D101">
            <v>367</v>
          </cell>
          <cell r="E101">
            <v>4037</v>
          </cell>
          <cell r="F101" t="str">
            <v>A2-S4</v>
          </cell>
          <cell r="G101" t="str">
            <v xml:space="preserve">Panel - Ván </v>
          </cell>
          <cell r="H101" t="str">
            <v>MDF - 25 x 1830 x 2440mm [CARB P2 Compliant]</v>
          </cell>
          <cell r="I101">
            <v>22</v>
          </cell>
        </row>
        <row r="102">
          <cell r="A102" t="str">
            <v>B557907/A</v>
          </cell>
          <cell r="B102" t="str">
            <v>AR095M823</v>
          </cell>
          <cell r="C102">
            <v>11</v>
          </cell>
          <cell r="D102">
            <v>367</v>
          </cell>
          <cell r="E102">
            <v>4037</v>
          </cell>
          <cell r="F102" t="str">
            <v>A2-S5</v>
          </cell>
          <cell r="G102" t="str">
            <v>Patching wood - Gỗ đắp</v>
          </cell>
          <cell r="H102" t="str">
            <v>Wood White Oak - Straight/Waving Edged, 2 COM - T32mm x W100mm Up x L1.5m Up</v>
          </cell>
          <cell r="I102">
            <v>22</v>
          </cell>
        </row>
        <row r="103">
          <cell r="A103" t="str">
            <v>B557907/A</v>
          </cell>
          <cell r="B103" t="str">
            <v>AR095M823</v>
          </cell>
          <cell r="C103">
            <v>11</v>
          </cell>
          <cell r="D103">
            <v>367</v>
          </cell>
          <cell r="E103">
            <v>4037</v>
          </cell>
          <cell r="F103" t="str">
            <v>A2-S6</v>
          </cell>
          <cell r="G103" t="str">
            <v>Patching wood - Gỗ đắp</v>
          </cell>
          <cell r="H103" t="str">
            <v>Wood White Oak - Straight/Waving Edged, 2 COM - T32mm x W100mm Up x L1.5m Up</v>
          </cell>
          <cell r="I103">
            <v>44</v>
          </cell>
        </row>
        <row r="104">
          <cell r="A104" t="str">
            <v>B557907/A</v>
          </cell>
          <cell r="B104" t="str">
            <v>AR095M823</v>
          </cell>
          <cell r="C104">
            <v>11</v>
          </cell>
          <cell r="D104">
            <v>367</v>
          </cell>
          <cell r="E104">
            <v>4037</v>
          </cell>
          <cell r="F104" t="str">
            <v>A3</v>
          </cell>
          <cell r="G104" t="str">
            <v>The leg  - Chân</v>
          </cell>
          <cell r="H104" t="str">
            <v>Pre-Assembly</v>
          </cell>
          <cell r="I104">
            <v>11</v>
          </cell>
        </row>
        <row r="105">
          <cell r="A105" t="str">
            <v>B557907/A</v>
          </cell>
          <cell r="B105" t="str">
            <v>AR095M823</v>
          </cell>
          <cell r="C105">
            <v>11</v>
          </cell>
          <cell r="D105">
            <v>367</v>
          </cell>
          <cell r="E105">
            <v>4037</v>
          </cell>
          <cell r="F105" t="str">
            <v>A3-S1</v>
          </cell>
          <cell r="G105" t="str">
            <v xml:space="preserve">Frame - Khung </v>
          </cell>
          <cell r="H105" t="str">
            <v>Pre-Assembly</v>
          </cell>
          <cell r="I105">
            <v>11</v>
          </cell>
        </row>
        <row r="106">
          <cell r="A106" t="str">
            <v>B557907/A</v>
          </cell>
          <cell r="B106" t="str">
            <v>AR095M823</v>
          </cell>
          <cell r="C106">
            <v>11</v>
          </cell>
          <cell r="D106">
            <v>367</v>
          </cell>
          <cell r="E106">
            <v>4037</v>
          </cell>
          <cell r="F106" t="str">
            <v>A3-S2</v>
          </cell>
          <cell r="G106" t="str">
            <v xml:space="preserve">Frame - Khung </v>
          </cell>
          <cell r="H106" t="str">
            <v>Pre-Assembly</v>
          </cell>
          <cell r="I106">
            <v>11</v>
          </cell>
        </row>
        <row r="107">
          <cell r="A107" t="str">
            <v>B557907/A</v>
          </cell>
          <cell r="B107" t="str">
            <v>AR095M823</v>
          </cell>
          <cell r="C107">
            <v>11</v>
          </cell>
          <cell r="D107">
            <v>367</v>
          </cell>
          <cell r="E107">
            <v>4037</v>
          </cell>
          <cell r="F107" t="str">
            <v>A3-S3</v>
          </cell>
          <cell r="G107" t="str">
            <v xml:space="preserve">Panel - Ván </v>
          </cell>
          <cell r="H107" t="str">
            <v>MDF - 15 x 1830 x 2440mm [CARB P2 Compliant]</v>
          </cell>
          <cell r="I107">
            <v>22</v>
          </cell>
        </row>
        <row r="108">
          <cell r="A108" t="str">
            <v>B557907/A</v>
          </cell>
          <cell r="B108" t="str">
            <v>AR095M823</v>
          </cell>
          <cell r="C108">
            <v>11</v>
          </cell>
          <cell r="D108">
            <v>367</v>
          </cell>
          <cell r="E108">
            <v>4037</v>
          </cell>
          <cell r="F108" t="str">
            <v>A3-S4</v>
          </cell>
          <cell r="G108" t="str">
            <v xml:space="preserve">Panel - Ván </v>
          </cell>
          <cell r="H108" t="str">
            <v>MDF - 25 x 1830 x 2440mm [CARB P2 Compliant]</v>
          </cell>
          <cell r="I108">
            <v>11</v>
          </cell>
        </row>
        <row r="109">
          <cell r="A109" t="str">
            <v>B557907/A</v>
          </cell>
          <cell r="B109" t="str">
            <v>AR095M823</v>
          </cell>
          <cell r="C109">
            <v>11</v>
          </cell>
          <cell r="D109">
            <v>367</v>
          </cell>
          <cell r="E109">
            <v>4037</v>
          </cell>
          <cell r="F109" t="str">
            <v>A3-S5</v>
          </cell>
          <cell r="G109" t="str">
            <v>Patching wood - Gỗ đắp</v>
          </cell>
          <cell r="H109" t="str">
            <v>Wood White Oak - Straight/Waving Edged, 2 COM - T32mm x W100mm Up x L1.5m Up</v>
          </cell>
          <cell r="I109">
            <v>11</v>
          </cell>
        </row>
        <row r="110">
          <cell r="A110" t="str">
            <v>B557907/A</v>
          </cell>
          <cell r="B110" t="str">
            <v>AR095M823</v>
          </cell>
          <cell r="C110">
            <v>11</v>
          </cell>
          <cell r="D110">
            <v>367</v>
          </cell>
          <cell r="E110">
            <v>4037</v>
          </cell>
          <cell r="F110" t="str">
            <v>P01</v>
          </cell>
          <cell r="G110" t="str">
            <v>Corner block - ke góc</v>
          </cell>
          <cell r="H110" t="str">
            <v>oak off cut</v>
          </cell>
          <cell r="I110">
            <v>44</v>
          </cell>
        </row>
        <row r="111">
          <cell r="A111" t="str">
            <v>B557907/A</v>
          </cell>
          <cell r="B111" t="str">
            <v>AR095M823</v>
          </cell>
          <cell r="C111">
            <v>11</v>
          </cell>
          <cell r="D111">
            <v>367</v>
          </cell>
          <cell r="E111">
            <v>4037</v>
          </cell>
          <cell r="F111" t="str">
            <v>P02</v>
          </cell>
          <cell r="G111" t="str">
            <v>Spline - Lưỡi gà</v>
          </cell>
          <cell r="H111" t="str">
            <v>Plywood LVD - 15 x 1220 x 2440mm, Bleached Poplar Veneer Both Sides [CARB P2 Compliant]</v>
          </cell>
          <cell r="I111">
            <v>22</v>
          </cell>
        </row>
        <row r="112">
          <cell r="A112" t="str">
            <v>B557908/A</v>
          </cell>
          <cell r="B112" t="str">
            <v>AR095M823</v>
          </cell>
          <cell r="C112">
            <v>14</v>
          </cell>
          <cell r="D112">
            <v>367</v>
          </cell>
          <cell r="E112">
            <v>5138</v>
          </cell>
          <cell r="F112" t="str">
            <v>A1</v>
          </cell>
          <cell r="G112" t="str">
            <v>Top Frame - Khung nóc</v>
          </cell>
          <cell r="H112" t="str">
            <v>Pre-Assembly</v>
          </cell>
          <cell r="I112">
            <v>14</v>
          </cell>
        </row>
        <row r="113">
          <cell r="A113" t="str">
            <v>B557908/A</v>
          </cell>
          <cell r="B113" t="str">
            <v>AR095M823</v>
          </cell>
          <cell r="C113">
            <v>14</v>
          </cell>
          <cell r="D113">
            <v>367</v>
          </cell>
          <cell r="E113">
            <v>5138</v>
          </cell>
          <cell r="F113" t="str">
            <v>A1-S01</v>
          </cell>
          <cell r="G113" t="str">
            <v xml:space="preserve">Top panel  - Ván nóc </v>
          </cell>
          <cell r="H113" t="str">
            <v>MDF Veneer</v>
          </cell>
          <cell r="I113">
            <v>14</v>
          </cell>
        </row>
        <row r="114">
          <cell r="A114" t="str">
            <v>B557908/A</v>
          </cell>
          <cell r="B114" t="str">
            <v>AR095M823</v>
          </cell>
          <cell r="C114">
            <v>14</v>
          </cell>
          <cell r="D114">
            <v>367</v>
          </cell>
          <cell r="E114">
            <v>5138</v>
          </cell>
          <cell r="F114" t="str">
            <v>A1-S02</v>
          </cell>
          <cell r="G114" t="str">
            <v>Top rail - Đố nóc</v>
          </cell>
          <cell r="H114" t="str">
            <v>Wood laminate</v>
          </cell>
          <cell r="I114">
            <v>112</v>
          </cell>
        </row>
        <row r="115">
          <cell r="A115" t="str">
            <v>B557908/A</v>
          </cell>
          <cell r="B115" t="str">
            <v>AR095M823</v>
          </cell>
          <cell r="C115">
            <v>14</v>
          </cell>
          <cell r="D115">
            <v>367</v>
          </cell>
          <cell r="E115">
            <v>5138</v>
          </cell>
          <cell r="F115" t="str">
            <v>A2</v>
          </cell>
          <cell r="G115" t="str">
            <v>The leg  - Chân</v>
          </cell>
          <cell r="H115" t="str">
            <v>Pre-Assembly</v>
          </cell>
          <cell r="I115">
            <v>28</v>
          </cell>
        </row>
        <row r="116">
          <cell r="A116" t="str">
            <v>B557908/A</v>
          </cell>
          <cell r="B116" t="str">
            <v>AR095M823</v>
          </cell>
          <cell r="C116">
            <v>14</v>
          </cell>
          <cell r="D116">
            <v>367</v>
          </cell>
          <cell r="E116">
            <v>5138</v>
          </cell>
          <cell r="F116" t="str">
            <v>A2-S1</v>
          </cell>
          <cell r="G116" t="str">
            <v xml:space="preserve">Frame - Khung </v>
          </cell>
          <cell r="H116" t="str">
            <v>Pre-Assembly</v>
          </cell>
          <cell r="I116">
            <v>28</v>
          </cell>
        </row>
        <row r="117">
          <cell r="A117" t="str">
            <v>B557908/A</v>
          </cell>
          <cell r="B117" t="str">
            <v>AR095M823</v>
          </cell>
          <cell r="C117">
            <v>14</v>
          </cell>
          <cell r="D117">
            <v>367</v>
          </cell>
          <cell r="E117">
            <v>5138</v>
          </cell>
          <cell r="F117" t="str">
            <v>A2-S2</v>
          </cell>
          <cell r="G117" t="str">
            <v xml:space="preserve">Frame - Khung </v>
          </cell>
          <cell r="H117" t="str">
            <v>Pre-Assembly</v>
          </cell>
          <cell r="I117">
            <v>28</v>
          </cell>
        </row>
        <row r="118">
          <cell r="A118" t="str">
            <v>B557908/A</v>
          </cell>
          <cell r="B118" t="str">
            <v>AR095M823</v>
          </cell>
          <cell r="C118">
            <v>14</v>
          </cell>
          <cell r="D118">
            <v>367</v>
          </cell>
          <cell r="E118">
            <v>5138</v>
          </cell>
          <cell r="F118" t="str">
            <v>A2-S3</v>
          </cell>
          <cell r="G118" t="str">
            <v xml:space="preserve">Panel - Ván </v>
          </cell>
          <cell r="H118" t="str">
            <v>MDF - 15 x 1830 x 2440mm [CARB P2 Compliant]</v>
          </cell>
          <cell r="I118">
            <v>56</v>
          </cell>
        </row>
        <row r="119">
          <cell r="A119" t="str">
            <v>B557908/A</v>
          </cell>
          <cell r="B119" t="str">
            <v>AR095M823</v>
          </cell>
          <cell r="C119">
            <v>14</v>
          </cell>
          <cell r="D119">
            <v>367</v>
          </cell>
          <cell r="E119">
            <v>5138</v>
          </cell>
          <cell r="F119" t="str">
            <v>A2-S4</v>
          </cell>
          <cell r="G119" t="str">
            <v xml:space="preserve">Panel - Ván </v>
          </cell>
          <cell r="H119" t="str">
            <v>MDF - 25 x 1830 x 2440mm [CARB P2 Compliant]</v>
          </cell>
          <cell r="I119">
            <v>28</v>
          </cell>
        </row>
        <row r="120">
          <cell r="A120" t="str">
            <v>B557908/A</v>
          </cell>
          <cell r="B120" t="str">
            <v>AR095M823</v>
          </cell>
          <cell r="C120">
            <v>14</v>
          </cell>
          <cell r="D120">
            <v>367</v>
          </cell>
          <cell r="E120">
            <v>5138</v>
          </cell>
          <cell r="F120" t="str">
            <v>A2-S5</v>
          </cell>
          <cell r="G120" t="str">
            <v>Patching wood - Gỗ đắp</v>
          </cell>
          <cell r="H120" t="str">
            <v>Wood White Oak - Straight/Waving Edged, 2 COM - T32mm x W100mm Up x L1.5m Up</v>
          </cell>
          <cell r="I120">
            <v>28</v>
          </cell>
        </row>
        <row r="121">
          <cell r="A121" t="str">
            <v>B557908/A</v>
          </cell>
          <cell r="B121" t="str">
            <v>AR095M823</v>
          </cell>
          <cell r="C121">
            <v>14</v>
          </cell>
          <cell r="D121">
            <v>367</v>
          </cell>
          <cell r="E121">
            <v>5138</v>
          </cell>
          <cell r="F121" t="str">
            <v>A2-S6</v>
          </cell>
          <cell r="G121" t="str">
            <v>Patching wood - Gỗ đắp</v>
          </cell>
          <cell r="H121" t="str">
            <v>Wood White Oak - Straight/Waving Edged, 2 COM - T32mm x W100mm Up x L1.5m Up</v>
          </cell>
          <cell r="I121">
            <v>56</v>
          </cell>
        </row>
        <row r="122">
          <cell r="A122" t="str">
            <v>B557908/A</v>
          </cell>
          <cell r="B122" t="str">
            <v>AR095M823</v>
          </cell>
          <cell r="C122">
            <v>14</v>
          </cell>
          <cell r="D122">
            <v>367</v>
          </cell>
          <cell r="E122">
            <v>5138</v>
          </cell>
          <cell r="F122" t="str">
            <v>A3</v>
          </cell>
          <cell r="G122" t="str">
            <v>The leg  - Chân</v>
          </cell>
          <cell r="H122" t="str">
            <v>Pre-Assembly</v>
          </cell>
          <cell r="I122">
            <v>14</v>
          </cell>
        </row>
        <row r="123">
          <cell r="A123" t="str">
            <v>B557908/A</v>
          </cell>
          <cell r="B123" t="str">
            <v>AR095M823</v>
          </cell>
          <cell r="C123">
            <v>14</v>
          </cell>
          <cell r="D123">
            <v>367</v>
          </cell>
          <cell r="E123">
            <v>5138</v>
          </cell>
          <cell r="F123" t="str">
            <v>A3-S1</v>
          </cell>
          <cell r="G123" t="str">
            <v xml:space="preserve">Frame - Khung </v>
          </cell>
          <cell r="H123" t="str">
            <v>Pre-Assembly</v>
          </cell>
          <cell r="I123">
            <v>14</v>
          </cell>
        </row>
        <row r="124">
          <cell r="A124" t="str">
            <v>B557908/A</v>
          </cell>
          <cell r="B124" t="str">
            <v>AR095M823</v>
          </cell>
          <cell r="C124">
            <v>14</v>
          </cell>
          <cell r="D124">
            <v>367</v>
          </cell>
          <cell r="E124">
            <v>5138</v>
          </cell>
          <cell r="F124" t="str">
            <v>A3-S2</v>
          </cell>
          <cell r="G124" t="str">
            <v xml:space="preserve">Frame - Khung </v>
          </cell>
          <cell r="H124" t="str">
            <v>Pre-Assembly</v>
          </cell>
          <cell r="I124">
            <v>14</v>
          </cell>
        </row>
        <row r="125">
          <cell r="A125" t="str">
            <v>B557908/A</v>
          </cell>
          <cell r="B125" t="str">
            <v>AR095M823</v>
          </cell>
          <cell r="C125">
            <v>14</v>
          </cell>
          <cell r="D125">
            <v>367</v>
          </cell>
          <cell r="E125">
            <v>5138</v>
          </cell>
          <cell r="F125" t="str">
            <v>A3-S3</v>
          </cell>
          <cell r="G125" t="str">
            <v xml:space="preserve">Panel - Ván </v>
          </cell>
          <cell r="H125" t="str">
            <v>MDF - 15 x 1830 x 2440mm [CARB P2 Compliant]</v>
          </cell>
          <cell r="I125">
            <v>28</v>
          </cell>
        </row>
        <row r="126">
          <cell r="A126" t="str">
            <v>B557908/A</v>
          </cell>
          <cell r="B126" t="str">
            <v>AR095M823</v>
          </cell>
          <cell r="C126">
            <v>14</v>
          </cell>
          <cell r="D126">
            <v>367</v>
          </cell>
          <cell r="E126">
            <v>5138</v>
          </cell>
          <cell r="F126" t="str">
            <v>A3-S4</v>
          </cell>
          <cell r="G126" t="str">
            <v xml:space="preserve">Panel - Ván </v>
          </cell>
          <cell r="H126" t="str">
            <v>MDF - 25 x 1830 x 2440mm [CARB P2 Compliant]</v>
          </cell>
          <cell r="I126">
            <v>14</v>
          </cell>
        </row>
        <row r="127">
          <cell r="A127" t="str">
            <v>B557908/A</v>
          </cell>
          <cell r="B127" t="str">
            <v>AR095M823</v>
          </cell>
          <cell r="C127">
            <v>14</v>
          </cell>
          <cell r="D127">
            <v>367</v>
          </cell>
          <cell r="E127">
            <v>5138</v>
          </cell>
          <cell r="F127" t="str">
            <v>A3-S5</v>
          </cell>
          <cell r="G127" t="str">
            <v>Patching wood - Gỗ đắp</v>
          </cell>
          <cell r="H127" t="str">
            <v>Wood White Oak - Straight/Waving Edged, 2 COM - T32mm x W100mm Up x L1.5m Up</v>
          </cell>
          <cell r="I127">
            <v>14</v>
          </cell>
        </row>
        <row r="128">
          <cell r="A128" t="str">
            <v>B557908/A</v>
          </cell>
          <cell r="B128" t="str">
            <v>AR095M823</v>
          </cell>
          <cell r="C128">
            <v>14</v>
          </cell>
          <cell r="D128">
            <v>367</v>
          </cell>
          <cell r="E128">
            <v>5138</v>
          </cell>
          <cell r="F128" t="str">
            <v>P01</v>
          </cell>
          <cell r="G128" t="str">
            <v>Corner block - ke góc</v>
          </cell>
          <cell r="H128" t="str">
            <v>oak off cut</v>
          </cell>
          <cell r="I128">
            <v>56</v>
          </cell>
        </row>
        <row r="129">
          <cell r="A129" t="str">
            <v>B557908/A</v>
          </cell>
          <cell r="B129" t="str">
            <v>AR095M823</v>
          </cell>
          <cell r="C129">
            <v>14</v>
          </cell>
          <cell r="D129">
            <v>367</v>
          </cell>
          <cell r="E129">
            <v>5138</v>
          </cell>
          <cell r="F129" t="str">
            <v>P02</v>
          </cell>
          <cell r="G129" t="str">
            <v>Spline - Lưỡi gà</v>
          </cell>
          <cell r="H129" t="str">
            <v>Plywood LVD - 15 x 1220 x 2440mm, Bleached Poplar Veneer Both Sides [CARB P2 Compliant]</v>
          </cell>
          <cell r="I129">
            <v>28</v>
          </cell>
        </row>
        <row r="130">
          <cell r="A130" t="str">
            <v>B557911/A</v>
          </cell>
          <cell r="B130" t="str">
            <v>AR191M906</v>
          </cell>
          <cell r="C130">
            <v>62</v>
          </cell>
          <cell r="D130">
            <v>355</v>
          </cell>
          <cell r="E130">
            <v>22010</v>
          </cell>
          <cell r="F130" t="str">
            <v>A1-S1</v>
          </cell>
          <cell r="G130" t="str">
            <v>Patching wood - Gỗ đắp</v>
          </cell>
          <cell r="H130" t="str">
            <v>MDF Veneer</v>
          </cell>
          <cell r="I130">
            <v>62</v>
          </cell>
        </row>
        <row r="131">
          <cell r="A131" t="str">
            <v>B557911/A</v>
          </cell>
          <cell r="B131" t="str">
            <v>AR191M906</v>
          </cell>
          <cell r="C131">
            <v>62</v>
          </cell>
          <cell r="D131">
            <v>355</v>
          </cell>
          <cell r="E131">
            <v>22010</v>
          </cell>
          <cell r="F131" t="str">
            <v>A1-S2</v>
          </cell>
          <cell r="G131" t="str">
            <v>Top Frame - Khung nóc</v>
          </cell>
          <cell r="H131" t="str">
            <v>Pre-Assembly</v>
          </cell>
          <cell r="I131">
            <v>62</v>
          </cell>
        </row>
        <row r="132">
          <cell r="A132" t="str">
            <v>B557911/A</v>
          </cell>
          <cell r="B132" t="str">
            <v>AR191M906</v>
          </cell>
          <cell r="C132">
            <v>62</v>
          </cell>
          <cell r="D132">
            <v>355</v>
          </cell>
          <cell r="E132">
            <v>22010</v>
          </cell>
          <cell r="F132" t="str">
            <v>A1-S2-1</v>
          </cell>
          <cell r="G132" t="str">
            <v xml:space="preserve">Top panel  - Ván nóc </v>
          </cell>
          <cell r="H132" t="str">
            <v>MDF Veneer</v>
          </cell>
          <cell r="I132">
            <v>62</v>
          </cell>
        </row>
        <row r="133">
          <cell r="A133" t="str">
            <v>B557911/A</v>
          </cell>
          <cell r="B133" t="str">
            <v>AR191M906</v>
          </cell>
          <cell r="C133">
            <v>62</v>
          </cell>
          <cell r="D133">
            <v>355</v>
          </cell>
          <cell r="E133">
            <v>22010</v>
          </cell>
          <cell r="F133" t="str">
            <v>A2-S1</v>
          </cell>
          <cell r="G133" t="str">
            <v>Patching wood - Gỗ đắp</v>
          </cell>
          <cell r="H133" t="str">
            <v>MDF Veneer</v>
          </cell>
          <cell r="I133">
            <v>124</v>
          </cell>
        </row>
        <row r="134">
          <cell r="A134" t="str">
            <v>B557911/A</v>
          </cell>
          <cell r="B134" t="str">
            <v>AR191M906</v>
          </cell>
          <cell r="C134">
            <v>62</v>
          </cell>
          <cell r="D134">
            <v>355</v>
          </cell>
          <cell r="E134">
            <v>22010</v>
          </cell>
          <cell r="F134" t="str">
            <v>A2-S2</v>
          </cell>
          <cell r="G134" t="str">
            <v>Side Frame - Khung hông</v>
          </cell>
          <cell r="H134" t="str">
            <v>Pre-Assembly</v>
          </cell>
          <cell r="I134">
            <v>124</v>
          </cell>
        </row>
        <row r="135">
          <cell r="A135" t="str">
            <v>B557911/A</v>
          </cell>
          <cell r="B135" t="str">
            <v>AR191M906</v>
          </cell>
          <cell r="C135">
            <v>62</v>
          </cell>
          <cell r="D135">
            <v>355</v>
          </cell>
          <cell r="E135">
            <v>22010</v>
          </cell>
          <cell r="F135" t="str">
            <v>A2-S2-1</v>
          </cell>
          <cell r="G135" t="str">
            <v xml:space="preserve">Side panel  - Ván hông </v>
          </cell>
          <cell r="H135" t="str">
            <v>MDF Veneer</v>
          </cell>
          <cell r="I135">
            <v>124</v>
          </cell>
        </row>
        <row r="136">
          <cell r="A136" t="str">
            <v>B557911/A</v>
          </cell>
          <cell r="B136" t="str">
            <v>AR191M906</v>
          </cell>
          <cell r="C136">
            <v>62</v>
          </cell>
          <cell r="D136">
            <v>355</v>
          </cell>
          <cell r="E136">
            <v>22010</v>
          </cell>
          <cell r="F136" t="str">
            <v>A2-S4</v>
          </cell>
          <cell r="G136" t="str">
            <v xml:space="preserve">Side rail  - Đố hông </v>
          </cell>
          <cell r="H136" t="str">
            <v>Plywood LVD - 12 x 1220 x 2440mm, Bleached Poplar Veneer Both Sides [CARB P2 Compliant]</v>
          </cell>
          <cell r="I136">
            <v>372</v>
          </cell>
        </row>
        <row r="137">
          <cell r="A137" t="str">
            <v>B557911/A</v>
          </cell>
          <cell r="B137" t="str">
            <v>AR191M906</v>
          </cell>
          <cell r="C137">
            <v>62</v>
          </cell>
          <cell r="D137">
            <v>355</v>
          </cell>
          <cell r="E137">
            <v>22010</v>
          </cell>
          <cell r="F137" t="str">
            <v>A3-S1</v>
          </cell>
          <cell r="G137" t="str">
            <v xml:space="preserve">Drawer front - Mặt hộc kéo </v>
          </cell>
          <cell r="H137" t="str">
            <v>MDF Veneer</v>
          </cell>
          <cell r="I137">
            <v>186</v>
          </cell>
        </row>
        <row r="138">
          <cell r="A138" t="str">
            <v>B557911/A</v>
          </cell>
          <cell r="B138" t="str">
            <v>AR191M906</v>
          </cell>
          <cell r="C138">
            <v>62</v>
          </cell>
          <cell r="D138">
            <v>355</v>
          </cell>
          <cell r="E138">
            <v>22010</v>
          </cell>
          <cell r="F138" t="str">
            <v>A3-S2</v>
          </cell>
          <cell r="G138" t="str">
            <v xml:space="preserve">Drawer front 1 - Mặt hộc kéo </v>
          </cell>
          <cell r="H138" t="str">
            <v>MDF Veneer</v>
          </cell>
          <cell r="I138">
            <v>186</v>
          </cell>
        </row>
        <row r="139">
          <cell r="A139" t="str">
            <v>B557911/A</v>
          </cell>
          <cell r="B139" t="str">
            <v>AR191M906</v>
          </cell>
          <cell r="C139">
            <v>62</v>
          </cell>
          <cell r="D139">
            <v>355</v>
          </cell>
          <cell r="E139">
            <v>22010</v>
          </cell>
          <cell r="F139" t="str">
            <v>A3-S3</v>
          </cell>
          <cell r="G139" t="str">
            <v>Drawer back - Hậu hộc kéo</v>
          </cell>
          <cell r="H139" t="str">
            <v>MDF Veneer</v>
          </cell>
          <cell r="I139">
            <v>186</v>
          </cell>
        </row>
        <row r="140">
          <cell r="A140" t="str">
            <v>B557911/A</v>
          </cell>
          <cell r="B140" t="str">
            <v>AR191M906</v>
          </cell>
          <cell r="C140">
            <v>62</v>
          </cell>
          <cell r="D140">
            <v>355</v>
          </cell>
          <cell r="E140">
            <v>22010</v>
          </cell>
          <cell r="F140" t="str">
            <v>A3-S4</v>
          </cell>
          <cell r="G140" t="str">
            <v>Drawer side - Hông hộc kéo</v>
          </cell>
          <cell r="H140" t="str">
            <v>MDF Veneer</v>
          </cell>
          <cell r="I140">
            <v>372</v>
          </cell>
        </row>
        <row r="141">
          <cell r="A141" t="str">
            <v>B557911/A</v>
          </cell>
          <cell r="B141" t="str">
            <v>AR191M906</v>
          </cell>
          <cell r="C141">
            <v>62</v>
          </cell>
          <cell r="D141">
            <v>355</v>
          </cell>
          <cell r="E141">
            <v>22010</v>
          </cell>
          <cell r="F141" t="str">
            <v>A3-S5</v>
          </cell>
          <cell r="G141" t="str">
            <v>Drawer bottom  - Đáy hộc kéo</v>
          </cell>
          <cell r="H141" t="str">
            <v>MDF Veneer</v>
          </cell>
          <cell r="I141">
            <v>186</v>
          </cell>
        </row>
        <row r="142">
          <cell r="A142" t="str">
            <v>B557911/A</v>
          </cell>
          <cell r="B142" t="str">
            <v>AR191M906</v>
          </cell>
          <cell r="C142">
            <v>62</v>
          </cell>
          <cell r="D142">
            <v>355</v>
          </cell>
          <cell r="E142">
            <v>22010</v>
          </cell>
          <cell r="F142" t="str">
            <v>A3-S6</v>
          </cell>
          <cell r="G142" t="str">
            <v>support Top - đỡ nóc</v>
          </cell>
          <cell r="H142" t="str">
            <v>Standard Wood - ALDER/ASPEN/LENGA/US POPLAR, 2 COM - T38 W120mm+ L2m+</v>
          </cell>
          <cell r="I142">
            <v>186</v>
          </cell>
        </row>
        <row r="143">
          <cell r="A143" t="str">
            <v>B557911/A</v>
          </cell>
          <cell r="B143" t="str">
            <v>AR191M906</v>
          </cell>
          <cell r="C143">
            <v>62</v>
          </cell>
          <cell r="D143">
            <v>355</v>
          </cell>
          <cell r="E143">
            <v>22010</v>
          </cell>
          <cell r="F143" t="str">
            <v>P01</v>
          </cell>
          <cell r="G143" t="str">
            <v>Back top rail - Đố hậu nóc</v>
          </cell>
          <cell r="H143" t="str">
            <v>Plywood LVD - 18 x 1220 x 2440mm, Bleached Poplar Veneer Both Sides [CARB P2 Compliant]</v>
          </cell>
          <cell r="I143">
            <v>62</v>
          </cell>
        </row>
        <row r="144">
          <cell r="A144" t="str">
            <v>B557911/A</v>
          </cell>
          <cell r="B144" t="str">
            <v>AR191M906</v>
          </cell>
          <cell r="C144">
            <v>62</v>
          </cell>
          <cell r="D144">
            <v>355</v>
          </cell>
          <cell r="E144">
            <v>22010</v>
          </cell>
          <cell r="F144" t="str">
            <v>P01-1</v>
          </cell>
          <cell r="G144" t="str">
            <v>Back bottom rail - Đố hậu đáy</v>
          </cell>
          <cell r="H144" t="str">
            <v>Plywood LVD - 18 x 1220 x 2440mm, Bleached Poplar Veneer Both Sides [CARB P2 Compliant]</v>
          </cell>
          <cell r="I144">
            <v>62</v>
          </cell>
        </row>
        <row r="145">
          <cell r="A145" t="str">
            <v>B557911/A</v>
          </cell>
          <cell r="B145" t="str">
            <v>AR191M906</v>
          </cell>
          <cell r="C145">
            <v>62</v>
          </cell>
          <cell r="D145">
            <v>355</v>
          </cell>
          <cell r="E145">
            <v>22010</v>
          </cell>
          <cell r="F145" t="str">
            <v>P01-2</v>
          </cell>
          <cell r="G145" t="str">
            <v>Front top rail  - Đố tiền nóc</v>
          </cell>
          <cell r="H145" t="str">
            <v>Plywood LVD - 18 x 1220 x 2440mm, Bleached Poplar Veneer Both Sides [CARB P2 Compliant]</v>
          </cell>
          <cell r="I145">
            <v>62</v>
          </cell>
        </row>
        <row r="146">
          <cell r="A146" t="str">
            <v>B557911/A</v>
          </cell>
          <cell r="B146" t="str">
            <v>AR191M906</v>
          </cell>
          <cell r="C146">
            <v>62</v>
          </cell>
          <cell r="D146">
            <v>355</v>
          </cell>
          <cell r="E146">
            <v>22010</v>
          </cell>
          <cell r="F146" t="str">
            <v>P02</v>
          </cell>
          <cell r="G146" t="str">
            <v>Spline - Lưỡi gà</v>
          </cell>
          <cell r="H146" t="str">
            <v>Plywood LVD - 06 x 1220 x 2440mm, Bleached Poplar Veneer Both Sides [CARB P2 Compliant]</v>
          </cell>
          <cell r="I146">
            <v>124</v>
          </cell>
        </row>
        <row r="147">
          <cell r="A147" t="str">
            <v>B557911/A</v>
          </cell>
          <cell r="B147" t="str">
            <v>AR191M906</v>
          </cell>
          <cell r="C147">
            <v>62</v>
          </cell>
          <cell r="D147">
            <v>355</v>
          </cell>
          <cell r="E147">
            <v>22010</v>
          </cell>
          <cell r="F147" t="str">
            <v>P03</v>
          </cell>
          <cell r="G147" t="str">
            <v>Drawer stop - Dừng hộc</v>
          </cell>
          <cell r="H147" t="str">
            <v>Poplar off cut</v>
          </cell>
          <cell r="I147">
            <v>372</v>
          </cell>
        </row>
        <row r="148">
          <cell r="A148" t="str">
            <v>B557911/A</v>
          </cell>
          <cell r="B148" t="str">
            <v>AR191M906</v>
          </cell>
          <cell r="C148">
            <v>62</v>
          </cell>
          <cell r="D148">
            <v>355</v>
          </cell>
          <cell r="E148">
            <v>22010</v>
          </cell>
          <cell r="F148" t="str">
            <v>P04</v>
          </cell>
          <cell r="G148" t="str">
            <v>Front Bottom Rail  - Đố đáy trước</v>
          </cell>
          <cell r="H148" t="str">
            <v>Wood EU Beech - Straight/Waving Edged AB, 1 COM - T26mm x W100mm up x L1.8m up</v>
          </cell>
          <cell r="I148">
            <v>62</v>
          </cell>
        </row>
        <row r="149">
          <cell r="A149" t="str">
            <v>B557911/A</v>
          </cell>
          <cell r="B149" t="str">
            <v>AR191M906</v>
          </cell>
          <cell r="C149">
            <v>62</v>
          </cell>
          <cell r="D149">
            <v>355</v>
          </cell>
          <cell r="E149">
            <v>22010</v>
          </cell>
          <cell r="F149" t="str">
            <v>P05</v>
          </cell>
          <cell r="G149" t="str">
            <v>Bottom panel - Ván đáy</v>
          </cell>
          <cell r="H149" t="str">
            <v>MDF - 06 x 1830 x 2440mm [CARB P2 Compliant]</v>
          </cell>
          <cell r="I149">
            <v>62</v>
          </cell>
        </row>
        <row r="150">
          <cell r="A150" t="str">
            <v>B557911/A</v>
          </cell>
          <cell r="B150" t="str">
            <v>AR191M906</v>
          </cell>
          <cell r="C150">
            <v>62</v>
          </cell>
          <cell r="D150">
            <v>355</v>
          </cell>
          <cell r="E150">
            <v>22010</v>
          </cell>
          <cell r="F150" t="str">
            <v>P06</v>
          </cell>
          <cell r="G150" t="str">
            <v>Cleat - Bọ gỗ</v>
          </cell>
          <cell r="H150" t="str">
            <v>Plywood LVD - 18 x 1220 x 2440mm, Bleached Poplar Veneer Both Sides [CARB P2 Compliant]</v>
          </cell>
          <cell r="I150">
            <v>124</v>
          </cell>
        </row>
        <row r="151">
          <cell r="A151" t="str">
            <v>B557911/A</v>
          </cell>
          <cell r="B151" t="str">
            <v>AR191M906</v>
          </cell>
          <cell r="C151">
            <v>62</v>
          </cell>
          <cell r="D151">
            <v>355</v>
          </cell>
          <cell r="E151">
            <v>22010</v>
          </cell>
          <cell r="F151" t="str">
            <v>P07</v>
          </cell>
          <cell r="G151" t="str">
            <v>Back panel - Ván hậu</v>
          </cell>
          <cell r="H151" t="str">
            <v>MDF Veneer</v>
          </cell>
          <cell r="I151">
            <v>62</v>
          </cell>
        </row>
        <row r="152">
          <cell r="A152" t="str">
            <v>B557911/A</v>
          </cell>
          <cell r="B152" t="str">
            <v>AR191M906</v>
          </cell>
          <cell r="C152">
            <v>62</v>
          </cell>
          <cell r="D152">
            <v>355</v>
          </cell>
          <cell r="E152">
            <v>22010</v>
          </cell>
          <cell r="F152" t="str">
            <v>P08</v>
          </cell>
          <cell r="G152" t="str">
            <v>The leg  - Chân</v>
          </cell>
          <cell r="H152" t="str">
            <v>Plywood lamilated</v>
          </cell>
          <cell r="I152">
            <v>248</v>
          </cell>
        </row>
        <row r="153">
          <cell r="A153" t="str">
            <v>B557911/A</v>
          </cell>
          <cell r="B153" t="str">
            <v>AR191M906</v>
          </cell>
          <cell r="C153">
            <v>62</v>
          </cell>
          <cell r="D153">
            <v>355</v>
          </cell>
          <cell r="E153">
            <v>22010</v>
          </cell>
          <cell r="F153" t="str">
            <v>P09</v>
          </cell>
          <cell r="G153" t="str">
            <v xml:space="preserve">Side rail  - Đố hông </v>
          </cell>
          <cell r="H153" t="str">
            <v>Poplar off cut</v>
          </cell>
          <cell r="I153">
            <v>124</v>
          </cell>
        </row>
        <row r="154">
          <cell r="A154" t="str">
            <v>B557911/A</v>
          </cell>
          <cell r="B154" t="str">
            <v>AR191M906</v>
          </cell>
          <cell r="C154">
            <v>62</v>
          </cell>
          <cell r="D154">
            <v>355</v>
          </cell>
          <cell r="E154">
            <v>22010</v>
          </cell>
          <cell r="F154" t="str">
            <v>P10</v>
          </cell>
          <cell r="G154" t="str">
            <v>Corner block - ke góc</v>
          </cell>
          <cell r="H154" t="str">
            <v>Poplar off cut</v>
          </cell>
          <cell r="I154">
            <v>248</v>
          </cell>
        </row>
        <row r="155">
          <cell r="A155" t="str">
            <v>B557912/A</v>
          </cell>
          <cell r="B155" t="str">
            <v>AR191M906</v>
          </cell>
          <cell r="C155">
            <v>88</v>
          </cell>
          <cell r="D155">
            <v>355</v>
          </cell>
          <cell r="E155">
            <v>31240</v>
          </cell>
          <cell r="F155" t="str">
            <v>A1-S1</v>
          </cell>
          <cell r="G155" t="str">
            <v>Patching wood - Gỗ đắp</v>
          </cell>
          <cell r="H155" t="str">
            <v>MDF Veneer</v>
          </cell>
          <cell r="I155">
            <v>88</v>
          </cell>
        </row>
        <row r="156">
          <cell r="A156" t="str">
            <v>B557912/A</v>
          </cell>
          <cell r="B156" t="str">
            <v>AR191M906</v>
          </cell>
          <cell r="C156">
            <v>88</v>
          </cell>
          <cell r="D156">
            <v>355</v>
          </cell>
          <cell r="E156">
            <v>31240</v>
          </cell>
          <cell r="F156" t="str">
            <v>A1-S2</v>
          </cell>
          <cell r="G156" t="str">
            <v>Top Frame - Khung nóc</v>
          </cell>
          <cell r="H156" t="str">
            <v>Pre-Assembly</v>
          </cell>
          <cell r="I156">
            <v>88</v>
          </cell>
        </row>
        <row r="157">
          <cell r="A157" t="str">
            <v>B557912/A</v>
          </cell>
          <cell r="B157" t="str">
            <v>AR191M906</v>
          </cell>
          <cell r="C157">
            <v>88</v>
          </cell>
          <cell r="D157">
            <v>355</v>
          </cell>
          <cell r="E157">
            <v>31240</v>
          </cell>
          <cell r="F157" t="str">
            <v>A1-S2-1</v>
          </cell>
          <cell r="G157" t="str">
            <v xml:space="preserve">Top panel  - Ván nóc </v>
          </cell>
          <cell r="H157" t="str">
            <v>MDF Veneer</v>
          </cell>
          <cell r="I157">
            <v>88</v>
          </cell>
        </row>
        <row r="158">
          <cell r="A158" t="str">
            <v>B557912/A</v>
          </cell>
          <cell r="B158" t="str">
            <v>AR191M906</v>
          </cell>
          <cell r="C158">
            <v>88</v>
          </cell>
          <cell r="D158">
            <v>355</v>
          </cell>
          <cell r="E158">
            <v>31240</v>
          </cell>
          <cell r="F158" t="str">
            <v>A2-S1</v>
          </cell>
          <cell r="G158" t="str">
            <v>Patching wood - Gỗ đắp</v>
          </cell>
          <cell r="H158" t="str">
            <v>MDF Veneer</v>
          </cell>
          <cell r="I158">
            <v>176</v>
          </cell>
        </row>
        <row r="159">
          <cell r="A159" t="str">
            <v>B557912/A</v>
          </cell>
          <cell r="B159" t="str">
            <v>AR191M906</v>
          </cell>
          <cell r="C159">
            <v>88</v>
          </cell>
          <cell r="D159">
            <v>355</v>
          </cell>
          <cell r="E159">
            <v>31240</v>
          </cell>
          <cell r="F159" t="str">
            <v>A2-S2</v>
          </cell>
          <cell r="G159" t="str">
            <v>Side Frame - Khung hông</v>
          </cell>
          <cell r="H159" t="str">
            <v>Pre-Assembly</v>
          </cell>
          <cell r="I159">
            <v>176</v>
          </cell>
        </row>
        <row r="160">
          <cell r="A160" t="str">
            <v>B557912/A</v>
          </cell>
          <cell r="B160" t="str">
            <v>AR191M906</v>
          </cell>
          <cell r="C160">
            <v>88</v>
          </cell>
          <cell r="D160">
            <v>355</v>
          </cell>
          <cell r="E160">
            <v>31240</v>
          </cell>
          <cell r="F160" t="str">
            <v>A2-S2-1</v>
          </cell>
          <cell r="G160" t="str">
            <v xml:space="preserve">Side panel  - Ván hông </v>
          </cell>
          <cell r="H160" t="str">
            <v>MDF Veneer</v>
          </cell>
          <cell r="I160">
            <v>176</v>
          </cell>
        </row>
        <row r="161">
          <cell r="A161" t="str">
            <v>B557912/A</v>
          </cell>
          <cell r="B161" t="str">
            <v>AR191M906</v>
          </cell>
          <cell r="C161">
            <v>88</v>
          </cell>
          <cell r="D161">
            <v>355</v>
          </cell>
          <cell r="E161">
            <v>31240</v>
          </cell>
          <cell r="F161" t="str">
            <v>A2-S4</v>
          </cell>
          <cell r="G161" t="str">
            <v xml:space="preserve">Side rail  - Đố hông </v>
          </cell>
          <cell r="H161" t="str">
            <v>Plywood LVD - 12 x 1220 x 2440mm, Bleached Poplar Veneer Both Sides [CARB P2 Compliant]</v>
          </cell>
          <cell r="I161">
            <v>528</v>
          </cell>
        </row>
        <row r="162">
          <cell r="A162" t="str">
            <v>B557912/A</v>
          </cell>
          <cell r="B162" t="str">
            <v>AR191M906</v>
          </cell>
          <cell r="C162">
            <v>88</v>
          </cell>
          <cell r="D162">
            <v>355</v>
          </cell>
          <cell r="E162">
            <v>31240</v>
          </cell>
          <cell r="F162" t="str">
            <v>A3-S1</v>
          </cell>
          <cell r="G162" t="str">
            <v xml:space="preserve">Drawer front - Mặt hộc kéo </v>
          </cell>
          <cell r="H162" t="str">
            <v>MDF Veneer</v>
          </cell>
          <cell r="I162">
            <v>264</v>
          </cell>
        </row>
        <row r="163">
          <cell r="A163" t="str">
            <v>B557912/A</v>
          </cell>
          <cell r="B163" t="str">
            <v>AR191M906</v>
          </cell>
          <cell r="C163">
            <v>88</v>
          </cell>
          <cell r="D163">
            <v>355</v>
          </cell>
          <cell r="E163">
            <v>31240</v>
          </cell>
          <cell r="F163" t="str">
            <v>A3-S2</v>
          </cell>
          <cell r="G163" t="str">
            <v xml:space="preserve">Drawer front 1 - Mặt hộc kéo </v>
          </cell>
          <cell r="H163" t="str">
            <v>MDF Veneer</v>
          </cell>
          <cell r="I163">
            <v>264</v>
          </cell>
        </row>
        <row r="164">
          <cell r="A164" t="str">
            <v>B557912/A</v>
          </cell>
          <cell r="B164" t="str">
            <v>AR191M906</v>
          </cell>
          <cell r="C164">
            <v>88</v>
          </cell>
          <cell r="D164">
            <v>355</v>
          </cell>
          <cell r="E164">
            <v>31240</v>
          </cell>
          <cell r="F164" t="str">
            <v>A3-S3</v>
          </cell>
          <cell r="G164" t="str">
            <v>Drawer back - Hậu hộc kéo</v>
          </cell>
          <cell r="H164" t="str">
            <v>MDF Veneer</v>
          </cell>
          <cell r="I164">
            <v>264</v>
          </cell>
        </row>
        <row r="165">
          <cell r="A165" t="str">
            <v>B557912/A</v>
          </cell>
          <cell r="B165" t="str">
            <v>AR191M906</v>
          </cell>
          <cell r="C165">
            <v>88</v>
          </cell>
          <cell r="D165">
            <v>355</v>
          </cell>
          <cell r="E165">
            <v>31240</v>
          </cell>
          <cell r="F165" t="str">
            <v>A3-S4</v>
          </cell>
          <cell r="G165" t="str">
            <v>Drawer side - Hông hộc kéo</v>
          </cell>
          <cell r="H165" t="str">
            <v>MDF Veneer</v>
          </cell>
          <cell r="I165">
            <v>528</v>
          </cell>
        </row>
        <row r="166">
          <cell r="A166" t="str">
            <v>B557912/A</v>
          </cell>
          <cell r="B166" t="str">
            <v>AR191M906</v>
          </cell>
          <cell r="C166">
            <v>88</v>
          </cell>
          <cell r="D166">
            <v>355</v>
          </cell>
          <cell r="E166">
            <v>31240</v>
          </cell>
          <cell r="F166" t="str">
            <v>A3-S5</v>
          </cell>
          <cell r="G166" t="str">
            <v>Drawer bottom  - Đáy hộc kéo</v>
          </cell>
          <cell r="H166" t="str">
            <v>MDF Veneer</v>
          </cell>
          <cell r="I166">
            <v>264</v>
          </cell>
        </row>
        <row r="167">
          <cell r="A167" t="str">
            <v>B557912/A</v>
          </cell>
          <cell r="B167" t="str">
            <v>AR191M906</v>
          </cell>
          <cell r="C167">
            <v>88</v>
          </cell>
          <cell r="D167">
            <v>355</v>
          </cell>
          <cell r="E167">
            <v>31240</v>
          </cell>
          <cell r="F167" t="str">
            <v>A3-S6</v>
          </cell>
          <cell r="G167" t="str">
            <v>support Top - đỡ nóc</v>
          </cell>
          <cell r="H167" t="str">
            <v>Standard Wood - ALDER/ASPEN/LENGA/US POPLAR, 2 COM - T38 W120mm+ L2m+</v>
          </cell>
          <cell r="I167">
            <v>264</v>
          </cell>
        </row>
        <row r="168">
          <cell r="A168" t="str">
            <v>B557912/A</v>
          </cell>
          <cell r="B168" t="str">
            <v>AR191M906</v>
          </cell>
          <cell r="C168">
            <v>88</v>
          </cell>
          <cell r="D168">
            <v>355</v>
          </cell>
          <cell r="E168">
            <v>31240</v>
          </cell>
          <cell r="F168" t="str">
            <v>P01</v>
          </cell>
          <cell r="G168" t="str">
            <v>Back top rail - Đố hậu nóc</v>
          </cell>
          <cell r="H168" t="str">
            <v>Plywood LVD - 18 x 1220 x 2440mm, Bleached Poplar Veneer Both Sides [CARB P2 Compliant]</v>
          </cell>
          <cell r="I168">
            <v>88</v>
          </cell>
        </row>
        <row r="169">
          <cell r="A169" t="str">
            <v>B557912/A</v>
          </cell>
          <cell r="B169" t="str">
            <v>AR191M906</v>
          </cell>
          <cell r="C169">
            <v>88</v>
          </cell>
          <cell r="D169">
            <v>355</v>
          </cell>
          <cell r="E169">
            <v>31240</v>
          </cell>
          <cell r="F169" t="str">
            <v>P01-1</v>
          </cell>
          <cell r="G169" t="str">
            <v>Back bottom rail - Đố hậu đáy</v>
          </cell>
          <cell r="H169" t="str">
            <v>Plywood LVD - 18 x 1220 x 2440mm, Bleached Poplar Veneer Both Sides [CARB P2 Compliant]</v>
          </cell>
          <cell r="I169">
            <v>88</v>
          </cell>
        </row>
        <row r="170">
          <cell r="A170" t="str">
            <v>B557912/A</v>
          </cell>
          <cell r="B170" t="str">
            <v>AR191M906</v>
          </cell>
          <cell r="C170">
            <v>88</v>
          </cell>
          <cell r="D170">
            <v>355</v>
          </cell>
          <cell r="E170">
            <v>31240</v>
          </cell>
          <cell r="F170" t="str">
            <v>P01-2</v>
          </cell>
          <cell r="G170" t="str">
            <v>Front top rail  - Đố tiền nóc</v>
          </cell>
          <cell r="H170" t="str">
            <v>Plywood LVD - 18 x 1220 x 2440mm, Bleached Poplar Veneer Both Sides [CARB P2 Compliant]</v>
          </cell>
          <cell r="I170">
            <v>88</v>
          </cell>
        </row>
        <row r="171">
          <cell r="A171" t="str">
            <v>B557912/A</v>
          </cell>
          <cell r="B171" t="str">
            <v>AR191M906</v>
          </cell>
          <cell r="C171">
            <v>88</v>
          </cell>
          <cell r="D171">
            <v>355</v>
          </cell>
          <cell r="E171">
            <v>31240</v>
          </cell>
          <cell r="F171" t="str">
            <v>P02</v>
          </cell>
          <cell r="G171" t="str">
            <v>Spline - Lưỡi gà</v>
          </cell>
          <cell r="H171" t="str">
            <v>Plywood LVD - 06 x 1220 x 2440mm, Bleached Poplar Veneer Both Sides [CARB P2 Compliant]</v>
          </cell>
          <cell r="I171">
            <v>176</v>
          </cell>
        </row>
        <row r="172">
          <cell r="A172" t="str">
            <v>B557912/A</v>
          </cell>
          <cell r="B172" t="str">
            <v>AR191M906</v>
          </cell>
          <cell r="C172">
            <v>88</v>
          </cell>
          <cell r="D172">
            <v>355</v>
          </cell>
          <cell r="E172">
            <v>31240</v>
          </cell>
          <cell r="F172" t="str">
            <v>P03</v>
          </cell>
          <cell r="G172" t="str">
            <v>Drawer stop - Dừng hộc</v>
          </cell>
          <cell r="H172" t="str">
            <v>Poplar off cut</v>
          </cell>
          <cell r="I172">
            <v>528</v>
          </cell>
        </row>
        <row r="173">
          <cell r="A173" t="str">
            <v>B557912/A</v>
          </cell>
          <cell r="B173" t="str">
            <v>AR191M906</v>
          </cell>
          <cell r="C173">
            <v>88</v>
          </cell>
          <cell r="D173">
            <v>355</v>
          </cell>
          <cell r="E173">
            <v>31240</v>
          </cell>
          <cell r="F173" t="str">
            <v>P04</v>
          </cell>
          <cell r="G173" t="str">
            <v>Front Bottom Rail  - Đố đáy trước</v>
          </cell>
          <cell r="H173" t="str">
            <v>Wood EU Beech - Straight/Waving Edged AB, 1 COM - T26mm x W100mm up x L1.8m up</v>
          </cell>
          <cell r="I173">
            <v>88</v>
          </cell>
        </row>
        <row r="174">
          <cell r="A174" t="str">
            <v>B557912/A</v>
          </cell>
          <cell r="B174" t="str">
            <v>AR191M906</v>
          </cell>
          <cell r="C174">
            <v>88</v>
          </cell>
          <cell r="D174">
            <v>355</v>
          </cell>
          <cell r="E174">
            <v>31240</v>
          </cell>
          <cell r="F174" t="str">
            <v>P05</v>
          </cell>
          <cell r="G174" t="str">
            <v>Bottom panel - Ván đáy</v>
          </cell>
          <cell r="H174" t="str">
            <v>MDF - 06 x 1830 x 2440mm [CARB P2 Compliant]</v>
          </cell>
          <cell r="I174">
            <v>88</v>
          </cell>
        </row>
        <row r="175">
          <cell r="A175" t="str">
            <v>B557912/A</v>
          </cell>
          <cell r="B175" t="str">
            <v>AR191M906</v>
          </cell>
          <cell r="C175">
            <v>88</v>
          </cell>
          <cell r="D175">
            <v>355</v>
          </cell>
          <cell r="E175">
            <v>31240</v>
          </cell>
          <cell r="F175" t="str">
            <v>P06</v>
          </cell>
          <cell r="G175" t="str">
            <v>Cleat - Bọ gỗ</v>
          </cell>
          <cell r="H175" t="str">
            <v>Plywood LVD - 18 x 1220 x 2440mm, Bleached Poplar Veneer Both Sides [CARB P2 Compliant]</v>
          </cell>
          <cell r="I175">
            <v>176</v>
          </cell>
        </row>
        <row r="176">
          <cell r="A176" t="str">
            <v>B557912/A</v>
          </cell>
          <cell r="B176" t="str">
            <v>AR191M906</v>
          </cell>
          <cell r="C176">
            <v>88</v>
          </cell>
          <cell r="D176">
            <v>355</v>
          </cell>
          <cell r="E176">
            <v>31240</v>
          </cell>
          <cell r="F176" t="str">
            <v>P07</v>
          </cell>
          <cell r="G176" t="str">
            <v>Back panel - Ván hậu</v>
          </cell>
          <cell r="H176" t="str">
            <v>MDF Veneer</v>
          </cell>
          <cell r="I176">
            <v>88</v>
          </cell>
        </row>
        <row r="177">
          <cell r="A177" t="str">
            <v>B557912/A</v>
          </cell>
          <cell r="B177" t="str">
            <v>AR191M906</v>
          </cell>
          <cell r="C177">
            <v>88</v>
          </cell>
          <cell r="D177">
            <v>355</v>
          </cell>
          <cell r="E177">
            <v>31240</v>
          </cell>
          <cell r="F177" t="str">
            <v>P08</v>
          </cell>
          <cell r="G177" t="str">
            <v>The leg  - Chân</v>
          </cell>
          <cell r="H177" t="str">
            <v>Plywood lamilated</v>
          </cell>
          <cell r="I177">
            <v>352</v>
          </cell>
        </row>
        <row r="178">
          <cell r="A178" t="str">
            <v>B557912/A</v>
          </cell>
          <cell r="B178" t="str">
            <v>AR191M906</v>
          </cell>
          <cell r="C178">
            <v>88</v>
          </cell>
          <cell r="D178">
            <v>355</v>
          </cell>
          <cell r="E178">
            <v>31240</v>
          </cell>
          <cell r="F178" t="str">
            <v>P09</v>
          </cell>
          <cell r="G178" t="str">
            <v xml:space="preserve">Side rail  - Đố hông </v>
          </cell>
          <cell r="H178" t="str">
            <v>Poplar off cut</v>
          </cell>
          <cell r="I178">
            <v>176</v>
          </cell>
        </row>
        <row r="179">
          <cell r="A179" t="str">
            <v>B557912/A</v>
          </cell>
          <cell r="B179" t="str">
            <v>AR191M906</v>
          </cell>
          <cell r="C179">
            <v>88</v>
          </cell>
          <cell r="D179">
            <v>355</v>
          </cell>
          <cell r="E179">
            <v>31240</v>
          </cell>
          <cell r="F179" t="str">
            <v>P10</v>
          </cell>
          <cell r="G179" t="str">
            <v>Corner block - ke góc</v>
          </cell>
          <cell r="H179" t="str">
            <v>Poplar off cut</v>
          </cell>
          <cell r="I179">
            <v>352</v>
          </cell>
        </row>
        <row r="180">
          <cell r="A180" t="str">
            <v>B557883/A</v>
          </cell>
          <cell r="B180" t="str">
            <v>AR330M871</v>
          </cell>
          <cell r="C180">
            <v>6</v>
          </cell>
          <cell r="D180">
            <v>437</v>
          </cell>
          <cell r="E180">
            <v>2622</v>
          </cell>
          <cell r="F180" t="str">
            <v>A1</v>
          </cell>
          <cell r="G180" t="str">
            <v>Top Frame - Khung nóc</v>
          </cell>
          <cell r="H180" t="str">
            <v>Pre-Assembly</v>
          </cell>
          <cell r="I180">
            <v>6</v>
          </cell>
        </row>
        <row r="181">
          <cell r="A181" t="str">
            <v>B557883/A</v>
          </cell>
          <cell r="B181" t="str">
            <v>AR330M871</v>
          </cell>
          <cell r="C181">
            <v>6</v>
          </cell>
          <cell r="D181">
            <v>437</v>
          </cell>
          <cell r="E181">
            <v>2622</v>
          </cell>
          <cell r="F181" t="str">
            <v>A1-S01</v>
          </cell>
          <cell r="G181" t="str">
            <v xml:space="preserve">Top panel  - Ván nóc </v>
          </cell>
          <cell r="H181" t="str">
            <v>MDF Veneer</v>
          </cell>
          <cell r="I181">
            <v>6</v>
          </cell>
        </row>
        <row r="182">
          <cell r="A182" t="str">
            <v>B557883/A</v>
          </cell>
          <cell r="B182" t="str">
            <v>AR330M871</v>
          </cell>
          <cell r="C182">
            <v>6</v>
          </cell>
          <cell r="D182">
            <v>437</v>
          </cell>
          <cell r="E182">
            <v>2622</v>
          </cell>
          <cell r="F182" t="str">
            <v>A1-S02</v>
          </cell>
          <cell r="G182" t="str">
            <v>Top rail - Đố nóc</v>
          </cell>
          <cell r="H182" t="str">
            <v>Wood laminate</v>
          </cell>
          <cell r="I182">
            <v>48</v>
          </cell>
        </row>
        <row r="183">
          <cell r="A183" t="str">
            <v>B557883/A</v>
          </cell>
          <cell r="B183" t="str">
            <v>AR330M871</v>
          </cell>
          <cell r="C183">
            <v>6</v>
          </cell>
          <cell r="D183">
            <v>437</v>
          </cell>
          <cell r="E183">
            <v>2622</v>
          </cell>
          <cell r="F183" t="str">
            <v>A2</v>
          </cell>
          <cell r="G183" t="str">
            <v>The leg  - Chân</v>
          </cell>
          <cell r="H183" t="str">
            <v>Pre-Assembly</v>
          </cell>
          <cell r="I183">
            <v>12</v>
          </cell>
        </row>
        <row r="184">
          <cell r="A184" t="str">
            <v>B557883/A</v>
          </cell>
          <cell r="B184" t="str">
            <v>AR330M871</v>
          </cell>
          <cell r="C184">
            <v>6</v>
          </cell>
          <cell r="D184">
            <v>437</v>
          </cell>
          <cell r="E184">
            <v>2622</v>
          </cell>
          <cell r="F184" t="str">
            <v>A2-S1</v>
          </cell>
          <cell r="G184" t="str">
            <v xml:space="preserve">Frame - Khung </v>
          </cell>
          <cell r="H184" t="str">
            <v>Pre-Assembly</v>
          </cell>
          <cell r="I184">
            <v>12</v>
          </cell>
        </row>
        <row r="185">
          <cell r="A185" t="str">
            <v>B557883/A</v>
          </cell>
          <cell r="B185" t="str">
            <v>AR330M871</v>
          </cell>
          <cell r="C185">
            <v>6</v>
          </cell>
          <cell r="D185">
            <v>437</v>
          </cell>
          <cell r="E185">
            <v>2622</v>
          </cell>
          <cell r="F185" t="str">
            <v>A2-S2</v>
          </cell>
          <cell r="G185" t="str">
            <v xml:space="preserve">Frame - Khung </v>
          </cell>
          <cell r="H185" t="str">
            <v>Pre-Assembly</v>
          </cell>
          <cell r="I185">
            <v>12</v>
          </cell>
        </row>
        <row r="186">
          <cell r="A186" t="str">
            <v>B557883/A</v>
          </cell>
          <cell r="B186" t="str">
            <v>AR330M871</v>
          </cell>
          <cell r="C186">
            <v>6</v>
          </cell>
          <cell r="D186">
            <v>437</v>
          </cell>
          <cell r="E186">
            <v>2622</v>
          </cell>
          <cell r="F186" t="str">
            <v>A2-S3</v>
          </cell>
          <cell r="G186" t="str">
            <v xml:space="preserve">Panel - Ván </v>
          </cell>
          <cell r="H186" t="str">
            <v>MDF - 15 x 1830 x 2440mm [CARB P2 Compliant]</v>
          </cell>
          <cell r="I186">
            <v>24</v>
          </cell>
        </row>
        <row r="187">
          <cell r="A187" t="str">
            <v>B557883/A</v>
          </cell>
          <cell r="B187" t="str">
            <v>AR330M871</v>
          </cell>
          <cell r="C187">
            <v>6</v>
          </cell>
          <cell r="D187">
            <v>437</v>
          </cell>
          <cell r="E187">
            <v>2622</v>
          </cell>
          <cell r="F187" t="str">
            <v>A2-S4</v>
          </cell>
          <cell r="G187" t="str">
            <v xml:space="preserve">Panel - Ván </v>
          </cell>
          <cell r="H187" t="str">
            <v>MDF - 25 x 1830 x 2440mm [CARB P2 Compliant]</v>
          </cell>
          <cell r="I187">
            <v>12</v>
          </cell>
        </row>
        <row r="188">
          <cell r="A188" t="str">
            <v>B557883/A</v>
          </cell>
          <cell r="B188" t="str">
            <v>AR330M871</v>
          </cell>
          <cell r="C188">
            <v>6</v>
          </cell>
          <cell r="D188">
            <v>437</v>
          </cell>
          <cell r="E188">
            <v>2622</v>
          </cell>
          <cell r="F188" t="str">
            <v>A2-S5</v>
          </cell>
          <cell r="G188" t="str">
            <v>Patching wood - Gỗ đắp</v>
          </cell>
          <cell r="H188" t="str">
            <v>Wood White Oak - Straight/Waving Edged, 2 COM - T32mm x W100mm Up x L1.5m Up</v>
          </cell>
          <cell r="I188">
            <v>12</v>
          </cell>
        </row>
        <row r="189">
          <cell r="A189" t="str">
            <v>B557883/A</v>
          </cell>
          <cell r="B189" t="str">
            <v>AR330M871</v>
          </cell>
          <cell r="C189">
            <v>6</v>
          </cell>
          <cell r="D189">
            <v>437</v>
          </cell>
          <cell r="E189">
            <v>2622</v>
          </cell>
          <cell r="F189" t="str">
            <v>A2-S6</v>
          </cell>
          <cell r="G189" t="str">
            <v>Patching wood - Gỗ đắp</v>
          </cell>
          <cell r="H189" t="str">
            <v>Wood White Oak - Straight/Waving Edged, 2 COM - T32mm x W100mm Up x L1.5m Up</v>
          </cell>
          <cell r="I189">
            <v>24</v>
          </cell>
        </row>
        <row r="190">
          <cell r="A190" t="str">
            <v>B557883/A</v>
          </cell>
          <cell r="B190" t="str">
            <v>AR330M871</v>
          </cell>
          <cell r="C190">
            <v>6</v>
          </cell>
          <cell r="D190">
            <v>437</v>
          </cell>
          <cell r="E190">
            <v>2622</v>
          </cell>
          <cell r="F190" t="str">
            <v>A3</v>
          </cell>
          <cell r="G190" t="str">
            <v>The leg  - Chân</v>
          </cell>
          <cell r="H190" t="str">
            <v>Pre-Assembly</v>
          </cell>
          <cell r="I190">
            <v>6</v>
          </cell>
        </row>
        <row r="191">
          <cell r="A191" t="str">
            <v>B557883/A</v>
          </cell>
          <cell r="B191" t="str">
            <v>AR330M871</v>
          </cell>
          <cell r="C191">
            <v>6</v>
          </cell>
          <cell r="D191">
            <v>437</v>
          </cell>
          <cell r="E191">
            <v>2622</v>
          </cell>
          <cell r="F191" t="str">
            <v>A3-S1</v>
          </cell>
          <cell r="G191" t="str">
            <v xml:space="preserve">Frame - Khung </v>
          </cell>
          <cell r="H191" t="str">
            <v>Pre-Assembly</v>
          </cell>
          <cell r="I191">
            <v>6</v>
          </cell>
        </row>
        <row r="192">
          <cell r="A192" t="str">
            <v>B557883/A</v>
          </cell>
          <cell r="B192" t="str">
            <v>AR330M871</v>
          </cell>
          <cell r="C192">
            <v>6</v>
          </cell>
          <cell r="D192">
            <v>437</v>
          </cell>
          <cell r="E192">
            <v>2622</v>
          </cell>
          <cell r="F192" t="str">
            <v>A3-S2</v>
          </cell>
          <cell r="G192" t="str">
            <v xml:space="preserve">Frame - Khung </v>
          </cell>
          <cell r="H192" t="str">
            <v>Pre-Assembly</v>
          </cell>
          <cell r="I192">
            <v>6</v>
          </cell>
        </row>
        <row r="193">
          <cell r="A193" t="str">
            <v>B557883/A</v>
          </cell>
          <cell r="B193" t="str">
            <v>AR330M871</v>
          </cell>
          <cell r="C193">
            <v>6</v>
          </cell>
          <cell r="D193">
            <v>437</v>
          </cell>
          <cell r="E193">
            <v>2622</v>
          </cell>
          <cell r="F193" t="str">
            <v>A3-S3</v>
          </cell>
          <cell r="G193" t="str">
            <v xml:space="preserve">Panel - Ván </v>
          </cell>
          <cell r="H193" t="str">
            <v>MDF - 15 x 1830 x 2440mm [CARB P2 Compliant]</v>
          </cell>
          <cell r="I193">
            <v>12</v>
          </cell>
        </row>
        <row r="194">
          <cell r="A194" t="str">
            <v>B557883/A</v>
          </cell>
          <cell r="B194" t="str">
            <v>AR330M871</v>
          </cell>
          <cell r="C194">
            <v>6</v>
          </cell>
          <cell r="D194">
            <v>437</v>
          </cell>
          <cell r="E194">
            <v>2622</v>
          </cell>
          <cell r="F194" t="str">
            <v>A3-S4</v>
          </cell>
          <cell r="G194" t="str">
            <v xml:space="preserve">Panel - Ván </v>
          </cell>
          <cell r="H194" t="str">
            <v>MDF - 25 x 1830 x 2440mm [CARB P2 Compliant]</v>
          </cell>
          <cell r="I194">
            <v>6</v>
          </cell>
        </row>
        <row r="195">
          <cell r="A195" t="str">
            <v>B557883/A</v>
          </cell>
          <cell r="B195" t="str">
            <v>AR330M871</v>
          </cell>
          <cell r="C195">
            <v>6</v>
          </cell>
          <cell r="D195">
            <v>437</v>
          </cell>
          <cell r="E195">
            <v>2622</v>
          </cell>
          <cell r="F195" t="str">
            <v>A3-S5</v>
          </cell>
          <cell r="G195" t="str">
            <v>Patching wood - Gỗ đắp</v>
          </cell>
          <cell r="H195" t="str">
            <v>Wood White Oak - Straight/Waving Edged, 2 COM - T32mm x W100mm Up x L1.5m Up</v>
          </cell>
          <cell r="I195">
            <v>6</v>
          </cell>
        </row>
        <row r="196">
          <cell r="A196" t="str">
            <v>B557883/A</v>
          </cell>
          <cell r="B196" t="str">
            <v>AR330M871</v>
          </cell>
          <cell r="C196">
            <v>6</v>
          </cell>
          <cell r="D196">
            <v>437</v>
          </cell>
          <cell r="E196">
            <v>2622</v>
          </cell>
          <cell r="F196" t="str">
            <v>P01</v>
          </cell>
          <cell r="G196" t="str">
            <v>Corner block - ke góc</v>
          </cell>
          <cell r="H196" t="str">
            <v>oak off cut</v>
          </cell>
          <cell r="I196">
            <v>24</v>
          </cell>
        </row>
        <row r="197">
          <cell r="A197" t="str">
            <v>B557883/A</v>
          </cell>
          <cell r="B197" t="str">
            <v>AR330M871</v>
          </cell>
          <cell r="C197">
            <v>6</v>
          </cell>
          <cell r="D197">
            <v>437</v>
          </cell>
          <cell r="E197">
            <v>2622</v>
          </cell>
          <cell r="F197" t="str">
            <v>P02</v>
          </cell>
          <cell r="G197" t="str">
            <v>Spline - Lưỡi gà</v>
          </cell>
          <cell r="H197" t="str">
            <v>Plywood LVD - 15 x 1220 x 2440mm, Bleached Poplar Veneer Both Sides [CARB P2 Compliant]</v>
          </cell>
          <cell r="I197">
            <v>12</v>
          </cell>
        </row>
        <row r="198">
          <cell r="A198" t="str">
            <v>B557884/A</v>
          </cell>
          <cell r="B198" t="str">
            <v>AR330M871</v>
          </cell>
          <cell r="C198">
            <v>19</v>
          </cell>
          <cell r="D198">
            <v>437</v>
          </cell>
          <cell r="E198">
            <v>8303</v>
          </cell>
          <cell r="F198" t="str">
            <v>A1</v>
          </cell>
          <cell r="G198" t="str">
            <v>Top Frame - Khung nóc</v>
          </cell>
          <cell r="H198" t="str">
            <v>Pre-Assembly</v>
          </cell>
          <cell r="I198">
            <v>19</v>
          </cell>
        </row>
        <row r="199">
          <cell r="A199" t="str">
            <v>B557884/A</v>
          </cell>
          <cell r="B199" t="str">
            <v>AR330M871</v>
          </cell>
          <cell r="C199">
            <v>19</v>
          </cell>
          <cell r="D199">
            <v>437</v>
          </cell>
          <cell r="E199">
            <v>8303</v>
          </cell>
          <cell r="F199" t="str">
            <v>A1-S01</v>
          </cell>
          <cell r="G199" t="str">
            <v xml:space="preserve">Top panel  - Ván nóc </v>
          </cell>
          <cell r="H199" t="str">
            <v>MDF Veneer</v>
          </cell>
          <cell r="I199">
            <v>19</v>
          </cell>
        </row>
        <row r="200">
          <cell r="A200" t="str">
            <v>B557884/A</v>
          </cell>
          <cell r="B200" t="str">
            <v>AR330M871</v>
          </cell>
          <cell r="C200">
            <v>19</v>
          </cell>
          <cell r="D200">
            <v>437</v>
          </cell>
          <cell r="E200">
            <v>8303</v>
          </cell>
          <cell r="F200" t="str">
            <v>A1-S02</v>
          </cell>
          <cell r="G200" t="str">
            <v>Top rail - Đố nóc</v>
          </cell>
          <cell r="H200" t="str">
            <v>Wood laminate</v>
          </cell>
          <cell r="I200">
            <v>152</v>
          </cell>
        </row>
        <row r="201">
          <cell r="A201" t="str">
            <v>B557884/A</v>
          </cell>
          <cell r="B201" t="str">
            <v>AR330M871</v>
          </cell>
          <cell r="C201">
            <v>19</v>
          </cell>
          <cell r="D201">
            <v>437</v>
          </cell>
          <cell r="E201">
            <v>8303</v>
          </cell>
          <cell r="F201" t="str">
            <v>A2</v>
          </cell>
          <cell r="G201" t="str">
            <v>The leg  - Chân</v>
          </cell>
          <cell r="H201" t="str">
            <v>Pre-Assembly</v>
          </cell>
          <cell r="I201">
            <v>38</v>
          </cell>
        </row>
        <row r="202">
          <cell r="A202" t="str">
            <v>B557884/A</v>
          </cell>
          <cell r="B202" t="str">
            <v>AR330M871</v>
          </cell>
          <cell r="C202">
            <v>19</v>
          </cell>
          <cell r="D202">
            <v>437</v>
          </cell>
          <cell r="E202">
            <v>8303</v>
          </cell>
          <cell r="F202" t="str">
            <v>A2-S1</v>
          </cell>
          <cell r="G202" t="str">
            <v xml:space="preserve">Frame - Khung </v>
          </cell>
          <cell r="H202" t="str">
            <v>Pre-Assembly</v>
          </cell>
          <cell r="I202">
            <v>38</v>
          </cell>
        </row>
        <row r="203">
          <cell r="A203" t="str">
            <v>B557884/A</v>
          </cell>
          <cell r="B203" t="str">
            <v>AR330M871</v>
          </cell>
          <cell r="C203">
            <v>19</v>
          </cell>
          <cell r="D203">
            <v>437</v>
          </cell>
          <cell r="E203">
            <v>8303</v>
          </cell>
          <cell r="F203" t="str">
            <v>A2-S2</v>
          </cell>
          <cell r="G203" t="str">
            <v xml:space="preserve">Frame - Khung </v>
          </cell>
          <cell r="H203" t="str">
            <v>Pre-Assembly</v>
          </cell>
          <cell r="I203">
            <v>38</v>
          </cell>
        </row>
        <row r="204">
          <cell r="A204" t="str">
            <v>B557884/A</v>
          </cell>
          <cell r="B204" t="str">
            <v>AR330M871</v>
          </cell>
          <cell r="C204">
            <v>19</v>
          </cell>
          <cell r="D204">
            <v>437</v>
          </cell>
          <cell r="E204">
            <v>8303</v>
          </cell>
          <cell r="F204" t="str">
            <v>A2-S3</v>
          </cell>
          <cell r="G204" t="str">
            <v xml:space="preserve">Panel - Ván </v>
          </cell>
          <cell r="H204" t="str">
            <v>MDF - 15 x 1830 x 2440mm [CARB P2 Compliant]</v>
          </cell>
          <cell r="I204">
            <v>76</v>
          </cell>
        </row>
        <row r="205">
          <cell r="A205" t="str">
            <v>B557884/A</v>
          </cell>
          <cell r="B205" t="str">
            <v>AR330M871</v>
          </cell>
          <cell r="C205">
            <v>19</v>
          </cell>
          <cell r="D205">
            <v>437</v>
          </cell>
          <cell r="E205">
            <v>8303</v>
          </cell>
          <cell r="F205" t="str">
            <v>A2-S4</v>
          </cell>
          <cell r="G205" t="str">
            <v xml:space="preserve">Panel - Ván </v>
          </cell>
          <cell r="H205" t="str">
            <v>MDF - 25 x 1830 x 2440mm [CARB P2 Compliant]</v>
          </cell>
          <cell r="I205">
            <v>38</v>
          </cell>
        </row>
        <row r="206">
          <cell r="A206" t="str">
            <v>B557884/A</v>
          </cell>
          <cell r="B206" t="str">
            <v>AR330M871</v>
          </cell>
          <cell r="C206">
            <v>19</v>
          </cell>
          <cell r="D206">
            <v>437</v>
          </cell>
          <cell r="E206">
            <v>8303</v>
          </cell>
          <cell r="F206" t="str">
            <v>A2-S5</v>
          </cell>
          <cell r="G206" t="str">
            <v>Patching wood - Gỗ đắp</v>
          </cell>
          <cell r="H206" t="str">
            <v>Wood White Oak - Straight/Waving Edged, 2 COM - T32mm x W100mm Up x L1.5m Up</v>
          </cell>
          <cell r="I206">
            <v>38</v>
          </cell>
        </row>
        <row r="207">
          <cell r="A207" t="str">
            <v>B557884/A</v>
          </cell>
          <cell r="B207" t="str">
            <v>AR330M871</v>
          </cell>
          <cell r="C207">
            <v>19</v>
          </cell>
          <cell r="D207">
            <v>437</v>
          </cell>
          <cell r="E207">
            <v>8303</v>
          </cell>
          <cell r="F207" t="str">
            <v>A2-S6</v>
          </cell>
          <cell r="G207" t="str">
            <v>Patching wood - Gỗ đắp</v>
          </cell>
          <cell r="H207" t="str">
            <v>Wood White Oak - Straight/Waving Edged, 2 COM - T32mm x W100mm Up x L1.5m Up</v>
          </cell>
          <cell r="I207">
            <v>76</v>
          </cell>
        </row>
        <row r="208">
          <cell r="A208" t="str">
            <v>B557884/A</v>
          </cell>
          <cell r="B208" t="str">
            <v>AR330M871</v>
          </cell>
          <cell r="C208">
            <v>19</v>
          </cell>
          <cell r="D208">
            <v>437</v>
          </cell>
          <cell r="E208">
            <v>8303</v>
          </cell>
          <cell r="F208" t="str">
            <v>A3</v>
          </cell>
          <cell r="G208" t="str">
            <v>The leg  - Chân</v>
          </cell>
          <cell r="H208" t="str">
            <v>Pre-Assembly</v>
          </cell>
          <cell r="I208">
            <v>19</v>
          </cell>
        </row>
        <row r="209">
          <cell r="A209" t="str">
            <v>B557884/A</v>
          </cell>
          <cell r="B209" t="str">
            <v>AR330M871</v>
          </cell>
          <cell r="C209">
            <v>19</v>
          </cell>
          <cell r="D209">
            <v>437</v>
          </cell>
          <cell r="E209">
            <v>8303</v>
          </cell>
          <cell r="F209" t="str">
            <v>A3-S1</v>
          </cell>
          <cell r="G209" t="str">
            <v xml:space="preserve">Frame - Khung </v>
          </cell>
          <cell r="H209" t="str">
            <v>Pre-Assembly</v>
          </cell>
          <cell r="I209">
            <v>19</v>
          </cell>
        </row>
        <row r="210">
          <cell r="A210" t="str">
            <v>B557884/A</v>
          </cell>
          <cell r="B210" t="str">
            <v>AR330M871</v>
          </cell>
          <cell r="C210">
            <v>19</v>
          </cell>
          <cell r="D210">
            <v>437</v>
          </cell>
          <cell r="E210">
            <v>8303</v>
          </cell>
          <cell r="F210" t="str">
            <v>A3-S2</v>
          </cell>
          <cell r="G210" t="str">
            <v xml:space="preserve">Frame - Khung </v>
          </cell>
          <cell r="H210" t="str">
            <v>Pre-Assembly</v>
          </cell>
          <cell r="I210">
            <v>19</v>
          </cell>
        </row>
        <row r="211">
          <cell r="A211" t="str">
            <v>B557884/A</v>
          </cell>
          <cell r="B211" t="str">
            <v>AR330M871</v>
          </cell>
          <cell r="C211">
            <v>19</v>
          </cell>
          <cell r="D211">
            <v>437</v>
          </cell>
          <cell r="E211">
            <v>8303</v>
          </cell>
          <cell r="F211" t="str">
            <v>A3-S3</v>
          </cell>
          <cell r="G211" t="str">
            <v xml:space="preserve">Panel - Ván </v>
          </cell>
          <cell r="H211" t="str">
            <v>MDF - 15 x 1830 x 2440mm [CARB P2 Compliant]</v>
          </cell>
          <cell r="I211">
            <v>38</v>
          </cell>
        </row>
        <row r="212">
          <cell r="A212" t="str">
            <v>B557884/A</v>
          </cell>
          <cell r="B212" t="str">
            <v>AR330M871</v>
          </cell>
          <cell r="C212">
            <v>19</v>
          </cell>
          <cell r="D212">
            <v>437</v>
          </cell>
          <cell r="E212">
            <v>8303</v>
          </cell>
          <cell r="F212" t="str">
            <v>A3-S4</v>
          </cell>
          <cell r="G212" t="str">
            <v xml:space="preserve">Panel - Ván </v>
          </cell>
          <cell r="H212" t="str">
            <v>MDF - 25 x 1830 x 2440mm [CARB P2 Compliant]</v>
          </cell>
          <cell r="I212">
            <v>19</v>
          </cell>
        </row>
        <row r="213">
          <cell r="A213" t="str">
            <v>B557884/A</v>
          </cell>
          <cell r="B213" t="str">
            <v>AR330M871</v>
          </cell>
          <cell r="C213">
            <v>19</v>
          </cell>
          <cell r="D213">
            <v>437</v>
          </cell>
          <cell r="E213">
            <v>8303</v>
          </cell>
          <cell r="F213" t="str">
            <v>A3-S5</v>
          </cell>
          <cell r="G213" t="str">
            <v>Patching wood - Gỗ đắp</v>
          </cell>
          <cell r="H213" t="str">
            <v>Wood White Oak - Straight/Waving Edged, 2 COM - T32mm x W100mm Up x L1.5m Up</v>
          </cell>
          <cell r="I213">
            <v>19</v>
          </cell>
        </row>
        <row r="214">
          <cell r="A214" t="str">
            <v>B557884/A</v>
          </cell>
          <cell r="B214" t="str">
            <v>AR330M871</v>
          </cell>
          <cell r="C214">
            <v>19</v>
          </cell>
          <cell r="D214">
            <v>437</v>
          </cell>
          <cell r="E214">
            <v>8303</v>
          </cell>
          <cell r="F214" t="str">
            <v>P01</v>
          </cell>
          <cell r="G214" t="str">
            <v>Corner block - ke góc</v>
          </cell>
          <cell r="H214" t="str">
            <v>oak off cut</v>
          </cell>
          <cell r="I214">
            <v>76</v>
          </cell>
        </row>
        <row r="215">
          <cell r="A215" t="str">
            <v>B557884/A</v>
          </cell>
          <cell r="B215" t="str">
            <v>AR330M871</v>
          </cell>
          <cell r="C215">
            <v>19</v>
          </cell>
          <cell r="D215">
            <v>437</v>
          </cell>
          <cell r="E215">
            <v>8303</v>
          </cell>
          <cell r="F215" t="str">
            <v>P02</v>
          </cell>
          <cell r="G215" t="str">
            <v>Spline - Lưỡi gà</v>
          </cell>
          <cell r="H215" t="str">
            <v>Plywood LVD - 15 x 1220 x 2440mm, Bleached Poplar Veneer Both Sides [CARB P2 Compliant]</v>
          </cell>
          <cell r="I215">
            <v>38</v>
          </cell>
        </row>
        <row r="216">
          <cell r="A216" t="str">
            <v>B557887/A</v>
          </cell>
          <cell r="B216" t="str">
            <v>AR368M906</v>
          </cell>
          <cell r="C216">
            <v>20</v>
          </cell>
          <cell r="D216">
            <v>915</v>
          </cell>
          <cell r="E216">
            <v>18300</v>
          </cell>
          <cell r="F216" t="str">
            <v>A1-S01</v>
          </cell>
          <cell r="G216" t="str">
            <v>Vertical rail 1 - Đố đứng 1</v>
          </cell>
          <cell r="H216" t="str">
            <v>Wood laminate</v>
          </cell>
          <cell r="I216">
            <v>40</v>
          </cell>
        </row>
        <row r="217">
          <cell r="A217" t="str">
            <v>B557887/A</v>
          </cell>
          <cell r="B217" t="str">
            <v>AR368M906</v>
          </cell>
          <cell r="C217">
            <v>20</v>
          </cell>
          <cell r="D217">
            <v>915</v>
          </cell>
          <cell r="E217">
            <v>18300</v>
          </cell>
          <cell r="F217" t="str">
            <v>A1-S02</v>
          </cell>
          <cell r="G217" t="str">
            <v>Vertical rail 1 - Đố đứng 1</v>
          </cell>
          <cell r="H217" t="str">
            <v>Wood laminate</v>
          </cell>
          <cell r="I217">
            <v>40</v>
          </cell>
        </row>
        <row r="218">
          <cell r="A218" t="str">
            <v>B557887/A</v>
          </cell>
          <cell r="B218" t="str">
            <v>AR368M906</v>
          </cell>
          <cell r="C218">
            <v>20</v>
          </cell>
          <cell r="D218">
            <v>915</v>
          </cell>
          <cell r="E218">
            <v>18300</v>
          </cell>
          <cell r="F218" t="str">
            <v>A1-S03</v>
          </cell>
          <cell r="G218" t="str">
            <v>Horizontal rail 1 - Đố ngang 1</v>
          </cell>
          <cell r="H218" t="str">
            <v>Wood laminate</v>
          </cell>
          <cell r="I218">
            <v>40</v>
          </cell>
        </row>
        <row r="219">
          <cell r="A219" t="str">
            <v>B557887/A</v>
          </cell>
          <cell r="B219" t="str">
            <v>AR368M906</v>
          </cell>
          <cell r="C219">
            <v>20</v>
          </cell>
          <cell r="D219">
            <v>915</v>
          </cell>
          <cell r="E219">
            <v>18300</v>
          </cell>
          <cell r="F219" t="str">
            <v>A1-S04</v>
          </cell>
          <cell r="G219" t="str">
            <v>Horizontal rail 1 - Đố ngang 1</v>
          </cell>
          <cell r="H219" t="str">
            <v>Wood laminate</v>
          </cell>
          <cell r="I219">
            <v>40</v>
          </cell>
        </row>
        <row r="220">
          <cell r="A220" t="str">
            <v>B557887/A</v>
          </cell>
          <cell r="B220" t="str">
            <v>AR368M906</v>
          </cell>
          <cell r="C220">
            <v>20</v>
          </cell>
          <cell r="D220">
            <v>915</v>
          </cell>
          <cell r="E220">
            <v>18300</v>
          </cell>
          <cell r="F220" t="str">
            <v>A1-S05</v>
          </cell>
          <cell r="G220" t="str">
            <v>Tenon - Mộng cấy</v>
          </cell>
          <cell r="H220" t="str">
            <v>Beech off cut</v>
          </cell>
          <cell r="I220">
            <v>160</v>
          </cell>
        </row>
        <row r="221">
          <cell r="A221" t="str">
            <v>B557887/A</v>
          </cell>
          <cell r="B221" t="str">
            <v>AR368M906</v>
          </cell>
          <cell r="C221">
            <v>20</v>
          </cell>
          <cell r="D221">
            <v>915</v>
          </cell>
          <cell r="E221">
            <v>18300</v>
          </cell>
          <cell r="F221" t="str">
            <v>A2</v>
          </cell>
          <cell r="G221" t="str">
            <v>Top Frame - Khung nóc</v>
          </cell>
          <cell r="H221" t="str">
            <v>Pre-Assembly</v>
          </cell>
          <cell r="I221">
            <v>20</v>
          </cell>
        </row>
        <row r="222">
          <cell r="A222" t="str">
            <v>B557887/A</v>
          </cell>
          <cell r="B222" t="str">
            <v>AR368M906</v>
          </cell>
          <cell r="C222">
            <v>20</v>
          </cell>
          <cell r="D222">
            <v>915</v>
          </cell>
          <cell r="E222">
            <v>18300</v>
          </cell>
          <cell r="F222" t="str">
            <v>A2-S01</v>
          </cell>
          <cell r="G222" t="str">
            <v xml:space="preserve">Top panel  - Ván nóc </v>
          </cell>
          <cell r="H222" t="str">
            <v>MDF Veneer</v>
          </cell>
          <cell r="I222">
            <v>20</v>
          </cell>
        </row>
        <row r="223">
          <cell r="A223" t="str">
            <v>B557887/A</v>
          </cell>
          <cell r="B223" t="str">
            <v>AR368M906</v>
          </cell>
          <cell r="C223">
            <v>20</v>
          </cell>
          <cell r="D223">
            <v>915</v>
          </cell>
          <cell r="E223">
            <v>18300</v>
          </cell>
          <cell r="F223" t="str">
            <v>A2-S02</v>
          </cell>
          <cell r="G223" t="str">
            <v xml:space="preserve">Top panel  - Ván nóc </v>
          </cell>
          <cell r="H223" t="str">
            <v>MDF Veneer</v>
          </cell>
          <cell r="I223">
            <v>20</v>
          </cell>
        </row>
        <row r="224">
          <cell r="A224" t="str">
            <v>B557887/A</v>
          </cell>
          <cell r="B224" t="str">
            <v>AR368M906</v>
          </cell>
          <cell r="C224">
            <v>20</v>
          </cell>
          <cell r="D224">
            <v>915</v>
          </cell>
          <cell r="E224">
            <v>18300</v>
          </cell>
          <cell r="F224" t="str">
            <v>A3-S01</v>
          </cell>
          <cell r="G224" t="str">
            <v xml:space="preserve">Side panel  - Ván hông </v>
          </cell>
          <cell r="H224" t="str">
            <v>MDF Veneer</v>
          </cell>
          <cell r="I224">
            <v>40</v>
          </cell>
        </row>
        <row r="225">
          <cell r="A225" t="str">
            <v>B557887/A</v>
          </cell>
          <cell r="B225" t="str">
            <v>AR368M906</v>
          </cell>
          <cell r="C225">
            <v>20</v>
          </cell>
          <cell r="D225">
            <v>915</v>
          </cell>
          <cell r="E225">
            <v>18300</v>
          </cell>
          <cell r="F225" t="str">
            <v>A3-S02</v>
          </cell>
          <cell r="G225" t="str">
            <v>Front Vertical rail  - Trụ tiền</v>
          </cell>
          <cell r="H225" t="str">
            <v>Poplar 1 COM</v>
          </cell>
          <cell r="I225">
            <v>40</v>
          </cell>
        </row>
        <row r="226">
          <cell r="A226" t="str">
            <v>B557887/A</v>
          </cell>
          <cell r="B226" t="str">
            <v>AR368M906</v>
          </cell>
          <cell r="C226">
            <v>20</v>
          </cell>
          <cell r="D226">
            <v>915</v>
          </cell>
          <cell r="E226">
            <v>18300</v>
          </cell>
          <cell r="F226" t="str">
            <v>A4</v>
          </cell>
          <cell r="G226" t="str">
            <v>Shelf panel  - Ván kệ</v>
          </cell>
          <cell r="H226" t="str">
            <v>Pre-Assembly</v>
          </cell>
          <cell r="I226">
            <v>20</v>
          </cell>
        </row>
        <row r="227">
          <cell r="A227" t="str">
            <v>B557887/A</v>
          </cell>
          <cell r="B227" t="str">
            <v>AR368M906</v>
          </cell>
          <cell r="C227">
            <v>20</v>
          </cell>
          <cell r="D227">
            <v>915</v>
          </cell>
          <cell r="E227">
            <v>18300</v>
          </cell>
          <cell r="F227" t="str">
            <v>A4-S01</v>
          </cell>
          <cell r="G227" t="str">
            <v>Shelf panel  - Ván kệ</v>
          </cell>
          <cell r="H227" t="str">
            <v>MDF Veneer</v>
          </cell>
          <cell r="I227">
            <v>20</v>
          </cell>
        </row>
        <row r="228">
          <cell r="A228" t="str">
            <v>B557887/A</v>
          </cell>
          <cell r="B228" t="str">
            <v>AR368M906</v>
          </cell>
          <cell r="C228">
            <v>20</v>
          </cell>
          <cell r="D228">
            <v>915</v>
          </cell>
          <cell r="E228">
            <v>18300</v>
          </cell>
          <cell r="F228" t="str">
            <v>A4-S02</v>
          </cell>
          <cell r="G228" t="str">
            <v>Front rail  - Đố tiền</v>
          </cell>
          <cell r="H228" t="str">
            <v>Wood Rubber Laminate Board - 20 x 1220 x 2440mm, Veneer Poplar both Faces</v>
          </cell>
          <cell r="I228">
            <v>20</v>
          </cell>
        </row>
        <row r="229">
          <cell r="A229" t="str">
            <v>B557887/A</v>
          </cell>
          <cell r="B229" t="str">
            <v>AR368M906</v>
          </cell>
          <cell r="C229">
            <v>20</v>
          </cell>
          <cell r="D229">
            <v>915</v>
          </cell>
          <cell r="E229">
            <v>18300</v>
          </cell>
          <cell r="F229" t="str">
            <v>A4-S03</v>
          </cell>
          <cell r="G229" t="str">
            <v>Cleat - Bọ gỗ</v>
          </cell>
          <cell r="H229" t="str">
            <v>Wood White Oak - Straight/Waving Edged, 1 COM - T25mm x W100mm Up x L1.8m Up</v>
          </cell>
          <cell r="I229">
            <v>40</v>
          </cell>
        </row>
        <row r="230">
          <cell r="A230" t="str">
            <v>B557887/A</v>
          </cell>
          <cell r="B230" t="str">
            <v>AR368M906</v>
          </cell>
          <cell r="C230">
            <v>20</v>
          </cell>
          <cell r="D230">
            <v>915</v>
          </cell>
          <cell r="E230">
            <v>18300</v>
          </cell>
          <cell r="F230" t="str">
            <v>A5-S01</v>
          </cell>
          <cell r="G230" t="str">
            <v>Front Bottom Rail  - Đố đáy trước</v>
          </cell>
          <cell r="H230" t="str">
            <v>Wood White Oak - Straight/Waving Edged, 1 COM - T25mm x W100mm Up x L1.8m Up</v>
          </cell>
          <cell r="I230">
            <v>20</v>
          </cell>
        </row>
        <row r="231">
          <cell r="A231" t="str">
            <v>B557887/A</v>
          </cell>
          <cell r="B231" t="str">
            <v>AR368M906</v>
          </cell>
          <cell r="C231">
            <v>20</v>
          </cell>
          <cell r="D231">
            <v>915</v>
          </cell>
          <cell r="E231">
            <v>18300</v>
          </cell>
          <cell r="F231" t="str">
            <v>A5-S02</v>
          </cell>
          <cell r="G231" t="str">
            <v>Side bottom rail - Đố hông dưới</v>
          </cell>
          <cell r="H231" t="str">
            <v>Wood White Oak - Straight/Waving Edged, 1 COM - T25mm x W100mm Up x L1.8m Up</v>
          </cell>
          <cell r="I231">
            <v>40</v>
          </cell>
        </row>
        <row r="232">
          <cell r="A232" t="str">
            <v>B557887/A</v>
          </cell>
          <cell r="B232" t="str">
            <v>AR368M906</v>
          </cell>
          <cell r="C232">
            <v>20</v>
          </cell>
          <cell r="D232">
            <v>915</v>
          </cell>
          <cell r="E232">
            <v>18300</v>
          </cell>
          <cell r="F232" t="str">
            <v>A5-S03</v>
          </cell>
          <cell r="G232" t="str">
            <v>Front Bottom Rail  - Đố đáy trước</v>
          </cell>
          <cell r="H232" t="str">
            <v>Wood White Oak - Straight/Waving Edged, 1 COM - T32mm x W100mm Up x L1.8m Up</v>
          </cell>
          <cell r="I232">
            <v>40</v>
          </cell>
        </row>
        <row r="233">
          <cell r="A233" t="str">
            <v>B557887/A</v>
          </cell>
          <cell r="B233" t="str">
            <v>AR368M906</v>
          </cell>
          <cell r="C233">
            <v>20</v>
          </cell>
          <cell r="D233">
            <v>915</v>
          </cell>
          <cell r="E233">
            <v>18300</v>
          </cell>
          <cell r="F233" t="str">
            <v>A5-S04</v>
          </cell>
          <cell r="G233" t="str">
            <v>Back bottom rail - Đố hậu đáy</v>
          </cell>
          <cell r="H233" t="str">
            <v>Wood EU Beech - Straight/Waving Edged AB, 1 COM - T32mm x W100mm up x L1.8m up</v>
          </cell>
          <cell r="I233">
            <v>20</v>
          </cell>
        </row>
        <row r="234">
          <cell r="A234" t="str">
            <v>B557887/A</v>
          </cell>
          <cell r="B234" t="str">
            <v>AR368M906</v>
          </cell>
          <cell r="C234">
            <v>20</v>
          </cell>
          <cell r="D234">
            <v>915</v>
          </cell>
          <cell r="E234">
            <v>18300</v>
          </cell>
          <cell r="F234" t="str">
            <v>A5-S05</v>
          </cell>
          <cell r="G234" t="str">
            <v>Front Bottom Rail  - Đố đáy trước</v>
          </cell>
          <cell r="H234" t="str">
            <v>Wood White Oak - Straight/Waving Edged, 1 COM - T32mm x W100mm Up x L1.8m Up</v>
          </cell>
          <cell r="I234">
            <v>20</v>
          </cell>
        </row>
        <row r="235">
          <cell r="A235" t="str">
            <v>B557887/A</v>
          </cell>
          <cell r="B235" t="str">
            <v>AR368M906</v>
          </cell>
          <cell r="C235">
            <v>20</v>
          </cell>
          <cell r="D235">
            <v>915</v>
          </cell>
          <cell r="E235">
            <v>18300</v>
          </cell>
          <cell r="F235" t="str">
            <v>A5-S06</v>
          </cell>
          <cell r="G235" t="str">
            <v>Side bottom rail - Đố hông dưới</v>
          </cell>
          <cell r="H235" t="str">
            <v>Wood White Oak - Straight/Waving Edged, 1 COM - T32mm x W100mm Up x L1.8m Up</v>
          </cell>
          <cell r="I235">
            <v>40</v>
          </cell>
        </row>
        <row r="236">
          <cell r="A236" t="str">
            <v>B557887/A</v>
          </cell>
          <cell r="B236" t="str">
            <v>AR368M906</v>
          </cell>
          <cell r="C236">
            <v>20</v>
          </cell>
          <cell r="D236">
            <v>915</v>
          </cell>
          <cell r="E236">
            <v>18300</v>
          </cell>
          <cell r="F236" t="str">
            <v>A5-S07</v>
          </cell>
          <cell r="G236" t="str">
            <v>Front Bottom Rail  - Đố đáy trước</v>
          </cell>
          <cell r="H236" t="str">
            <v>Wood White Oak - Straight/Waving Edged, 1 COM - T32mm x W100mm Up x L1.8m Up</v>
          </cell>
          <cell r="I236">
            <v>40</v>
          </cell>
        </row>
        <row r="237">
          <cell r="A237" t="str">
            <v>B557887/A</v>
          </cell>
          <cell r="B237" t="str">
            <v>AR368M906</v>
          </cell>
          <cell r="C237">
            <v>20</v>
          </cell>
          <cell r="D237">
            <v>915</v>
          </cell>
          <cell r="E237">
            <v>18300</v>
          </cell>
          <cell r="F237" t="str">
            <v>A5-S08</v>
          </cell>
          <cell r="G237" t="str">
            <v>Corner block - ke góc</v>
          </cell>
          <cell r="H237" t="str">
            <v>Wood EU Beech - Straight/Waving Edged AB, 1 COM - T26mm x W100mm up x L1.8m up</v>
          </cell>
          <cell r="I237">
            <v>40</v>
          </cell>
        </row>
        <row r="238">
          <cell r="A238" t="str">
            <v>B557887/A</v>
          </cell>
          <cell r="B238" t="str">
            <v>AR368M906</v>
          </cell>
          <cell r="C238">
            <v>20</v>
          </cell>
          <cell r="D238">
            <v>915</v>
          </cell>
          <cell r="E238">
            <v>18300</v>
          </cell>
          <cell r="F238" t="str">
            <v>A6-S01</v>
          </cell>
          <cell r="G238" t="str">
            <v>Bottom panel - Ván đáy</v>
          </cell>
          <cell r="H238" t="str">
            <v>MDF Veneer</v>
          </cell>
          <cell r="I238">
            <v>20</v>
          </cell>
        </row>
        <row r="239">
          <cell r="A239" t="str">
            <v>B557887/A</v>
          </cell>
          <cell r="B239" t="str">
            <v>AR368M906</v>
          </cell>
          <cell r="C239">
            <v>20</v>
          </cell>
          <cell r="D239">
            <v>915</v>
          </cell>
          <cell r="E239">
            <v>18300</v>
          </cell>
          <cell r="F239" t="str">
            <v>A6-S02</v>
          </cell>
          <cell r="G239" t="str">
            <v>Bottom rail inside - Đố tiền đáy</v>
          </cell>
          <cell r="H239" t="str">
            <v>Wood EU Beech - Straight/Waving Edged AB, 1 COM - T38mm x W100mm up x L1.8m up</v>
          </cell>
          <cell r="I239">
            <v>20</v>
          </cell>
        </row>
        <row r="240">
          <cell r="A240" t="str">
            <v>B557887/A</v>
          </cell>
          <cell r="B240" t="str">
            <v>AR368M906</v>
          </cell>
          <cell r="C240">
            <v>20</v>
          </cell>
          <cell r="D240">
            <v>915</v>
          </cell>
          <cell r="E240">
            <v>18300</v>
          </cell>
          <cell r="F240" t="str">
            <v>A6-S03</v>
          </cell>
          <cell r="G240" t="str">
            <v>Back bottom rail - Đố hậu đáy</v>
          </cell>
          <cell r="H240" t="str">
            <v>Wood Rubber Laminate Board - 20 x 1220 x 2440mm, Veneer Poplar both Faces</v>
          </cell>
          <cell r="I240">
            <v>20</v>
          </cell>
        </row>
        <row r="241">
          <cell r="A241" t="str">
            <v>B557887/A</v>
          </cell>
          <cell r="B241" t="str">
            <v>AR368M906</v>
          </cell>
          <cell r="C241">
            <v>20</v>
          </cell>
          <cell r="D241">
            <v>915</v>
          </cell>
          <cell r="E241">
            <v>18300</v>
          </cell>
          <cell r="F241" t="str">
            <v>A6-S04</v>
          </cell>
          <cell r="G241" t="str">
            <v>Side bottom rail - Đố hông dưới</v>
          </cell>
          <cell r="H241" t="str">
            <v>Wood Rubber Laminate Board - 20 x 1220 x 2440mm, Veneer Poplar both Faces</v>
          </cell>
          <cell r="I241">
            <v>40</v>
          </cell>
        </row>
        <row r="242">
          <cell r="A242" t="str">
            <v>B557887/A</v>
          </cell>
          <cell r="B242" t="str">
            <v>AR368M906</v>
          </cell>
          <cell r="C242">
            <v>20</v>
          </cell>
          <cell r="D242">
            <v>915</v>
          </cell>
          <cell r="E242">
            <v>18300</v>
          </cell>
          <cell r="F242" t="str">
            <v>A7</v>
          </cell>
          <cell r="G242" t="str">
            <v>Shelf panel  - Ván kệ</v>
          </cell>
          <cell r="H242" t="str">
            <v>Pre-Assembly</v>
          </cell>
          <cell r="I242">
            <v>60</v>
          </cell>
        </row>
        <row r="243">
          <cell r="A243" t="str">
            <v>B557887/A</v>
          </cell>
          <cell r="B243" t="str">
            <v>AR368M906</v>
          </cell>
          <cell r="C243">
            <v>20</v>
          </cell>
          <cell r="D243">
            <v>915</v>
          </cell>
          <cell r="E243">
            <v>18300</v>
          </cell>
          <cell r="F243" t="str">
            <v>A7-S01</v>
          </cell>
          <cell r="G243" t="str">
            <v>Shelf panel  - Ván kệ</v>
          </cell>
          <cell r="H243" t="str">
            <v>MDF Veneer</v>
          </cell>
          <cell r="I243">
            <v>60</v>
          </cell>
        </row>
        <row r="244">
          <cell r="A244" t="str">
            <v>B557887/A</v>
          </cell>
          <cell r="B244" t="str">
            <v>AR368M906</v>
          </cell>
          <cell r="C244">
            <v>20</v>
          </cell>
          <cell r="D244">
            <v>915</v>
          </cell>
          <cell r="E244">
            <v>18300</v>
          </cell>
          <cell r="F244" t="str">
            <v>A7-S02</v>
          </cell>
          <cell r="G244" t="str">
            <v>Front rail  - Đố tiền</v>
          </cell>
          <cell r="H244" t="str">
            <v>Wood Rubber Laminate Board - 20 x 1220 x 2440mm, Veneer Poplar both Faces</v>
          </cell>
          <cell r="I244">
            <v>60</v>
          </cell>
        </row>
        <row r="245">
          <cell r="A245" t="str">
            <v>B557887/A</v>
          </cell>
          <cell r="B245" t="str">
            <v>AR368M906</v>
          </cell>
          <cell r="C245">
            <v>20</v>
          </cell>
          <cell r="D245">
            <v>915</v>
          </cell>
          <cell r="E245">
            <v>18300</v>
          </cell>
          <cell r="F245" t="str">
            <v>P01</v>
          </cell>
          <cell r="G245" t="str">
            <v>Front rail  - Đố tiền</v>
          </cell>
          <cell r="H245" t="str">
            <v>Wood EU Beech - Straight/Waving Edged AB, 1 COM - T38mm x W100mm up x L1.8m up</v>
          </cell>
          <cell r="I245">
            <v>20</v>
          </cell>
        </row>
        <row r="246">
          <cell r="A246" t="str">
            <v>B557887/A</v>
          </cell>
          <cell r="B246" t="str">
            <v>AR368M906</v>
          </cell>
          <cell r="C246">
            <v>20</v>
          </cell>
          <cell r="D246">
            <v>915</v>
          </cell>
          <cell r="E246">
            <v>18300</v>
          </cell>
          <cell r="F246" t="str">
            <v>P01-1</v>
          </cell>
          <cell r="G246" t="str">
            <v>Front top rail  - Đố tiền nóc</v>
          </cell>
          <cell r="H246" t="str">
            <v>Wood Rubber Laminate Board - 20 x 1220 x 2440mm, Veneer Poplar both Faces</v>
          </cell>
          <cell r="I246">
            <v>20</v>
          </cell>
        </row>
        <row r="247">
          <cell r="A247" t="str">
            <v>B557887/A</v>
          </cell>
          <cell r="B247" t="str">
            <v>AR368M906</v>
          </cell>
          <cell r="C247">
            <v>20</v>
          </cell>
          <cell r="D247">
            <v>915</v>
          </cell>
          <cell r="E247">
            <v>18300</v>
          </cell>
          <cell r="F247" t="str">
            <v>P02</v>
          </cell>
          <cell r="G247" t="str">
            <v>Back top rail - Đố hậu nóc</v>
          </cell>
          <cell r="H247" t="str">
            <v>Wood White Oak - Straight/Waving Edged, 1 COM - T25mm x W100mm Up x L1.8m Up</v>
          </cell>
          <cell r="I247">
            <v>20</v>
          </cell>
        </row>
        <row r="248">
          <cell r="A248" t="str">
            <v>B557887/A</v>
          </cell>
          <cell r="B248" t="str">
            <v>AR368M906</v>
          </cell>
          <cell r="C248">
            <v>20</v>
          </cell>
          <cell r="D248">
            <v>915</v>
          </cell>
          <cell r="E248">
            <v>18300</v>
          </cell>
          <cell r="F248" t="str">
            <v>P03</v>
          </cell>
          <cell r="G248" t="str">
            <v>Back panel - Ván hậu</v>
          </cell>
          <cell r="H248" t="str">
            <v>MDF Veneer</v>
          </cell>
          <cell r="I248">
            <v>20</v>
          </cell>
        </row>
        <row r="249">
          <cell r="A249" t="str">
            <v>B557887/A</v>
          </cell>
          <cell r="B249" t="str">
            <v>AR368M906</v>
          </cell>
          <cell r="C249">
            <v>20</v>
          </cell>
          <cell r="D249">
            <v>915</v>
          </cell>
          <cell r="E249">
            <v>18300</v>
          </cell>
          <cell r="F249" t="str">
            <v>P04</v>
          </cell>
          <cell r="G249" t="str">
            <v>Cleat - Bọ gỗ</v>
          </cell>
          <cell r="H249" t="str">
            <v>Wood White Oak - Straight/Waving Edged, 1 COM - T25mm x W100mm Up x L1.8m Up</v>
          </cell>
          <cell r="I249">
            <v>40</v>
          </cell>
        </row>
        <row r="250">
          <cell r="A250" t="str">
            <v>B557887/A</v>
          </cell>
          <cell r="B250" t="str">
            <v>AR368M906</v>
          </cell>
          <cell r="C250">
            <v>20</v>
          </cell>
          <cell r="D250">
            <v>915</v>
          </cell>
          <cell r="E250">
            <v>18300</v>
          </cell>
          <cell r="F250" t="str">
            <v>P05</v>
          </cell>
          <cell r="G250" t="str">
            <v>Bottom panel - Ván đáy</v>
          </cell>
          <cell r="H250" t="str">
            <v>Cement lamilated</v>
          </cell>
          <cell r="I250">
            <v>20</v>
          </cell>
        </row>
        <row r="251">
          <cell r="A251" t="str">
            <v>B557888/A</v>
          </cell>
          <cell r="B251" t="str">
            <v>AR368M906</v>
          </cell>
          <cell r="C251">
            <v>28</v>
          </cell>
          <cell r="D251">
            <v>915</v>
          </cell>
          <cell r="E251">
            <v>25620</v>
          </cell>
          <cell r="F251" t="str">
            <v>A1-S01</v>
          </cell>
          <cell r="G251" t="str">
            <v>Vertical rail 1 - Đố đứng 1</v>
          </cell>
          <cell r="H251" t="str">
            <v>Wood laminate</v>
          </cell>
          <cell r="I251">
            <v>56</v>
          </cell>
        </row>
        <row r="252">
          <cell r="A252" t="str">
            <v>B557888/A</v>
          </cell>
          <cell r="B252" t="str">
            <v>AR368M906</v>
          </cell>
          <cell r="C252">
            <v>28</v>
          </cell>
          <cell r="D252">
            <v>915</v>
          </cell>
          <cell r="E252">
            <v>25620</v>
          </cell>
          <cell r="F252" t="str">
            <v>A1-S02</v>
          </cell>
          <cell r="G252" t="str">
            <v>Vertical rail 1 - Đố đứng 1</v>
          </cell>
          <cell r="H252" t="str">
            <v>Wood laminate</v>
          </cell>
          <cell r="I252">
            <v>56</v>
          </cell>
        </row>
        <row r="253">
          <cell r="A253" t="str">
            <v>B557888/A</v>
          </cell>
          <cell r="B253" t="str">
            <v>AR368M906</v>
          </cell>
          <cell r="C253">
            <v>28</v>
          </cell>
          <cell r="D253">
            <v>915</v>
          </cell>
          <cell r="E253">
            <v>25620</v>
          </cell>
          <cell r="F253" t="str">
            <v>A1-S03</v>
          </cell>
          <cell r="G253" t="str">
            <v>Horizontal rail 1 - Đố ngang 1</v>
          </cell>
          <cell r="H253" t="str">
            <v>Wood laminate</v>
          </cell>
          <cell r="I253">
            <v>56</v>
          </cell>
        </row>
        <row r="254">
          <cell r="A254" t="str">
            <v>B557888/A</v>
          </cell>
          <cell r="B254" t="str">
            <v>AR368M906</v>
          </cell>
          <cell r="C254">
            <v>28</v>
          </cell>
          <cell r="D254">
            <v>915</v>
          </cell>
          <cell r="E254">
            <v>25620</v>
          </cell>
          <cell r="F254" t="str">
            <v>A1-S04</v>
          </cell>
          <cell r="G254" t="str">
            <v>Horizontal rail 1 - Đố ngang 1</v>
          </cell>
          <cell r="H254" t="str">
            <v>Wood laminate</v>
          </cell>
          <cell r="I254">
            <v>56</v>
          </cell>
        </row>
        <row r="255">
          <cell r="A255" t="str">
            <v>B557888/A</v>
          </cell>
          <cell r="B255" t="str">
            <v>AR368M906</v>
          </cell>
          <cell r="C255">
            <v>28</v>
          </cell>
          <cell r="D255">
            <v>915</v>
          </cell>
          <cell r="E255">
            <v>25620</v>
          </cell>
          <cell r="F255" t="str">
            <v>A1-S05</v>
          </cell>
          <cell r="G255" t="str">
            <v>Tenon - Mộng cấy</v>
          </cell>
          <cell r="H255" t="str">
            <v>Beech off cut</v>
          </cell>
          <cell r="I255">
            <v>224</v>
          </cell>
        </row>
        <row r="256">
          <cell r="A256" t="str">
            <v>B557888/A</v>
          </cell>
          <cell r="B256" t="str">
            <v>AR368M906</v>
          </cell>
          <cell r="C256">
            <v>28</v>
          </cell>
          <cell r="D256">
            <v>915</v>
          </cell>
          <cell r="E256">
            <v>25620</v>
          </cell>
          <cell r="F256" t="str">
            <v>A2</v>
          </cell>
          <cell r="G256" t="str">
            <v>Top Frame - Khung nóc</v>
          </cell>
          <cell r="H256" t="str">
            <v>Pre-Assembly</v>
          </cell>
          <cell r="I256">
            <v>28</v>
          </cell>
        </row>
        <row r="257">
          <cell r="A257" t="str">
            <v>B557888/A</v>
          </cell>
          <cell r="B257" t="str">
            <v>AR368M906</v>
          </cell>
          <cell r="C257">
            <v>28</v>
          </cell>
          <cell r="D257">
            <v>915</v>
          </cell>
          <cell r="E257">
            <v>25620</v>
          </cell>
          <cell r="F257" t="str">
            <v>A2-S01</v>
          </cell>
          <cell r="G257" t="str">
            <v xml:space="preserve">Top panel  - Ván nóc </v>
          </cell>
          <cell r="H257" t="str">
            <v>MDF Veneer</v>
          </cell>
          <cell r="I257">
            <v>28</v>
          </cell>
        </row>
        <row r="258">
          <cell r="A258" t="str">
            <v>B557888/A</v>
          </cell>
          <cell r="B258" t="str">
            <v>AR368M906</v>
          </cell>
          <cell r="C258">
            <v>28</v>
          </cell>
          <cell r="D258">
            <v>915</v>
          </cell>
          <cell r="E258">
            <v>25620</v>
          </cell>
          <cell r="F258" t="str">
            <v>A2-S02</v>
          </cell>
          <cell r="G258" t="str">
            <v xml:space="preserve">Top panel  - Ván nóc </v>
          </cell>
          <cell r="H258" t="str">
            <v>MDF Veneer</v>
          </cell>
          <cell r="I258">
            <v>28</v>
          </cell>
        </row>
        <row r="259">
          <cell r="A259" t="str">
            <v>B557888/A</v>
          </cell>
          <cell r="B259" t="str">
            <v>AR368M906</v>
          </cell>
          <cell r="C259">
            <v>28</v>
          </cell>
          <cell r="D259">
            <v>915</v>
          </cell>
          <cell r="E259">
            <v>25620</v>
          </cell>
          <cell r="F259" t="str">
            <v>A3-S01</v>
          </cell>
          <cell r="G259" t="str">
            <v xml:space="preserve">Side panel  - Ván hông </v>
          </cell>
          <cell r="H259" t="str">
            <v>MDF Veneer</v>
          </cell>
          <cell r="I259">
            <v>56</v>
          </cell>
        </row>
        <row r="260">
          <cell r="A260" t="str">
            <v>B557888/A</v>
          </cell>
          <cell r="B260" t="str">
            <v>AR368M906</v>
          </cell>
          <cell r="C260">
            <v>28</v>
          </cell>
          <cell r="D260">
            <v>915</v>
          </cell>
          <cell r="E260">
            <v>25620</v>
          </cell>
          <cell r="F260" t="str">
            <v>A3-S02</v>
          </cell>
          <cell r="G260" t="str">
            <v>Front Vertical rail  - Trụ tiền</v>
          </cell>
          <cell r="H260" t="str">
            <v>Poplar 1 COM</v>
          </cell>
          <cell r="I260">
            <v>56</v>
          </cell>
        </row>
        <row r="261">
          <cell r="A261" t="str">
            <v>B557888/A</v>
          </cell>
          <cell r="B261" t="str">
            <v>AR368M906</v>
          </cell>
          <cell r="C261">
            <v>28</v>
          </cell>
          <cell r="D261">
            <v>915</v>
          </cell>
          <cell r="E261">
            <v>25620</v>
          </cell>
          <cell r="F261" t="str">
            <v>A4</v>
          </cell>
          <cell r="G261" t="str">
            <v>Shelf panel  - Ván kệ</v>
          </cell>
          <cell r="H261" t="str">
            <v>Pre-Assembly</v>
          </cell>
          <cell r="I261">
            <v>28</v>
          </cell>
        </row>
        <row r="262">
          <cell r="A262" t="str">
            <v>B557888/A</v>
          </cell>
          <cell r="B262" t="str">
            <v>AR368M906</v>
          </cell>
          <cell r="C262">
            <v>28</v>
          </cell>
          <cell r="D262">
            <v>915</v>
          </cell>
          <cell r="E262">
            <v>25620</v>
          </cell>
          <cell r="F262" t="str">
            <v>A4-S01</v>
          </cell>
          <cell r="G262" t="str">
            <v>Shelf panel  - Ván kệ</v>
          </cell>
          <cell r="H262" t="str">
            <v>MDF Veneer</v>
          </cell>
          <cell r="I262">
            <v>28</v>
          </cell>
        </row>
        <row r="263">
          <cell r="A263" t="str">
            <v>B557888/A</v>
          </cell>
          <cell r="B263" t="str">
            <v>AR368M906</v>
          </cell>
          <cell r="C263">
            <v>28</v>
          </cell>
          <cell r="D263">
            <v>915</v>
          </cell>
          <cell r="E263">
            <v>25620</v>
          </cell>
          <cell r="F263" t="str">
            <v>A4-S02</v>
          </cell>
          <cell r="G263" t="str">
            <v>Front rail  - Đố tiền</v>
          </cell>
          <cell r="H263" t="str">
            <v>Wood Rubber Laminate Board - 20 x 1220 x 2440mm, Veneer Poplar both Faces</v>
          </cell>
          <cell r="I263">
            <v>28</v>
          </cell>
        </row>
        <row r="264">
          <cell r="A264" t="str">
            <v>B557888/A</v>
          </cell>
          <cell r="B264" t="str">
            <v>AR368M906</v>
          </cell>
          <cell r="C264">
            <v>28</v>
          </cell>
          <cell r="D264">
            <v>915</v>
          </cell>
          <cell r="E264">
            <v>25620</v>
          </cell>
          <cell r="F264" t="str">
            <v>A4-S03</v>
          </cell>
          <cell r="G264" t="str">
            <v>Cleat - Bọ gỗ</v>
          </cell>
          <cell r="H264" t="str">
            <v>Wood White Oak - Straight/Waving Edged, 1 COM - T25mm x W100mm Up x L1.8m Up</v>
          </cell>
          <cell r="I264">
            <v>56</v>
          </cell>
        </row>
        <row r="265">
          <cell r="A265" t="str">
            <v>B557888/A</v>
          </cell>
          <cell r="B265" t="str">
            <v>AR368M906</v>
          </cell>
          <cell r="C265">
            <v>28</v>
          </cell>
          <cell r="D265">
            <v>915</v>
          </cell>
          <cell r="E265">
            <v>25620</v>
          </cell>
          <cell r="F265" t="str">
            <v>A5-S01</v>
          </cell>
          <cell r="G265" t="str">
            <v>Front Bottom Rail  - Đố đáy trước</v>
          </cell>
          <cell r="H265" t="str">
            <v>Wood White Oak - Straight/Waving Edged, 1 COM - T25mm x W100mm Up x L1.8m Up</v>
          </cell>
          <cell r="I265">
            <v>28</v>
          </cell>
        </row>
        <row r="266">
          <cell r="A266" t="str">
            <v>B557888/A</v>
          </cell>
          <cell r="B266" t="str">
            <v>AR368M906</v>
          </cell>
          <cell r="C266">
            <v>28</v>
          </cell>
          <cell r="D266">
            <v>915</v>
          </cell>
          <cell r="E266">
            <v>25620</v>
          </cell>
          <cell r="F266" t="str">
            <v>A5-S02</v>
          </cell>
          <cell r="G266" t="str">
            <v>Side bottom rail - Đố hông dưới</v>
          </cell>
          <cell r="H266" t="str">
            <v>Wood White Oak - Straight/Waving Edged, 1 COM - T25mm x W100mm Up x L1.8m Up</v>
          </cell>
          <cell r="I266">
            <v>56</v>
          </cell>
        </row>
        <row r="267">
          <cell r="A267" t="str">
            <v>B557888/A</v>
          </cell>
          <cell r="B267" t="str">
            <v>AR368M906</v>
          </cell>
          <cell r="C267">
            <v>28</v>
          </cell>
          <cell r="D267">
            <v>915</v>
          </cell>
          <cell r="E267">
            <v>25620</v>
          </cell>
          <cell r="F267" t="str">
            <v>A5-S03</v>
          </cell>
          <cell r="G267" t="str">
            <v>Front Bottom Rail  - Đố đáy trước</v>
          </cell>
          <cell r="H267" t="str">
            <v>Wood White Oak - Straight/Waving Edged, 1 COM - T32mm x W100mm Up x L1.8m Up</v>
          </cell>
          <cell r="I267">
            <v>56</v>
          </cell>
        </row>
        <row r="268">
          <cell r="A268" t="str">
            <v>B557888/A</v>
          </cell>
          <cell r="B268" t="str">
            <v>AR368M906</v>
          </cell>
          <cell r="C268">
            <v>28</v>
          </cell>
          <cell r="D268">
            <v>915</v>
          </cell>
          <cell r="E268">
            <v>25620</v>
          </cell>
          <cell r="F268" t="str">
            <v>A5-S04</v>
          </cell>
          <cell r="G268" t="str">
            <v>Back bottom rail - Đố hậu đáy</v>
          </cell>
          <cell r="H268" t="str">
            <v>Wood EU Beech - Straight/Waving Edged AB, 1 COM - T32mm x W100mm up x L1.8m up</v>
          </cell>
          <cell r="I268">
            <v>28</v>
          </cell>
        </row>
        <row r="269">
          <cell r="A269" t="str">
            <v>B557888/A</v>
          </cell>
          <cell r="B269" t="str">
            <v>AR368M906</v>
          </cell>
          <cell r="C269">
            <v>28</v>
          </cell>
          <cell r="D269">
            <v>915</v>
          </cell>
          <cell r="E269">
            <v>25620</v>
          </cell>
          <cell r="F269" t="str">
            <v>A5-S05</v>
          </cell>
          <cell r="G269" t="str">
            <v>Front Bottom Rail  - Đố đáy trước</v>
          </cell>
          <cell r="H269" t="str">
            <v>Wood White Oak - Straight/Waving Edged, 1 COM - T32mm x W100mm Up x L1.8m Up</v>
          </cell>
          <cell r="I269">
            <v>28</v>
          </cell>
        </row>
        <row r="270">
          <cell r="A270" t="str">
            <v>B557888/A</v>
          </cell>
          <cell r="B270" t="str">
            <v>AR368M906</v>
          </cell>
          <cell r="C270">
            <v>28</v>
          </cell>
          <cell r="D270">
            <v>915</v>
          </cell>
          <cell r="E270">
            <v>25620</v>
          </cell>
          <cell r="F270" t="str">
            <v>A5-S06</v>
          </cell>
          <cell r="G270" t="str">
            <v>Side bottom rail - Đố hông dưới</v>
          </cell>
          <cell r="H270" t="str">
            <v>Wood White Oak - Straight/Waving Edged, 1 COM - T32mm x W100mm Up x L1.8m Up</v>
          </cell>
          <cell r="I270">
            <v>56</v>
          </cell>
        </row>
        <row r="271">
          <cell r="A271" t="str">
            <v>B557888/A</v>
          </cell>
          <cell r="B271" t="str">
            <v>AR368M906</v>
          </cell>
          <cell r="C271">
            <v>28</v>
          </cell>
          <cell r="D271">
            <v>915</v>
          </cell>
          <cell r="E271">
            <v>25620</v>
          </cell>
          <cell r="F271" t="str">
            <v>A5-S07</v>
          </cell>
          <cell r="G271" t="str">
            <v>Front Bottom Rail  - Đố đáy trước</v>
          </cell>
          <cell r="H271" t="str">
            <v>Wood White Oak - Straight/Waving Edged, 1 COM - T32mm x W100mm Up x L1.8m Up</v>
          </cell>
          <cell r="I271">
            <v>56</v>
          </cell>
        </row>
        <row r="272">
          <cell r="A272" t="str">
            <v>B557888/A</v>
          </cell>
          <cell r="B272" t="str">
            <v>AR368M906</v>
          </cell>
          <cell r="C272">
            <v>28</v>
          </cell>
          <cell r="D272">
            <v>915</v>
          </cell>
          <cell r="E272">
            <v>25620</v>
          </cell>
          <cell r="F272" t="str">
            <v>A5-S08</v>
          </cell>
          <cell r="G272" t="str">
            <v>Corner block - ke góc</v>
          </cell>
          <cell r="H272" t="str">
            <v>Wood EU Beech - Straight/Waving Edged AB, 1 COM - T26mm x W100mm up x L1.8m up</v>
          </cell>
          <cell r="I272">
            <v>56</v>
          </cell>
        </row>
        <row r="273">
          <cell r="A273" t="str">
            <v>B557888/A</v>
          </cell>
          <cell r="B273" t="str">
            <v>AR368M906</v>
          </cell>
          <cell r="C273">
            <v>28</v>
          </cell>
          <cell r="D273">
            <v>915</v>
          </cell>
          <cell r="E273">
            <v>25620</v>
          </cell>
          <cell r="F273" t="str">
            <v>A6-S01</v>
          </cell>
          <cell r="G273" t="str">
            <v>Bottom panel - Ván đáy</v>
          </cell>
          <cell r="H273" t="str">
            <v>MDF Veneer</v>
          </cell>
          <cell r="I273">
            <v>28</v>
          </cell>
        </row>
        <row r="274">
          <cell r="A274" t="str">
            <v>B557888/A</v>
          </cell>
          <cell r="B274" t="str">
            <v>AR368M906</v>
          </cell>
          <cell r="C274">
            <v>28</v>
          </cell>
          <cell r="D274">
            <v>915</v>
          </cell>
          <cell r="E274">
            <v>25620</v>
          </cell>
          <cell r="F274" t="str">
            <v>A6-S02</v>
          </cell>
          <cell r="G274" t="str">
            <v>Bottom rail inside - Đố tiền đáy</v>
          </cell>
          <cell r="H274" t="str">
            <v>Wood EU Beech - Straight/Waving Edged AB, 1 COM - T38mm x W100mm up x L1.8m up</v>
          </cell>
          <cell r="I274">
            <v>28</v>
          </cell>
        </row>
        <row r="275">
          <cell r="A275" t="str">
            <v>B557888/A</v>
          </cell>
          <cell r="B275" t="str">
            <v>AR368M906</v>
          </cell>
          <cell r="C275">
            <v>28</v>
          </cell>
          <cell r="D275">
            <v>915</v>
          </cell>
          <cell r="E275">
            <v>25620</v>
          </cell>
          <cell r="F275" t="str">
            <v>A6-S03</v>
          </cell>
          <cell r="G275" t="str">
            <v>Back bottom rail - Đố hậu đáy</v>
          </cell>
          <cell r="H275" t="str">
            <v>Wood Rubber Laminate Board - 20 x 1220 x 2440mm, Veneer Poplar both Faces</v>
          </cell>
          <cell r="I275">
            <v>28</v>
          </cell>
        </row>
        <row r="276">
          <cell r="A276" t="str">
            <v>B557888/A</v>
          </cell>
          <cell r="B276" t="str">
            <v>AR368M906</v>
          </cell>
          <cell r="C276">
            <v>28</v>
          </cell>
          <cell r="D276">
            <v>915</v>
          </cell>
          <cell r="E276">
            <v>25620</v>
          </cell>
          <cell r="F276" t="str">
            <v>A6-S04</v>
          </cell>
          <cell r="G276" t="str">
            <v>Side bottom rail - Đố hông dưới</v>
          </cell>
          <cell r="H276" t="str">
            <v>Wood Rubber Laminate Board - 20 x 1220 x 2440mm, Veneer Poplar both Faces</v>
          </cell>
          <cell r="I276">
            <v>56</v>
          </cell>
        </row>
        <row r="277">
          <cell r="A277" t="str">
            <v>B557888/A</v>
          </cell>
          <cell r="B277" t="str">
            <v>AR368M906</v>
          </cell>
          <cell r="C277">
            <v>28</v>
          </cell>
          <cell r="D277">
            <v>915</v>
          </cell>
          <cell r="E277">
            <v>25620</v>
          </cell>
          <cell r="F277" t="str">
            <v>A7</v>
          </cell>
          <cell r="G277" t="str">
            <v>Shelf panel  - Ván kệ</v>
          </cell>
          <cell r="H277" t="str">
            <v>Pre-Assembly</v>
          </cell>
          <cell r="I277">
            <v>84</v>
          </cell>
        </row>
        <row r="278">
          <cell r="A278" t="str">
            <v>B557888/A</v>
          </cell>
          <cell r="B278" t="str">
            <v>AR368M906</v>
          </cell>
          <cell r="C278">
            <v>28</v>
          </cell>
          <cell r="D278">
            <v>915</v>
          </cell>
          <cell r="E278">
            <v>25620</v>
          </cell>
          <cell r="F278" t="str">
            <v>A7-S01</v>
          </cell>
          <cell r="G278" t="str">
            <v>Shelf panel  - Ván kệ</v>
          </cell>
          <cell r="H278" t="str">
            <v>MDF Veneer</v>
          </cell>
          <cell r="I278">
            <v>84</v>
          </cell>
        </row>
        <row r="279">
          <cell r="A279" t="str">
            <v>B557888/A</v>
          </cell>
          <cell r="B279" t="str">
            <v>AR368M906</v>
          </cell>
          <cell r="C279">
            <v>28</v>
          </cell>
          <cell r="D279">
            <v>915</v>
          </cell>
          <cell r="E279">
            <v>25620</v>
          </cell>
          <cell r="F279" t="str">
            <v>A7-S02</v>
          </cell>
          <cell r="G279" t="str">
            <v>Front rail  - Đố tiền</v>
          </cell>
          <cell r="H279" t="str">
            <v>Wood Rubber Laminate Board - 20 x 1220 x 2440mm, Veneer Poplar both Faces</v>
          </cell>
          <cell r="I279">
            <v>84</v>
          </cell>
        </row>
        <row r="280">
          <cell r="A280" t="str">
            <v>B557888/A</v>
          </cell>
          <cell r="B280" t="str">
            <v>AR368M906</v>
          </cell>
          <cell r="C280">
            <v>28</v>
          </cell>
          <cell r="D280">
            <v>915</v>
          </cell>
          <cell r="E280">
            <v>25620</v>
          </cell>
          <cell r="F280" t="str">
            <v>P01</v>
          </cell>
          <cell r="G280" t="str">
            <v>Front rail  - Đố tiền</v>
          </cell>
          <cell r="H280" t="str">
            <v>Wood EU Beech - Straight/Waving Edged AB, 1 COM - T38mm x W100mm up x L1.8m up</v>
          </cell>
          <cell r="I280">
            <v>28</v>
          </cell>
        </row>
        <row r="281">
          <cell r="A281" t="str">
            <v>B557888/A</v>
          </cell>
          <cell r="B281" t="str">
            <v>AR368M906</v>
          </cell>
          <cell r="C281">
            <v>28</v>
          </cell>
          <cell r="D281">
            <v>915</v>
          </cell>
          <cell r="E281">
            <v>25620</v>
          </cell>
          <cell r="F281" t="str">
            <v>P01-1</v>
          </cell>
          <cell r="G281" t="str">
            <v>Front top rail  - Đố tiền nóc</v>
          </cell>
          <cell r="H281" t="str">
            <v>Wood Rubber Laminate Board - 20 x 1220 x 2440mm, Veneer Poplar both Faces</v>
          </cell>
          <cell r="I281">
            <v>28</v>
          </cell>
        </row>
        <row r="282">
          <cell r="A282" t="str">
            <v>B557888/A</v>
          </cell>
          <cell r="B282" t="str">
            <v>AR368M906</v>
          </cell>
          <cell r="C282">
            <v>28</v>
          </cell>
          <cell r="D282">
            <v>915</v>
          </cell>
          <cell r="E282">
            <v>25620</v>
          </cell>
          <cell r="F282" t="str">
            <v>P02</v>
          </cell>
          <cell r="G282" t="str">
            <v>Back top rail - Đố hậu nóc</v>
          </cell>
          <cell r="H282" t="str">
            <v>Wood White Oak - Straight/Waving Edged, 1 COM - T25mm x W100mm Up x L1.8m Up</v>
          </cell>
          <cell r="I282">
            <v>28</v>
          </cell>
        </row>
        <row r="283">
          <cell r="A283" t="str">
            <v>B557888/A</v>
          </cell>
          <cell r="B283" t="str">
            <v>AR368M906</v>
          </cell>
          <cell r="C283">
            <v>28</v>
          </cell>
          <cell r="D283">
            <v>915</v>
          </cell>
          <cell r="E283">
            <v>25620</v>
          </cell>
          <cell r="F283" t="str">
            <v>P03</v>
          </cell>
          <cell r="G283" t="str">
            <v>Back panel - Ván hậu</v>
          </cell>
          <cell r="H283" t="str">
            <v>MDF Veneer</v>
          </cell>
          <cell r="I283">
            <v>28</v>
          </cell>
        </row>
        <row r="284">
          <cell r="A284" t="str">
            <v>B557888/A</v>
          </cell>
          <cell r="B284" t="str">
            <v>AR368M906</v>
          </cell>
          <cell r="C284">
            <v>28</v>
          </cell>
          <cell r="D284">
            <v>915</v>
          </cell>
          <cell r="E284">
            <v>25620</v>
          </cell>
          <cell r="F284" t="str">
            <v>P04</v>
          </cell>
          <cell r="G284" t="str">
            <v>Cleat - Bọ gỗ</v>
          </cell>
          <cell r="H284" t="str">
            <v>Wood White Oak - Straight/Waving Edged, 1 COM - T25mm x W100mm Up x L1.8m Up</v>
          </cell>
          <cell r="I284">
            <v>56</v>
          </cell>
        </row>
        <row r="285">
          <cell r="A285" t="str">
            <v>B557888/A</v>
          </cell>
          <cell r="B285" t="str">
            <v>AR368M906</v>
          </cell>
          <cell r="C285">
            <v>28</v>
          </cell>
          <cell r="D285">
            <v>915</v>
          </cell>
          <cell r="E285">
            <v>25620</v>
          </cell>
          <cell r="F285" t="str">
            <v>P05</v>
          </cell>
          <cell r="G285" t="str">
            <v>Bottom panel - Ván đáy</v>
          </cell>
          <cell r="H285" t="str">
            <v>Cement lamilated</v>
          </cell>
          <cell r="I285">
            <v>28</v>
          </cell>
        </row>
        <row r="286">
          <cell r="A286" t="str">
            <v>B557917/A</v>
          </cell>
          <cell r="B286" t="str">
            <v>AR395M1039-BASE</v>
          </cell>
          <cell r="C286">
            <v>15</v>
          </cell>
          <cell r="D286">
            <v>374</v>
          </cell>
          <cell r="E286">
            <v>5610</v>
          </cell>
          <cell r="F286" t="str">
            <v>A4-S01</v>
          </cell>
          <cell r="G286" t="str">
            <v>Turning Part - Trụ tiện</v>
          </cell>
          <cell r="H286" t="str">
            <v>Wood laminate</v>
          </cell>
          <cell r="I286">
            <v>60</v>
          </cell>
        </row>
        <row r="287">
          <cell r="A287" t="str">
            <v>B557917/A</v>
          </cell>
          <cell r="B287" t="str">
            <v>AR395M1039-BASE</v>
          </cell>
          <cell r="C287">
            <v>15</v>
          </cell>
          <cell r="D287">
            <v>374</v>
          </cell>
          <cell r="E287">
            <v>5610</v>
          </cell>
          <cell r="F287" t="str">
            <v>A4-S01-1</v>
          </cell>
          <cell r="G287" t="str">
            <v>Patching wood - Gỗ đắp</v>
          </cell>
          <cell r="H287" t="str">
            <v>Wood White Oak - Straight/Waving Edged, 1 COM - T32mm x W100mm Up x L1.8m Up</v>
          </cell>
          <cell r="I287">
            <v>120</v>
          </cell>
        </row>
        <row r="288">
          <cell r="A288" t="str">
            <v>B557917/A</v>
          </cell>
          <cell r="B288" t="str">
            <v>AR395M1039-BASE</v>
          </cell>
          <cell r="C288">
            <v>15</v>
          </cell>
          <cell r="D288">
            <v>374</v>
          </cell>
          <cell r="E288">
            <v>5610</v>
          </cell>
          <cell r="F288" t="str">
            <v>A4-S01-2</v>
          </cell>
          <cell r="G288" t="str">
            <v>Patching wood - Gỗ đắp</v>
          </cell>
          <cell r="H288" t="str">
            <v>White Oak 1 COM</v>
          </cell>
          <cell r="I288">
            <v>120</v>
          </cell>
        </row>
        <row r="289">
          <cell r="A289" t="str">
            <v>B557917/A</v>
          </cell>
          <cell r="B289" t="str">
            <v>AR395M1039-BASE</v>
          </cell>
          <cell r="C289">
            <v>15</v>
          </cell>
          <cell r="D289">
            <v>374</v>
          </cell>
          <cell r="E289">
            <v>5610</v>
          </cell>
          <cell r="F289" t="str">
            <v>A4-S01-3</v>
          </cell>
          <cell r="G289" t="str">
            <v>Patching wood - Gỗ đắp</v>
          </cell>
          <cell r="H289" t="str">
            <v>Wood White Oak - Straight/Waving Edged, 1 COM - T32mm x W100mm Up x L1.8m Up</v>
          </cell>
          <cell r="I289">
            <v>120</v>
          </cell>
        </row>
        <row r="290">
          <cell r="A290" t="str">
            <v>B557917/A</v>
          </cell>
          <cell r="B290" t="str">
            <v>AR395M1039-BASE</v>
          </cell>
          <cell r="C290">
            <v>15</v>
          </cell>
          <cell r="D290">
            <v>374</v>
          </cell>
          <cell r="E290">
            <v>5610</v>
          </cell>
          <cell r="F290" t="str">
            <v>A4-S02</v>
          </cell>
          <cell r="G290" t="str">
            <v>Horizontal rail 1 - Đố ngang 1</v>
          </cell>
          <cell r="H290" t="str">
            <v>Wood White Oak - Straight/Waving Edged, 1 COM - T32mm x W100mm Up x L1.8m Up</v>
          </cell>
          <cell r="I290">
            <v>30</v>
          </cell>
        </row>
        <row r="291">
          <cell r="A291" t="str">
            <v>B557917/A</v>
          </cell>
          <cell r="B291" t="str">
            <v>AR395M1039-BASE</v>
          </cell>
          <cell r="C291">
            <v>15</v>
          </cell>
          <cell r="D291">
            <v>374</v>
          </cell>
          <cell r="E291">
            <v>5610</v>
          </cell>
          <cell r="F291" t="str">
            <v>A4-S03</v>
          </cell>
          <cell r="G291" t="str">
            <v>Horizontal rail 1 - Đố ngang 1</v>
          </cell>
          <cell r="H291" t="str">
            <v>Wood laminate</v>
          </cell>
          <cell r="I291">
            <v>30</v>
          </cell>
        </row>
        <row r="292">
          <cell r="A292" t="str">
            <v>B557917/A</v>
          </cell>
          <cell r="B292" t="str">
            <v>AR395M1039-BASE</v>
          </cell>
          <cell r="C292">
            <v>15</v>
          </cell>
          <cell r="D292">
            <v>374</v>
          </cell>
          <cell r="E292">
            <v>5610</v>
          </cell>
          <cell r="F292" t="str">
            <v>A4-S04</v>
          </cell>
          <cell r="G292" t="str">
            <v>The leg  - Chân</v>
          </cell>
          <cell r="H292" t="str">
            <v>Wood laminate</v>
          </cell>
          <cell r="I292">
            <v>60</v>
          </cell>
        </row>
        <row r="293">
          <cell r="A293" t="str">
            <v>B557918/A</v>
          </cell>
          <cell r="B293" t="str">
            <v>AR395M1039-BASE</v>
          </cell>
          <cell r="C293">
            <v>10</v>
          </cell>
          <cell r="D293">
            <v>374</v>
          </cell>
          <cell r="E293">
            <v>3740</v>
          </cell>
          <cell r="F293" t="str">
            <v>A4-S01</v>
          </cell>
          <cell r="G293" t="str">
            <v>Turning Part - Trụ tiện</v>
          </cell>
          <cell r="H293" t="str">
            <v>Wood laminate</v>
          </cell>
          <cell r="I293">
            <v>40</v>
          </cell>
        </row>
        <row r="294">
          <cell r="A294" t="str">
            <v>B557918/A</v>
          </cell>
          <cell r="B294" t="str">
            <v>AR395M1039-BASE</v>
          </cell>
          <cell r="C294">
            <v>10</v>
          </cell>
          <cell r="D294">
            <v>374</v>
          </cell>
          <cell r="E294">
            <v>3740</v>
          </cell>
          <cell r="F294" t="str">
            <v>A4-S01-1</v>
          </cell>
          <cell r="G294" t="str">
            <v>Patching wood - Gỗ đắp</v>
          </cell>
          <cell r="H294" t="str">
            <v>Wood White Oak - Straight/Waving Edged, 1 COM - T32mm x W100mm Up x L1.8m Up</v>
          </cell>
          <cell r="I294">
            <v>80</v>
          </cell>
        </row>
        <row r="295">
          <cell r="A295" t="str">
            <v>B557918/A</v>
          </cell>
          <cell r="B295" t="str">
            <v>AR395M1039-BASE</v>
          </cell>
          <cell r="C295">
            <v>10</v>
          </cell>
          <cell r="D295">
            <v>374</v>
          </cell>
          <cell r="E295">
            <v>3740</v>
          </cell>
          <cell r="F295" t="str">
            <v>A4-S01-2</v>
          </cell>
          <cell r="G295" t="str">
            <v>Patching wood - Gỗ đắp</v>
          </cell>
          <cell r="H295" t="str">
            <v>White Oak 1 COM</v>
          </cell>
          <cell r="I295">
            <v>80</v>
          </cell>
        </row>
        <row r="296">
          <cell r="A296" t="str">
            <v>B557918/A</v>
          </cell>
          <cell r="B296" t="str">
            <v>AR395M1039-BASE</v>
          </cell>
          <cell r="C296">
            <v>10</v>
          </cell>
          <cell r="D296">
            <v>374</v>
          </cell>
          <cell r="E296">
            <v>3740</v>
          </cell>
          <cell r="F296" t="str">
            <v>A4-S01-3</v>
          </cell>
          <cell r="G296" t="str">
            <v>Patching wood - Gỗ đắp</v>
          </cell>
          <cell r="H296" t="str">
            <v>Wood White Oak - Straight/Waving Edged, 1 COM - T32mm x W100mm Up x L1.8m Up</v>
          </cell>
          <cell r="I296">
            <v>80</v>
          </cell>
        </row>
        <row r="297">
          <cell r="A297" t="str">
            <v>B557918/A</v>
          </cell>
          <cell r="B297" t="str">
            <v>AR395M1039-BASE</v>
          </cell>
          <cell r="C297">
            <v>10</v>
          </cell>
          <cell r="D297">
            <v>374</v>
          </cell>
          <cell r="E297">
            <v>3740</v>
          </cell>
          <cell r="F297" t="str">
            <v>A4-S02</v>
          </cell>
          <cell r="G297" t="str">
            <v>Horizontal rail 1 - Đố ngang 1</v>
          </cell>
          <cell r="H297" t="str">
            <v>Wood White Oak - Straight/Waving Edged, 1 COM - T32mm x W100mm Up x L1.8m Up</v>
          </cell>
          <cell r="I297">
            <v>20</v>
          </cell>
        </row>
        <row r="298">
          <cell r="A298" t="str">
            <v>B557918/A</v>
          </cell>
          <cell r="B298" t="str">
            <v>AR395M1039-BASE</v>
          </cell>
          <cell r="C298">
            <v>10</v>
          </cell>
          <cell r="D298">
            <v>374</v>
          </cell>
          <cell r="E298">
            <v>3740</v>
          </cell>
          <cell r="F298" t="str">
            <v>A4-S03</v>
          </cell>
          <cell r="G298" t="str">
            <v>Horizontal rail 1 - Đố ngang 1</v>
          </cell>
          <cell r="H298" t="str">
            <v>Wood laminate</v>
          </cell>
          <cell r="I298">
            <v>20</v>
          </cell>
        </row>
        <row r="299">
          <cell r="A299" t="str">
            <v>B557918/A</v>
          </cell>
          <cell r="B299" t="str">
            <v>AR395M1039-BASE</v>
          </cell>
          <cell r="C299">
            <v>10</v>
          </cell>
          <cell r="D299">
            <v>374</v>
          </cell>
          <cell r="E299">
            <v>3740</v>
          </cell>
          <cell r="F299" t="str">
            <v>A4-S04</v>
          </cell>
          <cell r="G299" t="str">
            <v>The leg  - Chân</v>
          </cell>
          <cell r="H299" t="str">
            <v>Wood laminate</v>
          </cell>
          <cell r="I299">
            <v>40</v>
          </cell>
        </row>
        <row r="300">
          <cell r="A300" t="str">
            <v>B557919/A</v>
          </cell>
          <cell r="B300" t="str">
            <v>AR395M1039-BASE</v>
          </cell>
          <cell r="C300">
            <v>18</v>
          </cell>
          <cell r="D300">
            <v>374</v>
          </cell>
          <cell r="E300">
            <v>6732</v>
          </cell>
          <cell r="F300" t="str">
            <v>A4-S01</v>
          </cell>
          <cell r="G300" t="str">
            <v>Turning Part - Trụ tiện</v>
          </cell>
          <cell r="H300" t="str">
            <v>Wood laminate</v>
          </cell>
          <cell r="I300">
            <v>72</v>
          </cell>
        </row>
        <row r="301">
          <cell r="A301" t="str">
            <v>B557919/A</v>
          </cell>
          <cell r="B301" t="str">
            <v>AR395M1039-BASE</v>
          </cell>
          <cell r="C301">
            <v>18</v>
          </cell>
          <cell r="D301">
            <v>374</v>
          </cell>
          <cell r="E301">
            <v>6732</v>
          </cell>
          <cell r="F301" t="str">
            <v>A4-S01-1</v>
          </cell>
          <cell r="G301" t="str">
            <v>Patching wood - Gỗ đắp</v>
          </cell>
          <cell r="H301" t="str">
            <v>Wood White Oak - Straight/Waving Edged, 1 COM - T32mm x W100mm Up x L1.8m Up</v>
          </cell>
          <cell r="I301">
            <v>144</v>
          </cell>
        </row>
        <row r="302">
          <cell r="A302" t="str">
            <v>B557919/A</v>
          </cell>
          <cell r="B302" t="str">
            <v>AR395M1039-BASE</v>
          </cell>
          <cell r="C302">
            <v>18</v>
          </cell>
          <cell r="D302">
            <v>374</v>
          </cell>
          <cell r="E302">
            <v>6732</v>
          </cell>
          <cell r="F302" t="str">
            <v>A4-S01-2</v>
          </cell>
          <cell r="G302" t="str">
            <v>Patching wood - Gỗ đắp</v>
          </cell>
          <cell r="H302" t="str">
            <v>White Oak 1 COM</v>
          </cell>
          <cell r="I302">
            <v>144</v>
          </cell>
        </row>
        <row r="303">
          <cell r="A303" t="str">
            <v>B557919/A</v>
          </cell>
          <cell r="B303" t="str">
            <v>AR395M1039-BASE</v>
          </cell>
          <cell r="C303">
            <v>18</v>
          </cell>
          <cell r="D303">
            <v>374</v>
          </cell>
          <cell r="E303">
            <v>6732</v>
          </cell>
          <cell r="F303" t="str">
            <v>A4-S01-3</v>
          </cell>
          <cell r="G303" t="str">
            <v>Patching wood - Gỗ đắp</v>
          </cell>
          <cell r="H303" t="str">
            <v>Wood White Oak - Straight/Waving Edged, 1 COM - T32mm x W100mm Up x L1.8m Up</v>
          </cell>
          <cell r="I303">
            <v>144</v>
          </cell>
        </row>
        <row r="304">
          <cell r="A304" t="str">
            <v>B557919/A</v>
          </cell>
          <cell r="B304" t="str">
            <v>AR395M1039-BASE</v>
          </cell>
          <cell r="C304">
            <v>18</v>
          </cell>
          <cell r="D304">
            <v>374</v>
          </cell>
          <cell r="E304">
            <v>6732</v>
          </cell>
          <cell r="F304" t="str">
            <v>A4-S02</v>
          </cell>
          <cell r="G304" t="str">
            <v>Horizontal rail 1 - Đố ngang 1</v>
          </cell>
          <cell r="H304" t="str">
            <v>Wood White Oak - Straight/Waving Edged, 1 COM - T32mm x W100mm Up x L1.8m Up</v>
          </cell>
          <cell r="I304">
            <v>36</v>
          </cell>
        </row>
        <row r="305">
          <cell r="A305" t="str">
            <v>B557919/A</v>
          </cell>
          <cell r="B305" t="str">
            <v>AR395M1039-BASE</v>
          </cell>
          <cell r="C305">
            <v>18</v>
          </cell>
          <cell r="D305">
            <v>374</v>
          </cell>
          <cell r="E305">
            <v>6732</v>
          </cell>
          <cell r="F305" t="str">
            <v>A4-S03</v>
          </cell>
          <cell r="G305" t="str">
            <v>Horizontal rail 1 - Đố ngang 1</v>
          </cell>
          <cell r="H305" t="str">
            <v>Wood laminate</v>
          </cell>
          <cell r="I305">
            <v>36</v>
          </cell>
        </row>
        <row r="306">
          <cell r="A306" t="str">
            <v>B557919/A</v>
          </cell>
          <cell r="B306" t="str">
            <v>AR395M1039-BASE</v>
          </cell>
          <cell r="C306">
            <v>18</v>
          </cell>
          <cell r="D306">
            <v>374</v>
          </cell>
          <cell r="E306">
            <v>6732</v>
          </cell>
          <cell r="F306" t="str">
            <v>A4-S04</v>
          </cell>
          <cell r="G306" t="str">
            <v>The leg  - Chân</v>
          </cell>
          <cell r="H306" t="str">
            <v>Wood laminate</v>
          </cell>
          <cell r="I306">
            <v>72</v>
          </cell>
        </row>
        <row r="307">
          <cell r="A307" t="str">
            <v>B557920/A</v>
          </cell>
          <cell r="B307" t="str">
            <v>AR395M1039-BASE</v>
          </cell>
          <cell r="C307">
            <v>7</v>
          </cell>
          <cell r="D307">
            <v>374</v>
          </cell>
          <cell r="E307">
            <v>2618</v>
          </cell>
          <cell r="F307" t="str">
            <v>A4-S01</v>
          </cell>
          <cell r="G307" t="str">
            <v>Turning Part - Trụ tiện</v>
          </cell>
          <cell r="H307" t="str">
            <v>Wood laminate</v>
          </cell>
          <cell r="I307">
            <v>28</v>
          </cell>
        </row>
        <row r="308">
          <cell r="A308" t="str">
            <v>B557920/A</v>
          </cell>
          <cell r="B308" t="str">
            <v>AR395M1039-BASE</v>
          </cell>
          <cell r="C308">
            <v>7</v>
          </cell>
          <cell r="D308">
            <v>374</v>
          </cell>
          <cell r="E308">
            <v>2618</v>
          </cell>
          <cell r="F308" t="str">
            <v>A4-S01-1</v>
          </cell>
          <cell r="G308" t="str">
            <v>Patching wood - Gỗ đắp</v>
          </cell>
          <cell r="H308" t="str">
            <v>Wood White Oak - Straight/Waving Edged, 1 COM - T32mm x W100mm Up x L1.8m Up</v>
          </cell>
          <cell r="I308">
            <v>56</v>
          </cell>
        </row>
        <row r="309">
          <cell r="A309" t="str">
            <v>B557920/A</v>
          </cell>
          <cell r="B309" t="str">
            <v>AR395M1039-BASE</v>
          </cell>
          <cell r="C309">
            <v>7</v>
          </cell>
          <cell r="D309">
            <v>374</v>
          </cell>
          <cell r="E309">
            <v>2618</v>
          </cell>
          <cell r="F309" t="str">
            <v>A4-S01-2</v>
          </cell>
          <cell r="G309" t="str">
            <v>Patching wood - Gỗ đắp</v>
          </cell>
          <cell r="H309" t="str">
            <v>White Oak 1 COM</v>
          </cell>
          <cell r="I309">
            <v>56</v>
          </cell>
        </row>
        <row r="310">
          <cell r="A310" t="str">
            <v>B557920/A</v>
          </cell>
          <cell r="B310" t="str">
            <v>AR395M1039-BASE</v>
          </cell>
          <cell r="C310">
            <v>7</v>
          </cell>
          <cell r="D310">
            <v>374</v>
          </cell>
          <cell r="E310">
            <v>2618</v>
          </cell>
          <cell r="F310" t="str">
            <v>A4-S01-3</v>
          </cell>
          <cell r="G310" t="str">
            <v>Patching wood - Gỗ đắp</v>
          </cell>
          <cell r="H310" t="str">
            <v>Wood White Oak - Straight/Waving Edged, 1 COM - T32mm x W100mm Up x L1.8m Up</v>
          </cell>
          <cell r="I310">
            <v>56</v>
          </cell>
        </row>
        <row r="311">
          <cell r="A311" t="str">
            <v>B557920/A</v>
          </cell>
          <cell r="B311" t="str">
            <v>AR395M1039-BASE</v>
          </cell>
          <cell r="C311">
            <v>7</v>
          </cell>
          <cell r="D311">
            <v>374</v>
          </cell>
          <cell r="E311">
            <v>2618</v>
          </cell>
          <cell r="F311" t="str">
            <v>A4-S02</v>
          </cell>
          <cell r="G311" t="str">
            <v>Horizontal rail 1 - Đố ngang 1</v>
          </cell>
          <cell r="H311" t="str">
            <v>Wood White Oak - Straight/Waving Edged, 1 COM - T32mm x W100mm Up x L1.8m Up</v>
          </cell>
          <cell r="I311">
            <v>14</v>
          </cell>
        </row>
        <row r="312">
          <cell r="A312" t="str">
            <v>B557920/A</v>
          </cell>
          <cell r="B312" t="str">
            <v>AR395M1039-BASE</v>
          </cell>
          <cell r="C312">
            <v>7</v>
          </cell>
          <cell r="D312">
            <v>374</v>
          </cell>
          <cell r="E312">
            <v>2618</v>
          </cell>
          <cell r="F312" t="str">
            <v>A4-S03</v>
          </cell>
          <cell r="G312" t="str">
            <v>Horizontal rail 1 - Đố ngang 1</v>
          </cell>
          <cell r="H312" t="str">
            <v>Wood laminate</v>
          </cell>
          <cell r="I312">
            <v>14</v>
          </cell>
        </row>
        <row r="313">
          <cell r="A313" t="str">
            <v>B557920/A</v>
          </cell>
          <cell r="B313" t="str">
            <v>AR395M1039-BASE</v>
          </cell>
          <cell r="C313">
            <v>7</v>
          </cell>
          <cell r="D313">
            <v>374</v>
          </cell>
          <cell r="E313">
            <v>2618</v>
          </cell>
          <cell r="F313" t="str">
            <v>A4-S04</v>
          </cell>
          <cell r="G313" t="str">
            <v>The leg  - Chân</v>
          </cell>
          <cell r="H313" t="str">
            <v>Wood laminate</v>
          </cell>
          <cell r="I313">
            <v>28</v>
          </cell>
        </row>
        <row r="314">
          <cell r="A314" t="str">
            <v>B557925/A</v>
          </cell>
          <cell r="B314" t="str">
            <v>AR395M1039-TOP</v>
          </cell>
          <cell r="C314">
            <v>15</v>
          </cell>
          <cell r="D314">
            <v>546</v>
          </cell>
          <cell r="E314">
            <v>8190</v>
          </cell>
          <cell r="F314" t="str">
            <v>A0</v>
          </cell>
          <cell r="G314" t="str">
            <v>VN - Veneer</v>
          </cell>
          <cell r="H314" t="str">
            <v>Veneer laminate</v>
          </cell>
          <cell r="I314">
            <v>15</v>
          </cell>
        </row>
        <row r="315">
          <cell r="A315" t="str">
            <v>B557925/A</v>
          </cell>
          <cell r="B315" t="str">
            <v>AR395M1039-TOP</v>
          </cell>
          <cell r="C315">
            <v>15</v>
          </cell>
          <cell r="D315">
            <v>546</v>
          </cell>
          <cell r="E315">
            <v>8190</v>
          </cell>
          <cell r="F315" t="str">
            <v>A1-S01</v>
          </cell>
          <cell r="G315" t="str">
            <v>Top Frame - Khung nóc</v>
          </cell>
          <cell r="H315" t="str">
            <v>Pre-Assembly</v>
          </cell>
          <cell r="I315">
            <v>30</v>
          </cell>
        </row>
        <row r="316">
          <cell r="A316" t="str">
            <v>B557925/A</v>
          </cell>
          <cell r="B316" t="str">
            <v>AR395M1039-TOP</v>
          </cell>
          <cell r="C316">
            <v>15</v>
          </cell>
          <cell r="D316">
            <v>546</v>
          </cell>
          <cell r="E316">
            <v>8190</v>
          </cell>
          <cell r="F316" t="str">
            <v>A1-S01-1</v>
          </cell>
          <cell r="G316" t="str">
            <v xml:space="preserve">Panel - Ván </v>
          </cell>
          <cell r="H316" t="str">
            <v>MDF laminate</v>
          </cell>
          <cell r="I316">
            <v>30</v>
          </cell>
        </row>
        <row r="317">
          <cell r="A317" t="str">
            <v>B557925/A</v>
          </cell>
          <cell r="B317" t="str">
            <v>AR395M1039-TOP</v>
          </cell>
          <cell r="C317">
            <v>15</v>
          </cell>
          <cell r="D317">
            <v>546</v>
          </cell>
          <cell r="E317">
            <v>8190</v>
          </cell>
          <cell r="F317" t="str">
            <v>A1-S01-2</v>
          </cell>
          <cell r="G317" t="str">
            <v>Front top rail  - Đố tiền nóc</v>
          </cell>
          <cell r="H317" t="str">
            <v>Wood White Oak - Straight/Waving Edged, 1 COM - T32mm x W100mm Up x L1.8m Up</v>
          </cell>
          <cell r="I317">
            <v>60</v>
          </cell>
        </row>
        <row r="318">
          <cell r="A318" t="str">
            <v>B557925/A</v>
          </cell>
          <cell r="B318" t="str">
            <v>AR395M1039-TOP</v>
          </cell>
          <cell r="C318">
            <v>15</v>
          </cell>
          <cell r="D318">
            <v>546</v>
          </cell>
          <cell r="E318">
            <v>8190</v>
          </cell>
          <cell r="F318" t="str">
            <v>A1-S01-3</v>
          </cell>
          <cell r="G318" t="str">
            <v>Side top rail - Đố hông trên</v>
          </cell>
          <cell r="H318" t="str">
            <v>Wood laminate</v>
          </cell>
          <cell r="I318">
            <v>60</v>
          </cell>
        </row>
        <row r="319">
          <cell r="A319" t="str">
            <v>B557925/A</v>
          </cell>
          <cell r="B319" t="str">
            <v>AR395M1039-TOP</v>
          </cell>
          <cell r="C319">
            <v>15</v>
          </cell>
          <cell r="D319">
            <v>546</v>
          </cell>
          <cell r="E319">
            <v>8190</v>
          </cell>
          <cell r="F319" t="str">
            <v>A1-S01-4</v>
          </cell>
          <cell r="G319" t="str">
            <v>Side top rail - Đố hông trên</v>
          </cell>
          <cell r="H319" t="str">
            <v>Wood White Oak - Straight/Waving Edged, 1 COM - T32mm x W100mm Up x L1.8m Up</v>
          </cell>
          <cell r="I319">
            <v>30</v>
          </cell>
        </row>
        <row r="320">
          <cell r="A320" t="str">
            <v>B557925/A</v>
          </cell>
          <cell r="B320" t="str">
            <v>AR395M1039-TOP</v>
          </cell>
          <cell r="C320">
            <v>15</v>
          </cell>
          <cell r="D320">
            <v>546</v>
          </cell>
          <cell r="E320">
            <v>8190</v>
          </cell>
          <cell r="F320" t="str">
            <v>A1-S01-5</v>
          </cell>
          <cell r="G320" t="str">
            <v>Side top rail - Đố hông trên</v>
          </cell>
          <cell r="H320" t="str">
            <v>Wood White Oak - Straight/Waving Edged, 1 COM - T32mm x W100mm Up x L1.8m Up</v>
          </cell>
          <cell r="I320">
            <v>90</v>
          </cell>
        </row>
        <row r="321">
          <cell r="A321" t="str">
            <v>B557925/A</v>
          </cell>
          <cell r="B321" t="str">
            <v>AR395M1039-TOP</v>
          </cell>
          <cell r="C321">
            <v>15</v>
          </cell>
          <cell r="D321">
            <v>546</v>
          </cell>
          <cell r="E321">
            <v>8190</v>
          </cell>
          <cell r="F321" t="str">
            <v>A1-S02</v>
          </cell>
          <cell r="G321" t="str">
            <v>Front Top rail 1 - Đố nóc trước 1</v>
          </cell>
          <cell r="H321" t="str">
            <v>Wood laminate</v>
          </cell>
          <cell r="I321">
            <v>60</v>
          </cell>
        </row>
        <row r="322">
          <cell r="A322" t="str">
            <v>B557925/A</v>
          </cell>
          <cell r="B322" t="str">
            <v>AR395M1039-TOP</v>
          </cell>
          <cell r="C322">
            <v>15</v>
          </cell>
          <cell r="D322">
            <v>546</v>
          </cell>
          <cell r="E322">
            <v>8190</v>
          </cell>
          <cell r="F322" t="str">
            <v>A1-S03</v>
          </cell>
          <cell r="G322" t="str">
            <v>Front Top rail 1 - Đố nóc trước 1</v>
          </cell>
          <cell r="H322" t="str">
            <v>Wood laminate</v>
          </cell>
          <cell r="I322">
            <v>30</v>
          </cell>
        </row>
        <row r="323">
          <cell r="A323" t="str">
            <v>B557925/A</v>
          </cell>
          <cell r="B323" t="str">
            <v>AR395M1039-TOP</v>
          </cell>
          <cell r="C323">
            <v>15</v>
          </cell>
          <cell r="D323">
            <v>546</v>
          </cell>
          <cell r="E323">
            <v>8190</v>
          </cell>
          <cell r="F323" t="str">
            <v>A1-S04</v>
          </cell>
          <cell r="G323" t="str">
            <v>Cleat - Bọ gỗ</v>
          </cell>
          <cell r="H323" t="str">
            <v>Wood EU Beech - Straight/Waving Edged AB, 1 COM - T26mm x W100mm up x L1.8m up</v>
          </cell>
          <cell r="I323">
            <v>30</v>
          </cell>
        </row>
        <row r="324">
          <cell r="A324" t="str">
            <v>B557925/A</v>
          </cell>
          <cell r="B324" t="str">
            <v>AR395M1039-TOP</v>
          </cell>
          <cell r="C324">
            <v>15</v>
          </cell>
          <cell r="D324">
            <v>546</v>
          </cell>
          <cell r="E324">
            <v>8190</v>
          </cell>
          <cell r="F324" t="str">
            <v>A2-S01</v>
          </cell>
          <cell r="G324" t="str">
            <v>Top Frame - Khung nóc</v>
          </cell>
          <cell r="H324" t="str">
            <v>Pre-Assembly</v>
          </cell>
          <cell r="I324">
            <v>30</v>
          </cell>
        </row>
        <row r="325">
          <cell r="A325" t="str">
            <v>B557925/A</v>
          </cell>
          <cell r="B325" t="str">
            <v>AR395M1039-TOP</v>
          </cell>
          <cell r="C325">
            <v>15</v>
          </cell>
          <cell r="D325">
            <v>546</v>
          </cell>
          <cell r="E325">
            <v>8190</v>
          </cell>
          <cell r="F325" t="str">
            <v>A2-S01-1</v>
          </cell>
          <cell r="G325" t="str">
            <v xml:space="preserve">Panel - Ván </v>
          </cell>
          <cell r="H325" t="str">
            <v>MDF laminate</v>
          </cell>
          <cell r="I325">
            <v>30</v>
          </cell>
        </row>
        <row r="326">
          <cell r="A326" t="str">
            <v>B557925/A</v>
          </cell>
          <cell r="B326" t="str">
            <v>AR395M1039-TOP</v>
          </cell>
          <cell r="C326">
            <v>15</v>
          </cell>
          <cell r="D326">
            <v>546</v>
          </cell>
          <cell r="E326">
            <v>8190</v>
          </cell>
          <cell r="F326" t="str">
            <v>A2-S01-2</v>
          </cell>
          <cell r="G326" t="str">
            <v>Front top rail  - Đố tiền nóc</v>
          </cell>
          <cell r="H326" t="str">
            <v>Wood White Oak - Straight/Waving Edged, 1 COM - T32mm x W100mm Up x L1.8m Up</v>
          </cell>
          <cell r="I326">
            <v>60</v>
          </cell>
        </row>
        <row r="327">
          <cell r="A327" t="str">
            <v>B557925/A</v>
          </cell>
          <cell r="B327" t="str">
            <v>AR395M1039-TOP</v>
          </cell>
          <cell r="C327">
            <v>15</v>
          </cell>
          <cell r="D327">
            <v>546</v>
          </cell>
          <cell r="E327">
            <v>8190</v>
          </cell>
          <cell r="F327" t="str">
            <v>A2-S02</v>
          </cell>
          <cell r="G327" t="str">
            <v>Top rail - Đố nóc</v>
          </cell>
          <cell r="H327" t="str">
            <v>Wood White Oak - Straight/Waving Edged, 1 COM - T25mm x W100mm Up x L1.8m Up</v>
          </cell>
          <cell r="I327">
            <v>60</v>
          </cell>
        </row>
        <row r="328">
          <cell r="A328" t="str">
            <v>B557925/A</v>
          </cell>
          <cell r="B328" t="str">
            <v>AR395M1039-TOP</v>
          </cell>
          <cell r="C328">
            <v>15</v>
          </cell>
          <cell r="D328">
            <v>546</v>
          </cell>
          <cell r="E328">
            <v>8190</v>
          </cell>
          <cell r="F328" t="str">
            <v>A2-S03</v>
          </cell>
          <cell r="G328" t="str">
            <v>Patching wood - Gỗ đắp</v>
          </cell>
          <cell r="H328" t="str">
            <v>Wood US Poplar - Straight Edged, 1 COM - T38mm x W100mm Up x L1.8m Up</v>
          </cell>
          <cell r="I328">
            <v>60</v>
          </cell>
        </row>
        <row r="329">
          <cell r="A329" t="str">
            <v>B557925/A</v>
          </cell>
          <cell r="B329" t="str">
            <v>AR395M1039-TOP</v>
          </cell>
          <cell r="C329">
            <v>15</v>
          </cell>
          <cell r="D329">
            <v>546</v>
          </cell>
          <cell r="E329">
            <v>8190</v>
          </cell>
          <cell r="F329" t="str">
            <v>A3-S01</v>
          </cell>
          <cell r="G329" t="str">
            <v>Front rail  - Đố tiền</v>
          </cell>
          <cell r="H329" t="str">
            <v>Wood White Oak - Straight/Waving Edged, 1 COM - T32mm x W100mm Up x L1.8m Up</v>
          </cell>
          <cell r="I329">
            <v>30</v>
          </cell>
        </row>
        <row r="330">
          <cell r="A330" t="str">
            <v>B557925/A</v>
          </cell>
          <cell r="B330" t="str">
            <v>AR395M1039-TOP</v>
          </cell>
          <cell r="C330">
            <v>15</v>
          </cell>
          <cell r="D330">
            <v>546</v>
          </cell>
          <cell r="E330">
            <v>8190</v>
          </cell>
          <cell r="F330" t="str">
            <v>A3-S02</v>
          </cell>
          <cell r="G330" t="str">
            <v>Front rail  - Đố tiền</v>
          </cell>
          <cell r="H330" t="str">
            <v>Wood EU Beech - Straight/Waving Edged AB, 1 COM - T32mm x W100mm up x L1.8m up</v>
          </cell>
          <cell r="I330">
            <v>30</v>
          </cell>
        </row>
        <row r="331">
          <cell r="A331" t="str">
            <v>B557925/A</v>
          </cell>
          <cell r="B331" t="str">
            <v>AR395M1039-TOP</v>
          </cell>
          <cell r="C331">
            <v>15</v>
          </cell>
          <cell r="D331">
            <v>546</v>
          </cell>
          <cell r="E331">
            <v>8190</v>
          </cell>
          <cell r="F331" t="str">
            <v>A3-S03</v>
          </cell>
          <cell r="G331" t="str">
            <v>Center rail - Đố giữa</v>
          </cell>
          <cell r="H331" t="str">
            <v>Wood EU Beech - Straight/Waving Edged AB, 1 COM - T26mm x W100mm up x L1.8m up</v>
          </cell>
          <cell r="I331">
            <v>30</v>
          </cell>
        </row>
        <row r="332">
          <cell r="A332" t="str">
            <v>B557925/A</v>
          </cell>
          <cell r="B332" t="str">
            <v>AR395M1039-TOP</v>
          </cell>
          <cell r="C332">
            <v>15</v>
          </cell>
          <cell r="D332">
            <v>546</v>
          </cell>
          <cell r="E332">
            <v>8190</v>
          </cell>
          <cell r="F332" t="str">
            <v>A3-S04</v>
          </cell>
          <cell r="G332" t="str">
            <v>Center rail - Đố giữa</v>
          </cell>
          <cell r="H332" t="str">
            <v>Wood EU Beech - Straight/Waving Edged AB, 1 COM - T26mm x W100mm up x L1.8m up</v>
          </cell>
          <cell r="I332">
            <v>60</v>
          </cell>
        </row>
        <row r="333">
          <cell r="A333" t="str">
            <v>B557925/A</v>
          </cell>
          <cell r="B333" t="str">
            <v>AR395M1039-TOP</v>
          </cell>
          <cell r="C333">
            <v>15</v>
          </cell>
          <cell r="D333">
            <v>546</v>
          </cell>
          <cell r="E333">
            <v>8190</v>
          </cell>
          <cell r="F333" t="str">
            <v>A3-S05</v>
          </cell>
          <cell r="G333" t="str">
            <v>Cleat - Bọ gỗ</v>
          </cell>
          <cell r="H333" t="str">
            <v>Beech off cut</v>
          </cell>
          <cell r="I333">
            <v>60</v>
          </cell>
        </row>
        <row r="334">
          <cell r="A334" t="str">
            <v>B557925/A</v>
          </cell>
          <cell r="B334" t="str">
            <v>AR395M1039-TOP</v>
          </cell>
          <cell r="C334">
            <v>15</v>
          </cell>
          <cell r="D334">
            <v>546</v>
          </cell>
          <cell r="E334">
            <v>8190</v>
          </cell>
          <cell r="F334" t="str">
            <v>P01</v>
          </cell>
          <cell r="G334" t="str">
            <v>Horizontal rail 1 - Đố ngang 1</v>
          </cell>
          <cell r="H334" t="str">
            <v>Wood laminate</v>
          </cell>
          <cell r="I334">
            <v>15</v>
          </cell>
        </row>
        <row r="335">
          <cell r="A335" t="str">
            <v>B557926/A</v>
          </cell>
          <cell r="B335" t="str">
            <v>AR395M1039-TOP</v>
          </cell>
          <cell r="C335">
            <v>10</v>
          </cell>
          <cell r="D335">
            <v>546</v>
          </cell>
          <cell r="E335">
            <v>5460</v>
          </cell>
          <cell r="F335" t="str">
            <v>A0</v>
          </cell>
          <cell r="G335" t="str">
            <v>VN - Veneer</v>
          </cell>
          <cell r="H335" t="str">
            <v>Veneer laminate</v>
          </cell>
          <cell r="I335">
            <v>10</v>
          </cell>
        </row>
        <row r="336">
          <cell r="A336" t="str">
            <v>B557926/A</v>
          </cell>
          <cell r="B336" t="str">
            <v>AR395M1039-TOP</v>
          </cell>
          <cell r="C336">
            <v>10</v>
          </cell>
          <cell r="D336">
            <v>546</v>
          </cell>
          <cell r="E336">
            <v>5460</v>
          </cell>
          <cell r="F336" t="str">
            <v>A1-S01</v>
          </cell>
          <cell r="G336" t="str">
            <v>Top Frame - Khung nóc</v>
          </cell>
          <cell r="H336" t="str">
            <v>Pre-Assembly</v>
          </cell>
          <cell r="I336">
            <v>20</v>
          </cell>
        </row>
        <row r="337">
          <cell r="A337" t="str">
            <v>B557926/A</v>
          </cell>
          <cell r="B337" t="str">
            <v>AR395M1039-TOP</v>
          </cell>
          <cell r="C337">
            <v>10</v>
          </cell>
          <cell r="D337">
            <v>546</v>
          </cell>
          <cell r="E337">
            <v>5460</v>
          </cell>
          <cell r="F337" t="str">
            <v>A1-S01-1</v>
          </cell>
          <cell r="G337" t="str">
            <v xml:space="preserve">Panel - Ván </v>
          </cell>
          <cell r="H337" t="str">
            <v>MDF laminate</v>
          </cell>
          <cell r="I337">
            <v>20</v>
          </cell>
        </row>
        <row r="338">
          <cell r="A338" t="str">
            <v>B557926/A</v>
          </cell>
          <cell r="B338" t="str">
            <v>AR395M1039-TOP</v>
          </cell>
          <cell r="C338">
            <v>10</v>
          </cell>
          <cell r="D338">
            <v>546</v>
          </cell>
          <cell r="E338">
            <v>5460</v>
          </cell>
          <cell r="F338" t="str">
            <v>A1-S01-2</v>
          </cell>
          <cell r="G338" t="str">
            <v>Front top rail  - Đố tiền nóc</v>
          </cell>
          <cell r="H338" t="str">
            <v>Wood White Oak - Straight/Waving Edged, 1 COM - T32mm x W100mm Up x L1.8m Up</v>
          </cell>
          <cell r="I338">
            <v>40</v>
          </cell>
        </row>
        <row r="339">
          <cell r="A339" t="str">
            <v>B557926/A</v>
          </cell>
          <cell r="B339" t="str">
            <v>AR395M1039-TOP</v>
          </cell>
          <cell r="C339">
            <v>10</v>
          </cell>
          <cell r="D339">
            <v>546</v>
          </cell>
          <cell r="E339">
            <v>5460</v>
          </cell>
          <cell r="F339" t="str">
            <v>A1-S01-3</v>
          </cell>
          <cell r="G339" t="str">
            <v>Side top rail - Đố hông trên</v>
          </cell>
          <cell r="H339" t="str">
            <v>Wood laminate</v>
          </cell>
          <cell r="I339">
            <v>40</v>
          </cell>
        </row>
        <row r="340">
          <cell r="A340" t="str">
            <v>B557926/A</v>
          </cell>
          <cell r="B340" t="str">
            <v>AR395M1039-TOP</v>
          </cell>
          <cell r="C340">
            <v>10</v>
          </cell>
          <cell r="D340">
            <v>546</v>
          </cell>
          <cell r="E340">
            <v>5460</v>
          </cell>
          <cell r="F340" t="str">
            <v>A1-S01-4</v>
          </cell>
          <cell r="G340" t="str">
            <v>Side top rail - Đố hông trên</v>
          </cell>
          <cell r="H340" t="str">
            <v>Wood White Oak - Straight/Waving Edged, 1 COM - T32mm x W100mm Up x L1.8m Up</v>
          </cell>
          <cell r="I340">
            <v>20</v>
          </cell>
        </row>
        <row r="341">
          <cell r="A341" t="str">
            <v>B557926/A</v>
          </cell>
          <cell r="B341" t="str">
            <v>AR395M1039-TOP</v>
          </cell>
          <cell r="C341">
            <v>10</v>
          </cell>
          <cell r="D341">
            <v>546</v>
          </cell>
          <cell r="E341">
            <v>5460</v>
          </cell>
          <cell r="F341" t="str">
            <v>A1-S01-5</v>
          </cell>
          <cell r="G341" t="str">
            <v>Side top rail - Đố hông trên</v>
          </cell>
          <cell r="H341" t="str">
            <v>Wood White Oak - Straight/Waving Edged, 1 COM - T32mm x W100mm Up x L1.8m Up</v>
          </cell>
          <cell r="I341">
            <v>60</v>
          </cell>
        </row>
        <row r="342">
          <cell r="A342" t="str">
            <v>B557926/A</v>
          </cell>
          <cell r="B342" t="str">
            <v>AR395M1039-TOP</v>
          </cell>
          <cell r="C342">
            <v>10</v>
          </cell>
          <cell r="D342">
            <v>546</v>
          </cell>
          <cell r="E342">
            <v>5460</v>
          </cell>
          <cell r="F342" t="str">
            <v>A1-S02</v>
          </cell>
          <cell r="G342" t="str">
            <v>Front Top rail 1 - Đố nóc trước 1</v>
          </cell>
          <cell r="H342" t="str">
            <v>Wood laminate</v>
          </cell>
          <cell r="I342">
            <v>40</v>
          </cell>
        </row>
        <row r="343">
          <cell r="A343" t="str">
            <v>B557926/A</v>
          </cell>
          <cell r="B343" t="str">
            <v>AR395M1039-TOP</v>
          </cell>
          <cell r="C343">
            <v>10</v>
          </cell>
          <cell r="D343">
            <v>546</v>
          </cell>
          <cell r="E343">
            <v>5460</v>
          </cell>
          <cell r="F343" t="str">
            <v>A1-S03</v>
          </cell>
          <cell r="G343" t="str">
            <v>Front Top rail 1 - Đố nóc trước 1</v>
          </cell>
          <cell r="H343" t="str">
            <v>Wood laminate</v>
          </cell>
          <cell r="I343">
            <v>20</v>
          </cell>
        </row>
        <row r="344">
          <cell r="A344" t="str">
            <v>B557926/A</v>
          </cell>
          <cell r="B344" t="str">
            <v>AR395M1039-TOP</v>
          </cell>
          <cell r="C344">
            <v>10</v>
          </cell>
          <cell r="D344">
            <v>546</v>
          </cell>
          <cell r="E344">
            <v>5460</v>
          </cell>
          <cell r="F344" t="str">
            <v>A1-S04</v>
          </cell>
          <cell r="G344" t="str">
            <v>Cleat - Bọ gỗ</v>
          </cell>
          <cell r="H344" t="str">
            <v>Wood EU Beech - Straight/Waving Edged AB, 1 COM - T26mm x W100mm up x L1.8m up</v>
          </cell>
          <cell r="I344">
            <v>20</v>
          </cell>
        </row>
        <row r="345">
          <cell r="A345" t="str">
            <v>B557926/A</v>
          </cell>
          <cell r="B345" t="str">
            <v>AR395M1039-TOP</v>
          </cell>
          <cell r="C345">
            <v>10</v>
          </cell>
          <cell r="D345">
            <v>546</v>
          </cell>
          <cell r="E345">
            <v>5460</v>
          </cell>
          <cell r="F345" t="str">
            <v>A2-S01</v>
          </cell>
          <cell r="G345" t="str">
            <v>Top Frame - Khung nóc</v>
          </cell>
          <cell r="H345" t="str">
            <v>Pre-Assembly</v>
          </cell>
          <cell r="I345">
            <v>20</v>
          </cell>
        </row>
        <row r="346">
          <cell r="A346" t="str">
            <v>B557926/A</v>
          </cell>
          <cell r="B346" t="str">
            <v>AR395M1039-TOP</v>
          </cell>
          <cell r="C346">
            <v>10</v>
          </cell>
          <cell r="D346">
            <v>546</v>
          </cell>
          <cell r="E346">
            <v>5460</v>
          </cell>
          <cell r="F346" t="str">
            <v>A2-S01-1</v>
          </cell>
          <cell r="G346" t="str">
            <v xml:space="preserve">Panel - Ván </v>
          </cell>
          <cell r="H346" t="str">
            <v>MDF laminate</v>
          </cell>
          <cell r="I346">
            <v>20</v>
          </cell>
        </row>
        <row r="347">
          <cell r="A347" t="str">
            <v>B557926/A</v>
          </cell>
          <cell r="B347" t="str">
            <v>AR395M1039-TOP</v>
          </cell>
          <cell r="C347">
            <v>10</v>
          </cell>
          <cell r="D347">
            <v>546</v>
          </cell>
          <cell r="E347">
            <v>5460</v>
          </cell>
          <cell r="F347" t="str">
            <v>A2-S01-2</v>
          </cell>
          <cell r="G347" t="str">
            <v>Front top rail  - Đố tiền nóc</v>
          </cell>
          <cell r="H347" t="str">
            <v>Wood White Oak - Straight/Waving Edged, 1 COM - T32mm x W100mm Up x L1.8m Up</v>
          </cell>
          <cell r="I347">
            <v>40</v>
          </cell>
        </row>
        <row r="348">
          <cell r="A348" t="str">
            <v>B557926/A</v>
          </cell>
          <cell r="B348" t="str">
            <v>AR395M1039-TOP</v>
          </cell>
          <cell r="C348">
            <v>10</v>
          </cell>
          <cell r="D348">
            <v>546</v>
          </cell>
          <cell r="E348">
            <v>5460</v>
          </cell>
          <cell r="F348" t="str">
            <v>A2-S02</v>
          </cell>
          <cell r="G348" t="str">
            <v>Top rail - Đố nóc</v>
          </cell>
          <cell r="H348" t="str">
            <v>Wood White Oak - Straight/Waving Edged, 1 COM - T25mm x W100mm Up x L1.8m Up</v>
          </cell>
          <cell r="I348">
            <v>40</v>
          </cell>
        </row>
        <row r="349">
          <cell r="A349" t="str">
            <v>B557926/A</v>
          </cell>
          <cell r="B349" t="str">
            <v>AR395M1039-TOP</v>
          </cell>
          <cell r="C349">
            <v>10</v>
          </cell>
          <cell r="D349">
            <v>546</v>
          </cell>
          <cell r="E349">
            <v>5460</v>
          </cell>
          <cell r="F349" t="str">
            <v>A2-S03</v>
          </cell>
          <cell r="G349" t="str">
            <v>Patching wood - Gỗ đắp</v>
          </cell>
          <cell r="H349" t="str">
            <v>Wood US Poplar - Straight Edged, 1 COM - T38mm x W100mm Up x L1.8m Up</v>
          </cell>
          <cell r="I349">
            <v>40</v>
          </cell>
        </row>
        <row r="350">
          <cell r="A350" t="str">
            <v>B557926/A</v>
          </cell>
          <cell r="B350" t="str">
            <v>AR395M1039-TOP</v>
          </cell>
          <cell r="C350">
            <v>10</v>
          </cell>
          <cell r="D350">
            <v>546</v>
          </cell>
          <cell r="E350">
            <v>5460</v>
          </cell>
          <cell r="F350" t="str">
            <v>A3-S01</v>
          </cell>
          <cell r="G350" t="str">
            <v>Front rail  - Đố tiền</v>
          </cell>
          <cell r="H350" t="str">
            <v>Wood White Oak - Straight/Waving Edged, 1 COM - T32mm x W100mm Up x L1.8m Up</v>
          </cell>
          <cell r="I350">
            <v>20</v>
          </cell>
        </row>
        <row r="351">
          <cell r="A351" t="str">
            <v>B557926/A</v>
          </cell>
          <cell r="B351" t="str">
            <v>AR395M1039-TOP</v>
          </cell>
          <cell r="C351">
            <v>10</v>
          </cell>
          <cell r="D351">
            <v>546</v>
          </cell>
          <cell r="E351">
            <v>5460</v>
          </cell>
          <cell r="F351" t="str">
            <v>A3-S02</v>
          </cell>
          <cell r="G351" t="str">
            <v>Front rail  - Đố tiền</v>
          </cell>
          <cell r="H351" t="str">
            <v>Wood EU Beech - Straight/Waving Edged AB, 1 COM - T32mm x W100mm up x L1.8m up</v>
          </cell>
          <cell r="I351">
            <v>20</v>
          </cell>
        </row>
        <row r="352">
          <cell r="A352" t="str">
            <v>B557926/A</v>
          </cell>
          <cell r="B352" t="str">
            <v>AR395M1039-TOP</v>
          </cell>
          <cell r="C352">
            <v>10</v>
          </cell>
          <cell r="D352">
            <v>546</v>
          </cell>
          <cell r="E352">
            <v>5460</v>
          </cell>
          <cell r="F352" t="str">
            <v>A3-S03</v>
          </cell>
          <cell r="G352" t="str">
            <v>Center rail - Đố giữa</v>
          </cell>
          <cell r="H352" t="str">
            <v>Wood EU Beech - Straight/Waving Edged AB, 1 COM - T26mm x W100mm up x L1.8m up</v>
          </cell>
          <cell r="I352">
            <v>20</v>
          </cell>
        </row>
        <row r="353">
          <cell r="A353" t="str">
            <v>B557926/A</v>
          </cell>
          <cell r="B353" t="str">
            <v>AR395M1039-TOP</v>
          </cell>
          <cell r="C353">
            <v>10</v>
          </cell>
          <cell r="D353">
            <v>546</v>
          </cell>
          <cell r="E353">
            <v>5460</v>
          </cell>
          <cell r="F353" t="str">
            <v>A3-S04</v>
          </cell>
          <cell r="G353" t="str">
            <v>Center rail - Đố giữa</v>
          </cell>
          <cell r="H353" t="str">
            <v>Wood EU Beech - Straight/Waving Edged AB, 1 COM - T26mm x W100mm up x L1.8m up</v>
          </cell>
          <cell r="I353">
            <v>40</v>
          </cell>
        </row>
        <row r="354">
          <cell r="A354" t="str">
            <v>B557926/A</v>
          </cell>
          <cell r="B354" t="str">
            <v>AR395M1039-TOP</v>
          </cell>
          <cell r="C354">
            <v>10</v>
          </cell>
          <cell r="D354">
            <v>546</v>
          </cell>
          <cell r="E354">
            <v>5460</v>
          </cell>
          <cell r="F354" t="str">
            <v>A3-S05</v>
          </cell>
          <cell r="G354" t="str">
            <v>Cleat - Bọ gỗ</v>
          </cell>
          <cell r="H354" t="str">
            <v>Beech off cut</v>
          </cell>
          <cell r="I354">
            <v>40</v>
          </cell>
        </row>
        <row r="355">
          <cell r="A355" t="str">
            <v>B557926/A</v>
          </cell>
          <cell r="B355" t="str">
            <v>AR395M1039-TOP</v>
          </cell>
          <cell r="C355">
            <v>10</v>
          </cell>
          <cell r="D355">
            <v>546</v>
          </cell>
          <cell r="E355">
            <v>5460</v>
          </cell>
          <cell r="F355" t="str">
            <v>P01</v>
          </cell>
          <cell r="G355" t="str">
            <v>Horizontal rail 1 - Đố ngang 1</v>
          </cell>
          <cell r="H355" t="str">
            <v>Wood laminate</v>
          </cell>
          <cell r="I355">
            <v>10</v>
          </cell>
        </row>
        <row r="356">
          <cell r="A356" t="str">
            <v>B557927/A</v>
          </cell>
          <cell r="B356" t="str">
            <v>AR395M1039-TOP</v>
          </cell>
          <cell r="C356">
            <v>18</v>
          </cell>
          <cell r="D356">
            <v>546</v>
          </cell>
          <cell r="E356">
            <v>9828</v>
          </cell>
          <cell r="F356" t="str">
            <v>A0</v>
          </cell>
          <cell r="G356" t="str">
            <v>VN - Veneer</v>
          </cell>
          <cell r="H356" t="str">
            <v>Veneer laminate</v>
          </cell>
          <cell r="I356">
            <v>18</v>
          </cell>
        </row>
        <row r="357">
          <cell r="A357" t="str">
            <v>B557927/A</v>
          </cell>
          <cell r="B357" t="str">
            <v>AR395M1039-TOP</v>
          </cell>
          <cell r="C357">
            <v>18</v>
          </cell>
          <cell r="D357">
            <v>546</v>
          </cell>
          <cell r="E357">
            <v>9828</v>
          </cell>
          <cell r="F357" t="str">
            <v>A1-S01</v>
          </cell>
          <cell r="G357" t="str">
            <v>Top Frame - Khung nóc</v>
          </cell>
          <cell r="H357" t="str">
            <v>Pre-Assembly</v>
          </cell>
          <cell r="I357">
            <v>36</v>
          </cell>
        </row>
        <row r="358">
          <cell r="A358" t="str">
            <v>B557927/A</v>
          </cell>
          <cell r="B358" t="str">
            <v>AR395M1039-TOP</v>
          </cell>
          <cell r="C358">
            <v>18</v>
          </cell>
          <cell r="D358">
            <v>546</v>
          </cell>
          <cell r="E358">
            <v>9828</v>
          </cell>
          <cell r="F358" t="str">
            <v>A1-S01-1</v>
          </cell>
          <cell r="G358" t="str">
            <v xml:space="preserve">Panel - Ván </v>
          </cell>
          <cell r="H358" t="str">
            <v>MDF laminate</v>
          </cell>
          <cell r="I358">
            <v>36</v>
          </cell>
        </row>
        <row r="359">
          <cell r="A359" t="str">
            <v>B557927/A</v>
          </cell>
          <cell r="B359" t="str">
            <v>AR395M1039-TOP</v>
          </cell>
          <cell r="C359">
            <v>18</v>
          </cell>
          <cell r="D359">
            <v>546</v>
          </cell>
          <cell r="E359">
            <v>9828</v>
          </cell>
          <cell r="F359" t="str">
            <v>A1-S01-2</v>
          </cell>
          <cell r="G359" t="str">
            <v>Front top rail  - Đố tiền nóc</v>
          </cell>
          <cell r="H359" t="str">
            <v>Wood White Oak - Straight/Waving Edged, 1 COM - T32mm x W100mm Up x L1.8m Up</v>
          </cell>
          <cell r="I359">
            <v>72</v>
          </cell>
        </row>
        <row r="360">
          <cell r="A360" t="str">
            <v>B557927/A</v>
          </cell>
          <cell r="B360" t="str">
            <v>AR395M1039-TOP</v>
          </cell>
          <cell r="C360">
            <v>18</v>
          </cell>
          <cell r="D360">
            <v>546</v>
          </cell>
          <cell r="E360">
            <v>9828</v>
          </cell>
          <cell r="F360" t="str">
            <v>A1-S01-3</v>
          </cell>
          <cell r="G360" t="str">
            <v>Side top rail - Đố hông trên</v>
          </cell>
          <cell r="H360" t="str">
            <v>Wood laminate</v>
          </cell>
          <cell r="I360">
            <v>72</v>
          </cell>
        </row>
        <row r="361">
          <cell r="A361" t="str">
            <v>B557927/A</v>
          </cell>
          <cell r="B361" t="str">
            <v>AR395M1039-TOP</v>
          </cell>
          <cell r="C361">
            <v>18</v>
          </cell>
          <cell r="D361">
            <v>546</v>
          </cell>
          <cell r="E361">
            <v>9828</v>
          </cell>
          <cell r="F361" t="str">
            <v>A1-S01-4</v>
          </cell>
          <cell r="G361" t="str">
            <v>Side top rail - Đố hông trên</v>
          </cell>
          <cell r="H361" t="str">
            <v>Wood White Oak - Straight/Waving Edged, 1 COM - T32mm x W100mm Up x L1.8m Up</v>
          </cell>
          <cell r="I361">
            <v>36</v>
          </cell>
        </row>
        <row r="362">
          <cell r="A362" t="str">
            <v>B557927/A</v>
          </cell>
          <cell r="B362" t="str">
            <v>AR395M1039-TOP</v>
          </cell>
          <cell r="C362">
            <v>18</v>
          </cell>
          <cell r="D362">
            <v>546</v>
          </cell>
          <cell r="E362">
            <v>9828</v>
          </cell>
          <cell r="F362" t="str">
            <v>A1-S01-5</v>
          </cell>
          <cell r="G362" t="str">
            <v>Side top rail - Đố hông trên</v>
          </cell>
          <cell r="H362" t="str">
            <v>Wood White Oak - Straight/Waving Edged, 1 COM - T32mm x W100mm Up x L1.8m Up</v>
          </cell>
          <cell r="I362">
            <v>108</v>
          </cell>
        </row>
        <row r="363">
          <cell r="A363" t="str">
            <v>B557927/A</v>
          </cell>
          <cell r="B363" t="str">
            <v>AR395M1039-TOP</v>
          </cell>
          <cell r="C363">
            <v>18</v>
          </cell>
          <cell r="D363">
            <v>546</v>
          </cell>
          <cell r="E363">
            <v>9828</v>
          </cell>
          <cell r="F363" t="str">
            <v>A1-S02</v>
          </cell>
          <cell r="G363" t="str">
            <v>Front Top rail 1 - Đố nóc trước 1</v>
          </cell>
          <cell r="H363" t="str">
            <v>Wood laminate</v>
          </cell>
          <cell r="I363">
            <v>72</v>
          </cell>
        </row>
        <row r="364">
          <cell r="A364" t="str">
            <v>B557927/A</v>
          </cell>
          <cell r="B364" t="str">
            <v>AR395M1039-TOP</v>
          </cell>
          <cell r="C364">
            <v>18</v>
          </cell>
          <cell r="D364">
            <v>546</v>
          </cell>
          <cell r="E364">
            <v>9828</v>
          </cell>
          <cell r="F364" t="str">
            <v>A1-S03</v>
          </cell>
          <cell r="G364" t="str">
            <v>Front Top rail 1 - Đố nóc trước 1</v>
          </cell>
          <cell r="H364" t="str">
            <v>Wood laminate</v>
          </cell>
          <cell r="I364">
            <v>36</v>
          </cell>
        </row>
        <row r="365">
          <cell r="A365" t="str">
            <v>B557927/A</v>
          </cell>
          <cell r="B365" t="str">
            <v>AR395M1039-TOP</v>
          </cell>
          <cell r="C365">
            <v>18</v>
          </cell>
          <cell r="D365">
            <v>546</v>
          </cell>
          <cell r="E365">
            <v>9828</v>
          </cell>
          <cell r="F365" t="str">
            <v>A1-S04</v>
          </cell>
          <cell r="G365" t="str">
            <v>Cleat - Bọ gỗ</v>
          </cell>
          <cell r="H365" t="str">
            <v>Wood EU Beech - Straight/Waving Edged AB, 1 COM - T26mm x W100mm up x L1.8m up</v>
          </cell>
          <cell r="I365">
            <v>36</v>
          </cell>
        </row>
        <row r="366">
          <cell r="A366" t="str">
            <v>B557927/A</v>
          </cell>
          <cell r="B366" t="str">
            <v>AR395M1039-TOP</v>
          </cell>
          <cell r="C366">
            <v>18</v>
          </cell>
          <cell r="D366">
            <v>546</v>
          </cell>
          <cell r="E366">
            <v>9828</v>
          </cell>
          <cell r="F366" t="str">
            <v>A2-S01</v>
          </cell>
          <cell r="G366" t="str">
            <v>Top Frame - Khung nóc</v>
          </cell>
          <cell r="H366" t="str">
            <v>Pre-Assembly</v>
          </cell>
          <cell r="I366">
            <v>36</v>
          </cell>
        </row>
        <row r="367">
          <cell r="A367" t="str">
            <v>B557927/A</v>
          </cell>
          <cell r="B367" t="str">
            <v>AR395M1039-TOP</v>
          </cell>
          <cell r="C367">
            <v>18</v>
          </cell>
          <cell r="D367">
            <v>546</v>
          </cell>
          <cell r="E367">
            <v>9828</v>
          </cell>
          <cell r="F367" t="str">
            <v>A2-S01-1</v>
          </cell>
          <cell r="G367" t="str">
            <v xml:space="preserve">Panel - Ván </v>
          </cell>
          <cell r="H367" t="str">
            <v>MDF laminate</v>
          </cell>
          <cell r="I367">
            <v>36</v>
          </cell>
        </row>
        <row r="368">
          <cell r="A368" t="str">
            <v>B557927/A</v>
          </cell>
          <cell r="B368" t="str">
            <v>AR395M1039-TOP</v>
          </cell>
          <cell r="C368">
            <v>18</v>
          </cell>
          <cell r="D368">
            <v>546</v>
          </cell>
          <cell r="E368">
            <v>9828</v>
          </cell>
          <cell r="F368" t="str">
            <v>A2-S01-2</v>
          </cell>
          <cell r="G368" t="str">
            <v>Front top rail  - Đố tiền nóc</v>
          </cell>
          <cell r="H368" t="str">
            <v>Wood White Oak - Straight/Waving Edged, 1 COM - T32mm x W100mm Up x L1.8m Up</v>
          </cell>
          <cell r="I368">
            <v>72</v>
          </cell>
        </row>
        <row r="369">
          <cell r="A369" t="str">
            <v>B557927/A</v>
          </cell>
          <cell r="B369" t="str">
            <v>AR395M1039-TOP</v>
          </cell>
          <cell r="C369">
            <v>18</v>
          </cell>
          <cell r="D369">
            <v>546</v>
          </cell>
          <cell r="E369">
            <v>9828</v>
          </cell>
          <cell r="F369" t="str">
            <v>A2-S02</v>
          </cell>
          <cell r="G369" t="str">
            <v>Top rail - Đố nóc</v>
          </cell>
          <cell r="H369" t="str">
            <v>Wood White Oak - Straight/Waving Edged, 1 COM - T25mm x W100mm Up x L1.8m Up</v>
          </cell>
          <cell r="I369">
            <v>72</v>
          </cell>
        </row>
        <row r="370">
          <cell r="A370" t="str">
            <v>B557927/A</v>
          </cell>
          <cell r="B370" t="str">
            <v>AR395M1039-TOP</v>
          </cell>
          <cell r="C370">
            <v>18</v>
          </cell>
          <cell r="D370">
            <v>546</v>
          </cell>
          <cell r="E370">
            <v>9828</v>
          </cell>
          <cell r="F370" t="str">
            <v>A2-S03</v>
          </cell>
          <cell r="G370" t="str">
            <v>Patching wood - Gỗ đắp</v>
          </cell>
          <cell r="H370" t="str">
            <v>Wood US Poplar - Straight Edged, 1 COM - T38mm x W100mm Up x L1.8m Up</v>
          </cell>
          <cell r="I370">
            <v>72</v>
          </cell>
        </row>
        <row r="371">
          <cell r="A371" t="str">
            <v>B557927/A</v>
          </cell>
          <cell r="B371" t="str">
            <v>AR395M1039-TOP</v>
          </cell>
          <cell r="C371">
            <v>18</v>
          </cell>
          <cell r="D371">
            <v>546</v>
          </cell>
          <cell r="E371">
            <v>9828</v>
          </cell>
          <cell r="F371" t="str">
            <v>A3-S01</v>
          </cell>
          <cell r="G371" t="str">
            <v>Front rail  - Đố tiền</v>
          </cell>
          <cell r="H371" t="str">
            <v>Wood White Oak - Straight/Waving Edged, 1 COM - T32mm x W100mm Up x L1.8m Up</v>
          </cell>
          <cell r="I371">
            <v>36</v>
          </cell>
        </row>
        <row r="372">
          <cell r="A372" t="str">
            <v>B557927/A</v>
          </cell>
          <cell r="B372" t="str">
            <v>AR395M1039-TOP</v>
          </cell>
          <cell r="C372">
            <v>18</v>
          </cell>
          <cell r="D372">
            <v>546</v>
          </cell>
          <cell r="E372">
            <v>9828</v>
          </cell>
          <cell r="F372" t="str">
            <v>A3-S02</v>
          </cell>
          <cell r="G372" t="str">
            <v>Front rail  - Đố tiền</v>
          </cell>
          <cell r="H372" t="str">
            <v>Wood EU Beech - Straight/Waving Edged AB, 1 COM - T32mm x W100mm up x L1.8m up</v>
          </cell>
          <cell r="I372">
            <v>36</v>
          </cell>
        </row>
        <row r="373">
          <cell r="A373" t="str">
            <v>B557927/A</v>
          </cell>
          <cell r="B373" t="str">
            <v>AR395M1039-TOP</v>
          </cell>
          <cell r="C373">
            <v>18</v>
          </cell>
          <cell r="D373">
            <v>546</v>
          </cell>
          <cell r="E373">
            <v>9828</v>
          </cell>
          <cell r="F373" t="str">
            <v>A3-S03</v>
          </cell>
          <cell r="G373" t="str">
            <v>Center rail - Đố giữa</v>
          </cell>
          <cell r="H373" t="str">
            <v>Wood EU Beech - Straight/Waving Edged AB, 1 COM - T26mm x W100mm up x L1.8m up</v>
          </cell>
          <cell r="I373">
            <v>36</v>
          </cell>
        </row>
        <row r="374">
          <cell r="A374" t="str">
            <v>B557927/A</v>
          </cell>
          <cell r="B374" t="str">
            <v>AR395M1039-TOP</v>
          </cell>
          <cell r="C374">
            <v>18</v>
          </cell>
          <cell r="D374">
            <v>546</v>
          </cell>
          <cell r="E374">
            <v>9828</v>
          </cell>
          <cell r="F374" t="str">
            <v>A3-S04</v>
          </cell>
          <cell r="G374" t="str">
            <v>Center rail - Đố giữa</v>
          </cell>
          <cell r="H374" t="str">
            <v>Wood EU Beech - Straight/Waving Edged AB, 1 COM - T26mm x W100mm up x L1.8m up</v>
          </cell>
          <cell r="I374">
            <v>72</v>
          </cell>
        </row>
        <row r="375">
          <cell r="A375" t="str">
            <v>B557927/A</v>
          </cell>
          <cell r="B375" t="str">
            <v>AR395M1039-TOP</v>
          </cell>
          <cell r="C375">
            <v>18</v>
          </cell>
          <cell r="D375">
            <v>546</v>
          </cell>
          <cell r="E375">
            <v>9828</v>
          </cell>
          <cell r="F375" t="str">
            <v>A3-S05</v>
          </cell>
          <cell r="G375" t="str">
            <v>Cleat - Bọ gỗ</v>
          </cell>
          <cell r="H375" t="str">
            <v>Beech off cut</v>
          </cell>
          <cell r="I375">
            <v>72</v>
          </cell>
        </row>
        <row r="376">
          <cell r="A376" t="str">
            <v>B557927/A</v>
          </cell>
          <cell r="B376" t="str">
            <v>AR395M1039-TOP</v>
          </cell>
          <cell r="C376">
            <v>18</v>
          </cell>
          <cell r="D376">
            <v>546</v>
          </cell>
          <cell r="E376">
            <v>9828</v>
          </cell>
          <cell r="F376" t="str">
            <v>P01</v>
          </cell>
          <cell r="G376" t="str">
            <v>Horizontal rail 1 - Đố ngang 1</v>
          </cell>
          <cell r="H376" t="str">
            <v>Wood laminate</v>
          </cell>
          <cell r="I376">
            <v>18</v>
          </cell>
        </row>
        <row r="377">
          <cell r="A377" t="str">
            <v>B557928/A</v>
          </cell>
          <cell r="B377" t="str">
            <v>AR395M1039-TOP</v>
          </cell>
          <cell r="C377">
            <v>7</v>
          </cell>
          <cell r="D377">
            <v>546</v>
          </cell>
          <cell r="E377">
            <v>3822</v>
          </cell>
          <cell r="F377" t="str">
            <v>A0</v>
          </cell>
          <cell r="G377" t="str">
            <v>VN - Veneer</v>
          </cell>
          <cell r="H377" t="str">
            <v>Veneer laminate</v>
          </cell>
          <cell r="I377">
            <v>7</v>
          </cell>
        </row>
        <row r="378">
          <cell r="A378" t="str">
            <v>B557928/A</v>
          </cell>
          <cell r="B378" t="str">
            <v>AR395M1039-TOP</v>
          </cell>
          <cell r="C378">
            <v>7</v>
          </cell>
          <cell r="D378">
            <v>546</v>
          </cell>
          <cell r="E378">
            <v>3822</v>
          </cell>
          <cell r="F378" t="str">
            <v>A1-S01</v>
          </cell>
          <cell r="G378" t="str">
            <v>Top Frame - Khung nóc</v>
          </cell>
          <cell r="H378" t="str">
            <v>Pre-Assembly</v>
          </cell>
          <cell r="I378">
            <v>14</v>
          </cell>
        </row>
        <row r="379">
          <cell r="A379" t="str">
            <v>B557928/A</v>
          </cell>
          <cell r="B379" t="str">
            <v>AR395M1039-TOP</v>
          </cell>
          <cell r="C379">
            <v>7</v>
          </cell>
          <cell r="D379">
            <v>546</v>
          </cell>
          <cell r="E379">
            <v>3822</v>
          </cell>
          <cell r="F379" t="str">
            <v>A1-S01-1</v>
          </cell>
          <cell r="G379" t="str">
            <v xml:space="preserve">Panel - Ván </v>
          </cell>
          <cell r="H379" t="str">
            <v>MDF laminate</v>
          </cell>
          <cell r="I379">
            <v>14</v>
          </cell>
        </row>
        <row r="380">
          <cell r="A380" t="str">
            <v>B557928/A</v>
          </cell>
          <cell r="B380" t="str">
            <v>AR395M1039-TOP</v>
          </cell>
          <cell r="C380">
            <v>7</v>
          </cell>
          <cell r="D380">
            <v>546</v>
          </cell>
          <cell r="E380">
            <v>3822</v>
          </cell>
          <cell r="F380" t="str">
            <v>A1-S01-2</v>
          </cell>
          <cell r="G380" t="str">
            <v>Front top rail  - Đố tiền nóc</v>
          </cell>
          <cell r="H380" t="str">
            <v>Wood White Oak - Straight/Waving Edged, 1 COM - T32mm x W100mm Up x L1.8m Up</v>
          </cell>
          <cell r="I380">
            <v>28</v>
          </cell>
        </row>
        <row r="381">
          <cell r="A381" t="str">
            <v>B557928/A</v>
          </cell>
          <cell r="B381" t="str">
            <v>AR395M1039-TOP</v>
          </cell>
          <cell r="C381">
            <v>7</v>
          </cell>
          <cell r="D381">
            <v>546</v>
          </cell>
          <cell r="E381">
            <v>3822</v>
          </cell>
          <cell r="F381" t="str">
            <v>A1-S01-3</v>
          </cell>
          <cell r="G381" t="str">
            <v>Side top rail - Đố hông trên</v>
          </cell>
          <cell r="H381" t="str">
            <v>Wood laminate</v>
          </cell>
          <cell r="I381">
            <v>28</v>
          </cell>
        </row>
        <row r="382">
          <cell r="A382" t="str">
            <v>B557928/A</v>
          </cell>
          <cell r="B382" t="str">
            <v>AR395M1039-TOP</v>
          </cell>
          <cell r="C382">
            <v>7</v>
          </cell>
          <cell r="D382">
            <v>546</v>
          </cell>
          <cell r="E382">
            <v>3822</v>
          </cell>
          <cell r="F382" t="str">
            <v>A1-S01-4</v>
          </cell>
          <cell r="G382" t="str">
            <v>Side top rail - Đố hông trên</v>
          </cell>
          <cell r="H382" t="str">
            <v>Wood White Oak - Straight/Waving Edged, 1 COM - T32mm x W100mm Up x L1.8m Up</v>
          </cell>
          <cell r="I382">
            <v>14</v>
          </cell>
        </row>
        <row r="383">
          <cell r="A383" t="str">
            <v>B557928/A</v>
          </cell>
          <cell r="B383" t="str">
            <v>AR395M1039-TOP</v>
          </cell>
          <cell r="C383">
            <v>7</v>
          </cell>
          <cell r="D383">
            <v>546</v>
          </cell>
          <cell r="E383">
            <v>3822</v>
          </cell>
          <cell r="F383" t="str">
            <v>A1-S01-5</v>
          </cell>
          <cell r="G383" t="str">
            <v>Side top rail - Đố hông trên</v>
          </cell>
          <cell r="H383" t="str">
            <v>Wood White Oak - Straight/Waving Edged, 1 COM - T32mm x W100mm Up x L1.8m Up</v>
          </cell>
          <cell r="I383">
            <v>42</v>
          </cell>
        </row>
        <row r="384">
          <cell r="A384" t="str">
            <v>B557928/A</v>
          </cell>
          <cell r="B384" t="str">
            <v>AR395M1039-TOP</v>
          </cell>
          <cell r="C384">
            <v>7</v>
          </cell>
          <cell r="D384">
            <v>546</v>
          </cell>
          <cell r="E384">
            <v>3822</v>
          </cell>
          <cell r="F384" t="str">
            <v>A1-S02</v>
          </cell>
          <cell r="G384" t="str">
            <v>Front Top rail 1 - Đố nóc trước 1</v>
          </cell>
          <cell r="H384" t="str">
            <v>Wood laminate</v>
          </cell>
          <cell r="I384">
            <v>28</v>
          </cell>
        </row>
        <row r="385">
          <cell r="A385" t="str">
            <v>B557928/A</v>
          </cell>
          <cell r="B385" t="str">
            <v>AR395M1039-TOP</v>
          </cell>
          <cell r="C385">
            <v>7</v>
          </cell>
          <cell r="D385">
            <v>546</v>
          </cell>
          <cell r="E385">
            <v>3822</v>
          </cell>
          <cell r="F385" t="str">
            <v>A1-S03</v>
          </cell>
          <cell r="G385" t="str">
            <v>Front Top rail 1 - Đố nóc trước 1</v>
          </cell>
          <cell r="H385" t="str">
            <v>Wood laminate</v>
          </cell>
          <cell r="I385">
            <v>14</v>
          </cell>
        </row>
        <row r="386">
          <cell r="A386" t="str">
            <v>B557928/A</v>
          </cell>
          <cell r="B386" t="str">
            <v>AR395M1039-TOP</v>
          </cell>
          <cell r="C386">
            <v>7</v>
          </cell>
          <cell r="D386">
            <v>546</v>
          </cell>
          <cell r="E386">
            <v>3822</v>
          </cell>
          <cell r="F386" t="str">
            <v>A1-S04</v>
          </cell>
          <cell r="G386" t="str">
            <v>Cleat - Bọ gỗ</v>
          </cell>
          <cell r="H386" t="str">
            <v>Wood EU Beech - Straight/Waving Edged AB, 1 COM - T26mm x W100mm up x L1.8m up</v>
          </cell>
          <cell r="I386">
            <v>14</v>
          </cell>
        </row>
        <row r="387">
          <cell r="A387" t="str">
            <v>B557928/A</v>
          </cell>
          <cell r="B387" t="str">
            <v>AR395M1039-TOP</v>
          </cell>
          <cell r="C387">
            <v>7</v>
          </cell>
          <cell r="D387">
            <v>546</v>
          </cell>
          <cell r="E387">
            <v>3822</v>
          </cell>
          <cell r="F387" t="str">
            <v>A2-S01</v>
          </cell>
          <cell r="G387" t="str">
            <v>Top Frame - Khung nóc</v>
          </cell>
          <cell r="H387" t="str">
            <v>Pre-Assembly</v>
          </cell>
          <cell r="I387">
            <v>14</v>
          </cell>
        </row>
        <row r="388">
          <cell r="A388" t="str">
            <v>B557928/A</v>
          </cell>
          <cell r="B388" t="str">
            <v>AR395M1039-TOP</v>
          </cell>
          <cell r="C388">
            <v>7</v>
          </cell>
          <cell r="D388">
            <v>546</v>
          </cell>
          <cell r="E388">
            <v>3822</v>
          </cell>
          <cell r="F388" t="str">
            <v>A2-S01-1</v>
          </cell>
          <cell r="G388" t="str">
            <v xml:space="preserve">Panel - Ván </v>
          </cell>
          <cell r="H388" t="str">
            <v>MDF laminate</v>
          </cell>
          <cell r="I388">
            <v>14</v>
          </cell>
        </row>
        <row r="389">
          <cell r="A389" t="str">
            <v>B557928/A</v>
          </cell>
          <cell r="B389" t="str">
            <v>AR395M1039-TOP</v>
          </cell>
          <cell r="C389">
            <v>7</v>
          </cell>
          <cell r="D389">
            <v>546</v>
          </cell>
          <cell r="E389">
            <v>3822</v>
          </cell>
          <cell r="F389" t="str">
            <v>A2-S01-2</v>
          </cell>
          <cell r="G389" t="str">
            <v>Front top rail  - Đố tiền nóc</v>
          </cell>
          <cell r="H389" t="str">
            <v>Wood White Oak - Straight/Waving Edged, 1 COM - T32mm x W100mm Up x L1.8m Up</v>
          </cell>
          <cell r="I389">
            <v>28</v>
          </cell>
        </row>
        <row r="390">
          <cell r="A390" t="str">
            <v>B557928/A</v>
          </cell>
          <cell r="B390" t="str">
            <v>AR395M1039-TOP</v>
          </cell>
          <cell r="C390">
            <v>7</v>
          </cell>
          <cell r="D390">
            <v>546</v>
          </cell>
          <cell r="E390">
            <v>3822</v>
          </cell>
          <cell r="F390" t="str">
            <v>A2-S02</v>
          </cell>
          <cell r="G390" t="str">
            <v>Top rail - Đố nóc</v>
          </cell>
          <cell r="H390" t="str">
            <v>Wood White Oak - Straight/Waving Edged, 1 COM - T25mm x W100mm Up x L1.8m Up</v>
          </cell>
          <cell r="I390">
            <v>28</v>
          </cell>
        </row>
        <row r="391">
          <cell r="A391" t="str">
            <v>B557928/A</v>
          </cell>
          <cell r="B391" t="str">
            <v>AR395M1039-TOP</v>
          </cell>
          <cell r="C391">
            <v>7</v>
          </cell>
          <cell r="D391">
            <v>546</v>
          </cell>
          <cell r="E391">
            <v>3822</v>
          </cell>
          <cell r="F391" t="str">
            <v>A2-S03</v>
          </cell>
          <cell r="G391" t="str">
            <v>Patching wood - Gỗ đắp</v>
          </cell>
          <cell r="H391" t="str">
            <v>Wood US Poplar - Straight Edged, 1 COM - T38mm x W100mm Up x L1.8m Up</v>
          </cell>
          <cell r="I391">
            <v>28</v>
          </cell>
        </row>
        <row r="392">
          <cell r="A392" t="str">
            <v>B557928/A</v>
          </cell>
          <cell r="B392" t="str">
            <v>AR395M1039-TOP</v>
          </cell>
          <cell r="C392">
            <v>7</v>
          </cell>
          <cell r="D392">
            <v>546</v>
          </cell>
          <cell r="E392">
            <v>3822</v>
          </cell>
          <cell r="F392" t="str">
            <v>A3-S01</v>
          </cell>
          <cell r="G392" t="str">
            <v>Front rail  - Đố tiền</v>
          </cell>
          <cell r="H392" t="str">
            <v>Wood White Oak - Straight/Waving Edged, 1 COM - T32mm x W100mm Up x L1.8m Up</v>
          </cell>
          <cell r="I392">
            <v>14</v>
          </cell>
        </row>
        <row r="393">
          <cell r="A393" t="str">
            <v>B557928/A</v>
          </cell>
          <cell r="B393" t="str">
            <v>AR395M1039-TOP</v>
          </cell>
          <cell r="C393">
            <v>7</v>
          </cell>
          <cell r="D393">
            <v>546</v>
          </cell>
          <cell r="E393">
            <v>3822</v>
          </cell>
          <cell r="F393" t="str">
            <v>A3-S02</v>
          </cell>
          <cell r="G393" t="str">
            <v>Front rail  - Đố tiền</v>
          </cell>
          <cell r="H393" t="str">
            <v>Wood EU Beech - Straight/Waving Edged AB, 1 COM - T32mm x W100mm up x L1.8m up</v>
          </cell>
          <cell r="I393">
            <v>14</v>
          </cell>
        </row>
        <row r="394">
          <cell r="A394" t="str">
            <v>B557928/A</v>
          </cell>
          <cell r="B394" t="str">
            <v>AR395M1039-TOP</v>
          </cell>
          <cell r="C394">
            <v>7</v>
          </cell>
          <cell r="D394">
            <v>546</v>
          </cell>
          <cell r="E394">
            <v>3822</v>
          </cell>
          <cell r="F394" t="str">
            <v>A3-S03</v>
          </cell>
          <cell r="G394" t="str">
            <v>Center rail - Đố giữa</v>
          </cell>
          <cell r="H394" t="str">
            <v>Wood EU Beech - Straight/Waving Edged AB, 1 COM - T26mm x W100mm up x L1.8m up</v>
          </cell>
          <cell r="I394">
            <v>14</v>
          </cell>
        </row>
        <row r="395">
          <cell r="A395" t="str">
            <v>B557928/A</v>
          </cell>
          <cell r="B395" t="str">
            <v>AR395M1039-TOP</v>
          </cell>
          <cell r="C395">
            <v>7</v>
          </cell>
          <cell r="D395">
            <v>546</v>
          </cell>
          <cell r="E395">
            <v>3822</v>
          </cell>
          <cell r="F395" t="str">
            <v>A3-S04</v>
          </cell>
          <cell r="G395" t="str">
            <v>Center rail - Đố giữa</v>
          </cell>
          <cell r="H395" t="str">
            <v>Wood EU Beech - Straight/Waving Edged AB, 1 COM - T26mm x W100mm up x L1.8m up</v>
          </cell>
          <cell r="I395">
            <v>28</v>
          </cell>
        </row>
        <row r="396">
          <cell r="A396" t="str">
            <v>B557928/A</v>
          </cell>
          <cell r="B396" t="str">
            <v>AR395M1039-TOP</v>
          </cell>
          <cell r="C396">
            <v>7</v>
          </cell>
          <cell r="D396">
            <v>546</v>
          </cell>
          <cell r="E396">
            <v>3822</v>
          </cell>
          <cell r="F396" t="str">
            <v>A3-S05</v>
          </cell>
          <cell r="G396" t="str">
            <v>Cleat - Bọ gỗ</v>
          </cell>
          <cell r="H396" t="str">
            <v>Beech off cut</v>
          </cell>
          <cell r="I396">
            <v>28</v>
          </cell>
        </row>
        <row r="397">
          <cell r="A397" t="str">
            <v>B557928/A</v>
          </cell>
          <cell r="B397" t="str">
            <v>AR395M1039-TOP</v>
          </cell>
          <cell r="C397">
            <v>7</v>
          </cell>
          <cell r="D397">
            <v>546</v>
          </cell>
          <cell r="E397">
            <v>3822</v>
          </cell>
          <cell r="F397" t="str">
            <v>P01</v>
          </cell>
          <cell r="G397" t="str">
            <v>Horizontal rail 1 - Đố ngang 1</v>
          </cell>
          <cell r="H397" t="str">
            <v>Wood laminate</v>
          </cell>
          <cell r="I397">
            <v>7</v>
          </cell>
        </row>
        <row r="398">
          <cell r="A398" t="str">
            <v>B557931/A</v>
          </cell>
          <cell r="B398" t="str">
            <v>AR721M892-BASE</v>
          </cell>
          <cell r="C398">
            <v>39</v>
          </cell>
          <cell r="D398">
            <v>135</v>
          </cell>
          <cell r="E398">
            <v>5265</v>
          </cell>
          <cell r="F398" t="str">
            <v>A2-S01</v>
          </cell>
          <cell r="G398" t="str">
            <v xml:space="preserve">Side panel  - Ván hông </v>
          </cell>
          <cell r="H398" t="str">
            <v>Pre-Assembly</v>
          </cell>
          <cell r="I398">
            <v>234</v>
          </cell>
        </row>
        <row r="399">
          <cell r="A399" t="str">
            <v>B557931/A</v>
          </cell>
          <cell r="B399" t="str">
            <v>AR721M892-BASE</v>
          </cell>
          <cell r="C399">
            <v>39</v>
          </cell>
          <cell r="D399">
            <v>135</v>
          </cell>
          <cell r="E399">
            <v>5265</v>
          </cell>
          <cell r="F399" t="str">
            <v>A2-S01-1</v>
          </cell>
          <cell r="G399" t="str">
            <v xml:space="preserve">Side panel  - Ván hông </v>
          </cell>
          <cell r="H399" t="str">
            <v>Pre-Assembly</v>
          </cell>
          <cell r="I399">
            <v>234</v>
          </cell>
        </row>
        <row r="400">
          <cell r="A400" t="str">
            <v>B557931/A</v>
          </cell>
          <cell r="B400" t="str">
            <v>AR721M892-BASE</v>
          </cell>
          <cell r="C400">
            <v>39</v>
          </cell>
          <cell r="D400">
            <v>135</v>
          </cell>
          <cell r="E400">
            <v>5265</v>
          </cell>
          <cell r="F400" t="str">
            <v>A2-S02</v>
          </cell>
          <cell r="G400" t="str">
            <v>support Top - đỡ nóc</v>
          </cell>
          <cell r="H400" t="str">
            <v>Plywood Moisture-Resistant - 18 x 1220 x 2440mm [CARB P2 Compliant]</v>
          </cell>
          <cell r="I400">
            <v>39</v>
          </cell>
        </row>
        <row r="401">
          <cell r="A401" t="str">
            <v>B557931/A</v>
          </cell>
          <cell r="B401" t="str">
            <v>AR721M892-BASE</v>
          </cell>
          <cell r="C401">
            <v>39</v>
          </cell>
          <cell r="D401">
            <v>135</v>
          </cell>
          <cell r="E401">
            <v>5265</v>
          </cell>
          <cell r="F401" t="str">
            <v>A2-S03-1</v>
          </cell>
          <cell r="G401" t="str">
            <v>Bottom panel - Ván đáy</v>
          </cell>
          <cell r="H401" t="str">
            <v>MDF - 18 x 1220 x 2440mm, Veneer Okoume 0.3mm Both Faces [CARB P2 Compliant]</v>
          </cell>
          <cell r="I401">
            <v>39</v>
          </cell>
        </row>
        <row r="402">
          <cell r="A402" t="str">
            <v>B557931/A</v>
          </cell>
          <cell r="B402" t="str">
            <v>AR721M892-BASE</v>
          </cell>
          <cell r="C402">
            <v>39</v>
          </cell>
          <cell r="D402">
            <v>135</v>
          </cell>
          <cell r="E402">
            <v>5265</v>
          </cell>
          <cell r="F402" t="str">
            <v>A2-S03-3</v>
          </cell>
          <cell r="G402" t="str">
            <v>Patching wood - Gỗ đắp</v>
          </cell>
          <cell r="H402" t="str">
            <v>Beech off cut</v>
          </cell>
          <cell r="I402">
            <v>234</v>
          </cell>
        </row>
        <row r="403">
          <cell r="A403" t="str">
            <v>B557931/A</v>
          </cell>
          <cell r="B403" t="str">
            <v>AR721M892-BASE</v>
          </cell>
          <cell r="C403">
            <v>39</v>
          </cell>
          <cell r="D403">
            <v>135</v>
          </cell>
          <cell r="E403">
            <v>5265</v>
          </cell>
          <cell r="F403" t="str">
            <v>A2-S04</v>
          </cell>
          <cell r="G403" t="str">
            <v>Patching wood - Gỗ đắp</v>
          </cell>
          <cell r="H403" t="str">
            <v>Plywood LVD - 25 x 1220 x 2440mm, Bleached Poplar Veneer Both Sides [CARB P2 Compliant]</v>
          </cell>
          <cell r="I403">
            <v>234</v>
          </cell>
        </row>
        <row r="404">
          <cell r="A404" t="str">
            <v>B557931/A</v>
          </cell>
          <cell r="B404" t="str">
            <v>AR721M892-BASE</v>
          </cell>
          <cell r="C404">
            <v>39</v>
          </cell>
          <cell r="D404">
            <v>135</v>
          </cell>
          <cell r="E404">
            <v>5265</v>
          </cell>
          <cell r="F404" t="str">
            <v>A2-S06</v>
          </cell>
          <cell r="G404" t="str">
            <v>Spline - Lưỡi gà</v>
          </cell>
          <cell r="H404" t="str">
            <v>Plywood Moisture-Resistant - 06 x 1220 x 2440mm [CARB P2 Compliant]</v>
          </cell>
          <cell r="I404">
            <v>234</v>
          </cell>
        </row>
        <row r="405">
          <cell r="A405" t="str">
            <v>B557932/A</v>
          </cell>
          <cell r="B405" t="str">
            <v>AR721M892-BASE</v>
          </cell>
          <cell r="C405">
            <v>16</v>
          </cell>
          <cell r="D405">
            <v>135</v>
          </cell>
          <cell r="E405">
            <v>2160</v>
          </cell>
          <cell r="F405" t="str">
            <v>A2-S01</v>
          </cell>
          <cell r="G405" t="str">
            <v xml:space="preserve">Side panel  - Ván hông </v>
          </cell>
          <cell r="H405" t="str">
            <v>Pre-Assembly</v>
          </cell>
          <cell r="I405">
            <v>96</v>
          </cell>
        </row>
        <row r="406">
          <cell r="A406" t="str">
            <v>B557932/A</v>
          </cell>
          <cell r="B406" t="str">
            <v>AR721M892-BASE</v>
          </cell>
          <cell r="C406">
            <v>16</v>
          </cell>
          <cell r="D406">
            <v>135</v>
          </cell>
          <cell r="E406">
            <v>2160</v>
          </cell>
          <cell r="F406" t="str">
            <v>A2-S01-1</v>
          </cell>
          <cell r="G406" t="str">
            <v xml:space="preserve">Side panel  - Ván hông </v>
          </cell>
          <cell r="H406" t="str">
            <v>Pre-Assembly</v>
          </cell>
          <cell r="I406">
            <v>96</v>
          </cell>
        </row>
        <row r="407">
          <cell r="A407" t="str">
            <v>B557932/A</v>
          </cell>
          <cell r="B407" t="str">
            <v>AR721M892-BASE</v>
          </cell>
          <cell r="C407">
            <v>16</v>
          </cell>
          <cell r="D407">
            <v>135</v>
          </cell>
          <cell r="E407">
            <v>2160</v>
          </cell>
          <cell r="F407" t="str">
            <v>A2-S02</v>
          </cell>
          <cell r="G407" t="str">
            <v>support Top - đỡ nóc</v>
          </cell>
          <cell r="H407" t="str">
            <v>Plywood Moisture-Resistant - 18 x 1220 x 2440mm [CARB P2 Compliant]</v>
          </cell>
          <cell r="I407">
            <v>16</v>
          </cell>
        </row>
        <row r="408">
          <cell r="A408" t="str">
            <v>B557932/A</v>
          </cell>
          <cell r="B408" t="str">
            <v>AR721M892-BASE</v>
          </cell>
          <cell r="C408">
            <v>16</v>
          </cell>
          <cell r="D408">
            <v>135</v>
          </cell>
          <cell r="E408">
            <v>2160</v>
          </cell>
          <cell r="F408" t="str">
            <v>A2-S03-1</v>
          </cell>
          <cell r="G408" t="str">
            <v>Bottom panel - Ván đáy</v>
          </cell>
          <cell r="H408" t="str">
            <v>MDF - 18 x 1220 x 2440mm, Veneer Okoume 0.3mm Both Faces [CARB P2 Compliant]</v>
          </cell>
          <cell r="I408">
            <v>16</v>
          </cell>
        </row>
        <row r="409">
          <cell r="A409" t="str">
            <v>B557932/A</v>
          </cell>
          <cell r="B409" t="str">
            <v>AR721M892-BASE</v>
          </cell>
          <cell r="C409">
            <v>16</v>
          </cell>
          <cell r="D409">
            <v>135</v>
          </cell>
          <cell r="E409">
            <v>2160</v>
          </cell>
          <cell r="F409" t="str">
            <v>A2-S03-3</v>
          </cell>
          <cell r="G409" t="str">
            <v>Patching wood - Gỗ đắp</v>
          </cell>
          <cell r="H409" t="str">
            <v>Beech off cut</v>
          </cell>
          <cell r="I409">
            <v>96</v>
          </cell>
        </row>
        <row r="410">
          <cell r="A410" t="str">
            <v>B557932/A</v>
          </cell>
          <cell r="B410" t="str">
            <v>AR721M892-BASE</v>
          </cell>
          <cell r="C410">
            <v>16</v>
          </cell>
          <cell r="D410">
            <v>135</v>
          </cell>
          <cell r="E410">
            <v>2160</v>
          </cell>
          <cell r="F410" t="str">
            <v>A2-S04</v>
          </cell>
          <cell r="G410" t="str">
            <v>Patching wood - Gỗ đắp</v>
          </cell>
          <cell r="H410" t="str">
            <v>Plywood LVD - 25 x 1220 x 2440mm, Bleached Poplar Veneer Both Sides [CARB P2 Compliant]</v>
          </cell>
          <cell r="I410">
            <v>96</v>
          </cell>
        </row>
        <row r="411">
          <cell r="A411" t="str">
            <v>B557932/A</v>
          </cell>
          <cell r="B411" t="str">
            <v>AR721M892-BASE</v>
          </cell>
          <cell r="C411">
            <v>16</v>
          </cell>
          <cell r="D411">
            <v>135</v>
          </cell>
          <cell r="E411">
            <v>2160</v>
          </cell>
          <cell r="F411" t="str">
            <v>A2-S06</v>
          </cell>
          <cell r="G411" t="str">
            <v>Spline - Lưỡi gà</v>
          </cell>
          <cell r="H411" t="str">
            <v>Plywood Moisture-Resistant - 06 x 1220 x 2440mm [CARB P2 Compliant]</v>
          </cell>
          <cell r="I411">
            <v>96</v>
          </cell>
        </row>
        <row r="412">
          <cell r="A412" t="str">
            <v>B557935/A</v>
          </cell>
          <cell r="B412" t="str">
            <v>AR721M892-TOP</v>
          </cell>
          <cell r="C412">
            <v>39</v>
          </cell>
          <cell r="D412">
            <v>165</v>
          </cell>
          <cell r="E412">
            <v>6435</v>
          </cell>
          <cell r="F412" t="str">
            <v>A1</v>
          </cell>
          <cell r="G412" t="str">
            <v>Top Frame - Khung nóc</v>
          </cell>
          <cell r="H412" t="str">
            <v>Pre-Assembly</v>
          </cell>
          <cell r="I412">
            <v>39</v>
          </cell>
        </row>
        <row r="413">
          <cell r="A413" t="str">
            <v>B557935/A</v>
          </cell>
          <cell r="B413" t="str">
            <v>AR721M892-TOP</v>
          </cell>
          <cell r="C413">
            <v>39</v>
          </cell>
          <cell r="D413">
            <v>165</v>
          </cell>
          <cell r="E413">
            <v>6435</v>
          </cell>
          <cell r="F413" t="str">
            <v>A1-S01</v>
          </cell>
          <cell r="G413" t="str">
            <v xml:space="preserve">Top panel  - Ván nóc </v>
          </cell>
          <cell r="H413" t="str">
            <v>MDF Moisture-Resistant - 25 x 1220 x 2440mm [CARB P2 Compliant]</v>
          </cell>
          <cell r="I413">
            <v>39</v>
          </cell>
        </row>
        <row r="414">
          <cell r="A414" t="str">
            <v>B557935/A</v>
          </cell>
          <cell r="B414" t="str">
            <v>AR721M892-TOP</v>
          </cell>
          <cell r="C414">
            <v>39</v>
          </cell>
          <cell r="D414">
            <v>165</v>
          </cell>
          <cell r="E414">
            <v>6435</v>
          </cell>
          <cell r="F414" t="str">
            <v>A1-S01-1</v>
          </cell>
          <cell r="G414" t="str">
            <v>Insert Wood - Gỗ chèn</v>
          </cell>
          <cell r="H414" t="str">
            <v>Beech off cut</v>
          </cell>
          <cell r="I414">
            <v>156</v>
          </cell>
        </row>
        <row r="415">
          <cell r="A415" t="str">
            <v>B557935/A</v>
          </cell>
          <cell r="B415" t="str">
            <v>AR721M892-TOP</v>
          </cell>
          <cell r="C415">
            <v>39</v>
          </cell>
          <cell r="D415">
            <v>165</v>
          </cell>
          <cell r="E415">
            <v>6435</v>
          </cell>
          <cell r="F415" t="str">
            <v>A1-S02</v>
          </cell>
          <cell r="G415" t="str">
            <v>Top rail - Đố nóc</v>
          </cell>
          <cell r="H415" t="str">
            <v>Wood laminate</v>
          </cell>
          <cell r="I415">
            <v>234</v>
          </cell>
        </row>
        <row r="416">
          <cell r="A416" t="str">
            <v>B557935/A</v>
          </cell>
          <cell r="B416" t="str">
            <v>AR721M892-TOP</v>
          </cell>
          <cell r="C416">
            <v>39</v>
          </cell>
          <cell r="D416">
            <v>165</v>
          </cell>
          <cell r="E416">
            <v>6435</v>
          </cell>
          <cell r="F416" t="str">
            <v>A1-S03</v>
          </cell>
          <cell r="G416" t="str">
            <v>Tenon - Mộng cấy</v>
          </cell>
          <cell r="H416" t="str">
            <v>Beech off cut</v>
          </cell>
          <cell r="I416">
            <v>234</v>
          </cell>
        </row>
        <row r="417">
          <cell r="A417" t="str">
            <v>B557936/A</v>
          </cell>
          <cell r="B417" t="str">
            <v>AR721M892-TOP</v>
          </cell>
          <cell r="C417">
            <v>16</v>
          </cell>
          <cell r="D417">
            <v>165</v>
          </cell>
          <cell r="E417">
            <v>2640</v>
          </cell>
          <cell r="F417" t="str">
            <v>A1</v>
          </cell>
          <cell r="G417" t="str">
            <v>Top Frame - Khung nóc</v>
          </cell>
          <cell r="H417" t="str">
            <v>Pre-Assembly</v>
          </cell>
          <cell r="I417">
            <v>16</v>
          </cell>
        </row>
        <row r="418">
          <cell r="A418" t="str">
            <v>B557936/A</v>
          </cell>
          <cell r="B418" t="str">
            <v>AR721M892-TOP</v>
          </cell>
          <cell r="C418">
            <v>16</v>
          </cell>
          <cell r="D418">
            <v>165</v>
          </cell>
          <cell r="E418">
            <v>2640</v>
          </cell>
          <cell r="F418" t="str">
            <v>A1-S01</v>
          </cell>
          <cell r="G418" t="str">
            <v xml:space="preserve">Top panel  - Ván nóc </v>
          </cell>
          <cell r="H418" t="str">
            <v>MDF Moisture-Resistant - 25 x 1220 x 2440mm [CARB P2 Compliant]</v>
          </cell>
          <cell r="I418">
            <v>16</v>
          </cell>
        </row>
        <row r="419">
          <cell r="A419" t="str">
            <v>B557936/A</v>
          </cell>
          <cell r="B419" t="str">
            <v>AR721M892-TOP</v>
          </cell>
          <cell r="C419">
            <v>16</v>
          </cell>
          <cell r="D419">
            <v>165</v>
          </cell>
          <cell r="E419">
            <v>2640</v>
          </cell>
          <cell r="F419" t="str">
            <v>A1-S01-1</v>
          </cell>
          <cell r="G419" t="str">
            <v>Insert Wood - Gỗ chèn</v>
          </cell>
          <cell r="H419" t="str">
            <v>Beech off cut</v>
          </cell>
          <cell r="I419">
            <v>64</v>
          </cell>
        </row>
        <row r="420">
          <cell r="A420" t="str">
            <v>B557936/A</v>
          </cell>
          <cell r="B420" t="str">
            <v>AR721M892-TOP</v>
          </cell>
          <cell r="C420">
            <v>16</v>
          </cell>
          <cell r="D420">
            <v>165</v>
          </cell>
          <cell r="E420">
            <v>2640</v>
          </cell>
          <cell r="F420" t="str">
            <v>A1-S02</v>
          </cell>
          <cell r="G420" t="str">
            <v>Top rail - Đố nóc</v>
          </cell>
          <cell r="H420" t="str">
            <v>Wood laminate</v>
          </cell>
          <cell r="I420">
            <v>96</v>
          </cell>
        </row>
        <row r="421">
          <cell r="A421" t="str">
            <v>B557936/A</v>
          </cell>
          <cell r="B421" t="str">
            <v>AR721M892-TOP</v>
          </cell>
          <cell r="C421">
            <v>16</v>
          </cell>
          <cell r="D421">
            <v>165</v>
          </cell>
          <cell r="E421">
            <v>2640</v>
          </cell>
          <cell r="F421" t="str">
            <v>A1-S03</v>
          </cell>
          <cell r="G421" t="str">
            <v>Tenon - Mộng cấy</v>
          </cell>
          <cell r="H421" t="str">
            <v>Beech off cut</v>
          </cell>
          <cell r="I421">
            <v>96</v>
          </cell>
        </row>
        <row r="422">
          <cell r="A422" t="str">
            <v>B557939/A</v>
          </cell>
          <cell r="B422" t="str">
            <v>AR756M892-BASE1</v>
          </cell>
          <cell r="C422">
            <v>35</v>
          </cell>
          <cell r="D422">
            <v>89</v>
          </cell>
          <cell r="E422">
            <v>3115</v>
          </cell>
          <cell r="F422" t="str">
            <v>A2-S01</v>
          </cell>
          <cell r="G422" t="str">
            <v xml:space="preserve">Side panel  - Ván hông </v>
          </cell>
          <cell r="H422" t="str">
            <v>Pre-Assembly</v>
          </cell>
          <cell r="I422">
            <v>210</v>
          </cell>
        </row>
        <row r="423">
          <cell r="A423" t="str">
            <v>B557939/A</v>
          </cell>
          <cell r="B423" t="str">
            <v>AR756M892-BASE1</v>
          </cell>
          <cell r="C423">
            <v>35</v>
          </cell>
          <cell r="D423">
            <v>89</v>
          </cell>
          <cell r="E423">
            <v>3115</v>
          </cell>
          <cell r="F423" t="str">
            <v>A2-S01-1</v>
          </cell>
          <cell r="G423" t="str">
            <v xml:space="preserve">Panel - Ván </v>
          </cell>
          <cell r="H423" t="str">
            <v>MDF laminate</v>
          </cell>
          <cell r="I423">
            <v>210</v>
          </cell>
        </row>
        <row r="424">
          <cell r="A424" t="str">
            <v>B557939/A</v>
          </cell>
          <cell r="B424" t="str">
            <v>AR756M892-BASE1</v>
          </cell>
          <cell r="C424">
            <v>35</v>
          </cell>
          <cell r="D424">
            <v>89</v>
          </cell>
          <cell r="E424">
            <v>3115</v>
          </cell>
          <cell r="F424" t="str">
            <v>A2-S01-2</v>
          </cell>
          <cell r="G424" t="str">
            <v>Insert Wood - Gỗ chèn</v>
          </cell>
          <cell r="H424" t="str">
            <v>Beech off cut</v>
          </cell>
          <cell r="I424">
            <v>210</v>
          </cell>
        </row>
        <row r="425">
          <cell r="A425" t="str">
            <v>B557939/A</v>
          </cell>
          <cell r="B425" t="str">
            <v>AR756M892-BASE1</v>
          </cell>
          <cell r="C425">
            <v>35</v>
          </cell>
          <cell r="D425">
            <v>89</v>
          </cell>
          <cell r="E425">
            <v>3115</v>
          </cell>
          <cell r="F425" t="str">
            <v>A2-S02</v>
          </cell>
          <cell r="G425" t="str">
            <v>support Top - đỡ nóc</v>
          </cell>
          <cell r="H425" t="str">
            <v>Plywood Moisture-Resistant - 18 x 1220 x 2440mm [CARB P2 Compliant]</v>
          </cell>
          <cell r="I425">
            <v>35</v>
          </cell>
        </row>
        <row r="426">
          <cell r="A426" t="str">
            <v>B557939/A</v>
          </cell>
          <cell r="B426" t="str">
            <v>AR756M892-BASE1</v>
          </cell>
          <cell r="C426">
            <v>35</v>
          </cell>
          <cell r="D426">
            <v>89</v>
          </cell>
          <cell r="E426">
            <v>3115</v>
          </cell>
          <cell r="F426" t="str">
            <v>A2-S03-1</v>
          </cell>
          <cell r="G426" t="str">
            <v>Bottom panel - Ván đáy</v>
          </cell>
          <cell r="H426" t="str">
            <v>MDF - 18 x 1220 x 2440mm, Veneer Okoume 0.3mm Both Faces [CARB P2 Compliant]</v>
          </cell>
          <cell r="I426">
            <v>35</v>
          </cell>
        </row>
        <row r="427">
          <cell r="A427" t="str">
            <v>B557939/A</v>
          </cell>
          <cell r="B427" t="str">
            <v>AR756M892-BASE1</v>
          </cell>
          <cell r="C427">
            <v>35</v>
          </cell>
          <cell r="D427">
            <v>89</v>
          </cell>
          <cell r="E427">
            <v>3115</v>
          </cell>
          <cell r="F427" t="str">
            <v>A2-S06</v>
          </cell>
          <cell r="G427" t="str">
            <v>Spline - Lưỡi gà</v>
          </cell>
          <cell r="H427" t="str">
            <v>Plywood Moisture-Resistant - 06 x 1220 x 2440mm [CARB P2 Compliant]</v>
          </cell>
          <cell r="I427">
            <v>210</v>
          </cell>
        </row>
        <row r="428">
          <cell r="A428" t="str">
            <v>B557939/A</v>
          </cell>
          <cell r="B428" t="str">
            <v>AR756M892-BASE1</v>
          </cell>
          <cell r="C428">
            <v>35</v>
          </cell>
          <cell r="D428">
            <v>89</v>
          </cell>
          <cell r="E428">
            <v>3115</v>
          </cell>
          <cell r="F428" t="str">
            <v>A2-S07</v>
          </cell>
          <cell r="G428" t="str">
            <v>Cleat - Bọ gỗ</v>
          </cell>
          <cell r="H428" t="str">
            <v>Plywood off cut</v>
          </cell>
          <cell r="I428">
            <v>210</v>
          </cell>
        </row>
        <row r="429">
          <cell r="A429" t="str">
            <v>B557940/A</v>
          </cell>
          <cell r="B429" t="str">
            <v>AR756M892-BASE1</v>
          </cell>
          <cell r="C429">
            <v>15</v>
          </cell>
          <cell r="D429">
            <v>89</v>
          </cell>
          <cell r="E429">
            <v>1335</v>
          </cell>
          <cell r="F429" t="str">
            <v>A2-S01</v>
          </cell>
          <cell r="G429" t="str">
            <v xml:space="preserve">Side panel  - Ván hông </v>
          </cell>
          <cell r="H429" t="str">
            <v>Pre-Assembly</v>
          </cell>
          <cell r="I429">
            <v>90</v>
          </cell>
        </row>
        <row r="430">
          <cell r="A430" t="str">
            <v>B557940/A</v>
          </cell>
          <cell r="B430" t="str">
            <v>AR756M892-BASE1</v>
          </cell>
          <cell r="C430">
            <v>15</v>
          </cell>
          <cell r="D430">
            <v>89</v>
          </cell>
          <cell r="E430">
            <v>1335</v>
          </cell>
          <cell r="F430" t="str">
            <v>A2-S01-1</v>
          </cell>
          <cell r="G430" t="str">
            <v xml:space="preserve">Panel - Ván </v>
          </cell>
          <cell r="H430" t="str">
            <v>MDF laminate</v>
          </cell>
          <cell r="I430">
            <v>90</v>
          </cell>
        </row>
        <row r="431">
          <cell r="A431" t="str">
            <v>B557940/A</v>
          </cell>
          <cell r="B431" t="str">
            <v>AR756M892-BASE1</v>
          </cell>
          <cell r="C431">
            <v>15</v>
          </cell>
          <cell r="D431">
            <v>89</v>
          </cell>
          <cell r="E431">
            <v>1335</v>
          </cell>
          <cell r="F431" t="str">
            <v>A2-S01-2</v>
          </cell>
          <cell r="G431" t="str">
            <v>Insert Wood - Gỗ chèn</v>
          </cell>
          <cell r="H431" t="str">
            <v>Beech off cut</v>
          </cell>
          <cell r="I431">
            <v>90</v>
          </cell>
        </row>
        <row r="432">
          <cell r="A432" t="str">
            <v>B557940/A</v>
          </cell>
          <cell r="B432" t="str">
            <v>AR756M892-BASE1</v>
          </cell>
          <cell r="C432">
            <v>15</v>
          </cell>
          <cell r="D432">
            <v>89</v>
          </cell>
          <cell r="E432">
            <v>1335</v>
          </cell>
          <cell r="F432" t="str">
            <v>A2-S02</v>
          </cell>
          <cell r="G432" t="str">
            <v>support Top - đỡ nóc</v>
          </cell>
          <cell r="H432" t="str">
            <v>Plywood Moisture-Resistant - 18 x 1220 x 2440mm [CARB P2 Compliant]</v>
          </cell>
          <cell r="I432">
            <v>15</v>
          </cell>
        </row>
        <row r="433">
          <cell r="A433" t="str">
            <v>B557940/A</v>
          </cell>
          <cell r="B433" t="str">
            <v>AR756M892-BASE1</v>
          </cell>
          <cell r="C433">
            <v>15</v>
          </cell>
          <cell r="D433">
            <v>89</v>
          </cell>
          <cell r="E433">
            <v>1335</v>
          </cell>
          <cell r="F433" t="str">
            <v>A2-S03-1</v>
          </cell>
          <cell r="G433" t="str">
            <v>Bottom panel - Ván đáy</v>
          </cell>
          <cell r="H433" t="str">
            <v>MDF - 18 x 1220 x 2440mm, Veneer Okoume 0.3mm Both Faces [CARB P2 Compliant]</v>
          </cell>
          <cell r="I433">
            <v>15</v>
          </cell>
        </row>
        <row r="434">
          <cell r="A434" t="str">
            <v>B557940/A</v>
          </cell>
          <cell r="B434" t="str">
            <v>AR756M892-BASE1</v>
          </cell>
          <cell r="C434">
            <v>15</v>
          </cell>
          <cell r="D434">
            <v>89</v>
          </cell>
          <cell r="E434">
            <v>1335</v>
          </cell>
          <cell r="F434" t="str">
            <v>A2-S06</v>
          </cell>
          <cell r="G434" t="str">
            <v>Spline - Lưỡi gà</v>
          </cell>
          <cell r="H434" t="str">
            <v>Plywood Moisture-Resistant - 06 x 1220 x 2440mm [CARB P2 Compliant]</v>
          </cell>
          <cell r="I434">
            <v>90</v>
          </cell>
        </row>
        <row r="435">
          <cell r="A435" t="str">
            <v>B557940/A</v>
          </cell>
          <cell r="B435" t="str">
            <v>AR756M892-BASE1</v>
          </cell>
          <cell r="C435">
            <v>15</v>
          </cell>
          <cell r="D435">
            <v>89</v>
          </cell>
          <cell r="E435">
            <v>1335</v>
          </cell>
          <cell r="F435" t="str">
            <v>A2-S07</v>
          </cell>
          <cell r="G435" t="str">
            <v>Cleat - Bọ gỗ</v>
          </cell>
          <cell r="H435" t="str">
            <v>Plywood off cut</v>
          </cell>
          <cell r="I435">
            <v>90</v>
          </cell>
        </row>
        <row r="436">
          <cell r="A436" t="str">
            <v>B557943/A</v>
          </cell>
          <cell r="B436" t="str">
            <v>AR854M1039-BASE</v>
          </cell>
          <cell r="C436">
            <v>18</v>
          </cell>
          <cell r="D436">
            <v>380</v>
          </cell>
          <cell r="E436">
            <v>6840</v>
          </cell>
          <cell r="F436" t="str">
            <v>A4-S01</v>
          </cell>
          <cell r="G436" t="str">
            <v>Turning Part - Trụ tiện</v>
          </cell>
          <cell r="H436" t="str">
            <v>Wood laminate</v>
          </cell>
          <cell r="I436">
            <v>72</v>
          </cell>
        </row>
        <row r="437">
          <cell r="A437" t="str">
            <v>B557943/A</v>
          </cell>
          <cell r="B437" t="str">
            <v>AR854M1039-BASE</v>
          </cell>
          <cell r="C437">
            <v>18</v>
          </cell>
          <cell r="D437">
            <v>380</v>
          </cell>
          <cell r="E437">
            <v>6840</v>
          </cell>
          <cell r="F437" t="str">
            <v>A4-S01-1</v>
          </cell>
          <cell r="G437" t="str">
            <v>Patching wood - Gỗ đắp</v>
          </cell>
          <cell r="H437" t="str">
            <v>Wood White Oak - Straight/Waving Edged, 1 COM - T32mm x W100mm Up x L1.8m Up</v>
          </cell>
          <cell r="I437">
            <v>144</v>
          </cell>
        </row>
        <row r="438">
          <cell r="A438" t="str">
            <v>B557943/A</v>
          </cell>
          <cell r="B438" t="str">
            <v>AR854M1039-BASE</v>
          </cell>
          <cell r="C438">
            <v>18</v>
          </cell>
          <cell r="D438">
            <v>380</v>
          </cell>
          <cell r="E438">
            <v>6840</v>
          </cell>
          <cell r="F438" t="str">
            <v>A4-S01-2</v>
          </cell>
          <cell r="G438" t="str">
            <v>Patching wood - Gỗ đắp</v>
          </cell>
          <cell r="H438" t="str">
            <v>White Oak 1 COM</v>
          </cell>
          <cell r="I438">
            <v>144</v>
          </cell>
        </row>
        <row r="439">
          <cell r="A439" t="str">
            <v>B557943/A</v>
          </cell>
          <cell r="B439" t="str">
            <v>AR854M1039-BASE</v>
          </cell>
          <cell r="C439">
            <v>18</v>
          </cell>
          <cell r="D439">
            <v>380</v>
          </cell>
          <cell r="E439">
            <v>6840</v>
          </cell>
          <cell r="F439" t="str">
            <v>A4-S01-3</v>
          </cell>
          <cell r="G439" t="str">
            <v>Patching wood - Gỗ đắp</v>
          </cell>
          <cell r="H439" t="str">
            <v>Wood White Oak - Straight/Waving Edged, 1 COM - T32mm x W100mm Up x L1.8m Up</v>
          </cell>
          <cell r="I439">
            <v>144</v>
          </cell>
        </row>
        <row r="440">
          <cell r="A440" t="str">
            <v>B557943/A</v>
          </cell>
          <cell r="B440" t="str">
            <v>AR854M1039-BASE</v>
          </cell>
          <cell r="C440">
            <v>18</v>
          </cell>
          <cell r="D440">
            <v>380</v>
          </cell>
          <cell r="E440">
            <v>6840</v>
          </cell>
          <cell r="F440" t="str">
            <v>A4-S02</v>
          </cell>
          <cell r="G440" t="str">
            <v>Horizontal rail 1 - Đố ngang 1</v>
          </cell>
          <cell r="H440" t="str">
            <v>Wood White Oak - Straight/Waving Edged, 1 COM - T32mm x W100mm Up x L1.8m Up</v>
          </cell>
          <cell r="I440">
            <v>36</v>
          </cell>
        </row>
        <row r="441">
          <cell r="A441" t="str">
            <v>B557943/A</v>
          </cell>
          <cell r="B441" t="str">
            <v>AR854M1039-BASE</v>
          </cell>
          <cell r="C441">
            <v>18</v>
          </cell>
          <cell r="D441">
            <v>380</v>
          </cell>
          <cell r="E441">
            <v>6840</v>
          </cell>
          <cell r="F441" t="str">
            <v>A4-S03</v>
          </cell>
          <cell r="G441" t="str">
            <v>Horizontal rail 1 - Đố ngang 1</v>
          </cell>
          <cell r="H441" t="str">
            <v>Wood laminate</v>
          </cell>
          <cell r="I441">
            <v>36</v>
          </cell>
        </row>
        <row r="442">
          <cell r="A442" t="str">
            <v>B557943/A</v>
          </cell>
          <cell r="B442" t="str">
            <v>AR854M1039-BASE</v>
          </cell>
          <cell r="C442">
            <v>18</v>
          </cell>
          <cell r="D442">
            <v>380</v>
          </cell>
          <cell r="E442">
            <v>6840</v>
          </cell>
          <cell r="F442" t="str">
            <v>A4-S04</v>
          </cell>
          <cell r="G442" t="str">
            <v>The leg  - Chân</v>
          </cell>
          <cell r="H442" t="str">
            <v>Wood laminate</v>
          </cell>
          <cell r="I442">
            <v>72</v>
          </cell>
        </row>
        <row r="443">
          <cell r="A443" t="str">
            <v>B557944/A</v>
          </cell>
          <cell r="B443" t="str">
            <v>AR854M1039-BASE</v>
          </cell>
          <cell r="C443">
            <v>7</v>
          </cell>
          <cell r="D443">
            <v>380</v>
          </cell>
          <cell r="E443">
            <v>2660</v>
          </cell>
          <cell r="F443" t="str">
            <v>A4-S01</v>
          </cell>
          <cell r="G443" t="str">
            <v>Turning Part - Trụ tiện</v>
          </cell>
          <cell r="H443" t="str">
            <v>Wood laminate</v>
          </cell>
          <cell r="I443">
            <v>28</v>
          </cell>
        </row>
        <row r="444">
          <cell r="A444" t="str">
            <v>B557944/A</v>
          </cell>
          <cell r="B444" t="str">
            <v>AR854M1039-BASE</v>
          </cell>
          <cell r="C444">
            <v>7</v>
          </cell>
          <cell r="D444">
            <v>380</v>
          </cell>
          <cell r="E444">
            <v>2660</v>
          </cell>
          <cell r="F444" t="str">
            <v>A4-S01-1</v>
          </cell>
          <cell r="G444" t="str">
            <v>Patching wood - Gỗ đắp</v>
          </cell>
          <cell r="H444" t="str">
            <v>Wood White Oak - Straight/Waving Edged, 1 COM - T32mm x W100mm Up x L1.8m Up</v>
          </cell>
          <cell r="I444">
            <v>56</v>
          </cell>
        </row>
        <row r="445">
          <cell r="A445" t="str">
            <v>B557944/A</v>
          </cell>
          <cell r="B445" t="str">
            <v>AR854M1039-BASE</v>
          </cell>
          <cell r="C445">
            <v>7</v>
          </cell>
          <cell r="D445">
            <v>380</v>
          </cell>
          <cell r="E445">
            <v>2660</v>
          </cell>
          <cell r="F445" t="str">
            <v>A4-S01-2</v>
          </cell>
          <cell r="G445" t="str">
            <v>Patching wood - Gỗ đắp</v>
          </cell>
          <cell r="H445" t="str">
            <v>White Oak 1 COM</v>
          </cell>
          <cell r="I445">
            <v>56</v>
          </cell>
        </row>
        <row r="446">
          <cell r="A446" t="str">
            <v>B557944/A</v>
          </cell>
          <cell r="B446" t="str">
            <v>AR854M1039-BASE</v>
          </cell>
          <cell r="C446">
            <v>7</v>
          </cell>
          <cell r="D446">
            <v>380</v>
          </cell>
          <cell r="E446">
            <v>2660</v>
          </cell>
          <cell r="F446" t="str">
            <v>A4-S01-3</v>
          </cell>
          <cell r="G446" t="str">
            <v>Patching wood - Gỗ đắp</v>
          </cell>
          <cell r="H446" t="str">
            <v>Wood White Oak - Straight/Waving Edged, 1 COM - T32mm x W100mm Up x L1.8m Up</v>
          </cell>
          <cell r="I446">
            <v>56</v>
          </cell>
        </row>
        <row r="447">
          <cell r="A447" t="str">
            <v>B557944/A</v>
          </cell>
          <cell r="B447" t="str">
            <v>AR854M1039-BASE</v>
          </cell>
          <cell r="C447">
            <v>7</v>
          </cell>
          <cell r="D447">
            <v>380</v>
          </cell>
          <cell r="E447">
            <v>2660</v>
          </cell>
          <cell r="F447" t="str">
            <v>A4-S02</v>
          </cell>
          <cell r="G447" t="str">
            <v>Horizontal rail 1 - Đố ngang 1</v>
          </cell>
          <cell r="H447" t="str">
            <v>Wood White Oak - Straight/Waving Edged, 1 COM - T32mm x W100mm Up x L1.8m Up</v>
          </cell>
          <cell r="I447">
            <v>14</v>
          </cell>
        </row>
        <row r="448">
          <cell r="A448" t="str">
            <v>B557944/A</v>
          </cell>
          <cell r="B448" t="str">
            <v>AR854M1039-BASE</v>
          </cell>
          <cell r="C448">
            <v>7</v>
          </cell>
          <cell r="D448">
            <v>380</v>
          </cell>
          <cell r="E448">
            <v>2660</v>
          </cell>
          <cell r="F448" t="str">
            <v>A4-S03</v>
          </cell>
          <cell r="G448" t="str">
            <v>Horizontal rail 1 - Đố ngang 1</v>
          </cell>
          <cell r="H448" t="str">
            <v>Wood laminate</v>
          </cell>
          <cell r="I448">
            <v>14</v>
          </cell>
        </row>
        <row r="449">
          <cell r="A449" t="str">
            <v>B557944/A</v>
          </cell>
          <cell r="B449" t="str">
            <v>AR854M1039-BASE</v>
          </cell>
          <cell r="C449">
            <v>7</v>
          </cell>
          <cell r="D449">
            <v>380</v>
          </cell>
          <cell r="E449">
            <v>2660</v>
          </cell>
          <cell r="F449" t="str">
            <v>A4-S04</v>
          </cell>
          <cell r="G449" t="str">
            <v>The leg  - Chân</v>
          </cell>
          <cell r="H449" t="str">
            <v>Wood laminate</v>
          </cell>
          <cell r="I449">
            <v>28</v>
          </cell>
        </row>
        <row r="450">
          <cell r="A450" t="str">
            <v>B557947/A</v>
          </cell>
          <cell r="B450" t="str">
            <v>AR854M1039-TOP</v>
          </cell>
          <cell r="C450">
            <v>18</v>
          </cell>
          <cell r="D450">
            <v>635</v>
          </cell>
          <cell r="E450">
            <v>11430</v>
          </cell>
          <cell r="F450" t="str">
            <v>A0</v>
          </cell>
          <cell r="G450" t="str">
            <v>VN - Veneer</v>
          </cell>
          <cell r="H450" t="str">
            <v>Veneer laminate</v>
          </cell>
          <cell r="I450">
            <v>18</v>
          </cell>
        </row>
        <row r="451">
          <cell r="A451" t="str">
            <v>B557947/A</v>
          </cell>
          <cell r="B451" t="str">
            <v>AR854M1039-TOP</v>
          </cell>
          <cell r="C451">
            <v>18</v>
          </cell>
          <cell r="D451">
            <v>635</v>
          </cell>
          <cell r="E451">
            <v>11430</v>
          </cell>
          <cell r="F451" t="str">
            <v>A1-S01</v>
          </cell>
          <cell r="G451" t="str">
            <v>Top Frame - Khung nóc</v>
          </cell>
          <cell r="H451" t="str">
            <v>Pre-Assembly</v>
          </cell>
          <cell r="I451">
            <v>36</v>
          </cell>
        </row>
        <row r="452">
          <cell r="A452" t="str">
            <v>B557947/A</v>
          </cell>
          <cell r="B452" t="str">
            <v>AR854M1039-TOP</v>
          </cell>
          <cell r="C452">
            <v>18</v>
          </cell>
          <cell r="D452">
            <v>635</v>
          </cell>
          <cell r="E452">
            <v>11430</v>
          </cell>
          <cell r="F452" t="str">
            <v>A1-S01-1</v>
          </cell>
          <cell r="G452" t="str">
            <v xml:space="preserve">Panel - Ván </v>
          </cell>
          <cell r="H452" t="str">
            <v>MDF laminate</v>
          </cell>
          <cell r="I452">
            <v>36</v>
          </cell>
        </row>
        <row r="453">
          <cell r="A453" t="str">
            <v>B557947/A</v>
          </cell>
          <cell r="B453" t="str">
            <v>AR854M1039-TOP</v>
          </cell>
          <cell r="C453">
            <v>18</v>
          </cell>
          <cell r="D453">
            <v>635</v>
          </cell>
          <cell r="E453">
            <v>11430</v>
          </cell>
          <cell r="F453" t="str">
            <v>A1-S01-2</v>
          </cell>
          <cell r="G453" t="str">
            <v>Front top rail  - Đố tiền nóc</v>
          </cell>
          <cell r="H453" t="str">
            <v>Wood White Oak - Straight/Waving Edged, 1 COM - T32mm x W100mm Up x L1.8m Up</v>
          </cell>
          <cell r="I453">
            <v>72</v>
          </cell>
        </row>
        <row r="454">
          <cell r="A454" t="str">
            <v>B557947/A</v>
          </cell>
          <cell r="B454" t="str">
            <v>AR854M1039-TOP</v>
          </cell>
          <cell r="C454">
            <v>18</v>
          </cell>
          <cell r="D454">
            <v>635</v>
          </cell>
          <cell r="E454">
            <v>11430</v>
          </cell>
          <cell r="F454" t="str">
            <v>A1-S01-3</v>
          </cell>
          <cell r="G454" t="str">
            <v>Side top rail - Đố hông trên</v>
          </cell>
          <cell r="H454" t="str">
            <v>Wood laminate</v>
          </cell>
          <cell r="I454">
            <v>72</v>
          </cell>
        </row>
        <row r="455">
          <cell r="A455" t="str">
            <v>B557947/A</v>
          </cell>
          <cell r="B455" t="str">
            <v>AR854M1039-TOP</v>
          </cell>
          <cell r="C455">
            <v>18</v>
          </cell>
          <cell r="D455">
            <v>635</v>
          </cell>
          <cell r="E455">
            <v>11430</v>
          </cell>
          <cell r="F455" t="str">
            <v>A1-S01-4</v>
          </cell>
          <cell r="G455" t="str">
            <v>Side top rail - Đố hông trên</v>
          </cell>
          <cell r="H455" t="str">
            <v>Wood White Oak - Straight/Waving Edged, 1 COM - T32mm x W100mm Up x L1.8m Up</v>
          </cell>
          <cell r="I455">
            <v>36</v>
          </cell>
        </row>
        <row r="456">
          <cell r="A456" t="str">
            <v>B557947/A</v>
          </cell>
          <cell r="B456" t="str">
            <v>AR854M1039-TOP</v>
          </cell>
          <cell r="C456">
            <v>18</v>
          </cell>
          <cell r="D456">
            <v>635</v>
          </cell>
          <cell r="E456">
            <v>11430</v>
          </cell>
          <cell r="F456" t="str">
            <v>A1-S01-5</v>
          </cell>
          <cell r="G456" t="str">
            <v>Side top rail - Đố hông trên</v>
          </cell>
          <cell r="H456" t="str">
            <v>Wood White Oak - Straight/Waving Edged, 1 COM - T32mm x W100mm Up x L1.8m Up</v>
          </cell>
          <cell r="I456">
            <v>108</v>
          </cell>
        </row>
        <row r="457">
          <cell r="A457" t="str">
            <v>B557947/A</v>
          </cell>
          <cell r="B457" t="str">
            <v>AR854M1039-TOP</v>
          </cell>
          <cell r="C457">
            <v>18</v>
          </cell>
          <cell r="D457">
            <v>635</v>
          </cell>
          <cell r="E457">
            <v>11430</v>
          </cell>
          <cell r="F457" t="str">
            <v>A1-S02</v>
          </cell>
          <cell r="G457" t="str">
            <v>Front Top rail 1 - Đố nóc trước 1</v>
          </cell>
          <cell r="H457" t="str">
            <v>Wood laminate</v>
          </cell>
          <cell r="I457">
            <v>72</v>
          </cell>
        </row>
        <row r="458">
          <cell r="A458" t="str">
            <v>B557947/A</v>
          </cell>
          <cell r="B458" t="str">
            <v>AR854M1039-TOP</v>
          </cell>
          <cell r="C458">
            <v>18</v>
          </cell>
          <cell r="D458">
            <v>635</v>
          </cell>
          <cell r="E458">
            <v>11430</v>
          </cell>
          <cell r="F458" t="str">
            <v>A1-S03</v>
          </cell>
          <cell r="G458" t="str">
            <v>Front Top rail 1 - Đố nóc trước 1</v>
          </cell>
          <cell r="H458" t="str">
            <v>Wood laminate</v>
          </cell>
          <cell r="I458">
            <v>36</v>
          </cell>
        </row>
        <row r="459">
          <cell r="A459" t="str">
            <v>B557947/A</v>
          </cell>
          <cell r="B459" t="str">
            <v>AR854M1039-TOP</v>
          </cell>
          <cell r="C459">
            <v>18</v>
          </cell>
          <cell r="D459">
            <v>635</v>
          </cell>
          <cell r="E459">
            <v>11430</v>
          </cell>
          <cell r="F459" t="str">
            <v>A1-S04</v>
          </cell>
          <cell r="G459" t="str">
            <v>Cleat - Bọ gỗ</v>
          </cell>
          <cell r="H459" t="str">
            <v>Wood EU Beech - Straight/Waving Edged AB, 1 COM - T26mm x W100mm up x L1.8m up</v>
          </cell>
          <cell r="I459">
            <v>36</v>
          </cell>
        </row>
        <row r="460">
          <cell r="A460" t="str">
            <v>B557947/A</v>
          </cell>
          <cell r="B460" t="str">
            <v>AR854M1039-TOP</v>
          </cell>
          <cell r="C460">
            <v>18</v>
          </cell>
          <cell r="D460">
            <v>635</v>
          </cell>
          <cell r="E460">
            <v>11430</v>
          </cell>
          <cell r="F460" t="str">
            <v>A2-S01</v>
          </cell>
          <cell r="G460" t="str">
            <v>Top Frame - Khung nóc</v>
          </cell>
          <cell r="H460" t="str">
            <v>Pre-Assembly</v>
          </cell>
          <cell r="I460">
            <v>36</v>
          </cell>
        </row>
        <row r="461">
          <cell r="A461" t="str">
            <v>B557947/A</v>
          </cell>
          <cell r="B461" t="str">
            <v>AR854M1039-TOP</v>
          </cell>
          <cell r="C461">
            <v>18</v>
          </cell>
          <cell r="D461">
            <v>635</v>
          </cell>
          <cell r="E461">
            <v>11430</v>
          </cell>
          <cell r="F461" t="str">
            <v>A2-S01-1</v>
          </cell>
          <cell r="G461" t="str">
            <v xml:space="preserve">Panel - Ván </v>
          </cell>
          <cell r="H461" t="str">
            <v>MDF laminate</v>
          </cell>
          <cell r="I461">
            <v>36</v>
          </cell>
        </row>
        <row r="462">
          <cell r="A462" t="str">
            <v>B557947/A</v>
          </cell>
          <cell r="B462" t="str">
            <v>AR854M1039-TOP</v>
          </cell>
          <cell r="C462">
            <v>18</v>
          </cell>
          <cell r="D462">
            <v>635</v>
          </cell>
          <cell r="E462">
            <v>11430</v>
          </cell>
          <cell r="F462" t="str">
            <v>A2-S01-2</v>
          </cell>
          <cell r="G462" t="str">
            <v>Front top rail  - Đố tiền nóc</v>
          </cell>
          <cell r="H462" t="str">
            <v>Wood White Oak - Straight/Waving Edged, 1 COM - T32mm x W100mm Up x L1.8m Up</v>
          </cell>
          <cell r="I462">
            <v>72</v>
          </cell>
        </row>
        <row r="463">
          <cell r="A463" t="str">
            <v>B557947/A</v>
          </cell>
          <cell r="B463" t="str">
            <v>AR854M1039-TOP</v>
          </cell>
          <cell r="C463">
            <v>18</v>
          </cell>
          <cell r="D463">
            <v>635</v>
          </cell>
          <cell r="E463">
            <v>11430</v>
          </cell>
          <cell r="F463" t="str">
            <v>A2-S02</v>
          </cell>
          <cell r="G463" t="str">
            <v>Top rail - Đố nóc</v>
          </cell>
          <cell r="H463" t="str">
            <v>Wood White Oak - Straight/Waving Edged, 1 COM - T25mm x W100mm Up x L1.8m Up</v>
          </cell>
          <cell r="I463">
            <v>72</v>
          </cell>
        </row>
        <row r="464">
          <cell r="A464" t="str">
            <v>B557947/A</v>
          </cell>
          <cell r="B464" t="str">
            <v>AR854M1039-TOP</v>
          </cell>
          <cell r="C464">
            <v>18</v>
          </cell>
          <cell r="D464">
            <v>635</v>
          </cell>
          <cell r="E464">
            <v>11430</v>
          </cell>
          <cell r="F464" t="str">
            <v>A2-S03</v>
          </cell>
          <cell r="G464" t="str">
            <v>Patching wood - Gỗ đắp</v>
          </cell>
          <cell r="H464" t="str">
            <v>Wood US Poplar - Straight Edged, 1 COM - T38mm x W100mm Up x L1.8m Up</v>
          </cell>
          <cell r="I464">
            <v>72</v>
          </cell>
        </row>
        <row r="465">
          <cell r="A465" t="str">
            <v>B557947/A</v>
          </cell>
          <cell r="B465" t="str">
            <v>AR854M1039-TOP</v>
          </cell>
          <cell r="C465">
            <v>18</v>
          </cell>
          <cell r="D465">
            <v>635</v>
          </cell>
          <cell r="E465">
            <v>11430</v>
          </cell>
          <cell r="F465" t="str">
            <v>A3-S01</v>
          </cell>
          <cell r="G465" t="str">
            <v>Front rail  - Đố tiền</v>
          </cell>
          <cell r="H465" t="str">
            <v>Wood White Oak - Straight/Waving Edged, 1 COM - T32mm x W100mm Up x L1.8m Up</v>
          </cell>
          <cell r="I465">
            <v>36</v>
          </cell>
        </row>
        <row r="466">
          <cell r="A466" t="str">
            <v>B557947/A</v>
          </cell>
          <cell r="B466" t="str">
            <v>AR854M1039-TOP</v>
          </cell>
          <cell r="C466">
            <v>18</v>
          </cell>
          <cell r="D466">
            <v>635</v>
          </cell>
          <cell r="E466">
            <v>11430</v>
          </cell>
          <cell r="F466" t="str">
            <v>A3-S02</v>
          </cell>
          <cell r="G466" t="str">
            <v>Front rail  - Đố tiền</v>
          </cell>
          <cell r="H466" t="str">
            <v>Wood EU Beech - Straight/Waving Edged AB, 1 COM - T32mm x W100mm up x L1.8m up</v>
          </cell>
          <cell r="I466">
            <v>36</v>
          </cell>
        </row>
        <row r="467">
          <cell r="A467" t="str">
            <v>B557947/A</v>
          </cell>
          <cell r="B467" t="str">
            <v>AR854M1039-TOP</v>
          </cell>
          <cell r="C467">
            <v>18</v>
          </cell>
          <cell r="D467">
            <v>635</v>
          </cell>
          <cell r="E467">
            <v>11430</v>
          </cell>
          <cell r="F467" t="str">
            <v>A3-S03</v>
          </cell>
          <cell r="G467" t="str">
            <v>Center rail - Đố giữa</v>
          </cell>
          <cell r="H467" t="str">
            <v>Wood EU Beech - Straight/Waving Edged AB, 1 COM - T26mm x W100mm up x L1.8m up</v>
          </cell>
          <cell r="I467">
            <v>36</v>
          </cell>
        </row>
        <row r="468">
          <cell r="A468" t="str">
            <v>B557947/A</v>
          </cell>
          <cell r="B468" t="str">
            <v>AR854M1039-TOP</v>
          </cell>
          <cell r="C468">
            <v>18</v>
          </cell>
          <cell r="D468">
            <v>635</v>
          </cell>
          <cell r="E468">
            <v>11430</v>
          </cell>
          <cell r="F468" t="str">
            <v>A3-S04</v>
          </cell>
          <cell r="G468" t="str">
            <v>Center rail - Đố giữa</v>
          </cell>
          <cell r="H468" t="str">
            <v>Wood EU Beech - Straight/Waving Edged AB, 1 COM - T26mm x W100mm up x L1.8m up</v>
          </cell>
          <cell r="I468">
            <v>72</v>
          </cell>
        </row>
        <row r="469">
          <cell r="A469" t="str">
            <v>B557947/A</v>
          </cell>
          <cell r="B469" t="str">
            <v>AR854M1039-TOP</v>
          </cell>
          <cell r="C469">
            <v>18</v>
          </cell>
          <cell r="D469">
            <v>635</v>
          </cell>
          <cell r="E469">
            <v>11430</v>
          </cell>
          <cell r="F469" t="str">
            <v>A3-S05</v>
          </cell>
          <cell r="G469" t="str">
            <v>Cleat - Bọ gỗ</v>
          </cell>
          <cell r="H469" t="str">
            <v>Beech off cut</v>
          </cell>
          <cell r="I469">
            <v>72</v>
          </cell>
        </row>
        <row r="470">
          <cell r="A470" t="str">
            <v>B557947/A</v>
          </cell>
          <cell r="B470" t="str">
            <v>AR854M1039-TOP</v>
          </cell>
          <cell r="C470">
            <v>18</v>
          </cell>
          <cell r="D470">
            <v>635</v>
          </cell>
          <cell r="E470">
            <v>11430</v>
          </cell>
          <cell r="F470" t="str">
            <v>P01</v>
          </cell>
          <cell r="G470" t="str">
            <v>Horizontal rail 1 - Đố ngang 1</v>
          </cell>
          <cell r="H470" t="str">
            <v>Wood laminate</v>
          </cell>
          <cell r="I470">
            <v>18</v>
          </cell>
        </row>
        <row r="471">
          <cell r="A471" t="str">
            <v>B557948/A</v>
          </cell>
          <cell r="B471" t="str">
            <v>AR854M1039-TOP</v>
          </cell>
          <cell r="C471">
            <v>7</v>
          </cell>
          <cell r="D471">
            <v>635</v>
          </cell>
          <cell r="E471">
            <v>4445</v>
          </cell>
          <cell r="F471" t="str">
            <v>A0</v>
          </cell>
          <cell r="G471" t="str">
            <v>VN - Veneer</v>
          </cell>
          <cell r="H471" t="str">
            <v>Veneer laminate</v>
          </cell>
          <cell r="I471">
            <v>7</v>
          </cell>
        </row>
        <row r="472">
          <cell r="A472" t="str">
            <v>B557948/A</v>
          </cell>
          <cell r="B472" t="str">
            <v>AR854M1039-TOP</v>
          </cell>
          <cell r="C472">
            <v>7</v>
          </cell>
          <cell r="D472">
            <v>635</v>
          </cell>
          <cell r="E472">
            <v>4445</v>
          </cell>
          <cell r="F472" t="str">
            <v>A1-S01</v>
          </cell>
          <cell r="G472" t="str">
            <v>Top Frame - Khung nóc</v>
          </cell>
          <cell r="H472" t="str">
            <v>Pre-Assembly</v>
          </cell>
          <cell r="I472">
            <v>14</v>
          </cell>
        </row>
        <row r="473">
          <cell r="A473" t="str">
            <v>B557948/A</v>
          </cell>
          <cell r="B473" t="str">
            <v>AR854M1039-TOP</v>
          </cell>
          <cell r="C473">
            <v>7</v>
          </cell>
          <cell r="D473">
            <v>635</v>
          </cell>
          <cell r="E473">
            <v>4445</v>
          </cell>
          <cell r="F473" t="str">
            <v>A1-S01-1</v>
          </cell>
          <cell r="G473" t="str">
            <v xml:space="preserve">Panel - Ván </v>
          </cell>
          <cell r="H473" t="str">
            <v>MDF laminate</v>
          </cell>
          <cell r="I473">
            <v>14</v>
          </cell>
        </row>
        <row r="474">
          <cell r="A474" t="str">
            <v>B557948/A</v>
          </cell>
          <cell r="B474" t="str">
            <v>AR854M1039-TOP</v>
          </cell>
          <cell r="C474">
            <v>7</v>
          </cell>
          <cell r="D474">
            <v>635</v>
          </cell>
          <cell r="E474">
            <v>4445</v>
          </cell>
          <cell r="F474" t="str">
            <v>A1-S01-2</v>
          </cell>
          <cell r="G474" t="str">
            <v>Front top rail  - Đố tiền nóc</v>
          </cell>
          <cell r="H474" t="str">
            <v>Wood White Oak - Straight/Waving Edged, 1 COM - T32mm x W100mm Up x L1.8m Up</v>
          </cell>
          <cell r="I474">
            <v>28</v>
          </cell>
        </row>
        <row r="475">
          <cell r="A475" t="str">
            <v>B557948/A</v>
          </cell>
          <cell r="B475" t="str">
            <v>AR854M1039-TOP</v>
          </cell>
          <cell r="C475">
            <v>7</v>
          </cell>
          <cell r="D475">
            <v>635</v>
          </cell>
          <cell r="E475">
            <v>4445</v>
          </cell>
          <cell r="F475" t="str">
            <v>A1-S01-3</v>
          </cell>
          <cell r="G475" t="str">
            <v>Side top rail - Đố hông trên</v>
          </cell>
          <cell r="H475" t="str">
            <v>Wood laminate</v>
          </cell>
          <cell r="I475">
            <v>28</v>
          </cell>
        </row>
        <row r="476">
          <cell r="A476" t="str">
            <v>B557948/A</v>
          </cell>
          <cell r="B476" t="str">
            <v>AR854M1039-TOP</v>
          </cell>
          <cell r="C476">
            <v>7</v>
          </cell>
          <cell r="D476">
            <v>635</v>
          </cell>
          <cell r="E476">
            <v>4445</v>
          </cell>
          <cell r="F476" t="str">
            <v>A1-S01-4</v>
          </cell>
          <cell r="G476" t="str">
            <v>Side top rail - Đố hông trên</v>
          </cell>
          <cell r="H476" t="str">
            <v>Wood White Oak - Straight/Waving Edged, 1 COM - T32mm x W100mm Up x L1.8m Up</v>
          </cell>
          <cell r="I476">
            <v>14</v>
          </cell>
        </row>
        <row r="477">
          <cell r="A477" t="str">
            <v>B557948/A</v>
          </cell>
          <cell r="B477" t="str">
            <v>AR854M1039-TOP</v>
          </cell>
          <cell r="C477">
            <v>7</v>
          </cell>
          <cell r="D477">
            <v>635</v>
          </cell>
          <cell r="E477">
            <v>4445</v>
          </cell>
          <cell r="F477" t="str">
            <v>A1-S01-5</v>
          </cell>
          <cell r="G477" t="str">
            <v>Side top rail - Đố hông trên</v>
          </cell>
          <cell r="H477" t="str">
            <v>Wood White Oak - Straight/Waving Edged, 1 COM - T32mm x W100mm Up x L1.8m Up</v>
          </cell>
          <cell r="I477">
            <v>42</v>
          </cell>
        </row>
        <row r="478">
          <cell r="A478" t="str">
            <v>B557948/A</v>
          </cell>
          <cell r="B478" t="str">
            <v>AR854M1039-TOP</v>
          </cell>
          <cell r="C478">
            <v>7</v>
          </cell>
          <cell r="D478">
            <v>635</v>
          </cell>
          <cell r="E478">
            <v>4445</v>
          </cell>
          <cell r="F478" t="str">
            <v>A1-S02</v>
          </cell>
          <cell r="G478" t="str">
            <v>Front Top rail 1 - Đố nóc trước 1</v>
          </cell>
          <cell r="H478" t="str">
            <v>Wood laminate</v>
          </cell>
          <cell r="I478">
            <v>28</v>
          </cell>
        </row>
        <row r="479">
          <cell r="A479" t="str">
            <v>B557948/A</v>
          </cell>
          <cell r="B479" t="str">
            <v>AR854M1039-TOP</v>
          </cell>
          <cell r="C479">
            <v>7</v>
          </cell>
          <cell r="D479">
            <v>635</v>
          </cell>
          <cell r="E479">
            <v>4445</v>
          </cell>
          <cell r="F479" t="str">
            <v>A1-S03</v>
          </cell>
          <cell r="G479" t="str">
            <v>Front Top rail 1 - Đố nóc trước 1</v>
          </cell>
          <cell r="H479" t="str">
            <v>Wood laminate</v>
          </cell>
          <cell r="I479">
            <v>14</v>
          </cell>
        </row>
        <row r="480">
          <cell r="A480" t="str">
            <v>B557948/A</v>
          </cell>
          <cell r="B480" t="str">
            <v>AR854M1039-TOP</v>
          </cell>
          <cell r="C480">
            <v>7</v>
          </cell>
          <cell r="D480">
            <v>635</v>
          </cell>
          <cell r="E480">
            <v>4445</v>
          </cell>
          <cell r="F480" t="str">
            <v>A1-S04</v>
          </cell>
          <cell r="G480" t="str">
            <v>Cleat - Bọ gỗ</v>
          </cell>
          <cell r="H480" t="str">
            <v>Wood EU Beech - Straight/Waving Edged AB, 1 COM - T26mm x W100mm up x L1.8m up</v>
          </cell>
          <cell r="I480">
            <v>14</v>
          </cell>
        </row>
        <row r="481">
          <cell r="A481" t="str">
            <v>B557948/A</v>
          </cell>
          <cell r="B481" t="str">
            <v>AR854M1039-TOP</v>
          </cell>
          <cell r="C481">
            <v>7</v>
          </cell>
          <cell r="D481">
            <v>635</v>
          </cell>
          <cell r="E481">
            <v>4445</v>
          </cell>
          <cell r="F481" t="str">
            <v>A2-S01</v>
          </cell>
          <cell r="G481" t="str">
            <v>Top Frame - Khung nóc</v>
          </cell>
          <cell r="H481" t="str">
            <v>Pre-Assembly</v>
          </cell>
          <cell r="I481">
            <v>14</v>
          </cell>
        </row>
        <row r="482">
          <cell r="A482" t="str">
            <v>B557948/A</v>
          </cell>
          <cell r="B482" t="str">
            <v>AR854M1039-TOP</v>
          </cell>
          <cell r="C482">
            <v>7</v>
          </cell>
          <cell r="D482">
            <v>635</v>
          </cell>
          <cell r="E482">
            <v>4445</v>
          </cell>
          <cell r="F482" t="str">
            <v>A2-S01-1</v>
          </cell>
          <cell r="G482" t="str">
            <v xml:space="preserve">Panel - Ván </v>
          </cell>
          <cell r="H482" t="str">
            <v>MDF laminate</v>
          </cell>
          <cell r="I482">
            <v>14</v>
          </cell>
        </row>
        <row r="483">
          <cell r="A483" t="str">
            <v>B557948/A</v>
          </cell>
          <cell r="B483" t="str">
            <v>AR854M1039-TOP</v>
          </cell>
          <cell r="C483">
            <v>7</v>
          </cell>
          <cell r="D483">
            <v>635</v>
          </cell>
          <cell r="E483">
            <v>4445</v>
          </cell>
          <cell r="F483" t="str">
            <v>A2-S01-2</v>
          </cell>
          <cell r="G483" t="str">
            <v>Front top rail  - Đố tiền nóc</v>
          </cell>
          <cell r="H483" t="str">
            <v>Wood White Oak - Straight/Waving Edged, 1 COM - T32mm x W100mm Up x L1.8m Up</v>
          </cell>
          <cell r="I483">
            <v>28</v>
          </cell>
        </row>
        <row r="484">
          <cell r="A484" t="str">
            <v>B557948/A</v>
          </cell>
          <cell r="B484" t="str">
            <v>AR854M1039-TOP</v>
          </cell>
          <cell r="C484">
            <v>7</v>
          </cell>
          <cell r="D484">
            <v>635</v>
          </cell>
          <cell r="E484">
            <v>4445</v>
          </cell>
          <cell r="F484" t="str">
            <v>A2-S02</v>
          </cell>
          <cell r="G484" t="str">
            <v>Top rail - Đố nóc</v>
          </cell>
          <cell r="H484" t="str">
            <v>Wood White Oak - Straight/Waving Edged, 1 COM - T25mm x W100mm Up x L1.8m Up</v>
          </cell>
          <cell r="I484">
            <v>28</v>
          </cell>
        </row>
        <row r="485">
          <cell r="A485" t="str">
            <v>B557948/A</v>
          </cell>
          <cell r="B485" t="str">
            <v>AR854M1039-TOP</v>
          </cell>
          <cell r="C485">
            <v>7</v>
          </cell>
          <cell r="D485">
            <v>635</v>
          </cell>
          <cell r="E485">
            <v>4445</v>
          </cell>
          <cell r="F485" t="str">
            <v>A2-S03</v>
          </cell>
          <cell r="G485" t="str">
            <v>Patching wood - Gỗ đắp</v>
          </cell>
          <cell r="H485" t="str">
            <v>Wood US Poplar - Straight Edged, 1 COM - T38mm x W100mm Up x L1.8m Up</v>
          </cell>
          <cell r="I485">
            <v>28</v>
          </cell>
        </row>
        <row r="486">
          <cell r="A486" t="str">
            <v>B557948/A</v>
          </cell>
          <cell r="B486" t="str">
            <v>AR854M1039-TOP</v>
          </cell>
          <cell r="C486">
            <v>7</v>
          </cell>
          <cell r="D486">
            <v>635</v>
          </cell>
          <cell r="E486">
            <v>4445</v>
          </cell>
          <cell r="F486" t="str">
            <v>A3-S01</v>
          </cell>
          <cell r="G486" t="str">
            <v>Front rail  - Đố tiền</v>
          </cell>
          <cell r="H486" t="str">
            <v>Wood White Oak - Straight/Waving Edged, 1 COM - T32mm x W100mm Up x L1.8m Up</v>
          </cell>
          <cell r="I486">
            <v>14</v>
          </cell>
        </row>
        <row r="487">
          <cell r="A487" t="str">
            <v>B557948/A</v>
          </cell>
          <cell r="B487" t="str">
            <v>AR854M1039-TOP</v>
          </cell>
          <cell r="C487">
            <v>7</v>
          </cell>
          <cell r="D487">
            <v>635</v>
          </cell>
          <cell r="E487">
            <v>4445</v>
          </cell>
          <cell r="F487" t="str">
            <v>A3-S02</v>
          </cell>
          <cell r="G487" t="str">
            <v>Front rail  - Đố tiền</v>
          </cell>
          <cell r="H487" t="str">
            <v>Wood EU Beech - Straight/Waving Edged AB, 1 COM - T32mm x W100mm up x L1.8m up</v>
          </cell>
          <cell r="I487">
            <v>14</v>
          </cell>
        </row>
        <row r="488">
          <cell r="A488" t="str">
            <v>B557948/A</v>
          </cell>
          <cell r="B488" t="str">
            <v>AR854M1039-TOP</v>
          </cell>
          <cell r="C488">
            <v>7</v>
          </cell>
          <cell r="D488">
            <v>635</v>
          </cell>
          <cell r="E488">
            <v>4445</v>
          </cell>
          <cell r="F488" t="str">
            <v>A3-S03</v>
          </cell>
          <cell r="G488" t="str">
            <v>Center rail - Đố giữa</v>
          </cell>
          <cell r="H488" t="str">
            <v>Wood EU Beech - Straight/Waving Edged AB, 1 COM - T26mm x W100mm up x L1.8m up</v>
          </cell>
          <cell r="I488">
            <v>14</v>
          </cell>
        </row>
        <row r="489">
          <cell r="A489" t="str">
            <v>B557948/A</v>
          </cell>
          <cell r="B489" t="str">
            <v>AR854M1039-TOP</v>
          </cell>
          <cell r="C489">
            <v>7</v>
          </cell>
          <cell r="D489">
            <v>635</v>
          </cell>
          <cell r="E489">
            <v>4445</v>
          </cell>
          <cell r="F489" t="str">
            <v>A3-S04</v>
          </cell>
          <cell r="G489" t="str">
            <v>Center rail - Đố giữa</v>
          </cell>
          <cell r="H489" t="str">
            <v>Wood EU Beech - Straight/Waving Edged AB, 1 COM - T26mm x W100mm up x L1.8m up</v>
          </cell>
          <cell r="I489">
            <v>28</v>
          </cell>
        </row>
        <row r="490">
          <cell r="A490" t="str">
            <v>B557948/A</v>
          </cell>
          <cell r="B490" t="str">
            <v>AR854M1039-TOP</v>
          </cell>
          <cell r="C490">
            <v>7</v>
          </cell>
          <cell r="D490">
            <v>635</v>
          </cell>
          <cell r="E490">
            <v>4445</v>
          </cell>
          <cell r="F490" t="str">
            <v>A3-S05</v>
          </cell>
          <cell r="G490" t="str">
            <v>Cleat - Bọ gỗ</v>
          </cell>
          <cell r="H490" t="str">
            <v>Beech off cut</v>
          </cell>
          <cell r="I490">
            <v>28</v>
          </cell>
        </row>
        <row r="491">
          <cell r="A491" t="str">
            <v>B557948/A</v>
          </cell>
          <cell r="B491" t="str">
            <v>AR854M1039-TOP</v>
          </cell>
          <cell r="C491">
            <v>7</v>
          </cell>
          <cell r="D491">
            <v>635</v>
          </cell>
          <cell r="E491">
            <v>4445</v>
          </cell>
          <cell r="F491" t="str">
            <v>P01</v>
          </cell>
          <cell r="G491" t="str">
            <v>Horizontal rail 1 - Đố ngang 1</v>
          </cell>
          <cell r="H491" t="str">
            <v>Wood laminate</v>
          </cell>
          <cell r="I491">
            <v>7</v>
          </cell>
        </row>
        <row r="492">
          <cell r="A492" t="str">
            <v>B557950/A</v>
          </cell>
          <cell r="B492" t="str">
            <v>AT383M888</v>
          </cell>
          <cell r="C492">
            <v>25</v>
          </cell>
          <cell r="D492">
            <v>837</v>
          </cell>
          <cell r="E492">
            <v>20925</v>
          </cell>
          <cell r="F492" t="str">
            <v>A1-S01</v>
          </cell>
          <cell r="G492" t="str">
            <v>Top Frame - Khung nóc</v>
          </cell>
          <cell r="H492" t="str">
            <v>Wood US Ash - Straight/Waving Edged, 2 COM - T32mm x L1.8m Up</v>
          </cell>
          <cell r="I492">
            <v>50</v>
          </cell>
        </row>
        <row r="493">
          <cell r="A493" t="str">
            <v>B557950/A</v>
          </cell>
          <cell r="B493" t="str">
            <v>AT383M888</v>
          </cell>
          <cell r="C493">
            <v>25</v>
          </cell>
          <cell r="D493">
            <v>837</v>
          </cell>
          <cell r="E493">
            <v>20925</v>
          </cell>
          <cell r="F493" t="str">
            <v>A1-S02</v>
          </cell>
          <cell r="G493" t="str">
            <v>Top Frame - Khung nóc</v>
          </cell>
          <cell r="H493" t="str">
            <v>Wood laminate</v>
          </cell>
          <cell r="I493">
            <v>100</v>
          </cell>
        </row>
        <row r="494">
          <cell r="A494" t="str">
            <v>B557950/A</v>
          </cell>
          <cell r="B494" t="str">
            <v>AT383M888</v>
          </cell>
          <cell r="C494">
            <v>25</v>
          </cell>
          <cell r="D494">
            <v>837</v>
          </cell>
          <cell r="E494">
            <v>20925</v>
          </cell>
          <cell r="F494" t="str">
            <v>A1-S03</v>
          </cell>
          <cell r="G494" t="str">
            <v xml:space="preserve">Top panel  - Ván nóc </v>
          </cell>
          <cell r="H494" t="str">
            <v>MDF Veneer</v>
          </cell>
          <cell r="I494">
            <v>25</v>
          </cell>
        </row>
        <row r="495">
          <cell r="A495" t="str">
            <v>B557950/A</v>
          </cell>
          <cell r="B495" t="str">
            <v>AT383M888</v>
          </cell>
          <cell r="C495">
            <v>25</v>
          </cell>
          <cell r="D495">
            <v>837</v>
          </cell>
          <cell r="E495">
            <v>20925</v>
          </cell>
          <cell r="F495" t="str">
            <v>A2-S01</v>
          </cell>
          <cell r="G495" t="str">
            <v xml:space="preserve">Side panel  - Ván hông </v>
          </cell>
          <cell r="H495" t="str">
            <v>MDF Veneer</v>
          </cell>
          <cell r="I495">
            <v>50</v>
          </cell>
        </row>
        <row r="496">
          <cell r="A496" t="str">
            <v>B557950/A</v>
          </cell>
          <cell r="B496" t="str">
            <v>AT383M888</v>
          </cell>
          <cell r="C496">
            <v>25</v>
          </cell>
          <cell r="D496">
            <v>837</v>
          </cell>
          <cell r="E496">
            <v>20925</v>
          </cell>
          <cell r="F496" t="str">
            <v>A2-S02</v>
          </cell>
          <cell r="G496" t="str">
            <v xml:space="preserve">Panel - Ván </v>
          </cell>
          <cell r="H496" t="str">
            <v>MDF Veneer</v>
          </cell>
          <cell r="I496">
            <v>50</v>
          </cell>
        </row>
        <row r="497">
          <cell r="A497" t="str">
            <v>B557950/A</v>
          </cell>
          <cell r="B497" t="str">
            <v>AT383M888</v>
          </cell>
          <cell r="C497">
            <v>25</v>
          </cell>
          <cell r="D497">
            <v>837</v>
          </cell>
          <cell r="E497">
            <v>20925</v>
          </cell>
          <cell r="F497" t="str">
            <v>A2-S03</v>
          </cell>
          <cell r="G497" t="str">
            <v>Cleat - Bọ gỗ</v>
          </cell>
          <cell r="H497" t="str">
            <v>Standard Wood - ALDER/ASPEN/LENGA/US POPLAR, 2 COM - T25 W120mm+ L2m+</v>
          </cell>
          <cell r="I497">
            <v>100</v>
          </cell>
        </row>
        <row r="498">
          <cell r="A498" t="str">
            <v>B557950/A</v>
          </cell>
          <cell r="B498" t="str">
            <v>AT383M888</v>
          </cell>
          <cell r="C498">
            <v>25</v>
          </cell>
          <cell r="D498">
            <v>837</v>
          </cell>
          <cell r="E498">
            <v>20925</v>
          </cell>
          <cell r="F498" t="str">
            <v>A3-1</v>
          </cell>
          <cell r="G498" t="str">
            <v>Door panel  - Ván cửa</v>
          </cell>
          <cell r="H498" t="str">
            <v>Pre-Assembly</v>
          </cell>
          <cell r="I498">
            <v>50</v>
          </cell>
        </row>
        <row r="499">
          <cell r="A499" t="str">
            <v>B557950/A</v>
          </cell>
          <cell r="B499" t="str">
            <v>AT383M888</v>
          </cell>
          <cell r="C499">
            <v>25</v>
          </cell>
          <cell r="D499">
            <v>837</v>
          </cell>
          <cell r="E499">
            <v>20925</v>
          </cell>
          <cell r="F499" t="str">
            <v>A3-2</v>
          </cell>
          <cell r="G499" t="str">
            <v>Door panel  - Ván cửa</v>
          </cell>
          <cell r="H499" t="str">
            <v>Pre-Assembly</v>
          </cell>
          <cell r="I499">
            <v>50</v>
          </cell>
        </row>
        <row r="500">
          <cell r="A500" t="str">
            <v>B557950/A</v>
          </cell>
          <cell r="B500" t="str">
            <v>AT383M888</v>
          </cell>
          <cell r="C500">
            <v>25</v>
          </cell>
          <cell r="D500">
            <v>837</v>
          </cell>
          <cell r="E500">
            <v>20925</v>
          </cell>
          <cell r="F500" t="str">
            <v>A3-S01</v>
          </cell>
          <cell r="G500" t="str">
            <v>Patching wood - Gỗ đắp</v>
          </cell>
          <cell r="H500" t="str">
            <v>Wood US Ash - Straight/Waving Edged, 2 COM - T32mm x L1.8m Up</v>
          </cell>
          <cell r="I500">
            <v>50</v>
          </cell>
        </row>
        <row r="501">
          <cell r="A501" t="str">
            <v>B557950/A</v>
          </cell>
          <cell r="B501" t="str">
            <v>AT383M888</v>
          </cell>
          <cell r="C501">
            <v>25</v>
          </cell>
          <cell r="D501">
            <v>837</v>
          </cell>
          <cell r="E501">
            <v>20925</v>
          </cell>
          <cell r="F501" t="str">
            <v>A3-S02</v>
          </cell>
          <cell r="G501" t="str">
            <v>Door panel  - Ván cửa</v>
          </cell>
          <cell r="H501" t="str">
            <v>Pre-Assembly</v>
          </cell>
          <cell r="I501">
            <v>50</v>
          </cell>
        </row>
        <row r="502">
          <cell r="A502" t="str">
            <v>B557950/A</v>
          </cell>
          <cell r="B502" t="str">
            <v>AT383M888</v>
          </cell>
          <cell r="C502">
            <v>25</v>
          </cell>
          <cell r="D502">
            <v>837</v>
          </cell>
          <cell r="E502">
            <v>20925</v>
          </cell>
          <cell r="F502" t="str">
            <v>A3-S03</v>
          </cell>
          <cell r="G502" t="str">
            <v>Insert Wood - Gỗ chèn</v>
          </cell>
          <cell r="H502" t="str">
            <v>Wood US Ash - Straight/Waving Edged, 2 COM - T25mm x L1.8m Up</v>
          </cell>
          <cell r="I502">
            <v>50</v>
          </cell>
        </row>
        <row r="503">
          <cell r="A503" t="str">
            <v>B557950/A</v>
          </cell>
          <cell r="B503" t="str">
            <v>AT383M888</v>
          </cell>
          <cell r="C503">
            <v>25</v>
          </cell>
          <cell r="D503">
            <v>837</v>
          </cell>
          <cell r="E503">
            <v>20925</v>
          </cell>
          <cell r="F503" t="str">
            <v>A4-S01</v>
          </cell>
          <cell r="G503" t="str">
            <v xml:space="preserve">Drawer front - Mặt hộc kéo </v>
          </cell>
          <cell r="H503" t="str">
            <v>Pre-Assembly</v>
          </cell>
          <cell r="I503">
            <v>50</v>
          </cell>
        </row>
        <row r="504">
          <cell r="A504" t="str">
            <v>B557950/A</v>
          </cell>
          <cell r="B504" t="str">
            <v>AT383M888</v>
          </cell>
          <cell r="C504">
            <v>25</v>
          </cell>
          <cell r="D504">
            <v>837</v>
          </cell>
          <cell r="E504">
            <v>20925</v>
          </cell>
          <cell r="F504" t="str">
            <v>A4-S02</v>
          </cell>
          <cell r="G504" t="str">
            <v>Drawer side - Hông hộc kéo</v>
          </cell>
          <cell r="H504" t="str">
            <v>MDF Veneer</v>
          </cell>
          <cell r="I504">
            <v>50</v>
          </cell>
        </row>
        <row r="505">
          <cell r="A505" t="str">
            <v>B557950/A</v>
          </cell>
          <cell r="B505" t="str">
            <v>AT383M888</v>
          </cell>
          <cell r="C505">
            <v>25</v>
          </cell>
          <cell r="D505">
            <v>837</v>
          </cell>
          <cell r="E505">
            <v>20925</v>
          </cell>
          <cell r="F505" t="str">
            <v>A4-S03</v>
          </cell>
          <cell r="G505" t="str">
            <v>Drawer side - Hông hộc kéo</v>
          </cell>
          <cell r="H505" t="str">
            <v>MDF Veneer</v>
          </cell>
          <cell r="I505">
            <v>100</v>
          </cell>
        </row>
        <row r="506">
          <cell r="A506" t="str">
            <v>B557950/A</v>
          </cell>
          <cell r="B506" t="str">
            <v>AT383M888</v>
          </cell>
          <cell r="C506">
            <v>25</v>
          </cell>
          <cell r="D506">
            <v>837</v>
          </cell>
          <cell r="E506">
            <v>20925</v>
          </cell>
          <cell r="F506" t="str">
            <v>A4-S04</v>
          </cell>
          <cell r="G506" t="str">
            <v>Drawer back - Hậu hộc kéo</v>
          </cell>
          <cell r="H506" t="str">
            <v>MDF Veneer</v>
          </cell>
          <cell r="I506">
            <v>75</v>
          </cell>
        </row>
        <row r="507">
          <cell r="A507" t="str">
            <v>B557950/A</v>
          </cell>
          <cell r="B507" t="str">
            <v>AT383M888</v>
          </cell>
          <cell r="C507">
            <v>25</v>
          </cell>
          <cell r="D507">
            <v>837</v>
          </cell>
          <cell r="E507">
            <v>20925</v>
          </cell>
          <cell r="F507" t="str">
            <v>A4-S05</v>
          </cell>
          <cell r="G507" t="str">
            <v>Drawer bottom  - Đáy hộc kéo</v>
          </cell>
          <cell r="H507" t="str">
            <v>MDF Veneer</v>
          </cell>
          <cell r="I507">
            <v>50</v>
          </cell>
        </row>
        <row r="508">
          <cell r="A508" t="str">
            <v>B557950/A</v>
          </cell>
          <cell r="B508" t="str">
            <v>AT383M888</v>
          </cell>
          <cell r="C508">
            <v>25</v>
          </cell>
          <cell r="D508">
            <v>837</v>
          </cell>
          <cell r="E508">
            <v>20925</v>
          </cell>
          <cell r="F508" t="str">
            <v>A4-S06</v>
          </cell>
          <cell r="G508" t="str">
            <v>Cleat - Bọ gỗ</v>
          </cell>
          <cell r="H508" t="str">
            <v>Poplar off cut</v>
          </cell>
          <cell r="I508">
            <v>50</v>
          </cell>
        </row>
        <row r="509">
          <cell r="A509" t="str">
            <v>B557950/A</v>
          </cell>
          <cell r="B509" t="str">
            <v>AT383M888</v>
          </cell>
          <cell r="C509">
            <v>25</v>
          </cell>
          <cell r="D509">
            <v>837</v>
          </cell>
          <cell r="E509">
            <v>20925</v>
          </cell>
          <cell r="F509" t="str">
            <v>A4-S07</v>
          </cell>
          <cell r="G509" t="str">
            <v>Cleat - Bọ gỗ</v>
          </cell>
          <cell r="H509" t="str">
            <v>Poplar off cut</v>
          </cell>
          <cell r="I509">
            <v>200</v>
          </cell>
        </row>
        <row r="510">
          <cell r="A510" t="str">
            <v>B557950/A</v>
          </cell>
          <cell r="B510" t="str">
            <v>AT383M888</v>
          </cell>
          <cell r="C510">
            <v>25</v>
          </cell>
          <cell r="D510">
            <v>837</v>
          </cell>
          <cell r="E510">
            <v>20925</v>
          </cell>
          <cell r="F510" t="str">
            <v>A5-1</v>
          </cell>
          <cell r="G510" t="str">
            <v xml:space="preserve">Drawer front - Mặt hộc kéo </v>
          </cell>
          <cell r="H510" t="str">
            <v>MDF Veneer</v>
          </cell>
          <cell r="I510">
            <v>25</v>
          </cell>
        </row>
        <row r="511">
          <cell r="A511" t="str">
            <v>B557950/A</v>
          </cell>
          <cell r="B511" t="str">
            <v>AT383M888</v>
          </cell>
          <cell r="C511">
            <v>25</v>
          </cell>
          <cell r="D511">
            <v>837</v>
          </cell>
          <cell r="E511">
            <v>20925</v>
          </cell>
          <cell r="F511" t="str">
            <v>A5-S01</v>
          </cell>
          <cell r="G511" t="str">
            <v xml:space="preserve">Drawer front - Mặt hộc kéo </v>
          </cell>
          <cell r="H511" t="str">
            <v>MDF Veneer</v>
          </cell>
          <cell r="I511">
            <v>25</v>
          </cell>
        </row>
        <row r="512">
          <cell r="A512" t="str">
            <v>B557950/A</v>
          </cell>
          <cell r="B512" t="str">
            <v>AT383M888</v>
          </cell>
          <cell r="C512">
            <v>25</v>
          </cell>
          <cell r="D512">
            <v>837</v>
          </cell>
          <cell r="E512">
            <v>20925</v>
          </cell>
          <cell r="F512" t="str">
            <v>A5-S03</v>
          </cell>
          <cell r="G512" t="str">
            <v>Drawer bottom  - Đáy hộc kéo</v>
          </cell>
          <cell r="H512" t="str">
            <v>MDF Veneer</v>
          </cell>
          <cell r="I512">
            <v>75</v>
          </cell>
        </row>
        <row r="513">
          <cell r="A513" t="str">
            <v>B557950/A</v>
          </cell>
          <cell r="B513" t="str">
            <v>AT383M888</v>
          </cell>
          <cell r="C513">
            <v>25</v>
          </cell>
          <cell r="D513">
            <v>837</v>
          </cell>
          <cell r="E513">
            <v>20925</v>
          </cell>
          <cell r="F513" t="str">
            <v>A6-S01</v>
          </cell>
          <cell r="G513" t="str">
            <v xml:space="preserve">Drawer front - Mặt hộc kéo </v>
          </cell>
          <cell r="H513" t="str">
            <v>MDF Veneer</v>
          </cell>
          <cell r="I513">
            <v>50</v>
          </cell>
        </row>
        <row r="514">
          <cell r="A514" t="str">
            <v>B557950/A</v>
          </cell>
          <cell r="B514" t="str">
            <v>AT383M888</v>
          </cell>
          <cell r="C514">
            <v>25</v>
          </cell>
          <cell r="D514">
            <v>837</v>
          </cell>
          <cell r="E514">
            <v>20925</v>
          </cell>
          <cell r="F514" t="str">
            <v>A6-S02</v>
          </cell>
          <cell r="G514" t="str">
            <v>Drawer side - Hông hộc kéo</v>
          </cell>
          <cell r="H514" t="str">
            <v>MDF Veneer</v>
          </cell>
          <cell r="I514">
            <v>100</v>
          </cell>
        </row>
        <row r="515">
          <cell r="A515" t="str">
            <v>B557950/A</v>
          </cell>
          <cell r="B515" t="str">
            <v>AT383M888</v>
          </cell>
          <cell r="C515">
            <v>25</v>
          </cell>
          <cell r="D515">
            <v>837</v>
          </cell>
          <cell r="E515">
            <v>20925</v>
          </cell>
          <cell r="F515" t="str">
            <v>A6-S04</v>
          </cell>
          <cell r="G515" t="str">
            <v>Drawer back - Hậu hộc kéo</v>
          </cell>
          <cell r="H515" t="str">
            <v>MDF Veneer</v>
          </cell>
          <cell r="I515">
            <v>50</v>
          </cell>
        </row>
        <row r="516">
          <cell r="A516" t="str">
            <v>B557950/A</v>
          </cell>
          <cell r="B516" t="str">
            <v>AT383M888</v>
          </cell>
          <cell r="C516">
            <v>25</v>
          </cell>
          <cell r="D516">
            <v>837</v>
          </cell>
          <cell r="E516">
            <v>20925</v>
          </cell>
          <cell r="F516" t="str">
            <v>P01</v>
          </cell>
          <cell r="G516" t="str">
            <v>Partition panel - Vách ngăn</v>
          </cell>
          <cell r="H516" t="str">
            <v>MDF Veneer</v>
          </cell>
          <cell r="I516">
            <v>50</v>
          </cell>
        </row>
        <row r="517">
          <cell r="A517" t="str">
            <v>B557950/A</v>
          </cell>
          <cell r="B517" t="str">
            <v>AT383M888</v>
          </cell>
          <cell r="C517">
            <v>25</v>
          </cell>
          <cell r="D517">
            <v>837</v>
          </cell>
          <cell r="E517">
            <v>20925</v>
          </cell>
          <cell r="F517" t="str">
            <v>P01-1</v>
          </cell>
          <cell r="G517" t="str">
            <v>Partition panel - Vách ngăn</v>
          </cell>
          <cell r="H517" t="str">
            <v>MDF Veneer</v>
          </cell>
          <cell r="I517">
            <v>50</v>
          </cell>
        </row>
        <row r="518">
          <cell r="A518" t="str">
            <v>B557950/A</v>
          </cell>
          <cell r="B518" t="str">
            <v>AT383M888</v>
          </cell>
          <cell r="C518">
            <v>25</v>
          </cell>
          <cell r="D518">
            <v>837</v>
          </cell>
          <cell r="E518">
            <v>20925</v>
          </cell>
          <cell r="F518" t="str">
            <v>P02</v>
          </cell>
          <cell r="G518" t="str">
            <v>Shelf panel  - Ván kệ</v>
          </cell>
          <cell r="H518" t="str">
            <v>MDF Veneer</v>
          </cell>
          <cell r="I518">
            <v>50</v>
          </cell>
        </row>
        <row r="519">
          <cell r="A519" t="str">
            <v>B557950/A</v>
          </cell>
          <cell r="B519" t="str">
            <v>AT383M888</v>
          </cell>
          <cell r="C519">
            <v>25</v>
          </cell>
          <cell r="D519">
            <v>837</v>
          </cell>
          <cell r="E519">
            <v>20925</v>
          </cell>
          <cell r="F519" t="str">
            <v>P03</v>
          </cell>
          <cell r="G519" t="str">
            <v>Bottom panel - Ván đáy</v>
          </cell>
          <cell r="H519" t="str">
            <v>MDF Veneer</v>
          </cell>
          <cell r="I519">
            <v>25</v>
          </cell>
        </row>
        <row r="520">
          <cell r="A520" t="str">
            <v>B557950/A</v>
          </cell>
          <cell r="B520" t="str">
            <v>AT383M888</v>
          </cell>
          <cell r="C520">
            <v>25</v>
          </cell>
          <cell r="D520">
            <v>837</v>
          </cell>
          <cell r="E520">
            <v>20925</v>
          </cell>
          <cell r="F520" t="str">
            <v>P04</v>
          </cell>
          <cell r="G520" t="str">
            <v>Back panel - Ván hậu</v>
          </cell>
          <cell r="H520" t="str">
            <v>MDF Veneer</v>
          </cell>
          <cell r="I520">
            <v>25</v>
          </cell>
        </row>
        <row r="521">
          <cell r="A521" t="str">
            <v>B557950/A</v>
          </cell>
          <cell r="B521" t="str">
            <v>AT383M888</v>
          </cell>
          <cell r="C521">
            <v>25</v>
          </cell>
          <cell r="D521">
            <v>837</v>
          </cell>
          <cell r="E521">
            <v>20925</v>
          </cell>
          <cell r="F521" t="str">
            <v>P05</v>
          </cell>
          <cell r="G521" t="str">
            <v>Front rail  - Đố tiền</v>
          </cell>
          <cell r="H521" t="str">
            <v>Wood US Ash - Straight/Waving Edged, 2 COM - T25mm x L1.8m Up</v>
          </cell>
          <cell r="I521">
            <v>50</v>
          </cell>
        </row>
        <row r="522">
          <cell r="A522" t="str">
            <v>B557950/A</v>
          </cell>
          <cell r="B522" t="str">
            <v>AT383M888</v>
          </cell>
          <cell r="C522">
            <v>25</v>
          </cell>
          <cell r="D522">
            <v>837</v>
          </cell>
          <cell r="E522">
            <v>20925</v>
          </cell>
          <cell r="F522" t="str">
            <v>P06</v>
          </cell>
          <cell r="G522" t="str">
            <v>Drawer stop - Dừng hộc</v>
          </cell>
          <cell r="H522" t="str">
            <v>Poplar off cut</v>
          </cell>
          <cell r="I522">
            <v>200</v>
          </cell>
        </row>
        <row r="523">
          <cell r="A523" t="str">
            <v>B557950/A</v>
          </cell>
          <cell r="B523" t="str">
            <v>AT383M888</v>
          </cell>
          <cell r="C523">
            <v>25</v>
          </cell>
          <cell r="D523">
            <v>837</v>
          </cell>
          <cell r="E523">
            <v>20925</v>
          </cell>
          <cell r="F523" t="str">
            <v>P06-A</v>
          </cell>
          <cell r="G523" t="str">
            <v>Drawer stop - Dừng hộc</v>
          </cell>
          <cell r="H523" t="str">
            <v>Poplar off cut</v>
          </cell>
          <cell r="I523">
            <v>50</v>
          </cell>
        </row>
        <row r="524">
          <cell r="A524" t="str">
            <v>B557950/A</v>
          </cell>
          <cell r="B524" t="str">
            <v>AT383M888</v>
          </cell>
          <cell r="C524">
            <v>25</v>
          </cell>
          <cell r="D524">
            <v>837</v>
          </cell>
          <cell r="E524">
            <v>20925</v>
          </cell>
          <cell r="F524" t="str">
            <v>P07</v>
          </cell>
          <cell r="G524" t="str">
            <v>Cleat - Bọ gỗ</v>
          </cell>
          <cell r="H524" t="str">
            <v>Standard Wood - ALDER/ASPEN/LENGA/US POPLAR, 2 COM - T25 W120mm+ L2m+</v>
          </cell>
          <cell r="I524">
            <v>50</v>
          </cell>
        </row>
        <row r="525">
          <cell r="A525" t="str">
            <v>B557950/A</v>
          </cell>
          <cell r="B525" t="str">
            <v>AT383M888</v>
          </cell>
          <cell r="C525">
            <v>25</v>
          </cell>
          <cell r="D525">
            <v>837</v>
          </cell>
          <cell r="E525">
            <v>20925</v>
          </cell>
          <cell r="F525" t="str">
            <v>P08</v>
          </cell>
          <cell r="G525" t="str">
            <v>Partition panel - Vách ngăn</v>
          </cell>
          <cell r="H525" t="str">
            <v>MDF Veneer</v>
          </cell>
          <cell r="I525">
            <v>25</v>
          </cell>
        </row>
        <row r="526">
          <cell r="A526" t="str">
            <v>B557950/A</v>
          </cell>
          <cell r="B526" t="str">
            <v>AT383M888</v>
          </cell>
          <cell r="C526">
            <v>25</v>
          </cell>
          <cell r="D526">
            <v>837</v>
          </cell>
          <cell r="E526">
            <v>20925</v>
          </cell>
          <cell r="F526" t="str">
            <v>P09</v>
          </cell>
          <cell r="G526" t="str">
            <v>the post - trụ</v>
          </cell>
          <cell r="H526" t="str">
            <v>Wood US Ash - Straight/Waving Edged, 2 COM - T38mm x L1.8m Up</v>
          </cell>
          <cell r="I526">
            <v>100</v>
          </cell>
        </row>
        <row r="527">
          <cell r="A527" t="str">
            <v>B557950/A</v>
          </cell>
          <cell r="B527" t="str">
            <v>AT383M888</v>
          </cell>
          <cell r="C527">
            <v>25</v>
          </cell>
          <cell r="D527">
            <v>837</v>
          </cell>
          <cell r="E527">
            <v>20925</v>
          </cell>
          <cell r="F527" t="str">
            <v>P10</v>
          </cell>
          <cell r="G527" t="str">
            <v>The leg  - Chân</v>
          </cell>
          <cell r="H527" t="str">
            <v>wood ash off cut</v>
          </cell>
          <cell r="I527">
            <v>25</v>
          </cell>
        </row>
        <row r="528">
          <cell r="A528" t="str">
            <v>B557950/A</v>
          </cell>
          <cell r="B528" t="str">
            <v>AT383M888</v>
          </cell>
          <cell r="C528">
            <v>25</v>
          </cell>
          <cell r="D528">
            <v>837</v>
          </cell>
          <cell r="E528">
            <v>20925</v>
          </cell>
          <cell r="F528" t="str">
            <v>P11</v>
          </cell>
          <cell r="G528" t="str">
            <v>Bottom panel - Ván đáy</v>
          </cell>
          <cell r="H528" t="str">
            <v>MDF Veneer</v>
          </cell>
          <cell r="I528">
            <v>50</v>
          </cell>
        </row>
        <row r="529">
          <cell r="A529" t="str">
            <v>B557955/A</v>
          </cell>
          <cell r="B529" t="str">
            <v>AT479NM1237</v>
          </cell>
          <cell r="C529">
            <v>50</v>
          </cell>
          <cell r="D529">
            <v>698</v>
          </cell>
          <cell r="E529">
            <v>34900</v>
          </cell>
          <cell r="F529" t="str">
            <v>A1-S0</v>
          </cell>
          <cell r="G529" t="str">
            <v>Front leg  - Chần tiền</v>
          </cell>
          <cell r="H529" t="str">
            <v>Pre-Assembly</v>
          </cell>
          <cell r="I529">
            <v>100</v>
          </cell>
        </row>
        <row r="530">
          <cell r="A530" t="str">
            <v>B557955/A</v>
          </cell>
          <cell r="B530" t="str">
            <v>AT479NM1237</v>
          </cell>
          <cell r="C530">
            <v>50</v>
          </cell>
          <cell r="D530">
            <v>698</v>
          </cell>
          <cell r="E530">
            <v>34900</v>
          </cell>
          <cell r="F530" t="str">
            <v>A1-S01</v>
          </cell>
          <cell r="G530" t="str">
            <v xml:space="preserve">Side panel  - Ván hông </v>
          </cell>
          <cell r="H530" t="str">
            <v>MDF - 15 x 1830 x 2440mm [CARB P2 Compliant]</v>
          </cell>
          <cell r="I530">
            <v>100</v>
          </cell>
        </row>
        <row r="531">
          <cell r="A531" t="str">
            <v>B557955/A</v>
          </cell>
          <cell r="B531" t="str">
            <v>AT479NM1237</v>
          </cell>
          <cell r="C531">
            <v>50</v>
          </cell>
          <cell r="D531">
            <v>698</v>
          </cell>
          <cell r="E531">
            <v>34900</v>
          </cell>
          <cell r="F531" t="str">
            <v>A1-S02</v>
          </cell>
          <cell r="G531" t="str">
            <v>Vertical rail 1 - Đố đứng 1</v>
          </cell>
          <cell r="H531" t="str">
            <v>Wood US Poplar - Straight Edged, 2 COM - T25mm x W100mm Up x L1.8m Up</v>
          </cell>
          <cell r="I531">
            <v>100</v>
          </cell>
        </row>
        <row r="532">
          <cell r="A532" t="str">
            <v>B557955/A</v>
          </cell>
          <cell r="B532" t="str">
            <v>AT479NM1237</v>
          </cell>
          <cell r="C532">
            <v>50</v>
          </cell>
          <cell r="D532">
            <v>698</v>
          </cell>
          <cell r="E532">
            <v>34900</v>
          </cell>
          <cell r="F532" t="str">
            <v>A1-S03</v>
          </cell>
          <cell r="G532" t="str">
            <v>The leg  - Chân</v>
          </cell>
          <cell r="H532" t="str">
            <v>Poplar 1 COM</v>
          </cell>
          <cell r="I532">
            <v>100</v>
          </cell>
        </row>
        <row r="533">
          <cell r="A533" t="str">
            <v>B557955/A</v>
          </cell>
          <cell r="B533" t="str">
            <v>AT479NM1237</v>
          </cell>
          <cell r="C533">
            <v>50</v>
          </cell>
          <cell r="D533">
            <v>698</v>
          </cell>
          <cell r="E533">
            <v>34900</v>
          </cell>
          <cell r="F533" t="str">
            <v>A1-S04</v>
          </cell>
          <cell r="G533" t="str">
            <v>The leg  - Chân</v>
          </cell>
          <cell r="H533" t="str">
            <v>Poplar 1 COM</v>
          </cell>
          <cell r="I533">
            <v>100</v>
          </cell>
        </row>
        <row r="534">
          <cell r="A534" t="str">
            <v>B557955/A</v>
          </cell>
          <cell r="B534" t="str">
            <v>AT479NM1237</v>
          </cell>
          <cell r="C534">
            <v>50</v>
          </cell>
          <cell r="D534">
            <v>698</v>
          </cell>
          <cell r="E534">
            <v>34900</v>
          </cell>
          <cell r="F534" t="str">
            <v>A1-S05</v>
          </cell>
          <cell r="G534" t="str">
            <v xml:space="preserve">Side rail  - Đố hông </v>
          </cell>
          <cell r="H534" t="str">
            <v>Standard Wood - ALDER/ASPEN/LENGA/US POPLAR, 2 COM - T25 W120mm+ L2m+</v>
          </cell>
          <cell r="I534">
            <v>200</v>
          </cell>
        </row>
        <row r="535">
          <cell r="A535" t="str">
            <v>B557955/A</v>
          </cell>
          <cell r="B535" t="str">
            <v>AT479NM1237</v>
          </cell>
          <cell r="C535">
            <v>50</v>
          </cell>
          <cell r="D535">
            <v>698</v>
          </cell>
          <cell r="E535">
            <v>34900</v>
          </cell>
          <cell r="F535" t="str">
            <v>A1-S05A</v>
          </cell>
          <cell r="G535" t="str">
            <v>Patching wood - Gỗ đắp</v>
          </cell>
          <cell r="H535" t="str">
            <v>Standard Wood - ALDER/ASPEN/LENGA/US POPLAR, 2 COM - T25 W120mm+ L2m+</v>
          </cell>
          <cell r="I535">
            <v>100</v>
          </cell>
        </row>
        <row r="536">
          <cell r="A536" t="str">
            <v>B557955/A</v>
          </cell>
          <cell r="B536" t="str">
            <v>AT479NM1237</v>
          </cell>
          <cell r="C536">
            <v>50</v>
          </cell>
          <cell r="D536">
            <v>698</v>
          </cell>
          <cell r="E536">
            <v>34900</v>
          </cell>
          <cell r="F536" t="str">
            <v>A1-S06</v>
          </cell>
          <cell r="G536" t="str">
            <v>side rail 1 - đố hông 1</v>
          </cell>
          <cell r="H536" t="str">
            <v>Standard Wood - ALDER/ASPEN/LENGA/US POPLAR, 2 COM - T25 W120mm+ L2m+</v>
          </cell>
          <cell r="I536">
            <v>100</v>
          </cell>
        </row>
        <row r="537">
          <cell r="A537" t="str">
            <v>B557955/A</v>
          </cell>
          <cell r="B537" t="str">
            <v>AT479NM1237</v>
          </cell>
          <cell r="C537">
            <v>50</v>
          </cell>
          <cell r="D537">
            <v>698</v>
          </cell>
          <cell r="E537">
            <v>34900</v>
          </cell>
          <cell r="F537" t="str">
            <v>A1-S07</v>
          </cell>
          <cell r="G537" t="str">
            <v>Vertical rail 1 - Đố đứng 1</v>
          </cell>
          <cell r="H537" t="str">
            <v>Standard Wood - ALDER/ASPEN/LENGA/US POPLAR, 2 COM - T25 W120mm+ L2m+</v>
          </cell>
          <cell r="I537">
            <v>100</v>
          </cell>
        </row>
        <row r="538">
          <cell r="A538" t="str">
            <v>B557955/A</v>
          </cell>
          <cell r="B538" t="str">
            <v>AT479NM1237</v>
          </cell>
          <cell r="C538">
            <v>50</v>
          </cell>
          <cell r="D538">
            <v>698</v>
          </cell>
          <cell r="E538">
            <v>34900</v>
          </cell>
          <cell r="F538" t="str">
            <v>A2-S01</v>
          </cell>
          <cell r="G538" t="str">
            <v>back rail - Đố hậu</v>
          </cell>
          <cell r="H538" t="str">
            <v>Standard Wood - ALDER/ASPEN/LENGA/US POPLAR, 2 COM - T25 W120mm+ L2m+</v>
          </cell>
          <cell r="I538">
            <v>50</v>
          </cell>
        </row>
        <row r="539">
          <cell r="A539" t="str">
            <v>B557955/A</v>
          </cell>
          <cell r="B539" t="str">
            <v>AT479NM1237</v>
          </cell>
          <cell r="C539">
            <v>50</v>
          </cell>
          <cell r="D539">
            <v>698</v>
          </cell>
          <cell r="E539">
            <v>34900</v>
          </cell>
          <cell r="F539" t="str">
            <v>A2-S02</v>
          </cell>
          <cell r="G539" t="str">
            <v>Front rail  - Đố tiền</v>
          </cell>
          <cell r="H539" t="str">
            <v>Wood US Poplar - Straight Edged, 2 COM - T25mm x W100mm Up x L1.8m Up</v>
          </cell>
          <cell r="I539">
            <v>50</v>
          </cell>
        </row>
        <row r="540">
          <cell r="A540" t="str">
            <v>B557955/A</v>
          </cell>
          <cell r="B540" t="str">
            <v>AT479NM1237</v>
          </cell>
          <cell r="C540">
            <v>50</v>
          </cell>
          <cell r="D540">
            <v>698</v>
          </cell>
          <cell r="E540">
            <v>34900</v>
          </cell>
          <cell r="F540" t="str">
            <v>A2-S03</v>
          </cell>
          <cell r="G540" t="str">
            <v xml:space="preserve">Side rail  - Đố hông </v>
          </cell>
          <cell r="H540" t="str">
            <v>Standard Wood - ALDER/ASPEN/LENGA/US POPLAR, 2 COM - T25 W120mm+ L2m+</v>
          </cell>
          <cell r="I540">
            <v>100</v>
          </cell>
        </row>
        <row r="541">
          <cell r="A541" t="str">
            <v>B557955/A</v>
          </cell>
          <cell r="B541" t="str">
            <v>AT479NM1237</v>
          </cell>
          <cell r="C541">
            <v>50</v>
          </cell>
          <cell r="D541">
            <v>698</v>
          </cell>
          <cell r="E541">
            <v>34900</v>
          </cell>
          <cell r="F541" t="str">
            <v>A2-S04</v>
          </cell>
          <cell r="G541" t="str">
            <v>Center rail - Đố giữa</v>
          </cell>
          <cell r="H541" t="str">
            <v>Wood US Poplar - Straight Edged, 2 COM - T32mm x W100mm Up x L1.8m Up</v>
          </cell>
          <cell r="I541">
            <v>50</v>
          </cell>
        </row>
        <row r="542">
          <cell r="A542" t="str">
            <v>B557955/A</v>
          </cell>
          <cell r="B542" t="str">
            <v>AT479NM1237</v>
          </cell>
          <cell r="C542">
            <v>50</v>
          </cell>
          <cell r="D542">
            <v>698</v>
          </cell>
          <cell r="E542">
            <v>34900</v>
          </cell>
          <cell r="F542" t="str">
            <v>A2-S05</v>
          </cell>
          <cell r="G542" t="str">
            <v>Dust board Panel  - Ván quét bụi</v>
          </cell>
          <cell r="H542" t="str">
            <v>MDF - 06 x 1830 x 2440mm [CARB P2 Compliant]</v>
          </cell>
          <cell r="I542">
            <v>50</v>
          </cell>
        </row>
        <row r="543">
          <cell r="A543" t="str">
            <v>B557955/A</v>
          </cell>
          <cell r="B543" t="str">
            <v>AT479NM1237</v>
          </cell>
          <cell r="C543">
            <v>50</v>
          </cell>
          <cell r="D543">
            <v>698</v>
          </cell>
          <cell r="E543">
            <v>34900</v>
          </cell>
          <cell r="F543" t="str">
            <v>A3-S01</v>
          </cell>
          <cell r="G543" t="str">
            <v xml:space="preserve">Drawer front - Mặt hộc kéo </v>
          </cell>
          <cell r="H543" t="str">
            <v>MDF - 15 x 1830 x 2440mm [CARB P2 Compliant]</v>
          </cell>
          <cell r="I543">
            <v>450</v>
          </cell>
        </row>
        <row r="544">
          <cell r="A544" t="str">
            <v>B557955/A</v>
          </cell>
          <cell r="B544" t="str">
            <v>AT479NM1237</v>
          </cell>
          <cell r="C544">
            <v>50</v>
          </cell>
          <cell r="D544">
            <v>698</v>
          </cell>
          <cell r="E544">
            <v>34900</v>
          </cell>
          <cell r="F544" t="str">
            <v>A3-S02</v>
          </cell>
          <cell r="G544" t="str">
            <v>Drawer side - Hông hộc kéo</v>
          </cell>
          <cell r="H544" t="str">
            <v>MDF Moisture-Resistant - 12 x 1220 x 2440mm [CARB P2 Compliant]</v>
          </cell>
          <cell r="I544">
            <v>900</v>
          </cell>
        </row>
        <row r="545">
          <cell r="A545" t="str">
            <v>B557955/A</v>
          </cell>
          <cell r="B545" t="str">
            <v>AT479NM1237</v>
          </cell>
          <cell r="C545">
            <v>50</v>
          </cell>
          <cell r="D545">
            <v>698</v>
          </cell>
          <cell r="E545">
            <v>34900</v>
          </cell>
          <cell r="F545" t="str">
            <v>A3-S03</v>
          </cell>
          <cell r="G545" t="str">
            <v>Drawer back - Hậu hộc kéo</v>
          </cell>
          <cell r="H545" t="str">
            <v>MDF - 12 x 1830 x 2440mm [CARB P2 Compliant]</v>
          </cell>
          <cell r="I545">
            <v>450</v>
          </cell>
        </row>
        <row r="546">
          <cell r="A546" t="str">
            <v>B557955/A</v>
          </cell>
          <cell r="B546" t="str">
            <v>AT479NM1237</v>
          </cell>
          <cell r="C546">
            <v>50</v>
          </cell>
          <cell r="D546">
            <v>698</v>
          </cell>
          <cell r="E546">
            <v>34900</v>
          </cell>
          <cell r="F546" t="str">
            <v>A3-S04</v>
          </cell>
          <cell r="G546" t="str">
            <v>Drawer bottom  - Đáy hộc kéo</v>
          </cell>
          <cell r="H546" t="str">
            <v>MDF - 06 x 1830 x 2440mm [CARB P2 Compliant]</v>
          </cell>
          <cell r="I546">
            <v>450</v>
          </cell>
        </row>
        <row r="547">
          <cell r="A547" t="str">
            <v>B557955/A</v>
          </cell>
          <cell r="B547" t="str">
            <v>AT479NM1237</v>
          </cell>
          <cell r="C547">
            <v>50</v>
          </cell>
          <cell r="D547">
            <v>698</v>
          </cell>
          <cell r="E547">
            <v>34900</v>
          </cell>
          <cell r="F547" t="str">
            <v>A3-S06</v>
          </cell>
          <cell r="G547" t="str">
            <v xml:space="preserve">Drawer front 1 - Mặt hộc kéo </v>
          </cell>
          <cell r="H547" t="str">
            <v>MDF - 12 x 1830 x 2440mm [CARB P2 Compliant]</v>
          </cell>
          <cell r="I547">
            <v>300</v>
          </cell>
        </row>
        <row r="548">
          <cell r="A548" t="str">
            <v>B557955/A</v>
          </cell>
          <cell r="B548" t="str">
            <v>AT479NM1237</v>
          </cell>
          <cell r="C548">
            <v>50</v>
          </cell>
          <cell r="D548">
            <v>698</v>
          </cell>
          <cell r="E548">
            <v>34900</v>
          </cell>
          <cell r="F548" t="str">
            <v>A4-S06</v>
          </cell>
          <cell r="G548" t="str">
            <v xml:space="preserve">Drawer front 1 - Mặt hộc kéo </v>
          </cell>
          <cell r="H548" t="str">
            <v>MDF - 12 x 1830 x 2440mm [CARB P2 Compliant]</v>
          </cell>
          <cell r="I548">
            <v>150</v>
          </cell>
        </row>
        <row r="549">
          <cell r="A549" t="str">
            <v>B557955/A</v>
          </cell>
          <cell r="B549" t="str">
            <v>AT479NM1237</v>
          </cell>
          <cell r="C549">
            <v>50</v>
          </cell>
          <cell r="D549">
            <v>698</v>
          </cell>
          <cell r="E549">
            <v>34900</v>
          </cell>
          <cell r="F549" t="str">
            <v>P01</v>
          </cell>
          <cell r="G549" t="str">
            <v xml:space="preserve">Top panel  - Ván nóc </v>
          </cell>
          <cell r="H549" t="str">
            <v>MDF - 15 x 1830 x 2440mm [CARB P2 Compliant]</v>
          </cell>
          <cell r="I549">
            <v>50</v>
          </cell>
        </row>
        <row r="550">
          <cell r="A550" t="str">
            <v>B557955/A</v>
          </cell>
          <cell r="B550" t="str">
            <v>AT479NM1237</v>
          </cell>
          <cell r="C550">
            <v>50</v>
          </cell>
          <cell r="D550">
            <v>698</v>
          </cell>
          <cell r="E550">
            <v>34900</v>
          </cell>
          <cell r="F550" t="str">
            <v>P02</v>
          </cell>
          <cell r="G550" t="str">
            <v>Front top rail  - Đố tiền nóc</v>
          </cell>
          <cell r="H550" t="str">
            <v>MDF - 15 x 1830 x 2440mm [CARB P2 Compliant]</v>
          </cell>
          <cell r="I550">
            <v>50</v>
          </cell>
        </row>
        <row r="551">
          <cell r="A551" t="str">
            <v>B557955/A</v>
          </cell>
          <cell r="B551" t="str">
            <v>AT479NM1237</v>
          </cell>
          <cell r="C551">
            <v>50</v>
          </cell>
          <cell r="D551">
            <v>698</v>
          </cell>
          <cell r="E551">
            <v>34900</v>
          </cell>
          <cell r="F551" t="str">
            <v>P03</v>
          </cell>
          <cell r="G551" t="str">
            <v>Front rail  - Đố tiền</v>
          </cell>
          <cell r="H551" t="str">
            <v>Wood EU Beech - Straight/Waving Edged ABC, 2 COM - T26mm x W100mm up x L1.8m up</v>
          </cell>
          <cell r="I551">
            <v>50</v>
          </cell>
        </row>
        <row r="552">
          <cell r="A552" t="str">
            <v>B557955/A</v>
          </cell>
          <cell r="B552" t="str">
            <v>AT479NM1237</v>
          </cell>
          <cell r="C552">
            <v>50</v>
          </cell>
          <cell r="D552">
            <v>698</v>
          </cell>
          <cell r="E552">
            <v>34900</v>
          </cell>
          <cell r="F552" t="str">
            <v>P04</v>
          </cell>
          <cell r="G552" t="str">
            <v>back rail - Đố hậu</v>
          </cell>
          <cell r="H552" t="str">
            <v>Wood EU Beech - Straight/Waving Edged ABC, 2 COM - T26mm x W100mm up x L1.8m up</v>
          </cell>
          <cell r="I552">
            <v>50</v>
          </cell>
        </row>
        <row r="553">
          <cell r="A553" t="str">
            <v>B557955/A</v>
          </cell>
          <cell r="B553" t="str">
            <v>AT479NM1237</v>
          </cell>
          <cell r="C553">
            <v>50</v>
          </cell>
          <cell r="D553">
            <v>698</v>
          </cell>
          <cell r="E553">
            <v>34900</v>
          </cell>
          <cell r="F553" t="str">
            <v>P05</v>
          </cell>
          <cell r="G553" t="str">
            <v>Partition panel - Vách ngăn</v>
          </cell>
          <cell r="H553" t="str">
            <v>MDF - 15 x 1830 x 2440mm [CARB P2 Compliant]</v>
          </cell>
          <cell r="I553">
            <v>100</v>
          </cell>
        </row>
        <row r="554">
          <cell r="A554" t="str">
            <v>B557955/A</v>
          </cell>
          <cell r="B554" t="str">
            <v>AT479NM1237</v>
          </cell>
          <cell r="C554">
            <v>50</v>
          </cell>
          <cell r="D554">
            <v>698</v>
          </cell>
          <cell r="E554">
            <v>34900</v>
          </cell>
          <cell r="F554" t="str">
            <v>P06</v>
          </cell>
          <cell r="G554" t="str">
            <v>Back panel - Ván hậu</v>
          </cell>
          <cell r="H554" t="str">
            <v>MDF - 12 x 1830 x 2440mm [CARB P2 Compliant]</v>
          </cell>
          <cell r="I554">
            <v>50</v>
          </cell>
        </row>
        <row r="555">
          <cell r="A555" t="str">
            <v>B557955/A</v>
          </cell>
          <cell r="B555" t="str">
            <v>AT479NM1237</v>
          </cell>
          <cell r="C555">
            <v>50</v>
          </cell>
          <cell r="D555">
            <v>698</v>
          </cell>
          <cell r="E555">
            <v>34900</v>
          </cell>
          <cell r="F555" t="str">
            <v>P07</v>
          </cell>
          <cell r="G555" t="str">
            <v>Spline - Lưỡi gà</v>
          </cell>
          <cell r="H555" t="str">
            <v>Plywood LVD - 06 x 1220 x 2440mm, Bleached Poplar Veneer Both Sides [CARB P2 Compliant]</v>
          </cell>
          <cell r="I555">
            <v>100</v>
          </cell>
        </row>
        <row r="556">
          <cell r="A556" t="str">
            <v>B557955/A</v>
          </cell>
          <cell r="B556" t="str">
            <v>AT479NM1237</v>
          </cell>
          <cell r="C556">
            <v>50</v>
          </cell>
          <cell r="D556">
            <v>698</v>
          </cell>
          <cell r="E556">
            <v>34900</v>
          </cell>
          <cell r="F556" t="str">
            <v>P08</v>
          </cell>
          <cell r="G556" t="str">
            <v>Spline - Lưỡi gà</v>
          </cell>
          <cell r="H556" t="str">
            <v>Plywood LVD - 06 x 1220 x 2440mm, Bleached Poplar Veneer Both Sides [CARB P2 Compliant]</v>
          </cell>
          <cell r="I556">
            <v>100</v>
          </cell>
        </row>
        <row r="557">
          <cell r="A557" t="str">
            <v>B557955/A</v>
          </cell>
          <cell r="B557" t="str">
            <v>AT479NM1237</v>
          </cell>
          <cell r="C557">
            <v>50</v>
          </cell>
          <cell r="D557">
            <v>698</v>
          </cell>
          <cell r="E557">
            <v>34900</v>
          </cell>
          <cell r="F557" t="str">
            <v>P08-1</v>
          </cell>
          <cell r="G557" t="str">
            <v>Spline - Lưỡi gà</v>
          </cell>
          <cell r="H557" t="str">
            <v>Plywood LVD - 06 x 1220 x 2440mm, Bleached Poplar Veneer Both Sides [CARB P2 Compliant]</v>
          </cell>
          <cell r="I557">
            <v>100</v>
          </cell>
        </row>
        <row r="558">
          <cell r="A558" t="str">
            <v>B557955/A</v>
          </cell>
          <cell r="B558" t="str">
            <v>AT479NM1237</v>
          </cell>
          <cell r="C558">
            <v>50</v>
          </cell>
          <cell r="D558">
            <v>698</v>
          </cell>
          <cell r="E558">
            <v>34900</v>
          </cell>
          <cell r="F558" t="str">
            <v>P09</v>
          </cell>
          <cell r="G558" t="str">
            <v>Spline - Lưỡi gà</v>
          </cell>
          <cell r="H558" t="str">
            <v>Plywood LVD - 06 x 1220 x 2440mm, Bleached Poplar Veneer Both Sides [CARB P2 Compliant]</v>
          </cell>
          <cell r="I558">
            <v>50</v>
          </cell>
        </row>
        <row r="559">
          <cell r="A559" t="str">
            <v>B557955/A</v>
          </cell>
          <cell r="B559" t="str">
            <v>AT479NM1237</v>
          </cell>
          <cell r="C559">
            <v>50</v>
          </cell>
          <cell r="D559">
            <v>698</v>
          </cell>
          <cell r="E559">
            <v>34900</v>
          </cell>
          <cell r="F559" t="str">
            <v>P10</v>
          </cell>
          <cell r="G559" t="str">
            <v>the post - trụ</v>
          </cell>
          <cell r="H559" t="str">
            <v>Wood US Poplar - Straight Edged, 1 COM - T38mm x W100mm Up x L1.8m Up</v>
          </cell>
          <cell r="I559">
            <v>50</v>
          </cell>
        </row>
        <row r="560">
          <cell r="A560" t="str">
            <v>B557955/A</v>
          </cell>
          <cell r="B560" t="str">
            <v>AT479NM1237</v>
          </cell>
          <cell r="C560">
            <v>50</v>
          </cell>
          <cell r="D560">
            <v>698</v>
          </cell>
          <cell r="E560">
            <v>34900</v>
          </cell>
          <cell r="F560" t="str">
            <v>P11</v>
          </cell>
          <cell r="G560" t="str">
            <v>Drawer stop - Dừng hộc</v>
          </cell>
          <cell r="H560" t="str">
            <v>Poplar off cut</v>
          </cell>
          <cell r="I560">
            <v>900</v>
          </cell>
        </row>
        <row r="561">
          <cell r="A561" t="str">
            <v>B557955/A</v>
          </cell>
          <cell r="B561" t="str">
            <v>AT479NM1237</v>
          </cell>
          <cell r="C561">
            <v>50</v>
          </cell>
          <cell r="D561">
            <v>698</v>
          </cell>
          <cell r="E561">
            <v>34900</v>
          </cell>
          <cell r="F561" t="str">
            <v>P12</v>
          </cell>
          <cell r="G561" t="str">
            <v>Corner block - ke góc</v>
          </cell>
          <cell r="H561" t="str">
            <v>Beech off cut</v>
          </cell>
          <cell r="I561">
            <v>100</v>
          </cell>
        </row>
        <row r="562">
          <cell r="A562" t="str">
            <v>B557955/A</v>
          </cell>
          <cell r="B562" t="str">
            <v>AT479NM1237</v>
          </cell>
          <cell r="C562">
            <v>50</v>
          </cell>
          <cell r="D562">
            <v>698</v>
          </cell>
          <cell r="E562">
            <v>34900</v>
          </cell>
          <cell r="F562" t="str">
            <v>P13</v>
          </cell>
          <cell r="G562" t="str">
            <v>Corner block - ke góc</v>
          </cell>
          <cell r="H562" t="str">
            <v>Beech off cut</v>
          </cell>
          <cell r="I562">
            <v>100</v>
          </cell>
        </row>
        <row r="563">
          <cell r="A563" t="str">
            <v>B557955/A</v>
          </cell>
          <cell r="B563" t="str">
            <v>AT479NM1237</v>
          </cell>
          <cell r="C563">
            <v>50</v>
          </cell>
          <cell r="D563">
            <v>698</v>
          </cell>
          <cell r="E563">
            <v>34900</v>
          </cell>
          <cell r="F563" t="str">
            <v>P14</v>
          </cell>
          <cell r="G563" t="str">
            <v>Corner block - ke góc</v>
          </cell>
          <cell r="H563" t="str">
            <v>Beech off cut</v>
          </cell>
          <cell r="I563">
            <v>100</v>
          </cell>
        </row>
        <row r="564">
          <cell r="A564" t="str">
            <v>B557956/A</v>
          </cell>
          <cell r="B564" t="str">
            <v>AT479NM1237</v>
          </cell>
          <cell r="C564">
            <v>4</v>
          </cell>
          <cell r="D564">
            <v>698</v>
          </cell>
          <cell r="E564">
            <v>2792</v>
          </cell>
          <cell r="F564" t="str">
            <v>A1-S0</v>
          </cell>
          <cell r="G564" t="str">
            <v>Front leg  - Chần tiền</v>
          </cell>
          <cell r="H564" t="str">
            <v>Pre-Assembly</v>
          </cell>
          <cell r="I564">
            <v>8</v>
          </cell>
        </row>
        <row r="565">
          <cell r="A565" t="str">
            <v>B557956/A</v>
          </cell>
          <cell r="B565" t="str">
            <v>AT479NM1237</v>
          </cell>
          <cell r="C565">
            <v>4</v>
          </cell>
          <cell r="D565">
            <v>698</v>
          </cell>
          <cell r="E565">
            <v>2792</v>
          </cell>
          <cell r="F565" t="str">
            <v>A1-S01</v>
          </cell>
          <cell r="G565" t="str">
            <v xml:space="preserve">Side panel  - Ván hông </v>
          </cell>
          <cell r="H565" t="str">
            <v>MDF - 15 x 1830 x 2440mm [CARB P2 Compliant]</v>
          </cell>
          <cell r="I565">
            <v>8</v>
          </cell>
        </row>
        <row r="566">
          <cell r="A566" t="str">
            <v>B557956/A</v>
          </cell>
          <cell r="B566" t="str">
            <v>AT479NM1237</v>
          </cell>
          <cell r="C566">
            <v>4</v>
          </cell>
          <cell r="D566">
            <v>698</v>
          </cell>
          <cell r="E566">
            <v>2792</v>
          </cell>
          <cell r="F566" t="str">
            <v>A1-S02</v>
          </cell>
          <cell r="G566" t="str">
            <v>Vertical rail 1 - Đố đứng 1</v>
          </cell>
          <cell r="H566" t="str">
            <v>Wood US Poplar - Straight Edged, 2 COM - T25mm x W100mm Up x L1.8m Up</v>
          </cell>
          <cell r="I566">
            <v>8</v>
          </cell>
        </row>
        <row r="567">
          <cell r="A567" t="str">
            <v>B557956/A</v>
          </cell>
          <cell r="B567" t="str">
            <v>AT479NM1237</v>
          </cell>
          <cell r="C567">
            <v>4</v>
          </cell>
          <cell r="D567">
            <v>698</v>
          </cell>
          <cell r="E567">
            <v>2792</v>
          </cell>
          <cell r="F567" t="str">
            <v>A1-S03</v>
          </cell>
          <cell r="G567" t="str">
            <v>The leg  - Chân</v>
          </cell>
          <cell r="H567" t="str">
            <v>Poplar 1 COM</v>
          </cell>
          <cell r="I567">
            <v>8</v>
          </cell>
        </row>
        <row r="568">
          <cell r="A568" t="str">
            <v>B557956/A</v>
          </cell>
          <cell r="B568" t="str">
            <v>AT479NM1237</v>
          </cell>
          <cell r="C568">
            <v>4</v>
          </cell>
          <cell r="D568">
            <v>698</v>
          </cell>
          <cell r="E568">
            <v>2792</v>
          </cell>
          <cell r="F568" t="str">
            <v>A1-S04</v>
          </cell>
          <cell r="G568" t="str">
            <v>The leg  - Chân</v>
          </cell>
          <cell r="H568" t="str">
            <v>Poplar 1 COM</v>
          </cell>
          <cell r="I568">
            <v>8</v>
          </cell>
        </row>
        <row r="569">
          <cell r="A569" t="str">
            <v>B557956/A</v>
          </cell>
          <cell r="B569" t="str">
            <v>AT479NM1237</v>
          </cell>
          <cell r="C569">
            <v>4</v>
          </cell>
          <cell r="D569">
            <v>698</v>
          </cell>
          <cell r="E569">
            <v>2792</v>
          </cell>
          <cell r="F569" t="str">
            <v>A1-S05</v>
          </cell>
          <cell r="G569" t="str">
            <v xml:space="preserve">Side rail  - Đố hông </v>
          </cell>
          <cell r="H569" t="str">
            <v>Standard Wood - ALDER/ASPEN/LENGA/US POPLAR, 2 COM - T25 W120mm+ L2m+</v>
          </cell>
          <cell r="I569">
            <v>16</v>
          </cell>
        </row>
        <row r="570">
          <cell r="A570" t="str">
            <v>B557956/A</v>
          </cell>
          <cell r="B570" t="str">
            <v>AT479NM1237</v>
          </cell>
          <cell r="C570">
            <v>4</v>
          </cell>
          <cell r="D570">
            <v>698</v>
          </cell>
          <cell r="E570">
            <v>2792</v>
          </cell>
          <cell r="F570" t="str">
            <v>A1-S05A</v>
          </cell>
          <cell r="G570" t="str">
            <v>Patching wood - Gỗ đắp</v>
          </cell>
          <cell r="H570" t="str">
            <v>Standard Wood - ALDER/ASPEN/LENGA/US POPLAR, 2 COM - T25 W120mm+ L2m+</v>
          </cell>
          <cell r="I570">
            <v>8</v>
          </cell>
        </row>
        <row r="571">
          <cell r="A571" t="str">
            <v>B557956/A</v>
          </cell>
          <cell r="B571" t="str">
            <v>AT479NM1237</v>
          </cell>
          <cell r="C571">
            <v>4</v>
          </cell>
          <cell r="D571">
            <v>698</v>
          </cell>
          <cell r="E571">
            <v>2792</v>
          </cell>
          <cell r="F571" t="str">
            <v>A1-S06</v>
          </cell>
          <cell r="G571" t="str">
            <v>side rail 1 - đố hông 1</v>
          </cell>
          <cell r="H571" t="str">
            <v>Standard Wood - ALDER/ASPEN/LENGA/US POPLAR, 2 COM - T25 W120mm+ L2m+</v>
          </cell>
          <cell r="I571">
            <v>8</v>
          </cell>
        </row>
        <row r="572">
          <cell r="A572" t="str">
            <v>B557956/A</v>
          </cell>
          <cell r="B572" t="str">
            <v>AT479NM1237</v>
          </cell>
          <cell r="C572">
            <v>4</v>
          </cell>
          <cell r="D572">
            <v>698</v>
          </cell>
          <cell r="E572">
            <v>2792</v>
          </cell>
          <cell r="F572" t="str">
            <v>A1-S07</v>
          </cell>
          <cell r="G572" t="str">
            <v>Vertical rail 1 - Đố đứng 1</v>
          </cell>
          <cell r="H572" t="str">
            <v>Standard Wood - ALDER/ASPEN/LENGA/US POPLAR, 2 COM - T25 W120mm+ L2m+</v>
          </cell>
          <cell r="I572">
            <v>8</v>
          </cell>
        </row>
        <row r="573">
          <cell r="A573" t="str">
            <v>B557956/A</v>
          </cell>
          <cell r="B573" t="str">
            <v>AT479NM1237</v>
          </cell>
          <cell r="C573">
            <v>4</v>
          </cell>
          <cell r="D573">
            <v>698</v>
          </cell>
          <cell r="E573">
            <v>2792</v>
          </cell>
          <cell r="F573" t="str">
            <v>A2-S01</v>
          </cell>
          <cell r="G573" t="str">
            <v>back rail - Đố hậu</v>
          </cell>
          <cell r="H573" t="str">
            <v>Standard Wood - ALDER/ASPEN/LENGA/US POPLAR, 2 COM - T25 W120mm+ L2m+</v>
          </cell>
          <cell r="I573">
            <v>4</v>
          </cell>
        </row>
        <row r="574">
          <cell r="A574" t="str">
            <v>B557956/A</v>
          </cell>
          <cell r="B574" t="str">
            <v>AT479NM1237</v>
          </cell>
          <cell r="C574">
            <v>4</v>
          </cell>
          <cell r="D574">
            <v>698</v>
          </cell>
          <cell r="E574">
            <v>2792</v>
          </cell>
          <cell r="F574" t="str">
            <v>A2-S02</v>
          </cell>
          <cell r="G574" t="str">
            <v>Front rail  - Đố tiền</v>
          </cell>
          <cell r="H574" t="str">
            <v>Wood US Poplar - Straight Edged, 2 COM - T25mm x W100mm Up x L1.8m Up</v>
          </cell>
          <cell r="I574">
            <v>4</v>
          </cell>
        </row>
        <row r="575">
          <cell r="A575" t="str">
            <v>B557956/A</v>
          </cell>
          <cell r="B575" t="str">
            <v>AT479NM1237</v>
          </cell>
          <cell r="C575">
            <v>4</v>
          </cell>
          <cell r="D575">
            <v>698</v>
          </cell>
          <cell r="E575">
            <v>2792</v>
          </cell>
          <cell r="F575" t="str">
            <v>A2-S03</v>
          </cell>
          <cell r="G575" t="str">
            <v xml:space="preserve">Side rail  - Đố hông </v>
          </cell>
          <cell r="H575" t="str">
            <v>Standard Wood - ALDER/ASPEN/LENGA/US POPLAR, 2 COM - T25 W120mm+ L2m+</v>
          </cell>
          <cell r="I575">
            <v>8</v>
          </cell>
        </row>
        <row r="576">
          <cell r="A576" t="str">
            <v>B557956/A</v>
          </cell>
          <cell r="B576" t="str">
            <v>AT479NM1237</v>
          </cell>
          <cell r="C576">
            <v>4</v>
          </cell>
          <cell r="D576">
            <v>698</v>
          </cell>
          <cell r="E576">
            <v>2792</v>
          </cell>
          <cell r="F576" t="str">
            <v>A2-S04</v>
          </cell>
          <cell r="G576" t="str">
            <v>Center rail - Đố giữa</v>
          </cell>
          <cell r="H576" t="str">
            <v>Wood US Poplar - Straight Edged, 2 COM - T32mm x W100mm Up x L1.8m Up</v>
          </cell>
          <cell r="I576">
            <v>4</v>
          </cell>
        </row>
        <row r="577">
          <cell r="A577" t="str">
            <v>B557956/A</v>
          </cell>
          <cell r="B577" t="str">
            <v>AT479NM1237</v>
          </cell>
          <cell r="C577">
            <v>4</v>
          </cell>
          <cell r="D577">
            <v>698</v>
          </cell>
          <cell r="E577">
            <v>2792</v>
          </cell>
          <cell r="F577" t="str">
            <v>A2-S05</v>
          </cell>
          <cell r="G577" t="str">
            <v>Dust board Panel  - Ván quét bụi</v>
          </cell>
          <cell r="H577" t="str">
            <v>MDF - 06 x 1830 x 2440mm [CARB P2 Compliant]</v>
          </cell>
          <cell r="I577">
            <v>4</v>
          </cell>
        </row>
        <row r="578">
          <cell r="A578" t="str">
            <v>B557956/A</v>
          </cell>
          <cell r="B578" t="str">
            <v>AT479NM1237</v>
          </cell>
          <cell r="C578">
            <v>4</v>
          </cell>
          <cell r="D578">
            <v>698</v>
          </cell>
          <cell r="E578">
            <v>2792</v>
          </cell>
          <cell r="F578" t="str">
            <v>A3-S01</v>
          </cell>
          <cell r="G578" t="str">
            <v xml:space="preserve">Drawer front - Mặt hộc kéo </v>
          </cell>
          <cell r="H578" t="str">
            <v>MDF - 15 x 1830 x 2440mm [CARB P2 Compliant]</v>
          </cell>
          <cell r="I578">
            <v>36</v>
          </cell>
        </row>
        <row r="579">
          <cell r="A579" t="str">
            <v>B557956/A</v>
          </cell>
          <cell r="B579" t="str">
            <v>AT479NM1237</v>
          </cell>
          <cell r="C579">
            <v>4</v>
          </cell>
          <cell r="D579">
            <v>698</v>
          </cell>
          <cell r="E579">
            <v>2792</v>
          </cell>
          <cell r="F579" t="str">
            <v>A3-S02</v>
          </cell>
          <cell r="G579" t="str">
            <v>Drawer side - Hông hộc kéo</v>
          </cell>
          <cell r="H579" t="str">
            <v>MDF Moisture-Resistant - 12 x 1220 x 2440mm [CARB P2 Compliant]</v>
          </cell>
          <cell r="I579">
            <v>72</v>
          </cell>
        </row>
        <row r="580">
          <cell r="A580" t="str">
            <v>B557956/A</v>
          </cell>
          <cell r="B580" t="str">
            <v>AT479NM1237</v>
          </cell>
          <cell r="C580">
            <v>4</v>
          </cell>
          <cell r="D580">
            <v>698</v>
          </cell>
          <cell r="E580">
            <v>2792</v>
          </cell>
          <cell r="F580" t="str">
            <v>A3-S03</v>
          </cell>
          <cell r="G580" t="str">
            <v>Drawer back - Hậu hộc kéo</v>
          </cell>
          <cell r="H580" t="str">
            <v>MDF - 12 x 1830 x 2440mm [CARB P2 Compliant]</v>
          </cell>
          <cell r="I580">
            <v>36</v>
          </cell>
        </row>
        <row r="581">
          <cell r="A581" t="str">
            <v>B557956/A</v>
          </cell>
          <cell r="B581" t="str">
            <v>AT479NM1237</v>
          </cell>
          <cell r="C581">
            <v>4</v>
          </cell>
          <cell r="D581">
            <v>698</v>
          </cell>
          <cell r="E581">
            <v>2792</v>
          </cell>
          <cell r="F581" t="str">
            <v>A3-S04</v>
          </cell>
          <cell r="G581" t="str">
            <v>Drawer bottom  - Đáy hộc kéo</v>
          </cell>
          <cell r="H581" t="str">
            <v>MDF - 06 x 1830 x 2440mm [CARB P2 Compliant]</v>
          </cell>
          <cell r="I581">
            <v>36</v>
          </cell>
        </row>
        <row r="582">
          <cell r="A582" t="str">
            <v>B557956/A</v>
          </cell>
          <cell r="B582" t="str">
            <v>AT479NM1237</v>
          </cell>
          <cell r="C582">
            <v>4</v>
          </cell>
          <cell r="D582">
            <v>698</v>
          </cell>
          <cell r="E582">
            <v>2792</v>
          </cell>
          <cell r="F582" t="str">
            <v>A3-S06</v>
          </cell>
          <cell r="G582" t="str">
            <v xml:space="preserve">Drawer front 1 - Mặt hộc kéo </v>
          </cell>
          <cell r="H582" t="str">
            <v>MDF - 12 x 1830 x 2440mm [CARB P2 Compliant]</v>
          </cell>
          <cell r="I582">
            <v>24</v>
          </cell>
        </row>
        <row r="583">
          <cell r="A583" t="str">
            <v>B557956/A</v>
          </cell>
          <cell r="B583" t="str">
            <v>AT479NM1237</v>
          </cell>
          <cell r="C583">
            <v>4</v>
          </cell>
          <cell r="D583">
            <v>698</v>
          </cell>
          <cell r="E583">
            <v>2792</v>
          </cell>
          <cell r="F583" t="str">
            <v>A4-S06</v>
          </cell>
          <cell r="G583" t="str">
            <v xml:space="preserve">Drawer front 1 - Mặt hộc kéo </v>
          </cell>
          <cell r="H583" t="str">
            <v>MDF - 12 x 1830 x 2440mm [CARB P2 Compliant]</v>
          </cell>
          <cell r="I583">
            <v>12</v>
          </cell>
        </row>
        <row r="584">
          <cell r="A584" t="str">
            <v>B557956/A</v>
          </cell>
          <cell r="B584" t="str">
            <v>AT479NM1237</v>
          </cell>
          <cell r="C584">
            <v>4</v>
          </cell>
          <cell r="D584">
            <v>698</v>
          </cell>
          <cell r="E584">
            <v>2792</v>
          </cell>
          <cell r="F584" t="str">
            <v>P01</v>
          </cell>
          <cell r="G584" t="str">
            <v xml:space="preserve">Top panel  - Ván nóc </v>
          </cell>
          <cell r="H584" t="str">
            <v>MDF - 15 x 1830 x 2440mm [CARB P2 Compliant]</v>
          </cell>
          <cell r="I584">
            <v>4</v>
          </cell>
        </row>
        <row r="585">
          <cell r="A585" t="str">
            <v>B557956/A</v>
          </cell>
          <cell r="B585" t="str">
            <v>AT479NM1237</v>
          </cell>
          <cell r="C585">
            <v>4</v>
          </cell>
          <cell r="D585">
            <v>698</v>
          </cell>
          <cell r="E585">
            <v>2792</v>
          </cell>
          <cell r="F585" t="str">
            <v>P02</v>
          </cell>
          <cell r="G585" t="str">
            <v>Front top rail  - Đố tiền nóc</v>
          </cell>
          <cell r="H585" t="str">
            <v>MDF - 15 x 1830 x 2440mm [CARB P2 Compliant]</v>
          </cell>
          <cell r="I585">
            <v>4</v>
          </cell>
        </row>
        <row r="586">
          <cell r="A586" t="str">
            <v>B557956/A</v>
          </cell>
          <cell r="B586" t="str">
            <v>AT479NM1237</v>
          </cell>
          <cell r="C586">
            <v>4</v>
          </cell>
          <cell r="D586">
            <v>698</v>
          </cell>
          <cell r="E586">
            <v>2792</v>
          </cell>
          <cell r="F586" t="str">
            <v>P03</v>
          </cell>
          <cell r="G586" t="str">
            <v>Front rail  - Đố tiền</v>
          </cell>
          <cell r="H586" t="str">
            <v>Wood EU Beech - Straight/Waving Edged ABC, 2 COM - T26mm x W100mm up x L1.8m up</v>
          </cell>
          <cell r="I586">
            <v>4</v>
          </cell>
        </row>
        <row r="587">
          <cell r="A587" t="str">
            <v>B557956/A</v>
          </cell>
          <cell r="B587" t="str">
            <v>AT479NM1237</v>
          </cell>
          <cell r="C587">
            <v>4</v>
          </cell>
          <cell r="D587">
            <v>698</v>
          </cell>
          <cell r="E587">
            <v>2792</v>
          </cell>
          <cell r="F587" t="str">
            <v>P04</v>
          </cell>
          <cell r="G587" t="str">
            <v>back rail - Đố hậu</v>
          </cell>
          <cell r="H587" t="str">
            <v>Wood EU Beech - Straight/Waving Edged ABC, 2 COM - T26mm x W100mm up x L1.8m up</v>
          </cell>
          <cell r="I587">
            <v>4</v>
          </cell>
        </row>
        <row r="588">
          <cell r="A588" t="str">
            <v>B557956/A</v>
          </cell>
          <cell r="B588" t="str">
            <v>AT479NM1237</v>
          </cell>
          <cell r="C588">
            <v>4</v>
          </cell>
          <cell r="D588">
            <v>698</v>
          </cell>
          <cell r="E588">
            <v>2792</v>
          </cell>
          <cell r="F588" t="str">
            <v>P05</v>
          </cell>
          <cell r="G588" t="str">
            <v>Partition panel - Vách ngăn</v>
          </cell>
          <cell r="H588" t="str">
            <v>MDF - 15 x 1830 x 2440mm [CARB P2 Compliant]</v>
          </cell>
          <cell r="I588">
            <v>8</v>
          </cell>
        </row>
        <row r="589">
          <cell r="A589" t="str">
            <v>B557956/A</v>
          </cell>
          <cell r="B589" t="str">
            <v>AT479NM1237</v>
          </cell>
          <cell r="C589">
            <v>4</v>
          </cell>
          <cell r="D589">
            <v>698</v>
          </cell>
          <cell r="E589">
            <v>2792</v>
          </cell>
          <cell r="F589" t="str">
            <v>P06</v>
          </cell>
          <cell r="G589" t="str">
            <v>Back panel - Ván hậu</v>
          </cell>
          <cell r="H589" t="str">
            <v>MDF - 12 x 1830 x 2440mm [CARB P2 Compliant]</v>
          </cell>
          <cell r="I589">
            <v>4</v>
          </cell>
        </row>
        <row r="590">
          <cell r="A590" t="str">
            <v>B557956/A</v>
          </cell>
          <cell r="B590" t="str">
            <v>AT479NM1237</v>
          </cell>
          <cell r="C590">
            <v>4</v>
          </cell>
          <cell r="D590">
            <v>698</v>
          </cell>
          <cell r="E590">
            <v>2792</v>
          </cell>
          <cell r="F590" t="str">
            <v>P07</v>
          </cell>
          <cell r="G590" t="str">
            <v>Spline - Lưỡi gà</v>
          </cell>
          <cell r="H590" t="str">
            <v>Plywood LVD - 06 x 1220 x 2440mm, Bleached Poplar Veneer Both Sides [CARB P2 Compliant]</v>
          </cell>
          <cell r="I590">
            <v>8</v>
          </cell>
        </row>
        <row r="591">
          <cell r="A591" t="str">
            <v>B557956/A</v>
          </cell>
          <cell r="B591" t="str">
            <v>AT479NM1237</v>
          </cell>
          <cell r="C591">
            <v>4</v>
          </cell>
          <cell r="D591">
            <v>698</v>
          </cell>
          <cell r="E591">
            <v>2792</v>
          </cell>
          <cell r="F591" t="str">
            <v>P08</v>
          </cell>
          <cell r="G591" t="str">
            <v>Spline - Lưỡi gà</v>
          </cell>
          <cell r="H591" t="str">
            <v>Plywood LVD - 06 x 1220 x 2440mm, Bleached Poplar Veneer Both Sides [CARB P2 Compliant]</v>
          </cell>
          <cell r="I591">
            <v>8</v>
          </cell>
        </row>
        <row r="592">
          <cell r="A592" t="str">
            <v>B557956/A</v>
          </cell>
          <cell r="B592" t="str">
            <v>AT479NM1237</v>
          </cell>
          <cell r="C592">
            <v>4</v>
          </cell>
          <cell r="D592">
            <v>698</v>
          </cell>
          <cell r="E592">
            <v>2792</v>
          </cell>
          <cell r="F592" t="str">
            <v>P08-1</v>
          </cell>
          <cell r="G592" t="str">
            <v>Spline - Lưỡi gà</v>
          </cell>
          <cell r="H592" t="str">
            <v>Plywood LVD - 06 x 1220 x 2440mm, Bleached Poplar Veneer Both Sides [CARB P2 Compliant]</v>
          </cell>
          <cell r="I592">
            <v>8</v>
          </cell>
        </row>
        <row r="593">
          <cell r="A593" t="str">
            <v>B557956/A</v>
          </cell>
          <cell r="B593" t="str">
            <v>AT479NM1237</v>
          </cell>
          <cell r="C593">
            <v>4</v>
          </cell>
          <cell r="D593">
            <v>698</v>
          </cell>
          <cell r="E593">
            <v>2792</v>
          </cell>
          <cell r="F593" t="str">
            <v>P09</v>
          </cell>
          <cell r="G593" t="str">
            <v>Spline - Lưỡi gà</v>
          </cell>
          <cell r="H593" t="str">
            <v>Plywood LVD - 06 x 1220 x 2440mm, Bleached Poplar Veneer Both Sides [CARB P2 Compliant]</v>
          </cell>
          <cell r="I593">
            <v>4</v>
          </cell>
        </row>
        <row r="594">
          <cell r="A594" t="str">
            <v>B557956/A</v>
          </cell>
          <cell r="B594" t="str">
            <v>AT479NM1237</v>
          </cell>
          <cell r="C594">
            <v>4</v>
          </cell>
          <cell r="D594">
            <v>698</v>
          </cell>
          <cell r="E594">
            <v>2792</v>
          </cell>
          <cell r="F594" t="str">
            <v>P10</v>
          </cell>
          <cell r="G594" t="str">
            <v>the post - trụ</v>
          </cell>
          <cell r="H594" t="str">
            <v>Wood US Poplar - Straight Edged, 1 COM - T38mm x W100mm Up x L1.8m Up</v>
          </cell>
          <cell r="I594">
            <v>4</v>
          </cell>
        </row>
        <row r="595">
          <cell r="A595" t="str">
            <v>B557956/A</v>
          </cell>
          <cell r="B595" t="str">
            <v>AT479NM1237</v>
          </cell>
          <cell r="C595">
            <v>4</v>
          </cell>
          <cell r="D595">
            <v>698</v>
          </cell>
          <cell r="E595">
            <v>2792</v>
          </cell>
          <cell r="F595" t="str">
            <v>P11</v>
          </cell>
          <cell r="G595" t="str">
            <v>Drawer stop - Dừng hộc</v>
          </cell>
          <cell r="H595" t="str">
            <v>Poplar off cut</v>
          </cell>
          <cell r="I595">
            <v>72</v>
          </cell>
        </row>
        <row r="596">
          <cell r="A596" t="str">
            <v>B557956/A</v>
          </cell>
          <cell r="B596" t="str">
            <v>AT479NM1237</v>
          </cell>
          <cell r="C596">
            <v>4</v>
          </cell>
          <cell r="D596">
            <v>698</v>
          </cell>
          <cell r="E596">
            <v>2792</v>
          </cell>
          <cell r="F596" t="str">
            <v>P12</v>
          </cell>
          <cell r="G596" t="str">
            <v>Corner block - ke góc</v>
          </cell>
          <cell r="H596" t="str">
            <v>Beech off cut</v>
          </cell>
          <cell r="I596">
            <v>8</v>
          </cell>
        </row>
        <row r="597">
          <cell r="A597" t="str">
            <v>B557956/A</v>
          </cell>
          <cell r="B597" t="str">
            <v>AT479NM1237</v>
          </cell>
          <cell r="C597">
            <v>4</v>
          </cell>
          <cell r="D597">
            <v>698</v>
          </cell>
          <cell r="E597">
            <v>2792</v>
          </cell>
          <cell r="F597" t="str">
            <v>P13</v>
          </cell>
          <cell r="G597" t="str">
            <v>Corner block - ke góc</v>
          </cell>
          <cell r="H597" t="str">
            <v>Beech off cut</v>
          </cell>
          <cell r="I597">
            <v>8</v>
          </cell>
        </row>
        <row r="598">
          <cell r="A598" t="str">
            <v>B557956/A</v>
          </cell>
          <cell r="B598" t="str">
            <v>AT479NM1237</v>
          </cell>
          <cell r="C598">
            <v>4</v>
          </cell>
          <cell r="D598">
            <v>698</v>
          </cell>
          <cell r="E598">
            <v>2792</v>
          </cell>
          <cell r="F598" t="str">
            <v>P14</v>
          </cell>
          <cell r="G598" t="str">
            <v>Corner block - ke góc</v>
          </cell>
          <cell r="H598" t="str">
            <v>Beech off cut</v>
          </cell>
          <cell r="I598">
            <v>8</v>
          </cell>
        </row>
        <row r="599">
          <cell r="A599" t="str">
            <v>B557963/A</v>
          </cell>
          <cell r="B599" t="str">
            <v>AT522NM1237</v>
          </cell>
          <cell r="C599">
            <v>50</v>
          </cell>
          <cell r="D599">
            <v>398</v>
          </cell>
          <cell r="E599">
            <v>19900</v>
          </cell>
          <cell r="F599" t="str">
            <v>A1-S0</v>
          </cell>
          <cell r="G599" t="str">
            <v>Front leg  - Chần tiền</v>
          </cell>
          <cell r="H599" t="str">
            <v>Pre-Assembly</v>
          </cell>
          <cell r="I599">
            <v>100</v>
          </cell>
        </row>
        <row r="600">
          <cell r="A600" t="str">
            <v>B557963/A</v>
          </cell>
          <cell r="B600" t="str">
            <v>AT522NM1237</v>
          </cell>
          <cell r="C600">
            <v>50</v>
          </cell>
          <cell r="D600">
            <v>398</v>
          </cell>
          <cell r="E600">
            <v>19900</v>
          </cell>
          <cell r="F600" t="str">
            <v>A1-S01</v>
          </cell>
          <cell r="G600" t="str">
            <v xml:space="preserve">Side panel  - Ván hông </v>
          </cell>
          <cell r="H600" t="str">
            <v>MDF - 15 x 1830 x 2440mm [CARB P2 Compliant]</v>
          </cell>
          <cell r="I600">
            <v>100</v>
          </cell>
        </row>
        <row r="601">
          <cell r="A601" t="str">
            <v>B557963/A</v>
          </cell>
          <cell r="B601" t="str">
            <v>AT522NM1237</v>
          </cell>
          <cell r="C601">
            <v>50</v>
          </cell>
          <cell r="D601">
            <v>398</v>
          </cell>
          <cell r="E601">
            <v>19900</v>
          </cell>
          <cell r="F601" t="str">
            <v>A1-S02</v>
          </cell>
          <cell r="G601" t="str">
            <v>Vertical rail 1 - Đố đứng 1</v>
          </cell>
          <cell r="H601" t="str">
            <v>Wood US Poplar - Straight Edged, 2 COM - T25mm x W100mm Up x L1.8m Up</v>
          </cell>
          <cell r="I601">
            <v>100</v>
          </cell>
        </row>
        <row r="602">
          <cell r="A602" t="str">
            <v>B557963/A</v>
          </cell>
          <cell r="B602" t="str">
            <v>AT522NM1237</v>
          </cell>
          <cell r="C602">
            <v>50</v>
          </cell>
          <cell r="D602">
            <v>398</v>
          </cell>
          <cell r="E602">
            <v>19900</v>
          </cell>
          <cell r="F602" t="str">
            <v>A1-S03</v>
          </cell>
          <cell r="G602" t="str">
            <v>The leg  - Chân</v>
          </cell>
          <cell r="H602" t="str">
            <v>Poplar 1 COM</v>
          </cell>
          <cell r="I602">
            <v>100</v>
          </cell>
        </row>
        <row r="603">
          <cell r="A603" t="str">
            <v>B557963/A</v>
          </cell>
          <cell r="B603" t="str">
            <v>AT522NM1237</v>
          </cell>
          <cell r="C603">
            <v>50</v>
          </cell>
          <cell r="D603">
            <v>398</v>
          </cell>
          <cell r="E603">
            <v>19900</v>
          </cell>
          <cell r="F603" t="str">
            <v>A1-S04</v>
          </cell>
          <cell r="G603" t="str">
            <v>The leg  - Chân</v>
          </cell>
          <cell r="H603" t="str">
            <v>Poplar 1 COM</v>
          </cell>
          <cell r="I603">
            <v>100</v>
          </cell>
        </row>
        <row r="604">
          <cell r="A604" t="str">
            <v>B557963/A</v>
          </cell>
          <cell r="B604" t="str">
            <v>AT522NM1237</v>
          </cell>
          <cell r="C604">
            <v>50</v>
          </cell>
          <cell r="D604">
            <v>398</v>
          </cell>
          <cell r="E604">
            <v>19900</v>
          </cell>
          <cell r="F604" t="str">
            <v>A1-S05</v>
          </cell>
          <cell r="G604" t="str">
            <v xml:space="preserve">Side rail  - Đố hông </v>
          </cell>
          <cell r="H604" t="str">
            <v>Standard Wood - ALDER/ASPEN/LENGA/US POPLAR, 2 COM - T25 W120mm+ L2m+</v>
          </cell>
          <cell r="I604">
            <v>200</v>
          </cell>
        </row>
        <row r="605">
          <cell r="A605" t="str">
            <v>B557963/A</v>
          </cell>
          <cell r="B605" t="str">
            <v>AT522NM1237</v>
          </cell>
          <cell r="C605">
            <v>50</v>
          </cell>
          <cell r="D605">
            <v>398</v>
          </cell>
          <cell r="E605">
            <v>19900</v>
          </cell>
          <cell r="F605" t="str">
            <v>A1-S06</v>
          </cell>
          <cell r="G605" t="str">
            <v>side rail 1 - đố hông 1</v>
          </cell>
          <cell r="H605" t="str">
            <v>Standard Wood - ALDER/ASPEN/LENGA/US POPLAR, 2 COM - T25 W120mm+ L2m+</v>
          </cell>
          <cell r="I605">
            <v>100</v>
          </cell>
        </row>
        <row r="606">
          <cell r="A606" t="str">
            <v>B557963/A</v>
          </cell>
          <cell r="B606" t="str">
            <v>AT522NM1237</v>
          </cell>
          <cell r="C606">
            <v>50</v>
          </cell>
          <cell r="D606">
            <v>398</v>
          </cell>
          <cell r="E606">
            <v>19900</v>
          </cell>
          <cell r="F606" t="str">
            <v>A1-S07</v>
          </cell>
          <cell r="G606" t="str">
            <v>Vertical rail 1 - Đố đứng 1</v>
          </cell>
          <cell r="H606" t="str">
            <v>Standard Wood - ALDER/ASPEN/LENGA/US POPLAR, 2 COM - T25 W120mm+ L2m+</v>
          </cell>
          <cell r="I606">
            <v>200</v>
          </cell>
        </row>
        <row r="607">
          <cell r="A607" t="str">
            <v>B557963/A</v>
          </cell>
          <cell r="B607" t="str">
            <v>AT522NM1237</v>
          </cell>
          <cell r="C607">
            <v>50</v>
          </cell>
          <cell r="D607">
            <v>398</v>
          </cell>
          <cell r="E607">
            <v>19900</v>
          </cell>
          <cell r="F607" t="str">
            <v>A2-S01</v>
          </cell>
          <cell r="G607" t="str">
            <v>back rail - Đố hậu</v>
          </cell>
          <cell r="H607" t="str">
            <v>Wood US Poplar - Straight Edged, 2 COM - T25mm x W100mm Up x L1.8m Up</v>
          </cell>
          <cell r="I607">
            <v>50</v>
          </cell>
        </row>
        <row r="608">
          <cell r="A608" t="str">
            <v>B557963/A</v>
          </cell>
          <cell r="B608" t="str">
            <v>AT522NM1237</v>
          </cell>
          <cell r="C608">
            <v>50</v>
          </cell>
          <cell r="D608">
            <v>398</v>
          </cell>
          <cell r="E608">
            <v>19900</v>
          </cell>
          <cell r="F608" t="str">
            <v>A2-S02</v>
          </cell>
          <cell r="G608" t="str">
            <v>Front rail  - Đố tiền</v>
          </cell>
          <cell r="H608" t="str">
            <v>Wood US Poplar - Straight Edged, 2 COM - T25mm x W100mm Up x L1.8m Up</v>
          </cell>
          <cell r="I608">
            <v>50</v>
          </cell>
        </row>
        <row r="609">
          <cell r="A609" t="str">
            <v>B557963/A</v>
          </cell>
          <cell r="B609" t="str">
            <v>AT522NM1237</v>
          </cell>
          <cell r="C609">
            <v>50</v>
          </cell>
          <cell r="D609">
            <v>398</v>
          </cell>
          <cell r="E609">
            <v>19900</v>
          </cell>
          <cell r="F609" t="str">
            <v>A2-S03</v>
          </cell>
          <cell r="G609" t="str">
            <v>Center bottom rail - Đố đáy giữa</v>
          </cell>
          <cell r="H609" t="str">
            <v>Standard Wood - ALDER/ASPEN/LENGA/US POPLAR, 2 COM - T25 W120mm+ L2m+</v>
          </cell>
          <cell r="I609">
            <v>50</v>
          </cell>
        </row>
        <row r="610">
          <cell r="A610" t="str">
            <v>B557963/A</v>
          </cell>
          <cell r="B610" t="str">
            <v>AT522NM1237</v>
          </cell>
          <cell r="C610">
            <v>50</v>
          </cell>
          <cell r="D610">
            <v>398</v>
          </cell>
          <cell r="E610">
            <v>19900</v>
          </cell>
          <cell r="F610" t="str">
            <v>A2-S05</v>
          </cell>
          <cell r="G610" t="str">
            <v>Dust board Panel  - Ván quét bụi</v>
          </cell>
          <cell r="H610" t="str">
            <v>MDF - 06 x 1830 x 2440mm [CARB P2 Compliant]</v>
          </cell>
          <cell r="I610">
            <v>50</v>
          </cell>
        </row>
        <row r="611">
          <cell r="A611" t="str">
            <v>B557963/A</v>
          </cell>
          <cell r="B611" t="str">
            <v>AT522NM1237</v>
          </cell>
          <cell r="C611">
            <v>50</v>
          </cell>
          <cell r="D611">
            <v>398</v>
          </cell>
          <cell r="E611">
            <v>19900</v>
          </cell>
          <cell r="F611" t="str">
            <v>A2-S06</v>
          </cell>
          <cell r="G611" t="str">
            <v>Corner block - ke góc</v>
          </cell>
          <cell r="H611" t="str">
            <v>Beech off cut</v>
          </cell>
          <cell r="I611">
            <v>100</v>
          </cell>
        </row>
        <row r="612">
          <cell r="A612" t="str">
            <v>B557963/A</v>
          </cell>
          <cell r="B612" t="str">
            <v>AT522NM1237</v>
          </cell>
          <cell r="C612">
            <v>50</v>
          </cell>
          <cell r="D612">
            <v>398</v>
          </cell>
          <cell r="E612">
            <v>19900</v>
          </cell>
          <cell r="F612" t="str">
            <v>A2-S07</v>
          </cell>
          <cell r="G612" t="str">
            <v>Corner block - ke góc</v>
          </cell>
          <cell r="H612" t="str">
            <v>Beech off cut</v>
          </cell>
          <cell r="I612">
            <v>100</v>
          </cell>
        </row>
        <row r="613">
          <cell r="A613" t="str">
            <v>B557963/A</v>
          </cell>
          <cell r="B613" t="str">
            <v>AT522NM1237</v>
          </cell>
          <cell r="C613">
            <v>50</v>
          </cell>
          <cell r="D613">
            <v>398</v>
          </cell>
          <cell r="E613">
            <v>19900</v>
          </cell>
          <cell r="F613" t="str">
            <v>A3-S01</v>
          </cell>
          <cell r="G613" t="str">
            <v xml:space="preserve">Drawer front - Mặt hộc kéo </v>
          </cell>
          <cell r="H613" t="str">
            <v>MDF - 15 x 1830 x 2440mm [CARB P2 Compliant]</v>
          </cell>
          <cell r="I613">
            <v>150</v>
          </cell>
        </row>
        <row r="614">
          <cell r="A614" t="str">
            <v>B557963/A</v>
          </cell>
          <cell r="B614" t="str">
            <v>AT522NM1237</v>
          </cell>
          <cell r="C614">
            <v>50</v>
          </cell>
          <cell r="D614">
            <v>398</v>
          </cell>
          <cell r="E614">
            <v>19900</v>
          </cell>
          <cell r="F614" t="str">
            <v>A3-S02</v>
          </cell>
          <cell r="G614" t="str">
            <v>Drawer side - Hông hộc kéo</v>
          </cell>
          <cell r="H614" t="str">
            <v>MDF Moisture-Resistant - 12 x 1220 x 2440mm [CARB P2 Compliant]</v>
          </cell>
          <cell r="I614">
            <v>300</v>
          </cell>
        </row>
        <row r="615">
          <cell r="A615" t="str">
            <v>B557963/A</v>
          </cell>
          <cell r="B615" t="str">
            <v>AT522NM1237</v>
          </cell>
          <cell r="C615">
            <v>50</v>
          </cell>
          <cell r="D615">
            <v>398</v>
          </cell>
          <cell r="E615">
            <v>19900</v>
          </cell>
          <cell r="F615" t="str">
            <v>A3-S03</v>
          </cell>
          <cell r="G615" t="str">
            <v>Drawer back - Hậu hộc kéo</v>
          </cell>
          <cell r="H615" t="str">
            <v>MDF - 12 x 1830 x 2440mm [CARB P2 Compliant]</v>
          </cell>
          <cell r="I615">
            <v>150</v>
          </cell>
        </row>
        <row r="616">
          <cell r="A616" t="str">
            <v>B557963/A</v>
          </cell>
          <cell r="B616" t="str">
            <v>AT522NM1237</v>
          </cell>
          <cell r="C616">
            <v>50</v>
          </cell>
          <cell r="D616">
            <v>398</v>
          </cell>
          <cell r="E616">
            <v>19900</v>
          </cell>
          <cell r="F616" t="str">
            <v>A3-S04</v>
          </cell>
          <cell r="G616" t="str">
            <v>Drawer bottom  - Đáy hộc kéo</v>
          </cell>
          <cell r="H616" t="str">
            <v>MDF - 06 x 1830 x 2440mm [CARB P2 Compliant]</v>
          </cell>
          <cell r="I616">
            <v>150</v>
          </cell>
        </row>
        <row r="617">
          <cell r="A617" t="str">
            <v>B557963/A</v>
          </cell>
          <cell r="B617" t="str">
            <v>AT522NM1237</v>
          </cell>
          <cell r="C617">
            <v>50</v>
          </cell>
          <cell r="D617">
            <v>398</v>
          </cell>
          <cell r="E617">
            <v>19900</v>
          </cell>
          <cell r="F617" t="str">
            <v>A3-S05</v>
          </cell>
          <cell r="G617" t="str">
            <v>support Top - đỡ nóc</v>
          </cell>
          <cell r="H617" t="str">
            <v>Standard Wood - ALDER/ASPEN/LENGA/US POPLAR, 2 COM - T38 W120mm+ L2m+</v>
          </cell>
          <cell r="I617">
            <v>150</v>
          </cell>
        </row>
        <row r="618">
          <cell r="A618" t="str">
            <v>B557963/A</v>
          </cell>
          <cell r="B618" t="str">
            <v>AT522NM1237</v>
          </cell>
          <cell r="C618">
            <v>50</v>
          </cell>
          <cell r="D618">
            <v>398</v>
          </cell>
          <cell r="E618">
            <v>19900</v>
          </cell>
          <cell r="F618" t="str">
            <v>A3-S06</v>
          </cell>
          <cell r="G618" t="str">
            <v xml:space="preserve">Drawer front 1 - Mặt hộc kéo </v>
          </cell>
          <cell r="H618" t="str">
            <v>MDF - 12 x 1830 x 2440mm [CARB P2 Compliant]</v>
          </cell>
          <cell r="I618">
            <v>150</v>
          </cell>
        </row>
        <row r="619">
          <cell r="A619" t="str">
            <v>B557963/A</v>
          </cell>
          <cell r="B619" t="str">
            <v>AT522NM1237</v>
          </cell>
          <cell r="C619">
            <v>50</v>
          </cell>
          <cell r="D619">
            <v>398</v>
          </cell>
          <cell r="E619">
            <v>19900</v>
          </cell>
          <cell r="F619" t="str">
            <v>P01</v>
          </cell>
          <cell r="G619" t="str">
            <v xml:space="preserve">Top panel  - Ván nóc </v>
          </cell>
          <cell r="H619" t="str">
            <v>MDF - 15 x 1830 x 2440mm [CARB P2 Compliant]</v>
          </cell>
          <cell r="I619">
            <v>50</v>
          </cell>
        </row>
        <row r="620">
          <cell r="A620" t="str">
            <v>B557963/A</v>
          </cell>
          <cell r="B620" t="str">
            <v>AT522NM1237</v>
          </cell>
          <cell r="C620">
            <v>50</v>
          </cell>
          <cell r="D620">
            <v>398</v>
          </cell>
          <cell r="E620">
            <v>19900</v>
          </cell>
          <cell r="F620" t="str">
            <v>P02</v>
          </cell>
          <cell r="G620" t="str">
            <v>Front top rail  - Đố tiền nóc</v>
          </cell>
          <cell r="H620" t="str">
            <v>MDF - 15 x 1830 x 2440mm [CARB P2 Compliant]</v>
          </cell>
          <cell r="I620">
            <v>50</v>
          </cell>
        </row>
        <row r="621">
          <cell r="A621" t="str">
            <v>B557963/A</v>
          </cell>
          <cell r="B621" t="str">
            <v>AT522NM1237</v>
          </cell>
          <cell r="C621">
            <v>50</v>
          </cell>
          <cell r="D621">
            <v>398</v>
          </cell>
          <cell r="E621">
            <v>19900</v>
          </cell>
          <cell r="F621" t="str">
            <v>P03</v>
          </cell>
          <cell r="G621" t="str">
            <v>Cleat - Bọ gỗ</v>
          </cell>
          <cell r="H621" t="str">
            <v>Standard Wood - ALDER/ASPEN/LENGA/US POPLAR, 2 COM - T25 W120mm+ L2m+</v>
          </cell>
          <cell r="I621">
            <v>100</v>
          </cell>
        </row>
        <row r="622">
          <cell r="A622" t="str">
            <v>B557963/A</v>
          </cell>
          <cell r="B622" t="str">
            <v>AT522NM1237</v>
          </cell>
          <cell r="C622">
            <v>50</v>
          </cell>
          <cell r="D622">
            <v>398</v>
          </cell>
          <cell r="E622">
            <v>19900</v>
          </cell>
          <cell r="F622" t="str">
            <v>P04</v>
          </cell>
          <cell r="G622" t="str">
            <v>back rail - Đố hậu</v>
          </cell>
          <cell r="H622" t="str">
            <v>Wood US Poplar - Straight Edged, 2 COM - T25mm x W100mm Up x L1.8m Up</v>
          </cell>
          <cell r="I622">
            <v>50</v>
          </cell>
        </row>
        <row r="623">
          <cell r="A623" t="str">
            <v>B557963/A</v>
          </cell>
          <cell r="B623" t="str">
            <v>AT522NM1237</v>
          </cell>
          <cell r="C623">
            <v>50</v>
          </cell>
          <cell r="D623">
            <v>398</v>
          </cell>
          <cell r="E623">
            <v>19900</v>
          </cell>
          <cell r="F623" t="str">
            <v>P06</v>
          </cell>
          <cell r="G623" t="str">
            <v>Back panel - Ván hậu</v>
          </cell>
          <cell r="H623" t="str">
            <v>MDF - 15 x 1830 x 2440mm [CARB P2 Compliant]</v>
          </cell>
          <cell r="I623">
            <v>50</v>
          </cell>
        </row>
        <row r="624">
          <cell r="A624" t="str">
            <v>B557963/A</v>
          </cell>
          <cell r="B624" t="str">
            <v>AT522NM1237</v>
          </cell>
          <cell r="C624">
            <v>50</v>
          </cell>
          <cell r="D624">
            <v>398</v>
          </cell>
          <cell r="E624">
            <v>19900</v>
          </cell>
          <cell r="F624" t="str">
            <v>P06-1</v>
          </cell>
          <cell r="G624" t="str">
            <v>Back panel - Ván hậu</v>
          </cell>
          <cell r="H624" t="str">
            <v>Cement Board - 18 x 1220 x 2440mm, Dark Grey</v>
          </cell>
          <cell r="I624">
            <v>50</v>
          </cell>
        </row>
        <row r="625">
          <cell r="A625" t="str">
            <v>B557963/A</v>
          </cell>
          <cell r="B625" t="str">
            <v>AT522NM1237</v>
          </cell>
          <cell r="C625">
            <v>50</v>
          </cell>
          <cell r="D625">
            <v>398</v>
          </cell>
          <cell r="E625">
            <v>19900</v>
          </cell>
          <cell r="F625" t="str">
            <v>P07</v>
          </cell>
          <cell r="G625" t="str">
            <v>Spline - Lưỡi gà</v>
          </cell>
          <cell r="H625" t="str">
            <v>Plywood LVD - 06 x 1220 x 2440mm, Bleached Poplar Veneer Both Sides [CARB P2 Compliant]</v>
          </cell>
          <cell r="I625">
            <v>100</v>
          </cell>
        </row>
        <row r="626">
          <cell r="A626" t="str">
            <v>B557963/A</v>
          </cell>
          <cell r="B626" t="str">
            <v>AT522NM1237</v>
          </cell>
          <cell r="C626">
            <v>50</v>
          </cell>
          <cell r="D626">
            <v>398</v>
          </cell>
          <cell r="E626">
            <v>19900</v>
          </cell>
          <cell r="F626" t="str">
            <v>P08</v>
          </cell>
          <cell r="G626" t="str">
            <v>Spline - Lưỡi gà</v>
          </cell>
          <cell r="H626" t="str">
            <v>Plywood LVD - 06 x 1220 x 2440mm, Bleached Poplar Veneer Both Sides [CARB P2 Compliant]</v>
          </cell>
          <cell r="I626">
            <v>100</v>
          </cell>
        </row>
        <row r="627">
          <cell r="A627" t="str">
            <v>B557963/A</v>
          </cell>
          <cell r="B627" t="str">
            <v>AT522NM1237</v>
          </cell>
          <cell r="C627">
            <v>50</v>
          </cell>
          <cell r="D627">
            <v>398</v>
          </cell>
          <cell r="E627">
            <v>19900</v>
          </cell>
          <cell r="F627" t="str">
            <v>P08-1</v>
          </cell>
          <cell r="G627" t="str">
            <v>Spline - Lưỡi gà</v>
          </cell>
          <cell r="H627" t="str">
            <v>Plywood LVD - 06 x 1220 x 2440mm, Bleached Poplar Veneer Both Sides [CARB P2 Compliant]</v>
          </cell>
          <cell r="I627">
            <v>100</v>
          </cell>
        </row>
        <row r="628">
          <cell r="A628" t="str">
            <v>B557963/A</v>
          </cell>
          <cell r="B628" t="str">
            <v>AT522NM1237</v>
          </cell>
          <cell r="C628">
            <v>50</v>
          </cell>
          <cell r="D628">
            <v>398</v>
          </cell>
          <cell r="E628">
            <v>19900</v>
          </cell>
          <cell r="F628" t="str">
            <v>P09</v>
          </cell>
          <cell r="G628" t="str">
            <v>Spline - Lưỡi gà</v>
          </cell>
          <cell r="H628" t="str">
            <v>Plywood LVD - 06 x 1220 x 2440mm, Bleached Poplar Veneer Both Sides [CARB P2 Compliant]</v>
          </cell>
          <cell r="I628">
            <v>50</v>
          </cell>
        </row>
        <row r="629">
          <cell r="A629" t="str">
            <v>B557963/A</v>
          </cell>
          <cell r="B629" t="str">
            <v>AT522NM1237</v>
          </cell>
          <cell r="C629">
            <v>50</v>
          </cell>
          <cell r="D629">
            <v>398</v>
          </cell>
          <cell r="E629">
            <v>19900</v>
          </cell>
          <cell r="F629" t="str">
            <v>P10</v>
          </cell>
          <cell r="G629" t="str">
            <v>Drawer stop - Dừng hộc</v>
          </cell>
          <cell r="H629" t="str">
            <v>Poplar off cut</v>
          </cell>
          <cell r="I629">
            <v>300</v>
          </cell>
        </row>
        <row r="630">
          <cell r="A630" t="str">
            <v>B557964/A</v>
          </cell>
          <cell r="B630" t="str">
            <v>AT522NM1237</v>
          </cell>
          <cell r="C630">
            <v>6</v>
          </cell>
          <cell r="D630">
            <v>398</v>
          </cell>
          <cell r="E630">
            <v>2388</v>
          </cell>
          <cell r="F630" t="str">
            <v>A1-S0</v>
          </cell>
          <cell r="G630" t="str">
            <v>Front leg  - Chần tiền</v>
          </cell>
          <cell r="H630" t="str">
            <v>Pre-Assembly</v>
          </cell>
          <cell r="I630">
            <v>12</v>
          </cell>
        </row>
        <row r="631">
          <cell r="A631" t="str">
            <v>B557964/A</v>
          </cell>
          <cell r="B631" t="str">
            <v>AT522NM1237</v>
          </cell>
          <cell r="C631">
            <v>6</v>
          </cell>
          <cell r="D631">
            <v>398</v>
          </cell>
          <cell r="E631">
            <v>2388</v>
          </cell>
          <cell r="F631" t="str">
            <v>A1-S01</v>
          </cell>
          <cell r="G631" t="str">
            <v xml:space="preserve">Side panel  - Ván hông </v>
          </cell>
          <cell r="H631" t="str">
            <v>MDF - 15 x 1830 x 2440mm [CARB P2 Compliant]</v>
          </cell>
          <cell r="I631">
            <v>12</v>
          </cell>
        </row>
        <row r="632">
          <cell r="A632" t="str">
            <v>B557964/A</v>
          </cell>
          <cell r="B632" t="str">
            <v>AT522NM1237</v>
          </cell>
          <cell r="C632">
            <v>6</v>
          </cell>
          <cell r="D632">
            <v>398</v>
          </cell>
          <cell r="E632">
            <v>2388</v>
          </cell>
          <cell r="F632" t="str">
            <v>A1-S02</v>
          </cell>
          <cell r="G632" t="str">
            <v>Vertical rail 1 - Đố đứng 1</v>
          </cell>
          <cell r="H632" t="str">
            <v>Wood US Poplar - Straight Edged, 2 COM - T25mm x W100mm Up x L1.8m Up</v>
          </cell>
          <cell r="I632">
            <v>12</v>
          </cell>
        </row>
        <row r="633">
          <cell r="A633" t="str">
            <v>B557964/A</v>
          </cell>
          <cell r="B633" t="str">
            <v>AT522NM1237</v>
          </cell>
          <cell r="C633">
            <v>6</v>
          </cell>
          <cell r="D633">
            <v>398</v>
          </cell>
          <cell r="E633">
            <v>2388</v>
          </cell>
          <cell r="F633" t="str">
            <v>A1-S03</v>
          </cell>
          <cell r="G633" t="str">
            <v>The leg  - Chân</v>
          </cell>
          <cell r="H633" t="str">
            <v>Poplar 1 COM</v>
          </cell>
          <cell r="I633">
            <v>12</v>
          </cell>
        </row>
        <row r="634">
          <cell r="A634" t="str">
            <v>B557964/A</v>
          </cell>
          <cell r="B634" t="str">
            <v>AT522NM1237</v>
          </cell>
          <cell r="C634">
            <v>6</v>
          </cell>
          <cell r="D634">
            <v>398</v>
          </cell>
          <cell r="E634">
            <v>2388</v>
          </cell>
          <cell r="F634" t="str">
            <v>A1-S04</v>
          </cell>
          <cell r="G634" t="str">
            <v>The leg  - Chân</v>
          </cell>
          <cell r="H634" t="str">
            <v>Poplar 1 COM</v>
          </cell>
          <cell r="I634">
            <v>12</v>
          </cell>
        </row>
        <row r="635">
          <cell r="A635" t="str">
            <v>B557964/A</v>
          </cell>
          <cell r="B635" t="str">
            <v>AT522NM1237</v>
          </cell>
          <cell r="C635">
            <v>6</v>
          </cell>
          <cell r="D635">
            <v>398</v>
          </cell>
          <cell r="E635">
            <v>2388</v>
          </cell>
          <cell r="F635" t="str">
            <v>A1-S05</v>
          </cell>
          <cell r="G635" t="str">
            <v xml:space="preserve">Side rail  - Đố hông </v>
          </cell>
          <cell r="H635" t="str">
            <v>Standard Wood - ALDER/ASPEN/LENGA/US POPLAR, 2 COM - T25 W120mm+ L2m+</v>
          </cell>
          <cell r="I635">
            <v>24</v>
          </cell>
        </row>
        <row r="636">
          <cell r="A636" t="str">
            <v>B557964/A</v>
          </cell>
          <cell r="B636" t="str">
            <v>AT522NM1237</v>
          </cell>
          <cell r="C636">
            <v>6</v>
          </cell>
          <cell r="D636">
            <v>398</v>
          </cell>
          <cell r="E636">
            <v>2388</v>
          </cell>
          <cell r="F636" t="str">
            <v>A1-S06</v>
          </cell>
          <cell r="G636" t="str">
            <v>side rail 1 - đố hông 1</v>
          </cell>
          <cell r="H636" t="str">
            <v>Standard Wood - ALDER/ASPEN/LENGA/US POPLAR, 2 COM - T25 W120mm+ L2m+</v>
          </cell>
          <cell r="I636">
            <v>12</v>
          </cell>
        </row>
        <row r="637">
          <cell r="A637" t="str">
            <v>B557964/A</v>
          </cell>
          <cell r="B637" t="str">
            <v>AT522NM1237</v>
          </cell>
          <cell r="C637">
            <v>6</v>
          </cell>
          <cell r="D637">
            <v>398</v>
          </cell>
          <cell r="E637">
            <v>2388</v>
          </cell>
          <cell r="F637" t="str">
            <v>A1-S07</v>
          </cell>
          <cell r="G637" t="str">
            <v>Vertical rail 1 - Đố đứng 1</v>
          </cell>
          <cell r="H637" t="str">
            <v>Standard Wood - ALDER/ASPEN/LENGA/US POPLAR, 2 COM - T25 W120mm+ L2m+</v>
          </cell>
          <cell r="I637">
            <v>24</v>
          </cell>
        </row>
        <row r="638">
          <cell r="A638" t="str">
            <v>B557964/A</v>
          </cell>
          <cell r="B638" t="str">
            <v>AT522NM1237</v>
          </cell>
          <cell r="C638">
            <v>6</v>
          </cell>
          <cell r="D638">
            <v>398</v>
          </cell>
          <cell r="E638">
            <v>2388</v>
          </cell>
          <cell r="F638" t="str">
            <v>A2-S01</v>
          </cell>
          <cell r="G638" t="str">
            <v>back rail - Đố hậu</v>
          </cell>
          <cell r="H638" t="str">
            <v>Wood US Poplar - Straight Edged, 2 COM - T25mm x W100mm Up x L1.8m Up</v>
          </cell>
          <cell r="I638">
            <v>6</v>
          </cell>
        </row>
        <row r="639">
          <cell r="A639" t="str">
            <v>B557964/A</v>
          </cell>
          <cell r="B639" t="str">
            <v>AT522NM1237</v>
          </cell>
          <cell r="C639">
            <v>6</v>
          </cell>
          <cell r="D639">
            <v>398</v>
          </cell>
          <cell r="E639">
            <v>2388</v>
          </cell>
          <cell r="F639" t="str">
            <v>A2-S02</v>
          </cell>
          <cell r="G639" t="str">
            <v>Front rail  - Đố tiền</v>
          </cell>
          <cell r="H639" t="str">
            <v>Wood US Poplar - Straight Edged, 2 COM - T25mm x W100mm Up x L1.8m Up</v>
          </cell>
          <cell r="I639">
            <v>6</v>
          </cell>
        </row>
        <row r="640">
          <cell r="A640" t="str">
            <v>B557964/A</v>
          </cell>
          <cell r="B640" t="str">
            <v>AT522NM1237</v>
          </cell>
          <cell r="C640">
            <v>6</v>
          </cell>
          <cell r="D640">
            <v>398</v>
          </cell>
          <cell r="E640">
            <v>2388</v>
          </cell>
          <cell r="F640" t="str">
            <v>A2-S03</v>
          </cell>
          <cell r="G640" t="str">
            <v>Center bottom rail - Đố đáy giữa</v>
          </cell>
          <cell r="H640" t="str">
            <v>Standard Wood - ALDER/ASPEN/LENGA/US POPLAR, 2 COM - T25 W120mm+ L2m+</v>
          </cell>
          <cell r="I640">
            <v>6</v>
          </cell>
        </row>
        <row r="641">
          <cell r="A641" t="str">
            <v>B557964/A</v>
          </cell>
          <cell r="B641" t="str">
            <v>AT522NM1237</v>
          </cell>
          <cell r="C641">
            <v>6</v>
          </cell>
          <cell r="D641">
            <v>398</v>
          </cell>
          <cell r="E641">
            <v>2388</v>
          </cell>
          <cell r="F641" t="str">
            <v>A2-S05</v>
          </cell>
          <cell r="G641" t="str">
            <v>Dust board Panel  - Ván quét bụi</v>
          </cell>
          <cell r="H641" t="str">
            <v>MDF - 06 x 1830 x 2440mm [CARB P2 Compliant]</v>
          </cell>
          <cell r="I641">
            <v>6</v>
          </cell>
        </row>
        <row r="642">
          <cell r="A642" t="str">
            <v>B557964/A</v>
          </cell>
          <cell r="B642" t="str">
            <v>AT522NM1237</v>
          </cell>
          <cell r="C642">
            <v>6</v>
          </cell>
          <cell r="D642">
            <v>398</v>
          </cell>
          <cell r="E642">
            <v>2388</v>
          </cell>
          <cell r="F642" t="str">
            <v>A2-S06</v>
          </cell>
          <cell r="G642" t="str">
            <v>Corner block - ke góc</v>
          </cell>
          <cell r="H642" t="str">
            <v>Beech off cut</v>
          </cell>
          <cell r="I642">
            <v>12</v>
          </cell>
        </row>
        <row r="643">
          <cell r="A643" t="str">
            <v>B557964/A</v>
          </cell>
          <cell r="B643" t="str">
            <v>AT522NM1237</v>
          </cell>
          <cell r="C643">
            <v>6</v>
          </cell>
          <cell r="D643">
            <v>398</v>
          </cell>
          <cell r="E643">
            <v>2388</v>
          </cell>
          <cell r="F643" t="str">
            <v>A2-S07</v>
          </cell>
          <cell r="G643" t="str">
            <v>Corner block - ke góc</v>
          </cell>
          <cell r="H643" t="str">
            <v>Beech off cut</v>
          </cell>
          <cell r="I643">
            <v>12</v>
          </cell>
        </row>
        <row r="644">
          <cell r="A644" t="str">
            <v>B557964/A</v>
          </cell>
          <cell r="B644" t="str">
            <v>AT522NM1237</v>
          </cell>
          <cell r="C644">
            <v>6</v>
          </cell>
          <cell r="D644">
            <v>398</v>
          </cell>
          <cell r="E644">
            <v>2388</v>
          </cell>
          <cell r="F644" t="str">
            <v>A3-S01</v>
          </cell>
          <cell r="G644" t="str">
            <v xml:space="preserve">Drawer front - Mặt hộc kéo </v>
          </cell>
          <cell r="H644" t="str">
            <v>MDF - 15 x 1830 x 2440mm [CARB P2 Compliant]</v>
          </cell>
          <cell r="I644">
            <v>18</v>
          </cell>
        </row>
        <row r="645">
          <cell r="A645" t="str">
            <v>B557964/A</v>
          </cell>
          <cell r="B645" t="str">
            <v>AT522NM1237</v>
          </cell>
          <cell r="C645">
            <v>6</v>
          </cell>
          <cell r="D645">
            <v>398</v>
          </cell>
          <cell r="E645">
            <v>2388</v>
          </cell>
          <cell r="F645" t="str">
            <v>A3-S02</v>
          </cell>
          <cell r="G645" t="str">
            <v>Drawer side - Hông hộc kéo</v>
          </cell>
          <cell r="H645" t="str">
            <v>MDF Moisture-Resistant - 12 x 1220 x 2440mm [CARB P2 Compliant]</v>
          </cell>
          <cell r="I645">
            <v>36</v>
          </cell>
        </row>
        <row r="646">
          <cell r="A646" t="str">
            <v>B557964/A</v>
          </cell>
          <cell r="B646" t="str">
            <v>AT522NM1237</v>
          </cell>
          <cell r="C646">
            <v>6</v>
          </cell>
          <cell r="D646">
            <v>398</v>
          </cell>
          <cell r="E646">
            <v>2388</v>
          </cell>
          <cell r="F646" t="str">
            <v>A3-S03</v>
          </cell>
          <cell r="G646" t="str">
            <v>Drawer back - Hậu hộc kéo</v>
          </cell>
          <cell r="H646" t="str">
            <v>MDF - 12 x 1830 x 2440mm [CARB P2 Compliant]</v>
          </cell>
          <cell r="I646">
            <v>18</v>
          </cell>
        </row>
        <row r="647">
          <cell r="A647" t="str">
            <v>B557964/A</v>
          </cell>
          <cell r="B647" t="str">
            <v>AT522NM1237</v>
          </cell>
          <cell r="C647">
            <v>6</v>
          </cell>
          <cell r="D647">
            <v>398</v>
          </cell>
          <cell r="E647">
            <v>2388</v>
          </cell>
          <cell r="F647" t="str">
            <v>A3-S04</v>
          </cell>
          <cell r="G647" t="str">
            <v>Drawer bottom  - Đáy hộc kéo</v>
          </cell>
          <cell r="H647" t="str">
            <v>MDF - 06 x 1830 x 2440mm [CARB P2 Compliant]</v>
          </cell>
          <cell r="I647">
            <v>18</v>
          </cell>
        </row>
        <row r="648">
          <cell r="A648" t="str">
            <v>B557964/A</v>
          </cell>
          <cell r="B648" t="str">
            <v>AT522NM1237</v>
          </cell>
          <cell r="C648">
            <v>6</v>
          </cell>
          <cell r="D648">
            <v>398</v>
          </cell>
          <cell r="E648">
            <v>2388</v>
          </cell>
          <cell r="F648" t="str">
            <v>A3-S05</v>
          </cell>
          <cell r="G648" t="str">
            <v>support Top - đỡ nóc</v>
          </cell>
          <cell r="H648" t="str">
            <v>Standard Wood - ALDER/ASPEN/LENGA/US POPLAR, 2 COM - T38 W120mm+ L2m+</v>
          </cell>
          <cell r="I648">
            <v>18</v>
          </cell>
        </row>
        <row r="649">
          <cell r="A649" t="str">
            <v>B557964/A</v>
          </cell>
          <cell r="B649" t="str">
            <v>AT522NM1237</v>
          </cell>
          <cell r="C649">
            <v>6</v>
          </cell>
          <cell r="D649">
            <v>398</v>
          </cell>
          <cell r="E649">
            <v>2388</v>
          </cell>
          <cell r="F649" t="str">
            <v>A3-S06</v>
          </cell>
          <cell r="G649" t="str">
            <v xml:space="preserve">Drawer front 1 - Mặt hộc kéo </v>
          </cell>
          <cell r="H649" t="str">
            <v>MDF - 12 x 1830 x 2440mm [CARB P2 Compliant]</v>
          </cell>
          <cell r="I649">
            <v>18</v>
          </cell>
        </row>
        <row r="650">
          <cell r="A650" t="str">
            <v>B557964/A</v>
          </cell>
          <cell r="B650" t="str">
            <v>AT522NM1237</v>
          </cell>
          <cell r="C650">
            <v>6</v>
          </cell>
          <cell r="D650">
            <v>398</v>
          </cell>
          <cell r="E650">
            <v>2388</v>
          </cell>
          <cell r="F650" t="str">
            <v>P01</v>
          </cell>
          <cell r="G650" t="str">
            <v xml:space="preserve">Top panel  - Ván nóc </v>
          </cell>
          <cell r="H650" t="str">
            <v>MDF - 15 x 1830 x 2440mm [CARB P2 Compliant]</v>
          </cell>
          <cell r="I650">
            <v>6</v>
          </cell>
        </row>
        <row r="651">
          <cell r="A651" t="str">
            <v>B557964/A</v>
          </cell>
          <cell r="B651" t="str">
            <v>AT522NM1237</v>
          </cell>
          <cell r="C651">
            <v>6</v>
          </cell>
          <cell r="D651">
            <v>398</v>
          </cell>
          <cell r="E651">
            <v>2388</v>
          </cell>
          <cell r="F651" t="str">
            <v>P02</v>
          </cell>
          <cell r="G651" t="str">
            <v>Front top rail  - Đố tiền nóc</v>
          </cell>
          <cell r="H651" t="str">
            <v>MDF - 15 x 1830 x 2440mm [CARB P2 Compliant]</v>
          </cell>
          <cell r="I651">
            <v>6</v>
          </cell>
        </row>
        <row r="652">
          <cell r="A652" t="str">
            <v>B557964/A</v>
          </cell>
          <cell r="B652" t="str">
            <v>AT522NM1237</v>
          </cell>
          <cell r="C652">
            <v>6</v>
          </cell>
          <cell r="D652">
            <v>398</v>
          </cell>
          <cell r="E652">
            <v>2388</v>
          </cell>
          <cell r="F652" t="str">
            <v>P03</v>
          </cell>
          <cell r="G652" t="str">
            <v>Cleat - Bọ gỗ</v>
          </cell>
          <cell r="H652" t="str">
            <v>Standard Wood - ALDER/ASPEN/LENGA/US POPLAR, 2 COM - T25 W120mm+ L2m+</v>
          </cell>
          <cell r="I652">
            <v>12</v>
          </cell>
        </row>
        <row r="653">
          <cell r="A653" t="str">
            <v>B557964/A</v>
          </cell>
          <cell r="B653" t="str">
            <v>AT522NM1237</v>
          </cell>
          <cell r="C653">
            <v>6</v>
          </cell>
          <cell r="D653">
            <v>398</v>
          </cell>
          <cell r="E653">
            <v>2388</v>
          </cell>
          <cell r="F653" t="str">
            <v>P04</v>
          </cell>
          <cell r="G653" t="str">
            <v>back rail - Đố hậu</v>
          </cell>
          <cell r="H653" t="str">
            <v>Wood US Poplar - Straight Edged, 2 COM - T25mm x W100mm Up x L1.8m Up</v>
          </cell>
          <cell r="I653">
            <v>6</v>
          </cell>
        </row>
        <row r="654">
          <cell r="A654" t="str">
            <v>B557964/A</v>
          </cell>
          <cell r="B654" t="str">
            <v>AT522NM1237</v>
          </cell>
          <cell r="C654">
            <v>6</v>
          </cell>
          <cell r="D654">
            <v>398</v>
          </cell>
          <cell r="E654">
            <v>2388</v>
          </cell>
          <cell r="F654" t="str">
            <v>P06</v>
          </cell>
          <cell r="G654" t="str">
            <v>Back panel - Ván hậu</v>
          </cell>
          <cell r="H654" t="str">
            <v>MDF - 15 x 1830 x 2440mm [CARB P2 Compliant]</v>
          </cell>
          <cell r="I654">
            <v>6</v>
          </cell>
        </row>
        <row r="655">
          <cell r="A655" t="str">
            <v>B557964/A</v>
          </cell>
          <cell r="B655" t="str">
            <v>AT522NM1237</v>
          </cell>
          <cell r="C655">
            <v>6</v>
          </cell>
          <cell r="D655">
            <v>398</v>
          </cell>
          <cell r="E655">
            <v>2388</v>
          </cell>
          <cell r="F655" t="str">
            <v>P06-1</v>
          </cell>
          <cell r="G655" t="str">
            <v>Back panel - Ván hậu</v>
          </cell>
          <cell r="H655" t="str">
            <v>Cement Board - 18 x 1220 x 2440mm, Dark Grey</v>
          </cell>
          <cell r="I655">
            <v>6</v>
          </cell>
        </row>
        <row r="656">
          <cell r="A656" t="str">
            <v>B557964/A</v>
          </cell>
          <cell r="B656" t="str">
            <v>AT522NM1237</v>
          </cell>
          <cell r="C656">
            <v>6</v>
          </cell>
          <cell r="D656">
            <v>398</v>
          </cell>
          <cell r="E656">
            <v>2388</v>
          </cell>
          <cell r="F656" t="str">
            <v>P07</v>
          </cell>
          <cell r="G656" t="str">
            <v>Spline - Lưỡi gà</v>
          </cell>
          <cell r="H656" t="str">
            <v>Plywood LVD - 06 x 1220 x 2440mm, Bleached Poplar Veneer Both Sides [CARB P2 Compliant]</v>
          </cell>
          <cell r="I656">
            <v>12</v>
          </cell>
        </row>
        <row r="657">
          <cell r="A657" t="str">
            <v>B557964/A</v>
          </cell>
          <cell r="B657" t="str">
            <v>AT522NM1237</v>
          </cell>
          <cell r="C657">
            <v>6</v>
          </cell>
          <cell r="D657">
            <v>398</v>
          </cell>
          <cell r="E657">
            <v>2388</v>
          </cell>
          <cell r="F657" t="str">
            <v>P08</v>
          </cell>
          <cell r="G657" t="str">
            <v>Spline - Lưỡi gà</v>
          </cell>
          <cell r="H657" t="str">
            <v>Plywood LVD - 06 x 1220 x 2440mm, Bleached Poplar Veneer Both Sides [CARB P2 Compliant]</v>
          </cell>
          <cell r="I657">
            <v>12</v>
          </cell>
        </row>
        <row r="658">
          <cell r="A658" t="str">
            <v>B557964/A</v>
          </cell>
          <cell r="B658" t="str">
            <v>AT522NM1237</v>
          </cell>
          <cell r="C658">
            <v>6</v>
          </cell>
          <cell r="D658">
            <v>398</v>
          </cell>
          <cell r="E658">
            <v>2388</v>
          </cell>
          <cell r="F658" t="str">
            <v>P08-1</v>
          </cell>
          <cell r="G658" t="str">
            <v>Spline - Lưỡi gà</v>
          </cell>
          <cell r="H658" t="str">
            <v>Plywood LVD - 06 x 1220 x 2440mm, Bleached Poplar Veneer Both Sides [CARB P2 Compliant]</v>
          </cell>
          <cell r="I658">
            <v>12</v>
          </cell>
        </row>
        <row r="659">
          <cell r="A659" t="str">
            <v>B557964/A</v>
          </cell>
          <cell r="B659" t="str">
            <v>AT522NM1237</v>
          </cell>
          <cell r="C659">
            <v>6</v>
          </cell>
          <cell r="D659">
            <v>398</v>
          </cell>
          <cell r="E659">
            <v>2388</v>
          </cell>
          <cell r="F659" t="str">
            <v>P09</v>
          </cell>
          <cell r="G659" t="str">
            <v>Spline - Lưỡi gà</v>
          </cell>
          <cell r="H659" t="str">
            <v>Plywood LVD - 06 x 1220 x 2440mm, Bleached Poplar Veneer Both Sides [CARB P2 Compliant]</v>
          </cell>
          <cell r="I659">
            <v>6</v>
          </cell>
        </row>
        <row r="660">
          <cell r="A660" t="str">
            <v>B557964/A</v>
          </cell>
          <cell r="B660" t="str">
            <v>AT522NM1237</v>
          </cell>
          <cell r="C660">
            <v>6</v>
          </cell>
          <cell r="D660">
            <v>398</v>
          </cell>
          <cell r="E660">
            <v>2388</v>
          </cell>
          <cell r="F660" t="str">
            <v>P10</v>
          </cell>
          <cell r="G660" t="str">
            <v>Drawer stop - Dừng hộc</v>
          </cell>
          <cell r="H660" t="str">
            <v>Poplar off cut</v>
          </cell>
          <cell r="I660">
            <v>36</v>
          </cell>
        </row>
        <row r="661">
          <cell r="A661" t="str">
            <v>B557966/A</v>
          </cell>
          <cell r="B661" t="str">
            <v>AT522NM1241</v>
          </cell>
          <cell r="C661">
            <v>30</v>
          </cell>
          <cell r="D661">
            <v>398</v>
          </cell>
          <cell r="E661">
            <v>11940</v>
          </cell>
          <cell r="F661" t="str">
            <v>A1-S0</v>
          </cell>
          <cell r="G661" t="str">
            <v>Front leg  - Chần tiền</v>
          </cell>
          <cell r="H661" t="str">
            <v>Pre-Assembly</v>
          </cell>
          <cell r="I661">
            <v>60</v>
          </cell>
        </row>
        <row r="662">
          <cell r="A662" t="str">
            <v>B557966/A</v>
          </cell>
          <cell r="B662" t="str">
            <v>AT522NM1241</v>
          </cell>
          <cell r="C662">
            <v>30</v>
          </cell>
          <cell r="D662">
            <v>398</v>
          </cell>
          <cell r="E662">
            <v>11940</v>
          </cell>
          <cell r="F662" t="str">
            <v>A1-S01</v>
          </cell>
          <cell r="G662" t="str">
            <v xml:space="preserve">Side panel  - Ván hông </v>
          </cell>
          <cell r="H662" t="str">
            <v>MDF - 15 x 1830 x 2440mm [CARB P2 Compliant]</v>
          </cell>
          <cell r="I662">
            <v>60</v>
          </cell>
        </row>
        <row r="663">
          <cell r="A663" t="str">
            <v>B557966/A</v>
          </cell>
          <cell r="B663" t="str">
            <v>AT522NM1241</v>
          </cell>
          <cell r="C663">
            <v>30</v>
          </cell>
          <cell r="D663">
            <v>398</v>
          </cell>
          <cell r="E663">
            <v>11940</v>
          </cell>
          <cell r="F663" t="str">
            <v>A1-S02</v>
          </cell>
          <cell r="G663" t="str">
            <v>Vertical rail 1 - Đố đứng 1</v>
          </cell>
          <cell r="H663" t="str">
            <v>Wood US Poplar - Straight Edged, 2 COM - T25mm x W100mm Up x L1.8m Up</v>
          </cell>
          <cell r="I663">
            <v>60</v>
          </cell>
        </row>
        <row r="664">
          <cell r="A664" t="str">
            <v>B557966/A</v>
          </cell>
          <cell r="B664" t="str">
            <v>AT522NM1241</v>
          </cell>
          <cell r="C664">
            <v>30</v>
          </cell>
          <cell r="D664">
            <v>398</v>
          </cell>
          <cell r="E664">
            <v>11940</v>
          </cell>
          <cell r="F664" t="str">
            <v>A1-S03</v>
          </cell>
          <cell r="G664" t="str">
            <v>The leg  - Chân</v>
          </cell>
          <cell r="H664" t="str">
            <v>Poplar 1 COM</v>
          </cell>
          <cell r="I664">
            <v>60</v>
          </cell>
        </row>
        <row r="665">
          <cell r="A665" t="str">
            <v>B557966/A</v>
          </cell>
          <cell r="B665" t="str">
            <v>AT522NM1241</v>
          </cell>
          <cell r="C665">
            <v>30</v>
          </cell>
          <cell r="D665">
            <v>398</v>
          </cell>
          <cell r="E665">
            <v>11940</v>
          </cell>
          <cell r="F665" t="str">
            <v>A1-S04</v>
          </cell>
          <cell r="G665" t="str">
            <v>The leg  - Chân</v>
          </cell>
          <cell r="H665" t="str">
            <v>Poplar 1 COM</v>
          </cell>
          <cell r="I665">
            <v>60</v>
          </cell>
        </row>
        <row r="666">
          <cell r="A666" t="str">
            <v>B557966/A</v>
          </cell>
          <cell r="B666" t="str">
            <v>AT522NM1241</v>
          </cell>
          <cell r="C666">
            <v>30</v>
          </cell>
          <cell r="D666">
            <v>398</v>
          </cell>
          <cell r="E666">
            <v>11940</v>
          </cell>
          <cell r="F666" t="str">
            <v>A1-S05</v>
          </cell>
          <cell r="G666" t="str">
            <v xml:space="preserve">Side rail  - Đố hông </v>
          </cell>
          <cell r="H666" t="str">
            <v>Standard Wood - ALDER/ASPEN/LENGA/US POPLAR, 2 COM - T25 W120mm+ L2m+</v>
          </cell>
          <cell r="I666">
            <v>120</v>
          </cell>
        </row>
        <row r="667">
          <cell r="A667" t="str">
            <v>B557966/A</v>
          </cell>
          <cell r="B667" t="str">
            <v>AT522NM1241</v>
          </cell>
          <cell r="C667">
            <v>30</v>
          </cell>
          <cell r="D667">
            <v>398</v>
          </cell>
          <cell r="E667">
            <v>11940</v>
          </cell>
          <cell r="F667" t="str">
            <v>A1-S06</v>
          </cell>
          <cell r="G667" t="str">
            <v>side rail 1 - đố hông 1</v>
          </cell>
          <cell r="H667" t="str">
            <v>Standard Wood - ALDER/ASPEN/LENGA/US POPLAR, 2 COM - T25 W120mm+ L2m+</v>
          </cell>
          <cell r="I667">
            <v>60</v>
          </cell>
        </row>
        <row r="668">
          <cell r="A668" t="str">
            <v>B557966/A</v>
          </cell>
          <cell r="B668" t="str">
            <v>AT522NM1241</v>
          </cell>
          <cell r="C668">
            <v>30</v>
          </cell>
          <cell r="D668">
            <v>398</v>
          </cell>
          <cell r="E668">
            <v>11940</v>
          </cell>
          <cell r="F668" t="str">
            <v>A1-S07</v>
          </cell>
          <cell r="G668" t="str">
            <v>Vertical rail 1 - Đố đứng 1</v>
          </cell>
          <cell r="H668" t="str">
            <v>Standard Wood - ALDER/ASPEN/LENGA/US POPLAR, 2 COM - T25 W120mm+ L2m+</v>
          </cell>
          <cell r="I668">
            <v>120</v>
          </cell>
        </row>
        <row r="669">
          <cell r="A669" t="str">
            <v>B557966/A</v>
          </cell>
          <cell r="B669" t="str">
            <v>AT522NM1241</v>
          </cell>
          <cell r="C669">
            <v>30</v>
          </cell>
          <cell r="D669">
            <v>398</v>
          </cell>
          <cell r="E669">
            <v>11940</v>
          </cell>
          <cell r="F669" t="str">
            <v>A2-S01</v>
          </cell>
          <cell r="G669" t="str">
            <v>back rail - Đố hậu</v>
          </cell>
          <cell r="H669" t="str">
            <v>Wood US Poplar - Straight Edged, 2 COM - T25mm x W100mm Up x L1.8m Up</v>
          </cell>
          <cell r="I669">
            <v>30</v>
          </cell>
        </row>
        <row r="670">
          <cell r="A670" t="str">
            <v>B557966/A</v>
          </cell>
          <cell r="B670" t="str">
            <v>AT522NM1241</v>
          </cell>
          <cell r="C670">
            <v>30</v>
          </cell>
          <cell r="D670">
            <v>398</v>
          </cell>
          <cell r="E670">
            <v>11940</v>
          </cell>
          <cell r="F670" t="str">
            <v>A2-S02</v>
          </cell>
          <cell r="G670" t="str">
            <v>Front rail  - Đố tiền</v>
          </cell>
          <cell r="H670" t="str">
            <v>Wood US Poplar - Straight Edged, 2 COM - T25mm x W100mm Up x L1.8m Up</v>
          </cell>
          <cell r="I670">
            <v>30</v>
          </cell>
        </row>
        <row r="671">
          <cell r="A671" t="str">
            <v>B557966/A</v>
          </cell>
          <cell r="B671" t="str">
            <v>AT522NM1241</v>
          </cell>
          <cell r="C671">
            <v>30</v>
          </cell>
          <cell r="D671">
            <v>398</v>
          </cell>
          <cell r="E671">
            <v>11940</v>
          </cell>
          <cell r="F671" t="str">
            <v>A2-S03</v>
          </cell>
          <cell r="G671" t="str">
            <v>Center bottom rail - Đố đáy giữa</v>
          </cell>
          <cell r="H671" t="str">
            <v>Standard Wood - ALDER/ASPEN/LENGA/US POPLAR, 2 COM - T25 W120mm+ L2m+</v>
          </cell>
          <cell r="I671">
            <v>30</v>
          </cell>
        </row>
        <row r="672">
          <cell r="A672" t="str">
            <v>B557966/A</v>
          </cell>
          <cell r="B672" t="str">
            <v>AT522NM1241</v>
          </cell>
          <cell r="C672">
            <v>30</v>
          </cell>
          <cell r="D672">
            <v>398</v>
          </cell>
          <cell r="E672">
            <v>11940</v>
          </cell>
          <cell r="F672" t="str">
            <v>A2-S05</v>
          </cell>
          <cell r="G672" t="str">
            <v>Dust board Panel  - Ván quét bụi</v>
          </cell>
          <cell r="H672" t="str">
            <v>MDF - 06 x 1830 x 2440mm [CARB P2 Compliant]</v>
          </cell>
          <cell r="I672">
            <v>30</v>
          </cell>
        </row>
        <row r="673">
          <cell r="A673" t="str">
            <v>B557966/A</v>
          </cell>
          <cell r="B673" t="str">
            <v>AT522NM1241</v>
          </cell>
          <cell r="C673">
            <v>30</v>
          </cell>
          <cell r="D673">
            <v>398</v>
          </cell>
          <cell r="E673">
            <v>11940</v>
          </cell>
          <cell r="F673" t="str">
            <v>A2-S06</v>
          </cell>
          <cell r="G673" t="str">
            <v>Corner block - ke góc</v>
          </cell>
          <cell r="H673" t="str">
            <v>Beech off cut</v>
          </cell>
          <cell r="I673">
            <v>60</v>
          </cell>
        </row>
        <row r="674">
          <cell r="A674" t="str">
            <v>B557966/A</v>
          </cell>
          <cell r="B674" t="str">
            <v>AT522NM1241</v>
          </cell>
          <cell r="C674">
            <v>30</v>
          </cell>
          <cell r="D674">
            <v>398</v>
          </cell>
          <cell r="E674">
            <v>11940</v>
          </cell>
          <cell r="F674" t="str">
            <v>A2-S07</v>
          </cell>
          <cell r="G674" t="str">
            <v>Corner block - ke góc</v>
          </cell>
          <cell r="H674" t="str">
            <v>Beech off cut</v>
          </cell>
          <cell r="I674">
            <v>60</v>
          </cell>
        </row>
        <row r="675">
          <cell r="A675" t="str">
            <v>B557966/A</v>
          </cell>
          <cell r="B675" t="str">
            <v>AT522NM1241</v>
          </cell>
          <cell r="C675">
            <v>30</v>
          </cell>
          <cell r="D675">
            <v>398</v>
          </cell>
          <cell r="E675">
            <v>11940</v>
          </cell>
          <cell r="F675" t="str">
            <v>A3-S01</v>
          </cell>
          <cell r="G675" t="str">
            <v xml:space="preserve">Drawer front - Mặt hộc kéo </v>
          </cell>
          <cell r="H675" t="str">
            <v>MDF - 15 x 1830 x 2440mm [CARB P2 Compliant]</v>
          </cell>
          <cell r="I675">
            <v>90</v>
          </cell>
        </row>
        <row r="676">
          <cell r="A676" t="str">
            <v>B557966/A</v>
          </cell>
          <cell r="B676" t="str">
            <v>AT522NM1241</v>
          </cell>
          <cell r="C676">
            <v>30</v>
          </cell>
          <cell r="D676">
            <v>398</v>
          </cell>
          <cell r="E676">
            <v>11940</v>
          </cell>
          <cell r="F676" t="str">
            <v>A3-S02</v>
          </cell>
          <cell r="G676" t="str">
            <v>Drawer side - Hông hộc kéo</v>
          </cell>
          <cell r="H676" t="str">
            <v>MDF Moisture-Resistant - 12 x 1220 x 2440mm [CARB P2 Compliant]</v>
          </cell>
          <cell r="I676">
            <v>180</v>
          </cell>
        </row>
        <row r="677">
          <cell r="A677" t="str">
            <v>B557966/A</v>
          </cell>
          <cell r="B677" t="str">
            <v>AT522NM1241</v>
          </cell>
          <cell r="C677">
            <v>30</v>
          </cell>
          <cell r="D677">
            <v>398</v>
          </cell>
          <cell r="E677">
            <v>11940</v>
          </cell>
          <cell r="F677" t="str">
            <v>A3-S03</v>
          </cell>
          <cell r="G677" t="str">
            <v>Drawer back - Hậu hộc kéo</v>
          </cell>
          <cell r="H677" t="str">
            <v>MDF - 12 x 1830 x 2440mm [CARB P2 Compliant]</v>
          </cell>
          <cell r="I677">
            <v>90</v>
          </cell>
        </row>
        <row r="678">
          <cell r="A678" t="str">
            <v>B557966/A</v>
          </cell>
          <cell r="B678" t="str">
            <v>AT522NM1241</v>
          </cell>
          <cell r="C678">
            <v>30</v>
          </cell>
          <cell r="D678">
            <v>398</v>
          </cell>
          <cell r="E678">
            <v>11940</v>
          </cell>
          <cell r="F678" t="str">
            <v>A3-S04</v>
          </cell>
          <cell r="G678" t="str">
            <v>Drawer bottom  - Đáy hộc kéo</v>
          </cell>
          <cell r="H678" t="str">
            <v>MDF - 06 x 1830 x 2440mm [CARB P2 Compliant]</v>
          </cell>
          <cell r="I678">
            <v>90</v>
          </cell>
        </row>
        <row r="679">
          <cell r="A679" t="str">
            <v>B557966/A</v>
          </cell>
          <cell r="B679" t="str">
            <v>AT522NM1241</v>
          </cell>
          <cell r="C679">
            <v>30</v>
          </cell>
          <cell r="D679">
            <v>398</v>
          </cell>
          <cell r="E679">
            <v>11940</v>
          </cell>
          <cell r="F679" t="str">
            <v>A3-S05</v>
          </cell>
          <cell r="G679" t="str">
            <v>support Top - đỡ nóc</v>
          </cell>
          <cell r="H679" t="str">
            <v>Standard Wood - ALDER/ASPEN/LENGA/US POPLAR, 2 COM - T38 W120mm+ L2m+</v>
          </cell>
          <cell r="I679">
            <v>90</v>
          </cell>
        </row>
        <row r="680">
          <cell r="A680" t="str">
            <v>B557966/A</v>
          </cell>
          <cell r="B680" t="str">
            <v>AT522NM1241</v>
          </cell>
          <cell r="C680">
            <v>30</v>
          </cell>
          <cell r="D680">
            <v>398</v>
          </cell>
          <cell r="E680">
            <v>11940</v>
          </cell>
          <cell r="F680" t="str">
            <v>A3-S06</v>
          </cell>
          <cell r="G680" t="str">
            <v xml:space="preserve">Drawer front 1 - Mặt hộc kéo </v>
          </cell>
          <cell r="H680" t="str">
            <v>MDF - 12 x 1830 x 2440mm [CARB P2 Compliant]</v>
          </cell>
          <cell r="I680">
            <v>90</v>
          </cell>
        </row>
        <row r="681">
          <cell r="A681" t="str">
            <v>B557966/A</v>
          </cell>
          <cell r="B681" t="str">
            <v>AT522NM1241</v>
          </cell>
          <cell r="C681">
            <v>30</v>
          </cell>
          <cell r="D681">
            <v>398</v>
          </cell>
          <cell r="E681">
            <v>11940</v>
          </cell>
          <cell r="F681" t="str">
            <v>P01</v>
          </cell>
          <cell r="G681" t="str">
            <v xml:space="preserve">Top panel  - Ván nóc </v>
          </cell>
          <cell r="H681" t="str">
            <v>MDF - 15 x 1830 x 2440mm [CARB P2 Compliant]</v>
          </cell>
          <cell r="I681">
            <v>30</v>
          </cell>
        </row>
        <row r="682">
          <cell r="A682" t="str">
            <v>B557966/A</v>
          </cell>
          <cell r="B682" t="str">
            <v>AT522NM1241</v>
          </cell>
          <cell r="C682">
            <v>30</v>
          </cell>
          <cell r="D682">
            <v>398</v>
          </cell>
          <cell r="E682">
            <v>11940</v>
          </cell>
          <cell r="F682" t="str">
            <v>P02</v>
          </cell>
          <cell r="G682" t="str">
            <v>Front top rail  - Đố tiền nóc</v>
          </cell>
          <cell r="H682" t="str">
            <v>MDF - 15 x 1830 x 2440mm [CARB P2 Compliant]</v>
          </cell>
          <cell r="I682">
            <v>30</v>
          </cell>
        </row>
        <row r="683">
          <cell r="A683" t="str">
            <v>B557966/A</v>
          </cell>
          <cell r="B683" t="str">
            <v>AT522NM1241</v>
          </cell>
          <cell r="C683">
            <v>30</v>
          </cell>
          <cell r="D683">
            <v>398</v>
          </cell>
          <cell r="E683">
            <v>11940</v>
          </cell>
          <cell r="F683" t="str">
            <v>P03</v>
          </cell>
          <cell r="G683" t="str">
            <v>Cleat - Bọ gỗ</v>
          </cell>
          <cell r="H683" t="str">
            <v>Standard Wood - ALDER/ASPEN/LENGA/US POPLAR, 2 COM - T25 W120mm+ L2m+</v>
          </cell>
          <cell r="I683">
            <v>60</v>
          </cell>
        </row>
        <row r="684">
          <cell r="A684" t="str">
            <v>B557966/A</v>
          </cell>
          <cell r="B684" t="str">
            <v>AT522NM1241</v>
          </cell>
          <cell r="C684">
            <v>30</v>
          </cell>
          <cell r="D684">
            <v>398</v>
          </cell>
          <cell r="E684">
            <v>11940</v>
          </cell>
          <cell r="F684" t="str">
            <v>P04</v>
          </cell>
          <cell r="G684" t="str">
            <v>back rail - Đố hậu</v>
          </cell>
          <cell r="H684" t="str">
            <v>Wood US Poplar - Straight Edged, 2 COM - T25mm x W100mm Up x L1.8m Up</v>
          </cell>
          <cell r="I684">
            <v>30</v>
          </cell>
        </row>
        <row r="685">
          <cell r="A685" t="str">
            <v>B557966/A</v>
          </cell>
          <cell r="B685" t="str">
            <v>AT522NM1241</v>
          </cell>
          <cell r="C685">
            <v>30</v>
          </cell>
          <cell r="D685">
            <v>398</v>
          </cell>
          <cell r="E685">
            <v>11940</v>
          </cell>
          <cell r="F685" t="str">
            <v>P06</v>
          </cell>
          <cell r="G685" t="str">
            <v>Back panel - Ván hậu</v>
          </cell>
          <cell r="H685" t="str">
            <v>MDF - 15 x 1830 x 2440mm [CARB P2 Compliant]</v>
          </cell>
          <cell r="I685">
            <v>30</v>
          </cell>
        </row>
        <row r="686">
          <cell r="A686" t="str">
            <v>B557966/A</v>
          </cell>
          <cell r="B686" t="str">
            <v>AT522NM1241</v>
          </cell>
          <cell r="C686">
            <v>30</v>
          </cell>
          <cell r="D686">
            <v>398</v>
          </cell>
          <cell r="E686">
            <v>11940</v>
          </cell>
          <cell r="F686" t="str">
            <v>P06-1</v>
          </cell>
          <cell r="G686" t="str">
            <v>Back panel - Ván hậu</v>
          </cell>
          <cell r="H686" t="str">
            <v>Cement Board - 18 x 1220 x 2440mm, Dark Grey</v>
          </cell>
          <cell r="I686">
            <v>30</v>
          </cell>
        </row>
        <row r="687">
          <cell r="A687" t="str">
            <v>B557966/A</v>
          </cell>
          <cell r="B687" t="str">
            <v>AT522NM1241</v>
          </cell>
          <cell r="C687">
            <v>30</v>
          </cell>
          <cell r="D687">
            <v>398</v>
          </cell>
          <cell r="E687">
            <v>11940</v>
          </cell>
          <cell r="F687" t="str">
            <v>P07</v>
          </cell>
          <cell r="G687" t="str">
            <v>Spline - Lưỡi gà</v>
          </cell>
          <cell r="H687" t="str">
            <v>Plywood LVD - 06 x 1220 x 2440mm, Bleached Poplar Veneer Both Sides [CARB P2 Compliant]</v>
          </cell>
          <cell r="I687">
            <v>60</v>
          </cell>
        </row>
        <row r="688">
          <cell r="A688" t="str">
            <v>B557966/A</v>
          </cell>
          <cell r="B688" t="str">
            <v>AT522NM1241</v>
          </cell>
          <cell r="C688">
            <v>30</v>
          </cell>
          <cell r="D688">
            <v>398</v>
          </cell>
          <cell r="E688">
            <v>11940</v>
          </cell>
          <cell r="F688" t="str">
            <v>P08</v>
          </cell>
          <cell r="G688" t="str">
            <v>Spline - Lưỡi gà</v>
          </cell>
          <cell r="H688" t="str">
            <v>Plywood LVD - 06 x 1220 x 2440mm, Bleached Poplar Veneer Both Sides [CARB P2 Compliant]</v>
          </cell>
          <cell r="I688">
            <v>60</v>
          </cell>
        </row>
        <row r="689">
          <cell r="A689" t="str">
            <v>B557966/A</v>
          </cell>
          <cell r="B689" t="str">
            <v>AT522NM1241</v>
          </cell>
          <cell r="C689">
            <v>30</v>
          </cell>
          <cell r="D689">
            <v>398</v>
          </cell>
          <cell r="E689">
            <v>11940</v>
          </cell>
          <cell r="F689" t="str">
            <v>P08-1</v>
          </cell>
          <cell r="G689" t="str">
            <v>Spline - Lưỡi gà</v>
          </cell>
          <cell r="H689" t="str">
            <v>Plywood LVD - 06 x 1220 x 2440mm, Bleached Poplar Veneer Both Sides [CARB P2 Compliant]</v>
          </cell>
          <cell r="I689">
            <v>60</v>
          </cell>
        </row>
        <row r="690">
          <cell r="A690" t="str">
            <v>B557966/A</v>
          </cell>
          <cell r="B690" t="str">
            <v>AT522NM1241</v>
          </cell>
          <cell r="C690">
            <v>30</v>
          </cell>
          <cell r="D690">
            <v>398</v>
          </cell>
          <cell r="E690">
            <v>11940</v>
          </cell>
          <cell r="F690" t="str">
            <v>P09</v>
          </cell>
          <cell r="G690" t="str">
            <v>Spline - Lưỡi gà</v>
          </cell>
          <cell r="H690" t="str">
            <v>Plywood LVD - 06 x 1220 x 2440mm, Bleached Poplar Veneer Both Sides [CARB P2 Compliant]</v>
          </cell>
          <cell r="I690">
            <v>30</v>
          </cell>
        </row>
        <row r="691">
          <cell r="A691" t="str">
            <v>B557966/A</v>
          </cell>
          <cell r="B691" t="str">
            <v>AT522NM1241</v>
          </cell>
          <cell r="C691">
            <v>30</v>
          </cell>
          <cell r="D691">
            <v>398</v>
          </cell>
          <cell r="E691">
            <v>11940</v>
          </cell>
          <cell r="F691" t="str">
            <v>P10</v>
          </cell>
          <cell r="G691" t="str">
            <v>Drawer stop - Dừng hộc</v>
          </cell>
          <cell r="H691" t="str">
            <v>Poplar off cut</v>
          </cell>
          <cell r="I691">
            <v>180</v>
          </cell>
        </row>
        <row r="692">
          <cell r="A692" t="str">
            <v>B557015/A</v>
          </cell>
          <cell r="B692" t="str">
            <v>AT572M888</v>
          </cell>
          <cell r="C692">
            <v>25</v>
          </cell>
          <cell r="D692">
            <v>670</v>
          </cell>
          <cell r="E692">
            <v>16750</v>
          </cell>
          <cell r="F692" t="str">
            <v>A2-S1</v>
          </cell>
          <cell r="G692" t="str">
            <v xml:space="preserve">Side panel  - Ván hông </v>
          </cell>
          <cell r="H692" t="str">
            <v>MDF laminate</v>
          </cell>
          <cell r="I692">
            <v>50</v>
          </cell>
        </row>
        <row r="693">
          <cell r="A693" t="str">
            <v>B557015/A</v>
          </cell>
          <cell r="B693" t="str">
            <v>AT572M888</v>
          </cell>
          <cell r="C693">
            <v>25</v>
          </cell>
          <cell r="D693">
            <v>670</v>
          </cell>
          <cell r="E693">
            <v>16750</v>
          </cell>
          <cell r="F693" t="str">
            <v>A2-S2</v>
          </cell>
          <cell r="G693" t="str">
            <v xml:space="preserve">Panel - Ván </v>
          </cell>
          <cell r="H693" t="str">
            <v>MDF Veneer</v>
          </cell>
          <cell r="I693">
            <v>50</v>
          </cell>
        </row>
        <row r="694">
          <cell r="A694" t="str">
            <v>B557015/A</v>
          </cell>
          <cell r="B694" t="str">
            <v>AT572M888</v>
          </cell>
          <cell r="C694">
            <v>25</v>
          </cell>
          <cell r="D694">
            <v>670</v>
          </cell>
          <cell r="E694">
            <v>16750</v>
          </cell>
          <cell r="F694" t="str">
            <v>A2-S2-5</v>
          </cell>
          <cell r="G694" t="str">
            <v>Insert Wood - Gỗ chèn</v>
          </cell>
          <cell r="H694" t="str">
            <v>Beech off cut</v>
          </cell>
          <cell r="I694">
            <v>100</v>
          </cell>
        </row>
        <row r="695">
          <cell r="A695" t="str">
            <v>B557015/A</v>
          </cell>
          <cell r="B695" t="str">
            <v>AT572M888</v>
          </cell>
          <cell r="C695">
            <v>25</v>
          </cell>
          <cell r="D695">
            <v>670</v>
          </cell>
          <cell r="E695">
            <v>16750</v>
          </cell>
          <cell r="F695" t="str">
            <v>A2-S3</v>
          </cell>
          <cell r="G695" t="str">
            <v>Cleat - Bọ gỗ</v>
          </cell>
          <cell r="H695" t="str">
            <v>Wood EU Beech - Straight/Waving Edged AB, 1 COM - T26mm x W100mm up x L1.8m up</v>
          </cell>
          <cell r="I695">
            <v>150</v>
          </cell>
        </row>
        <row r="696">
          <cell r="A696" t="str">
            <v>B557015/A</v>
          </cell>
          <cell r="B696" t="str">
            <v>AT572M888</v>
          </cell>
          <cell r="C696">
            <v>25</v>
          </cell>
          <cell r="D696">
            <v>670</v>
          </cell>
          <cell r="E696">
            <v>16750</v>
          </cell>
          <cell r="F696" t="str">
            <v>A2-S4</v>
          </cell>
          <cell r="G696" t="str">
            <v xml:space="preserve">Side rail  - Đố hông </v>
          </cell>
          <cell r="H696" t="str">
            <v>Wood laminate</v>
          </cell>
          <cell r="I696">
            <v>100</v>
          </cell>
        </row>
        <row r="697">
          <cell r="A697" t="str">
            <v>B557015/A</v>
          </cell>
          <cell r="B697" t="str">
            <v>AT572M888</v>
          </cell>
          <cell r="C697">
            <v>25</v>
          </cell>
          <cell r="D697">
            <v>670</v>
          </cell>
          <cell r="E697">
            <v>16750</v>
          </cell>
          <cell r="F697" t="str">
            <v>A3.A</v>
          </cell>
          <cell r="G697" t="str">
            <v>Door panel  - Ván cửa</v>
          </cell>
          <cell r="H697" t="str">
            <v>Pre-Assembly</v>
          </cell>
          <cell r="I697">
            <v>50</v>
          </cell>
        </row>
        <row r="698">
          <cell r="A698" t="str">
            <v>B557015/A</v>
          </cell>
          <cell r="B698" t="str">
            <v>AT572M888</v>
          </cell>
          <cell r="C698">
            <v>25</v>
          </cell>
          <cell r="D698">
            <v>670</v>
          </cell>
          <cell r="E698">
            <v>16750</v>
          </cell>
          <cell r="F698" t="str">
            <v>A3-S1</v>
          </cell>
          <cell r="G698" t="str">
            <v>Door panel  - Ván cửa</v>
          </cell>
          <cell r="H698" t="str">
            <v>MDF laminate</v>
          </cell>
          <cell r="I698">
            <v>50</v>
          </cell>
        </row>
        <row r="699">
          <cell r="A699" t="str">
            <v>B557015/A</v>
          </cell>
          <cell r="B699" t="str">
            <v>AT572M888</v>
          </cell>
          <cell r="C699">
            <v>25</v>
          </cell>
          <cell r="D699">
            <v>670</v>
          </cell>
          <cell r="E699">
            <v>16750</v>
          </cell>
          <cell r="F699" t="str">
            <v>A3-S2</v>
          </cell>
          <cell r="G699" t="str">
            <v>Patching wood - Gỗ đắp</v>
          </cell>
          <cell r="H699" t="str">
            <v>Wood US Ash - Straight/Waving Edged, 1 COM - T26mm x W100mm up x L1.8m up</v>
          </cell>
          <cell r="I699">
            <v>50</v>
          </cell>
        </row>
        <row r="700">
          <cell r="A700" t="str">
            <v>B557015/A</v>
          </cell>
          <cell r="B700" t="str">
            <v>AT572M888</v>
          </cell>
          <cell r="C700">
            <v>25</v>
          </cell>
          <cell r="D700">
            <v>670</v>
          </cell>
          <cell r="E700">
            <v>16750</v>
          </cell>
          <cell r="F700" t="str">
            <v>A3-S3</v>
          </cell>
          <cell r="G700" t="str">
            <v>Insert Wood - Gỗ chèn</v>
          </cell>
          <cell r="H700" t="str">
            <v>Wood US Ash - Straight/Waving Edged, 1 COM - T26mm x W100mm up x L1.8m up</v>
          </cell>
          <cell r="I700">
            <v>50</v>
          </cell>
        </row>
        <row r="701">
          <cell r="A701" t="str">
            <v>B557015/A</v>
          </cell>
          <cell r="B701" t="str">
            <v>AT572M888</v>
          </cell>
          <cell r="C701">
            <v>25</v>
          </cell>
          <cell r="D701">
            <v>670</v>
          </cell>
          <cell r="E701">
            <v>16750</v>
          </cell>
          <cell r="F701" t="str">
            <v>P01</v>
          </cell>
          <cell r="G701" t="str">
            <v>Front rail  - Đố tiền</v>
          </cell>
          <cell r="H701" t="str">
            <v>Wood US Ash - Straight/Waving Edged, 1 COM - T32mm x L1.8m Up</v>
          </cell>
          <cell r="I701">
            <v>50</v>
          </cell>
        </row>
        <row r="702">
          <cell r="A702" t="str">
            <v>B557015/A</v>
          </cell>
          <cell r="B702" t="str">
            <v>AT572M888</v>
          </cell>
          <cell r="C702">
            <v>25</v>
          </cell>
          <cell r="D702">
            <v>670</v>
          </cell>
          <cell r="E702">
            <v>16750</v>
          </cell>
          <cell r="F702" t="str">
            <v>P02</v>
          </cell>
          <cell r="G702" t="str">
            <v>Shelf panel  - Ván kệ</v>
          </cell>
          <cell r="H702" t="str">
            <v>MDF Veneer</v>
          </cell>
          <cell r="I702">
            <v>25</v>
          </cell>
        </row>
        <row r="703">
          <cell r="A703" t="str">
            <v>B557015/A</v>
          </cell>
          <cell r="B703" t="str">
            <v>AT572M888</v>
          </cell>
          <cell r="C703">
            <v>25</v>
          </cell>
          <cell r="D703">
            <v>670</v>
          </cell>
          <cell r="E703">
            <v>16750</v>
          </cell>
          <cell r="F703" t="str">
            <v>P03</v>
          </cell>
          <cell r="G703" t="str">
            <v>Bottom panel - Ván đáy</v>
          </cell>
          <cell r="H703" t="str">
            <v>MDF Veneer</v>
          </cell>
          <cell r="I703">
            <v>25</v>
          </cell>
        </row>
        <row r="704">
          <cell r="A704" t="str">
            <v>B557015/A</v>
          </cell>
          <cell r="B704" t="str">
            <v>AT572M888</v>
          </cell>
          <cell r="C704">
            <v>25</v>
          </cell>
          <cell r="D704">
            <v>670</v>
          </cell>
          <cell r="E704">
            <v>16750</v>
          </cell>
          <cell r="F704" t="str">
            <v>P04</v>
          </cell>
          <cell r="G704" t="str">
            <v>Back panel - Ván hậu</v>
          </cell>
          <cell r="H704" t="str">
            <v>MDF Veneer</v>
          </cell>
          <cell r="I704">
            <v>25</v>
          </cell>
        </row>
        <row r="705">
          <cell r="A705" t="str">
            <v>B557015/A</v>
          </cell>
          <cell r="B705" t="str">
            <v>AT572M888</v>
          </cell>
          <cell r="C705">
            <v>25</v>
          </cell>
          <cell r="D705">
            <v>670</v>
          </cell>
          <cell r="E705">
            <v>16750</v>
          </cell>
          <cell r="F705" t="str">
            <v>P05</v>
          </cell>
          <cell r="G705" t="str">
            <v>Front rail  - Đố tiền</v>
          </cell>
          <cell r="H705" t="str">
            <v>Wood EU Beech - Straight/Waving Edged AB, 1 COM - T50mm x W100mm up x L1.8m up</v>
          </cell>
          <cell r="I705">
            <v>25</v>
          </cell>
        </row>
        <row r="706">
          <cell r="A706" t="str">
            <v>B557015/A</v>
          </cell>
          <cell r="B706" t="str">
            <v>AT572M888</v>
          </cell>
          <cell r="C706">
            <v>25</v>
          </cell>
          <cell r="D706">
            <v>670</v>
          </cell>
          <cell r="E706">
            <v>16750</v>
          </cell>
          <cell r="F706" t="str">
            <v>P06</v>
          </cell>
          <cell r="G706" t="str">
            <v>The leg  - Chân</v>
          </cell>
          <cell r="H706" t="str">
            <v>Wood US Ash - Straight/Waving Edged, 1 COM - T38mm x L1.8m Up</v>
          </cell>
          <cell r="I706">
            <v>100</v>
          </cell>
        </row>
        <row r="707">
          <cell r="A707" t="str">
            <v>B557015/A</v>
          </cell>
          <cell r="B707" t="str">
            <v>AT572M888</v>
          </cell>
          <cell r="C707">
            <v>25</v>
          </cell>
          <cell r="D707">
            <v>670</v>
          </cell>
          <cell r="E707">
            <v>16750</v>
          </cell>
          <cell r="F707" t="str">
            <v>P08</v>
          </cell>
          <cell r="G707" t="str">
            <v>Top rail - Đố nóc</v>
          </cell>
          <cell r="H707" t="str">
            <v>Wood EU Beech - Straight/Waving Edged AB, 1 COM - T26mm x W100mm up x L1.8m up</v>
          </cell>
          <cell r="I707">
            <v>75</v>
          </cell>
        </row>
        <row r="708">
          <cell r="A708" t="str">
            <v>B557015/A</v>
          </cell>
          <cell r="B708" t="str">
            <v>AT572M888</v>
          </cell>
          <cell r="C708">
            <v>25</v>
          </cell>
          <cell r="D708">
            <v>670</v>
          </cell>
          <cell r="E708">
            <v>16750</v>
          </cell>
          <cell r="F708" t="str">
            <v>P09</v>
          </cell>
          <cell r="G708" t="str">
            <v>Door stop - Dừng cửa</v>
          </cell>
          <cell r="H708" t="str">
            <v>MDF Veneer</v>
          </cell>
          <cell r="I708">
            <v>25</v>
          </cell>
        </row>
        <row r="709">
          <cell r="A709" t="str">
            <v>B557015/A</v>
          </cell>
          <cell r="B709" t="str">
            <v>AT572M888</v>
          </cell>
          <cell r="C709">
            <v>25</v>
          </cell>
          <cell r="D709">
            <v>670</v>
          </cell>
          <cell r="E709">
            <v>16750</v>
          </cell>
          <cell r="F709" t="str">
            <v>P10</v>
          </cell>
          <cell r="G709" t="str">
            <v>Top rail - Đố nóc</v>
          </cell>
          <cell r="H709" t="str">
            <v>Wood EU Beech - Straight/Waving Edged AB, 1 COM - T26mm x W100mm up x L1.8m up</v>
          </cell>
          <cell r="I709">
            <v>25</v>
          </cell>
        </row>
        <row r="710">
          <cell r="A710" t="str">
            <v>B557015/A</v>
          </cell>
          <cell r="B710" t="str">
            <v>AT572M888</v>
          </cell>
          <cell r="C710">
            <v>25</v>
          </cell>
          <cell r="D710">
            <v>670</v>
          </cell>
          <cell r="E710">
            <v>16750</v>
          </cell>
          <cell r="F710" t="str">
            <v>P11</v>
          </cell>
          <cell r="G710" t="str">
            <v>under top plywood send sudcon - ván gửi NCC dán đá</v>
          </cell>
          <cell r="H710" t="str">
            <v>Plywood Moisture-Resistant - 18 x 1220 x 2440mm [CARB P2 Compliant]</v>
          </cell>
          <cell r="I710">
            <v>25</v>
          </cell>
        </row>
        <row r="711">
          <cell r="A711" t="str">
            <v>B557892/A</v>
          </cell>
          <cell r="B711" t="str">
            <v>AT675M1059</v>
          </cell>
          <cell r="C711">
            <v>3</v>
          </cell>
          <cell r="D711">
            <v>299</v>
          </cell>
          <cell r="E711">
            <v>897</v>
          </cell>
          <cell r="F711" t="str">
            <v>A1-S01</v>
          </cell>
          <cell r="G711" t="str">
            <v xml:space="preserve">Top panel  - Ván nóc </v>
          </cell>
          <cell r="H711" t="str">
            <v>MDF - 18 x 1830 x 2440mm [CARB P2 Compliant]</v>
          </cell>
          <cell r="I711">
            <v>3</v>
          </cell>
        </row>
        <row r="712">
          <cell r="A712" t="str">
            <v>B557892/A</v>
          </cell>
          <cell r="B712" t="str">
            <v>AT675M1059</v>
          </cell>
          <cell r="C712">
            <v>3</v>
          </cell>
          <cell r="D712">
            <v>299</v>
          </cell>
          <cell r="E712">
            <v>897</v>
          </cell>
          <cell r="F712" t="str">
            <v>A1-S02</v>
          </cell>
          <cell r="G712" t="str">
            <v>Front rail  - Đố tiền</v>
          </cell>
          <cell r="H712" t="str">
            <v>Wood EU Beech - Straight/Waving Edged AB, 1 COM - T26mm x W100mm up x L1.8m up</v>
          </cell>
          <cell r="I712">
            <v>6</v>
          </cell>
        </row>
        <row r="713">
          <cell r="A713" t="str">
            <v>B557892/A</v>
          </cell>
          <cell r="B713" t="str">
            <v>AT675M1059</v>
          </cell>
          <cell r="C713">
            <v>3</v>
          </cell>
          <cell r="D713">
            <v>299</v>
          </cell>
          <cell r="E713">
            <v>897</v>
          </cell>
          <cell r="F713" t="str">
            <v>A1-S03</v>
          </cell>
          <cell r="G713" t="str">
            <v>Center rail - Đố giữa</v>
          </cell>
          <cell r="H713" t="str">
            <v>Wood Rubber Laminate Board - 20 x 1220 x 2440mm, Veneer Poplar both Faces</v>
          </cell>
          <cell r="I713">
            <v>6</v>
          </cell>
        </row>
        <row r="714">
          <cell r="A714" t="str">
            <v>B557892/A</v>
          </cell>
          <cell r="B714" t="str">
            <v>AT675M1059</v>
          </cell>
          <cell r="C714">
            <v>3</v>
          </cell>
          <cell r="D714">
            <v>299</v>
          </cell>
          <cell r="E714">
            <v>897</v>
          </cell>
          <cell r="F714" t="str">
            <v>A1-S04</v>
          </cell>
          <cell r="G714" t="str">
            <v>Spline - Lưỡi gà</v>
          </cell>
          <cell r="H714" t="str">
            <v>Plywood LVD - 06 x 1220 x 2440mm, Bleached Poplar Veneer Both Sides [CARB P2 Compliant]</v>
          </cell>
          <cell r="I714">
            <v>6</v>
          </cell>
        </row>
        <row r="715">
          <cell r="A715" t="str">
            <v>B557892/A</v>
          </cell>
          <cell r="B715" t="str">
            <v>AT675M1059</v>
          </cell>
          <cell r="C715">
            <v>3</v>
          </cell>
          <cell r="D715">
            <v>299</v>
          </cell>
          <cell r="E715">
            <v>897</v>
          </cell>
          <cell r="F715" t="str">
            <v>P01</v>
          </cell>
          <cell r="G715" t="str">
            <v>The leg  - Chân</v>
          </cell>
          <cell r="H715" t="str">
            <v>MDF laminate</v>
          </cell>
          <cell r="I715">
            <v>6</v>
          </cell>
        </row>
        <row r="716">
          <cell r="A716" t="str">
            <v>B557892/A</v>
          </cell>
          <cell r="B716" t="str">
            <v>AT675M1059</v>
          </cell>
          <cell r="C716">
            <v>3</v>
          </cell>
          <cell r="D716">
            <v>299</v>
          </cell>
          <cell r="E716">
            <v>897</v>
          </cell>
          <cell r="F716" t="str">
            <v>P01-1</v>
          </cell>
          <cell r="G716" t="str">
            <v>Insert Wood - Gỗ chèn</v>
          </cell>
          <cell r="H716" t="str">
            <v>Beech off cut</v>
          </cell>
          <cell r="I716">
            <v>12</v>
          </cell>
        </row>
        <row r="717">
          <cell r="A717" t="str">
            <v>B557892/A</v>
          </cell>
          <cell r="B717" t="str">
            <v>AT675M1059</v>
          </cell>
          <cell r="C717">
            <v>3</v>
          </cell>
          <cell r="D717">
            <v>299</v>
          </cell>
          <cell r="E717">
            <v>897</v>
          </cell>
          <cell r="F717" t="str">
            <v>P02</v>
          </cell>
          <cell r="G717" t="str">
            <v>Corner block - ke góc</v>
          </cell>
          <cell r="H717" t="str">
            <v>Beech off cut</v>
          </cell>
          <cell r="I717">
            <v>12</v>
          </cell>
        </row>
        <row r="718">
          <cell r="A718" t="str">
            <v>B557892/A</v>
          </cell>
          <cell r="B718" t="str">
            <v>AT675M1059</v>
          </cell>
          <cell r="C718">
            <v>3</v>
          </cell>
          <cell r="D718">
            <v>299</v>
          </cell>
          <cell r="E718">
            <v>897</v>
          </cell>
          <cell r="F718" t="str">
            <v>P03</v>
          </cell>
          <cell r="G718" t="str">
            <v>Cleat - Bọ gỗ</v>
          </cell>
          <cell r="H718" t="str">
            <v>Beech off cut</v>
          </cell>
          <cell r="I718">
            <v>6</v>
          </cell>
        </row>
        <row r="719">
          <cell r="A719" t="str">
            <v>B557892/A</v>
          </cell>
          <cell r="B719" t="str">
            <v>AT675M1059</v>
          </cell>
          <cell r="C719">
            <v>3</v>
          </cell>
          <cell r="D719">
            <v>299</v>
          </cell>
          <cell r="E719">
            <v>897</v>
          </cell>
          <cell r="F719" t="str">
            <v>P04</v>
          </cell>
          <cell r="G719" t="str">
            <v>Spline - Lưỡi gà</v>
          </cell>
          <cell r="H719" t="str">
            <v>Plywood LVD - 06 x 1220 x 2440mm, Bleached Poplar Veneer Both Sides [CARB P2 Compliant]</v>
          </cell>
          <cell r="I719">
            <v>6</v>
          </cell>
        </row>
        <row r="720">
          <cell r="A720" t="str">
            <v>B558281/A</v>
          </cell>
          <cell r="B720" t="str">
            <v>DL015M836</v>
          </cell>
          <cell r="C720">
            <v>60</v>
          </cell>
          <cell r="D720">
            <v>418</v>
          </cell>
          <cell r="E720">
            <v>25080</v>
          </cell>
          <cell r="F720" t="str">
            <v>A1-S01</v>
          </cell>
          <cell r="G720" t="str">
            <v xml:space="preserve">Drawer front - Mặt hộc kéo </v>
          </cell>
          <cell r="H720" t="str">
            <v>Wood Acacia - Straight/Waving Edged - T25mm x W100mm Up x L1m Up (FSC Certificate or Low-risk regions)</v>
          </cell>
          <cell r="I720">
            <v>60</v>
          </cell>
        </row>
        <row r="721">
          <cell r="A721" t="str">
            <v>B558281/A</v>
          </cell>
          <cell r="B721" t="str">
            <v>DL015M836</v>
          </cell>
          <cell r="C721">
            <v>60</v>
          </cell>
          <cell r="D721">
            <v>418</v>
          </cell>
          <cell r="E721">
            <v>25080</v>
          </cell>
          <cell r="F721" t="str">
            <v>A1-S01-1</v>
          </cell>
          <cell r="G721" t="str">
            <v>Patching wood - Gỗ đắp</v>
          </cell>
          <cell r="H721" t="str">
            <v>Wood Acacia - Straight/Waving Edged - T35mm x W100mm Up x L1.5m Up (FSC Certificate or Low-risk regions)</v>
          </cell>
          <cell r="I721">
            <v>120</v>
          </cell>
        </row>
        <row r="722">
          <cell r="A722" t="str">
            <v>B558281/A</v>
          </cell>
          <cell r="B722" t="str">
            <v>DL015M836</v>
          </cell>
          <cell r="C722">
            <v>60</v>
          </cell>
          <cell r="D722">
            <v>418</v>
          </cell>
          <cell r="E722">
            <v>25080</v>
          </cell>
          <cell r="F722" t="str">
            <v>A1-S02</v>
          </cell>
          <cell r="G722" t="str">
            <v xml:space="preserve">Drawer front 1 - Mặt hộc kéo </v>
          </cell>
          <cell r="H722" t="str">
            <v>MDF Veneer</v>
          </cell>
          <cell r="I722">
            <v>60</v>
          </cell>
        </row>
        <row r="723">
          <cell r="A723" t="str">
            <v>B558281/A</v>
          </cell>
          <cell r="B723" t="str">
            <v>DL015M836</v>
          </cell>
          <cell r="C723">
            <v>60</v>
          </cell>
          <cell r="D723">
            <v>418</v>
          </cell>
          <cell r="E723">
            <v>25080</v>
          </cell>
          <cell r="F723" t="str">
            <v>A1-S03</v>
          </cell>
          <cell r="G723" t="str">
            <v>Drawer side - Hông hộc kéo</v>
          </cell>
          <cell r="H723" t="str">
            <v>MDF Veneer</v>
          </cell>
          <cell r="I723">
            <v>120</v>
          </cell>
        </row>
        <row r="724">
          <cell r="A724" t="str">
            <v>B558281/A</v>
          </cell>
          <cell r="B724" t="str">
            <v>DL015M836</v>
          </cell>
          <cell r="C724">
            <v>60</v>
          </cell>
          <cell r="D724">
            <v>418</v>
          </cell>
          <cell r="E724">
            <v>25080</v>
          </cell>
          <cell r="F724" t="str">
            <v>A1-S04</v>
          </cell>
          <cell r="G724" t="str">
            <v>Drawer back - Hậu hộc kéo</v>
          </cell>
          <cell r="H724" t="str">
            <v>MDF Veneer</v>
          </cell>
          <cell r="I724">
            <v>120</v>
          </cell>
        </row>
        <row r="725">
          <cell r="A725" t="str">
            <v>B558281/A</v>
          </cell>
          <cell r="B725" t="str">
            <v>DL015M836</v>
          </cell>
          <cell r="C725">
            <v>60</v>
          </cell>
          <cell r="D725">
            <v>418</v>
          </cell>
          <cell r="E725">
            <v>25080</v>
          </cell>
          <cell r="F725" t="str">
            <v>A1-S05</v>
          </cell>
          <cell r="G725" t="str">
            <v>Drawer side - Hông hộc kéo</v>
          </cell>
          <cell r="H725" t="str">
            <v>MDF Veneer</v>
          </cell>
          <cell r="I725">
            <v>120</v>
          </cell>
        </row>
        <row r="726">
          <cell r="A726" t="str">
            <v>B558281/A</v>
          </cell>
          <cell r="B726" t="str">
            <v>DL015M836</v>
          </cell>
          <cell r="C726">
            <v>60</v>
          </cell>
          <cell r="D726">
            <v>418</v>
          </cell>
          <cell r="E726">
            <v>25080</v>
          </cell>
          <cell r="F726" t="str">
            <v>A1-S06</v>
          </cell>
          <cell r="G726" t="str">
            <v>Drawer back - Hậu hộc kéo</v>
          </cell>
          <cell r="H726" t="str">
            <v>MDF Veneer</v>
          </cell>
          <cell r="I726">
            <v>60</v>
          </cell>
        </row>
        <row r="727">
          <cell r="A727" t="str">
            <v>B558281/A</v>
          </cell>
          <cell r="B727" t="str">
            <v>DL015M836</v>
          </cell>
          <cell r="C727">
            <v>60</v>
          </cell>
          <cell r="D727">
            <v>418</v>
          </cell>
          <cell r="E727">
            <v>25080</v>
          </cell>
          <cell r="F727" t="str">
            <v>A1-S07A</v>
          </cell>
          <cell r="G727" t="str">
            <v>Drawer bottom  - Đáy hộc kéo</v>
          </cell>
          <cell r="H727" t="str">
            <v>MDF Veneer</v>
          </cell>
          <cell r="I727">
            <v>60</v>
          </cell>
        </row>
        <row r="728">
          <cell r="A728" t="str">
            <v>B558281/A</v>
          </cell>
          <cell r="B728" t="str">
            <v>DL015M836</v>
          </cell>
          <cell r="C728">
            <v>60</v>
          </cell>
          <cell r="D728">
            <v>418</v>
          </cell>
          <cell r="E728">
            <v>25080</v>
          </cell>
          <cell r="F728" t="str">
            <v>A1-S08</v>
          </cell>
          <cell r="G728" t="str">
            <v>Cleat - Bọ gỗ</v>
          </cell>
          <cell r="H728" t="str">
            <v>Poplar off cut</v>
          </cell>
          <cell r="I728">
            <v>120</v>
          </cell>
        </row>
        <row r="729">
          <cell r="A729" t="str">
            <v>B558281/A</v>
          </cell>
          <cell r="B729" t="str">
            <v>DL015M836</v>
          </cell>
          <cell r="C729">
            <v>60</v>
          </cell>
          <cell r="D729">
            <v>418</v>
          </cell>
          <cell r="E729">
            <v>25080</v>
          </cell>
          <cell r="F729" t="str">
            <v>A1-S09</v>
          </cell>
          <cell r="G729" t="str">
            <v>Patching wood - Gỗ đắp</v>
          </cell>
          <cell r="H729" t="str">
            <v>Wood Acacia - Straight/Waving Edged - T35mm x W100mm Up x L1.5m Up (FSC Certificate or Low-risk regions)</v>
          </cell>
          <cell r="I729">
            <v>120</v>
          </cell>
        </row>
        <row r="730">
          <cell r="A730" t="str">
            <v>B558281/A</v>
          </cell>
          <cell r="B730" t="str">
            <v>DL015M836</v>
          </cell>
          <cell r="C730">
            <v>60</v>
          </cell>
          <cell r="D730">
            <v>418</v>
          </cell>
          <cell r="E730">
            <v>25080</v>
          </cell>
          <cell r="F730" t="str">
            <v>A1-S10</v>
          </cell>
          <cell r="G730" t="str">
            <v>Patching wood - Gỗ đắp</v>
          </cell>
          <cell r="H730" t="str">
            <v>Wood Acacia - Straight/Waving Edged - T35mm x W100mm Up x L1.5m Up (FSC Certificate or Low-risk regions)</v>
          </cell>
          <cell r="I730">
            <v>120</v>
          </cell>
        </row>
        <row r="731">
          <cell r="A731" t="str">
            <v>B558281/A</v>
          </cell>
          <cell r="B731" t="str">
            <v>DL015M836</v>
          </cell>
          <cell r="C731">
            <v>60</v>
          </cell>
          <cell r="D731">
            <v>418</v>
          </cell>
          <cell r="E731">
            <v>25080</v>
          </cell>
          <cell r="F731" t="str">
            <v>A1-S11</v>
          </cell>
          <cell r="G731" t="str">
            <v>Patching wood - Gỗ đắp</v>
          </cell>
          <cell r="H731" t="str">
            <v>Wood Acacia - Straight/Waving Edged - T35mm x W100mm Up x L1.5m Up (FSC Certificate or Low-risk regions)</v>
          </cell>
          <cell r="I731">
            <v>120</v>
          </cell>
        </row>
        <row r="732">
          <cell r="A732" t="str">
            <v>B558281/A</v>
          </cell>
          <cell r="B732" t="str">
            <v>DL015M836</v>
          </cell>
          <cell r="C732">
            <v>60</v>
          </cell>
          <cell r="D732">
            <v>418</v>
          </cell>
          <cell r="E732">
            <v>25080</v>
          </cell>
          <cell r="F732" t="str">
            <v>A1-S12</v>
          </cell>
          <cell r="G732" t="str">
            <v>Patching wood - Gỗ đắp</v>
          </cell>
          <cell r="H732" t="str">
            <v>Wood Acacia - Straight/Waving Edged - T35mm x W100mm Up x L1.5m Up (FSC Certificate or Low-risk regions)</v>
          </cell>
          <cell r="I732">
            <v>60</v>
          </cell>
        </row>
        <row r="733">
          <cell r="A733" t="str">
            <v>B558281/A</v>
          </cell>
          <cell r="B733" t="str">
            <v>DL015M836</v>
          </cell>
          <cell r="C733">
            <v>60</v>
          </cell>
          <cell r="D733">
            <v>418</v>
          </cell>
          <cell r="E733">
            <v>25080</v>
          </cell>
          <cell r="F733" t="str">
            <v>A1-S13</v>
          </cell>
          <cell r="G733" t="str">
            <v>Patching wood - Gỗ đắp</v>
          </cell>
          <cell r="H733" t="str">
            <v>Wood Acacia - Straight/Waving Edged - T35mm x W100mm Up x L1.5m Up (FSC Certificate or Low-risk regions)</v>
          </cell>
          <cell r="I733">
            <v>60</v>
          </cell>
        </row>
        <row r="734">
          <cell r="A734" t="str">
            <v>B558281/A</v>
          </cell>
          <cell r="B734" t="str">
            <v>DL015M836</v>
          </cell>
          <cell r="C734">
            <v>60</v>
          </cell>
          <cell r="D734">
            <v>418</v>
          </cell>
          <cell r="E734">
            <v>25080</v>
          </cell>
          <cell r="F734" t="str">
            <v>A1-S14</v>
          </cell>
          <cell r="G734" t="str">
            <v>MDF - MDF</v>
          </cell>
          <cell r="H734" t="str">
            <v>MDF OFF CUT</v>
          </cell>
          <cell r="I734">
            <v>60</v>
          </cell>
        </row>
        <row r="735">
          <cell r="A735" t="str">
            <v>B558281/A</v>
          </cell>
          <cell r="B735" t="str">
            <v>DL015M836</v>
          </cell>
          <cell r="C735">
            <v>60</v>
          </cell>
          <cell r="D735">
            <v>418</v>
          </cell>
          <cell r="E735">
            <v>25080</v>
          </cell>
          <cell r="F735" t="str">
            <v>P01</v>
          </cell>
          <cell r="G735" t="str">
            <v xml:space="preserve">Side panel  - Ván hông </v>
          </cell>
          <cell r="H735" t="str">
            <v>Pre-Assembly</v>
          </cell>
          <cell r="I735">
            <v>120</v>
          </cell>
        </row>
        <row r="736">
          <cell r="A736" t="str">
            <v>B558281/A</v>
          </cell>
          <cell r="B736" t="str">
            <v>DL015M836</v>
          </cell>
          <cell r="C736">
            <v>60</v>
          </cell>
          <cell r="D736">
            <v>418</v>
          </cell>
          <cell r="E736">
            <v>25080</v>
          </cell>
          <cell r="F736" t="str">
            <v>P01-1</v>
          </cell>
          <cell r="G736" t="str">
            <v xml:space="preserve">Side panel  - Ván hông </v>
          </cell>
          <cell r="H736" t="str">
            <v>MDF Veneer</v>
          </cell>
          <cell r="I736">
            <v>120</v>
          </cell>
        </row>
        <row r="737">
          <cell r="A737" t="str">
            <v>B558281/A</v>
          </cell>
          <cell r="B737" t="str">
            <v>DL015M836</v>
          </cell>
          <cell r="C737">
            <v>60</v>
          </cell>
          <cell r="D737">
            <v>418</v>
          </cell>
          <cell r="E737">
            <v>25080</v>
          </cell>
          <cell r="F737" t="str">
            <v>P01-2</v>
          </cell>
          <cell r="G737" t="str">
            <v>Patching wood - Gỗ đắp</v>
          </cell>
          <cell r="H737" t="str">
            <v>Veneer laminate</v>
          </cell>
          <cell r="I737">
            <v>120</v>
          </cell>
        </row>
        <row r="738">
          <cell r="A738" t="str">
            <v>B558281/A</v>
          </cell>
          <cell r="B738" t="str">
            <v>DL015M836</v>
          </cell>
          <cell r="C738">
            <v>60</v>
          </cell>
          <cell r="D738">
            <v>418</v>
          </cell>
          <cell r="E738">
            <v>25080</v>
          </cell>
          <cell r="F738" t="str">
            <v>P01-3</v>
          </cell>
          <cell r="G738" t="str">
            <v>Patching wood - Gỗ đắp</v>
          </cell>
          <cell r="H738" t="str">
            <v>Veneer laminate</v>
          </cell>
          <cell r="I738">
            <v>120</v>
          </cell>
        </row>
        <row r="739">
          <cell r="A739" t="str">
            <v>B558281/A</v>
          </cell>
          <cell r="B739" t="str">
            <v>DL015M836</v>
          </cell>
          <cell r="C739">
            <v>60</v>
          </cell>
          <cell r="D739">
            <v>418</v>
          </cell>
          <cell r="E739">
            <v>25080</v>
          </cell>
          <cell r="F739" t="str">
            <v>P01-4</v>
          </cell>
          <cell r="G739" t="str">
            <v>Insert Wood - Gỗ chèn</v>
          </cell>
          <cell r="H739" t="str">
            <v>Beech off cut</v>
          </cell>
          <cell r="I739">
            <v>240</v>
          </cell>
        </row>
        <row r="740">
          <cell r="A740" t="str">
            <v>B558281/A</v>
          </cell>
          <cell r="B740" t="str">
            <v>DL015M836</v>
          </cell>
          <cell r="C740">
            <v>60</v>
          </cell>
          <cell r="D740">
            <v>418</v>
          </cell>
          <cell r="E740">
            <v>25080</v>
          </cell>
          <cell r="F740" t="str">
            <v>P02</v>
          </cell>
          <cell r="G740" t="str">
            <v>Bottom frame - Khung dưới</v>
          </cell>
          <cell r="H740" t="str">
            <v>Pre-Assembly</v>
          </cell>
          <cell r="I740">
            <v>60</v>
          </cell>
        </row>
        <row r="741">
          <cell r="A741" t="str">
            <v>B558281/A</v>
          </cell>
          <cell r="B741" t="str">
            <v>DL015M836</v>
          </cell>
          <cell r="C741">
            <v>60</v>
          </cell>
          <cell r="D741">
            <v>418</v>
          </cell>
          <cell r="E741">
            <v>25080</v>
          </cell>
          <cell r="F741" t="str">
            <v>P02-1</v>
          </cell>
          <cell r="G741" t="str">
            <v>Bottom panel - Ván đáy</v>
          </cell>
          <cell r="H741" t="str">
            <v>MDF Veneer</v>
          </cell>
          <cell r="I741">
            <v>60</v>
          </cell>
        </row>
        <row r="742">
          <cell r="A742" t="str">
            <v>B558281/A</v>
          </cell>
          <cell r="B742" t="str">
            <v>DL015M836</v>
          </cell>
          <cell r="C742">
            <v>60</v>
          </cell>
          <cell r="D742">
            <v>418</v>
          </cell>
          <cell r="E742">
            <v>25080</v>
          </cell>
          <cell r="F742" t="str">
            <v>P02-2</v>
          </cell>
          <cell r="G742" t="str">
            <v>Patching wood - Gỗ đắp</v>
          </cell>
          <cell r="H742" t="str">
            <v>MDF Veneer</v>
          </cell>
          <cell r="I742">
            <v>60</v>
          </cell>
        </row>
        <row r="743">
          <cell r="A743" t="str">
            <v>B558281/A</v>
          </cell>
          <cell r="B743" t="str">
            <v>DL015M836</v>
          </cell>
          <cell r="C743">
            <v>60</v>
          </cell>
          <cell r="D743">
            <v>418</v>
          </cell>
          <cell r="E743">
            <v>25080</v>
          </cell>
          <cell r="F743" t="str">
            <v>P02-3</v>
          </cell>
          <cell r="G743" t="str">
            <v>Patching wood - Gỗ đắp</v>
          </cell>
          <cell r="H743" t="str">
            <v>MDF Veneer</v>
          </cell>
          <cell r="I743">
            <v>120</v>
          </cell>
        </row>
        <row r="744">
          <cell r="A744" t="str">
            <v>B558281/A</v>
          </cell>
          <cell r="B744" t="str">
            <v>DL015M836</v>
          </cell>
          <cell r="C744">
            <v>60</v>
          </cell>
          <cell r="D744">
            <v>418</v>
          </cell>
          <cell r="E744">
            <v>25080</v>
          </cell>
          <cell r="F744" t="str">
            <v>P02-4</v>
          </cell>
          <cell r="G744" t="str">
            <v>Patching wood - Gỗ đắp</v>
          </cell>
          <cell r="H744" t="str">
            <v>Wood EU Beech - Straight/Waving Edged ABC, 2 COM - T50mm x W100mm up x L1.8m up</v>
          </cell>
          <cell r="I744">
            <v>60</v>
          </cell>
        </row>
        <row r="745">
          <cell r="A745" t="str">
            <v>B558281/A</v>
          </cell>
          <cell r="B745" t="str">
            <v>DL015M836</v>
          </cell>
          <cell r="C745">
            <v>60</v>
          </cell>
          <cell r="D745">
            <v>418</v>
          </cell>
          <cell r="E745">
            <v>25080</v>
          </cell>
          <cell r="F745" t="str">
            <v>P02-5</v>
          </cell>
          <cell r="G745" t="str">
            <v>Patching wood - Gỗ đắp</v>
          </cell>
          <cell r="H745" t="str">
            <v>Wood Acacia - Straight/Waving Edged - T35mm x W100mm Up x L1.5m Up (FSC Certificate or Low-risk regions)</v>
          </cell>
          <cell r="I745">
            <v>120</v>
          </cell>
        </row>
        <row r="746">
          <cell r="A746" t="str">
            <v>B558281/A</v>
          </cell>
          <cell r="B746" t="str">
            <v>DL015M836</v>
          </cell>
          <cell r="C746">
            <v>60</v>
          </cell>
          <cell r="D746">
            <v>418</v>
          </cell>
          <cell r="E746">
            <v>25080</v>
          </cell>
          <cell r="F746" t="str">
            <v>P03</v>
          </cell>
          <cell r="G746" t="str">
            <v>Top rail - Đố nóc</v>
          </cell>
          <cell r="H746" t="str">
            <v>Wood US Poplar - Straight Edged, 2 COM - T25mm x W100mm Up x L1.8m Up</v>
          </cell>
          <cell r="I746">
            <v>60</v>
          </cell>
        </row>
        <row r="747">
          <cell r="A747" t="str">
            <v>B558281/A</v>
          </cell>
          <cell r="B747" t="str">
            <v>DL015M836</v>
          </cell>
          <cell r="C747">
            <v>60</v>
          </cell>
          <cell r="D747">
            <v>418</v>
          </cell>
          <cell r="E747">
            <v>25080</v>
          </cell>
          <cell r="F747" t="str">
            <v>P04</v>
          </cell>
          <cell r="G747" t="str">
            <v>Top rail - Đố nóc</v>
          </cell>
          <cell r="H747" t="str">
            <v>Wood Acacia - Straight/Waving Edged - T25mm x W100mm Up x L1m Up (FSC Certificate or Low-risk regions)</v>
          </cell>
          <cell r="I747">
            <v>120</v>
          </cell>
        </row>
        <row r="748">
          <cell r="A748" t="str">
            <v>B558281/A</v>
          </cell>
          <cell r="B748" t="str">
            <v>DL015M836</v>
          </cell>
          <cell r="C748">
            <v>60</v>
          </cell>
          <cell r="D748">
            <v>418</v>
          </cell>
          <cell r="E748">
            <v>25080</v>
          </cell>
          <cell r="F748" t="str">
            <v>P05</v>
          </cell>
          <cell r="G748" t="str">
            <v>Back rail with note finger - đố hậu</v>
          </cell>
          <cell r="H748" t="str">
            <v>Wood EU Beech - Straight/Waving Edged ABC, 2 COM - T26mm x W100mm up x L1.8m up</v>
          </cell>
          <cell r="I748">
            <v>60</v>
          </cell>
        </row>
        <row r="749">
          <cell r="A749" t="str">
            <v>B558281/A</v>
          </cell>
          <cell r="B749" t="str">
            <v>DL015M836</v>
          </cell>
          <cell r="C749">
            <v>60</v>
          </cell>
          <cell r="D749">
            <v>418</v>
          </cell>
          <cell r="E749">
            <v>25080</v>
          </cell>
          <cell r="F749" t="str">
            <v>P06</v>
          </cell>
          <cell r="G749" t="str">
            <v>Back panel - Ván hậu</v>
          </cell>
          <cell r="H749" t="str">
            <v>MDF Veneer</v>
          </cell>
          <cell r="I749">
            <v>60</v>
          </cell>
        </row>
        <row r="750">
          <cell r="A750" t="str">
            <v>B558281/A</v>
          </cell>
          <cell r="B750" t="str">
            <v>DL015M836</v>
          </cell>
          <cell r="C750">
            <v>60</v>
          </cell>
          <cell r="D750">
            <v>418</v>
          </cell>
          <cell r="E750">
            <v>25080</v>
          </cell>
          <cell r="F750" t="str">
            <v>P07</v>
          </cell>
          <cell r="G750" t="str">
            <v>Vertical rail 1 - Đố đứng 1</v>
          </cell>
          <cell r="H750" t="str">
            <v>Wood Acacia - Straight/Waving Edged - T25mm x W100mm Up x L1m Up (FSC Certificate or Low-risk regions)</v>
          </cell>
          <cell r="I750">
            <v>120</v>
          </cell>
        </row>
        <row r="751">
          <cell r="A751" t="str">
            <v>B558281/A</v>
          </cell>
          <cell r="B751" t="str">
            <v>DL015M836</v>
          </cell>
          <cell r="C751">
            <v>60</v>
          </cell>
          <cell r="D751">
            <v>418</v>
          </cell>
          <cell r="E751">
            <v>25080</v>
          </cell>
          <cell r="F751" t="str">
            <v>P08</v>
          </cell>
          <cell r="G751" t="str">
            <v>Bottom panel - Ván đáy</v>
          </cell>
          <cell r="H751" t="str">
            <v>MDF Veneer</v>
          </cell>
          <cell r="I751">
            <v>60</v>
          </cell>
        </row>
        <row r="752">
          <cell r="A752" t="str">
            <v>B558281/A</v>
          </cell>
          <cell r="B752" t="str">
            <v>DL015M836</v>
          </cell>
          <cell r="C752">
            <v>60</v>
          </cell>
          <cell r="D752">
            <v>418</v>
          </cell>
          <cell r="E752">
            <v>25080</v>
          </cell>
          <cell r="F752" t="str">
            <v>P09</v>
          </cell>
          <cell r="G752" t="str">
            <v>Horizontal rail 1 - Đố ngang 1</v>
          </cell>
          <cell r="H752" t="str">
            <v>Wood Acacia - Straight/Waving Edged - T25mm x W100mm Up x L1m Up (FSC Certificate or Low-risk regions)</v>
          </cell>
          <cell r="I752">
            <v>120</v>
          </cell>
        </row>
        <row r="753">
          <cell r="A753" t="str">
            <v>B558281/A</v>
          </cell>
          <cell r="B753" t="str">
            <v>DL015M836</v>
          </cell>
          <cell r="C753">
            <v>60</v>
          </cell>
          <cell r="D753">
            <v>418</v>
          </cell>
          <cell r="E753">
            <v>25080</v>
          </cell>
          <cell r="F753" t="str">
            <v>P09-1</v>
          </cell>
          <cell r="G753" t="str">
            <v>Horizontal rail 1 - Đố ngang 1</v>
          </cell>
          <cell r="H753" t="str">
            <v>Poplar off cut</v>
          </cell>
          <cell r="I753">
            <v>120</v>
          </cell>
        </row>
        <row r="754">
          <cell r="A754" t="str">
            <v>B558281/A</v>
          </cell>
          <cell r="B754" t="str">
            <v>DL015M836</v>
          </cell>
          <cell r="C754">
            <v>60</v>
          </cell>
          <cell r="D754">
            <v>418</v>
          </cell>
          <cell r="E754">
            <v>25080</v>
          </cell>
          <cell r="F754" t="str">
            <v>P10</v>
          </cell>
          <cell r="G754" t="str">
            <v>Patching wood - Gỗ đắp</v>
          </cell>
          <cell r="H754" t="str">
            <v>Wood Acacia - Straight/Waving Edged - T25mm x W100mm Up x L1m Up (FSC Certificate or Low-risk regions)</v>
          </cell>
          <cell r="I754">
            <v>120</v>
          </cell>
        </row>
        <row r="755">
          <cell r="A755" t="str">
            <v>B558281/A</v>
          </cell>
          <cell r="B755" t="str">
            <v>DL015M836</v>
          </cell>
          <cell r="C755">
            <v>60</v>
          </cell>
          <cell r="D755">
            <v>418</v>
          </cell>
          <cell r="E755">
            <v>25080</v>
          </cell>
          <cell r="F755" t="str">
            <v>P11</v>
          </cell>
          <cell r="G755" t="str">
            <v>Fixed Shelf  - Kệ bắt chết</v>
          </cell>
          <cell r="H755" t="str">
            <v>Pre-Assembly</v>
          </cell>
          <cell r="I755">
            <v>60</v>
          </cell>
        </row>
        <row r="756">
          <cell r="A756" t="str">
            <v>B558281/A</v>
          </cell>
          <cell r="B756" t="str">
            <v>DL015M836</v>
          </cell>
          <cell r="C756">
            <v>60</v>
          </cell>
          <cell r="D756">
            <v>418</v>
          </cell>
          <cell r="E756">
            <v>25080</v>
          </cell>
          <cell r="F756" t="str">
            <v>P11-1</v>
          </cell>
          <cell r="G756" t="str">
            <v>Patching wood - Gỗ đắp</v>
          </cell>
          <cell r="H756" t="str">
            <v>Wood Acacia - Straight/Waving Edged - T25mm x W100mm Up x L1m Up (FSC Certificate or Low-risk regions)</v>
          </cell>
          <cell r="I756">
            <v>60</v>
          </cell>
        </row>
        <row r="757">
          <cell r="A757" t="str">
            <v>B558281/A</v>
          </cell>
          <cell r="B757" t="str">
            <v>DL015M836</v>
          </cell>
          <cell r="C757">
            <v>60</v>
          </cell>
          <cell r="D757">
            <v>418</v>
          </cell>
          <cell r="E757">
            <v>25080</v>
          </cell>
          <cell r="F757" t="str">
            <v>P11-2</v>
          </cell>
          <cell r="G757" t="str">
            <v>Fixed Shelf  - Kệ bắt chết</v>
          </cell>
          <cell r="H757" t="str">
            <v>MDF Veneer</v>
          </cell>
          <cell r="I757">
            <v>60</v>
          </cell>
        </row>
        <row r="758">
          <cell r="A758" t="str">
            <v>B558281/A</v>
          </cell>
          <cell r="B758" t="str">
            <v>DL015M836</v>
          </cell>
          <cell r="C758">
            <v>60</v>
          </cell>
          <cell r="D758">
            <v>418</v>
          </cell>
          <cell r="E758">
            <v>25080</v>
          </cell>
          <cell r="F758" t="str">
            <v>P12</v>
          </cell>
          <cell r="G758" t="str">
            <v>Door Frame - Khung cửa</v>
          </cell>
          <cell r="H758" t="str">
            <v>Pre-Assembly</v>
          </cell>
          <cell r="I758">
            <v>120</v>
          </cell>
        </row>
        <row r="759">
          <cell r="A759" t="str">
            <v>B558281/A</v>
          </cell>
          <cell r="B759" t="str">
            <v>DL015M836</v>
          </cell>
          <cell r="C759">
            <v>60</v>
          </cell>
          <cell r="D759">
            <v>418</v>
          </cell>
          <cell r="E759">
            <v>25080</v>
          </cell>
          <cell r="F759" t="str">
            <v>P12-1</v>
          </cell>
          <cell r="G759" t="str">
            <v>Door Frame - Khung cửa</v>
          </cell>
          <cell r="H759" t="str">
            <v>Pre-Assembly</v>
          </cell>
          <cell r="I759">
            <v>120</v>
          </cell>
        </row>
        <row r="760">
          <cell r="A760" t="str">
            <v>B558281/A</v>
          </cell>
          <cell r="B760" t="str">
            <v>DL015M836</v>
          </cell>
          <cell r="C760">
            <v>60</v>
          </cell>
          <cell r="D760">
            <v>418</v>
          </cell>
          <cell r="E760">
            <v>25080</v>
          </cell>
          <cell r="F760" t="str">
            <v>P12-1-1</v>
          </cell>
          <cell r="G760" t="str">
            <v>Door Horizontal rail  - Đố cửa ngang</v>
          </cell>
          <cell r="H760" t="str">
            <v>Wood Acacia - Straight/Waving Edged - T25mm x W100mm Up x L1m Up (FSC Certificate or Low-risk regions)</v>
          </cell>
          <cell r="I760">
            <v>240</v>
          </cell>
        </row>
        <row r="761">
          <cell r="A761" t="str">
            <v>B558281/A</v>
          </cell>
          <cell r="B761" t="str">
            <v>DL015M836</v>
          </cell>
          <cell r="C761">
            <v>60</v>
          </cell>
          <cell r="D761">
            <v>418</v>
          </cell>
          <cell r="E761">
            <v>25080</v>
          </cell>
          <cell r="F761" t="str">
            <v>P12-1-2</v>
          </cell>
          <cell r="G761" t="str">
            <v>Door vertical rail  - Đố cửa đứng</v>
          </cell>
          <cell r="H761" t="str">
            <v>Wood Acacia - Straight/Waving Edged - T25mm x W100mm Up x L1m Up (FSC Certificate or Low-risk regions)</v>
          </cell>
          <cell r="I761">
            <v>240</v>
          </cell>
        </row>
        <row r="762">
          <cell r="A762" t="str">
            <v>B558281/A</v>
          </cell>
          <cell r="B762" t="str">
            <v>DL015M836</v>
          </cell>
          <cell r="C762">
            <v>60</v>
          </cell>
          <cell r="D762">
            <v>418</v>
          </cell>
          <cell r="E762">
            <v>25080</v>
          </cell>
          <cell r="F762" t="str">
            <v>P12-1-3</v>
          </cell>
          <cell r="G762" t="str">
            <v>Door panel  - Ván cửa</v>
          </cell>
          <cell r="H762" t="str">
            <v>MDF Veneer</v>
          </cell>
          <cell r="I762">
            <v>120</v>
          </cell>
        </row>
        <row r="763">
          <cell r="A763" t="str">
            <v>B558281/A</v>
          </cell>
          <cell r="B763" t="str">
            <v>DL015M836</v>
          </cell>
          <cell r="C763">
            <v>60</v>
          </cell>
          <cell r="D763">
            <v>418</v>
          </cell>
          <cell r="E763">
            <v>25080</v>
          </cell>
          <cell r="F763" t="str">
            <v>P12-2</v>
          </cell>
          <cell r="G763" t="str">
            <v>Patching wood - Gỗ đắp</v>
          </cell>
          <cell r="H763" t="str">
            <v>Veneer laminate</v>
          </cell>
          <cell r="I763">
            <v>120</v>
          </cell>
        </row>
        <row r="764">
          <cell r="A764" t="str">
            <v>B558281/A</v>
          </cell>
          <cell r="B764" t="str">
            <v>DL015M836</v>
          </cell>
          <cell r="C764">
            <v>60</v>
          </cell>
          <cell r="D764">
            <v>418</v>
          </cell>
          <cell r="E764">
            <v>25080</v>
          </cell>
          <cell r="F764" t="str">
            <v>P12-3</v>
          </cell>
          <cell r="G764" t="str">
            <v>Patching wood - Gỗ đắp</v>
          </cell>
          <cell r="H764" t="str">
            <v>Veneer laminate</v>
          </cell>
          <cell r="I764">
            <v>120</v>
          </cell>
        </row>
        <row r="765">
          <cell r="A765" t="str">
            <v>B558281/A</v>
          </cell>
          <cell r="B765" t="str">
            <v>DL015M836</v>
          </cell>
          <cell r="C765">
            <v>60</v>
          </cell>
          <cell r="D765">
            <v>418</v>
          </cell>
          <cell r="E765">
            <v>25080</v>
          </cell>
          <cell r="F765" t="str">
            <v>P13</v>
          </cell>
          <cell r="G765" t="str">
            <v>Drawer stop - Dừng hộc</v>
          </cell>
          <cell r="H765" t="str">
            <v>Poplar off cut</v>
          </cell>
          <cell r="I765">
            <v>120</v>
          </cell>
        </row>
        <row r="766">
          <cell r="A766" t="str">
            <v>B558281/A</v>
          </cell>
          <cell r="B766" t="str">
            <v>DL015M836</v>
          </cell>
          <cell r="C766">
            <v>60</v>
          </cell>
          <cell r="D766">
            <v>418</v>
          </cell>
          <cell r="E766">
            <v>25080</v>
          </cell>
          <cell r="F766" t="str">
            <v>P14</v>
          </cell>
          <cell r="G766" t="str">
            <v>Corner block - ke góc</v>
          </cell>
          <cell r="H766" t="str">
            <v>Poplar off cut</v>
          </cell>
          <cell r="I766">
            <v>240</v>
          </cell>
        </row>
        <row r="767">
          <cell r="A767" t="str">
            <v>B558283/A</v>
          </cell>
          <cell r="B767" t="str">
            <v>DL018M837</v>
          </cell>
          <cell r="C767">
            <v>50</v>
          </cell>
          <cell r="D767">
            <v>409</v>
          </cell>
          <cell r="E767">
            <v>20450</v>
          </cell>
          <cell r="F767" t="str">
            <v>A1-S0</v>
          </cell>
          <cell r="G767" t="str">
            <v xml:space="preserve">Panel - Ván </v>
          </cell>
          <cell r="H767" t="str">
            <v>MDF Veneer</v>
          </cell>
          <cell r="I767">
            <v>200</v>
          </cell>
        </row>
        <row r="768">
          <cell r="A768" t="str">
            <v>B558283/A</v>
          </cell>
          <cell r="B768" t="str">
            <v>DL018M837</v>
          </cell>
          <cell r="C768">
            <v>50</v>
          </cell>
          <cell r="D768">
            <v>409</v>
          </cell>
          <cell r="E768">
            <v>20450</v>
          </cell>
          <cell r="F768" t="str">
            <v>A1-S0-1</v>
          </cell>
          <cell r="G768" t="str">
            <v xml:space="preserve">Panel - Ván </v>
          </cell>
          <cell r="H768" t="str">
            <v>MDF Veneer</v>
          </cell>
          <cell r="I768">
            <v>200</v>
          </cell>
        </row>
        <row r="769">
          <cell r="A769" t="str">
            <v>B558283/A</v>
          </cell>
          <cell r="B769" t="str">
            <v>DL018M837</v>
          </cell>
          <cell r="C769">
            <v>50</v>
          </cell>
          <cell r="D769">
            <v>409</v>
          </cell>
          <cell r="E769">
            <v>20450</v>
          </cell>
          <cell r="F769" t="str">
            <v>A1-S1</v>
          </cell>
          <cell r="G769" t="str">
            <v xml:space="preserve">Drawer front - Mặt hộc kéo </v>
          </cell>
          <cell r="H769" t="str">
            <v>Pre-Assembly</v>
          </cell>
          <cell r="I769">
            <v>50</v>
          </cell>
        </row>
        <row r="770">
          <cell r="A770" t="str">
            <v>B558283/A</v>
          </cell>
          <cell r="B770" t="str">
            <v>DL018M837</v>
          </cell>
          <cell r="C770">
            <v>50</v>
          </cell>
          <cell r="D770">
            <v>409</v>
          </cell>
          <cell r="E770">
            <v>20450</v>
          </cell>
          <cell r="F770" t="str">
            <v>A1-S1-1</v>
          </cell>
          <cell r="G770" t="str">
            <v>Patching moulding - Chỉ đắp</v>
          </cell>
          <cell r="H770" t="str">
            <v>Wood US Ash - Straight/Waving Edged, 1 COM - T26mm x W100mm up x L1.8m up</v>
          </cell>
          <cell r="I770">
            <v>200</v>
          </cell>
        </row>
        <row r="771">
          <cell r="A771" t="str">
            <v>B558283/A</v>
          </cell>
          <cell r="B771" t="str">
            <v>DL018M837</v>
          </cell>
          <cell r="C771">
            <v>50</v>
          </cell>
          <cell r="D771">
            <v>409</v>
          </cell>
          <cell r="E771">
            <v>20450</v>
          </cell>
          <cell r="F771" t="str">
            <v>A1-S1-2</v>
          </cell>
          <cell r="G771" t="str">
            <v>Patching moulding - Chỉ đắp</v>
          </cell>
          <cell r="H771" t="str">
            <v>Wood US Ash - Straight/Waving Edged, 1 COM - T26mm x W100mm up x L1.8m up</v>
          </cell>
          <cell r="I771">
            <v>200</v>
          </cell>
        </row>
        <row r="772">
          <cell r="A772" t="str">
            <v>B558283/A</v>
          </cell>
          <cell r="B772" t="str">
            <v>DL018M837</v>
          </cell>
          <cell r="C772">
            <v>50</v>
          </cell>
          <cell r="D772">
            <v>409</v>
          </cell>
          <cell r="E772">
            <v>20450</v>
          </cell>
          <cell r="F772" t="str">
            <v>A1-S1-3</v>
          </cell>
          <cell r="G772" t="str">
            <v xml:space="preserve">Panel - Ván </v>
          </cell>
          <cell r="H772" t="str">
            <v>MDF Veneer</v>
          </cell>
          <cell r="I772">
            <v>50</v>
          </cell>
        </row>
        <row r="773">
          <cell r="A773" t="str">
            <v>B558283/A</v>
          </cell>
          <cell r="B773" t="str">
            <v>DL018M837</v>
          </cell>
          <cell r="C773">
            <v>50</v>
          </cell>
          <cell r="D773">
            <v>409</v>
          </cell>
          <cell r="E773">
            <v>20450</v>
          </cell>
          <cell r="F773" t="str">
            <v>A1-S1-4</v>
          </cell>
          <cell r="G773" t="str">
            <v>Patching wood - Gỗ đắp</v>
          </cell>
          <cell r="H773" t="str">
            <v>MDF Veneer</v>
          </cell>
          <cell r="I773">
            <v>1000</v>
          </cell>
        </row>
        <row r="774">
          <cell r="A774" t="str">
            <v>B558283/A</v>
          </cell>
          <cell r="B774" t="str">
            <v>DL018M837</v>
          </cell>
          <cell r="C774">
            <v>50</v>
          </cell>
          <cell r="D774">
            <v>409</v>
          </cell>
          <cell r="E774">
            <v>20450</v>
          </cell>
          <cell r="F774" t="str">
            <v>A1-S1-5</v>
          </cell>
          <cell r="G774" t="str">
            <v>Patching wood - Gỗ đắp</v>
          </cell>
          <cell r="H774" t="str">
            <v>MDF Veneer</v>
          </cell>
          <cell r="I774">
            <v>800</v>
          </cell>
        </row>
        <row r="775">
          <cell r="A775" t="str">
            <v>B558283/A</v>
          </cell>
          <cell r="B775" t="str">
            <v>DL018M837</v>
          </cell>
          <cell r="C775">
            <v>50</v>
          </cell>
          <cell r="D775">
            <v>409</v>
          </cell>
          <cell r="E775">
            <v>20450</v>
          </cell>
          <cell r="F775" t="str">
            <v>A1-S1-6</v>
          </cell>
          <cell r="G775" t="str">
            <v>Patching wood - Gỗ đắp</v>
          </cell>
          <cell r="H775" t="str">
            <v>MDF Veneer</v>
          </cell>
          <cell r="I775">
            <v>200</v>
          </cell>
        </row>
        <row r="776">
          <cell r="A776" t="str">
            <v>B558283/A</v>
          </cell>
          <cell r="B776" t="str">
            <v>DL018M837</v>
          </cell>
          <cell r="C776">
            <v>50</v>
          </cell>
          <cell r="D776">
            <v>409</v>
          </cell>
          <cell r="E776">
            <v>20450</v>
          </cell>
          <cell r="F776" t="str">
            <v>A1-S2</v>
          </cell>
          <cell r="G776" t="str">
            <v xml:space="preserve">Drawer front 1 - Mặt hộc kéo </v>
          </cell>
          <cell r="H776" t="str">
            <v>MDF Veneer</v>
          </cell>
          <cell r="I776">
            <v>50</v>
          </cell>
        </row>
        <row r="777">
          <cell r="A777" t="str">
            <v>B558283/A</v>
          </cell>
          <cell r="B777" t="str">
            <v>DL018M837</v>
          </cell>
          <cell r="C777">
            <v>50</v>
          </cell>
          <cell r="D777">
            <v>409</v>
          </cell>
          <cell r="E777">
            <v>20450</v>
          </cell>
          <cell r="F777" t="str">
            <v>A1-S3</v>
          </cell>
          <cell r="G777" t="str">
            <v>Drawer side - Hông hộc kéo</v>
          </cell>
          <cell r="H777" t="str">
            <v>MDF Veneer</v>
          </cell>
          <cell r="I777">
            <v>200</v>
          </cell>
        </row>
        <row r="778">
          <cell r="A778" t="str">
            <v>B558283/A</v>
          </cell>
          <cell r="B778" t="str">
            <v>DL018M837</v>
          </cell>
          <cell r="C778">
            <v>50</v>
          </cell>
          <cell r="D778">
            <v>409</v>
          </cell>
          <cell r="E778">
            <v>20450</v>
          </cell>
          <cell r="F778" t="str">
            <v>A1-S4</v>
          </cell>
          <cell r="G778" t="str">
            <v>Drawer bottom  - Đáy hộc kéo</v>
          </cell>
          <cell r="H778" t="str">
            <v>Pre-Assembly</v>
          </cell>
          <cell r="I778">
            <v>50</v>
          </cell>
        </row>
        <row r="779">
          <cell r="A779" t="str">
            <v>B558283/A</v>
          </cell>
          <cell r="B779" t="str">
            <v>DL018M837</v>
          </cell>
          <cell r="C779">
            <v>50</v>
          </cell>
          <cell r="D779">
            <v>409</v>
          </cell>
          <cell r="E779">
            <v>20450</v>
          </cell>
          <cell r="F779" t="str">
            <v>A1-S4-1</v>
          </cell>
          <cell r="G779" t="str">
            <v>Drawer bottom  - Đáy hộc kéo</v>
          </cell>
          <cell r="H779" t="str">
            <v>Pre-Assembly</v>
          </cell>
          <cell r="I779">
            <v>50</v>
          </cell>
        </row>
        <row r="780">
          <cell r="A780" t="str">
            <v>B558283/A</v>
          </cell>
          <cell r="B780" t="str">
            <v>DL018M837</v>
          </cell>
          <cell r="C780">
            <v>50</v>
          </cell>
          <cell r="D780">
            <v>409</v>
          </cell>
          <cell r="E780">
            <v>20450</v>
          </cell>
          <cell r="F780" t="str">
            <v>A1-S5</v>
          </cell>
          <cell r="G780" t="str">
            <v>Partition panel - Vách ngăn</v>
          </cell>
          <cell r="H780" t="str">
            <v>MDF Veneer</v>
          </cell>
          <cell r="I780">
            <v>100</v>
          </cell>
        </row>
        <row r="781">
          <cell r="A781" t="str">
            <v>B558283/A</v>
          </cell>
          <cell r="B781" t="str">
            <v>DL018M837</v>
          </cell>
          <cell r="C781">
            <v>50</v>
          </cell>
          <cell r="D781">
            <v>409</v>
          </cell>
          <cell r="E781">
            <v>20450</v>
          </cell>
          <cell r="F781" t="str">
            <v>A1-S6</v>
          </cell>
          <cell r="G781" t="str">
            <v>Drawer back - Hậu hộc kéo</v>
          </cell>
          <cell r="H781" t="str">
            <v>MDF Veneer</v>
          </cell>
          <cell r="I781">
            <v>100</v>
          </cell>
        </row>
        <row r="782">
          <cell r="A782" t="str">
            <v>B558283/A</v>
          </cell>
          <cell r="B782" t="str">
            <v>DL018M837</v>
          </cell>
          <cell r="C782">
            <v>50</v>
          </cell>
          <cell r="D782">
            <v>409</v>
          </cell>
          <cell r="E782">
            <v>20450</v>
          </cell>
          <cell r="F782" t="str">
            <v>A1-S7</v>
          </cell>
          <cell r="G782" t="str">
            <v>Drawer back 1 - hau hộc 1</v>
          </cell>
          <cell r="H782" t="str">
            <v>MDF Veneer</v>
          </cell>
          <cell r="I782">
            <v>100</v>
          </cell>
        </row>
        <row r="783">
          <cell r="A783" t="str">
            <v>B558283/A</v>
          </cell>
          <cell r="B783" t="str">
            <v>DL018M837</v>
          </cell>
          <cell r="C783">
            <v>50</v>
          </cell>
          <cell r="D783">
            <v>409</v>
          </cell>
          <cell r="E783">
            <v>20450</v>
          </cell>
          <cell r="F783" t="str">
            <v>A1-S8</v>
          </cell>
          <cell r="G783" t="str">
            <v>Drawer back 1 - hau hộc 1</v>
          </cell>
          <cell r="H783" t="str">
            <v>MDF Veneer</v>
          </cell>
          <cell r="I783">
            <v>50</v>
          </cell>
        </row>
        <row r="784">
          <cell r="A784" t="str">
            <v>B558283/A</v>
          </cell>
          <cell r="B784" t="str">
            <v>DL018M837</v>
          </cell>
          <cell r="C784">
            <v>50</v>
          </cell>
          <cell r="D784">
            <v>409</v>
          </cell>
          <cell r="E784">
            <v>20450</v>
          </cell>
          <cell r="F784" t="str">
            <v>A1-S9-2</v>
          </cell>
          <cell r="G784" t="str">
            <v>Patching wood - Gỗ đắp</v>
          </cell>
          <cell r="H784" t="str">
            <v>Poplar off cut</v>
          </cell>
          <cell r="I784">
            <v>200</v>
          </cell>
        </row>
        <row r="785">
          <cell r="A785" t="str">
            <v>B558283/A</v>
          </cell>
          <cell r="B785" t="str">
            <v>DL018M837</v>
          </cell>
          <cell r="C785">
            <v>50</v>
          </cell>
          <cell r="D785">
            <v>409</v>
          </cell>
          <cell r="E785">
            <v>20450</v>
          </cell>
          <cell r="F785" t="str">
            <v>A1-S9-3</v>
          </cell>
          <cell r="G785" t="str">
            <v>Patching wood - Gỗ đắp</v>
          </cell>
          <cell r="H785" t="str">
            <v>Wood Acacia - Straight/Waving Edged - T35mm x W100mm Up x L1.5m Up (FSC Certificate or Low-risk regions)</v>
          </cell>
          <cell r="I785">
            <v>200</v>
          </cell>
        </row>
        <row r="786">
          <cell r="A786" t="str">
            <v>B558283/A</v>
          </cell>
          <cell r="B786" t="str">
            <v>DL018M837</v>
          </cell>
          <cell r="C786">
            <v>50</v>
          </cell>
          <cell r="D786">
            <v>409</v>
          </cell>
          <cell r="E786">
            <v>20450</v>
          </cell>
          <cell r="F786" t="str">
            <v>A1-S9-4</v>
          </cell>
          <cell r="G786" t="str">
            <v>Patching wood - Gỗ đắp</v>
          </cell>
          <cell r="H786" t="str">
            <v>Wood Acacia - Straight/Waving Edged - T35mm x W100mm Up x L1.5m Up (FSC Certificate or Low-risk regions)</v>
          </cell>
          <cell r="I786">
            <v>100</v>
          </cell>
        </row>
        <row r="787">
          <cell r="A787" t="str">
            <v>B558283/A</v>
          </cell>
          <cell r="B787" t="str">
            <v>DL018M837</v>
          </cell>
          <cell r="C787">
            <v>50</v>
          </cell>
          <cell r="D787">
            <v>409</v>
          </cell>
          <cell r="E787">
            <v>20450</v>
          </cell>
          <cell r="F787" t="str">
            <v>A1-S9-5</v>
          </cell>
          <cell r="G787" t="str">
            <v>Patching wood - Gỗ đắp</v>
          </cell>
          <cell r="H787" t="str">
            <v>Wood Acacia - Straight/Waving Edged - T35mm x W100mm Up x L1.5m Up (FSC Certificate or Low-risk regions)</v>
          </cell>
          <cell r="I787">
            <v>400</v>
          </cell>
        </row>
        <row r="788">
          <cell r="A788" t="str">
            <v>B558283/A</v>
          </cell>
          <cell r="B788" t="str">
            <v>DL018M837</v>
          </cell>
          <cell r="C788">
            <v>50</v>
          </cell>
          <cell r="D788">
            <v>409</v>
          </cell>
          <cell r="E788">
            <v>20450</v>
          </cell>
          <cell r="F788" t="str">
            <v>A1-S9-6</v>
          </cell>
          <cell r="G788" t="str">
            <v>Patching wood - Gỗ đắp</v>
          </cell>
          <cell r="H788" t="str">
            <v>Wood Acacia - Straight/Waving Edged - T35mm x W100mm Up x L1.5m Up (FSC Certificate or Low-risk regions)</v>
          </cell>
          <cell r="I788">
            <v>200</v>
          </cell>
        </row>
        <row r="789">
          <cell r="A789" t="str">
            <v>B558283/A</v>
          </cell>
          <cell r="B789" t="str">
            <v>DL018M837</v>
          </cell>
          <cell r="C789">
            <v>50</v>
          </cell>
          <cell r="D789">
            <v>409</v>
          </cell>
          <cell r="E789">
            <v>20450</v>
          </cell>
          <cell r="F789" t="str">
            <v>A1-S9-7</v>
          </cell>
          <cell r="G789" t="str">
            <v>Patching wood - Gỗ đắp</v>
          </cell>
          <cell r="H789" t="str">
            <v>Wood Acacia - Straight/Waving Edged - T35mm x W100mm Up x L1.5m Up (FSC Certificate or Low-risk regions)</v>
          </cell>
          <cell r="I789">
            <v>100</v>
          </cell>
        </row>
        <row r="790">
          <cell r="A790" t="str">
            <v>B558283/A</v>
          </cell>
          <cell r="B790" t="str">
            <v>DL018M837</v>
          </cell>
          <cell r="C790">
            <v>50</v>
          </cell>
          <cell r="D790">
            <v>409</v>
          </cell>
          <cell r="E790">
            <v>20450</v>
          </cell>
          <cell r="F790" t="str">
            <v>A2-S1</v>
          </cell>
          <cell r="G790" t="str">
            <v xml:space="preserve">Drawer front - Mặt hộc kéo </v>
          </cell>
          <cell r="H790" t="str">
            <v>Pre-Assembly</v>
          </cell>
          <cell r="I790">
            <v>50</v>
          </cell>
        </row>
        <row r="791">
          <cell r="A791" t="str">
            <v>B558283/A</v>
          </cell>
          <cell r="B791" t="str">
            <v>DL018M837</v>
          </cell>
          <cell r="C791">
            <v>50</v>
          </cell>
          <cell r="D791">
            <v>409</v>
          </cell>
          <cell r="E791">
            <v>20450</v>
          </cell>
          <cell r="F791" t="str">
            <v>A2-S10</v>
          </cell>
          <cell r="G791" t="str">
            <v>MDF - MDF</v>
          </cell>
          <cell r="H791" t="str">
            <v>MDF OFF CUT</v>
          </cell>
          <cell r="I791">
            <v>50</v>
          </cell>
        </row>
        <row r="792">
          <cell r="A792" t="str">
            <v>B558283/A</v>
          </cell>
          <cell r="B792" t="str">
            <v>DL018M837</v>
          </cell>
          <cell r="C792">
            <v>50</v>
          </cell>
          <cell r="D792">
            <v>409</v>
          </cell>
          <cell r="E792">
            <v>20450</v>
          </cell>
          <cell r="F792" t="str">
            <v>A2-S1-3</v>
          </cell>
          <cell r="G792" t="str">
            <v xml:space="preserve">Panel - Ván </v>
          </cell>
          <cell r="H792" t="str">
            <v>MDF Veneer</v>
          </cell>
          <cell r="I792">
            <v>50</v>
          </cell>
        </row>
        <row r="793">
          <cell r="A793" t="str">
            <v>B558283/A</v>
          </cell>
          <cell r="B793" t="str">
            <v>DL018M837</v>
          </cell>
          <cell r="C793">
            <v>50</v>
          </cell>
          <cell r="D793">
            <v>409</v>
          </cell>
          <cell r="E793">
            <v>20450</v>
          </cell>
          <cell r="F793" t="str">
            <v>A2-S2</v>
          </cell>
          <cell r="G793" t="str">
            <v xml:space="preserve">Drawer front - Mặt hộc kéo </v>
          </cell>
          <cell r="H793" t="str">
            <v>MDF Veneer</v>
          </cell>
          <cell r="I793">
            <v>50</v>
          </cell>
        </row>
        <row r="794">
          <cell r="A794" t="str">
            <v>B558283/A</v>
          </cell>
          <cell r="B794" t="str">
            <v>DL018M837</v>
          </cell>
          <cell r="C794">
            <v>50</v>
          </cell>
          <cell r="D794">
            <v>409</v>
          </cell>
          <cell r="E794">
            <v>20450</v>
          </cell>
          <cell r="F794" t="str">
            <v>A2-S5</v>
          </cell>
          <cell r="G794" t="str">
            <v>Drawer back - Hậu hộc kéo</v>
          </cell>
          <cell r="H794" t="str">
            <v>MDF Veneer</v>
          </cell>
          <cell r="I794">
            <v>100</v>
          </cell>
        </row>
        <row r="795">
          <cell r="A795" t="str">
            <v>B558283/A</v>
          </cell>
          <cell r="B795" t="str">
            <v>DL018M837</v>
          </cell>
          <cell r="C795">
            <v>50</v>
          </cell>
          <cell r="D795">
            <v>409</v>
          </cell>
          <cell r="E795">
            <v>20450</v>
          </cell>
          <cell r="F795" t="str">
            <v>A2-S6</v>
          </cell>
          <cell r="G795" t="str">
            <v>Drawer back 1 - hau hộc 1</v>
          </cell>
          <cell r="H795" t="str">
            <v>MDF Veneer</v>
          </cell>
          <cell r="I795">
            <v>100</v>
          </cell>
        </row>
        <row r="796">
          <cell r="A796" t="str">
            <v>B558283/A</v>
          </cell>
          <cell r="B796" t="str">
            <v>DL018M837</v>
          </cell>
          <cell r="C796">
            <v>50</v>
          </cell>
          <cell r="D796">
            <v>409</v>
          </cell>
          <cell r="E796">
            <v>20450</v>
          </cell>
          <cell r="F796" t="str">
            <v>A2-S7</v>
          </cell>
          <cell r="G796" t="str">
            <v>Drawer back 1 - hau hộc 1</v>
          </cell>
          <cell r="H796" t="str">
            <v>MDF Veneer</v>
          </cell>
          <cell r="I796">
            <v>50</v>
          </cell>
        </row>
        <row r="797">
          <cell r="A797" t="str">
            <v>B558283/A</v>
          </cell>
          <cell r="B797" t="str">
            <v>DL018M837</v>
          </cell>
          <cell r="C797">
            <v>50</v>
          </cell>
          <cell r="D797">
            <v>409</v>
          </cell>
          <cell r="E797">
            <v>20450</v>
          </cell>
          <cell r="F797" t="str">
            <v>A2-S8</v>
          </cell>
          <cell r="G797" t="str">
            <v>support Top - đỡ nóc</v>
          </cell>
          <cell r="H797" t="str">
            <v>Wood US Ash - Straight/Waving Edged, 1 COM - T26mm x W100mm up x L1.8m up</v>
          </cell>
          <cell r="I797">
            <v>100</v>
          </cell>
        </row>
        <row r="798">
          <cell r="A798" t="str">
            <v>B558283/A</v>
          </cell>
          <cell r="B798" t="str">
            <v>DL018M837</v>
          </cell>
          <cell r="C798">
            <v>50</v>
          </cell>
          <cell r="D798">
            <v>409</v>
          </cell>
          <cell r="E798">
            <v>20450</v>
          </cell>
          <cell r="F798" t="str">
            <v>A3-S1</v>
          </cell>
          <cell r="G798" t="str">
            <v xml:space="preserve">Drawer front - Mặt hộc kéo </v>
          </cell>
          <cell r="H798" t="str">
            <v>MDF Veneer</v>
          </cell>
          <cell r="I798">
            <v>100</v>
          </cell>
        </row>
        <row r="799">
          <cell r="A799" t="str">
            <v>B558283/A</v>
          </cell>
          <cell r="B799" t="str">
            <v>DL018M837</v>
          </cell>
          <cell r="C799">
            <v>50</v>
          </cell>
          <cell r="D799">
            <v>409</v>
          </cell>
          <cell r="E799">
            <v>20450</v>
          </cell>
          <cell r="F799" t="str">
            <v>A3-S2</v>
          </cell>
          <cell r="G799" t="str">
            <v>Drawer side - Hông hộc kéo</v>
          </cell>
          <cell r="H799" t="str">
            <v>MDF Veneer</v>
          </cell>
          <cell r="I799">
            <v>100</v>
          </cell>
        </row>
        <row r="800">
          <cell r="A800" t="str">
            <v>B558283/A</v>
          </cell>
          <cell r="B800" t="str">
            <v>DL018M837</v>
          </cell>
          <cell r="C800">
            <v>50</v>
          </cell>
          <cell r="D800">
            <v>409</v>
          </cell>
          <cell r="E800">
            <v>20450</v>
          </cell>
          <cell r="F800" t="str">
            <v>A3-S3</v>
          </cell>
          <cell r="G800" t="str">
            <v>Drawer bottom  - Đáy hộc kéo</v>
          </cell>
          <cell r="H800" t="str">
            <v>Pre-Assembly</v>
          </cell>
          <cell r="I800">
            <v>50</v>
          </cell>
        </row>
        <row r="801">
          <cell r="A801" t="str">
            <v>B558283/A</v>
          </cell>
          <cell r="B801" t="str">
            <v>DL018M837</v>
          </cell>
          <cell r="C801">
            <v>50</v>
          </cell>
          <cell r="D801">
            <v>409</v>
          </cell>
          <cell r="E801">
            <v>20450</v>
          </cell>
          <cell r="F801" t="str">
            <v>A3-S4</v>
          </cell>
          <cell r="G801" t="str">
            <v>Partition panel - Vách ngăn</v>
          </cell>
          <cell r="H801" t="str">
            <v>MDF Veneer</v>
          </cell>
          <cell r="I801">
            <v>100</v>
          </cell>
        </row>
        <row r="802">
          <cell r="A802" t="str">
            <v>B558283/A</v>
          </cell>
          <cell r="B802" t="str">
            <v>DL018M837</v>
          </cell>
          <cell r="C802">
            <v>50</v>
          </cell>
          <cell r="D802">
            <v>409</v>
          </cell>
          <cell r="E802">
            <v>20450</v>
          </cell>
          <cell r="F802" t="str">
            <v>A3-S5</v>
          </cell>
          <cell r="G802" t="str">
            <v>Partition panel - Vách ngăn</v>
          </cell>
          <cell r="H802" t="str">
            <v>Wood US Ash - Straight/Waving Edged, 1 COM - T26mm x W100mm up x L1.8m up</v>
          </cell>
          <cell r="I802">
            <v>100</v>
          </cell>
        </row>
        <row r="803">
          <cell r="A803" t="str">
            <v>B558283/A</v>
          </cell>
          <cell r="B803" t="str">
            <v>DL018M837</v>
          </cell>
          <cell r="C803">
            <v>50</v>
          </cell>
          <cell r="D803">
            <v>409</v>
          </cell>
          <cell r="E803">
            <v>20450</v>
          </cell>
          <cell r="F803" t="str">
            <v>A3-S6</v>
          </cell>
          <cell r="G803" t="str">
            <v xml:space="preserve">Top panel  - Ván nóc </v>
          </cell>
          <cell r="H803" t="str">
            <v>Wood US Ash - Straight/Waving Edged, 2 COM - T25mm x L1.8m Up</v>
          </cell>
          <cell r="I803">
            <v>50</v>
          </cell>
        </row>
        <row r="804">
          <cell r="A804" t="str">
            <v>B558283/A</v>
          </cell>
          <cell r="B804" t="str">
            <v>DL018M837</v>
          </cell>
          <cell r="C804">
            <v>50</v>
          </cell>
          <cell r="D804">
            <v>409</v>
          </cell>
          <cell r="E804">
            <v>20450</v>
          </cell>
          <cell r="F804" t="str">
            <v>A4-S1</v>
          </cell>
          <cell r="G804" t="str">
            <v>Front rail  - Đố tiền</v>
          </cell>
          <cell r="H804" t="str">
            <v>Wood US Ash - Straight/Waving Edged, 1 COM - T26mm x W100mm up x L1.8m up</v>
          </cell>
          <cell r="I804">
            <v>50</v>
          </cell>
        </row>
        <row r="805">
          <cell r="A805" t="str">
            <v>B558283/A</v>
          </cell>
          <cell r="B805" t="str">
            <v>DL018M837</v>
          </cell>
          <cell r="C805">
            <v>50</v>
          </cell>
          <cell r="D805">
            <v>409</v>
          </cell>
          <cell r="E805">
            <v>20450</v>
          </cell>
          <cell r="F805" t="str">
            <v>A4-S1-1</v>
          </cell>
          <cell r="G805" t="str">
            <v>back rail - Đố hậu</v>
          </cell>
          <cell r="H805" t="str">
            <v>Wood EU Beech - Straight/Waving Edged ABC, 2 COM - T26mm x W100mm up x L1.8m up</v>
          </cell>
          <cell r="I805">
            <v>50</v>
          </cell>
        </row>
        <row r="806">
          <cell r="A806" t="str">
            <v>B558283/A</v>
          </cell>
          <cell r="B806" t="str">
            <v>DL018M837</v>
          </cell>
          <cell r="C806">
            <v>50</v>
          </cell>
          <cell r="D806">
            <v>409</v>
          </cell>
          <cell r="E806">
            <v>20450</v>
          </cell>
          <cell r="F806" t="str">
            <v>A4-S2</v>
          </cell>
          <cell r="G806" t="str">
            <v>Front rail 1 - đố trước 1</v>
          </cell>
          <cell r="H806" t="str">
            <v>Wood US Ash - Straight/Waving Edged, 1 COM - T38mm x L1.8m Up</v>
          </cell>
          <cell r="I806">
            <v>100</v>
          </cell>
        </row>
        <row r="807">
          <cell r="A807" t="str">
            <v>B558283/A</v>
          </cell>
          <cell r="B807" t="str">
            <v>DL018M837</v>
          </cell>
          <cell r="C807">
            <v>50</v>
          </cell>
          <cell r="D807">
            <v>409</v>
          </cell>
          <cell r="E807">
            <v>20450</v>
          </cell>
          <cell r="F807" t="str">
            <v>A4-S3</v>
          </cell>
          <cell r="G807" t="str">
            <v xml:space="preserve">Side rail  - Đố hông </v>
          </cell>
          <cell r="H807" t="str">
            <v>Wood US Ash - Straight/Waving Edged, 1 COM - T26mm x W100mm up x L1.8m up</v>
          </cell>
          <cell r="I807">
            <v>100</v>
          </cell>
        </row>
        <row r="808">
          <cell r="A808" t="str">
            <v>B558283/A</v>
          </cell>
          <cell r="B808" t="str">
            <v>DL018M837</v>
          </cell>
          <cell r="C808">
            <v>50</v>
          </cell>
          <cell r="D808">
            <v>409</v>
          </cell>
          <cell r="E808">
            <v>20450</v>
          </cell>
          <cell r="F808" t="str">
            <v>A4-S4</v>
          </cell>
          <cell r="G808" t="str">
            <v>side rail 1 - đố hông 1</v>
          </cell>
          <cell r="H808" t="str">
            <v>Wood US Ash - Straight/Waving Edged, 1 COM - T38mm x L1.8m Up</v>
          </cell>
          <cell r="I808">
            <v>100</v>
          </cell>
        </row>
        <row r="809">
          <cell r="A809" t="str">
            <v>B558283/A</v>
          </cell>
          <cell r="B809" t="str">
            <v>DL018M837</v>
          </cell>
          <cell r="C809">
            <v>50</v>
          </cell>
          <cell r="D809">
            <v>409</v>
          </cell>
          <cell r="E809">
            <v>20450</v>
          </cell>
          <cell r="F809" t="str">
            <v>A4-S5</v>
          </cell>
          <cell r="G809" t="str">
            <v>The leg  - Chân</v>
          </cell>
          <cell r="H809" t="str">
            <v>Wood US Ash - Straight/Waving Edged, 1 COM - T50mm x L1.8m Up</v>
          </cell>
          <cell r="I809">
            <v>200</v>
          </cell>
        </row>
        <row r="810">
          <cell r="A810" t="str">
            <v>B558283/A</v>
          </cell>
          <cell r="B810" t="str">
            <v>DL018M837</v>
          </cell>
          <cell r="C810">
            <v>50</v>
          </cell>
          <cell r="D810">
            <v>409</v>
          </cell>
          <cell r="E810">
            <v>20450</v>
          </cell>
          <cell r="F810" t="str">
            <v>A4-S6</v>
          </cell>
          <cell r="G810" t="str">
            <v>Corner block - ke góc</v>
          </cell>
          <cell r="H810" t="str">
            <v>Wood EU Beech - Straight/Waving Edged ABC, 2 COM - T26mm x W100mm up x L1.8m up</v>
          </cell>
          <cell r="I810">
            <v>200</v>
          </cell>
        </row>
        <row r="811">
          <cell r="A811" t="str">
            <v>B558283/A</v>
          </cell>
          <cell r="B811" t="str">
            <v>DL018M837</v>
          </cell>
          <cell r="C811">
            <v>50</v>
          </cell>
          <cell r="D811">
            <v>409</v>
          </cell>
          <cell r="E811">
            <v>20450</v>
          </cell>
          <cell r="F811" t="str">
            <v>P01</v>
          </cell>
          <cell r="G811" t="str">
            <v>Front moulding  - Chỉ tiền</v>
          </cell>
          <cell r="H811" t="str">
            <v>Wood US Ash - Straight/Waving Edged, 1 COM - T26mm x W100mm up x L1.8m up</v>
          </cell>
          <cell r="I811">
            <v>50</v>
          </cell>
        </row>
        <row r="812">
          <cell r="A812" t="str">
            <v>B558283/A</v>
          </cell>
          <cell r="B812" t="str">
            <v>DL018M837</v>
          </cell>
          <cell r="C812">
            <v>50</v>
          </cell>
          <cell r="D812">
            <v>409</v>
          </cell>
          <cell r="E812">
            <v>20450</v>
          </cell>
          <cell r="F812" t="str">
            <v>P02</v>
          </cell>
          <cell r="G812" t="str">
            <v xml:space="preserve">Side panel  - Ván hông </v>
          </cell>
          <cell r="H812" t="str">
            <v>MDF Veneer</v>
          </cell>
          <cell r="I812">
            <v>100</v>
          </cell>
        </row>
        <row r="813">
          <cell r="A813" t="str">
            <v>B558283/A</v>
          </cell>
          <cell r="B813" t="str">
            <v>DL018M837</v>
          </cell>
          <cell r="C813">
            <v>50</v>
          </cell>
          <cell r="D813">
            <v>409</v>
          </cell>
          <cell r="E813">
            <v>20450</v>
          </cell>
          <cell r="F813" t="str">
            <v>P02-1</v>
          </cell>
          <cell r="G813" t="str">
            <v>Spline - Lưỡi gà</v>
          </cell>
          <cell r="H813" t="str">
            <v>Plywood LVD - 06 x 1220 x 2440mm, Bleached Poplar Veneer Both Sides [CARB P2 Compliant]</v>
          </cell>
          <cell r="I813">
            <v>100</v>
          </cell>
        </row>
        <row r="814">
          <cell r="A814" t="str">
            <v>B558283/A</v>
          </cell>
          <cell r="B814" t="str">
            <v>DL018M837</v>
          </cell>
          <cell r="C814">
            <v>50</v>
          </cell>
          <cell r="D814">
            <v>409</v>
          </cell>
          <cell r="E814">
            <v>20450</v>
          </cell>
          <cell r="F814" t="str">
            <v>P03</v>
          </cell>
          <cell r="G814" t="str">
            <v xml:space="preserve">Side rail  - Đố hông </v>
          </cell>
          <cell r="H814" t="str">
            <v>Wood EU Beech - Straight/Waving Edged ABC, 2 COM - T26mm x W100mm up x L1.8m up</v>
          </cell>
          <cell r="I814">
            <v>100</v>
          </cell>
        </row>
        <row r="815">
          <cell r="A815" t="str">
            <v>B558283/A</v>
          </cell>
          <cell r="B815" t="str">
            <v>DL018M837</v>
          </cell>
          <cell r="C815">
            <v>50</v>
          </cell>
          <cell r="D815">
            <v>409</v>
          </cell>
          <cell r="E815">
            <v>20450</v>
          </cell>
          <cell r="F815" t="str">
            <v>P04</v>
          </cell>
          <cell r="G815" t="str">
            <v>Front top rail  - Đố tiền nóc</v>
          </cell>
          <cell r="H815" t="str">
            <v>Wood EU Beech - Straight/Waving Edged ABC, 2 COM - T26mm x W100mm up x L1.8m up</v>
          </cell>
          <cell r="I815">
            <v>50</v>
          </cell>
        </row>
        <row r="816">
          <cell r="A816" t="str">
            <v>B558283/A</v>
          </cell>
          <cell r="B816" t="str">
            <v>DL018M837</v>
          </cell>
          <cell r="C816">
            <v>50</v>
          </cell>
          <cell r="D816">
            <v>409</v>
          </cell>
          <cell r="E816">
            <v>20450</v>
          </cell>
          <cell r="F816" t="str">
            <v>P05</v>
          </cell>
          <cell r="G816" t="str">
            <v>Back top rail - Đố hậu nóc</v>
          </cell>
          <cell r="H816" t="str">
            <v>Wood EU Beech - Straight/Waving Edged ABC, 2 COM - T26mm x W100mm up x L1.8m up</v>
          </cell>
          <cell r="I816">
            <v>50</v>
          </cell>
        </row>
        <row r="817">
          <cell r="A817" t="str">
            <v>B558283/A</v>
          </cell>
          <cell r="B817" t="str">
            <v>DL018M837</v>
          </cell>
          <cell r="C817">
            <v>50</v>
          </cell>
          <cell r="D817">
            <v>409</v>
          </cell>
          <cell r="E817">
            <v>20450</v>
          </cell>
          <cell r="F817" t="str">
            <v>P06</v>
          </cell>
          <cell r="G817" t="str">
            <v>Bottom panel - Ván đáy</v>
          </cell>
          <cell r="H817" t="str">
            <v>MDF Veneer</v>
          </cell>
          <cell r="I817">
            <v>50</v>
          </cell>
        </row>
        <row r="818">
          <cell r="A818" t="str">
            <v>B558283/A</v>
          </cell>
          <cell r="B818" t="str">
            <v>DL018M837</v>
          </cell>
          <cell r="C818">
            <v>50</v>
          </cell>
          <cell r="D818">
            <v>409</v>
          </cell>
          <cell r="E818">
            <v>20450</v>
          </cell>
          <cell r="F818" t="str">
            <v>P07</v>
          </cell>
          <cell r="G818" t="str">
            <v>Back panel - Ván hậu</v>
          </cell>
          <cell r="H818" t="str">
            <v>MDF Veneer</v>
          </cell>
          <cell r="I818">
            <v>50</v>
          </cell>
        </row>
        <row r="819">
          <cell r="A819" t="str">
            <v>B558283/A</v>
          </cell>
          <cell r="B819" t="str">
            <v>DL018M837</v>
          </cell>
          <cell r="C819">
            <v>50</v>
          </cell>
          <cell r="D819">
            <v>409</v>
          </cell>
          <cell r="E819">
            <v>20450</v>
          </cell>
          <cell r="F819" t="str">
            <v>P08</v>
          </cell>
          <cell r="G819" t="str">
            <v>Drawer stop - Dừng hộc</v>
          </cell>
          <cell r="H819" t="str">
            <v>Poplar off cut</v>
          </cell>
          <cell r="I819">
            <v>200</v>
          </cell>
        </row>
        <row r="820">
          <cell r="A820" t="str">
            <v>B558285/A</v>
          </cell>
          <cell r="B820" t="str">
            <v>DL019M837</v>
          </cell>
          <cell r="C820">
            <v>25</v>
          </cell>
          <cell r="D820">
            <v>689</v>
          </cell>
          <cell r="E820">
            <v>17225</v>
          </cell>
          <cell r="F820" t="str">
            <v>A1-S0</v>
          </cell>
          <cell r="G820" t="str">
            <v xml:space="preserve">Panel - Ván </v>
          </cell>
          <cell r="H820" t="str">
            <v>MDF Veneer</v>
          </cell>
          <cell r="I820">
            <v>200</v>
          </cell>
        </row>
        <row r="821">
          <cell r="A821" t="str">
            <v>B558285/A</v>
          </cell>
          <cell r="B821" t="str">
            <v>DL019M837</v>
          </cell>
          <cell r="C821">
            <v>25</v>
          </cell>
          <cell r="D821">
            <v>689</v>
          </cell>
          <cell r="E821">
            <v>17225</v>
          </cell>
          <cell r="F821" t="str">
            <v>A1-S0-1</v>
          </cell>
          <cell r="G821" t="str">
            <v xml:space="preserve">Panel - Ván </v>
          </cell>
          <cell r="H821" t="str">
            <v>MDF Veneer</v>
          </cell>
          <cell r="I821">
            <v>200</v>
          </cell>
        </row>
        <row r="822">
          <cell r="A822" t="str">
            <v>B558285/A</v>
          </cell>
          <cell r="B822" t="str">
            <v>DL019M837</v>
          </cell>
          <cell r="C822">
            <v>25</v>
          </cell>
          <cell r="D822">
            <v>689</v>
          </cell>
          <cell r="E822">
            <v>17225</v>
          </cell>
          <cell r="F822" t="str">
            <v>A1-S1</v>
          </cell>
          <cell r="G822" t="str">
            <v xml:space="preserve">Drawer front - Mặt hộc kéo </v>
          </cell>
          <cell r="H822" t="str">
            <v>Pre-Assembly</v>
          </cell>
          <cell r="I822">
            <v>50</v>
          </cell>
        </row>
        <row r="823">
          <cell r="A823" t="str">
            <v>B558285/A</v>
          </cell>
          <cell r="B823" t="str">
            <v>DL019M837</v>
          </cell>
          <cell r="C823">
            <v>25</v>
          </cell>
          <cell r="D823">
            <v>689</v>
          </cell>
          <cell r="E823">
            <v>17225</v>
          </cell>
          <cell r="F823" t="str">
            <v>A1-S1-1</v>
          </cell>
          <cell r="G823" t="str">
            <v>Patching moulding - Chỉ đắp</v>
          </cell>
          <cell r="H823" t="str">
            <v>Wood US Ash - Straight/Waving Edged, 1 COM - T26mm x W100mm up x L1.8m up</v>
          </cell>
          <cell r="I823">
            <v>200</v>
          </cell>
        </row>
        <row r="824">
          <cell r="A824" t="str">
            <v>B558285/A</v>
          </cell>
          <cell r="B824" t="str">
            <v>DL019M837</v>
          </cell>
          <cell r="C824">
            <v>25</v>
          </cell>
          <cell r="D824">
            <v>689</v>
          </cell>
          <cell r="E824">
            <v>17225</v>
          </cell>
          <cell r="F824" t="str">
            <v>A1-S1-2</v>
          </cell>
          <cell r="G824" t="str">
            <v>Patching moulding - Chỉ đắp</v>
          </cell>
          <cell r="H824" t="str">
            <v>Wood US Ash - Straight/Waving Edged, 1 COM - T26mm x W100mm up x L1.8m up</v>
          </cell>
          <cell r="I824">
            <v>200</v>
          </cell>
        </row>
        <row r="825">
          <cell r="A825" t="str">
            <v>B558285/A</v>
          </cell>
          <cell r="B825" t="str">
            <v>DL019M837</v>
          </cell>
          <cell r="C825">
            <v>25</v>
          </cell>
          <cell r="D825">
            <v>689</v>
          </cell>
          <cell r="E825">
            <v>17225</v>
          </cell>
          <cell r="F825" t="str">
            <v>A1-S1-3</v>
          </cell>
          <cell r="G825" t="str">
            <v xml:space="preserve">Panel - Ván </v>
          </cell>
          <cell r="H825" t="str">
            <v>MDF Veneer</v>
          </cell>
          <cell r="I825">
            <v>50</v>
          </cell>
        </row>
        <row r="826">
          <cell r="A826" t="str">
            <v>B558285/A</v>
          </cell>
          <cell r="B826" t="str">
            <v>DL019M837</v>
          </cell>
          <cell r="C826">
            <v>25</v>
          </cell>
          <cell r="D826">
            <v>689</v>
          </cell>
          <cell r="E826">
            <v>17225</v>
          </cell>
          <cell r="F826" t="str">
            <v>A1-S1-4</v>
          </cell>
          <cell r="G826" t="str">
            <v>Patching wood - Gỗ đắp</v>
          </cell>
          <cell r="H826" t="str">
            <v>MDF Veneer</v>
          </cell>
          <cell r="I826">
            <v>1000</v>
          </cell>
        </row>
        <row r="827">
          <cell r="A827" t="str">
            <v>B558285/A</v>
          </cell>
          <cell r="B827" t="str">
            <v>DL019M837</v>
          </cell>
          <cell r="C827">
            <v>25</v>
          </cell>
          <cell r="D827">
            <v>689</v>
          </cell>
          <cell r="E827">
            <v>17225</v>
          </cell>
          <cell r="F827" t="str">
            <v>A1-S1-5</v>
          </cell>
          <cell r="G827" t="str">
            <v>Patching wood - Gỗ đắp</v>
          </cell>
          <cell r="H827" t="str">
            <v>MDF Veneer</v>
          </cell>
          <cell r="I827">
            <v>800</v>
          </cell>
        </row>
        <row r="828">
          <cell r="A828" t="str">
            <v>B558285/A</v>
          </cell>
          <cell r="B828" t="str">
            <v>DL019M837</v>
          </cell>
          <cell r="C828">
            <v>25</v>
          </cell>
          <cell r="D828">
            <v>689</v>
          </cell>
          <cell r="E828">
            <v>17225</v>
          </cell>
          <cell r="F828" t="str">
            <v>A1-S1-6</v>
          </cell>
          <cell r="G828" t="str">
            <v>Patching wood - Gỗ đắp</v>
          </cell>
          <cell r="H828" t="str">
            <v>MDF Veneer</v>
          </cell>
          <cell r="I828">
            <v>200</v>
          </cell>
        </row>
        <row r="829">
          <cell r="A829" t="str">
            <v>B558285/A</v>
          </cell>
          <cell r="B829" t="str">
            <v>DL019M837</v>
          </cell>
          <cell r="C829">
            <v>25</v>
          </cell>
          <cell r="D829">
            <v>689</v>
          </cell>
          <cell r="E829">
            <v>17225</v>
          </cell>
          <cell r="F829" t="str">
            <v>A1-S2</v>
          </cell>
          <cell r="G829" t="str">
            <v xml:space="preserve">Drawer front 1 - Mặt hộc kéo </v>
          </cell>
          <cell r="H829" t="str">
            <v>MDF Veneer</v>
          </cell>
          <cell r="I829">
            <v>50</v>
          </cell>
        </row>
        <row r="830">
          <cell r="A830" t="str">
            <v>B558285/A</v>
          </cell>
          <cell r="B830" t="str">
            <v>DL019M837</v>
          </cell>
          <cell r="C830">
            <v>25</v>
          </cell>
          <cell r="D830">
            <v>689</v>
          </cell>
          <cell r="E830">
            <v>17225</v>
          </cell>
          <cell r="F830" t="str">
            <v>A1-S3</v>
          </cell>
          <cell r="G830" t="str">
            <v>Drawer side - Hông hộc kéo</v>
          </cell>
          <cell r="H830" t="str">
            <v>MDF Veneer</v>
          </cell>
          <cell r="I830">
            <v>200</v>
          </cell>
        </row>
        <row r="831">
          <cell r="A831" t="str">
            <v>B558285/A</v>
          </cell>
          <cell r="B831" t="str">
            <v>DL019M837</v>
          </cell>
          <cell r="C831">
            <v>25</v>
          </cell>
          <cell r="D831">
            <v>689</v>
          </cell>
          <cell r="E831">
            <v>17225</v>
          </cell>
          <cell r="F831" t="str">
            <v>A1-S4</v>
          </cell>
          <cell r="G831" t="str">
            <v>Drawer bottom  - Đáy hộc kéo</v>
          </cell>
          <cell r="H831" t="str">
            <v>Pre-Assembly</v>
          </cell>
          <cell r="I831">
            <v>50</v>
          </cell>
        </row>
        <row r="832">
          <cell r="A832" t="str">
            <v>B558285/A</v>
          </cell>
          <cell r="B832" t="str">
            <v>DL019M837</v>
          </cell>
          <cell r="C832">
            <v>25</v>
          </cell>
          <cell r="D832">
            <v>689</v>
          </cell>
          <cell r="E832">
            <v>17225</v>
          </cell>
          <cell r="F832" t="str">
            <v>A1-S4-1</v>
          </cell>
          <cell r="G832" t="str">
            <v>Drawer bottom  - Đáy hộc kéo</v>
          </cell>
          <cell r="H832" t="str">
            <v>Pre-Assembly</v>
          </cell>
          <cell r="I832">
            <v>50</v>
          </cell>
        </row>
        <row r="833">
          <cell r="A833" t="str">
            <v>B558285/A</v>
          </cell>
          <cell r="B833" t="str">
            <v>DL019M837</v>
          </cell>
          <cell r="C833">
            <v>25</v>
          </cell>
          <cell r="D833">
            <v>689</v>
          </cell>
          <cell r="E833">
            <v>17225</v>
          </cell>
          <cell r="F833" t="str">
            <v>A1-S5</v>
          </cell>
          <cell r="G833" t="str">
            <v>Partition panel - Vách ngăn</v>
          </cell>
          <cell r="H833" t="str">
            <v>MDF Veneer</v>
          </cell>
          <cell r="I833">
            <v>100</v>
          </cell>
        </row>
        <row r="834">
          <cell r="A834" t="str">
            <v>B558285/A</v>
          </cell>
          <cell r="B834" t="str">
            <v>DL019M837</v>
          </cell>
          <cell r="C834">
            <v>25</v>
          </cell>
          <cell r="D834">
            <v>689</v>
          </cell>
          <cell r="E834">
            <v>17225</v>
          </cell>
          <cell r="F834" t="str">
            <v>A1-S6</v>
          </cell>
          <cell r="G834" t="str">
            <v>Drawer back - Hậu hộc kéo</v>
          </cell>
          <cell r="H834" t="str">
            <v>MDF Veneer</v>
          </cell>
          <cell r="I834">
            <v>100</v>
          </cell>
        </row>
        <row r="835">
          <cell r="A835" t="str">
            <v>B558285/A</v>
          </cell>
          <cell r="B835" t="str">
            <v>DL019M837</v>
          </cell>
          <cell r="C835">
            <v>25</v>
          </cell>
          <cell r="D835">
            <v>689</v>
          </cell>
          <cell r="E835">
            <v>17225</v>
          </cell>
          <cell r="F835" t="str">
            <v>A1-S7</v>
          </cell>
          <cell r="G835" t="str">
            <v>Drawer back 1 - hau hộc 1</v>
          </cell>
          <cell r="H835" t="str">
            <v>MDF Veneer</v>
          </cell>
          <cell r="I835">
            <v>100</v>
          </cell>
        </row>
        <row r="836">
          <cell r="A836" t="str">
            <v>B558285/A</v>
          </cell>
          <cell r="B836" t="str">
            <v>DL019M837</v>
          </cell>
          <cell r="C836">
            <v>25</v>
          </cell>
          <cell r="D836">
            <v>689</v>
          </cell>
          <cell r="E836">
            <v>17225</v>
          </cell>
          <cell r="F836" t="str">
            <v>A1-S8</v>
          </cell>
          <cell r="G836" t="str">
            <v>Drawer back 1 - hau hộc 1</v>
          </cell>
          <cell r="H836" t="str">
            <v>MDF Veneer</v>
          </cell>
          <cell r="I836">
            <v>50</v>
          </cell>
        </row>
        <row r="837">
          <cell r="A837" t="str">
            <v>B558285/A</v>
          </cell>
          <cell r="B837" t="str">
            <v>DL019M837</v>
          </cell>
          <cell r="C837">
            <v>25</v>
          </cell>
          <cell r="D837">
            <v>689</v>
          </cell>
          <cell r="E837">
            <v>17225</v>
          </cell>
          <cell r="F837" t="str">
            <v>A1-S9-2</v>
          </cell>
          <cell r="G837" t="str">
            <v>Patching wood - Gỗ đắp</v>
          </cell>
          <cell r="H837" t="str">
            <v>Wood EU Beech - Straight/Waving Edged ABC, 2 COM - T26mm x W100mm up x L1.8m up</v>
          </cell>
          <cell r="I837">
            <v>200</v>
          </cell>
        </row>
        <row r="838">
          <cell r="A838" t="str">
            <v>B558285/A</v>
          </cell>
          <cell r="B838" t="str">
            <v>DL019M837</v>
          </cell>
          <cell r="C838">
            <v>25</v>
          </cell>
          <cell r="D838">
            <v>689</v>
          </cell>
          <cell r="E838">
            <v>17225</v>
          </cell>
          <cell r="F838" t="str">
            <v>A1-S9-3</v>
          </cell>
          <cell r="G838" t="str">
            <v>Patching wood - Gỗ đắp</v>
          </cell>
          <cell r="H838" t="str">
            <v>Wood US Poplar - Straight Edged, 2 COM - T38mm x W100mm Up x L1.8m Up</v>
          </cell>
          <cell r="I838">
            <v>200</v>
          </cell>
        </row>
        <row r="839">
          <cell r="A839" t="str">
            <v>B558285/A</v>
          </cell>
          <cell r="B839" t="str">
            <v>DL019M837</v>
          </cell>
          <cell r="C839">
            <v>25</v>
          </cell>
          <cell r="D839">
            <v>689</v>
          </cell>
          <cell r="E839">
            <v>17225</v>
          </cell>
          <cell r="F839" t="str">
            <v>A1-S9-4</v>
          </cell>
          <cell r="G839" t="str">
            <v>Patching wood - Gỗ đắp</v>
          </cell>
          <cell r="H839" t="str">
            <v>Wood US Poplar - Straight Edged, 2 COM - T38mm x W100mm Up x L1.8m Up</v>
          </cell>
          <cell r="I839">
            <v>100</v>
          </cell>
        </row>
        <row r="840">
          <cell r="A840" t="str">
            <v>B558285/A</v>
          </cell>
          <cell r="B840" t="str">
            <v>DL019M837</v>
          </cell>
          <cell r="C840">
            <v>25</v>
          </cell>
          <cell r="D840">
            <v>689</v>
          </cell>
          <cell r="E840">
            <v>17225</v>
          </cell>
          <cell r="F840" t="str">
            <v>A1-S9-5</v>
          </cell>
          <cell r="G840" t="str">
            <v>Patching wood - Gỗ đắp</v>
          </cell>
          <cell r="H840" t="str">
            <v>Wood Acacia - Straight/Waving Edged - T35mm x W100mm Up x L1.5m Up (FSC Certificate or Low-risk regions)</v>
          </cell>
          <cell r="I840">
            <v>200</v>
          </cell>
        </row>
        <row r="841">
          <cell r="A841" t="str">
            <v>B558285/A</v>
          </cell>
          <cell r="B841" t="str">
            <v>DL019M837</v>
          </cell>
          <cell r="C841">
            <v>25</v>
          </cell>
          <cell r="D841">
            <v>689</v>
          </cell>
          <cell r="E841">
            <v>17225</v>
          </cell>
          <cell r="F841" t="str">
            <v>A1-S9-6</v>
          </cell>
          <cell r="G841" t="str">
            <v>Patching wood - Gỗ đắp</v>
          </cell>
          <cell r="H841" t="str">
            <v>Wood Acacia - Straight/Waving Edged - T35mm x W100mm Up x L1.5m Up (FSC Certificate or Low-risk regions)</v>
          </cell>
          <cell r="I841">
            <v>200</v>
          </cell>
        </row>
        <row r="842">
          <cell r="A842" t="str">
            <v>B558285/A</v>
          </cell>
          <cell r="B842" t="str">
            <v>DL019M837</v>
          </cell>
          <cell r="C842">
            <v>25</v>
          </cell>
          <cell r="D842">
            <v>689</v>
          </cell>
          <cell r="E842">
            <v>17225</v>
          </cell>
          <cell r="F842" t="str">
            <v>A1-S9-7</v>
          </cell>
          <cell r="G842" t="str">
            <v>Patching wood - Gỗ đắp</v>
          </cell>
          <cell r="H842" t="str">
            <v>Wood Acacia - Straight/Waving Edged - T35mm x W100mm Up x L1.5m Up (FSC Certificate or Low-risk regions)</v>
          </cell>
          <cell r="I842">
            <v>100</v>
          </cell>
        </row>
        <row r="843">
          <cell r="A843" t="str">
            <v>B558285/A</v>
          </cell>
          <cell r="B843" t="str">
            <v>DL019M837</v>
          </cell>
          <cell r="C843">
            <v>25</v>
          </cell>
          <cell r="D843">
            <v>689</v>
          </cell>
          <cell r="E843">
            <v>17225</v>
          </cell>
          <cell r="F843" t="str">
            <v>A1-S9-8</v>
          </cell>
          <cell r="G843" t="str">
            <v>Patching wood - Gỗ đắp</v>
          </cell>
          <cell r="H843" t="str">
            <v>Wood Acacia - Straight/Waving Edged - T35mm x W100mm Up x L1.5m Up (FSC Certificate or Low-risk regions)</v>
          </cell>
          <cell r="I843">
            <v>100</v>
          </cell>
        </row>
        <row r="844">
          <cell r="A844" t="str">
            <v>B558285/A</v>
          </cell>
          <cell r="B844" t="str">
            <v>DL019M837</v>
          </cell>
          <cell r="C844">
            <v>25</v>
          </cell>
          <cell r="D844">
            <v>689</v>
          </cell>
          <cell r="E844">
            <v>17225</v>
          </cell>
          <cell r="F844" t="str">
            <v>A2-S1</v>
          </cell>
          <cell r="G844" t="str">
            <v xml:space="preserve">Drawer front - Mặt hộc kéo </v>
          </cell>
          <cell r="H844" t="str">
            <v>Pre-Assembly</v>
          </cell>
          <cell r="I844">
            <v>50</v>
          </cell>
        </row>
        <row r="845">
          <cell r="A845" t="str">
            <v>B558285/A</v>
          </cell>
          <cell r="B845" t="str">
            <v>DL019M837</v>
          </cell>
          <cell r="C845">
            <v>25</v>
          </cell>
          <cell r="D845">
            <v>689</v>
          </cell>
          <cell r="E845">
            <v>17225</v>
          </cell>
          <cell r="F845" t="str">
            <v>A2-S10</v>
          </cell>
          <cell r="G845" t="str">
            <v>MDF - MDF</v>
          </cell>
          <cell r="H845" t="str">
            <v>MDF OFF CUT</v>
          </cell>
          <cell r="I845">
            <v>50</v>
          </cell>
        </row>
        <row r="846">
          <cell r="A846" t="str">
            <v>B558285/A</v>
          </cell>
          <cell r="B846" t="str">
            <v>DL019M837</v>
          </cell>
          <cell r="C846">
            <v>25</v>
          </cell>
          <cell r="D846">
            <v>689</v>
          </cell>
          <cell r="E846">
            <v>17225</v>
          </cell>
          <cell r="F846" t="str">
            <v>A2-S1-3</v>
          </cell>
          <cell r="G846" t="str">
            <v xml:space="preserve">Panel - Ván </v>
          </cell>
          <cell r="H846" t="str">
            <v>MDF Veneer</v>
          </cell>
          <cell r="I846">
            <v>50</v>
          </cell>
        </row>
        <row r="847">
          <cell r="A847" t="str">
            <v>B558285/A</v>
          </cell>
          <cell r="B847" t="str">
            <v>DL019M837</v>
          </cell>
          <cell r="C847">
            <v>25</v>
          </cell>
          <cell r="D847">
            <v>689</v>
          </cell>
          <cell r="E847">
            <v>17225</v>
          </cell>
          <cell r="F847" t="str">
            <v>A2-S2</v>
          </cell>
          <cell r="G847" t="str">
            <v xml:space="preserve">Drawer front - Mặt hộc kéo </v>
          </cell>
          <cell r="H847" t="str">
            <v>MDF Veneer</v>
          </cell>
          <cell r="I847">
            <v>50</v>
          </cell>
        </row>
        <row r="848">
          <cell r="A848" t="str">
            <v>B558285/A</v>
          </cell>
          <cell r="B848" t="str">
            <v>DL019M837</v>
          </cell>
          <cell r="C848">
            <v>25</v>
          </cell>
          <cell r="D848">
            <v>689</v>
          </cell>
          <cell r="E848">
            <v>17225</v>
          </cell>
          <cell r="F848" t="str">
            <v>A2-S4</v>
          </cell>
          <cell r="G848" t="str">
            <v>MDF - MDF</v>
          </cell>
          <cell r="H848" t="str">
            <v>MDF OFF CUT</v>
          </cell>
          <cell r="I848">
            <v>50</v>
          </cell>
        </row>
        <row r="849">
          <cell r="A849" t="str">
            <v>B558285/A</v>
          </cell>
          <cell r="B849" t="str">
            <v>DL019M837</v>
          </cell>
          <cell r="C849">
            <v>25</v>
          </cell>
          <cell r="D849">
            <v>689</v>
          </cell>
          <cell r="E849">
            <v>17225</v>
          </cell>
          <cell r="F849" t="str">
            <v>A2-S5</v>
          </cell>
          <cell r="G849" t="str">
            <v>Drawer back - Hậu hộc kéo</v>
          </cell>
          <cell r="H849" t="str">
            <v>MDF Veneer</v>
          </cell>
          <cell r="I849">
            <v>100</v>
          </cell>
        </row>
        <row r="850">
          <cell r="A850" t="str">
            <v>B558285/A</v>
          </cell>
          <cell r="B850" t="str">
            <v>DL019M837</v>
          </cell>
          <cell r="C850">
            <v>25</v>
          </cell>
          <cell r="D850">
            <v>689</v>
          </cell>
          <cell r="E850">
            <v>17225</v>
          </cell>
          <cell r="F850" t="str">
            <v>A2-S6</v>
          </cell>
          <cell r="G850" t="str">
            <v>Drawer back 1 - hau hộc 1</v>
          </cell>
          <cell r="H850" t="str">
            <v>MDF Veneer</v>
          </cell>
          <cell r="I850">
            <v>100</v>
          </cell>
        </row>
        <row r="851">
          <cell r="A851" t="str">
            <v>B558285/A</v>
          </cell>
          <cell r="B851" t="str">
            <v>DL019M837</v>
          </cell>
          <cell r="C851">
            <v>25</v>
          </cell>
          <cell r="D851">
            <v>689</v>
          </cell>
          <cell r="E851">
            <v>17225</v>
          </cell>
          <cell r="F851" t="str">
            <v>A2-S7</v>
          </cell>
          <cell r="G851" t="str">
            <v>Drawer back 1 - hau hộc 1</v>
          </cell>
          <cell r="H851" t="str">
            <v>MDF Veneer</v>
          </cell>
          <cell r="I851">
            <v>50</v>
          </cell>
        </row>
        <row r="852">
          <cell r="A852" t="str">
            <v>B558285/A</v>
          </cell>
          <cell r="B852" t="str">
            <v>DL019M837</v>
          </cell>
          <cell r="C852">
            <v>25</v>
          </cell>
          <cell r="D852">
            <v>689</v>
          </cell>
          <cell r="E852">
            <v>17225</v>
          </cell>
          <cell r="F852" t="str">
            <v>A2-S8</v>
          </cell>
          <cell r="G852" t="str">
            <v>support Top - đỡ nóc</v>
          </cell>
          <cell r="H852" t="str">
            <v>Wood US Ash - Straight/Waving Edged, 1 COM - T26mm x W100mm up x L1.8m up</v>
          </cell>
          <cell r="I852">
            <v>50</v>
          </cell>
        </row>
        <row r="853">
          <cell r="A853" t="str">
            <v>B558285/A</v>
          </cell>
          <cell r="B853" t="str">
            <v>DL019M837</v>
          </cell>
          <cell r="C853">
            <v>25</v>
          </cell>
          <cell r="D853">
            <v>689</v>
          </cell>
          <cell r="E853">
            <v>17225</v>
          </cell>
          <cell r="F853" t="str">
            <v>A3-S1</v>
          </cell>
          <cell r="G853" t="str">
            <v xml:space="preserve">Drawer front - Mặt hộc kéo </v>
          </cell>
          <cell r="H853" t="str">
            <v>MDF Veneer</v>
          </cell>
          <cell r="I853">
            <v>50</v>
          </cell>
        </row>
        <row r="854">
          <cell r="A854" t="str">
            <v>B558285/A</v>
          </cell>
          <cell r="B854" t="str">
            <v>DL019M837</v>
          </cell>
          <cell r="C854">
            <v>25</v>
          </cell>
          <cell r="D854">
            <v>689</v>
          </cell>
          <cell r="E854">
            <v>17225</v>
          </cell>
          <cell r="F854" t="str">
            <v>A3-S2</v>
          </cell>
          <cell r="G854" t="str">
            <v>Drawer side - Hông hộc kéo</v>
          </cell>
          <cell r="H854" t="str">
            <v>MDF Veneer</v>
          </cell>
          <cell r="I854">
            <v>50</v>
          </cell>
        </row>
        <row r="855">
          <cell r="A855" t="str">
            <v>B558285/A</v>
          </cell>
          <cell r="B855" t="str">
            <v>DL019M837</v>
          </cell>
          <cell r="C855">
            <v>25</v>
          </cell>
          <cell r="D855">
            <v>689</v>
          </cell>
          <cell r="E855">
            <v>17225</v>
          </cell>
          <cell r="F855" t="str">
            <v>A3-S3</v>
          </cell>
          <cell r="G855" t="str">
            <v>Drawer bottom  - Đáy hộc kéo</v>
          </cell>
          <cell r="H855" t="str">
            <v>Pre-Assembly</v>
          </cell>
          <cell r="I855">
            <v>25</v>
          </cell>
        </row>
        <row r="856">
          <cell r="A856" t="str">
            <v>B558285/A</v>
          </cell>
          <cell r="B856" t="str">
            <v>DL019M837</v>
          </cell>
          <cell r="C856">
            <v>25</v>
          </cell>
          <cell r="D856">
            <v>689</v>
          </cell>
          <cell r="E856">
            <v>17225</v>
          </cell>
          <cell r="F856" t="str">
            <v>A3-S4</v>
          </cell>
          <cell r="G856" t="str">
            <v>Partition panel - Vách ngăn</v>
          </cell>
          <cell r="H856" t="str">
            <v>MDF Veneer</v>
          </cell>
          <cell r="I856">
            <v>50</v>
          </cell>
        </row>
        <row r="857">
          <cell r="A857" t="str">
            <v>B558285/A</v>
          </cell>
          <cell r="B857" t="str">
            <v>DL019M837</v>
          </cell>
          <cell r="C857">
            <v>25</v>
          </cell>
          <cell r="D857">
            <v>689</v>
          </cell>
          <cell r="E857">
            <v>17225</v>
          </cell>
          <cell r="F857" t="str">
            <v>A3-S5</v>
          </cell>
          <cell r="G857" t="str">
            <v>Partition panel - Vách ngăn</v>
          </cell>
          <cell r="H857" t="str">
            <v>Wood US Ash - Straight/Waving Edged, 1 COM - T26mm x W100mm up x L1.8m up</v>
          </cell>
          <cell r="I857">
            <v>50</v>
          </cell>
        </row>
        <row r="858">
          <cell r="A858" t="str">
            <v>B558285/A</v>
          </cell>
          <cell r="B858" t="str">
            <v>DL019M837</v>
          </cell>
          <cell r="C858">
            <v>25</v>
          </cell>
          <cell r="D858">
            <v>689</v>
          </cell>
          <cell r="E858">
            <v>17225</v>
          </cell>
          <cell r="F858" t="str">
            <v>A3-S6</v>
          </cell>
          <cell r="G858" t="str">
            <v xml:space="preserve">Top panel  - Ván nóc </v>
          </cell>
          <cell r="H858" t="str">
            <v>Wood US Ash - Straight/Waving Edged, 2 COM - T25mm x L1.8m Up</v>
          </cell>
          <cell r="I858">
            <v>25</v>
          </cell>
        </row>
        <row r="859">
          <cell r="A859" t="str">
            <v>B558285/A</v>
          </cell>
          <cell r="B859" t="str">
            <v>DL019M837</v>
          </cell>
          <cell r="C859">
            <v>25</v>
          </cell>
          <cell r="D859">
            <v>689</v>
          </cell>
          <cell r="E859">
            <v>17225</v>
          </cell>
          <cell r="F859" t="str">
            <v>A4-S1</v>
          </cell>
          <cell r="G859" t="str">
            <v>Front rail  - Đố tiền</v>
          </cell>
          <cell r="H859" t="str">
            <v>Wood US Ash - Straight/Waving Edged, 1 COM - T26mm x W100mm up x L1.8m up</v>
          </cell>
          <cell r="I859">
            <v>50</v>
          </cell>
        </row>
        <row r="860">
          <cell r="A860" t="str">
            <v>B558285/A</v>
          </cell>
          <cell r="B860" t="str">
            <v>DL019M837</v>
          </cell>
          <cell r="C860">
            <v>25</v>
          </cell>
          <cell r="D860">
            <v>689</v>
          </cell>
          <cell r="E860">
            <v>17225</v>
          </cell>
          <cell r="F860" t="str">
            <v>A4-S1-1</v>
          </cell>
          <cell r="G860" t="str">
            <v>back rail - Đố hậu</v>
          </cell>
          <cell r="H860" t="str">
            <v>Wood EU Beech - Straight/Waving Edged ABC, 2 COM - T26mm x W100mm up x L1.8m up</v>
          </cell>
          <cell r="I860">
            <v>50</v>
          </cell>
        </row>
        <row r="861">
          <cell r="A861" t="str">
            <v>B558285/A</v>
          </cell>
          <cell r="B861" t="str">
            <v>DL019M837</v>
          </cell>
          <cell r="C861">
            <v>25</v>
          </cell>
          <cell r="D861">
            <v>689</v>
          </cell>
          <cell r="E861">
            <v>17225</v>
          </cell>
          <cell r="F861" t="str">
            <v>A4-S2</v>
          </cell>
          <cell r="G861" t="str">
            <v>Front rail 1 - đố trước 1</v>
          </cell>
          <cell r="H861" t="str">
            <v>Wood US Ash - Straight/Waving Edged, 1 COM - T38mm x L1.8m Up</v>
          </cell>
          <cell r="I861">
            <v>100</v>
          </cell>
        </row>
        <row r="862">
          <cell r="A862" t="str">
            <v>B558285/A</v>
          </cell>
          <cell r="B862" t="str">
            <v>DL019M837</v>
          </cell>
          <cell r="C862">
            <v>25</v>
          </cell>
          <cell r="D862">
            <v>689</v>
          </cell>
          <cell r="E862">
            <v>17225</v>
          </cell>
          <cell r="F862" t="str">
            <v>A4-S3</v>
          </cell>
          <cell r="G862" t="str">
            <v xml:space="preserve">Side rail  - Đố hông </v>
          </cell>
          <cell r="H862" t="str">
            <v>Wood US Ash - Straight/Waving Edged, 1 COM - T26mm x W100mm up x L1.8m up</v>
          </cell>
          <cell r="I862">
            <v>50</v>
          </cell>
        </row>
        <row r="863">
          <cell r="A863" t="str">
            <v>B558285/A</v>
          </cell>
          <cell r="B863" t="str">
            <v>DL019M837</v>
          </cell>
          <cell r="C863">
            <v>25</v>
          </cell>
          <cell r="D863">
            <v>689</v>
          </cell>
          <cell r="E863">
            <v>17225</v>
          </cell>
          <cell r="F863" t="str">
            <v>A4-S3-1</v>
          </cell>
          <cell r="G863" t="str">
            <v>Center rail - Đố giữa</v>
          </cell>
          <cell r="H863" t="str">
            <v>Wood EU Beech - Straight/Waving Edged ABC, 2 COM - T26mm x W100mm up x L1.8m up</v>
          </cell>
          <cell r="I863">
            <v>25</v>
          </cell>
        </row>
        <row r="864">
          <cell r="A864" t="str">
            <v>B558285/A</v>
          </cell>
          <cell r="B864" t="str">
            <v>DL019M837</v>
          </cell>
          <cell r="C864">
            <v>25</v>
          </cell>
          <cell r="D864">
            <v>689</v>
          </cell>
          <cell r="E864">
            <v>17225</v>
          </cell>
          <cell r="F864" t="str">
            <v>A4-S4</v>
          </cell>
          <cell r="G864" t="str">
            <v>side rail 1 - đố hông 1</v>
          </cell>
          <cell r="H864" t="str">
            <v>Wood US Ash - Straight/Waving Edged, 1 COM - T38mm x L1.8m Up</v>
          </cell>
          <cell r="I864">
            <v>75</v>
          </cell>
        </row>
        <row r="865">
          <cell r="A865" t="str">
            <v>B558285/A</v>
          </cell>
          <cell r="B865" t="str">
            <v>DL019M837</v>
          </cell>
          <cell r="C865">
            <v>25</v>
          </cell>
          <cell r="D865">
            <v>689</v>
          </cell>
          <cell r="E865">
            <v>17225</v>
          </cell>
          <cell r="F865" t="str">
            <v>A4-S5</v>
          </cell>
          <cell r="G865" t="str">
            <v>The leg  - Chân</v>
          </cell>
          <cell r="H865" t="str">
            <v>Wood US Ash - Straight/Waving Edged, 1 COM - T50mm x L1.8m Up</v>
          </cell>
          <cell r="I865">
            <v>100</v>
          </cell>
        </row>
        <row r="866">
          <cell r="A866" t="str">
            <v>B558285/A</v>
          </cell>
          <cell r="B866" t="str">
            <v>DL019M837</v>
          </cell>
          <cell r="C866">
            <v>25</v>
          </cell>
          <cell r="D866">
            <v>689</v>
          </cell>
          <cell r="E866">
            <v>17225</v>
          </cell>
          <cell r="F866" t="str">
            <v>A4-S6</v>
          </cell>
          <cell r="G866" t="str">
            <v>Corner block - ke góc</v>
          </cell>
          <cell r="H866" t="str">
            <v>Wood EU Beech - Straight/Waving Edged ABC, 2 COM - T26mm x W100mm up x L1.8m up</v>
          </cell>
          <cell r="I866">
            <v>100</v>
          </cell>
        </row>
        <row r="867">
          <cell r="A867" t="str">
            <v>B558285/A</v>
          </cell>
          <cell r="B867" t="str">
            <v>DL019M837</v>
          </cell>
          <cell r="C867">
            <v>25</v>
          </cell>
          <cell r="D867">
            <v>689</v>
          </cell>
          <cell r="E867">
            <v>17225</v>
          </cell>
          <cell r="F867" t="str">
            <v>A4-S7</v>
          </cell>
          <cell r="G867" t="str">
            <v>Center leg - Chân giữa</v>
          </cell>
          <cell r="H867" t="str">
            <v>Wood US Ash - Straight/Waving Edged, 1 COM - T50mm x L1.8m Up</v>
          </cell>
          <cell r="I867">
            <v>50</v>
          </cell>
        </row>
        <row r="868">
          <cell r="A868" t="str">
            <v>B558285/A</v>
          </cell>
          <cell r="B868" t="str">
            <v>DL019M837</v>
          </cell>
          <cell r="C868">
            <v>25</v>
          </cell>
          <cell r="D868">
            <v>689</v>
          </cell>
          <cell r="E868">
            <v>17225</v>
          </cell>
          <cell r="F868" t="str">
            <v>A4-S9</v>
          </cell>
          <cell r="G868" t="str">
            <v>Corner block - ke góc</v>
          </cell>
          <cell r="H868" t="str">
            <v>Wood EU Beech - Straight/Waving Edged ABC, 2 COM - T26mm x W100mm up x L1.8m up</v>
          </cell>
          <cell r="I868">
            <v>50</v>
          </cell>
        </row>
        <row r="869">
          <cell r="A869" t="str">
            <v>B558285/A</v>
          </cell>
          <cell r="B869" t="str">
            <v>DL019M837</v>
          </cell>
          <cell r="C869">
            <v>25</v>
          </cell>
          <cell r="D869">
            <v>689</v>
          </cell>
          <cell r="E869">
            <v>17225</v>
          </cell>
          <cell r="F869" t="str">
            <v>P01</v>
          </cell>
          <cell r="G869" t="str">
            <v>Front moulding  - Chỉ tiền</v>
          </cell>
          <cell r="H869" t="str">
            <v>Wood laminate</v>
          </cell>
          <cell r="I869">
            <v>25</v>
          </cell>
        </row>
        <row r="870">
          <cell r="A870" t="str">
            <v>B558285/A</v>
          </cell>
          <cell r="B870" t="str">
            <v>DL019M837</v>
          </cell>
          <cell r="C870">
            <v>25</v>
          </cell>
          <cell r="D870">
            <v>689</v>
          </cell>
          <cell r="E870">
            <v>17225</v>
          </cell>
          <cell r="F870" t="str">
            <v>P02</v>
          </cell>
          <cell r="G870" t="str">
            <v xml:space="preserve">Side panel  - Ván hông </v>
          </cell>
          <cell r="H870" t="str">
            <v>MDF Veneer</v>
          </cell>
          <cell r="I870">
            <v>50</v>
          </cell>
        </row>
        <row r="871">
          <cell r="A871" t="str">
            <v>B558285/A</v>
          </cell>
          <cell r="B871" t="str">
            <v>DL019M837</v>
          </cell>
          <cell r="C871">
            <v>25</v>
          </cell>
          <cell r="D871">
            <v>689</v>
          </cell>
          <cell r="E871">
            <v>17225</v>
          </cell>
          <cell r="F871" t="str">
            <v>P02-1</v>
          </cell>
          <cell r="G871" t="str">
            <v>Spline - Lưỡi gà</v>
          </cell>
          <cell r="H871" t="str">
            <v>Plywood LVD - 06 x 1220 x 2440mm, Bleached Poplar Veneer Both Sides [CARB P2 Compliant]</v>
          </cell>
          <cell r="I871">
            <v>50</v>
          </cell>
        </row>
        <row r="872">
          <cell r="A872" t="str">
            <v>B558285/A</v>
          </cell>
          <cell r="B872" t="str">
            <v>DL019M837</v>
          </cell>
          <cell r="C872">
            <v>25</v>
          </cell>
          <cell r="D872">
            <v>689</v>
          </cell>
          <cell r="E872">
            <v>17225</v>
          </cell>
          <cell r="F872" t="str">
            <v>P03</v>
          </cell>
          <cell r="G872" t="str">
            <v xml:space="preserve">Side rail  - Đố hông </v>
          </cell>
          <cell r="H872" t="str">
            <v>Wood EU Beech - Straight/Waving Edged ABC, 2 COM - T26mm x W100mm up x L1.8m up</v>
          </cell>
          <cell r="I872">
            <v>50</v>
          </cell>
        </row>
        <row r="873">
          <cell r="A873" t="str">
            <v>B558285/A</v>
          </cell>
          <cell r="B873" t="str">
            <v>DL019M837</v>
          </cell>
          <cell r="C873">
            <v>25</v>
          </cell>
          <cell r="D873">
            <v>689</v>
          </cell>
          <cell r="E873">
            <v>17225</v>
          </cell>
          <cell r="F873" t="str">
            <v>P04</v>
          </cell>
          <cell r="G873" t="str">
            <v>Front top rail  - Đố tiền nóc</v>
          </cell>
          <cell r="H873" t="str">
            <v>Wood laminate</v>
          </cell>
          <cell r="I873">
            <v>25</v>
          </cell>
        </row>
        <row r="874">
          <cell r="A874" t="str">
            <v>B558285/A</v>
          </cell>
          <cell r="B874" t="str">
            <v>DL019M837</v>
          </cell>
          <cell r="C874">
            <v>25</v>
          </cell>
          <cell r="D874">
            <v>689</v>
          </cell>
          <cell r="E874">
            <v>17225</v>
          </cell>
          <cell r="F874" t="str">
            <v>P05</v>
          </cell>
          <cell r="G874" t="str">
            <v>Back top rail - Đố hậu nóc</v>
          </cell>
          <cell r="H874" t="str">
            <v>Wood laminate</v>
          </cell>
          <cell r="I874">
            <v>25</v>
          </cell>
        </row>
        <row r="875">
          <cell r="A875" t="str">
            <v>B558285/A</v>
          </cell>
          <cell r="B875" t="str">
            <v>DL019M837</v>
          </cell>
          <cell r="C875">
            <v>25</v>
          </cell>
          <cell r="D875">
            <v>689</v>
          </cell>
          <cell r="E875">
            <v>17225</v>
          </cell>
          <cell r="F875" t="str">
            <v>P06</v>
          </cell>
          <cell r="G875" t="str">
            <v>Bottom panel - Ván đáy</v>
          </cell>
          <cell r="H875" t="str">
            <v>MDF Veneer</v>
          </cell>
          <cell r="I875">
            <v>25</v>
          </cell>
        </row>
        <row r="876">
          <cell r="A876" t="str">
            <v>B558285/A</v>
          </cell>
          <cell r="B876" t="str">
            <v>DL019M837</v>
          </cell>
          <cell r="C876">
            <v>25</v>
          </cell>
          <cell r="D876">
            <v>689</v>
          </cell>
          <cell r="E876">
            <v>17225</v>
          </cell>
          <cell r="F876" t="str">
            <v>P07</v>
          </cell>
          <cell r="G876" t="str">
            <v>Back panel - Ván hậu</v>
          </cell>
          <cell r="H876" t="str">
            <v>MDF Veneer</v>
          </cell>
          <cell r="I876">
            <v>25</v>
          </cell>
        </row>
        <row r="877">
          <cell r="A877" t="str">
            <v>B558285/A</v>
          </cell>
          <cell r="B877" t="str">
            <v>DL019M837</v>
          </cell>
          <cell r="C877">
            <v>25</v>
          </cell>
          <cell r="D877">
            <v>689</v>
          </cell>
          <cell r="E877">
            <v>17225</v>
          </cell>
          <cell r="F877" t="str">
            <v>P08</v>
          </cell>
          <cell r="G877" t="str">
            <v>Partition panel - Vách ngăn</v>
          </cell>
          <cell r="H877" t="str">
            <v>MDF Veneer</v>
          </cell>
          <cell r="I877">
            <v>25</v>
          </cell>
        </row>
        <row r="878">
          <cell r="A878" t="str">
            <v>B558285/A</v>
          </cell>
          <cell r="B878" t="str">
            <v>DL019M837</v>
          </cell>
          <cell r="C878">
            <v>25</v>
          </cell>
          <cell r="D878">
            <v>689</v>
          </cell>
          <cell r="E878">
            <v>17225</v>
          </cell>
          <cell r="F878" t="str">
            <v>P10</v>
          </cell>
          <cell r="G878" t="str">
            <v>Drawer stop - Dừng hộc</v>
          </cell>
          <cell r="H878" t="str">
            <v>Poplar off cut</v>
          </cell>
          <cell r="I878">
            <v>200</v>
          </cell>
        </row>
        <row r="879">
          <cell r="A879" t="str">
            <v>B558445/A</v>
          </cell>
          <cell r="B879" t="str">
            <v>HS5231M1091</v>
          </cell>
          <cell r="C879">
            <v>82</v>
          </cell>
          <cell r="D879">
            <v>735</v>
          </cell>
          <cell r="E879">
            <v>60270</v>
          </cell>
          <cell r="F879" t="str">
            <v>A1</v>
          </cell>
          <cell r="G879" t="str">
            <v>Top Frame - Khung nóc</v>
          </cell>
          <cell r="H879" t="str">
            <v>Pre-Assembly</v>
          </cell>
          <cell r="I879">
            <v>82</v>
          </cell>
        </row>
        <row r="880">
          <cell r="A880" t="str">
            <v>B558445/A</v>
          </cell>
          <cell r="B880" t="str">
            <v>HS5231M1091</v>
          </cell>
          <cell r="C880">
            <v>82</v>
          </cell>
          <cell r="D880">
            <v>735</v>
          </cell>
          <cell r="E880">
            <v>60270</v>
          </cell>
          <cell r="F880" t="str">
            <v>A1-S03</v>
          </cell>
          <cell r="G880" t="str">
            <v>Patching wood - Gỗ đắp</v>
          </cell>
          <cell r="H880" t="str">
            <v>Beech off cut</v>
          </cell>
          <cell r="I880">
            <v>1312</v>
          </cell>
        </row>
        <row r="881">
          <cell r="A881" t="str">
            <v>B558445/A</v>
          </cell>
          <cell r="B881" t="str">
            <v>HS5231M1091</v>
          </cell>
          <cell r="C881">
            <v>82</v>
          </cell>
          <cell r="D881">
            <v>735</v>
          </cell>
          <cell r="E881">
            <v>60270</v>
          </cell>
          <cell r="F881" t="str">
            <v>P01</v>
          </cell>
          <cell r="G881" t="str">
            <v>Front leg  - Chần tiền</v>
          </cell>
          <cell r="H881" t="str">
            <v>Wood laminate</v>
          </cell>
          <cell r="I881">
            <v>328</v>
          </cell>
        </row>
        <row r="882">
          <cell r="A882" t="str">
            <v>B558287/A</v>
          </cell>
          <cell r="B882" t="str">
            <v>JV013M836</v>
          </cell>
          <cell r="C882">
            <v>40</v>
          </cell>
          <cell r="D882">
            <v>529</v>
          </cell>
          <cell r="E882">
            <v>21160</v>
          </cell>
          <cell r="F882" t="str">
            <v>A1-S01</v>
          </cell>
          <cell r="G882" t="str">
            <v xml:space="preserve">Drawer front - Mặt hộc kéo </v>
          </cell>
          <cell r="H882" t="str">
            <v>Wd+MDF+VN</v>
          </cell>
          <cell r="I882">
            <v>80</v>
          </cell>
        </row>
        <row r="883">
          <cell r="A883" t="str">
            <v>B558287/A</v>
          </cell>
          <cell r="B883" t="str">
            <v>JV013M836</v>
          </cell>
          <cell r="C883">
            <v>40</v>
          </cell>
          <cell r="D883">
            <v>529</v>
          </cell>
          <cell r="E883">
            <v>21160</v>
          </cell>
          <cell r="F883" t="str">
            <v>A1-S01-1</v>
          </cell>
          <cell r="G883" t="str">
            <v>Patching wood - Gỗ đắp</v>
          </cell>
          <cell r="H883" t="str">
            <v>Wood Acacia - Straight/Waving Edged - T35mm x W100mm Up x L1.5m Up (FSC Certificate or Low-risk regions)</v>
          </cell>
          <cell r="I883">
            <v>80</v>
          </cell>
        </row>
        <row r="884">
          <cell r="A884" t="str">
            <v>B558287/A</v>
          </cell>
          <cell r="B884" t="str">
            <v>JV013M836</v>
          </cell>
          <cell r="C884">
            <v>40</v>
          </cell>
          <cell r="D884">
            <v>529</v>
          </cell>
          <cell r="E884">
            <v>21160</v>
          </cell>
          <cell r="F884" t="str">
            <v>A1-S01-2</v>
          </cell>
          <cell r="G884" t="str">
            <v xml:space="preserve">Panel - Ván </v>
          </cell>
          <cell r="H884" t="str">
            <v>MDF Moisture-Resistant - 15 x 1220 x 2440mm [CARB P2 Compliant] (FSC Certificate or Low-risk regions)</v>
          </cell>
          <cell r="I884">
            <v>80</v>
          </cell>
        </row>
        <row r="885">
          <cell r="A885" t="str">
            <v>B558287/A</v>
          </cell>
          <cell r="B885" t="str">
            <v>JV013M836</v>
          </cell>
          <cell r="C885">
            <v>40</v>
          </cell>
          <cell r="D885">
            <v>529</v>
          </cell>
          <cell r="E885">
            <v>21160</v>
          </cell>
          <cell r="F885" t="str">
            <v>A1-S02</v>
          </cell>
          <cell r="G885" t="str">
            <v xml:space="preserve">Drawer front 1 - Mặt hộc kéo </v>
          </cell>
          <cell r="H885" t="str">
            <v>MDF Veneer</v>
          </cell>
          <cell r="I885">
            <v>80</v>
          </cell>
        </row>
        <row r="886">
          <cell r="A886" t="str">
            <v>B558287/A</v>
          </cell>
          <cell r="B886" t="str">
            <v>JV013M836</v>
          </cell>
          <cell r="C886">
            <v>40</v>
          </cell>
          <cell r="D886">
            <v>529</v>
          </cell>
          <cell r="E886">
            <v>21160</v>
          </cell>
          <cell r="F886" t="str">
            <v>A1-S03</v>
          </cell>
          <cell r="G886" t="str">
            <v>Drawer side - Hông hộc kéo</v>
          </cell>
          <cell r="H886" t="str">
            <v>MDF Veneer</v>
          </cell>
          <cell r="I886">
            <v>160</v>
          </cell>
        </row>
        <row r="887">
          <cell r="A887" t="str">
            <v>B558287/A</v>
          </cell>
          <cell r="B887" t="str">
            <v>JV013M836</v>
          </cell>
          <cell r="C887">
            <v>40</v>
          </cell>
          <cell r="D887">
            <v>529</v>
          </cell>
          <cell r="E887">
            <v>21160</v>
          </cell>
          <cell r="F887" t="str">
            <v>A1-S04</v>
          </cell>
          <cell r="G887" t="str">
            <v>Drawer back - Hậu hộc kéo</v>
          </cell>
          <cell r="H887" t="str">
            <v>MDF Veneer</v>
          </cell>
          <cell r="I887">
            <v>80</v>
          </cell>
        </row>
        <row r="888">
          <cell r="A888" t="str">
            <v>B558287/A</v>
          </cell>
          <cell r="B888" t="str">
            <v>JV013M836</v>
          </cell>
          <cell r="C888">
            <v>40</v>
          </cell>
          <cell r="D888">
            <v>529</v>
          </cell>
          <cell r="E888">
            <v>21160</v>
          </cell>
          <cell r="F888" t="str">
            <v>A1-S07A</v>
          </cell>
          <cell r="G888" t="str">
            <v>Drawer bottom  - Đáy hộc kéo</v>
          </cell>
          <cell r="H888" t="str">
            <v>Pre-Assembly</v>
          </cell>
          <cell r="I888">
            <v>80</v>
          </cell>
        </row>
        <row r="889">
          <cell r="A889" t="str">
            <v>B558287/A</v>
          </cell>
          <cell r="B889" t="str">
            <v>JV013M836</v>
          </cell>
          <cell r="C889">
            <v>40</v>
          </cell>
          <cell r="D889">
            <v>529</v>
          </cell>
          <cell r="E889">
            <v>21160</v>
          </cell>
          <cell r="F889" t="str">
            <v>A1-S08</v>
          </cell>
          <cell r="G889" t="str">
            <v>Patching wood - Gỗ đắp</v>
          </cell>
          <cell r="H889" t="str">
            <v>Wood Acacia - Straight/Waving Edged - T35mm x W100mm Up x L1.5m Up (FSC Certificate or Low-risk regions)</v>
          </cell>
          <cell r="I889">
            <v>80</v>
          </cell>
        </row>
        <row r="890">
          <cell r="A890" t="str">
            <v>B558287/A</v>
          </cell>
          <cell r="B890" t="str">
            <v>JV013M836</v>
          </cell>
          <cell r="C890">
            <v>40</v>
          </cell>
          <cell r="D890">
            <v>529</v>
          </cell>
          <cell r="E890">
            <v>21160</v>
          </cell>
          <cell r="F890" t="str">
            <v>A1-S09</v>
          </cell>
          <cell r="G890" t="str">
            <v>Patching wood - Gỗ đắp</v>
          </cell>
          <cell r="H890" t="str">
            <v>Wood Acacia - Straight/Waving Edged - T35mm x W100mm Up x L1.5m Up (FSC Certificate or Low-risk regions)</v>
          </cell>
          <cell r="I890">
            <v>160</v>
          </cell>
        </row>
        <row r="891">
          <cell r="A891" t="str">
            <v>B558287/A</v>
          </cell>
          <cell r="B891" t="str">
            <v>JV013M836</v>
          </cell>
          <cell r="C891">
            <v>40</v>
          </cell>
          <cell r="D891">
            <v>529</v>
          </cell>
          <cell r="E891">
            <v>21160</v>
          </cell>
          <cell r="F891" t="str">
            <v>A1-S10</v>
          </cell>
          <cell r="G891" t="str">
            <v>Patching wood - Gỗ đắp</v>
          </cell>
          <cell r="H891" t="str">
            <v>Wood Acacia - Straight/Waving Edged - T35mm x W100mm Up x L1.5m Up (FSC Certificate or Low-risk regions)</v>
          </cell>
          <cell r="I891">
            <v>80</v>
          </cell>
        </row>
        <row r="892">
          <cell r="A892" t="str">
            <v>B558287/A</v>
          </cell>
          <cell r="B892" t="str">
            <v>JV013M836</v>
          </cell>
          <cell r="C892">
            <v>40</v>
          </cell>
          <cell r="D892">
            <v>529</v>
          </cell>
          <cell r="E892">
            <v>21160</v>
          </cell>
          <cell r="F892" t="str">
            <v>A1-S11</v>
          </cell>
          <cell r="G892" t="str">
            <v>Patching wood - Gỗ đắp</v>
          </cell>
          <cell r="H892" t="str">
            <v>Wood Acacia - Straight/Waving Edged - T35mm x W100mm Up x L1.5m Up (FSC Certificate or Low-risk regions)</v>
          </cell>
          <cell r="I892">
            <v>160</v>
          </cell>
        </row>
        <row r="893">
          <cell r="A893" t="str">
            <v>B558287/A</v>
          </cell>
          <cell r="B893" t="str">
            <v>JV013M836</v>
          </cell>
          <cell r="C893">
            <v>40</v>
          </cell>
          <cell r="D893">
            <v>529</v>
          </cell>
          <cell r="E893">
            <v>21160</v>
          </cell>
          <cell r="F893" t="str">
            <v>P01</v>
          </cell>
          <cell r="G893" t="str">
            <v xml:space="preserve">Side panel left  - Ván hông trái </v>
          </cell>
          <cell r="H893" t="str">
            <v>Pre-Assembly</v>
          </cell>
          <cell r="I893">
            <v>40</v>
          </cell>
        </row>
        <row r="894">
          <cell r="A894" t="str">
            <v>B558287/A</v>
          </cell>
          <cell r="B894" t="str">
            <v>JV013M836</v>
          </cell>
          <cell r="C894">
            <v>40</v>
          </cell>
          <cell r="D894">
            <v>529</v>
          </cell>
          <cell r="E894">
            <v>21160</v>
          </cell>
          <cell r="F894" t="str">
            <v>P01-1</v>
          </cell>
          <cell r="G894" t="str">
            <v xml:space="preserve">Side panel  - Ván hông </v>
          </cell>
          <cell r="H894" t="str">
            <v>MDF OFF CUT</v>
          </cell>
          <cell r="I894">
            <v>80</v>
          </cell>
        </row>
        <row r="895">
          <cell r="A895" t="str">
            <v>B558287/A</v>
          </cell>
          <cell r="B895" t="str">
            <v>JV013M836</v>
          </cell>
          <cell r="C895">
            <v>40</v>
          </cell>
          <cell r="D895">
            <v>529</v>
          </cell>
          <cell r="E895">
            <v>21160</v>
          </cell>
          <cell r="F895" t="str">
            <v>P01-2</v>
          </cell>
          <cell r="G895" t="str">
            <v>Patching wood - Gỗ đắp</v>
          </cell>
          <cell r="H895" t="str">
            <v>Veneer laminate</v>
          </cell>
          <cell r="I895">
            <v>80</v>
          </cell>
        </row>
        <row r="896">
          <cell r="A896" t="str">
            <v>B558287/A</v>
          </cell>
          <cell r="B896" t="str">
            <v>JV013M836</v>
          </cell>
          <cell r="C896">
            <v>40</v>
          </cell>
          <cell r="D896">
            <v>529</v>
          </cell>
          <cell r="E896">
            <v>21160</v>
          </cell>
          <cell r="F896" t="str">
            <v>P01-3</v>
          </cell>
          <cell r="G896" t="str">
            <v>Patching wood - Gỗ đắp</v>
          </cell>
          <cell r="H896" t="str">
            <v>Veneer laminate</v>
          </cell>
          <cell r="I896">
            <v>80</v>
          </cell>
        </row>
        <row r="897">
          <cell r="A897" t="str">
            <v>B558287/A</v>
          </cell>
          <cell r="B897" t="str">
            <v>JV013M836</v>
          </cell>
          <cell r="C897">
            <v>40</v>
          </cell>
          <cell r="D897">
            <v>529</v>
          </cell>
          <cell r="E897">
            <v>21160</v>
          </cell>
          <cell r="F897" t="str">
            <v>P01-4</v>
          </cell>
          <cell r="G897" t="str">
            <v>Insert Wood - Gỗ chèn</v>
          </cell>
          <cell r="H897" t="str">
            <v>Beech off cut</v>
          </cell>
          <cell r="I897">
            <v>240</v>
          </cell>
        </row>
        <row r="898">
          <cell r="A898" t="str">
            <v>B558287/A</v>
          </cell>
          <cell r="B898" t="str">
            <v>JV013M836</v>
          </cell>
          <cell r="C898">
            <v>40</v>
          </cell>
          <cell r="D898">
            <v>529</v>
          </cell>
          <cell r="E898">
            <v>21160</v>
          </cell>
          <cell r="F898" t="str">
            <v>P01A</v>
          </cell>
          <cell r="G898" t="str">
            <v xml:space="preserve">Side panel right  - Ván hông phải </v>
          </cell>
          <cell r="H898" t="str">
            <v>Pre-Assembly</v>
          </cell>
          <cell r="I898">
            <v>40</v>
          </cell>
        </row>
        <row r="899">
          <cell r="A899" t="str">
            <v>B558287/A</v>
          </cell>
          <cell r="B899" t="str">
            <v>JV013M836</v>
          </cell>
          <cell r="C899">
            <v>40</v>
          </cell>
          <cell r="D899">
            <v>529</v>
          </cell>
          <cell r="E899">
            <v>21160</v>
          </cell>
          <cell r="F899" t="str">
            <v>P02</v>
          </cell>
          <cell r="G899" t="str">
            <v>Bottom panel - Ván đáy</v>
          </cell>
          <cell r="H899" t="str">
            <v>Pre-Assembly</v>
          </cell>
          <cell r="I899">
            <v>40</v>
          </cell>
        </row>
        <row r="900">
          <cell r="A900" t="str">
            <v>B558287/A</v>
          </cell>
          <cell r="B900" t="str">
            <v>JV013M836</v>
          </cell>
          <cell r="C900">
            <v>40</v>
          </cell>
          <cell r="D900">
            <v>529</v>
          </cell>
          <cell r="E900">
            <v>21160</v>
          </cell>
          <cell r="F900" t="str">
            <v>P02-1</v>
          </cell>
          <cell r="G900" t="str">
            <v>Bottom panel - Ván đáy</v>
          </cell>
          <cell r="H900" t="str">
            <v>MDF Veneer</v>
          </cell>
          <cell r="I900">
            <v>40</v>
          </cell>
        </row>
        <row r="901">
          <cell r="A901" t="str">
            <v>B558287/A</v>
          </cell>
          <cell r="B901" t="str">
            <v>JV013M836</v>
          </cell>
          <cell r="C901">
            <v>40</v>
          </cell>
          <cell r="D901">
            <v>529</v>
          </cell>
          <cell r="E901">
            <v>21160</v>
          </cell>
          <cell r="F901" t="str">
            <v>P02-2</v>
          </cell>
          <cell r="G901" t="str">
            <v>Patching wood - Gỗ đắp</v>
          </cell>
          <cell r="H901" t="str">
            <v>MDF Veneer</v>
          </cell>
          <cell r="I901">
            <v>40</v>
          </cell>
        </row>
        <row r="902">
          <cell r="A902" t="str">
            <v>B558287/A</v>
          </cell>
          <cell r="B902" t="str">
            <v>JV013M836</v>
          </cell>
          <cell r="C902">
            <v>40</v>
          </cell>
          <cell r="D902">
            <v>529</v>
          </cell>
          <cell r="E902">
            <v>21160</v>
          </cell>
          <cell r="F902" t="str">
            <v>P02-3</v>
          </cell>
          <cell r="G902" t="str">
            <v>Patching wood - Gỗ đắp</v>
          </cell>
          <cell r="H902" t="str">
            <v>MDF Veneer</v>
          </cell>
          <cell r="I902">
            <v>80</v>
          </cell>
        </row>
        <row r="903">
          <cell r="A903" t="str">
            <v>B558287/A</v>
          </cell>
          <cell r="B903" t="str">
            <v>JV013M836</v>
          </cell>
          <cell r="C903">
            <v>40</v>
          </cell>
          <cell r="D903">
            <v>529</v>
          </cell>
          <cell r="E903">
            <v>21160</v>
          </cell>
          <cell r="F903" t="str">
            <v>P02-4</v>
          </cell>
          <cell r="G903" t="str">
            <v>Patching wood - Gỗ đắp</v>
          </cell>
          <cell r="H903" t="str">
            <v>Wood EU Beech - Straight/Waving Edged AB, 1 COM - T50mm x W100mm up x L1.8m up</v>
          </cell>
          <cell r="I903">
            <v>40</v>
          </cell>
        </row>
        <row r="904">
          <cell r="A904" t="str">
            <v>B558287/A</v>
          </cell>
          <cell r="B904" t="str">
            <v>JV013M836</v>
          </cell>
          <cell r="C904">
            <v>40</v>
          </cell>
          <cell r="D904">
            <v>529</v>
          </cell>
          <cell r="E904">
            <v>21160</v>
          </cell>
          <cell r="F904" t="str">
            <v>P02-5</v>
          </cell>
          <cell r="G904" t="str">
            <v xml:space="preserve">Panel - Ván </v>
          </cell>
          <cell r="H904" t="str">
            <v>Wood US Poplar - Straight Edged, 2 COM - T38mm x W100mm Up x L1.8m Up</v>
          </cell>
          <cell r="I904">
            <v>120</v>
          </cell>
        </row>
        <row r="905">
          <cell r="A905" t="str">
            <v>B558287/A</v>
          </cell>
          <cell r="B905" t="str">
            <v>JV013M836</v>
          </cell>
          <cell r="C905">
            <v>40</v>
          </cell>
          <cell r="D905">
            <v>529</v>
          </cell>
          <cell r="E905">
            <v>21160</v>
          </cell>
          <cell r="F905" t="str">
            <v>P03</v>
          </cell>
          <cell r="G905" t="str">
            <v>Top rail - Đố nóc</v>
          </cell>
          <cell r="H905" t="str">
            <v>Wd+VN</v>
          </cell>
          <cell r="I905">
            <v>40</v>
          </cell>
        </row>
        <row r="906">
          <cell r="A906" t="str">
            <v>B558287/A</v>
          </cell>
          <cell r="B906" t="str">
            <v>JV013M836</v>
          </cell>
          <cell r="C906">
            <v>40</v>
          </cell>
          <cell r="D906">
            <v>529</v>
          </cell>
          <cell r="E906">
            <v>21160</v>
          </cell>
          <cell r="F906" t="str">
            <v>P04</v>
          </cell>
          <cell r="G906" t="str">
            <v>Top rail - Đố nóc</v>
          </cell>
          <cell r="H906" t="str">
            <v>Wood EU Beech - Straight/Waving Edged AB, 1 COM - T26mm x W100mm up x L1.8m up</v>
          </cell>
          <cell r="I906">
            <v>80</v>
          </cell>
        </row>
        <row r="907">
          <cell r="A907" t="str">
            <v>B558287/A</v>
          </cell>
          <cell r="B907" t="str">
            <v>JV013M836</v>
          </cell>
          <cell r="C907">
            <v>40</v>
          </cell>
          <cell r="D907">
            <v>529</v>
          </cell>
          <cell r="E907">
            <v>21160</v>
          </cell>
          <cell r="F907" t="str">
            <v>P05</v>
          </cell>
          <cell r="G907" t="str">
            <v>Back rail with note finger - đố hậu</v>
          </cell>
          <cell r="H907" t="str">
            <v>Wood EU Beech - Straight/Waving Edged AB, 1 COM - T26mm x W100mm up x L1.8m up</v>
          </cell>
          <cell r="I907">
            <v>40</v>
          </cell>
        </row>
        <row r="908">
          <cell r="A908" t="str">
            <v>B558287/A</v>
          </cell>
          <cell r="B908" t="str">
            <v>JV013M836</v>
          </cell>
          <cell r="C908">
            <v>40</v>
          </cell>
          <cell r="D908">
            <v>529</v>
          </cell>
          <cell r="E908">
            <v>21160</v>
          </cell>
          <cell r="F908" t="str">
            <v>P06</v>
          </cell>
          <cell r="G908" t="str">
            <v>Back panel - Ván hậu</v>
          </cell>
          <cell r="H908" t="str">
            <v>MDF Veneer</v>
          </cell>
          <cell r="I908">
            <v>40</v>
          </cell>
        </row>
        <row r="909">
          <cell r="A909" t="str">
            <v>B558287/A</v>
          </cell>
          <cell r="B909" t="str">
            <v>JV013M836</v>
          </cell>
          <cell r="C909">
            <v>40</v>
          </cell>
          <cell r="D909">
            <v>529</v>
          </cell>
          <cell r="E909">
            <v>21160</v>
          </cell>
          <cell r="F909" t="str">
            <v>P07</v>
          </cell>
          <cell r="G909" t="str">
            <v>Vertical rail 1 - Đố đứng 1</v>
          </cell>
          <cell r="H909" t="str">
            <v>Wood Acacia - Straight/Waving Edged - T25mm x W100mm Up x L1m Up (FSC Certificate or Low-risk regions)</v>
          </cell>
          <cell r="I909">
            <v>80</v>
          </cell>
        </row>
        <row r="910">
          <cell r="A910" t="str">
            <v>B558287/A</v>
          </cell>
          <cell r="B910" t="str">
            <v>JV013M836</v>
          </cell>
          <cell r="C910">
            <v>40</v>
          </cell>
          <cell r="D910">
            <v>529</v>
          </cell>
          <cell r="E910">
            <v>21160</v>
          </cell>
          <cell r="F910" t="str">
            <v>P08</v>
          </cell>
          <cell r="G910" t="str">
            <v>Bottom panel - Ván đáy</v>
          </cell>
          <cell r="H910" t="str">
            <v>MDF Veneer</v>
          </cell>
          <cell r="I910">
            <v>40</v>
          </cell>
        </row>
        <row r="911">
          <cell r="A911" t="str">
            <v>B558287/A</v>
          </cell>
          <cell r="B911" t="str">
            <v>JV013M836</v>
          </cell>
          <cell r="C911">
            <v>40</v>
          </cell>
          <cell r="D911">
            <v>529</v>
          </cell>
          <cell r="E911">
            <v>21160</v>
          </cell>
          <cell r="F911" t="str">
            <v>P09</v>
          </cell>
          <cell r="G911" t="str">
            <v>Partition panel - Vách ngăn</v>
          </cell>
          <cell r="H911" t="str">
            <v>MDF Veneer</v>
          </cell>
          <cell r="I911">
            <v>40</v>
          </cell>
        </row>
        <row r="912">
          <cell r="A912" t="str">
            <v>B558287/A</v>
          </cell>
          <cell r="B912" t="str">
            <v>JV013M836</v>
          </cell>
          <cell r="C912">
            <v>40</v>
          </cell>
          <cell r="D912">
            <v>529</v>
          </cell>
          <cell r="E912">
            <v>21160</v>
          </cell>
          <cell r="F912" t="str">
            <v>P09-1</v>
          </cell>
          <cell r="G912" t="str">
            <v>Horizontal rail 1 - Đố ngang 1</v>
          </cell>
          <cell r="H912" t="str">
            <v>Wood US Poplar - Straight Edged, 2 COM - T25mm x W100mm Up x L1.8m Up</v>
          </cell>
          <cell r="I912">
            <v>120</v>
          </cell>
        </row>
        <row r="913">
          <cell r="A913" t="str">
            <v>B558287/A</v>
          </cell>
          <cell r="B913" t="str">
            <v>JV013M836</v>
          </cell>
          <cell r="C913">
            <v>40</v>
          </cell>
          <cell r="D913">
            <v>529</v>
          </cell>
          <cell r="E913">
            <v>21160</v>
          </cell>
          <cell r="F913" t="str">
            <v>P09-2</v>
          </cell>
          <cell r="G913" t="str">
            <v>Horizontal rail 1 - Đố ngang 1</v>
          </cell>
          <cell r="H913" t="str">
            <v>TRAM OFF CUT</v>
          </cell>
          <cell r="I913">
            <v>120</v>
          </cell>
        </row>
        <row r="914">
          <cell r="A914" t="str">
            <v>B558287/A</v>
          </cell>
          <cell r="B914" t="str">
            <v>JV013M836</v>
          </cell>
          <cell r="C914">
            <v>40</v>
          </cell>
          <cell r="D914">
            <v>529</v>
          </cell>
          <cell r="E914">
            <v>21160</v>
          </cell>
          <cell r="F914" t="str">
            <v>P09-3</v>
          </cell>
          <cell r="G914" t="str">
            <v>Horizontal rail 1 - Đố ngang 1</v>
          </cell>
          <cell r="H914" t="str">
            <v>Wood US Poplar - Straight Edged, 2 COM - T25mm x W100mm Up x L1.8m Up</v>
          </cell>
          <cell r="I914">
            <v>40</v>
          </cell>
        </row>
        <row r="915">
          <cell r="A915" t="str">
            <v>B558287/A</v>
          </cell>
          <cell r="B915" t="str">
            <v>JV013M836</v>
          </cell>
          <cell r="C915">
            <v>40</v>
          </cell>
          <cell r="D915">
            <v>529</v>
          </cell>
          <cell r="E915">
            <v>21160</v>
          </cell>
          <cell r="F915" t="str">
            <v>P09-4</v>
          </cell>
          <cell r="G915" t="str">
            <v>Horizontal rail 1 - Đố ngang 1</v>
          </cell>
          <cell r="H915" t="str">
            <v>TRAM OFF CUT</v>
          </cell>
          <cell r="I915">
            <v>40</v>
          </cell>
        </row>
        <row r="916">
          <cell r="A916" t="str">
            <v>B558287/A</v>
          </cell>
          <cell r="B916" t="str">
            <v>JV013M836</v>
          </cell>
          <cell r="C916">
            <v>40</v>
          </cell>
          <cell r="D916">
            <v>529</v>
          </cell>
          <cell r="E916">
            <v>21160</v>
          </cell>
          <cell r="F916" t="str">
            <v>P10</v>
          </cell>
          <cell r="G916" t="str">
            <v>Back rail with note finger - đố hậu</v>
          </cell>
          <cell r="H916" t="str">
            <v>Wood US Poplar - Straight Edged, 2 COM - T25mm x W100mm Up x L1.8m Up</v>
          </cell>
          <cell r="I916">
            <v>80</v>
          </cell>
        </row>
        <row r="917">
          <cell r="A917" t="str">
            <v>B558287/A</v>
          </cell>
          <cell r="B917" t="str">
            <v>JV013M836</v>
          </cell>
          <cell r="C917">
            <v>40</v>
          </cell>
          <cell r="D917">
            <v>529</v>
          </cell>
          <cell r="E917">
            <v>21160</v>
          </cell>
          <cell r="F917" t="str">
            <v>P10-1</v>
          </cell>
          <cell r="G917" t="str">
            <v>Back rail with note finger - đố hậu</v>
          </cell>
          <cell r="H917" t="str">
            <v>Wood US Poplar - Straight Edged, 2 COM - T25mm x W100mm Up x L1.8m Up</v>
          </cell>
          <cell r="I917">
            <v>40</v>
          </cell>
        </row>
        <row r="918">
          <cell r="A918" t="str">
            <v>B558287/A</v>
          </cell>
          <cell r="B918" t="str">
            <v>JV013M836</v>
          </cell>
          <cell r="C918">
            <v>40</v>
          </cell>
          <cell r="D918">
            <v>529</v>
          </cell>
          <cell r="E918">
            <v>21160</v>
          </cell>
          <cell r="F918" t="str">
            <v>P11</v>
          </cell>
          <cell r="G918" t="str">
            <v>Adjustable Shelf  - Kệ di động</v>
          </cell>
          <cell r="H918" t="str">
            <v>Pre-Assembly</v>
          </cell>
          <cell r="I918">
            <v>40</v>
          </cell>
        </row>
        <row r="919">
          <cell r="A919" t="str">
            <v>B558287/A</v>
          </cell>
          <cell r="B919" t="str">
            <v>JV013M836</v>
          </cell>
          <cell r="C919">
            <v>40</v>
          </cell>
          <cell r="D919">
            <v>529</v>
          </cell>
          <cell r="E919">
            <v>21160</v>
          </cell>
          <cell r="F919" t="str">
            <v>P11-1</v>
          </cell>
          <cell r="G919" t="str">
            <v>Horizontal rail 1 - Đố ngang 1</v>
          </cell>
          <cell r="H919" t="str">
            <v>Wood Acacia - Straight/Waving Edged - T25mm x W100mm Up x L1m Up (FSC Certificate or Low-risk regions)</v>
          </cell>
          <cell r="I919">
            <v>40</v>
          </cell>
        </row>
        <row r="920">
          <cell r="A920" t="str">
            <v>B558287/A</v>
          </cell>
          <cell r="B920" t="str">
            <v>JV013M836</v>
          </cell>
          <cell r="C920">
            <v>40</v>
          </cell>
          <cell r="D920">
            <v>529</v>
          </cell>
          <cell r="E920">
            <v>21160</v>
          </cell>
          <cell r="F920" t="str">
            <v>P11-2</v>
          </cell>
          <cell r="G920" t="str">
            <v>Adjustable Shelf  - Kệ di động</v>
          </cell>
          <cell r="H920" t="str">
            <v>MDF Veneer</v>
          </cell>
          <cell r="I920">
            <v>40</v>
          </cell>
        </row>
        <row r="921">
          <cell r="A921" t="str">
            <v>B558287/A</v>
          </cell>
          <cell r="B921" t="str">
            <v>JV013M836</v>
          </cell>
          <cell r="C921">
            <v>40</v>
          </cell>
          <cell r="D921">
            <v>529</v>
          </cell>
          <cell r="E921">
            <v>21160</v>
          </cell>
          <cell r="F921" t="str">
            <v>P12</v>
          </cell>
          <cell r="G921" t="str">
            <v>Door Frame - Khung cửa</v>
          </cell>
          <cell r="H921" t="str">
            <v>Pre-Assembly</v>
          </cell>
          <cell r="I921">
            <v>40</v>
          </cell>
        </row>
        <row r="922">
          <cell r="A922" t="str">
            <v>B558287/A</v>
          </cell>
          <cell r="B922" t="str">
            <v>JV013M836</v>
          </cell>
          <cell r="C922">
            <v>40</v>
          </cell>
          <cell r="D922">
            <v>529</v>
          </cell>
          <cell r="E922">
            <v>21160</v>
          </cell>
          <cell r="F922" t="str">
            <v>P12-1</v>
          </cell>
          <cell r="G922" t="str">
            <v>Door Frame - Khung cửa</v>
          </cell>
          <cell r="H922" t="str">
            <v>Pre-Assembly</v>
          </cell>
          <cell r="I922">
            <v>120</v>
          </cell>
        </row>
        <row r="923">
          <cell r="A923" t="str">
            <v>B558287/A</v>
          </cell>
          <cell r="B923" t="str">
            <v>JV013M836</v>
          </cell>
          <cell r="C923">
            <v>40</v>
          </cell>
          <cell r="D923">
            <v>529</v>
          </cell>
          <cell r="E923">
            <v>21160</v>
          </cell>
          <cell r="F923" t="str">
            <v>P12-1-1</v>
          </cell>
          <cell r="G923" t="str">
            <v>Door Horizontal rail  - Đố cửa ngang</v>
          </cell>
          <cell r="H923" t="str">
            <v>Wood Acacia - Straight/Waving Edged - T25mm x W100mm Up x L1m Up (FSC Certificate or Low-risk regions)</v>
          </cell>
          <cell r="I923">
            <v>240</v>
          </cell>
        </row>
        <row r="924">
          <cell r="A924" t="str">
            <v>B558287/A</v>
          </cell>
          <cell r="B924" t="str">
            <v>JV013M836</v>
          </cell>
          <cell r="C924">
            <v>40</v>
          </cell>
          <cell r="D924">
            <v>529</v>
          </cell>
          <cell r="E924">
            <v>21160</v>
          </cell>
          <cell r="F924" t="str">
            <v>P12-1-2</v>
          </cell>
          <cell r="G924" t="str">
            <v>Door vertical rail  - Đố cửa đứng</v>
          </cell>
          <cell r="H924" t="str">
            <v>Wood Acacia - Straight/Waving Edged - T25mm x W100mm Up x L1m Up (FSC Certificate or Low-risk regions)</v>
          </cell>
          <cell r="I924">
            <v>240</v>
          </cell>
        </row>
        <row r="925">
          <cell r="A925" t="str">
            <v>B558287/A</v>
          </cell>
          <cell r="B925" t="str">
            <v>JV013M836</v>
          </cell>
          <cell r="C925">
            <v>40</v>
          </cell>
          <cell r="D925">
            <v>529</v>
          </cell>
          <cell r="E925">
            <v>21160</v>
          </cell>
          <cell r="F925" t="str">
            <v>P12-1-3</v>
          </cell>
          <cell r="G925" t="str">
            <v>Door panel  - Ván cửa</v>
          </cell>
          <cell r="H925" t="str">
            <v>MDF Veneer</v>
          </cell>
          <cell r="I925">
            <v>120</v>
          </cell>
        </row>
        <row r="926">
          <cell r="A926" t="str">
            <v>B558287/A</v>
          </cell>
          <cell r="B926" t="str">
            <v>JV013M836</v>
          </cell>
          <cell r="C926">
            <v>40</v>
          </cell>
          <cell r="D926">
            <v>529</v>
          </cell>
          <cell r="E926">
            <v>21160</v>
          </cell>
          <cell r="F926" t="str">
            <v>P12-2</v>
          </cell>
          <cell r="G926" t="str">
            <v>Patching wood - Gỗ đắp</v>
          </cell>
          <cell r="H926" t="str">
            <v>Veneer laminate</v>
          </cell>
          <cell r="I926">
            <v>120</v>
          </cell>
        </row>
        <row r="927">
          <cell r="A927" t="str">
            <v>B558287/A</v>
          </cell>
          <cell r="B927" t="str">
            <v>JV013M836</v>
          </cell>
          <cell r="C927">
            <v>40</v>
          </cell>
          <cell r="D927">
            <v>529</v>
          </cell>
          <cell r="E927">
            <v>21160</v>
          </cell>
          <cell r="F927" t="str">
            <v>P12-3</v>
          </cell>
          <cell r="G927" t="str">
            <v>Patching wood - Gỗ đắp</v>
          </cell>
          <cell r="H927" t="str">
            <v>Veneer laminate</v>
          </cell>
          <cell r="I927">
            <v>120</v>
          </cell>
        </row>
        <row r="928">
          <cell r="A928" t="str">
            <v>B558287/A</v>
          </cell>
          <cell r="B928" t="str">
            <v>JV013M836</v>
          </cell>
          <cell r="C928">
            <v>40</v>
          </cell>
          <cell r="D928">
            <v>529</v>
          </cell>
          <cell r="E928">
            <v>21160</v>
          </cell>
          <cell r="F928" t="str">
            <v>P13</v>
          </cell>
          <cell r="G928" t="str">
            <v>Door Frame - Khung cửa</v>
          </cell>
          <cell r="H928" t="str">
            <v>Pre-Assembly</v>
          </cell>
          <cell r="I928">
            <v>40</v>
          </cell>
        </row>
        <row r="929">
          <cell r="A929" t="str">
            <v>B558287/A</v>
          </cell>
          <cell r="B929" t="str">
            <v>JV013M836</v>
          </cell>
          <cell r="C929">
            <v>40</v>
          </cell>
          <cell r="D929">
            <v>529</v>
          </cell>
          <cell r="E929">
            <v>21160</v>
          </cell>
          <cell r="F929" t="str">
            <v>P14</v>
          </cell>
          <cell r="G929" t="str">
            <v>Door Frame - Khung cửa</v>
          </cell>
          <cell r="H929" t="str">
            <v>Pre-Assembly</v>
          </cell>
          <cell r="I929">
            <v>40</v>
          </cell>
        </row>
        <row r="930">
          <cell r="A930" t="str">
            <v>B558287/A</v>
          </cell>
          <cell r="B930" t="str">
            <v>JV013M836</v>
          </cell>
          <cell r="C930">
            <v>40</v>
          </cell>
          <cell r="D930">
            <v>529</v>
          </cell>
          <cell r="E930">
            <v>21160</v>
          </cell>
          <cell r="F930" t="str">
            <v>P15</v>
          </cell>
          <cell r="G930" t="str">
            <v>Drawer stop - Dừng hộc</v>
          </cell>
          <cell r="H930" t="str">
            <v>Poplar off cut</v>
          </cell>
          <cell r="I930">
            <v>160</v>
          </cell>
        </row>
        <row r="931">
          <cell r="A931" t="str">
            <v>B558287/A</v>
          </cell>
          <cell r="B931" t="str">
            <v>JV013M836</v>
          </cell>
          <cell r="C931">
            <v>40</v>
          </cell>
          <cell r="D931">
            <v>529</v>
          </cell>
          <cell r="E931">
            <v>21160</v>
          </cell>
          <cell r="F931" t="str">
            <v>P16</v>
          </cell>
          <cell r="G931" t="str">
            <v>Corner block - ke góc</v>
          </cell>
          <cell r="H931" t="str">
            <v>Poplar off cut</v>
          </cell>
          <cell r="I931">
            <v>160</v>
          </cell>
        </row>
        <row r="932">
          <cell r="A932" t="str">
            <v>B558217/A</v>
          </cell>
          <cell r="B932" t="str">
            <v>MN5498K-FM01</v>
          </cell>
          <cell r="C932">
            <v>40</v>
          </cell>
          <cell r="D932">
            <v>199</v>
          </cell>
          <cell r="E932">
            <v>7960</v>
          </cell>
          <cell r="F932" t="str">
            <v>A2-S1</v>
          </cell>
          <cell r="G932" t="str">
            <v xml:space="preserve">Turning foot  - Chân tiện </v>
          </cell>
          <cell r="H932" t="str">
            <v>Poplar 2 COM</v>
          </cell>
          <cell r="I932">
            <v>80</v>
          </cell>
        </row>
        <row r="933">
          <cell r="A933" t="str">
            <v>B558217/A</v>
          </cell>
          <cell r="B933" t="str">
            <v>MN5498K-FM01</v>
          </cell>
          <cell r="C933">
            <v>40</v>
          </cell>
          <cell r="D933">
            <v>199</v>
          </cell>
          <cell r="E933">
            <v>7960</v>
          </cell>
          <cell r="F933" t="str">
            <v>A2-S2</v>
          </cell>
          <cell r="G933" t="str">
            <v>front Top &amp; bottom rail  - Đố nóc và đố đáy trước</v>
          </cell>
          <cell r="H933" t="str">
            <v>Wood US Poplar - Straight Edged, 2 COM - T38mm x W100mm Up x L1.8m Up</v>
          </cell>
          <cell r="I933">
            <v>80</v>
          </cell>
        </row>
        <row r="934">
          <cell r="A934" t="str">
            <v>B558217/A</v>
          </cell>
          <cell r="B934" t="str">
            <v>MN5498K-FM01</v>
          </cell>
          <cell r="C934">
            <v>40</v>
          </cell>
          <cell r="D934">
            <v>199</v>
          </cell>
          <cell r="E934">
            <v>7960</v>
          </cell>
          <cell r="F934" t="str">
            <v>A2-S3</v>
          </cell>
          <cell r="G934" t="str">
            <v>Bottom panel - Ván đáy</v>
          </cell>
          <cell r="H934" t="str">
            <v>MDF laminate</v>
          </cell>
          <cell r="I934">
            <v>40</v>
          </cell>
        </row>
        <row r="935">
          <cell r="A935" t="str">
            <v>B558217/A</v>
          </cell>
          <cell r="B935" t="str">
            <v>MN5498K-FM01</v>
          </cell>
          <cell r="C935">
            <v>40</v>
          </cell>
          <cell r="D935">
            <v>199</v>
          </cell>
          <cell r="E935">
            <v>7960</v>
          </cell>
          <cell r="F935" t="str">
            <v>A2-S4</v>
          </cell>
          <cell r="G935" t="str">
            <v xml:space="preserve">Turning foot  - Chân tiện </v>
          </cell>
          <cell r="H935" t="str">
            <v>Wood laminate</v>
          </cell>
          <cell r="I935">
            <v>80</v>
          </cell>
        </row>
        <row r="936">
          <cell r="A936" t="str">
            <v>B558217/A</v>
          </cell>
          <cell r="B936" t="str">
            <v>MN5498K-FM01</v>
          </cell>
          <cell r="C936">
            <v>40</v>
          </cell>
          <cell r="D936">
            <v>199</v>
          </cell>
          <cell r="E936">
            <v>7960</v>
          </cell>
          <cell r="F936" t="str">
            <v>A2-S5</v>
          </cell>
          <cell r="G936" t="str">
            <v xml:space="preserve">Turning foot  - Chân tiện </v>
          </cell>
          <cell r="H936" t="str">
            <v>Wood laminate</v>
          </cell>
          <cell r="I936">
            <v>80</v>
          </cell>
        </row>
        <row r="937">
          <cell r="A937" t="str">
            <v>B558217/A</v>
          </cell>
          <cell r="B937" t="str">
            <v>MN5498K-FM01</v>
          </cell>
          <cell r="C937">
            <v>40</v>
          </cell>
          <cell r="D937">
            <v>199</v>
          </cell>
          <cell r="E937">
            <v>7960</v>
          </cell>
          <cell r="F937" t="str">
            <v>A2-S6</v>
          </cell>
          <cell r="G937" t="str">
            <v xml:space="preserve">Turning foot  - Chân tiện </v>
          </cell>
          <cell r="H937" t="str">
            <v>Wood EU Beech - Straight/Waving Edged ABC, 2 COM - T50mm x W100mm up x L1.8m up</v>
          </cell>
          <cell r="I937">
            <v>80</v>
          </cell>
        </row>
        <row r="938">
          <cell r="A938" t="str">
            <v>B558217/A</v>
          </cell>
          <cell r="B938" t="str">
            <v>MN5498K-FM01</v>
          </cell>
          <cell r="C938">
            <v>40</v>
          </cell>
          <cell r="D938">
            <v>199</v>
          </cell>
          <cell r="E938">
            <v>7960</v>
          </cell>
          <cell r="F938" t="str">
            <v>A2-S7</v>
          </cell>
          <cell r="G938" t="str">
            <v>Cleat - Bọ gỗ</v>
          </cell>
          <cell r="H938" t="str">
            <v>Wood US Poplar - Straight Edged, 2 COM - T50mm x W100mm Up x L1.8m Up</v>
          </cell>
          <cell r="I938">
            <v>80</v>
          </cell>
        </row>
        <row r="939">
          <cell r="A939" t="str">
            <v>B558217/A</v>
          </cell>
          <cell r="B939" t="str">
            <v>MN5498K-FM01</v>
          </cell>
          <cell r="C939">
            <v>40</v>
          </cell>
          <cell r="D939">
            <v>199</v>
          </cell>
          <cell r="E939">
            <v>7960</v>
          </cell>
          <cell r="F939" t="str">
            <v>A2-S8</v>
          </cell>
          <cell r="G939" t="str">
            <v>Patching moulding - Chỉ đắp</v>
          </cell>
          <cell r="H939" t="str">
            <v>Wood US Poplar - Straight Edged, 2 COM - T25mm x W100mm Up x L1.8m Up</v>
          </cell>
          <cell r="I939">
            <v>320</v>
          </cell>
        </row>
        <row r="940">
          <cell r="A940" t="str">
            <v>B558217/A</v>
          </cell>
          <cell r="B940" t="str">
            <v>MN5498K-FM01</v>
          </cell>
          <cell r="C940">
            <v>40</v>
          </cell>
          <cell r="D940">
            <v>199</v>
          </cell>
          <cell r="E940">
            <v>7960</v>
          </cell>
          <cell r="F940" t="str">
            <v>P3</v>
          </cell>
          <cell r="G940" t="str">
            <v>Turning Part - Trụ tiện</v>
          </cell>
          <cell r="H940" t="str">
            <v>Wood laminate</v>
          </cell>
          <cell r="I940">
            <v>80</v>
          </cell>
        </row>
        <row r="941">
          <cell r="A941" t="str">
            <v>B558220/A</v>
          </cell>
          <cell r="B941" t="str">
            <v>MN5498K-HM01</v>
          </cell>
          <cell r="C941">
            <v>40</v>
          </cell>
          <cell r="D941">
            <v>475</v>
          </cell>
          <cell r="E941">
            <v>19000</v>
          </cell>
          <cell r="F941" t="str">
            <v>A1-S01</v>
          </cell>
          <cell r="G941" t="str">
            <v xml:space="preserve">Turning foot  - Chân tiện </v>
          </cell>
          <cell r="H941" t="str">
            <v>Poplar 2 COM</v>
          </cell>
          <cell r="I941">
            <v>80</v>
          </cell>
        </row>
        <row r="942">
          <cell r="A942" t="str">
            <v>B558220/A</v>
          </cell>
          <cell r="B942" t="str">
            <v>MN5498K-HM01</v>
          </cell>
          <cell r="C942">
            <v>40</v>
          </cell>
          <cell r="D942">
            <v>475</v>
          </cell>
          <cell r="E942">
            <v>19000</v>
          </cell>
          <cell r="F942" t="str">
            <v>A1-S02</v>
          </cell>
          <cell r="G942" t="str">
            <v xml:space="preserve">Turning foot  - Chân tiện </v>
          </cell>
          <cell r="H942" t="str">
            <v>Wood laminate</v>
          </cell>
          <cell r="I942">
            <v>80</v>
          </cell>
        </row>
        <row r="943">
          <cell r="A943" t="str">
            <v>B558220/A</v>
          </cell>
          <cell r="B943" t="str">
            <v>MN5498K-HM01</v>
          </cell>
          <cell r="C943">
            <v>40</v>
          </cell>
          <cell r="D943">
            <v>475</v>
          </cell>
          <cell r="E943">
            <v>19000</v>
          </cell>
          <cell r="F943" t="str">
            <v>A1-S03</v>
          </cell>
          <cell r="G943" t="str">
            <v xml:space="preserve">Turning foot  - Chân tiện </v>
          </cell>
          <cell r="H943" t="str">
            <v>Wood laminate</v>
          </cell>
          <cell r="I943">
            <v>80</v>
          </cell>
        </row>
        <row r="944">
          <cell r="A944" t="str">
            <v>B558220/A</v>
          </cell>
          <cell r="B944" t="str">
            <v>MN5498K-HM01</v>
          </cell>
          <cell r="C944">
            <v>40</v>
          </cell>
          <cell r="D944">
            <v>475</v>
          </cell>
          <cell r="E944">
            <v>19000</v>
          </cell>
          <cell r="F944" t="str">
            <v>A1-S04</v>
          </cell>
          <cell r="G944" t="str">
            <v xml:space="preserve">Turning foot  - Chân tiện </v>
          </cell>
          <cell r="H944" t="str">
            <v>Wood EU Beech - Straight/Waving Edged ABC, 2 COM - T50mm x W100mm up x L1.8m up</v>
          </cell>
          <cell r="I944">
            <v>80</v>
          </cell>
        </row>
        <row r="945">
          <cell r="A945" t="str">
            <v>B558220/A</v>
          </cell>
          <cell r="B945" t="str">
            <v>MN5498K-HM01</v>
          </cell>
          <cell r="C945">
            <v>40</v>
          </cell>
          <cell r="D945">
            <v>475</v>
          </cell>
          <cell r="E945">
            <v>19000</v>
          </cell>
          <cell r="F945" t="str">
            <v>A1-S05</v>
          </cell>
          <cell r="G945" t="str">
            <v>Front Top rail 1 - Đố nóc trước 1</v>
          </cell>
          <cell r="H945" t="str">
            <v>Poplar 2 COM</v>
          </cell>
          <cell r="I945">
            <v>40</v>
          </cell>
        </row>
        <row r="946">
          <cell r="A946" t="str">
            <v>B558220/A</v>
          </cell>
          <cell r="B946" t="str">
            <v>MN5498K-HM01</v>
          </cell>
          <cell r="C946">
            <v>40</v>
          </cell>
          <cell r="D946">
            <v>475</v>
          </cell>
          <cell r="E946">
            <v>19000</v>
          </cell>
          <cell r="F946" t="str">
            <v>A1-S06</v>
          </cell>
          <cell r="G946" t="str">
            <v>Front Top rail 1 - Đố nóc trước 1</v>
          </cell>
          <cell r="H946" t="str">
            <v>Wood US Poplar - Straight Edged, 2 COM - T38mm x W100mm Up x L1.8m Up</v>
          </cell>
          <cell r="I946">
            <v>40</v>
          </cell>
        </row>
        <row r="947">
          <cell r="A947" t="str">
            <v>B558220/A</v>
          </cell>
          <cell r="B947" t="str">
            <v>MN5498K-HM01</v>
          </cell>
          <cell r="C947">
            <v>40</v>
          </cell>
          <cell r="D947">
            <v>475</v>
          </cell>
          <cell r="E947">
            <v>19000</v>
          </cell>
          <cell r="F947" t="str">
            <v>A1-S07</v>
          </cell>
          <cell r="G947" t="str">
            <v>Center rail - Đố giữa</v>
          </cell>
          <cell r="H947" t="str">
            <v>Wood US Poplar - Straight Edged, 2 COM - T38mm x W100mm Up x L1.8m Up</v>
          </cell>
          <cell r="I947">
            <v>40</v>
          </cell>
        </row>
        <row r="948">
          <cell r="A948" t="str">
            <v>B558220/A</v>
          </cell>
          <cell r="B948" t="str">
            <v>MN5498K-HM01</v>
          </cell>
          <cell r="C948">
            <v>40</v>
          </cell>
          <cell r="D948">
            <v>475</v>
          </cell>
          <cell r="E948">
            <v>19000</v>
          </cell>
          <cell r="F948" t="str">
            <v>A1-S08</v>
          </cell>
          <cell r="G948" t="str">
            <v xml:space="preserve">Side rail  - Đố hông </v>
          </cell>
          <cell r="H948" t="str">
            <v>Wood US Poplar - Straight Edged, 2 COM - T38mm x W100mm Up x L1.8m Up</v>
          </cell>
          <cell r="I948">
            <v>80</v>
          </cell>
        </row>
        <row r="949">
          <cell r="A949" t="str">
            <v>B558220/A</v>
          </cell>
          <cell r="B949" t="str">
            <v>MN5498K-HM01</v>
          </cell>
          <cell r="C949">
            <v>40</v>
          </cell>
          <cell r="D949">
            <v>475</v>
          </cell>
          <cell r="E949">
            <v>19000</v>
          </cell>
          <cell r="F949" t="str">
            <v>A1-S09</v>
          </cell>
          <cell r="G949" t="str">
            <v>Dowel - Chốt gỗ</v>
          </cell>
          <cell r="H949" t="str">
            <v>Wood US Poplar - Straight Edged, 2 COM - T38mm x W100mm Up x L1.8m Up</v>
          </cell>
          <cell r="I949">
            <v>80</v>
          </cell>
        </row>
        <row r="950">
          <cell r="A950" t="str">
            <v>B558220/A</v>
          </cell>
          <cell r="B950" t="str">
            <v>MN5498K-HM01</v>
          </cell>
          <cell r="C950">
            <v>40</v>
          </cell>
          <cell r="D950">
            <v>475</v>
          </cell>
          <cell r="E950">
            <v>19000</v>
          </cell>
          <cell r="F950" t="str">
            <v>A1-S10</v>
          </cell>
          <cell r="G950" t="str">
            <v>Center rail - Đố giữa</v>
          </cell>
          <cell r="H950" t="str">
            <v>Wood US Poplar - Straight Edged, 2 COM - T38mm x W100mm Up x L1.8m Up</v>
          </cell>
          <cell r="I950">
            <v>80</v>
          </cell>
        </row>
        <row r="951">
          <cell r="A951" t="str">
            <v>B558220/A</v>
          </cell>
          <cell r="B951" t="str">
            <v>MN5498K-HM01</v>
          </cell>
          <cell r="C951">
            <v>40</v>
          </cell>
          <cell r="D951">
            <v>475</v>
          </cell>
          <cell r="E951">
            <v>19000</v>
          </cell>
          <cell r="F951" t="str">
            <v>A1-S13</v>
          </cell>
          <cell r="G951" t="str">
            <v>Bottom panel - Ván đáy</v>
          </cell>
          <cell r="H951" t="str">
            <v>MDF laminate</v>
          </cell>
          <cell r="I951">
            <v>40</v>
          </cell>
        </row>
        <row r="952">
          <cell r="A952" t="str">
            <v>B558220/A</v>
          </cell>
          <cell r="B952" t="str">
            <v>MN5498K-HM01</v>
          </cell>
          <cell r="C952">
            <v>40</v>
          </cell>
          <cell r="D952">
            <v>475</v>
          </cell>
          <cell r="E952">
            <v>19000</v>
          </cell>
          <cell r="F952" t="str">
            <v>A1-S14</v>
          </cell>
          <cell r="G952" t="str">
            <v>Cleat - Bọ gỗ</v>
          </cell>
          <cell r="H952" t="str">
            <v>Wood US Poplar - Straight Edged, 2 COM - T50mm x W100mm Up x L1.8m Up</v>
          </cell>
          <cell r="I952">
            <v>80</v>
          </cell>
        </row>
        <row r="953">
          <cell r="A953" t="str">
            <v>B558220/A</v>
          </cell>
          <cell r="B953" t="str">
            <v>MN5498K-HM01</v>
          </cell>
          <cell r="C953">
            <v>40</v>
          </cell>
          <cell r="D953">
            <v>475</v>
          </cell>
          <cell r="E953">
            <v>19000</v>
          </cell>
          <cell r="F953" t="str">
            <v>A1-S15</v>
          </cell>
          <cell r="G953" t="str">
            <v>Head board panel  - Ván đầu giường</v>
          </cell>
          <cell r="H953" t="str">
            <v>MDF Veneer</v>
          </cell>
          <cell r="I953">
            <v>40</v>
          </cell>
        </row>
        <row r="954">
          <cell r="A954" t="str">
            <v>B558220/A</v>
          </cell>
          <cell r="B954" t="str">
            <v>MN5498K-HM01</v>
          </cell>
          <cell r="C954">
            <v>40</v>
          </cell>
          <cell r="D954">
            <v>475</v>
          </cell>
          <cell r="E954">
            <v>19000</v>
          </cell>
          <cell r="F954" t="str">
            <v>A1-S16</v>
          </cell>
          <cell r="G954" t="str">
            <v>Patching moulding - Chỉ đắp</v>
          </cell>
          <cell r="H954" t="str">
            <v>Wood US Poplar - Straight Edged, 2 COM - T25mm x W100mm Up x L1.8m Up</v>
          </cell>
          <cell r="I954">
            <v>320</v>
          </cell>
        </row>
        <row r="955">
          <cell r="A955" t="str">
            <v>B558220/A</v>
          </cell>
          <cell r="B955" t="str">
            <v>MN5498K-HM01</v>
          </cell>
          <cell r="C955">
            <v>40</v>
          </cell>
          <cell r="D955">
            <v>475</v>
          </cell>
          <cell r="E955">
            <v>19000</v>
          </cell>
          <cell r="F955" t="str">
            <v>A1-S17</v>
          </cell>
          <cell r="G955" t="str">
            <v>Tenon - Mộng cấy</v>
          </cell>
          <cell r="H955" t="str">
            <v>Beech off cut</v>
          </cell>
          <cell r="I955">
            <v>160</v>
          </cell>
        </row>
        <row r="956">
          <cell r="A956" t="str">
            <v>B558220/A</v>
          </cell>
          <cell r="B956" t="str">
            <v>MN5498K-HM01</v>
          </cell>
          <cell r="C956">
            <v>40</v>
          </cell>
          <cell r="D956">
            <v>475</v>
          </cell>
          <cell r="E956">
            <v>19000</v>
          </cell>
          <cell r="F956" t="str">
            <v>A1-S18</v>
          </cell>
          <cell r="G956" t="str">
            <v xml:space="preserve">Panel - Ván </v>
          </cell>
          <cell r="H956" t="str">
            <v>MDF - 12 x 1830 x 2440mm [CARB P2 Compliant]</v>
          </cell>
          <cell r="I956">
            <v>40</v>
          </cell>
        </row>
        <row r="957">
          <cell r="A957" t="str">
            <v>B558222/A</v>
          </cell>
          <cell r="B957" t="str">
            <v>MN5498K-RM01</v>
          </cell>
          <cell r="C957">
            <v>40</v>
          </cell>
          <cell r="D957">
            <v>255</v>
          </cell>
          <cell r="E957">
            <v>10200</v>
          </cell>
          <cell r="F957" t="str">
            <v>A3</v>
          </cell>
          <cell r="G957" t="str">
            <v>Side bed - Hông giường</v>
          </cell>
          <cell r="H957" t="str">
            <v>Pre-Assembly</v>
          </cell>
          <cell r="I957">
            <v>80</v>
          </cell>
        </row>
        <row r="958">
          <cell r="A958" t="str">
            <v>B558222/A</v>
          </cell>
          <cell r="B958" t="str">
            <v>MN5498K-RM01</v>
          </cell>
          <cell r="C958">
            <v>40</v>
          </cell>
          <cell r="D958">
            <v>255</v>
          </cell>
          <cell r="E958">
            <v>10200</v>
          </cell>
          <cell r="F958" t="str">
            <v>A3-S1</v>
          </cell>
          <cell r="G958" t="str">
            <v xml:space="preserve">Side panel  - Ván hông </v>
          </cell>
          <cell r="H958" t="str">
            <v>Wd+MDF+VN</v>
          </cell>
          <cell r="I958">
            <v>80</v>
          </cell>
        </row>
        <row r="959">
          <cell r="A959" t="str">
            <v>B558222/A</v>
          </cell>
          <cell r="B959" t="str">
            <v>MN5498K-RM01</v>
          </cell>
          <cell r="C959">
            <v>40</v>
          </cell>
          <cell r="D959">
            <v>255</v>
          </cell>
          <cell r="E959">
            <v>10200</v>
          </cell>
          <cell r="F959" t="str">
            <v>A3-S1-1</v>
          </cell>
          <cell r="G959" t="str">
            <v>Insert Wood - Gỗ chèn</v>
          </cell>
          <cell r="H959" t="str">
            <v>Beech off cut</v>
          </cell>
          <cell r="I959">
            <v>160</v>
          </cell>
        </row>
        <row r="960">
          <cell r="A960" t="str">
            <v>B558222/A</v>
          </cell>
          <cell r="B960" t="str">
            <v>MN5498K-RM01</v>
          </cell>
          <cell r="C960">
            <v>40</v>
          </cell>
          <cell r="D960">
            <v>255</v>
          </cell>
          <cell r="E960">
            <v>10200</v>
          </cell>
          <cell r="F960" t="str">
            <v>A3-S2</v>
          </cell>
          <cell r="G960" t="str">
            <v>front Top &amp; bottom rail  - Đố nóc và đố đáy trước</v>
          </cell>
          <cell r="H960" t="str">
            <v>Wood US Poplar - Straight Edged, 2 COM - T38mm x W100mm Up x L1.8m Up</v>
          </cell>
          <cell r="I960">
            <v>160</v>
          </cell>
        </row>
        <row r="961">
          <cell r="A961" t="str">
            <v>B558222/A</v>
          </cell>
          <cell r="B961" t="str">
            <v>MN5498K-RM01</v>
          </cell>
          <cell r="C961">
            <v>40</v>
          </cell>
          <cell r="D961">
            <v>255</v>
          </cell>
          <cell r="E961">
            <v>10200</v>
          </cell>
          <cell r="F961" t="str">
            <v>A3-S3</v>
          </cell>
          <cell r="G961" t="str">
            <v xml:space="preserve">Side rail  - Đố hông </v>
          </cell>
          <cell r="H961" t="str">
            <v>Wood US Poplar - Straight Edged, 2 COM - T32mm x W100mm Up x L1.8m Up</v>
          </cell>
          <cell r="I961">
            <v>80</v>
          </cell>
        </row>
        <row r="962">
          <cell r="A962" t="str">
            <v>B558222/A</v>
          </cell>
          <cell r="B962" t="str">
            <v>MN5498K-RM01</v>
          </cell>
          <cell r="C962">
            <v>40</v>
          </cell>
          <cell r="D962">
            <v>255</v>
          </cell>
          <cell r="E962">
            <v>10200</v>
          </cell>
          <cell r="F962" t="str">
            <v>A3-S4</v>
          </cell>
          <cell r="G962" t="str">
            <v>Insert Wood - Gỗ chèn</v>
          </cell>
          <cell r="H962" t="str">
            <v>Wood US Poplar - Straight Edged, 2 COM - T25mm x W100mm Up x L1.8m Up</v>
          </cell>
          <cell r="I962">
            <v>160</v>
          </cell>
        </row>
        <row r="963">
          <cell r="A963" t="str">
            <v>B558222/A</v>
          </cell>
          <cell r="B963" t="str">
            <v>MN5498K-RM01</v>
          </cell>
          <cell r="C963">
            <v>40</v>
          </cell>
          <cell r="D963">
            <v>255</v>
          </cell>
          <cell r="E963">
            <v>10200</v>
          </cell>
          <cell r="F963" t="str">
            <v>P1</v>
          </cell>
          <cell r="G963" t="str">
            <v>slat buy - dạt mua từ nhà cung</v>
          </cell>
          <cell r="H963" t="str">
            <v>Slat buy</v>
          </cell>
          <cell r="I963">
            <v>280</v>
          </cell>
        </row>
        <row r="964">
          <cell r="A964" t="str">
            <v>B558222/A</v>
          </cell>
          <cell r="B964" t="str">
            <v>MN5498K-RM01</v>
          </cell>
          <cell r="C964">
            <v>40</v>
          </cell>
          <cell r="D964">
            <v>255</v>
          </cell>
          <cell r="E964">
            <v>10200</v>
          </cell>
          <cell r="F964" t="str">
            <v>P2</v>
          </cell>
          <cell r="G964" t="str">
            <v>Slat Support  - Đỡ dạt giường</v>
          </cell>
          <cell r="H964" t="str">
            <v>Wood US Poplar - Straight Edged, 2 COM - T38mm x W100mm Up x L1.8m Up</v>
          </cell>
          <cell r="I964">
            <v>80</v>
          </cell>
        </row>
        <row r="965">
          <cell r="A965" t="str">
            <v>B558290/A</v>
          </cell>
          <cell r="B965" t="str">
            <v>MN5824M01</v>
          </cell>
          <cell r="C965">
            <v>25</v>
          </cell>
          <cell r="D965">
            <v>403</v>
          </cell>
          <cell r="E965">
            <v>10075</v>
          </cell>
          <cell r="F965" t="str">
            <v>A1-1</v>
          </cell>
          <cell r="G965" t="str">
            <v>Front top rail  - Đố tiền nóc</v>
          </cell>
          <cell r="H965" t="str">
            <v>Red Oak 2 COM</v>
          </cell>
          <cell r="I965">
            <v>50</v>
          </cell>
        </row>
        <row r="966">
          <cell r="A966" t="str">
            <v>B558290/A</v>
          </cell>
          <cell r="B966" t="str">
            <v>MN5824M01</v>
          </cell>
          <cell r="C966">
            <v>25</v>
          </cell>
          <cell r="D966">
            <v>403</v>
          </cell>
          <cell r="E966">
            <v>10075</v>
          </cell>
          <cell r="F966" t="str">
            <v>A1-2</v>
          </cell>
          <cell r="G966" t="str">
            <v>Front top rail  - Đố tiền nóc</v>
          </cell>
          <cell r="H966" t="str">
            <v>Red Oak 2 COM</v>
          </cell>
          <cell r="I966">
            <v>50</v>
          </cell>
        </row>
        <row r="967">
          <cell r="A967" t="str">
            <v>B558290/A</v>
          </cell>
          <cell r="B967" t="str">
            <v>MN5824M01</v>
          </cell>
          <cell r="C967">
            <v>25</v>
          </cell>
          <cell r="D967">
            <v>403</v>
          </cell>
          <cell r="E967">
            <v>10075</v>
          </cell>
          <cell r="F967" t="str">
            <v>A1-3</v>
          </cell>
          <cell r="G967" t="str">
            <v xml:space="preserve">Top panel  - Ván nóc </v>
          </cell>
          <cell r="H967" t="str">
            <v>MDF Veneer</v>
          </cell>
          <cell r="I967">
            <v>25</v>
          </cell>
        </row>
        <row r="968">
          <cell r="A968" t="str">
            <v>B558290/A</v>
          </cell>
          <cell r="B968" t="str">
            <v>MN5824M01</v>
          </cell>
          <cell r="C968">
            <v>25</v>
          </cell>
          <cell r="D968">
            <v>403</v>
          </cell>
          <cell r="E968">
            <v>10075</v>
          </cell>
          <cell r="F968" t="str">
            <v>A2-1</v>
          </cell>
          <cell r="G968" t="str">
            <v>Front rail  - Đố tiền</v>
          </cell>
          <cell r="H968" t="str">
            <v>Wood Red Oak - Straight/Waving Edged, 2 COM - T38mm x W100mm Up x L1.5m Up</v>
          </cell>
          <cell r="I968">
            <v>50</v>
          </cell>
        </row>
        <row r="969">
          <cell r="A969" t="str">
            <v>B558290/A</v>
          </cell>
          <cell r="B969" t="str">
            <v>MN5824M01</v>
          </cell>
          <cell r="C969">
            <v>25</v>
          </cell>
          <cell r="D969">
            <v>403</v>
          </cell>
          <cell r="E969">
            <v>10075</v>
          </cell>
          <cell r="F969" t="str">
            <v>A2-2</v>
          </cell>
          <cell r="G969" t="str">
            <v>Front rail  - Đố tiền</v>
          </cell>
          <cell r="H969" t="str">
            <v>Wood Red Oak - Straight/Waving Edged, 2 COM - T38mm x W100mm Up x L1.5m Up</v>
          </cell>
          <cell r="I969">
            <v>50</v>
          </cell>
        </row>
        <row r="970">
          <cell r="A970" t="str">
            <v>B558290/A</v>
          </cell>
          <cell r="B970" t="str">
            <v>MN5824M01</v>
          </cell>
          <cell r="C970">
            <v>25</v>
          </cell>
          <cell r="D970">
            <v>403</v>
          </cell>
          <cell r="E970">
            <v>10075</v>
          </cell>
          <cell r="F970" t="str">
            <v>A2-3</v>
          </cell>
          <cell r="G970" t="str">
            <v>Center bottom rail - Đố đáy giữa</v>
          </cell>
          <cell r="H970" t="str">
            <v>Wood Acacia - Straight/Waving Edged - T25mm x W100mm Up x L1m Up</v>
          </cell>
          <cell r="I970">
            <v>50</v>
          </cell>
        </row>
        <row r="971">
          <cell r="A971" t="str">
            <v>B558290/A</v>
          </cell>
          <cell r="B971" t="str">
            <v>MN5824M01</v>
          </cell>
          <cell r="C971">
            <v>25</v>
          </cell>
          <cell r="D971">
            <v>403</v>
          </cell>
          <cell r="E971">
            <v>10075</v>
          </cell>
          <cell r="F971" t="str">
            <v>A2-7</v>
          </cell>
          <cell r="G971" t="str">
            <v>Bottom panel - Ván đáy</v>
          </cell>
          <cell r="H971" t="str">
            <v>MDF Veneer</v>
          </cell>
          <cell r="I971">
            <v>25</v>
          </cell>
        </row>
        <row r="972">
          <cell r="A972" t="str">
            <v>B558290/A</v>
          </cell>
          <cell r="B972" t="str">
            <v>MN5824M01</v>
          </cell>
          <cell r="C972">
            <v>25</v>
          </cell>
          <cell r="D972">
            <v>403</v>
          </cell>
          <cell r="E972">
            <v>10075</v>
          </cell>
          <cell r="F972" t="str">
            <v>P01</v>
          </cell>
          <cell r="G972" t="str">
            <v>Front top rail  - Đố tiền nóc</v>
          </cell>
          <cell r="H972" t="str">
            <v>Wood Red Oak - Straight/Waving Edged, 2 COM - T25mm x W100mm Up x L1.5m Up</v>
          </cell>
          <cell r="I972">
            <v>25</v>
          </cell>
        </row>
        <row r="973">
          <cell r="A973" t="str">
            <v>B558290/A</v>
          </cell>
          <cell r="B973" t="str">
            <v>MN5824M01</v>
          </cell>
          <cell r="C973">
            <v>25</v>
          </cell>
          <cell r="D973">
            <v>403</v>
          </cell>
          <cell r="E973">
            <v>10075</v>
          </cell>
          <cell r="F973" t="str">
            <v>P02</v>
          </cell>
          <cell r="G973" t="str">
            <v>support Top - đỡ nóc</v>
          </cell>
          <cell r="H973" t="str">
            <v>MDF - 18 x 1830 x 2440mm [CARB P2 Compliant]</v>
          </cell>
          <cell r="I973">
            <v>50</v>
          </cell>
        </row>
        <row r="974">
          <cell r="A974" t="str">
            <v>B558290/A</v>
          </cell>
          <cell r="B974" t="str">
            <v>MN5824M01</v>
          </cell>
          <cell r="C974">
            <v>25</v>
          </cell>
          <cell r="D974">
            <v>403</v>
          </cell>
          <cell r="E974">
            <v>10075</v>
          </cell>
          <cell r="F974" t="str">
            <v>P03</v>
          </cell>
          <cell r="G974" t="str">
            <v>Squared post - Trụ chân vuông</v>
          </cell>
          <cell r="H974" t="str">
            <v>Wood laminate</v>
          </cell>
          <cell r="I974">
            <v>50</v>
          </cell>
        </row>
        <row r="975">
          <cell r="A975" t="str">
            <v>B558290/A</v>
          </cell>
          <cell r="B975" t="str">
            <v>MN5824M01</v>
          </cell>
          <cell r="C975">
            <v>25</v>
          </cell>
          <cell r="D975">
            <v>403</v>
          </cell>
          <cell r="E975">
            <v>10075</v>
          </cell>
          <cell r="F975" t="str">
            <v>P04</v>
          </cell>
          <cell r="G975" t="str">
            <v>Dowel - Chốt gỗ</v>
          </cell>
          <cell r="H975" t="str">
            <v>Poplar off cut</v>
          </cell>
          <cell r="I975">
            <v>100</v>
          </cell>
        </row>
        <row r="976">
          <cell r="A976" t="str">
            <v>B557195/A</v>
          </cell>
          <cell r="B976" t="str">
            <v>SH146M01</v>
          </cell>
          <cell r="C976">
            <v>100</v>
          </cell>
          <cell r="D976">
            <v>233.7</v>
          </cell>
          <cell r="E976">
            <v>23370</v>
          </cell>
          <cell r="F976" t="str">
            <v>A1-A</v>
          </cell>
          <cell r="G976" t="str">
            <v xml:space="preserve">Drawer front - Mặt hộc kéo </v>
          </cell>
          <cell r="H976" t="str">
            <v>Wood Red Oak - Straight/Waving Edged, 1 COM - T38mm x W100mm Up x L1.8m Up</v>
          </cell>
          <cell r="I976">
            <v>100</v>
          </cell>
        </row>
        <row r="977">
          <cell r="A977" t="str">
            <v>B557195/A</v>
          </cell>
          <cell r="B977" t="str">
            <v>SH146M01</v>
          </cell>
          <cell r="C977">
            <v>100</v>
          </cell>
          <cell r="D977">
            <v>233.7</v>
          </cell>
          <cell r="E977">
            <v>23370</v>
          </cell>
          <cell r="F977" t="str">
            <v>A1-B</v>
          </cell>
          <cell r="G977" t="str">
            <v xml:space="preserve">Drawer front - Mặt hộc kéo </v>
          </cell>
          <cell r="H977" t="str">
            <v>Wood Red Oak - Straight/Waving Edged, 1 COM - T38mm x W100mm Up x L1.8m Up</v>
          </cell>
          <cell r="I977">
            <v>200</v>
          </cell>
        </row>
        <row r="978">
          <cell r="A978" t="str">
            <v>B557195/A</v>
          </cell>
          <cell r="B978" t="str">
            <v>SH146M01</v>
          </cell>
          <cell r="C978">
            <v>100</v>
          </cell>
          <cell r="D978">
            <v>233.7</v>
          </cell>
          <cell r="E978">
            <v>23370</v>
          </cell>
          <cell r="F978" t="str">
            <v>A1-S01</v>
          </cell>
          <cell r="G978" t="str">
            <v xml:space="preserve">Drawer front - Mặt hộc kéo </v>
          </cell>
          <cell r="H978" t="str">
            <v>Pre-Assembly</v>
          </cell>
          <cell r="I978">
            <v>100</v>
          </cell>
        </row>
        <row r="979">
          <cell r="A979" t="str">
            <v>B557195/A</v>
          </cell>
          <cell r="B979" t="str">
            <v>SH146M01</v>
          </cell>
          <cell r="C979">
            <v>100</v>
          </cell>
          <cell r="D979">
            <v>233.7</v>
          </cell>
          <cell r="E979">
            <v>23370</v>
          </cell>
          <cell r="F979" t="str">
            <v>A1-S01-1</v>
          </cell>
          <cell r="G979" t="str">
            <v xml:space="preserve">Drawer front - Mặt hộc kéo </v>
          </cell>
          <cell r="H979" t="str">
            <v>Wood</v>
          </cell>
          <cell r="I979">
            <v>100</v>
          </cell>
        </row>
        <row r="980">
          <cell r="A980" t="str">
            <v>B557195/A</v>
          </cell>
          <cell r="B980" t="str">
            <v>SH146M01</v>
          </cell>
          <cell r="C980">
            <v>100</v>
          </cell>
          <cell r="D980">
            <v>233.7</v>
          </cell>
          <cell r="E980">
            <v>23370</v>
          </cell>
          <cell r="F980" t="str">
            <v>A1-S01-2</v>
          </cell>
          <cell r="G980" t="str">
            <v xml:space="preserve">Drawer front - Mặt hộc kéo </v>
          </cell>
          <cell r="H980" t="str">
            <v>Wood</v>
          </cell>
          <cell r="I980">
            <v>200</v>
          </cell>
        </row>
        <row r="981">
          <cell r="A981" t="str">
            <v>B557195/A</v>
          </cell>
          <cell r="B981" t="str">
            <v>SH146M01</v>
          </cell>
          <cell r="C981">
            <v>100</v>
          </cell>
          <cell r="D981">
            <v>233.7</v>
          </cell>
          <cell r="E981">
            <v>23370</v>
          </cell>
          <cell r="F981" t="str">
            <v>A1-S01-3</v>
          </cell>
          <cell r="G981" t="str">
            <v>Spline - Lưỡi gà</v>
          </cell>
          <cell r="H981" t="str">
            <v>wood off cut</v>
          </cell>
          <cell r="I981">
            <v>200</v>
          </cell>
        </row>
        <row r="982">
          <cell r="A982" t="str">
            <v>B557195/A</v>
          </cell>
          <cell r="B982" t="str">
            <v>SH146M01</v>
          </cell>
          <cell r="C982">
            <v>100</v>
          </cell>
          <cell r="D982">
            <v>233.7</v>
          </cell>
          <cell r="E982">
            <v>23370</v>
          </cell>
          <cell r="F982" t="str">
            <v>A1-S02</v>
          </cell>
          <cell r="G982" t="str">
            <v>Drawer side - Hông hộc kéo</v>
          </cell>
          <cell r="H982" t="str">
            <v>Wd+VN</v>
          </cell>
          <cell r="I982">
            <v>200</v>
          </cell>
        </row>
        <row r="983">
          <cell r="A983" t="str">
            <v>B557195/A</v>
          </cell>
          <cell r="B983" t="str">
            <v>SH146M01</v>
          </cell>
          <cell r="C983">
            <v>100</v>
          </cell>
          <cell r="D983">
            <v>233.7</v>
          </cell>
          <cell r="E983">
            <v>23370</v>
          </cell>
          <cell r="F983" t="str">
            <v>A1-S03</v>
          </cell>
          <cell r="G983" t="str">
            <v>Drawer back - Hậu hộc kéo</v>
          </cell>
          <cell r="H983" t="str">
            <v>Wd+VN</v>
          </cell>
          <cell r="I983">
            <v>100</v>
          </cell>
        </row>
        <row r="984">
          <cell r="A984" t="str">
            <v>B557195/A</v>
          </cell>
          <cell r="B984" t="str">
            <v>SH146M01</v>
          </cell>
          <cell r="C984">
            <v>100</v>
          </cell>
          <cell r="D984">
            <v>233.7</v>
          </cell>
          <cell r="E984">
            <v>23370</v>
          </cell>
          <cell r="F984" t="str">
            <v>A1-S04</v>
          </cell>
          <cell r="G984" t="str">
            <v>Drawer bottom  - Đáy hộc kéo</v>
          </cell>
          <cell r="H984" t="str">
            <v>MDF Veneer</v>
          </cell>
          <cell r="I984">
            <v>200</v>
          </cell>
        </row>
        <row r="985">
          <cell r="A985" t="str">
            <v>B557195/A</v>
          </cell>
          <cell r="B985" t="str">
            <v>SH146M01</v>
          </cell>
          <cell r="C985">
            <v>100</v>
          </cell>
          <cell r="D985">
            <v>233.7</v>
          </cell>
          <cell r="E985">
            <v>23370</v>
          </cell>
          <cell r="F985" t="str">
            <v>A1-S05</v>
          </cell>
          <cell r="G985" t="str">
            <v>Patching wood - Gỗ đắp</v>
          </cell>
          <cell r="H985" t="str">
            <v>Poplar off cut</v>
          </cell>
          <cell r="I985">
            <v>400</v>
          </cell>
        </row>
        <row r="986">
          <cell r="A986" t="str">
            <v>B557195/A</v>
          </cell>
          <cell r="B986" t="str">
            <v>SH146M01</v>
          </cell>
          <cell r="C986">
            <v>100</v>
          </cell>
          <cell r="D986">
            <v>233.7</v>
          </cell>
          <cell r="E986">
            <v>23370</v>
          </cell>
          <cell r="F986" t="str">
            <v>A2-S01</v>
          </cell>
          <cell r="G986" t="str">
            <v xml:space="preserve">Drawer front 1 - Mặt hộc kéo </v>
          </cell>
          <cell r="H986" t="str">
            <v>Pre-Assembly</v>
          </cell>
          <cell r="I986">
            <v>100</v>
          </cell>
        </row>
        <row r="987">
          <cell r="A987" t="str">
            <v>B557195/A</v>
          </cell>
          <cell r="B987" t="str">
            <v>SH146M01</v>
          </cell>
          <cell r="C987">
            <v>100</v>
          </cell>
          <cell r="D987">
            <v>233.7</v>
          </cell>
          <cell r="E987">
            <v>23370</v>
          </cell>
          <cell r="F987" t="str">
            <v>A2-S01-1</v>
          </cell>
          <cell r="G987" t="str">
            <v xml:space="preserve">Drawer front 1 - Mặt hộc kéo </v>
          </cell>
          <cell r="H987" t="str">
            <v>Wood</v>
          </cell>
          <cell r="I987">
            <v>100</v>
          </cell>
        </row>
        <row r="988">
          <cell r="A988" t="str">
            <v>B557195/A</v>
          </cell>
          <cell r="B988" t="str">
            <v>SH146M01</v>
          </cell>
          <cell r="C988">
            <v>100</v>
          </cell>
          <cell r="D988">
            <v>233.7</v>
          </cell>
          <cell r="E988">
            <v>23370</v>
          </cell>
          <cell r="F988" t="str">
            <v>A2-S01-2</v>
          </cell>
          <cell r="G988" t="str">
            <v xml:space="preserve">Drawer front 1 - Mặt hộc kéo </v>
          </cell>
          <cell r="H988" t="str">
            <v>Wood</v>
          </cell>
          <cell r="I988">
            <v>200</v>
          </cell>
        </row>
        <row r="989">
          <cell r="A989" t="str">
            <v>B557195/A</v>
          </cell>
          <cell r="B989" t="str">
            <v>SH146M01</v>
          </cell>
          <cell r="C989">
            <v>100</v>
          </cell>
          <cell r="D989">
            <v>233.7</v>
          </cell>
          <cell r="E989">
            <v>23370</v>
          </cell>
          <cell r="F989" t="str">
            <v>A2-S01-3</v>
          </cell>
          <cell r="G989" t="str">
            <v>Spline - Lưỡi gà</v>
          </cell>
          <cell r="H989" t="str">
            <v>wood off cut</v>
          </cell>
          <cell r="I989">
            <v>200</v>
          </cell>
        </row>
        <row r="990">
          <cell r="A990" t="str">
            <v>B557195/A</v>
          </cell>
          <cell r="B990" t="str">
            <v>SH146M01</v>
          </cell>
          <cell r="C990">
            <v>100</v>
          </cell>
          <cell r="D990">
            <v>233.7</v>
          </cell>
          <cell r="E990">
            <v>23370</v>
          </cell>
          <cell r="F990" t="str">
            <v>A2-S02</v>
          </cell>
          <cell r="G990" t="str">
            <v>Drawer side - Hông hộc kéo</v>
          </cell>
          <cell r="H990" t="str">
            <v>Wd+VN</v>
          </cell>
          <cell r="I990">
            <v>200</v>
          </cell>
        </row>
        <row r="991">
          <cell r="A991" t="str">
            <v>B557195/A</v>
          </cell>
          <cell r="B991" t="str">
            <v>SH146M01</v>
          </cell>
          <cell r="C991">
            <v>100</v>
          </cell>
          <cell r="D991">
            <v>233.7</v>
          </cell>
          <cell r="E991">
            <v>23370</v>
          </cell>
          <cell r="F991" t="str">
            <v>A2-S03</v>
          </cell>
          <cell r="G991" t="str">
            <v>Drawer back - Hậu hộc kéo</v>
          </cell>
          <cell r="H991" t="str">
            <v>Wd+VN</v>
          </cell>
          <cell r="I991">
            <v>100</v>
          </cell>
        </row>
        <row r="992">
          <cell r="A992" t="str">
            <v>B557195/A</v>
          </cell>
          <cell r="B992" t="str">
            <v>SH146M01</v>
          </cell>
          <cell r="C992">
            <v>100</v>
          </cell>
          <cell r="D992">
            <v>233.7</v>
          </cell>
          <cell r="E992">
            <v>23370</v>
          </cell>
          <cell r="F992" t="str">
            <v>A3-S01</v>
          </cell>
          <cell r="G992" t="str">
            <v xml:space="preserve">Side panel  - Ván hông </v>
          </cell>
          <cell r="H992" t="str">
            <v>Plywood LVD - 12 x 1220 x 2440mm, Bleached Poplar Veneer Both Sides [CARB P2 Compliant]</v>
          </cell>
          <cell r="I992">
            <v>200</v>
          </cell>
        </row>
        <row r="993">
          <cell r="A993" t="str">
            <v>B557195/A</v>
          </cell>
          <cell r="B993" t="str">
            <v>SH146M01</v>
          </cell>
          <cell r="C993">
            <v>100</v>
          </cell>
          <cell r="D993">
            <v>233.7</v>
          </cell>
          <cell r="E993">
            <v>23370</v>
          </cell>
          <cell r="F993" t="str">
            <v>A3-S02</v>
          </cell>
          <cell r="G993" t="str">
            <v>Back panel - Ván hậu</v>
          </cell>
          <cell r="H993" t="str">
            <v>Plywood LVD - 12 x 1220 x 2440mm, Bleached Poplar Veneer Both Sides [CARB P2 Compliant]</v>
          </cell>
          <cell r="I993">
            <v>100</v>
          </cell>
        </row>
        <row r="994">
          <cell r="A994" t="str">
            <v>B557195/A</v>
          </cell>
          <cell r="B994" t="str">
            <v>SH146M01</v>
          </cell>
          <cell r="C994">
            <v>100</v>
          </cell>
          <cell r="D994">
            <v>233.7</v>
          </cell>
          <cell r="E994">
            <v>23370</v>
          </cell>
          <cell r="F994" t="str">
            <v>A3-S03</v>
          </cell>
          <cell r="G994" t="str">
            <v>Corner block - ke góc</v>
          </cell>
          <cell r="H994" t="str">
            <v>Beech off cut</v>
          </cell>
          <cell r="I994">
            <v>400</v>
          </cell>
        </row>
        <row r="995">
          <cell r="A995" t="str">
            <v>B557195/A</v>
          </cell>
          <cell r="B995" t="str">
            <v>SH146M01</v>
          </cell>
          <cell r="C995">
            <v>100</v>
          </cell>
          <cell r="D995">
            <v>233.7</v>
          </cell>
          <cell r="E995">
            <v>23370</v>
          </cell>
          <cell r="F995" t="str">
            <v>A3-S04</v>
          </cell>
          <cell r="G995" t="str">
            <v>Front rail 1 - đố trước 1</v>
          </cell>
          <cell r="H995" t="str">
            <v>Wood US Poplar - Straight Edged, 2 COM - T25mm x W100mm Up x L1.8m Up</v>
          </cell>
          <cell r="I995">
            <v>100</v>
          </cell>
        </row>
        <row r="996">
          <cell r="A996" t="str">
            <v>B557195/A</v>
          </cell>
          <cell r="B996" t="str">
            <v>SH146M01</v>
          </cell>
          <cell r="C996">
            <v>100</v>
          </cell>
          <cell r="D996">
            <v>233.7</v>
          </cell>
          <cell r="E996">
            <v>23370</v>
          </cell>
          <cell r="F996" t="str">
            <v>A3-S05</v>
          </cell>
          <cell r="G996" t="str">
            <v>Bottom panel - Ván đáy</v>
          </cell>
          <cell r="H996" t="str">
            <v>Plywood LVD - 12 x 1220 x 2440mm, Bleached Poplar Veneer Both Sides [CARB P2 Compliant]</v>
          </cell>
          <cell r="I996">
            <v>100</v>
          </cell>
        </row>
        <row r="997">
          <cell r="A997" t="str">
            <v>B557195/A</v>
          </cell>
          <cell r="B997" t="str">
            <v>SH146M01</v>
          </cell>
          <cell r="C997">
            <v>100</v>
          </cell>
          <cell r="D997">
            <v>233.7</v>
          </cell>
          <cell r="E997">
            <v>23370</v>
          </cell>
          <cell r="F997" t="str">
            <v>P02</v>
          </cell>
          <cell r="G997" t="str">
            <v>Corner block - ke góc</v>
          </cell>
          <cell r="H997" t="str">
            <v>Plywood LVD - 18 x 1220 x 2440mm, Bleached Poplar Veneer Both Sides [CARB P2 Compliant]</v>
          </cell>
          <cell r="I997">
            <v>200</v>
          </cell>
        </row>
        <row r="998">
          <cell r="A998" t="str">
            <v>B557195/A</v>
          </cell>
          <cell r="B998" t="str">
            <v>SH146M01</v>
          </cell>
          <cell r="C998">
            <v>100</v>
          </cell>
          <cell r="D998">
            <v>233.7</v>
          </cell>
          <cell r="E998">
            <v>23370</v>
          </cell>
          <cell r="F998" t="str">
            <v>P04</v>
          </cell>
          <cell r="G998" t="str">
            <v>Front rail  - Đố tiền</v>
          </cell>
          <cell r="H998" t="str">
            <v>Wood US Poplar - Straight Edged, 2 COM - T25mm x W100mm Up x L1.8m Up</v>
          </cell>
          <cell r="I998">
            <v>100</v>
          </cell>
        </row>
        <row r="999">
          <cell r="A999" t="str">
            <v>B557195/A</v>
          </cell>
          <cell r="B999" t="str">
            <v>SH146M01</v>
          </cell>
          <cell r="C999">
            <v>100</v>
          </cell>
          <cell r="D999">
            <v>233.7</v>
          </cell>
          <cell r="E999">
            <v>23370</v>
          </cell>
          <cell r="F999" t="str">
            <v>P05</v>
          </cell>
          <cell r="G999" t="str">
            <v>Bottom frame - Khung dưới</v>
          </cell>
          <cell r="H999" t="str">
            <v>Pre-Assembly</v>
          </cell>
          <cell r="I999">
            <v>100</v>
          </cell>
        </row>
        <row r="1000">
          <cell r="A1000" t="str">
            <v>B557195/A</v>
          </cell>
          <cell r="B1000" t="str">
            <v>SH146M01</v>
          </cell>
          <cell r="C1000">
            <v>100</v>
          </cell>
          <cell r="D1000">
            <v>233.7</v>
          </cell>
          <cell r="E1000">
            <v>23370</v>
          </cell>
          <cell r="F1000" t="str">
            <v>P05-1</v>
          </cell>
          <cell r="G1000" t="str">
            <v>Patching wood - Gỗ đắp</v>
          </cell>
          <cell r="H1000" t="str">
            <v>MDF OFF CUT</v>
          </cell>
          <cell r="I1000">
            <v>200</v>
          </cell>
        </row>
        <row r="1001">
          <cell r="A1001" t="str">
            <v>B557195/A</v>
          </cell>
          <cell r="B1001" t="str">
            <v>SH146M01</v>
          </cell>
          <cell r="C1001">
            <v>100</v>
          </cell>
          <cell r="D1001">
            <v>233.7</v>
          </cell>
          <cell r="E1001">
            <v>23370</v>
          </cell>
          <cell r="F1001" t="str">
            <v>P05-2</v>
          </cell>
          <cell r="G1001" t="str">
            <v>Bottom panel - Ván đáy</v>
          </cell>
          <cell r="H1001" t="str">
            <v>Plywood LVD - 18 x 1220 x 2440mm, Bleached Poplar Veneer Both Sides [CARB P2 Compliant]</v>
          </cell>
          <cell r="I1001">
            <v>100</v>
          </cell>
        </row>
        <row r="1002">
          <cell r="A1002" t="str">
            <v>B557195/A</v>
          </cell>
          <cell r="B1002" t="str">
            <v>SH146M01</v>
          </cell>
          <cell r="C1002">
            <v>100</v>
          </cell>
          <cell r="D1002">
            <v>233.7</v>
          </cell>
          <cell r="E1002">
            <v>23370</v>
          </cell>
          <cell r="F1002" t="str">
            <v>P06</v>
          </cell>
          <cell r="G1002" t="str">
            <v>The leg  - Chân</v>
          </cell>
          <cell r="H1002" t="str">
            <v>White Oak 1 COM</v>
          </cell>
          <cell r="I1002">
            <v>400</v>
          </cell>
        </row>
        <row r="1003">
          <cell r="A1003" t="str">
            <v>B557195/A</v>
          </cell>
          <cell r="B1003" t="str">
            <v>SH146M01</v>
          </cell>
          <cell r="C1003">
            <v>100</v>
          </cell>
          <cell r="D1003">
            <v>233.7</v>
          </cell>
          <cell r="E1003">
            <v>23370</v>
          </cell>
          <cell r="F1003" t="str">
            <v>P07</v>
          </cell>
          <cell r="G1003" t="str">
            <v>Cleat - Bọ gỗ</v>
          </cell>
          <cell r="H1003" t="str">
            <v>Plywood off cut</v>
          </cell>
          <cell r="I1003">
            <v>100</v>
          </cell>
        </row>
        <row r="1004">
          <cell r="A1004" t="str">
            <v>B557195/A</v>
          </cell>
          <cell r="B1004" t="str">
            <v>SH146M01</v>
          </cell>
          <cell r="C1004">
            <v>100</v>
          </cell>
          <cell r="D1004">
            <v>233.7</v>
          </cell>
          <cell r="E1004">
            <v>23370</v>
          </cell>
          <cell r="F1004" t="str">
            <v>P08</v>
          </cell>
          <cell r="G1004" t="str">
            <v>Cleat - Bọ gỗ</v>
          </cell>
          <cell r="H1004" t="str">
            <v>Plywood off cut</v>
          </cell>
          <cell r="I1004">
            <v>200</v>
          </cell>
        </row>
        <row r="1005">
          <cell r="A1005" t="str">
            <v>B557195/A</v>
          </cell>
          <cell r="B1005" t="str">
            <v>SH146M01</v>
          </cell>
          <cell r="C1005">
            <v>100</v>
          </cell>
          <cell r="D1005">
            <v>233.7</v>
          </cell>
          <cell r="E1005">
            <v>23370</v>
          </cell>
          <cell r="F1005" t="str">
            <v>P09</v>
          </cell>
          <cell r="G1005" t="str">
            <v>under top plywood send sudcon - ván gửi NCC dán đá</v>
          </cell>
          <cell r="H1005" t="str">
            <v>Plywood LVD - 18 x 1220 x 2440mm, Bleached Poplar Veneer Both Sides [CARB P2 Compliant]</v>
          </cell>
          <cell r="I1005">
            <v>100</v>
          </cell>
        </row>
        <row r="1006">
          <cell r="A1006" t="str">
            <v>B557195/A</v>
          </cell>
          <cell r="B1006" t="str">
            <v>SH146M01</v>
          </cell>
          <cell r="C1006">
            <v>100</v>
          </cell>
          <cell r="D1006">
            <v>233.7</v>
          </cell>
          <cell r="E1006">
            <v>23370</v>
          </cell>
          <cell r="F1006" t="str">
            <v>P10</v>
          </cell>
          <cell r="G1006" t="str">
            <v xml:space="preserve">Side rail  - Đố hông </v>
          </cell>
          <cell r="H1006" t="str">
            <v>Wood Red Oak - Straight/Waving Edged, 1 COM - T32mm x W100mm Up x L1.8m Up</v>
          </cell>
          <cell r="I1006">
            <v>700</v>
          </cell>
        </row>
        <row r="1007">
          <cell r="A1007" t="str">
            <v>B557195/A</v>
          </cell>
          <cell r="B1007" t="str">
            <v>SH146M01</v>
          </cell>
          <cell r="C1007">
            <v>100</v>
          </cell>
          <cell r="D1007">
            <v>233.7</v>
          </cell>
          <cell r="E1007">
            <v>23370</v>
          </cell>
          <cell r="F1007" t="str">
            <v>P11</v>
          </cell>
          <cell r="G1007" t="str">
            <v xml:space="preserve">Side rail  - Đố hông </v>
          </cell>
          <cell r="H1007" t="str">
            <v>Wood Red Oak - Straight/Waving Edged, 1 COM - T32mm x W100mm Up x L1.8m Up</v>
          </cell>
          <cell r="I1007">
            <v>100</v>
          </cell>
        </row>
        <row r="1008">
          <cell r="A1008" t="str">
            <v>B557195/A</v>
          </cell>
          <cell r="B1008" t="str">
            <v>SH146M01</v>
          </cell>
          <cell r="C1008">
            <v>100</v>
          </cell>
          <cell r="D1008">
            <v>233.7</v>
          </cell>
          <cell r="E1008">
            <v>23370</v>
          </cell>
          <cell r="F1008" t="str">
            <v>P11-1</v>
          </cell>
          <cell r="G1008" t="str">
            <v xml:space="preserve">Side rail  - Đố hông </v>
          </cell>
          <cell r="H1008" t="str">
            <v>Wood Red Oak - Straight/Waving Edged, 1 COM - T32mm x W100mm Up x L1.8m Up</v>
          </cell>
          <cell r="I1008">
            <v>100</v>
          </cell>
        </row>
        <row r="1009">
          <cell r="A1009" t="str">
            <v>B558398/A</v>
          </cell>
          <cell r="B1009" t="str">
            <v>SH207M506</v>
          </cell>
          <cell r="C1009">
            <v>30</v>
          </cell>
          <cell r="D1009">
            <v>536.25</v>
          </cell>
          <cell r="E1009">
            <v>16087.5</v>
          </cell>
          <cell r="F1009" t="str">
            <v>A1-S1</v>
          </cell>
          <cell r="G1009" t="str">
            <v>Front rail  - Đố tiền</v>
          </cell>
          <cell r="H1009" t="str">
            <v>Wood US Poplar - Straight Edged, 2 COM - T32mm x W100mm Up x L1.8m Up</v>
          </cell>
          <cell r="I1009">
            <v>60</v>
          </cell>
        </row>
        <row r="1010">
          <cell r="A1010" t="str">
            <v>B558398/A</v>
          </cell>
          <cell r="B1010" t="str">
            <v>SH207M506</v>
          </cell>
          <cell r="C1010">
            <v>30</v>
          </cell>
          <cell r="D1010">
            <v>536.25</v>
          </cell>
          <cell r="E1010">
            <v>16087.5</v>
          </cell>
          <cell r="F1010" t="str">
            <v>A1-S2</v>
          </cell>
          <cell r="G1010" t="str">
            <v xml:space="preserve">Side rail  - Đố hông </v>
          </cell>
          <cell r="H1010" t="str">
            <v>Wood US Poplar - Straight Edged, 2 COM - T32mm x W100mm Up x L1.8m Up</v>
          </cell>
          <cell r="I1010">
            <v>60</v>
          </cell>
        </row>
        <row r="1011">
          <cell r="A1011" t="str">
            <v>B558398/A</v>
          </cell>
          <cell r="B1011" t="str">
            <v>SH207M506</v>
          </cell>
          <cell r="C1011">
            <v>30</v>
          </cell>
          <cell r="D1011">
            <v>536.25</v>
          </cell>
          <cell r="E1011">
            <v>16087.5</v>
          </cell>
          <cell r="F1011" t="str">
            <v>A1-S3</v>
          </cell>
          <cell r="G1011" t="str">
            <v>Corner block - ke góc</v>
          </cell>
          <cell r="H1011" t="str">
            <v>Poplar 2 COM</v>
          </cell>
          <cell r="I1011">
            <v>120</v>
          </cell>
        </row>
        <row r="1012">
          <cell r="A1012" t="str">
            <v>B558398/A</v>
          </cell>
          <cell r="B1012" t="str">
            <v>SH207M506</v>
          </cell>
          <cell r="C1012">
            <v>30</v>
          </cell>
          <cell r="D1012">
            <v>536.25</v>
          </cell>
          <cell r="E1012">
            <v>16087.5</v>
          </cell>
          <cell r="F1012" t="str">
            <v>A2</v>
          </cell>
          <cell r="G1012" t="str">
            <v>Top Frame - Khung nóc</v>
          </cell>
          <cell r="H1012" t="str">
            <v>Pre-Assembly</v>
          </cell>
          <cell r="I1012">
            <v>30</v>
          </cell>
        </row>
        <row r="1013">
          <cell r="A1013" t="str">
            <v>B558398/A</v>
          </cell>
          <cell r="B1013" t="str">
            <v>SH207M506</v>
          </cell>
          <cell r="C1013">
            <v>30</v>
          </cell>
          <cell r="D1013">
            <v>536.25</v>
          </cell>
          <cell r="E1013">
            <v>16087.5</v>
          </cell>
          <cell r="F1013" t="str">
            <v>A2-S1</v>
          </cell>
          <cell r="G1013" t="str">
            <v xml:space="preserve">Top panel  - Ván nóc </v>
          </cell>
          <cell r="H1013" t="str">
            <v>MDF laminate</v>
          </cell>
          <cell r="I1013">
            <v>30</v>
          </cell>
        </row>
        <row r="1014">
          <cell r="A1014" t="str">
            <v>B558398/A</v>
          </cell>
          <cell r="B1014" t="str">
            <v>SH207M506</v>
          </cell>
          <cell r="C1014">
            <v>30</v>
          </cell>
          <cell r="D1014">
            <v>536.25</v>
          </cell>
          <cell r="E1014">
            <v>16087.5</v>
          </cell>
          <cell r="F1014" t="str">
            <v>A2-S2</v>
          </cell>
          <cell r="G1014" t="str">
            <v xml:space="preserve">Side panel  - Ván hông </v>
          </cell>
          <cell r="H1014" t="str">
            <v>Wood laminate</v>
          </cell>
          <cell r="I1014">
            <v>60</v>
          </cell>
        </row>
        <row r="1015">
          <cell r="A1015" t="str">
            <v>B558398/A</v>
          </cell>
          <cell r="B1015" t="str">
            <v>SH207M506</v>
          </cell>
          <cell r="C1015">
            <v>30</v>
          </cell>
          <cell r="D1015">
            <v>536.25</v>
          </cell>
          <cell r="E1015">
            <v>16087.5</v>
          </cell>
          <cell r="F1015" t="str">
            <v>P02</v>
          </cell>
          <cell r="G1015" t="str">
            <v xml:space="preserve">Side panel  - Ván hông </v>
          </cell>
          <cell r="H1015" t="str">
            <v>Pre-Assembly</v>
          </cell>
          <cell r="I1015">
            <v>60</v>
          </cell>
        </row>
        <row r="1016">
          <cell r="A1016" t="str">
            <v>B558398/A</v>
          </cell>
          <cell r="B1016" t="str">
            <v>SH207M506</v>
          </cell>
          <cell r="C1016">
            <v>30</v>
          </cell>
          <cell r="D1016">
            <v>536.25</v>
          </cell>
          <cell r="E1016">
            <v>16087.5</v>
          </cell>
          <cell r="F1016" t="str">
            <v>P02-1</v>
          </cell>
          <cell r="G1016" t="str">
            <v xml:space="preserve">Side panel  - Ván hông </v>
          </cell>
          <cell r="H1016" t="str">
            <v>MDF Veneer</v>
          </cell>
          <cell r="I1016">
            <v>120</v>
          </cell>
        </row>
        <row r="1017">
          <cell r="A1017" t="str">
            <v>B558398/A</v>
          </cell>
          <cell r="B1017" t="str">
            <v>SH207M506</v>
          </cell>
          <cell r="C1017">
            <v>30</v>
          </cell>
          <cell r="D1017">
            <v>536.25</v>
          </cell>
          <cell r="E1017">
            <v>16087.5</v>
          </cell>
          <cell r="F1017" t="str">
            <v>P02-3</v>
          </cell>
          <cell r="G1017" t="str">
            <v>MDF - MDF</v>
          </cell>
          <cell r="H1017" t="str">
            <v>MDF laminate</v>
          </cell>
          <cell r="I1017">
            <v>180</v>
          </cell>
        </row>
        <row r="1018">
          <cell r="A1018" t="str">
            <v>B558398/A</v>
          </cell>
          <cell r="B1018" t="str">
            <v>SH207M506</v>
          </cell>
          <cell r="C1018">
            <v>30</v>
          </cell>
          <cell r="D1018">
            <v>536.25</v>
          </cell>
          <cell r="E1018">
            <v>16087.5</v>
          </cell>
          <cell r="F1018" t="str">
            <v>P02-4</v>
          </cell>
          <cell r="G1018" t="str">
            <v>MDF - MDF</v>
          </cell>
          <cell r="H1018" t="str">
            <v>MDF laminate</v>
          </cell>
          <cell r="I1018">
            <v>120</v>
          </cell>
        </row>
        <row r="1019">
          <cell r="A1019" t="str">
            <v>B558398/A</v>
          </cell>
          <cell r="B1019" t="str">
            <v>SH207M506</v>
          </cell>
          <cell r="C1019">
            <v>30</v>
          </cell>
          <cell r="D1019">
            <v>536.25</v>
          </cell>
          <cell r="E1019">
            <v>16087.5</v>
          </cell>
          <cell r="F1019" t="str">
            <v>P02-5</v>
          </cell>
          <cell r="G1019" t="str">
            <v>MDF - MDF</v>
          </cell>
          <cell r="H1019" t="str">
            <v>MDF laminate</v>
          </cell>
          <cell r="I1019">
            <v>840</v>
          </cell>
        </row>
        <row r="1020">
          <cell r="A1020" t="str">
            <v>B558398/A</v>
          </cell>
          <cell r="B1020" t="str">
            <v>SH207M506</v>
          </cell>
          <cell r="C1020">
            <v>30</v>
          </cell>
          <cell r="D1020">
            <v>536.25</v>
          </cell>
          <cell r="E1020">
            <v>16087.5</v>
          </cell>
          <cell r="F1020" t="str">
            <v>P03</v>
          </cell>
          <cell r="G1020" t="str">
            <v xml:space="preserve">Vertical panel  - ván đứng </v>
          </cell>
          <cell r="H1020" t="str">
            <v>Pre-Assembly</v>
          </cell>
          <cell r="I1020">
            <v>120</v>
          </cell>
        </row>
        <row r="1021">
          <cell r="A1021" t="str">
            <v>B558398/A</v>
          </cell>
          <cell r="B1021" t="str">
            <v>SH207M506</v>
          </cell>
          <cell r="C1021">
            <v>30</v>
          </cell>
          <cell r="D1021">
            <v>536.25</v>
          </cell>
          <cell r="E1021">
            <v>16087.5</v>
          </cell>
          <cell r="F1021" t="str">
            <v>P03-1</v>
          </cell>
          <cell r="G1021" t="str">
            <v xml:space="preserve">Side panel  - Ván hông </v>
          </cell>
          <cell r="H1021" t="str">
            <v>MDF Veneer</v>
          </cell>
          <cell r="I1021">
            <v>240</v>
          </cell>
        </row>
        <row r="1022">
          <cell r="A1022" t="str">
            <v>B558398/A</v>
          </cell>
          <cell r="B1022" t="str">
            <v>SH207M506</v>
          </cell>
          <cell r="C1022">
            <v>30</v>
          </cell>
          <cell r="D1022">
            <v>536.25</v>
          </cell>
          <cell r="E1022">
            <v>16087.5</v>
          </cell>
          <cell r="F1022" t="str">
            <v>P03-2</v>
          </cell>
          <cell r="G1022" t="str">
            <v>MDF - MDF</v>
          </cell>
          <cell r="H1022" t="str">
            <v>MDF laminate</v>
          </cell>
          <cell r="I1022">
            <v>240</v>
          </cell>
        </row>
        <row r="1023">
          <cell r="A1023" t="str">
            <v>B558398/A</v>
          </cell>
          <cell r="B1023" t="str">
            <v>SH207M506</v>
          </cell>
          <cell r="C1023">
            <v>30</v>
          </cell>
          <cell r="D1023">
            <v>536.25</v>
          </cell>
          <cell r="E1023">
            <v>16087.5</v>
          </cell>
          <cell r="F1023" t="str">
            <v>P05</v>
          </cell>
          <cell r="G1023" t="str">
            <v>Center panel - Ván giữa</v>
          </cell>
          <cell r="H1023" t="str">
            <v>Pre-Assembly</v>
          </cell>
          <cell r="I1023">
            <v>90</v>
          </cell>
        </row>
        <row r="1024">
          <cell r="A1024" t="str">
            <v>B558398/A</v>
          </cell>
          <cell r="B1024" t="str">
            <v>SH207M506</v>
          </cell>
          <cell r="C1024">
            <v>30</v>
          </cell>
          <cell r="D1024">
            <v>536.25</v>
          </cell>
          <cell r="E1024">
            <v>16087.5</v>
          </cell>
          <cell r="F1024" t="str">
            <v>P05-1</v>
          </cell>
          <cell r="G1024" t="str">
            <v>Center panel - Ván giữa</v>
          </cell>
          <cell r="H1024" t="str">
            <v>MDF Veneer</v>
          </cell>
          <cell r="I1024">
            <v>180</v>
          </cell>
        </row>
        <row r="1025">
          <cell r="A1025" t="str">
            <v>B558398/A</v>
          </cell>
          <cell r="B1025" t="str">
            <v>SH207M506</v>
          </cell>
          <cell r="C1025">
            <v>30</v>
          </cell>
          <cell r="D1025">
            <v>536.25</v>
          </cell>
          <cell r="E1025">
            <v>16087.5</v>
          </cell>
          <cell r="F1025" t="str">
            <v>P05-4</v>
          </cell>
          <cell r="G1025" t="str">
            <v>MDF - MDF</v>
          </cell>
          <cell r="H1025" t="str">
            <v>MDF laminate</v>
          </cell>
          <cell r="I1025">
            <v>180</v>
          </cell>
        </row>
        <row r="1026">
          <cell r="A1026" t="str">
            <v>B558398/A</v>
          </cell>
          <cell r="B1026" t="str">
            <v>SH207M506</v>
          </cell>
          <cell r="C1026">
            <v>30</v>
          </cell>
          <cell r="D1026">
            <v>536.25</v>
          </cell>
          <cell r="E1026">
            <v>16087.5</v>
          </cell>
          <cell r="F1026" t="str">
            <v>P06</v>
          </cell>
          <cell r="G1026" t="str">
            <v>Bottom panel - Ván đáy</v>
          </cell>
          <cell r="H1026" t="str">
            <v>Pre-Assembly</v>
          </cell>
          <cell r="I1026">
            <v>30</v>
          </cell>
        </row>
        <row r="1027">
          <cell r="A1027" t="str">
            <v>B558398/A</v>
          </cell>
          <cell r="B1027" t="str">
            <v>SH207M506</v>
          </cell>
          <cell r="C1027">
            <v>30</v>
          </cell>
          <cell r="D1027">
            <v>536.25</v>
          </cell>
          <cell r="E1027">
            <v>16087.5</v>
          </cell>
          <cell r="F1027" t="str">
            <v>P06-1</v>
          </cell>
          <cell r="G1027" t="str">
            <v>Bottom panel - Ván đáy</v>
          </cell>
          <cell r="H1027" t="str">
            <v>MDF Veneer</v>
          </cell>
          <cell r="I1027">
            <v>30</v>
          </cell>
        </row>
        <row r="1028">
          <cell r="A1028" t="str">
            <v>B558398/A</v>
          </cell>
          <cell r="B1028" t="str">
            <v>SH207M506</v>
          </cell>
          <cell r="C1028">
            <v>30</v>
          </cell>
          <cell r="D1028">
            <v>536.25</v>
          </cell>
          <cell r="E1028">
            <v>16087.5</v>
          </cell>
          <cell r="F1028" t="str">
            <v>P06-2</v>
          </cell>
          <cell r="G1028" t="str">
            <v>Bottom panel - Ván đáy</v>
          </cell>
          <cell r="H1028" t="str">
            <v>MDF Veneer</v>
          </cell>
          <cell r="I1028">
            <v>30</v>
          </cell>
        </row>
        <row r="1029">
          <cell r="A1029" t="str">
            <v>B558398/A</v>
          </cell>
          <cell r="B1029" t="str">
            <v>SH207M506</v>
          </cell>
          <cell r="C1029">
            <v>30</v>
          </cell>
          <cell r="D1029">
            <v>536.25</v>
          </cell>
          <cell r="E1029">
            <v>16087.5</v>
          </cell>
          <cell r="F1029" t="str">
            <v>P06-4</v>
          </cell>
          <cell r="G1029" t="str">
            <v>MDF - MDF</v>
          </cell>
          <cell r="H1029" t="str">
            <v>MDF laminate</v>
          </cell>
          <cell r="I1029">
            <v>60</v>
          </cell>
        </row>
        <row r="1030">
          <cell r="A1030" t="str">
            <v>B558398/A</v>
          </cell>
          <cell r="B1030" t="str">
            <v>SH207M506</v>
          </cell>
          <cell r="C1030">
            <v>30</v>
          </cell>
          <cell r="D1030">
            <v>536.25</v>
          </cell>
          <cell r="E1030">
            <v>16087.5</v>
          </cell>
          <cell r="F1030" t="str">
            <v>P07</v>
          </cell>
          <cell r="G1030" t="str">
            <v>Spline - Lưỡi gà</v>
          </cell>
          <cell r="H1030" t="str">
            <v>Plywood LVD - 18 x 1220 x 2440mm, Bleached Poplar Veneer Both Sides [CARB P2 Compliant]</v>
          </cell>
          <cell r="I1030">
            <v>360</v>
          </cell>
        </row>
        <row r="1031">
          <cell r="A1031" t="str">
            <v>B558398/A</v>
          </cell>
          <cell r="B1031" t="str">
            <v>SH207M506</v>
          </cell>
          <cell r="C1031">
            <v>30</v>
          </cell>
          <cell r="D1031">
            <v>536.25</v>
          </cell>
          <cell r="E1031">
            <v>16087.5</v>
          </cell>
          <cell r="F1031" t="str">
            <v>P08</v>
          </cell>
          <cell r="G1031" t="str">
            <v>Patching wood - Gỗ đắp</v>
          </cell>
          <cell r="H1031" t="str">
            <v>Poplar off cut</v>
          </cell>
          <cell r="I1031">
            <v>120</v>
          </cell>
        </row>
        <row r="1032">
          <cell r="A1032" t="str">
            <v>B558400/A</v>
          </cell>
          <cell r="B1032" t="str">
            <v>SH346NM506</v>
          </cell>
          <cell r="C1032">
            <v>30</v>
          </cell>
          <cell r="D1032">
            <v>480</v>
          </cell>
          <cell r="E1032">
            <v>14400</v>
          </cell>
          <cell r="F1032" t="str">
            <v>A1</v>
          </cell>
          <cell r="G1032" t="str">
            <v>Top Frame - Khung nóc</v>
          </cell>
          <cell r="H1032" t="str">
            <v>Pre-Assembly</v>
          </cell>
          <cell r="I1032">
            <v>30</v>
          </cell>
        </row>
        <row r="1033">
          <cell r="A1033" t="str">
            <v>B558400/A</v>
          </cell>
          <cell r="B1033" t="str">
            <v>SH346NM506</v>
          </cell>
          <cell r="C1033">
            <v>30</v>
          </cell>
          <cell r="D1033">
            <v>480</v>
          </cell>
          <cell r="E1033">
            <v>14400</v>
          </cell>
          <cell r="F1033" t="str">
            <v>A1-S01</v>
          </cell>
          <cell r="G1033" t="str">
            <v xml:space="preserve">Top panel  - Ván nóc </v>
          </cell>
          <cell r="H1033" t="str">
            <v>MDF Veneer</v>
          </cell>
          <cell r="I1033">
            <v>30</v>
          </cell>
        </row>
        <row r="1034">
          <cell r="A1034" t="str">
            <v>B558400/A</v>
          </cell>
          <cell r="B1034" t="str">
            <v>SH346NM506</v>
          </cell>
          <cell r="C1034">
            <v>30</v>
          </cell>
          <cell r="D1034">
            <v>480</v>
          </cell>
          <cell r="E1034">
            <v>14400</v>
          </cell>
          <cell r="F1034" t="str">
            <v>A1-S02</v>
          </cell>
          <cell r="G1034" t="str">
            <v>MDF - MDF</v>
          </cell>
          <cell r="H1034" t="str">
            <v>MDF - 18 x 1830 x 2440mm [CARB P2 Compliant]</v>
          </cell>
          <cell r="I1034">
            <v>60</v>
          </cell>
        </row>
        <row r="1035">
          <cell r="A1035" t="str">
            <v>B558400/A</v>
          </cell>
          <cell r="B1035" t="str">
            <v>SH346NM506</v>
          </cell>
          <cell r="C1035">
            <v>30</v>
          </cell>
          <cell r="D1035">
            <v>480</v>
          </cell>
          <cell r="E1035">
            <v>14400</v>
          </cell>
          <cell r="F1035" t="str">
            <v>A1-S03</v>
          </cell>
          <cell r="G1035" t="str">
            <v>MDF - MDF</v>
          </cell>
          <cell r="H1035" t="str">
            <v>MDF - 18 x 1830 x 2440mm [CARB P2 Compliant]</v>
          </cell>
          <cell r="I1035">
            <v>60</v>
          </cell>
        </row>
        <row r="1036">
          <cell r="A1036" t="str">
            <v>B558400/A</v>
          </cell>
          <cell r="B1036" t="str">
            <v>SH346NM506</v>
          </cell>
          <cell r="C1036">
            <v>30</v>
          </cell>
          <cell r="D1036">
            <v>480</v>
          </cell>
          <cell r="E1036">
            <v>14400</v>
          </cell>
          <cell r="F1036" t="str">
            <v>A2</v>
          </cell>
          <cell r="G1036" t="str">
            <v>Side Frame - Khung hông</v>
          </cell>
          <cell r="H1036" t="str">
            <v>Pre-Assembly</v>
          </cell>
          <cell r="I1036">
            <v>60</v>
          </cell>
        </row>
        <row r="1037">
          <cell r="A1037" t="str">
            <v>B558400/A</v>
          </cell>
          <cell r="B1037" t="str">
            <v>SH346NM506</v>
          </cell>
          <cell r="C1037">
            <v>30</v>
          </cell>
          <cell r="D1037">
            <v>480</v>
          </cell>
          <cell r="E1037">
            <v>14400</v>
          </cell>
          <cell r="F1037" t="str">
            <v>A2-S01</v>
          </cell>
          <cell r="G1037" t="str">
            <v>Front rail  - Đố tiền</v>
          </cell>
          <cell r="H1037" t="str">
            <v>Poplar 2 COM</v>
          </cell>
          <cell r="I1037">
            <v>60</v>
          </cell>
        </row>
        <row r="1038">
          <cell r="A1038" t="str">
            <v>B558400/A</v>
          </cell>
          <cell r="B1038" t="str">
            <v>SH346NM506</v>
          </cell>
          <cell r="C1038">
            <v>30</v>
          </cell>
          <cell r="D1038">
            <v>480</v>
          </cell>
          <cell r="E1038">
            <v>14400</v>
          </cell>
          <cell r="F1038" t="str">
            <v>A2-S02</v>
          </cell>
          <cell r="G1038" t="str">
            <v>Front rail  - Đố tiền</v>
          </cell>
          <cell r="H1038" t="str">
            <v>Poplar 2 COM</v>
          </cell>
          <cell r="I1038">
            <v>60</v>
          </cell>
        </row>
        <row r="1039">
          <cell r="A1039" t="str">
            <v>B558400/A</v>
          </cell>
          <cell r="B1039" t="str">
            <v>SH346NM506</v>
          </cell>
          <cell r="C1039">
            <v>30</v>
          </cell>
          <cell r="D1039">
            <v>480</v>
          </cell>
          <cell r="E1039">
            <v>14400</v>
          </cell>
          <cell r="F1039" t="str">
            <v>A2-S03</v>
          </cell>
          <cell r="G1039" t="str">
            <v xml:space="preserve">Side panel  - Ván hông </v>
          </cell>
          <cell r="H1039" t="str">
            <v>MDF Veneer</v>
          </cell>
          <cell r="I1039">
            <v>60</v>
          </cell>
        </row>
        <row r="1040">
          <cell r="A1040" t="str">
            <v>B558400/A</v>
          </cell>
          <cell r="B1040" t="str">
            <v>SH346NM506</v>
          </cell>
          <cell r="C1040">
            <v>30</v>
          </cell>
          <cell r="D1040">
            <v>480</v>
          </cell>
          <cell r="E1040">
            <v>14400</v>
          </cell>
          <cell r="F1040" t="str">
            <v>A2-S04</v>
          </cell>
          <cell r="G1040" t="str">
            <v>Bottom rail inside - Đố tiền đáy</v>
          </cell>
          <cell r="H1040" t="str">
            <v>Poplar 2 COM</v>
          </cell>
          <cell r="I1040">
            <v>60</v>
          </cell>
        </row>
        <row r="1041">
          <cell r="A1041" t="str">
            <v>B558400/A</v>
          </cell>
          <cell r="B1041" t="str">
            <v>SH346NM506</v>
          </cell>
          <cell r="C1041">
            <v>30</v>
          </cell>
          <cell r="D1041">
            <v>480</v>
          </cell>
          <cell r="E1041">
            <v>14400</v>
          </cell>
          <cell r="F1041" t="str">
            <v>A3-S01</v>
          </cell>
          <cell r="G1041" t="str">
            <v xml:space="preserve">Drawer front - Mặt hộc kéo </v>
          </cell>
          <cell r="H1041" t="str">
            <v>MDF Veneer</v>
          </cell>
          <cell r="I1041">
            <v>30</v>
          </cell>
        </row>
        <row r="1042">
          <cell r="A1042" t="str">
            <v>B558400/A</v>
          </cell>
          <cell r="B1042" t="str">
            <v>SH346NM506</v>
          </cell>
          <cell r="C1042">
            <v>30</v>
          </cell>
          <cell r="D1042">
            <v>480</v>
          </cell>
          <cell r="E1042">
            <v>14400</v>
          </cell>
          <cell r="F1042" t="str">
            <v>A3-S02</v>
          </cell>
          <cell r="G1042" t="str">
            <v>Drawer side - Hông hộc kéo</v>
          </cell>
          <cell r="H1042" t="str">
            <v>Wd+VN</v>
          </cell>
          <cell r="I1042">
            <v>60</v>
          </cell>
        </row>
        <row r="1043">
          <cell r="A1043" t="str">
            <v>B558400/A</v>
          </cell>
          <cell r="B1043" t="str">
            <v>SH346NM506</v>
          </cell>
          <cell r="C1043">
            <v>30</v>
          </cell>
          <cell r="D1043">
            <v>480</v>
          </cell>
          <cell r="E1043">
            <v>14400</v>
          </cell>
          <cell r="F1043" t="str">
            <v>A3-S03</v>
          </cell>
          <cell r="G1043" t="str">
            <v>Drawer back - Hậu hộc kéo</v>
          </cell>
          <cell r="H1043" t="str">
            <v>Wd+VN</v>
          </cell>
          <cell r="I1043">
            <v>30</v>
          </cell>
        </row>
        <row r="1044">
          <cell r="A1044" t="str">
            <v>B558400/A</v>
          </cell>
          <cell r="B1044" t="str">
            <v>SH346NM506</v>
          </cell>
          <cell r="C1044">
            <v>30</v>
          </cell>
          <cell r="D1044">
            <v>480</v>
          </cell>
          <cell r="E1044">
            <v>14400</v>
          </cell>
          <cell r="F1044" t="str">
            <v>A3-S03-1</v>
          </cell>
          <cell r="G1044" t="str">
            <v xml:space="preserve">Drawer front 1 - Mặt hộc kéo </v>
          </cell>
          <cell r="H1044" t="str">
            <v>Wd+VN</v>
          </cell>
          <cell r="I1044">
            <v>30</v>
          </cell>
        </row>
        <row r="1045">
          <cell r="A1045" t="str">
            <v>B558400/A</v>
          </cell>
          <cell r="B1045" t="str">
            <v>SH346NM506</v>
          </cell>
          <cell r="C1045">
            <v>30</v>
          </cell>
          <cell r="D1045">
            <v>480</v>
          </cell>
          <cell r="E1045">
            <v>14400</v>
          </cell>
          <cell r="F1045" t="str">
            <v>A3-S04</v>
          </cell>
          <cell r="G1045" t="str">
            <v>Drawer bottom  - Đáy hộc kéo</v>
          </cell>
          <cell r="H1045" t="str">
            <v>MDF Veneer</v>
          </cell>
          <cell r="I1045">
            <v>90</v>
          </cell>
        </row>
        <row r="1046">
          <cell r="A1046" t="str">
            <v>B558400/A</v>
          </cell>
          <cell r="B1046" t="str">
            <v>SH346NM506</v>
          </cell>
          <cell r="C1046">
            <v>30</v>
          </cell>
          <cell r="D1046">
            <v>480</v>
          </cell>
          <cell r="E1046">
            <v>14400</v>
          </cell>
          <cell r="F1046" t="str">
            <v>A3-S05</v>
          </cell>
          <cell r="G1046" t="str">
            <v>Bottom rail inside - Đố tiền đáy</v>
          </cell>
          <cell r="H1046" t="str">
            <v>Wood US Poplar - Straight Edged, 2 COM - T38mm x W100mm Up x L1.8m Up</v>
          </cell>
          <cell r="I1046">
            <v>90</v>
          </cell>
        </row>
        <row r="1047">
          <cell r="A1047" t="str">
            <v>B558400/A</v>
          </cell>
          <cell r="B1047" t="str">
            <v>SH346NM506</v>
          </cell>
          <cell r="C1047">
            <v>30</v>
          </cell>
          <cell r="D1047">
            <v>480</v>
          </cell>
          <cell r="E1047">
            <v>14400</v>
          </cell>
          <cell r="F1047" t="str">
            <v>A3-S06</v>
          </cell>
          <cell r="G1047" t="str">
            <v>Patching wood - Gỗ đắp</v>
          </cell>
          <cell r="H1047" t="str">
            <v>Poplar off cut</v>
          </cell>
          <cell r="I1047">
            <v>180</v>
          </cell>
        </row>
        <row r="1048">
          <cell r="A1048" t="str">
            <v>B558400/A</v>
          </cell>
          <cell r="B1048" t="str">
            <v>SH346NM506</v>
          </cell>
          <cell r="C1048">
            <v>30</v>
          </cell>
          <cell r="D1048">
            <v>480</v>
          </cell>
          <cell r="E1048">
            <v>14400</v>
          </cell>
          <cell r="F1048" t="str">
            <v>A4-S01</v>
          </cell>
          <cell r="G1048" t="str">
            <v xml:space="preserve">Drawer front - Mặt hộc kéo </v>
          </cell>
          <cell r="H1048" t="str">
            <v>MDF Veneer</v>
          </cell>
          <cell r="I1048">
            <v>60</v>
          </cell>
        </row>
        <row r="1049">
          <cell r="A1049" t="str">
            <v>B558400/A</v>
          </cell>
          <cell r="B1049" t="str">
            <v>SH346NM506</v>
          </cell>
          <cell r="C1049">
            <v>30</v>
          </cell>
          <cell r="D1049">
            <v>480</v>
          </cell>
          <cell r="E1049">
            <v>14400</v>
          </cell>
          <cell r="F1049" t="str">
            <v>A4-S02</v>
          </cell>
          <cell r="G1049" t="str">
            <v>Drawer side - Hông hộc kéo</v>
          </cell>
          <cell r="H1049" t="str">
            <v>Wd+VN</v>
          </cell>
          <cell r="I1049">
            <v>120</v>
          </cell>
        </row>
        <row r="1050">
          <cell r="A1050" t="str">
            <v>B558400/A</v>
          </cell>
          <cell r="B1050" t="str">
            <v>SH346NM506</v>
          </cell>
          <cell r="C1050">
            <v>30</v>
          </cell>
          <cell r="D1050">
            <v>480</v>
          </cell>
          <cell r="E1050">
            <v>14400</v>
          </cell>
          <cell r="F1050" t="str">
            <v>A4-S03</v>
          </cell>
          <cell r="G1050" t="str">
            <v>Drawer back - Hậu hộc kéo</v>
          </cell>
          <cell r="H1050" t="str">
            <v>Wd+VN</v>
          </cell>
          <cell r="I1050">
            <v>60</v>
          </cell>
        </row>
        <row r="1051">
          <cell r="A1051" t="str">
            <v>B558400/A</v>
          </cell>
          <cell r="B1051" t="str">
            <v>SH346NM506</v>
          </cell>
          <cell r="C1051">
            <v>30</v>
          </cell>
          <cell r="D1051">
            <v>480</v>
          </cell>
          <cell r="E1051">
            <v>14400</v>
          </cell>
          <cell r="F1051" t="str">
            <v>A4-S03-1</v>
          </cell>
          <cell r="G1051" t="str">
            <v xml:space="preserve">Drawer front 1 - Mặt hộc kéo </v>
          </cell>
          <cell r="H1051" t="str">
            <v>Wd+VN</v>
          </cell>
          <cell r="I1051">
            <v>60</v>
          </cell>
        </row>
        <row r="1052">
          <cell r="A1052" t="str">
            <v>B558400/A</v>
          </cell>
          <cell r="B1052" t="str">
            <v>SH346NM506</v>
          </cell>
          <cell r="C1052">
            <v>30</v>
          </cell>
          <cell r="D1052">
            <v>480</v>
          </cell>
          <cell r="E1052">
            <v>14400</v>
          </cell>
          <cell r="F1052" t="str">
            <v>P01</v>
          </cell>
          <cell r="G1052" t="str">
            <v>Front rail  - Đố tiền</v>
          </cell>
          <cell r="H1052" t="str">
            <v>Wood US Poplar - Straight Edged, 2 COM - T25mm x W100mm Up x L1.8m Up</v>
          </cell>
          <cell r="I1052">
            <v>30</v>
          </cell>
        </row>
        <row r="1053">
          <cell r="A1053" t="str">
            <v>B558400/A</v>
          </cell>
          <cell r="B1053" t="str">
            <v>SH346NM506</v>
          </cell>
          <cell r="C1053">
            <v>30</v>
          </cell>
          <cell r="D1053">
            <v>480</v>
          </cell>
          <cell r="E1053">
            <v>14400</v>
          </cell>
          <cell r="F1053" t="str">
            <v>P01-1</v>
          </cell>
          <cell r="G1053" t="str">
            <v>Front rail  - Đố tiền</v>
          </cell>
          <cell r="H1053" t="str">
            <v>Wood US Poplar - Straight Edged, 2 COM - T25mm x W100mm Up x L1.8m Up</v>
          </cell>
          <cell r="I1053">
            <v>30</v>
          </cell>
        </row>
        <row r="1054">
          <cell r="A1054" t="str">
            <v>B558400/A</v>
          </cell>
          <cell r="B1054" t="str">
            <v>SH346NM506</v>
          </cell>
          <cell r="C1054">
            <v>30</v>
          </cell>
          <cell r="D1054">
            <v>480</v>
          </cell>
          <cell r="E1054">
            <v>14400</v>
          </cell>
          <cell r="F1054" t="str">
            <v>P03</v>
          </cell>
          <cell r="G1054" t="str">
            <v>Front rail  - Đố tiền</v>
          </cell>
          <cell r="H1054" t="str">
            <v>Wood US Poplar - Straight Edged, 2 COM - T25mm x W100mm Up x L1.8m Up</v>
          </cell>
          <cell r="I1054">
            <v>60</v>
          </cell>
        </row>
        <row r="1055">
          <cell r="A1055" t="str">
            <v>B558400/A</v>
          </cell>
          <cell r="B1055" t="str">
            <v>SH346NM506</v>
          </cell>
          <cell r="C1055">
            <v>30</v>
          </cell>
          <cell r="D1055">
            <v>480</v>
          </cell>
          <cell r="E1055">
            <v>14400</v>
          </cell>
          <cell r="F1055" t="str">
            <v>P04</v>
          </cell>
          <cell r="G1055" t="str">
            <v>back rail - Đố hậu</v>
          </cell>
          <cell r="H1055" t="str">
            <v>Wood US Poplar - Straight Edged, 2 COM - T20mm x W100mm Up x L1.8m Up</v>
          </cell>
          <cell r="I1055">
            <v>60</v>
          </cell>
        </row>
        <row r="1056">
          <cell r="A1056" t="str">
            <v>B558400/A</v>
          </cell>
          <cell r="B1056" t="str">
            <v>SH346NM506</v>
          </cell>
          <cell r="C1056">
            <v>30</v>
          </cell>
          <cell r="D1056">
            <v>480</v>
          </cell>
          <cell r="E1056">
            <v>14400</v>
          </cell>
          <cell r="F1056" t="str">
            <v>P05</v>
          </cell>
          <cell r="G1056" t="str">
            <v>Back panel - Ván hậu</v>
          </cell>
          <cell r="H1056" t="str">
            <v>MDF Veneer</v>
          </cell>
          <cell r="I1056">
            <v>30</v>
          </cell>
        </row>
        <row r="1057">
          <cell r="A1057" t="str">
            <v>B558400/A</v>
          </cell>
          <cell r="B1057" t="str">
            <v>SH346NM506</v>
          </cell>
          <cell r="C1057">
            <v>30</v>
          </cell>
          <cell r="D1057">
            <v>480</v>
          </cell>
          <cell r="E1057">
            <v>14400</v>
          </cell>
          <cell r="F1057" t="str">
            <v>P06</v>
          </cell>
          <cell r="G1057" t="str">
            <v>Bottom panel - Ván đáy</v>
          </cell>
          <cell r="H1057" t="str">
            <v>MDF Veneer</v>
          </cell>
          <cell r="I1057">
            <v>30</v>
          </cell>
        </row>
        <row r="1058">
          <cell r="A1058" t="str">
            <v>B558400/A</v>
          </cell>
          <cell r="B1058" t="str">
            <v>SH346NM506</v>
          </cell>
          <cell r="C1058">
            <v>30</v>
          </cell>
          <cell r="D1058">
            <v>480</v>
          </cell>
          <cell r="E1058">
            <v>14400</v>
          </cell>
          <cell r="F1058" t="str">
            <v>P07</v>
          </cell>
          <cell r="G1058" t="str">
            <v>Patching wood - Gỗ đắp</v>
          </cell>
          <cell r="H1058" t="str">
            <v>Wood US Poplar - Straight Edged, 2 COM - T38mm x W100mm Up x L1.8m Up</v>
          </cell>
          <cell r="I1058">
            <v>180</v>
          </cell>
        </row>
        <row r="1059">
          <cell r="A1059" t="str">
            <v>B558400/A</v>
          </cell>
          <cell r="B1059" t="str">
            <v>SH346NM506</v>
          </cell>
          <cell r="C1059">
            <v>30</v>
          </cell>
          <cell r="D1059">
            <v>480</v>
          </cell>
          <cell r="E1059">
            <v>14400</v>
          </cell>
          <cell r="F1059" t="str">
            <v>P08-1</v>
          </cell>
          <cell r="G1059" t="str">
            <v>Corner block - ke góc</v>
          </cell>
          <cell r="H1059" t="str">
            <v>Poplar off cut</v>
          </cell>
          <cell r="I1059">
            <v>120</v>
          </cell>
        </row>
        <row r="1060">
          <cell r="A1060" t="str">
            <v>B558400/A</v>
          </cell>
          <cell r="B1060" t="str">
            <v>SH346NM506</v>
          </cell>
          <cell r="C1060">
            <v>30</v>
          </cell>
          <cell r="D1060">
            <v>480</v>
          </cell>
          <cell r="E1060">
            <v>14400</v>
          </cell>
          <cell r="F1060" t="str">
            <v>P09</v>
          </cell>
          <cell r="G1060" t="str">
            <v>Back panel - Ván hậu</v>
          </cell>
          <cell r="H1060" t="str">
            <v>Cement Board - 18 x 1220 x 2440mm, Dark Grey</v>
          </cell>
          <cell r="I1060">
            <v>30</v>
          </cell>
        </row>
        <row r="1061">
          <cell r="A1061" t="str">
            <v>B558400/A</v>
          </cell>
          <cell r="B1061" t="str">
            <v>SH346NM506</v>
          </cell>
          <cell r="C1061">
            <v>30</v>
          </cell>
          <cell r="D1061">
            <v>480</v>
          </cell>
          <cell r="E1061">
            <v>14400</v>
          </cell>
          <cell r="F1061" t="str">
            <v>P10</v>
          </cell>
          <cell r="G1061" t="str">
            <v>Drawer stop - Dừng hộc</v>
          </cell>
          <cell r="H1061" t="str">
            <v>Poplar off cut</v>
          </cell>
          <cell r="I1061">
            <v>180</v>
          </cell>
        </row>
        <row r="1062">
          <cell r="A1062" t="str">
            <v>B558403/A</v>
          </cell>
          <cell r="B1062" t="str">
            <v>SH379M506</v>
          </cell>
          <cell r="C1062">
            <v>40</v>
          </cell>
          <cell r="D1062">
            <v>240.65</v>
          </cell>
          <cell r="E1062">
            <v>9626</v>
          </cell>
          <cell r="F1062" t="str">
            <v>A1</v>
          </cell>
          <cell r="G1062" t="str">
            <v>Top Frame - Khung nóc</v>
          </cell>
          <cell r="H1062" t="str">
            <v>Pre-Assembly</v>
          </cell>
          <cell r="I1062">
            <v>40</v>
          </cell>
        </row>
        <row r="1063">
          <cell r="A1063" t="str">
            <v>B558403/A</v>
          </cell>
          <cell r="B1063" t="str">
            <v>SH379M506</v>
          </cell>
          <cell r="C1063">
            <v>40</v>
          </cell>
          <cell r="D1063">
            <v>240.65</v>
          </cell>
          <cell r="E1063">
            <v>9626</v>
          </cell>
          <cell r="F1063" t="str">
            <v>A2</v>
          </cell>
          <cell r="G1063" t="str">
            <v>Side Frame - Khung hông</v>
          </cell>
          <cell r="H1063" t="str">
            <v>Pre-Assembly</v>
          </cell>
          <cell r="I1063">
            <v>80</v>
          </cell>
        </row>
        <row r="1064">
          <cell r="A1064" t="str">
            <v>B558403/A</v>
          </cell>
          <cell r="B1064" t="str">
            <v>SH379M506</v>
          </cell>
          <cell r="C1064">
            <v>40</v>
          </cell>
          <cell r="D1064">
            <v>240.65</v>
          </cell>
          <cell r="E1064">
            <v>9626</v>
          </cell>
          <cell r="F1064" t="str">
            <v>A2-S01</v>
          </cell>
          <cell r="G1064" t="str">
            <v>Front rail  - Đố tiền</v>
          </cell>
          <cell r="H1064" t="str">
            <v>Poplar 2 COM</v>
          </cell>
          <cell r="I1064">
            <v>80</v>
          </cell>
        </row>
        <row r="1065">
          <cell r="A1065" t="str">
            <v>B558403/A</v>
          </cell>
          <cell r="B1065" t="str">
            <v>SH379M506</v>
          </cell>
          <cell r="C1065">
            <v>40</v>
          </cell>
          <cell r="D1065">
            <v>240.65</v>
          </cell>
          <cell r="E1065">
            <v>9626</v>
          </cell>
          <cell r="F1065" t="str">
            <v>A2-S02</v>
          </cell>
          <cell r="G1065" t="str">
            <v>Front rail  - Đố tiền</v>
          </cell>
          <cell r="H1065" t="str">
            <v>Poplar 2 COM</v>
          </cell>
          <cell r="I1065">
            <v>80</v>
          </cell>
        </row>
        <row r="1066">
          <cell r="A1066" t="str">
            <v>B558403/A</v>
          </cell>
          <cell r="B1066" t="str">
            <v>SH379M506</v>
          </cell>
          <cell r="C1066">
            <v>40</v>
          </cell>
          <cell r="D1066">
            <v>240.65</v>
          </cell>
          <cell r="E1066">
            <v>9626</v>
          </cell>
          <cell r="F1066" t="str">
            <v>A2-S03</v>
          </cell>
          <cell r="G1066" t="str">
            <v xml:space="preserve">Side panel  - Ván hông </v>
          </cell>
          <cell r="H1066" t="str">
            <v>MDF Veneer</v>
          </cell>
          <cell r="I1066">
            <v>80</v>
          </cell>
        </row>
        <row r="1067">
          <cell r="A1067" t="str">
            <v>B558403/A</v>
          </cell>
          <cell r="B1067" t="str">
            <v>SH379M506</v>
          </cell>
          <cell r="C1067">
            <v>40</v>
          </cell>
          <cell r="D1067">
            <v>240.65</v>
          </cell>
          <cell r="E1067">
            <v>9626</v>
          </cell>
          <cell r="F1067" t="str">
            <v>A2-S04</v>
          </cell>
          <cell r="G1067" t="str">
            <v>Bottom rail inside - Đố tiền đáy</v>
          </cell>
          <cell r="H1067" t="str">
            <v>Poplar 2 COM</v>
          </cell>
          <cell r="I1067">
            <v>80</v>
          </cell>
        </row>
        <row r="1068">
          <cell r="A1068" t="str">
            <v>B558403/A</v>
          </cell>
          <cell r="B1068" t="str">
            <v>SH379M506</v>
          </cell>
          <cell r="C1068">
            <v>40</v>
          </cell>
          <cell r="D1068">
            <v>240.65</v>
          </cell>
          <cell r="E1068">
            <v>9626</v>
          </cell>
          <cell r="F1068" t="str">
            <v>A3-S01</v>
          </cell>
          <cell r="G1068" t="str">
            <v xml:space="preserve">Drawer front - Mặt hộc kéo </v>
          </cell>
          <cell r="H1068" t="str">
            <v>MDF Veneer</v>
          </cell>
          <cell r="I1068">
            <v>80</v>
          </cell>
        </row>
        <row r="1069">
          <cell r="A1069" t="str">
            <v>B558403/A</v>
          </cell>
          <cell r="B1069" t="str">
            <v>SH379M506</v>
          </cell>
          <cell r="C1069">
            <v>40</v>
          </cell>
          <cell r="D1069">
            <v>240.65</v>
          </cell>
          <cell r="E1069">
            <v>9626</v>
          </cell>
          <cell r="F1069" t="str">
            <v>A3-S02</v>
          </cell>
          <cell r="G1069" t="str">
            <v>Drawer side - Hông hộc kéo</v>
          </cell>
          <cell r="H1069" t="str">
            <v>Wd+VN</v>
          </cell>
          <cell r="I1069">
            <v>160</v>
          </cell>
        </row>
        <row r="1070">
          <cell r="A1070" t="str">
            <v>B558403/A</v>
          </cell>
          <cell r="B1070" t="str">
            <v>SH379M506</v>
          </cell>
          <cell r="C1070">
            <v>40</v>
          </cell>
          <cell r="D1070">
            <v>240.65</v>
          </cell>
          <cell r="E1070">
            <v>9626</v>
          </cell>
          <cell r="F1070" t="str">
            <v>A3-S03</v>
          </cell>
          <cell r="G1070" t="str">
            <v>Drawer back - Hậu hộc kéo</v>
          </cell>
          <cell r="H1070" t="str">
            <v>Wd+VN</v>
          </cell>
          <cell r="I1070">
            <v>80</v>
          </cell>
        </row>
        <row r="1071">
          <cell r="A1071" t="str">
            <v>B558403/A</v>
          </cell>
          <cell r="B1071" t="str">
            <v>SH379M506</v>
          </cell>
          <cell r="C1071">
            <v>40</v>
          </cell>
          <cell r="D1071">
            <v>240.65</v>
          </cell>
          <cell r="E1071">
            <v>9626</v>
          </cell>
          <cell r="F1071" t="str">
            <v>A3-S03-1</v>
          </cell>
          <cell r="G1071" t="str">
            <v xml:space="preserve">Drawer front 1 - Mặt hộc kéo </v>
          </cell>
          <cell r="H1071" t="str">
            <v>Wd+VN</v>
          </cell>
          <cell r="I1071">
            <v>80</v>
          </cell>
        </row>
        <row r="1072">
          <cell r="A1072" t="str">
            <v>B558403/A</v>
          </cell>
          <cell r="B1072" t="str">
            <v>SH379M506</v>
          </cell>
          <cell r="C1072">
            <v>40</v>
          </cell>
          <cell r="D1072">
            <v>240.65</v>
          </cell>
          <cell r="E1072">
            <v>9626</v>
          </cell>
          <cell r="F1072" t="str">
            <v>A3-S04</v>
          </cell>
          <cell r="G1072" t="str">
            <v>Drawer bottom  - Đáy hộc kéo</v>
          </cell>
          <cell r="H1072" t="str">
            <v>MDF Veneer</v>
          </cell>
          <cell r="I1072">
            <v>80</v>
          </cell>
        </row>
        <row r="1073">
          <cell r="A1073" t="str">
            <v>B558403/A</v>
          </cell>
          <cell r="B1073" t="str">
            <v>SH379M506</v>
          </cell>
          <cell r="C1073">
            <v>40</v>
          </cell>
          <cell r="D1073">
            <v>240.65</v>
          </cell>
          <cell r="E1073">
            <v>9626</v>
          </cell>
          <cell r="F1073" t="str">
            <v>P01</v>
          </cell>
          <cell r="G1073" t="str">
            <v>Front rail  - Đố tiền</v>
          </cell>
          <cell r="H1073" t="str">
            <v>Wood US Poplar - Straight Edged, 2 COM - T25mm x W100mm Up x L1.8m Up</v>
          </cell>
          <cell r="I1073">
            <v>40</v>
          </cell>
        </row>
        <row r="1074">
          <cell r="A1074" t="str">
            <v>B558403/A</v>
          </cell>
          <cell r="B1074" t="str">
            <v>SH379M506</v>
          </cell>
          <cell r="C1074">
            <v>40</v>
          </cell>
          <cell r="D1074">
            <v>240.65</v>
          </cell>
          <cell r="E1074">
            <v>9626</v>
          </cell>
          <cell r="F1074" t="str">
            <v>P01-1</v>
          </cell>
          <cell r="G1074" t="str">
            <v>Front rail  - Đố tiền</v>
          </cell>
          <cell r="H1074" t="str">
            <v>Wood US Poplar - Straight Edged, 2 COM - T25mm x W100mm Up x L1.8m Up</v>
          </cell>
          <cell r="I1074">
            <v>40</v>
          </cell>
        </row>
        <row r="1075">
          <cell r="A1075" t="str">
            <v>B558403/A</v>
          </cell>
          <cell r="B1075" t="str">
            <v>SH379M506</v>
          </cell>
          <cell r="C1075">
            <v>40</v>
          </cell>
          <cell r="D1075">
            <v>240.65</v>
          </cell>
          <cell r="E1075">
            <v>9626</v>
          </cell>
          <cell r="F1075" t="str">
            <v>P02</v>
          </cell>
          <cell r="G1075" t="str">
            <v>Drawer stop - Dừng hộc</v>
          </cell>
          <cell r="H1075" t="str">
            <v>Plywood off cut</v>
          </cell>
          <cell r="I1075">
            <v>160</v>
          </cell>
        </row>
        <row r="1076">
          <cell r="A1076" t="str">
            <v>B558403/A</v>
          </cell>
          <cell r="B1076" t="str">
            <v>SH379M506</v>
          </cell>
          <cell r="C1076">
            <v>40</v>
          </cell>
          <cell r="D1076">
            <v>240.65</v>
          </cell>
          <cell r="E1076">
            <v>9626</v>
          </cell>
          <cell r="F1076" t="str">
            <v>P03</v>
          </cell>
          <cell r="G1076" t="str">
            <v>Front rail  - Đố tiền</v>
          </cell>
          <cell r="H1076" t="str">
            <v>Wood US Poplar - Straight Edged, 2 COM - T25mm x W100mm Up x L1.8m Up</v>
          </cell>
          <cell r="I1076">
            <v>40</v>
          </cell>
        </row>
        <row r="1077">
          <cell r="A1077" t="str">
            <v>B558403/A</v>
          </cell>
          <cell r="B1077" t="str">
            <v>SH379M506</v>
          </cell>
          <cell r="C1077">
            <v>40</v>
          </cell>
          <cell r="D1077">
            <v>240.65</v>
          </cell>
          <cell r="E1077">
            <v>9626</v>
          </cell>
          <cell r="F1077" t="str">
            <v>P04</v>
          </cell>
          <cell r="G1077" t="str">
            <v>back rail - Đố hậu</v>
          </cell>
          <cell r="H1077" t="str">
            <v>Wood US Poplar - Straight Edged, 2 COM - T25mm x W100mm Up x L1.8m Up</v>
          </cell>
          <cell r="I1077">
            <v>80</v>
          </cell>
        </row>
        <row r="1078">
          <cell r="A1078" t="str">
            <v>B558403/A</v>
          </cell>
          <cell r="B1078" t="str">
            <v>SH379M506</v>
          </cell>
          <cell r="C1078">
            <v>40</v>
          </cell>
          <cell r="D1078">
            <v>240.65</v>
          </cell>
          <cell r="E1078">
            <v>9626</v>
          </cell>
          <cell r="F1078" t="str">
            <v>P05</v>
          </cell>
          <cell r="G1078" t="str">
            <v>Back panel - Ván hậu</v>
          </cell>
          <cell r="H1078" t="str">
            <v>MDF Veneer</v>
          </cell>
          <cell r="I1078">
            <v>40</v>
          </cell>
        </row>
        <row r="1079">
          <cell r="A1079" t="str">
            <v>B558403/A</v>
          </cell>
          <cell r="B1079" t="str">
            <v>SH379M506</v>
          </cell>
          <cell r="C1079">
            <v>40</v>
          </cell>
          <cell r="D1079">
            <v>240.65</v>
          </cell>
          <cell r="E1079">
            <v>9626</v>
          </cell>
          <cell r="F1079" t="str">
            <v>P06</v>
          </cell>
          <cell r="G1079" t="str">
            <v>Bottom panel - Ván đáy</v>
          </cell>
          <cell r="H1079" t="str">
            <v>MDF Veneer</v>
          </cell>
          <cell r="I1079">
            <v>40</v>
          </cell>
        </row>
        <row r="1080">
          <cell r="A1080" t="str">
            <v>B558403/A</v>
          </cell>
          <cell r="B1080" t="str">
            <v>SH379M506</v>
          </cell>
          <cell r="C1080">
            <v>40</v>
          </cell>
          <cell r="D1080">
            <v>240.65</v>
          </cell>
          <cell r="E1080">
            <v>9626</v>
          </cell>
          <cell r="F1080" t="str">
            <v>P07</v>
          </cell>
          <cell r="G1080" t="str">
            <v>Patching wood - Gỗ đắp</v>
          </cell>
          <cell r="H1080" t="str">
            <v>Plywood lamilated</v>
          </cell>
          <cell r="I1080">
            <v>160</v>
          </cell>
        </row>
        <row r="1081">
          <cell r="A1081" t="str">
            <v>B558403/A</v>
          </cell>
          <cell r="B1081" t="str">
            <v>SH379M506</v>
          </cell>
          <cell r="C1081">
            <v>40</v>
          </cell>
          <cell r="D1081">
            <v>240.65</v>
          </cell>
          <cell r="E1081">
            <v>9626</v>
          </cell>
          <cell r="F1081" t="str">
            <v>P08-1</v>
          </cell>
          <cell r="G1081" t="str">
            <v>Corner block - ke góc</v>
          </cell>
          <cell r="H1081" t="str">
            <v>Poplar off cut</v>
          </cell>
          <cell r="I1081">
            <v>80</v>
          </cell>
        </row>
        <row r="1082">
          <cell r="A1082" t="str">
            <v>B558404/A</v>
          </cell>
          <cell r="B1082" t="str">
            <v>SH379M506</v>
          </cell>
          <cell r="C1082">
            <v>30</v>
          </cell>
          <cell r="D1082">
            <v>240.65</v>
          </cell>
          <cell r="E1082">
            <v>7219.5</v>
          </cell>
          <cell r="F1082" t="str">
            <v>A1</v>
          </cell>
          <cell r="G1082" t="str">
            <v>Top Frame - Khung nóc</v>
          </cell>
          <cell r="H1082" t="str">
            <v>Pre-Assembly</v>
          </cell>
          <cell r="I1082">
            <v>30</v>
          </cell>
        </row>
        <row r="1083">
          <cell r="A1083" t="str">
            <v>B558404/A</v>
          </cell>
          <cell r="B1083" t="str">
            <v>SH379M506</v>
          </cell>
          <cell r="C1083">
            <v>30</v>
          </cell>
          <cell r="D1083">
            <v>240.65</v>
          </cell>
          <cell r="E1083">
            <v>7219.5</v>
          </cell>
          <cell r="F1083" t="str">
            <v>A2</v>
          </cell>
          <cell r="G1083" t="str">
            <v>Side Frame - Khung hông</v>
          </cell>
          <cell r="H1083" t="str">
            <v>Pre-Assembly</v>
          </cell>
          <cell r="I1083">
            <v>60</v>
          </cell>
        </row>
        <row r="1084">
          <cell r="A1084" t="str">
            <v>B558404/A</v>
          </cell>
          <cell r="B1084" t="str">
            <v>SH379M506</v>
          </cell>
          <cell r="C1084">
            <v>30</v>
          </cell>
          <cell r="D1084">
            <v>240.65</v>
          </cell>
          <cell r="E1084">
            <v>7219.5</v>
          </cell>
          <cell r="F1084" t="str">
            <v>A2-S01</v>
          </cell>
          <cell r="G1084" t="str">
            <v>Front rail  - Đố tiền</v>
          </cell>
          <cell r="H1084" t="str">
            <v>Poplar 2 COM</v>
          </cell>
          <cell r="I1084">
            <v>60</v>
          </cell>
        </row>
        <row r="1085">
          <cell r="A1085" t="str">
            <v>B558404/A</v>
          </cell>
          <cell r="B1085" t="str">
            <v>SH379M506</v>
          </cell>
          <cell r="C1085">
            <v>30</v>
          </cell>
          <cell r="D1085">
            <v>240.65</v>
          </cell>
          <cell r="E1085">
            <v>7219.5</v>
          </cell>
          <cell r="F1085" t="str">
            <v>A2-S02</v>
          </cell>
          <cell r="G1085" t="str">
            <v>Front rail  - Đố tiền</v>
          </cell>
          <cell r="H1085" t="str">
            <v>Poplar 2 COM</v>
          </cell>
          <cell r="I1085">
            <v>60</v>
          </cell>
        </row>
        <row r="1086">
          <cell r="A1086" t="str">
            <v>B558404/A</v>
          </cell>
          <cell r="B1086" t="str">
            <v>SH379M506</v>
          </cell>
          <cell r="C1086">
            <v>30</v>
          </cell>
          <cell r="D1086">
            <v>240.65</v>
          </cell>
          <cell r="E1086">
            <v>7219.5</v>
          </cell>
          <cell r="F1086" t="str">
            <v>A2-S03</v>
          </cell>
          <cell r="G1086" t="str">
            <v xml:space="preserve">Side panel  - Ván hông </v>
          </cell>
          <cell r="H1086" t="str">
            <v>MDF Veneer</v>
          </cell>
          <cell r="I1086">
            <v>60</v>
          </cell>
        </row>
        <row r="1087">
          <cell r="A1087" t="str">
            <v>B558404/A</v>
          </cell>
          <cell r="B1087" t="str">
            <v>SH379M506</v>
          </cell>
          <cell r="C1087">
            <v>30</v>
          </cell>
          <cell r="D1087">
            <v>240.65</v>
          </cell>
          <cell r="E1087">
            <v>7219.5</v>
          </cell>
          <cell r="F1087" t="str">
            <v>A2-S04</v>
          </cell>
          <cell r="G1087" t="str">
            <v>Bottom rail inside - Đố tiền đáy</v>
          </cell>
          <cell r="H1087" t="str">
            <v>Poplar 2 COM</v>
          </cell>
          <cell r="I1087">
            <v>60</v>
          </cell>
        </row>
        <row r="1088">
          <cell r="A1088" t="str">
            <v>B558404/A</v>
          </cell>
          <cell r="B1088" t="str">
            <v>SH379M506</v>
          </cell>
          <cell r="C1088">
            <v>30</v>
          </cell>
          <cell r="D1088">
            <v>240.65</v>
          </cell>
          <cell r="E1088">
            <v>7219.5</v>
          </cell>
          <cell r="F1088" t="str">
            <v>A3-S01</v>
          </cell>
          <cell r="G1088" t="str">
            <v xml:space="preserve">Drawer front - Mặt hộc kéo </v>
          </cell>
          <cell r="H1088" t="str">
            <v>MDF Veneer</v>
          </cell>
          <cell r="I1088">
            <v>60</v>
          </cell>
        </row>
        <row r="1089">
          <cell r="A1089" t="str">
            <v>B558404/A</v>
          </cell>
          <cell r="B1089" t="str">
            <v>SH379M506</v>
          </cell>
          <cell r="C1089">
            <v>30</v>
          </cell>
          <cell r="D1089">
            <v>240.65</v>
          </cell>
          <cell r="E1089">
            <v>7219.5</v>
          </cell>
          <cell r="F1089" t="str">
            <v>A3-S02</v>
          </cell>
          <cell r="G1089" t="str">
            <v>Drawer side - Hông hộc kéo</v>
          </cell>
          <cell r="H1089" t="str">
            <v>Wd+VN</v>
          </cell>
          <cell r="I1089">
            <v>120</v>
          </cell>
        </row>
        <row r="1090">
          <cell r="A1090" t="str">
            <v>B558404/A</v>
          </cell>
          <cell r="B1090" t="str">
            <v>SH379M506</v>
          </cell>
          <cell r="C1090">
            <v>30</v>
          </cell>
          <cell r="D1090">
            <v>240.65</v>
          </cell>
          <cell r="E1090">
            <v>7219.5</v>
          </cell>
          <cell r="F1090" t="str">
            <v>A3-S03</v>
          </cell>
          <cell r="G1090" t="str">
            <v>Drawer back - Hậu hộc kéo</v>
          </cell>
          <cell r="H1090" t="str">
            <v>Wd+VN</v>
          </cell>
          <cell r="I1090">
            <v>60</v>
          </cell>
        </row>
        <row r="1091">
          <cell r="A1091" t="str">
            <v>B558404/A</v>
          </cell>
          <cell r="B1091" t="str">
            <v>SH379M506</v>
          </cell>
          <cell r="C1091">
            <v>30</v>
          </cell>
          <cell r="D1091">
            <v>240.65</v>
          </cell>
          <cell r="E1091">
            <v>7219.5</v>
          </cell>
          <cell r="F1091" t="str">
            <v>A3-S03-1</v>
          </cell>
          <cell r="G1091" t="str">
            <v xml:space="preserve">Drawer front 1 - Mặt hộc kéo </v>
          </cell>
          <cell r="H1091" t="str">
            <v>Wd+VN</v>
          </cell>
          <cell r="I1091">
            <v>60</v>
          </cell>
        </row>
        <row r="1092">
          <cell r="A1092" t="str">
            <v>B558404/A</v>
          </cell>
          <cell r="B1092" t="str">
            <v>SH379M506</v>
          </cell>
          <cell r="C1092">
            <v>30</v>
          </cell>
          <cell r="D1092">
            <v>240.65</v>
          </cell>
          <cell r="E1092">
            <v>7219.5</v>
          </cell>
          <cell r="F1092" t="str">
            <v>A3-S04</v>
          </cell>
          <cell r="G1092" t="str">
            <v>Drawer bottom  - Đáy hộc kéo</v>
          </cell>
          <cell r="H1092" t="str">
            <v>MDF Veneer</v>
          </cell>
          <cell r="I1092">
            <v>60</v>
          </cell>
        </row>
        <row r="1093">
          <cell r="A1093" t="str">
            <v>B558404/A</v>
          </cell>
          <cell r="B1093" t="str">
            <v>SH379M506</v>
          </cell>
          <cell r="C1093">
            <v>30</v>
          </cell>
          <cell r="D1093">
            <v>240.65</v>
          </cell>
          <cell r="E1093">
            <v>7219.5</v>
          </cell>
          <cell r="F1093" t="str">
            <v>P01</v>
          </cell>
          <cell r="G1093" t="str">
            <v>Front rail  - Đố tiền</v>
          </cell>
          <cell r="H1093" t="str">
            <v>Wood US Poplar - Straight Edged, 2 COM - T25mm x W100mm Up x L1.8m Up</v>
          </cell>
          <cell r="I1093">
            <v>30</v>
          </cell>
        </row>
        <row r="1094">
          <cell r="A1094" t="str">
            <v>B558404/A</v>
          </cell>
          <cell r="B1094" t="str">
            <v>SH379M506</v>
          </cell>
          <cell r="C1094">
            <v>30</v>
          </cell>
          <cell r="D1094">
            <v>240.65</v>
          </cell>
          <cell r="E1094">
            <v>7219.5</v>
          </cell>
          <cell r="F1094" t="str">
            <v>P01-1</v>
          </cell>
          <cell r="G1094" t="str">
            <v>Front rail  - Đố tiền</v>
          </cell>
          <cell r="H1094" t="str">
            <v>Wood US Poplar - Straight Edged, 2 COM - T25mm x W100mm Up x L1.8m Up</v>
          </cell>
          <cell r="I1094">
            <v>30</v>
          </cell>
        </row>
        <row r="1095">
          <cell r="A1095" t="str">
            <v>B558404/A</v>
          </cell>
          <cell r="B1095" t="str">
            <v>SH379M506</v>
          </cell>
          <cell r="C1095">
            <v>30</v>
          </cell>
          <cell r="D1095">
            <v>240.65</v>
          </cell>
          <cell r="E1095">
            <v>7219.5</v>
          </cell>
          <cell r="F1095" t="str">
            <v>P02</v>
          </cell>
          <cell r="G1095" t="str">
            <v>Drawer stop - Dừng hộc</v>
          </cell>
          <cell r="H1095" t="str">
            <v>Plywood off cut</v>
          </cell>
          <cell r="I1095">
            <v>120</v>
          </cell>
        </row>
        <row r="1096">
          <cell r="A1096" t="str">
            <v>B558404/A</v>
          </cell>
          <cell r="B1096" t="str">
            <v>SH379M506</v>
          </cell>
          <cell r="C1096">
            <v>30</v>
          </cell>
          <cell r="D1096">
            <v>240.65</v>
          </cell>
          <cell r="E1096">
            <v>7219.5</v>
          </cell>
          <cell r="F1096" t="str">
            <v>P03</v>
          </cell>
          <cell r="G1096" t="str">
            <v>Front rail  - Đố tiền</v>
          </cell>
          <cell r="H1096" t="str">
            <v>Wood US Poplar - Straight Edged, 2 COM - T25mm x W100mm Up x L1.8m Up</v>
          </cell>
          <cell r="I1096">
            <v>30</v>
          </cell>
        </row>
        <row r="1097">
          <cell r="A1097" t="str">
            <v>B558404/A</v>
          </cell>
          <cell r="B1097" t="str">
            <v>SH379M506</v>
          </cell>
          <cell r="C1097">
            <v>30</v>
          </cell>
          <cell r="D1097">
            <v>240.65</v>
          </cell>
          <cell r="E1097">
            <v>7219.5</v>
          </cell>
          <cell r="F1097" t="str">
            <v>P04</v>
          </cell>
          <cell r="G1097" t="str">
            <v>back rail - Đố hậu</v>
          </cell>
          <cell r="H1097" t="str">
            <v>Wood US Poplar - Straight Edged, 2 COM - T25mm x W100mm Up x L1.8m Up</v>
          </cell>
          <cell r="I1097">
            <v>60</v>
          </cell>
        </row>
        <row r="1098">
          <cell r="A1098" t="str">
            <v>B558404/A</v>
          </cell>
          <cell r="B1098" t="str">
            <v>SH379M506</v>
          </cell>
          <cell r="C1098">
            <v>30</v>
          </cell>
          <cell r="D1098">
            <v>240.65</v>
          </cell>
          <cell r="E1098">
            <v>7219.5</v>
          </cell>
          <cell r="F1098" t="str">
            <v>P05</v>
          </cell>
          <cell r="G1098" t="str">
            <v>Back panel - Ván hậu</v>
          </cell>
          <cell r="H1098" t="str">
            <v>MDF Veneer</v>
          </cell>
          <cell r="I1098">
            <v>30</v>
          </cell>
        </row>
        <row r="1099">
          <cell r="A1099" t="str">
            <v>B558404/A</v>
          </cell>
          <cell r="B1099" t="str">
            <v>SH379M506</v>
          </cell>
          <cell r="C1099">
            <v>30</v>
          </cell>
          <cell r="D1099">
            <v>240.65</v>
          </cell>
          <cell r="E1099">
            <v>7219.5</v>
          </cell>
          <cell r="F1099" t="str">
            <v>P06</v>
          </cell>
          <cell r="G1099" t="str">
            <v>Bottom panel - Ván đáy</v>
          </cell>
          <cell r="H1099" t="str">
            <v>MDF Veneer</v>
          </cell>
          <cell r="I1099">
            <v>30</v>
          </cell>
        </row>
        <row r="1100">
          <cell r="A1100" t="str">
            <v>B558404/A</v>
          </cell>
          <cell r="B1100" t="str">
            <v>SH379M506</v>
          </cell>
          <cell r="C1100">
            <v>30</v>
          </cell>
          <cell r="D1100">
            <v>240.65</v>
          </cell>
          <cell r="E1100">
            <v>7219.5</v>
          </cell>
          <cell r="F1100" t="str">
            <v>P07</v>
          </cell>
          <cell r="G1100" t="str">
            <v>Patching wood - Gỗ đắp</v>
          </cell>
          <cell r="H1100" t="str">
            <v>Plywood lamilated</v>
          </cell>
          <cell r="I1100">
            <v>120</v>
          </cell>
        </row>
        <row r="1101">
          <cell r="A1101" t="str">
            <v>B558404/A</v>
          </cell>
          <cell r="B1101" t="str">
            <v>SH379M506</v>
          </cell>
          <cell r="C1101">
            <v>30</v>
          </cell>
          <cell r="D1101">
            <v>240.65</v>
          </cell>
          <cell r="E1101">
            <v>7219.5</v>
          </cell>
          <cell r="F1101" t="str">
            <v>P08-1</v>
          </cell>
          <cell r="G1101" t="str">
            <v>Corner block - ke góc</v>
          </cell>
          <cell r="H1101" t="str">
            <v>Poplar off cut</v>
          </cell>
          <cell r="I1101">
            <v>60</v>
          </cell>
        </row>
        <row r="1102">
          <cell r="A1102" t="str">
            <v>B557209/A</v>
          </cell>
          <cell r="B1102" t="str">
            <v>SH402M521</v>
          </cell>
          <cell r="C1102">
            <v>50</v>
          </cell>
          <cell r="D1102">
            <v>266</v>
          </cell>
          <cell r="E1102">
            <v>13300</v>
          </cell>
          <cell r="F1102" t="str">
            <v>A1-A</v>
          </cell>
          <cell r="G1102" t="str">
            <v xml:space="preserve">Drawer front - Mặt hộc kéo </v>
          </cell>
          <cell r="H1102" t="str">
            <v>Pre-Assembly</v>
          </cell>
          <cell r="I1102">
            <v>50</v>
          </cell>
        </row>
        <row r="1103">
          <cell r="A1103" t="str">
            <v>B557209/A</v>
          </cell>
          <cell r="B1103" t="str">
            <v>SH402M521</v>
          </cell>
          <cell r="C1103">
            <v>50</v>
          </cell>
          <cell r="D1103">
            <v>266</v>
          </cell>
          <cell r="E1103">
            <v>13300</v>
          </cell>
          <cell r="F1103" t="str">
            <v>A1-A-3</v>
          </cell>
          <cell r="G1103" t="str">
            <v xml:space="preserve">Panel - Ván </v>
          </cell>
          <cell r="H1103" t="str">
            <v>Pre-Assembly</v>
          </cell>
          <cell r="I1103">
            <v>50</v>
          </cell>
        </row>
        <row r="1104">
          <cell r="A1104" t="str">
            <v>B557209/A</v>
          </cell>
          <cell r="B1104" t="str">
            <v>SH402M521</v>
          </cell>
          <cell r="C1104">
            <v>50</v>
          </cell>
          <cell r="D1104">
            <v>266</v>
          </cell>
          <cell r="E1104">
            <v>13300</v>
          </cell>
          <cell r="F1104" t="str">
            <v>A1-S01</v>
          </cell>
          <cell r="G1104" t="str">
            <v xml:space="preserve">Drawer front - Mặt hộc kéo </v>
          </cell>
          <cell r="H1104" t="str">
            <v>Pre-Assembly</v>
          </cell>
          <cell r="I1104">
            <v>50</v>
          </cell>
        </row>
        <row r="1105">
          <cell r="A1105" t="str">
            <v>B557209/A</v>
          </cell>
          <cell r="B1105" t="str">
            <v>SH402M521</v>
          </cell>
          <cell r="C1105">
            <v>50</v>
          </cell>
          <cell r="D1105">
            <v>266</v>
          </cell>
          <cell r="E1105">
            <v>13300</v>
          </cell>
          <cell r="F1105" t="str">
            <v>A1-S02</v>
          </cell>
          <cell r="G1105" t="str">
            <v>Drawer side - Hông hộc kéo</v>
          </cell>
          <cell r="H1105" t="str">
            <v>Wd+VN</v>
          </cell>
          <cell r="I1105">
            <v>100</v>
          </cell>
        </row>
        <row r="1106">
          <cell r="A1106" t="str">
            <v>B557209/A</v>
          </cell>
          <cell r="B1106" t="str">
            <v>SH402M521</v>
          </cell>
          <cell r="C1106">
            <v>50</v>
          </cell>
          <cell r="D1106">
            <v>266</v>
          </cell>
          <cell r="E1106">
            <v>13300</v>
          </cell>
          <cell r="F1106" t="str">
            <v>A1-S03</v>
          </cell>
          <cell r="G1106" t="str">
            <v>Drawer back - Hậu hộc kéo</v>
          </cell>
          <cell r="H1106" t="str">
            <v>Wd+VN</v>
          </cell>
          <cell r="I1106">
            <v>50</v>
          </cell>
        </row>
        <row r="1107">
          <cell r="A1107" t="str">
            <v>B557209/A</v>
          </cell>
          <cell r="B1107" t="str">
            <v>SH402M521</v>
          </cell>
          <cell r="C1107">
            <v>50</v>
          </cell>
          <cell r="D1107">
            <v>266</v>
          </cell>
          <cell r="E1107">
            <v>13300</v>
          </cell>
          <cell r="F1107" t="str">
            <v>A1-S04</v>
          </cell>
          <cell r="G1107" t="str">
            <v>Drawer bottom  - Đáy hộc kéo</v>
          </cell>
          <cell r="H1107" t="str">
            <v>Pre-Assembly</v>
          </cell>
          <cell r="I1107">
            <v>100</v>
          </cell>
        </row>
        <row r="1108">
          <cell r="A1108" t="str">
            <v>B557209/A</v>
          </cell>
          <cell r="B1108" t="str">
            <v>SH402M521</v>
          </cell>
          <cell r="C1108">
            <v>50</v>
          </cell>
          <cell r="D1108">
            <v>266</v>
          </cell>
          <cell r="E1108">
            <v>13300</v>
          </cell>
          <cell r="F1108" t="str">
            <v>A1-S05</v>
          </cell>
          <cell r="G1108" t="str">
            <v>Patching wood - Gỗ đắp</v>
          </cell>
          <cell r="H1108" t="str">
            <v>Poplar off cut</v>
          </cell>
          <cell r="I1108">
            <v>200</v>
          </cell>
        </row>
        <row r="1109">
          <cell r="A1109" t="str">
            <v>B557209/A</v>
          </cell>
          <cell r="B1109" t="str">
            <v>SH402M521</v>
          </cell>
          <cell r="C1109">
            <v>50</v>
          </cell>
          <cell r="D1109">
            <v>266</v>
          </cell>
          <cell r="E1109">
            <v>13300</v>
          </cell>
          <cell r="F1109" t="str">
            <v>A2-S01</v>
          </cell>
          <cell r="G1109" t="str">
            <v xml:space="preserve">Drawer front - Mặt hộc kéo </v>
          </cell>
          <cell r="H1109" t="str">
            <v>Pre-Assembly</v>
          </cell>
          <cell r="I1109">
            <v>50</v>
          </cell>
        </row>
        <row r="1110">
          <cell r="A1110" t="str">
            <v>B557209/A</v>
          </cell>
          <cell r="B1110" t="str">
            <v>SH402M521</v>
          </cell>
          <cell r="C1110">
            <v>50</v>
          </cell>
          <cell r="D1110">
            <v>266</v>
          </cell>
          <cell r="E1110">
            <v>13300</v>
          </cell>
          <cell r="F1110" t="str">
            <v>A2-S02</v>
          </cell>
          <cell r="G1110" t="str">
            <v>Drawer side - Hông hộc kéo</v>
          </cell>
          <cell r="H1110" t="str">
            <v>Wd+VN</v>
          </cell>
          <cell r="I1110">
            <v>100</v>
          </cell>
        </row>
        <row r="1111">
          <cell r="A1111" t="str">
            <v>B557209/A</v>
          </cell>
          <cell r="B1111" t="str">
            <v>SH402M521</v>
          </cell>
          <cell r="C1111">
            <v>50</v>
          </cell>
          <cell r="D1111">
            <v>266</v>
          </cell>
          <cell r="E1111">
            <v>13300</v>
          </cell>
          <cell r="F1111" t="str">
            <v>A2-S03</v>
          </cell>
          <cell r="G1111" t="str">
            <v>Drawer back - Hậu hộc kéo</v>
          </cell>
          <cell r="H1111" t="str">
            <v>Wd+VN</v>
          </cell>
          <cell r="I1111">
            <v>50</v>
          </cell>
        </row>
        <row r="1112">
          <cell r="A1112" t="str">
            <v>B557209/A</v>
          </cell>
          <cell r="B1112" t="str">
            <v>SH402M521</v>
          </cell>
          <cell r="C1112">
            <v>50</v>
          </cell>
          <cell r="D1112">
            <v>266</v>
          </cell>
          <cell r="E1112">
            <v>13300</v>
          </cell>
          <cell r="F1112" t="str">
            <v>P01</v>
          </cell>
          <cell r="G1112" t="str">
            <v>under top plywood send sudcon - ván gửi NCC dán đá</v>
          </cell>
          <cell r="H1112" t="str">
            <v>Plywood LVD - 18 x 1220 x 2440mm, Bleached Poplar Veneer Both Sides [CARB P2 Compliant]</v>
          </cell>
          <cell r="I1112">
            <v>50</v>
          </cell>
        </row>
        <row r="1113">
          <cell r="A1113" t="str">
            <v>B557209/A</v>
          </cell>
          <cell r="B1113" t="str">
            <v>SH402M521</v>
          </cell>
          <cell r="C1113">
            <v>50</v>
          </cell>
          <cell r="D1113">
            <v>266</v>
          </cell>
          <cell r="E1113">
            <v>13300</v>
          </cell>
          <cell r="F1113" t="str">
            <v>P02</v>
          </cell>
          <cell r="G1113" t="str">
            <v>Bottom panel - Ván đáy</v>
          </cell>
          <cell r="H1113" t="str">
            <v>MDF Veneer</v>
          </cell>
          <cell r="I1113">
            <v>50</v>
          </cell>
        </row>
        <row r="1114">
          <cell r="A1114" t="str">
            <v>B557209/A</v>
          </cell>
          <cell r="B1114" t="str">
            <v>SH402M521</v>
          </cell>
          <cell r="C1114">
            <v>50</v>
          </cell>
          <cell r="D1114">
            <v>266</v>
          </cell>
          <cell r="E1114">
            <v>13300</v>
          </cell>
          <cell r="F1114" t="str">
            <v>P03</v>
          </cell>
          <cell r="G1114" t="str">
            <v xml:space="preserve">Side panel  - Ván hông </v>
          </cell>
          <cell r="H1114" t="str">
            <v>Pre-Assembly</v>
          </cell>
          <cell r="I1114">
            <v>100</v>
          </cell>
        </row>
        <row r="1115">
          <cell r="A1115" t="str">
            <v>B557209/A</v>
          </cell>
          <cell r="B1115" t="str">
            <v>SH402M521</v>
          </cell>
          <cell r="C1115">
            <v>50</v>
          </cell>
          <cell r="D1115">
            <v>266</v>
          </cell>
          <cell r="E1115">
            <v>13300</v>
          </cell>
          <cell r="F1115" t="str">
            <v>P03-1</v>
          </cell>
          <cell r="G1115" t="str">
            <v>Patching wood - Gỗ đắp</v>
          </cell>
          <cell r="H1115" t="str">
            <v>Wood Red Oak - Straight/Waving Edged, 1 COM - T25mm x W100mm Up x L1.8m Up</v>
          </cell>
          <cell r="I1115">
            <v>700</v>
          </cell>
        </row>
        <row r="1116">
          <cell r="A1116" t="str">
            <v>B557209/A</v>
          </cell>
          <cell r="B1116" t="str">
            <v>SH402M521</v>
          </cell>
          <cell r="C1116">
            <v>50</v>
          </cell>
          <cell r="D1116">
            <v>266</v>
          </cell>
          <cell r="E1116">
            <v>13300</v>
          </cell>
          <cell r="F1116" t="str">
            <v>P03-2</v>
          </cell>
          <cell r="G1116" t="str">
            <v>Patching wood - Gỗ đắp</v>
          </cell>
          <cell r="H1116" t="str">
            <v>Wood Red Oak - Straight/Waving Edged, 1 COM - T25mm x W100mm Up x L1.8m Up</v>
          </cell>
          <cell r="I1116">
            <v>150</v>
          </cell>
        </row>
        <row r="1117">
          <cell r="A1117" t="str">
            <v>B557209/A</v>
          </cell>
          <cell r="B1117" t="str">
            <v>SH402M521</v>
          </cell>
          <cell r="C1117">
            <v>50</v>
          </cell>
          <cell r="D1117">
            <v>266</v>
          </cell>
          <cell r="E1117">
            <v>13300</v>
          </cell>
          <cell r="F1117" t="str">
            <v>P03-3</v>
          </cell>
          <cell r="G1117" t="str">
            <v xml:space="preserve">Panel - Ván </v>
          </cell>
          <cell r="H1117" t="str">
            <v>Pre-Assembly</v>
          </cell>
          <cell r="I1117">
            <v>100</v>
          </cell>
        </row>
        <row r="1118">
          <cell r="A1118" t="str">
            <v>B557209/A</v>
          </cell>
          <cell r="B1118" t="str">
            <v>SH402M521</v>
          </cell>
          <cell r="C1118">
            <v>50</v>
          </cell>
          <cell r="D1118">
            <v>266</v>
          </cell>
          <cell r="E1118">
            <v>13300</v>
          </cell>
          <cell r="F1118" t="str">
            <v>P05</v>
          </cell>
          <cell r="G1118" t="str">
            <v>Spline - Lưỡi gà</v>
          </cell>
          <cell r="H1118" t="str">
            <v>Plywood LVD - 06 x 1220 x 2440mm, Bleached Poplar Veneer Both Sides [CARB P2 Compliant]</v>
          </cell>
          <cell r="I1118">
            <v>50</v>
          </cell>
        </row>
        <row r="1119">
          <cell r="A1119" t="str">
            <v>B557209/A</v>
          </cell>
          <cell r="B1119" t="str">
            <v>SH402M521</v>
          </cell>
          <cell r="C1119">
            <v>50</v>
          </cell>
          <cell r="D1119">
            <v>266</v>
          </cell>
          <cell r="E1119">
            <v>13300</v>
          </cell>
          <cell r="F1119" t="str">
            <v>P06</v>
          </cell>
          <cell r="G1119" t="str">
            <v>support Top - đỡ nóc</v>
          </cell>
          <cell r="H1119" t="str">
            <v>MDF Veneer</v>
          </cell>
          <cell r="I1119">
            <v>50</v>
          </cell>
        </row>
        <row r="1120">
          <cell r="A1120" t="str">
            <v>B557209/A</v>
          </cell>
          <cell r="B1120" t="str">
            <v>SH402M521</v>
          </cell>
          <cell r="C1120">
            <v>50</v>
          </cell>
          <cell r="D1120">
            <v>266</v>
          </cell>
          <cell r="E1120">
            <v>13300</v>
          </cell>
          <cell r="F1120" t="str">
            <v>P06-1</v>
          </cell>
          <cell r="G1120" t="str">
            <v>Bottom panel - Ván đáy</v>
          </cell>
          <cell r="H1120" t="str">
            <v>MDF Veneer</v>
          </cell>
          <cell r="I1120">
            <v>50</v>
          </cell>
        </row>
        <row r="1121">
          <cell r="A1121" t="str">
            <v>B557209/A</v>
          </cell>
          <cell r="B1121" t="str">
            <v>SH402M521</v>
          </cell>
          <cell r="C1121">
            <v>50</v>
          </cell>
          <cell r="D1121">
            <v>266</v>
          </cell>
          <cell r="E1121">
            <v>13300</v>
          </cell>
          <cell r="F1121" t="str">
            <v>P07</v>
          </cell>
          <cell r="G1121" t="str">
            <v xml:space="preserve">Side rail  - Đố hông </v>
          </cell>
          <cell r="H1121" t="str">
            <v>Wood Red Oak - Straight/Waving Edged, 2 COM - T25mm x W100mm Up x L1.5m Up</v>
          </cell>
          <cell r="I1121">
            <v>200</v>
          </cell>
        </row>
        <row r="1122">
          <cell r="A1122" t="str">
            <v>B557225/A</v>
          </cell>
          <cell r="B1122" t="str">
            <v>SH402M521</v>
          </cell>
          <cell r="C1122">
            <v>40</v>
          </cell>
          <cell r="D1122">
            <v>266</v>
          </cell>
          <cell r="E1122">
            <v>10640</v>
          </cell>
          <cell r="F1122" t="str">
            <v>A1-A</v>
          </cell>
          <cell r="G1122" t="str">
            <v xml:space="preserve">Drawer front - Mặt hộc kéo </v>
          </cell>
          <cell r="H1122" t="str">
            <v>Pre-Assembly</v>
          </cell>
          <cell r="I1122">
            <v>40</v>
          </cell>
        </row>
        <row r="1123">
          <cell r="A1123" t="str">
            <v>B557225/A</v>
          </cell>
          <cell r="B1123" t="str">
            <v>SH402M521</v>
          </cell>
          <cell r="C1123">
            <v>40</v>
          </cell>
          <cell r="D1123">
            <v>266</v>
          </cell>
          <cell r="E1123">
            <v>10640</v>
          </cell>
          <cell r="F1123" t="str">
            <v>A1-A-3</v>
          </cell>
          <cell r="G1123" t="str">
            <v xml:space="preserve">Panel - Ván </v>
          </cell>
          <cell r="H1123" t="str">
            <v>Pre-Assembly</v>
          </cell>
          <cell r="I1123">
            <v>40</v>
          </cell>
        </row>
        <row r="1124">
          <cell r="A1124" t="str">
            <v>B557225/A</v>
          </cell>
          <cell r="B1124" t="str">
            <v>SH402M521</v>
          </cell>
          <cell r="C1124">
            <v>40</v>
          </cell>
          <cell r="D1124">
            <v>266</v>
          </cell>
          <cell r="E1124">
            <v>10640</v>
          </cell>
          <cell r="F1124" t="str">
            <v>A1-S01</v>
          </cell>
          <cell r="G1124" t="str">
            <v xml:space="preserve">Drawer front - Mặt hộc kéo </v>
          </cell>
          <cell r="H1124" t="str">
            <v>Pre-Assembly</v>
          </cell>
          <cell r="I1124">
            <v>40</v>
          </cell>
        </row>
        <row r="1125">
          <cell r="A1125" t="str">
            <v>B557225/A</v>
          </cell>
          <cell r="B1125" t="str">
            <v>SH402M521</v>
          </cell>
          <cell r="C1125">
            <v>40</v>
          </cell>
          <cell r="D1125">
            <v>266</v>
          </cell>
          <cell r="E1125">
            <v>10640</v>
          </cell>
          <cell r="F1125" t="str">
            <v>A1-S02</v>
          </cell>
          <cell r="G1125" t="str">
            <v>Drawer side - Hông hộc kéo</v>
          </cell>
          <cell r="H1125" t="str">
            <v>Wd+VN</v>
          </cell>
          <cell r="I1125">
            <v>80</v>
          </cell>
        </row>
        <row r="1126">
          <cell r="A1126" t="str">
            <v>B557225/A</v>
          </cell>
          <cell r="B1126" t="str">
            <v>SH402M521</v>
          </cell>
          <cell r="C1126">
            <v>40</v>
          </cell>
          <cell r="D1126">
            <v>266</v>
          </cell>
          <cell r="E1126">
            <v>10640</v>
          </cell>
          <cell r="F1126" t="str">
            <v>A1-S03</v>
          </cell>
          <cell r="G1126" t="str">
            <v>Drawer back - Hậu hộc kéo</v>
          </cell>
          <cell r="H1126" t="str">
            <v>Wd+VN</v>
          </cell>
          <cell r="I1126">
            <v>40</v>
          </cell>
        </row>
        <row r="1127">
          <cell r="A1127" t="str">
            <v>B557225/A</v>
          </cell>
          <cell r="B1127" t="str">
            <v>SH402M521</v>
          </cell>
          <cell r="C1127">
            <v>40</v>
          </cell>
          <cell r="D1127">
            <v>266</v>
          </cell>
          <cell r="E1127">
            <v>10640</v>
          </cell>
          <cell r="F1127" t="str">
            <v>A1-S04</v>
          </cell>
          <cell r="G1127" t="str">
            <v>Drawer bottom  - Đáy hộc kéo</v>
          </cell>
          <cell r="H1127" t="str">
            <v>Pre-Assembly</v>
          </cell>
          <cell r="I1127">
            <v>80</v>
          </cell>
        </row>
        <row r="1128">
          <cell r="A1128" t="str">
            <v>B557225/A</v>
          </cell>
          <cell r="B1128" t="str">
            <v>SH402M521</v>
          </cell>
          <cell r="C1128">
            <v>40</v>
          </cell>
          <cell r="D1128">
            <v>266</v>
          </cell>
          <cell r="E1128">
            <v>10640</v>
          </cell>
          <cell r="F1128" t="str">
            <v>A1-S05</v>
          </cell>
          <cell r="G1128" t="str">
            <v>Patching wood - Gỗ đắp</v>
          </cell>
          <cell r="H1128" t="str">
            <v>Poplar off cut</v>
          </cell>
          <cell r="I1128">
            <v>160</v>
          </cell>
        </row>
        <row r="1129">
          <cell r="A1129" t="str">
            <v>B557225/A</v>
          </cell>
          <cell r="B1129" t="str">
            <v>SH402M521</v>
          </cell>
          <cell r="C1129">
            <v>40</v>
          </cell>
          <cell r="D1129">
            <v>266</v>
          </cell>
          <cell r="E1129">
            <v>10640</v>
          </cell>
          <cell r="F1129" t="str">
            <v>A2-S01</v>
          </cell>
          <cell r="G1129" t="str">
            <v xml:space="preserve">Drawer front - Mặt hộc kéo </v>
          </cell>
          <cell r="H1129" t="str">
            <v>Pre-Assembly</v>
          </cell>
          <cell r="I1129">
            <v>40</v>
          </cell>
        </row>
        <row r="1130">
          <cell r="A1130" t="str">
            <v>B557225/A</v>
          </cell>
          <cell r="B1130" t="str">
            <v>SH402M521</v>
          </cell>
          <cell r="C1130">
            <v>40</v>
          </cell>
          <cell r="D1130">
            <v>266</v>
          </cell>
          <cell r="E1130">
            <v>10640</v>
          </cell>
          <cell r="F1130" t="str">
            <v>A2-S02</v>
          </cell>
          <cell r="G1130" t="str">
            <v>Drawer side - Hông hộc kéo</v>
          </cell>
          <cell r="H1130" t="str">
            <v>Wd+VN</v>
          </cell>
          <cell r="I1130">
            <v>80</v>
          </cell>
        </row>
        <row r="1131">
          <cell r="A1131" t="str">
            <v>B557225/A</v>
          </cell>
          <cell r="B1131" t="str">
            <v>SH402M521</v>
          </cell>
          <cell r="C1131">
            <v>40</v>
          </cell>
          <cell r="D1131">
            <v>266</v>
          </cell>
          <cell r="E1131">
            <v>10640</v>
          </cell>
          <cell r="F1131" t="str">
            <v>A2-S03</v>
          </cell>
          <cell r="G1131" t="str">
            <v>Drawer back - Hậu hộc kéo</v>
          </cell>
          <cell r="H1131" t="str">
            <v>Wd+VN</v>
          </cell>
          <cell r="I1131">
            <v>40</v>
          </cell>
        </row>
        <row r="1132">
          <cell r="A1132" t="str">
            <v>B557225/A</v>
          </cell>
          <cell r="B1132" t="str">
            <v>SH402M521</v>
          </cell>
          <cell r="C1132">
            <v>40</v>
          </cell>
          <cell r="D1132">
            <v>266</v>
          </cell>
          <cell r="E1132">
            <v>10640</v>
          </cell>
          <cell r="F1132" t="str">
            <v>P01</v>
          </cell>
          <cell r="G1132" t="str">
            <v>under top plywood send sudcon - ván gửi NCC dán đá</v>
          </cell>
          <cell r="H1132" t="str">
            <v>Plywood LVD - 18 x 1220 x 2440mm, Bleached Poplar Veneer Both Sides [CARB P2 Compliant]</v>
          </cell>
          <cell r="I1132">
            <v>40</v>
          </cell>
        </row>
        <row r="1133">
          <cell r="A1133" t="str">
            <v>B557225/A</v>
          </cell>
          <cell r="B1133" t="str">
            <v>SH402M521</v>
          </cell>
          <cell r="C1133">
            <v>40</v>
          </cell>
          <cell r="D1133">
            <v>266</v>
          </cell>
          <cell r="E1133">
            <v>10640</v>
          </cell>
          <cell r="F1133" t="str">
            <v>P02</v>
          </cell>
          <cell r="G1133" t="str">
            <v>Bottom panel - Ván đáy</v>
          </cell>
          <cell r="H1133" t="str">
            <v>MDF Veneer</v>
          </cell>
          <cell r="I1133">
            <v>40</v>
          </cell>
        </row>
        <row r="1134">
          <cell r="A1134" t="str">
            <v>B557225/A</v>
          </cell>
          <cell r="B1134" t="str">
            <v>SH402M521</v>
          </cell>
          <cell r="C1134">
            <v>40</v>
          </cell>
          <cell r="D1134">
            <v>266</v>
          </cell>
          <cell r="E1134">
            <v>10640</v>
          </cell>
          <cell r="F1134" t="str">
            <v>P03</v>
          </cell>
          <cell r="G1134" t="str">
            <v xml:space="preserve">Side panel  - Ván hông </v>
          </cell>
          <cell r="H1134" t="str">
            <v>Pre-Assembly</v>
          </cell>
          <cell r="I1134">
            <v>80</v>
          </cell>
        </row>
        <row r="1135">
          <cell r="A1135" t="str">
            <v>B557225/A</v>
          </cell>
          <cell r="B1135" t="str">
            <v>SH402M521</v>
          </cell>
          <cell r="C1135">
            <v>40</v>
          </cell>
          <cell r="D1135">
            <v>266</v>
          </cell>
          <cell r="E1135">
            <v>10640</v>
          </cell>
          <cell r="F1135" t="str">
            <v>P03-1</v>
          </cell>
          <cell r="G1135" t="str">
            <v>Patching wood - Gỗ đắp</v>
          </cell>
          <cell r="H1135" t="str">
            <v>Wood Red Oak - Straight/Waving Edged, 1 COM - T25mm x W100mm Up x L1.8m Up</v>
          </cell>
          <cell r="I1135">
            <v>560</v>
          </cell>
        </row>
        <row r="1136">
          <cell r="A1136" t="str">
            <v>B557225/A</v>
          </cell>
          <cell r="B1136" t="str">
            <v>SH402M521</v>
          </cell>
          <cell r="C1136">
            <v>40</v>
          </cell>
          <cell r="D1136">
            <v>266</v>
          </cell>
          <cell r="E1136">
            <v>10640</v>
          </cell>
          <cell r="F1136" t="str">
            <v>P03-2</v>
          </cell>
          <cell r="G1136" t="str">
            <v>Patching wood - Gỗ đắp</v>
          </cell>
          <cell r="H1136" t="str">
            <v>Wood Red Oak - Straight/Waving Edged, 1 COM - T25mm x W100mm Up x L1.8m Up</v>
          </cell>
          <cell r="I1136">
            <v>120</v>
          </cell>
        </row>
        <row r="1137">
          <cell r="A1137" t="str">
            <v>B557225/A</v>
          </cell>
          <cell r="B1137" t="str">
            <v>SH402M521</v>
          </cell>
          <cell r="C1137">
            <v>40</v>
          </cell>
          <cell r="D1137">
            <v>266</v>
          </cell>
          <cell r="E1137">
            <v>10640</v>
          </cell>
          <cell r="F1137" t="str">
            <v>P03-3</v>
          </cell>
          <cell r="G1137" t="str">
            <v xml:space="preserve">Panel - Ván </v>
          </cell>
          <cell r="H1137" t="str">
            <v>Pre-Assembly</v>
          </cell>
          <cell r="I1137">
            <v>80</v>
          </cell>
        </row>
        <row r="1138">
          <cell r="A1138" t="str">
            <v>B557225/A</v>
          </cell>
          <cell r="B1138" t="str">
            <v>SH402M521</v>
          </cell>
          <cell r="C1138">
            <v>40</v>
          </cell>
          <cell r="D1138">
            <v>266</v>
          </cell>
          <cell r="E1138">
            <v>10640</v>
          </cell>
          <cell r="F1138" t="str">
            <v>P05</v>
          </cell>
          <cell r="G1138" t="str">
            <v>Spline - Lưỡi gà</v>
          </cell>
          <cell r="H1138" t="str">
            <v>Plywood LVD - 06 x 1220 x 2440mm, Bleached Poplar Veneer Both Sides [CARB P2 Compliant]</v>
          </cell>
          <cell r="I1138">
            <v>40</v>
          </cell>
        </row>
        <row r="1139">
          <cell r="A1139" t="str">
            <v>B557225/A</v>
          </cell>
          <cell r="B1139" t="str">
            <v>SH402M521</v>
          </cell>
          <cell r="C1139">
            <v>40</v>
          </cell>
          <cell r="D1139">
            <v>266</v>
          </cell>
          <cell r="E1139">
            <v>10640</v>
          </cell>
          <cell r="F1139" t="str">
            <v>P06</v>
          </cell>
          <cell r="G1139" t="str">
            <v>support Top - đỡ nóc</v>
          </cell>
          <cell r="H1139" t="str">
            <v>MDF Veneer</v>
          </cell>
          <cell r="I1139">
            <v>40</v>
          </cell>
        </row>
        <row r="1140">
          <cell r="A1140" t="str">
            <v>B557225/A</v>
          </cell>
          <cell r="B1140" t="str">
            <v>SH402M521</v>
          </cell>
          <cell r="C1140">
            <v>40</v>
          </cell>
          <cell r="D1140">
            <v>266</v>
          </cell>
          <cell r="E1140">
            <v>10640</v>
          </cell>
          <cell r="F1140" t="str">
            <v>P06-1</v>
          </cell>
          <cell r="G1140" t="str">
            <v>Bottom panel - Ván đáy</v>
          </cell>
          <cell r="H1140" t="str">
            <v>MDF Veneer</v>
          </cell>
          <cell r="I1140">
            <v>40</v>
          </cell>
        </row>
        <row r="1141">
          <cell r="A1141" t="str">
            <v>B557225/A</v>
          </cell>
          <cell r="B1141" t="str">
            <v>SH402M521</v>
          </cell>
          <cell r="C1141">
            <v>40</v>
          </cell>
          <cell r="D1141">
            <v>266</v>
          </cell>
          <cell r="E1141">
            <v>10640</v>
          </cell>
          <cell r="F1141" t="str">
            <v>P07</v>
          </cell>
          <cell r="G1141" t="str">
            <v xml:space="preserve">Side rail  - Đố hông </v>
          </cell>
          <cell r="H1141" t="str">
            <v>Wood Red Oak - Straight/Waving Edged, 2 COM - T25mm x W100mm Up x L1.5m Up</v>
          </cell>
          <cell r="I1141">
            <v>160</v>
          </cell>
        </row>
        <row r="1142">
          <cell r="A1142" t="str">
            <v>B558406/A</v>
          </cell>
          <cell r="B1142" t="str">
            <v>SH633M506</v>
          </cell>
          <cell r="C1142">
            <v>40</v>
          </cell>
          <cell r="D1142">
            <v>291.64999999999998</v>
          </cell>
          <cell r="E1142">
            <v>11666</v>
          </cell>
          <cell r="F1142" t="str">
            <v>P01</v>
          </cell>
          <cell r="G1142" t="str">
            <v xml:space="preserve">Top panel  - Ván nóc </v>
          </cell>
          <cell r="H1142" t="str">
            <v>MDF Veneer</v>
          </cell>
          <cell r="I1142">
            <v>40</v>
          </cell>
        </row>
        <row r="1143">
          <cell r="A1143" t="str">
            <v>B558406/A</v>
          </cell>
          <cell r="B1143" t="str">
            <v>SH633M506</v>
          </cell>
          <cell r="C1143">
            <v>40</v>
          </cell>
          <cell r="D1143">
            <v>291.64999999999998</v>
          </cell>
          <cell r="E1143">
            <v>11666</v>
          </cell>
          <cell r="F1143" t="str">
            <v>P02</v>
          </cell>
          <cell r="G1143" t="str">
            <v>Side Frame - Khung hông</v>
          </cell>
          <cell r="H1143" t="str">
            <v>Pre-Assembly</v>
          </cell>
          <cell r="I1143">
            <v>80</v>
          </cell>
        </row>
        <row r="1144">
          <cell r="A1144" t="str">
            <v>B558406/A</v>
          </cell>
          <cell r="B1144" t="str">
            <v>SH633M506</v>
          </cell>
          <cell r="C1144">
            <v>40</v>
          </cell>
          <cell r="D1144">
            <v>291.64999999999998</v>
          </cell>
          <cell r="E1144">
            <v>11666</v>
          </cell>
          <cell r="F1144" t="str">
            <v>P02-1</v>
          </cell>
          <cell r="G1144" t="str">
            <v xml:space="preserve">Side panel  - Ván hông </v>
          </cell>
          <cell r="H1144" t="str">
            <v>MDF laminate</v>
          </cell>
          <cell r="I1144">
            <v>80</v>
          </cell>
        </row>
        <row r="1145">
          <cell r="A1145" t="str">
            <v>B558406/A</v>
          </cell>
          <cell r="B1145" t="str">
            <v>SH633M506</v>
          </cell>
          <cell r="C1145">
            <v>40</v>
          </cell>
          <cell r="D1145">
            <v>291.64999999999998</v>
          </cell>
          <cell r="E1145">
            <v>11666</v>
          </cell>
          <cell r="F1145" t="str">
            <v>P02-2</v>
          </cell>
          <cell r="G1145" t="str">
            <v>Top rail - Đố nóc</v>
          </cell>
          <cell r="H1145" t="str">
            <v>Wood laminate</v>
          </cell>
          <cell r="I1145">
            <v>80</v>
          </cell>
        </row>
        <row r="1146">
          <cell r="A1146" t="str">
            <v>B558406/A</v>
          </cell>
          <cell r="B1146" t="str">
            <v>SH633M506</v>
          </cell>
          <cell r="C1146">
            <v>40</v>
          </cell>
          <cell r="D1146">
            <v>291.64999999999998</v>
          </cell>
          <cell r="E1146">
            <v>11666</v>
          </cell>
          <cell r="F1146" t="str">
            <v>P02-3</v>
          </cell>
          <cell r="G1146" t="str">
            <v>Patching wood - Gỗ đắp</v>
          </cell>
          <cell r="H1146" t="str">
            <v>Beech off cut</v>
          </cell>
          <cell r="I1146">
            <v>160</v>
          </cell>
        </row>
        <row r="1147">
          <cell r="A1147" t="str">
            <v>B558406/A</v>
          </cell>
          <cell r="B1147" t="str">
            <v>SH633M506</v>
          </cell>
          <cell r="C1147">
            <v>40</v>
          </cell>
          <cell r="D1147">
            <v>291.64999999999998</v>
          </cell>
          <cell r="E1147">
            <v>11666</v>
          </cell>
          <cell r="F1147" t="str">
            <v>P03</v>
          </cell>
          <cell r="G1147" t="str">
            <v>Spline - Lưỡi gà</v>
          </cell>
          <cell r="H1147" t="str">
            <v>Plywood LVD - 09 x 1220 x 2440mm, Bleached Poplar Veneer Both Sides [CARB P2 Compliant]</v>
          </cell>
          <cell r="I1147">
            <v>320</v>
          </cell>
        </row>
        <row r="1148">
          <cell r="A1148" t="str">
            <v>B558408/A</v>
          </cell>
          <cell r="B1148" t="str">
            <v>SH707NM506</v>
          </cell>
          <cell r="C1148">
            <v>25</v>
          </cell>
          <cell r="D1148">
            <v>663</v>
          </cell>
          <cell r="E1148">
            <v>16575</v>
          </cell>
          <cell r="F1148" t="str">
            <v>A1</v>
          </cell>
          <cell r="G1148" t="str">
            <v xml:space="preserve">Top panel  - Ván nóc </v>
          </cell>
          <cell r="H1148" t="str">
            <v>MDF laminate</v>
          </cell>
          <cell r="I1148">
            <v>25</v>
          </cell>
        </row>
        <row r="1149">
          <cell r="A1149" t="str">
            <v>B558408/A</v>
          </cell>
          <cell r="B1149" t="str">
            <v>SH707NM506</v>
          </cell>
          <cell r="C1149">
            <v>25</v>
          </cell>
          <cell r="D1149">
            <v>663</v>
          </cell>
          <cell r="E1149">
            <v>16575</v>
          </cell>
          <cell r="F1149" t="str">
            <v>A1-S01</v>
          </cell>
          <cell r="G1149" t="str">
            <v>MDF laminater - MDF ghép</v>
          </cell>
          <cell r="H1149" t="str">
            <v>MDF Veneer</v>
          </cell>
          <cell r="I1149">
            <v>25</v>
          </cell>
        </row>
        <row r="1150">
          <cell r="A1150" t="str">
            <v>B558408/A</v>
          </cell>
          <cell r="B1150" t="str">
            <v>SH707NM506</v>
          </cell>
          <cell r="C1150">
            <v>25</v>
          </cell>
          <cell r="D1150">
            <v>663</v>
          </cell>
          <cell r="E1150">
            <v>16575</v>
          </cell>
          <cell r="F1150" t="str">
            <v>A1-S02</v>
          </cell>
          <cell r="G1150" t="str">
            <v>MDF laminater - MDF ghép</v>
          </cell>
          <cell r="H1150" t="str">
            <v>MDF - 18 x 1830 x 2440mm [CARB P2 Compliant]</v>
          </cell>
          <cell r="I1150">
            <v>50</v>
          </cell>
        </row>
        <row r="1151">
          <cell r="A1151" t="str">
            <v>B558408/A</v>
          </cell>
          <cell r="B1151" t="str">
            <v>SH707NM506</v>
          </cell>
          <cell r="C1151">
            <v>25</v>
          </cell>
          <cell r="D1151">
            <v>663</v>
          </cell>
          <cell r="E1151">
            <v>16575</v>
          </cell>
          <cell r="F1151" t="str">
            <v>A1-S03</v>
          </cell>
          <cell r="G1151" t="str">
            <v>MDF laminater - MDF ghép</v>
          </cell>
          <cell r="H1151" t="str">
            <v>MDF - 18 x 1830 x 2440mm [CARB P2 Compliant]</v>
          </cell>
          <cell r="I1151">
            <v>50</v>
          </cell>
        </row>
        <row r="1152">
          <cell r="A1152" t="str">
            <v>B558408/A</v>
          </cell>
          <cell r="B1152" t="str">
            <v>SH707NM506</v>
          </cell>
          <cell r="C1152">
            <v>25</v>
          </cell>
          <cell r="D1152">
            <v>663</v>
          </cell>
          <cell r="E1152">
            <v>16575</v>
          </cell>
          <cell r="F1152" t="str">
            <v>A2-S0</v>
          </cell>
          <cell r="G1152" t="str">
            <v xml:space="preserve">Panel - Ván </v>
          </cell>
          <cell r="H1152" t="str">
            <v>MDF Veneer</v>
          </cell>
          <cell r="I1152">
            <v>25</v>
          </cell>
        </row>
        <row r="1153">
          <cell r="A1153" t="str">
            <v>B558408/A</v>
          </cell>
          <cell r="B1153" t="str">
            <v>SH707NM506</v>
          </cell>
          <cell r="C1153">
            <v>25</v>
          </cell>
          <cell r="D1153">
            <v>663</v>
          </cell>
          <cell r="E1153">
            <v>16575</v>
          </cell>
          <cell r="F1153" t="str">
            <v>A2-S01</v>
          </cell>
          <cell r="G1153" t="str">
            <v xml:space="preserve">Drawer front - Mặt hộc kéo </v>
          </cell>
          <cell r="H1153" t="str">
            <v>MDF Veneer</v>
          </cell>
          <cell r="I1153">
            <v>150</v>
          </cell>
        </row>
        <row r="1154">
          <cell r="A1154" t="str">
            <v>B558408/A</v>
          </cell>
          <cell r="B1154" t="str">
            <v>SH707NM506</v>
          </cell>
          <cell r="C1154">
            <v>25</v>
          </cell>
          <cell r="D1154">
            <v>663</v>
          </cell>
          <cell r="E1154">
            <v>16575</v>
          </cell>
          <cell r="F1154" t="str">
            <v>A2-S02</v>
          </cell>
          <cell r="G1154" t="str">
            <v xml:space="preserve">Drawer front 1 - Mặt hộc kéo </v>
          </cell>
          <cell r="H1154" t="str">
            <v>Wd+VN</v>
          </cell>
          <cell r="I1154">
            <v>150</v>
          </cell>
        </row>
        <row r="1155">
          <cell r="A1155" t="str">
            <v>B558408/A</v>
          </cell>
          <cell r="B1155" t="str">
            <v>SH707NM506</v>
          </cell>
          <cell r="C1155">
            <v>25</v>
          </cell>
          <cell r="D1155">
            <v>663</v>
          </cell>
          <cell r="E1155">
            <v>16575</v>
          </cell>
          <cell r="F1155" t="str">
            <v>A2-S03</v>
          </cell>
          <cell r="G1155" t="str">
            <v>Drawer side - Hông hộc kéo</v>
          </cell>
          <cell r="H1155" t="str">
            <v>Wd+VN</v>
          </cell>
          <cell r="I1155">
            <v>300</v>
          </cell>
        </row>
        <row r="1156">
          <cell r="A1156" t="str">
            <v>B558408/A</v>
          </cell>
          <cell r="B1156" t="str">
            <v>SH707NM506</v>
          </cell>
          <cell r="C1156">
            <v>25</v>
          </cell>
          <cell r="D1156">
            <v>663</v>
          </cell>
          <cell r="E1156">
            <v>16575</v>
          </cell>
          <cell r="F1156" t="str">
            <v>A2-S04</v>
          </cell>
          <cell r="G1156" t="str">
            <v>Drawer back - Hậu hộc kéo</v>
          </cell>
          <cell r="H1156" t="str">
            <v>Wd+VN</v>
          </cell>
          <cell r="I1156">
            <v>150</v>
          </cell>
        </row>
        <row r="1157">
          <cell r="A1157" t="str">
            <v>B558408/A</v>
          </cell>
          <cell r="B1157" t="str">
            <v>SH707NM506</v>
          </cell>
          <cell r="C1157">
            <v>25</v>
          </cell>
          <cell r="D1157">
            <v>663</v>
          </cell>
          <cell r="E1157">
            <v>16575</v>
          </cell>
          <cell r="F1157" t="str">
            <v>A2-S05</v>
          </cell>
          <cell r="G1157" t="str">
            <v>Drawer bottom  - Đáy hộc kéo</v>
          </cell>
          <cell r="H1157" t="str">
            <v>MDF Veneer</v>
          </cell>
          <cell r="I1157">
            <v>150</v>
          </cell>
        </row>
        <row r="1158">
          <cell r="A1158" t="str">
            <v>B558408/A</v>
          </cell>
          <cell r="B1158" t="str">
            <v>SH707NM506</v>
          </cell>
          <cell r="C1158">
            <v>25</v>
          </cell>
          <cell r="D1158">
            <v>663</v>
          </cell>
          <cell r="E1158">
            <v>16575</v>
          </cell>
          <cell r="F1158" t="str">
            <v>A2-S06</v>
          </cell>
          <cell r="G1158" t="str">
            <v>Insert Wood - Gỗ chèn</v>
          </cell>
          <cell r="H1158" t="str">
            <v>Poplar off cut</v>
          </cell>
          <cell r="I1158">
            <v>300</v>
          </cell>
        </row>
        <row r="1159">
          <cell r="A1159" t="str">
            <v>B558408/A</v>
          </cell>
          <cell r="B1159" t="str">
            <v>SH707NM506</v>
          </cell>
          <cell r="C1159">
            <v>25</v>
          </cell>
          <cell r="D1159">
            <v>663</v>
          </cell>
          <cell r="E1159">
            <v>16575</v>
          </cell>
          <cell r="F1159" t="str">
            <v>A3</v>
          </cell>
          <cell r="G1159" t="str">
            <v>Side Frame - Khung hông</v>
          </cell>
          <cell r="H1159" t="str">
            <v>Pre-Assembly</v>
          </cell>
          <cell r="I1159">
            <v>50</v>
          </cell>
        </row>
        <row r="1160">
          <cell r="A1160" t="str">
            <v>B558408/A</v>
          </cell>
          <cell r="B1160" t="str">
            <v>SH707NM506</v>
          </cell>
          <cell r="C1160">
            <v>25</v>
          </cell>
          <cell r="D1160">
            <v>663</v>
          </cell>
          <cell r="E1160">
            <v>16575</v>
          </cell>
          <cell r="F1160" t="str">
            <v>A3-S01</v>
          </cell>
          <cell r="G1160" t="str">
            <v xml:space="preserve">Side panel  - Ván hông </v>
          </cell>
          <cell r="H1160" t="str">
            <v>MDF Veneer</v>
          </cell>
          <cell r="I1160">
            <v>50</v>
          </cell>
        </row>
        <row r="1161">
          <cell r="A1161" t="str">
            <v>B558408/A</v>
          </cell>
          <cell r="B1161" t="str">
            <v>SH707NM506</v>
          </cell>
          <cell r="C1161">
            <v>25</v>
          </cell>
          <cell r="D1161">
            <v>663</v>
          </cell>
          <cell r="E1161">
            <v>16575</v>
          </cell>
          <cell r="F1161" t="str">
            <v>A3-S02</v>
          </cell>
          <cell r="G1161" t="str">
            <v>Front rail  - Đố tiền</v>
          </cell>
          <cell r="H1161" t="str">
            <v>Poplar 2 COM</v>
          </cell>
          <cell r="I1161">
            <v>50</v>
          </cell>
        </row>
        <row r="1162">
          <cell r="A1162" t="str">
            <v>B558408/A</v>
          </cell>
          <cell r="B1162" t="str">
            <v>SH707NM506</v>
          </cell>
          <cell r="C1162">
            <v>25</v>
          </cell>
          <cell r="D1162">
            <v>663</v>
          </cell>
          <cell r="E1162">
            <v>16575</v>
          </cell>
          <cell r="F1162" t="str">
            <v>A3-S03</v>
          </cell>
          <cell r="G1162" t="str">
            <v>back rail - Đố hậu</v>
          </cell>
          <cell r="H1162" t="str">
            <v>Poplar 2 COM</v>
          </cell>
          <cell r="I1162">
            <v>50</v>
          </cell>
        </row>
        <row r="1163">
          <cell r="A1163" t="str">
            <v>B558408/A</v>
          </cell>
          <cell r="B1163" t="str">
            <v>SH707NM506</v>
          </cell>
          <cell r="C1163">
            <v>25</v>
          </cell>
          <cell r="D1163">
            <v>663</v>
          </cell>
          <cell r="E1163">
            <v>16575</v>
          </cell>
          <cell r="F1163" t="str">
            <v>A3-S04</v>
          </cell>
          <cell r="G1163" t="str">
            <v>Bottom rail inside - Đố tiền đáy</v>
          </cell>
          <cell r="H1163" t="str">
            <v>Poplar 2 COM</v>
          </cell>
          <cell r="I1163">
            <v>50</v>
          </cell>
        </row>
        <row r="1164">
          <cell r="A1164" t="str">
            <v>B558408/A</v>
          </cell>
          <cell r="B1164" t="str">
            <v>SH707NM506</v>
          </cell>
          <cell r="C1164">
            <v>25</v>
          </cell>
          <cell r="D1164">
            <v>663</v>
          </cell>
          <cell r="E1164">
            <v>16575</v>
          </cell>
          <cell r="F1164" t="str">
            <v>A3-S05</v>
          </cell>
          <cell r="G1164" t="str">
            <v>Patching wood - Gỗ đắp</v>
          </cell>
          <cell r="H1164" t="str">
            <v>MDF laminate</v>
          </cell>
          <cell r="I1164">
            <v>150</v>
          </cell>
        </row>
        <row r="1165">
          <cell r="A1165" t="str">
            <v>B558408/A</v>
          </cell>
          <cell r="B1165" t="str">
            <v>SH707NM506</v>
          </cell>
          <cell r="C1165">
            <v>25</v>
          </cell>
          <cell r="D1165">
            <v>663</v>
          </cell>
          <cell r="E1165">
            <v>16575</v>
          </cell>
          <cell r="F1165" t="str">
            <v>P01</v>
          </cell>
          <cell r="G1165" t="str">
            <v>Bottom panel - Ván đáy</v>
          </cell>
          <cell r="H1165" t="str">
            <v>MDF Veneer</v>
          </cell>
          <cell r="I1165">
            <v>25</v>
          </cell>
        </row>
        <row r="1166">
          <cell r="A1166" t="str">
            <v>B558408/A</v>
          </cell>
          <cell r="B1166" t="str">
            <v>SH707NM506</v>
          </cell>
          <cell r="C1166">
            <v>25</v>
          </cell>
          <cell r="D1166">
            <v>663</v>
          </cell>
          <cell r="E1166">
            <v>16575</v>
          </cell>
          <cell r="F1166" t="str">
            <v>P02</v>
          </cell>
          <cell r="G1166" t="str">
            <v>Front top rail  - Đố tiền nóc</v>
          </cell>
          <cell r="H1166" t="str">
            <v>Wood EU Beech - Straight/Waving Edged ABC, 2 COM - T26mm x W100mm up x L1.8m up</v>
          </cell>
          <cell r="I1166">
            <v>25</v>
          </cell>
        </row>
        <row r="1167">
          <cell r="A1167" t="str">
            <v>B558408/A</v>
          </cell>
          <cell r="B1167" t="str">
            <v>SH707NM506</v>
          </cell>
          <cell r="C1167">
            <v>25</v>
          </cell>
          <cell r="D1167">
            <v>663</v>
          </cell>
          <cell r="E1167">
            <v>16575</v>
          </cell>
          <cell r="F1167" t="str">
            <v>P03</v>
          </cell>
          <cell r="G1167" t="str">
            <v>Partition panel - Vách ngăn</v>
          </cell>
          <cell r="H1167" t="str">
            <v>MDF Veneer</v>
          </cell>
          <cell r="I1167">
            <v>25</v>
          </cell>
        </row>
        <row r="1168">
          <cell r="A1168" t="str">
            <v>B558408/A</v>
          </cell>
          <cell r="B1168" t="str">
            <v>SH707NM506</v>
          </cell>
          <cell r="C1168">
            <v>25</v>
          </cell>
          <cell r="D1168">
            <v>663</v>
          </cell>
          <cell r="E1168">
            <v>16575</v>
          </cell>
          <cell r="F1168" t="str">
            <v>P04</v>
          </cell>
          <cell r="G1168" t="str">
            <v>Back panel - Ván hậu</v>
          </cell>
          <cell r="H1168" t="str">
            <v>MDF Veneer</v>
          </cell>
          <cell r="I1168">
            <v>25</v>
          </cell>
        </row>
        <row r="1169">
          <cell r="A1169" t="str">
            <v>B558408/A</v>
          </cell>
          <cell r="B1169" t="str">
            <v>SH707NM506</v>
          </cell>
          <cell r="C1169">
            <v>25</v>
          </cell>
          <cell r="D1169">
            <v>663</v>
          </cell>
          <cell r="E1169">
            <v>16575</v>
          </cell>
          <cell r="F1169" t="str">
            <v>P05</v>
          </cell>
          <cell r="G1169" t="str">
            <v>back rail - Đố hậu</v>
          </cell>
          <cell r="H1169" t="str">
            <v>Wood US Poplar - Straight Edged, 2 COM - T25mm x W100mm Up x L1.8m Up</v>
          </cell>
          <cell r="I1169">
            <v>50</v>
          </cell>
        </row>
        <row r="1170">
          <cell r="A1170" t="str">
            <v>B558408/A</v>
          </cell>
          <cell r="B1170" t="str">
            <v>SH707NM506</v>
          </cell>
          <cell r="C1170">
            <v>25</v>
          </cell>
          <cell r="D1170">
            <v>663</v>
          </cell>
          <cell r="E1170">
            <v>16575</v>
          </cell>
          <cell r="F1170" t="str">
            <v>P06</v>
          </cell>
          <cell r="G1170" t="str">
            <v>Drawer stop - Dừng hộc</v>
          </cell>
          <cell r="H1170" t="str">
            <v>Beech off cut</v>
          </cell>
          <cell r="I1170">
            <v>300</v>
          </cell>
        </row>
        <row r="1171">
          <cell r="A1171" t="str">
            <v>B558408/A</v>
          </cell>
          <cell r="B1171" t="str">
            <v>SH707NM506</v>
          </cell>
          <cell r="C1171">
            <v>25</v>
          </cell>
          <cell r="D1171">
            <v>663</v>
          </cell>
          <cell r="E1171">
            <v>16575</v>
          </cell>
          <cell r="F1171" t="str">
            <v>P08</v>
          </cell>
          <cell r="G1171" t="str">
            <v xml:space="preserve">Panel - Ván </v>
          </cell>
          <cell r="H1171" t="str">
            <v>Cement Board - 18 x 1220 x 2440mm, Dark Grey</v>
          </cell>
          <cell r="I1171">
            <v>50</v>
          </cell>
        </row>
        <row r="1172">
          <cell r="A1172" t="str">
            <v>B555884/A</v>
          </cell>
          <cell r="B1172" t="str">
            <v>MN5787AM998-SWAT</v>
          </cell>
          <cell r="C1172">
            <v>50</v>
          </cell>
          <cell r="D1172">
            <v>6</v>
          </cell>
          <cell r="E1172">
            <v>300</v>
          </cell>
          <cell r="F1172" t="str">
            <v>P01</v>
          </cell>
          <cell r="G1172" t="str">
            <v>swatch  - bảng màu</v>
          </cell>
          <cell r="H1172" t="str">
            <v>MDF Veneer</v>
          </cell>
          <cell r="I1172">
            <v>50</v>
          </cell>
        </row>
        <row r="1173">
          <cell r="A1173" t="str">
            <v>B557103/A</v>
          </cell>
          <cell r="B1173" t="str">
            <v>BN012M01</v>
          </cell>
          <cell r="C1173">
            <v>25</v>
          </cell>
          <cell r="D1173">
            <v>239</v>
          </cell>
          <cell r="E1173">
            <v>5975</v>
          </cell>
          <cell r="F1173" t="str">
            <v>A1-S1</v>
          </cell>
          <cell r="G1173" t="str">
            <v>Bottom frame - Khung dưới</v>
          </cell>
          <cell r="H1173" t="str">
            <v>Pre-Assembly</v>
          </cell>
          <cell r="I1173">
            <v>25</v>
          </cell>
        </row>
        <row r="1174">
          <cell r="A1174" t="str">
            <v>B557103/A</v>
          </cell>
          <cell r="B1174" t="str">
            <v>BN012M01</v>
          </cell>
          <cell r="C1174">
            <v>25</v>
          </cell>
          <cell r="D1174">
            <v>239</v>
          </cell>
          <cell r="E1174">
            <v>5975</v>
          </cell>
          <cell r="F1174" t="str">
            <v>A1-S1-1</v>
          </cell>
          <cell r="G1174" t="str">
            <v>Front Bottom Rail  - Đố đáy trước</v>
          </cell>
          <cell r="H1174" t="str">
            <v>Wood laminate</v>
          </cell>
          <cell r="I1174">
            <v>100</v>
          </cell>
        </row>
        <row r="1175">
          <cell r="A1175" t="str">
            <v>B557103/A</v>
          </cell>
          <cell r="B1175" t="str">
            <v>BN012M01</v>
          </cell>
          <cell r="C1175">
            <v>25</v>
          </cell>
          <cell r="D1175">
            <v>239</v>
          </cell>
          <cell r="E1175">
            <v>5975</v>
          </cell>
          <cell r="F1175" t="str">
            <v>A1-S2</v>
          </cell>
          <cell r="G1175" t="str">
            <v xml:space="preserve">Top panel  - Ván nóc </v>
          </cell>
          <cell r="H1175" t="str">
            <v>Pre-Assembly</v>
          </cell>
          <cell r="I1175">
            <v>25</v>
          </cell>
        </row>
        <row r="1176">
          <cell r="A1176" t="str">
            <v>B557103/A</v>
          </cell>
          <cell r="B1176" t="str">
            <v>BN012M01</v>
          </cell>
          <cell r="C1176">
            <v>25</v>
          </cell>
          <cell r="D1176">
            <v>239</v>
          </cell>
          <cell r="E1176">
            <v>5975</v>
          </cell>
          <cell r="F1176" t="str">
            <v>A1-S2A</v>
          </cell>
          <cell r="G1176" t="str">
            <v xml:space="preserve">Panel - Ván </v>
          </cell>
          <cell r="H1176" t="str">
            <v>MDF Moisture-Resistant - 18 x 1220 x 2440mm [CARB P2 Compliant]</v>
          </cell>
          <cell r="I1176">
            <v>25</v>
          </cell>
        </row>
        <row r="1177">
          <cell r="A1177" t="str">
            <v>B557103/A</v>
          </cell>
          <cell r="B1177" t="str">
            <v>BN012M01</v>
          </cell>
          <cell r="C1177">
            <v>25</v>
          </cell>
          <cell r="D1177">
            <v>239</v>
          </cell>
          <cell r="E1177">
            <v>5975</v>
          </cell>
          <cell r="F1177" t="str">
            <v>A1-S2B</v>
          </cell>
          <cell r="G1177" t="str">
            <v>Patching wood - Gỗ đắp</v>
          </cell>
          <cell r="H1177" t="str">
            <v>Wood laminate</v>
          </cell>
          <cell r="I1177">
            <v>25</v>
          </cell>
        </row>
        <row r="1178">
          <cell r="A1178" t="str">
            <v>B557103/A</v>
          </cell>
          <cell r="B1178" t="str">
            <v>BN012M01</v>
          </cell>
          <cell r="C1178">
            <v>25</v>
          </cell>
          <cell r="D1178">
            <v>239</v>
          </cell>
          <cell r="E1178">
            <v>5975</v>
          </cell>
          <cell r="F1178" t="str">
            <v>A1-S3</v>
          </cell>
          <cell r="G1178" t="str">
            <v>Bottom panel - Ván đáy</v>
          </cell>
          <cell r="H1178" t="str">
            <v>MDF Veneer</v>
          </cell>
          <cell r="I1178">
            <v>25</v>
          </cell>
        </row>
        <row r="1179">
          <cell r="A1179" t="str">
            <v>B557103/A</v>
          </cell>
          <cell r="B1179" t="str">
            <v>BN012M01</v>
          </cell>
          <cell r="C1179">
            <v>25</v>
          </cell>
          <cell r="D1179">
            <v>239</v>
          </cell>
          <cell r="E1179">
            <v>5975</v>
          </cell>
          <cell r="F1179" t="str">
            <v>A1-S4</v>
          </cell>
          <cell r="G1179" t="str">
            <v xml:space="preserve">Side panel  - Ván hông </v>
          </cell>
          <cell r="H1179" t="str">
            <v>Pre-Assembly</v>
          </cell>
          <cell r="I1179">
            <v>75</v>
          </cell>
        </row>
        <row r="1180">
          <cell r="A1180" t="str">
            <v>B557103/A</v>
          </cell>
          <cell r="B1180" t="str">
            <v>BN012M01</v>
          </cell>
          <cell r="C1180">
            <v>25</v>
          </cell>
          <cell r="D1180">
            <v>239</v>
          </cell>
          <cell r="E1180">
            <v>5975</v>
          </cell>
          <cell r="F1180" t="str">
            <v>A1-S5</v>
          </cell>
          <cell r="G1180" t="str">
            <v>support Top - đỡ nóc</v>
          </cell>
          <cell r="H1180" t="str">
            <v>Plywood LVD - 15 x 1220 x 2440mm, Bleached Poplar Veneer Both Sides [CARB P2 Compliant]</v>
          </cell>
          <cell r="I1180">
            <v>25</v>
          </cell>
        </row>
        <row r="1181">
          <cell r="A1181" t="str">
            <v>B557103/A</v>
          </cell>
          <cell r="B1181" t="str">
            <v>BN012M01</v>
          </cell>
          <cell r="C1181">
            <v>25</v>
          </cell>
          <cell r="D1181">
            <v>239</v>
          </cell>
          <cell r="E1181">
            <v>5975</v>
          </cell>
          <cell r="F1181" t="str">
            <v>A1-S7</v>
          </cell>
          <cell r="G1181" t="str">
            <v>Cleat - Bọ gỗ</v>
          </cell>
          <cell r="H1181" t="str">
            <v>Wood laminate</v>
          </cell>
          <cell r="I1181">
            <v>100</v>
          </cell>
        </row>
        <row r="1182">
          <cell r="A1182" t="str">
            <v>B557103/A</v>
          </cell>
          <cell r="B1182" t="str">
            <v>BN012M01</v>
          </cell>
          <cell r="C1182">
            <v>25</v>
          </cell>
          <cell r="D1182">
            <v>239</v>
          </cell>
          <cell r="E1182">
            <v>5975</v>
          </cell>
          <cell r="F1182" t="str">
            <v>A1-S8</v>
          </cell>
          <cell r="G1182" t="str">
            <v>Spline - Lưỡi gà</v>
          </cell>
          <cell r="H1182" t="str">
            <v>Plywood off cut</v>
          </cell>
          <cell r="I1182">
            <v>75</v>
          </cell>
        </row>
        <row r="1183">
          <cell r="A1183" t="str">
            <v>B557103/A</v>
          </cell>
          <cell r="B1183" t="str">
            <v>BN012M01</v>
          </cell>
          <cell r="C1183">
            <v>25</v>
          </cell>
          <cell r="D1183">
            <v>239</v>
          </cell>
          <cell r="E1183">
            <v>5975</v>
          </cell>
          <cell r="F1183" t="str">
            <v>A1-S9</v>
          </cell>
          <cell r="G1183" t="str">
            <v>Cleat - Bọ gỗ</v>
          </cell>
          <cell r="H1183" t="str">
            <v>Wood laminate</v>
          </cell>
          <cell r="I1183">
            <v>150</v>
          </cell>
        </row>
        <row r="1184">
          <cell r="A1184" t="str">
            <v>B558000/A</v>
          </cell>
          <cell r="B1184" t="str">
            <v>BN2627M194</v>
          </cell>
          <cell r="C1184">
            <v>30</v>
          </cell>
          <cell r="D1184">
            <v>263.64</v>
          </cell>
          <cell r="E1184">
            <v>7909.2</v>
          </cell>
          <cell r="F1184" t="str">
            <v>A1</v>
          </cell>
          <cell r="G1184" t="str">
            <v>vaccumn veneer - cảo bich veneer</v>
          </cell>
          <cell r="H1184" t="str">
            <v>Pre-Assembly</v>
          </cell>
          <cell r="I1184">
            <v>30</v>
          </cell>
        </row>
        <row r="1185">
          <cell r="A1185" t="str">
            <v>B558000/A</v>
          </cell>
          <cell r="B1185" t="str">
            <v>BN2627M194</v>
          </cell>
          <cell r="C1185">
            <v>30</v>
          </cell>
          <cell r="D1185">
            <v>263.64</v>
          </cell>
          <cell r="E1185">
            <v>7909.2</v>
          </cell>
          <cell r="F1185" t="str">
            <v>A1-1</v>
          </cell>
          <cell r="G1185" t="str">
            <v>Patching wood - Gỗ đắp</v>
          </cell>
          <cell r="H1185" t="str">
            <v>Wood EU Beech - Straight/Waving Edged ABC, 2 COM - T38mm x W100mm up x L1.8m up</v>
          </cell>
          <cell r="I1185">
            <v>60</v>
          </cell>
        </row>
        <row r="1186">
          <cell r="A1186" t="str">
            <v>B558000/A</v>
          </cell>
          <cell r="B1186" t="str">
            <v>BN2627M194</v>
          </cell>
          <cell r="C1186">
            <v>30</v>
          </cell>
          <cell r="D1186">
            <v>263.64</v>
          </cell>
          <cell r="E1186">
            <v>7909.2</v>
          </cell>
          <cell r="F1186" t="str">
            <v>A1-2</v>
          </cell>
          <cell r="G1186" t="str">
            <v xml:space="preserve">Panel - Ván </v>
          </cell>
          <cell r="H1186" t="str">
            <v>MDF - 18 x 1830 x 2440mm [CARB P2 Compliant]</v>
          </cell>
          <cell r="I1186">
            <v>30</v>
          </cell>
        </row>
        <row r="1187">
          <cell r="A1187" t="str">
            <v>B558000/A</v>
          </cell>
          <cell r="B1187" t="str">
            <v>BN2627M194</v>
          </cell>
          <cell r="C1187">
            <v>30</v>
          </cell>
          <cell r="D1187">
            <v>263.64</v>
          </cell>
          <cell r="E1187">
            <v>7909.2</v>
          </cell>
          <cell r="F1187" t="str">
            <v>A1-S01</v>
          </cell>
          <cell r="G1187" t="str">
            <v xml:space="preserve">Drawer front - Mặt hộc kéo </v>
          </cell>
          <cell r="H1187" t="str">
            <v>Pre-Assembly</v>
          </cell>
          <cell r="I1187">
            <v>30</v>
          </cell>
        </row>
        <row r="1188">
          <cell r="A1188" t="str">
            <v>B558000/A</v>
          </cell>
          <cell r="B1188" t="str">
            <v>BN2627M194</v>
          </cell>
          <cell r="C1188">
            <v>30</v>
          </cell>
          <cell r="D1188">
            <v>263.64</v>
          </cell>
          <cell r="E1188">
            <v>7909.2</v>
          </cell>
          <cell r="F1188" t="str">
            <v>A1-S01-1</v>
          </cell>
          <cell r="G1188" t="str">
            <v>Patching wood - Gỗ đắp</v>
          </cell>
          <cell r="H1188" t="str">
            <v>Wood White Oak - Straight/Waving Edged, 2 COM - T25mm x W100mm Up x L1.5m Up</v>
          </cell>
          <cell r="I1188">
            <v>30</v>
          </cell>
        </row>
        <row r="1189">
          <cell r="A1189" t="str">
            <v>B558000/A</v>
          </cell>
          <cell r="B1189" t="str">
            <v>BN2627M194</v>
          </cell>
          <cell r="C1189">
            <v>30</v>
          </cell>
          <cell r="D1189">
            <v>263.64</v>
          </cell>
          <cell r="E1189">
            <v>7909.2</v>
          </cell>
          <cell r="F1189" t="str">
            <v>A1-S02</v>
          </cell>
          <cell r="G1189" t="str">
            <v>Drawer side - Hông hộc kéo</v>
          </cell>
          <cell r="H1189" t="str">
            <v>MDF Veneer</v>
          </cell>
          <cell r="I1189">
            <v>60</v>
          </cell>
        </row>
        <row r="1190">
          <cell r="A1190" t="str">
            <v>B558000/A</v>
          </cell>
          <cell r="B1190" t="str">
            <v>BN2627M194</v>
          </cell>
          <cell r="C1190">
            <v>30</v>
          </cell>
          <cell r="D1190">
            <v>263.64</v>
          </cell>
          <cell r="E1190">
            <v>7909.2</v>
          </cell>
          <cell r="F1190" t="str">
            <v>A1-S03</v>
          </cell>
          <cell r="G1190" t="str">
            <v>Drawer back - Hậu hộc kéo</v>
          </cell>
          <cell r="H1190" t="str">
            <v>MDF Veneer</v>
          </cell>
          <cell r="I1190">
            <v>30</v>
          </cell>
        </row>
        <row r="1191">
          <cell r="A1191" t="str">
            <v>B558000/A</v>
          </cell>
          <cell r="B1191" t="str">
            <v>BN2627M194</v>
          </cell>
          <cell r="C1191">
            <v>30</v>
          </cell>
          <cell r="D1191">
            <v>263.64</v>
          </cell>
          <cell r="E1191">
            <v>7909.2</v>
          </cell>
          <cell r="F1191" t="str">
            <v>A1-S04</v>
          </cell>
          <cell r="G1191" t="str">
            <v>Drawer bottom  - Đáy hộc kéo</v>
          </cell>
          <cell r="H1191" t="str">
            <v>MDF Veneer</v>
          </cell>
          <cell r="I1191">
            <v>30</v>
          </cell>
        </row>
        <row r="1192">
          <cell r="A1192" t="str">
            <v>B558000/A</v>
          </cell>
          <cell r="B1192" t="str">
            <v>BN2627M194</v>
          </cell>
          <cell r="C1192">
            <v>30</v>
          </cell>
          <cell r="D1192">
            <v>263.64</v>
          </cell>
          <cell r="E1192">
            <v>7909.2</v>
          </cell>
          <cell r="F1192" t="str">
            <v>A1-S05</v>
          </cell>
          <cell r="G1192" t="str">
            <v>Patching wood - Gỗ đắp</v>
          </cell>
          <cell r="H1192" t="str">
            <v>Wood US Poplar - Straight Edged, 2 COM - T38mm x W100mm Up x L1.8m Up</v>
          </cell>
          <cell r="I1192">
            <v>30</v>
          </cell>
        </row>
        <row r="1193">
          <cell r="A1193" t="str">
            <v>B558000/A</v>
          </cell>
          <cell r="B1193" t="str">
            <v>BN2627M194</v>
          </cell>
          <cell r="C1193">
            <v>30</v>
          </cell>
          <cell r="D1193">
            <v>263.64</v>
          </cell>
          <cell r="E1193">
            <v>7909.2</v>
          </cell>
          <cell r="F1193" t="str">
            <v>A1-S06</v>
          </cell>
          <cell r="G1193" t="str">
            <v>Patching wood - Gỗ đắp</v>
          </cell>
          <cell r="H1193" t="str">
            <v>Poplar off cut</v>
          </cell>
          <cell r="I1193">
            <v>60</v>
          </cell>
        </row>
        <row r="1194">
          <cell r="A1194" t="str">
            <v>B558000/A</v>
          </cell>
          <cell r="B1194" t="str">
            <v>BN2627M194</v>
          </cell>
          <cell r="C1194">
            <v>30</v>
          </cell>
          <cell r="D1194">
            <v>263.64</v>
          </cell>
          <cell r="E1194">
            <v>7909.2</v>
          </cell>
          <cell r="F1194" t="str">
            <v>A2-S01</v>
          </cell>
          <cell r="G1194" t="str">
            <v>Front rail  - Đố tiền</v>
          </cell>
          <cell r="H1194" t="str">
            <v>Wood EU Beech - Straight/Waving Edged ABC, 2 COM - T32mm x W100mm up x L1.8m up</v>
          </cell>
          <cell r="I1194">
            <v>30</v>
          </cell>
        </row>
        <row r="1195">
          <cell r="A1195" t="str">
            <v>B558000/A</v>
          </cell>
          <cell r="B1195" t="str">
            <v>BN2627M194</v>
          </cell>
          <cell r="C1195">
            <v>30</v>
          </cell>
          <cell r="D1195">
            <v>263.64</v>
          </cell>
          <cell r="E1195">
            <v>7909.2</v>
          </cell>
          <cell r="F1195" t="str">
            <v>A2-S02</v>
          </cell>
          <cell r="G1195" t="str">
            <v>back rail - Đố hậu</v>
          </cell>
          <cell r="H1195" t="str">
            <v>Wood US Poplar - Straight Edged, 2 COM - T25mm x W100mm Up x L1.8m Up</v>
          </cell>
          <cell r="I1195">
            <v>30</v>
          </cell>
        </row>
        <row r="1196">
          <cell r="A1196" t="str">
            <v>B558000/A</v>
          </cell>
          <cell r="B1196" t="str">
            <v>BN2627M194</v>
          </cell>
          <cell r="C1196">
            <v>30</v>
          </cell>
          <cell r="D1196">
            <v>263.64</v>
          </cell>
          <cell r="E1196">
            <v>7909.2</v>
          </cell>
          <cell r="F1196" t="str">
            <v>A2-S03</v>
          </cell>
          <cell r="G1196" t="str">
            <v xml:space="preserve">Panel - Ván </v>
          </cell>
          <cell r="H1196" t="str">
            <v>MDF Veneer</v>
          </cell>
          <cell r="I1196">
            <v>30</v>
          </cell>
        </row>
        <row r="1197">
          <cell r="A1197" t="str">
            <v>B558000/A</v>
          </cell>
          <cell r="B1197" t="str">
            <v>BN2627M194</v>
          </cell>
          <cell r="C1197">
            <v>30</v>
          </cell>
          <cell r="D1197">
            <v>263.64</v>
          </cell>
          <cell r="E1197">
            <v>7909.2</v>
          </cell>
          <cell r="F1197" t="str">
            <v>A2-S04</v>
          </cell>
          <cell r="G1197" t="str">
            <v>Center rail - Đố giữa</v>
          </cell>
          <cell r="H1197" t="str">
            <v>Wood US Poplar - Straight Edged, 2 COM - T25mm x W100mm Up x L1.8m Up</v>
          </cell>
          <cell r="I1197">
            <v>30</v>
          </cell>
        </row>
        <row r="1198">
          <cell r="A1198" t="str">
            <v>B558000/A</v>
          </cell>
          <cell r="B1198" t="str">
            <v>BN2627M194</v>
          </cell>
          <cell r="C1198">
            <v>30</v>
          </cell>
          <cell r="D1198">
            <v>263.64</v>
          </cell>
          <cell r="E1198">
            <v>7909.2</v>
          </cell>
          <cell r="F1198" t="str">
            <v>A2-S05</v>
          </cell>
          <cell r="G1198" t="str">
            <v xml:space="preserve">Side rail  - Đố hông </v>
          </cell>
          <cell r="H1198" t="str">
            <v>Wood US Poplar - Straight Edged, 2 COM - T25mm x W100mm Up x L1.8m Up</v>
          </cell>
          <cell r="I1198">
            <v>60</v>
          </cell>
        </row>
        <row r="1199">
          <cell r="A1199" t="str">
            <v>B558000/A</v>
          </cell>
          <cell r="B1199" t="str">
            <v>BN2627M194</v>
          </cell>
          <cell r="C1199">
            <v>30</v>
          </cell>
          <cell r="D1199">
            <v>263.64</v>
          </cell>
          <cell r="E1199">
            <v>7909.2</v>
          </cell>
          <cell r="F1199" t="str">
            <v>A3</v>
          </cell>
          <cell r="G1199" t="str">
            <v>vaccumn veneer - cảo bich veneer</v>
          </cell>
          <cell r="H1199" t="str">
            <v>Pre-Assembly</v>
          </cell>
          <cell r="I1199">
            <v>60</v>
          </cell>
        </row>
        <row r="1200">
          <cell r="A1200" t="str">
            <v>B558000/A</v>
          </cell>
          <cell r="B1200" t="str">
            <v>BN2627M194</v>
          </cell>
          <cell r="C1200">
            <v>30</v>
          </cell>
          <cell r="D1200">
            <v>263.64</v>
          </cell>
          <cell r="E1200">
            <v>7909.2</v>
          </cell>
          <cell r="F1200" t="str">
            <v>A3-S01</v>
          </cell>
          <cell r="G1200" t="str">
            <v>Front rail  - Đố tiền</v>
          </cell>
          <cell r="H1200" t="str">
            <v>MDF - 25 x 1830 x 2440mm [CARB P2 Compliant]</v>
          </cell>
          <cell r="I1200">
            <v>60</v>
          </cell>
        </row>
        <row r="1201">
          <cell r="A1201" t="str">
            <v>B558000/A</v>
          </cell>
          <cell r="B1201" t="str">
            <v>BN2627M194</v>
          </cell>
          <cell r="C1201">
            <v>30</v>
          </cell>
          <cell r="D1201">
            <v>263.64</v>
          </cell>
          <cell r="E1201">
            <v>7909.2</v>
          </cell>
          <cell r="F1201" t="str">
            <v>A3-S02</v>
          </cell>
          <cell r="G1201" t="str">
            <v>back rail - Đố hậu</v>
          </cell>
          <cell r="H1201" t="str">
            <v>MDF - 25 x 1830 x 2440mm [CARB P2 Compliant]</v>
          </cell>
          <cell r="I1201">
            <v>60</v>
          </cell>
        </row>
        <row r="1202">
          <cell r="A1202" t="str">
            <v>B558000/A</v>
          </cell>
          <cell r="B1202" t="str">
            <v>BN2627M194</v>
          </cell>
          <cell r="C1202">
            <v>30</v>
          </cell>
          <cell r="D1202">
            <v>263.64</v>
          </cell>
          <cell r="E1202">
            <v>7909.2</v>
          </cell>
          <cell r="F1202" t="str">
            <v>A3-S03</v>
          </cell>
          <cell r="G1202" t="str">
            <v xml:space="preserve">Side panel  - Ván hông </v>
          </cell>
          <cell r="H1202" t="str">
            <v>MDF Veneer</v>
          </cell>
          <cell r="I1202">
            <v>60</v>
          </cell>
        </row>
        <row r="1203">
          <cell r="A1203" t="str">
            <v>B558000/A</v>
          </cell>
          <cell r="B1203" t="str">
            <v>BN2627M194</v>
          </cell>
          <cell r="C1203">
            <v>30</v>
          </cell>
          <cell r="D1203">
            <v>263.64</v>
          </cell>
          <cell r="E1203">
            <v>7909.2</v>
          </cell>
          <cell r="F1203" t="str">
            <v>A3-S04</v>
          </cell>
          <cell r="G1203" t="str">
            <v xml:space="preserve">Side panel  - Ván hông </v>
          </cell>
          <cell r="H1203" t="str">
            <v>MDF Veneer</v>
          </cell>
          <cell r="I1203">
            <v>60</v>
          </cell>
        </row>
        <row r="1204">
          <cell r="A1204" t="str">
            <v>B558000/A</v>
          </cell>
          <cell r="B1204" t="str">
            <v>BN2627M194</v>
          </cell>
          <cell r="C1204">
            <v>30</v>
          </cell>
          <cell r="D1204">
            <v>263.64</v>
          </cell>
          <cell r="E1204">
            <v>7909.2</v>
          </cell>
          <cell r="F1204" t="str">
            <v>A3-S05</v>
          </cell>
          <cell r="G1204" t="str">
            <v>Insert Wood - Gỗ chèn</v>
          </cell>
          <cell r="H1204" t="str">
            <v>MDF - 25 x 1830 x 2440mm [CARB P2 Compliant]</v>
          </cell>
          <cell r="I1204">
            <v>180</v>
          </cell>
        </row>
        <row r="1205">
          <cell r="A1205" t="str">
            <v>B558000/A</v>
          </cell>
          <cell r="B1205" t="str">
            <v>BN2627M194</v>
          </cell>
          <cell r="C1205">
            <v>30</v>
          </cell>
          <cell r="D1205">
            <v>263.64</v>
          </cell>
          <cell r="E1205">
            <v>7909.2</v>
          </cell>
          <cell r="F1205" t="str">
            <v>A3-S06</v>
          </cell>
          <cell r="G1205" t="str">
            <v>Insert Wood - Gỗ chèn</v>
          </cell>
          <cell r="H1205" t="str">
            <v>Wood US Poplar - Straight Edged, 2 COM - T25mm x W100mm Up x L1.8m Up</v>
          </cell>
          <cell r="I1205">
            <v>60</v>
          </cell>
        </row>
        <row r="1206">
          <cell r="A1206" t="str">
            <v>B558000/A</v>
          </cell>
          <cell r="B1206" t="str">
            <v>BN2627M194</v>
          </cell>
          <cell r="C1206">
            <v>30</v>
          </cell>
          <cell r="D1206">
            <v>263.64</v>
          </cell>
          <cell r="E1206">
            <v>7909.2</v>
          </cell>
          <cell r="F1206" t="str">
            <v>A3-S07</v>
          </cell>
          <cell r="G1206" t="str">
            <v>Insert Wood - Gỗ chèn</v>
          </cell>
          <cell r="H1206" t="str">
            <v>Wood US Poplar - Straight Edged, 2 COM - T25mm x W100mm Up x L1.8m Up</v>
          </cell>
          <cell r="I1206">
            <v>60</v>
          </cell>
        </row>
        <row r="1207">
          <cell r="A1207" t="str">
            <v>B558000/A</v>
          </cell>
          <cell r="B1207" t="str">
            <v>BN2627M194</v>
          </cell>
          <cell r="C1207">
            <v>30</v>
          </cell>
          <cell r="D1207">
            <v>263.64</v>
          </cell>
          <cell r="E1207">
            <v>7909.2</v>
          </cell>
          <cell r="F1207" t="str">
            <v>A4-S01</v>
          </cell>
          <cell r="G1207" t="str">
            <v>Bottom rail inside - Đố tiền đáy</v>
          </cell>
          <cell r="H1207" t="str">
            <v>Wood White Oak - Straight/Waving Edged, 2 COM - T32mm x W100mm Up x L1.5m Up</v>
          </cell>
          <cell r="I1207">
            <v>60</v>
          </cell>
        </row>
        <row r="1208">
          <cell r="A1208" t="str">
            <v>B558000/A</v>
          </cell>
          <cell r="B1208" t="str">
            <v>BN2627M194</v>
          </cell>
          <cell r="C1208">
            <v>30</v>
          </cell>
          <cell r="D1208">
            <v>263.64</v>
          </cell>
          <cell r="E1208">
            <v>7909.2</v>
          </cell>
          <cell r="F1208" t="str">
            <v>A4-S02</v>
          </cell>
          <cell r="G1208" t="str">
            <v>Side bottom rail - Đố hông dưới</v>
          </cell>
          <cell r="H1208" t="str">
            <v>Wood White Oak - Straight/Waving Edged, 2 COM - T32mm x W100mm Up x L1.5m Up</v>
          </cell>
          <cell r="I1208">
            <v>60</v>
          </cell>
        </row>
        <row r="1209">
          <cell r="A1209" t="str">
            <v>B558000/A</v>
          </cell>
          <cell r="B1209" t="str">
            <v>BN2627M194</v>
          </cell>
          <cell r="C1209">
            <v>30</v>
          </cell>
          <cell r="D1209">
            <v>263.64</v>
          </cell>
          <cell r="E1209">
            <v>7909.2</v>
          </cell>
          <cell r="F1209" t="str">
            <v>P01</v>
          </cell>
          <cell r="G1209" t="str">
            <v xml:space="preserve">Top panel  - Ván nóc </v>
          </cell>
          <cell r="H1209" t="str">
            <v>MDF Veneer</v>
          </cell>
          <cell r="I1209">
            <v>30</v>
          </cell>
        </row>
        <row r="1210">
          <cell r="A1210" t="str">
            <v>B558000/A</v>
          </cell>
          <cell r="B1210" t="str">
            <v>BN2627M194</v>
          </cell>
          <cell r="C1210">
            <v>30</v>
          </cell>
          <cell r="D1210">
            <v>263.64</v>
          </cell>
          <cell r="E1210">
            <v>7909.2</v>
          </cell>
          <cell r="F1210" t="str">
            <v>P02</v>
          </cell>
          <cell r="G1210" t="str">
            <v>Front top rail  - Đố tiền nóc</v>
          </cell>
          <cell r="H1210" t="str">
            <v>Wood EU Beech - Straight/Waving Edged ABC, 2 COM - T26mm x W100mm up x L1.8m up</v>
          </cell>
          <cell r="I1210">
            <v>30</v>
          </cell>
        </row>
        <row r="1211">
          <cell r="A1211" t="str">
            <v>B558000/A</v>
          </cell>
          <cell r="B1211" t="str">
            <v>BN2627M194</v>
          </cell>
          <cell r="C1211">
            <v>30</v>
          </cell>
          <cell r="D1211">
            <v>263.64</v>
          </cell>
          <cell r="E1211">
            <v>7909.2</v>
          </cell>
          <cell r="F1211" t="str">
            <v>P03</v>
          </cell>
          <cell r="G1211" t="str">
            <v>Back top rail - Đố hậu nóc</v>
          </cell>
          <cell r="H1211" t="str">
            <v>Wood US Poplar - Straight Edged, 2 COM - T25mm x W100mm Up x L1.8m Up</v>
          </cell>
          <cell r="I1211">
            <v>30</v>
          </cell>
        </row>
        <row r="1212">
          <cell r="A1212" t="str">
            <v>B558000/A</v>
          </cell>
          <cell r="B1212" t="str">
            <v>BN2627M194</v>
          </cell>
          <cell r="C1212">
            <v>30</v>
          </cell>
          <cell r="D1212">
            <v>263.64</v>
          </cell>
          <cell r="E1212">
            <v>7909.2</v>
          </cell>
          <cell r="F1212" t="str">
            <v>P04</v>
          </cell>
          <cell r="G1212" t="str">
            <v>Bottom panel - Ván đáy</v>
          </cell>
          <cell r="H1212" t="str">
            <v>MDF Veneer</v>
          </cell>
          <cell r="I1212">
            <v>30</v>
          </cell>
        </row>
        <row r="1213">
          <cell r="A1213" t="str">
            <v>B558000/A</v>
          </cell>
          <cell r="B1213" t="str">
            <v>BN2627M194</v>
          </cell>
          <cell r="C1213">
            <v>30</v>
          </cell>
          <cell r="D1213">
            <v>263.64</v>
          </cell>
          <cell r="E1213">
            <v>7909.2</v>
          </cell>
          <cell r="F1213" t="str">
            <v>P05</v>
          </cell>
          <cell r="G1213" t="str">
            <v>Back panel - Ván hậu</v>
          </cell>
          <cell r="H1213" t="str">
            <v>MDF Veneer</v>
          </cell>
          <cell r="I1213">
            <v>30</v>
          </cell>
        </row>
        <row r="1214">
          <cell r="A1214" t="str">
            <v>B558000/A</v>
          </cell>
          <cell r="B1214" t="str">
            <v>BN2627M194</v>
          </cell>
          <cell r="C1214">
            <v>30</v>
          </cell>
          <cell r="D1214">
            <v>263.64</v>
          </cell>
          <cell r="E1214">
            <v>7909.2</v>
          </cell>
          <cell r="F1214" t="str">
            <v>P06</v>
          </cell>
          <cell r="G1214" t="str">
            <v>Drawer stop - Dừng hộc</v>
          </cell>
          <cell r="H1214" t="str">
            <v>Poplar off cut</v>
          </cell>
          <cell r="I1214">
            <v>60</v>
          </cell>
        </row>
        <row r="1215">
          <cell r="A1215" t="str">
            <v>B557981/A</v>
          </cell>
          <cell r="B1215" t="str">
            <v>BN3177M355</v>
          </cell>
          <cell r="C1215">
            <v>5</v>
          </cell>
          <cell r="D1215">
            <v>736</v>
          </cell>
          <cell r="E1215">
            <v>3680</v>
          </cell>
          <cell r="F1215" t="str">
            <v>A1</v>
          </cell>
          <cell r="G1215" t="str">
            <v>Head board  - Đầu giường</v>
          </cell>
          <cell r="H1215" t="str">
            <v>Pre-Assembly</v>
          </cell>
          <cell r="I1215">
            <v>5</v>
          </cell>
        </row>
        <row r="1216">
          <cell r="A1216" t="str">
            <v>B557981/A</v>
          </cell>
          <cell r="B1216" t="str">
            <v>BN3177M355</v>
          </cell>
          <cell r="C1216">
            <v>5</v>
          </cell>
          <cell r="D1216">
            <v>736</v>
          </cell>
          <cell r="E1216">
            <v>3680</v>
          </cell>
          <cell r="F1216" t="str">
            <v>A11</v>
          </cell>
          <cell r="G1216" t="str">
            <v xml:space="preserve">Curve part hot press  - chi tiết cảo cong </v>
          </cell>
          <cell r="H1216" t="str">
            <v>Veneer laminate</v>
          </cell>
          <cell r="I1216">
            <v>10</v>
          </cell>
        </row>
        <row r="1217">
          <cell r="A1217" t="str">
            <v>B557981/A</v>
          </cell>
          <cell r="B1217" t="str">
            <v>BN3177M355</v>
          </cell>
          <cell r="C1217">
            <v>5</v>
          </cell>
          <cell r="D1217">
            <v>736</v>
          </cell>
          <cell r="E1217">
            <v>3680</v>
          </cell>
          <cell r="F1217" t="str">
            <v>A1-S02</v>
          </cell>
          <cell r="G1217" t="str">
            <v>Patching moulding - Chỉ đắp</v>
          </cell>
          <cell r="H1217" t="str">
            <v>Veneer laminate</v>
          </cell>
          <cell r="I1217">
            <v>10</v>
          </cell>
        </row>
        <row r="1218">
          <cell r="A1218" t="str">
            <v>B557981/A</v>
          </cell>
          <cell r="B1218" t="str">
            <v>BN3177M355</v>
          </cell>
          <cell r="C1218">
            <v>5</v>
          </cell>
          <cell r="D1218">
            <v>736</v>
          </cell>
          <cell r="E1218">
            <v>3680</v>
          </cell>
          <cell r="F1218" t="str">
            <v>A1-S02-1</v>
          </cell>
          <cell r="G1218" t="str">
            <v>Patching moulding - Chỉ đắp</v>
          </cell>
          <cell r="H1218" t="str">
            <v>Wood US Poplar - Straight Edged, 2 COM - T38mm x W100mm Up x L1.8m Up</v>
          </cell>
          <cell r="I1218">
            <v>5</v>
          </cell>
        </row>
        <row r="1219">
          <cell r="A1219" t="str">
            <v>B557981/A</v>
          </cell>
          <cell r="B1219" t="str">
            <v>BN3177M355</v>
          </cell>
          <cell r="C1219">
            <v>5</v>
          </cell>
          <cell r="D1219">
            <v>736</v>
          </cell>
          <cell r="E1219">
            <v>3680</v>
          </cell>
          <cell r="F1219" t="str">
            <v>A1-S03</v>
          </cell>
          <cell r="G1219" t="str">
            <v xml:space="preserve">Side rail  - Đố hông </v>
          </cell>
          <cell r="H1219" t="str">
            <v>Wood US Poplar - Straight Edged, 2 COM - T38mm x W100mm Up x L1.8m Up</v>
          </cell>
          <cell r="I1219">
            <v>10</v>
          </cell>
        </row>
        <row r="1220">
          <cell r="A1220" t="str">
            <v>B557981/A</v>
          </cell>
          <cell r="B1220" t="str">
            <v>BN3177M355</v>
          </cell>
          <cell r="C1220">
            <v>5</v>
          </cell>
          <cell r="D1220">
            <v>736</v>
          </cell>
          <cell r="E1220">
            <v>3680</v>
          </cell>
          <cell r="F1220" t="str">
            <v>A1-S04</v>
          </cell>
          <cell r="G1220" t="str">
            <v>vaccumn veneer - cảo bich veneer</v>
          </cell>
          <cell r="H1220" t="str">
            <v>Pre-Assembly</v>
          </cell>
          <cell r="I1220">
            <v>5</v>
          </cell>
        </row>
        <row r="1221">
          <cell r="A1221" t="str">
            <v>B557981/A</v>
          </cell>
          <cell r="B1221" t="str">
            <v>BN3177M355</v>
          </cell>
          <cell r="C1221">
            <v>5</v>
          </cell>
          <cell r="D1221">
            <v>736</v>
          </cell>
          <cell r="E1221">
            <v>3680</v>
          </cell>
          <cell r="F1221" t="str">
            <v>A1-S04-1</v>
          </cell>
          <cell r="G1221" t="str">
            <v xml:space="preserve">Curve part hot press  - chi tiết cảo cong </v>
          </cell>
          <cell r="H1221" t="str">
            <v>MDF Veneer</v>
          </cell>
          <cell r="I1221">
            <v>10</v>
          </cell>
        </row>
        <row r="1222">
          <cell r="A1222" t="str">
            <v>B557981/A</v>
          </cell>
          <cell r="B1222" t="str">
            <v>BN3177M355</v>
          </cell>
          <cell r="C1222">
            <v>5</v>
          </cell>
          <cell r="D1222">
            <v>736</v>
          </cell>
          <cell r="E1222">
            <v>3680</v>
          </cell>
          <cell r="F1222" t="str">
            <v>A1-S04-1-1</v>
          </cell>
          <cell r="G1222" t="str">
            <v>Patching wood - Gỗ đắp</v>
          </cell>
          <cell r="H1222" t="str">
            <v>Beech off cut</v>
          </cell>
          <cell r="I1222">
            <v>10</v>
          </cell>
        </row>
        <row r="1223">
          <cell r="A1223" t="str">
            <v>B557981/A</v>
          </cell>
          <cell r="B1223" t="str">
            <v>BN3177M355</v>
          </cell>
          <cell r="C1223">
            <v>5</v>
          </cell>
          <cell r="D1223">
            <v>736</v>
          </cell>
          <cell r="E1223">
            <v>3680</v>
          </cell>
          <cell r="F1223" t="str">
            <v>A1-S04-2</v>
          </cell>
          <cell r="G1223" t="str">
            <v>Head board panel  - Ván đầu giường</v>
          </cell>
          <cell r="H1223" t="str">
            <v>MDF Veneer</v>
          </cell>
          <cell r="I1223">
            <v>5</v>
          </cell>
        </row>
        <row r="1224">
          <cell r="A1224" t="str">
            <v>B557981/A</v>
          </cell>
          <cell r="B1224" t="str">
            <v>BN3177M355</v>
          </cell>
          <cell r="C1224">
            <v>5</v>
          </cell>
          <cell r="D1224">
            <v>736</v>
          </cell>
          <cell r="E1224">
            <v>3680</v>
          </cell>
          <cell r="F1224" t="str">
            <v>A1-S04-3</v>
          </cell>
          <cell r="G1224" t="str">
            <v>Spline - Lưỡi gà</v>
          </cell>
          <cell r="H1224" t="str">
            <v>Plywood LVD - 15 x 1220 x 2440mm, Bleached Poplar Veneer Both Sides [CARB P2 Compliant]</v>
          </cell>
          <cell r="I1224">
            <v>10</v>
          </cell>
        </row>
        <row r="1225">
          <cell r="A1225" t="str">
            <v>B557981/A</v>
          </cell>
          <cell r="B1225" t="str">
            <v>BN3177M355</v>
          </cell>
          <cell r="C1225">
            <v>5</v>
          </cell>
          <cell r="D1225">
            <v>736</v>
          </cell>
          <cell r="E1225">
            <v>3680</v>
          </cell>
          <cell r="F1225" t="str">
            <v>A1-S06</v>
          </cell>
          <cell r="G1225" t="str">
            <v>Patching moulding - Chỉ đắp</v>
          </cell>
          <cell r="H1225" t="str">
            <v>Veneer laminate</v>
          </cell>
          <cell r="I1225">
            <v>10</v>
          </cell>
        </row>
        <row r="1226">
          <cell r="A1226" t="str">
            <v>B557981/A</v>
          </cell>
          <cell r="B1226" t="str">
            <v>BN3177M355</v>
          </cell>
          <cell r="C1226">
            <v>5</v>
          </cell>
          <cell r="D1226">
            <v>736</v>
          </cell>
          <cell r="E1226">
            <v>3680</v>
          </cell>
          <cell r="F1226" t="str">
            <v>A1-S06-1</v>
          </cell>
          <cell r="G1226" t="str">
            <v>Patching moulding - Chỉ đắp</v>
          </cell>
          <cell r="H1226" t="str">
            <v>Wd+VN</v>
          </cell>
          <cell r="I1226">
            <v>5</v>
          </cell>
        </row>
        <row r="1227">
          <cell r="A1227" t="str">
            <v>B557981/A</v>
          </cell>
          <cell r="B1227" t="str">
            <v>BN3177M355</v>
          </cell>
          <cell r="C1227">
            <v>5</v>
          </cell>
          <cell r="D1227">
            <v>736</v>
          </cell>
          <cell r="E1227">
            <v>3680</v>
          </cell>
          <cell r="F1227" t="str">
            <v>A1-S09</v>
          </cell>
          <cell r="G1227" t="str">
            <v>Front Bottom Rail  - Đố đáy trước</v>
          </cell>
          <cell r="H1227" t="str">
            <v>Pre-Assembly</v>
          </cell>
          <cell r="I1227">
            <v>5</v>
          </cell>
        </row>
        <row r="1228">
          <cell r="A1228" t="str">
            <v>B557981/A</v>
          </cell>
          <cell r="B1228" t="str">
            <v>BN3177M355</v>
          </cell>
          <cell r="C1228">
            <v>5</v>
          </cell>
          <cell r="D1228">
            <v>736</v>
          </cell>
          <cell r="E1228">
            <v>3680</v>
          </cell>
          <cell r="F1228" t="str">
            <v>A1-S09-1</v>
          </cell>
          <cell r="G1228" t="str">
            <v>Front Bottom Rail  - Đố đáy trước</v>
          </cell>
          <cell r="H1228" t="str">
            <v>Wd+VN</v>
          </cell>
          <cell r="I1228">
            <v>5</v>
          </cell>
        </row>
        <row r="1229">
          <cell r="A1229" t="str">
            <v>B557981/A</v>
          </cell>
          <cell r="B1229" t="str">
            <v>BN3177M355</v>
          </cell>
          <cell r="C1229">
            <v>5</v>
          </cell>
          <cell r="D1229">
            <v>736</v>
          </cell>
          <cell r="E1229">
            <v>3680</v>
          </cell>
          <cell r="F1229" t="str">
            <v>A1-S09-2</v>
          </cell>
          <cell r="G1229" t="str">
            <v>Front Bottom Rail  - Đố đáy trước</v>
          </cell>
          <cell r="H1229" t="str">
            <v>Wood laminate</v>
          </cell>
          <cell r="I1229">
            <v>10</v>
          </cell>
        </row>
        <row r="1230">
          <cell r="A1230" t="str">
            <v>B557981/A</v>
          </cell>
          <cell r="B1230" t="str">
            <v>BN3177M355</v>
          </cell>
          <cell r="C1230">
            <v>5</v>
          </cell>
          <cell r="D1230">
            <v>736</v>
          </cell>
          <cell r="E1230">
            <v>3680</v>
          </cell>
          <cell r="F1230" t="str">
            <v>A1-S11</v>
          </cell>
          <cell r="G1230" t="str">
            <v>Cleat - Bọ gỗ</v>
          </cell>
          <cell r="H1230" t="str">
            <v>Beech off cut</v>
          </cell>
          <cell r="I1230">
            <v>10</v>
          </cell>
        </row>
        <row r="1231">
          <cell r="A1231" t="str">
            <v>B557981/A</v>
          </cell>
          <cell r="B1231" t="str">
            <v>BN3177M355</v>
          </cell>
          <cell r="C1231">
            <v>5</v>
          </cell>
          <cell r="D1231">
            <v>736</v>
          </cell>
          <cell r="E1231">
            <v>3680</v>
          </cell>
          <cell r="F1231" t="str">
            <v>A1-S12</v>
          </cell>
          <cell r="G1231" t="str">
            <v>Cleat - Bọ gỗ</v>
          </cell>
          <cell r="H1231" t="str">
            <v>Beech off cut</v>
          </cell>
          <cell r="I1231">
            <v>20</v>
          </cell>
        </row>
        <row r="1232">
          <cell r="A1232" t="str">
            <v>B557981/A</v>
          </cell>
          <cell r="B1232" t="str">
            <v>BN3177M355</v>
          </cell>
          <cell r="C1232">
            <v>5</v>
          </cell>
          <cell r="D1232">
            <v>736</v>
          </cell>
          <cell r="E1232">
            <v>3680</v>
          </cell>
          <cell r="F1232" t="str">
            <v>A2-S01</v>
          </cell>
          <cell r="G1232" t="str">
            <v>vaccumn veneer - cảo bich veneer</v>
          </cell>
          <cell r="H1232" t="str">
            <v>Pre-Assembly</v>
          </cell>
          <cell r="I1232">
            <v>5</v>
          </cell>
        </row>
        <row r="1233">
          <cell r="A1233" t="str">
            <v>B557981/A</v>
          </cell>
          <cell r="B1233" t="str">
            <v>BN3177M355</v>
          </cell>
          <cell r="C1233">
            <v>5</v>
          </cell>
          <cell r="D1233">
            <v>736</v>
          </cell>
          <cell r="E1233">
            <v>3680</v>
          </cell>
          <cell r="F1233" t="str">
            <v>A2-S01-1</v>
          </cell>
          <cell r="G1233" t="str">
            <v xml:space="preserve">Curve part hot press  - chi tiết cảo cong </v>
          </cell>
          <cell r="H1233" t="str">
            <v>MDF laminate</v>
          </cell>
          <cell r="I1233">
            <v>10</v>
          </cell>
        </row>
        <row r="1234">
          <cell r="A1234" t="str">
            <v>B557981/A</v>
          </cell>
          <cell r="B1234" t="str">
            <v>BN3177M355</v>
          </cell>
          <cell r="C1234">
            <v>5</v>
          </cell>
          <cell r="D1234">
            <v>736</v>
          </cell>
          <cell r="E1234">
            <v>3680</v>
          </cell>
          <cell r="F1234" t="str">
            <v>A2-S01-2</v>
          </cell>
          <cell r="G1234" t="str">
            <v>Foot board  - Đuôi giường</v>
          </cell>
          <cell r="H1234" t="str">
            <v>MDF laminate</v>
          </cell>
          <cell r="I1234">
            <v>5</v>
          </cell>
        </row>
        <row r="1235">
          <cell r="A1235" t="str">
            <v>B557981/A</v>
          </cell>
          <cell r="B1235" t="str">
            <v>BN3177M355</v>
          </cell>
          <cell r="C1235">
            <v>5</v>
          </cell>
          <cell r="D1235">
            <v>736</v>
          </cell>
          <cell r="E1235">
            <v>3680</v>
          </cell>
          <cell r="F1235" t="str">
            <v>A2-S01-3</v>
          </cell>
          <cell r="G1235" t="str">
            <v>Spline - Lưỡi gà</v>
          </cell>
          <cell r="H1235" t="str">
            <v>Plywood off cut</v>
          </cell>
          <cell r="I1235">
            <v>10</v>
          </cell>
        </row>
        <row r="1236">
          <cell r="A1236" t="str">
            <v>B557981/A</v>
          </cell>
          <cell r="B1236" t="str">
            <v>BN3177M355</v>
          </cell>
          <cell r="C1236">
            <v>5</v>
          </cell>
          <cell r="D1236">
            <v>736</v>
          </cell>
          <cell r="E1236">
            <v>3680</v>
          </cell>
          <cell r="F1236" t="str">
            <v>A2-S01-4</v>
          </cell>
          <cell r="G1236" t="str">
            <v>Insert Wood - Gỗ chèn</v>
          </cell>
          <cell r="H1236" t="str">
            <v>Wood EU Beech - Straight/Waving Edged ABC, 2 COM - T38mm x W100mm up x L1.8m up</v>
          </cell>
          <cell r="I1236">
            <v>10</v>
          </cell>
        </row>
        <row r="1237">
          <cell r="A1237" t="str">
            <v>B557981/A</v>
          </cell>
          <cell r="B1237" t="str">
            <v>BN3177M355</v>
          </cell>
          <cell r="C1237">
            <v>5</v>
          </cell>
          <cell r="D1237">
            <v>736</v>
          </cell>
          <cell r="E1237">
            <v>3680</v>
          </cell>
          <cell r="F1237" t="str">
            <v>A2-S02</v>
          </cell>
          <cell r="G1237" t="str">
            <v>Front Bottom Rail  - Đố đáy trước</v>
          </cell>
          <cell r="H1237" t="str">
            <v>Pre-Assembly</v>
          </cell>
          <cell r="I1237">
            <v>5</v>
          </cell>
        </row>
        <row r="1238">
          <cell r="A1238" t="str">
            <v>B557981/A</v>
          </cell>
          <cell r="B1238" t="str">
            <v>BN3177M355</v>
          </cell>
          <cell r="C1238">
            <v>5</v>
          </cell>
          <cell r="D1238">
            <v>736</v>
          </cell>
          <cell r="E1238">
            <v>3680</v>
          </cell>
          <cell r="F1238" t="str">
            <v>A2-S02-2</v>
          </cell>
          <cell r="G1238" t="str">
            <v>Front Bottom Rail  - Đố đáy trước</v>
          </cell>
          <cell r="H1238" t="str">
            <v>Wd+VN</v>
          </cell>
          <cell r="I1238">
            <v>5</v>
          </cell>
        </row>
        <row r="1239">
          <cell r="A1239" t="str">
            <v>B557981/A</v>
          </cell>
          <cell r="B1239" t="str">
            <v>BN3177M355</v>
          </cell>
          <cell r="C1239">
            <v>5</v>
          </cell>
          <cell r="D1239">
            <v>736</v>
          </cell>
          <cell r="E1239">
            <v>3680</v>
          </cell>
          <cell r="F1239" t="str">
            <v>A2-S02-3</v>
          </cell>
          <cell r="G1239" t="str">
            <v>Front Bottom Rail  - Đố đáy trước</v>
          </cell>
          <cell r="H1239" t="str">
            <v>Wd+VN</v>
          </cell>
          <cell r="I1239">
            <v>10</v>
          </cell>
        </row>
        <row r="1240">
          <cell r="A1240" t="str">
            <v>B557981/A</v>
          </cell>
          <cell r="B1240" t="str">
            <v>BN3177M355</v>
          </cell>
          <cell r="C1240">
            <v>5</v>
          </cell>
          <cell r="D1240">
            <v>736</v>
          </cell>
          <cell r="E1240">
            <v>3680</v>
          </cell>
          <cell r="F1240" t="str">
            <v>A3-S1</v>
          </cell>
          <cell r="G1240" t="str">
            <v>Side bed panel - Ván hông giường</v>
          </cell>
          <cell r="H1240" t="str">
            <v>Wd+MDF+VN</v>
          </cell>
          <cell r="I1240">
            <v>10</v>
          </cell>
        </row>
        <row r="1241">
          <cell r="A1241" t="str">
            <v>B557981/A</v>
          </cell>
          <cell r="B1241" t="str">
            <v>BN3177M355</v>
          </cell>
          <cell r="C1241">
            <v>5</v>
          </cell>
          <cell r="D1241">
            <v>736</v>
          </cell>
          <cell r="E1241">
            <v>3680</v>
          </cell>
          <cell r="F1241" t="str">
            <v>A3-S1-1</v>
          </cell>
          <cell r="G1241" t="str">
            <v>Insert Wood - Gỗ chèn</v>
          </cell>
          <cell r="H1241" t="str">
            <v>Wood EU Beech - Straight/Waving Edged ABC, 2 COM - T38mm x W100mm up x L1.8m up</v>
          </cell>
          <cell r="I1241">
            <v>20</v>
          </cell>
        </row>
        <row r="1242">
          <cell r="A1242" t="str">
            <v>B557981/A</v>
          </cell>
          <cell r="B1242" t="str">
            <v>BN3177M355</v>
          </cell>
          <cell r="C1242">
            <v>5</v>
          </cell>
          <cell r="D1242">
            <v>736</v>
          </cell>
          <cell r="E1242">
            <v>3680</v>
          </cell>
          <cell r="F1242" t="str">
            <v>A3-S2</v>
          </cell>
          <cell r="G1242" t="str">
            <v>Slat Support  - Đỡ dạt giường</v>
          </cell>
          <cell r="H1242" t="str">
            <v>Wood US Poplar - Straight Edged, 1 COM - T32mm x W100mm Up x L1.8m Up</v>
          </cell>
          <cell r="I1242">
            <v>10</v>
          </cell>
        </row>
        <row r="1243">
          <cell r="A1243" t="str">
            <v>B557981/A</v>
          </cell>
          <cell r="B1243" t="str">
            <v>BN3177M355</v>
          </cell>
          <cell r="C1243">
            <v>5</v>
          </cell>
          <cell r="D1243">
            <v>736</v>
          </cell>
          <cell r="E1243">
            <v>3680</v>
          </cell>
          <cell r="F1243" t="str">
            <v>A3-S3</v>
          </cell>
          <cell r="G1243" t="str">
            <v>Side bottom rail - Đố hông dưới</v>
          </cell>
          <cell r="H1243" t="str">
            <v>Wood US Poplar - Straight Edged, 1 COM - T32mm x W100mm Up x L1.8m Up</v>
          </cell>
          <cell r="I1243">
            <v>10</v>
          </cell>
        </row>
        <row r="1244">
          <cell r="A1244" t="str">
            <v>B557981/A</v>
          </cell>
          <cell r="B1244" t="str">
            <v>BN3177M355</v>
          </cell>
          <cell r="C1244">
            <v>5</v>
          </cell>
          <cell r="D1244">
            <v>736</v>
          </cell>
          <cell r="E1244">
            <v>3680</v>
          </cell>
          <cell r="F1244" t="str">
            <v>P2</v>
          </cell>
          <cell r="G1244" t="str">
            <v>Slat Support  - Đỡ dạt giường</v>
          </cell>
          <cell r="H1244" t="str">
            <v>Wood US Poplar - Straight Edged, 1 COM - T38mm x W100mm Up x L1.8m Up</v>
          </cell>
          <cell r="I1244">
            <v>5</v>
          </cell>
        </row>
        <row r="1245">
          <cell r="A1245" t="str">
            <v>B557981/A</v>
          </cell>
          <cell r="B1245" t="str">
            <v>BN3177M355</v>
          </cell>
          <cell r="C1245">
            <v>5</v>
          </cell>
          <cell r="D1245">
            <v>736</v>
          </cell>
          <cell r="E1245">
            <v>3680</v>
          </cell>
          <cell r="F1245" t="str">
            <v>P3</v>
          </cell>
          <cell r="G1245" t="str">
            <v>panel platform - ván sàn giường</v>
          </cell>
          <cell r="H1245" t="str">
            <v>MDF Veneer</v>
          </cell>
          <cell r="I1245">
            <v>10</v>
          </cell>
        </row>
        <row r="1246">
          <cell r="A1246" t="str">
            <v>B557982/A</v>
          </cell>
          <cell r="B1246" t="str">
            <v>BN3177M355</v>
          </cell>
          <cell r="C1246">
            <v>5</v>
          </cell>
          <cell r="D1246">
            <v>736</v>
          </cell>
          <cell r="E1246">
            <v>3680</v>
          </cell>
          <cell r="F1246" t="str">
            <v>A1</v>
          </cell>
          <cell r="G1246" t="str">
            <v>Head board  - Đầu giường</v>
          </cell>
          <cell r="H1246" t="str">
            <v>Pre-Assembly</v>
          </cell>
          <cell r="I1246">
            <v>5</v>
          </cell>
        </row>
        <row r="1247">
          <cell r="A1247" t="str">
            <v>B557982/A</v>
          </cell>
          <cell r="B1247" t="str">
            <v>BN3177M355</v>
          </cell>
          <cell r="C1247">
            <v>5</v>
          </cell>
          <cell r="D1247">
            <v>736</v>
          </cell>
          <cell r="E1247">
            <v>3680</v>
          </cell>
          <cell r="F1247" t="str">
            <v>A11</v>
          </cell>
          <cell r="G1247" t="str">
            <v xml:space="preserve">Curve part hot press  - chi tiết cảo cong </v>
          </cell>
          <cell r="H1247" t="str">
            <v>Veneer laminate</v>
          </cell>
          <cell r="I1247">
            <v>10</v>
          </cell>
        </row>
        <row r="1248">
          <cell r="A1248" t="str">
            <v>B557982/A</v>
          </cell>
          <cell r="B1248" t="str">
            <v>BN3177M355</v>
          </cell>
          <cell r="C1248">
            <v>5</v>
          </cell>
          <cell r="D1248">
            <v>736</v>
          </cell>
          <cell r="E1248">
            <v>3680</v>
          </cell>
          <cell r="F1248" t="str">
            <v>A1-S02</v>
          </cell>
          <cell r="G1248" t="str">
            <v>Patching moulding - Chỉ đắp</v>
          </cell>
          <cell r="H1248" t="str">
            <v>Veneer laminate</v>
          </cell>
          <cell r="I1248">
            <v>10</v>
          </cell>
        </row>
        <row r="1249">
          <cell r="A1249" t="str">
            <v>B557982/A</v>
          </cell>
          <cell r="B1249" t="str">
            <v>BN3177M355</v>
          </cell>
          <cell r="C1249">
            <v>5</v>
          </cell>
          <cell r="D1249">
            <v>736</v>
          </cell>
          <cell r="E1249">
            <v>3680</v>
          </cell>
          <cell r="F1249" t="str">
            <v>A1-S02-1</v>
          </cell>
          <cell r="G1249" t="str">
            <v>Patching moulding - Chỉ đắp</v>
          </cell>
          <cell r="H1249" t="str">
            <v>Wood US Poplar - Straight Edged, 2 COM - T38mm x W100mm Up x L1.8m Up</v>
          </cell>
          <cell r="I1249">
            <v>5</v>
          </cell>
        </row>
        <row r="1250">
          <cell r="A1250" t="str">
            <v>B557982/A</v>
          </cell>
          <cell r="B1250" t="str">
            <v>BN3177M355</v>
          </cell>
          <cell r="C1250">
            <v>5</v>
          </cell>
          <cell r="D1250">
            <v>736</v>
          </cell>
          <cell r="E1250">
            <v>3680</v>
          </cell>
          <cell r="F1250" t="str">
            <v>A1-S03</v>
          </cell>
          <cell r="G1250" t="str">
            <v xml:space="preserve">Side rail  - Đố hông </v>
          </cell>
          <cell r="H1250" t="str">
            <v>Wood US Poplar - Straight Edged, 2 COM - T38mm x W100mm Up x L1.8m Up</v>
          </cell>
          <cell r="I1250">
            <v>10</v>
          </cell>
        </row>
        <row r="1251">
          <cell r="A1251" t="str">
            <v>B557982/A</v>
          </cell>
          <cell r="B1251" t="str">
            <v>BN3177M355</v>
          </cell>
          <cell r="C1251">
            <v>5</v>
          </cell>
          <cell r="D1251">
            <v>736</v>
          </cell>
          <cell r="E1251">
            <v>3680</v>
          </cell>
          <cell r="F1251" t="str">
            <v>A1-S04</v>
          </cell>
          <cell r="G1251" t="str">
            <v>vaccumn veneer - cảo bich veneer</v>
          </cell>
          <cell r="H1251" t="str">
            <v>Pre-Assembly</v>
          </cell>
          <cell r="I1251">
            <v>5</v>
          </cell>
        </row>
        <row r="1252">
          <cell r="A1252" t="str">
            <v>B557982/A</v>
          </cell>
          <cell r="B1252" t="str">
            <v>BN3177M355</v>
          </cell>
          <cell r="C1252">
            <v>5</v>
          </cell>
          <cell r="D1252">
            <v>736</v>
          </cell>
          <cell r="E1252">
            <v>3680</v>
          </cell>
          <cell r="F1252" t="str">
            <v>A1-S04-1</v>
          </cell>
          <cell r="G1252" t="str">
            <v xml:space="preserve">Curve part hot press  - chi tiết cảo cong </v>
          </cell>
          <cell r="H1252" t="str">
            <v>MDF Veneer</v>
          </cell>
          <cell r="I1252">
            <v>10</v>
          </cell>
        </row>
        <row r="1253">
          <cell r="A1253" t="str">
            <v>B557982/A</v>
          </cell>
          <cell r="B1253" t="str">
            <v>BN3177M355</v>
          </cell>
          <cell r="C1253">
            <v>5</v>
          </cell>
          <cell r="D1253">
            <v>736</v>
          </cell>
          <cell r="E1253">
            <v>3680</v>
          </cell>
          <cell r="F1253" t="str">
            <v>A1-S04-1-1</v>
          </cell>
          <cell r="G1253" t="str">
            <v>Patching wood - Gỗ đắp</v>
          </cell>
          <cell r="H1253" t="str">
            <v>Beech off cut</v>
          </cell>
          <cell r="I1253">
            <v>10</v>
          </cell>
        </row>
        <row r="1254">
          <cell r="A1254" t="str">
            <v>B557982/A</v>
          </cell>
          <cell r="B1254" t="str">
            <v>BN3177M355</v>
          </cell>
          <cell r="C1254">
            <v>5</v>
          </cell>
          <cell r="D1254">
            <v>736</v>
          </cell>
          <cell r="E1254">
            <v>3680</v>
          </cell>
          <cell r="F1254" t="str">
            <v>A1-S04-2</v>
          </cell>
          <cell r="G1254" t="str">
            <v>Head board panel  - Ván đầu giường</v>
          </cell>
          <cell r="H1254" t="str">
            <v>MDF Veneer</v>
          </cell>
          <cell r="I1254">
            <v>5</v>
          </cell>
        </row>
        <row r="1255">
          <cell r="A1255" t="str">
            <v>B557982/A</v>
          </cell>
          <cell r="B1255" t="str">
            <v>BN3177M355</v>
          </cell>
          <cell r="C1255">
            <v>5</v>
          </cell>
          <cell r="D1255">
            <v>736</v>
          </cell>
          <cell r="E1255">
            <v>3680</v>
          </cell>
          <cell r="F1255" t="str">
            <v>A1-S04-3</v>
          </cell>
          <cell r="G1255" t="str">
            <v>Spline - Lưỡi gà</v>
          </cell>
          <cell r="H1255" t="str">
            <v>Plywood LVD - 15 x 1220 x 2440mm, Bleached Poplar Veneer Both Sides [CARB P2 Compliant]</v>
          </cell>
          <cell r="I1255">
            <v>10</v>
          </cell>
        </row>
        <row r="1256">
          <cell r="A1256" t="str">
            <v>B557982/A</v>
          </cell>
          <cell r="B1256" t="str">
            <v>BN3177M355</v>
          </cell>
          <cell r="C1256">
            <v>5</v>
          </cell>
          <cell r="D1256">
            <v>736</v>
          </cell>
          <cell r="E1256">
            <v>3680</v>
          </cell>
          <cell r="F1256" t="str">
            <v>A1-S06</v>
          </cell>
          <cell r="G1256" t="str">
            <v>Patching moulding - Chỉ đắp</v>
          </cell>
          <cell r="H1256" t="str">
            <v>Veneer laminate</v>
          </cell>
          <cell r="I1256">
            <v>10</v>
          </cell>
        </row>
        <row r="1257">
          <cell r="A1257" t="str">
            <v>B557982/A</v>
          </cell>
          <cell r="B1257" t="str">
            <v>BN3177M355</v>
          </cell>
          <cell r="C1257">
            <v>5</v>
          </cell>
          <cell r="D1257">
            <v>736</v>
          </cell>
          <cell r="E1257">
            <v>3680</v>
          </cell>
          <cell r="F1257" t="str">
            <v>A1-S06-1</v>
          </cell>
          <cell r="G1257" t="str">
            <v>Patching moulding - Chỉ đắp</v>
          </cell>
          <cell r="H1257" t="str">
            <v>Wd+VN</v>
          </cell>
          <cell r="I1257">
            <v>5</v>
          </cell>
        </row>
        <row r="1258">
          <cell r="A1258" t="str">
            <v>B557982/A</v>
          </cell>
          <cell r="B1258" t="str">
            <v>BN3177M355</v>
          </cell>
          <cell r="C1258">
            <v>5</v>
          </cell>
          <cell r="D1258">
            <v>736</v>
          </cell>
          <cell r="E1258">
            <v>3680</v>
          </cell>
          <cell r="F1258" t="str">
            <v>A1-S09</v>
          </cell>
          <cell r="G1258" t="str">
            <v>Front Bottom Rail  - Đố đáy trước</v>
          </cell>
          <cell r="H1258" t="str">
            <v>Pre-Assembly</v>
          </cell>
          <cell r="I1258">
            <v>5</v>
          </cell>
        </row>
        <row r="1259">
          <cell r="A1259" t="str">
            <v>B557982/A</v>
          </cell>
          <cell r="B1259" t="str">
            <v>BN3177M355</v>
          </cell>
          <cell r="C1259">
            <v>5</v>
          </cell>
          <cell r="D1259">
            <v>736</v>
          </cell>
          <cell r="E1259">
            <v>3680</v>
          </cell>
          <cell r="F1259" t="str">
            <v>A1-S09-1</v>
          </cell>
          <cell r="G1259" t="str">
            <v>Front Bottom Rail  - Đố đáy trước</v>
          </cell>
          <cell r="H1259" t="str">
            <v>Wd+VN</v>
          </cell>
          <cell r="I1259">
            <v>5</v>
          </cell>
        </row>
        <row r="1260">
          <cell r="A1260" t="str">
            <v>B557982/A</v>
          </cell>
          <cell r="B1260" t="str">
            <v>BN3177M355</v>
          </cell>
          <cell r="C1260">
            <v>5</v>
          </cell>
          <cell r="D1260">
            <v>736</v>
          </cell>
          <cell r="E1260">
            <v>3680</v>
          </cell>
          <cell r="F1260" t="str">
            <v>A1-S09-2</v>
          </cell>
          <cell r="G1260" t="str">
            <v>Front Bottom Rail  - Đố đáy trước</v>
          </cell>
          <cell r="H1260" t="str">
            <v>Wood laminate</v>
          </cell>
          <cell r="I1260">
            <v>10</v>
          </cell>
        </row>
        <row r="1261">
          <cell r="A1261" t="str">
            <v>B557982/A</v>
          </cell>
          <cell r="B1261" t="str">
            <v>BN3177M355</v>
          </cell>
          <cell r="C1261">
            <v>5</v>
          </cell>
          <cell r="D1261">
            <v>736</v>
          </cell>
          <cell r="E1261">
            <v>3680</v>
          </cell>
          <cell r="F1261" t="str">
            <v>A1-S11</v>
          </cell>
          <cell r="G1261" t="str">
            <v>Cleat - Bọ gỗ</v>
          </cell>
          <cell r="H1261" t="str">
            <v>Beech off cut</v>
          </cell>
          <cell r="I1261">
            <v>10</v>
          </cell>
        </row>
        <row r="1262">
          <cell r="A1262" t="str">
            <v>B557982/A</v>
          </cell>
          <cell r="B1262" t="str">
            <v>BN3177M355</v>
          </cell>
          <cell r="C1262">
            <v>5</v>
          </cell>
          <cell r="D1262">
            <v>736</v>
          </cell>
          <cell r="E1262">
            <v>3680</v>
          </cell>
          <cell r="F1262" t="str">
            <v>A1-S12</v>
          </cell>
          <cell r="G1262" t="str">
            <v>Cleat - Bọ gỗ</v>
          </cell>
          <cell r="H1262" t="str">
            <v>Beech off cut</v>
          </cell>
          <cell r="I1262">
            <v>20</v>
          </cell>
        </row>
        <row r="1263">
          <cell r="A1263" t="str">
            <v>B557982/A</v>
          </cell>
          <cell r="B1263" t="str">
            <v>BN3177M355</v>
          </cell>
          <cell r="C1263">
            <v>5</v>
          </cell>
          <cell r="D1263">
            <v>736</v>
          </cell>
          <cell r="E1263">
            <v>3680</v>
          </cell>
          <cell r="F1263" t="str">
            <v>A2-S01</v>
          </cell>
          <cell r="G1263" t="str">
            <v>vaccumn veneer - cảo bich veneer</v>
          </cell>
          <cell r="H1263" t="str">
            <v>Pre-Assembly</v>
          </cell>
          <cell r="I1263">
            <v>5</v>
          </cell>
        </row>
        <row r="1264">
          <cell r="A1264" t="str">
            <v>B557982/A</v>
          </cell>
          <cell r="B1264" t="str">
            <v>BN3177M355</v>
          </cell>
          <cell r="C1264">
            <v>5</v>
          </cell>
          <cell r="D1264">
            <v>736</v>
          </cell>
          <cell r="E1264">
            <v>3680</v>
          </cell>
          <cell r="F1264" t="str">
            <v>A2-S01-1</v>
          </cell>
          <cell r="G1264" t="str">
            <v xml:space="preserve">Curve part hot press  - chi tiết cảo cong </v>
          </cell>
          <cell r="H1264" t="str">
            <v>MDF laminate</v>
          </cell>
          <cell r="I1264">
            <v>10</v>
          </cell>
        </row>
        <row r="1265">
          <cell r="A1265" t="str">
            <v>B557982/A</v>
          </cell>
          <cell r="B1265" t="str">
            <v>BN3177M355</v>
          </cell>
          <cell r="C1265">
            <v>5</v>
          </cell>
          <cell r="D1265">
            <v>736</v>
          </cell>
          <cell r="E1265">
            <v>3680</v>
          </cell>
          <cell r="F1265" t="str">
            <v>A2-S01-2</v>
          </cell>
          <cell r="G1265" t="str">
            <v>Foot board  - Đuôi giường</v>
          </cell>
          <cell r="H1265" t="str">
            <v>MDF laminate</v>
          </cell>
          <cell r="I1265">
            <v>5</v>
          </cell>
        </row>
        <row r="1266">
          <cell r="A1266" t="str">
            <v>B557982/A</v>
          </cell>
          <cell r="B1266" t="str">
            <v>BN3177M355</v>
          </cell>
          <cell r="C1266">
            <v>5</v>
          </cell>
          <cell r="D1266">
            <v>736</v>
          </cell>
          <cell r="E1266">
            <v>3680</v>
          </cell>
          <cell r="F1266" t="str">
            <v>A2-S01-3</v>
          </cell>
          <cell r="G1266" t="str">
            <v>Spline - Lưỡi gà</v>
          </cell>
          <cell r="H1266" t="str">
            <v>Plywood off cut</v>
          </cell>
          <cell r="I1266">
            <v>10</v>
          </cell>
        </row>
        <row r="1267">
          <cell r="A1267" t="str">
            <v>B557982/A</v>
          </cell>
          <cell r="B1267" t="str">
            <v>BN3177M355</v>
          </cell>
          <cell r="C1267">
            <v>5</v>
          </cell>
          <cell r="D1267">
            <v>736</v>
          </cell>
          <cell r="E1267">
            <v>3680</v>
          </cell>
          <cell r="F1267" t="str">
            <v>A2-S01-4</v>
          </cell>
          <cell r="G1267" t="str">
            <v>Insert Wood - Gỗ chèn</v>
          </cell>
          <cell r="H1267" t="str">
            <v>Wood EU Beech - Straight/Waving Edged ABC, 2 COM - T38mm x W100mm up x L1.8m up</v>
          </cell>
          <cell r="I1267">
            <v>10</v>
          </cell>
        </row>
        <row r="1268">
          <cell r="A1268" t="str">
            <v>B557982/A</v>
          </cell>
          <cell r="B1268" t="str">
            <v>BN3177M355</v>
          </cell>
          <cell r="C1268">
            <v>5</v>
          </cell>
          <cell r="D1268">
            <v>736</v>
          </cell>
          <cell r="E1268">
            <v>3680</v>
          </cell>
          <cell r="F1268" t="str">
            <v>A2-S02</v>
          </cell>
          <cell r="G1268" t="str">
            <v>Front Bottom Rail  - Đố đáy trước</v>
          </cell>
          <cell r="H1268" t="str">
            <v>Pre-Assembly</v>
          </cell>
          <cell r="I1268">
            <v>5</v>
          </cell>
        </row>
        <row r="1269">
          <cell r="A1269" t="str">
            <v>B557982/A</v>
          </cell>
          <cell r="B1269" t="str">
            <v>BN3177M355</v>
          </cell>
          <cell r="C1269">
            <v>5</v>
          </cell>
          <cell r="D1269">
            <v>736</v>
          </cell>
          <cell r="E1269">
            <v>3680</v>
          </cell>
          <cell r="F1269" t="str">
            <v>A2-S02-2</v>
          </cell>
          <cell r="G1269" t="str">
            <v>Front Bottom Rail  - Đố đáy trước</v>
          </cell>
          <cell r="H1269" t="str">
            <v>Wd+VN</v>
          </cell>
          <cell r="I1269">
            <v>5</v>
          </cell>
        </row>
        <row r="1270">
          <cell r="A1270" t="str">
            <v>B557982/A</v>
          </cell>
          <cell r="B1270" t="str">
            <v>BN3177M355</v>
          </cell>
          <cell r="C1270">
            <v>5</v>
          </cell>
          <cell r="D1270">
            <v>736</v>
          </cell>
          <cell r="E1270">
            <v>3680</v>
          </cell>
          <cell r="F1270" t="str">
            <v>A2-S02-3</v>
          </cell>
          <cell r="G1270" t="str">
            <v>Front Bottom Rail  - Đố đáy trước</v>
          </cell>
          <cell r="H1270" t="str">
            <v>Wd+VN</v>
          </cell>
          <cell r="I1270">
            <v>10</v>
          </cell>
        </row>
        <row r="1271">
          <cell r="A1271" t="str">
            <v>B557982/A</v>
          </cell>
          <cell r="B1271" t="str">
            <v>BN3177M355</v>
          </cell>
          <cell r="C1271">
            <v>5</v>
          </cell>
          <cell r="D1271">
            <v>736</v>
          </cell>
          <cell r="E1271">
            <v>3680</v>
          </cell>
          <cell r="F1271" t="str">
            <v>A3-S1</v>
          </cell>
          <cell r="G1271" t="str">
            <v>Side bed panel - Ván hông giường</v>
          </cell>
          <cell r="H1271" t="str">
            <v>Wd+MDF+VN</v>
          </cell>
          <cell r="I1271">
            <v>10</v>
          </cell>
        </row>
        <row r="1272">
          <cell r="A1272" t="str">
            <v>B557982/A</v>
          </cell>
          <cell r="B1272" t="str">
            <v>BN3177M355</v>
          </cell>
          <cell r="C1272">
            <v>5</v>
          </cell>
          <cell r="D1272">
            <v>736</v>
          </cell>
          <cell r="E1272">
            <v>3680</v>
          </cell>
          <cell r="F1272" t="str">
            <v>A3-S1-1</v>
          </cell>
          <cell r="G1272" t="str">
            <v>Insert Wood - Gỗ chèn</v>
          </cell>
          <cell r="H1272" t="str">
            <v>Wood EU Beech - Straight/Waving Edged ABC, 2 COM - T38mm x W100mm up x L1.8m up</v>
          </cell>
          <cell r="I1272">
            <v>20</v>
          </cell>
        </row>
        <row r="1273">
          <cell r="A1273" t="str">
            <v>B557982/A</v>
          </cell>
          <cell r="B1273" t="str">
            <v>BN3177M355</v>
          </cell>
          <cell r="C1273">
            <v>5</v>
          </cell>
          <cell r="D1273">
            <v>736</v>
          </cell>
          <cell r="E1273">
            <v>3680</v>
          </cell>
          <cell r="F1273" t="str">
            <v>A3-S2</v>
          </cell>
          <cell r="G1273" t="str">
            <v>Slat Support  - Đỡ dạt giường</v>
          </cell>
          <cell r="H1273" t="str">
            <v>Wood US Poplar - Straight Edged, 1 COM - T32mm x W100mm Up x L1.8m Up</v>
          </cell>
          <cell r="I1273">
            <v>10</v>
          </cell>
        </row>
        <row r="1274">
          <cell r="A1274" t="str">
            <v>B557982/A</v>
          </cell>
          <cell r="B1274" t="str">
            <v>BN3177M355</v>
          </cell>
          <cell r="C1274">
            <v>5</v>
          </cell>
          <cell r="D1274">
            <v>736</v>
          </cell>
          <cell r="E1274">
            <v>3680</v>
          </cell>
          <cell r="F1274" t="str">
            <v>A3-S3</v>
          </cell>
          <cell r="G1274" t="str">
            <v>Side bottom rail - Đố hông dưới</v>
          </cell>
          <cell r="H1274" t="str">
            <v>Wood US Poplar - Straight Edged, 1 COM - T32mm x W100mm Up x L1.8m Up</v>
          </cell>
          <cell r="I1274">
            <v>10</v>
          </cell>
        </row>
        <row r="1275">
          <cell r="A1275" t="str">
            <v>B557982/A</v>
          </cell>
          <cell r="B1275" t="str">
            <v>BN3177M355</v>
          </cell>
          <cell r="C1275">
            <v>5</v>
          </cell>
          <cell r="D1275">
            <v>736</v>
          </cell>
          <cell r="E1275">
            <v>3680</v>
          </cell>
          <cell r="F1275" t="str">
            <v>P2</v>
          </cell>
          <cell r="G1275" t="str">
            <v>Slat Support  - Đỡ dạt giường</v>
          </cell>
          <cell r="H1275" t="str">
            <v>Wood US Poplar - Straight Edged, 1 COM - T38mm x W100mm Up x L1.8m Up</v>
          </cell>
          <cell r="I1275">
            <v>5</v>
          </cell>
        </row>
        <row r="1276">
          <cell r="A1276" t="str">
            <v>B557982/A</v>
          </cell>
          <cell r="B1276" t="str">
            <v>BN3177M355</v>
          </cell>
          <cell r="C1276">
            <v>5</v>
          </cell>
          <cell r="D1276">
            <v>736</v>
          </cell>
          <cell r="E1276">
            <v>3680</v>
          </cell>
          <cell r="F1276" t="str">
            <v>P3</v>
          </cell>
          <cell r="G1276" t="str">
            <v>panel platform - ván sàn giường</v>
          </cell>
          <cell r="H1276" t="str">
            <v>MDF Veneer</v>
          </cell>
          <cell r="I1276">
            <v>10</v>
          </cell>
        </row>
        <row r="1277">
          <cell r="A1277" t="str">
            <v>B557984/A</v>
          </cell>
          <cell r="B1277" t="str">
            <v>BN3177M356</v>
          </cell>
          <cell r="C1277">
            <v>15</v>
          </cell>
          <cell r="D1277">
            <v>688</v>
          </cell>
          <cell r="E1277">
            <v>10320</v>
          </cell>
          <cell r="F1277" t="str">
            <v>A1</v>
          </cell>
          <cell r="G1277" t="str">
            <v>Head board  - Đầu giường</v>
          </cell>
          <cell r="H1277" t="str">
            <v>Pre-Assembly</v>
          </cell>
          <cell r="I1277">
            <v>15</v>
          </cell>
        </row>
        <row r="1278">
          <cell r="A1278" t="str">
            <v>B557984/A</v>
          </cell>
          <cell r="B1278" t="str">
            <v>BN3177M356</v>
          </cell>
          <cell r="C1278">
            <v>15</v>
          </cell>
          <cell r="D1278">
            <v>688</v>
          </cell>
          <cell r="E1278">
            <v>10320</v>
          </cell>
          <cell r="F1278" t="str">
            <v>A11</v>
          </cell>
          <cell r="G1278" t="str">
            <v xml:space="preserve">Curve part hot press  - chi tiết cảo cong </v>
          </cell>
          <cell r="H1278" t="str">
            <v>Veneer laminate</v>
          </cell>
          <cell r="I1278">
            <v>30</v>
          </cell>
        </row>
        <row r="1279">
          <cell r="A1279" t="str">
            <v>B557984/A</v>
          </cell>
          <cell r="B1279" t="str">
            <v>BN3177M356</v>
          </cell>
          <cell r="C1279">
            <v>15</v>
          </cell>
          <cell r="D1279">
            <v>688</v>
          </cell>
          <cell r="E1279">
            <v>10320</v>
          </cell>
          <cell r="F1279" t="str">
            <v>A1-S02</v>
          </cell>
          <cell r="G1279" t="str">
            <v>Patching moulding - Chỉ đắp</v>
          </cell>
          <cell r="H1279" t="str">
            <v>Veneer laminate</v>
          </cell>
          <cell r="I1279">
            <v>30</v>
          </cell>
        </row>
        <row r="1280">
          <cell r="A1280" t="str">
            <v>B557984/A</v>
          </cell>
          <cell r="B1280" t="str">
            <v>BN3177M356</v>
          </cell>
          <cell r="C1280">
            <v>15</v>
          </cell>
          <cell r="D1280">
            <v>688</v>
          </cell>
          <cell r="E1280">
            <v>10320</v>
          </cell>
          <cell r="F1280" t="str">
            <v>A1-S02-1</v>
          </cell>
          <cell r="G1280" t="str">
            <v>Patching moulding - Chỉ đắp</v>
          </cell>
          <cell r="H1280" t="str">
            <v>Wood US Poplar - Straight Edged, 2 COM - T38mm x W100mm Up x L1.8m Up</v>
          </cell>
          <cell r="I1280">
            <v>15</v>
          </cell>
        </row>
        <row r="1281">
          <cell r="A1281" t="str">
            <v>B557984/A</v>
          </cell>
          <cell r="B1281" t="str">
            <v>BN3177M356</v>
          </cell>
          <cell r="C1281">
            <v>15</v>
          </cell>
          <cell r="D1281">
            <v>688</v>
          </cell>
          <cell r="E1281">
            <v>10320</v>
          </cell>
          <cell r="F1281" t="str">
            <v>A1-S03</v>
          </cell>
          <cell r="G1281" t="str">
            <v xml:space="preserve">Side rail  - Đố hông </v>
          </cell>
          <cell r="H1281" t="str">
            <v>Wood US Poplar - Straight Edged, 2 COM - T38mm x W100mm Up x L1.8m Up</v>
          </cell>
          <cell r="I1281">
            <v>30</v>
          </cell>
        </row>
        <row r="1282">
          <cell r="A1282" t="str">
            <v>B557984/A</v>
          </cell>
          <cell r="B1282" t="str">
            <v>BN3177M356</v>
          </cell>
          <cell r="C1282">
            <v>15</v>
          </cell>
          <cell r="D1282">
            <v>688</v>
          </cell>
          <cell r="E1282">
            <v>10320</v>
          </cell>
          <cell r="F1282" t="str">
            <v>A1-S04</v>
          </cell>
          <cell r="G1282" t="str">
            <v>vaccumn veneer - cảo bich veneer</v>
          </cell>
          <cell r="H1282" t="str">
            <v>Pre-Assembly</v>
          </cell>
          <cell r="I1282">
            <v>15</v>
          </cell>
        </row>
        <row r="1283">
          <cell r="A1283" t="str">
            <v>B557984/A</v>
          </cell>
          <cell r="B1283" t="str">
            <v>BN3177M356</v>
          </cell>
          <cell r="C1283">
            <v>15</v>
          </cell>
          <cell r="D1283">
            <v>688</v>
          </cell>
          <cell r="E1283">
            <v>10320</v>
          </cell>
          <cell r="F1283" t="str">
            <v>A1-S04-1</v>
          </cell>
          <cell r="G1283" t="str">
            <v xml:space="preserve">Curve part hot press  - chi tiết cảo cong </v>
          </cell>
          <cell r="H1283" t="str">
            <v>MDF Veneer</v>
          </cell>
          <cell r="I1283">
            <v>30</v>
          </cell>
        </row>
        <row r="1284">
          <cell r="A1284" t="str">
            <v>B557984/A</v>
          </cell>
          <cell r="B1284" t="str">
            <v>BN3177M356</v>
          </cell>
          <cell r="C1284">
            <v>15</v>
          </cell>
          <cell r="D1284">
            <v>688</v>
          </cell>
          <cell r="E1284">
            <v>10320</v>
          </cell>
          <cell r="F1284" t="str">
            <v>A1-S04-1-1</v>
          </cell>
          <cell r="G1284" t="str">
            <v>Patching wood - Gỗ đắp</v>
          </cell>
          <cell r="H1284" t="str">
            <v>Beech off cut</v>
          </cell>
          <cell r="I1284">
            <v>30</v>
          </cell>
        </row>
        <row r="1285">
          <cell r="A1285" t="str">
            <v>B557984/A</v>
          </cell>
          <cell r="B1285" t="str">
            <v>BN3177M356</v>
          </cell>
          <cell r="C1285">
            <v>15</v>
          </cell>
          <cell r="D1285">
            <v>688</v>
          </cell>
          <cell r="E1285">
            <v>10320</v>
          </cell>
          <cell r="F1285" t="str">
            <v>A1-S04-2</v>
          </cell>
          <cell r="G1285" t="str">
            <v>Center panel - Ván giữa</v>
          </cell>
          <cell r="H1285" t="str">
            <v>MDF Veneer</v>
          </cell>
          <cell r="I1285">
            <v>15</v>
          </cell>
        </row>
        <row r="1286">
          <cell r="A1286" t="str">
            <v>B557984/A</v>
          </cell>
          <cell r="B1286" t="str">
            <v>BN3177M356</v>
          </cell>
          <cell r="C1286">
            <v>15</v>
          </cell>
          <cell r="D1286">
            <v>688</v>
          </cell>
          <cell r="E1286">
            <v>10320</v>
          </cell>
          <cell r="F1286" t="str">
            <v>A1-S04-3</v>
          </cell>
          <cell r="G1286" t="str">
            <v>Spline - Lưỡi gà</v>
          </cell>
          <cell r="H1286" t="str">
            <v>Plywood LVD - 15 x 1220 x 2440mm, Bleached Poplar Veneer Both Sides [CARB P2 Compliant]</v>
          </cell>
          <cell r="I1286">
            <v>30</v>
          </cell>
        </row>
        <row r="1287">
          <cell r="A1287" t="str">
            <v>B557984/A</v>
          </cell>
          <cell r="B1287" t="str">
            <v>BN3177M356</v>
          </cell>
          <cell r="C1287">
            <v>15</v>
          </cell>
          <cell r="D1287">
            <v>688</v>
          </cell>
          <cell r="E1287">
            <v>10320</v>
          </cell>
          <cell r="F1287" t="str">
            <v>A1-S06</v>
          </cell>
          <cell r="G1287" t="str">
            <v>Patching moulding - Chỉ đắp</v>
          </cell>
          <cell r="H1287" t="str">
            <v>Veneer laminate</v>
          </cell>
          <cell r="I1287">
            <v>30</v>
          </cell>
        </row>
        <row r="1288">
          <cell r="A1288" t="str">
            <v>B557984/A</v>
          </cell>
          <cell r="B1288" t="str">
            <v>BN3177M356</v>
          </cell>
          <cell r="C1288">
            <v>15</v>
          </cell>
          <cell r="D1288">
            <v>688</v>
          </cell>
          <cell r="E1288">
            <v>10320</v>
          </cell>
          <cell r="F1288" t="str">
            <v>A1-S06-1</v>
          </cell>
          <cell r="G1288" t="str">
            <v>Patching moulding - Chỉ đắp</v>
          </cell>
          <cell r="H1288" t="str">
            <v>Wd+VN</v>
          </cell>
          <cell r="I1288">
            <v>15</v>
          </cell>
        </row>
        <row r="1289">
          <cell r="A1289" t="str">
            <v>B557984/A</v>
          </cell>
          <cell r="B1289" t="str">
            <v>BN3177M356</v>
          </cell>
          <cell r="C1289">
            <v>15</v>
          </cell>
          <cell r="D1289">
            <v>688</v>
          </cell>
          <cell r="E1289">
            <v>10320</v>
          </cell>
          <cell r="F1289" t="str">
            <v>A1-S09</v>
          </cell>
          <cell r="G1289" t="str">
            <v>Front Bottom Rail  - Đố đáy trước</v>
          </cell>
          <cell r="H1289" t="str">
            <v>Pre-Assembly</v>
          </cell>
          <cell r="I1289">
            <v>15</v>
          </cell>
        </row>
        <row r="1290">
          <cell r="A1290" t="str">
            <v>B557984/A</v>
          </cell>
          <cell r="B1290" t="str">
            <v>BN3177M356</v>
          </cell>
          <cell r="C1290">
            <v>15</v>
          </cell>
          <cell r="D1290">
            <v>688</v>
          </cell>
          <cell r="E1290">
            <v>10320</v>
          </cell>
          <cell r="F1290" t="str">
            <v>A1-S09-1</v>
          </cell>
          <cell r="G1290" t="str">
            <v>Front Bottom Rail  - Đố đáy trước</v>
          </cell>
          <cell r="H1290" t="str">
            <v>Wd+VN</v>
          </cell>
          <cell r="I1290">
            <v>15</v>
          </cell>
        </row>
        <row r="1291">
          <cell r="A1291" t="str">
            <v>B557984/A</v>
          </cell>
          <cell r="B1291" t="str">
            <v>BN3177M356</v>
          </cell>
          <cell r="C1291">
            <v>15</v>
          </cell>
          <cell r="D1291">
            <v>688</v>
          </cell>
          <cell r="E1291">
            <v>10320</v>
          </cell>
          <cell r="F1291" t="str">
            <v>A1-S09-2</v>
          </cell>
          <cell r="G1291" t="str">
            <v>Front Bottom Rail  - Đố đáy trước</v>
          </cell>
          <cell r="H1291" t="str">
            <v>Wood laminate</v>
          </cell>
          <cell r="I1291">
            <v>30</v>
          </cell>
        </row>
        <row r="1292">
          <cell r="A1292" t="str">
            <v>B557984/A</v>
          </cell>
          <cell r="B1292" t="str">
            <v>BN3177M356</v>
          </cell>
          <cell r="C1292">
            <v>15</v>
          </cell>
          <cell r="D1292">
            <v>688</v>
          </cell>
          <cell r="E1292">
            <v>10320</v>
          </cell>
          <cell r="F1292" t="str">
            <v>A1-S11</v>
          </cell>
          <cell r="G1292" t="str">
            <v>Cleat - Bọ gỗ</v>
          </cell>
          <cell r="H1292" t="str">
            <v>Beech off cut</v>
          </cell>
          <cell r="I1292">
            <v>30</v>
          </cell>
        </row>
        <row r="1293">
          <cell r="A1293" t="str">
            <v>B557984/A</v>
          </cell>
          <cell r="B1293" t="str">
            <v>BN3177M356</v>
          </cell>
          <cell r="C1293">
            <v>15</v>
          </cell>
          <cell r="D1293">
            <v>688</v>
          </cell>
          <cell r="E1293">
            <v>10320</v>
          </cell>
          <cell r="F1293" t="str">
            <v>A1-S12</v>
          </cell>
          <cell r="G1293" t="str">
            <v>Cleat - Bọ gỗ</v>
          </cell>
          <cell r="H1293" t="str">
            <v>Beech off cut</v>
          </cell>
          <cell r="I1293">
            <v>60</v>
          </cell>
        </row>
        <row r="1294">
          <cell r="A1294" t="str">
            <v>B557984/A</v>
          </cell>
          <cell r="B1294" t="str">
            <v>BN3177M356</v>
          </cell>
          <cell r="C1294">
            <v>15</v>
          </cell>
          <cell r="D1294">
            <v>688</v>
          </cell>
          <cell r="E1294">
            <v>10320</v>
          </cell>
          <cell r="F1294" t="str">
            <v>A2-S01</v>
          </cell>
          <cell r="G1294" t="str">
            <v>vaccumn veneer - cảo bich veneer</v>
          </cell>
          <cell r="H1294" t="str">
            <v>Pre-Assembly</v>
          </cell>
          <cell r="I1294">
            <v>15</v>
          </cell>
        </row>
        <row r="1295">
          <cell r="A1295" t="str">
            <v>B557984/A</v>
          </cell>
          <cell r="B1295" t="str">
            <v>BN3177M356</v>
          </cell>
          <cell r="C1295">
            <v>15</v>
          </cell>
          <cell r="D1295">
            <v>688</v>
          </cell>
          <cell r="E1295">
            <v>10320</v>
          </cell>
          <cell r="F1295" t="str">
            <v>A2-S01-1</v>
          </cell>
          <cell r="G1295" t="str">
            <v xml:space="preserve">Curve part hot press  - chi tiết cảo cong </v>
          </cell>
          <cell r="H1295" t="str">
            <v>MDF laminate</v>
          </cell>
          <cell r="I1295">
            <v>30</v>
          </cell>
        </row>
        <row r="1296">
          <cell r="A1296" t="str">
            <v>B557984/A</v>
          </cell>
          <cell r="B1296" t="str">
            <v>BN3177M356</v>
          </cell>
          <cell r="C1296">
            <v>15</v>
          </cell>
          <cell r="D1296">
            <v>688</v>
          </cell>
          <cell r="E1296">
            <v>10320</v>
          </cell>
          <cell r="F1296" t="str">
            <v>A2-S01-2</v>
          </cell>
          <cell r="G1296" t="str">
            <v>Foot board  - Đuôi giường</v>
          </cell>
          <cell r="H1296" t="str">
            <v>MDF laminate</v>
          </cell>
          <cell r="I1296">
            <v>15</v>
          </cell>
        </row>
        <row r="1297">
          <cell r="A1297" t="str">
            <v>B557984/A</v>
          </cell>
          <cell r="B1297" t="str">
            <v>BN3177M356</v>
          </cell>
          <cell r="C1297">
            <v>15</v>
          </cell>
          <cell r="D1297">
            <v>688</v>
          </cell>
          <cell r="E1297">
            <v>10320</v>
          </cell>
          <cell r="F1297" t="str">
            <v>A2-S01-3</v>
          </cell>
          <cell r="G1297" t="str">
            <v>Spline - Lưỡi gà</v>
          </cell>
          <cell r="H1297" t="str">
            <v>Plywood off cut</v>
          </cell>
          <cell r="I1297">
            <v>30</v>
          </cell>
        </row>
        <row r="1298">
          <cell r="A1298" t="str">
            <v>B557984/A</v>
          </cell>
          <cell r="B1298" t="str">
            <v>BN3177M356</v>
          </cell>
          <cell r="C1298">
            <v>15</v>
          </cell>
          <cell r="D1298">
            <v>688</v>
          </cell>
          <cell r="E1298">
            <v>10320</v>
          </cell>
          <cell r="F1298" t="str">
            <v>A2-S01-4</v>
          </cell>
          <cell r="G1298" t="str">
            <v>Insert Wood - Gỗ chèn</v>
          </cell>
          <cell r="H1298" t="str">
            <v>Wood EU Beech - Straight/Waving Edged ABC, 2 COM - T38mm x W100mm up x L1.8m up</v>
          </cell>
          <cell r="I1298">
            <v>30</v>
          </cell>
        </row>
        <row r="1299">
          <cell r="A1299" t="str">
            <v>B557984/A</v>
          </cell>
          <cell r="B1299" t="str">
            <v>BN3177M356</v>
          </cell>
          <cell r="C1299">
            <v>15</v>
          </cell>
          <cell r="D1299">
            <v>688</v>
          </cell>
          <cell r="E1299">
            <v>10320</v>
          </cell>
          <cell r="F1299" t="str">
            <v>A2-S02</v>
          </cell>
          <cell r="G1299" t="str">
            <v>Front Bottom Rail  - Đố đáy trước</v>
          </cell>
          <cell r="H1299" t="str">
            <v>Pre-Assembly</v>
          </cell>
          <cell r="I1299">
            <v>15</v>
          </cell>
        </row>
        <row r="1300">
          <cell r="A1300" t="str">
            <v>B557984/A</v>
          </cell>
          <cell r="B1300" t="str">
            <v>BN3177M356</v>
          </cell>
          <cell r="C1300">
            <v>15</v>
          </cell>
          <cell r="D1300">
            <v>688</v>
          </cell>
          <cell r="E1300">
            <v>10320</v>
          </cell>
          <cell r="F1300" t="str">
            <v>A2-S02-2</v>
          </cell>
          <cell r="G1300" t="str">
            <v>Front Bottom Rail  - Đố đáy trước</v>
          </cell>
          <cell r="H1300" t="str">
            <v>Wd+VN</v>
          </cell>
          <cell r="I1300">
            <v>15</v>
          </cell>
        </row>
        <row r="1301">
          <cell r="A1301" t="str">
            <v>B557984/A</v>
          </cell>
          <cell r="B1301" t="str">
            <v>BN3177M356</v>
          </cell>
          <cell r="C1301">
            <v>15</v>
          </cell>
          <cell r="D1301">
            <v>688</v>
          </cell>
          <cell r="E1301">
            <v>10320</v>
          </cell>
          <cell r="F1301" t="str">
            <v>A2-S02-3</v>
          </cell>
          <cell r="G1301" t="str">
            <v>Front Bottom Rail  - Đố đáy trước</v>
          </cell>
          <cell r="H1301" t="str">
            <v>Wd+VN</v>
          </cell>
          <cell r="I1301">
            <v>30</v>
          </cell>
        </row>
        <row r="1302">
          <cell r="A1302" t="str">
            <v>B557984/A</v>
          </cell>
          <cell r="B1302" t="str">
            <v>BN3177M356</v>
          </cell>
          <cell r="C1302">
            <v>15</v>
          </cell>
          <cell r="D1302">
            <v>688</v>
          </cell>
          <cell r="E1302">
            <v>10320</v>
          </cell>
          <cell r="F1302" t="str">
            <v>A3-S1</v>
          </cell>
          <cell r="G1302" t="str">
            <v>Side bed panel - Ván hông giường</v>
          </cell>
          <cell r="H1302" t="str">
            <v>Wd+MDF+VN</v>
          </cell>
          <cell r="I1302">
            <v>30</v>
          </cell>
        </row>
        <row r="1303">
          <cell r="A1303" t="str">
            <v>B557984/A</v>
          </cell>
          <cell r="B1303" t="str">
            <v>BN3177M356</v>
          </cell>
          <cell r="C1303">
            <v>15</v>
          </cell>
          <cell r="D1303">
            <v>688</v>
          </cell>
          <cell r="E1303">
            <v>10320</v>
          </cell>
          <cell r="F1303" t="str">
            <v>A3-S1-1</v>
          </cell>
          <cell r="G1303" t="str">
            <v>Insert Wood - Gỗ chèn</v>
          </cell>
          <cell r="H1303" t="str">
            <v>Wood EU Beech - Straight/Waving Edged ABC, 2 COM - T38mm x W100mm up x L1.8m up</v>
          </cell>
          <cell r="I1303">
            <v>60</v>
          </cell>
        </row>
        <row r="1304">
          <cell r="A1304" t="str">
            <v>B557984/A</v>
          </cell>
          <cell r="B1304" t="str">
            <v>BN3177M356</v>
          </cell>
          <cell r="C1304">
            <v>15</v>
          </cell>
          <cell r="D1304">
            <v>688</v>
          </cell>
          <cell r="E1304">
            <v>10320</v>
          </cell>
          <cell r="F1304" t="str">
            <v>A3-S2</v>
          </cell>
          <cell r="G1304" t="str">
            <v>Slat Support  - Đỡ dạt giường</v>
          </cell>
          <cell r="H1304" t="str">
            <v>Wood US Poplar - Straight Edged, 1 COM - T32mm x W100mm Up x L1.8m Up</v>
          </cell>
          <cell r="I1304">
            <v>30</v>
          </cell>
        </row>
        <row r="1305">
          <cell r="A1305" t="str">
            <v>B557984/A</v>
          </cell>
          <cell r="B1305" t="str">
            <v>BN3177M356</v>
          </cell>
          <cell r="C1305">
            <v>15</v>
          </cell>
          <cell r="D1305">
            <v>688</v>
          </cell>
          <cell r="E1305">
            <v>10320</v>
          </cell>
          <cell r="F1305" t="str">
            <v>A3-S3</v>
          </cell>
          <cell r="G1305" t="str">
            <v>Side bottom rail - Đố hông dưới</v>
          </cell>
          <cell r="H1305" t="str">
            <v>Wood US Poplar - Straight Edged, 1 COM - T32mm x W100mm Up x L1.8m Up</v>
          </cell>
          <cell r="I1305">
            <v>30</v>
          </cell>
        </row>
        <row r="1306">
          <cell r="A1306" t="str">
            <v>B557984/A</v>
          </cell>
          <cell r="B1306" t="str">
            <v>BN3177M356</v>
          </cell>
          <cell r="C1306">
            <v>15</v>
          </cell>
          <cell r="D1306">
            <v>688</v>
          </cell>
          <cell r="E1306">
            <v>10320</v>
          </cell>
          <cell r="F1306" t="str">
            <v>P2</v>
          </cell>
          <cell r="G1306" t="str">
            <v>Slat Support  - Đỡ dạt giường</v>
          </cell>
          <cell r="H1306" t="str">
            <v>Wood US Poplar - Straight Edged, 1 COM - T38mm x W100mm Up x L1.8m Up</v>
          </cell>
          <cell r="I1306">
            <v>15</v>
          </cell>
        </row>
        <row r="1307">
          <cell r="A1307" t="str">
            <v>B557984/A</v>
          </cell>
          <cell r="B1307" t="str">
            <v>BN3177M356</v>
          </cell>
          <cell r="C1307">
            <v>15</v>
          </cell>
          <cell r="D1307">
            <v>688</v>
          </cell>
          <cell r="E1307">
            <v>10320</v>
          </cell>
          <cell r="F1307" t="str">
            <v>P3</v>
          </cell>
          <cell r="G1307" t="str">
            <v>panel platform - ván sàn giường</v>
          </cell>
          <cell r="H1307" t="str">
            <v>MDF Veneer</v>
          </cell>
          <cell r="I1307">
            <v>30</v>
          </cell>
        </row>
        <row r="1308">
          <cell r="A1308" t="str">
            <v>B555976/A</v>
          </cell>
          <cell r="B1308" t="str">
            <v>BN3189M355</v>
          </cell>
          <cell r="C1308">
            <v>10</v>
          </cell>
          <cell r="D1308">
            <v>803</v>
          </cell>
          <cell r="E1308">
            <v>8030</v>
          </cell>
          <cell r="F1308" t="str">
            <v>A1</v>
          </cell>
          <cell r="G1308" t="str">
            <v>Head board  - Đầu giường</v>
          </cell>
          <cell r="H1308" t="str">
            <v>Pre-Assembly</v>
          </cell>
          <cell r="I1308">
            <v>10</v>
          </cell>
        </row>
        <row r="1309">
          <cell r="A1309" t="str">
            <v>B555976/A</v>
          </cell>
          <cell r="B1309" t="str">
            <v>BN3189M355</v>
          </cell>
          <cell r="C1309">
            <v>10</v>
          </cell>
          <cell r="D1309">
            <v>803</v>
          </cell>
          <cell r="E1309">
            <v>8030</v>
          </cell>
          <cell r="F1309" t="str">
            <v>A11</v>
          </cell>
          <cell r="G1309" t="str">
            <v xml:space="preserve">Curve part hot press  - chi tiết cảo cong </v>
          </cell>
          <cell r="H1309" t="str">
            <v>Veneer laminate</v>
          </cell>
          <cell r="I1309">
            <v>20</v>
          </cell>
        </row>
        <row r="1310">
          <cell r="A1310" t="str">
            <v>B555976/A</v>
          </cell>
          <cell r="B1310" t="str">
            <v>BN3189M355</v>
          </cell>
          <cell r="C1310">
            <v>10</v>
          </cell>
          <cell r="D1310">
            <v>803</v>
          </cell>
          <cell r="E1310">
            <v>8030</v>
          </cell>
          <cell r="F1310" t="str">
            <v>A1-S02</v>
          </cell>
          <cell r="G1310" t="str">
            <v>Patching moulding - Chỉ đắp</v>
          </cell>
          <cell r="H1310" t="str">
            <v>Veneer laminate</v>
          </cell>
          <cell r="I1310">
            <v>20</v>
          </cell>
        </row>
        <row r="1311">
          <cell r="A1311" t="str">
            <v>B555976/A</v>
          </cell>
          <cell r="B1311" t="str">
            <v>BN3189M355</v>
          </cell>
          <cell r="C1311">
            <v>10</v>
          </cell>
          <cell r="D1311">
            <v>803</v>
          </cell>
          <cell r="E1311">
            <v>8030</v>
          </cell>
          <cell r="F1311" t="str">
            <v>A1-S02-1</v>
          </cell>
          <cell r="G1311" t="str">
            <v>Patching moulding - Chỉ đắp</v>
          </cell>
          <cell r="H1311" t="str">
            <v>Wood US Poplar - Straight Edged, 2 COM - T38mm x W100mm Up x L1.8m Up</v>
          </cell>
          <cell r="I1311">
            <v>10</v>
          </cell>
        </row>
        <row r="1312">
          <cell r="A1312" t="str">
            <v>B555976/A</v>
          </cell>
          <cell r="B1312" t="str">
            <v>BN3189M355</v>
          </cell>
          <cell r="C1312">
            <v>10</v>
          </cell>
          <cell r="D1312">
            <v>803</v>
          </cell>
          <cell r="E1312">
            <v>8030</v>
          </cell>
          <cell r="F1312" t="str">
            <v>A1-S03</v>
          </cell>
          <cell r="G1312" t="str">
            <v xml:space="preserve">Side rail  - Đố hông </v>
          </cell>
          <cell r="H1312" t="str">
            <v>Wood US Poplar - Straight Edged, 2 COM - T38mm x W100mm Up x L1.8m Up</v>
          </cell>
          <cell r="I1312">
            <v>20</v>
          </cell>
        </row>
        <row r="1313">
          <cell r="A1313" t="str">
            <v>B555976/A</v>
          </cell>
          <cell r="B1313" t="str">
            <v>BN3189M355</v>
          </cell>
          <cell r="C1313">
            <v>10</v>
          </cell>
          <cell r="D1313">
            <v>803</v>
          </cell>
          <cell r="E1313">
            <v>8030</v>
          </cell>
          <cell r="F1313" t="str">
            <v>A1-S04</v>
          </cell>
          <cell r="G1313" t="str">
            <v>vaccumn veneer - cảo bich veneer</v>
          </cell>
          <cell r="H1313" t="str">
            <v>Pre-Assembly</v>
          </cell>
          <cell r="I1313">
            <v>10</v>
          </cell>
        </row>
        <row r="1314">
          <cell r="A1314" t="str">
            <v>B555976/A</v>
          </cell>
          <cell r="B1314" t="str">
            <v>BN3189M355</v>
          </cell>
          <cell r="C1314">
            <v>10</v>
          </cell>
          <cell r="D1314">
            <v>803</v>
          </cell>
          <cell r="E1314">
            <v>8030</v>
          </cell>
          <cell r="F1314" t="str">
            <v>A1-S04-1</v>
          </cell>
          <cell r="G1314" t="str">
            <v xml:space="preserve">Curve part hot press  - chi tiết cảo cong </v>
          </cell>
          <cell r="H1314" t="str">
            <v>MDF Veneer</v>
          </cell>
          <cell r="I1314">
            <v>20</v>
          </cell>
        </row>
        <row r="1315">
          <cell r="A1315" t="str">
            <v>B555976/A</v>
          </cell>
          <cell r="B1315" t="str">
            <v>BN3189M355</v>
          </cell>
          <cell r="C1315">
            <v>10</v>
          </cell>
          <cell r="D1315">
            <v>803</v>
          </cell>
          <cell r="E1315">
            <v>8030</v>
          </cell>
          <cell r="F1315" t="str">
            <v>A1-S04-1-1</v>
          </cell>
          <cell r="G1315" t="str">
            <v>Patching wood - Gỗ đắp</v>
          </cell>
          <cell r="H1315" t="str">
            <v>Beech off cut</v>
          </cell>
          <cell r="I1315">
            <v>20</v>
          </cell>
        </row>
        <row r="1316">
          <cell r="A1316" t="str">
            <v>B555976/A</v>
          </cell>
          <cell r="B1316" t="str">
            <v>BN3189M355</v>
          </cell>
          <cell r="C1316">
            <v>10</v>
          </cell>
          <cell r="D1316">
            <v>803</v>
          </cell>
          <cell r="E1316">
            <v>8030</v>
          </cell>
          <cell r="F1316" t="str">
            <v>A1-S04-2</v>
          </cell>
          <cell r="G1316" t="str">
            <v>Head board panel  - Ván đầu giường</v>
          </cell>
          <cell r="H1316" t="str">
            <v>MDF Veneer</v>
          </cell>
          <cell r="I1316">
            <v>10</v>
          </cell>
        </row>
        <row r="1317">
          <cell r="A1317" t="str">
            <v>B555976/A</v>
          </cell>
          <cell r="B1317" t="str">
            <v>BN3189M355</v>
          </cell>
          <cell r="C1317">
            <v>10</v>
          </cell>
          <cell r="D1317">
            <v>803</v>
          </cell>
          <cell r="E1317">
            <v>8030</v>
          </cell>
          <cell r="F1317" t="str">
            <v>A1-S04-3</v>
          </cell>
          <cell r="G1317" t="str">
            <v>Spline - Lưỡi gà</v>
          </cell>
          <cell r="H1317" t="str">
            <v>Plywood LVD - 15 x 1220 x 2440mm, Bleached Poplar Veneer Both Sides [CARB P2 Compliant]</v>
          </cell>
          <cell r="I1317">
            <v>20</v>
          </cell>
        </row>
        <row r="1318">
          <cell r="A1318" t="str">
            <v>B555976/A</v>
          </cell>
          <cell r="B1318" t="str">
            <v>BN3189M355</v>
          </cell>
          <cell r="C1318">
            <v>10</v>
          </cell>
          <cell r="D1318">
            <v>803</v>
          </cell>
          <cell r="E1318">
            <v>8030</v>
          </cell>
          <cell r="F1318" t="str">
            <v>A1-S06</v>
          </cell>
          <cell r="G1318" t="str">
            <v>Patching moulding - Chỉ đắp</v>
          </cell>
          <cell r="H1318" t="str">
            <v>Veneer laminate</v>
          </cell>
          <cell r="I1318">
            <v>20</v>
          </cell>
        </row>
        <row r="1319">
          <cell r="A1319" t="str">
            <v>B555976/A</v>
          </cell>
          <cell r="B1319" t="str">
            <v>BN3189M355</v>
          </cell>
          <cell r="C1319">
            <v>10</v>
          </cell>
          <cell r="D1319">
            <v>803</v>
          </cell>
          <cell r="E1319">
            <v>8030</v>
          </cell>
          <cell r="F1319" t="str">
            <v>A1-S06-1</v>
          </cell>
          <cell r="G1319" t="str">
            <v>Patching moulding - Chỉ đắp</v>
          </cell>
          <cell r="H1319" t="str">
            <v>Wd+VN</v>
          </cell>
          <cell r="I1319">
            <v>10</v>
          </cell>
        </row>
        <row r="1320">
          <cell r="A1320" t="str">
            <v>B555976/A</v>
          </cell>
          <cell r="B1320" t="str">
            <v>BN3189M355</v>
          </cell>
          <cell r="C1320">
            <v>10</v>
          </cell>
          <cell r="D1320">
            <v>803</v>
          </cell>
          <cell r="E1320">
            <v>8030</v>
          </cell>
          <cell r="F1320" t="str">
            <v>A1-S09</v>
          </cell>
          <cell r="G1320" t="str">
            <v>Front Bottom Rail  - Đố đáy trước</v>
          </cell>
          <cell r="H1320" t="str">
            <v>Pre-Assembly</v>
          </cell>
          <cell r="I1320">
            <v>10</v>
          </cell>
        </row>
        <row r="1321">
          <cell r="A1321" t="str">
            <v>B555976/A</v>
          </cell>
          <cell r="B1321" t="str">
            <v>BN3189M355</v>
          </cell>
          <cell r="C1321">
            <v>10</v>
          </cell>
          <cell r="D1321">
            <v>803</v>
          </cell>
          <cell r="E1321">
            <v>8030</v>
          </cell>
          <cell r="F1321" t="str">
            <v>A1-S09-1</v>
          </cell>
          <cell r="G1321" t="str">
            <v>Front Bottom Rail  - Đố đáy trước</v>
          </cell>
          <cell r="H1321" t="str">
            <v>Wd+VN</v>
          </cell>
          <cell r="I1321">
            <v>10</v>
          </cell>
        </row>
        <row r="1322">
          <cell r="A1322" t="str">
            <v>B555976/A</v>
          </cell>
          <cell r="B1322" t="str">
            <v>BN3189M355</v>
          </cell>
          <cell r="C1322">
            <v>10</v>
          </cell>
          <cell r="D1322">
            <v>803</v>
          </cell>
          <cell r="E1322">
            <v>8030</v>
          </cell>
          <cell r="F1322" t="str">
            <v>A1-S09-2</v>
          </cell>
          <cell r="G1322" t="str">
            <v>Front Bottom Rail  - Đố đáy trước</v>
          </cell>
          <cell r="H1322" t="str">
            <v>Wood laminate</v>
          </cell>
          <cell r="I1322">
            <v>20</v>
          </cell>
        </row>
        <row r="1323">
          <cell r="A1323" t="str">
            <v>B555976/A</v>
          </cell>
          <cell r="B1323" t="str">
            <v>BN3189M355</v>
          </cell>
          <cell r="C1323">
            <v>10</v>
          </cell>
          <cell r="D1323">
            <v>803</v>
          </cell>
          <cell r="E1323">
            <v>8030</v>
          </cell>
          <cell r="F1323" t="str">
            <v>A1-S11</v>
          </cell>
          <cell r="G1323" t="str">
            <v>Cleat - Bọ gỗ</v>
          </cell>
          <cell r="H1323" t="str">
            <v>Beech off cut</v>
          </cell>
          <cell r="I1323">
            <v>20</v>
          </cell>
        </row>
        <row r="1324">
          <cell r="A1324" t="str">
            <v>B555976/A</v>
          </cell>
          <cell r="B1324" t="str">
            <v>BN3189M355</v>
          </cell>
          <cell r="C1324">
            <v>10</v>
          </cell>
          <cell r="D1324">
            <v>803</v>
          </cell>
          <cell r="E1324">
            <v>8030</v>
          </cell>
          <cell r="F1324" t="str">
            <v>A1-S12</v>
          </cell>
          <cell r="G1324" t="str">
            <v>Cleat - Bọ gỗ</v>
          </cell>
          <cell r="H1324" t="str">
            <v>Beech off cut</v>
          </cell>
          <cell r="I1324">
            <v>40</v>
          </cell>
        </row>
        <row r="1325">
          <cell r="A1325" t="str">
            <v>B555976/A</v>
          </cell>
          <cell r="B1325" t="str">
            <v>BN3189M355</v>
          </cell>
          <cell r="C1325">
            <v>10</v>
          </cell>
          <cell r="D1325">
            <v>803</v>
          </cell>
          <cell r="E1325">
            <v>8030</v>
          </cell>
          <cell r="F1325" t="str">
            <v>A2-S01</v>
          </cell>
          <cell r="G1325" t="str">
            <v>vaccumn veneer - cảo bich veneer</v>
          </cell>
          <cell r="H1325" t="str">
            <v>Pre-Assembly</v>
          </cell>
          <cell r="I1325">
            <v>10</v>
          </cell>
        </row>
        <row r="1326">
          <cell r="A1326" t="str">
            <v>B555976/A</v>
          </cell>
          <cell r="B1326" t="str">
            <v>BN3189M355</v>
          </cell>
          <cell r="C1326">
            <v>10</v>
          </cell>
          <cell r="D1326">
            <v>803</v>
          </cell>
          <cell r="E1326">
            <v>8030</v>
          </cell>
          <cell r="F1326" t="str">
            <v>A2-S01-1</v>
          </cell>
          <cell r="G1326" t="str">
            <v xml:space="preserve">Curve part hot press  - chi tiết cảo cong </v>
          </cell>
          <cell r="H1326" t="str">
            <v>MDF laminate</v>
          </cell>
          <cell r="I1326">
            <v>20</v>
          </cell>
        </row>
        <row r="1327">
          <cell r="A1327" t="str">
            <v>B555976/A</v>
          </cell>
          <cell r="B1327" t="str">
            <v>BN3189M355</v>
          </cell>
          <cell r="C1327">
            <v>10</v>
          </cell>
          <cell r="D1327">
            <v>803</v>
          </cell>
          <cell r="E1327">
            <v>8030</v>
          </cell>
          <cell r="F1327" t="str">
            <v>A2-S01-2</v>
          </cell>
          <cell r="G1327" t="str">
            <v>Foot board panel  - Ván đuôi giường</v>
          </cell>
          <cell r="H1327" t="str">
            <v>MDF laminate</v>
          </cell>
          <cell r="I1327">
            <v>10</v>
          </cell>
        </row>
        <row r="1328">
          <cell r="A1328" t="str">
            <v>B555976/A</v>
          </cell>
          <cell r="B1328" t="str">
            <v>BN3189M355</v>
          </cell>
          <cell r="C1328">
            <v>10</v>
          </cell>
          <cell r="D1328">
            <v>803</v>
          </cell>
          <cell r="E1328">
            <v>8030</v>
          </cell>
          <cell r="F1328" t="str">
            <v>A2-S01-3</v>
          </cell>
          <cell r="G1328" t="str">
            <v>Spline - Lưỡi gà</v>
          </cell>
          <cell r="H1328" t="str">
            <v>Plywood off cut</v>
          </cell>
          <cell r="I1328">
            <v>20</v>
          </cell>
        </row>
        <row r="1329">
          <cell r="A1329" t="str">
            <v>B555976/A</v>
          </cell>
          <cell r="B1329" t="str">
            <v>BN3189M355</v>
          </cell>
          <cell r="C1329">
            <v>10</v>
          </cell>
          <cell r="D1329">
            <v>803</v>
          </cell>
          <cell r="E1329">
            <v>8030</v>
          </cell>
          <cell r="F1329" t="str">
            <v>A2-S01-4</v>
          </cell>
          <cell r="G1329" t="str">
            <v>Insert Wood - Gỗ chèn</v>
          </cell>
          <cell r="H1329" t="str">
            <v>Wood EU Beech - Straight/Waving Edged ABC, 2 COM - T38mm x W100mm up x L1.8m up</v>
          </cell>
          <cell r="I1329">
            <v>20</v>
          </cell>
        </row>
        <row r="1330">
          <cell r="A1330" t="str">
            <v>B555976/A</v>
          </cell>
          <cell r="B1330" t="str">
            <v>BN3189M355</v>
          </cell>
          <cell r="C1330">
            <v>10</v>
          </cell>
          <cell r="D1330">
            <v>803</v>
          </cell>
          <cell r="E1330">
            <v>8030</v>
          </cell>
          <cell r="F1330" t="str">
            <v>A2-S02</v>
          </cell>
          <cell r="G1330" t="str">
            <v>Front Bottom Rail  - Đố đáy trước</v>
          </cell>
          <cell r="H1330" t="str">
            <v>Pre-Assembly</v>
          </cell>
          <cell r="I1330">
            <v>10</v>
          </cell>
        </row>
        <row r="1331">
          <cell r="A1331" t="str">
            <v>B555976/A</v>
          </cell>
          <cell r="B1331" t="str">
            <v>BN3189M355</v>
          </cell>
          <cell r="C1331">
            <v>10</v>
          </cell>
          <cell r="D1331">
            <v>803</v>
          </cell>
          <cell r="E1331">
            <v>8030</v>
          </cell>
          <cell r="F1331" t="str">
            <v>A2-S02-2</v>
          </cell>
          <cell r="G1331" t="str">
            <v>Front Bottom Rail  - Đố đáy trước</v>
          </cell>
          <cell r="H1331" t="str">
            <v>Wd+VN</v>
          </cell>
          <cell r="I1331">
            <v>10</v>
          </cell>
        </row>
        <row r="1332">
          <cell r="A1332" t="str">
            <v>B555976/A</v>
          </cell>
          <cell r="B1332" t="str">
            <v>BN3189M355</v>
          </cell>
          <cell r="C1332">
            <v>10</v>
          </cell>
          <cell r="D1332">
            <v>803</v>
          </cell>
          <cell r="E1332">
            <v>8030</v>
          </cell>
          <cell r="F1332" t="str">
            <v>A2-S02-3</v>
          </cell>
          <cell r="G1332" t="str">
            <v>Front Bottom Rail  - Đố đáy trước</v>
          </cell>
          <cell r="H1332" t="str">
            <v>Wd+VN</v>
          </cell>
          <cell r="I1332">
            <v>20</v>
          </cell>
        </row>
        <row r="1333">
          <cell r="A1333" t="str">
            <v>B555976/A</v>
          </cell>
          <cell r="B1333" t="str">
            <v>BN3189M355</v>
          </cell>
          <cell r="C1333">
            <v>10</v>
          </cell>
          <cell r="D1333">
            <v>803</v>
          </cell>
          <cell r="E1333">
            <v>8030</v>
          </cell>
          <cell r="F1333" t="str">
            <v>A3-S1</v>
          </cell>
          <cell r="G1333" t="str">
            <v>Side bed - Hông giường</v>
          </cell>
          <cell r="H1333" t="str">
            <v>Wd+MDF+VN</v>
          </cell>
          <cell r="I1333">
            <v>20</v>
          </cell>
        </row>
        <row r="1334">
          <cell r="A1334" t="str">
            <v>B555976/A</v>
          </cell>
          <cell r="B1334" t="str">
            <v>BN3189M355</v>
          </cell>
          <cell r="C1334">
            <v>10</v>
          </cell>
          <cell r="D1334">
            <v>803</v>
          </cell>
          <cell r="E1334">
            <v>8030</v>
          </cell>
          <cell r="F1334" t="str">
            <v>A3-S1-1</v>
          </cell>
          <cell r="G1334" t="str">
            <v>Insert Wood - Gỗ chèn</v>
          </cell>
          <cell r="H1334" t="str">
            <v>Wood EU Beech - Straight/Waving Edged ABC, 2 COM - T38mm x W100mm up x L1.8m up</v>
          </cell>
          <cell r="I1334">
            <v>40</v>
          </cell>
        </row>
        <row r="1335">
          <cell r="A1335" t="str">
            <v>B555976/A</v>
          </cell>
          <cell r="B1335" t="str">
            <v>BN3189M355</v>
          </cell>
          <cell r="C1335">
            <v>10</v>
          </cell>
          <cell r="D1335">
            <v>803</v>
          </cell>
          <cell r="E1335">
            <v>8030</v>
          </cell>
          <cell r="F1335" t="str">
            <v>A3-S2</v>
          </cell>
          <cell r="G1335" t="str">
            <v>Slat Support  - Đỡ dạt giường</v>
          </cell>
          <cell r="H1335" t="str">
            <v>Wood US Poplar - Straight Edged, 1 COM - T32mm x W100mm Up x L1.8m Up</v>
          </cell>
          <cell r="I1335">
            <v>20</v>
          </cell>
        </row>
        <row r="1336">
          <cell r="A1336" t="str">
            <v>B555976/A</v>
          </cell>
          <cell r="B1336" t="str">
            <v>BN3189M355</v>
          </cell>
          <cell r="C1336">
            <v>10</v>
          </cell>
          <cell r="D1336">
            <v>803</v>
          </cell>
          <cell r="E1336">
            <v>8030</v>
          </cell>
          <cell r="F1336" t="str">
            <v>A3-S3</v>
          </cell>
          <cell r="G1336" t="str">
            <v>Side bottom rail - Đố hông dưới</v>
          </cell>
          <cell r="H1336" t="str">
            <v>Wood US Poplar - Straight Edged, 1 COM - T32mm x W100mm Up x L1.8m Up</v>
          </cell>
          <cell r="I1336">
            <v>20</v>
          </cell>
        </row>
        <row r="1337">
          <cell r="A1337" t="str">
            <v>B555976/A</v>
          </cell>
          <cell r="B1337" t="str">
            <v>BN3189M355</v>
          </cell>
          <cell r="C1337">
            <v>10</v>
          </cell>
          <cell r="D1337">
            <v>803</v>
          </cell>
          <cell r="E1337">
            <v>8030</v>
          </cell>
          <cell r="F1337" t="str">
            <v>P2</v>
          </cell>
          <cell r="G1337" t="str">
            <v>Slat Support  - Đỡ dạt giường</v>
          </cell>
          <cell r="H1337" t="str">
            <v>Wood US Poplar - Straight Edged, 1 COM - T38mm x W100mm Up x L1.8m Up</v>
          </cell>
          <cell r="I1337">
            <v>10</v>
          </cell>
        </row>
        <row r="1338">
          <cell r="A1338" t="str">
            <v>B555976/A</v>
          </cell>
          <cell r="B1338" t="str">
            <v>BN3189M355</v>
          </cell>
          <cell r="C1338">
            <v>10</v>
          </cell>
          <cell r="D1338">
            <v>803</v>
          </cell>
          <cell r="E1338">
            <v>8030</v>
          </cell>
          <cell r="F1338" t="str">
            <v>P3</v>
          </cell>
          <cell r="G1338" t="str">
            <v>panel platform - ván sàn giường</v>
          </cell>
          <cell r="H1338" t="str">
            <v>MDF Veneer</v>
          </cell>
          <cell r="I1338">
            <v>20</v>
          </cell>
        </row>
        <row r="1339">
          <cell r="A1339" t="str">
            <v>B555977/A</v>
          </cell>
          <cell r="B1339" t="str">
            <v>BN3189M355</v>
          </cell>
          <cell r="C1339">
            <v>10</v>
          </cell>
          <cell r="D1339">
            <v>803</v>
          </cell>
          <cell r="E1339">
            <v>8030</v>
          </cell>
          <cell r="F1339" t="str">
            <v>A1</v>
          </cell>
          <cell r="G1339" t="str">
            <v>Head board  - Đầu giường</v>
          </cell>
          <cell r="H1339" t="str">
            <v>Pre-Assembly</v>
          </cell>
          <cell r="I1339">
            <v>10</v>
          </cell>
        </row>
        <row r="1340">
          <cell r="A1340" t="str">
            <v>B555977/A</v>
          </cell>
          <cell r="B1340" t="str">
            <v>BN3189M355</v>
          </cell>
          <cell r="C1340">
            <v>10</v>
          </cell>
          <cell r="D1340">
            <v>803</v>
          </cell>
          <cell r="E1340">
            <v>8030</v>
          </cell>
          <cell r="F1340" t="str">
            <v>A11</v>
          </cell>
          <cell r="G1340" t="str">
            <v xml:space="preserve">Curve part hot press  - chi tiết cảo cong </v>
          </cell>
          <cell r="H1340" t="str">
            <v>Veneer laminate</v>
          </cell>
          <cell r="I1340">
            <v>20</v>
          </cell>
        </row>
        <row r="1341">
          <cell r="A1341" t="str">
            <v>B555977/A</v>
          </cell>
          <cell r="B1341" t="str">
            <v>BN3189M355</v>
          </cell>
          <cell r="C1341">
            <v>10</v>
          </cell>
          <cell r="D1341">
            <v>803</v>
          </cell>
          <cell r="E1341">
            <v>8030</v>
          </cell>
          <cell r="F1341" t="str">
            <v>A1-S02</v>
          </cell>
          <cell r="G1341" t="str">
            <v>Patching moulding - Chỉ đắp</v>
          </cell>
          <cell r="H1341" t="str">
            <v>Veneer laminate</v>
          </cell>
          <cell r="I1341">
            <v>20</v>
          </cell>
        </row>
        <row r="1342">
          <cell r="A1342" t="str">
            <v>B555977/A</v>
          </cell>
          <cell r="B1342" t="str">
            <v>BN3189M355</v>
          </cell>
          <cell r="C1342">
            <v>10</v>
          </cell>
          <cell r="D1342">
            <v>803</v>
          </cell>
          <cell r="E1342">
            <v>8030</v>
          </cell>
          <cell r="F1342" t="str">
            <v>A1-S02-1</v>
          </cell>
          <cell r="G1342" t="str">
            <v>Patching moulding - Chỉ đắp</v>
          </cell>
          <cell r="H1342" t="str">
            <v>Wood US Poplar - Straight Edged, 2 COM - T38mm x W100mm Up x L1.8m Up</v>
          </cell>
          <cell r="I1342">
            <v>10</v>
          </cell>
        </row>
        <row r="1343">
          <cell r="A1343" t="str">
            <v>B555977/A</v>
          </cell>
          <cell r="B1343" t="str">
            <v>BN3189M355</v>
          </cell>
          <cell r="C1343">
            <v>10</v>
          </cell>
          <cell r="D1343">
            <v>803</v>
          </cell>
          <cell r="E1343">
            <v>8030</v>
          </cell>
          <cell r="F1343" t="str">
            <v>A1-S03</v>
          </cell>
          <cell r="G1343" t="str">
            <v xml:space="preserve">Side rail  - Đố hông </v>
          </cell>
          <cell r="H1343" t="str">
            <v>Wood US Poplar - Straight Edged, 2 COM - T38mm x W100mm Up x L1.8m Up</v>
          </cell>
          <cell r="I1343">
            <v>20</v>
          </cell>
        </row>
        <row r="1344">
          <cell r="A1344" t="str">
            <v>B555977/A</v>
          </cell>
          <cell r="B1344" t="str">
            <v>BN3189M355</v>
          </cell>
          <cell r="C1344">
            <v>10</v>
          </cell>
          <cell r="D1344">
            <v>803</v>
          </cell>
          <cell r="E1344">
            <v>8030</v>
          </cell>
          <cell r="F1344" t="str">
            <v>A1-S04</v>
          </cell>
          <cell r="G1344" t="str">
            <v>vaccumn veneer - cảo bich veneer</v>
          </cell>
          <cell r="H1344" t="str">
            <v>Pre-Assembly</v>
          </cell>
          <cell r="I1344">
            <v>10</v>
          </cell>
        </row>
        <row r="1345">
          <cell r="A1345" t="str">
            <v>B555977/A</v>
          </cell>
          <cell r="B1345" t="str">
            <v>BN3189M355</v>
          </cell>
          <cell r="C1345">
            <v>10</v>
          </cell>
          <cell r="D1345">
            <v>803</v>
          </cell>
          <cell r="E1345">
            <v>8030</v>
          </cell>
          <cell r="F1345" t="str">
            <v>A1-S04-1</v>
          </cell>
          <cell r="G1345" t="str">
            <v xml:space="preserve">Curve part hot press  - chi tiết cảo cong </v>
          </cell>
          <cell r="H1345" t="str">
            <v>MDF Veneer</v>
          </cell>
          <cell r="I1345">
            <v>20</v>
          </cell>
        </row>
        <row r="1346">
          <cell r="A1346" t="str">
            <v>B555977/A</v>
          </cell>
          <cell r="B1346" t="str">
            <v>BN3189M355</v>
          </cell>
          <cell r="C1346">
            <v>10</v>
          </cell>
          <cell r="D1346">
            <v>803</v>
          </cell>
          <cell r="E1346">
            <v>8030</v>
          </cell>
          <cell r="F1346" t="str">
            <v>A1-S04-1-1</v>
          </cell>
          <cell r="G1346" t="str">
            <v>Patching wood - Gỗ đắp</v>
          </cell>
          <cell r="H1346" t="str">
            <v>Beech off cut</v>
          </cell>
          <cell r="I1346">
            <v>20</v>
          </cell>
        </row>
        <row r="1347">
          <cell r="A1347" t="str">
            <v>B555977/A</v>
          </cell>
          <cell r="B1347" t="str">
            <v>BN3189M355</v>
          </cell>
          <cell r="C1347">
            <v>10</v>
          </cell>
          <cell r="D1347">
            <v>803</v>
          </cell>
          <cell r="E1347">
            <v>8030</v>
          </cell>
          <cell r="F1347" t="str">
            <v>A1-S04-2</v>
          </cell>
          <cell r="G1347" t="str">
            <v>Head board panel  - Ván đầu giường</v>
          </cell>
          <cell r="H1347" t="str">
            <v>MDF Veneer</v>
          </cell>
          <cell r="I1347">
            <v>10</v>
          </cell>
        </row>
        <row r="1348">
          <cell r="A1348" t="str">
            <v>B555977/A</v>
          </cell>
          <cell r="B1348" t="str">
            <v>BN3189M355</v>
          </cell>
          <cell r="C1348">
            <v>10</v>
          </cell>
          <cell r="D1348">
            <v>803</v>
          </cell>
          <cell r="E1348">
            <v>8030</v>
          </cell>
          <cell r="F1348" t="str">
            <v>A1-S04-3</v>
          </cell>
          <cell r="G1348" t="str">
            <v>Spline - Lưỡi gà</v>
          </cell>
          <cell r="H1348" t="str">
            <v>Plywood LVD - 15 x 1220 x 2440mm, Bleached Poplar Veneer Both Sides [CARB P2 Compliant]</v>
          </cell>
          <cell r="I1348">
            <v>20</v>
          </cell>
        </row>
        <row r="1349">
          <cell r="A1349" t="str">
            <v>B555977/A</v>
          </cell>
          <cell r="B1349" t="str">
            <v>BN3189M355</v>
          </cell>
          <cell r="C1349">
            <v>10</v>
          </cell>
          <cell r="D1349">
            <v>803</v>
          </cell>
          <cell r="E1349">
            <v>8030</v>
          </cell>
          <cell r="F1349" t="str">
            <v>A1-S06</v>
          </cell>
          <cell r="G1349" t="str">
            <v>Patching moulding - Chỉ đắp</v>
          </cell>
          <cell r="H1349" t="str">
            <v>Veneer laminate</v>
          </cell>
          <cell r="I1349">
            <v>20</v>
          </cell>
        </row>
        <row r="1350">
          <cell r="A1350" t="str">
            <v>B555977/A</v>
          </cell>
          <cell r="B1350" t="str">
            <v>BN3189M355</v>
          </cell>
          <cell r="C1350">
            <v>10</v>
          </cell>
          <cell r="D1350">
            <v>803</v>
          </cell>
          <cell r="E1350">
            <v>8030</v>
          </cell>
          <cell r="F1350" t="str">
            <v>A1-S06-1</v>
          </cell>
          <cell r="G1350" t="str">
            <v>Patching moulding - Chỉ đắp</v>
          </cell>
          <cell r="H1350" t="str">
            <v>Wd+VN</v>
          </cell>
          <cell r="I1350">
            <v>10</v>
          </cell>
        </row>
        <row r="1351">
          <cell r="A1351" t="str">
            <v>B555977/A</v>
          </cell>
          <cell r="B1351" t="str">
            <v>BN3189M355</v>
          </cell>
          <cell r="C1351">
            <v>10</v>
          </cell>
          <cell r="D1351">
            <v>803</v>
          </cell>
          <cell r="E1351">
            <v>8030</v>
          </cell>
          <cell r="F1351" t="str">
            <v>A1-S09</v>
          </cell>
          <cell r="G1351" t="str">
            <v>Front Bottom Rail  - Đố đáy trước</v>
          </cell>
          <cell r="H1351" t="str">
            <v>Pre-Assembly</v>
          </cell>
          <cell r="I1351">
            <v>10</v>
          </cell>
        </row>
        <row r="1352">
          <cell r="A1352" t="str">
            <v>B555977/A</v>
          </cell>
          <cell r="B1352" t="str">
            <v>BN3189M355</v>
          </cell>
          <cell r="C1352">
            <v>10</v>
          </cell>
          <cell r="D1352">
            <v>803</v>
          </cell>
          <cell r="E1352">
            <v>8030</v>
          </cell>
          <cell r="F1352" t="str">
            <v>A1-S09-1</v>
          </cell>
          <cell r="G1352" t="str">
            <v>Front Bottom Rail  - Đố đáy trước</v>
          </cell>
          <cell r="H1352" t="str">
            <v>Wd+VN</v>
          </cell>
          <cell r="I1352">
            <v>10</v>
          </cell>
        </row>
        <row r="1353">
          <cell r="A1353" t="str">
            <v>B555977/A</v>
          </cell>
          <cell r="B1353" t="str">
            <v>BN3189M355</v>
          </cell>
          <cell r="C1353">
            <v>10</v>
          </cell>
          <cell r="D1353">
            <v>803</v>
          </cell>
          <cell r="E1353">
            <v>8030</v>
          </cell>
          <cell r="F1353" t="str">
            <v>A1-S09-2</v>
          </cell>
          <cell r="G1353" t="str">
            <v>Front Bottom Rail  - Đố đáy trước</v>
          </cell>
          <cell r="H1353" t="str">
            <v>Wood laminate</v>
          </cell>
          <cell r="I1353">
            <v>20</v>
          </cell>
        </row>
        <row r="1354">
          <cell r="A1354" t="str">
            <v>B555977/A</v>
          </cell>
          <cell r="B1354" t="str">
            <v>BN3189M355</v>
          </cell>
          <cell r="C1354">
            <v>10</v>
          </cell>
          <cell r="D1354">
            <v>803</v>
          </cell>
          <cell r="E1354">
            <v>8030</v>
          </cell>
          <cell r="F1354" t="str">
            <v>A1-S11</v>
          </cell>
          <cell r="G1354" t="str">
            <v>Cleat - Bọ gỗ</v>
          </cell>
          <cell r="H1354" t="str">
            <v>Beech off cut</v>
          </cell>
          <cell r="I1354">
            <v>20</v>
          </cell>
        </row>
        <row r="1355">
          <cell r="A1355" t="str">
            <v>B555977/A</v>
          </cell>
          <cell r="B1355" t="str">
            <v>BN3189M355</v>
          </cell>
          <cell r="C1355">
            <v>10</v>
          </cell>
          <cell r="D1355">
            <v>803</v>
          </cell>
          <cell r="E1355">
            <v>8030</v>
          </cell>
          <cell r="F1355" t="str">
            <v>A1-S12</v>
          </cell>
          <cell r="G1355" t="str">
            <v>Cleat - Bọ gỗ</v>
          </cell>
          <cell r="H1355" t="str">
            <v>Beech off cut</v>
          </cell>
          <cell r="I1355">
            <v>40</v>
          </cell>
        </row>
        <row r="1356">
          <cell r="A1356" t="str">
            <v>B555977/A</v>
          </cell>
          <cell r="B1356" t="str">
            <v>BN3189M355</v>
          </cell>
          <cell r="C1356">
            <v>10</v>
          </cell>
          <cell r="D1356">
            <v>803</v>
          </cell>
          <cell r="E1356">
            <v>8030</v>
          </cell>
          <cell r="F1356" t="str">
            <v>A2-S01</v>
          </cell>
          <cell r="G1356" t="str">
            <v>vaccumn veneer - cảo bich veneer</v>
          </cell>
          <cell r="H1356" t="str">
            <v>Pre-Assembly</v>
          </cell>
          <cell r="I1356">
            <v>10</v>
          </cell>
        </row>
        <row r="1357">
          <cell r="A1357" t="str">
            <v>B555977/A</v>
          </cell>
          <cell r="B1357" t="str">
            <v>BN3189M355</v>
          </cell>
          <cell r="C1357">
            <v>10</v>
          </cell>
          <cell r="D1357">
            <v>803</v>
          </cell>
          <cell r="E1357">
            <v>8030</v>
          </cell>
          <cell r="F1357" t="str">
            <v>A2-S01-1</v>
          </cell>
          <cell r="G1357" t="str">
            <v xml:space="preserve">Curve part hot press  - chi tiết cảo cong </v>
          </cell>
          <cell r="H1357" t="str">
            <v>MDF laminate</v>
          </cell>
          <cell r="I1357">
            <v>20</v>
          </cell>
        </row>
        <row r="1358">
          <cell r="A1358" t="str">
            <v>B555977/A</v>
          </cell>
          <cell r="B1358" t="str">
            <v>BN3189M355</v>
          </cell>
          <cell r="C1358">
            <v>10</v>
          </cell>
          <cell r="D1358">
            <v>803</v>
          </cell>
          <cell r="E1358">
            <v>8030</v>
          </cell>
          <cell r="F1358" t="str">
            <v>A2-S01-2</v>
          </cell>
          <cell r="G1358" t="str">
            <v>Foot board panel  - Ván đuôi giường</v>
          </cell>
          <cell r="H1358" t="str">
            <v>MDF laminate</v>
          </cell>
          <cell r="I1358">
            <v>10</v>
          </cell>
        </row>
        <row r="1359">
          <cell r="A1359" t="str">
            <v>B555977/A</v>
          </cell>
          <cell r="B1359" t="str">
            <v>BN3189M355</v>
          </cell>
          <cell r="C1359">
            <v>10</v>
          </cell>
          <cell r="D1359">
            <v>803</v>
          </cell>
          <cell r="E1359">
            <v>8030</v>
          </cell>
          <cell r="F1359" t="str">
            <v>A2-S01-3</v>
          </cell>
          <cell r="G1359" t="str">
            <v>Spline - Lưỡi gà</v>
          </cell>
          <cell r="H1359" t="str">
            <v>Plywood off cut</v>
          </cell>
          <cell r="I1359">
            <v>20</v>
          </cell>
        </row>
        <row r="1360">
          <cell r="A1360" t="str">
            <v>B555977/A</v>
          </cell>
          <cell r="B1360" t="str">
            <v>BN3189M355</v>
          </cell>
          <cell r="C1360">
            <v>10</v>
          </cell>
          <cell r="D1360">
            <v>803</v>
          </cell>
          <cell r="E1360">
            <v>8030</v>
          </cell>
          <cell r="F1360" t="str">
            <v>A2-S01-4</v>
          </cell>
          <cell r="G1360" t="str">
            <v>Insert Wood - Gỗ chèn</v>
          </cell>
          <cell r="H1360" t="str">
            <v>Wood EU Beech - Straight/Waving Edged ABC, 2 COM - T38mm x W100mm up x L1.8m up</v>
          </cell>
          <cell r="I1360">
            <v>20</v>
          </cell>
        </row>
        <row r="1361">
          <cell r="A1361" t="str">
            <v>B555977/A</v>
          </cell>
          <cell r="B1361" t="str">
            <v>BN3189M355</v>
          </cell>
          <cell r="C1361">
            <v>10</v>
          </cell>
          <cell r="D1361">
            <v>803</v>
          </cell>
          <cell r="E1361">
            <v>8030</v>
          </cell>
          <cell r="F1361" t="str">
            <v>A2-S02</v>
          </cell>
          <cell r="G1361" t="str">
            <v>Front Bottom Rail  - Đố đáy trước</v>
          </cell>
          <cell r="H1361" t="str">
            <v>Pre-Assembly</v>
          </cell>
          <cell r="I1361">
            <v>10</v>
          </cell>
        </row>
        <row r="1362">
          <cell r="A1362" t="str">
            <v>B555977/A</v>
          </cell>
          <cell r="B1362" t="str">
            <v>BN3189M355</v>
          </cell>
          <cell r="C1362">
            <v>10</v>
          </cell>
          <cell r="D1362">
            <v>803</v>
          </cell>
          <cell r="E1362">
            <v>8030</v>
          </cell>
          <cell r="F1362" t="str">
            <v>A2-S02-2</v>
          </cell>
          <cell r="G1362" t="str">
            <v>Front Bottom Rail  - Đố đáy trước</v>
          </cell>
          <cell r="H1362" t="str">
            <v>Wd+VN</v>
          </cell>
          <cell r="I1362">
            <v>10</v>
          </cell>
        </row>
        <row r="1363">
          <cell r="A1363" t="str">
            <v>B555977/A</v>
          </cell>
          <cell r="B1363" t="str">
            <v>BN3189M355</v>
          </cell>
          <cell r="C1363">
            <v>10</v>
          </cell>
          <cell r="D1363">
            <v>803</v>
          </cell>
          <cell r="E1363">
            <v>8030</v>
          </cell>
          <cell r="F1363" t="str">
            <v>A2-S02-3</v>
          </cell>
          <cell r="G1363" t="str">
            <v>Front Bottom Rail  - Đố đáy trước</v>
          </cell>
          <cell r="H1363" t="str">
            <v>Wd+VN</v>
          </cell>
          <cell r="I1363">
            <v>20</v>
          </cell>
        </row>
        <row r="1364">
          <cell r="A1364" t="str">
            <v>B555977/A</v>
          </cell>
          <cell r="B1364" t="str">
            <v>BN3189M355</v>
          </cell>
          <cell r="C1364">
            <v>10</v>
          </cell>
          <cell r="D1364">
            <v>803</v>
          </cell>
          <cell r="E1364">
            <v>8030</v>
          </cell>
          <cell r="F1364" t="str">
            <v>A3-S1</v>
          </cell>
          <cell r="G1364" t="str">
            <v>Side bed - Hông giường</v>
          </cell>
          <cell r="H1364" t="str">
            <v>Wd+MDF+VN</v>
          </cell>
          <cell r="I1364">
            <v>20</v>
          </cell>
        </row>
        <row r="1365">
          <cell r="A1365" t="str">
            <v>B555977/A</v>
          </cell>
          <cell r="B1365" t="str">
            <v>BN3189M355</v>
          </cell>
          <cell r="C1365">
            <v>10</v>
          </cell>
          <cell r="D1365">
            <v>803</v>
          </cell>
          <cell r="E1365">
            <v>8030</v>
          </cell>
          <cell r="F1365" t="str">
            <v>A3-S1-1</v>
          </cell>
          <cell r="G1365" t="str">
            <v>Insert Wood - Gỗ chèn</v>
          </cell>
          <cell r="H1365" t="str">
            <v>Wood EU Beech - Straight/Waving Edged ABC, 2 COM - T38mm x W100mm up x L1.8m up</v>
          </cell>
          <cell r="I1365">
            <v>40</v>
          </cell>
        </row>
        <row r="1366">
          <cell r="A1366" t="str">
            <v>B555977/A</v>
          </cell>
          <cell r="B1366" t="str">
            <v>BN3189M355</v>
          </cell>
          <cell r="C1366">
            <v>10</v>
          </cell>
          <cell r="D1366">
            <v>803</v>
          </cell>
          <cell r="E1366">
            <v>8030</v>
          </cell>
          <cell r="F1366" t="str">
            <v>A3-S2</v>
          </cell>
          <cell r="G1366" t="str">
            <v>Slat Support  - Đỡ dạt giường</v>
          </cell>
          <cell r="H1366" t="str">
            <v>Wood US Poplar - Straight Edged, 1 COM - T32mm x W100mm Up x L1.8m Up</v>
          </cell>
          <cell r="I1366">
            <v>20</v>
          </cell>
        </row>
        <row r="1367">
          <cell r="A1367" t="str">
            <v>B555977/A</v>
          </cell>
          <cell r="B1367" t="str">
            <v>BN3189M355</v>
          </cell>
          <cell r="C1367">
            <v>10</v>
          </cell>
          <cell r="D1367">
            <v>803</v>
          </cell>
          <cell r="E1367">
            <v>8030</v>
          </cell>
          <cell r="F1367" t="str">
            <v>A3-S3</v>
          </cell>
          <cell r="G1367" t="str">
            <v>Side bottom rail - Đố hông dưới</v>
          </cell>
          <cell r="H1367" t="str">
            <v>Wood US Poplar - Straight Edged, 1 COM - T32mm x W100mm Up x L1.8m Up</v>
          </cell>
          <cell r="I1367">
            <v>20</v>
          </cell>
        </row>
        <row r="1368">
          <cell r="A1368" t="str">
            <v>B555977/A</v>
          </cell>
          <cell r="B1368" t="str">
            <v>BN3189M355</v>
          </cell>
          <cell r="C1368">
            <v>10</v>
          </cell>
          <cell r="D1368">
            <v>803</v>
          </cell>
          <cell r="E1368">
            <v>8030</v>
          </cell>
          <cell r="F1368" t="str">
            <v>P2</v>
          </cell>
          <cell r="G1368" t="str">
            <v>Slat Support  - Đỡ dạt giường</v>
          </cell>
          <cell r="H1368" t="str">
            <v>Wood US Poplar - Straight Edged, 1 COM - T38mm x W100mm Up x L1.8m Up</v>
          </cell>
          <cell r="I1368">
            <v>10</v>
          </cell>
        </row>
        <row r="1369">
          <cell r="A1369" t="str">
            <v>B555977/A</v>
          </cell>
          <cell r="B1369" t="str">
            <v>BN3189M355</v>
          </cell>
          <cell r="C1369">
            <v>10</v>
          </cell>
          <cell r="D1369">
            <v>803</v>
          </cell>
          <cell r="E1369">
            <v>8030</v>
          </cell>
          <cell r="F1369" t="str">
            <v>P3</v>
          </cell>
          <cell r="G1369" t="str">
            <v>panel platform - ván sàn giường</v>
          </cell>
          <cell r="H1369" t="str">
            <v>MDF Veneer</v>
          </cell>
          <cell r="I1369">
            <v>20</v>
          </cell>
        </row>
        <row r="1370">
          <cell r="A1370" t="str">
            <v>B557987/A</v>
          </cell>
          <cell r="B1370" t="str">
            <v>BN3224M356</v>
          </cell>
          <cell r="C1370">
            <v>18</v>
          </cell>
          <cell r="D1370">
            <v>704</v>
          </cell>
          <cell r="E1370">
            <v>12672</v>
          </cell>
          <cell r="F1370" t="str">
            <v>A1-S01</v>
          </cell>
          <cell r="G1370" t="str">
            <v>Front Bottom Rail  - Đố đáy trước</v>
          </cell>
          <cell r="H1370" t="str">
            <v>Wood EU Beech - Straight/Waving Edged ABC, 2 COM - T38mm x W100mm up x L1.8m up</v>
          </cell>
          <cell r="I1370">
            <v>18</v>
          </cell>
        </row>
        <row r="1371">
          <cell r="A1371" t="str">
            <v>B557987/A</v>
          </cell>
          <cell r="B1371" t="str">
            <v>BN3224M356</v>
          </cell>
          <cell r="C1371">
            <v>18</v>
          </cell>
          <cell r="D1371">
            <v>704</v>
          </cell>
          <cell r="E1371">
            <v>12672</v>
          </cell>
          <cell r="F1371" t="str">
            <v>A1-S02</v>
          </cell>
          <cell r="G1371" t="str">
            <v>Side bottom rail - Đố hông dưới</v>
          </cell>
          <cell r="H1371" t="str">
            <v>Wood EU Beech - Straight/Waving Edged ABC, 2 COM - T38mm x W100mm up x L1.8m up</v>
          </cell>
          <cell r="I1371">
            <v>36</v>
          </cell>
        </row>
        <row r="1372">
          <cell r="A1372" t="str">
            <v>B557987/A</v>
          </cell>
          <cell r="B1372" t="str">
            <v>BN3224M356</v>
          </cell>
          <cell r="C1372">
            <v>18</v>
          </cell>
          <cell r="D1372">
            <v>704</v>
          </cell>
          <cell r="E1372">
            <v>12672</v>
          </cell>
          <cell r="F1372" t="str">
            <v>A1-S04</v>
          </cell>
          <cell r="G1372" t="str">
            <v>Back bottom rail - Đố hậu đáy</v>
          </cell>
          <cell r="H1372" t="str">
            <v>Wood EU Beech - Straight/Waving Edged ABC, 2 COM - T38mm x W100mm up x L1.8m up</v>
          </cell>
          <cell r="I1372">
            <v>36</v>
          </cell>
        </row>
        <row r="1373">
          <cell r="A1373" t="str">
            <v>B557987/A</v>
          </cell>
          <cell r="B1373" t="str">
            <v>BN3224M356</v>
          </cell>
          <cell r="C1373">
            <v>18</v>
          </cell>
          <cell r="D1373">
            <v>704</v>
          </cell>
          <cell r="E1373">
            <v>12672</v>
          </cell>
          <cell r="F1373" t="str">
            <v>A2</v>
          </cell>
          <cell r="G1373" t="str">
            <v xml:space="preserve">Frame - Khung </v>
          </cell>
          <cell r="H1373" t="str">
            <v>Pre-Assembly</v>
          </cell>
          <cell r="I1373">
            <v>36</v>
          </cell>
        </row>
        <row r="1374">
          <cell r="A1374" t="str">
            <v>B557987/A</v>
          </cell>
          <cell r="B1374" t="str">
            <v>BN3224M356</v>
          </cell>
          <cell r="C1374">
            <v>18</v>
          </cell>
          <cell r="D1374">
            <v>704</v>
          </cell>
          <cell r="E1374">
            <v>12672</v>
          </cell>
          <cell r="F1374" t="str">
            <v>A2-1</v>
          </cell>
          <cell r="G1374" t="str">
            <v xml:space="preserve">Frame - Khung </v>
          </cell>
          <cell r="H1374" t="str">
            <v>Pre-Assembly</v>
          </cell>
          <cell r="I1374">
            <v>36</v>
          </cell>
        </row>
        <row r="1375">
          <cell r="A1375" t="str">
            <v>B557987/A</v>
          </cell>
          <cell r="B1375" t="str">
            <v>BN3224M356</v>
          </cell>
          <cell r="C1375">
            <v>18</v>
          </cell>
          <cell r="D1375">
            <v>704</v>
          </cell>
          <cell r="E1375">
            <v>12672</v>
          </cell>
          <cell r="F1375" t="str">
            <v>A2-S01</v>
          </cell>
          <cell r="G1375" t="str">
            <v>Top rail - Đố nóc</v>
          </cell>
          <cell r="H1375" t="str">
            <v>Wood US Black Walnut - Straight Edged, 1 COM - T32mm x W100mm up x L1.2 to 1.8m</v>
          </cell>
          <cell r="I1375">
            <v>72</v>
          </cell>
        </row>
        <row r="1376">
          <cell r="A1376" t="str">
            <v>B557987/A</v>
          </cell>
          <cell r="B1376" t="str">
            <v>BN3224M356</v>
          </cell>
          <cell r="C1376">
            <v>18</v>
          </cell>
          <cell r="D1376">
            <v>704</v>
          </cell>
          <cell r="E1376">
            <v>12672</v>
          </cell>
          <cell r="F1376" t="str">
            <v>A2-S02</v>
          </cell>
          <cell r="G1376" t="str">
            <v xml:space="preserve">Side rail  - Đố hông </v>
          </cell>
          <cell r="H1376" t="str">
            <v>Wood US Black Walnut - Straight Edged, 1 COM - T32mm x W100mm up x L1.2 to 1.8m</v>
          </cell>
          <cell r="I1376">
            <v>72</v>
          </cell>
        </row>
        <row r="1377">
          <cell r="A1377" t="str">
            <v>B557987/A</v>
          </cell>
          <cell r="B1377" t="str">
            <v>BN3224M356</v>
          </cell>
          <cell r="C1377">
            <v>18</v>
          </cell>
          <cell r="D1377">
            <v>704</v>
          </cell>
          <cell r="E1377">
            <v>12672</v>
          </cell>
          <cell r="F1377" t="str">
            <v>A2-S03</v>
          </cell>
          <cell r="G1377" t="str">
            <v xml:space="preserve">Panel - Ván </v>
          </cell>
          <cell r="H1377" t="str">
            <v>MDF Veneer</v>
          </cell>
          <cell r="I1377">
            <v>36</v>
          </cell>
        </row>
        <row r="1378">
          <cell r="A1378" t="str">
            <v>B557987/A</v>
          </cell>
          <cell r="B1378" t="str">
            <v>BN3224M356</v>
          </cell>
          <cell r="C1378">
            <v>18</v>
          </cell>
          <cell r="D1378">
            <v>704</v>
          </cell>
          <cell r="E1378">
            <v>12672</v>
          </cell>
          <cell r="F1378" t="str">
            <v>A2-S04</v>
          </cell>
          <cell r="G1378" t="str">
            <v>Handle - Tay nắm</v>
          </cell>
          <cell r="H1378" t="str">
            <v>Wood US Black Walnut - Straight Edged, 1 COM - T32mm x W100mm up x L1.8m up</v>
          </cell>
          <cell r="I1378">
            <v>36</v>
          </cell>
        </row>
        <row r="1379">
          <cell r="A1379" t="str">
            <v>B557987/A</v>
          </cell>
          <cell r="B1379" t="str">
            <v>BN3224M356</v>
          </cell>
          <cell r="C1379">
            <v>18</v>
          </cell>
          <cell r="D1379">
            <v>704</v>
          </cell>
          <cell r="E1379">
            <v>12672</v>
          </cell>
          <cell r="F1379" t="str">
            <v>A2-S05</v>
          </cell>
          <cell r="G1379" t="str">
            <v>Insert Wood - Gỗ chèn</v>
          </cell>
          <cell r="H1379" t="str">
            <v>Beech off cut</v>
          </cell>
          <cell r="I1379">
            <v>72</v>
          </cell>
        </row>
        <row r="1380">
          <cell r="A1380" t="str">
            <v>B557987/A</v>
          </cell>
          <cell r="B1380" t="str">
            <v>BN3224M356</v>
          </cell>
          <cell r="C1380">
            <v>18</v>
          </cell>
          <cell r="D1380">
            <v>704</v>
          </cell>
          <cell r="E1380">
            <v>12672</v>
          </cell>
          <cell r="F1380" t="str">
            <v>A3</v>
          </cell>
          <cell r="G1380" t="str">
            <v>Adjustable Shelf  - Kệ di động</v>
          </cell>
          <cell r="H1380" t="str">
            <v>Pre-Assembly</v>
          </cell>
          <cell r="I1380">
            <v>36</v>
          </cell>
        </row>
        <row r="1381">
          <cell r="A1381" t="str">
            <v>B557987/A</v>
          </cell>
          <cell r="B1381" t="str">
            <v>BN3224M356</v>
          </cell>
          <cell r="C1381">
            <v>18</v>
          </cell>
          <cell r="D1381">
            <v>704</v>
          </cell>
          <cell r="E1381">
            <v>12672</v>
          </cell>
          <cell r="F1381" t="str">
            <v>A3-S01</v>
          </cell>
          <cell r="G1381" t="str">
            <v>Adjustable Shelf  - Kệ di động</v>
          </cell>
          <cell r="H1381" t="str">
            <v>Wood US Black Walnut - Straight Edged, 1 COM - T26mm x W100mm up x L1.2 to 1.8m</v>
          </cell>
          <cell r="I1381">
            <v>54</v>
          </cell>
        </row>
        <row r="1382">
          <cell r="A1382" t="str">
            <v>B557987/A</v>
          </cell>
          <cell r="B1382" t="str">
            <v>BN3224M356</v>
          </cell>
          <cell r="C1382">
            <v>18</v>
          </cell>
          <cell r="D1382">
            <v>704</v>
          </cell>
          <cell r="E1382">
            <v>12672</v>
          </cell>
          <cell r="F1382" t="str">
            <v>A3-S02</v>
          </cell>
          <cell r="G1382" t="str">
            <v>Adjustable Shelf  - Kệ di động</v>
          </cell>
          <cell r="H1382" t="str">
            <v>MDF Veneer</v>
          </cell>
          <cell r="I1382">
            <v>36</v>
          </cell>
        </row>
        <row r="1383">
          <cell r="A1383" t="str">
            <v>B557987/A</v>
          </cell>
          <cell r="B1383" t="str">
            <v>BN3224M356</v>
          </cell>
          <cell r="C1383">
            <v>18</v>
          </cell>
          <cell r="D1383">
            <v>704</v>
          </cell>
          <cell r="E1383">
            <v>12672</v>
          </cell>
          <cell r="F1383" t="str">
            <v>A4-S01</v>
          </cell>
          <cell r="G1383" t="str">
            <v>Patching wood - Gỗ đắp</v>
          </cell>
          <cell r="H1383" t="str">
            <v>Wood US Black Walnut - Straight Edged, 1 COM - T32mm x W100mm up x L1.2 to 1.8m</v>
          </cell>
          <cell r="I1383">
            <v>18</v>
          </cell>
        </row>
        <row r="1384">
          <cell r="A1384" t="str">
            <v>B557987/A</v>
          </cell>
          <cell r="B1384" t="str">
            <v>BN3224M356</v>
          </cell>
          <cell r="C1384">
            <v>18</v>
          </cell>
          <cell r="D1384">
            <v>704</v>
          </cell>
          <cell r="E1384">
            <v>12672</v>
          </cell>
          <cell r="F1384" t="str">
            <v>A4-S02</v>
          </cell>
          <cell r="G1384" t="str">
            <v>Shelf panel  - Ván kệ</v>
          </cell>
          <cell r="H1384" t="str">
            <v>MDF Veneer</v>
          </cell>
          <cell r="I1384">
            <v>18</v>
          </cell>
        </row>
        <row r="1385">
          <cell r="A1385" t="str">
            <v>B557987/A</v>
          </cell>
          <cell r="B1385" t="str">
            <v>BN3224M356</v>
          </cell>
          <cell r="C1385">
            <v>18</v>
          </cell>
          <cell r="D1385">
            <v>704</v>
          </cell>
          <cell r="E1385">
            <v>12672</v>
          </cell>
          <cell r="F1385" t="str">
            <v>A4-S03</v>
          </cell>
          <cell r="G1385" t="str">
            <v>Front rail  - Đố tiền</v>
          </cell>
          <cell r="H1385" t="str">
            <v>Wood US Poplar - Straight Edged, 1 COM - T25mm x W100mm Up x L1.8m Up</v>
          </cell>
          <cell r="I1385">
            <v>18</v>
          </cell>
        </row>
        <row r="1386">
          <cell r="A1386" t="str">
            <v>B557987/A</v>
          </cell>
          <cell r="B1386" t="str">
            <v>BN3224M356</v>
          </cell>
          <cell r="C1386">
            <v>18</v>
          </cell>
          <cell r="D1386">
            <v>704</v>
          </cell>
          <cell r="E1386">
            <v>12672</v>
          </cell>
          <cell r="F1386" t="str">
            <v>A4-S04</v>
          </cell>
          <cell r="G1386" t="str">
            <v>back rail - Đố hậu</v>
          </cell>
          <cell r="H1386" t="str">
            <v>Wood US Poplar - Straight Edged, 1 COM - T25mm x W100mm Up x L1.8m Up</v>
          </cell>
          <cell r="I1386">
            <v>18</v>
          </cell>
        </row>
        <row r="1387">
          <cell r="A1387" t="str">
            <v>B557987/A</v>
          </cell>
          <cell r="B1387" t="str">
            <v>BN3224M356</v>
          </cell>
          <cell r="C1387">
            <v>18</v>
          </cell>
          <cell r="D1387">
            <v>704</v>
          </cell>
          <cell r="E1387">
            <v>12672</v>
          </cell>
          <cell r="F1387" t="str">
            <v>A4-S05</v>
          </cell>
          <cell r="G1387" t="str">
            <v>Patching wood - Gỗ đắp</v>
          </cell>
          <cell r="H1387" t="str">
            <v>Wood US Black Walnut - Straight Edged, 1 COM - T26mm x W100mm up x L1.2 to 1.8m</v>
          </cell>
          <cell r="I1387">
            <v>36</v>
          </cell>
        </row>
        <row r="1388">
          <cell r="A1388" t="str">
            <v>B557987/A</v>
          </cell>
          <cell r="B1388" t="str">
            <v>BN3224M356</v>
          </cell>
          <cell r="C1388">
            <v>18</v>
          </cell>
          <cell r="D1388">
            <v>704</v>
          </cell>
          <cell r="E1388">
            <v>12672</v>
          </cell>
          <cell r="F1388" t="str">
            <v>A4-S06</v>
          </cell>
          <cell r="G1388" t="str">
            <v>Patching wood - Gỗ đắp</v>
          </cell>
          <cell r="H1388" t="str">
            <v>Wood US Black Walnut - Straight Edged, 1 COM - T26mm x W100mm up x L1.2 to 1.8m</v>
          </cell>
          <cell r="I1388">
            <v>18</v>
          </cell>
        </row>
        <row r="1389">
          <cell r="A1389" t="str">
            <v>B557987/A</v>
          </cell>
          <cell r="B1389" t="str">
            <v>BN3224M356</v>
          </cell>
          <cell r="C1389">
            <v>18</v>
          </cell>
          <cell r="D1389">
            <v>704</v>
          </cell>
          <cell r="E1389">
            <v>12672</v>
          </cell>
          <cell r="F1389" t="str">
            <v>P01-1</v>
          </cell>
          <cell r="G1389" t="str">
            <v xml:space="preserve">Top panel  - Ván nóc </v>
          </cell>
          <cell r="H1389" t="str">
            <v>MDF Veneer</v>
          </cell>
          <cell r="I1389">
            <v>18</v>
          </cell>
        </row>
        <row r="1390">
          <cell r="A1390" t="str">
            <v>B557987/A</v>
          </cell>
          <cell r="B1390" t="str">
            <v>BN3224M356</v>
          </cell>
          <cell r="C1390">
            <v>18</v>
          </cell>
          <cell r="D1390">
            <v>704</v>
          </cell>
          <cell r="E1390">
            <v>12672</v>
          </cell>
          <cell r="F1390" t="str">
            <v>P02</v>
          </cell>
          <cell r="G1390" t="str">
            <v>vaccumn veneer - cảo bich veneer</v>
          </cell>
          <cell r="H1390" t="str">
            <v>Pre-Assembly</v>
          </cell>
          <cell r="I1390">
            <v>36</v>
          </cell>
        </row>
        <row r="1391">
          <cell r="A1391" t="str">
            <v>B557987/A</v>
          </cell>
          <cell r="B1391" t="str">
            <v>BN3224M356</v>
          </cell>
          <cell r="C1391">
            <v>18</v>
          </cell>
          <cell r="D1391">
            <v>704</v>
          </cell>
          <cell r="E1391">
            <v>12672</v>
          </cell>
          <cell r="F1391" t="str">
            <v>P02-1</v>
          </cell>
          <cell r="G1391" t="str">
            <v xml:space="preserve">Panel - Ván </v>
          </cell>
          <cell r="H1391" t="str">
            <v>MDF - 18 x 1830 x 2440mm [CARB P2 Compliant]</v>
          </cell>
          <cell r="I1391">
            <v>36</v>
          </cell>
        </row>
        <row r="1392">
          <cell r="A1392" t="str">
            <v>B557987/A</v>
          </cell>
          <cell r="B1392" t="str">
            <v>BN3224M356</v>
          </cell>
          <cell r="C1392">
            <v>18</v>
          </cell>
          <cell r="D1392">
            <v>704</v>
          </cell>
          <cell r="E1392">
            <v>12672</v>
          </cell>
          <cell r="F1392" t="str">
            <v>P02-2</v>
          </cell>
          <cell r="G1392" t="str">
            <v>Patching wood - Gỗ đắp</v>
          </cell>
          <cell r="H1392" t="str">
            <v>Wood US Poplar - Straight Edged, 2 COM - T50mm x W100mm Up x L1.8m Up</v>
          </cell>
          <cell r="I1392">
            <v>36</v>
          </cell>
        </row>
        <row r="1393">
          <cell r="A1393" t="str">
            <v>B557987/A</v>
          </cell>
          <cell r="B1393" t="str">
            <v>BN3224M356</v>
          </cell>
          <cell r="C1393">
            <v>18</v>
          </cell>
          <cell r="D1393">
            <v>704</v>
          </cell>
          <cell r="E1393">
            <v>12672</v>
          </cell>
          <cell r="F1393" t="str">
            <v>P02-3</v>
          </cell>
          <cell r="G1393" t="str">
            <v xml:space="preserve">Side rail  - Đố hông </v>
          </cell>
          <cell r="H1393" t="str">
            <v>Wood US Poplar - Straight Edged, 2 COM - T38mm x W100mm Up x L1.8m Up</v>
          </cell>
          <cell r="I1393">
            <v>36</v>
          </cell>
        </row>
        <row r="1394">
          <cell r="A1394" t="str">
            <v>B557987/A</v>
          </cell>
          <cell r="B1394" t="str">
            <v>BN3224M356</v>
          </cell>
          <cell r="C1394">
            <v>18</v>
          </cell>
          <cell r="D1394">
            <v>704</v>
          </cell>
          <cell r="E1394">
            <v>12672</v>
          </cell>
          <cell r="F1394" t="str">
            <v>P03</v>
          </cell>
          <cell r="G1394" t="str">
            <v>Patching wood - Gỗ đắp</v>
          </cell>
          <cell r="H1394" t="str">
            <v>Beech off cut</v>
          </cell>
          <cell r="I1394">
            <v>72</v>
          </cell>
        </row>
        <row r="1395">
          <cell r="A1395" t="str">
            <v>B557987/A</v>
          </cell>
          <cell r="B1395" t="str">
            <v>BN3224M356</v>
          </cell>
          <cell r="C1395">
            <v>18</v>
          </cell>
          <cell r="D1395">
            <v>704</v>
          </cell>
          <cell r="E1395">
            <v>12672</v>
          </cell>
          <cell r="F1395" t="str">
            <v>P06</v>
          </cell>
          <cell r="G1395" t="str">
            <v>Adjustable Shelf  - Kệ di động</v>
          </cell>
          <cell r="H1395" t="str">
            <v>Pre-Assembly</v>
          </cell>
          <cell r="I1395">
            <v>18</v>
          </cell>
        </row>
        <row r="1396">
          <cell r="A1396" t="str">
            <v>B557987/A</v>
          </cell>
          <cell r="B1396" t="str">
            <v>BN3224M356</v>
          </cell>
          <cell r="C1396">
            <v>18</v>
          </cell>
          <cell r="D1396">
            <v>704</v>
          </cell>
          <cell r="E1396">
            <v>12672</v>
          </cell>
          <cell r="F1396" t="str">
            <v>P06-2</v>
          </cell>
          <cell r="G1396" t="str">
            <v>Shelf panel  - Ván kệ</v>
          </cell>
          <cell r="H1396" t="str">
            <v>MDF Veneer</v>
          </cell>
          <cell r="I1396">
            <v>18</v>
          </cell>
        </row>
        <row r="1397">
          <cell r="A1397" t="str">
            <v>B557987/A</v>
          </cell>
          <cell r="B1397" t="str">
            <v>BN3224M356</v>
          </cell>
          <cell r="C1397">
            <v>18</v>
          </cell>
          <cell r="D1397">
            <v>704</v>
          </cell>
          <cell r="E1397">
            <v>12672</v>
          </cell>
          <cell r="F1397" t="str">
            <v>P07</v>
          </cell>
          <cell r="G1397" t="str">
            <v>Bottom panel - Ván đáy</v>
          </cell>
          <cell r="H1397" t="str">
            <v>MDF Veneer</v>
          </cell>
          <cell r="I1397">
            <v>18</v>
          </cell>
        </row>
        <row r="1398">
          <cell r="A1398" t="str">
            <v>B557987/A</v>
          </cell>
          <cell r="B1398" t="str">
            <v>BN3224M356</v>
          </cell>
          <cell r="C1398">
            <v>18</v>
          </cell>
          <cell r="D1398">
            <v>704</v>
          </cell>
          <cell r="E1398">
            <v>12672</v>
          </cell>
          <cell r="F1398" t="str">
            <v>P08</v>
          </cell>
          <cell r="G1398" t="str">
            <v>back rail - Đố hậu</v>
          </cell>
          <cell r="H1398" t="str">
            <v>Wood US Poplar - Straight Edged, 1 COM - T25mm x W100mm Up x L1.8m Up</v>
          </cell>
          <cell r="I1398">
            <v>18</v>
          </cell>
        </row>
        <row r="1399">
          <cell r="A1399" t="str">
            <v>B557987/A</v>
          </cell>
          <cell r="B1399" t="str">
            <v>BN3224M356</v>
          </cell>
          <cell r="C1399">
            <v>18</v>
          </cell>
          <cell r="D1399">
            <v>704</v>
          </cell>
          <cell r="E1399">
            <v>12672</v>
          </cell>
          <cell r="F1399" t="str">
            <v>P09</v>
          </cell>
          <cell r="G1399" t="str">
            <v>Back panel - Ván hậu</v>
          </cell>
          <cell r="H1399" t="str">
            <v>MDF Veneer</v>
          </cell>
          <cell r="I1399">
            <v>18</v>
          </cell>
        </row>
        <row r="1400">
          <cell r="A1400" t="str">
            <v>B557987/A</v>
          </cell>
          <cell r="B1400" t="str">
            <v>BN3224M356</v>
          </cell>
          <cell r="C1400">
            <v>18</v>
          </cell>
          <cell r="D1400">
            <v>704</v>
          </cell>
          <cell r="E1400">
            <v>12672</v>
          </cell>
          <cell r="F1400" t="str">
            <v>P11</v>
          </cell>
          <cell r="G1400" t="str">
            <v>Bottom panel - Ván đáy</v>
          </cell>
          <cell r="H1400" t="str">
            <v>MDF Veneer</v>
          </cell>
          <cell r="I1400">
            <v>18</v>
          </cell>
        </row>
        <row r="1401">
          <cell r="A1401" t="str">
            <v>B557988/A</v>
          </cell>
          <cell r="B1401" t="str">
            <v>BN3224M356</v>
          </cell>
          <cell r="C1401">
            <v>17</v>
          </cell>
          <cell r="D1401">
            <v>704</v>
          </cell>
          <cell r="E1401">
            <v>11968</v>
          </cell>
          <cell r="F1401" t="str">
            <v>A1-S01</v>
          </cell>
          <cell r="G1401" t="str">
            <v>Front Bottom Rail  - Đố đáy trước</v>
          </cell>
          <cell r="H1401" t="str">
            <v>Wood EU Beech - Straight/Waving Edged ABC, 2 COM - T38mm x W100mm up x L1.8m up</v>
          </cell>
          <cell r="I1401">
            <v>17</v>
          </cell>
        </row>
        <row r="1402">
          <cell r="A1402" t="str">
            <v>B557988/A</v>
          </cell>
          <cell r="B1402" t="str">
            <v>BN3224M356</v>
          </cell>
          <cell r="C1402">
            <v>17</v>
          </cell>
          <cell r="D1402">
            <v>704</v>
          </cell>
          <cell r="E1402">
            <v>11968</v>
          </cell>
          <cell r="F1402" t="str">
            <v>A1-S02</v>
          </cell>
          <cell r="G1402" t="str">
            <v>Side bottom rail - Đố hông dưới</v>
          </cell>
          <cell r="H1402" t="str">
            <v>Wood EU Beech - Straight/Waving Edged ABC, 2 COM - T38mm x W100mm up x L1.8m up</v>
          </cell>
          <cell r="I1402">
            <v>34</v>
          </cell>
        </row>
        <row r="1403">
          <cell r="A1403" t="str">
            <v>B557988/A</v>
          </cell>
          <cell r="B1403" t="str">
            <v>BN3224M356</v>
          </cell>
          <cell r="C1403">
            <v>17</v>
          </cell>
          <cell r="D1403">
            <v>704</v>
          </cell>
          <cell r="E1403">
            <v>11968</v>
          </cell>
          <cell r="F1403" t="str">
            <v>A1-S04</v>
          </cell>
          <cell r="G1403" t="str">
            <v>Back bottom rail - Đố hậu đáy</v>
          </cell>
          <cell r="H1403" t="str">
            <v>Wood EU Beech - Straight/Waving Edged ABC, 2 COM - T38mm x W100mm up x L1.8m up</v>
          </cell>
          <cell r="I1403">
            <v>34</v>
          </cell>
        </row>
        <row r="1404">
          <cell r="A1404" t="str">
            <v>B557988/A</v>
          </cell>
          <cell r="B1404" t="str">
            <v>BN3224M356</v>
          </cell>
          <cell r="C1404">
            <v>17</v>
          </cell>
          <cell r="D1404">
            <v>704</v>
          </cell>
          <cell r="E1404">
            <v>11968</v>
          </cell>
          <cell r="F1404" t="str">
            <v>A2</v>
          </cell>
          <cell r="G1404" t="str">
            <v xml:space="preserve">Frame - Khung </v>
          </cell>
          <cell r="H1404" t="str">
            <v>Pre-Assembly</v>
          </cell>
          <cell r="I1404">
            <v>34</v>
          </cell>
        </row>
        <row r="1405">
          <cell r="A1405" t="str">
            <v>B557988/A</v>
          </cell>
          <cell r="B1405" t="str">
            <v>BN3224M356</v>
          </cell>
          <cell r="C1405">
            <v>17</v>
          </cell>
          <cell r="D1405">
            <v>704</v>
          </cell>
          <cell r="E1405">
            <v>11968</v>
          </cell>
          <cell r="F1405" t="str">
            <v>A2-1</v>
          </cell>
          <cell r="G1405" t="str">
            <v xml:space="preserve">Frame - Khung </v>
          </cell>
          <cell r="H1405" t="str">
            <v>Pre-Assembly</v>
          </cell>
          <cell r="I1405">
            <v>34</v>
          </cell>
        </row>
        <row r="1406">
          <cell r="A1406" t="str">
            <v>B557988/A</v>
          </cell>
          <cell r="B1406" t="str">
            <v>BN3224M356</v>
          </cell>
          <cell r="C1406">
            <v>17</v>
          </cell>
          <cell r="D1406">
            <v>704</v>
          </cell>
          <cell r="E1406">
            <v>11968</v>
          </cell>
          <cell r="F1406" t="str">
            <v>A2-S01</v>
          </cell>
          <cell r="G1406" t="str">
            <v>Top rail - Đố nóc</v>
          </cell>
          <cell r="H1406" t="str">
            <v>Wood US Black Walnut - Straight Edged, 1 COM - T32mm x W100mm up x L1.2 to 1.8m</v>
          </cell>
          <cell r="I1406">
            <v>68</v>
          </cell>
        </row>
        <row r="1407">
          <cell r="A1407" t="str">
            <v>B557988/A</v>
          </cell>
          <cell r="B1407" t="str">
            <v>BN3224M356</v>
          </cell>
          <cell r="C1407">
            <v>17</v>
          </cell>
          <cell r="D1407">
            <v>704</v>
          </cell>
          <cell r="E1407">
            <v>11968</v>
          </cell>
          <cell r="F1407" t="str">
            <v>A2-S02</v>
          </cell>
          <cell r="G1407" t="str">
            <v xml:space="preserve">Side rail  - Đố hông </v>
          </cell>
          <cell r="H1407" t="str">
            <v>Wood US Black Walnut - Straight Edged, 1 COM - T32mm x W100mm up x L1.2 to 1.8m</v>
          </cell>
          <cell r="I1407">
            <v>68</v>
          </cell>
        </row>
        <row r="1408">
          <cell r="A1408" t="str">
            <v>B557988/A</v>
          </cell>
          <cell r="B1408" t="str">
            <v>BN3224M356</v>
          </cell>
          <cell r="C1408">
            <v>17</v>
          </cell>
          <cell r="D1408">
            <v>704</v>
          </cell>
          <cell r="E1408">
            <v>11968</v>
          </cell>
          <cell r="F1408" t="str">
            <v>A2-S03</v>
          </cell>
          <cell r="G1408" t="str">
            <v xml:space="preserve">Panel - Ván </v>
          </cell>
          <cell r="H1408" t="str">
            <v>MDF Veneer</v>
          </cell>
          <cell r="I1408">
            <v>34</v>
          </cell>
        </row>
        <row r="1409">
          <cell r="A1409" t="str">
            <v>B557988/A</v>
          </cell>
          <cell r="B1409" t="str">
            <v>BN3224M356</v>
          </cell>
          <cell r="C1409">
            <v>17</v>
          </cell>
          <cell r="D1409">
            <v>704</v>
          </cell>
          <cell r="E1409">
            <v>11968</v>
          </cell>
          <cell r="F1409" t="str">
            <v>A2-S04</v>
          </cell>
          <cell r="G1409" t="str">
            <v>Handle - Tay nắm</v>
          </cell>
          <cell r="H1409" t="str">
            <v>Wood US Black Walnut - Straight Edged, 1 COM - T32mm x W100mm up x L1.8m up</v>
          </cell>
          <cell r="I1409">
            <v>34</v>
          </cell>
        </row>
        <row r="1410">
          <cell r="A1410" t="str">
            <v>B557988/A</v>
          </cell>
          <cell r="B1410" t="str">
            <v>BN3224M356</v>
          </cell>
          <cell r="C1410">
            <v>17</v>
          </cell>
          <cell r="D1410">
            <v>704</v>
          </cell>
          <cell r="E1410">
            <v>11968</v>
          </cell>
          <cell r="F1410" t="str">
            <v>A2-S05</v>
          </cell>
          <cell r="G1410" t="str">
            <v>Insert Wood - Gỗ chèn</v>
          </cell>
          <cell r="H1410" t="str">
            <v>Beech off cut</v>
          </cell>
          <cell r="I1410">
            <v>68</v>
          </cell>
        </row>
        <row r="1411">
          <cell r="A1411" t="str">
            <v>B557988/A</v>
          </cell>
          <cell r="B1411" t="str">
            <v>BN3224M356</v>
          </cell>
          <cell r="C1411">
            <v>17</v>
          </cell>
          <cell r="D1411">
            <v>704</v>
          </cell>
          <cell r="E1411">
            <v>11968</v>
          </cell>
          <cell r="F1411" t="str">
            <v>A3</v>
          </cell>
          <cell r="G1411" t="str">
            <v>Adjustable Shelf  - Kệ di động</v>
          </cell>
          <cell r="H1411" t="str">
            <v>Pre-Assembly</v>
          </cell>
          <cell r="I1411">
            <v>34</v>
          </cell>
        </row>
        <row r="1412">
          <cell r="A1412" t="str">
            <v>B557988/A</v>
          </cell>
          <cell r="B1412" t="str">
            <v>BN3224M356</v>
          </cell>
          <cell r="C1412">
            <v>17</v>
          </cell>
          <cell r="D1412">
            <v>704</v>
          </cell>
          <cell r="E1412">
            <v>11968</v>
          </cell>
          <cell r="F1412" t="str">
            <v>A3-S01</v>
          </cell>
          <cell r="G1412" t="str">
            <v>Adjustable Shelf  - Kệ di động</v>
          </cell>
          <cell r="H1412" t="str">
            <v>Wood US Black Walnut - Straight Edged, 1 COM - T26mm x W100mm up x L1.2 to 1.8m</v>
          </cell>
          <cell r="I1412">
            <v>51</v>
          </cell>
        </row>
        <row r="1413">
          <cell r="A1413" t="str">
            <v>B557988/A</v>
          </cell>
          <cell r="B1413" t="str">
            <v>BN3224M356</v>
          </cell>
          <cell r="C1413">
            <v>17</v>
          </cell>
          <cell r="D1413">
            <v>704</v>
          </cell>
          <cell r="E1413">
            <v>11968</v>
          </cell>
          <cell r="F1413" t="str">
            <v>A3-S02</v>
          </cell>
          <cell r="G1413" t="str">
            <v>Adjustable Shelf  - Kệ di động</v>
          </cell>
          <cell r="H1413" t="str">
            <v>MDF Veneer</v>
          </cell>
          <cell r="I1413">
            <v>34</v>
          </cell>
        </row>
        <row r="1414">
          <cell r="A1414" t="str">
            <v>B557988/A</v>
          </cell>
          <cell r="B1414" t="str">
            <v>BN3224M356</v>
          </cell>
          <cell r="C1414">
            <v>17</v>
          </cell>
          <cell r="D1414">
            <v>704</v>
          </cell>
          <cell r="E1414">
            <v>11968</v>
          </cell>
          <cell r="F1414" t="str">
            <v>A4-S01</v>
          </cell>
          <cell r="G1414" t="str">
            <v>Patching wood - Gỗ đắp</v>
          </cell>
          <cell r="H1414" t="str">
            <v>Wood US Black Walnut - Straight Edged, 1 COM - T32mm x W100mm up x L1.2 to 1.8m</v>
          </cell>
          <cell r="I1414">
            <v>17</v>
          </cell>
        </row>
        <row r="1415">
          <cell r="A1415" t="str">
            <v>B557988/A</v>
          </cell>
          <cell r="B1415" t="str">
            <v>BN3224M356</v>
          </cell>
          <cell r="C1415">
            <v>17</v>
          </cell>
          <cell r="D1415">
            <v>704</v>
          </cell>
          <cell r="E1415">
            <v>11968</v>
          </cell>
          <cell r="F1415" t="str">
            <v>A4-S02</v>
          </cell>
          <cell r="G1415" t="str">
            <v>Shelf panel  - Ván kệ</v>
          </cell>
          <cell r="H1415" t="str">
            <v>MDF Veneer</v>
          </cell>
          <cell r="I1415">
            <v>17</v>
          </cell>
        </row>
        <row r="1416">
          <cell r="A1416" t="str">
            <v>B557988/A</v>
          </cell>
          <cell r="B1416" t="str">
            <v>BN3224M356</v>
          </cell>
          <cell r="C1416">
            <v>17</v>
          </cell>
          <cell r="D1416">
            <v>704</v>
          </cell>
          <cell r="E1416">
            <v>11968</v>
          </cell>
          <cell r="F1416" t="str">
            <v>A4-S03</v>
          </cell>
          <cell r="G1416" t="str">
            <v>Front rail  - Đố tiền</v>
          </cell>
          <cell r="H1416" t="str">
            <v>Wood US Poplar - Straight Edged, 1 COM - T25mm x W100mm Up x L1.8m Up</v>
          </cell>
          <cell r="I1416">
            <v>17</v>
          </cell>
        </row>
        <row r="1417">
          <cell r="A1417" t="str">
            <v>B557988/A</v>
          </cell>
          <cell r="B1417" t="str">
            <v>BN3224M356</v>
          </cell>
          <cell r="C1417">
            <v>17</v>
          </cell>
          <cell r="D1417">
            <v>704</v>
          </cell>
          <cell r="E1417">
            <v>11968</v>
          </cell>
          <cell r="F1417" t="str">
            <v>A4-S04</v>
          </cell>
          <cell r="G1417" t="str">
            <v>back rail - Đố hậu</v>
          </cell>
          <cell r="H1417" t="str">
            <v>Wood US Poplar - Straight Edged, 1 COM - T25mm x W100mm Up x L1.8m Up</v>
          </cell>
          <cell r="I1417">
            <v>17</v>
          </cell>
        </row>
        <row r="1418">
          <cell r="A1418" t="str">
            <v>B557988/A</v>
          </cell>
          <cell r="B1418" t="str">
            <v>BN3224M356</v>
          </cell>
          <cell r="C1418">
            <v>17</v>
          </cell>
          <cell r="D1418">
            <v>704</v>
          </cell>
          <cell r="E1418">
            <v>11968</v>
          </cell>
          <cell r="F1418" t="str">
            <v>A4-S05</v>
          </cell>
          <cell r="G1418" t="str">
            <v>Patching wood - Gỗ đắp</v>
          </cell>
          <cell r="H1418" t="str">
            <v>Wood US Black Walnut - Straight Edged, 1 COM - T26mm x W100mm up x L1.2 to 1.8m</v>
          </cell>
          <cell r="I1418">
            <v>34</v>
          </cell>
        </row>
        <row r="1419">
          <cell r="A1419" t="str">
            <v>B557988/A</v>
          </cell>
          <cell r="B1419" t="str">
            <v>BN3224M356</v>
          </cell>
          <cell r="C1419">
            <v>17</v>
          </cell>
          <cell r="D1419">
            <v>704</v>
          </cell>
          <cell r="E1419">
            <v>11968</v>
          </cell>
          <cell r="F1419" t="str">
            <v>A4-S06</v>
          </cell>
          <cell r="G1419" t="str">
            <v>Patching wood - Gỗ đắp</v>
          </cell>
          <cell r="H1419" t="str">
            <v>Wood US Black Walnut - Straight Edged, 1 COM - T26mm x W100mm up x L1.2 to 1.8m</v>
          </cell>
          <cell r="I1419">
            <v>17</v>
          </cell>
        </row>
        <row r="1420">
          <cell r="A1420" t="str">
            <v>B557988/A</v>
          </cell>
          <cell r="B1420" t="str">
            <v>BN3224M356</v>
          </cell>
          <cell r="C1420">
            <v>17</v>
          </cell>
          <cell r="D1420">
            <v>704</v>
          </cell>
          <cell r="E1420">
            <v>11968</v>
          </cell>
          <cell r="F1420" t="str">
            <v>P01-1</v>
          </cell>
          <cell r="G1420" t="str">
            <v xml:space="preserve">Top panel  - Ván nóc </v>
          </cell>
          <cell r="H1420" t="str">
            <v>MDF Veneer</v>
          </cell>
          <cell r="I1420">
            <v>17</v>
          </cell>
        </row>
        <row r="1421">
          <cell r="A1421" t="str">
            <v>B557988/A</v>
          </cell>
          <cell r="B1421" t="str">
            <v>BN3224M356</v>
          </cell>
          <cell r="C1421">
            <v>17</v>
          </cell>
          <cell r="D1421">
            <v>704</v>
          </cell>
          <cell r="E1421">
            <v>11968</v>
          </cell>
          <cell r="F1421" t="str">
            <v>P02</v>
          </cell>
          <cell r="G1421" t="str">
            <v>vaccumn veneer - cảo bich veneer</v>
          </cell>
          <cell r="H1421" t="str">
            <v>Pre-Assembly</v>
          </cell>
          <cell r="I1421">
            <v>34</v>
          </cell>
        </row>
        <row r="1422">
          <cell r="A1422" t="str">
            <v>B557988/A</v>
          </cell>
          <cell r="B1422" t="str">
            <v>BN3224M356</v>
          </cell>
          <cell r="C1422">
            <v>17</v>
          </cell>
          <cell r="D1422">
            <v>704</v>
          </cell>
          <cell r="E1422">
            <v>11968</v>
          </cell>
          <cell r="F1422" t="str">
            <v>P02-1</v>
          </cell>
          <cell r="G1422" t="str">
            <v xml:space="preserve">Panel - Ván </v>
          </cell>
          <cell r="H1422" t="str">
            <v>MDF - 18 x 1830 x 2440mm [CARB P2 Compliant]</v>
          </cell>
          <cell r="I1422">
            <v>34</v>
          </cell>
        </row>
        <row r="1423">
          <cell r="A1423" t="str">
            <v>B557988/A</v>
          </cell>
          <cell r="B1423" t="str">
            <v>BN3224M356</v>
          </cell>
          <cell r="C1423">
            <v>17</v>
          </cell>
          <cell r="D1423">
            <v>704</v>
          </cell>
          <cell r="E1423">
            <v>11968</v>
          </cell>
          <cell r="F1423" t="str">
            <v>P02-2</v>
          </cell>
          <cell r="G1423" t="str">
            <v>Patching wood - Gỗ đắp</v>
          </cell>
          <cell r="H1423" t="str">
            <v>Wood US Poplar - Straight Edged, 2 COM - T50mm x W100mm Up x L1.8m Up</v>
          </cell>
          <cell r="I1423">
            <v>34</v>
          </cell>
        </row>
        <row r="1424">
          <cell r="A1424" t="str">
            <v>B557988/A</v>
          </cell>
          <cell r="B1424" t="str">
            <v>BN3224M356</v>
          </cell>
          <cell r="C1424">
            <v>17</v>
          </cell>
          <cell r="D1424">
            <v>704</v>
          </cell>
          <cell r="E1424">
            <v>11968</v>
          </cell>
          <cell r="F1424" t="str">
            <v>P02-3</v>
          </cell>
          <cell r="G1424" t="str">
            <v xml:space="preserve">Side rail  - Đố hông </v>
          </cell>
          <cell r="H1424" t="str">
            <v>Wood US Poplar - Straight Edged, 2 COM - T38mm x W100mm Up x L1.8m Up</v>
          </cell>
          <cell r="I1424">
            <v>34</v>
          </cell>
        </row>
        <row r="1425">
          <cell r="A1425" t="str">
            <v>B557988/A</v>
          </cell>
          <cell r="B1425" t="str">
            <v>BN3224M356</v>
          </cell>
          <cell r="C1425">
            <v>17</v>
          </cell>
          <cell r="D1425">
            <v>704</v>
          </cell>
          <cell r="E1425">
            <v>11968</v>
          </cell>
          <cell r="F1425" t="str">
            <v>P03</v>
          </cell>
          <cell r="G1425" t="str">
            <v>Patching wood - Gỗ đắp</v>
          </cell>
          <cell r="H1425" t="str">
            <v>Beech off cut</v>
          </cell>
          <cell r="I1425">
            <v>68</v>
          </cell>
        </row>
        <row r="1426">
          <cell r="A1426" t="str">
            <v>B557988/A</v>
          </cell>
          <cell r="B1426" t="str">
            <v>BN3224M356</v>
          </cell>
          <cell r="C1426">
            <v>17</v>
          </cell>
          <cell r="D1426">
            <v>704</v>
          </cell>
          <cell r="E1426">
            <v>11968</v>
          </cell>
          <cell r="F1426" t="str">
            <v>P06</v>
          </cell>
          <cell r="G1426" t="str">
            <v>Adjustable Shelf  - Kệ di động</v>
          </cell>
          <cell r="H1426" t="str">
            <v>Pre-Assembly</v>
          </cell>
          <cell r="I1426">
            <v>17</v>
          </cell>
        </row>
        <row r="1427">
          <cell r="A1427" t="str">
            <v>B557988/A</v>
          </cell>
          <cell r="B1427" t="str">
            <v>BN3224M356</v>
          </cell>
          <cell r="C1427">
            <v>17</v>
          </cell>
          <cell r="D1427">
            <v>704</v>
          </cell>
          <cell r="E1427">
            <v>11968</v>
          </cell>
          <cell r="F1427" t="str">
            <v>P06-2</v>
          </cell>
          <cell r="G1427" t="str">
            <v>Shelf panel  - Ván kệ</v>
          </cell>
          <cell r="H1427" t="str">
            <v>MDF Veneer</v>
          </cell>
          <cell r="I1427">
            <v>17</v>
          </cell>
        </row>
        <row r="1428">
          <cell r="A1428" t="str">
            <v>B557988/A</v>
          </cell>
          <cell r="B1428" t="str">
            <v>BN3224M356</v>
          </cell>
          <cell r="C1428">
            <v>17</v>
          </cell>
          <cell r="D1428">
            <v>704</v>
          </cell>
          <cell r="E1428">
            <v>11968</v>
          </cell>
          <cell r="F1428" t="str">
            <v>P07</v>
          </cell>
          <cell r="G1428" t="str">
            <v>Bottom panel - Ván đáy</v>
          </cell>
          <cell r="H1428" t="str">
            <v>MDF Veneer</v>
          </cell>
          <cell r="I1428">
            <v>17</v>
          </cell>
        </row>
        <row r="1429">
          <cell r="A1429" t="str">
            <v>B557988/A</v>
          </cell>
          <cell r="B1429" t="str">
            <v>BN3224M356</v>
          </cell>
          <cell r="C1429">
            <v>17</v>
          </cell>
          <cell r="D1429">
            <v>704</v>
          </cell>
          <cell r="E1429">
            <v>11968</v>
          </cell>
          <cell r="F1429" t="str">
            <v>P08</v>
          </cell>
          <cell r="G1429" t="str">
            <v>back rail - Đố hậu</v>
          </cell>
          <cell r="H1429" t="str">
            <v>Wood US Poplar - Straight Edged, 1 COM - T25mm x W100mm Up x L1.8m Up</v>
          </cell>
          <cell r="I1429">
            <v>17</v>
          </cell>
        </row>
        <row r="1430">
          <cell r="A1430" t="str">
            <v>B557988/A</v>
          </cell>
          <cell r="B1430" t="str">
            <v>BN3224M356</v>
          </cell>
          <cell r="C1430">
            <v>17</v>
          </cell>
          <cell r="D1430">
            <v>704</v>
          </cell>
          <cell r="E1430">
            <v>11968</v>
          </cell>
          <cell r="F1430" t="str">
            <v>P09</v>
          </cell>
          <cell r="G1430" t="str">
            <v>Back panel - Ván hậu</v>
          </cell>
          <cell r="H1430" t="str">
            <v>MDF Veneer</v>
          </cell>
          <cell r="I1430">
            <v>17</v>
          </cell>
        </row>
        <row r="1431">
          <cell r="A1431" t="str">
            <v>B557988/A</v>
          </cell>
          <cell r="B1431" t="str">
            <v>BN3224M356</v>
          </cell>
          <cell r="C1431">
            <v>17</v>
          </cell>
          <cell r="D1431">
            <v>704</v>
          </cell>
          <cell r="E1431">
            <v>11968</v>
          </cell>
          <cell r="F1431" t="str">
            <v>P11</v>
          </cell>
          <cell r="G1431" t="str">
            <v>Bottom panel - Ván đáy</v>
          </cell>
          <cell r="H1431" t="str">
            <v>MDF Veneer</v>
          </cell>
          <cell r="I1431">
            <v>17</v>
          </cell>
        </row>
        <row r="1432">
          <cell r="A1432" t="str">
            <v>B555628/A</v>
          </cell>
          <cell r="B1432" t="str">
            <v>CZ042M09</v>
          </cell>
          <cell r="C1432">
            <v>2</v>
          </cell>
          <cell r="D1432">
            <v>1018.34</v>
          </cell>
          <cell r="E1432">
            <v>2036.68</v>
          </cell>
          <cell r="F1432" t="str">
            <v>A1</v>
          </cell>
          <cell r="G1432" t="str">
            <v>Head board  - Đầu giường</v>
          </cell>
          <cell r="H1432" t="str">
            <v>Pre-Assembly</v>
          </cell>
          <cell r="I1432">
            <v>2</v>
          </cell>
        </row>
        <row r="1433">
          <cell r="A1433" t="str">
            <v>B555628/A</v>
          </cell>
          <cell r="B1433" t="str">
            <v>CZ042M09</v>
          </cell>
          <cell r="C1433">
            <v>2</v>
          </cell>
          <cell r="D1433">
            <v>1018.34</v>
          </cell>
          <cell r="E1433">
            <v>2036.68</v>
          </cell>
          <cell r="F1433" t="str">
            <v>A1-S01</v>
          </cell>
          <cell r="G1433" t="str">
            <v>The leg  - Chân</v>
          </cell>
          <cell r="H1433" t="str">
            <v>Wood laminate</v>
          </cell>
          <cell r="I1433">
            <v>4</v>
          </cell>
        </row>
        <row r="1434">
          <cell r="A1434" t="str">
            <v>B555628/A</v>
          </cell>
          <cell r="B1434" t="str">
            <v>CZ042M09</v>
          </cell>
          <cell r="C1434">
            <v>2</v>
          </cell>
          <cell r="D1434">
            <v>1018.34</v>
          </cell>
          <cell r="E1434">
            <v>2036.68</v>
          </cell>
          <cell r="F1434" t="str">
            <v>A1-S02</v>
          </cell>
          <cell r="G1434" t="str">
            <v>Horizontal rail 1 - Đố ngang 1</v>
          </cell>
          <cell r="H1434" t="str">
            <v>Wood laminate</v>
          </cell>
          <cell r="I1434">
            <v>4</v>
          </cell>
        </row>
        <row r="1435">
          <cell r="A1435" t="str">
            <v>B555628/A</v>
          </cell>
          <cell r="B1435" t="str">
            <v>CZ042M09</v>
          </cell>
          <cell r="C1435">
            <v>2</v>
          </cell>
          <cell r="D1435">
            <v>1018.34</v>
          </cell>
          <cell r="E1435">
            <v>2036.68</v>
          </cell>
          <cell r="F1435" t="str">
            <v>A1-S03</v>
          </cell>
          <cell r="G1435" t="str">
            <v>Vertical rail 1 - Đố đứng 1</v>
          </cell>
          <cell r="H1435" t="str">
            <v>Wood Rubber Laminate Board - 20 x 1220 x 2440mm, Veneer Poplar both Faces</v>
          </cell>
          <cell r="I1435">
            <v>4</v>
          </cell>
        </row>
        <row r="1436">
          <cell r="A1436" t="str">
            <v>B555628/A</v>
          </cell>
          <cell r="B1436" t="str">
            <v>CZ042M09</v>
          </cell>
          <cell r="C1436">
            <v>2</v>
          </cell>
          <cell r="D1436">
            <v>1018.34</v>
          </cell>
          <cell r="E1436">
            <v>2036.68</v>
          </cell>
          <cell r="F1436" t="str">
            <v>A1-S04</v>
          </cell>
          <cell r="G1436" t="str">
            <v>Vertical rail 2 - Đố đứng 2</v>
          </cell>
          <cell r="H1436" t="str">
            <v>Standard Wood - ALDER/ASPEN/LENGA/US POPLAR, 2 COM - T38 W120mm+ L2m+</v>
          </cell>
          <cell r="I1436">
            <v>4</v>
          </cell>
        </row>
        <row r="1437">
          <cell r="A1437" t="str">
            <v>B555628/A</v>
          </cell>
          <cell r="B1437" t="str">
            <v>CZ042M09</v>
          </cell>
          <cell r="C1437">
            <v>2</v>
          </cell>
          <cell r="D1437">
            <v>1018.34</v>
          </cell>
          <cell r="E1437">
            <v>2036.68</v>
          </cell>
          <cell r="F1437" t="str">
            <v>A1-S05</v>
          </cell>
          <cell r="G1437" t="str">
            <v xml:space="preserve">Side rail  - Đố hông </v>
          </cell>
          <cell r="H1437" t="str">
            <v>TRAM OFF CUT</v>
          </cell>
          <cell r="I1437">
            <v>16</v>
          </cell>
        </row>
        <row r="1438">
          <cell r="A1438" t="str">
            <v>B555628/A</v>
          </cell>
          <cell r="B1438" t="str">
            <v>CZ042M09</v>
          </cell>
          <cell r="C1438">
            <v>2</v>
          </cell>
          <cell r="D1438">
            <v>1018.34</v>
          </cell>
          <cell r="E1438">
            <v>2036.68</v>
          </cell>
          <cell r="F1438" t="str">
            <v>A1-S06</v>
          </cell>
          <cell r="G1438" t="str">
            <v xml:space="preserve">Front panel  - Ván tiền </v>
          </cell>
          <cell r="H1438" t="str">
            <v>MDF - 12 x 1830 x 2440mm [CARB P2 Compliant]</v>
          </cell>
          <cell r="I1438">
            <v>2</v>
          </cell>
        </row>
        <row r="1439">
          <cell r="A1439" t="str">
            <v>B555628/A</v>
          </cell>
          <cell r="B1439" t="str">
            <v>CZ042M09</v>
          </cell>
          <cell r="C1439">
            <v>2</v>
          </cell>
          <cell r="D1439">
            <v>1018.34</v>
          </cell>
          <cell r="E1439">
            <v>2036.68</v>
          </cell>
          <cell r="F1439" t="str">
            <v>A1-S07</v>
          </cell>
          <cell r="G1439" t="str">
            <v xml:space="preserve">Side panel  - Ván hông </v>
          </cell>
          <cell r="H1439" t="str">
            <v>MDF - 12 x 1830 x 2440mm [CARB P2 Compliant]</v>
          </cell>
          <cell r="I1439">
            <v>4</v>
          </cell>
        </row>
        <row r="1440">
          <cell r="A1440" t="str">
            <v>B555628/A</v>
          </cell>
          <cell r="B1440" t="str">
            <v>CZ042M09</v>
          </cell>
          <cell r="C1440">
            <v>2</v>
          </cell>
          <cell r="D1440">
            <v>1018.34</v>
          </cell>
          <cell r="E1440">
            <v>2036.68</v>
          </cell>
          <cell r="F1440" t="str">
            <v>A1-S08</v>
          </cell>
          <cell r="G1440" t="str">
            <v xml:space="preserve">Side rail  - Đố hông </v>
          </cell>
          <cell r="H1440" t="str">
            <v>Standard Wood - ALDER/ASPEN/LENGA/US POPLAR, 2 COM - T32 W120mm+ L2m+</v>
          </cell>
          <cell r="I1440">
            <v>4</v>
          </cell>
        </row>
        <row r="1441">
          <cell r="A1441" t="str">
            <v>B555628/A</v>
          </cell>
          <cell r="B1441" t="str">
            <v>CZ042M09</v>
          </cell>
          <cell r="C1441">
            <v>2</v>
          </cell>
          <cell r="D1441">
            <v>1018.34</v>
          </cell>
          <cell r="E1441">
            <v>2036.68</v>
          </cell>
          <cell r="F1441" t="str">
            <v>A1-S09</v>
          </cell>
          <cell r="G1441" t="str">
            <v>Horizontal rail 1 - Đố ngang 1</v>
          </cell>
          <cell r="H1441" t="str">
            <v>Standard Wood - ALDER/ASPEN/LENGA/US POPLAR, 2 COM - T25 W120mm+ L2m+</v>
          </cell>
          <cell r="I1441">
            <v>6</v>
          </cell>
        </row>
        <row r="1442">
          <cell r="A1442" t="str">
            <v>B555628/A</v>
          </cell>
          <cell r="B1442" t="str">
            <v>CZ042M09</v>
          </cell>
          <cell r="C1442">
            <v>2</v>
          </cell>
          <cell r="D1442">
            <v>1018.34</v>
          </cell>
          <cell r="E1442">
            <v>2036.68</v>
          </cell>
          <cell r="F1442" t="str">
            <v>A1-S10</v>
          </cell>
          <cell r="G1442" t="str">
            <v>Back panel - Ván hậu</v>
          </cell>
          <cell r="H1442" t="str">
            <v>MDF - 12 x 1830 x 2440mm [CARB P2 Compliant]</v>
          </cell>
          <cell r="I1442">
            <v>2</v>
          </cell>
        </row>
        <row r="1443">
          <cell r="A1443" t="str">
            <v>B555628/A</v>
          </cell>
          <cell r="B1443" t="str">
            <v>CZ042M09</v>
          </cell>
          <cell r="C1443">
            <v>2</v>
          </cell>
          <cell r="D1443">
            <v>1018.34</v>
          </cell>
          <cell r="E1443">
            <v>2036.68</v>
          </cell>
          <cell r="F1443" t="str">
            <v>A1-S11</v>
          </cell>
          <cell r="G1443" t="str">
            <v xml:space="preserve">Side panel  - Ván hông </v>
          </cell>
          <cell r="H1443" t="str">
            <v>MDF - 12 x 1830 x 2440mm [CARB P2 Compliant]</v>
          </cell>
          <cell r="I1443">
            <v>4</v>
          </cell>
        </row>
        <row r="1444">
          <cell r="A1444" t="str">
            <v>B555628/A</v>
          </cell>
          <cell r="B1444" t="str">
            <v>CZ042M09</v>
          </cell>
          <cell r="C1444">
            <v>2</v>
          </cell>
          <cell r="D1444">
            <v>1018.34</v>
          </cell>
          <cell r="E1444">
            <v>2036.68</v>
          </cell>
          <cell r="F1444" t="str">
            <v>A1-S12</v>
          </cell>
          <cell r="G1444" t="str">
            <v>Cleat - Bọ gỗ</v>
          </cell>
          <cell r="H1444" t="str">
            <v>Poplar off cut</v>
          </cell>
          <cell r="I1444">
            <v>8</v>
          </cell>
        </row>
        <row r="1445">
          <cell r="A1445" t="str">
            <v>B555628/A</v>
          </cell>
          <cell r="B1445" t="str">
            <v>CZ042M09</v>
          </cell>
          <cell r="C1445">
            <v>2</v>
          </cell>
          <cell r="D1445">
            <v>1018.34</v>
          </cell>
          <cell r="E1445">
            <v>2036.68</v>
          </cell>
          <cell r="F1445" t="str">
            <v>A1-S13</v>
          </cell>
          <cell r="G1445" t="str">
            <v>Cleat - Bọ gỗ</v>
          </cell>
          <cell r="H1445" t="str">
            <v>Poplar off cut</v>
          </cell>
          <cell r="I1445">
            <v>4</v>
          </cell>
        </row>
        <row r="1446">
          <cell r="A1446" t="str">
            <v>B555628/A</v>
          </cell>
          <cell r="B1446" t="str">
            <v>CZ042M09</v>
          </cell>
          <cell r="C1446">
            <v>2</v>
          </cell>
          <cell r="D1446">
            <v>1018.34</v>
          </cell>
          <cell r="E1446">
            <v>2036.68</v>
          </cell>
          <cell r="F1446" t="str">
            <v>A1-S14</v>
          </cell>
          <cell r="G1446" t="str">
            <v>Corner block - ke góc</v>
          </cell>
          <cell r="H1446" t="str">
            <v>Poplar off cut</v>
          </cell>
          <cell r="I1446">
            <v>4</v>
          </cell>
        </row>
        <row r="1447">
          <cell r="A1447" t="str">
            <v>B555628/A</v>
          </cell>
          <cell r="B1447" t="str">
            <v>CZ042M09</v>
          </cell>
          <cell r="C1447">
            <v>2</v>
          </cell>
          <cell r="D1447">
            <v>1018.34</v>
          </cell>
          <cell r="E1447">
            <v>2036.68</v>
          </cell>
          <cell r="F1447" t="str">
            <v>A1-S15</v>
          </cell>
          <cell r="G1447" t="str">
            <v>Patching wood - Gỗ đắp</v>
          </cell>
          <cell r="H1447" t="str">
            <v>Poplar off cut</v>
          </cell>
          <cell r="I1447">
            <v>8</v>
          </cell>
        </row>
        <row r="1448">
          <cell r="A1448" t="str">
            <v>B555628/A</v>
          </cell>
          <cell r="B1448" t="str">
            <v>CZ042M09</v>
          </cell>
          <cell r="C1448">
            <v>2</v>
          </cell>
          <cell r="D1448">
            <v>1018.34</v>
          </cell>
          <cell r="E1448">
            <v>2036.68</v>
          </cell>
          <cell r="F1448" t="str">
            <v>A1-S17</v>
          </cell>
          <cell r="G1448" t="str">
            <v>Patching wood - Gỗ đắp</v>
          </cell>
          <cell r="H1448" t="str">
            <v>Poplar off cut</v>
          </cell>
          <cell r="I1448">
            <v>4</v>
          </cell>
        </row>
        <row r="1449">
          <cell r="A1449" t="str">
            <v>B555628/A</v>
          </cell>
          <cell r="B1449" t="str">
            <v>CZ042M09</v>
          </cell>
          <cell r="C1449">
            <v>2</v>
          </cell>
          <cell r="D1449">
            <v>1018.34</v>
          </cell>
          <cell r="E1449">
            <v>2036.68</v>
          </cell>
          <cell r="F1449" t="str">
            <v>A2-S1</v>
          </cell>
          <cell r="G1449" t="str">
            <v>The leg  - Chân</v>
          </cell>
          <cell r="H1449" t="str">
            <v>Poplar 2 COM</v>
          </cell>
          <cell r="I1449">
            <v>4</v>
          </cell>
        </row>
        <row r="1450">
          <cell r="A1450" t="str">
            <v>B555628/A</v>
          </cell>
          <cell r="B1450" t="str">
            <v>CZ042M09</v>
          </cell>
          <cell r="C1450">
            <v>2</v>
          </cell>
          <cell r="D1450">
            <v>1018.34</v>
          </cell>
          <cell r="E1450">
            <v>2036.68</v>
          </cell>
          <cell r="F1450" t="str">
            <v>A2-S2</v>
          </cell>
          <cell r="G1450" t="str">
            <v>Foot board  - Đuôi giường</v>
          </cell>
          <cell r="H1450" t="str">
            <v>Pre-Assembly</v>
          </cell>
          <cell r="I1450">
            <v>2</v>
          </cell>
        </row>
        <row r="1451">
          <cell r="A1451" t="str">
            <v>B555628/A</v>
          </cell>
          <cell r="B1451" t="str">
            <v>CZ042M09</v>
          </cell>
          <cell r="C1451">
            <v>2</v>
          </cell>
          <cell r="D1451">
            <v>1018.34</v>
          </cell>
          <cell r="E1451">
            <v>2036.68</v>
          </cell>
          <cell r="F1451" t="str">
            <v>A2-S2-1</v>
          </cell>
          <cell r="G1451" t="str">
            <v>Horizontal rail 1 - Đố ngang 1</v>
          </cell>
          <cell r="H1451" t="str">
            <v>Wood Rubber Laminate Board - 20 x 1220 x 2440mm, Veneer Poplar both Faces</v>
          </cell>
          <cell r="I1451">
            <v>4</v>
          </cell>
        </row>
        <row r="1452">
          <cell r="A1452" t="str">
            <v>B555628/A</v>
          </cell>
          <cell r="B1452" t="str">
            <v>CZ042M09</v>
          </cell>
          <cell r="C1452">
            <v>2</v>
          </cell>
          <cell r="D1452">
            <v>1018.34</v>
          </cell>
          <cell r="E1452">
            <v>2036.68</v>
          </cell>
          <cell r="F1452" t="str">
            <v>A2-S2-2</v>
          </cell>
          <cell r="G1452" t="str">
            <v>Vertical rail 1 - Đố đứng 1</v>
          </cell>
          <cell r="H1452" t="str">
            <v>Wood laminate</v>
          </cell>
          <cell r="I1452">
            <v>4</v>
          </cell>
        </row>
        <row r="1453">
          <cell r="A1453" t="str">
            <v>B555628/A</v>
          </cell>
          <cell r="B1453" t="str">
            <v>CZ042M09</v>
          </cell>
          <cell r="C1453">
            <v>2</v>
          </cell>
          <cell r="D1453">
            <v>1018.34</v>
          </cell>
          <cell r="E1453">
            <v>2036.68</v>
          </cell>
          <cell r="F1453" t="str">
            <v>A2-S2-3</v>
          </cell>
          <cell r="G1453" t="str">
            <v>Vertical rail 2 - Đố đứng 2</v>
          </cell>
          <cell r="H1453" t="str">
            <v>Standard Wood - ALDER/ASPEN/LENGA/US POPLAR, 2 COM - T50 W120mm+ L2m+</v>
          </cell>
          <cell r="I1453">
            <v>4</v>
          </cell>
        </row>
        <row r="1454">
          <cell r="A1454" t="str">
            <v>B555628/A</v>
          </cell>
          <cell r="B1454" t="str">
            <v>CZ042M09</v>
          </cell>
          <cell r="C1454">
            <v>2</v>
          </cell>
          <cell r="D1454">
            <v>1018.34</v>
          </cell>
          <cell r="E1454">
            <v>2036.68</v>
          </cell>
          <cell r="F1454" t="str">
            <v>A2-S2-4</v>
          </cell>
          <cell r="G1454" t="str">
            <v>Back panel - Ván hậu</v>
          </cell>
          <cell r="H1454" t="str">
            <v>MDF Veneer</v>
          </cell>
          <cell r="I1454">
            <v>4</v>
          </cell>
        </row>
        <row r="1455">
          <cell r="A1455" t="str">
            <v>B555628/A</v>
          </cell>
          <cell r="B1455" t="str">
            <v>CZ042M09</v>
          </cell>
          <cell r="C1455">
            <v>2</v>
          </cell>
          <cell r="D1455">
            <v>1018.34</v>
          </cell>
          <cell r="E1455">
            <v>2036.68</v>
          </cell>
          <cell r="F1455" t="str">
            <v>A2-S3</v>
          </cell>
          <cell r="G1455" t="str">
            <v>Insert Wood - Gỗ chèn</v>
          </cell>
          <cell r="H1455" t="str">
            <v>Beech off cut</v>
          </cell>
          <cell r="I1455">
            <v>4</v>
          </cell>
        </row>
        <row r="1456">
          <cell r="A1456" t="str">
            <v>B555628/A</v>
          </cell>
          <cell r="B1456" t="str">
            <v>CZ042M09</v>
          </cell>
          <cell r="C1456">
            <v>2</v>
          </cell>
          <cell r="D1456">
            <v>1018.34</v>
          </cell>
          <cell r="E1456">
            <v>2036.68</v>
          </cell>
          <cell r="F1456" t="str">
            <v>A3.1</v>
          </cell>
          <cell r="G1456" t="str">
            <v>Side bed - Hông giường</v>
          </cell>
          <cell r="H1456" t="str">
            <v>Pre-Assembly</v>
          </cell>
          <cell r="I1456">
            <v>4</v>
          </cell>
        </row>
        <row r="1457">
          <cell r="A1457" t="str">
            <v>B555628/A</v>
          </cell>
          <cell r="B1457" t="str">
            <v>CZ042M09</v>
          </cell>
          <cell r="C1457">
            <v>2</v>
          </cell>
          <cell r="D1457">
            <v>1018.34</v>
          </cell>
          <cell r="E1457">
            <v>2036.68</v>
          </cell>
          <cell r="F1457" t="str">
            <v>A3-S1</v>
          </cell>
          <cell r="G1457" t="str">
            <v>Horizontal rail 1 - Đố ngang 1</v>
          </cell>
          <cell r="H1457" t="str">
            <v>MDF - 18 x 1830 x 2440mm [CARB P2 Compliant]</v>
          </cell>
          <cell r="I1457">
            <v>8</v>
          </cell>
        </row>
        <row r="1458">
          <cell r="A1458" t="str">
            <v>B555628/A</v>
          </cell>
          <cell r="B1458" t="str">
            <v>CZ042M09</v>
          </cell>
          <cell r="C1458">
            <v>2</v>
          </cell>
          <cell r="D1458">
            <v>1018.34</v>
          </cell>
          <cell r="E1458">
            <v>2036.68</v>
          </cell>
          <cell r="F1458" t="str">
            <v>A3-S3</v>
          </cell>
          <cell r="G1458" t="str">
            <v>Vertical rail 1 - Đố đứng 1</v>
          </cell>
          <cell r="H1458" t="str">
            <v>Plywood off cut</v>
          </cell>
          <cell r="I1458">
            <v>16</v>
          </cell>
        </row>
        <row r="1459">
          <cell r="A1459" t="str">
            <v>B555628/A</v>
          </cell>
          <cell r="B1459" t="str">
            <v>CZ042M09</v>
          </cell>
          <cell r="C1459">
            <v>2</v>
          </cell>
          <cell r="D1459">
            <v>1018.34</v>
          </cell>
          <cell r="E1459">
            <v>2036.68</v>
          </cell>
          <cell r="F1459" t="str">
            <v>A3-S4</v>
          </cell>
          <cell r="G1459" t="str">
            <v xml:space="preserve">Side panel  - Ván hông </v>
          </cell>
          <cell r="H1459" t="str">
            <v>MDF Veneer</v>
          </cell>
          <cell r="I1459">
            <v>8</v>
          </cell>
        </row>
        <row r="1460">
          <cell r="A1460" t="str">
            <v>B555628/A</v>
          </cell>
          <cell r="B1460" t="str">
            <v>CZ042M09</v>
          </cell>
          <cell r="C1460">
            <v>2</v>
          </cell>
          <cell r="D1460">
            <v>1018.34</v>
          </cell>
          <cell r="E1460">
            <v>2036.68</v>
          </cell>
          <cell r="F1460" t="str">
            <v>A3-S5</v>
          </cell>
          <cell r="G1460" t="str">
            <v xml:space="preserve">Side rail  - Đố hông </v>
          </cell>
          <cell r="H1460" t="str">
            <v>MDF laminate</v>
          </cell>
          <cell r="I1460">
            <v>8</v>
          </cell>
        </row>
        <row r="1461">
          <cell r="A1461" t="str">
            <v>B555628/A</v>
          </cell>
          <cell r="B1461" t="str">
            <v>CZ042M09</v>
          </cell>
          <cell r="C1461">
            <v>2</v>
          </cell>
          <cell r="D1461">
            <v>1018.34</v>
          </cell>
          <cell r="E1461">
            <v>2036.68</v>
          </cell>
          <cell r="F1461" t="str">
            <v>A3-S6</v>
          </cell>
          <cell r="G1461" t="str">
            <v xml:space="preserve">Side rail  - Đố hông </v>
          </cell>
          <cell r="H1461" t="str">
            <v>Wood US Poplar - Straight Edged, 1 COM - T32mm x W100mm Up x L1.8m Up</v>
          </cell>
          <cell r="I1461">
            <v>4</v>
          </cell>
        </row>
        <row r="1462">
          <cell r="A1462" t="str">
            <v>B555628/A</v>
          </cell>
          <cell r="B1462" t="str">
            <v>CZ042M09</v>
          </cell>
          <cell r="C1462">
            <v>2</v>
          </cell>
          <cell r="D1462">
            <v>1018.34</v>
          </cell>
          <cell r="E1462">
            <v>2036.68</v>
          </cell>
          <cell r="F1462" t="str">
            <v>P1</v>
          </cell>
          <cell r="G1462" t="str">
            <v>Slat Support  - Đỡ dạt giường</v>
          </cell>
          <cell r="H1462" t="str">
            <v>Wood US Poplar - Straight Edged, 1 COM - T38mm x W100mm Up x L1.8m Up</v>
          </cell>
          <cell r="I1462">
            <v>4</v>
          </cell>
        </row>
        <row r="1463">
          <cell r="A1463" t="str">
            <v>B555628/A</v>
          </cell>
          <cell r="B1463" t="str">
            <v>CZ042M09</v>
          </cell>
          <cell r="C1463">
            <v>2</v>
          </cell>
          <cell r="D1463">
            <v>1018.34</v>
          </cell>
          <cell r="E1463">
            <v>2036.68</v>
          </cell>
          <cell r="F1463" t="str">
            <v>P2</v>
          </cell>
          <cell r="G1463" t="str">
            <v>slat buy - dạt mua từ nhà cung</v>
          </cell>
          <cell r="H1463" t="str">
            <v>Slat buy</v>
          </cell>
          <cell r="I1463">
            <v>26</v>
          </cell>
        </row>
        <row r="1464">
          <cell r="A1464" t="str">
            <v>B557258/A</v>
          </cell>
          <cell r="B1464" t="str">
            <v>CZ042M10</v>
          </cell>
          <cell r="C1464">
            <v>1</v>
          </cell>
          <cell r="D1464">
            <v>1018.34</v>
          </cell>
          <cell r="E1464">
            <v>1018.34</v>
          </cell>
          <cell r="F1464" t="str">
            <v>A1</v>
          </cell>
          <cell r="G1464" t="str">
            <v>Head board  - Đầu giường</v>
          </cell>
          <cell r="H1464" t="str">
            <v>Pre-Assembly</v>
          </cell>
          <cell r="I1464">
            <v>1</v>
          </cell>
        </row>
        <row r="1465">
          <cell r="A1465" t="str">
            <v>B557258/A</v>
          </cell>
          <cell r="B1465" t="str">
            <v>CZ042M10</v>
          </cell>
          <cell r="C1465">
            <v>1</v>
          </cell>
          <cell r="D1465">
            <v>1018.34</v>
          </cell>
          <cell r="E1465">
            <v>1018.34</v>
          </cell>
          <cell r="F1465" t="str">
            <v>A1-S01</v>
          </cell>
          <cell r="G1465" t="str">
            <v>The leg  - Chân</v>
          </cell>
          <cell r="H1465" t="str">
            <v>Wood laminate</v>
          </cell>
          <cell r="I1465">
            <v>2</v>
          </cell>
        </row>
        <row r="1466">
          <cell r="A1466" t="str">
            <v>B557258/A</v>
          </cell>
          <cell r="B1466" t="str">
            <v>CZ042M10</v>
          </cell>
          <cell r="C1466">
            <v>1</v>
          </cell>
          <cell r="D1466">
            <v>1018.34</v>
          </cell>
          <cell r="E1466">
            <v>1018.34</v>
          </cell>
          <cell r="F1466" t="str">
            <v>A1-S02</v>
          </cell>
          <cell r="G1466" t="str">
            <v>Horizontal rail 1 - Đố ngang 1</v>
          </cell>
          <cell r="H1466" t="str">
            <v>Wood laminate</v>
          </cell>
          <cell r="I1466">
            <v>2</v>
          </cell>
        </row>
        <row r="1467">
          <cell r="A1467" t="str">
            <v>B557258/A</v>
          </cell>
          <cell r="B1467" t="str">
            <v>CZ042M10</v>
          </cell>
          <cell r="C1467">
            <v>1</v>
          </cell>
          <cell r="D1467">
            <v>1018.34</v>
          </cell>
          <cell r="E1467">
            <v>1018.34</v>
          </cell>
          <cell r="F1467" t="str">
            <v>A1-S03</v>
          </cell>
          <cell r="G1467" t="str">
            <v>Vertical rail 1 - Đố đứng 1</v>
          </cell>
          <cell r="H1467" t="str">
            <v>Wood Rubber Laminate Board - 20 x 1220 x 2440mm, Veneer Poplar both Faces</v>
          </cell>
          <cell r="I1467">
            <v>2</v>
          </cell>
        </row>
        <row r="1468">
          <cell r="A1468" t="str">
            <v>B557258/A</v>
          </cell>
          <cell r="B1468" t="str">
            <v>CZ042M10</v>
          </cell>
          <cell r="C1468">
            <v>1</v>
          </cell>
          <cell r="D1468">
            <v>1018.34</v>
          </cell>
          <cell r="E1468">
            <v>1018.34</v>
          </cell>
          <cell r="F1468" t="str">
            <v>A1-S04</v>
          </cell>
          <cell r="G1468" t="str">
            <v>Vertical rail 2 - Đố đứng 2</v>
          </cell>
          <cell r="H1468" t="str">
            <v>Standard Wood - ALDER/ASPEN/LENGA/US POPLAR, 2 COM - T38 W120mm+ L2m+</v>
          </cell>
          <cell r="I1468">
            <v>2</v>
          </cell>
        </row>
        <row r="1469">
          <cell r="A1469" t="str">
            <v>B557258/A</v>
          </cell>
          <cell r="B1469" t="str">
            <v>CZ042M10</v>
          </cell>
          <cell r="C1469">
            <v>1</v>
          </cell>
          <cell r="D1469">
            <v>1018.34</v>
          </cell>
          <cell r="E1469">
            <v>1018.34</v>
          </cell>
          <cell r="F1469" t="str">
            <v>A1-S05</v>
          </cell>
          <cell r="G1469" t="str">
            <v xml:space="preserve">Side rail  - Đố hông </v>
          </cell>
          <cell r="H1469" t="str">
            <v>TRAM OFF CUT</v>
          </cell>
          <cell r="I1469">
            <v>8</v>
          </cell>
        </row>
        <row r="1470">
          <cell r="A1470" t="str">
            <v>B557258/A</v>
          </cell>
          <cell r="B1470" t="str">
            <v>CZ042M10</v>
          </cell>
          <cell r="C1470">
            <v>1</v>
          </cell>
          <cell r="D1470">
            <v>1018.34</v>
          </cell>
          <cell r="E1470">
            <v>1018.34</v>
          </cell>
          <cell r="F1470" t="str">
            <v>A1-S06</v>
          </cell>
          <cell r="G1470" t="str">
            <v xml:space="preserve">Front panel  - Ván tiền </v>
          </cell>
          <cell r="H1470" t="str">
            <v>MDF - 12 x 1830 x 2440mm [CARB P2 Compliant]</v>
          </cell>
          <cell r="I1470">
            <v>1</v>
          </cell>
        </row>
        <row r="1471">
          <cell r="A1471" t="str">
            <v>B557258/A</v>
          </cell>
          <cell r="B1471" t="str">
            <v>CZ042M10</v>
          </cell>
          <cell r="C1471">
            <v>1</v>
          </cell>
          <cell r="D1471">
            <v>1018.34</v>
          </cell>
          <cell r="E1471">
            <v>1018.34</v>
          </cell>
          <cell r="F1471" t="str">
            <v>A1-S07</v>
          </cell>
          <cell r="G1471" t="str">
            <v xml:space="preserve">Side panel  - Ván hông </v>
          </cell>
          <cell r="H1471" t="str">
            <v>MDF - 12 x 1830 x 2440mm [CARB P2 Compliant]</v>
          </cell>
          <cell r="I1471">
            <v>2</v>
          </cell>
        </row>
        <row r="1472">
          <cell r="A1472" t="str">
            <v>B557258/A</v>
          </cell>
          <cell r="B1472" t="str">
            <v>CZ042M10</v>
          </cell>
          <cell r="C1472">
            <v>1</v>
          </cell>
          <cell r="D1472">
            <v>1018.34</v>
          </cell>
          <cell r="E1472">
            <v>1018.34</v>
          </cell>
          <cell r="F1472" t="str">
            <v>A1-S08</v>
          </cell>
          <cell r="G1472" t="str">
            <v xml:space="preserve">Side rail  - Đố hông </v>
          </cell>
          <cell r="H1472" t="str">
            <v>Standard Wood - ALDER/ASPEN/LENGA/US POPLAR, 2 COM - T32 W120mm+ L2m+</v>
          </cell>
          <cell r="I1472">
            <v>2</v>
          </cell>
        </row>
        <row r="1473">
          <cell r="A1473" t="str">
            <v>B557258/A</v>
          </cell>
          <cell r="B1473" t="str">
            <v>CZ042M10</v>
          </cell>
          <cell r="C1473">
            <v>1</v>
          </cell>
          <cell r="D1473">
            <v>1018.34</v>
          </cell>
          <cell r="E1473">
            <v>1018.34</v>
          </cell>
          <cell r="F1473" t="str">
            <v>A1-S09</v>
          </cell>
          <cell r="G1473" t="str">
            <v>Horizontal rail 1 - Đố ngang 1</v>
          </cell>
          <cell r="H1473" t="str">
            <v>Standard Wood - ALDER/ASPEN/LENGA/US POPLAR, 2 COM - T25 W120mm+ L2m+</v>
          </cell>
          <cell r="I1473">
            <v>3</v>
          </cell>
        </row>
        <row r="1474">
          <cell r="A1474" t="str">
            <v>B557258/A</v>
          </cell>
          <cell r="B1474" t="str">
            <v>CZ042M10</v>
          </cell>
          <cell r="C1474">
            <v>1</v>
          </cell>
          <cell r="D1474">
            <v>1018.34</v>
          </cell>
          <cell r="E1474">
            <v>1018.34</v>
          </cell>
          <cell r="F1474" t="str">
            <v>A1-S10</v>
          </cell>
          <cell r="G1474" t="str">
            <v>Back panel - Ván hậu</v>
          </cell>
          <cell r="H1474" t="str">
            <v>MDF - 12 x 1830 x 2440mm [CARB P2 Compliant]</v>
          </cell>
          <cell r="I1474">
            <v>1</v>
          </cell>
        </row>
        <row r="1475">
          <cell r="A1475" t="str">
            <v>B557258/A</v>
          </cell>
          <cell r="B1475" t="str">
            <v>CZ042M10</v>
          </cell>
          <cell r="C1475">
            <v>1</v>
          </cell>
          <cell r="D1475">
            <v>1018.34</v>
          </cell>
          <cell r="E1475">
            <v>1018.34</v>
          </cell>
          <cell r="F1475" t="str">
            <v>A1-S11</v>
          </cell>
          <cell r="G1475" t="str">
            <v xml:space="preserve">Side panel  - Ván hông </v>
          </cell>
          <cell r="H1475" t="str">
            <v>MDF - 12 x 1830 x 2440mm [CARB P2 Compliant]</v>
          </cell>
          <cell r="I1475">
            <v>2</v>
          </cell>
        </row>
        <row r="1476">
          <cell r="A1476" t="str">
            <v>B557258/A</v>
          </cell>
          <cell r="B1476" t="str">
            <v>CZ042M10</v>
          </cell>
          <cell r="C1476">
            <v>1</v>
          </cell>
          <cell r="D1476">
            <v>1018.34</v>
          </cell>
          <cell r="E1476">
            <v>1018.34</v>
          </cell>
          <cell r="F1476" t="str">
            <v>A1-S12</v>
          </cell>
          <cell r="G1476" t="str">
            <v>Cleat - Bọ gỗ</v>
          </cell>
          <cell r="H1476" t="str">
            <v>Poplar off cut</v>
          </cell>
          <cell r="I1476">
            <v>4</v>
          </cell>
        </row>
        <row r="1477">
          <cell r="A1477" t="str">
            <v>B557258/A</v>
          </cell>
          <cell r="B1477" t="str">
            <v>CZ042M10</v>
          </cell>
          <cell r="C1477">
            <v>1</v>
          </cell>
          <cell r="D1477">
            <v>1018.34</v>
          </cell>
          <cell r="E1477">
            <v>1018.34</v>
          </cell>
          <cell r="F1477" t="str">
            <v>A1-S13</v>
          </cell>
          <cell r="G1477" t="str">
            <v>Cleat - Bọ gỗ</v>
          </cell>
          <cell r="H1477" t="str">
            <v>Poplar off cut</v>
          </cell>
          <cell r="I1477">
            <v>2</v>
          </cell>
        </row>
        <row r="1478">
          <cell r="A1478" t="str">
            <v>B557258/A</v>
          </cell>
          <cell r="B1478" t="str">
            <v>CZ042M10</v>
          </cell>
          <cell r="C1478">
            <v>1</v>
          </cell>
          <cell r="D1478">
            <v>1018.34</v>
          </cell>
          <cell r="E1478">
            <v>1018.34</v>
          </cell>
          <cell r="F1478" t="str">
            <v>A1-S14</v>
          </cell>
          <cell r="G1478" t="str">
            <v>Corner block - ke góc</v>
          </cell>
          <cell r="H1478" t="str">
            <v>Poplar off cut</v>
          </cell>
          <cell r="I1478">
            <v>2</v>
          </cell>
        </row>
        <row r="1479">
          <cell r="A1479" t="str">
            <v>B557258/A</v>
          </cell>
          <cell r="B1479" t="str">
            <v>CZ042M10</v>
          </cell>
          <cell r="C1479">
            <v>1</v>
          </cell>
          <cell r="D1479">
            <v>1018.34</v>
          </cell>
          <cell r="E1479">
            <v>1018.34</v>
          </cell>
          <cell r="F1479" t="str">
            <v>A1-S15</v>
          </cell>
          <cell r="G1479" t="str">
            <v>Patching wood - Gỗ đắp</v>
          </cell>
          <cell r="H1479" t="str">
            <v>Poplar off cut</v>
          </cell>
          <cell r="I1479">
            <v>4</v>
          </cell>
        </row>
        <row r="1480">
          <cell r="A1480" t="str">
            <v>B557258/A</v>
          </cell>
          <cell r="B1480" t="str">
            <v>CZ042M10</v>
          </cell>
          <cell r="C1480">
            <v>1</v>
          </cell>
          <cell r="D1480">
            <v>1018.34</v>
          </cell>
          <cell r="E1480">
            <v>1018.34</v>
          </cell>
          <cell r="F1480" t="str">
            <v>A1-S17</v>
          </cell>
          <cell r="G1480" t="str">
            <v>Patching wood - Gỗ đắp</v>
          </cell>
          <cell r="H1480" t="str">
            <v>Poplar off cut</v>
          </cell>
          <cell r="I1480">
            <v>2</v>
          </cell>
        </row>
        <row r="1481">
          <cell r="A1481" t="str">
            <v>B557258/A</v>
          </cell>
          <cell r="B1481" t="str">
            <v>CZ042M10</v>
          </cell>
          <cell r="C1481">
            <v>1</v>
          </cell>
          <cell r="D1481">
            <v>1018.34</v>
          </cell>
          <cell r="E1481">
            <v>1018.34</v>
          </cell>
          <cell r="F1481" t="str">
            <v>A2-S1</v>
          </cell>
          <cell r="G1481" t="str">
            <v>The leg  - Chân</v>
          </cell>
          <cell r="H1481" t="str">
            <v>Poplar 2 COM</v>
          </cell>
          <cell r="I1481">
            <v>2</v>
          </cell>
        </row>
        <row r="1482">
          <cell r="A1482" t="str">
            <v>B557258/A</v>
          </cell>
          <cell r="B1482" t="str">
            <v>CZ042M10</v>
          </cell>
          <cell r="C1482">
            <v>1</v>
          </cell>
          <cell r="D1482">
            <v>1018.34</v>
          </cell>
          <cell r="E1482">
            <v>1018.34</v>
          </cell>
          <cell r="F1482" t="str">
            <v>A2-S2</v>
          </cell>
          <cell r="G1482" t="str">
            <v>Foot board  - Đuôi giường</v>
          </cell>
          <cell r="H1482" t="str">
            <v>Pre-Assembly</v>
          </cell>
          <cell r="I1482">
            <v>1</v>
          </cell>
        </row>
        <row r="1483">
          <cell r="A1483" t="str">
            <v>B557258/A</v>
          </cell>
          <cell r="B1483" t="str">
            <v>CZ042M10</v>
          </cell>
          <cell r="C1483">
            <v>1</v>
          </cell>
          <cell r="D1483">
            <v>1018.34</v>
          </cell>
          <cell r="E1483">
            <v>1018.34</v>
          </cell>
          <cell r="F1483" t="str">
            <v>A2-S2-1</v>
          </cell>
          <cell r="G1483" t="str">
            <v>Horizontal rail 1 - Đố ngang 1</v>
          </cell>
          <cell r="H1483" t="str">
            <v>Wood Rubber Laminate Board - 20 x 1220 x 2440mm, Veneer Poplar both Faces</v>
          </cell>
          <cell r="I1483">
            <v>2</v>
          </cell>
        </row>
        <row r="1484">
          <cell r="A1484" t="str">
            <v>B557258/A</v>
          </cell>
          <cell r="B1484" t="str">
            <v>CZ042M10</v>
          </cell>
          <cell r="C1484">
            <v>1</v>
          </cell>
          <cell r="D1484">
            <v>1018.34</v>
          </cell>
          <cell r="E1484">
            <v>1018.34</v>
          </cell>
          <cell r="F1484" t="str">
            <v>A2-S2-2</v>
          </cell>
          <cell r="G1484" t="str">
            <v>Vertical rail 1 - Đố đứng 1</v>
          </cell>
          <cell r="H1484" t="str">
            <v>Wood laminate</v>
          </cell>
          <cell r="I1484">
            <v>2</v>
          </cell>
        </row>
        <row r="1485">
          <cell r="A1485" t="str">
            <v>B557258/A</v>
          </cell>
          <cell r="B1485" t="str">
            <v>CZ042M10</v>
          </cell>
          <cell r="C1485">
            <v>1</v>
          </cell>
          <cell r="D1485">
            <v>1018.34</v>
          </cell>
          <cell r="E1485">
            <v>1018.34</v>
          </cell>
          <cell r="F1485" t="str">
            <v>A2-S2-3</v>
          </cell>
          <cell r="G1485" t="str">
            <v>Vertical rail 2 - Đố đứng 2</v>
          </cell>
          <cell r="H1485" t="str">
            <v>Standard Wood - ALDER/ASPEN/LENGA/US POPLAR, 2 COM - T50 W120mm+ L2m+</v>
          </cell>
          <cell r="I1485">
            <v>2</v>
          </cell>
        </row>
        <row r="1486">
          <cell r="A1486" t="str">
            <v>B557258/A</v>
          </cell>
          <cell r="B1486" t="str">
            <v>CZ042M10</v>
          </cell>
          <cell r="C1486">
            <v>1</v>
          </cell>
          <cell r="D1486">
            <v>1018.34</v>
          </cell>
          <cell r="E1486">
            <v>1018.34</v>
          </cell>
          <cell r="F1486" t="str">
            <v>A2-S2-4</v>
          </cell>
          <cell r="G1486" t="str">
            <v>Back panel - Ván hậu</v>
          </cell>
          <cell r="H1486" t="str">
            <v>MDF Veneer</v>
          </cell>
          <cell r="I1486">
            <v>2</v>
          </cell>
        </row>
        <row r="1487">
          <cell r="A1487" t="str">
            <v>B557258/A</v>
          </cell>
          <cell r="B1487" t="str">
            <v>CZ042M10</v>
          </cell>
          <cell r="C1487">
            <v>1</v>
          </cell>
          <cell r="D1487">
            <v>1018.34</v>
          </cell>
          <cell r="E1487">
            <v>1018.34</v>
          </cell>
          <cell r="F1487" t="str">
            <v>A2-S3</v>
          </cell>
          <cell r="G1487" t="str">
            <v>Insert Wood - Gỗ chèn</v>
          </cell>
          <cell r="H1487" t="str">
            <v>Beech off cut</v>
          </cell>
          <cell r="I1487">
            <v>2</v>
          </cell>
        </row>
        <row r="1488">
          <cell r="A1488" t="str">
            <v>B557258/A</v>
          </cell>
          <cell r="B1488" t="str">
            <v>CZ042M10</v>
          </cell>
          <cell r="C1488">
            <v>1</v>
          </cell>
          <cell r="D1488">
            <v>1018.34</v>
          </cell>
          <cell r="E1488">
            <v>1018.34</v>
          </cell>
          <cell r="F1488" t="str">
            <v>A3.1</v>
          </cell>
          <cell r="G1488" t="str">
            <v>Side bed - Hông giường</v>
          </cell>
          <cell r="H1488" t="str">
            <v>Pre-Assembly</v>
          </cell>
          <cell r="I1488">
            <v>2</v>
          </cell>
        </row>
        <row r="1489">
          <cell r="A1489" t="str">
            <v>B557258/A</v>
          </cell>
          <cell r="B1489" t="str">
            <v>CZ042M10</v>
          </cell>
          <cell r="C1489">
            <v>1</v>
          </cell>
          <cell r="D1489">
            <v>1018.34</v>
          </cell>
          <cell r="E1489">
            <v>1018.34</v>
          </cell>
          <cell r="F1489" t="str">
            <v>A3-S1</v>
          </cell>
          <cell r="G1489" t="str">
            <v>Horizontal rail 1 - Đố ngang 1</v>
          </cell>
          <cell r="H1489" t="str">
            <v>MDF - 18 x 1830 x 2440mm [CARB P2 Compliant]</v>
          </cell>
          <cell r="I1489">
            <v>4</v>
          </cell>
        </row>
        <row r="1490">
          <cell r="A1490" t="str">
            <v>B557258/A</v>
          </cell>
          <cell r="B1490" t="str">
            <v>CZ042M10</v>
          </cell>
          <cell r="C1490">
            <v>1</v>
          </cell>
          <cell r="D1490">
            <v>1018.34</v>
          </cell>
          <cell r="E1490">
            <v>1018.34</v>
          </cell>
          <cell r="F1490" t="str">
            <v>A3-S3</v>
          </cell>
          <cell r="G1490" t="str">
            <v>Vertical rail 1 - Đố đứng 1</v>
          </cell>
          <cell r="H1490" t="str">
            <v>Plywood off cut</v>
          </cell>
          <cell r="I1490">
            <v>8</v>
          </cell>
        </row>
        <row r="1491">
          <cell r="A1491" t="str">
            <v>B557258/A</v>
          </cell>
          <cell r="B1491" t="str">
            <v>CZ042M10</v>
          </cell>
          <cell r="C1491">
            <v>1</v>
          </cell>
          <cell r="D1491">
            <v>1018.34</v>
          </cell>
          <cell r="E1491">
            <v>1018.34</v>
          </cell>
          <cell r="F1491" t="str">
            <v>A3-S4</v>
          </cell>
          <cell r="G1491" t="str">
            <v xml:space="preserve">Side panel  - Ván hông </v>
          </cell>
          <cell r="H1491" t="str">
            <v>MDF Veneer</v>
          </cell>
          <cell r="I1491">
            <v>4</v>
          </cell>
        </row>
        <row r="1492">
          <cell r="A1492" t="str">
            <v>B557258/A</v>
          </cell>
          <cell r="B1492" t="str">
            <v>CZ042M10</v>
          </cell>
          <cell r="C1492">
            <v>1</v>
          </cell>
          <cell r="D1492">
            <v>1018.34</v>
          </cell>
          <cell r="E1492">
            <v>1018.34</v>
          </cell>
          <cell r="F1492" t="str">
            <v>A3-S5</v>
          </cell>
          <cell r="G1492" t="str">
            <v xml:space="preserve">Side rail  - Đố hông </v>
          </cell>
          <cell r="H1492" t="str">
            <v>MDF laminate</v>
          </cell>
          <cell r="I1492">
            <v>4</v>
          </cell>
        </row>
        <row r="1493">
          <cell r="A1493" t="str">
            <v>B557258/A</v>
          </cell>
          <cell r="B1493" t="str">
            <v>CZ042M10</v>
          </cell>
          <cell r="C1493">
            <v>1</v>
          </cell>
          <cell r="D1493">
            <v>1018.34</v>
          </cell>
          <cell r="E1493">
            <v>1018.34</v>
          </cell>
          <cell r="F1493" t="str">
            <v>A3-S6</v>
          </cell>
          <cell r="G1493" t="str">
            <v xml:space="preserve">Side rail  - Đố hông </v>
          </cell>
          <cell r="H1493" t="str">
            <v>Wood US Poplar - Straight Edged, 1 COM - T32mm x W100mm Up x L1.8m Up</v>
          </cell>
          <cell r="I1493">
            <v>2</v>
          </cell>
        </row>
        <row r="1494">
          <cell r="A1494" t="str">
            <v>B557258/A</v>
          </cell>
          <cell r="B1494" t="str">
            <v>CZ042M10</v>
          </cell>
          <cell r="C1494">
            <v>1</v>
          </cell>
          <cell r="D1494">
            <v>1018.34</v>
          </cell>
          <cell r="E1494">
            <v>1018.34</v>
          </cell>
          <cell r="F1494" t="str">
            <v>P1</v>
          </cell>
          <cell r="G1494" t="str">
            <v>Slat Support  - Đỡ dạt giường</v>
          </cell>
          <cell r="H1494" t="str">
            <v>Wood US Poplar - Straight Edged, 1 COM - T38mm x W100mm Up x L1.8m Up</v>
          </cell>
          <cell r="I1494">
            <v>2</v>
          </cell>
        </row>
        <row r="1495">
          <cell r="A1495" t="str">
            <v>B557258/A</v>
          </cell>
          <cell r="B1495" t="str">
            <v>CZ042M10</v>
          </cell>
          <cell r="C1495">
            <v>1</v>
          </cell>
          <cell r="D1495">
            <v>1018.34</v>
          </cell>
          <cell r="E1495">
            <v>1018.34</v>
          </cell>
          <cell r="F1495" t="str">
            <v>P2</v>
          </cell>
          <cell r="G1495" t="str">
            <v>slat buy - dạt mua từ nhà cung</v>
          </cell>
          <cell r="H1495" t="str">
            <v>Slat buy</v>
          </cell>
          <cell r="I1495">
            <v>13</v>
          </cell>
        </row>
        <row r="1496">
          <cell r="A1496" t="str">
            <v>B557252/A</v>
          </cell>
          <cell r="B1496" t="str">
            <v>CZ042M190</v>
          </cell>
          <cell r="C1496">
            <v>8</v>
          </cell>
          <cell r="D1496">
            <v>1018.34</v>
          </cell>
          <cell r="E1496">
            <v>8146.72</v>
          </cell>
          <cell r="F1496" t="str">
            <v>A1</v>
          </cell>
          <cell r="G1496" t="str">
            <v>Head board  - Đầu giường</v>
          </cell>
          <cell r="H1496" t="str">
            <v>Pre-Assembly</v>
          </cell>
          <cell r="I1496">
            <v>8</v>
          </cell>
        </row>
        <row r="1497">
          <cell r="A1497" t="str">
            <v>B557252/A</v>
          </cell>
          <cell r="B1497" t="str">
            <v>CZ042M190</v>
          </cell>
          <cell r="C1497">
            <v>8</v>
          </cell>
          <cell r="D1497">
            <v>1018.34</v>
          </cell>
          <cell r="E1497">
            <v>8146.72</v>
          </cell>
          <cell r="F1497" t="str">
            <v>A1-S01</v>
          </cell>
          <cell r="G1497" t="str">
            <v>The leg  - Chân</v>
          </cell>
          <cell r="H1497" t="str">
            <v>Wood laminate</v>
          </cell>
          <cell r="I1497">
            <v>16</v>
          </cell>
        </row>
        <row r="1498">
          <cell r="A1498" t="str">
            <v>B557252/A</v>
          </cell>
          <cell r="B1498" t="str">
            <v>CZ042M190</v>
          </cell>
          <cell r="C1498">
            <v>8</v>
          </cell>
          <cell r="D1498">
            <v>1018.34</v>
          </cell>
          <cell r="E1498">
            <v>8146.72</v>
          </cell>
          <cell r="F1498" t="str">
            <v>A1-S02</v>
          </cell>
          <cell r="G1498" t="str">
            <v>Horizontal rail 1 - Đố ngang 1</v>
          </cell>
          <cell r="H1498" t="str">
            <v>Wood laminate</v>
          </cell>
          <cell r="I1498">
            <v>16</v>
          </cell>
        </row>
        <row r="1499">
          <cell r="A1499" t="str">
            <v>B557252/A</v>
          </cell>
          <cell r="B1499" t="str">
            <v>CZ042M190</v>
          </cell>
          <cell r="C1499">
            <v>8</v>
          </cell>
          <cell r="D1499">
            <v>1018.34</v>
          </cell>
          <cell r="E1499">
            <v>8146.72</v>
          </cell>
          <cell r="F1499" t="str">
            <v>A1-S03</v>
          </cell>
          <cell r="G1499" t="str">
            <v>Vertical rail 1 - Đố đứng 1</v>
          </cell>
          <cell r="H1499" t="str">
            <v>Standard Wood - ALDER/ASPEN/LENGA/US POPLAR, 2 COM - T25 W120mm+ L2m+</v>
          </cell>
          <cell r="I1499">
            <v>16</v>
          </cell>
        </row>
        <row r="1500">
          <cell r="A1500" t="str">
            <v>B557252/A</v>
          </cell>
          <cell r="B1500" t="str">
            <v>CZ042M190</v>
          </cell>
          <cell r="C1500">
            <v>8</v>
          </cell>
          <cell r="D1500">
            <v>1018.34</v>
          </cell>
          <cell r="E1500">
            <v>8146.72</v>
          </cell>
          <cell r="F1500" t="str">
            <v>A1-S04</v>
          </cell>
          <cell r="G1500" t="str">
            <v>Vertical rail 2 - Đố đứng 2</v>
          </cell>
          <cell r="H1500" t="str">
            <v>Standard Wood - ALDER/ASPEN/LENGA/US POPLAR, 2 COM - T38 W120mm+ L2m+</v>
          </cell>
          <cell r="I1500">
            <v>16</v>
          </cell>
        </row>
        <row r="1501">
          <cell r="A1501" t="str">
            <v>B557252/A</v>
          </cell>
          <cell r="B1501" t="str">
            <v>CZ042M190</v>
          </cell>
          <cell r="C1501">
            <v>8</v>
          </cell>
          <cell r="D1501">
            <v>1018.34</v>
          </cell>
          <cell r="E1501">
            <v>8146.72</v>
          </cell>
          <cell r="F1501" t="str">
            <v>A1-S05</v>
          </cell>
          <cell r="G1501" t="str">
            <v xml:space="preserve">Side rail  - Đố hông </v>
          </cell>
          <cell r="H1501" t="str">
            <v>TRAM OFF CUT</v>
          </cell>
          <cell r="I1501">
            <v>64</v>
          </cell>
        </row>
        <row r="1502">
          <cell r="A1502" t="str">
            <v>B557252/A</v>
          </cell>
          <cell r="B1502" t="str">
            <v>CZ042M190</v>
          </cell>
          <cell r="C1502">
            <v>8</v>
          </cell>
          <cell r="D1502">
            <v>1018.34</v>
          </cell>
          <cell r="E1502">
            <v>8146.72</v>
          </cell>
          <cell r="F1502" t="str">
            <v>A1-S06</v>
          </cell>
          <cell r="G1502" t="str">
            <v xml:space="preserve">Front panel  - Ván tiền </v>
          </cell>
          <cell r="H1502" t="str">
            <v>MDF - 12 x 1830 x 2440mm [CARB P2 Compliant]</v>
          </cell>
          <cell r="I1502">
            <v>8</v>
          </cell>
        </row>
        <row r="1503">
          <cell r="A1503" t="str">
            <v>B557252/A</v>
          </cell>
          <cell r="B1503" t="str">
            <v>CZ042M190</v>
          </cell>
          <cell r="C1503">
            <v>8</v>
          </cell>
          <cell r="D1503">
            <v>1018.34</v>
          </cell>
          <cell r="E1503">
            <v>8146.72</v>
          </cell>
          <cell r="F1503" t="str">
            <v>A1-S07</v>
          </cell>
          <cell r="G1503" t="str">
            <v xml:space="preserve">Side panel  - Ván hông </v>
          </cell>
          <cell r="H1503" t="str">
            <v>MDF - 12 x 1830 x 2440mm [CARB P2 Compliant]</v>
          </cell>
          <cell r="I1503">
            <v>16</v>
          </cell>
        </row>
        <row r="1504">
          <cell r="A1504" t="str">
            <v>B557252/A</v>
          </cell>
          <cell r="B1504" t="str">
            <v>CZ042M190</v>
          </cell>
          <cell r="C1504">
            <v>8</v>
          </cell>
          <cell r="D1504">
            <v>1018.34</v>
          </cell>
          <cell r="E1504">
            <v>8146.72</v>
          </cell>
          <cell r="F1504" t="str">
            <v>A1-S08</v>
          </cell>
          <cell r="G1504" t="str">
            <v xml:space="preserve">Side rail  - Đố hông </v>
          </cell>
          <cell r="H1504" t="str">
            <v>Standard Wood - ALDER/ASPEN/LENGA/US POPLAR, 2 COM - T32 W120mm+ L2m+</v>
          </cell>
          <cell r="I1504">
            <v>16</v>
          </cell>
        </row>
        <row r="1505">
          <cell r="A1505" t="str">
            <v>B557252/A</v>
          </cell>
          <cell r="B1505" t="str">
            <v>CZ042M190</v>
          </cell>
          <cell r="C1505">
            <v>8</v>
          </cell>
          <cell r="D1505">
            <v>1018.34</v>
          </cell>
          <cell r="E1505">
            <v>8146.72</v>
          </cell>
          <cell r="F1505" t="str">
            <v>A1-S09</v>
          </cell>
          <cell r="G1505" t="str">
            <v>Horizontal rail 1 - Đố ngang 1</v>
          </cell>
          <cell r="H1505" t="str">
            <v>Standard Wood - ALDER/ASPEN/LENGA/US POPLAR, 2 COM - T25 W120mm+ L2m+</v>
          </cell>
          <cell r="I1505">
            <v>24</v>
          </cell>
        </row>
        <row r="1506">
          <cell r="A1506" t="str">
            <v>B557252/A</v>
          </cell>
          <cell r="B1506" t="str">
            <v>CZ042M190</v>
          </cell>
          <cell r="C1506">
            <v>8</v>
          </cell>
          <cell r="D1506">
            <v>1018.34</v>
          </cell>
          <cell r="E1506">
            <v>8146.72</v>
          </cell>
          <cell r="F1506" t="str">
            <v>A1-S10</v>
          </cell>
          <cell r="G1506" t="str">
            <v>Back panel - Ván hậu</v>
          </cell>
          <cell r="H1506" t="str">
            <v>MDF - 12 x 1830 x 2440mm [CARB P2 Compliant]</v>
          </cell>
          <cell r="I1506">
            <v>8</v>
          </cell>
        </row>
        <row r="1507">
          <cell r="A1507" t="str">
            <v>B557252/A</v>
          </cell>
          <cell r="B1507" t="str">
            <v>CZ042M190</v>
          </cell>
          <cell r="C1507">
            <v>8</v>
          </cell>
          <cell r="D1507">
            <v>1018.34</v>
          </cell>
          <cell r="E1507">
            <v>8146.72</v>
          </cell>
          <cell r="F1507" t="str">
            <v>A1-S11</v>
          </cell>
          <cell r="G1507" t="str">
            <v xml:space="preserve">Side panel  - Ván hông </v>
          </cell>
          <cell r="H1507" t="str">
            <v>MDF - 12 x 1830 x 2440mm [CARB P2 Compliant]</v>
          </cell>
          <cell r="I1507">
            <v>16</v>
          </cell>
        </row>
        <row r="1508">
          <cell r="A1508" t="str">
            <v>B557252/A</v>
          </cell>
          <cell r="B1508" t="str">
            <v>CZ042M190</v>
          </cell>
          <cell r="C1508">
            <v>8</v>
          </cell>
          <cell r="D1508">
            <v>1018.34</v>
          </cell>
          <cell r="E1508">
            <v>8146.72</v>
          </cell>
          <cell r="F1508" t="str">
            <v>A1-S12</v>
          </cell>
          <cell r="G1508" t="str">
            <v>Cleat - Bọ gỗ</v>
          </cell>
          <cell r="H1508" t="str">
            <v>Poplar off cut</v>
          </cell>
          <cell r="I1508">
            <v>32</v>
          </cell>
        </row>
        <row r="1509">
          <cell r="A1509" t="str">
            <v>B557252/A</v>
          </cell>
          <cell r="B1509" t="str">
            <v>CZ042M190</v>
          </cell>
          <cell r="C1509">
            <v>8</v>
          </cell>
          <cell r="D1509">
            <v>1018.34</v>
          </cell>
          <cell r="E1509">
            <v>8146.72</v>
          </cell>
          <cell r="F1509" t="str">
            <v>A1-S13</v>
          </cell>
          <cell r="G1509" t="str">
            <v>Cleat - Bọ gỗ</v>
          </cell>
          <cell r="H1509" t="str">
            <v>Poplar off cut</v>
          </cell>
          <cell r="I1509">
            <v>16</v>
          </cell>
        </row>
        <row r="1510">
          <cell r="A1510" t="str">
            <v>B557252/A</v>
          </cell>
          <cell r="B1510" t="str">
            <v>CZ042M190</v>
          </cell>
          <cell r="C1510">
            <v>8</v>
          </cell>
          <cell r="D1510">
            <v>1018.34</v>
          </cell>
          <cell r="E1510">
            <v>8146.72</v>
          </cell>
          <cell r="F1510" t="str">
            <v>A1-S14</v>
          </cell>
          <cell r="G1510" t="str">
            <v>Corner block - ke góc</v>
          </cell>
          <cell r="H1510" t="str">
            <v>Poplar off cut</v>
          </cell>
          <cell r="I1510">
            <v>16</v>
          </cell>
        </row>
        <row r="1511">
          <cell r="A1511" t="str">
            <v>B557252/A</v>
          </cell>
          <cell r="B1511" t="str">
            <v>CZ042M190</v>
          </cell>
          <cell r="C1511">
            <v>8</v>
          </cell>
          <cell r="D1511">
            <v>1018.34</v>
          </cell>
          <cell r="E1511">
            <v>8146.72</v>
          </cell>
          <cell r="F1511" t="str">
            <v>A1-S15</v>
          </cell>
          <cell r="G1511" t="str">
            <v>Patching wood - Gỗ đắp</v>
          </cell>
          <cell r="H1511" t="str">
            <v>Poplar off cut</v>
          </cell>
          <cell r="I1511">
            <v>32</v>
          </cell>
        </row>
        <row r="1512">
          <cell r="A1512" t="str">
            <v>B557252/A</v>
          </cell>
          <cell r="B1512" t="str">
            <v>CZ042M190</v>
          </cell>
          <cell r="C1512">
            <v>8</v>
          </cell>
          <cell r="D1512">
            <v>1018.34</v>
          </cell>
          <cell r="E1512">
            <v>8146.72</v>
          </cell>
          <cell r="F1512" t="str">
            <v>A1-S17</v>
          </cell>
          <cell r="G1512" t="str">
            <v>Patching wood - Gỗ đắp</v>
          </cell>
          <cell r="H1512" t="str">
            <v>Poplar off cut</v>
          </cell>
          <cell r="I1512">
            <v>16</v>
          </cell>
        </row>
        <row r="1513">
          <cell r="A1513" t="str">
            <v>B557252/A</v>
          </cell>
          <cell r="B1513" t="str">
            <v>CZ042M190</v>
          </cell>
          <cell r="C1513">
            <v>8</v>
          </cell>
          <cell r="D1513">
            <v>1018.34</v>
          </cell>
          <cell r="E1513">
            <v>8146.72</v>
          </cell>
          <cell r="F1513" t="str">
            <v>A2-S1</v>
          </cell>
          <cell r="G1513" t="str">
            <v>The leg  - Chân</v>
          </cell>
          <cell r="H1513" t="str">
            <v>Poplar 2 COM</v>
          </cell>
          <cell r="I1513">
            <v>16</v>
          </cell>
        </row>
        <row r="1514">
          <cell r="A1514" t="str">
            <v>B557252/A</v>
          </cell>
          <cell r="B1514" t="str">
            <v>CZ042M190</v>
          </cell>
          <cell r="C1514">
            <v>8</v>
          </cell>
          <cell r="D1514">
            <v>1018.34</v>
          </cell>
          <cell r="E1514">
            <v>8146.72</v>
          </cell>
          <cell r="F1514" t="str">
            <v>A2-S2</v>
          </cell>
          <cell r="G1514" t="str">
            <v>Foot board  - Đuôi giường</v>
          </cell>
          <cell r="H1514" t="str">
            <v>Pre-Assembly</v>
          </cell>
          <cell r="I1514">
            <v>8</v>
          </cell>
        </row>
        <row r="1515">
          <cell r="A1515" t="str">
            <v>B557252/A</v>
          </cell>
          <cell r="B1515" t="str">
            <v>CZ042M190</v>
          </cell>
          <cell r="C1515">
            <v>8</v>
          </cell>
          <cell r="D1515">
            <v>1018.34</v>
          </cell>
          <cell r="E1515">
            <v>8146.72</v>
          </cell>
          <cell r="F1515" t="str">
            <v>A2-S2-1</v>
          </cell>
          <cell r="G1515" t="str">
            <v>Horizontal rail 1 - Đố ngang 1</v>
          </cell>
          <cell r="H1515" t="str">
            <v>Standard Wood - ALDER/ASPEN/LENGA/US POPLAR, 2 COM - T25 W120mm+ L2m+</v>
          </cell>
          <cell r="I1515">
            <v>16</v>
          </cell>
        </row>
        <row r="1516">
          <cell r="A1516" t="str">
            <v>B557252/A</v>
          </cell>
          <cell r="B1516" t="str">
            <v>CZ042M190</v>
          </cell>
          <cell r="C1516">
            <v>8</v>
          </cell>
          <cell r="D1516">
            <v>1018.34</v>
          </cell>
          <cell r="E1516">
            <v>8146.72</v>
          </cell>
          <cell r="F1516" t="str">
            <v>A2-S2-2</v>
          </cell>
          <cell r="G1516" t="str">
            <v>Vertical rail 1 - Đố đứng 1</v>
          </cell>
          <cell r="H1516" t="str">
            <v>Wood laminate</v>
          </cell>
          <cell r="I1516">
            <v>16</v>
          </cell>
        </row>
        <row r="1517">
          <cell r="A1517" t="str">
            <v>B557252/A</v>
          </cell>
          <cell r="B1517" t="str">
            <v>CZ042M190</v>
          </cell>
          <cell r="C1517">
            <v>8</v>
          </cell>
          <cell r="D1517">
            <v>1018.34</v>
          </cell>
          <cell r="E1517">
            <v>8146.72</v>
          </cell>
          <cell r="F1517" t="str">
            <v>A2-S2-3</v>
          </cell>
          <cell r="G1517" t="str">
            <v>Vertical rail 2 - Đố đứng 2</v>
          </cell>
          <cell r="H1517" t="str">
            <v>Standard Wood - ALDER/ASPEN/LENGA/US POPLAR, 2 COM - T50 W120mm+ L2m+</v>
          </cell>
          <cell r="I1517">
            <v>16</v>
          </cell>
        </row>
        <row r="1518">
          <cell r="A1518" t="str">
            <v>B557252/A</v>
          </cell>
          <cell r="B1518" t="str">
            <v>CZ042M190</v>
          </cell>
          <cell r="C1518">
            <v>8</v>
          </cell>
          <cell r="D1518">
            <v>1018.34</v>
          </cell>
          <cell r="E1518">
            <v>8146.72</v>
          </cell>
          <cell r="F1518" t="str">
            <v>A2-S2-4</v>
          </cell>
          <cell r="G1518" t="str">
            <v>Back panel - Ván hậu</v>
          </cell>
          <cell r="H1518" t="str">
            <v>MDF Veneer</v>
          </cell>
          <cell r="I1518">
            <v>16</v>
          </cell>
        </row>
        <row r="1519">
          <cell r="A1519" t="str">
            <v>B557252/A</v>
          </cell>
          <cell r="B1519" t="str">
            <v>CZ042M190</v>
          </cell>
          <cell r="C1519">
            <v>8</v>
          </cell>
          <cell r="D1519">
            <v>1018.34</v>
          </cell>
          <cell r="E1519">
            <v>8146.72</v>
          </cell>
          <cell r="F1519" t="str">
            <v>A2-S3</v>
          </cell>
          <cell r="G1519" t="str">
            <v>Insert Wood - Gỗ chèn</v>
          </cell>
          <cell r="H1519" t="str">
            <v>Beech off cut</v>
          </cell>
          <cell r="I1519">
            <v>16</v>
          </cell>
        </row>
        <row r="1520">
          <cell r="A1520" t="str">
            <v>B557252/A</v>
          </cell>
          <cell r="B1520" t="str">
            <v>CZ042M190</v>
          </cell>
          <cell r="C1520">
            <v>8</v>
          </cell>
          <cell r="D1520">
            <v>1018.34</v>
          </cell>
          <cell r="E1520">
            <v>8146.72</v>
          </cell>
          <cell r="F1520" t="str">
            <v>A3.1</v>
          </cell>
          <cell r="G1520" t="str">
            <v>Side bed - Hông giường</v>
          </cell>
          <cell r="H1520" t="str">
            <v>Pre-Assembly</v>
          </cell>
          <cell r="I1520">
            <v>16</v>
          </cell>
        </row>
        <row r="1521">
          <cell r="A1521" t="str">
            <v>B557252/A</v>
          </cell>
          <cell r="B1521" t="str">
            <v>CZ042M190</v>
          </cell>
          <cell r="C1521">
            <v>8</v>
          </cell>
          <cell r="D1521">
            <v>1018.34</v>
          </cell>
          <cell r="E1521">
            <v>8146.72</v>
          </cell>
          <cell r="F1521" t="str">
            <v>A3-S1</v>
          </cell>
          <cell r="G1521" t="str">
            <v>Horizontal rail 1 - Đố ngang 1</v>
          </cell>
          <cell r="H1521" t="str">
            <v>MDF - 18 x 1830 x 2440mm [CARB P2 Compliant]</v>
          </cell>
          <cell r="I1521">
            <v>32</v>
          </cell>
        </row>
        <row r="1522">
          <cell r="A1522" t="str">
            <v>B557252/A</v>
          </cell>
          <cell r="B1522" t="str">
            <v>CZ042M190</v>
          </cell>
          <cell r="C1522">
            <v>8</v>
          </cell>
          <cell r="D1522">
            <v>1018.34</v>
          </cell>
          <cell r="E1522">
            <v>8146.72</v>
          </cell>
          <cell r="F1522" t="str">
            <v>A3-S3</v>
          </cell>
          <cell r="G1522" t="str">
            <v>Vertical rail 1 - Đố đứng 1</v>
          </cell>
          <cell r="H1522" t="str">
            <v>Plywood off cut</v>
          </cell>
          <cell r="I1522">
            <v>64</v>
          </cell>
        </row>
        <row r="1523">
          <cell r="A1523" t="str">
            <v>B557252/A</v>
          </cell>
          <cell r="B1523" t="str">
            <v>CZ042M190</v>
          </cell>
          <cell r="C1523">
            <v>8</v>
          </cell>
          <cell r="D1523">
            <v>1018.34</v>
          </cell>
          <cell r="E1523">
            <v>8146.72</v>
          </cell>
          <cell r="F1523" t="str">
            <v>A3-S4</v>
          </cell>
          <cell r="G1523" t="str">
            <v xml:space="preserve">Side panel  - Ván hông </v>
          </cell>
          <cell r="H1523" t="str">
            <v>MDF Veneer</v>
          </cell>
          <cell r="I1523">
            <v>32</v>
          </cell>
        </row>
        <row r="1524">
          <cell r="A1524" t="str">
            <v>B557252/A</v>
          </cell>
          <cell r="B1524" t="str">
            <v>CZ042M190</v>
          </cell>
          <cell r="C1524">
            <v>8</v>
          </cell>
          <cell r="D1524">
            <v>1018.34</v>
          </cell>
          <cell r="E1524">
            <v>8146.72</v>
          </cell>
          <cell r="F1524" t="str">
            <v>A3-S5</v>
          </cell>
          <cell r="G1524" t="str">
            <v>Vertical rail 1 - Đố đứng 1</v>
          </cell>
          <cell r="H1524" t="str">
            <v>MDF laminate</v>
          </cell>
          <cell r="I1524">
            <v>32</v>
          </cell>
        </row>
        <row r="1525">
          <cell r="A1525" t="str">
            <v>B557252/A</v>
          </cell>
          <cell r="B1525" t="str">
            <v>CZ042M190</v>
          </cell>
          <cell r="C1525">
            <v>8</v>
          </cell>
          <cell r="D1525">
            <v>1018.34</v>
          </cell>
          <cell r="E1525">
            <v>8146.72</v>
          </cell>
          <cell r="F1525" t="str">
            <v>A3-S6</v>
          </cell>
          <cell r="G1525" t="str">
            <v xml:space="preserve">Side rail  - Đố hông </v>
          </cell>
          <cell r="H1525" t="str">
            <v>Standard Wood - ALDER/ASPEN/LENGA/US POPLAR, 2 COM - T38 W120mm+ L2m+</v>
          </cell>
          <cell r="I1525">
            <v>16</v>
          </cell>
        </row>
        <row r="1526">
          <cell r="A1526" t="str">
            <v>B557252/A</v>
          </cell>
          <cell r="B1526" t="str">
            <v>CZ042M190</v>
          </cell>
          <cell r="C1526">
            <v>8</v>
          </cell>
          <cell r="D1526">
            <v>1018.34</v>
          </cell>
          <cell r="E1526">
            <v>8146.72</v>
          </cell>
          <cell r="F1526" t="str">
            <v>P1</v>
          </cell>
          <cell r="G1526" t="str">
            <v>Slat Support  - Đỡ dạt giường</v>
          </cell>
          <cell r="H1526" t="str">
            <v>Wood US Poplar - Straight Edged, 1 COM - T38mm x W100mm Up x L1.8m Up</v>
          </cell>
          <cell r="I1526">
            <v>16</v>
          </cell>
        </row>
        <row r="1527">
          <cell r="A1527" t="str">
            <v>B557252/A</v>
          </cell>
          <cell r="B1527" t="str">
            <v>CZ042M190</v>
          </cell>
          <cell r="C1527">
            <v>8</v>
          </cell>
          <cell r="D1527">
            <v>1018.34</v>
          </cell>
          <cell r="E1527">
            <v>8146.72</v>
          </cell>
          <cell r="F1527" t="str">
            <v>P2</v>
          </cell>
          <cell r="G1527" t="str">
            <v>slat buy - dạt mua từ nhà cung</v>
          </cell>
          <cell r="H1527" t="str">
            <v>Slat buy</v>
          </cell>
          <cell r="I1527">
            <v>104</v>
          </cell>
        </row>
        <row r="1528">
          <cell r="A1528" t="str">
            <v>B557260/A</v>
          </cell>
          <cell r="B1528" t="str">
            <v>CZ042M190</v>
          </cell>
          <cell r="C1528">
            <v>8</v>
          </cell>
          <cell r="D1528">
            <v>1018.34</v>
          </cell>
          <cell r="E1528">
            <v>8146.72</v>
          </cell>
          <cell r="F1528" t="str">
            <v>A1</v>
          </cell>
          <cell r="G1528" t="str">
            <v>Head board  - Đầu giường</v>
          </cell>
          <cell r="H1528" t="str">
            <v>Pre-Assembly</v>
          </cell>
          <cell r="I1528">
            <v>8</v>
          </cell>
        </row>
        <row r="1529">
          <cell r="A1529" t="str">
            <v>B557260/A</v>
          </cell>
          <cell r="B1529" t="str">
            <v>CZ042M190</v>
          </cell>
          <cell r="C1529">
            <v>8</v>
          </cell>
          <cell r="D1529">
            <v>1018.34</v>
          </cell>
          <cell r="E1529">
            <v>8146.72</v>
          </cell>
          <cell r="F1529" t="str">
            <v>A1-S01</v>
          </cell>
          <cell r="G1529" t="str">
            <v>The leg  - Chân</v>
          </cell>
          <cell r="H1529" t="str">
            <v>Wood laminate</v>
          </cell>
          <cell r="I1529">
            <v>16</v>
          </cell>
        </row>
        <row r="1530">
          <cell r="A1530" t="str">
            <v>B557260/A</v>
          </cell>
          <cell r="B1530" t="str">
            <v>CZ042M190</v>
          </cell>
          <cell r="C1530">
            <v>8</v>
          </cell>
          <cell r="D1530">
            <v>1018.34</v>
          </cell>
          <cell r="E1530">
            <v>8146.72</v>
          </cell>
          <cell r="F1530" t="str">
            <v>A1-S02</v>
          </cell>
          <cell r="G1530" t="str">
            <v>Horizontal rail 1 - Đố ngang 1</v>
          </cell>
          <cell r="H1530" t="str">
            <v>Wood laminate</v>
          </cell>
          <cell r="I1530">
            <v>16</v>
          </cell>
        </row>
        <row r="1531">
          <cell r="A1531" t="str">
            <v>B557260/A</v>
          </cell>
          <cell r="B1531" t="str">
            <v>CZ042M190</v>
          </cell>
          <cell r="C1531">
            <v>8</v>
          </cell>
          <cell r="D1531">
            <v>1018.34</v>
          </cell>
          <cell r="E1531">
            <v>8146.72</v>
          </cell>
          <cell r="F1531" t="str">
            <v>A1-S03</v>
          </cell>
          <cell r="G1531" t="str">
            <v>Vertical rail 1 - Đố đứng 1</v>
          </cell>
          <cell r="H1531" t="str">
            <v>Standard Wood - ALDER/ASPEN/LENGA/US POPLAR, 2 COM - T25 W120mm+ L2m+</v>
          </cell>
          <cell r="I1531">
            <v>16</v>
          </cell>
        </row>
        <row r="1532">
          <cell r="A1532" t="str">
            <v>B557260/A</v>
          </cell>
          <cell r="B1532" t="str">
            <v>CZ042M190</v>
          </cell>
          <cell r="C1532">
            <v>8</v>
          </cell>
          <cell r="D1532">
            <v>1018.34</v>
          </cell>
          <cell r="E1532">
            <v>8146.72</v>
          </cell>
          <cell r="F1532" t="str">
            <v>A1-S04</v>
          </cell>
          <cell r="G1532" t="str">
            <v>Vertical rail 2 - Đố đứng 2</v>
          </cell>
          <cell r="H1532" t="str">
            <v>Standard Wood - ALDER/ASPEN/LENGA/US POPLAR, 2 COM - T38 W120mm+ L2m+</v>
          </cell>
          <cell r="I1532">
            <v>16</v>
          </cell>
        </row>
        <row r="1533">
          <cell r="A1533" t="str">
            <v>B557260/A</v>
          </cell>
          <cell r="B1533" t="str">
            <v>CZ042M190</v>
          </cell>
          <cell r="C1533">
            <v>8</v>
          </cell>
          <cell r="D1533">
            <v>1018.34</v>
          </cell>
          <cell r="E1533">
            <v>8146.72</v>
          </cell>
          <cell r="F1533" t="str">
            <v>A1-S05</v>
          </cell>
          <cell r="G1533" t="str">
            <v xml:space="preserve">Side rail  - Đố hông </v>
          </cell>
          <cell r="H1533" t="str">
            <v>TRAM OFF CUT</v>
          </cell>
          <cell r="I1533">
            <v>64</v>
          </cell>
        </row>
        <row r="1534">
          <cell r="A1534" t="str">
            <v>B557260/A</v>
          </cell>
          <cell r="B1534" t="str">
            <v>CZ042M190</v>
          </cell>
          <cell r="C1534">
            <v>8</v>
          </cell>
          <cell r="D1534">
            <v>1018.34</v>
          </cell>
          <cell r="E1534">
            <v>8146.72</v>
          </cell>
          <cell r="F1534" t="str">
            <v>A1-S06</v>
          </cell>
          <cell r="G1534" t="str">
            <v xml:space="preserve">Front panel  - Ván tiền </v>
          </cell>
          <cell r="H1534" t="str">
            <v>MDF - 12 x 1830 x 2440mm [CARB P2 Compliant]</v>
          </cell>
          <cell r="I1534">
            <v>8</v>
          </cell>
        </row>
        <row r="1535">
          <cell r="A1535" t="str">
            <v>B557260/A</v>
          </cell>
          <cell r="B1535" t="str">
            <v>CZ042M190</v>
          </cell>
          <cell r="C1535">
            <v>8</v>
          </cell>
          <cell r="D1535">
            <v>1018.34</v>
          </cell>
          <cell r="E1535">
            <v>8146.72</v>
          </cell>
          <cell r="F1535" t="str">
            <v>A1-S07</v>
          </cell>
          <cell r="G1535" t="str">
            <v xml:space="preserve">Side panel  - Ván hông </v>
          </cell>
          <cell r="H1535" t="str">
            <v>MDF - 12 x 1830 x 2440mm [CARB P2 Compliant]</v>
          </cell>
          <cell r="I1535">
            <v>16</v>
          </cell>
        </row>
        <row r="1536">
          <cell r="A1536" t="str">
            <v>B557260/A</v>
          </cell>
          <cell r="B1536" t="str">
            <v>CZ042M190</v>
          </cell>
          <cell r="C1536">
            <v>8</v>
          </cell>
          <cell r="D1536">
            <v>1018.34</v>
          </cell>
          <cell r="E1536">
            <v>8146.72</v>
          </cell>
          <cell r="F1536" t="str">
            <v>A1-S08</v>
          </cell>
          <cell r="G1536" t="str">
            <v xml:space="preserve">Side rail  - Đố hông </v>
          </cell>
          <cell r="H1536" t="str">
            <v>Standard Wood - ALDER/ASPEN/LENGA/US POPLAR, 2 COM - T32 W120mm+ L2m+</v>
          </cell>
          <cell r="I1536">
            <v>16</v>
          </cell>
        </row>
        <row r="1537">
          <cell r="A1537" t="str">
            <v>B557260/A</v>
          </cell>
          <cell r="B1537" t="str">
            <v>CZ042M190</v>
          </cell>
          <cell r="C1537">
            <v>8</v>
          </cell>
          <cell r="D1537">
            <v>1018.34</v>
          </cell>
          <cell r="E1537">
            <v>8146.72</v>
          </cell>
          <cell r="F1537" t="str">
            <v>A1-S09</v>
          </cell>
          <cell r="G1537" t="str">
            <v>Horizontal rail 1 - Đố ngang 1</v>
          </cell>
          <cell r="H1537" t="str">
            <v>Standard Wood - ALDER/ASPEN/LENGA/US POPLAR, 2 COM - T25 W120mm+ L2m+</v>
          </cell>
          <cell r="I1537">
            <v>24</v>
          </cell>
        </row>
        <row r="1538">
          <cell r="A1538" t="str">
            <v>B557260/A</v>
          </cell>
          <cell r="B1538" t="str">
            <v>CZ042M190</v>
          </cell>
          <cell r="C1538">
            <v>8</v>
          </cell>
          <cell r="D1538">
            <v>1018.34</v>
          </cell>
          <cell r="E1538">
            <v>8146.72</v>
          </cell>
          <cell r="F1538" t="str">
            <v>A1-S10</v>
          </cell>
          <cell r="G1538" t="str">
            <v>Back panel - Ván hậu</v>
          </cell>
          <cell r="H1538" t="str">
            <v>MDF - 12 x 1830 x 2440mm [CARB P2 Compliant]</v>
          </cell>
          <cell r="I1538">
            <v>8</v>
          </cell>
        </row>
        <row r="1539">
          <cell r="A1539" t="str">
            <v>B557260/A</v>
          </cell>
          <cell r="B1539" t="str">
            <v>CZ042M190</v>
          </cell>
          <cell r="C1539">
            <v>8</v>
          </cell>
          <cell r="D1539">
            <v>1018.34</v>
          </cell>
          <cell r="E1539">
            <v>8146.72</v>
          </cell>
          <cell r="F1539" t="str">
            <v>A1-S11</v>
          </cell>
          <cell r="G1539" t="str">
            <v xml:space="preserve">Side panel  - Ván hông </v>
          </cell>
          <cell r="H1539" t="str">
            <v>MDF - 12 x 1830 x 2440mm [CARB P2 Compliant]</v>
          </cell>
          <cell r="I1539">
            <v>16</v>
          </cell>
        </row>
        <row r="1540">
          <cell r="A1540" t="str">
            <v>B557260/A</v>
          </cell>
          <cell r="B1540" t="str">
            <v>CZ042M190</v>
          </cell>
          <cell r="C1540">
            <v>8</v>
          </cell>
          <cell r="D1540">
            <v>1018.34</v>
          </cell>
          <cell r="E1540">
            <v>8146.72</v>
          </cell>
          <cell r="F1540" t="str">
            <v>A1-S12</v>
          </cell>
          <cell r="G1540" t="str">
            <v>Cleat - Bọ gỗ</v>
          </cell>
          <cell r="H1540" t="str">
            <v>Poplar off cut</v>
          </cell>
          <cell r="I1540">
            <v>32</v>
          </cell>
        </row>
        <row r="1541">
          <cell r="A1541" t="str">
            <v>B557260/A</v>
          </cell>
          <cell r="B1541" t="str">
            <v>CZ042M190</v>
          </cell>
          <cell r="C1541">
            <v>8</v>
          </cell>
          <cell r="D1541">
            <v>1018.34</v>
          </cell>
          <cell r="E1541">
            <v>8146.72</v>
          </cell>
          <cell r="F1541" t="str">
            <v>A1-S13</v>
          </cell>
          <cell r="G1541" t="str">
            <v>Cleat - Bọ gỗ</v>
          </cell>
          <cell r="H1541" t="str">
            <v>Poplar off cut</v>
          </cell>
          <cell r="I1541">
            <v>16</v>
          </cell>
        </row>
        <row r="1542">
          <cell r="A1542" t="str">
            <v>B557260/A</v>
          </cell>
          <cell r="B1542" t="str">
            <v>CZ042M190</v>
          </cell>
          <cell r="C1542">
            <v>8</v>
          </cell>
          <cell r="D1542">
            <v>1018.34</v>
          </cell>
          <cell r="E1542">
            <v>8146.72</v>
          </cell>
          <cell r="F1542" t="str">
            <v>A1-S14</v>
          </cell>
          <cell r="G1542" t="str">
            <v>Corner block - ke góc</v>
          </cell>
          <cell r="H1542" t="str">
            <v>Poplar off cut</v>
          </cell>
          <cell r="I1542">
            <v>16</v>
          </cell>
        </row>
        <row r="1543">
          <cell r="A1543" t="str">
            <v>B557260/A</v>
          </cell>
          <cell r="B1543" t="str">
            <v>CZ042M190</v>
          </cell>
          <cell r="C1543">
            <v>8</v>
          </cell>
          <cell r="D1543">
            <v>1018.34</v>
          </cell>
          <cell r="E1543">
            <v>8146.72</v>
          </cell>
          <cell r="F1543" t="str">
            <v>A1-S15</v>
          </cell>
          <cell r="G1543" t="str">
            <v>Patching wood - Gỗ đắp</v>
          </cell>
          <cell r="H1543" t="str">
            <v>Poplar off cut</v>
          </cell>
          <cell r="I1543">
            <v>32</v>
          </cell>
        </row>
        <row r="1544">
          <cell r="A1544" t="str">
            <v>B557260/A</v>
          </cell>
          <cell r="B1544" t="str">
            <v>CZ042M190</v>
          </cell>
          <cell r="C1544">
            <v>8</v>
          </cell>
          <cell r="D1544">
            <v>1018.34</v>
          </cell>
          <cell r="E1544">
            <v>8146.72</v>
          </cell>
          <cell r="F1544" t="str">
            <v>A1-S17</v>
          </cell>
          <cell r="G1544" t="str">
            <v>Patching wood - Gỗ đắp</v>
          </cell>
          <cell r="H1544" t="str">
            <v>Poplar off cut</v>
          </cell>
          <cell r="I1544">
            <v>16</v>
          </cell>
        </row>
        <row r="1545">
          <cell r="A1545" t="str">
            <v>B557260/A</v>
          </cell>
          <cell r="B1545" t="str">
            <v>CZ042M190</v>
          </cell>
          <cell r="C1545">
            <v>8</v>
          </cell>
          <cell r="D1545">
            <v>1018.34</v>
          </cell>
          <cell r="E1545">
            <v>8146.72</v>
          </cell>
          <cell r="F1545" t="str">
            <v>A2-S1</v>
          </cell>
          <cell r="G1545" t="str">
            <v>The leg  - Chân</v>
          </cell>
          <cell r="H1545" t="str">
            <v>Poplar 2 COM</v>
          </cell>
          <cell r="I1545">
            <v>16</v>
          </cell>
        </row>
        <row r="1546">
          <cell r="A1546" t="str">
            <v>B557260/A</v>
          </cell>
          <cell r="B1546" t="str">
            <v>CZ042M190</v>
          </cell>
          <cell r="C1546">
            <v>8</v>
          </cell>
          <cell r="D1546">
            <v>1018.34</v>
          </cell>
          <cell r="E1546">
            <v>8146.72</v>
          </cell>
          <cell r="F1546" t="str">
            <v>A2-S2</v>
          </cell>
          <cell r="G1546" t="str">
            <v>Foot board  - Đuôi giường</v>
          </cell>
          <cell r="H1546" t="str">
            <v>Pre-Assembly</v>
          </cell>
          <cell r="I1546">
            <v>8</v>
          </cell>
        </row>
        <row r="1547">
          <cell r="A1547" t="str">
            <v>B557260/A</v>
          </cell>
          <cell r="B1547" t="str">
            <v>CZ042M190</v>
          </cell>
          <cell r="C1547">
            <v>8</v>
          </cell>
          <cell r="D1547">
            <v>1018.34</v>
          </cell>
          <cell r="E1547">
            <v>8146.72</v>
          </cell>
          <cell r="F1547" t="str">
            <v>A2-S2-1</v>
          </cell>
          <cell r="G1547" t="str">
            <v>Horizontal rail 1 - Đố ngang 1</v>
          </cell>
          <cell r="H1547" t="str">
            <v>Standard Wood - ALDER/ASPEN/LENGA/US POPLAR, 2 COM - T25 W120mm+ L2m+</v>
          </cell>
          <cell r="I1547">
            <v>16</v>
          </cell>
        </row>
        <row r="1548">
          <cell r="A1548" t="str">
            <v>B557260/A</v>
          </cell>
          <cell r="B1548" t="str">
            <v>CZ042M190</v>
          </cell>
          <cell r="C1548">
            <v>8</v>
          </cell>
          <cell r="D1548">
            <v>1018.34</v>
          </cell>
          <cell r="E1548">
            <v>8146.72</v>
          </cell>
          <cell r="F1548" t="str">
            <v>A2-S2-2</v>
          </cell>
          <cell r="G1548" t="str">
            <v>Vertical rail 1 - Đố đứng 1</v>
          </cell>
          <cell r="H1548" t="str">
            <v>Wood laminate</v>
          </cell>
          <cell r="I1548">
            <v>16</v>
          </cell>
        </row>
        <row r="1549">
          <cell r="A1549" t="str">
            <v>B557260/A</v>
          </cell>
          <cell r="B1549" t="str">
            <v>CZ042M190</v>
          </cell>
          <cell r="C1549">
            <v>8</v>
          </cell>
          <cell r="D1549">
            <v>1018.34</v>
          </cell>
          <cell r="E1549">
            <v>8146.72</v>
          </cell>
          <cell r="F1549" t="str">
            <v>A2-S2-3</v>
          </cell>
          <cell r="G1549" t="str">
            <v>Vertical rail 2 - Đố đứng 2</v>
          </cell>
          <cell r="H1549" t="str">
            <v>Standard Wood - ALDER/ASPEN/LENGA/US POPLAR, 2 COM - T50 W120mm+ L2m+</v>
          </cell>
          <cell r="I1549">
            <v>16</v>
          </cell>
        </row>
        <row r="1550">
          <cell r="A1550" t="str">
            <v>B557260/A</v>
          </cell>
          <cell r="B1550" t="str">
            <v>CZ042M190</v>
          </cell>
          <cell r="C1550">
            <v>8</v>
          </cell>
          <cell r="D1550">
            <v>1018.34</v>
          </cell>
          <cell r="E1550">
            <v>8146.72</v>
          </cell>
          <cell r="F1550" t="str">
            <v>A2-S2-4</v>
          </cell>
          <cell r="G1550" t="str">
            <v>Back panel - Ván hậu</v>
          </cell>
          <cell r="H1550" t="str">
            <v>MDF Veneer</v>
          </cell>
          <cell r="I1550">
            <v>16</v>
          </cell>
        </row>
        <row r="1551">
          <cell r="A1551" t="str">
            <v>B557260/A</v>
          </cell>
          <cell r="B1551" t="str">
            <v>CZ042M190</v>
          </cell>
          <cell r="C1551">
            <v>8</v>
          </cell>
          <cell r="D1551">
            <v>1018.34</v>
          </cell>
          <cell r="E1551">
            <v>8146.72</v>
          </cell>
          <cell r="F1551" t="str">
            <v>A2-S3</v>
          </cell>
          <cell r="G1551" t="str">
            <v>Insert Wood - Gỗ chèn</v>
          </cell>
          <cell r="H1551" t="str">
            <v>Beech off cut</v>
          </cell>
          <cell r="I1551">
            <v>16</v>
          </cell>
        </row>
        <row r="1552">
          <cell r="A1552" t="str">
            <v>B557260/A</v>
          </cell>
          <cell r="B1552" t="str">
            <v>CZ042M190</v>
          </cell>
          <cell r="C1552">
            <v>8</v>
          </cell>
          <cell r="D1552">
            <v>1018.34</v>
          </cell>
          <cell r="E1552">
            <v>8146.72</v>
          </cell>
          <cell r="F1552" t="str">
            <v>A3.1</v>
          </cell>
          <cell r="G1552" t="str">
            <v>Side bed - Hông giường</v>
          </cell>
          <cell r="H1552" t="str">
            <v>Pre-Assembly</v>
          </cell>
          <cell r="I1552">
            <v>16</v>
          </cell>
        </row>
        <row r="1553">
          <cell r="A1553" t="str">
            <v>B557260/A</v>
          </cell>
          <cell r="B1553" t="str">
            <v>CZ042M190</v>
          </cell>
          <cell r="C1553">
            <v>8</v>
          </cell>
          <cell r="D1553">
            <v>1018.34</v>
          </cell>
          <cell r="E1553">
            <v>8146.72</v>
          </cell>
          <cell r="F1553" t="str">
            <v>A3-S1</v>
          </cell>
          <cell r="G1553" t="str">
            <v>Horizontal rail 1 - Đố ngang 1</v>
          </cell>
          <cell r="H1553" t="str">
            <v>MDF - 18 x 1830 x 2440mm [CARB P2 Compliant]</v>
          </cell>
          <cell r="I1553">
            <v>32</v>
          </cell>
        </row>
        <row r="1554">
          <cell r="A1554" t="str">
            <v>B557260/A</v>
          </cell>
          <cell r="B1554" t="str">
            <v>CZ042M190</v>
          </cell>
          <cell r="C1554">
            <v>8</v>
          </cell>
          <cell r="D1554">
            <v>1018.34</v>
          </cell>
          <cell r="E1554">
            <v>8146.72</v>
          </cell>
          <cell r="F1554" t="str">
            <v>A3-S3</v>
          </cell>
          <cell r="G1554" t="str">
            <v>Vertical rail 1 - Đố đứng 1</v>
          </cell>
          <cell r="H1554" t="str">
            <v>Plywood off cut</v>
          </cell>
          <cell r="I1554">
            <v>64</v>
          </cell>
        </row>
        <row r="1555">
          <cell r="A1555" t="str">
            <v>B557260/A</v>
          </cell>
          <cell r="B1555" t="str">
            <v>CZ042M190</v>
          </cell>
          <cell r="C1555">
            <v>8</v>
          </cell>
          <cell r="D1555">
            <v>1018.34</v>
          </cell>
          <cell r="E1555">
            <v>8146.72</v>
          </cell>
          <cell r="F1555" t="str">
            <v>A3-S4</v>
          </cell>
          <cell r="G1555" t="str">
            <v xml:space="preserve">Side panel  - Ván hông </v>
          </cell>
          <cell r="H1555" t="str">
            <v>MDF Veneer</v>
          </cell>
          <cell r="I1555">
            <v>32</v>
          </cell>
        </row>
        <row r="1556">
          <cell r="A1556" t="str">
            <v>B557260/A</v>
          </cell>
          <cell r="B1556" t="str">
            <v>CZ042M190</v>
          </cell>
          <cell r="C1556">
            <v>8</v>
          </cell>
          <cell r="D1556">
            <v>1018.34</v>
          </cell>
          <cell r="E1556">
            <v>8146.72</v>
          </cell>
          <cell r="F1556" t="str">
            <v>A3-S5</v>
          </cell>
          <cell r="G1556" t="str">
            <v>Vertical rail 1 - Đố đứng 1</v>
          </cell>
          <cell r="H1556" t="str">
            <v>MDF laminate</v>
          </cell>
          <cell r="I1556">
            <v>32</v>
          </cell>
        </row>
        <row r="1557">
          <cell r="A1557" t="str">
            <v>B557260/A</v>
          </cell>
          <cell r="B1557" t="str">
            <v>CZ042M190</v>
          </cell>
          <cell r="C1557">
            <v>8</v>
          </cell>
          <cell r="D1557">
            <v>1018.34</v>
          </cell>
          <cell r="E1557">
            <v>8146.72</v>
          </cell>
          <cell r="F1557" t="str">
            <v>A3-S6</v>
          </cell>
          <cell r="G1557" t="str">
            <v xml:space="preserve">Side rail  - Đố hông </v>
          </cell>
          <cell r="H1557" t="str">
            <v>Standard Wood - ALDER/ASPEN/LENGA/US POPLAR, 2 COM - T38 W120mm+ L2m+</v>
          </cell>
          <cell r="I1557">
            <v>16</v>
          </cell>
        </row>
        <row r="1558">
          <cell r="A1558" t="str">
            <v>B557260/A</v>
          </cell>
          <cell r="B1558" t="str">
            <v>CZ042M190</v>
          </cell>
          <cell r="C1558">
            <v>8</v>
          </cell>
          <cell r="D1558">
            <v>1018.34</v>
          </cell>
          <cell r="E1558">
            <v>8146.72</v>
          </cell>
          <cell r="F1558" t="str">
            <v>P1</v>
          </cell>
          <cell r="G1558" t="str">
            <v>Slat Support  - Đỡ dạt giường</v>
          </cell>
          <cell r="H1558" t="str">
            <v>Wood US Poplar - Straight Edged, 1 COM - T38mm x W100mm Up x L1.8m Up</v>
          </cell>
          <cell r="I1558">
            <v>16</v>
          </cell>
        </row>
        <row r="1559">
          <cell r="A1559" t="str">
            <v>B557260/A</v>
          </cell>
          <cell r="B1559" t="str">
            <v>CZ042M190</v>
          </cell>
          <cell r="C1559">
            <v>8</v>
          </cell>
          <cell r="D1559">
            <v>1018.34</v>
          </cell>
          <cell r="E1559">
            <v>8146.72</v>
          </cell>
          <cell r="F1559" t="str">
            <v>P2</v>
          </cell>
          <cell r="G1559" t="str">
            <v>slat buy - dạt mua từ nhà cung</v>
          </cell>
          <cell r="H1559" t="str">
            <v>Slat buy</v>
          </cell>
          <cell r="I1559">
            <v>104</v>
          </cell>
        </row>
        <row r="1560">
          <cell r="A1560" t="str">
            <v>B557765/A</v>
          </cell>
          <cell r="B1560" t="str">
            <v>CZ044NM08</v>
          </cell>
          <cell r="C1560">
            <v>9</v>
          </cell>
          <cell r="D1560">
            <v>778.27</v>
          </cell>
          <cell r="E1560">
            <v>7004.43</v>
          </cell>
          <cell r="F1560" t="str">
            <v>A1-S1</v>
          </cell>
          <cell r="G1560" t="str">
            <v>Front Vertical rail  - Trụ tiền</v>
          </cell>
          <cell r="H1560" t="str">
            <v>Pre-Assembly</v>
          </cell>
          <cell r="I1560">
            <v>18</v>
          </cell>
        </row>
        <row r="1561">
          <cell r="A1561" t="str">
            <v>B557765/A</v>
          </cell>
          <cell r="B1561" t="str">
            <v>CZ044NM08</v>
          </cell>
          <cell r="C1561">
            <v>9</v>
          </cell>
          <cell r="D1561">
            <v>778.27</v>
          </cell>
          <cell r="E1561">
            <v>7004.43</v>
          </cell>
          <cell r="F1561" t="str">
            <v>A1-S1-1</v>
          </cell>
          <cell r="G1561" t="str">
            <v>Wood laminater - Gỗ ghép 1</v>
          </cell>
          <cell r="H1561" t="str">
            <v>Standard Wood - ALDER/ASPEN/LENGA/US POPLAR, 2 COM - T25 W120mm+ L2m+</v>
          </cell>
          <cell r="I1561">
            <v>18</v>
          </cell>
        </row>
        <row r="1562">
          <cell r="A1562" t="str">
            <v>B557765/A</v>
          </cell>
          <cell r="B1562" t="str">
            <v>CZ044NM08</v>
          </cell>
          <cell r="C1562">
            <v>9</v>
          </cell>
          <cell r="D1562">
            <v>778.27</v>
          </cell>
          <cell r="E1562">
            <v>7004.43</v>
          </cell>
          <cell r="F1562" t="str">
            <v>A1-S1-2</v>
          </cell>
          <cell r="G1562" t="str">
            <v>Wood laminater - Gỗ ghép 1</v>
          </cell>
          <cell r="H1562" t="str">
            <v>Standard wood</v>
          </cell>
          <cell r="I1562">
            <v>18</v>
          </cell>
        </row>
        <row r="1563">
          <cell r="A1563" t="str">
            <v>B557765/A</v>
          </cell>
          <cell r="B1563" t="str">
            <v>CZ044NM08</v>
          </cell>
          <cell r="C1563">
            <v>9</v>
          </cell>
          <cell r="D1563">
            <v>778.27</v>
          </cell>
          <cell r="E1563">
            <v>7004.43</v>
          </cell>
          <cell r="F1563" t="str">
            <v>A1-S2</v>
          </cell>
          <cell r="G1563" t="str">
            <v>Back leg - Chân hậu</v>
          </cell>
          <cell r="H1563" t="str">
            <v>Beech 2 COM</v>
          </cell>
          <cell r="I1563">
            <v>18</v>
          </cell>
        </row>
        <row r="1564">
          <cell r="A1564" t="str">
            <v>B557765/A</v>
          </cell>
          <cell r="B1564" t="str">
            <v>CZ044NM08</v>
          </cell>
          <cell r="C1564">
            <v>9</v>
          </cell>
          <cell r="D1564">
            <v>778.27</v>
          </cell>
          <cell r="E1564">
            <v>7004.43</v>
          </cell>
          <cell r="F1564" t="str">
            <v>A1-S3</v>
          </cell>
          <cell r="G1564" t="str">
            <v xml:space="preserve">Side panel  - Ván hông </v>
          </cell>
          <cell r="H1564" t="str">
            <v>MDF - 15 x 1830 x 2440mm [CARB P2 Compliant]</v>
          </cell>
          <cell r="I1564">
            <v>18</v>
          </cell>
        </row>
        <row r="1565">
          <cell r="A1565" t="str">
            <v>B557765/A</v>
          </cell>
          <cell r="B1565" t="str">
            <v>CZ044NM08</v>
          </cell>
          <cell r="C1565">
            <v>9</v>
          </cell>
          <cell r="D1565">
            <v>778.27</v>
          </cell>
          <cell r="E1565">
            <v>7004.43</v>
          </cell>
          <cell r="F1565" t="str">
            <v>A1-S4</v>
          </cell>
          <cell r="G1565" t="str">
            <v xml:space="preserve">Side rail  - Đố hông </v>
          </cell>
          <cell r="H1565" t="str">
            <v>Pre-Assembly</v>
          </cell>
          <cell r="I1565">
            <v>72</v>
          </cell>
        </row>
        <row r="1566">
          <cell r="A1566" t="str">
            <v>B557765/A</v>
          </cell>
          <cell r="B1566" t="str">
            <v>CZ044NM08</v>
          </cell>
          <cell r="C1566">
            <v>9</v>
          </cell>
          <cell r="D1566">
            <v>778.27</v>
          </cell>
          <cell r="E1566">
            <v>7004.43</v>
          </cell>
          <cell r="F1566" t="str">
            <v>A1-S4-1</v>
          </cell>
          <cell r="G1566" t="str">
            <v xml:space="preserve">Side rail  - Đố hông </v>
          </cell>
          <cell r="H1566" t="str">
            <v>Standard Wood - ALDER/ASPEN/LENGA/US POPLAR, 2 COM - T25 W120mm+ L2m+</v>
          </cell>
          <cell r="I1566">
            <v>72</v>
          </cell>
        </row>
        <row r="1567">
          <cell r="A1567" t="str">
            <v>B557765/A</v>
          </cell>
          <cell r="B1567" t="str">
            <v>CZ044NM08</v>
          </cell>
          <cell r="C1567">
            <v>9</v>
          </cell>
          <cell r="D1567">
            <v>778.27</v>
          </cell>
          <cell r="E1567">
            <v>7004.43</v>
          </cell>
          <cell r="F1567" t="str">
            <v>A1-S4-2</v>
          </cell>
          <cell r="G1567" t="str">
            <v>Patching wood - Gỗ đắp</v>
          </cell>
          <cell r="H1567" t="str">
            <v>wood off cut</v>
          </cell>
          <cell r="I1567">
            <v>144</v>
          </cell>
        </row>
        <row r="1568">
          <cell r="A1568" t="str">
            <v>B557765/A</v>
          </cell>
          <cell r="B1568" t="str">
            <v>CZ044NM08</v>
          </cell>
          <cell r="C1568">
            <v>9</v>
          </cell>
          <cell r="D1568">
            <v>778.27</v>
          </cell>
          <cell r="E1568">
            <v>7004.43</v>
          </cell>
          <cell r="F1568" t="str">
            <v>A2-S1</v>
          </cell>
          <cell r="G1568" t="str">
            <v>Front rail  - Đố tiền</v>
          </cell>
          <cell r="H1568" t="str">
            <v>Wood Rubber Laminate Board - 20 x 1220 x 2440mm, Veneer Poplar both Faces</v>
          </cell>
          <cell r="I1568">
            <v>18</v>
          </cell>
        </row>
        <row r="1569">
          <cell r="A1569" t="str">
            <v>B557765/A</v>
          </cell>
          <cell r="B1569" t="str">
            <v>CZ044NM08</v>
          </cell>
          <cell r="C1569">
            <v>9</v>
          </cell>
          <cell r="D1569">
            <v>778.27</v>
          </cell>
          <cell r="E1569">
            <v>7004.43</v>
          </cell>
          <cell r="F1569" t="str">
            <v>A2-S2</v>
          </cell>
          <cell r="G1569" t="str">
            <v>center rail with note - đố giữa</v>
          </cell>
          <cell r="H1569" t="str">
            <v>Wood Rubber Laminate Board - 20 x 1220 x 2440mm, Veneer Poplar both Faces</v>
          </cell>
          <cell r="I1569">
            <v>9</v>
          </cell>
        </row>
        <row r="1570">
          <cell r="A1570" t="str">
            <v>B557765/A</v>
          </cell>
          <cell r="B1570" t="str">
            <v>CZ044NM08</v>
          </cell>
          <cell r="C1570">
            <v>9</v>
          </cell>
          <cell r="D1570">
            <v>778.27</v>
          </cell>
          <cell r="E1570">
            <v>7004.43</v>
          </cell>
          <cell r="F1570" t="str">
            <v>A4-S1</v>
          </cell>
          <cell r="G1570" t="str">
            <v>Front Bottom Rail  - Đố đáy trước</v>
          </cell>
          <cell r="H1570" t="str">
            <v>Wood Rubber Laminate Board - 20 x 1220 x 2440mm, Veneer Poplar both Faces</v>
          </cell>
          <cell r="I1570">
            <v>9</v>
          </cell>
        </row>
        <row r="1571">
          <cell r="A1571" t="str">
            <v>B557765/A</v>
          </cell>
          <cell r="B1571" t="str">
            <v>CZ044NM08</v>
          </cell>
          <cell r="C1571">
            <v>9</v>
          </cell>
          <cell r="D1571">
            <v>778.27</v>
          </cell>
          <cell r="E1571">
            <v>7004.43</v>
          </cell>
          <cell r="F1571" t="str">
            <v>A4-S1-1</v>
          </cell>
          <cell r="G1571" t="str">
            <v>Front Bottom Rail  - Đố đáy trước</v>
          </cell>
          <cell r="H1571" t="str">
            <v>Wood Rubber Laminate Board - 20 x 1220 x 2440mm, Veneer Poplar both Faces</v>
          </cell>
          <cell r="I1571">
            <v>9</v>
          </cell>
        </row>
        <row r="1572">
          <cell r="A1572" t="str">
            <v>B557765/A</v>
          </cell>
          <cell r="B1572" t="str">
            <v>CZ044NM08</v>
          </cell>
          <cell r="C1572">
            <v>9</v>
          </cell>
          <cell r="D1572">
            <v>778.27</v>
          </cell>
          <cell r="E1572">
            <v>7004.43</v>
          </cell>
          <cell r="F1572" t="str">
            <v>A4-S3</v>
          </cell>
          <cell r="G1572" t="str">
            <v>center rail with note - đố giữa</v>
          </cell>
          <cell r="H1572" t="str">
            <v>Wood Rubber Laminate Board - 20 x 1220 x 2440mm, Veneer Poplar both Faces</v>
          </cell>
          <cell r="I1572">
            <v>9</v>
          </cell>
        </row>
        <row r="1573">
          <cell r="A1573" t="str">
            <v>B557765/A</v>
          </cell>
          <cell r="B1573" t="str">
            <v>CZ044NM08</v>
          </cell>
          <cell r="C1573">
            <v>9</v>
          </cell>
          <cell r="D1573">
            <v>778.27</v>
          </cell>
          <cell r="E1573">
            <v>7004.43</v>
          </cell>
          <cell r="F1573" t="str">
            <v>A4-S4</v>
          </cell>
          <cell r="G1573" t="str">
            <v>Dust board Panel  - Ván quét bụi</v>
          </cell>
          <cell r="H1573" t="str">
            <v>MDF - 06 x 1830 x 2440mm [CARB P2 Compliant]</v>
          </cell>
          <cell r="I1573">
            <v>9</v>
          </cell>
        </row>
        <row r="1574">
          <cell r="A1574" t="str">
            <v>B557765/A</v>
          </cell>
          <cell r="B1574" t="str">
            <v>CZ044NM08</v>
          </cell>
          <cell r="C1574">
            <v>9</v>
          </cell>
          <cell r="D1574">
            <v>778.27</v>
          </cell>
          <cell r="E1574">
            <v>7004.43</v>
          </cell>
          <cell r="F1574" t="str">
            <v>A5-S1</v>
          </cell>
          <cell r="G1574" t="str">
            <v xml:space="preserve">Drawer front - Mặt hộc kéo </v>
          </cell>
          <cell r="H1574" t="str">
            <v>MDF Veneer</v>
          </cell>
          <cell r="I1574">
            <v>18</v>
          </cell>
        </row>
        <row r="1575">
          <cell r="A1575" t="str">
            <v>B557765/A</v>
          </cell>
          <cell r="B1575" t="str">
            <v>CZ044NM08</v>
          </cell>
          <cell r="C1575">
            <v>9</v>
          </cell>
          <cell r="D1575">
            <v>778.27</v>
          </cell>
          <cell r="E1575">
            <v>7004.43</v>
          </cell>
          <cell r="F1575" t="str">
            <v>A5-S2</v>
          </cell>
          <cell r="G1575" t="str">
            <v>Drawer side - Hông hộc kéo</v>
          </cell>
          <cell r="H1575" t="str">
            <v>MDF-N - 12 x 1220 x 2440mm, Veneer Okoume 0.3mm Both Faces [CARB P2 Compliant]</v>
          </cell>
          <cell r="I1575">
            <v>90</v>
          </cell>
        </row>
        <row r="1576">
          <cell r="A1576" t="str">
            <v>B557765/A</v>
          </cell>
          <cell r="B1576" t="str">
            <v>CZ044NM08</v>
          </cell>
          <cell r="C1576">
            <v>9</v>
          </cell>
          <cell r="D1576">
            <v>778.27</v>
          </cell>
          <cell r="E1576">
            <v>7004.43</v>
          </cell>
          <cell r="F1576" t="str">
            <v>A5-S3</v>
          </cell>
          <cell r="G1576" t="str">
            <v>Drawer back 1 - hau hộc 1</v>
          </cell>
          <cell r="H1576" t="str">
            <v>MDF - 12 x 1220 x 2440mm, Veneer Okoume 0.3mm Both Faces [CARB P2 Compliant]</v>
          </cell>
          <cell r="I1576">
            <v>18</v>
          </cell>
        </row>
        <row r="1577">
          <cell r="A1577" t="str">
            <v>B557765/A</v>
          </cell>
          <cell r="B1577" t="str">
            <v>CZ044NM08</v>
          </cell>
          <cell r="C1577">
            <v>9</v>
          </cell>
          <cell r="D1577">
            <v>778.27</v>
          </cell>
          <cell r="E1577">
            <v>7004.43</v>
          </cell>
          <cell r="F1577" t="str">
            <v>A5-S4</v>
          </cell>
          <cell r="G1577" t="str">
            <v>Drawer bottom  - Đáy hộc kéo</v>
          </cell>
          <cell r="H1577" t="str">
            <v>MDF - 06 x 1220 x 2440mm, Veneer Okoume 0.3mm Both Faces [CARB P2 Compliant]</v>
          </cell>
          <cell r="I1577">
            <v>18</v>
          </cell>
        </row>
        <row r="1578">
          <cell r="A1578" t="str">
            <v>B557765/A</v>
          </cell>
          <cell r="B1578" t="str">
            <v>CZ044NM08</v>
          </cell>
          <cell r="C1578">
            <v>9</v>
          </cell>
          <cell r="D1578">
            <v>778.27</v>
          </cell>
          <cell r="E1578">
            <v>7004.43</v>
          </cell>
          <cell r="F1578" t="str">
            <v>A5-S5</v>
          </cell>
          <cell r="G1578" t="str">
            <v>Center rail - Đố giữa</v>
          </cell>
          <cell r="H1578" t="str">
            <v>Standard Wood - ALDER/ASPEN/LENGA/US POPLAR, 2 COM - T38 W120mm+ L2m+</v>
          </cell>
          <cell r="I1578">
            <v>72</v>
          </cell>
        </row>
        <row r="1579">
          <cell r="A1579" t="str">
            <v>B557765/A</v>
          </cell>
          <cell r="B1579" t="str">
            <v>CZ044NM08</v>
          </cell>
          <cell r="C1579">
            <v>9</v>
          </cell>
          <cell r="D1579">
            <v>778.27</v>
          </cell>
          <cell r="E1579">
            <v>7004.43</v>
          </cell>
          <cell r="F1579" t="str">
            <v>A6-S1</v>
          </cell>
          <cell r="G1579" t="str">
            <v xml:space="preserve">Drawer front - Mặt hộc kéo </v>
          </cell>
          <cell r="H1579" t="str">
            <v>MDF Veneer</v>
          </cell>
          <cell r="I1579">
            <v>27</v>
          </cell>
        </row>
        <row r="1580">
          <cell r="A1580" t="str">
            <v>B557765/A</v>
          </cell>
          <cell r="B1580" t="str">
            <v>CZ044NM08</v>
          </cell>
          <cell r="C1580">
            <v>9</v>
          </cell>
          <cell r="D1580">
            <v>778.27</v>
          </cell>
          <cell r="E1580">
            <v>7004.43</v>
          </cell>
          <cell r="F1580" t="str">
            <v>A6-S3</v>
          </cell>
          <cell r="G1580" t="str">
            <v>Drawer back - Hậu hộc kéo</v>
          </cell>
          <cell r="H1580" t="str">
            <v>MDF - 12 x 1220 x 2440mm, Veneer Okoume 0.3mm Both Faces [CARB P2 Compliant]</v>
          </cell>
          <cell r="I1580">
            <v>27</v>
          </cell>
        </row>
        <row r="1581">
          <cell r="A1581" t="str">
            <v>B557765/A</v>
          </cell>
          <cell r="B1581" t="str">
            <v>CZ044NM08</v>
          </cell>
          <cell r="C1581">
            <v>9</v>
          </cell>
          <cell r="D1581">
            <v>778.27</v>
          </cell>
          <cell r="E1581">
            <v>7004.43</v>
          </cell>
          <cell r="F1581" t="str">
            <v>A6-S4</v>
          </cell>
          <cell r="G1581" t="str">
            <v>Drawer bottom  - Đáy hộc kéo</v>
          </cell>
          <cell r="H1581" t="str">
            <v>MDF - 06 x 1220 x 2440mm, Veneer Okoume 0.3mm Both Faces [CARB P2 Compliant]</v>
          </cell>
          <cell r="I1581">
            <v>27</v>
          </cell>
        </row>
        <row r="1582">
          <cell r="A1582" t="str">
            <v>B557765/A</v>
          </cell>
          <cell r="B1582" t="str">
            <v>CZ044NM08</v>
          </cell>
          <cell r="C1582">
            <v>9</v>
          </cell>
          <cell r="D1582">
            <v>778.27</v>
          </cell>
          <cell r="E1582">
            <v>7004.43</v>
          </cell>
          <cell r="F1582" t="str">
            <v>P01</v>
          </cell>
          <cell r="G1582" t="str">
            <v>Front top rail  - Đố tiền nóc</v>
          </cell>
          <cell r="H1582" t="str">
            <v>Wood Rubber Laminate Board - 20 x 1220 x 2440mm, Veneer Poplar both Faces</v>
          </cell>
          <cell r="I1582">
            <v>9</v>
          </cell>
        </row>
        <row r="1583">
          <cell r="A1583" t="str">
            <v>B557765/A</v>
          </cell>
          <cell r="B1583" t="str">
            <v>CZ044NM08</v>
          </cell>
          <cell r="C1583">
            <v>9</v>
          </cell>
          <cell r="D1583">
            <v>778.27</v>
          </cell>
          <cell r="E1583">
            <v>7004.43</v>
          </cell>
          <cell r="F1583" t="str">
            <v>P02</v>
          </cell>
          <cell r="G1583" t="str">
            <v>Back rail with note finger - đố hậu</v>
          </cell>
          <cell r="H1583" t="str">
            <v>Wood Rubber Laminate Board - 20 x 1220 x 2440mm, Veneer Poplar both Faces</v>
          </cell>
          <cell r="I1583">
            <v>9</v>
          </cell>
        </row>
        <row r="1584">
          <cell r="A1584" t="str">
            <v>B557765/A</v>
          </cell>
          <cell r="B1584" t="str">
            <v>CZ044NM08</v>
          </cell>
          <cell r="C1584">
            <v>9</v>
          </cell>
          <cell r="D1584">
            <v>778.27</v>
          </cell>
          <cell r="E1584">
            <v>7004.43</v>
          </cell>
          <cell r="F1584" t="str">
            <v>P03</v>
          </cell>
          <cell r="G1584" t="str">
            <v xml:space="preserve">Top panel  - Ván nóc </v>
          </cell>
          <cell r="H1584" t="str">
            <v>MDF - 15 x 1830 x 2440mm [CARB P2 Compliant]</v>
          </cell>
          <cell r="I1584">
            <v>9</v>
          </cell>
        </row>
        <row r="1585">
          <cell r="A1585" t="str">
            <v>B557765/A</v>
          </cell>
          <cell r="B1585" t="str">
            <v>CZ044NM08</v>
          </cell>
          <cell r="C1585">
            <v>9</v>
          </cell>
          <cell r="D1585">
            <v>778.27</v>
          </cell>
          <cell r="E1585">
            <v>7004.43</v>
          </cell>
          <cell r="F1585" t="str">
            <v>P09</v>
          </cell>
          <cell r="G1585" t="str">
            <v>Partition panel - Vách ngăn</v>
          </cell>
          <cell r="H1585" t="str">
            <v>MDF - 18 x 1830 x 2440mm [CARB P2 Compliant]</v>
          </cell>
          <cell r="I1585">
            <v>9</v>
          </cell>
        </row>
        <row r="1586">
          <cell r="A1586" t="str">
            <v>B557765/A</v>
          </cell>
          <cell r="B1586" t="str">
            <v>CZ044NM08</v>
          </cell>
          <cell r="C1586">
            <v>9</v>
          </cell>
          <cell r="D1586">
            <v>778.27</v>
          </cell>
          <cell r="E1586">
            <v>7004.43</v>
          </cell>
          <cell r="F1586" t="str">
            <v>P10</v>
          </cell>
          <cell r="G1586" t="str">
            <v>Back panel - Ván hậu</v>
          </cell>
          <cell r="H1586" t="str">
            <v>MDF Veneer</v>
          </cell>
          <cell r="I1586">
            <v>9</v>
          </cell>
        </row>
        <row r="1587">
          <cell r="A1587" t="str">
            <v>B557765/A</v>
          </cell>
          <cell r="B1587" t="str">
            <v>CZ044NM08</v>
          </cell>
          <cell r="C1587">
            <v>9</v>
          </cell>
          <cell r="D1587">
            <v>778.27</v>
          </cell>
          <cell r="E1587">
            <v>7004.43</v>
          </cell>
          <cell r="F1587" t="str">
            <v>P11</v>
          </cell>
          <cell r="G1587" t="str">
            <v>Corner block - ke góc</v>
          </cell>
          <cell r="H1587" t="str">
            <v>Poplar off cut</v>
          </cell>
          <cell r="I1587">
            <v>18</v>
          </cell>
        </row>
        <row r="1588">
          <cell r="A1588" t="str">
            <v>B557765/A</v>
          </cell>
          <cell r="B1588" t="str">
            <v>CZ044NM08</v>
          </cell>
          <cell r="C1588">
            <v>9</v>
          </cell>
          <cell r="D1588">
            <v>778.27</v>
          </cell>
          <cell r="E1588">
            <v>7004.43</v>
          </cell>
          <cell r="F1588" t="str">
            <v>P12</v>
          </cell>
          <cell r="G1588" t="str">
            <v>Drawer stop - Dừng hộc</v>
          </cell>
          <cell r="H1588" t="str">
            <v>Poplar off cut</v>
          </cell>
          <cell r="I1588">
            <v>90</v>
          </cell>
        </row>
        <row r="1589">
          <cell r="A1589" t="str">
            <v>B557765/A</v>
          </cell>
          <cell r="B1589" t="str">
            <v>CZ044NM08</v>
          </cell>
          <cell r="C1589">
            <v>9</v>
          </cell>
          <cell r="D1589">
            <v>778.27</v>
          </cell>
          <cell r="E1589">
            <v>7004.43</v>
          </cell>
          <cell r="F1589" t="str">
            <v>P14</v>
          </cell>
          <cell r="G1589" t="str">
            <v>Spline - Lưỡi gà</v>
          </cell>
          <cell r="H1589" t="str">
            <v>Plywood LVD - 06 x 1220 x 2440mm, Bleached Poplar Veneer Both Sides [CARB P2 Compliant]</v>
          </cell>
          <cell r="I1589">
            <v>18</v>
          </cell>
        </row>
        <row r="1590">
          <cell r="A1590" t="str">
            <v>B557765/A</v>
          </cell>
          <cell r="B1590" t="str">
            <v>CZ044NM08</v>
          </cell>
          <cell r="C1590">
            <v>9</v>
          </cell>
          <cell r="D1590">
            <v>778.27</v>
          </cell>
          <cell r="E1590">
            <v>7004.43</v>
          </cell>
          <cell r="F1590" t="str">
            <v>P15</v>
          </cell>
          <cell r="G1590" t="str">
            <v>Spline - Lưỡi gà</v>
          </cell>
          <cell r="H1590" t="str">
            <v>Plywood LVD - 06 x 1220 x 2440mm, Bleached Poplar Veneer Both Sides [CARB P2 Compliant]</v>
          </cell>
          <cell r="I1590">
            <v>9</v>
          </cell>
        </row>
        <row r="1591">
          <cell r="A1591" t="str">
            <v>B557765/A</v>
          </cell>
          <cell r="B1591" t="str">
            <v>CZ044NM08</v>
          </cell>
          <cell r="C1591">
            <v>9</v>
          </cell>
          <cell r="D1591">
            <v>778.27</v>
          </cell>
          <cell r="E1591">
            <v>7004.43</v>
          </cell>
          <cell r="F1591" t="str">
            <v>P16</v>
          </cell>
          <cell r="G1591" t="str">
            <v>Cleat - Bọ gỗ</v>
          </cell>
          <cell r="H1591" t="str">
            <v>Wood Rubber Laminate Board - 20 x 1220 x 2440mm, Veneer Poplar both Faces</v>
          </cell>
          <cell r="I1591">
            <v>18</v>
          </cell>
        </row>
        <row r="1592">
          <cell r="A1592" t="str">
            <v>B557765/A</v>
          </cell>
          <cell r="B1592" t="str">
            <v>CZ044NM08</v>
          </cell>
          <cell r="C1592">
            <v>9</v>
          </cell>
          <cell r="D1592">
            <v>778.27</v>
          </cell>
          <cell r="E1592">
            <v>7004.43</v>
          </cell>
          <cell r="F1592" t="str">
            <v>P17</v>
          </cell>
          <cell r="G1592" t="str">
            <v>Cleat - Bọ gỗ</v>
          </cell>
          <cell r="H1592" t="str">
            <v>Wood Rubber Laminate Board - 20 x 1220 x 2440mm, Veneer Poplar both Faces</v>
          </cell>
          <cell r="I1592">
            <v>18</v>
          </cell>
        </row>
        <row r="1593">
          <cell r="A1593" t="str">
            <v>B557765/A</v>
          </cell>
          <cell r="B1593" t="str">
            <v>CZ044NM08</v>
          </cell>
          <cell r="C1593">
            <v>9</v>
          </cell>
          <cell r="D1593">
            <v>778.27</v>
          </cell>
          <cell r="E1593">
            <v>7004.43</v>
          </cell>
          <cell r="F1593" t="str">
            <v>P18</v>
          </cell>
          <cell r="G1593" t="str">
            <v>Front rail  - Đố tiền</v>
          </cell>
          <cell r="H1593" t="str">
            <v>Wood Rubber Laminate Board - 20 x 1220 x 2440mm, Veneer Poplar both Faces</v>
          </cell>
          <cell r="I1593">
            <v>18</v>
          </cell>
        </row>
        <row r="1594">
          <cell r="A1594" t="str">
            <v>B557765/A</v>
          </cell>
          <cell r="B1594" t="str">
            <v>CZ044NM08</v>
          </cell>
          <cell r="C1594">
            <v>9</v>
          </cell>
          <cell r="D1594">
            <v>778.27</v>
          </cell>
          <cell r="E1594">
            <v>7004.43</v>
          </cell>
          <cell r="F1594" t="str">
            <v>P19</v>
          </cell>
          <cell r="G1594" t="str">
            <v>Cleat - Bọ gỗ</v>
          </cell>
          <cell r="H1594" t="str">
            <v>Wood Rubber Laminate Board - 20 x 1220 x 2440mm, Veneer Poplar both Faces</v>
          </cell>
          <cell r="I1594">
            <v>18</v>
          </cell>
        </row>
        <row r="1595">
          <cell r="A1595" t="str">
            <v>B557765/A</v>
          </cell>
          <cell r="B1595" t="str">
            <v>CZ044NM08</v>
          </cell>
          <cell r="C1595">
            <v>9</v>
          </cell>
          <cell r="D1595">
            <v>778.27</v>
          </cell>
          <cell r="E1595">
            <v>7004.43</v>
          </cell>
          <cell r="F1595" t="str">
            <v>P20</v>
          </cell>
          <cell r="G1595" t="str">
            <v xml:space="preserve">Panel - Ván </v>
          </cell>
          <cell r="H1595" t="str">
            <v>Cement Board - 18 x 1220 x 2440mm, Dark Grey</v>
          </cell>
          <cell r="I1595">
            <v>9</v>
          </cell>
        </row>
        <row r="1596">
          <cell r="A1596" t="str">
            <v>B557767/A</v>
          </cell>
          <cell r="B1596" t="str">
            <v>CZ044NM09</v>
          </cell>
          <cell r="C1596">
            <v>12</v>
          </cell>
          <cell r="D1596">
            <v>778.27</v>
          </cell>
          <cell r="E1596">
            <v>9339.24</v>
          </cell>
          <cell r="F1596" t="str">
            <v>A1-S1</v>
          </cell>
          <cell r="G1596" t="str">
            <v>Front Vertical rail  - Trụ tiền</v>
          </cell>
          <cell r="H1596" t="str">
            <v>Pre-Assembly</v>
          </cell>
          <cell r="I1596">
            <v>24</v>
          </cell>
        </row>
        <row r="1597">
          <cell r="A1597" t="str">
            <v>B557767/A</v>
          </cell>
          <cell r="B1597" t="str">
            <v>CZ044NM09</v>
          </cell>
          <cell r="C1597">
            <v>12</v>
          </cell>
          <cell r="D1597">
            <v>778.27</v>
          </cell>
          <cell r="E1597">
            <v>9339.24</v>
          </cell>
          <cell r="F1597" t="str">
            <v>A1-S1-1</v>
          </cell>
          <cell r="G1597" t="str">
            <v>Wood laminater - Gỗ ghép 1</v>
          </cell>
          <cell r="H1597" t="str">
            <v>Standard Wood - ALDER/ASPEN/LENGA/US POPLAR, 2 COM - T25 W120mm+ L2m+</v>
          </cell>
          <cell r="I1597">
            <v>24</v>
          </cell>
        </row>
        <row r="1598">
          <cell r="A1598" t="str">
            <v>B557767/A</v>
          </cell>
          <cell r="B1598" t="str">
            <v>CZ044NM09</v>
          </cell>
          <cell r="C1598">
            <v>12</v>
          </cell>
          <cell r="D1598">
            <v>778.27</v>
          </cell>
          <cell r="E1598">
            <v>9339.24</v>
          </cell>
          <cell r="F1598" t="str">
            <v>A1-S1-2</v>
          </cell>
          <cell r="G1598" t="str">
            <v>Wood laminater - Gỗ ghép 1</v>
          </cell>
          <cell r="H1598" t="str">
            <v>Standard wood</v>
          </cell>
          <cell r="I1598">
            <v>24</v>
          </cell>
        </row>
        <row r="1599">
          <cell r="A1599" t="str">
            <v>B557767/A</v>
          </cell>
          <cell r="B1599" t="str">
            <v>CZ044NM09</v>
          </cell>
          <cell r="C1599">
            <v>12</v>
          </cell>
          <cell r="D1599">
            <v>778.27</v>
          </cell>
          <cell r="E1599">
            <v>9339.24</v>
          </cell>
          <cell r="F1599" t="str">
            <v>A1-S2</v>
          </cell>
          <cell r="G1599" t="str">
            <v>Back leg - Chân hậu</v>
          </cell>
          <cell r="H1599" t="str">
            <v>Beech 2 COM</v>
          </cell>
          <cell r="I1599">
            <v>24</v>
          </cell>
        </row>
        <row r="1600">
          <cell r="A1600" t="str">
            <v>B557767/A</v>
          </cell>
          <cell r="B1600" t="str">
            <v>CZ044NM09</v>
          </cell>
          <cell r="C1600">
            <v>12</v>
          </cell>
          <cell r="D1600">
            <v>778.27</v>
          </cell>
          <cell r="E1600">
            <v>9339.24</v>
          </cell>
          <cell r="F1600" t="str">
            <v>A1-S3</v>
          </cell>
          <cell r="G1600" t="str">
            <v xml:space="preserve">Side panel  - Ván hông </v>
          </cell>
          <cell r="H1600" t="str">
            <v>MDF - 15 x 1830 x 2440mm [CARB P2 Compliant]</v>
          </cell>
          <cell r="I1600">
            <v>24</v>
          </cell>
        </row>
        <row r="1601">
          <cell r="A1601" t="str">
            <v>B557767/A</v>
          </cell>
          <cell r="B1601" t="str">
            <v>CZ044NM09</v>
          </cell>
          <cell r="C1601">
            <v>12</v>
          </cell>
          <cell r="D1601">
            <v>778.27</v>
          </cell>
          <cell r="E1601">
            <v>9339.24</v>
          </cell>
          <cell r="F1601" t="str">
            <v>A1-S4</v>
          </cell>
          <cell r="G1601" t="str">
            <v xml:space="preserve">Side rail  - Đố hông </v>
          </cell>
          <cell r="H1601" t="str">
            <v>Pre-Assembly</v>
          </cell>
          <cell r="I1601">
            <v>96</v>
          </cell>
        </row>
        <row r="1602">
          <cell r="A1602" t="str">
            <v>B557767/A</v>
          </cell>
          <cell r="B1602" t="str">
            <v>CZ044NM09</v>
          </cell>
          <cell r="C1602">
            <v>12</v>
          </cell>
          <cell r="D1602">
            <v>778.27</v>
          </cell>
          <cell r="E1602">
            <v>9339.24</v>
          </cell>
          <cell r="F1602" t="str">
            <v>A1-S4-1</v>
          </cell>
          <cell r="G1602" t="str">
            <v xml:space="preserve">Side rail  - Đố hông </v>
          </cell>
          <cell r="H1602" t="str">
            <v>Standard Wood - ALDER/ASPEN/LENGA/US POPLAR, 2 COM - T25 W120mm+ L2m+</v>
          </cell>
          <cell r="I1602">
            <v>96</v>
          </cell>
        </row>
        <row r="1603">
          <cell r="A1603" t="str">
            <v>B557767/A</v>
          </cell>
          <cell r="B1603" t="str">
            <v>CZ044NM09</v>
          </cell>
          <cell r="C1603">
            <v>12</v>
          </cell>
          <cell r="D1603">
            <v>778.27</v>
          </cell>
          <cell r="E1603">
            <v>9339.24</v>
          </cell>
          <cell r="F1603" t="str">
            <v>A1-S4-2</v>
          </cell>
          <cell r="G1603" t="str">
            <v>Patching wood - Gỗ đắp</v>
          </cell>
          <cell r="H1603" t="str">
            <v>wood off cut</v>
          </cell>
          <cell r="I1603">
            <v>192</v>
          </cell>
        </row>
        <row r="1604">
          <cell r="A1604" t="str">
            <v>B557767/A</v>
          </cell>
          <cell r="B1604" t="str">
            <v>CZ044NM09</v>
          </cell>
          <cell r="C1604">
            <v>12</v>
          </cell>
          <cell r="D1604">
            <v>778.27</v>
          </cell>
          <cell r="E1604">
            <v>9339.24</v>
          </cell>
          <cell r="F1604" t="str">
            <v>A2-S1</v>
          </cell>
          <cell r="G1604" t="str">
            <v>Front rail  - Đố tiền</v>
          </cell>
          <cell r="H1604" t="str">
            <v>Wood Rubber Laminate Board - 20 x 1220 x 2440mm, Veneer Poplar both Faces</v>
          </cell>
          <cell r="I1604">
            <v>24</v>
          </cell>
        </row>
        <row r="1605">
          <cell r="A1605" t="str">
            <v>B557767/A</v>
          </cell>
          <cell r="B1605" t="str">
            <v>CZ044NM09</v>
          </cell>
          <cell r="C1605">
            <v>12</v>
          </cell>
          <cell r="D1605">
            <v>778.27</v>
          </cell>
          <cell r="E1605">
            <v>9339.24</v>
          </cell>
          <cell r="F1605" t="str">
            <v>A2-S2</v>
          </cell>
          <cell r="G1605" t="str">
            <v>center rail with note - đố giữa</v>
          </cell>
          <cell r="H1605" t="str">
            <v>Wood Rubber Laminate Board - 20 x 1220 x 2440mm, Veneer Poplar both Faces</v>
          </cell>
          <cell r="I1605">
            <v>12</v>
          </cell>
        </row>
        <row r="1606">
          <cell r="A1606" t="str">
            <v>B557767/A</v>
          </cell>
          <cell r="B1606" t="str">
            <v>CZ044NM09</v>
          </cell>
          <cell r="C1606">
            <v>12</v>
          </cell>
          <cell r="D1606">
            <v>778.27</v>
          </cell>
          <cell r="E1606">
            <v>9339.24</v>
          </cell>
          <cell r="F1606" t="str">
            <v>A4-S1</v>
          </cell>
          <cell r="G1606" t="str">
            <v>Front Bottom Rail  - Đố đáy trước</v>
          </cell>
          <cell r="H1606" t="str">
            <v>Wood Rubber Laminate Board - 20 x 1220 x 2440mm, Veneer Poplar both Faces</v>
          </cell>
          <cell r="I1606">
            <v>12</v>
          </cell>
        </row>
        <row r="1607">
          <cell r="A1607" t="str">
            <v>B557767/A</v>
          </cell>
          <cell r="B1607" t="str">
            <v>CZ044NM09</v>
          </cell>
          <cell r="C1607">
            <v>12</v>
          </cell>
          <cell r="D1607">
            <v>778.27</v>
          </cell>
          <cell r="E1607">
            <v>9339.24</v>
          </cell>
          <cell r="F1607" t="str">
            <v>A4-S1-1</v>
          </cell>
          <cell r="G1607" t="str">
            <v>Front Bottom Rail  - Đố đáy trước</v>
          </cell>
          <cell r="H1607" t="str">
            <v>Wood Rubber Laminate Board - 20 x 1220 x 2440mm, Veneer Poplar both Faces</v>
          </cell>
          <cell r="I1607">
            <v>12</v>
          </cell>
        </row>
        <row r="1608">
          <cell r="A1608" t="str">
            <v>B557767/A</v>
          </cell>
          <cell r="B1608" t="str">
            <v>CZ044NM09</v>
          </cell>
          <cell r="C1608">
            <v>12</v>
          </cell>
          <cell r="D1608">
            <v>778.27</v>
          </cell>
          <cell r="E1608">
            <v>9339.24</v>
          </cell>
          <cell r="F1608" t="str">
            <v>A4-S3</v>
          </cell>
          <cell r="G1608" t="str">
            <v>center rail with note - đố giữa</v>
          </cell>
          <cell r="H1608" t="str">
            <v>Wood Rubber Laminate Board - 20 x 1220 x 2440mm, Veneer Poplar both Faces</v>
          </cell>
          <cell r="I1608">
            <v>12</v>
          </cell>
        </row>
        <row r="1609">
          <cell r="A1609" t="str">
            <v>B557767/A</v>
          </cell>
          <cell r="B1609" t="str">
            <v>CZ044NM09</v>
          </cell>
          <cell r="C1609">
            <v>12</v>
          </cell>
          <cell r="D1609">
            <v>778.27</v>
          </cell>
          <cell r="E1609">
            <v>9339.24</v>
          </cell>
          <cell r="F1609" t="str">
            <v>A4-S4</v>
          </cell>
          <cell r="G1609" t="str">
            <v>Dust board Panel  - Ván quét bụi</v>
          </cell>
          <cell r="H1609" t="str">
            <v>MDF - 06 x 1830 x 2440mm [CARB P2 Compliant]</v>
          </cell>
          <cell r="I1609">
            <v>12</v>
          </cell>
        </row>
        <row r="1610">
          <cell r="A1610" t="str">
            <v>B557767/A</v>
          </cell>
          <cell r="B1610" t="str">
            <v>CZ044NM09</v>
          </cell>
          <cell r="C1610">
            <v>12</v>
          </cell>
          <cell r="D1610">
            <v>778.27</v>
          </cell>
          <cell r="E1610">
            <v>9339.24</v>
          </cell>
          <cell r="F1610" t="str">
            <v>A5-S1</v>
          </cell>
          <cell r="G1610" t="str">
            <v xml:space="preserve">Drawer front - Mặt hộc kéo </v>
          </cell>
          <cell r="H1610" t="str">
            <v>MDF Veneer</v>
          </cell>
          <cell r="I1610">
            <v>24</v>
          </cell>
        </row>
        <row r="1611">
          <cell r="A1611" t="str">
            <v>B557767/A</v>
          </cell>
          <cell r="B1611" t="str">
            <v>CZ044NM09</v>
          </cell>
          <cell r="C1611">
            <v>12</v>
          </cell>
          <cell r="D1611">
            <v>778.27</v>
          </cell>
          <cell r="E1611">
            <v>9339.24</v>
          </cell>
          <cell r="F1611" t="str">
            <v>A5-S2</v>
          </cell>
          <cell r="G1611" t="str">
            <v>Drawer side - Hông hộc kéo</v>
          </cell>
          <cell r="H1611" t="str">
            <v>MDF-N - 12 x 1220 x 2440mm, Veneer Okoume 0.3mm Both Faces [CARB P2 Compliant]</v>
          </cell>
          <cell r="I1611">
            <v>120</v>
          </cell>
        </row>
        <row r="1612">
          <cell r="A1612" t="str">
            <v>B557767/A</v>
          </cell>
          <cell r="B1612" t="str">
            <v>CZ044NM09</v>
          </cell>
          <cell r="C1612">
            <v>12</v>
          </cell>
          <cell r="D1612">
            <v>778.27</v>
          </cell>
          <cell r="E1612">
            <v>9339.24</v>
          </cell>
          <cell r="F1612" t="str">
            <v>A5-S3</v>
          </cell>
          <cell r="G1612" t="str">
            <v>Drawer back 1 - hau hộc 1</v>
          </cell>
          <cell r="H1612" t="str">
            <v>MDF - 12 x 1220 x 2440mm, Veneer Okoume 0.3mm Both Faces [CARB P2 Compliant]</v>
          </cell>
          <cell r="I1612">
            <v>24</v>
          </cell>
        </row>
        <row r="1613">
          <cell r="A1613" t="str">
            <v>B557767/A</v>
          </cell>
          <cell r="B1613" t="str">
            <v>CZ044NM09</v>
          </cell>
          <cell r="C1613">
            <v>12</v>
          </cell>
          <cell r="D1613">
            <v>778.27</v>
          </cell>
          <cell r="E1613">
            <v>9339.24</v>
          </cell>
          <cell r="F1613" t="str">
            <v>A5-S4</v>
          </cell>
          <cell r="G1613" t="str">
            <v>Drawer bottom  - Đáy hộc kéo</v>
          </cell>
          <cell r="H1613" t="str">
            <v>MDF - 06 x 1220 x 2440mm, Veneer Okoume 0.3mm Both Faces [CARB P2 Compliant]</v>
          </cell>
          <cell r="I1613">
            <v>24</v>
          </cell>
        </row>
        <row r="1614">
          <cell r="A1614" t="str">
            <v>B557767/A</v>
          </cell>
          <cell r="B1614" t="str">
            <v>CZ044NM09</v>
          </cell>
          <cell r="C1614">
            <v>12</v>
          </cell>
          <cell r="D1614">
            <v>778.27</v>
          </cell>
          <cell r="E1614">
            <v>9339.24</v>
          </cell>
          <cell r="F1614" t="str">
            <v>A5-S5</v>
          </cell>
          <cell r="G1614" t="str">
            <v>Center rail - Đố giữa</v>
          </cell>
          <cell r="H1614" t="str">
            <v>Standard Wood - ALDER/ASPEN/LENGA/US POPLAR, 2 COM - T38 W120mm+ L2m+</v>
          </cell>
          <cell r="I1614">
            <v>96</v>
          </cell>
        </row>
        <row r="1615">
          <cell r="A1615" t="str">
            <v>B557767/A</v>
          </cell>
          <cell r="B1615" t="str">
            <v>CZ044NM09</v>
          </cell>
          <cell r="C1615">
            <v>12</v>
          </cell>
          <cell r="D1615">
            <v>778.27</v>
          </cell>
          <cell r="E1615">
            <v>9339.24</v>
          </cell>
          <cell r="F1615" t="str">
            <v>A6-S1</v>
          </cell>
          <cell r="G1615" t="str">
            <v xml:space="preserve">Drawer front - Mặt hộc kéo </v>
          </cell>
          <cell r="H1615" t="str">
            <v>MDF Veneer</v>
          </cell>
          <cell r="I1615">
            <v>36</v>
          </cell>
        </row>
        <row r="1616">
          <cell r="A1616" t="str">
            <v>B557767/A</v>
          </cell>
          <cell r="B1616" t="str">
            <v>CZ044NM09</v>
          </cell>
          <cell r="C1616">
            <v>12</v>
          </cell>
          <cell r="D1616">
            <v>778.27</v>
          </cell>
          <cell r="E1616">
            <v>9339.24</v>
          </cell>
          <cell r="F1616" t="str">
            <v>A6-S3</v>
          </cell>
          <cell r="G1616" t="str">
            <v>Drawer back - Hậu hộc kéo</v>
          </cell>
          <cell r="H1616" t="str">
            <v>MDF - 12 x 1220 x 2440mm, Veneer Okoume 0.3mm Both Faces [CARB P2 Compliant]</v>
          </cell>
          <cell r="I1616">
            <v>36</v>
          </cell>
        </row>
        <row r="1617">
          <cell r="A1617" t="str">
            <v>B557767/A</v>
          </cell>
          <cell r="B1617" t="str">
            <v>CZ044NM09</v>
          </cell>
          <cell r="C1617">
            <v>12</v>
          </cell>
          <cell r="D1617">
            <v>778.27</v>
          </cell>
          <cell r="E1617">
            <v>9339.24</v>
          </cell>
          <cell r="F1617" t="str">
            <v>A6-S4</v>
          </cell>
          <cell r="G1617" t="str">
            <v>Drawer bottom  - Đáy hộc kéo</v>
          </cell>
          <cell r="H1617" t="str">
            <v>MDF - 06 x 1220 x 2440mm, Veneer Okoume 0.3mm Both Faces [CARB P2 Compliant]</v>
          </cell>
          <cell r="I1617">
            <v>36</v>
          </cell>
        </row>
        <row r="1618">
          <cell r="A1618" t="str">
            <v>B557767/A</v>
          </cell>
          <cell r="B1618" t="str">
            <v>CZ044NM09</v>
          </cell>
          <cell r="C1618">
            <v>12</v>
          </cell>
          <cell r="D1618">
            <v>778.27</v>
          </cell>
          <cell r="E1618">
            <v>9339.24</v>
          </cell>
          <cell r="F1618" t="str">
            <v>P01</v>
          </cell>
          <cell r="G1618" t="str">
            <v>Front top rail  - Đố tiền nóc</v>
          </cell>
          <cell r="H1618" t="str">
            <v>Wood Rubber Laminate Board - 20 x 1220 x 2440mm, Veneer Poplar both Faces</v>
          </cell>
          <cell r="I1618">
            <v>12</v>
          </cell>
        </row>
        <row r="1619">
          <cell r="A1619" t="str">
            <v>B557767/A</v>
          </cell>
          <cell r="B1619" t="str">
            <v>CZ044NM09</v>
          </cell>
          <cell r="C1619">
            <v>12</v>
          </cell>
          <cell r="D1619">
            <v>778.27</v>
          </cell>
          <cell r="E1619">
            <v>9339.24</v>
          </cell>
          <cell r="F1619" t="str">
            <v>P02</v>
          </cell>
          <cell r="G1619" t="str">
            <v>Back rail with note finger - đố hậu</v>
          </cell>
          <cell r="H1619" t="str">
            <v>Wood Rubber Laminate Board - 20 x 1220 x 2440mm, Veneer Poplar both Faces</v>
          </cell>
          <cell r="I1619">
            <v>12</v>
          </cell>
        </row>
        <row r="1620">
          <cell r="A1620" t="str">
            <v>B557767/A</v>
          </cell>
          <cell r="B1620" t="str">
            <v>CZ044NM09</v>
          </cell>
          <cell r="C1620">
            <v>12</v>
          </cell>
          <cell r="D1620">
            <v>778.27</v>
          </cell>
          <cell r="E1620">
            <v>9339.24</v>
          </cell>
          <cell r="F1620" t="str">
            <v>P03</v>
          </cell>
          <cell r="G1620" t="str">
            <v xml:space="preserve">Top panel  - Ván nóc </v>
          </cell>
          <cell r="H1620" t="str">
            <v>MDF - 15 x 1830 x 2440mm [CARB P2 Compliant]</v>
          </cell>
          <cell r="I1620">
            <v>12</v>
          </cell>
        </row>
        <row r="1621">
          <cell r="A1621" t="str">
            <v>B557767/A</v>
          </cell>
          <cell r="B1621" t="str">
            <v>CZ044NM09</v>
          </cell>
          <cell r="C1621">
            <v>12</v>
          </cell>
          <cell r="D1621">
            <v>778.27</v>
          </cell>
          <cell r="E1621">
            <v>9339.24</v>
          </cell>
          <cell r="F1621" t="str">
            <v>P09</v>
          </cell>
          <cell r="G1621" t="str">
            <v>Partition panel - Vách ngăn</v>
          </cell>
          <cell r="H1621" t="str">
            <v>MDF - 18 x 1830 x 2440mm [CARB P2 Compliant]</v>
          </cell>
          <cell r="I1621">
            <v>12</v>
          </cell>
        </row>
        <row r="1622">
          <cell r="A1622" t="str">
            <v>B557767/A</v>
          </cell>
          <cell r="B1622" t="str">
            <v>CZ044NM09</v>
          </cell>
          <cell r="C1622">
            <v>12</v>
          </cell>
          <cell r="D1622">
            <v>778.27</v>
          </cell>
          <cell r="E1622">
            <v>9339.24</v>
          </cell>
          <cell r="F1622" t="str">
            <v>P10</v>
          </cell>
          <cell r="G1622" t="str">
            <v>Back panel - Ván hậu</v>
          </cell>
          <cell r="H1622" t="str">
            <v>MDF Veneer</v>
          </cell>
          <cell r="I1622">
            <v>12</v>
          </cell>
        </row>
        <row r="1623">
          <cell r="A1623" t="str">
            <v>B557767/A</v>
          </cell>
          <cell r="B1623" t="str">
            <v>CZ044NM09</v>
          </cell>
          <cell r="C1623">
            <v>12</v>
          </cell>
          <cell r="D1623">
            <v>778.27</v>
          </cell>
          <cell r="E1623">
            <v>9339.24</v>
          </cell>
          <cell r="F1623" t="str">
            <v>P11</v>
          </cell>
          <cell r="G1623" t="str">
            <v>Corner block - ke góc</v>
          </cell>
          <cell r="H1623" t="str">
            <v>Poplar off cut</v>
          </cell>
          <cell r="I1623">
            <v>24</v>
          </cell>
        </row>
        <row r="1624">
          <cell r="A1624" t="str">
            <v>B557767/A</v>
          </cell>
          <cell r="B1624" t="str">
            <v>CZ044NM09</v>
          </cell>
          <cell r="C1624">
            <v>12</v>
          </cell>
          <cell r="D1624">
            <v>778.27</v>
          </cell>
          <cell r="E1624">
            <v>9339.24</v>
          </cell>
          <cell r="F1624" t="str">
            <v>P12</v>
          </cell>
          <cell r="G1624" t="str">
            <v>Drawer stop - Dừng hộc</v>
          </cell>
          <cell r="H1624" t="str">
            <v>Poplar off cut</v>
          </cell>
          <cell r="I1624">
            <v>120</v>
          </cell>
        </row>
        <row r="1625">
          <cell r="A1625" t="str">
            <v>B557767/A</v>
          </cell>
          <cell r="B1625" t="str">
            <v>CZ044NM09</v>
          </cell>
          <cell r="C1625">
            <v>12</v>
          </cell>
          <cell r="D1625">
            <v>778.27</v>
          </cell>
          <cell r="E1625">
            <v>9339.24</v>
          </cell>
          <cell r="F1625" t="str">
            <v>P14</v>
          </cell>
          <cell r="G1625" t="str">
            <v>Spline - Lưỡi gà</v>
          </cell>
          <cell r="H1625" t="str">
            <v>Plywood LVD - 06 x 1220 x 2440mm, Bleached Poplar Veneer Both Sides [CARB P2 Compliant]</v>
          </cell>
          <cell r="I1625">
            <v>24</v>
          </cell>
        </row>
        <row r="1626">
          <cell r="A1626" t="str">
            <v>B557767/A</v>
          </cell>
          <cell r="B1626" t="str">
            <v>CZ044NM09</v>
          </cell>
          <cell r="C1626">
            <v>12</v>
          </cell>
          <cell r="D1626">
            <v>778.27</v>
          </cell>
          <cell r="E1626">
            <v>9339.24</v>
          </cell>
          <cell r="F1626" t="str">
            <v>P15</v>
          </cell>
          <cell r="G1626" t="str">
            <v>Spline - Lưỡi gà</v>
          </cell>
          <cell r="H1626" t="str">
            <v>Plywood LVD - 06 x 1220 x 2440mm, Bleached Poplar Veneer Both Sides [CARB P2 Compliant]</v>
          </cell>
          <cell r="I1626">
            <v>12</v>
          </cell>
        </row>
        <row r="1627">
          <cell r="A1627" t="str">
            <v>B557767/A</v>
          </cell>
          <cell r="B1627" t="str">
            <v>CZ044NM09</v>
          </cell>
          <cell r="C1627">
            <v>12</v>
          </cell>
          <cell r="D1627">
            <v>778.27</v>
          </cell>
          <cell r="E1627">
            <v>9339.24</v>
          </cell>
          <cell r="F1627" t="str">
            <v>P16</v>
          </cell>
          <cell r="G1627" t="str">
            <v>Cleat - Bọ gỗ</v>
          </cell>
          <cell r="H1627" t="str">
            <v>Wood Rubber Laminate Board - 20 x 1220 x 2440mm, Veneer Poplar both Faces</v>
          </cell>
          <cell r="I1627">
            <v>24</v>
          </cell>
        </row>
        <row r="1628">
          <cell r="A1628" t="str">
            <v>B557767/A</v>
          </cell>
          <cell r="B1628" t="str">
            <v>CZ044NM09</v>
          </cell>
          <cell r="C1628">
            <v>12</v>
          </cell>
          <cell r="D1628">
            <v>778.27</v>
          </cell>
          <cell r="E1628">
            <v>9339.24</v>
          </cell>
          <cell r="F1628" t="str">
            <v>P17</v>
          </cell>
          <cell r="G1628" t="str">
            <v>Cleat - Bọ gỗ</v>
          </cell>
          <cell r="H1628" t="str">
            <v>Wood Rubber Laminate Board - 20 x 1220 x 2440mm, Veneer Poplar both Faces</v>
          </cell>
          <cell r="I1628">
            <v>24</v>
          </cell>
        </row>
        <row r="1629">
          <cell r="A1629" t="str">
            <v>B557767/A</v>
          </cell>
          <cell r="B1629" t="str">
            <v>CZ044NM09</v>
          </cell>
          <cell r="C1629">
            <v>12</v>
          </cell>
          <cell r="D1629">
            <v>778.27</v>
          </cell>
          <cell r="E1629">
            <v>9339.24</v>
          </cell>
          <cell r="F1629" t="str">
            <v>P18</v>
          </cell>
          <cell r="G1629" t="str">
            <v>Front rail  - Đố tiền</v>
          </cell>
          <cell r="H1629" t="str">
            <v>Wood Rubber Laminate Board - 20 x 1220 x 2440mm, Veneer Poplar both Faces</v>
          </cell>
          <cell r="I1629">
            <v>24</v>
          </cell>
        </row>
        <row r="1630">
          <cell r="A1630" t="str">
            <v>B557767/A</v>
          </cell>
          <cell r="B1630" t="str">
            <v>CZ044NM09</v>
          </cell>
          <cell r="C1630">
            <v>12</v>
          </cell>
          <cell r="D1630">
            <v>778.27</v>
          </cell>
          <cell r="E1630">
            <v>9339.24</v>
          </cell>
          <cell r="F1630" t="str">
            <v>P19</v>
          </cell>
          <cell r="G1630" t="str">
            <v>Cleat - Bọ gỗ</v>
          </cell>
          <cell r="H1630" t="str">
            <v>Wood Rubber Laminate Board - 20 x 1220 x 2440mm, Veneer Poplar both Faces</v>
          </cell>
          <cell r="I1630">
            <v>24</v>
          </cell>
        </row>
        <row r="1631">
          <cell r="A1631" t="str">
            <v>B557767/A</v>
          </cell>
          <cell r="B1631" t="str">
            <v>CZ044NM09</v>
          </cell>
          <cell r="C1631">
            <v>12</v>
          </cell>
          <cell r="D1631">
            <v>778.27</v>
          </cell>
          <cell r="E1631">
            <v>9339.24</v>
          </cell>
          <cell r="F1631" t="str">
            <v>P20</v>
          </cell>
          <cell r="G1631" t="str">
            <v xml:space="preserve">Panel - Ván </v>
          </cell>
          <cell r="H1631" t="str">
            <v>Cement Board - 18 x 1220 x 2440mm, Dark Grey</v>
          </cell>
          <cell r="I1631">
            <v>12</v>
          </cell>
        </row>
        <row r="1632">
          <cell r="A1632" t="str">
            <v>B557770/A</v>
          </cell>
          <cell r="B1632" t="str">
            <v>CZ044NM10</v>
          </cell>
          <cell r="C1632">
            <v>2</v>
          </cell>
          <cell r="D1632">
            <v>778.27</v>
          </cell>
          <cell r="E1632">
            <v>1556.54</v>
          </cell>
          <cell r="F1632" t="str">
            <v>A1-S1</v>
          </cell>
          <cell r="G1632" t="str">
            <v>Front Vertical rail  - Trụ tiền</v>
          </cell>
          <cell r="H1632" t="str">
            <v>Pre-Assembly</v>
          </cell>
          <cell r="I1632">
            <v>4</v>
          </cell>
        </row>
        <row r="1633">
          <cell r="A1633" t="str">
            <v>B557770/A</v>
          </cell>
          <cell r="B1633" t="str">
            <v>CZ044NM10</v>
          </cell>
          <cell r="C1633">
            <v>2</v>
          </cell>
          <cell r="D1633">
            <v>778.27</v>
          </cell>
          <cell r="E1633">
            <v>1556.54</v>
          </cell>
          <cell r="F1633" t="str">
            <v>A1-S1-1</v>
          </cell>
          <cell r="G1633" t="str">
            <v>Wood laminater - Gỗ ghép 1</v>
          </cell>
          <cell r="H1633" t="str">
            <v>Standard Wood - ALDER/ASPEN/LENGA/US POPLAR, 2 COM - T25 W120mm+ L2m+</v>
          </cell>
          <cell r="I1633">
            <v>4</v>
          </cell>
        </row>
        <row r="1634">
          <cell r="A1634" t="str">
            <v>B557770/A</v>
          </cell>
          <cell r="B1634" t="str">
            <v>CZ044NM10</v>
          </cell>
          <cell r="C1634">
            <v>2</v>
          </cell>
          <cell r="D1634">
            <v>778.27</v>
          </cell>
          <cell r="E1634">
            <v>1556.54</v>
          </cell>
          <cell r="F1634" t="str">
            <v>A1-S1-2</v>
          </cell>
          <cell r="G1634" t="str">
            <v>Wood laminater - Gỗ ghép 1</v>
          </cell>
          <cell r="H1634" t="str">
            <v>Standard wood</v>
          </cell>
          <cell r="I1634">
            <v>4</v>
          </cell>
        </row>
        <row r="1635">
          <cell r="A1635" t="str">
            <v>B557770/A</v>
          </cell>
          <cell r="B1635" t="str">
            <v>CZ044NM10</v>
          </cell>
          <cell r="C1635">
            <v>2</v>
          </cell>
          <cell r="D1635">
            <v>778.27</v>
          </cell>
          <cell r="E1635">
            <v>1556.54</v>
          </cell>
          <cell r="F1635" t="str">
            <v>A1-S2</v>
          </cell>
          <cell r="G1635" t="str">
            <v>Back leg - Chân hậu</v>
          </cell>
          <cell r="H1635" t="str">
            <v>Beech 2 COM</v>
          </cell>
          <cell r="I1635">
            <v>4</v>
          </cell>
        </row>
        <row r="1636">
          <cell r="A1636" t="str">
            <v>B557770/A</v>
          </cell>
          <cell r="B1636" t="str">
            <v>CZ044NM10</v>
          </cell>
          <cell r="C1636">
            <v>2</v>
          </cell>
          <cell r="D1636">
            <v>778.27</v>
          </cell>
          <cell r="E1636">
            <v>1556.54</v>
          </cell>
          <cell r="F1636" t="str">
            <v>A1-S3</v>
          </cell>
          <cell r="G1636" t="str">
            <v xml:space="preserve">Side panel  - Ván hông </v>
          </cell>
          <cell r="H1636" t="str">
            <v>MDF - 15 x 1830 x 2440mm [CARB P2 Compliant]</v>
          </cell>
          <cell r="I1636">
            <v>4</v>
          </cell>
        </row>
        <row r="1637">
          <cell r="A1637" t="str">
            <v>B557770/A</v>
          </cell>
          <cell r="B1637" t="str">
            <v>CZ044NM10</v>
          </cell>
          <cell r="C1637">
            <v>2</v>
          </cell>
          <cell r="D1637">
            <v>778.27</v>
          </cell>
          <cell r="E1637">
            <v>1556.54</v>
          </cell>
          <cell r="F1637" t="str">
            <v>A1-S4</v>
          </cell>
          <cell r="G1637" t="str">
            <v xml:space="preserve">Side rail  - Đố hông </v>
          </cell>
          <cell r="H1637" t="str">
            <v>Pre-Assembly</v>
          </cell>
          <cell r="I1637">
            <v>16</v>
          </cell>
        </row>
        <row r="1638">
          <cell r="A1638" t="str">
            <v>B557770/A</v>
          </cell>
          <cell r="B1638" t="str">
            <v>CZ044NM10</v>
          </cell>
          <cell r="C1638">
            <v>2</v>
          </cell>
          <cell r="D1638">
            <v>778.27</v>
          </cell>
          <cell r="E1638">
            <v>1556.54</v>
          </cell>
          <cell r="F1638" t="str">
            <v>A1-S4-1</v>
          </cell>
          <cell r="G1638" t="str">
            <v xml:space="preserve">Side rail  - Đố hông </v>
          </cell>
          <cell r="H1638" t="str">
            <v>Standard Wood - ALDER/ASPEN/LENGA/US POPLAR, 2 COM - T25 W120mm+ L2m+</v>
          </cell>
          <cell r="I1638">
            <v>16</v>
          </cell>
        </row>
        <row r="1639">
          <cell r="A1639" t="str">
            <v>B557770/A</v>
          </cell>
          <cell r="B1639" t="str">
            <v>CZ044NM10</v>
          </cell>
          <cell r="C1639">
            <v>2</v>
          </cell>
          <cell r="D1639">
            <v>778.27</v>
          </cell>
          <cell r="E1639">
            <v>1556.54</v>
          </cell>
          <cell r="F1639" t="str">
            <v>A1-S4-2</v>
          </cell>
          <cell r="G1639" t="str">
            <v>Patching wood - Gỗ đắp</v>
          </cell>
          <cell r="H1639" t="str">
            <v>wood off cut</v>
          </cell>
          <cell r="I1639">
            <v>32</v>
          </cell>
        </row>
        <row r="1640">
          <cell r="A1640" t="str">
            <v>B557770/A</v>
          </cell>
          <cell r="B1640" t="str">
            <v>CZ044NM10</v>
          </cell>
          <cell r="C1640">
            <v>2</v>
          </cell>
          <cell r="D1640">
            <v>778.27</v>
          </cell>
          <cell r="E1640">
            <v>1556.54</v>
          </cell>
          <cell r="F1640" t="str">
            <v>A2-S1</v>
          </cell>
          <cell r="G1640" t="str">
            <v>Front rail  - Đố tiền</v>
          </cell>
          <cell r="H1640" t="str">
            <v>Wood Rubber Laminate Board - 20 x 1220 x 2440mm, Veneer Poplar both Faces</v>
          </cell>
          <cell r="I1640">
            <v>4</v>
          </cell>
        </row>
        <row r="1641">
          <cell r="A1641" t="str">
            <v>B557770/A</v>
          </cell>
          <cell r="B1641" t="str">
            <v>CZ044NM10</v>
          </cell>
          <cell r="C1641">
            <v>2</v>
          </cell>
          <cell r="D1641">
            <v>778.27</v>
          </cell>
          <cell r="E1641">
            <v>1556.54</v>
          </cell>
          <cell r="F1641" t="str">
            <v>A2-S2</v>
          </cell>
          <cell r="G1641" t="str">
            <v>center rail with note - đố giữa</v>
          </cell>
          <cell r="H1641" t="str">
            <v>Wood Rubber Laminate Board - 20 x 1220 x 2440mm, Veneer Poplar both Faces</v>
          </cell>
          <cell r="I1641">
            <v>2</v>
          </cell>
        </row>
        <row r="1642">
          <cell r="A1642" t="str">
            <v>B557770/A</v>
          </cell>
          <cell r="B1642" t="str">
            <v>CZ044NM10</v>
          </cell>
          <cell r="C1642">
            <v>2</v>
          </cell>
          <cell r="D1642">
            <v>778.27</v>
          </cell>
          <cell r="E1642">
            <v>1556.54</v>
          </cell>
          <cell r="F1642" t="str">
            <v>A4-S1</v>
          </cell>
          <cell r="G1642" t="str">
            <v>Front Bottom Rail  - Đố đáy trước</v>
          </cell>
          <cell r="H1642" t="str">
            <v>Wood Rubber Laminate Board - 20 x 1220 x 2440mm, Veneer Poplar both Faces</v>
          </cell>
          <cell r="I1642">
            <v>2</v>
          </cell>
        </row>
        <row r="1643">
          <cell r="A1643" t="str">
            <v>B557770/A</v>
          </cell>
          <cell r="B1643" t="str">
            <v>CZ044NM10</v>
          </cell>
          <cell r="C1643">
            <v>2</v>
          </cell>
          <cell r="D1643">
            <v>778.27</v>
          </cell>
          <cell r="E1643">
            <v>1556.54</v>
          </cell>
          <cell r="F1643" t="str">
            <v>A4-S1-1</v>
          </cell>
          <cell r="G1643" t="str">
            <v>Front Bottom Rail  - Đố đáy trước</v>
          </cell>
          <cell r="H1643" t="str">
            <v>Wood Rubber Laminate Board - 20 x 1220 x 2440mm, Veneer Poplar both Faces</v>
          </cell>
          <cell r="I1643">
            <v>2</v>
          </cell>
        </row>
        <row r="1644">
          <cell r="A1644" t="str">
            <v>B557770/A</v>
          </cell>
          <cell r="B1644" t="str">
            <v>CZ044NM10</v>
          </cell>
          <cell r="C1644">
            <v>2</v>
          </cell>
          <cell r="D1644">
            <v>778.27</v>
          </cell>
          <cell r="E1644">
            <v>1556.54</v>
          </cell>
          <cell r="F1644" t="str">
            <v>A4-S3</v>
          </cell>
          <cell r="G1644" t="str">
            <v>center rail with note - đố giữa</v>
          </cell>
          <cell r="H1644" t="str">
            <v>Wood Rubber Laminate Board - 20 x 1220 x 2440mm, Veneer Poplar both Faces</v>
          </cell>
          <cell r="I1644">
            <v>2</v>
          </cell>
        </row>
        <row r="1645">
          <cell r="A1645" t="str">
            <v>B557770/A</v>
          </cell>
          <cell r="B1645" t="str">
            <v>CZ044NM10</v>
          </cell>
          <cell r="C1645">
            <v>2</v>
          </cell>
          <cell r="D1645">
            <v>778.27</v>
          </cell>
          <cell r="E1645">
            <v>1556.54</v>
          </cell>
          <cell r="F1645" t="str">
            <v>A4-S4</v>
          </cell>
          <cell r="G1645" t="str">
            <v>Dust board Panel  - Ván quét bụi</v>
          </cell>
          <cell r="H1645" t="str">
            <v>MDF - 06 x 1830 x 2440mm [CARB P2 Compliant]</v>
          </cell>
          <cell r="I1645">
            <v>2</v>
          </cell>
        </row>
        <row r="1646">
          <cell r="A1646" t="str">
            <v>B557770/A</v>
          </cell>
          <cell r="B1646" t="str">
            <v>CZ044NM10</v>
          </cell>
          <cell r="C1646">
            <v>2</v>
          </cell>
          <cell r="D1646">
            <v>778.27</v>
          </cell>
          <cell r="E1646">
            <v>1556.54</v>
          </cell>
          <cell r="F1646" t="str">
            <v>A5-S1</v>
          </cell>
          <cell r="G1646" t="str">
            <v xml:space="preserve">Drawer front - Mặt hộc kéo </v>
          </cell>
          <cell r="H1646" t="str">
            <v>MDF Veneer</v>
          </cell>
          <cell r="I1646">
            <v>4</v>
          </cell>
        </row>
        <row r="1647">
          <cell r="A1647" t="str">
            <v>B557770/A</v>
          </cell>
          <cell r="B1647" t="str">
            <v>CZ044NM10</v>
          </cell>
          <cell r="C1647">
            <v>2</v>
          </cell>
          <cell r="D1647">
            <v>778.27</v>
          </cell>
          <cell r="E1647">
            <v>1556.54</v>
          </cell>
          <cell r="F1647" t="str">
            <v>A5-S2</v>
          </cell>
          <cell r="G1647" t="str">
            <v>Drawer side - Hông hộc kéo</v>
          </cell>
          <cell r="H1647" t="str">
            <v>MDF-N - 12 x 1220 x 2440mm, Veneer Okoume 0.3mm Both Faces [CARB P2 Compliant]</v>
          </cell>
          <cell r="I1647">
            <v>20</v>
          </cell>
        </row>
        <row r="1648">
          <cell r="A1648" t="str">
            <v>B557770/A</v>
          </cell>
          <cell r="B1648" t="str">
            <v>CZ044NM10</v>
          </cell>
          <cell r="C1648">
            <v>2</v>
          </cell>
          <cell r="D1648">
            <v>778.27</v>
          </cell>
          <cell r="E1648">
            <v>1556.54</v>
          </cell>
          <cell r="F1648" t="str">
            <v>A5-S3</v>
          </cell>
          <cell r="G1648" t="str">
            <v>Drawer back 1 - hau hộc 1</v>
          </cell>
          <cell r="H1648" t="str">
            <v>MDF - 12 x 1220 x 2440mm, Veneer Okoume 0.3mm Both Faces [CARB P2 Compliant]</v>
          </cell>
          <cell r="I1648">
            <v>4</v>
          </cell>
        </row>
        <row r="1649">
          <cell r="A1649" t="str">
            <v>B557770/A</v>
          </cell>
          <cell r="B1649" t="str">
            <v>CZ044NM10</v>
          </cell>
          <cell r="C1649">
            <v>2</v>
          </cell>
          <cell r="D1649">
            <v>778.27</v>
          </cell>
          <cell r="E1649">
            <v>1556.54</v>
          </cell>
          <cell r="F1649" t="str">
            <v>A5-S4</v>
          </cell>
          <cell r="G1649" t="str">
            <v>Drawer bottom  - Đáy hộc kéo</v>
          </cell>
          <cell r="H1649" t="str">
            <v>MDF - 06 x 1220 x 2440mm, Veneer Okoume 0.3mm Both Faces [CARB P2 Compliant]</v>
          </cell>
          <cell r="I1649">
            <v>4</v>
          </cell>
        </row>
        <row r="1650">
          <cell r="A1650" t="str">
            <v>B557770/A</v>
          </cell>
          <cell r="B1650" t="str">
            <v>CZ044NM10</v>
          </cell>
          <cell r="C1650">
            <v>2</v>
          </cell>
          <cell r="D1650">
            <v>778.27</v>
          </cell>
          <cell r="E1650">
            <v>1556.54</v>
          </cell>
          <cell r="F1650" t="str">
            <v>A5-S5</v>
          </cell>
          <cell r="G1650" t="str">
            <v>Center rail - Đố giữa</v>
          </cell>
          <cell r="H1650" t="str">
            <v>Standard Wood - ALDER/ASPEN/LENGA/US POPLAR, 2 COM - T38 W120mm+ L2m+</v>
          </cell>
          <cell r="I1650">
            <v>16</v>
          </cell>
        </row>
        <row r="1651">
          <cell r="A1651" t="str">
            <v>B557770/A</v>
          </cell>
          <cell r="B1651" t="str">
            <v>CZ044NM10</v>
          </cell>
          <cell r="C1651">
            <v>2</v>
          </cell>
          <cell r="D1651">
            <v>778.27</v>
          </cell>
          <cell r="E1651">
            <v>1556.54</v>
          </cell>
          <cell r="F1651" t="str">
            <v>A6-S1</v>
          </cell>
          <cell r="G1651" t="str">
            <v xml:space="preserve">Drawer front - Mặt hộc kéo </v>
          </cell>
          <cell r="H1651" t="str">
            <v>MDF Veneer</v>
          </cell>
          <cell r="I1651">
            <v>6</v>
          </cell>
        </row>
        <row r="1652">
          <cell r="A1652" t="str">
            <v>B557770/A</v>
          </cell>
          <cell r="B1652" t="str">
            <v>CZ044NM10</v>
          </cell>
          <cell r="C1652">
            <v>2</v>
          </cell>
          <cell r="D1652">
            <v>778.27</v>
          </cell>
          <cell r="E1652">
            <v>1556.54</v>
          </cell>
          <cell r="F1652" t="str">
            <v>A6-S3</v>
          </cell>
          <cell r="G1652" t="str">
            <v>Drawer back - Hậu hộc kéo</v>
          </cell>
          <cell r="H1652" t="str">
            <v>MDF - 12 x 1220 x 2440mm, Veneer Okoume 0.3mm Both Faces [CARB P2 Compliant]</v>
          </cell>
          <cell r="I1652">
            <v>6</v>
          </cell>
        </row>
        <row r="1653">
          <cell r="A1653" t="str">
            <v>B557770/A</v>
          </cell>
          <cell r="B1653" t="str">
            <v>CZ044NM10</v>
          </cell>
          <cell r="C1653">
            <v>2</v>
          </cell>
          <cell r="D1653">
            <v>778.27</v>
          </cell>
          <cell r="E1653">
            <v>1556.54</v>
          </cell>
          <cell r="F1653" t="str">
            <v>A6-S4</v>
          </cell>
          <cell r="G1653" t="str">
            <v>Drawer bottom  - Đáy hộc kéo</v>
          </cell>
          <cell r="H1653" t="str">
            <v>MDF - 06 x 1220 x 2440mm, Veneer Okoume 0.3mm Both Faces [CARB P2 Compliant]</v>
          </cell>
          <cell r="I1653">
            <v>6</v>
          </cell>
        </row>
        <row r="1654">
          <cell r="A1654" t="str">
            <v>B557770/A</v>
          </cell>
          <cell r="B1654" t="str">
            <v>CZ044NM10</v>
          </cell>
          <cell r="C1654">
            <v>2</v>
          </cell>
          <cell r="D1654">
            <v>778.27</v>
          </cell>
          <cell r="E1654">
            <v>1556.54</v>
          </cell>
          <cell r="F1654" t="str">
            <v>P01</v>
          </cell>
          <cell r="G1654" t="str">
            <v>Front top rail  - Đố tiền nóc</v>
          </cell>
          <cell r="H1654" t="str">
            <v>Wood Rubber Laminate Board - 20 x 1220 x 2440mm, Veneer Poplar both Faces</v>
          </cell>
          <cell r="I1654">
            <v>2</v>
          </cell>
        </row>
        <row r="1655">
          <cell r="A1655" t="str">
            <v>B557770/A</v>
          </cell>
          <cell r="B1655" t="str">
            <v>CZ044NM10</v>
          </cell>
          <cell r="C1655">
            <v>2</v>
          </cell>
          <cell r="D1655">
            <v>778.27</v>
          </cell>
          <cell r="E1655">
            <v>1556.54</v>
          </cell>
          <cell r="F1655" t="str">
            <v>P02</v>
          </cell>
          <cell r="G1655" t="str">
            <v>Back rail with note finger - đố hậu</v>
          </cell>
          <cell r="H1655" t="str">
            <v>Wood Rubber Laminate Board - 20 x 1220 x 2440mm, Veneer Poplar both Faces</v>
          </cell>
          <cell r="I1655">
            <v>2</v>
          </cell>
        </row>
        <row r="1656">
          <cell r="A1656" t="str">
            <v>B557770/A</v>
          </cell>
          <cell r="B1656" t="str">
            <v>CZ044NM10</v>
          </cell>
          <cell r="C1656">
            <v>2</v>
          </cell>
          <cell r="D1656">
            <v>778.27</v>
          </cell>
          <cell r="E1656">
            <v>1556.54</v>
          </cell>
          <cell r="F1656" t="str">
            <v>P03</v>
          </cell>
          <cell r="G1656" t="str">
            <v xml:space="preserve">Top panel  - Ván nóc </v>
          </cell>
          <cell r="H1656" t="str">
            <v>MDF - 15 x 1830 x 2440mm [CARB P2 Compliant]</v>
          </cell>
          <cell r="I1656">
            <v>2</v>
          </cell>
        </row>
        <row r="1657">
          <cell r="A1657" t="str">
            <v>B557770/A</v>
          </cell>
          <cell r="B1657" t="str">
            <v>CZ044NM10</v>
          </cell>
          <cell r="C1657">
            <v>2</v>
          </cell>
          <cell r="D1657">
            <v>778.27</v>
          </cell>
          <cell r="E1657">
            <v>1556.54</v>
          </cell>
          <cell r="F1657" t="str">
            <v>P09</v>
          </cell>
          <cell r="G1657" t="str">
            <v>Partition panel - Vách ngăn</v>
          </cell>
          <cell r="H1657" t="str">
            <v>MDF - 18 x 1830 x 2440mm [CARB P2 Compliant]</v>
          </cell>
          <cell r="I1657">
            <v>2</v>
          </cell>
        </row>
        <row r="1658">
          <cell r="A1658" t="str">
            <v>B557770/A</v>
          </cell>
          <cell r="B1658" t="str">
            <v>CZ044NM10</v>
          </cell>
          <cell r="C1658">
            <v>2</v>
          </cell>
          <cell r="D1658">
            <v>778.27</v>
          </cell>
          <cell r="E1658">
            <v>1556.54</v>
          </cell>
          <cell r="F1658" t="str">
            <v>P10</v>
          </cell>
          <cell r="G1658" t="str">
            <v>Back panel - Ván hậu</v>
          </cell>
          <cell r="H1658" t="str">
            <v>MDF Veneer</v>
          </cell>
          <cell r="I1658">
            <v>2</v>
          </cell>
        </row>
        <row r="1659">
          <cell r="A1659" t="str">
            <v>B557770/A</v>
          </cell>
          <cell r="B1659" t="str">
            <v>CZ044NM10</v>
          </cell>
          <cell r="C1659">
            <v>2</v>
          </cell>
          <cell r="D1659">
            <v>778.27</v>
          </cell>
          <cell r="E1659">
            <v>1556.54</v>
          </cell>
          <cell r="F1659" t="str">
            <v>P11</v>
          </cell>
          <cell r="G1659" t="str">
            <v>Corner block - ke góc</v>
          </cell>
          <cell r="H1659" t="str">
            <v>Poplar off cut</v>
          </cell>
          <cell r="I1659">
            <v>4</v>
          </cell>
        </row>
        <row r="1660">
          <cell r="A1660" t="str">
            <v>B557770/A</v>
          </cell>
          <cell r="B1660" t="str">
            <v>CZ044NM10</v>
          </cell>
          <cell r="C1660">
            <v>2</v>
          </cell>
          <cell r="D1660">
            <v>778.27</v>
          </cell>
          <cell r="E1660">
            <v>1556.54</v>
          </cell>
          <cell r="F1660" t="str">
            <v>P12</v>
          </cell>
          <cell r="G1660" t="str">
            <v>Drawer stop - Dừng hộc</v>
          </cell>
          <cell r="H1660" t="str">
            <v>Poplar off cut</v>
          </cell>
          <cell r="I1660">
            <v>20</v>
          </cell>
        </row>
        <row r="1661">
          <cell r="A1661" t="str">
            <v>B557770/A</v>
          </cell>
          <cell r="B1661" t="str">
            <v>CZ044NM10</v>
          </cell>
          <cell r="C1661">
            <v>2</v>
          </cell>
          <cell r="D1661">
            <v>778.27</v>
          </cell>
          <cell r="E1661">
            <v>1556.54</v>
          </cell>
          <cell r="F1661" t="str">
            <v>P14</v>
          </cell>
          <cell r="G1661" t="str">
            <v>Spline - Lưỡi gà</v>
          </cell>
          <cell r="H1661" t="str">
            <v>Plywood LVD - 06 x 1220 x 2440mm, Bleached Poplar Veneer Both Sides [CARB P2 Compliant]</v>
          </cell>
          <cell r="I1661">
            <v>4</v>
          </cell>
        </row>
        <row r="1662">
          <cell r="A1662" t="str">
            <v>B557770/A</v>
          </cell>
          <cell r="B1662" t="str">
            <v>CZ044NM10</v>
          </cell>
          <cell r="C1662">
            <v>2</v>
          </cell>
          <cell r="D1662">
            <v>778.27</v>
          </cell>
          <cell r="E1662">
            <v>1556.54</v>
          </cell>
          <cell r="F1662" t="str">
            <v>P15</v>
          </cell>
          <cell r="G1662" t="str">
            <v>Spline - Lưỡi gà</v>
          </cell>
          <cell r="H1662" t="str">
            <v>Plywood LVD - 06 x 1220 x 2440mm, Bleached Poplar Veneer Both Sides [CARB P2 Compliant]</v>
          </cell>
          <cell r="I1662">
            <v>2</v>
          </cell>
        </row>
        <row r="1663">
          <cell r="A1663" t="str">
            <v>B557770/A</v>
          </cell>
          <cell r="B1663" t="str">
            <v>CZ044NM10</v>
          </cell>
          <cell r="C1663">
            <v>2</v>
          </cell>
          <cell r="D1663">
            <v>778.27</v>
          </cell>
          <cell r="E1663">
            <v>1556.54</v>
          </cell>
          <cell r="F1663" t="str">
            <v>P16</v>
          </cell>
          <cell r="G1663" t="str">
            <v>Cleat - Bọ gỗ</v>
          </cell>
          <cell r="H1663" t="str">
            <v>Wood Rubber Laminate Board - 20 x 1220 x 2440mm, Veneer Poplar both Faces</v>
          </cell>
          <cell r="I1663">
            <v>4</v>
          </cell>
        </row>
        <row r="1664">
          <cell r="A1664" t="str">
            <v>B557770/A</v>
          </cell>
          <cell r="B1664" t="str">
            <v>CZ044NM10</v>
          </cell>
          <cell r="C1664">
            <v>2</v>
          </cell>
          <cell r="D1664">
            <v>778.27</v>
          </cell>
          <cell r="E1664">
            <v>1556.54</v>
          </cell>
          <cell r="F1664" t="str">
            <v>P17</v>
          </cell>
          <cell r="G1664" t="str">
            <v>Cleat - Bọ gỗ</v>
          </cell>
          <cell r="H1664" t="str">
            <v>Wood Rubber Laminate Board - 20 x 1220 x 2440mm, Veneer Poplar both Faces</v>
          </cell>
          <cell r="I1664">
            <v>4</v>
          </cell>
        </row>
        <row r="1665">
          <cell r="A1665" t="str">
            <v>B557770/A</v>
          </cell>
          <cell r="B1665" t="str">
            <v>CZ044NM10</v>
          </cell>
          <cell r="C1665">
            <v>2</v>
          </cell>
          <cell r="D1665">
            <v>778.27</v>
          </cell>
          <cell r="E1665">
            <v>1556.54</v>
          </cell>
          <cell r="F1665" t="str">
            <v>P18</v>
          </cell>
          <cell r="G1665" t="str">
            <v>Front rail  - Đố tiền</v>
          </cell>
          <cell r="H1665" t="str">
            <v>Wood Rubber Laminate Board - 20 x 1220 x 2440mm, Veneer Poplar both Faces</v>
          </cell>
          <cell r="I1665">
            <v>4</v>
          </cell>
        </row>
        <row r="1666">
          <cell r="A1666" t="str">
            <v>B557770/A</v>
          </cell>
          <cell r="B1666" t="str">
            <v>CZ044NM10</v>
          </cell>
          <cell r="C1666">
            <v>2</v>
          </cell>
          <cell r="D1666">
            <v>778.27</v>
          </cell>
          <cell r="E1666">
            <v>1556.54</v>
          </cell>
          <cell r="F1666" t="str">
            <v>P19</v>
          </cell>
          <cell r="G1666" t="str">
            <v>Cleat - Bọ gỗ</v>
          </cell>
          <cell r="H1666" t="str">
            <v>Wood Rubber Laminate Board - 20 x 1220 x 2440mm, Veneer Poplar both Faces</v>
          </cell>
          <cell r="I1666">
            <v>4</v>
          </cell>
        </row>
        <row r="1667">
          <cell r="A1667" t="str">
            <v>B557770/A</v>
          </cell>
          <cell r="B1667" t="str">
            <v>CZ044NM10</v>
          </cell>
          <cell r="C1667">
            <v>2</v>
          </cell>
          <cell r="D1667">
            <v>778.27</v>
          </cell>
          <cell r="E1667">
            <v>1556.54</v>
          </cell>
          <cell r="F1667" t="str">
            <v>P20</v>
          </cell>
          <cell r="G1667" t="str">
            <v xml:space="preserve">Panel - Ván </v>
          </cell>
          <cell r="H1667" t="str">
            <v>Cement Board - 18 x 1220 x 2440mm, Dark Grey</v>
          </cell>
          <cell r="I1667">
            <v>2</v>
          </cell>
        </row>
        <row r="1668">
          <cell r="A1668" t="str">
            <v>B557771/A</v>
          </cell>
          <cell r="B1668" t="str">
            <v>CZ044NM10</v>
          </cell>
          <cell r="C1668">
            <v>2</v>
          </cell>
          <cell r="D1668">
            <v>778.27</v>
          </cell>
          <cell r="E1668">
            <v>1556.54</v>
          </cell>
          <cell r="F1668" t="str">
            <v>A1-S1</v>
          </cell>
          <cell r="G1668" t="str">
            <v>Front Vertical rail  - Trụ tiền</v>
          </cell>
          <cell r="H1668" t="str">
            <v>Pre-Assembly</v>
          </cell>
          <cell r="I1668">
            <v>4</v>
          </cell>
        </row>
        <row r="1669">
          <cell r="A1669" t="str">
            <v>B557771/A</v>
          </cell>
          <cell r="B1669" t="str">
            <v>CZ044NM10</v>
          </cell>
          <cell r="C1669">
            <v>2</v>
          </cell>
          <cell r="D1669">
            <v>778.27</v>
          </cell>
          <cell r="E1669">
            <v>1556.54</v>
          </cell>
          <cell r="F1669" t="str">
            <v>A1-S1-1</v>
          </cell>
          <cell r="G1669" t="str">
            <v>Wood laminater - Gỗ ghép 1</v>
          </cell>
          <cell r="H1669" t="str">
            <v>Standard Wood - ALDER/ASPEN/LENGA/US POPLAR, 2 COM - T25 W120mm+ L2m+</v>
          </cell>
          <cell r="I1669">
            <v>4</v>
          </cell>
        </row>
        <row r="1670">
          <cell r="A1670" t="str">
            <v>B557771/A</v>
          </cell>
          <cell r="B1670" t="str">
            <v>CZ044NM10</v>
          </cell>
          <cell r="C1670">
            <v>2</v>
          </cell>
          <cell r="D1670">
            <v>778.27</v>
          </cell>
          <cell r="E1670">
            <v>1556.54</v>
          </cell>
          <cell r="F1670" t="str">
            <v>A1-S1-2</v>
          </cell>
          <cell r="G1670" t="str">
            <v>Wood laminater - Gỗ ghép 1</v>
          </cell>
          <cell r="H1670" t="str">
            <v>Standard wood</v>
          </cell>
          <cell r="I1670">
            <v>4</v>
          </cell>
        </row>
        <row r="1671">
          <cell r="A1671" t="str">
            <v>B557771/A</v>
          </cell>
          <cell r="B1671" t="str">
            <v>CZ044NM10</v>
          </cell>
          <cell r="C1671">
            <v>2</v>
          </cell>
          <cell r="D1671">
            <v>778.27</v>
          </cell>
          <cell r="E1671">
            <v>1556.54</v>
          </cell>
          <cell r="F1671" t="str">
            <v>A1-S2</v>
          </cell>
          <cell r="G1671" t="str">
            <v>Back leg - Chân hậu</v>
          </cell>
          <cell r="H1671" t="str">
            <v>Beech 2 COM</v>
          </cell>
          <cell r="I1671">
            <v>4</v>
          </cell>
        </row>
        <row r="1672">
          <cell r="A1672" t="str">
            <v>B557771/A</v>
          </cell>
          <cell r="B1672" t="str">
            <v>CZ044NM10</v>
          </cell>
          <cell r="C1672">
            <v>2</v>
          </cell>
          <cell r="D1672">
            <v>778.27</v>
          </cell>
          <cell r="E1672">
            <v>1556.54</v>
          </cell>
          <cell r="F1672" t="str">
            <v>A1-S3</v>
          </cell>
          <cell r="G1672" t="str">
            <v xml:space="preserve">Side panel  - Ván hông </v>
          </cell>
          <cell r="H1672" t="str">
            <v>MDF - 15 x 1830 x 2440mm [CARB P2 Compliant]</v>
          </cell>
          <cell r="I1672">
            <v>4</v>
          </cell>
        </row>
        <row r="1673">
          <cell r="A1673" t="str">
            <v>B557771/A</v>
          </cell>
          <cell r="B1673" t="str">
            <v>CZ044NM10</v>
          </cell>
          <cell r="C1673">
            <v>2</v>
          </cell>
          <cell r="D1673">
            <v>778.27</v>
          </cell>
          <cell r="E1673">
            <v>1556.54</v>
          </cell>
          <cell r="F1673" t="str">
            <v>A1-S4</v>
          </cell>
          <cell r="G1673" t="str">
            <v xml:space="preserve">Side rail  - Đố hông </v>
          </cell>
          <cell r="H1673" t="str">
            <v>Pre-Assembly</v>
          </cell>
          <cell r="I1673">
            <v>16</v>
          </cell>
        </row>
        <row r="1674">
          <cell r="A1674" t="str">
            <v>B557771/A</v>
          </cell>
          <cell r="B1674" t="str">
            <v>CZ044NM10</v>
          </cell>
          <cell r="C1674">
            <v>2</v>
          </cell>
          <cell r="D1674">
            <v>778.27</v>
          </cell>
          <cell r="E1674">
            <v>1556.54</v>
          </cell>
          <cell r="F1674" t="str">
            <v>A1-S4-1</v>
          </cell>
          <cell r="G1674" t="str">
            <v xml:space="preserve">Side rail  - Đố hông </v>
          </cell>
          <cell r="H1674" t="str">
            <v>Standard Wood - ALDER/ASPEN/LENGA/US POPLAR, 2 COM - T25 W120mm+ L2m+</v>
          </cell>
          <cell r="I1674">
            <v>16</v>
          </cell>
        </row>
        <row r="1675">
          <cell r="A1675" t="str">
            <v>B557771/A</v>
          </cell>
          <cell r="B1675" t="str">
            <v>CZ044NM10</v>
          </cell>
          <cell r="C1675">
            <v>2</v>
          </cell>
          <cell r="D1675">
            <v>778.27</v>
          </cell>
          <cell r="E1675">
            <v>1556.54</v>
          </cell>
          <cell r="F1675" t="str">
            <v>A1-S4-2</v>
          </cell>
          <cell r="G1675" t="str">
            <v>Patching wood - Gỗ đắp</v>
          </cell>
          <cell r="H1675" t="str">
            <v>wood off cut</v>
          </cell>
          <cell r="I1675">
            <v>32</v>
          </cell>
        </row>
        <row r="1676">
          <cell r="A1676" t="str">
            <v>B557771/A</v>
          </cell>
          <cell r="B1676" t="str">
            <v>CZ044NM10</v>
          </cell>
          <cell r="C1676">
            <v>2</v>
          </cell>
          <cell r="D1676">
            <v>778.27</v>
          </cell>
          <cell r="E1676">
            <v>1556.54</v>
          </cell>
          <cell r="F1676" t="str">
            <v>A2-S1</v>
          </cell>
          <cell r="G1676" t="str">
            <v>Front rail  - Đố tiền</v>
          </cell>
          <cell r="H1676" t="str">
            <v>Wood Rubber Laminate Board - 20 x 1220 x 2440mm, Veneer Poplar both Faces</v>
          </cell>
          <cell r="I1676">
            <v>4</v>
          </cell>
        </row>
        <row r="1677">
          <cell r="A1677" t="str">
            <v>B557771/A</v>
          </cell>
          <cell r="B1677" t="str">
            <v>CZ044NM10</v>
          </cell>
          <cell r="C1677">
            <v>2</v>
          </cell>
          <cell r="D1677">
            <v>778.27</v>
          </cell>
          <cell r="E1677">
            <v>1556.54</v>
          </cell>
          <cell r="F1677" t="str">
            <v>A2-S2</v>
          </cell>
          <cell r="G1677" t="str">
            <v>center rail with note - đố giữa</v>
          </cell>
          <cell r="H1677" t="str">
            <v>Wood Rubber Laminate Board - 20 x 1220 x 2440mm, Veneer Poplar both Faces</v>
          </cell>
          <cell r="I1677">
            <v>2</v>
          </cell>
        </row>
        <row r="1678">
          <cell r="A1678" t="str">
            <v>B557771/A</v>
          </cell>
          <cell r="B1678" t="str">
            <v>CZ044NM10</v>
          </cell>
          <cell r="C1678">
            <v>2</v>
          </cell>
          <cell r="D1678">
            <v>778.27</v>
          </cell>
          <cell r="E1678">
            <v>1556.54</v>
          </cell>
          <cell r="F1678" t="str">
            <v>A4-S1</v>
          </cell>
          <cell r="G1678" t="str">
            <v>Front Bottom Rail  - Đố đáy trước</v>
          </cell>
          <cell r="H1678" t="str">
            <v>Wood Rubber Laminate Board - 20 x 1220 x 2440mm, Veneer Poplar both Faces</v>
          </cell>
          <cell r="I1678">
            <v>2</v>
          </cell>
        </row>
        <row r="1679">
          <cell r="A1679" t="str">
            <v>B557771/A</v>
          </cell>
          <cell r="B1679" t="str">
            <v>CZ044NM10</v>
          </cell>
          <cell r="C1679">
            <v>2</v>
          </cell>
          <cell r="D1679">
            <v>778.27</v>
          </cell>
          <cell r="E1679">
            <v>1556.54</v>
          </cell>
          <cell r="F1679" t="str">
            <v>A4-S1-1</v>
          </cell>
          <cell r="G1679" t="str">
            <v>Front Bottom Rail  - Đố đáy trước</v>
          </cell>
          <cell r="H1679" t="str">
            <v>Wood Rubber Laminate Board - 20 x 1220 x 2440mm, Veneer Poplar both Faces</v>
          </cell>
          <cell r="I1679">
            <v>2</v>
          </cell>
        </row>
        <row r="1680">
          <cell r="A1680" t="str">
            <v>B557771/A</v>
          </cell>
          <cell r="B1680" t="str">
            <v>CZ044NM10</v>
          </cell>
          <cell r="C1680">
            <v>2</v>
          </cell>
          <cell r="D1680">
            <v>778.27</v>
          </cell>
          <cell r="E1680">
            <v>1556.54</v>
          </cell>
          <cell r="F1680" t="str">
            <v>A4-S3</v>
          </cell>
          <cell r="G1680" t="str">
            <v>center rail with note - đố giữa</v>
          </cell>
          <cell r="H1680" t="str">
            <v>Wood Rubber Laminate Board - 20 x 1220 x 2440mm, Veneer Poplar both Faces</v>
          </cell>
          <cell r="I1680">
            <v>2</v>
          </cell>
        </row>
        <row r="1681">
          <cell r="A1681" t="str">
            <v>B557771/A</v>
          </cell>
          <cell r="B1681" t="str">
            <v>CZ044NM10</v>
          </cell>
          <cell r="C1681">
            <v>2</v>
          </cell>
          <cell r="D1681">
            <v>778.27</v>
          </cell>
          <cell r="E1681">
            <v>1556.54</v>
          </cell>
          <cell r="F1681" t="str">
            <v>A4-S4</v>
          </cell>
          <cell r="G1681" t="str">
            <v>Dust board Panel  - Ván quét bụi</v>
          </cell>
          <cell r="H1681" t="str">
            <v>MDF - 06 x 1830 x 2440mm [CARB P2 Compliant]</v>
          </cell>
          <cell r="I1681">
            <v>2</v>
          </cell>
        </row>
        <row r="1682">
          <cell r="A1682" t="str">
            <v>B557771/A</v>
          </cell>
          <cell r="B1682" t="str">
            <v>CZ044NM10</v>
          </cell>
          <cell r="C1682">
            <v>2</v>
          </cell>
          <cell r="D1682">
            <v>778.27</v>
          </cell>
          <cell r="E1682">
            <v>1556.54</v>
          </cell>
          <cell r="F1682" t="str">
            <v>A5-S1</v>
          </cell>
          <cell r="G1682" t="str">
            <v xml:space="preserve">Drawer front - Mặt hộc kéo </v>
          </cell>
          <cell r="H1682" t="str">
            <v>MDF Veneer</v>
          </cell>
          <cell r="I1682">
            <v>4</v>
          </cell>
        </row>
        <row r="1683">
          <cell r="A1683" t="str">
            <v>B557771/A</v>
          </cell>
          <cell r="B1683" t="str">
            <v>CZ044NM10</v>
          </cell>
          <cell r="C1683">
            <v>2</v>
          </cell>
          <cell r="D1683">
            <v>778.27</v>
          </cell>
          <cell r="E1683">
            <v>1556.54</v>
          </cell>
          <cell r="F1683" t="str">
            <v>A5-S2</v>
          </cell>
          <cell r="G1683" t="str">
            <v>Drawer side - Hông hộc kéo</v>
          </cell>
          <cell r="H1683" t="str">
            <v>MDF-N - 12 x 1220 x 2440mm, Veneer Okoume 0.3mm Both Faces [CARB P2 Compliant]</v>
          </cell>
          <cell r="I1683">
            <v>20</v>
          </cell>
        </row>
        <row r="1684">
          <cell r="A1684" t="str">
            <v>B557771/A</v>
          </cell>
          <cell r="B1684" t="str">
            <v>CZ044NM10</v>
          </cell>
          <cell r="C1684">
            <v>2</v>
          </cell>
          <cell r="D1684">
            <v>778.27</v>
          </cell>
          <cell r="E1684">
            <v>1556.54</v>
          </cell>
          <cell r="F1684" t="str">
            <v>A5-S3</v>
          </cell>
          <cell r="G1684" t="str">
            <v>Drawer back 1 - hau hộc 1</v>
          </cell>
          <cell r="H1684" t="str">
            <v>MDF - 12 x 1220 x 2440mm, Veneer Okoume 0.3mm Both Faces [CARB P2 Compliant]</v>
          </cell>
          <cell r="I1684">
            <v>4</v>
          </cell>
        </row>
        <row r="1685">
          <cell r="A1685" t="str">
            <v>B557771/A</v>
          </cell>
          <cell r="B1685" t="str">
            <v>CZ044NM10</v>
          </cell>
          <cell r="C1685">
            <v>2</v>
          </cell>
          <cell r="D1685">
            <v>778.27</v>
          </cell>
          <cell r="E1685">
            <v>1556.54</v>
          </cell>
          <cell r="F1685" t="str">
            <v>A5-S4</v>
          </cell>
          <cell r="G1685" t="str">
            <v>Drawer bottom  - Đáy hộc kéo</v>
          </cell>
          <cell r="H1685" t="str">
            <v>MDF - 06 x 1220 x 2440mm, Veneer Okoume 0.3mm Both Faces [CARB P2 Compliant]</v>
          </cell>
          <cell r="I1685">
            <v>4</v>
          </cell>
        </row>
        <row r="1686">
          <cell r="A1686" t="str">
            <v>B557771/A</v>
          </cell>
          <cell r="B1686" t="str">
            <v>CZ044NM10</v>
          </cell>
          <cell r="C1686">
            <v>2</v>
          </cell>
          <cell r="D1686">
            <v>778.27</v>
          </cell>
          <cell r="E1686">
            <v>1556.54</v>
          </cell>
          <cell r="F1686" t="str">
            <v>A5-S5</v>
          </cell>
          <cell r="G1686" t="str">
            <v>Center rail - Đố giữa</v>
          </cell>
          <cell r="H1686" t="str">
            <v>Standard Wood - ALDER/ASPEN/LENGA/US POPLAR, 2 COM - T38 W120mm+ L2m+</v>
          </cell>
          <cell r="I1686">
            <v>16</v>
          </cell>
        </row>
        <row r="1687">
          <cell r="A1687" t="str">
            <v>B557771/A</v>
          </cell>
          <cell r="B1687" t="str">
            <v>CZ044NM10</v>
          </cell>
          <cell r="C1687">
            <v>2</v>
          </cell>
          <cell r="D1687">
            <v>778.27</v>
          </cell>
          <cell r="E1687">
            <v>1556.54</v>
          </cell>
          <cell r="F1687" t="str">
            <v>A6-S1</v>
          </cell>
          <cell r="G1687" t="str">
            <v xml:space="preserve">Drawer front - Mặt hộc kéo </v>
          </cell>
          <cell r="H1687" t="str">
            <v>MDF Veneer</v>
          </cell>
          <cell r="I1687">
            <v>6</v>
          </cell>
        </row>
        <row r="1688">
          <cell r="A1688" t="str">
            <v>B557771/A</v>
          </cell>
          <cell r="B1688" t="str">
            <v>CZ044NM10</v>
          </cell>
          <cell r="C1688">
            <v>2</v>
          </cell>
          <cell r="D1688">
            <v>778.27</v>
          </cell>
          <cell r="E1688">
            <v>1556.54</v>
          </cell>
          <cell r="F1688" t="str">
            <v>A6-S3</v>
          </cell>
          <cell r="G1688" t="str">
            <v>Drawer back - Hậu hộc kéo</v>
          </cell>
          <cell r="H1688" t="str">
            <v>MDF - 12 x 1220 x 2440mm, Veneer Okoume 0.3mm Both Faces [CARB P2 Compliant]</v>
          </cell>
          <cell r="I1688">
            <v>6</v>
          </cell>
        </row>
        <row r="1689">
          <cell r="A1689" t="str">
            <v>B557771/A</v>
          </cell>
          <cell r="B1689" t="str">
            <v>CZ044NM10</v>
          </cell>
          <cell r="C1689">
            <v>2</v>
          </cell>
          <cell r="D1689">
            <v>778.27</v>
          </cell>
          <cell r="E1689">
            <v>1556.54</v>
          </cell>
          <cell r="F1689" t="str">
            <v>A6-S4</v>
          </cell>
          <cell r="G1689" t="str">
            <v>Drawer bottom  - Đáy hộc kéo</v>
          </cell>
          <cell r="H1689" t="str">
            <v>MDF - 06 x 1220 x 2440mm, Veneer Okoume 0.3mm Both Faces [CARB P2 Compliant]</v>
          </cell>
          <cell r="I1689">
            <v>6</v>
          </cell>
        </row>
        <row r="1690">
          <cell r="A1690" t="str">
            <v>B557771/A</v>
          </cell>
          <cell r="B1690" t="str">
            <v>CZ044NM10</v>
          </cell>
          <cell r="C1690">
            <v>2</v>
          </cell>
          <cell r="D1690">
            <v>778.27</v>
          </cell>
          <cell r="E1690">
            <v>1556.54</v>
          </cell>
          <cell r="F1690" t="str">
            <v>P01</v>
          </cell>
          <cell r="G1690" t="str">
            <v>Front top rail  - Đố tiền nóc</v>
          </cell>
          <cell r="H1690" t="str">
            <v>Wood Rubber Laminate Board - 20 x 1220 x 2440mm, Veneer Poplar both Faces</v>
          </cell>
          <cell r="I1690">
            <v>2</v>
          </cell>
        </row>
        <row r="1691">
          <cell r="A1691" t="str">
            <v>B557771/A</v>
          </cell>
          <cell r="B1691" t="str">
            <v>CZ044NM10</v>
          </cell>
          <cell r="C1691">
            <v>2</v>
          </cell>
          <cell r="D1691">
            <v>778.27</v>
          </cell>
          <cell r="E1691">
            <v>1556.54</v>
          </cell>
          <cell r="F1691" t="str">
            <v>P02</v>
          </cell>
          <cell r="G1691" t="str">
            <v>Back rail with note finger - đố hậu</v>
          </cell>
          <cell r="H1691" t="str">
            <v>Wood Rubber Laminate Board - 20 x 1220 x 2440mm, Veneer Poplar both Faces</v>
          </cell>
          <cell r="I1691">
            <v>2</v>
          </cell>
        </row>
        <row r="1692">
          <cell r="A1692" t="str">
            <v>B557771/A</v>
          </cell>
          <cell r="B1692" t="str">
            <v>CZ044NM10</v>
          </cell>
          <cell r="C1692">
            <v>2</v>
          </cell>
          <cell r="D1692">
            <v>778.27</v>
          </cell>
          <cell r="E1692">
            <v>1556.54</v>
          </cell>
          <cell r="F1692" t="str">
            <v>P03</v>
          </cell>
          <cell r="G1692" t="str">
            <v xml:space="preserve">Top panel  - Ván nóc </v>
          </cell>
          <cell r="H1692" t="str">
            <v>MDF - 15 x 1830 x 2440mm [CARB P2 Compliant]</v>
          </cell>
          <cell r="I1692">
            <v>2</v>
          </cell>
        </row>
        <row r="1693">
          <cell r="A1693" t="str">
            <v>B557771/A</v>
          </cell>
          <cell r="B1693" t="str">
            <v>CZ044NM10</v>
          </cell>
          <cell r="C1693">
            <v>2</v>
          </cell>
          <cell r="D1693">
            <v>778.27</v>
          </cell>
          <cell r="E1693">
            <v>1556.54</v>
          </cell>
          <cell r="F1693" t="str">
            <v>P09</v>
          </cell>
          <cell r="G1693" t="str">
            <v>Partition panel - Vách ngăn</v>
          </cell>
          <cell r="H1693" t="str">
            <v>MDF - 18 x 1830 x 2440mm [CARB P2 Compliant]</v>
          </cell>
          <cell r="I1693">
            <v>2</v>
          </cell>
        </row>
        <row r="1694">
          <cell r="A1694" t="str">
            <v>B557771/A</v>
          </cell>
          <cell r="B1694" t="str">
            <v>CZ044NM10</v>
          </cell>
          <cell r="C1694">
            <v>2</v>
          </cell>
          <cell r="D1694">
            <v>778.27</v>
          </cell>
          <cell r="E1694">
            <v>1556.54</v>
          </cell>
          <cell r="F1694" t="str">
            <v>P10</v>
          </cell>
          <cell r="G1694" t="str">
            <v>Back panel - Ván hậu</v>
          </cell>
          <cell r="H1694" t="str">
            <v>MDF Veneer</v>
          </cell>
          <cell r="I1694">
            <v>2</v>
          </cell>
        </row>
        <row r="1695">
          <cell r="A1695" t="str">
            <v>B557771/A</v>
          </cell>
          <cell r="B1695" t="str">
            <v>CZ044NM10</v>
          </cell>
          <cell r="C1695">
            <v>2</v>
          </cell>
          <cell r="D1695">
            <v>778.27</v>
          </cell>
          <cell r="E1695">
            <v>1556.54</v>
          </cell>
          <cell r="F1695" t="str">
            <v>P11</v>
          </cell>
          <cell r="G1695" t="str">
            <v>Corner block - ke góc</v>
          </cell>
          <cell r="H1695" t="str">
            <v>Poplar off cut</v>
          </cell>
          <cell r="I1695">
            <v>4</v>
          </cell>
        </row>
        <row r="1696">
          <cell r="A1696" t="str">
            <v>B557771/A</v>
          </cell>
          <cell r="B1696" t="str">
            <v>CZ044NM10</v>
          </cell>
          <cell r="C1696">
            <v>2</v>
          </cell>
          <cell r="D1696">
            <v>778.27</v>
          </cell>
          <cell r="E1696">
            <v>1556.54</v>
          </cell>
          <cell r="F1696" t="str">
            <v>P12</v>
          </cell>
          <cell r="G1696" t="str">
            <v>Drawer stop - Dừng hộc</v>
          </cell>
          <cell r="H1696" t="str">
            <v>Poplar off cut</v>
          </cell>
          <cell r="I1696">
            <v>20</v>
          </cell>
        </row>
        <row r="1697">
          <cell r="A1697" t="str">
            <v>B557771/A</v>
          </cell>
          <cell r="B1697" t="str">
            <v>CZ044NM10</v>
          </cell>
          <cell r="C1697">
            <v>2</v>
          </cell>
          <cell r="D1697">
            <v>778.27</v>
          </cell>
          <cell r="E1697">
            <v>1556.54</v>
          </cell>
          <cell r="F1697" t="str">
            <v>P14</v>
          </cell>
          <cell r="G1697" t="str">
            <v>Spline - Lưỡi gà</v>
          </cell>
          <cell r="H1697" t="str">
            <v>Plywood LVD - 06 x 1220 x 2440mm, Bleached Poplar Veneer Both Sides [CARB P2 Compliant]</v>
          </cell>
          <cell r="I1697">
            <v>4</v>
          </cell>
        </row>
        <row r="1698">
          <cell r="A1698" t="str">
            <v>B557771/A</v>
          </cell>
          <cell r="B1698" t="str">
            <v>CZ044NM10</v>
          </cell>
          <cell r="C1698">
            <v>2</v>
          </cell>
          <cell r="D1698">
            <v>778.27</v>
          </cell>
          <cell r="E1698">
            <v>1556.54</v>
          </cell>
          <cell r="F1698" t="str">
            <v>P15</v>
          </cell>
          <cell r="G1698" t="str">
            <v>Spline - Lưỡi gà</v>
          </cell>
          <cell r="H1698" t="str">
            <v>Plywood LVD - 06 x 1220 x 2440mm, Bleached Poplar Veneer Both Sides [CARB P2 Compliant]</v>
          </cell>
          <cell r="I1698">
            <v>2</v>
          </cell>
        </row>
        <row r="1699">
          <cell r="A1699" t="str">
            <v>B557771/A</v>
          </cell>
          <cell r="B1699" t="str">
            <v>CZ044NM10</v>
          </cell>
          <cell r="C1699">
            <v>2</v>
          </cell>
          <cell r="D1699">
            <v>778.27</v>
          </cell>
          <cell r="E1699">
            <v>1556.54</v>
          </cell>
          <cell r="F1699" t="str">
            <v>P16</v>
          </cell>
          <cell r="G1699" t="str">
            <v>Cleat - Bọ gỗ</v>
          </cell>
          <cell r="H1699" t="str">
            <v>Wood Rubber Laminate Board - 20 x 1220 x 2440mm, Veneer Poplar both Faces</v>
          </cell>
          <cell r="I1699">
            <v>4</v>
          </cell>
        </row>
        <row r="1700">
          <cell r="A1700" t="str">
            <v>B557771/A</v>
          </cell>
          <cell r="B1700" t="str">
            <v>CZ044NM10</v>
          </cell>
          <cell r="C1700">
            <v>2</v>
          </cell>
          <cell r="D1700">
            <v>778.27</v>
          </cell>
          <cell r="E1700">
            <v>1556.54</v>
          </cell>
          <cell r="F1700" t="str">
            <v>P17</v>
          </cell>
          <cell r="G1700" t="str">
            <v>Cleat - Bọ gỗ</v>
          </cell>
          <cell r="H1700" t="str">
            <v>Wood Rubber Laminate Board - 20 x 1220 x 2440mm, Veneer Poplar both Faces</v>
          </cell>
          <cell r="I1700">
            <v>4</v>
          </cell>
        </row>
        <row r="1701">
          <cell r="A1701" t="str">
            <v>B557771/A</v>
          </cell>
          <cell r="B1701" t="str">
            <v>CZ044NM10</v>
          </cell>
          <cell r="C1701">
            <v>2</v>
          </cell>
          <cell r="D1701">
            <v>778.27</v>
          </cell>
          <cell r="E1701">
            <v>1556.54</v>
          </cell>
          <cell r="F1701" t="str">
            <v>P18</v>
          </cell>
          <cell r="G1701" t="str">
            <v>Front rail  - Đố tiền</v>
          </cell>
          <cell r="H1701" t="str">
            <v>Wood Rubber Laminate Board - 20 x 1220 x 2440mm, Veneer Poplar both Faces</v>
          </cell>
          <cell r="I1701">
            <v>4</v>
          </cell>
        </row>
        <row r="1702">
          <cell r="A1702" t="str">
            <v>B557771/A</v>
          </cell>
          <cell r="B1702" t="str">
            <v>CZ044NM10</v>
          </cell>
          <cell r="C1702">
            <v>2</v>
          </cell>
          <cell r="D1702">
            <v>778.27</v>
          </cell>
          <cell r="E1702">
            <v>1556.54</v>
          </cell>
          <cell r="F1702" t="str">
            <v>P19</v>
          </cell>
          <cell r="G1702" t="str">
            <v>Cleat - Bọ gỗ</v>
          </cell>
          <cell r="H1702" t="str">
            <v>Wood Rubber Laminate Board - 20 x 1220 x 2440mm, Veneer Poplar both Faces</v>
          </cell>
          <cell r="I1702">
            <v>4</v>
          </cell>
        </row>
        <row r="1703">
          <cell r="A1703" t="str">
            <v>B557771/A</v>
          </cell>
          <cell r="B1703" t="str">
            <v>CZ044NM10</v>
          </cell>
          <cell r="C1703">
            <v>2</v>
          </cell>
          <cell r="D1703">
            <v>778.27</v>
          </cell>
          <cell r="E1703">
            <v>1556.54</v>
          </cell>
          <cell r="F1703" t="str">
            <v>P20</v>
          </cell>
          <cell r="G1703" t="str">
            <v xml:space="preserve">Panel - Ván </v>
          </cell>
          <cell r="H1703" t="str">
            <v>Cement Board - 18 x 1220 x 2440mm, Dark Grey</v>
          </cell>
          <cell r="I1703">
            <v>2</v>
          </cell>
        </row>
        <row r="1704">
          <cell r="A1704" t="str">
            <v>B557774/A</v>
          </cell>
          <cell r="B1704" t="str">
            <v>CZ044NM191</v>
          </cell>
          <cell r="C1704">
            <v>5</v>
          </cell>
          <cell r="D1704">
            <v>778.27</v>
          </cell>
          <cell r="E1704">
            <v>3891.35</v>
          </cell>
          <cell r="F1704" t="str">
            <v>A1-S1</v>
          </cell>
          <cell r="G1704" t="str">
            <v>Front Vertical rail  - Trụ tiền</v>
          </cell>
          <cell r="H1704" t="str">
            <v>Pre-Assembly</v>
          </cell>
          <cell r="I1704">
            <v>10</v>
          </cell>
        </row>
        <row r="1705">
          <cell r="A1705" t="str">
            <v>B557774/A</v>
          </cell>
          <cell r="B1705" t="str">
            <v>CZ044NM191</v>
          </cell>
          <cell r="C1705">
            <v>5</v>
          </cell>
          <cell r="D1705">
            <v>778.27</v>
          </cell>
          <cell r="E1705">
            <v>3891.35</v>
          </cell>
          <cell r="F1705" t="str">
            <v>A1-S1-1</v>
          </cell>
          <cell r="G1705" t="str">
            <v>Wood laminater - Gỗ ghép 1</v>
          </cell>
          <cell r="H1705" t="str">
            <v>Standard Wood - ALDER/ASPEN/LENGA/US POPLAR, 2 COM - T25 W120mm+ L2m+</v>
          </cell>
          <cell r="I1705">
            <v>10</v>
          </cell>
        </row>
        <row r="1706">
          <cell r="A1706" t="str">
            <v>B557774/A</v>
          </cell>
          <cell r="B1706" t="str">
            <v>CZ044NM191</v>
          </cell>
          <cell r="C1706">
            <v>5</v>
          </cell>
          <cell r="D1706">
            <v>778.27</v>
          </cell>
          <cell r="E1706">
            <v>3891.35</v>
          </cell>
          <cell r="F1706" t="str">
            <v>A1-S1-2</v>
          </cell>
          <cell r="G1706" t="str">
            <v>Wood laminater - Gỗ ghép 1</v>
          </cell>
          <cell r="H1706" t="str">
            <v>Standard wood</v>
          </cell>
          <cell r="I1706">
            <v>10</v>
          </cell>
        </row>
        <row r="1707">
          <cell r="A1707" t="str">
            <v>B557774/A</v>
          </cell>
          <cell r="B1707" t="str">
            <v>CZ044NM191</v>
          </cell>
          <cell r="C1707">
            <v>5</v>
          </cell>
          <cell r="D1707">
            <v>778.27</v>
          </cell>
          <cell r="E1707">
            <v>3891.35</v>
          </cell>
          <cell r="F1707" t="str">
            <v>A1-S2</v>
          </cell>
          <cell r="G1707" t="str">
            <v>Back leg - Chân hậu</v>
          </cell>
          <cell r="H1707" t="str">
            <v>Beech 2 COM</v>
          </cell>
          <cell r="I1707">
            <v>10</v>
          </cell>
        </row>
        <row r="1708">
          <cell r="A1708" t="str">
            <v>B557774/A</v>
          </cell>
          <cell r="B1708" t="str">
            <v>CZ044NM191</v>
          </cell>
          <cell r="C1708">
            <v>5</v>
          </cell>
          <cell r="D1708">
            <v>778.27</v>
          </cell>
          <cell r="E1708">
            <v>3891.35</v>
          </cell>
          <cell r="F1708" t="str">
            <v>A1-S3</v>
          </cell>
          <cell r="G1708" t="str">
            <v xml:space="preserve">Side panel  - Ván hông </v>
          </cell>
          <cell r="H1708" t="str">
            <v>MDF - 15 x 1830 x 2440mm [CARB P2 Compliant]</v>
          </cell>
          <cell r="I1708">
            <v>10</v>
          </cell>
        </row>
        <row r="1709">
          <cell r="A1709" t="str">
            <v>B557774/A</v>
          </cell>
          <cell r="B1709" t="str">
            <v>CZ044NM191</v>
          </cell>
          <cell r="C1709">
            <v>5</v>
          </cell>
          <cell r="D1709">
            <v>778.27</v>
          </cell>
          <cell r="E1709">
            <v>3891.35</v>
          </cell>
          <cell r="F1709" t="str">
            <v>A1-S4</v>
          </cell>
          <cell r="G1709" t="str">
            <v xml:space="preserve">Side rail  - Đố hông </v>
          </cell>
          <cell r="H1709" t="str">
            <v>Pre-Assembly</v>
          </cell>
          <cell r="I1709">
            <v>40</v>
          </cell>
        </row>
        <row r="1710">
          <cell r="A1710" t="str">
            <v>B557774/A</v>
          </cell>
          <cell r="B1710" t="str">
            <v>CZ044NM191</v>
          </cell>
          <cell r="C1710">
            <v>5</v>
          </cell>
          <cell r="D1710">
            <v>778.27</v>
          </cell>
          <cell r="E1710">
            <v>3891.35</v>
          </cell>
          <cell r="F1710" t="str">
            <v>A1-S4-1</v>
          </cell>
          <cell r="G1710" t="str">
            <v xml:space="preserve">Side rail  - Đố hông </v>
          </cell>
          <cell r="H1710" t="str">
            <v>Standard Wood - ALDER/ASPEN/LENGA/US POPLAR, 2 COM - T25 W120mm+ L2m+</v>
          </cell>
          <cell r="I1710">
            <v>40</v>
          </cell>
        </row>
        <row r="1711">
          <cell r="A1711" t="str">
            <v>B557774/A</v>
          </cell>
          <cell r="B1711" t="str">
            <v>CZ044NM191</v>
          </cell>
          <cell r="C1711">
            <v>5</v>
          </cell>
          <cell r="D1711">
            <v>778.27</v>
          </cell>
          <cell r="E1711">
            <v>3891.35</v>
          </cell>
          <cell r="F1711" t="str">
            <v>A1-S4-2</v>
          </cell>
          <cell r="G1711" t="str">
            <v>Patching wood - Gỗ đắp</v>
          </cell>
          <cell r="H1711" t="str">
            <v>wood off cut</v>
          </cell>
          <cell r="I1711">
            <v>80</v>
          </cell>
        </row>
        <row r="1712">
          <cell r="A1712" t="str">
            <v>B557774/A</v>
          </cell>
          <cell r="B1712" t="str">
            <v>CZ044NM191</v>
          </cell>
          <cell r="C1712">
            <v>5</v>
          </cell>
          <cell r="D1712">
            <v>778.27</v>
          </cell>
          <cell r="E1712">
            <v>3891.35</v>
          </cell>
          <cell r="F1712" t="str">
            <v>A2-S1</v>
          </cell>
          <cell r="G1712" t="str">
            <v>Front rail  - Đố tiền</v>
          </cell>
          <cell r="H1712" t="str">
            <v>Wood Rubber Laminate Board - 20 x 1220 x 2440mm, Veneer Poplar both Faces</v>
          </cell>
          <cell r="I1712">
            <v>10</v>
          </cell>
        </row>
        <row r="1713">
          <cell r="A1713" t="str">
            <v>B557774/A</v>
          </cell>
          <cell r="B1713" t="str">
            <v>CZ044NM191</v>
          </cell>
          <cell r="C1713">
            <v>5</v>
          </cell>
          <cell r="D1713">
            <v>778.27</v>
          </cell>
          <cell r="E1713">
            <v>3891.35</v>
          </cell>
          <cell r="F1713" t="str">
            <v>A2-S2</v>
          </cell>
          <cell r="G1713" t="str">
            <v>center rail with note - đố giữa</v>
          </cell>
          <cell r="H1713" t="str">
            <v>Wood Rubber Laminate Board - 20 x 1220 x 2440mm, Veneer Poplar both Faces</v>
          </cell>
          <cell r="I1713">
            <v>5</v>
          </cell>
        </row>
        <row r="1714">
          <cell r="A1714" t="str">
            <v>B557774/A</v>
          </cell>
          <cell r="B1714" t="str">
            <v>CZ044NM191</v>
          </cell>
          <cell r="C1714">
            <v>5</v>
          </cell>
          <cell r="D1714">
            <v>778.27</v>
          </cell>
          <cell r="E1714">
            <v>3891.35</v>
          </cell>
          <cell r="F1714" t="str">
            <v>A4-S1</v>
          </cell>
          <cell r="G1714" t="str">
            <v>Front Bottom Rail  - Đố đáy trước</v>
          </cell>
          <cell r="H1714" t="str">
            <v>Wood Rubber Laminate Board - 20 x 1220 x 2440mm, Veneer Poplar both Faces</v>
          </cell>
          <cell r="I1714">
            <v>5</v>
          </cell>
        </row>
        <row r="1715">
          <cell r="A1715" t="str">
            <v>B557774/A</v>
          </cell>
          <cell r="B1715" t="str">
            <v>CZ044NM191</v>
          </cell>
          <cell r="C1715">
            <v>5</v>
          </cell>
          <cell r="D1715">
            <v>778.27</v>
          </cell>
          <cell r="E1715">
            <v>3891.35</v>
          </cell>
          <cell r="F1715" t="str">
            <v>A4-S1-1</v>
          </cell>
          <cell r="G1715" t="str">
            <v>Front Bottom Rail  - Đố đáy trước</v>
          </cell>
          <cell r="H1715" t="str">
            <v>Wood Rubber Laminate Board - 20 x 1220 x 2440mm, Veneer Poplar both Faces</v>
          </cell>
          <cell r="I1715">
            <v>5</v>
          </cell>
        </row>
        <row r="1716">
          <cell r="A1716" t="str">
            <v>B557774/A</v>
          </cell>
          <cell r="B1716" t="str">
            <v>CZ044NM191</v>
          </cell>
          <cell r="C1716">
            <v>5</v>
          </cell>
          <cell r="D1716">
            <v>778.27</v>
          </cell>
          <cell r="E1716">
            <v>3891.35</v>
          </cell>
          <cell r="F1716" t="str">
            <v>A4-S3</v>
          </cell>
          <cell r="G1716" t="str">
            <v>center rail with note - đố giữa</v>
          </cell>
          <cell r="H1716" t="str">
            <v>Wood Rubber Laminate Board - 20 x 1220 x 2440mm, Veneer Poplar both Faces</v>
          </cell>
          <cell r="I1716">
            <v>5</v>
          </cell>
        </row>
        <row r="1717">
          <cell r="A1717" t="str">
            <v>B557774/A</v>
          </cell>
          <cell r="B1717" t="str">
            <v>CZ044NM191</v>
          </cell>
          <cell r="C1717">
            <v>5</v>
          </cell>
          <cell r="D1717">
            <v>778.27</v>
          </cell>
          <cell r="E1717">
            <v>3891.35</v>
          </cell>
          <cell r="F1717" t="str">
            <v>A4-S4</v>
          </cell>
          <cell r="G1717" t="str">
            <v>Dust board Panel  - Ván quét bụi</v>
          </cell>
          <cell r="H1717" t="str">
            <v>MDF - 06 x 1830 x 2440mm [CARB P2 Compliant]</v>
          </cell>
          <cell r="I1717">
            <v>5</v>
          </cell>
        </row>
        <row r="1718">
          <cell r="A1718" t="str">
            <v>B557774/A</v>
          </cell>
          <cell r="B1718" t="str">
            <v>CZ044NM191</v>
          </cell>
          <cell r="C1718">
            <v>5</v>
          </cell>
          <cell r="D1718">
            <v>778.27</v>
          </cell>
          <cell r="E1718">
            <v>3891.35</v>
          </cell>
          <cell r="F1718" t="str">
            <v>A5-S1</v>
          </cell>
          <cell r="G1718" t="str">
            <v xml:space="preserve">Drawer front - Mặt hộc kéo </v>
          </cell>
          <cell r="H1718" t="str">
            <v>MDF Veneer</v>
          </cell>
          <cell r="I1718">
            <v>10</v>
          </cell>
        </row>
        <row r="1719">
          <cell r="A1719" t="str">
            <v>B557774/A</v>
          </cell>
          <cell r="B1719" t="str">
            <v>CZ044NM191</v>
          </cell>
          <cell r="C1719">
            <v>5</v>
          </cell>
          <cell r="D1719">
            <v>778.27</v>
          </cell>
          <cell r="E1719">
            <v>3891.35</v>
          </cell>
          <cell r="F1719" t="str">
            <v>A5-S2</v>
          </cell>
          <cell r="G1719" t="str">
            <v>Drawer side - Hông hộc kéo</v>
          </cell>
          <cell r="H1719" t="str">
            <v>MDF-N - 12 x 1220 x 2440mm, Veneer Okoume 0.3mm Both Faces [CARB P2 Compliant]</v>
          </cell>
          <cell r="I1719">
            <v>50</v>
          </cell>
        </row>
        <row r="1720">
          <cell r="A1720" t="str">
            <v>B557774/A</v>
          </cell>
          <cell r="B1720" t="str">
            <v>CZ044NM191</v>
          </cell>
          <cell r="C1720">
            <v>5</v>
          </cell>
          <cell r="D1720">
            <v>778.27</v>
          </cell>
          <cell r="E1720">
            <v>3891.35</v>
          </cell>
          <cell r="F1720" t="str">
            <v>A5-S3</v>
          </cell>
          <cell r="G1720" t="str">
            <v>Drawer back 1 - hau hộc 1</v>
          </cell>
          <cell r="H1720" t="str">
            <v>MDF - 12 x 1220 x 2440mm, Veneer Okoume 0.3mm Both Faces [CARB P2 Compliant]</v>
          </cell>
          <cell r="I1720">
            <v>10</v>
          </cell>
        </row>
        <row r="1721">
          <cell r="A1721" t="str">
            <v>B557774/A</v>
          </cell>
          <cell r="B1721" t="str">
            <v>CZ044NM191</v>
          </cell>
          <cell r="C1721">
            <v>5</v>
          </cell>
          <cell r="D1721">
            <v>778.27</v>
          </cell>
          <cell r="E1721">
            <v>3891.35</v>
          </cell>
          <cell r="F1721" t="str">
            <v>A5-S4</v>
          </cell>
          <cell r="G1721" t="str">
            <v>Drawer bottom  - Đáy hộc kéo</v>
          </cell>
          <cell r="H1721" t="str">
            <v>MDF - 06 x 1220 x 2440mm, Veneer Okoume 0.3mm Both Faces [CARB P2 Compliant]</v>
          </cell>
          <cell r="I1721">
            <v>10</v>
          </cell>
        </row>
        <row r="1722">
          <cell r="A1722" t="str">
            <v>B557774/A</v>
          </cell>
          <cell r="B1722" t="str">
            <v>CZ044NM191</v>
          </cell>
          <cell r="C1722">
            <v>5</v>
          </cell>
          <cell r="D1722">
            <v>778.27</v>
          </cell>
          <cell r="E1722">
            <v>3891.35</v>
          </cell>
          <cell r="F1722" t="str">
            <v>A5-S5</v>
          </cell>
          <cell r="G1722" t="str">
            <v>Center rail - Đố giữa</v>
          </cell>
          <cell r="H1722" t="str">
            <v>Standard Wood - ALDER/ASPEN/LENGA/US POPLAR, 2 COM - T38 W120mm+ L2m+</v>
          </cell>
          <cell r="I1722">
            <v>40</v>
          </cell>
        </row>
        <row r="1723">
          <cell r="A1723" t="str">
            <v>B557774/A</v>
          </cell>
          <cell r="B1723" t="str">
            <v>CZ044NM191</v>
          </cell>
          <cell r="C1723">
            <v>5</v>
          </cell>
          <cell r="D1723">
            <v>778.27</v>
          </cell>
          <cell r="E1723">
            <v>3891.35</v>
          </cell>
          <cell r="F1723" t="str">
            <v>A6-S1</v>
          </cell>
          <cell r="G1723" t="str">
            <v xml:space="preserve">Drawer front - Mặt hộc kéo </v>
          </cell>
          <cell r="H1723" t="str">
            <v>MDF Veneer</v>
          </cell>
          <cell r="I1723">
            <v>15</v>
          </cell>
        </row>
        <row r="1724">
          <cell r="A1724" t="str">
            <v>B557774/A</v>
          </cell>
          <cell r="B1724" t="str">
            <v>CZ044NM191</v>
          </cell>
          <cell r="C1724">
            <v>5</v>
          </cell>
          <cell r="D1724">
            <v>778.27</v>
          </cell>
          <cell r="E1724">
            <v>3891.35</v>
          </cell>
          <cell r="F1724" t="str">
            <v>A6-S3</v>
          </cell>
          <cell r="G1724" t="str">
            <v>Drawer back - Hậu hộc kéo</v>
          </cell>
          <cell r="H1724" t="str">
            <v>MDF - 12 x 1220 x 2440mm, Veneer Okoume 0.3mm Both Faces [CARB P2 Compliant]</v>
          </cell>
          <cell r="I1724">
            <v>15</v>
          </cell>
        </row>
        <row r="1725">
          <cell r="A1725" t="str">
            <v>B557774/A</v>
          </cell>
          <cell r="B1725" t="str">
            <v>CZ044NM191</v>
          </cell>
          <cell r="C1725">
            <v>5</v>
          </cell>
          <cell r="D1725">
            <v>778.27</v>
          </cell>
          <cell r="E1725">
            <v>3891.35</v>
          </cell>
          <cell r="F1725" t="str">
            <v>A6-S4</v>
          </cell>
          <cell r="G1725" t="str">
            <v>Drawer bottom  - Đáy hộc kéo</v>
          </cell>
          <cell r="H1725" t="str">
            <v>MDF - 06 x 1220 x 2440mm, Veneer Okoume 0.3mm Both Faces [CARB P2 Compliant]</v>
          </cell>
          <cell r="I1725">
            <v>15</v>
          </cell>
        </row>
        <row r="1726">
          <cell r="A1726" t="str">
            <v>B557774/A</v>
          </cell>
          <cell r="B1726" t="str">
            <v>CZ044NM191</v>
          </cell>
          <cell r="C1726">
            <v>5</v>
          </cell>
          <cell r="D1726">
            <v>778.27</v>
          </cell>
          <cell r="E1726">
            <v>3891.35</v>
          </cell>
          <cell r="F1726" t="str">
            <v>P01</v>
          </cell>
          <cell r="G1726" t="str">
            <v>Front top rail  - Đố tiền nóc</v>
          </cell>
          <cell r="H1726" t="str">
            <v>Wood Rubber Laminate Board - 20 x 1220 x 2440mm, Veneer Poplar both Faces</v>
          </cell>
          <cell r="I1726">
            <v>5</v>
          </cell>
        </row>
        <row r="1727">
          <cell r="A1727" t="str">
            <v>B557774/A</v>
          </cell>
          <cell r="B1727" t="str">
            <v>CZ044NM191</v>
          </cell>
          <cell r="C1727">
            <v>5</v>
          </cell>
          <cell r="D1727">
            <v>778.27</v>
          </cell>
          <cell r="E1727">
            <v>3891.35</v>
          </cell>
          <cell r="F1727" t="str">
            <v>P02</v>
          </cell>
          <cell r="G1727" t="str">
            <v>Back rail with note finger - đố hậu</v>
          </cell>
          <cell r="H1727" t="str">
            <v>Wood Rubber Laminate Board - 20 x 1220 x 2440mm, Veneer Poplar both Faces</v>
          </cell>
          <cell r="I1727">
            <v>5</v>
          </cell>
        </row>
        <row r="1728">
          <cell r="A1728" t="str">
            <v>B557774/A</v>
          </cell>
          <cell r="B1728" t="str">
            <v>CZ044NM191</v>
          </cell>
          <cell r="C1728">
            <v>5</v>
          </cell>
          <cell r="D1728">
            <v>778.27</v>
          </cell>
          <cell r="E1728">
            <v>3891.35</v>
          </cell>
          <cell r="F1728" t="str">
            <v>P03</v>
          </cell>
          <cell r="G1728" t="str">
            <v xml:space="preserve">Top panel  - Ván nóc </v>
          </cell>
          <cell r="H1728" t="str">
            <v>MDF - 15 x 1830 x 2440mm [CARB P2 Compliant]</v>
          </cell>
          <cell r="I1728">
            <v>5</v>
          </cell>
        </row>
        <row r="1729">
          <cell r="A1729" t="str">
            <v>B557774/A</v>
          </cell>
          <cell r="B1729" t="str">
            <v>CZ044NM191</v>
          </cell>
          <cell r="C1729">
            <v>5</v>
          </cell>
          <cell r="D1729">
            <v>778.27</v>
          </cell>
          <cell r="E1729">
            <v>3891.35</v>
          </cell>
          <cell r="F1729" t="str">
            <v>P09</v>
          </cell>
          <cell r="G1729" t="str">
            <v>Partition panel - Vách ngăn</v>
          </cell>
          <cell r="H1729" t="str">
            <v>MDF - 18 x 1830 x 2440mm [CARB P2 Compliant]</v>
          </cell>
          <cell r="I1729">
            <v>5</v>
          </cell>
        </row>
        <row r="1730">
          <cell r="A1730" t="str">
            <v>B557774/A</v>
          </cell>
          <cell r="B1730" t="str">
            <v>CZ044NM191</v>
          </cell>
          <cell r="C1730">
            <v>5</v>
          </cell>
          <cell r="D1730">
            <v>778.27</v>
          </cell>
          <cell r="E1730">
            <v>3891.35</v>
          </cell>
          <cell r="F1730" t="str">
            <v>P10</v>
          </cell>
          <cell r="G1730" t="str">
            <v>Back panel - Ván hậu</v>
          </cell>
          <cell r="H1730" t="str">
            <v>MDF Veneer</v>
          </cell>
          <cell r="I1730">
            <v>5</v>
          </cell>
        </row>
        <row r="1731">
          <cell r="A1731" t="str">
            <v>B557774/A</v>
          </cell>
          <cell r="B1731" t="str">
            <v>CZ044NM191</v>
          </cell>
          <cell r="C1731">
            <v>5</v>
          </cell>
          <cell r="D1731">
            <v>778.27</v>
          </cell>
          <cell r="E1731">
            <v>3891.35</v>
          </cell>
          <cell r="F1731" t="str">
            <v>P11</v>
          </cell>
          <cell r="G1731" t="str">
            <v>Corner block - ke góc</v>
          </cell>
          <cell r="H1731" t="str">
            <v>Poplar off cut</v>
          </cell>
          <cell r="I1731">
            <v>10</v>
          </cell>
        </row>
        <row r="1732">
          <cell r="A1732" t="str">
            <v>B557774/A</v>
          </cell>
          <cell r="B1732" t="str">
            <v>CZ044NM191</v>
          </cell>
          <cell r="C1732">
            <v>5</v>
          </cell>
          <cell r="D1732">
            <v>778.27</v>
          </cell>
          <cell r="E1732">
            <v>3891.35</v>
          </cell>
          <cell r="F1732" t="str">
            <v>P12</v>
          </cell>
          <cell r="G1732" t="str">
            <v>Drawer stop - Dừng hộc</v>
          </cell>
          <cell r="H1732" t="str">
            <v>Poplar off cut</v>
          </cell>
          <cell r="I1732">
            <v>50</v>
          </cell>
        </row>
        <row r="1733">
          <cell r="A1733" t="str">
            <v>B557774/A</v>
          </cell>
          <cell r="B1733" t="str">
            <v>CZ044NM191</v>
          </cell>
          <cell r="C1733">
            <v>5</v>
          </cell>
          <cell r="D1733">
            <v>778.27</v>
          </cell>
          <cell r="E1733">
            <v>3891.35</v>
          </cell>
          <cell r="F1733" t="str">
            <v>P14</v>
          </cell>
          <cell r="G1733" t="str">
            <v>Spline - Lưỡi gà</v>
          </cell>
          <cell r="H1733" t="str">
            <v>Plywood LVD - 06 x 1220 x 2440mm, Bleached Poplar Veneer Both Sides [CARB P2 Compliant]</v>
          </cell>
          <cell r="I1733">
            <v>10</v>
          </cell>
        </row>
        <row r="1734">
          <cell r="A1734" t="str">
            <v>B557774/A</v>
          </cell>
          <cell r="B1734" t="str">
            <v>CZ044NM191</v>
          </cell>
          <cell r="C1734">
            <v>5</v>
          </cell>
          <cell r="D1734">
            <v>778.27</v>
          </cell>
          <cell r="E1734">
            <v>3891.35</v>
          </cell>
          <cell r="F1734" t="str">
            <v>P15</v>
          </cell>
          <cell r="G1734" t="str">
            <v>Spline - Lưỡi gà</v>
          </cell>
          <cell r="H1734" t="str">
            <v>Plywood LVD - 06 x 1220 x 2440mm, Bleached Poplar Veneer Both Sides [CARB P2 Compliant]</v>
          </cell>
          <cell r="I1734">
            <v>5</v>
          </cell>
        </row>
        <row r="1735">
          <cell r="A1735" t="str">
            <v>B557774/A</v>
          </cell>
          <cell r="B1735" t="str">
            <v>CZ044NM191</v>
          </cell>
          <cell r="C1735">
            <v>5</v>
          </cell>
          <cell r="D1735">
            <v>778.27</v>
          </cell>
          <cell r="E1735">
            <v>3891.35</v>
          </cell>
          <cell r="F1735" t="str">
            <v>P16</v>
          </cell>
          <cell r="G1735" t="str">
            <v>Cleat - Bọ gỗ</v>
          </cell>
          <cell r="H1735" t="str">
            <v>Wood Rubber Laminate Board - 20 x 1220 x 2440mm, Veneer Poplar both Faces</v>
          </cell>
          <cell r="I1735">
            <v>10</v>
          </cell>
        </row>
        <row r="1736">
          <cell r="A1736" t="str">
            <v>B557774/A</v>
          </cell>
          <cell r="B1736" t="str">
            <v>CZ044NM191</v>
          </cell>
          <cell r="C1736">
            <v>5</v>
          </cell>
          <cell r="D1736">
            <v>778.27</v>
          </cell>
          <cell r="E1736">
            <v>3891.35</v>
          </cell>
          <cell r="F1736" t="str">
            <v>P17</v>
          </cell>
          <cell r="G1736" t="str">
            <v>Cleat - Bọ gỗ</v>
          </cell>
          <cell r="H1736" t="str">
            <v>Wood Rubber Laminate Board - 20 x 1220 x 2440mm, Veneer Poplar both Faces</v>
          </cell>
          <cell r="I1736">
            <v>10</v>
          </cell>
        </row>
        <row r="1737">
          <cell r="A1737" t="str">
            <v>B557774/A</v>
          </cell>
          <cell r="B1737" t="str">
            <v>CZ044NM191</v>
          </cell>
          <cell r="C1737">
            <v>5</v>
          </cell>
          <cell r="D1737">
            <v>778.27</v>
          </cell>
          <cell r="E1737">
            <v>3891.35</v>
          </cell>
          <cell r="F1737" t="str">
            <v>P18</v>
          </cell>
          <cell r="G1737" t="str">
            <v>Front rail  - Đố tiền</v>
          </cell>
          <cell r="H1737" t="str">
            <v>Wood Rubber Laminate Board - 20 x 1220 x 2440mm, Veneer Poplar both Faces</v>
          </cell>
          <cell r="I1737">
            <v>10</v>
          </cell>
        </row>
        <row r="1738">
          <cell r="A1738" t="str">
            <v>B557774/A</v>
          </cell>
          <cell r="B1738" t="str">
            <v>CZ044NM191</v>
          </cell>
          <cell r="C1738">
            <v>5</v>
          </cell>
          <cell r="D1738">
            <v>778.27</v>
          </cell>
          <cell r="E1738">
            <v>3891.35</v>
          </cell>
          <cell r="F1738" t="str">
            <v>P19</v>
          </cell>
          <cell r="G1738" t="str">
            <v>Cleat - Bọ gỗ</v>
          </cell>
          <cell r="H1738" t="str">
            <v>Wood Rubber Laminate Board - 20 x 1220 x 2440mm, Veneer Poplar both Faces</v>
          </cell>
          <cell r="I1738">
            <v>10</v>
          </cell>
        </row>
        <row r="1739">
          <cell r="A1739" t="str">
            <v>B557774/A</v>
          </cell>
          <cell r="B1739" t="str">
            <v>CZ044NM191</v>
          </cell>
          <cell r="C1739">
            <v>5</v>
          </cell>
          <cell r="D1739">
            <v>778.27</v>
          </cell>
          <cell r="E1739">
            <v>3891.35</v>
          </cell>
          <cell r="F1739" t="str">
            <v>P20</v>
          </cell>
          <cell r="G1739" t="str">
            <v xml:space="preserve">Panel - Ván </v>
          </cell>
          <cell r="H1739" t="str">
            <v>Cement Board - 18 x 1220 x 2440mm, Dark Grey</v>
          </cell>
          <cell r="I1739">
            <v>5</v>
          </cell>
        </row>
        <row r="1740">
          <cell r="A1740" t="str">
            <v>B557775/A</v>
          </cell>
          <cell r="B1740" t="str">
            <v>CZ044NM191</v>
          </cell>
          <cell r="C1740">
            <v>5</v>
          </cell>
          <cell r="D1740">
            <v>778.27</v>
          </cell>
          <cell r="E1740">
            <v>3891.35</v>
          </cell>
          <cell r="F1740" t="str">
            <v>A1-S1</v>
          </cell>
          <cell r="G1740" t="str">
            <v>Front Vertical rail  - Trụ tiền</v>
          </cell>
          <cell r="H1740" t="str">
            <v>Pre-Assembly</v>
          </cell>
          <cell r="I1740">
            <v>10</v>
          </cell>
        </row>
        <row r="1741">
          <cell r="A1741" t="str">
            <v>B557775/A</v>
          </cell>
          <cell r="B1741" t="str">
            <v>CZ044NM191</v>
          </cell>
          <cell r="C1741">
            <v>5</v>
          </cell>
          <cell r="D1741">
            <v>778.27</v>
          </cell>
          <cell r="E1741">
            <v>3891.35</v>
          </cell>
          <cell r="F1741" t="str">
            <v>A1-S1-1</v>
          </cell>
          <cell r="G1741" t="str">
            <v>Wood laminater - Gỗ ghép 1</v>
          </cell>
          <cell r="H1741" t="str">
            <v>Standard Wood - ALDER/ASPEN/LENGA/US POPLAR, 2 COM - T25 W120mm+ L2m+</v>
          </cell>
          <cell r="I1741">
            <v>10</v>
          </cell>
        </row>
        <row r="1742">
          <cell r="A1742" t="str">
            <v>B557775/A</v>
          </cell>
          <cell r="B1742" t="str">
            <v>CZ044NM191</v>
          </cell>
          <cell r="C1742">
            <v>5</v>
          </cell>
          <cell r="D1742">
            <v>778.27</v>
          </cell>
          <cell r="E1742">
            <v>3891.35</v>
          </cell>
          <cell r="F1742" t="str">
            <v>A1-S1-2</v>
          </cell>
          <cell r="G1742" t="str">
            <v>Wood laminater - Gỗ ghép 1</v>
          </cell>
          <cell r="H1742" t="str">
            <v>Standard wood</v>
          </cell>
          <cell r="I1742">
            <v>10</v>
          </cell>
        </row>
        <row r="1743">
          <cell r="A1743" t="str">
            <v>B557775/A</v>
          </cell>
          <cell r="B1743" t="str">
            <v>CZ044NM191</v>
          </cell>
          <cell r="C1743">
            <v>5</v>
          </cell>
          <cell r="D1743">
            <v>778.27</v>
          </cell>
          <cell r="E1743">
            <v>3891.35</v>
          </cell>
          <cell r="F1743" t="str">
            <v>A1-S2</v>
          </cell>
          <cell r="G1743" t="str">
            <v>Back leg - Chân hậu</v>
          </cell>
          <cell r="H1743" t="str">
            <v>Beech 2 COM</v>
          </cell>
          <cell r="I1743">
            <v>10</v>
          </cell>
        </row>
        <row r="1744">
          <cell r="A1744" t="str">
            <v>B557775/A</v>
          </cell>
          <cell r="B1744" t="str">
            <v>CZ044NM191</v>
          </cell>
          <cell r="C1744">
            <v>5</v>
          </cell>
          <cell r="D1744">
            <v>778.27</v>
          </cell>
          <cell r="E1744">
            <v>3891.35</v>
          </cell>
          <cell r="F1744" t="str">
            <v>A1-S3</v>
          </cell>
          <cell r="G1744" t="str">
            <v xml:space="preserve">Side panel  - Ván hông </v>
          </cell>
          <cell r="H1744" t="str">
            <v>MDF - 15 x 1830 x 2440mm [CARB P2 Compliant]</v>
          </cell>
          <cell r="I1744">
            <v>10</v>
          </cell>
        </row>
        <row r="1745">
          <cell r="A1745" t="str">
            <v>B557775/A</v>
          </cell>
          <cell r="B1745" t="str">
            <v>CZ044NM191</v>
          </cell>
          <cell r="C1745">
            <v>5</v>
          </cell>
          <cell r="D1745">
            <v>778.27</v>
          </cell>
          <cell r="E1745">
            <v>3891.35</v>
          </cell>
          <cell r="F1745" t="str">
            <v>A1-S4</v>
          </cell>
          <cell r="G1745" t="str">
            <v xml:space="preserve">Side rail  - Đố hông </v>
          </cell>
          <cell r="H1745" t="str">
            <v>Pre-Assembly</v>
          </cell>
          <cell r="I1745">
            <v>40</v>
          </cell>
        </row>
        <row r="1746">
          <cell r="A1746" t="str">
            <v>B557775/A</v>
          </cell>
          <cell r="B1746" t="str">
            <v>CZ044NM191</v>
          </cell>
          <cell r="C1746">
            <v>5</v>
          </cell>
          <cell r="D1746">
            <v>778.27</v>
          </cell>
          <cell r="E1746">
            <v>3891.35</v>
          </cell>
          <cell r="F1746" t="str">
            <v>A1-S4-1</v>
          </cell>
          <cell r="G1746" t="str">
            <v xml:space="preserve">Side rail  - Đố hông </v>
          </cell>
          <cell r="H1746" t="str">
            <v>Standard Wood - ALDER/ASPEN/LENGA/US POPLAR, 2 COM - T25 W120mm+ L2m+</v>
          </cell>
          <cell r="I1746">
            <v>40</v>
          </cell>
        </row>
        <row r="1747">
          <cell r="A1747" t="str">
            <v>B557775/A</v>
          </cell>
          <cell r="B1747" t="str">
            <v>CZ044NM191</v>
          </cell>
          <cell r="C1747">
            <v>5</v>
          </cell>
          <cell r="D1747">
            <v>778.27</v>
          </cell>
          <cell r="E1747">
            <v>3891.35</v>
          </cell>
          <cell r="F1747" t="str">
            <v>A1-S4-2</v>
          </cell>
          <cell r="G1747" t="str">
            <v>Patching wood - Gỗ đắp</v>
          </cell>
          <cell r="H1747" t="str">
            <v>wood off cut</v>
          </cell>
          <cell r="I1747">
            <v>80</v>
          </cell>
        </row>
        <row r="1748">
          <cell r="A1748" t="str">
            <v>B557775/A</v>
          </cell>
          <cell r="B1748" t="str">
            <v>CZ044NM191</v>
          </cell>
          <cell r="C1748">
            <v>5</v>
          </cell>
          <cell r="D1748">
            <v>778.27</v>
          </cell>
          <cell r="E1748">
            <v>3891.35</v>
          </cell>
          <cell r="F1748" t="str">
            <v>A2-S1</v>
          </cell>
          <cell r="G1748" t="str">
            <v>Front rail  - Đố tiền</v>
          </cell>
          <cell r="H1748" t="str">
            <v>Wood Rubber Laminate Board - 20 x 1220 x 2440mm, Veneer Poplar both Faces</v>
          </cell>
          <cell r="I1748">
            <v>10</v>
          </cell>
        </row>
        <row r="1749">
          <cell r="A1749" t="str">
            <v>B557775/A</v>
          </cell>
          <cell r="B1749" t="str">
            <v>CZ044NM191</v>
          </cell>
          <cell r="C1749">
            <v>5</v>
          </cell>
          <cell r="D1749">
            <v>778.27</v>
          </cell>
          <cell r="E1749">
            <v>3891.35</v>
          </cell>
          <cell r="F1749" t="str">
            <v>A2-S2</v>
          </cell>
          <cell r="G1749" t="str">
            <v>center rail with note - đố giữa</v>
          </cell>
          <cell r="H1749" t="str">
            <v>Wood Rubber Laminate Board - 20 x 1220 x 2440mm, Veneer Poplar both Faces</v>
          </cell>
          <cell r="I1749">
            <v>5</v>
          </cell>
        </row>
        <row r="1750">
          <cell r="A1750" t="str">
            <v>B557775/A</v>
          </cell>
          <cell r="B1750" t="str">
            <v>CZ044NM191</v>
          </cell>
          <cell r="C1750">
            <v>5</v>
          </cell>
          <cell r="D1750">
            <v>778.27</v>
          </cell>
          <cell r="E1750">
            <v>3891.35</v>
          </cell>
          <cell r="F1750" t="str">
            <v>A4-S1</v>
          </cell>
          <cell r="G1750" t="str">
            <v>Front Bottom Rail  - Đố đáy trước</v>
          </cell>
          <cell r="H1750" t="str">
            <v>Wood Rubber Laminate Board - 20 x 1220 x 2440mm, Veneer Poplar both Faces</v>
          </cell>
          <cell r="I1750">
            <v>5</v>
          </cell>
        </row>
        <row r="1751">
          <cell r="A1751" t="str">
            <v>B557775/A</v>
          </cell>
          <cell r="B1751" t="str">
            <v>CZ044NM191</v>
          </cell>
          <cell r="C1751">
            <v>5</v>
          </cell>
          <cell r="D1751">
            <v>778.27</v>
          </cell>
          <cell r="E1751">
            <v>3891.35</v>
          </cell>
          <cell r="F1751" t="str">
            <v>A4-S1-1</v>
          </cell>
          <cell r="G1751" t="str">
            <v>Front Bottom Rail  - Đố đáy trước</v>
          </cell>
          <cell r="H1751" t="str">
            <v>Wood Rubber Laminate Board - 20 x 1220 x 2440mm, Veneer Poplar both Faces</v>
          </cell>
          <cell r="I1751">
            <v>5</v>
          </cell>
        </row>
        <row r="1752">
          <cell r="A1752" t="str">
            <v>B557775/A</v>
          </cell>
          <cell r="B1752" t="str">
            <v>CZ044NM191</v>
          </cell>
          <cell r="C1752">
            <v>5</v>
          </cell>
          <cell r="D1752">
            <v>778.27</v>
          </cell>
          <cell r="E1752">
            <v>3891.35</v>
          </cell>
          <cell r="F1752" t="str">
            <v>A4-S3</v>
          </cell>
          <cell r="G1752" t="str">
            <v>center rail with note - đố giữa</v>
          </cell>
          <cell r="H1752" t="str">
            <v>Wood Rubber Laminate Board - 20 x 1220 x 2440mm, Veneer Poplar both Faces</v>
          </cell>
          <cell r="I1752">
            <v>5</v>
          </cell>
        </row>
        <row r="1753">
          <cell r="A1753" t="str">
            <v>B557775/A</v>
          </cell>
          <cell r="B1753" t="str">
            <v>CZ044NM191</v>
          </cell>
          <cell r="C1753">
            <v>5</v>
          </cell>
          <cell r="D1753">
            <v>778.27</v>
          </cell>
          <cell r="E1753">
            <v>3891.35</v>
          </cell>
          <cell r="F1753" t="str">
            <v>A4-S4</v>
          </cell>
          <cell r="G1753" t="str">
            <v>Dust board Panel  - Ván quét bụi</v>
          </cell>
          <cell r="H1753" t="str">
            <v>MDF - 06 x 1830 x 2440mm [CARB P2 Compliant]</v>
          </cell>
          <cell r="I1753">
            <v>5</v>
          </cell>
        </row>
        <row r="1754">
          <cell r="A1754" t="str">
            <v>B557775/A</v>
          </cell>
          <cell r="B1754" t="str">
            <v>CZ044NM191</v>
          </cell>
          <cell r="C1754">
            <v>5</v>
          </cell>
          <cell r="D1754">
            <v>778.27</v>
          </cell>
          <cell r="E1754">
            <v>3891.35</v>
          </cell>
          <cell r="F1754" t="str">
            <v>A5-S1</v>
          </cell>
          <cell r="G1754" t="str">
            <v xml:space="preserve">Drawer front - Mặt hộc kéo </v>
          </cell>
          <cell r="H1754" t="str">
            <v>MDF Veneer</v>
          </cell>
          <cell r="I1754">
            <v>10</v>
          </cell>
        </row>
        <row r="1755">
          <cell r="A1755" t="str">
            <v>B557775/A</v>
          </cell>
          <cell r="B1755" t="str">
            <v>CZ044NM191</v>
          </cell>
          <cell r="C1755">
            <v>5</v>
          </cell>
          <cell r="D1755">
            <v>778.27</v>
          </cell>
          <cell r="E1755">
            <v>3891.35</v>
          </cell>
          <cell r="F1755" t="str">
            <v>A5-S2</v>
          </cell>
          <cell r="G1755" t="str">
            <v>Drawer side - Hông hộc kéo</v>
          </cell>
          <cell r="H1755" t="str">
            <v>MDF-N - 12 x 1220 x 2440mm, Veneer Okoume 0.3mm Both Faces [CARB P2 Compliant]</v>
          </cell>
          <cell r="I1755">
            <v>50</v>
          </cell>
        </row>
        <row r="1756">
          <cell r="A1756" t="str">
            <v>B557775/A</v>
          </cell>
          <cell r="B1756" t="str">
            <v>CZ044NM191</v>
          </cell>
          <cell r="C1756">
            <v>5</v>
          </cell>
          <cell r="D1756">
            <v>778.27</v>
          </cell>
          <cell r="E1756">
            <v>3891.35</v>
          </cell>
          <cell r="F1756" t="str">
            <v>A5-S3</v>
          </cell>
          <cell r="G1756" t="str">
            <v>Drawer back 1 - hau hộc 1</v>
          </cell>
          <cell r="H1756" t="str">
            <v>MDF - 12 x 1220 x 2440mm, Veneer Okoume 0.3mm Both Faces [CARB P2 Compliant]</v>
          </cell>
          <cell r="I1756">
            <v>10</v>
          </cell>
        </row>
        <row r="1757">
          <cell r="A1757" t="str">
            <v>B557775/A</v>
          </cell>
          <cell r="B1757" t="str">
            <v>CZ044NM191</v>
          </cell>
          <cell r="C1757">
            <v>5</v>
          </cell>
          <cell r="D1757">
            <v>778.27</v>
          </cell>
          <cell r="E1757">
            <v>3891.35</v>
          </cell>
          <cell r="F1757" t="str">
            <v>A5-S4</v>
          </cell>
          <cell r="G1757" t="str">
            <v>Drawer bottom  - Đáy hộc kéo</v>
          </cell>
          <cell r="H1757" t="str">
            <v>MDF - 06 x 1220 x 2440mm, Veneer Okoume 0.3mm Both Faces [CARB P2 Compliant]</v>
          </cell>
          <cell r="I1757">
            <v>10</v>
          </cell>
        </row>
        <row r="1758">
          <cell r="A1758" t="str">
            <v>B557775/A</v>
          </cell>
          <cell r="B1758" t="str">
            <v>CZ044NM191</v>
          </cell>
          <cell r="C1758">
            <v>5</v>
          </cell>
          <cell r="D1758">
            <v>778.27</v>
          </cell>
          <cell r="E1758">
            <v>3891.35</v>
          </cell>
          <cell r="F1758" t="str">
            <v>A5-S5</v>
          </cell>
          <cell r="G1758" t="str">
            <v>Center rail - Đố giữa</v>
          </cell>
          <cell r="H1758" t="str">
            <v>Standard Wood - ALDER/ASPEN/LENGA/US POPLAR, 2 COM - T38 W120mm+ L2m+</v>
          </cell>
          <cell r="I1758">
            <v>40</v>
          </cell>
        </row>
        <row r="1759">
          <cell r="A1759" t="str">
            <v>B557775/A</v>
          </cell>
          <cell r="B1759" t="str">
            <v>CZ044NM191</v>
          </cell>
          <cell r="C1759">
            <v>5</v>
          </cell>
          <cell r="D1759">
            <v>778.27</v>
          </cell>
          <cell r="E1759">
            <v>3891.35</v>
          </cell>
          <cell r="F1759" t="str">
            <v>A6-S1</v>
          </cell>
          <cell r="G1759" t="str">
            <v xml:space="preserve">Drawer front - Mặt hộc kéo </v>
          </cell>
          <cell r="H1759" t="str">
            <v>MDF Veneer</v>
          </cell>
          <cell r="I1759">
            <v>15</v>
          </cell>
        </row>
        <row r="1760">
          <cell r="A1760" t="str">
            <v>B557775/A</v>
          </cell>
          <cell r="B1760" t="str">
            <v>CZ044NM191</v>
          </cell>
          <cell r="C1760">
            <v>5</v>
          </cell>
          <cell r="D1760">
            <v>778.27</v>
          </cell>
          <cell r="E1760">
            <v>3891.35</v>
          </cell>
          <cell r="F1760" t="str">
            <v>A6-S3</v>
          </cell>
          <cell r="G1760" t="str">
            <v>Drawer back - Hậu hộc kéo</v>
          </cell>
          <cell r="H1760" t="str">
            <v>MDF - 12 x 1220 x 2440mm, Veneer Okoume 0.3mm Both Faces [CARB P2 Compliant]</v>
          </cell>
          <cell r="I1760">
            <v>15</v>
          </cell>
        </row>
        <row r="1761">
          <cell r="A1761" t="str">
            <v>B557775/A</v>
          </cell>
          <cell r="B1761" t="str">
            <v>CZ044NM191</v>
          </cell>
          <cell r="C1761">
            <v>5</v>
          </cell>
          <cell r="D1761">
            <v>778.27</v>
          </cell>
          <cell r="E1761">
            <v>3891.35</v>
          </cell>
          <cell r="F1761" t="str">
            <v>A6-S4</v>
          </cell>
          <cell r="G1761" t="str">
            <v>Drawer bottom  - Đáy hộc kéo</v>
          </cell>
          <cell r="H1761" t="str">
            <v>MDF - 06 x 1220 x 2440mm, Veneer Okoume 0.3mm Both Faces [CARB P2 Compliant]</v>
          </cell>
          <cell r="I1761">
            <v>15</v>
          </cell>
        </row>
        <row r="1762">
          <cell r="A1762" t="str">
            <v>B557775/A</v>
          </cell>
          <cell r="B1762" t="str">
            <v>CZ044NM191</v>
          </cell>
          <cell r="C1762">
            <v>5</v>
          </cell>
          <cell r="D1762">
            <v>778.27</v>
          </cell>
          <cell r="E1762">
            <v>3891.35</v>
          </cell>
          <cell r="F1762" t="str">
            <v>P01</v>
          </cell>
          <cell r="G1762" t="str">
            <v>Front top rail  - Đố tiền nóc</v>
          </cell>
          <cell r="H1762" t="str">
            <v>Wood Rubber Laminate Board - 20 x 1220 x 2440mm, Veneer Poplar both Faces</v>
          </cell>
          <cell r="I1762">
            <v>5</v>
          </cell>
        </row>
        <row r="1763">
          <cell r="A1763" t="str">
            <v>B557775/A</v>
          </cell>
          <cell r="B1763" t="str">
            <v>CZ044NM191</v>
          </cell>
          <cell r="C1763">
            <v>5</v>
          </cell>
          <cell r="D1763">
            <v>778.27</v>
          </cell>
          <cell r="E1763">
            <v>3891.35</v>
          </cell>
          <cell r="F1763" t="str">
            <v>P02</v>
          </cell>
          <cell r="G1763" t="str">
            <v>Back rail with note finger - đố hậu</v>
          </cell>
          <cell r="H1763" t="str">
            <v>Wood Rubber Laminate Board - 20 x 1220 x 2440mm, Veneer Poplar both Faces</v>
          </cell>
          <cell r="I1763">
            <v>5</v>
          </cell>
        </row>
        <row r="1764">
          <cell r="A1764" t="str">
            <v>B557775/A</v>
          </cell>
          <cell r="B1764" t="str">
            <v>CZ044NM191</v>
          </cell>
          <cell r="C1764">
            <v>5</v>
          </cell>
          <cell r="D1764">
            <v>778.27</v>
          </cell>
          <cell r="E1764">
            <v>3891.35</v>
          </cell>
          <cell r="F1764" t="str">
            <v>P03</v>
          </cell>
          <cell r="G1764" t="str">
            <v xml:space="preserve">Top panel  - Ván nóc </v>
          </cell>
          <cell r="H1764" t="str">
            <v>MDF - 15 x 1830 x 2440mm [CARB P2 Compliant]</v>
          </cell>
          <cell r="I1764">
            <v>5</v>
          </cell>
        </row>
        <row r="1765">
          <cell r="A1765" t="str">
            <v>B557775/A</v>
          </cell>
          <cell r="B1765" t="str">
            <v>CZ044NM191</v>
          </cell>
          <cell r="C1765">
            <v>5</v>
          </cell>
          <cell r="D1765">
            <v>778.27</v>
          </cell>
          <cell r="E1765">
            <v>3891.35</v>
          </cell>
          <cell r="F1765" t="str">
            <v>P09</v>
          </cell>
          <cell r="G1765" t="str">
            <v>Partition panel - Vách ngăn</v>
          </cell>
          <cell r="H1765" t="str">
            <v>MDF - 18 x 1830 x 2440mm [CARB P2 Compliant]</v>
          </cell>
          <cell r="I1765">
            <v>5</v>
          </cell>
        </row>
        <row r="1766">
          <cell r="A1766" t="str">
            <v>B557775/A</v>
          </cell>
          <cell r="B1766" t="str">
            <v>CZ044NM191</v>
          </cell>
          <cell r="C1766">
            <v>5</v>
          </cell>
          <cell r="D1766">
            <v>778.27</v>
          </cell>
          <cell r="E1766">
            <v>3891.35</v>
          </cell>
          <cell r="F1766" t="str">
            <v>P10</v>
          </cell>
          <cell r="G1766" t="str">
            <v>Back panel - Ván hậu</v>
          </cell>
          <cell r="H1766" t="str">
            <v>MDF Veneer</v>
          </cell>
          <cell r="I1766">
            <v>5</v>
          </cell>
        </row>
        <row r="1767">
          <cell r="A1767" t="str">
            <v>B557775/A</v>
          </cell>
          <cell r="B1767" t="str">
            <v>CZ044NM191</v>
          </cell>
          <cell r="C1767">
            <v>5</v>
          </cell>
          <cell r="D1767">
            <v>778.27</v>
          </cell>
          <cell r="E1767">
            <v>3891.35</v>
          </cell>
          <cell r="F1767" t="str">
            <v>P11</v>
          </cell>
          <cell r="G1767" t="str">
            <v>Corner block - ke góc</v>
          </cell>
          <cell r="H1767" t="str">
            <v>Poplar off cut</v>
          </cell>
          <cell r="I1767">
            <v>10</v>
          </cell>
        </row>
        <row r="1768">
          <cell r="A1768" t="str">
            <v>B557775/A</v>
          </cell>
          <cell r="B1768" t="str">
            <v>CZ044NM191</v>
          </cell>
          <cell r="C1768">
            <v>5</v>
          </cell>
          <cell r="D1768">
            <v>778.27</v>
          </cell>
          <cell r="E1768">
            <v>3891.35</v>
          </cell>
          <cell r="F1768" t="str">
            <v>P12</v>
          </cell>
          <cell r="G1768" t="str">
            <v>Drawer stop - Dừng hộc</v>
          </cell>
          <cell r="H1768" t="str">
            <v>Poplar off cut</v>
          </cell>
          <cell r="I1768">
            <v>50</v>
          </cell>
        </row>
        <row r="1769">
          <cell r="A1769" t="str">
            <v>B557775/A</v>
          </cell>
          <cell r="B1769" t="str">
            <v>CZ044NM191</v>
          </cell>
          <cell r="C1769">
            <v>5</v>
          </cell>
          <cell r="D1769">
            <v>778.27</v>
          </cell>
          <cell r="E1769">
            <v>3891.35</v>
          </cell>
          <cell r="F1769" t="str">
            <v>P14</v>
          </cell>
          <cell r="G1769" t="str">
            <v>Spline - Lưỡi gà</v>
          </cell>
          <cell r="H1769" t="str">
            <v>Plywood LVD - 06 x 1220 x 2440mm, Bleached Poplar Veneer Both Sides [CARB P2 Compliant]</v>
          </cell>
          <cell r="I1769">
            <v>10</v>
          </cell>
        </row>
        <row r="1770">
          <cell r="A1770" t="str">
            <v>B557775/A</v>
          </cell>
          <cell r="B1770" t="str">
            <v>CZ044NM191</v>
          </cell>
          <cell r="C1770">
            <v>5</v>
          </cell>
          <cell r="D1770">
            <v>778.27</v>
          </cell>
          <cell r="E1770">
            <v>3891.35</v>
          </cell>
          <cell r="F1770" t="str">
            <v>P15</v>
          </cell>
          <cell r="G1770" t="str">
            <v>Spline - Lưỡi gà</v>
          </cell>
          <cell r="H1770" t="str">
            <v>Plywood LVD - 06 x 1220 x 2440mm, Bleached Poplar Veneer Both Sides [CARB P2 Compliant]</v>
          </cell>
          <cell r="I1770">
            <v>5</v>
          </cell>
        </row>
        <row r="1771">
          <cell r="A1771" t="str">
            <v>B557775/A</v>
          </cell>
          <cell r="B1771" t="str">
            <v>CZ044NM191</v>
          </cell>
          <cell r="C1771">
            <v>5</v>
          </cell>
          <cell r="D1771">
            <v>778.27</v>
          </cell>
          <cell r="E1771">
            <v>3891.35</v>
          </cell>
          <cell r="F1771" t="str">
            <v>P16</v>
          </cell>
          <cell r="G1771" t="str">
            <v>Cleat - Bọ gỗ</v>
          </cell>
          <cell r="H1771" t="str">
            <v>Wood Rubber Laminate Board - 20 x 1220 x 2440mm, Veneer Poplar both Faces</v>
          </cell>
          <cell r="I1771">
            <v>10</v>
          </cell>
        </row>
        <row r="1772">
          <cell r="A1772" t="str">
            <v>B557775/A</v>
          </cell>
          <cell r="B1772" t="str">
            <v>CZ044NM191</v>
          </cell>
          <cell r="C1772">
            <v>5</v>
          </cell>
          <cell r="D1772">
            <v>778.27</v>
          </cell>
          <cell r="E1772">
            <v>3891.35</v>
          </cell>
          <cell r="F1772" t="str">
            <v>P17</v>
          </cell>
          <cell r="G1772" t="str">
            <v>Cleat - Bọ gỗ</v>
          </cell>
          <cell r="H1772" t="str">
            <v>Wood Rubber Laminate Board - 20 x 1220 x 2440mm, Veneer Poplar both Faces</v>
          </cell>
          <cell r="I1772">
            <v>10</v>
          </cell>
        </row>
        <row r="1773">
          <cell r="A1773" t="str">
            <v>B557775/A</v>
          </cell>
          <cell r="B1773" t="str">
            <v>CZ044NM191</v>
          </cell>
          <cell r="C1773">
            <v>5</v>
          </cell>
          <cell r="D1773">
            <v>778.27</v>
          </cell>
          <cell r="E1773">
            <v>3891.35</v>
          </cell>
          <cell r="F1773" t="str">
            <v>P18</v>
          </cell>
          <cell r="G1773" t="str">
            <v>Front rail  - Đố tiền</v>
          </cell>
          <cell r="H1773" t="str">
            <v>Wood Rubber Laminate Board - 20 x 1220 x 2440mm, Veneer Poplar both Faces</v>
          </cell>
          <cell r="I1773">
            <v>10</v>
          </cell>
        </row>
        <row r="1774">
          <cell r="A1774" t="str">
            <v>B557775/A</v>
          </cell>
          <cell r="B1774" t="str">
            <v>CZ044NM191</v>
          </cell>
          <cell r="C1774">
            <v>5</v>
          </cell>
          <cell r="D1774">
            <v>778.27</v>
          </cell>
          <cell r="E1774">
            <v>3891.35</v>
          </cell>
          <cell r="F1774" t="str">
            <v>P19</v>
          </cell>
          <cell r="G1774" t="str">
            <v>Cleat - Bọ gỗ</v>
          </cell>
          <cell r="H1774" t="str">
            <v>Wood Rubber Laminate Board - 20 x 1220 x 2440mm, Veneer Poplar both Faces</v>
          </cell>
          <cell r="I1774">
            <v>10</v>
          </cell>
        </row>
        <row r="1775">
          <cell r="A1775" t="str">
            <v>B557775/A</v>
          </cell>
          <cell r="B1775" t="str">
            <v>CZ044NM191</v>
          </cell>
          <cell r="C1775">
            <v>5</v>
          </cell>
          <cell r="D1775">
            <v>778.27</v>
          </cell>
          <cell r="E1775">
            <v>3891.35</v>
          </cell>
          <cell r="F1775" t="str">
            <v>P20</v>
          </cell>
          <cell r="G1775" t="str">
            <v xml:space="preserve">Panel - Ván </v>
          </cell>
          <cell r="H1775" t="str">
            <v>Cement Board - 18 x 1220 x 2440mm, Dark Grey</v>
          </cell>
          <cell r="I1775">
            <v>5</v>
          </cell>
        </row>
        <row r="1776">
          <cell r="A1776" t="str">
            <v>B557777/A</v>
          </cell>
          <cell r="B1776" t="str">
            <v>CZ051M08</v>
          </cell>
          <cell r="C1776">
            <v>13</v>
          </cell>
          <cell r="D1776">
            <v>327.73</v>
          </cell>
          <cell r="E1776">
            <v>4260.49</v>
          </cell>
          <cell r="F1776" t="str">
            <v>A1-S1</v>
          </cell>
          <cell r="G1776" t="str">
            <v>Front Vertical rail  - Trụ tiền</v>
          </cell>
          <cell r="H1776" t="str">
            <v>Pre-Assembly</v>
          </cell>
          <cell r="I1776">
            <v>26</v>
          </cell>
        </row>
        <row r="1777">
          <cell r="A1777" t="str">
            <v>B557777/A</v>
          </cell>
          <cell r="B1777" t="str">
            <v>CZ051M08</v>
          </cell>
          <cell r="C1777">
            <v>13</v>
          </cell>
          <cell r="D1777">
            <v>327.73</v>
          </cell>
          <cell r="E1777">
            <v>4260.49</v>
          </cell>
          <cell r="F1777" t="str">
            <v>A1-S1-1</v>
          </cell>
          <cell r="G1777" t="str">
            <v>Front rail  - Đố tiền</v>
          </cell>
          <cell r="H1777" t="str">
            <v>Wood US Poplar - Straight Edged, 2 COM - T25mm x W100mm Up x L1.8m Up</v>
          </cell>
          <cell r="I1777">
            <v>26</v>
          </cell>
        </row>
        <row r="1778">
          <cell r="A1778" t="str">
            <v>B557777/A</v>
          </cell>
          <cell r="B1778" t="str">
            <v>CZ051M08</v>
          </cell>
          <cell r="C1778">
            <v>13</v>
          </cell>
          <cell r="D1778">
            <v>327.73</v>
          </cell>
          <cell r="E1778">
            <v>4260.49</v>
          </cell>
          <cell r="F1778" t="str">
            <v>A1-S1-2</v>
          </cell>
          <cell r="G1778" t="str">
            <v>Wood laminater - Gỗ ghép 1</v>
          </cell>
          <cell r="H1778" t="str">
            <v>TRAM OFF CUT</v>
          </cell>
          <cell r="I1778">
            <v>26</v>
          </cell>
        </row>
        <row r="1779">
          <cell r="A1779" t="str">
            <v>B557777/A</v>
          </cell>
          <cell r="B1779" t="str">
            <v>CZ051M08</v>
          </cell>
          <cell r="C1779">
            <v>13</v>
          </cell>
          <cell r="D1779">
            <v>327.73</v>
          </cell>
          <cell r="E1779">
            <v>4260.49</v>
          </cell>
          <cell r="F1779" t="str">
            <v>A1-S2</v>
          </cell>
          <cell r="G1779" t="str">
            <v>Back leg - Chân hậu</v>
          </cell>
          <cell r="H1779" t="str">
            <v>Beech 2 COM</v>
          </cell>
          <cell r="I1779">
            <v>26</v>
          </cell>
        </row>
        <row r="1780">
          <cell r="A1780" t="str">
            <v>B557777/A</v>
          </cell>
          <cell r="B1780" t="str">
            <v>CZ051M08</v>
          </cell>
          <cell r="C1780">
            <v>13</v>
          </cell>
          <cell r="D1780">
            <v>327.73</v>
          </cell>
          <cell r="E1780">
            <v>4260.49</v>
          </cell>
          <cell r="F1780" t="str">
            <v>A1-S3</v>
          </cell>
          <cell r="G1780" t="str">
            <v xml:space="preserve">Side panel  - Ván hông </v>
          </cell>
          <cell r="H1780" t="str">
            <v>MDF - 15 x 1830 x 2440mm [CARB P2 Compliant]</v>
          </cell>
          <cell r="I1780">
            <v>26</v>
          </cell>
        </row>
        <row r="1781">
          <cell r="A1781" t="str">
            <v>B557777/A</v>
          </cell>
          <cell r="B1781" t="str">
            <v>CZ051M08</v>
          </cell>
          <cell r="C1781">
            <v>13</v>
          </cell>
          <cell r="D1781">
            <v>327.73</v>
          </cell>
          <cell r="E1781">
            <v>4260.49</v>
          </cell>
          <cell r="F1781" t="str">
            <v>A1-S4</v>
          </cell>
          <cell r="G1781" t="str">
            <v>side rail inside with note finger - Đố trong ghép finger</v>
          </cell>
          <cell r="H1781" t="str">
            <v>Pre-Assembly</v>
          </cell>
          <cell r="I1781">
            <v>52</v>
          </cell>
        </row>
        <row r="1782">
          <cell r="A1782" t="str">
            <v>B557777/A</v>
          </cell>
          <cell r="B1782" t="str">
            <v>CZ051M08</v>
          </cell>
          <cell r="C1782">
            <v>13</v>
          </cell>
          <cell r="D1782">
            <v>327.73</v>
          </cell>
          <cell r="E1782">
            <v>4260.49</v>
          </cell>
          <cell r="F1782" t="str">
            <v>A1-S4-1</v>
          </cell>
          <cell r="G1782" t="str">
            <v xml:space="preserve">Side rail  - Đố hông </v>
          </cell>
          <cell r="H1782" t="str">
            <v>Wood US Poplar - Straight Edged, 2 COM - T25mm x W100mm Up x L1.8m Up</v>
          </cell>
          <cell r="I1782">
            <v>52</v>
          </cell>
        </row>
        <row r="1783">
          <cell r="A1783" t="str">
            <v>B557777/A</v>
          </cell>
          <cell r="B1783" t="str">
            <v>CZ051M08</v>
          </cell>
          <cell r="C1783">
            <v>13</v>
          </cell>
          <cell r="D1783">
            <v>327.73</v>
          </cell>
          <cell r="E1783">
            <v>4260.49</v>
          </cell>
          <cell r="F1783" t="str">
            <v>A1-S4-2</v>
          </cell>
          <cell r="G1783" t="str">
            <v>Patching wood - Gỗ đắp</v>
          </cell>
          <cell r="H1783" t="str">
            <v>wood off cut</v>
          </cell>
          <cell r="I1783">
            <v>104</v>
          </cell>
        </row>
        <row r="1784">
          <cell r="A1784" t="str">
            <v>B557777/A</v>
          </cell>
          <cell r="B1784" t="str">
            <v>CZ051M08</v>
          </cell>
          <cell r="C1784">
            <v>13</v>
          </cell>
          <cell r="D1784">
            <v>327.73</v>
          </cell>
          <cell r="E1784">
            <v>4260.49</v>
          </cell>
          <cell r="F1784" t="str">
            <v>A4-S1</v>
          </cell>
          <cell r="G1784" t="str">
            <v>Front Bottom Rail  - Đố đáy trước</v>
          </cell>
          <cell r="H1784" t="str">
            <v>Wood Rubber Laminate Board - 20 x 1220 x 2440mm, Veneer Poplar both Faces</v>
          </cell>
          <cell r="I1784">
            <v>13</v>
          </cell>
        </row>
        <row r="1785">
          <cell r="A1785" t="str">
            <v>B557777/A</v>
          </cell>
          <cell r="B1785" t="str">
            <v>CZ051M08</v>
          </cell>
          <cell r="C1785">
            <v>13</v>
          </cell>
          <cell r="D1785">
            <v>327.73</v>
          </cell>
          <cell r="E1785">
            <v>4260.49</v>
          </cell>
          <cell r="F1785" t="str">
            <v>A4-S2</v>
          </cell>
          <cell r="G1785" t="str">
            <v>Front Bottom Rail  - Đố đáy trước</v>
          </cell>
          <cell r="H1785" t="str">
            <v>Wood Rubber Laminate Board - 20 x 1220 x 2440mm, Veneer Poplar both Faces</v>
          </cell>
          <cell r="I1785">
            <v>13</v>
          </cell>
        </row>
        <row r="1786">
          <cell r="A1786" t="str">
            <v>B557777/A</v>
          </cell>
          <cell r="B1786" t="str">
            <v>CZ051M08</v>
          </cell>
          <cell r="C1786">
            <v>13</v>
          </cell>
          <cell r="D1786">
            <v>327.73</v>
          </cell>
          <cell r="E1786">
            <v>4260.49</v>
          </cell>
          <cell r="F1786" t="str">
            <v>A4-S4</v>
          </cell>
          <cell r="G1786" t="str">
            <v>Dust board Panel  - Ván quét bụi</v>
          </cell>
          <cell r="H1786" t="str">
            <v>MDF - 06 x 1830 x 2440mm [CARB P2 Compliant]</v>
          </cell>
          <cell r="I1786">
            <v>13</v>
          </cell>
        </row>
        <row r="1787">
          <cell r="A1787" t="str">
            <v>B557777/A</v>
          </cell>
          <cell r="B1787" t="str">
            <v>CZ051M08</v>
          </cell>
          <cell r="C1787">
            <v>13</v>
          </cell>
          <cell r="D1787">
            <v>327.73</v>
          </cell>
          <cell r="E1787">
            <v>4260.49</v>
          </cell>
          <cell r="F1787" t="str">
            <v>A4-S5</v>
          </cell>
          <cell r="G1787" t="str">
            <v>Center rail - Đố giữa</v>
          </cell>
          <cell r="H1787" t="str">
            <v>MDF OFF CUT</v>
          </cell>
          <cell r="I1787">
            <v>13</v>
          </cell>
        </row>
        <row r="1788">
          <cell r="A1788" t="str">
            <v>B557777/A</v>
          </cell>
          <cell r="B1788" t="str">
            <v>CZ051M08</v>
          </cell>
          <cell r="C1788">
            <v>13</v>
          </cell>
          <cell r="D1788">
            <v>327.73</v>
          </cell>
          <cell r="E1788">
            <v>4260.49</v>
          </cell>
          <cell r="F1788" t="str">
            <v>A6-S1</v>
          </cell>
          <cell r="G1788" t="str">
            <v xml:space="preserve">Drawer front - Mặt hộc kéo </v>
          </cell>
          <cell r="H1788" t="str">
            <v>MDF Veneer</v>
          </cell>
          <cell r="I1788">
            <v>26</v>
          </cell>
        </row>
        <row r="1789">
          <cell r="A1789" t="str">
            <v>B557777/A</v>
          </cell>
          <cell r="B1789" t="str">
            <v>CZ051M08</v>
          </cell>
          <cell r="C1789">
            <v>13</v>
          </cell>
          <cell r="D1789">
            <v>327.73</v>
          </cell>
          <cell r="E1789">
            <v>4260.49</v>
          </cell>
          <cell r="F1789" t="str">
            <v>A6-S2</v>
          </cell>
          <cell r="G1789" t="str">
            <v>Drawer side - Hông hộc kéo</v>
          </cell>
          <cell r="H1789" t="str">
            <v>MDF-N - 12 x 1220 x 2440mm, Veneer Okoume 0.3mm Both Faces [CARB P2 Compliant]</v>
          </cell>
          <cell r="I1789">
            <v>52</v>
          </cell>
        </row>
        <row r="1790">
          <cell r="A1790" t="str">
            <v>B557777/A</v>
          </cell>
          <cell r="B1790" t="str">
            <v>CZ051M08</v>
          </cell>
          <cell r="C1790">
            <v>13</v>
          </cell>
          <cell r="D1790">
            <v>327.73</v>
          </cell>
          <cell r="E1790">
            <v>4260.49</v>
          </cell>
          <cell r="F1790" t="str">
            <v>A6-S3</v>
          </cell>
          <cell r="G1790" t="str">
            <v>Drawer back - Hậu hộc kéo</v>
          </cell>
          <cell r="H1790" t="str">
            <v>MDF - 12 x 1220 x 2440mm, Veneer Okoume 0.3mm Both Faces [CARB P2 Compliant]</v>
          </cell>
          <cell r="I1790">
            <v>26</v>
          </cell>
        </row>
        <row r="1791">
          <cell r="A1791" t="str">
            <v>B557777/A</v>
          </cell>
          <cell r="B1791" t="str">
            <v>CZ051M08</v>
          </cell>
          <cell r="C1791">
            <v>13</v>
          </cell>
          <cell r="D1791">
            <v>327.73</v>
          </cell>
          <cell r="E1791">
            <v>4260.49</v>
          </cell>
          <cell r="F1791" t="str">
            <v>A6-S4</v>
          </cell>
          <cell r="G1791" t="str">
            <v>Drawer bottom  - Đáy hộc kéo</v>
          </cell>
          <cell r="H1791" t="str">
            <v>MDF - 06 x 1220 x 2440mm, Veneer Okoume 0.3mm Both Faces [CARB P2 Compliant]</v>
          </cell>
          <cell r="I1791">
            <v>26</v>
          </cell>
        </row>
        <row r="1792">
          <cell r="A1792" t="str">
            <v>B557777/A</v>
          </cell>
          <cell r="B1792" t="str">
            <v>CZ051M08</v>
          </cell>
          <cell r="C1792">
            <v>13</v>
          </cell>
          <cell r="D1792">
            <v>327.73</v>
          </cell>
          <cell r="E1792">
            <v>4260.49</v>
          </cell>
          <cell r="F1792" t="str">
            <v>A6-S5</v>
          </cell>
          <cell r="G1792" t="str">
            <v>Center rail - Đố giữa</v>
          </cell>
          <cell r="H1792" t="str">
            <v>Wood US Poplar - Straight Edged, 2 COM - T38mm x W100mm Up x L1.8m Up</v>
          </cell>
          <cell r="I1792">
            <v>26</v>
          </cell>
        </row>
        <row r="1793">
          <cell r="A1793" t="str">
            <v>B557777/A</v>
          </cell>
          <cell r="B1793" t="str">
            <v>CZ051M08</v>
          </cell>
          <cell r="C1793">
            <v>13</v>
          </cell>
          <cell r="D1793">
            <v>327.73</v>
          </cell>
          <cell r="E1793">
            <v>4260.49</v>
          </cell>
          <cell r="F1793" t="str">
            <v>P01</v>
          </cell>
          <cell r="G1793" t="str">
            <v>Front top rail  - Đố tiền nóc</v>
          </cell>
          <cell r="H1793" t="str">
            <v>Wood Rubber Laminate Board - 20 x 1220 x 2440mm, Veneer Poplar both Faces</v>
          </cell>
          <cell r="I1793">
            <v>13</v>
          </cell>
        </row>
        <row r="1794">
          <cell r="A1794" t="str">
            <v>B557777/A</v>
          </cell>
          <cell r="B1794" t="str">
            <v>CZ051M08</v>
          </cell>
          <cell r="C1794">
            <v>13</v>
          </cell>
          <cell r="D1794">
            <v>327.73</v>
          </cell>
          <cell r="E1794">
            <v>4260.49</v>
          </cell>
          <cell r="F1794" t="str">
            <v>P02</v>
          </cell>
          <cell r="G1794" t="str">
            <v>Back rail with note finger - đố hậu</v>
          </cell>
          <cell r="H1794" t="str">
            <v>Wood Rubber Laminate Board - 20 x 1220 x 2440mm, Veneer Poplar both Faces</v>
          </cell>
          <cell r="I1794">
            <v>13</v>
          </cell>
        </row>
        <row r="1795">
          <cell r="A1795" t="str">
            <v>B557777/A</v>
          </cell>
          <cell r="B1795" t="str">
            <v>CZ051M08</v>
          </cell>
          <cell r="C1795">
            <v>13</v>
          </cell>
          <cell r="D1795">
            <v>327.73</v>
          </cell>
          <cell r="E1795">
            <v>4260.49</v>
          </cell>
          <cell r="F1795" t="str">
            <v>P03</v>
          </cell>
          <cell r="G1795" t="str">
            <v xml:space="preserve">Top panel  - Ván nóc </v>
          </cell>
          <cell r="H1795" t="str">
            <v>MDF - 15 x 1830 x 2440mm [CARB P2 Compliant]</v>
          </cell>
          <cell r="I1795">
            <v>13</v>
          </cell>
        </row>
        <row r="1796">
          <cell r="A1796" t="str">
            <v>B557777/A</v>
          </cell>
          <cell r="B1796" t="str">
            <v>CZ051M08</v>
          </cell>
          <cell r="C1796">
            <v>13</v>
          </cell>
          <cell r="D1796">
            <v>327.73</v>
          </cell>
          <cell r="E1796">
            <v>4260.49</v>
          </cell>
          <cell r="F1796" t="str">
            <v>P05-1</v>
          </cell>
          <cell r="G1796" t="str">
            <v>side rail inside with note finger - Đố trong ghép finger</v>
          </cell>
          <cell r="H1796" t="str">
            <v>Wood Rubber Laminate Board - 20 x 1220 x 2440mm, Veneer Poplar both Faces</v>
          </cell>
          <cell r="I1796">
            <v>26</v>
          </cell>
        </row>
        <row r="1797">
          <cell r="A1797" t="str">
            <v>B557777/A</v>
          </cell>
          <cell r="B1797" t="str">
            <v>CZ051M08</v>
          </cell>
          <cell r="C1797">
            <v>13</v>
          </cell>
          <cell r="D1797">
            <v>327.73</v>
          </cell>
          <cell r="E1797">
            <v>4260.49</v>
          </cell>
          <cell r="F1797" t="str">
            <v>P08</v>
          </cell>
          <cell r="G1797" t="str">
            <v>Spline - Lưỡi gà</v>
          </cell>
          <cell r="H1797" t="str">
            <v>wood off cut</v>
          </cell>
          <cell r="I1797">
            <v>26</v>
          </cell>
        </row>
        <row r="1798">
          <cell r="A1798" t="str">
            <v>B557777/A</v>
          </cell>
          <cell r="B1798" t="str">
            <v>CZ051M08</v>
          </cell>
          <cell r="C1798">
            <v>13</v>
          </cell>
          <cell r="D1798">
            <v>327.73</v>
          </cell>
          <cell r="E1798">
            <v>4260.49</v>
          </cell>
          <cell r="F1798" t="str">
            <v>P09</v>
          </cell>
          <cell r="G1798" t="str">
            <v>Spline - Lưỡi gà</v>
          </cell>
          <cell r="H1798" t="str">
            <v>wood off cut</v>
          </cell>
          <cell r="I1798">
            <v>13</v>
          </cell>
        </row>
        <row r="1799">
          <cell r="A1799" t="str">
            <v>B557777/A</v>
          </cell>
          <cell r="B1799" t="str">
            <v>CZ051M08</v>
          </cell>
          <cell r="C1799">
            <v>13</v>
          </cell>
          <cell r="D1799">
            <v>327.73</v>
          </cell>
          <cell r="E1799">
            <v>4260.49</v>
          </cell>
          <cell r="F1799" t="str">
            <v>P10</v>
          </cell>
          <cell r="G1799" t="str">
            <v>Back panel - Ván hậu</v>
          </cell>
          <cell r="H1799" t="str">
            <v>MDF Veneer</v>
          </cell>
          <cell r="I1799">
            <v>13</v>
          </cell>
        </row>
        <row r="1800">
          <cell r="A1800" t="str">
            <v>B557777/A</v>
          </cell>
          <cell r="B1800" t="str">
            <v>CZ051M08</v>
          </cell>
          <cell r="C1800">
            <v>13</v>
          </cell>
          <cell r="D1800">
            <v>327.73</v>
          </cell>
          <cell r="E1800">
            <v>4260.49</v>
          </cell>
          <cell r="F1800" t="str">
            <v>P12</v>
          </cell>
          <cell r="G1800" t="str">
            <v>Corner block - ke góc</v>
          </cell>
          <cell r="H1800" t="str">
            <v>Poplar off cut</v>
          </cell>
          <cell r="I1800">
            <v>26</v>
          </cell>
        </row>
        <row r="1801">
          <cell r="A1801" t="str">
            <v>B557777/A</v>
          </cell>
          <cell r="B1801" t="str">
            <v>CZ051M08</v>
          </cell>
          <cell r="C1801">
            <v>13</v>
          </cell>
          <cell r="D1801">
            <v>327.73</v>
          </cell>
          <cell r="E1801">
            <v>4260.49</v>
          </cell>
          <cell r="F1801" t="str">
            <v>P13</v>
          </cell>
          <cell r="G1801" t="str">
            <v>Cleat - Bọ gỗ</v>
          </cell>
          <cell r="H1801" t="str">
            <v>Wood Rubber Laminate Board - 20 x 1220 x 2440mm, Veneer Poplar both Faces</v>
          </cell>
          <cell r="I1801">
            <v>26</v>
          </cell>
        </row>
        <row r="1802">
          <cell r="A1802" t="str">
            <v>B557777/A</v>
          </cell>
          <cell r="B1802" t="str">
            <v>CZ051M08</v>
          </cell>
          <cell r="C1802">
            <v>13</v>
          </cell>
          <cell r="D1802">
            <v>327.73</v>
          </cell>
          <cell r="E1802">
            <v>4260.49</v>
          </cell>
          <cell r="F1802" t="str">
            <v>P15</v>
          </cell>
          <cell r="G1802" t="str">
            <v>Front rail  - Đố tiền</v>
          </cell>
          <cell r="H1802" t="str">
            <v>Wood Rubber Laminate Board - 20 x 1220 x 2440mm, Veneer Poplar both Faces</v>
          </cell>
          <cell r="I1802">
            <v>13</v>
          </cell>
        </row>
        <row r="1803">
          <cell r="A1803" t="str">
            <v>B557777/A</v>
          </cell>
          <cell r="B1803" t="str">
            <v>CZ051M08</v>
          </cell>
          <cell r="C1803">
            <v>13</v>
          </cell>
          <cell r="D1803">
            <v>327.73</v>
          </cell>
          <cell r="E1803">
            <v>4260.49</v>
          </cell>
          <cell r="F1803" t="str">
            <v>P16</v>
          </cell>
          <cell r="G1803" t="str">
            <v>Drawer stop - Dừng hộc</v>
          </cell>
          <cell r="H1803" t="str">
            <v>Poplar off cut</v>
          </cell>
          <cell r="I1803">
            <v>52</v>
          </cell>
        </row>
        <row r="1804">
          <cell r="A1804" t="str">
            <v>B557779/A</v>
          </cell>
          <cell r="B1804" t="str">
            <v>CZ051M09</v>
          </cell>
          <cell r="C1804">
            <v>23</v>
          </cell>
          <cell r="D1804">
            <v>327.73</v>
          </cell>
          <cell r="E1804">
            <v>7537.7900000000009</v>
          </cell>
          <cell r="F1804" t="str">
            <v>A1-S1</v>
          </cell>
          <cell r="G1804" t="str">
            <v>Front Vertical rail  - Trụ tiền</v>
          </cell>
          <cell r="H1804" t="str">
            <v>Pre-Assembly</v>
          </cell>
          <cell r="I1804">
            <v>46</v>
          </cell>
        </row>
        <row r="1805">
          <cell r="A1805" t="str">
            <v>B557779/A</v>
          </cell>
          <cell r="B1805" t="str">
            <v>CZ051M09</v>
          </cell>
          <cell r="C1805">
            <v>23</v>
          </cell>
          <cell r="D1805">
            <v>327.73</v>
          </cell>
          <cell r="E1805">
            <v>7537.7900000000009</v>
          </cell>
          <cell r="F1805" t="str">
            <v>A1-S1-1</v>
          </cell>
          <cell r="G1805" t="str">
            <v>Front rail  - Đố tiền</v>
          </cell>
          <cell r="H1805" t="str">
            <v>Wood US Poplar - Straight Edged, 2 COM - T25mm x W100mm Up x L1.8m Up</v>
          </cell>
          <cell r="I1805">
            <v>46</v>
          </cell>
        </row>
        <row r="1806">
          <cell r="A1806" t="str">
            <v>B557779/A</v>
          </cell>
          <cell r="B1806" t="str">
            <v>CZ051M09</v>
          </cell>
          <cell r="C1806">
            <v>23</v>
          </cell>
          <cell r="D1806">
            <v>327.73</v>
          </cell>
          <cell r="E1806">
            <v>7537.7900000000009</v>
          </cell>
          <cell r="F1806" t="str">
            <v>A1-S1-2</v>
          </cell>
          <cell r="G1806" t="str">
            <v>Wood laminater - Gỗ ghép 1</v>
          </cell>
          <cell r="H1806" t="str">
            <v>TRAM OFF CUT</v>
          </cell>
          <cell r="I1806">
            <v>46</v>
          </cell>
        </row>
        <row r="1807">
          <cell r="A1807" t="str">
            <v>B557779/A</v>
          </cell>
          <cell r="B1807" t="str">
            <v>CZ051M09</v>
          </cell>
          <cell r="C1807">
            <v>23</v>
          </cell>
          <cell r="D1807">
            <v>327.73</v>
          </cell>
          <cell r="E1807">
            <v>7537.7900000000009</v>
          </cell>
          <cell r="F1807" t="str">
            <v>A1-S2</v>
          </cell>
          <cell r="G1807" t="str">
            <v>Back leg - Chân hậu</v>
          </cell>
          <cell r="H1807" t="str">
            <v>Beech 2 COM</v>
          </cell>
          <cell r="I1807">
            <v>46</v>
          </cell>
        </row>
        <row r="1808">
          <cell r="A1808" t="str">
            <v>B557779/A</v>
          </cell>
          <cell r="B1808" t="str">
            <v>CZ051M09</v>
          </cell>
          <cell r="C1808">
            <v>23</v>
          </cell>
          <cell r="D1808">
            <v>327.73</v>
          </cell>
          <cell r="E1808">
            <v>7537.7900000000009</v>
          </cell>
          <cell r="F1808" t="str">
            <v>A1-S3</v>
          </cell>
          <cell r="G1808" t="str">
            <v xml:space="preserve">Side panel  - Ván hông </v>
          </cell>
          <cell r="H1808" t="str">
            <v>MDF - 15 x 1830 x 2440mm [CARB P2 Compliant]</v>
          </cell>
          <cell r="I1808">
            <v>46</v>
          </cell>
        </row>
        <row r="1809">
          <cell r="A1809" t="str">
            <v>B557779/A</v>
          </cell>
          <cell r="B1809" t="str">
            <v>CZ051M09</v>
          </cell>
          <cell r="C1809">
            <v>23</v>
          </cell>
          <cell r="D1809">
            <v>327.73</v>
          </cell>
          <cell r="E1809">
            <v>7537.7900000000009</v>
          </cell>
          <cell r="F1809" t="str">
            <v>A1-S4</v>
          </cell>
          <cell r="G1809" t="str">
            <v>side rail inside with note finger - Đố trong ghép finger</v>
          </cell>
          <cell r="H1809" t="str">
            <v>Pre-Assembly</v>
          </cell>
          <cell r="I1809">
            <v>92</v>
          </cell>
        </row>
        <row r="1810">
          <cell r="A1810" t="str">
            <v>B557779/A</v>
          </cell>
          <cell r="B1810" t="str">
            <v>CZ051M09</v>
          </cell>
          <cell r="C1810">
            <v>23</v>
          </cell>
          <cell r="D1810">
            <v>327.73</v>
          </cell>
          <cell r="E1810">
            <v>7537.7900000000009</v>
          </cell>
          <cell r="F1810" t="str">
            <v>A1-S4-1</v>
          </cell>
          <cell r="G1810" t="str">
            <v xml:space="preserve">Side rail  - Đố hông </v>
          </cell>
          <cell r="H1810" t="str">
            <v>Wood US Poplar - Straight Edged, 2 COM - T25mm x W100mm Up x L1.8m Up</v>
          </cell>
          <cell r="I1810">
            <v>92</v>
          </cell>
        </row>
        <row r="1811">
          <cell r="A1811" t="str">
            <v>B557779/A</v>
          </cell>
          <cell r="B1811" t="str">
            <v>CZ051M09</v>
          </cell>
          <cell r="C1811">
            <v>23</v>
          </cell>
          <cell r="D1811">
            <v>327.73</v>
          </cell>
          <cell r="E1811">
            <v>7537.7900000000009</v>
          </cell>
          <cell r="F1811" t="str">
            <v>A1-S4-2</v>
          </cell>
          <cell r="G1811" t="str">
            <v>Patching wood - Gỗ đắp</v>
          </cell>
          <cell r="H1811" t="str">
            <v>wood off cut</v>
          </cell>
          <cell r="I1811">
            <v>184</v>
          </cell>
        </row>
        <row r="1812">
          <cell r="A1812" t="str">
            <v>B557779/A</v>
          </cell>
          <cell r="B1812" t="str">
            <v>CZ051M09</v>
          </cell>
          <cell r="C1812">
            <v>23</v>
          </cell>
          <cell r="D1812">
            <v>327.73</v>
          </cell>
          <cell r="E1812">
            <v>7537.7900000000009</v>
          </cell>
          <cell r="F1812" t="str">
            <v>A4-S1</v>
          </cell>
          <cell r="G1812" t="str">
            <v>Front Bottom Rail  - Đố đáy trước</v>
          </cell>
          <cell r="H1812" t="str">
            <v>Wood Rubber Laminate Board - 20 x 1220 x 2440mm, Veneer Poplar both Faces</v>
          </cell>
          <cell r="I1812">
            <v>23</v>
          </cell>
        </row>
        <row r="1813">
          <cell r="A1813" t="str">
            <v>B557779/A</v>
          </cell>
          <cell r="B1813" t="str">
            <v>CZ051M09</v>
          </cell>
          <cell r="C1813">
            <v>23</v>
          </cell>
          <cell r="D1813">
            <v>327.73</v>
          </cell>
          <cell r="E1813">
            <v>7537.7900000000009</v>
          </cell>
          <cell r="F1813" t="str">
            <v>A4-S2</v>
          </cell>
          <cell r="G1813" t="str">
            <v>Front Bottom Rail  - Đố đáy trước</v>
          </cell>
          <cell r="H1813" t="str">
            <v>Wood Rubber Laminate Board - 20 x 1220 x 2440mm, Veneer Poplar both Faces</v>
          </cell>
          <cell r="I1813">
            <v>23</v>
          </cell>
        </row>
        <row r="1814">
          <cell r="A1814" t="str">
            <v>B557779/A</v>
          </cell>
          <cell r="B1814" t="str">
            <v>CZ051M09</v>
          </cell>
          <cell r="C1814">
            <v>23</v>
          </cell>
          <cell r="D1814">
            <v>327.73</v>
          </cell>
          <cell r="E1814">
            <v>7537.7900000000009</v>
          </cell>
          <cell r="F1814" t="str">
            <v>A4-S4</v>
          </cell>
          <cell r="G1814" t="str">
            <v>Dust board Panel  - Ván quét bụi</v>
          </cell>
          <cell r="H1814" t="str">
            <v>MDF - 06 x 1830 x 2440mm [CARB P2 Compliant]</v>
          </cell>
          <cell r="I1814">
            <v>23</v>
          </cell>
        </row>
        <row r="1815">
          <cell r="A1815" t="str">
            <v>B557779/A</v>
          </cell>
          <cell r="B1815" t="str">
            <v>CZ051M09</v>
          </cell>
          <cell r="C1815">
            <v>23</v>
          </cell>
          <cell r="D1815">
            <v>327.73</v>
          </cell>
          <cell r="E1815">
            <v>7537.7900000000009</v>
          </cell>
          <cell r="F1815" t="str">
            <v>A4-S5</v>
          </cell>
          <cell r="G1815" t="str">
            <v>Center rail - Đố giữa</v>
          </cell>
          <cell r="H1815" t="str">
            <v>MDF OFF CUT</v>
          </cell>
          <cell r="I1815">
            <v>23</v>
          </cell>
        </row>
        <row r="1816">
          <cell r="A1816" t="str">
            <v>B557779/A</v>
          </cell>
          <cell r="B1816" t="str">
            <v>CZ051M09</v>
          </cell>
          <cell r="C1816">
            <v>23</v>
          </cell>
          <cell r="D1816">
            <v>327.73</v>
          </cell>
          <cell r="E1816">
            <v>7537.7900000000009</v>
          </cell>
          <cell r="F1816" t="str">
            <v>A6-S1</v>
          </cell>
          <cell r="G1816" t="str">
            <v xml:space="preserve">Drawer front - Mặt hộc kéo </v>
          </cell>
          <cell r="H1816" t="str">
            <v>MDF Veneer</v>
          </cell>
          <cell r="I1816">
            <v>46</v>
          </cell>
        </row>
        <row r="1817">
          <cell r="A1817" t="str">
            <v>B557779/A</v>
          </cell>
          <cell r="B1817" t="str">
            <v>CZ051M09</v>
          </cell>
          <cell r="C1817">
            <v>23</v>
          </cell>
          <cell r="D1817">
            <v>327.73</v>
          </cell>
          <cell r="E1817">
            <v>7537.7900000000009</v>
          </cell>
          <cell r="F1817" t="str">
            <v>A6-S2</v>
          </cell>
          <cell r="G1817" t="str">
            <v>Drawer side - Hông hộc kéo</v>
          </cell>
          <cell r="H1817" t="str">
            <v>MDF-N - 12 x 1220 x 2440mm, Veneer Okoume 0.3mm Both Faces [CARB P2 Compliant]</v>
          </cell>
          <cell r="I1817">
            <v>92</v>
          </cell>
        </row>
        <row r="1818">
          <cell r="A1818" t="str">
            <v>B557779/A</v>
          </cell>
          <cell r="B1818" t="str">
            <v>CZ051M09</v>
          </cell>
          <cell r="C1818">
            <v>23</v>
          </cell>
          <cell r="D1818">
            <v>327.73</v>
          </cell>
          <cell r="E1818">
            <v>7537.7900000000009</v>
          </cell>
          <cell r="F1818" t="str">
            <v>A6-S3</v>
          </cell>
          <cell r="G1818" t="str">
            <v>Drawer back - Hậu hộc kéo</v>
          </cell>
          <cell r="H1818" t="str">
            <v>MDF - 12 x 1220 x 2440mm, Veneer Okoume 0.3mm Both Faces [CARB P2 Compliant]</v>
          </cell>
          <cell r="I1818">
            <v>46</v>
          </cell>
        </row>
        <row r="1819">
          <cell r="A1819" t="str">
            <v>B557779/A</v>
          </cell>
          <cell r="B1819" t="str">
            <v>CZ051M09</v>
          </cell>
          <cell r="C1819">
            <v>23</v>
          </cell>
          <cell r="D1819">
            <v>327.73</v>
          </cell>
          <cell r="E1819">
            <v>7537.7900000000009</v>
          </cell>
          <cell r="F1819" t="str">
            <v>A6-S4</v>
          </cell>
          <cell r="G1819" t="str">
            <v>Drawer bottom  - Đáy hộc kéo</v>
          </cell>
          <cell r="H1819" t="str">
            <v>MDF - 06 x 1220 x 2440mm, Veneer Okoume 0.3mm Both Faces [CARB P2 Compliant]</v>
          </cell>
          <cell r="I1819">
            <v>46</v>
          </cell>
        </row>
        <row r="1820">
          <cell r="A1820" t="str">
            <v>B557779/A</v>
          </cell>
          <cell r="B1820" t="str">
            <v>CZ051M09</v>
          </cell>
          <cell r="C1820">
            <v>23</v>
          </cell>
          <cell r="D1820">
            <v>327.73</v>
          </cell>
          <cell r="E1820">
            <v>7537.7900000000009</v>
          </cell>
          <cell r="F1820" t="str">
            <v>A6-S5</v>
          </cell>
          <cell r="G1820" t="str">
            <v>Center rail - Đố giữa</v>
          </cell>
          <cell r="H1820" t="str">
            <v>Wood US Poplar - Straight Edged, 2 COM - T38mm x W100mm Up x L1.8m Up</v>
          </cell>
          <cell r="I1820">
            <v>46</v>
          </cell>
        </row>
        <row r="1821">
          <cell r="A1821" t="str">
            <v>B557779/A</v>
          </cell>
          <cell r="B1821" t="str">
            <v>CZ051M09</v>
          </cell>
          <cell r="C1821">
            <v>23</v>
          </cell>
          <cell r="D1821">
            <v>327.73</v>
          </cell>
          <cell r="E1821">
            <v>7537.7900000000009</v>
          </cell>
          <cell r="F1821" t="str">
            <v>P01</v>
          </cell>
          <cell r="G1821" t="str">
            <v>Front top rail  - Đố tiền nóc</v>
          </cell>
          <cell r="H1821" t="str">
            <v>Wood Rubber Laminate Board - 20 x 1220 x 2440mm, Veneer Poplar both Faces</v>
          </cell>
          <cell r="I1821">
            <v>23</v>
          </cell>
        </row>
        <row r="1822">
          <cell r="A1822" t="str">
            <v>B557779/A</v>
          </cell>
          <cell r="B1822" t="str">
            <v>CZ051M09</v>
          </cell>
          <cell r="C1822">
            <v>23</v>
          </cell>
          <cell r="D1822">
            <v>327.73</v>
          </cell>
          <cell r="E1822">
            <v>7537.7900000000009</v>
          </cell>
          <cell r="F1822" t="str">
            <v>P02</v>
          </cell>
          <cell r="G1822" t="str">
            <v>Back rail with note finger - đố hậu</v>
          </cell>
          <cell r="H1822" t="str">
            <v>Wood Rubber Laminate Board - 20 x 1220 x 2440mm, Veneer Poplar both Faces</v>
          </cell>
          <cell r="I1822">
            <v>23</v>
          </cell>
        </row>
        <row r="1823">
          <cell r="A1823" t="str">
            <v>B557779/A</v>
          </cell>
          <cell r="B1823" t="str">
            <v>CZ051M09</v>
          </cell>
          <cell r="C1823">
            <v>23</v>
          </cell>
          <cell r="D1823">
            <v>327.73</v>
          </cell>
          <cell r="E1823">
            <v>7537.7900000000009</v>
          </cell>
          <cell r="F1823" t="str">
            <v>P03</v>
          </cell>
          <cell r="G1823" t="str">
            <v xml:space="preserve">Top panel  - Ván nóc </v>
          </cell>
          <cell r="H1823" t="str">
            <v>MDF - 15 x 1830 x 2440mm [CARB P2 Compliant]</v>
          </cell>
          <cell r="I1823">
            <v>23</v>
          </cell>
        </row>
        <row r="1824">
          <cell r="A1824" t="str">
            <v>B557779/A</v>
          </cell>
          <cell r="B1824" t="str">
            <v>CZ051M09</v>
          </cell>
          <cell r="C1824">
            <v>23</v>
          </cell>
          <cell r="D1824">
            <v>327.73</v>
          </cell>
          <cell r="E1824">
            <v>7537.7900000000009</v>
          </cell>
          <cell r="F1824" t="str">
            <v>P05-1</v>
          </cell>
          <cell r="G1824" t="str">
            <v>side rail inside with note finger - Đố trong ghép finger</v>
          </cell>
          <cell r="H1824" t="str">
            <v>Wood Rubber Laminate Board - 20 x 1220 x 2440mm, Veneer Poplar both Faces</v>
          </cell>
          <cell r="I1824">
            <v>46</v>
          </cell>
        </row>
        <row r="1825">
          <cell r="A1825" t="str">
            <v>B557779/A</v>
          </cell>
          <cell r="B1825" t="str">
            <v>CZ051M09</v>
          </cell>
          <cell r="C1825">
            <v>23</v>
          </cell>
          <cell r="D1825">
            <v>327.73</v>
          </cell>
          <cell r="E1825">
            <v>7537.7900000000009</v>
          </cell>
          <cell r="F1825" t="str">
            <v>P08</v>
          </cell>
          <cell r="G1825" t="str">
            <v>Spline - Lưỡi gà</v>
          </cell>
          <cell r="H1825" t="str">
            <v>wood off cut</v>
          </cell>
          <cell r="I1825">
            <v>46</v>
          </cell>
        </row>
        <row r="1826">
          <cell r="A1826" t="str">
            <v>B557779/A</v>
          </cell>
          <cell r="B1826" t="str">
            <v>CZ051M09</v>
          </cell>
          <cell r="C1826">
            <v>23</v>
          </cell>
          <cell r="D1826">
            <v>327.73</v>
          </cell>
          <cell r="E1826">
            <v>7537.7900000000009</v>
          </cell>
          <cell r="F1826" t="str">
            <v>P09</v>
          </cell>
          <cell r="G1826" t="str">
            <v>Spline - Lưỡi gà</v>
          </cell>
          <cell r="H1826" t="str">
            <v>wood off cut</v>
          </cell>
          <cell r="I1826">
            <v>23</v>
          </cell>
        </row>
        <row r="1827">
          <cell r="A1827" t="str">
            <v>B557779/A</v>
          </cell>
          <cell r="B1827" t="str">
            <v>CZ051M09</v>
          </cell>
          <cell r="C1827">
            <v>23</v>
          </cell>
          <cell r="D1827">
            <v>327.73</v>
          </cell>
          <cell r="E1827">
            <v>7537.7900000000009</v>
          </cell>
          <cell r="F1827" t="str">
            <v>P10</v>
          </cell>
          <cell r="G1827" t="str">
            <v>Back panel - Ván hậu</v>
          </cell>
          <cell r="H1827" t="str">
            <v>MDF Veneer</v>
          </cell>
          <cell r="I1827">
            <v>23</v>
          </cell>
        </row>
        <row r="1828">
          <cell r="A1828" t="str">
            <v>B557779/A</v>
          </cell>
          <cell r="B1828" t="str">
            <v>CZ051M09</v>
          </cell>
          <cell r="C1828">
            <v>23</v>
          </cell>
          <cell r="D1828">
            <v>327.73</v>
          </cell>
          <cell r="E1828">
            <v>7537.7900000000009</v>
          </cell>
          <cell r="F1828" t="str">
            <v>P12</v>
          </cell>
          <cell r="G1828" t="str">
            <v>Corner block - ke góc</v>
          </cell>
          <cell r="H1828" t="str">
            <v>Poplar off cut</v>
          </cell>
          <cell r="I1828">
            <v>46</v>
          </cell>
        </row>
        <row r="1829">
          <cell r="A1829" t="str">
            <v>B557779/A</v>
          </cell>
          <cell r="B1829" t="str">
            <v>CZ051M09</v>
          </cell>
          <cell r="C1829">
            <v>23</v>
          </cell>
          <cell r="D1829">
            <v>327.73</v>
          </cell>
          <cell r="E1829">
            <v>7537.7900000000009</v>
          </cell>
          <cell r="F1829" t="str">
            <v>P13</v>
          </cell>
          <cell r="G1829" t="str">
            <v>Cleat - Bọ gỗ</v>
          </cell>
          <cell r="H1829" t="str">
            <v>Wood Rubber Laminate Board - 20 x 1220 x 2440mm, Veneer Poplar both Faces</v>
          </cell>
          <cell r="I1829">
            <v>46</v>
          </cell>
        </row>
        <row r="1830">
          <cell r="A1830" t="str">
            <v>B557779/A</v>
          </cell>
          <cell r="B1830" t="str">
            <v>CZ051M09</v>
          </cell>
          <cell r="C1830">
            <v>23</v>
          </cell>
          <cell r="D1830">
            <v>327.73</v>
          </cell>
          <cell r="E1830">
            <v>7537.7900000000009</v>
          </cell>
          <cell r="F1830" t="str">
            <v>P15</v>
          </cell>
          <cell r="G1830" t="str">
            <v>Front rail  - Đố tiền</v>
          </cell>
          <cell r="H1830" t="str">
            <v>Wood Rubber Laminate Board - 20 x 1220 x 2440mm, Veneer Poplar both Faces</v>
          </cell>
          <cell r="I1830">
            <v>23</v>
          </cell>
        </row>
        <row r="1831">
          <cell r="A1831" t="str">
            <v>B557779/A</v>
          </cell>
          <cell r="B1831" t="str">
            <v>CZ051M09</v>
          </cell>
          <cell r="C1831">
            <v>23</v>
          </cell>
          <cell r="D1831">
            <v>327.73</v>
          </cell>
          <cell r="E1831">
            <v>7537.7900000000009</v>
          </cell>
          <cell r="F1831" t="str">
            <v>P16</v>
          </cell>
          <cell r="G1831" t="str">
            <v>Drawer stop - Dừng hộc</v>
          </cell>
          <cell r="H1831" t="str">
            <v>Poplar off cut</v>
          </cell>
          <cell r="I1831">
            <v>92</v>
          </cell>
        </row>
        <row r="1832">
          <cell r="A1832" t="str">
            <v>B557782/A</v>
          </cell>
          <cell r="B1832" t="str">
            <v>CZ051M10</v>
          </cell>
          <cell r="C1832">
            <v>5</v>
          </cell>
          <cell r="D1832">
            <v>327.73</v>
          </cell>
          <cell r="E1832">
            <v>1638.65</v>
          </cell>
          <cell r="F1832" t="str">
            <v>A1-S1</v>
          </cell>
          <cell r="G1832" t="str">
            <v>Front Vertical rail  - Trụ tiền</v>
          </cell>
          <cell r="H1832" t="str">
            <v>Pre-Assembly</v>
          </cell>
          <cell r="I1832">
            <v>10</v>
          </cell>
        </row>
        <row r="1833">
          <cell r="A1833" t="str">
            <v>B557782/A</v>
          </cell>
          <cell r="B1833" t="str">
            <v>CZ051M10</v>
          </cell>
          <cell r="C1833">
            <v>5</v>
          </cell>
          <cell r="D1833">
            <v>327.73</v>
          </cell>
          <cell r="E1833">
            <v>1638.65</v>
          </cell>
          <cell r="F1833" t="str">
            <v>A1-S1-1</v>
          </cell>
          <cell r="G1833" t="str">
            <v>Front rail  - Đố tiền</v>
          </cell>
          <cell r="H1833" t="str">
            <v>Wood US Poplar - Straight Edged, 2 COM - T25mm x W100mm Up x L1.8m Up</v>
          </cell>
          <cell r="I1833">
            <v>10</v>
          </cell>
        </row>
        <row r="1834">
          <cell r="A1834" t="str">
            <v>B557782/A</v>
          </cell>
          <cell r="B1834" t="str">
            <v>CZ051M10</v>
          </cell>
          <cell r="C1834">
            <v>5</v>
          </cell>
          <cell r="D1834">
            <v>327.73</v>
          </cell>
          <cell r="E1834">
            <v>1638.65</v>
          </cell>
          <cell r="F1834" t="str">
            <v>A1-S1-2</v>
          </cell>
          <cell r="G1834" t="str">
            <v>Wood laminater - Gỗ ghép 1</v>
          </cell>
          <cell r="H1834" t="str">
            <v>TRAM OFF CUT</v>
          </cell>
          <cell r="I1834">
            <v>10</v>
          </cell>
        </row>
        <row r="1835">
          <cell r="A1835" t="str">
            <v>B557782/A</v>
          </cell>
          <cell r="B1835" t="str">
            <v>CZ051M10</v>
          </cell>
          <cell r="C1835">
            <v>5</v>
          </cell>
          <cell r="D1835">
            <v>327.73</v>
          </cell>
          <cell r="E1835">
            <v>1638.65</v>
          </cell>
          <cell r="F1835" t="str">
            <v>A1-S2</v>
          </cell>
          <cell r="G1835" t="str">
            <v>Back leg - Chân hậu</v>
          </cell>
          <cell r="H1835" t="str">
            <v>Beech 2 COM</v>
          </cell>
          <cell r="I1835">
            <v>10</v>
          </cell>
        </row>
        <row r="1836">
          <cell r="A1836" t="str">
            <v>B557782/A</v>
          </cell>
          <cell r="B1836" t="str">
            <v>CZ051M10</v>
          </cell>
          <cell r="C1836">
            <v>5</v>
          </cell>
          <cell r="D1836">
            <v>327.73</v>
          </cell>
          <cell r="E1836">
            <v>1638.65</v>
          </cell>
          <cell r="F1836" t="str">
            <v>A1-S3</v>
          </cell>
          <cell r="G1836" t="str">
            <v xml:space="preserve">Side panel  - Ván hông </v>
          </cell>
          <cell r="H1836" t="str">
            <v>MDF - 15 x 1830 x 2440mm [CARB P2 Compliant]</v>
          </cell>
          <cell r="I1836">
            <v>10</v>
          </cell>
        </row>
        <row r="1837">
          <cell r="A1837" t="str">
            <v>B557782/A</v>
          </cell>
          <cell r="B1837" t="str">
            <v>CZ051M10</v>
          </cell>
          <cell r="C1837">
            <v>5</v>
          </cell>
          <cell r="D1837">
            <v>327.73</v>
          </cell>
          <cell r="E1837">
            <v>1638.65</v>
          </cell>
          <cell r="F1837" t="str">
            <v>A1-S4</v>
          </cell>
          <cell r="G1837" t="str">
            <v>side rail inside with note finger - Đố trong ghép finger</v>
          </cell>
          <cell r="H1837" t="str">
            <v>Pre-Assembly</v>
          </cell>
          <cell r="I1837">
            <v>20</v>
          </cell>
        </row>
        <row r="1838">
          <cell r="A1838" t="str">
            <v>B557782/A</v>
          </cell>
          <cell r="B1838" t="str">
            <v>CZ051M10</v>
          </cell>
          <cell r="C1838">
            <v>5</v>
          </cell>
          <cell r="D1838">
            <v>327.73</v>
          </cell>
          <cell r="E1838">
            <v>1638.65</v>
          </cell>
          <cell r="F1838" t="str">
            <v>A1-S4-1</v>
          </cell>
          <cell r="G1838" t="str">
            <v xml:space="preserve">Side rail  - Đố hông </v>
          </cell>
          <cell r="H1838" t="str">
            <v>Wood US Poplar - Straight Edged, 2 COM - T25mm x W100mm Up x L1.8m Up</v>
          </cell>
          <cell r="I1838">
            <v>20</v>
          </cell>
        </row>
        <row r="1839">
          <cell r="A1839" t="str">
            <v>B557782/A</v>
          </cell>
          <cell r="B1839" t="str">
            <v>CZ051M10</v>
          </cell>
          <cell r="C1839">
            <v>5</v>
          </cell>
          <cell r="D1839">
            <v>327.73</v>
          </cell>
          <cell r="E1839">
            <v>1638.65</v>
          </cell>
          <cell r="F1839" t="str">
            <v>A1-S4-2</v>
          </cell>
          <cell r="G1839" t="str">
            <v>Patching wood - Gỗ đắp</v>
          </cell>
          <cell r="H1839" t="str">
            <v>wood off cut</v>
          </cell>
          <cell r="I1839">
            <v>40</v>
          </cell>
        </row>
        <row r="1840">
          <cell r="A1840" t="str">
            <v>B557782/A</v>
          </cell>
          <cell r="B1840" t="str">
            <v>CZ051M10</v>
          </cell>
          <cell r="C1840">
            <v>5</v>
          </cell>
          <cell r="D1840">
            <v>327.73</v>
          </cell>
          <cell r="E1840">
            <v>1638.65</v>
          </cell>
          <cell r="F1840" t="str">
            <v>A4-S1</v>
          </cell>
          <cell r="G1840" t="str">
            <v>Front Bottom Rail  - Đố đáy trước</v>
          </cell>
          <cell r="H1840" t="str">
            <v>Wood Rubber Laminate Board - 20 x 1220 x 2440mm, Veneer Poplar both Faces</v>
          </cell>
          <cell r="I1840">
            <v>5</v>
          </cell>
        </row>
        <row r="1841">
          <cell r="A1841" t="str">
            <v>B557782/A</v>
          </cell>
          <cell r="B1841" t="str">
            <v>CZ051M10</v>
          </cell>
          <cell r="C1841">
            <v>5</v>
          </cell>
          <cell r="D1841">
            <v>327.73</v>
          </cell>
          <cell r="E1841">
            <v>1638.65</v>
          </cell>
          <cell r="F1841" t="str">
            <v>A4-S2</v>
          </cell>
          <cell r="G1841" t="str">
            <v>Front Bottom Rail  - Đố đáy trước</v>
          </cell>
          <cell r="H1841" t="str">
            <v>Wood Rubber Laminate Board - 20 x 1220 x 2440mm, Veneer Poplar both Faces</v>
          </cell>
          <cell r="I1841">
            <v>5</v>
          </cell>
        </row>
        <row r="1842">
          <cell r="A1842" t="str">
            <v>B557782/A</v>
          </cell>
          <cell r="B1842" t="str">
            <v>CZ051M10</v>
          </cell>
          <cell r="C1842">
            <v>5</v>
          </cell>
          <cell r="D1842">
            <v>327.73</v>
          </cell>
          <cell r="E1842">
            <v>1638.65</v>
          </cell>
          <cell r="F1842" t="str">
            <v>A4-S4</v>
          </cell>
          <cell r="G1842" t="str">
            <v>Dust board Panel  - Ván quét bụi</v>
          </cell>
          <cell r="H1842" t="str">
            <v>MDF - 06 x 1830 x 2440mm [CARB P2 Compliant]</v>
          </cell>
          <cell r="I1842">
            <v>5</v>
          </cell>
        </row>
        <row r="1843">
          <cell r="A1843" t="str">
            <v>B557782/A</v>
          </cell>
          <cell r="B1843" t="str">
            <v>CZ051M10</v>
          </cell>
          <cell r="C1843">
            <v>5</v>
          </cell>
          <cell r="D1843">
            <v>327.73</v>
          </cell>
          <cell r="E1843">
            <v>1638.65</v>
          </cell>
          <cell r="F1843" t="str">
            <v>A4-S5</v>
          </cell>
          <cell r="G1843" t="str">
            <v>Center rail - Đố giữa</v>
          </cell>
          <cell r="H1843" t="str">
            <v>MDF OFF CUT</v>
          </cell>
          <cell r="I1843">
            <v>5</v>
          </cell>
        </row>
        <row r="1844">
          <cell r="A1844" t="str">
            <v>B557782/A</v>
          </cell>
          <cell r="B1844" t="str">
            <v>CZ051M10</v>
          </cell>
          <cell r="C1844">
            <v>5</v>
          </cell>
          <cell r="D1844">
            <v>327.73</v>
          </cell>
          <cell r="E1844">
            <v>1638.65</v>
          </cell>
          <cell r="F1844" t="str">
            <v>A6-S1</v>
          </cell>
          <cell r="G1844" t="str">
            <v xml:space="preserve">Drawer front - Mặt hộc kéo </v>
          </cell>
          <cell r="H1844" t="str">
            <v>MDF Veneer</v>
          </cell>
          <cell r="I1844">
            <v>10</v>
          </cell>
        </row>
        <row r="1845">
          <cell r="A1845" t="str">
            <v>B557782/A</v>
          </cell>
          <cell r="B1845" t="str">
            <v>CZ051M10</v>
          </cell>
          <cell r="C1845">
            <v>5</v>
          </cell>
          <cell r="D1845">
            <v>327.73</v>
          </cell>
          <cell r="E1845">
            <v>1638.65</v>
          </cell>
          <cell r="F1845" t="str">
            <v>A6-S2</v>
          </cell>
          <cell r="G1845" t="str">
            <v>Drawer side - Hông hộc kéo</v>
          </cell>
          <cell r="H1845" t="str">
            <v>MDF-N - 12 x 1220 x 2440mm, Veneer Okoume 0.3mm Both Faces [CARB P2 Compliant]</v>
          </cell>
          <cell r="I1845">
            <v>20</v>
          </cell>
        </row>
        <row r="1846">
          <cell r="A1846" t="str">
            <v>B557782/A</v>
          </cell>
          <cell r="B1846" t="str">
            <v>CZ051M10</v>
          </cell>
          <cell r="C1846">
            <v>5</v>
          </cell>
          <cell r="D1846">
            <v>327.73</v>
          </cell>
          <cell r="E1846">
            <v>1638.65</v>
          </cell>
          <cell r="F1846" t="str">
            <v>A6-S3</v>
          </cell>
          <cell r="G1846" t="str">
            <v>Drawer back - Hậu hộc kéo</v>
          </cell>
          <cell r="H1846" t="str">
            <v>MDF - 12 x 1220 x 2440mm, Veneer Okoume 0.3mm Both Faces [CARB P2 Compliant]</v>
          </cell>
          <cell r="I1846">
            <v>10</v>
          </cell>
        </row>
        <row r="1847">
          <cell r="A1847" t="str">
            <v>B557782/A</v>
          </cell>
          <cell r="B1847" t="str">
            <v>CZ051M10</v>
          </cell>
          <cell r="C1847">
            <v>5</v>
          </cell>
          <cell r="D1847">
            <v>327.73</v>
          </cell>
          <cell r="E1847">
            <v>1638.65</v>
          </cell>
          <cell r="F1847" t="str">
            <v>A6-S4</v>
          </cell>
          <cell r="G1847" t="str">
            <v>Drawer bottom  - Đáy hộc kéo</v>
          </cell>
          <cell r="H1847" t="str">
            <v>MDF - 06 x 1220 x 2440mm, Veneer Okoume 0.3mm Both Faces [CARB P2 Compliant]</v>
          </cell>
          <cell r="I1847">
            <v>10</v>
          </cell>
        </row>
        <row r="1848">
          <cell r="A1848" t="str">
            <v>B557782/A</v>
          </cell>
          <cell r="B1848" t="str">
            <v>CZ051M10</v>
          </cell>
          <cell r="C1848">
            <v>5</v>
          </cell>
          <cell r="D1848">
            <v>327.73</v>
          </cell>
          <cell r="E1848">
            <v>1638.65</v>
          </cell>
          <cell r="F1848" t="str">
            <v>A6-S5</v>
          </cell>
          <cell r="G1848" t="str">
            <v>Center rail - Đố giữa</v>
          </cell>
          <cell r="H1848" t="str">
            <v>Wood US Poplar - Straight Edged, 2 COM - T38mm x W100mm Up x L1.8m Up</v>
          </cell>
          <cell r="I1848">
            <v>10</v>
          </cell>
        </row>
        <row r="1849">
          <cell r="A1849" t="str">
            <v>B557782/A</v>
          </cell>
          <cell r="B1849" t="str">
            <v>CZ051M10</v>
          </cell>
          <cell r="C1849">
            <v>5</v>
          </cell>
          <cell r="D1849">
            <v>327.73</v>
          </cell>
          <cell r="E1849">
            <v>1638.65</v>
          </cell>
          <cell r="F1849" t="str">
            <v>P01</v>
          </cell>
          <cell r="G1849" t="str">
            <v>Front top rail  - Đố tiền nóc</v>
          </cell>
          <cell r="H1849" t="str">
            <v>Wood Rubber Laminate Board - 20 x 1220 x 2440mm, Veneer Poplar both Faces</v>
          </cell>
          <cell r="I1849">
            <v>5</v>
          </cell>
        </row>
        <row r="1850">
          <cell r="A1850" t="str">
            <v>B557782/A</v>
          </cell>
          <cell r="B1850" t="str">
            <v>CZ051M10</v>
          </cell>
          <cell r="C1850">
            <v>5</v>
          </cell>
          <cell r="D1850">
            <v>327.73</v>
          </cell>
          <cell r="E1850">
            <v>1638.65</v>
          </cell>
          <cell r="F1850" t="str">
            <v>P02</v>
          </cell>
          <cell r="G1850" t="str">
            <v>Back rail with note finger - đố hậu</v>
          </cell>
          <cell r="H1850" t="str">
            <v>Wood Rubber Laminate Board - 20 x 1220 x 2440mm, Veneer Poplar both Faces</v>
          </cell>
          <cell r="I1850">
            <v>5</v>
          </cell>
        </row>
        <row r="1851">
          <cell r="A1851" t="str">
            <v>B557782/A</v>
          </cell>
          <cell r="B1851" t="str">
            <v>CZ051M10</v>
          </cell>
          <cell r="C1851">
            <v>5</v>
          </cell>
          <cell r="D1851">
            <v>327.73</v>
          </cell>
          <cell r="E1851">
            <v>1638.65</v>
          </cell>
          <cell r="F1851" t="str">
            <v>P03</v>
          </cell>
          <cell r="G1851" t="str">
            <v xml:space="preserve">Top panel  - Ván nóc </v>
          </cell>
          <cell r="H1851" t="str">
            <v>MDF - 15 x 1830 x 2440mm [CARB P2 Compliant]</v>
          </cell>
          <cell r="I1851">
            <v>5</v>
          </cell>
        </row>
        <row r="1852">
          <cell r="A1852" t="str">
            <v>B557782/A</v>
          </cell>
          <cell r="B1852" t="str">
            <v>CZ051M10</v>
          </cell>
          <cell r="C1852">
            <v>5</v>
          </cell>
          <cell r="D1852">
            <v>327.73</v>
          </cell>
          <cell r="E1852">
            <v>1638.65</v>
          </cell>
          <cell r="F1852" t="str">
            <v>P05-1</v>
          </cell>
          <cell r="G1852" t="str">
            <v>side rail inside with note finger - Đố trong ghép finger</v>
          </cell>
          <cell r="H1852" t="str">
            <v>Wood Rubber Laminate Board - 20 x 1220 x 2440mm, Veneer Poplar both Faces</v>
          </cell>
          <cell r="I1852">
            <v>10</v>
          </cell>
        </row>
        <row r="1853">
          <cell r="A1853" t="str">
            <v>B557782/A</v>
          </cell>
          <cell r="B1853" t="str">
            <v>CZ051M10</v>
          </cell>
          <cell r="C1853">
            <v>5</v>
          </cell>
          <cell r="D1853">
            <v>327.73</v>
          </cell>
          <cell r="E1853">
            <v>1638.65</v>
          </cell>
          <cell r="F1853" t="str">
            <v>P08</v>
          </cell>
          <cell r="G1853" t="str">
            <v>Spline - Lưỡi gà</v>
          </cell>
          <cell r="H1853" t="str">
            <v>wood off cut</v>
          </cell>
          <cell r="I1853">
            <v>10</v>
          </cell>
        </row>
        <row r="1854">
          <cell r="A1854" t="str">
            <v>B557782/A</v>
          </cell>
          <cell r="B1854" t="str">
            <v>CZ051M10</v>
          </cell>
          <cell r="C1854">
            <v>5</v>
          </cell>
          <cell r="D1854">
            <v>327.73</v>
          </cell>
          <cell r="E1854">
            <v>1638.65</v>
          </cell>
          <cell r="F1854" t="str">
            <v>P09</v>
          </cell>
          <cell r="G1854" t="str">
            <v>Spline - Lưỡi gà</v>
          </cell>
          <cell r="H1854" t="str">
            <v>wood off cut</v>
          </cell>
          <cell r="I1854">
            <v>5</v>
          </cell>
        </row>
        <row r="1855">
          <cell r="A1855" t="str">
            <v>B557782/A</v>
          </cell>
          <cell r="B1855" t="str">
            <v>CZ051M10</v>
          </cell>
          <cell r="C1855">
            <v>5</v>
          </cell>
          <cell r="D1855">
            <v>327.73</v>
          </cell>
          <cell r="E1855">
            <v>1638.65</v>
          </cell>
          <cell r="F1855" t="str">
            <v>P10</v>
          </cell>
          <cell r="G1855" t="str">
            <v>Back panel - Ván hậu</v>
          </cell>
          <cell r="H1855" t="str">
            <v>MDF Veneer</v>
          </cell>
          <cell r="I1855">
            <v>5</v>
          </cell>
        </row>
        <row r="1856">
          <cell r="A1856" t="str">
            <v>B557782/A</v>
          </cell>
          <cell r="B1856" t="str">
            <v>CZ051M10</v>
          </cell>
          <cell r="C1856">
            <v>5</v>
          </cell>
          <cell r="D1856">
            <v>327.73</v>
          </cell>
          <cell r="E1856">
            <v>1638.65</v>
          </cell>
          <cell r="F1856" t="str">
            <v>P12</v>
          </cell>
          <cell r="G1856" t="str">
            <v>Corner block - ke góc</v>
          </cell>
          <cell r="H1856" t="str">
            <v>Poplar off cut</v>
          </cell>
          <cell r="I1856">
            <v>10</v>
          </cell>
        </row>
        <row r="1857">
          <cell r="A1857" t="str">
            <v>B557782/A</v>
          </cell>
          <cell r="B1857" t="str">
            <v>CZ051M10</v>
          </cell>
          <cell r="C1857">
            <v>5</v>
          </cell>
          <cell r="D1857">
            <v>327.73</v>
          </cell>
          <cell r="E1857">
            <v>1638.65</v>
          </cell>
          <cell r="F1857" t="str">
            <v>P13</v>
          </cell>
          <cell r="G1857" t="str">
            <v>Cleat - Bọ gỗ</v>
          </cell>
          <cell r="H1857" t="str">
            <v>Wood Rubber Laminate Board - 20 x 1220 x 2440mm, Veneer Poplar both Faces</v>
          </cell>
          <cell r="I1857">
            <v>10</v>
          </cell>
        </row>
        <row r="1858">
          <cell r="A1858" t="str">
            <v>B557782/A</v>
          </cell>
          <cell r="B1858" t="str">
            <v>CZ051M10</v>
          </cell>
          <cell r="C1858">
            <v>5</v>
          </cell>
          <cell r="D1858">
            <v>327.73</v>
          </cell>
          <cell r="E1858">
            <v>1638.65</v>
          </cell>
          <cell r="F1858" t="str">
            <v>P15</v>
          </cell>
          <cell r="G1858" t="str">
            <v>Front rail  - Đố tiền</v>
          </cell>
          <cell r="H1858" t="str">
            <v>Wood Rubber Laminate Board - 20 x 1220 x 2440mm, Veneer Poplar both Faces</v>
          </cell>
          <cell r="I1858">
            <v>5</v>
          </cell>
        </row>
        <row r="1859">
          <cell r="A1859" t="str">
            <v>B557782/A</v>
          </cell>
          <cell r="B1859" t="str">
            <v>CZ051M10</v>
          </cell>
          <cell r="C1859">
            <v>5</v>
          </cell>
          <cell r="D1859">
            <v>327.73</v>
          </cell>
          <cell r="E1859">
            <v>1638.65</v>
          </cell>
          <cell r="F1859" t="str">
            <v>P16</v>
          </cell>
          <cell r="G1859" t="str">
            <v>Drawer stop - Dừng hộc</v>
          </cell>
          <cell r="H1859" t="str">
            <v>Poplar off cut</v>
          </cell>
          <cell r="I1859">
            <v>20</v>
          </cell>
        </row>
        <row r="1860">
          <cell r="A1860" t="str">
            <v>B557783/A</v>
          </cell>
          <cell r="B1860" t="str">
            <v>CZ051M10</v>
          </cell>
          <cell r="C1860">
            <v>4</v>
          </cell>
          <cell r="D1860">
            <v>327.73</v>
          </cell>
          <cell r="E1860">
            <v>1310.92</v>
          </cell>
          <cell r="F1860" t="str">
            <v>A1-S1</v>
          </cell>
          <cell r="G1860" t="str">
            <v>Front Vertical rail  - Trụ tiền</v>
          </cell>
          <cell r="H1860" t="str">
            <v>Pre-Assembly</v>
          </cell>
          <cell r="I1860">
            <v>8</v>
          </cell>
        </row>
        <row r="1861">
          <cell r="A1861" t="str">
            <v>B557783/A</v>
          </cell>
          <cell r="B1861" t="str">
            <v>CZ051M10</v>
          </cell>
          <cell r="C1861">
            <v>4</v>
          </cell>
          <cell r="D1861">
            <v>327.73</v>
          </cell>
          <cell r="E1861">
            <v>1310.92</v>
          </cell>
          <cell r="F1861" t="str">
            <v>A1-S1-1</v>
          </cell>
          <cell r="G1861" t="str">
            <v>Front rail  - Đố tiền</v>
          </cell>
          <cell r="H1861" t="str">
            <v>Wood US Poplar - Straight Edged, 2 COM - T25mm x W100mm Up x L1.8m Up</v>
          </cell>
          <cell r="I1861">
            <v>8</v>
          </cell>
        </row>
        <row r="1862">
          <cell r="A1862" t="str">
            <v>B557783/A</v>
          </cell>
          <cell r="B1862" t="str">
            <v>CZ051M10</v>
          </cell>
          <cell r="C1862">
            <v>4</v>
          </cell>
          <cell r="D1862">
            <v>327.73</v>
          </cell>
          <cell r="E1862">
            <v>1310.92</v>
          </cell>
          <cell r="F1862" t="str">
            <v>A1-S1-2</v>
          </cell>
          <cell r="G1862" t="str">
            <v>Wood laminater - Gỗ ghép 1</v>
          </cell>
          <cell r="H1862" t="str">
            <v>TRAM OFF CUT</v>
          </cell>
          <cell r="I1862">
            <v>8</v>
          </cell>
        </row>
        <row r="1863">
          <cell r="A1863" t="str">
            <v>B557783/A</v>
          </cell>
          <cell r="B1863" t="str">
            <v>CZ051M10</v>
          </cell>
          <cell r="C1863">
            <v>4</v>
          </cell>
          <cell r="D1863">
            <v>327.73</v>
          </cell>
          <cell r="E1863">
            <v>1310.92</v>
          </cell>
          <cell r="F1863" t="str">
            <v>A1-S2</v>
          </cell>
          <cell r="G1863" t="str">
            <v>Back leg - Chân hậu</v>
          </cell>
          <cell r="H1863" t="str">
            <v>Beech 2 COM</v>
          </cell>
          <cell r="I1863">
            <v>8</v>
          </cell>
        </row>
        <row r="1864">
          <cell r="A1864" t="str">
            <v>B557783/A</v>
          </cell>
          <cell r="B1864" t="str">
            <v>CZ051M10</v>
          </cell>
          <cell r="C1864">
            <v>4</v>
          </cell>
          <cell r="D1864">
            <v>327.73</v>
          </cell>
          <cell r="E1864">
            <v>1310.92</v>
          </cell>
          <cell r="F1864" t="str">
            <v>A1-S3</v>
          </cell>
          <cell r="G1864" t="str">
            <v xml:space="preserve">Side panel  - Ván hông </v>
          </cell>
          <cell r="H1864" t="str">
            <v>MDF - 15 x 1830 x 2440mm [CARB P2 Compliant]</v>
          </cell>
          <cell r="I1864">
            <v>8</v>
          </cell>
        </row>
        <row r="1865">
          <cell r="A1865" t="str">
            <v>B557783/A</v>
          </cell>
          <cell r="B1865" t="str">
            <v>CZ051M10</v>
          </cell>
          <cell r="C1865">
            <v>4</v>
          </cell>
          <cell r="D1865">
            <v>327.73</v>
          </cell>
          <cell r="E1865">
            <v>1310.92</v>
          </cell>
          <cell r="F1865" t="str">
            <v>A1-S4</v>
          </cell>
          <cell r="G1865" t="str">
            <v>side rail inside with note finger - Đố trong ghép finger</v>
          </cell>
          <cell r="H1865" t="str">
            <v>Pre-Assembly</v>
          </cell>
          <cell r="I1865">
            <v>16</v>
          </cell>
        </row>
        <row r="1866">
          <cell r="A1866" t="str">
            <v>B557783/A</v>
          </cell>
          <cell r="B1866" t="str">
            <v>CZ051M10</v>
          </cell>
          <cell r="C1866">
            <v>4</v>
          </cell>
          <cell r="D1866">
            <v>327.73</v>
          </cell>
          <cell r="E1866">
            <v>1310.92</v>
          </cell>
          <cell r="F1866" t="str">
            <v>A1-S4-1</v>
          </cell>
          <cell r="G1866" t="str">
            <v xml:space="preserve">Side rail  - Đố hông </v>
          </cell>
          <cell r="H1866" t="str">
            <v>Wood US Poplar - Straight Edged, 2 COM - T25mm x W100mm Up x L1.8m Up</v>
          </cell>
          <cell r="I1866">
            <v>16</v>
          </cell>
        </row>
        <row r="1867">
          <cell r="A1867" t="str">
            <v>B557783/A</v>
          </cell>
          <cell r="B1867" t="str">
            <v>CZ051M10</v>
          </cell>
          <cell r="C1867">
            <v>4</v>
          </cell>
          <cell r="D1867">
            <v>327.73</v>
          </cell>
          <cell r="E1867">
            <v>1310.92</v>
          </cell>
          <cell r="F1867" t="str">
            <v>A1-S4-2</v>
          </cell>
          <cell r="G1867" t="str">
            <v>Patching wood - Gỗ đắp</v>
          </cell>
          <cell r="H1867" t="str">
            <v>wood off cut</v>
          </cell>
          <cell r="I1867">
            <v>32</v>
          </cell>
        </row>
        <row r="1868">
          <cell r="A1868" t="str">
            <v>B557783/A</v>
          </cell>
          <cell r="B1868" t="str">
            <v>CZ051M10</v>
          </cell>
          <cell r="C1868">
            <v>4</v>
          </cell>
          <cell r="D1868">
            <v>327.73</v>
          </cell>
          <cell r="E1868">
            <v>1310.92</v>
          </cell>
          <cell r="F1868" t="str">
            <v>A4-S1</v>
          </cell>
          <cell r="G1868" t="str">
            <v>Front Bottom Rail  - Đố đáy trước</v>
          </cell>
          <cell r="H1868" t="str">
            <v>Wood Rubber Laminate Board - 20 x 1220 x 2440mm, Veneer Poplar both Faces</v>
          </cell>
          <cell r="I1868">
            <v>4</v>
          </cell>
        </row>
        <row r="1869">
          <cell r="A1869" t="str">
            <v>B557783/A</v>
          </cell>
          <cell r="B1869" t="str">
            <v>CZ051M10</v>
          </cell>
          <cell r="C1869">
            <v>4</v>
          </cell>
          <cell r="D1869">
            <v>327.73</v>
          </cell>
          <cell r="E1869">
            <v>1310.92</v>
          </cell>
          <cell r="F1869" t="str">
            <v>A4-S2</v>
          </cell>
          <cell r="G1869" t="str">
            <v>Front Bottom Rail  - Đố đáy trước</v>
          </cell>
          <cell r="H1869" t="str">
            <v>Wood Rubber Laminate Board - 20 x 1220 x 2440mm, Veneer Poplar both Faces</v>
          </cell>
          <cell r="I1869">
            <v>4</v>
          </cell>
        </row>
        <row r="1870">
          <cell r="A1870" t="str">
            <v>B557783/A</v>
          </cell>
          <cell r="B1870" t="str">
            <v>CZ051M10</v>
          </cell>
          <cell r="C1870">
            <v>4</v>
          </cell>
          <cell r="D1870">
            <v>327.73</v>
          </cell>
          <cell r="E1870">
            <v>1310.92</v>
          </cell>
          <cell r="F1870" t="str">
            <v>A4-S4</v>
          </cell>
          <cell r="G1870" t="str">
            <v>Dust board Panel  - Ván quét bụi</v>
          </cell>
          <cell r="H1870" t="str">
            <v>MDF - 06 x 1830 x 2440mm [CARB P2 Compliant]</v>
          </cell>
          <cell r="I1870">
            <v>4</v>
          </cell>
        </row>
        <row r="1871">
          <cell r="A1871" t="str">
            <v>B557783/A</v>
          </cell>
          <cell r="B1871" t="str">
            <v>CZ051M10</v>
          </cell>
          <cell r="C1871">
            <v>4</v>
          </cell>
          <cell r="D1871">
            <v>327.73</v>
          </cell>
          <cell r="E1871">
            <v>1310.92</v>
          </cell>
          <cell r="F1871" t="str">
            <v>A4-S5</v>
          </cell>
          <cell r="G1871" t="str">
            <v>Center rail - Đố giữa</v>
          </cell>
          <cell r="H1871" t="str">
            <v>MDF OFF CUT</v>
          </cell>
          <cell r="I1871">
            <v>4</v>
          </cell>
        </row>
        <row r="1872">
          <cell r="A1872" t="str">
            <v>B557783/A</v>
          </cell>
          <cell r="B1872" t="str">
            <v>CZ051M10</v>
          </cell>
          <cell r="C1872">
            <v>4</v>
          </cell>
          <cell r="D1872">
            <v>327.73</v>
          </cell>
          <cell r="E1872">
            <v>1310.92</v>
          </cell>
          <cell r="F1872" t="str">
            <v>A6-S1</v>
          </cell>
          <cell r="G1872" t="str">
            <v xml:space="preserve">Drawer front - Mặt hộc kéo </v>
          </cell>
          <cell r="H1872" t="str">
            <v>MDF Veneer</v>
          </cell>
          <cell r="I1872">
            <v>8</v>
          </cell>
        </row>
        <row r="1873">
          <cell r="A1873" t="str">
            <v>B557783/A</v>
          </cell>
          <cell r="B1873" t="str">
            <v>CZ051M10</v>
          </cell>
          <cell r="C1873">
            <v>4</v>
          </cell>
          <cell r="D1873">
            <v>327.73</v>
          </cell>
          <cell r="E1873">
            <v>1310.92</v>
          </cell>
          <cell r="F1873" t="str">
            <v>A6-S2</v>
          </cell>
          <cell r="G1873" t="str">
            <v>Drawer side - Hông hộc kéo</v>
          </cell>
          <cell r="H1873" t="str">
            <v>MDF-N - 12 x 1220 x 2440mm, Veneer Okoume 0.3mm Both Faces [CARB P2 Compliant]</v>
          </cell>
          <cell r="I1873">
            <v>16</v>
          </cell>
        </row>
        <row r="1874">
          <cell r="A1874" t="str">
            <v>B557783/A</v>
          </cell>
          <cell r="B1874" t="str">
            <v>CZ051M10</v>
          </cell>
          <cell r="C1874">
            <v>4</v>
          </cell>
          <cell r="D1874">
            <v>327.73</v>
          </cell>
          <cell r="E1874">
            <v>1310.92</v>
          </cell>
          <cell r="F1874" t="str">
            <v>A6-S3</v>
          </cell>
          <cell r="G1874" t="str">
            <v>Drawer back - Hậu hộc kéo</v>
          </cell>
          <cell r="H1874" t="str">
            <v>MDF - 12 x 1220 x 2440mm, Veneer Okoume 0.3mm Both Faces [CARB P2 Compliant]</v>
          </cell>
          <cell r="I1874">
            <v>8</v>
          </cell>
        </row>
        <row r="1875">
          <cell r="A1875" t="str">
            <v>B557783/A</v>
          </cell>
          <cell r="B1875" t="str">
            <v>CZ051M10</v>
          </cell>
          <cell r="C1875">
            <v>4</v>
          </cell>
          <cell r="D1875">
            <v>327.73</v>
          </cell>
          <cell r="E1875">
            <v>1310.92</v>
          </cell>
          <cell r="F1875" t="str">
            <v>A6-S4</v>
          </cell>
          <cell r="G1875" t="str">
            <v>Drawer bottom  - Đáy hộc kéo</v>
          </cell>
          <cell r="H1875" t="str">
            <v>MDF - 06 x 1220 x 2440mm, Veneer Okoume 0.3mm Both Faces [CARB P2 Compliant]</v>
          </cell>
          <cell r="I1875">
            <v>8</v>
          </cell>
        </row>
        <row r="1876">
          <cell r="A1876" t="str">
            <v>B557783/A</v>
          </cell>
          <cell r="B1876" t="str">
            <v>CZ051M10</v>
          </cell>
          <cell r="C1876">
            <v>4</v>
          </cell>
          <cell r="D1876">
            <v>327.73</v>
          </cell>
          <cell r="E1876">
            <v>1310.92</v>
          </cell>
          <cell r="F1876" t="str">
            <v>A6-S5</v>
          </cell>
          <cell r="G1876" t="str">
            <v>Center rail - Đố giữa</v>
          </cell>
          <cell r="H1876" t="str">
            <v>Wood US Poplar - Straight Edged, 2 COM - T38mm x W100mm Up x L1.8m Up</v>
          </cell>
          <cell r="I1876">
            <v>8</v>
          </cell>
        </row>
        <row r="1877">
          <cell r="A1877" t="str">
            <v>B557783/A</v>
          </cell>
          <cell r="B1877" t="str">
            <v>CZ051M10</v>
          </cell>
          <cell r="C1877">
            <v>4</v>
          </cell>
          <cell r="D1877">
            <v>327.73</v>
          </cell>
          <cell r="E1877">
            <v>1310.92</v>
          </cell>
          <cell r="F1877" t="str">
            <v>P01</v>
          </cell>
          <cell r="G1877" t="str">
            <v>Front top rail  - Đố tiền nóc</v>
          </cell>
          <cell r="H1877" t="str">
            <v>Wood Rubber Laminate Board - 20 x 1220 x 2440mm, Veneer Poplar both Faces</v>
          </cell>
          <cell r="I1877">
            <v>4</v>
          </cell>
        </row>
        <row r="1878">
          <cell r="A1878" t="str">
            <v>B557783/A</v>
          </cell>
          <cell r="B1878" t="str">
            <v>CZ051M10</v>
          </cell>
          <cell r="C1878">
            <v>4</v>
          </cell>
          <cell r="D1878">
            <v>327.73</v>
          </cell>
          <cell r="E1878">
            <v>1310.92</v>
          </cell>
          <cell r="F1878" t="str">
            <v>P02</v>
          </cell>
          <cell r="G1878" t="str">
            <v>Back rail with note finger - đố hậu</v>
          </cell>
          <cell r="H1878" t="str">
            <v>Wood Rubber Laminate Board - 20 x 1220 x 2440mm, Veneer Poplar both Faces</v>
          </cell>
          <cell r="I1878">
            <v>4</v>
          </cell>
        </row>
        <row r="1879">
          <cell r="A1879" t="str">
            <v>B557783/A</v>
          </cell>
          <cell r="B1879" t="str">
            <v>CZ051M10</v>
          </cell>
          <cell r="C1879">
            <v>4</v>
          </cell>
          <cell r="D1879">
            <v>327.73</v>
          </cell>
          <cell r="E1879">
            <v>1310.92</v>
          </cell>
          <cell r="F1879" t="str">
            <v>P03</v>
          </cell>
          <cell r="G1879" t="str">
            <v xml:space="preserve">Top panel  - Ván nóc </v>
          </cell>
          <cell r="H1879" t="str">
            <v>MDF - 15 x 1830 x 2440mm [CARB P2 Compliant]</v>
          </cell>
          <cell r="I1879">
            <v>4</v>
          </cell>
        </row>
        <row r="1880">
          <cell r="A1880" t="str">
            <v>B557783/A</v>
          </cell>
          <cell r="B1880" t="str">
            <v>CZ051M10</v>
          </cell>
          <cell r="C1880">
            <v>4</v>
          </cell>
          <cell r="D1880">
            <v>327.73</v>
          </cell>
          <cell r="E1880">
            <v>1310.92</v>
          </cell>
          <cell r="F1880" t="str">
            <v>P05-1</v>
          </cell>
          <cell r="G1880" t="str">
            <v>side rail inside with note finger - Đố trong ghép finger</v>
          </cell>
          <cell r="H1880" t="str">
            <v>Wood Rubber Laminate Board - 20 x 1220 x 2440mm, Veneer Poplar both Faces</v>
          </cell>
          <cell r="I1880">
            <v>8</v>
          </cell>
        </row>
        <row r="1881">
          <cell r="A1881" t="str">
            <v>B557783/A</v>
          </cell>
          <cell r="B1881" t="str">
            <v>CZ051M10</v>
          </cell>
          <cell r="C1881">
            <v>4</v>
          </cell>
          <cell r="D1881">
            <v>327.73</v>
          </cell>
          <cell r="E1881">
            <v>1310.92</v>
          </cell>
          <cell r="F1881" t="str">
            <v>P08</v>
          </cell>
          <cell r="G1881" t="str">
            <v>Spline - Lưỡi gà</v>
          </cell>
          <cell r="H1881" t="str">
            <v>wood off cut</v>
          </cell>
          <cell r="I1881">
            <v>8</v>
          </cell>
        </row>
        <row r="1882">
          <cell r="A1882" t="str">
            <v>B557783/A</v>
          </cell>
          <cell r="B1882" t="str">
            <v>CZ051M10</v>
          </cell>
          <cell r="C1882">
            <v>4</v>
          </cell>
          <cell r="D1882">
            <v>327.73</v>
          </cell>
          <cell r="E1882">
            <v>1310.92</v>
          </cell>
          <cell r="F1882" t="str">
            <v>P09</v>
          </cell>
          <cell r="G1882" t="str">
            <v>Spline - Lưỡi gà</v>
          </cell>
          <cell r="H1882" t="str">
            <v>wood off cut</v>
          </cell>
          <cell r="I1882">
            <v>4</v>
          </cell>
        </row>
        <row r="1883">
          <cell r="A1883" t="str">
            <v>B557783/A</v>
          </cell>
          <cell r="B1883" t="str">
            <v>CZ051M10</v>
          </cell>
          <cell r="C1883">
            <v>4</v>
          </cell>
          <cell r="D1883">
            <v>327.73</v>
          </cell>
          <cell r="E1883">
            <v>1310.92</v>
          </cell>
          <cell r="F1883" t="str">
            <v>P10</v>
          </cell>
          <cell r="G1883" t="str">
            <v>Back panel - Ván hậu</v>
          </cell>
          <cell r="H1883" t="str">
            <v>MDF Veneer</v>
          </cell>
          <cell r="I1883">
            <v>4</v>
          </cell>
        </row>
        <row r="1884">
          <cell r="A1884" t="str">
            <v>B557783/A</v>
          </cell>
          <cell r="B1884" t="str">
            <v>CZ051M10</v>
          </cell>
          <cell r="C1884">
            <v>4</v>
          </cell>
          <cell r="D1884">
            <v>327.73</v>
          </cell>
          <cell r="E1884">
            <v>1310.92</v>
          </cell>
          <cell r="F1884" t="str">
            <v>P12</v>
          </cell>
          <cell r="G1884" t="str">
            <v>Corner block - ke góc</v>
          </cell>
          <cell r="H1884" t="str">
            <v>Poplar off cut</v>
          </cell>
          <cell r="I1884">
            <v>8</v>
          </cell>
        </row>
        <row r="1885">
          <cell r="A1885" t="str">
            <v>B557783/A</v>
          </cell>
          <cell r="B1885" t="str">
            <v>CZ051M10</v>
          </cell>
          <cell r="C1885">
            <v>4</v>
          </cell>
          <cell r="D1885">
            <v>327.73</v>
          </cell>
          <cell r="E1885">
            <v>1310.92</v>
          </cell>
          <cell r="F1885" t="str">
            <v>P13</v>
          </cell>
          <cell r="G1885" t="str">
            <v>Cleat - Bọ gỗ</v>
          </cell>
          <cell r="H1885" t="str">
            <v>Wood Rubber Laminate Board - 20 x 1220 x 2440mm, Veneer Poplar both Faces</v>
          </cell>
          <cell r="I1885">
            <v>8</v>
          </cell>
        </row>
        <row r="1886">
          <cell r="A1886" t="str">
            <v>B557783/A</v>
          </cell>
          <cell r="B1886" t="str">
            <v>CZ051M10</v>
          </cell>
          <cell r="C1886">
            <v>4</v>
          </cell>
          <cell r="D1886">
            <v>327.73</v>
          </cell>
          <cell r="E1886">
            <v>1310.92</v>
          </cell>
          <cell r="F1886" t="str">
            <v>P15</v>
          </cell>
          <cell r="G1886" t="str">
            <v>Front rail  - Đố tiền</v>
          </cell>
          <cell r="H1886" t="str">
            <v>Wood Rubber Laminate Board - 20 x 1220 x 2440mm, Veneer Poplar both Faces</v>
          </cell>
          <cell r="I1886">
            <v>4</v>
          </cell>
        </row>
        <row r="1887">
          <cell r="A1887" t="str">
            <v>B557783/A</v>
          </cell>
          <cell r="B1887" t="str">
            <v>CZ051M10</v>
          </cell>
          <cell r="C1887">
            <v>4</v>
          </cell>
          <cell r="D1887">
            <v>327.73</v>
          </cell>
          <cell r="E1887">
            <v>1310.92</v>
          </cell>
          <cell r="F1887" t="str">
            <v>P16</v>
          </cell>
          <cell r="G1887" t="str">
            <v>Drawer stop - Dừng hộc</v>
          </cell>
          <cell r="H1887" t="str">
            <v>Poplar off cut</v>
          </cell>
          <cell r="I1887">
            <v>16</v>
          </cell>
        </row>
        <row r="1888">
          <cell r="A1888" t="str">
            <v>B557785/A</v>
          </cell>
          <cell r="B1888" t="str">
            <v>CZ051M190</v>
          </cell>
          <cell r="C1888">
            <v>11</v>
          </cell>
          <cell r="D1888">
            <v>327.73</v>
          </cell>
          <cell r="E1888">
            <v>3605.03</v>
          </cell>
          <cell r="F1888" t="str">
            <v>A1-S1</v>
          </cell>
          <cell r="G1888" t="str">
            <v>Front Vertical rail  - Trụ tiền</v>
          </cell>
          <cell r="H1888" t="str">
            <v>Pre-Assembly</v>
          </cell>
          <cell r="I1888">
            <v>22</v>
          </cell>
        </row>
        <row r="1889">
          <cell r="A1889" t="str">
            <v>B557785/A</v>
          </cell>
          <cell r="B1889" t="str">
            <v>CZ051M190</v>
          </cell>
          <cell r="C1889">
            <v>11</v>
          </cell>
          <cell r="D1889">
            <v>327.73</v>
          </cell>
          <cell r="E1889">
            <v>3605.03</v>
          </cell>
          <cell r="F1889" t="str">
            <v>A1-S1-1</v>
          </cell>
          <cell r="G1889" t="str">
            <v>Front rail  - Đố tiền</v>
          </cell>
          <cell r="H1889" t="str">
            <v>Wood US Poplar - Straight Edged, 2 COM - T25mm x W100mm Up x L1.8m Up</v>
          </cell>
          <cell r="I1889">
            <v>22</v>
          </cell>
        </row>
        <row r="1890">
          <cell r="A1890" t="str">
            <v>B557785/A</v>
          </cell>
          <cell r="B1890" t="str">
            <v>CZ051M190</v>
          </cell>
          <cell r="C1890">
            <v>11</v>
          </cell>
          <cell r="D1890">
            <v>327.73</v>
          </cell>
          <cell r="E1890">
            <v>3605.03</v>
          </cell>
          <cell r="F1890" t="str">
            <v>A1-S1-2</v>
          </cell>
          <cell r="G1890" t="str">
            <v>Wood laminater - Gỗ ghép 1</v>
          </cell>
          <cell r="H1890" t="str">
            <v>TRAM OFF CUT</v>
          </cell>
          <cell r="I1890">
            <v>22</v>
          </cell>
        </row>
        <row r="1891">
          <cell r="A1891" t="str">
            <v>B557785/A</v>
          </cell>
          <cell r="B1891" t="str">
            <v>CZ051M190</v>
          </cell>
          <cell r="C1891">
            <v>11</v>
          </cell>
          <cell r="D1891">
            <v>327.73</v>
          </cell>
          <cell r="E1891">
            <v>3605.03</v>
          </cell>
          <cell r="F1891" t="str">
            <v>A1-S2</v>
          </cell>
          <cell r="G1891" t="str">
            <v>Back leg - Chân hậu</v>
          </cell>
          <cell r="H1891" t="str">
            <v>Beech 2 COM</v>
          </cell>
          <cell r="I1891">
            <v>22</v>
          </cell>
        </row>
        <row r="1892">
          <cell r="A1892" t="str">
            <v>B557785/A</v>
          </cell>
          <cell r="B1892" t="str">
            <v>CZ051M190</v>
          </cell>
          <cell r="C1892">
            <v>11</v>
          </cell>
          <cell r="D1892">
            <v>327.73</v>
          </cell>
          <cell r="E1892">
            <v>3605.03</v>
          </cell>
          <cell r="F1892" t="str">
            <v>A1-S3</v>
          </cell>
          <cell r="G1892" t="str">
            <v xml:space="preserve">Side panel  - Ván hông </v>
          </cell>
          <cell r="H1892" t="str">
            <v>MDF - 15 x 1830 x 2440mm [CARB P2 Compliant]</v>
          </cell>
          <cell r="I1892">
            <v>22</v>
          </cell>
        </row>
        <row r="1893">
          <cell r="A1893" t="str">
            <v>B557785/A</v>
          </cell>
          <cell r="B1893" t="str">
            <v>CZ051M190</v>
          </cell>
          <cell r="C1893">
            <v>11</v>
          </cell>
          <cell r="D1893">
            <v>327.73</v>
          </cell>
          <cell r="E1893">
            <v>3605.03</v>
          </cell>
          <cell r="F1893" t="str">
            <v>A1-S4</v>
          </cell>
          <cell r="G1893" t="str">
            <v>side rail inside with note finger - Đố trong ghép finger</v>
          </cell>
          <cell r="H1893" t="str">
            <v>Pre-Assembly</v>
          </cell>
          <cell r="I1893">
            <v>44</v>
          </cell>
        </row>
        <row r="1894">
          <cell r="A1894" t="str">
            <v>B557785/A</v>
          </cell>
          <cell r="B1894" t="str">
            <v>CZ051M190</v>
          </cell>
          <cell r="C1894">
            <v>11</v>
          </cell>
          <cell r="D1894">
            <v>327.73</v>
          </cell>
          <cell r="E1894">
            <v>3605.03</v>
          </cell>
          <cell r="F1894" t="str">
            <v>A1-S4-1</v>
          </cell>
          <cell r="G1894" t="str">
            <v xml:space="preserve">Side rail  - Đố hông </v>
          </cell>
          <cell r="H1894" t="str">
            <v>Wood US Poplar - Straight Edged, 2 COM - T25mm x W100mm Up x L1.8m Up</v>
          </cell>
          <cell r="I1894">
            <v>44</v>
          </cell>
        </row>
        <row r="1895">
          <cell r="A1895" t="str">
            <v>B557785/A</v>
          </cell>
          <cell r="B1895" t="str">
            <v>CZ051M190</v>
          </cell>
          <cell r="C1895">
            <v>11</v>
          </cell>
          <cell r="D1895">
            <v>327.73</v>
          </cell>
          <cell r="E1895">
            <v>3605.03</v>
          </cell>
          <cell r="F1895" t="str">
            <v>A1-S4-2</v>
          </cell>
          <cell r="G1895" t="str">
            <v>Patching wood - Gỗ đắp</v>
          </cell>
          <cell r="H1895" t="str">
            <v>Poplar off cut</v>
          </cell>
          <cell r="I1895">
            <v>88</v>
          </cell>
        </row>
        <row r="1896">
          <cell r="A1896" t="str">
            <v>B557785/A</v>
          </cell>
          <cell r="B1896" t="str">
            <v>CZ051M190</v>
          </cell>
          <cell r="C1896">
            <v>11</v>
          </cell>
          <cell r="D1896">
            <v>327.73</v>
          </cell>
          <cell r="E1896">
            <v>3605.03</v>
          </cell>
          <cell r="F1896" t="str">
            <v>A4-S1</v>
          </cell>
          <cell r="G1896" t="str">
            <v>Front Bottom Rail  - Đố đáy trước</v>
          </cell>
          <cell r="H1896" t="str">
            <v>Wood Rubber Laminate Board - 20 x 1220 x 2440mm, Veneer Poplar both Faces</v>
          </cell>
          <cell r="I1896">
            <v>11</v>
          </cell>
        </row>
        <row r="1897">
          <cell r="A1897" t="str">
            <v>B557785/A</v>
          </cell>
          <cell r="B1897" t="str">
            <v>CZ051M190</v>
          </cell>
          <cell r="C1897">
            <v>11</v>
          </cell>
          <cell r="D1897">
            <v>327.73</v>
          </cell>
          <cell r="E1897">
            <v>3605.03</v>
          </cell>
          <cell r="F1897" t="str">
            <v>A4-S2</v>
          </cell>
          <cell r="G1897" t="str">
            <v>Front Bottom Rail  - Đố đáy trước</v>
          </cell>
          <cell r="H1897" t="str">
            <v>Wood Rubber Laminate Board - 20 x 1220 x 2440mm, Veneer Poplar both Faces</v>
          </cell>
          <cell r="I1897">
            <v>11</v>
          </cell>
        </row>
        <row r="1898">
          <cell r="A1898" t="str">
            <v>B557785/A</v>
          </cell>
          <cell r="B1898" t="str">
            <v>CZ051M190</v>
          </cell>
          <cell r="C1898">
            <v>11</v>
          </cell>
          <cell r="D1898">
            <v>327.73</v>
          </cell>
          <cell r="E1898">
            <v>3605.03</v>
          </cell>
          <cell r="F1898" t="str">
            <v>A4-S4</v>
          </cell>
          <cell r="G1898" t="str">
            <v>Dust board Panel  - Ván quét bụi</v>
          </cell>
          <cell r="H1898" t="str">
            <v>MDF - 06 x 1830 x 2440mm [CARB P2 Compliant]</v>
          </cell>
          <cell r="I1898">
            <v>11</v>
          </cell>
        </row>
        <row r="1899">
          <cell r="A1899" t="str">
            <v>B557785/A</v>
          </cell>
          <cell r="B1899" t="str">
            <v>CZ051M190</v>
          </cell>
          <cell r="C1899">
            <v>11</v>
          </cell>
          <cell r="D1899">
            <v>327.73</v>
          </cell>
          <cell r="E1899">
            <v>3605.03</v>
          </cell>
          <cell r="F1899" t="str">
            <v>A4-S5</v>
          </cell>
          <cell r="G1899" t="str">
            <v>Center rail - Đố giữa</v>
          </cell>
          <cell r="H1899" t="str">
            <v>MDF OFF CUT</v>
          </cell>
          <cell r="I1899">
            <v>11</v>
          </cell>
        </row>
        <row r="1900">
          <cell r="A1900" t="str">
            <v>B557785/A</v>
          </cell>
          <cell r="B1900" t="str">
            <v>CZ051M190</v>
          </cell>
          <cell r="C1900">
            <v>11</v>
          </cell>
          <cell r="D1900">
            <v>327.73</v>
          </cell>
          <cell r="E1900">
            <v>3605.03</v>
          </cell>
          <cell r="F1900" t="str">
            <v>A6-S1</v>
          </cell>
          <cell r="G1900" t="str">
            <v xml:space="preserve">Drawer front - Mặt hộc kéo </v>
          </cell>
          <cell r="H1900" t="str">
            <v>MDF Veneer</v>
          </cell>
          <cell r="I1900">
            <v>22</v>
          </cell>
        </row>
        <row r="1901">
          <cell r="A1901" t="str">
            <v>B557785/A</v>
          </cell>
          <cell r="B1901" t="str">
            <v>CZ051M190</v>
          </cell>
          <cell r="C1901">
            <v>11</v>
          </cell>
          <cell r="D1901">
            <v>327.73</v>
          </cell>
          <cell r="E1901">
            <v>3605.03</v>
          </cell>
          <cell r="F1901" t="str">
            <v>A6-S2</v>
          </cell>
          <cell r="G1901" t="str">
            <v>Drawer side - Hông hộc kéo</v>
          </cell>
          <cell r="H1901" t="str">
            <v>MDF Veneer</v>
          </cell>
          <cell r="I1901">
            <v>44</v>
          </cell>
        </row>
        <row r="1902">
          <cell r="A1902" t="str">
            <v>B557785/A</v>
          </cell>
          <cell r="B1902" t="str">
            <v>CZ051M190</v>
          </cell>
          <cell r="C1902">
            <v>11</v>
          </cell>
          <cell r="D1902">
            <v>327.73</v>
          </cell>
          <cell r="E1902">
            <v>3605.03</v>
          </cell>
          <cell r="F1902" t="str">
            <v>A6-S3</v>
          </cell>
          <cell r="G1902" t="str">
            <v>Drawer back - Hậu hộc kéo</v>
          </cell>
          <cell r="H1902" t="str">
            <v>MDF Veneer</v>
          </cell>
          <cell r="I1902">
            <v>22</v>
          </cell>
        </row>
        <row r="1903">
          <cell r="A1903" t="str">
            <v>B557785/A</v>
          </cell>
          <cell r="B1903" t="str">
            <v>CZ051M190</v>
          </cell>
          <cell r="C1903">
            <v>11</v>
          </cell>
          <cell r="D1903">
            <v>327.73</v>
          </cell>
          <cell r="E1903">
            <v>3605.03</v>
          </cell>
          <cell r="F1903" t="str">
            <v>A6-S4</v>
          </cell>
          <cell r="G1903" t="str">
            <v>Drawer bottom  - Đáy hộc kéo</v>
          </cell>
          <cell r="H1903" t="str">
            <v>MDF Veneer</v>
          </cell>
          <cell r="I1903">
            <v>22</v>
          </cell>
        </row>
        <row r="1904">
          <cell r="A1904" t="str">
            <v>B557785/A</v>
          </cell>
          <cell r="B1904" t="str">
            <v>CZ051M190</v>
          </cell>
          <cell r="C1904">
            <v>11</v>
          </cell>
          <cell r="D1904">
            <v>327.73</v>
          </cell>
          <cell r="E1904">
            <v>3605.03</v>
          </cell>
          <cell r="F1904" t="str">
            <v>A6-S5</v>
          </cell>
          <cell r="G1904" t="str">
            <v>Center rail - Đố giữa</v>
          </cell>
          <cell r="H1904" t="str">
            <v>Wood US Poplar - Straight Edged, 2 COM - T38mm x W100mm Up x L1.8m Up</v>
          </cell>
          <cell r="I1904">
            <v>22</v>
          </cell>
        </row>
        <row r="1905">
          <cell r="A1905" t="str">
            <v>B557785/A</v>
          </cell>
          <cell r="B1905" t="str">
            <v>CZ051M190</v>
          </cell>
          <cell r="C1905">
            <v>11</v>
          </cell>
          <cell r="D1905">
            <v>327.73</v>
          </cell>
          <cell r="E1905">
            <v>3605.03</v>
          </cell>
          <cell r="F1905" t="str">
            <v>P01</v>
          </cell>
          <cell r="G1905" t="str">
            <v>Front top rail  - Đố tiền nóc</v>
          </cell>
          <cell r="H1905" t="str">
            <v>Wood Rubber Laminate Board - 20 x 1220 x 2440mm, Veneer Poplar both Faces</v>
          </cell>
          <cell r="I1905">
            <v>11</v>
          </cell>
        </row>
        <row r="1906">
          <cell r="A1906" t="str">
            <v>B557785/A</v>
          </cell>
          <cell r="B1906" t="str">
            <v>CZ051M190</v>
          </cell>
          <cell r="C1906">
            <v>11</v>
          </cell>
          <cell r="D1906">
            <v>327.73</v>
          </cell>
          <cell r="E1906">
            <v>3605.03</v>
          </cell>
          <cell r="F1906" t="str">
            <v>P02</v>
          </cell>
          <cell r="G1906" t="str">
            <v>Back rail with note finger - đố hậu</v>
          </cell>
          <cell r="H1906" t="str">
            <v>Wood Rubber Laminate Board - 20 x 1220 x 2440mm, Veneer Poplar both Faces</v>
          </cell>
          <cell r="I1906">
            <v>11</v>
          </cell>
        </row>
        <row r="1907">
          <cell r="A1907" t="str">
            <v>B557785/A</v>
          </cell>
          <cell r="B1907" t="str">
            <v>CZ051M190</v>
          </cell>
          <cell r="C1907">
            <v>11</v>
          </cell>
          <cell r="D1907">
            <v>327.73</v>
          </cell>
          <cell r="E1907">
            <v>3605.03</v>
          </cell>
          <cell r="F1907" t="str">
            <v>P03</v>
          </cell>
          <cell r="G1907" t="str">
            <v xml:space="preserve">Top panel  - Ván nóc </v>
          </cell>
          <cell r="H1907" t="str">
            <v>MDF - 15 x 1830 x 2440mm [CARB P2 Compliant]</v>
          </cell>
          <cell r="I1907">
            <v>11</v>
          </cell>
        </row>
        <row r="1908">
          <cell r="A1908" t="str">
            <v>B557785/A</v>
          </cell>
          <cell r="B1908" t="str">
            <v>CZ051M190</v>
          </cell>
          <cell r="C1908">
            <v>11</v>
          </cell>
          <cell r="D1908">
            <v>327.73</v>
          </cell>
          <cell r="E1908">
            <v>3605.03</v>
          </cell>
          <cell r="F1908" t="str">
            <v>P05-1</v>
          </cell>
          <cell r="G1908" t="str">
            <v>side rail inside with note finger - Đố trong ghép finger</v>
          </cell>
          <cell r="H1908" t="str">
            <v>Wood Rubber Laminate Board - 20 x 1220 x 2440mm, Veneer Poplar both Faces</v>
          </cell>
          <cell r="I1908">
            <v>22</v>
          </cell>
        </row>
        <row r="1909">
          <cell r="A1909" t="str">
            <v>B557785/A</v>
          </cell>
          <cell r="B1909" t="str">
            <v>CZ051M190</v>
          </cell>
          <cell r="C1909">
            <v>11</v>
          </cell>
          <cell r="D1909">
            <v>327.73</v>
          </cell>
          <cell r="E1909">
            <v>3605.03</v>
          </cell>
          <cell r="F1909" t="str">
            <v>P08</v>
          </cell>
          <cell r="G1909" t="str">
            <v>Spline - Lưỡi gà</v>
          </cell>
          <cell r="H1909" t="str">
            <v>wood off cut</v>
          </cell>
          <cell r="I1909">
            <v>22</v>
          </cell>
        </row>
        <row r="1910">
          <cell r="A1910" t="str">
            <v>B557785/A</v>
          </cell>
          <cell r="B1910" t="str">
            <v>CZ051M190</v>
          </cell>
          <cell r="C1910">
            <v>11</v>
          </cell>
          <cell r="D1910">
            <v>327.73</v>
          </cell>
          <cell r="E1910">
            <v>3605.03</v>
          </cell>
          <cell r="F1910" t="str">
            <v>P09</v>
          </cell>
          <cell r="G1910" t="str">
            <v>Spline - Lưỡi gà</v>
          </cell>
          <cell r="H1910" t="str">
            <v>wood off cut</v>
          </cell>
          <cell r="I1910">
            <v>11</v>
          </cell>
        </row>
        <row r="1911">
          <cell r="A1911" t="str">
            <v>B557785/A</v>
          </cell>
          <cell r="B1911" t="str">
            <v>CZ051M190</v>
          </cell>
          <cell r="C1911">
            <v>11</v>
          </cell>
          <cell r="D1911">
            <v>327.73</v>
          </cell>
          <cell r="E1911">
            <v>3605.03</v>
          </cell>
          <cell r="F1911" t="str">
            <v>P10</v>
          </cell>
          <cell r="G1911" t="str">
            <v>Back panel - Ván hậu</v>
          </cell>
          <cell r="H1911" t="str">
            <v>MDF Veneer</v>
          </cell>
          <cell r="I1911">
            <v>11</v>
          </cell>
        </row>
        <row r="1912">
          <cell r="A1912" t="str">
            <v>B557785/A</v>
          </cell>
          <cell r="B1912" t="str">
            <v>CZ051M190</v>
          </cell>
          <cell r="C1912">
            <v>11</v>
          </cell>
          <cell r="D1912">
            <v>327.73</v>
          </cell>
          <cell r="E1912">
            <v>3605.03</v>
          </cell>
          <cell r="F1912" t="str">
            <v>P12</v>
          </cell>
          <cell r="G1912" t="str">
            <v>Corner block - ke góc</v>
          </cell>
          <cell r="H1912" t="str">
            <v>Poplar off cut</v>
          </cell>
          <cell r="I1912">
            <v>22</v>
          </cell>
        </row>
        <row r="1913">
          <cell r="A1913" t="str">
            <v>B557785/A</v>
          </cell>
          <cell r="B1913" t="str">
            <v>CZ051M190</v>
          </cell>
          <cell r="C1913">
            <v>11</v>
          </cell>
          <cell r="D1913">
            <v>327.73</v>
          </cell>
          <cell r="E1913">
            <v>3605.03</v>
          </cell>
          <cell r="F1913" t="str">
            <v>P13</v>
          </cell>
          <cell r="G1913" t="str">
            <v>Cleat - Bọ gỗ</v>
          </cell>
          <cell r="H1913" t="str">
            <v>Wood Rubber Laminate Board - 20 x 1220 x 2440mm, Veneer Poplar both Faces</v>
          </cell>
          <cell r="I1913">
            <v>22</v>
          </cell>
        </row>
        <row r="1914">
          <cell r="A1914" t="str">
            <v>B557785/A</v>
          </cell>
          <cell r="B1914" t="str">
            <v>CZ051M190</v>
          </cell>
          <cell r="C1914">
            <v>11</v>
          </cell>
          <cell r="D1914">
            <v>327.73</v>
          </cell>
          <cell r="E1914">
            <v>3605.03</v>
          </cell>
          <cell r="F1914" t="str">
            <v>P15</v>
          </cell>
          <cell r="G1914" t="str">
            <v>Front rail  - Đố tiền</v>
          </cell>
          <cell r="H1914" t="str">
            <v>Wood Rubber Laminate Board - 20 x 1220 x 2440mm, Veneer Poplar both Faces</v>
          </cell>
          <cell r="I1914">
            <v>11</v>
          </cell>
        </row>
        <row r="1915">
          <cell r="A1915" t="str">
            <v>B557785/A</v>
          </cell>
          <cell r="B1915" t="str">
            <v>CZ051M190</v>
          </cell>
          <cell r="C1915">
            <v>11</v>
          </cell>
          <cell r="D1915">
            <v>327.73</v>
          </cell>
          <cell r="E1915">
            <v>3605.03</v>
          </cell>
          <cell r="F1915" t="str">
            <v>P16</v>
          </cell>
          <cell r="G1915" t="str">
            <v>Drawer stop - Dừng hộc</v>
          </cell>
          <cell r="H1915" t="str">
            <v>Poplar off cut</v>
          </cell>
          <cell r="I1915">
            <v>44</v>
          </cell>
        </row>
        <row r="1916">
          <cell r="A1916" t="str">
            <v>B557787/A</v>
          </cell>
          <cell r="B1916" t="str">
            <v>CZ051M191</v>
          </cell>
          <cell r="C1916">
            <v>11</v>
          </cell>
          <cell r="D1916">
            <v>327.73</v>
          </cell>
          <cell r="E1916">
            <v>3605.03</v>
          </cell>
          <cell r="F1916" t="str">
            <v>A1-S1</v>
          </cell>
          <cell r="G1916" t="str">
            <v>Front Vertical rail  - Trụ tiền</v>
          </cell>
          <cell r="H1916" t="str">
            <v>Pre-Assembly</v>
          </cell>
          <cell r="I1916">
            <v>22</v>
          </cell>
        </row>
        <row r="1917">
          <cell r="A1917" t="str">
            <v>B557787/A</v>
          </cell>
          <cell r="B1917" t="str">
            <v>CZ051M191</v>
          </cell>
          <cell r="C1917">
            <v>11</v>
          </cell>
          <cell r="D1917">
            <v>327.73</v>
          </cell>
          <cell r="E1917">
            <v>3605.03</v>
          </cell>
          <cell r="F1917" t="str">
            <v>A1-S1-1</v>
          </cell>
          <cell r="G1917" t="str">
            <v>Front rail  - Đố tiền</v>
          </cell>
          <cell r="H1917" t="str">
            <v>Wood US Poplar - Straight Edged, 2 COM - T25mm x W100mm Up x L1.8m Up</v>
          </cell>
          <cell r="I1917">
            <v>22</v>
          </cell>
        </row>
        <row r="1918">
          <cell r="A1918" t="str">
            <v>B557787/A</v>
          </cell>
          <cell r="B1918" t="str">
            <v>CZ051M191</v>
          </cell>
          <cell r="C1918">
            <v>11</v>
          </cell>
          <cell r="D1918">
            <v>327.73</v>
          </cell>
          <cell r="E1918">
            <v>3605.03</v>
          </cell>
          <cell r="F1918" t="str">
            <v>A1-S1-2</v>
          </cell>
          <cell r="G1918" t="str">
            <v>Wood laminater - Gỗ ghép 1</v>
          </cell>
          <cell r="H1918" t="str">
            <v>TRAM OFF CUT</v>
          </cell>
          <cell r="I1918">
            <v>22</v>
          </cell>
        </row>
        <row r="1919">
          <cell r="A1919" t="str">
            <v>B557787/A</v>
          </cell>
          <cell r="B1919" t="str">
            <v>CZ051M191</v>
          </cell>
          <cell r="C1919">
            <v>11</v>
          </cell>
          <cell r="D1919">
            <v>327.73</v>
          </cell>
          <cell r="E1919">
            <v>3605.03</v>
          </cell>
          <cell r="F1919" t="str">
            <v>A1-S2</v>
          </cell>
          <cell r="G1919" t="str">
            <v>Back leg - Chân hậu</v>
          </cell>
          <cell r="H1919" t="str">
            <v>Beech 2 COM</v>
          </cell>
          <cell r="I1919">
            <v>22</v>
          </cell>
        </row>
        <row r="1920">
          <cell r="A1920" t="str">
            <v>B557787/A</v>
          </cell>
          <cell r="B1920" t="str">
            <v>CZ051M191</v>
          </cell>
          <cell r="C1920">
            <v>11</v>
          </cell>
          <cell r="D1920">
            <v>327.73</v>
          </cell>
          <cell r="E1920">
            <v>3605.03</v>
          </cell>
          <cell r="F1920" t="str">
            <v>A1-S3</v>
          </cell>
          <cell r="G1920" t="str">
            <v xml:space="preserve">Side panel  - Ván hông </v>
          </cell>
          <cell r="H1920" t="str">
            <v>MDF - 15 x 1830 x 2440mm [CARB P2 Compliant]</v>
          </cell>
          <cell r="I1920">
            <v>22</v>
          </cell>
        </row>
        <row r="1921">
          <cell r="A1921" t="str">
            <v>B557787/A</v>
          </cell>
          <cell r="B1921" t="str">
            <v>CZ051M191</v>
          </cell>
          <cell r="C1921">
            <v>11</v>
          </cell>
          <cell r="D1921">
            <v>327.73</v>
          </cell>
          <cell r="E1921">
            <v>3605.03</v>
          </cell>
          <cell r="F1921" t="str">
            <v>A1-S4</v>
          </cell>
          <cell r="G1921" t="str">
            <v>side rail inside with note finger - Đố trong ghép finger</v>
          </cell>
          <cell r="H1921" t="str">
            <v>Pre-Assembly</v>
          </cell>
          <cell r="I1921">
            <v>44</v>
          </cell>
        </row>
        <row r="1922">
          <cell r="A1922" t="str">
            <v>B557787/A</v>
          </cell>
          <cell r="B1922" t="str">
            <v>CZ051M191</v>
          </cell>
          <cell r="C1922">
            <v>11</v>
          </cell>
          <cell r="D1922">
            <v>327.73</v>
          </cell>
          <cell r="E1922">
            <v>3605.03</v>
          </cell>
          <cell r="F1922" t="str">
            <v>A1-S4-1</v>
          </cell>
          <cell r="G1922" t="str">
            <v xml:space="preserve">Side rail  - Đố hông </v>
          </cell>
          <cell r="H1922" t="str">
            <v>Wood US Poplar - Straight Edged, 2 COM - T25mm x W100mm Up x L1.8m Up</v>
          </cell>
          <cell r="I1922">
            <v>44</v>
          </cell>
        </row>
        <row r="1923">
          <cell r="A1923" t="str">
            <v>B557787/A</v>
          </cell>
          <cell r="B1923" t="str">
            <v>CZ051M191</v>
          </cell>
          <cell r="C1923">
            <v>11</v>
          </cell>
          <cell r="D1923">
            <v>327.73</v>
          </cell>
          <cell r="E1923">
            <v>3605.03</v>
          </cell>
          <cell r="F1923" t="str">
            <v>A1-S4-2</v>
          </cell>
          <cell r="G1923" t="str">
            <v>Patching wood - Gỗ đắp</v>
          </cell>
          <cell r="H1923" t="str">
            <v>wood off cut</v>
          </cell>
          <cell r="I1923">
            <v>88</v>
          </cell>
        </row>
        <row r="1924">
          <cell r="A1924" t="str">
            <v>B557787/A</v>
          </cell>
          <cell r="B1924" t="str">
            <v>CZ051M191</v>
          </cell>
          <cell r="C1924">
            <v>11</v>
          </cell>
          <cell r="D1924">
            <v>327.73</v>
          </cell>
          <cell r="E1924">
            <v>3605.03</v>
          </cell>
          <cell r="F1924" t="str">
            <v>A4-S1</v>
          </cell>
          <cell r="G1924" t="str">
            <v>Front Bottom Rail  - Đố đáy trước</v>
          </cell>
          <cell r="H1924" t="str">
            <v>Wood Rubber Laminate Board - 20 x 1220 x 2440mm, Veneer Poplar both Faces</v>
          </cell>
          <cell r="I1924">
            <v>11</v>
          </cell>
        </row>
        <row r="1925">
          <cell r="A1925" t="str">
            <v>B557787/A</v>
          </cell>
          <cell r="B1925" t="str">
            <v>CZ051M191</v>
          </cell>
          <cell r="C1925">
            <v>11</v>
          </cell>
          <cell r="D1925">
            <v>327.73</v>
          </cell>
          <cell r="E1925">
            <v>3605.03</v>
          </cell>
          <cell r="F1925" t="str">
            <v>A4-S2</v>
          </cell>
          <cell r="G1925" t="str">
            <v>Front Bottom Rail  - Đố đáy trước</v>
          </cell>
          <cell r="H1925" t="str">
            <v>Wood Rubber Laminate Board - 20 x 1220 x 2440mm, Veneer Poplar both Faces</v>
          </cell>
          <cell r="I1925">
            <v>11</v>
          </cell>
        </row>
        <row r="1926">
          <cell r="A1926" t="str">
            <v>B557787/A</v>
          </cell>
          <cell r="B1926" t="str">
            <v>CZ051M191</v>
          </cell>
          <cell r="C1926">
            <v>11</v>
          </cell>
          <cell r="D1926">
            <v>327.73</v>
          </cell>
          <cell r="E1926">
            <v>3605.03</v>
          </cell>
          <cell r="F1926" t="str">
            <v>A4-S4</v>
          </cell>
          <cell r="G1926" t="str">
            <v>Dust board Panel  - Ván quét bụi</v>
          </cell>
          <cell r="H1926" t="str">
            <v>MDF - 06 x 1830 x 2440mm [CARB P2 Compliant]</v>
          </cell>
          <cell r="I1926">
            <v>11</v>
          </cell>
        </row>
        <row r="1927">
          <cell r="A1927" t="str">
            <v>B557787/A</v>
          </cell>
          <cell r="B1927" t="str">
            <v>CZ051M191</v>
          </cell>
          <cell r="C1927">
            <v>11</v>
          </cell>
          <cell r="D1927">
            <v>327.73</v>
          </cell>
          <cell r="E1927">
            <v>3605.03</v>
          </cell>
          <cell r="F1927" t="str">
            <v>A4-S5</v>
          </cell>
          <cell r="G1927" t="str">
            <v>Center rail - Đố giữa</v>
          </cell>
          <cell r="H1927" t="str">
            <v>MDF OFF CUT</v>
          </cell>
          <cell r="I1927">
            <v>11</v>
          </cell>
        </row>
        <row r="1928">
          <cell r="A1928" t="str">
            <v>B557787/A</v>
          </cell>
          <cell r="B1928" t="str">
            <v>CZ051M191</v>
          </cell>
          <cell r="C1928">
            <v>11</v>
          </cell>
          <cell r="D1928">
            <v>327.73</v>
          </cell>
          <cell r="E1928">
            <v>3605.03</v>
          </cell>
          <cell r="F1928" t="str">
            <v>A6-S1</v>
          </cell>
          <cell r="G1928" t="str">
            <v xml:space="preserve">Drawer front - Mặt hộc kéo </v>
          </cell>
          <cell r="H1928" t="str">
            <v>MDF Veneer</v>
          </cell>
          <cell r="I1928">
            <v>22</v>
          </cell>
        </row>
        <row r="1929">
          <cell r="A1929" t="str">
            <v>B557787/A</v>
          </cell>
          <cell r="B1929" t="str">
            <v>CZ051M191</v>
          </cell>
          <cell r="C1929">
            <v>11</v>
          </cell>
          <cell r="D1929">
            <v>327.73</v>
          </cell>
          <cell r="E1929">
            <v>3605.03</v>
          </cell>
          <cell r="F1929" t="str">
            <v>A6-S2</v>
          </cell>
          <cell r="G1929" t="str">
            <v>Drawer side - Hông hộc kéo</v>
          </cell>
          <cell r="H1929" t="str">
            <v>MDF-N - 12 x 1220 x 2440mm, Veneer Okoume 0.3mm Both Faces [CARB P2 Compliant]</v>
          </cell>
          <cell r="I1929">
            <v>44</v>
          </cell>
        </row>
        <row r="1930">
          <cell r="A1930" t="str">
            <v>B557787/A</v>
          </cell>
          <cell r="B1930" t="str">
            <v>CZ051M191</v>
          </cell>
          <cell r="C1930">
            <v>11</v>
          </cell>
          <cell r="D1930">
            <v>327.73</v>
          </cell>
          <cell r="E1930">
            <v>3605.03</v>
          </cell>
          <cell r="F1930" t="str">
            <v>A6-S3</v>
          </cell>
          <cell r="G1930" t="str">
            <v>Drawer back - Hậu hộc kéo</v>
          </cell>
          <cell r="H1930" t="str">
            <v>MDF - 12 x 1220 x 2440mm, Veneer Okoume 0.3mm Both Faces [CARB P2 Compliant]</v>
          </cell>
          <cell r="I1930">
            <v>22</v>
          </cell>
        </row>
        <row r="1931">
          <cell r="A1931" t="str">
            <v>B557787/A</v>
          </cell>
          <cell r="B1931" t="str">
            <v>CZ051M191</v>
          </cell>
          <cell r="C1931">
            <v>11</v>
          </cell>
          <cell r="D1931">
            <v>327.73</v>
          </cell>
          <cell r="E1931">
            <v>3605.03</v>
          </cell>
          <cell r="F1931" t="str">
            <v>A6-S4</v>
          </cell>
          <cell r="G1931" t="str">
            <v>Drawer bottom  - Đáy hộc kéo</v>
          </cell>
          <cell r="H1931" t="str">
            <v>MDF - 06 x 1220 x 2440mm, Veneer Okoume 0.3mm Both Faces [CARB P2 Compliant]</v>
          </cell>
          <cell r="I1931">
            <v>22</v>
          </cell>
        </row>
        <row r="1932">
          <cell r="A1932" t="str">
            <v>B557787/A</v>
          </cell>
          <cell r="B1932" t="str">
            <v>CZ051M191</v>
          </cell>
          <cell r="C1932">
            <v>11</v>
          </cell>
          <cell r="D1932">
            <v>327.73</v>
          </cell>
          <cell r="E1932">
            <v>3605.03</v>
          </cell>
          <cell r="F1932" t="str">
            <v>A6-S5</v>
          </cell>
          <cell r="G1932" t="str">
            <v>Center rail - Đố giữa</v>
          </cell>
          <cell r="H1932" t="str">
            <v>Wood US Poplar - Straight Edged, 2 COM - T38mm x W100mm Up x L1.8m Up</v>
          </cell>
          <cell r="I1932">
            <v>22</v>
          </cell>
        </row>
        <row r="1933">
          <cell r="A1933" t="str">
            <v>B557787/A</v>
          </cell>
          <cell r="B1933" t="str">
            <v>CZ051M191</v>
          </cell>
          <cell r="C1933">
            <v>11</v>
          </cell>
          <cell r="D1933">
            <v>327.73</v>
          </cell>
          <cell r="E1933">
            <v>3605.03</v>
          </cell>
          <cell r="F1933" t="str">
            <v>P01</v>
          </cell>
          <cell r="G1933" t="str">
            <v>Front top rail  - Đố tiền nóc</v>
          </cell>
          <cell r="H1933" t="str">
            <v>Wood Rubber Laminate Board - 20 x 1220 x 2440mm, Veneer Poplar both Faces</v>
          </cell>
          <cell r="I1933">
            <v>11</v>
          </cell>
        </row>
        <row r="1934">
          <cell r="A1934" t="str">
            <v>B557787/A</v>
          </cell>
          <cell r="B1934" t="str">
            <v>CZ051M191</v>
          </cell>
          <cell r="C1934">
            <v>11</v>
          </cell>
          <cell r="D1934">
            <v>327.73</v>
          </cell>
          <cell r="E1934">
            <v>3605.03</v>
          </cell>
          <cell r="F1934" t="str">
            <v>P02</v>
          </cell>
          <cell r="G1934" t="str">
            <v>Back rail with note finger - đố hậu</v>
          </cell>
          <cell r="H1934" t="str">
            <v>Wood Rubber Laminate Board - 20 x 1220 x 2440mm, Veneer Poplar both Faces</v>
          </cell>
          <cell r="I1934">
            <v>11</v>
          </cell>
        </row>
        <row r="1935">
          <cell r="A1935" t="str">
            <v>B557787/A</v>
          </cell>
          <cell r="B1935" t="str">
            <v>CZ051M191</v>
          </cell>
          <cell r="C1935">
            <v>11</v>
          </cell>
          <cell r="D1935">
            <v>327.73</v>
          </cell>
          <cell r="E1935">
            <v>3605.03</v>
          </cell>
          <cell r="F1935" t="str">
            <v>P03</v>
          </cell>
          <cell r="G1935" t="str">
            <v xml:space="preserve">Top panel  - Ván nóc </v>
          </cell>
          <cell r="H1935" t="str">
            <v>MDF - 15 x 1830 x 2440mm [CARB P2 Compliant]</v>
          </cell>
          <cell r="I1935">
            <v>11</v>
          </cell>
        </row>
        <row r="1936">
          <cell r="A1936" t="str">
            <v>B557787/A</v>
          </cell>
          <cell r="B1936" t="str">
            <v>CZ051M191</v>
          </cell>
          <cell r="C1936">
            <v>11</v>
          </cell>
          <cell r="D1936">
            <v>327.73</v>
          </cell>
          <cell r="E1936">
            <v>3605.03</v>
          </cell>
          <cell r="F1936" t="str">
            <v>P05-1</v>
          </cell>
          <cell r="G1936" t="str">
            <v>side rail inside with note finger - Đố trong ghép finger</v>
          </cell>
          <cell r="H1936" t="str">
            <v>Wood Rubber Laminate Board - 20 x 1220 x 2440mm, Veneer Poplar both Faces</v>
          </cell>
          <cell r="I1936">
            <v>22</v>
          </cell>
        </row>
        <row r="1937">
          <cell r="A1937" t="str">
            <v>B557787/A</v>
          </cell>
          <cell r="B1937" t="str">
            <v>CZ051M191</v>
          </cell>
          <cell r="C1937">
            <v>11</v>
          </cell>
          <cell r="D1937">
            <v>327.73</v>
          </cell>
          <cell r="E1937">
            <v>3605.03</v>
          </cell>
          <cell r="F1937" t="str">
            <v>P08</v>
          </cell>
          <cell r="G1937" t="str">
            <v>Spline - Lưỡi gà</v>
          </cell>
          <cell r="H1937" t="str">
            <v>wood off cut</v>
          </cell>
          <cell r="I1937">
            <v>22</v>
          </cell>
        </row>
        <row r="1938">
          <cell r="A1938" t="str">
            <v>B557787/A</v>
          </cell>
          <cell r="B1938" t="str">
            <v>CZ051M191</v>
          </cell>
          <cell r="C1938">
            <v>11</v>
          </cell>
          <cell r="D1938">
            <v>327.73</v>
          </cell>
          <cell r="E1938">
            <v>3605.03</v>
          </cell>
          <cell r="F1938" t="str">
            <v>P09</v>
          </cell>
          <cell r="G1938" t="str">
            <v>Spline - Lưỡi gà</v>
          </cell>
          <cell r="H1938" t="str">
            <v>wood off cut</v>
          </cell>
          <cell r="I1938">
            <v>11</v>
          </cell>
        </row>
        <row r="1939">
          <cell r="A1939" t="str">
            <v>B557787/A</v>
          </cell>
          <cell r="B1939" t="str">
            <v>CZ051M191</v>
          </cell>
          <cell r="C1939">
            <v>11</v>
          </cell>
          <cell r="D1939">
            <v>327.73</v>
          </cell>
          <cell r="E1939">
            <v>3605.03</v>
          </cell>
          <cell r="F1939" t="str">
            <v>P10</v>
          </cell>
          <cell r="G1939" t="str">
            <v>Back panel - Ván hậu</v>
          </cell>
          <cell r="H1939" t="str">
            <v>MDF Veneer</v>
          </cell>
          <cell r="I1939">
            <v>11</v>
          </cell>
        </row>
        <row r="1940">
          <cell r="A1940" t="str">
            <v>B557787/A</v>
          </cell>
          <cell r="B1940" t="str">
            <v>CZ051M191</v>
          </cell>
          <cell r="C1940">
            <v>11</v>
          </cell>
          <cell r="D1940">
            <v>327.73</v>
          </cell>
          <cell r="E1940">
            <v>3605.03</v>
          </cell>
          <cell r="F1940" t="str">
            <v>P12</v>
          </cell>
          <cell r="G1940" t="str">
            <v>Corner block - ke góc</v>
          </cell>
          <cell r="H1940" t="str">
            <v>Poplar off cut</v>
          </cell>
          <cell r="I1940">
            <v>22</v>
          </cell>
        </row>
        <row r="1941">
          <cell r="A1941" t="str">
            <v>B557787/A</v>
          </cell>
          <cell r="B1941" t="str">
            <v>CZ051M191</v>
          </cell>
          <cell r="C1941">
            <v>11</v>
          </cell>
          <cell r="D1941">
            <v>327.73</v>
          </cell>
          <cell r="E1941">
            <v>3605.03</v>
          </cell>
          <cell r="F1941" t="str">
            <v>P13</v>
          </cell>
          <cell r="G1941" t="str">
            <v>Cleat - Bọ gỗ</v>
          </cell>
          <cell r="H1941" t="str">
            <v>Wood Rubber Laminate Board - 20 x 1220 x 2440mm, Veneer Poplar both Faces</v>
          </cell>
          <cell r="I1941">
            <v>22</v>
          </cell>
        </row>
        <row r="1942">
          <cell r="A1942" t="str">
            <v>B557787/A</v>
          </cell>
          <cell r="B1942" t="str">
            <v>CZ051M191</v>
          </cell>
          <cell r="C1942">
            <v>11</v>
          </cell>
          <cell r="D1942">
            <v>327.73</v>
          </cell>
          <cell r="E1942">
            <v>3605.03</v>
          </cell>
          <cell r="F1942" t="str">
            <v>P15</v>
          </cell>
          <cell r="G1942" t="str">
            <v>Front rail  - Đố tiền</v>
          </cell>
          <cell r="H1942" t="str">
            <v>Wood Rubber Laminate Board - 20 x 1220 x 2440mm, Veneer Poplar both Faces</v>
          </cell>
          <cell r="I1942">
            <v>11</v>
          </cell>
        </row>
        <row r="1943">
          <cell r="A1943" t="str">
            <v>B557787/A</v>
          </cell>
          <cell r="B1943" t="str">
            <v>CZ051M191</v>
          </cell>
          <cell r="C1943">
            <v>11</v>
          </cell>
          <cell r="D1943">
            <v>327.73</v>
          </cell>
          <cell r="E1943">
            <v>3605.03</v>
          </cell>
          <cell r="F1943" t="str">
            <v>P16</v>
          </cell>
          <cell r="G1943" t="str">
            <v>Drawer stop - Dừng hộc</v>
          </cell>
          <cell r="H1943" t="str">
            <v>Poplar off cut</v>
          </cell>
          <cell r="I1943">
            <v>44</v>
          </cell>
        </row>
        <row r="1944">
          <cell r="A1944" t="str">
            <v>B557894/A</v>
          </cell>
          <cell r="B1944" t="str">
            <v>CZ052M09</v>
          </cell>
          <cell r="C1944">
            <v>1</v>
          </cell>
          <cell r="D1944">
            <v>374.21</v>
          </cell>
          <cell r="E1944">
            <v>374.21</v>
          </cell>
          <cell r="F1944" t="str">
            <v>A1-S1</v>
          </cell>
          <cell r="G1944" t="str">
            <v>Front Vertical rail  - Trụ tiền</v>
          </cell>
          <cell r="H1944" t="str">
            <v>Pre-Assembly</v>
          </cell>
          <cell r="I1944">
            <v>2</v>
          </cell>
        </row>
        <row r="1945">
          <cell r="A1945" t="str">
            <v>B557894/A</v>
          </cell>
          <cell r="B1945" t="str">
            <v>CZ052M09</v>
          </cell>
          <cell r="C1945">
            <v>1</v>
          </cell>
          <cell r="D1945">
            <v>374.21</v>
          </cell>
          <cell r="E1945">
            <v>374.21</v>
          </cell>
          <cell r="F1945" t="str">
            <v>A1-S1-1</v>
          </cell>
          <cell r="G1945" t="str">
            <v>Patching wood - Gỗ đắp</v>
          </cell>
          <cell r="H1945" t="str">
            <v>Wood US Poplar - Straight Edged, 2 COM - T25mm x W100mm Up x L1.8m Up</v>
          </cell>
          <cell r="I1945">
            <v>2</v>
          </cell>
        </row>
        <row r="1946">
          <cell r="A1946" t="str">
            <v>B557894/A</v>
          </cell>
          <cell r="B1946" t="str">
            <v>CZ052M09</v>
          </cell>
          <cell r="C1946">
            <v>1</v>
          </cell>
          <cell r="D1946">
            <v>374.21</v>
          </cell>
          <cell r="E1946">
            <v>374.21</v>
          </cell>
          <cell r="F1946" t="str">
            <v>A1-S1-2</v>
          </cell>
          <cell r="G1946" t="str">
            <v>Wood laminater - Gỗ ghép 1</v>
          </cell>
          <cell r="H1946" t="str">
            <v>TRAM OFF CUT</v>
          </cell>
          <cell r="I1946">
            <v>2</v>
          </cell>
        </row>
        <row r="1947">
          <cell r="A1947" t="str">
            <v>B557894/A</v>
          </cell>
          <cell r="B1947" t="str">
            <v>CZ052M09</v>
          </cell>
          <cell r="C1947">
            <v>1</v>
          </cell>
          <cell r="D1947">
            <v>374.21</v>
          </cell>
          <cell r="E1947">
            <v>374.21</v>
          </cell>
          <cell r="F1947" t="str">
            <v>A1-S2</v>
          </cell>
          <cell r="G1947" t="str">
            <v>Back leg - Chân hậu</v>
          </cell>
          <cell r="H1947" t="str">
            <v>Beech 2 COM</v>
          </cell>
          <cell r="I1947">
            <v>2</v>
          </cell>
        </row>
        <row r="1948">
          <cell r="A1948" t="str">
            <v>B557894/A</v>
          </cell>
          <cell r="B1948" t="str">
            <v>CZ052M09</v>
          </cell>
          <cell r="C1948">
            <v>1</v>
          </cell>
          <cell r="D1948">
            <v>374.21</v>
          </cell>
          <cell r="E1948">
            <v>374.21</v>
          </cell>
          <cell r="F1948" t="str">
            <v>A1-S3</v>
          </cell>
          <cell r="G1948" t="str">
            <v xml:space="preserve">Side panel  - Ván hông </v>
          </cell>
          <cell r="H1948" t="str">
            <v>MDF - 15 x 1830 x 2440mm [CARB P2 Compliant]</v>
          </cell>
          <cell r="I1948">
            <v>2</v>
          </cell>
        </row>
        <row r="1949">
          <cell r="A1949" t="str">
            <v>B557894/A</v>
          </cell>
          <cell r="B1949" t="str">
            <v>CZ052M09</v>
          </cell>
          <cell r="C1949">
            <v>1</v>
          </cell>
          <cell r="D1949">
            <v>374.21</v>
          </cell>
          <cell r="E1949">
            <v>374.21</v>
          </cell>
          <cell r="F1949" t="str">
            <v>A1-S4</v>
          </cell>
          <cell r="G1949" t="str">
            <v>side rail inside with note finger - Đố trong ghép finger</v>
          </cell>
          <cell r="H1949" t="str">
            <v>Pre-Assembly</v>
          </cell>
          <cell r="I1949">
            <v>4</v>
          </cell>
        </row>
        <row r="1950">
          <cell r="A1950" t="str">
            <v>B557894/A</v>
          </cell>
          <cell r="B1950" t="str">
            <v>CZ052M09</v>
          </cell>
          <cell r="C1950">
            <v>1</v>
          </cell>
          <cell r="D1950">
            <v>374.21</v>
          </cell>
          <cell r="E1950">
            <v>374.21</v>
          </cell>
          <cell r="F1950" t="str">
            <v>A1-S4-1</v>
          </cell>
          <cell r="G1950" t="str">
            <v xml:space="preserve">Side rail  - Đố hông </v>
          </cell>
          <cell r="H1950" t="str">
            <v>Wood US Poplar - Straight Edged, 2 COM - T25mm x W100mm Up x L1.8m Up</v>
          </cell>
          <cell r="I1950">
            <v>4</v>
          </cell>
        </row>
        <row r="1951">
          <cell r="A1951" t="str">
            <v>B557894/A</v>
          </cell>
          <cell r="B1951" t="str">
            <v>CZ052M09</v>
          </cell>
          <cell r="C1951">
            <v>1</v>
          </cell>
          <cell r="D1951">
            <v>374.21</v>
          </cell>
          <cell r="E1951">
            <v>374.21</v>
          </cell>
          <cell r="F1951" t="str">
            <v>A1-S4-2</v>
          </cell>
          <cell r="G1951" t="str">
            <v>Patching wood - Gỗ đắp</v>
          </cell>
          <cell r="H1951" t="str">
            <v>wood off cut</v>
          </cell>
          <cell r="I1951">
            <v>8</v>
          </cell>
        </row>
        <row r="1952">
          <cell r="A1952" t="str">
            <v>B557894/A</v>
          </cell>
          <cell r="B1952" t="str">
            <v>CZ052M09</v>
          </cell>
          <cell r="C1952">
            <v>1</v>
          </cell>
          <cell r="D1952">
            <v>374.21</v>
          </cell>
          <cell r="E1952">
            <v>374.21</v>
          </cell>
          <cell r="F1952" t="str">
            <v>A4-S1</v>
          </cell>
          <cell r="G1952" t="str">
            <v>Back bottom rail - Đố hậu đáy</v>
          </cell>
          <cell r="H1952" t="str">
            <v>Wood Rubber Laminate Board - 20 x 1220 x 2440mm, Veneer Poplar both Faces</v>
          </cell>
          <cell r="I1952">
            <v>1</v>
          </cell>
        </row>
        <row r="1953">
          <cell r="A1953" t="str">
            <v>B557894/A</v>
          </cell>
          <cell r="B1953" t="str">
            <v>CZ052M09</v>
          </cell>
          <cell r="C1953">
            <v>1</v>
          </cell>
          <cell r="D1953">
            <v>374.21</v>
          </cell>
          <cell r="E1953">
            <v>374.21</v>
          </cell>
          <cell r="F1953" t="str">
            <v>A4-S1-1</v>
          </cell>
          <cell r="G1953" t="str">
            <v>Front Bottom Rail  - Đố đáy trước</v>
          </cell>
          <cell r="H1953" t="str">
            <v>Wood Rubber Laminate Board - 20 x 1220 x 2440mm, Veneer Poplar both Faces</v>
          </cell>
          <cell r="I1953">
            <v>1</v>
          </cell>
        </row>
        <row r="1954">
          <cell r="A1954" t="str">
            <v>B557894/A</v>
          </cell>
          <cell r="B1954" t="str">
            <v>CZ052M09</v>
          </cell>
          <cell r="C1954">
            <v>1</v>
          </cell>
          <cell r="D1954">
            <v>374.21</v>
          </cell>
          <cell r="E1954">
            <v>374.21</v>
          </cell>
          <cell r="F1954" t="str">
            <v>A4-S3</v>
          </cell>
          <cell r="G1954" t="str">
            <v>center rail with note - đố giữa</v>
          </cell>
          <cell r="H1954" t="str">
            <v>Wood Rubber Laminate Board - 20 x 1220 x 2440mm, Veneer Poplar both Faces</v>
          </cell>
          <cell r="I1954">
            <v>1</v>
          </cell>
        </row>
        <row r="1955">
          <cell r="A1955" t="str">
            <v>B557894/A</v>
          </cell>
          <cell r="B1955" t="str">
            <v>CZ052M09</v>
          </cell>
          <cell r="C1955">
            <v>1</v>
          </cell>
          <cell r="D1955">
            <v>374.21</v>
          </cell>
          <cell r="E1955">
            <v>374.21</v>
          </cell>
          <cell r="F1955" t="str">
            <v>A4-S4</v>
          </cell>
          <cell r="G1955" t="str">
            <v>Dust board Panel  - Ván quét bụi</v>
          </cell>
          <cell r="H1955" t="str">
            <v>MDF - 06 x 1830 x 2440mm [CARB P2 Compliant]</v>
          </cell>
          <cell r="I1955">
            <v>1</v>
          </cell>
        </row>
        <row r="1956">
          <cell r="A1956" t="str">
            <v>B557894/A</v>
          </cell>
          <cell r="B1956" t="str">
            <v>CZ052M09</v>
          </cell>
          <cell r="C1956">
            <v>1</v>
          </cell>
          <cell r="D1956">
            <v>374.21</v>
          </cell>
          <cell r="E1956">
            <v>374.21</v>
          </cell>
          <cell r="F1956" t="str">
            <v>A6-S1</v>
          </cell>
          <cell r="G1956" t="str">
            <v xml:space="preserve">Drawer front - Mặt hộc kéo </v>
          </cell>
          <cell r="H1956" t="str">
            <v>MDF Veneer</v>
          </cell>
          <cell r="I1956">
            <v>2</v>
          </cell>
        </row>
        <row r="1957">
          <cell r="A1957" t="str">
            <v>B557894/A</v>
          </cell>
          <cell r="B1957" t="str">
            <v>CZ052M09</v>
          </cell>
          <cell r="C1957">
            <v>1</v>
          </cell>
          <cell r="D1957">
            <v>374.21</v>
          </cell>
          <cell r="E1957">
            <v>374.21</v>
          </cell>
          <cell r="F1957" t="str">
            <v>A6-S2</v>
          </cell>
          <cell r="G1957" t="str">
            <v>Drawer side - Hông hộc kéo</v>
          </cell>
          <cell r="H1957" t="str">
            <v>MDF-N - 12 x 1220 x 2440mm, Veneer Okoume 0.3mm Both Faces [CARB P2 Compliant]</v>
          </cell>
          <cell r="I1957">
            <v>4</v>
          </cell>
        </row>
        <row r="1958">
          <cell r="A1958" t="str">
            <v>B557894/A</v>
          </cell>
          <cell r="B1958" t="str">
            <v>CZ052M09</v>
          </cell>
          <cell r="C1958">
            <v>1</v>
          </cell>
          <cell r="D1958">
            <v>374.21</v>
          </cell>
          <cell r="E1958">
            <v>374.21</v>
          </cell>
          <cell r="F1958" t="str">
            <v>A6-S3</v>
          </cell>
          <cell r="G1958" t="str">
            <v>Drawer back - Hậu hộc kéo</v>
          </cell>
          <cell r="H1958" t="str">
            <v>MDF - 12 x 1220 x 2440mm, Veneer Okoume 0.3mm Both Faces [CARB P2 Compliant]</v>
          </cell>
          <cell r="I1958">
            <v>2</v>
          </cell>
        </row>
        <row r="1959">
          <cell r="A1959" t="str">
            <v>B557894/A</v>
          </cell>
          <cell r="B1959" t="str">
            <v>CZ052M09</v>
          </cell>
          <cell r="C1959">
            <v>1</v>
          </cell>
          <cell r="D1959">
            <v>374.21</v>
          </cell>
          <cell r="E1959">
            <v>374.21</v>
          </cell>
          <cell r="F1959" t="str">
            <v>A6-S4</v>
          </cell>
          <cell r="G1959" t="str">
            <v>Drawer bottom  - Đáy hộc kéo</v>
          </cell>
          <cell r="H1959" t="str">
            <v>MDF - 06 x 1220 x 2440mm, Veneer Okoume 0.3mm Both Faces [CARB P2 Compliant]</v>
          </cell>
          <cell r="I1959">
            <v>2</v>
          </cell>
        </row>
        <row r="1960">
          <cell r="A1960" t="str">
            <v>B557894/A</v>
          </cell>
          <cell r="B1960" t="str">
            <v>CZ052M09</v>
          </cell>
          <cell r="C1960">
            <v>1</v>
          </cell>
          <cell r="D1960">
            <v>374.21</v>
          </cell>
          <cell r="E1960">
            <v>374.21</v>
          </cell>
          <cell r="F1960" t="str">
            <v>A6-S5</v>
          </cell>
          <cell r="G1960" t="str">
            <v>Center rail - Đố giữa</v>
          </cell>
          <cell r="H1960" t="str">
            <v>Wood US Poplar - Straight Edged, 2 COM - T38mm x W100mm Up x L1.8m Up</v>
          </cell>
          <cell r="I1960">
            <v>2</v>
          </cell>
        </row>
        <row r="1961">
          <cell r="A1961" t="str">
            <v>B557894/A</v>
          </cell>
          <cell r="B1961" t="str">
            <v>CZ052M09</v>
          </cell>
          <cell r="C1961">
            <v>1</v>
          </cell>
          <cell r="D1961">
            <v>374.21</v>
          </cell>
          <cell r="E1961">
            <v>374.21</v>
          </cell>
          <cell r="F1961" t="str">
            <v>P01</v>
          </cell>
          <cell r="G1961" t="str">
            <v>Front top rail  - Đố tiền nóc</v>
          </cell>
          <cell r="H1961" t="str">
            <v>Wood Rubber Laminate Board - 20 x 1220 x 2440mm, Veneer Poplar both Faces</v>
          </cell>
          <cell r="I1961">
            <v>1</v>
          </cell>
        </row>
        <row r="1962">
          <cell r="A1962" t="str">
            <v>B557894/A</v>
          </cell>
          <cell r="B1962" t="str">
            <v>CZ052M09</v>
          </cell>
          <cell r="C1962">
            <v>1</v>
          </cell>
          <cell r="D1962">
            <v>374.21</v>
          </cell>
          <cell r="E1962">
            <v>374.21</v>
          </cell>
          <cell r="F1962" t="str">
            <v>P02</v>
          </cell>
          <cell r="G1962" t="str">
            <v>Back rail with note finger - đố hậu</v>
          </cell>
          <cell r="H1962" t="str">
            <v>Wood Rubber Laminate Board - 20 x 1220 x 2440mm, Veneer Poplar both Faces</v>
          </cell>
          <cell r="I1962">
            <v>1</v>
          </cell>
        </row>
        <row r="1963">
          <cell r="A1963" t="str">
            <v>B557894/A</v>
          </cell>
          <cell r="B1963" t="str">
            <v>CZ052M09</v>
          </cell>
          <cell r="C1963">
            <v>1</v>
          </cell>
          <cell r="D1963">
            <v>374.21</v>
          </cell>
          <cell r="E1963">
            <v>374.21</v>
          </cell>
          <cell r="F1963" t="str">
            <v>P03</v>
          </cell>
          <cell r="G1963" t="str">
            <v xml:space="preserve">Top panel  - Ván nóc </v>
          </cell>
          <cell r="H1963" t="str">
            <v>MDF - 15 x 1830 x 2440mm [CARB P2 Compliant]</v>
          </cell>
          <cell r="I1963">
            <v>1</v>
          </cell>
        </row>
        <row r="1964">
          <cell r="A1964" t="str">
            <v>B557894/A</v>
          </cell>
          <cell r="B1964" t="str">
            <v>CZ052M09</v>
          </cell>
          <cell r="C1964">
            <v>1</v>
          </cell>
          <cell r="D1964">
            <v>374.21</v>
          </cell>
          <cell r="E1964">
            <v>374.21</v>
          </cell>
          <cell r="F1964" t="str">
            <v>P05</v>
          </cell>
          <cell r="G1964" t="str">
            <v>side rail inside with note finger - Đố trong ghép finger</v>
          </cell>
          <cell r="H1964" t="str">
            <v>Wood Rubber Laminate Board - 20 x 1220 x 2440mm, Veneer Poplar both Faces</v>
          </cell>
          <cell r="I1964">
            <v>2</v>
          </cell>
        </row>
        <row r="1965">
          <cell r="A1965" t="str">
            <v>B557894/A</v>
          </cell>
          <cell r="B1965" t="str">
            <v>CZ052M09</v>
          </cell>
          <cell r="C1965">
            <v>1</v>
          </cell>
          <cell r="D1965">
            <v>374.21</v>
          </cell>
          <cell r="E1965">
            <v>374.21</v>
          </cell>
          <cell r="F1965" t="str">
            <v>P10</v>
          </cell>
          <cell r="G1965" t="str">
            <v>Back panel - Ván hậu</v>
          </cell>
          <cell r="H1965" t="str">
            <v>MDF Veneer</v>
          </cell>
          <cell r="I1965">
            <v>1</v>
          </cell>
        </row>
        <row r="1966">
          <cell r="A1966" t="str">
            <v>B557894/A</v>
          </cell>
          <cell r="B1966" t="str">
            <v>CZ052M09</v>
          </cell>
          <cell r="C1966">
            <v>1</v>
          </cell>
          <cell r="D1966">
            <v>374.21</v>
          </cell>
          <cell r="E1966">
            <v>374.21</v>
          </cell>
          <cell r="F1966" t="str">
            <v>P12</v>
          </cell>
          <cell r="G1966" t="str">
            <v>Corner block - ke góc</v>
          </cell>
          <cell r="H1966" t="str">
            <v>Poplar off cut</v>
          </cell>
          <cell r="I1966">
            <v>2</v>
          </cell>
        </row>
        <row r="1967">
          <cell r="A1967" t="str">
            <v>B557894/A</v>
          </cell>
          <cell r="B1967" t="str">
            <v>CZ052M09</v>
          </cell>
          <cell r="C1967">
            <v>1</v>
          </cell>
          <cell r="D1967">
            <v>374.21</v>
          </cell>
          <cell r="E1967">
            <v>374.21</v>
          </cell>
          <cell r="F1967" t="str">
            <v>P13</v>
          </cell>
          <cell r="G1967" t="str">
            <v>Spline - Lưỡi gà</v>
          </cell>
          <cell r="H1967" t="str">
            <v>wood off cut</v>
          </cell>
          <cell r="I1967">
            <v>2</v>
          </cell>
        </row>
        <row r="1968">
          <cell r="A1968" t="str">
            <v>B557894/A</v>
          </cell>
          <cell r="B1968" t="str">
            <v>CZ052M09</v>
          </cell>
          <cell r="C1968">
            <v>1</v>
          </cell>
          <cell r="D1968">
            <v>374.21</v>
          </cell>
          <cell r="E1968">
            <v>374.21</v>
          </cell>
          <cell r="F1968" t="str">
            <v>P14</v>
          </cell>
          <cell r="G1968" t="str">
            <v>Spline - Lưỡi gà</v>
          </cell>
          <cell r="H1968" t="str">
            <v>wood off cut</v>
          </cell>
          <cell r="I1968">
            <v>1</v>
          </cell>
        </row>
        <row r="1969">
          <cell r="A1969" t="str">
            <v>B557894/A</v>
          </cell>
          <cell r="B1969" t="str">
            <v>CZ052M09</v>
          </cell>
          <cell r="C1969">
            <v>1</v>
          </cell>
          <cell r="D1969">
            <v>374.21</v>
          </cell>
          <cell r="E1969">
            <v>374.21</v>
          </cell>
          <cell r="F1969" t="str">
            <v>P15</v>
          </cell>
          <cell r="G1969" t="str">
            <v>Cleat - Bọ gỗ</v>
          </cell>
          <cell r="H1969" t="str">
            <v>Wood Rubber Laminate Board - 20 x 1220 x 2440mm, Veneer Poplar both Faces</v>
          </cell>
          <cell r="I1969">
            <v>2</v>
          </cell>
        </row>
        <row r="1970">
          <cell r="A1970" t="str">
            <v>B557894/A</v>
          </cell>
          <cell r="B1970" t="str">
            <v>CZ052M09</v>
          </cell>
          <cell r="C1970">
            <v>1</v>
          </cell>
          <cell r="D1970">
            <v>374.21</v>
          </cell>
          <cell r="E1970">
            <v>374.21</v>
          </cell>
          <cell r="F1970" t="str">
            <v>P17</v>
          </cell>
          <cell r="G1970" t="str">
            <v>Front rail  - Đố tiền</v>
          </cell>
          <cell r="H1970" t="str">
            <v>Wood Rubber Laminate Board - 20 x 1220 x 2440mm, Veneer Poplar both Faces</v>
          </cell>
          <cell r="I1970">
            <v>1</v>
          </cell>
        </row>
        <row r="1971">
          <cell r="A1971" t="str">
            <v>B557894/A</v>
          </cell>
          <cell r="B1971" t="str">
            <v>CZ052M09</v>
          </cell>
          <cell r="C1971">
            <v>1</v>
          </cell>
          <cell r="D1971">
            <v>374.21</v>
          </cell>
          <cell r="E1971">
            <v>374.21</v>
          </cell>
          <cell r="F1971" t="str">
            <v>P18</v>
          </cell>
          <cell r="G1971" t="str">
            <v>Drawer stop - Dừng hộc</v>
          </cell>
          <cell r="H1971" t="str">
            <v>Poplar off cut</v>
          </cell>
          <cell r="I1971">
            <v>4</v>
          </cell>
        </row>
        <row r="1972">
          <cell r="A1972" t="str">
            <v>B557896/A</v>
          </cell>
          <cell r="B1972" t="str">
            <v>CZ052M191</v>
          </cell>
          <cell r="C1972">
            <v>20</v>
          </cell>
          <cell r="D1972">
            <v>393.91</v>
          </cell>
          <cell r="E1972">
            <v>7878.2000000000007</v>
          </cell>
          <cell r="F1972" t="str">
            <v>A1-S1</v>
          </cell>
          <cell r="G1972" t="str">
            <v>Front Vertical rail  - Trụ tiền</v>
          </cell>
          <cell r="H1972" t="str">
            <v>Pre-Assembly</v>
          </cell>
          <cell r="I1972">
            <v>40</v>
          </cell>
        </row>
        <row r="1973">
          <cell r="A1973" t="str">
            <v>B557896/A</v>
          </cell>
          <cell r="B1973" t="str">
            <v>CZ052M191</v>
          </cell>
          <cell r="C1973">
            <v>20</v>
          </cell>
          <cell r="D1973">
            <v>393.91</v>
          </cell>
          <cell r="E1973">
            <v>7878.2000000000007</v>
          </cell>
          <cell r="F1973" t="str">
            <v>A1-S1-1</v>
          </cell>
          <cell r="G1973" t="str">
            <v>Patching wood - Gỗ đắp</v>
          </cell>
          <cell r="H1973" t="str">
            <v>Wood US Poplar - Straight Edged, 2 COM - T25mm x W100mm Up x L1.8m Up</v>
          </cell>
          <cell r="I1973">
            <v>40</v>
          </cell>
        </row>
        <row r="1974">
          <cell r="A1974" t="str">
            <v>B557896/A</v>
          </cell>
          <cell r="B1974" t="str">
            <v>CZ052M191</v>
          </cell>
          <cell r="C1974">
            <v>20</v>
          </cell>
          <cell r="D1974">
            <v>393.91</v>
          </cell>
          <cell r="E1974">
            <v>7878.2000000000007</v>
          </cell>
          <cell r="F1974" t="str">
            <v>A1-S1-2</v>
          </cell>
          <cell r="G1974" t="str">
            <v>Wood laminater - Gỗ ghép 1</v>
          </cell>
          <cell r="H1974" t="str">
            <v>TRAM OFF CUT</v>
          </cell>
          <cell r="I1974">
            <v>40</v>
          </cell>
        </row>
        <row r="1975">
          <cell r="A1975" t="str">
            <v>B557896/A</v>
          </cell>
          <cell r="B1975" t="str">
            <v>CZ052M191</v>
          </cell>
          <cell r="C1975">
            <v>20</v>
          </cell>
          <cell r="D1975">
            <v>393.91</v>
          </cell>
          <cell r="E1975">
            <v>7878.2000000000007</v>
          </cell>
          <cell r="F1975" t="str">
            <v>A1-S2</v>
          </cell>
          <cell r="G1975" t="str">
            <v>Back leg - Chân hậu</v>
          </cell>
          <cell r="H1975" t="str">
            <v>Beech 2 COM</v>
          </cell>
          <cell r="I1975">
            <v>40</v>
          </cell>
        </row>
        <row r="1976">
          <cell r="A1976" t="str">
            <v>B557896/A</v>
          </cell>
          <cell r="B1976" t="str">
            <v>CZ052M191</v>
          </cell>
          <cell r="C1976">
            <v>20</v>
          </cell>
          <cell r="D1976">
            <v>393.91</v>
          </cell>
          <cell r="E1976">
            <v>7878.2000000000007</v>
          </cell>
          <cell r="F1976" t="str">
            <v>A1-S3</v>
          </cell>
          <cell r="G1976" t="str">
            <v xml:space="preserve">Side panel  - Ván hông </v>
          </cell>
          <cell r="H1976" t="str">
            <v>MDF - 15 x 1830 x 2440mm [CARB P2 Compliant]</v>
          </cell>
          <cell r="I1976">
            <v>40</v>
          </cell>
        </row>
        <row r="1977">
          <cell r="A1977" t="str">
            <v>B557896/A</v>
          </cell>
          <cell r="B1977" t="str">
            <v>CZ052M191</v>
          </cell>
          <cell r="C1977">
            <v>20</v>
          </cell>
          <cell r="D1977">
            <v>393.91</v>
          </cell>
          <cell r="E1977">
            <v>7878.2000000000007</v>
          </cell>
          <cell r="F1977" t="str">
            <v>A1-S4</v>
          </cell>
          <cell r="G1977" t="str">
            <v>side rail inside with note finger - Đố trong ghép finger</v>
          </cell>
          <cell r="H1977" t="str">
            <v>Pre-Assembly</v>
          </cell>
          <cell r="I1977">
            <v>80</v>
          </cell>
        </row>
        <row r="1978">
          <cell r="A1978" t="str">
            <v>B557896/A</v>
          </cell>
          <cell r="B1978" t="str">
            <v>CZ052M191</v>
          </cell>
          <cell r="C1978">
            <v>20</v>
          </cell>
          <cell r="D1978">
            <v>393.91</v>
          </cell>
          <cell r="E1978">
            <v>7878.2000000000007</v>
          </cell>
          <cell r="F1978" t="str">
            <v>A1-S4-1</v>
          </cell>
          <cell r="G1978" t="str">
            <v xml:space="preserve">Side rail  - Đố hông </v>
          </cell>
          <cell r="H1978" t="str">
            <v>Wood US Poplar - Straight Edged, 2 COM - T25mm x W100mm Up x L1.8m Up</v>
          </cell>
          <cell r="I1978">
            <v>80</v>
          </cell>
        </row>
        <row r="1979">
          <cell r="A1979" t="str">
            <v>B557896/A</v>
          </cell>
          <cell r="B1979" t="str">
            <v>CZ052M191</v>
          </cell>
          <cell r="C1979">
            <v>20</v>
          </cell>
          <cell r="D1979">
            <v>393.91</v>
          </cell>
          <cell r="E1979">
            <v>7878.2000000000007</v>
          </cell>
          <cell r="F1979" t="str">
            <v>A1-S4-2</v>
          </cell>
          <cell r="G1979" t="str">
            <v>Patching wood - Gỗ đắp</v>
          </cell>
          <cell r="H1979" t="str">
            <v>wood off cut</v>
          </cell>
          <cell r="I1979">
            <v>160</v>
          </cell>
        </row>
        <row r="1980">
          <cell r="A1980" t="str">
            <v>B557896/A</v>
          </cell>
          <cell r="B1980" t="str">
            <v>CZ052M191</v>
          </cell>
          <cell r="C1980">
            <v>20</v>
          </cell>
          <cell r="D1980">
            <v>393.91</v>
          </cell>
          <cell r="E1980">
            <v>7878.2000000000007</v>
          </cell>
          <cell r="F1980" t="str">
            <v>A4-S1</v>
          </cell>
          <cell r="G1980" t="str">
            <v>Back bottom rail - Đố hậu đáy</v>
          </cell>
          <cell r="H1980" t="str">
            <v>Wood Rubber Laminate Board - 20 x 1220 x 2440mm, Veneer Poplar both Faces</v>
          </cell>
          <cell r="I1980">
            <v>20</v>
          </cell>
        </row>
        <row r="1981">
          <cell r="A1981" t="str">
            <v>B557896/A</v>
          </cell>
          <cell r="B1981" t="str">
            <v>CZ052M191</v>
          </cell>
          <cell r="C1981">
            <v>20</v>
          </cell>
          <cell r="D1981">
            <v>393.91</v>
          </cell>
          <cell r="E1981">
            <v>7878.2000000000007</v>
          </cell>
          <cell r="F1981" t="str">
            <v>A4-S1-1</v>
          </cell>
          <cell r="G1981" t="str">
            <v>Front Bottom Rail  - Đố đáy trước</v>
          </cell>
          <cell r="H1981" t="str">
            <v>Wood Rubber Laminate Board - 20 x 1220 x 2440mm, Veneer Poplar both Faces</v>
          </cell>
          <cell r="I1981">
            <v>20</v>
          </cell>
        </row>
        <row r="1982">
          <cell r="A1982" t="str">
            <v>B557896/A</v>
          </cell>
          <cell r="B1982" t="str">
            <v>CZ052M191</v>
          </cell>
          <cell r="C1982">
            <v>20</v>
          </cell>
          <cell r="D1982">
            <v>393.91</v>
          </cell>
          <cell r="E1982">
            <v>7878.2000000000007</v>
          </cell>
          <cell r="F1982" t="str">
            <v>A4-S3</v>
          </cell>
          <cell r="G1982" t="str">
            <v>center rail with note - đố giữa</v>
          </cell>
          <cell r="H1982" t="str">
            <v>Wood Rubber Laminate Board - 20 x 1220 x 2440mm, Veneer Poplar both Faces</v>
          </cell>
          <cell r="I1982">
            <v>20</v>
          </cell>
        </row>
        <row r="1983">
          <cell r="A1983" t="str">
            <v>B557896/A</v>
          </cell>
          <cell r="B1983" t="str">
            <v>CZ052M191</v>
          </cell>
          <cell r="C1983">
            <v>20</v>
          </cell>
          <cell r="D1983">
            <v>393.91</v>
          </cell>
          <cell r="E1983">
            <v>7878.2000000000007</v>
          </cell>
          <cell r="F1983" t="str">
            <v>A4-S4</v>
          </cell>
          <cell r="G1983" t="str">
            <v>Dust board Panel  - Ván quét bụi</v>
          </cell>
          <cell r="H1983" t="str">
            <v>MDF - 06 x 1830 x 2440mm [CARB P2 Compliant]</v>
          </cell>
          <cell r="I1983">
            <v>20</v>
          </cell>
        </row>
        <row r="1984">
          <cell r="A1984" t="str">
            <v>B557896/A</v>
          </cell>
          <cell r="B1984" t="str">
            <v>CZ052M191</v>
          </cell>
          <cell r="C1984">
            <v>20</v>
          </cell>
          <cell r="D1984">
            <v>393.91</v>
          </cell>
          <cell r="E1984">
            <v>7878.2000000000007</v>
          </cell>
          <cell r="F1984" t="str">
            <v>A6-S1</v>
          </cell>
          <cell r="G1984" t="str">
            <v xml:space="preserve">Drawer front - Mặt hộc kéo </v>
          </cell>
          <cell r="H1984" t="str">
            <v>MDF Veneer</v>
          </cell>
          <cell r="I1984">
            <v>40</v>
          </cell>
        </row>
        <row r="1985">
          <cell r="A1985" t="str">
            <v>B557896/A</v>
          </cell>
          <cell r="B1985" t="str">
            <v>CZ052M191</v>
          </cell>
          <cell r="C1985">
            <v>20</v>
          </cell>
          <cell r="D1985">
            <v>393.91</v>
          </cell>
          <cell r="E1985">
            <v>7878.2000000000007</v>
          </cell>
          <cell r="F1985" t="str">
            <v>A6-S2</v>
          </cell>
          <cell r="G1985" t="str">
            <v>Drawer side - Hông hộc kéo</v>
          </cell>
          <cell r="H1985" t="str">
            <v>MDF-N - 12 x 1220 x 2440mm, Veneer Okoume 0.3mm Both Faces [CARB P2 Compliant]</v>
          </cell>
          <cell r="I1985">
            <v>80</v>
          </cell>
        </row>
        <row r="1986">
          <cell r="A1986" t="str">
            <v>B557896/A</v>
          </cell>
          <cell r="B1986" t="str">
            <v>CZ052M191</v>
          </cell>
          <cell r="C1986">
            <v>20</v>
          </cell>
          <cell r="D1986">
            <v>393.91</v>
          </cell>
          <cell r="E1986">
            <v>7878.2000000000007</v>
          </cell>
          <cell r="F1986" t="str">
            <v>A6-S3</v>
          </cell>
          <cell r="G1986" t="str">
            <v>Drawer back - Hậu hộc kéo</v>
          </cell>
          <cell r="H1986" t="str">
            <v>MDF - 12 x 1220 x 2440mm, Veneer Okoume 0.3mm Both Faces [CARB P2 Compliant]</v>
          </cell>
          <cell r="I1986">
            <v>40</v>
          </cell>
        </row>
        <row r="1987">
          <cell r="A1987" t="str">
            <v>B557896/A</v>
          </cell>
          <cell r="B1987" t="str">
            <v>CZ052M191</v>
          </cell>
          <cell r="C1987">
            <v>20</v>
          </cell>
          <cell r="D1987">
            <v>393.91</v>
          </cell>
          <cell r="E1987">
            <v>7878.2000000000007</v>
          </cell>
          <cell r="F1987" t="str">
            <v>A6-S4</v>
          </cell>
          <cell r="G1987" t="str">
            <v>Drawer bottom  - Đáy hộc kéo</v>
          </cell>
          <cell r="H1987" t="str">
            <v>MDF - 06 x 1220 x 2440mm, Veneer Okoume 0.3mm Both Faces [CARB P2 Compliant]</v>
          </cell>
          <cell r="I1987">
            <v>40</v>
          </cell>
        </row>
        <row r="1988">
          <cell r="A1988" t="str">
            <v>B557896/A</v>
          </cell>
          <cell r="B1988" t="str">
            <v>CZ052M191</v>
          </cell>
          <cell r="C1988">
            <v>20</v>
          </cell>
          <cell r="D1988">
            <v>393.91</v>
          </cell>
          <cell r="E1988">
            <v>7878.2000000000007</v>
          </cell>
          <cell r="F1988" t="str">
            <v>A6-S5</v>
          </cell>
          <cell r="G1988" t="str">
            <v>Center rail - Đố giữa</v>
          </cell>
          <cell r="H1988" t="str">
            <v>Wood US Poplar - Straight Edged, 2 COM - T38mm x W100mm Up x L1.8m Up</v>
          </cell>
          <cell r="I1988">
            <v>40</v>
          </cell>
        </row>
        <row r="1989">
          <cell r="A1989" t="str">
            <v>B557896/A</v>
          </cell>
          <cell r="B1989" t="str">
            <v>CZ052M191</v>
          </cell>
          <cell r="C1989">
            <v>20</v>
          </cell>
          <cell r="D1989">
            <v>393.91</v>
          </cell>
          <cell r="E1989">
            <v>7878.2000000000007</v>
          </cell>
          <cell r="F1989" t="str">
            <v>P01</v>
          </cell>
          <cell r="G1989" t="str">
            <v>Front top rail  - Đố tiền nóc</v>
          </cell>
          <cell r="H1989" t="str">
            <v>Wood Rubber Laminate Board - 20 x 1220 x 2440mm, Veneer Poplar both Faces</v>
          </cell>
          <cell r="I1989">
            <v>20</v>
          </cell>
        </row>
        <row r="1990">
          <cell r="A1990" t="str">
            <v>B557896/A</v>
          </cell>
          <cell r="B1990" t="str">
            <v>CZ052M191</v>
          </cell>
          <cell r="C1990">
            <v>20</v>
          </cell>
          <cell r="D1990">
            <v>393.91</v>
          </cell>
          <cell r="E1990">
            <v>7878.2000000000007</v>
          </cell>
          <cell r="F1990" t="str">
            <v>P02</v>
          </cell>
          <cell r="G1990" t="str">
            <v>Back rail with note finger - đố hậu</v>
          </cell>
          <cell r="H1990" t="str">
            <v>Wood Rubber Laminate Board - 20 x 1220 x 2440mm, Veneer Poplar both Faces</v>
          </cell>
          <cell r="I1990">
            <v>20</v>
          </cell>
        </row>
        <row r="1991">
          <cell r="A1991" t="str">
            <v>B557896/A</v>
          </cell>
          <cell r="B1991" t="str">
            <v>CZ052M191</v>
          </cell>
          <cell r="C1991">
            <v>20</v>
          </cell>
          <cell r="D1991">
            <v>393.91</v>
          </cell>
          <cell r="E1991">
            <v>7878.2000000000007</v>
          </cell>
          <cell r="F1991" t="str">
            <v>P03</v>
          </cell>
          <cell r="G1991" t="str">
            <v xml:space="preserve">Top panel  - Ván nóc </v>
          </cell>
          <cell r="H1991" t="str">
            <v>MDF - 15 x 1830 x 2440mm [CARB P2 Compliant]</v>
          </cell>
          <cell r="I1991">
            <v>20</v>
          </cell>
        </row>
        <row r="1992">
          <cell r="A1992" t="str">
            <v>B557896/A</v>
          </cell>
          <cell r="B1992" t="str">
            <v>CZ052M191</v>
          </cell>
          <cell r="C1992">
            <v>20</v>
          </cell>
          <cell r="D1992">
            <v>393.91</v>
          </cell>
          <cell r="E1992">
            <v>7878.2000000000007</v>
          </cell>
          <cell r="F1992" t="str">
            <v>P05</v>
          </cell>
          <cell r="G1992" t="str">
            <v>side rail inside with note finger - Đố trong ghép finger</v>
          </cell>
          <cell r="H1992" t="str">
            <v>Wood Rubber Laminate Board - 20 x 1220 x 2440mm, Veneer Poplar both Faces</v>
          </cell>
          <cell r="I1992">
            <v>40</v>
          </cell>
        </row>
        <row r="1993">
          <cell r="A1993" t="str">
            <v>B557896/A</v>
          </cell>
          <cell r="B1993" t="str">
            <v>CZ052M191</v>
          </cell>
          <cell r="C1993">
            <v>20</v>
          </cell>
          <cell r="D1993">
            <v>393.91</v>
          </cell>
          <cell r="E1993">
            <v>7878.2000000000007</v>
          </cell>
          <cell r="F1993" t="str">
            <v>P10</v>
          </cell>
          <cell r="G1993" t="str">
            <v>Back panel - Ván hậu</v>
          </cell>
          <cell r="H1993" t="str">
            <v>MDF Veneer</v>
          </cell>
          <cell r="I1993">
            <v>20</v>
          </cell>
        </row>
        <row r="1994">
          <cell r="A1994" t="str">
            <v>B557896/A</v>
          </cell>
          <cell r="B1994" t="str">
            <v>CZ052M191</v>
          </cell>
          <cell r="C1994">
            <v>20</v>
          </cell>
          <cell r="D1994">
            <v>393.91</v>
          </cell>
          <cell r="E1994">
            <v>7878.2000000000007</v>
          </cell>
          <cell r="F1994" t="str">
            <v>P12</v>
          </cell>
          <cell r="G1994" t="str">
            <v>Corner block - ke góc</v>
          </cell>
          <cell r="H1994" t="str">
            <v>Poplar off cut</v>
          </cell>
          <cell r="I1994">
            <v>40</v>
          </cell>
        </row>
        <row r="1995">
          <cell r="A1995" t="str">
            <v>B557896/A</v>
          </cell>
          <cell r="B1995" t="str">
            <v>CZ052M191</v>
          </cell>
          <cell r="C1995">
            <v>20</v>
          </cell>
          <cell r="D1995">
            <v>393.91</v>
          </cell>
          <cell r="E1995">
            <v>7878.2000000000007</v>
          </cell>
          <cell r="F1995" t="str">
            <v>P13</v>
          </cell>
          <cell r="G1995" t="str">
            <v>Spline - Lưỡi gà</v>
          </cell>
          <cell r="H1995" t="str">
            <v>wood off cut</v>
          </cell>
          <cell r="I1995">
            <v>40</v>
          </cell>
        </row>
        <row r="1996">
          <cell r="A1996" t="str">
            <v>B557896/A</v>
          </cell>
          <cell r="B1996" t="str">
            <v>CZ052M191</v>
          </cell>
          <cell r="C1996">
            <v>20</v>
          </cell>
          <cell r="D1996">
            <v>393.91</v>
          </cell>
          <cell r="E1996">
            <v>7878.2000000000007</v>
          </cell>
          <cell r="F1996" t="str">
            <v>P14</v>
          </cell>
          <cell r="G1996" t="str">
            <v>Spline - Lưỡi gà</v>
          </cell>
          <cell r="H1996" t="str">
            <v>wood off cut</v>
          </cell>
          <cell r="I1996">
            <v>20</v>
          </cell>
        </row>
        <row r="1997">
          <cell r="A1997" t="str">
            <v>B557896/A</v>
          </cell>
          <cell r="B1997" t="str">
            <v>CZ052M191</v>
          </cell>
          <cell r="C1997">
            <v>20</v>
          </cell>
          <cell r="D1997">
            <v>393.91</v>
          </cell>
          <cell r="E1997">
            <v>7878.2000000000007</v>
          </cell>
          <cell r="F1997" t="str">
            <v>P15</v>
          </cell>
          <cell r="G1997" t="str">
            <v>Cleat - Bọ gỗ</v>
          </cell>
          <cell r="H1997" t="str">
            <v>Wood Rubber Laminate Board - 20 x 1220 x 2440mm, Veneer Poplar both Faces</v>
          </cell>
          <cell r="I1997">
            <v>40</v>
          </cell>
        </row>
        <row r="1998">
          <cell r="A1998" t="str">
            <v>B557896/A</v>
          </cell>
          <cell r="B1998" t="str">
            <v>CZ052M191</v>
          </cell>
          <cell r="C1998">
            <v>20</v>
          </cell>
          <cell r="D1998">
            <v>393.91</v>
          </cell>
          <cell r="E1998">
            <v>7878.2000000000007</v>
          </cell>
          <cell r="F1998" t="str">
            <v>P17</v>
          </cell>
          <cell r="G1998" t="str">
            <v>Front rail  - Đố tiền</v>
          </cell>
          <cell r="H1998" t="str">
            <v>Wood Rubber Laminate Board - 20 x 1220 x 2440mm, Veneer Poplar both Faces</v>
          </cell>
          <cell r="I1998">
            <v>20</v>
          </cell>
        </row>
        <row r="1999">
          <cell r="A1999" t="str">
            <v>B557896/A</v>
          </cell>
          <cell r="B1999" t="str">
            <v>CZ052M191</v>
          </cell>
          <cell r="C1999">
            <v>20</v>
          </cell>
          <cell r="D1999">
            <v>393.91</v>
          </cell>
          <cell r="E1999">
            <v>7878.2000000000007</v>
          </cell>
          <cell r="F1999" t="str">
            <v>P18</v>
          </cell>
          <cell r="G1999" t="str">
            <v>Drawer stop - Dừng hộc</v>
          </cell>
          <cell r="H1999" t="str">
            <v>Poplar off cut</v>
          </cell>
          <cell r="I1999">
            <v>80</v>
          </cell>
        </row>
        <row r="2000">
          <cell r="A2000" t="str">
            <v>B553665/A</v>
          </cell>
          <cell r="B2000" t="str">
            <v>CZ062M08</v>
          </cell>
          <cell r="C2000">
            <v>3</v>
          </cell>
          <cell r="D2000">
            <v>944.32</v>
          </cell>
          <cell r="E2000">
            <v>2832.96</v>
          </cell>
          <cell r="F2000" t="str">
            <v>A1-S1</v>
          </cell>
          <cell r="G2000" t="str">
            <v>Front leg  - Chần tiền</v>
          </cell>
          <cell r="H2000" t="str">
            <v>Pre-Assembly</v>
          </cell>
          <cell r="I2000">
            <v>6</v>
          </cell>
        </row>
        <row r="2001">
          <cell r="A2001" t="str">
            <v>B553665/A</v>
          </cell>
          <cell r="B2001" t="str">
            <v>CZ062M08</v>
          </cell>
          <cell r="C2001">
            <v>3</v>
          </cell>
          <cell r="D2001">
            <v>944.32</v>
          </cell>
          <cell r="E2001">
            <v>2832.96</v>
          </cell>
          <cell r="F2001" t="str">
            <v>A1-S1-1</v>
          </cell>
          <cell r="G2001" t="str">
            <v>Wood laminater - Gỗ ghép 1</v>
          </cell>
          <cell r="H2001" t="str">
            <v>Wood laminate</v>
          </cell>
          <cell r="I2001">
            <v>6</v>
          </cell>
        </row>
        <row r="2002">
          <cell r="A2002" t="str">
            <v>B553665/A</v>
          </cell>
          <cell r="B2002" t="str">
            <v>CZ062M08</v>
          </cell>
          <cell r="C2002">
            <v>3</v>
          </cell>
          <cell r="D2002">
            <v>944.32</v>
          </cell>
          <cell r="E2002">
            <v>2832.96</v>
          </cell>
          <cell r="F2002" t="str">
            <v>A1-S1-2</v>
          </cell>
          <cell r="G2002" t="str">
            <v>Wood laminater - Gỗ ghép 1</v>
          </cell>
          <cell r="H2002" t="str">
            <v>Standard Wood - ALDER/ASPEN/LENGA/US POPLAR, 2 COM - T25 W120mm+ L2m+</v>
          </cell>
          <cell r="I2002">
            <v>6</v>
          </cell>
        </row>
        <row r="2003">
          <cell r="A2003" t="str">
            <v>B553665/A</v>
          </cell>
          <cell r="B2003" t="str">
            <v>CZ062M08</v>
          </cell>
          <cell r="C2003">
            <v>3</v>
          </cell>
          <cell r="D2003">
            <v>944.32</v>
          </cell>
          <cell r="E2003">
            <v>2832.96</v>
          </cell>
          <cell r="F2003" t="str">
            <v>A1-S2</v>
          </cell>
          <cell r="G2003" t="str">
            <v>Back leg - Chân hậu</v>
          </cell>
          <cell r="H2003" t="str">
            <v>Wood laminate</v>
          </cell>
          <cell r="I2003">
            <v>6</v>
          </cell>
        </row>
        <row r="2004">
          <cell r="A2004" t="str">
            <v>B553665/A</v>
          </cell>
          <cell r="B2004" t="str">
            <v>CZ062M08</v>
          </cell>
          <cell r="C2004">
            <v>3</v>
          </cell>
          <cell r="D2004">
            <v>944.32</v>
          </cell>
          <cell r="E2004">
            <v>2832.96</v>
          </cell>
          <cell r="F2004" t="str">
            <v>A1-S3</v>
          </cell>
          <cell r="G2004" t="str">
            <v xml:space="preserve">Side panel  - Ván hông </v>
          </cell>
          <cell r="H2004" t="str">
            <v>MDF Veneer</v>
          </cell>
          <cell r="I2004">
            <v>6</v>
          </cell>
        </row>
        <row r="2005">
          <cell r="A2005" t="str">
            <v>B553665/A</v>
          </cell>
          <cell r="B2005" t="str">
            <v>CZ062M08</v>
          </cell>
          <cell r="C2005">
            <v>3</v>
          </cell>
          <cell r="D2005">
            <v>944.32</v>
          </cell>
          <cell r="E2005">
            <v>2832.96</v>
          </cell>
          <cell r="F2005" t="str">
            <v>A1-S4</v>
          </cell>
          <cell r="G2005" t="str">
            <v>Cleat - Bọ gỗ</v>
          </cell>
          <cell r="H2005" t="str">
            <v>Wood Rubber Laminate Board - 20 x 1220 x 2440mm, Veneer Poplar both Faces</v>
          </cell>
          <cell r="I2005">
            <v>12</v>
          </cell>
        </row>
        <row r="2006">
          <cell r="A2006" t="str">
            <v>B553665/A</v>
          </cell>
          <cell r="B2006" t="str">
            <v>CZ062M08</v>
          </cell>
          <cell r="C2006">
            <v>3</v>
          </cell>
          <cell r="D2006">
            <v>944.32</v>
          </cell>
          <cell r="E2006">
            <v>2832.96</v>
          </cell>
          <cell r="F2006" t="str">
            <v>A1-S5</v>
          </cell>
          <cell r="G2006" t="str">
            <v>Patching wood - Gỗ đắp</v>
          </cell>
          <cell r="H2006" t="str">
            <v>Standard Wood - ALDER/ASPEN/LENGA/US POPLAR, 2 COM - T32 W120mm+ L2m+</v>
          </cell>
          <cell r="I2006">
            <v>6</v>
          </cell>
        </row>
        <row r="2007">
          <cell r="A2007" t="str">
            <v>B553665/A</v>
          </cell>
          <cell r="B2007" t="str">
            <v>CZ062M08</v>
          </cell>
          <cell r="C2007">
            <v>3</v>
          </cell>
          <cell r="D2007">
            <v>944.32</v>
          </cell>
          <cell r="E2007">
            <v>2832.96</v>
          </cell>
          <cell r="F2007" t="str">
            <v>A1-S6</v>
          </cell>
          <cell r="G2007" t="str">
            <v>Cleat - Bọ gỗ</v>
          </cell>
          <cell r="H2007" t="str">
            <v>Wood Rubber Laminate Board - 20 x 1220 x 2440mm, Veneer Poplar both Faces</v>
          </cell>
          <cell r="I2007">
            <v>24</v>
          </cell>
        </row>
        <row r="2008">
          <cell r="A2008" t="str">
            <v>B553665/A</v>
          </cell>
          <cell r="B2008" t="str">
            <v>CZ062M08</v>
          </cell>
          <cell r="C2008">
            <v>3</v>
          </cell>
          <cell r="D2008">
            <v>944.32</v>
          </cell>
          <cell r="E2008">
            <v>2832.96</v>
          </cell>
          <cell r="F2008" t="str">
            <v>A2-S1</v>
          </cell>
          <cell r="G2008" t="str">
            <v>Front Bottom Rail  - Đố đáy trước</v>
          </cell>
          <cell r="H2008" t="str">
            <v>Standard Wood - ALDER/ASPEN/LENGA/US POPLAR, 2 COM - T32 W120mm+ L2m+</v>
          </cell>
          <cell r="I2008">
            <v>3</v>
          </cell>
        </row>
        <row r="2009">
          <cell r="A2009" t="str">
            <v>B553665/A</v>
          </cell>
          <cell r="B2009" t="str">
            <v>CZ062M08</v>
          </cell>
          <cell r="C2009">
            <v>3</v>
          </cell>
          <cell r="D2009">
            <v>944.32</v>
          </cell>
          <cell r="E2009">
            <v>2832.96</v>
          </cell>
          <cell r="F2009" t="str">
            <v>A2-S1-1</v>
          </cell>
          <cell r="G2009" t="str">
            <v>Front Bottom Rail  - Đố đáy trước</v>
          </cell>
          <cell r="H2009" t="str">
            <v>Standard Wood - ALDER/ASPEN/LENGA/US POPLAR, 2 COM - T32 W120mm+ L2m+</v>
          </cell>
          <cell r="I2009">
            <v>3</v>
          </cell>
        </row>
        <row r="2010">
          <cell r="A2010" t="str">
            <v>B553665/A</v>
          </cell>
          <cell r="B2010" t="str">
            <v>CZ062M08</v>
          </cell>
          <cell r="C2010">
            <v>3</v>
          </cell>
          <cell r="D2010">
            <v>944.32</v>
          </cell>
          <cell r="E2010">
            <v>2832.96</v>
          </cell>
          <cell r="F2010" t="str">
            <v>A2-S3</v>
          </cell>
          <cell r="G2010" t="str">
            <v>center rail with note - đố giữa</v>
          </cell>
          <cell r="H2010" t="str">
            <v>Wood US Poplar - Straight Edged, 2 COM - T32mm x W100mm Up x L1.8m Up</v>
          </cell>
          <cell r="I2010">
            <v>3</v>
          </cell>
        </row>
        <row r="2011">
          <cell r="A2011" t="str">
            <v>B553665/A</v>
          </cell>
          <cell r="B2011" t="str">
            <v>CZ062M08</v>
          </cell>
          <cell r="C2011">
            <v>3</v>
          </cell>
          <cell r="D2011">
            <v>944.32</v>
          </cell>
          <cell r="E2011">
            <v>2832.96</v>
          </cell>
          <cell r="F2011" t="str">
            <v>A2-S4</v>
          </cell>
          <cell r="G2011" t="str">
            <v>Bottom panel - Ván đáy</v>
          </cell>
          <cell r="H2011" t="str">
            <v>MDF Veneer</v>
          </cell>
          <cell r="I2011">
            <v>3</v>
          </cell>
        </row>
        <row r="2012">
          <cell r="A2012" t="str">
            <v>B553665/A</v>
          </cell>
          <cell r="B2012" t="str">
            <v>CZ062M08</v>
          </cell>
          <cell r="C2012">
            <v>3</v>
          </cell>
          <cell r="D2012">
            <v>944.32</v>
          </cell>
          <cell r="E2012">
            <v>2832.96</v>
          </cell>
          <cell r="F2012" t="str">
            <v>A2-S5</v>
          </cell>
          <cell r="G2012" t="str">
            <v>Cleat - Bọ gỗ</v>
          </cell>
          <cell r="H2012" t="str">
            <v>Wood Rubber Laminate Board - 20 x 1220 x 2440mm, Veneer Poplar both Faces</v>
          </cell>
          <cell r="I2012">
            <v>12</v>
          </cell>
        </row>
        <row r="2013">
          <cell r="A2013" t="str">
            <v>B553665/A</v>
          </cell>
          <cell r="B2013" t="str">
            <v>CZ062M08</v>
          </cell>
          <cell r="C2013">
            <v>3</v>
          </cell>
          <cell r="D2013">
            <v>944.32</v>
          </cell>
          <cell r="E2013">
            <v>2832.96</v>
          </cell>
          <cell r="F2013" t="str">
            <v>A3</v>
          </cell>
          <cell r="G2013" t="str">
            <v>Door Frame - Khung cửa</v>
          </cell>
          <cell r="H2013" t="str">
            <v>Pre-Assembly</v>
          </cell>
          <cell r="I2013">
            <v>6</v>
          </cell>
        </row>
        <row r="2014">
          <cell r="A2014" t="str">
            <v>B553665/A</v>
          </cell>
          <cell r="B2014" t="str">
            <v>CZ062M08</v>
          </cell>
          <cell r="C2014">
            <v>3</v>
          </cell>
          <cell r="D2014">
            <v>944.32</v>
          </cell>
          <cell r="E2014">
            <v>2832.96</v>
          </cell>
          <cell r="F2014" t="str">
            <v>A3-S1</v>
          </cell>
          <cell r="G2014" t="str">
            <v>Door vertical rail  - Đố cửa đứng</v>
          </cell>
          <cell r="H2014" t="str">
            <v>Wood laminate</v>
          </cell>
          <cell r="I2014">
            <v>6</v>
          </cell>
        </row>
        <row r="2015">
          <cell r="A2015" t="str">
            <v>B553665/A</v>
          </cell>
          <cell r="B2015" t="str">
            <v>CZ062M08</v>
          </cell>
          <cell r="C2015">
            <v>3</v>
          </cell>
          <cell r="D2015">
            <v>944.32</v>
          </cell>
          <cell r="E2015">
            <v>2832.96</v>
          </cell>
          <cell r="F2015" t="str">
            <v>A3-S2</v>
          </cell>
          <cell r="G2015" t="str">
            <v>Door Horizontal rail  - Đố cửa ngang</v>
          </cell>
          <cell r="H2015" t="str">
            <v>Wood EU Beech - Straight/Waving Edged ABC, 2 COM - T26mm x W100mm up x L1.8m up</v>
          </cell>
          <cell r="I2015">
            <v>12</v>
          </cell>
        </row>
        <row r="2016">
          <cell r="A2016" t="str">
            <v>B553665/A</v>
          </cell>
          <cell r="B2016" t="str">
            <v>CZ062M08</v>
          </cell>
          <cell r="C2016">
            <v>3</v>
          </cell>
          <cell r="D2016">
            <v>944.32</v>
          </cell>
          <cell r="E2016">
            <v>2832.96</v>
          </cell>
          <cell r="F2016" t="str">
            <v>A3-S3</v>
          </cell>
          <cell r="G2016" t="str">
            <v>Door vertical rail  - Đố cửa đứng</v>
          </cell>
          <cell r="H2016" t="str">
            <v>Wood laminate</v>
          </cell>
          <cell r="I2016">
            <v>6</v>
          </cell>
        </row>
        <row r="2017">
          <cell r="A2017" t="str">
            <v>B553665/A</v>
          </cell>
          <cell r="B2017" t="str">
            <v>CZ062M08</v>
          </cell>
          <cell r="C2017">
            <v>3</v>
          </cell>
          <cell r="D2017">
            <v>944.32</v>
          </cell>
          <cell r="E2017">
            <v>2832.96</v>
          </cell>
          <cell r="F2017" t="str">
            <v>P01</v>
          </cell>
          <cell r="G2017" t="str">
            <v>Front top rail  - Đố tiền nóc</v>
          </cell>
          <cell r="H2017" t="str">
            <v>Wood laminate</v>
          </cell>
          <cell r="I2017">
            <v>3</v>
          </cell>
        </row>
        <row r="2018">
          <cell r="A2018" t="str">
            <v>B553665/A</v>
          </cell>
          <cell r="B2018" t="str">
            <v>CZ062M08</v>
          </cell>
          <cell r="C2018">
            <v>3</v>
          </cell>
          <cell r="D2018">
            <v>944.32</v>
          </cell>
          <cell r="E2018">
            <v>2832.96</v>
          </cell>
          <cell r="F2018" t="str">
            <v>P02</v>
          </cell>
          <cell r="G2018" t="str">
            <v>Back top rail - Đố hậu nóc</v>
          </cell>
          <cell r="H2018" t="str">
            <v>Wood Rubber Laminate Board - 20 x 1220 x 2440mm, Veneer Poplar both Faces</v>
          </cell>
          <cell r="I2018">
            <v>15</v>
          </cell>
        </row>
        <row r="2019">
          <cell r="A2019" t="str">
            <v>B553665/A</v>
          </cell>
          <cell r="B2019" t="str">
            <v>CZ062M08</v>
          </cell>
          <cell r="C2019">
            <v>3</v>
          </cell>
          <cell r="D2019">
            <v>944.32</v>
          </cell>
          <cell r="E2019">
            <v>2832.96</v>
          </cell>
          <cell r="F2019" t="str">
            <v>P03</v>
          </cell>
          <cell r="G2019" t="str">
            <v xml:space="preserve">Top panel  - Ván nóc </v>
          </cell>
          <cell r="H2019" t="str">
            <v>MDF Veneer</v>
          </cell>
          <cell r="I2019">
            <v>3</v>
          </cell>
        </row>
        <row r="2020">
          <cell r="A2020" t="str">
            <v>B553665/A</v>
          </cell>
          <cell r="B2020" t="str">
            <v>CZ062M08</v>
          </cell>
          <cell r="C2020">
            <v>3</v>
          </cell>
          <cell r="D2020">
            <v>944.32</v>
          </cell>
          <cell r="E2020">
            <v>2832.96</v>
          </cell>
          <cell r="F2020" t="str">
            <v>P04</v>
          </cell>
          <cell r="G2020" t="str">
            <v>Spline - Lưỡi gà</v>
          </cell>
          <cell r="H2020" t="str">
            <v>Plywood LVD - 06 x 1220 x 2440mm, Bleached Poplar Veneer Both Sides [CARB P2 Compliant]</v>
          </cell>
          <cell r="I2020">
            <v>6</v>
          </cell>
        </row>
        <row r="2021">
          <cell r="A2021" t="str">
            <v>B553665/A</v>
          </cell>
          <cell r="B2021" t="str">
            <v>CZ062M08</v>
          </cell>
          <cell r="C2021">
            <v>3</v>
          </cell>
          <cell r="D2021">
            <v>944.32</v>
          </cell>
          <cell r="E2021">
            <v>2832.96</v>
          </cell>
          <cell r="F2021" t="str">
            <v>P05</v>
          </cell>
          <cell r="G2021" t="str">
            <v>Spline - Lưỡi gà</v>
          </cell>
          <cell r="H2021" t="str">
            <v>Plywood LVD - 06 x 1220 x 2440mm, Bleached Poplar Veneer Both Sides [CARB P2 Compliant]</v>
          </cell>
          <cell r="I2021">
            <v>3</v>
          </cell>
        </row>
        <row r="2022">
          <cell r="A2022" t="str">
            <v>B553665/A</v>
          </cell>
          <cell r="B2022" t="str">
            <v>CZ062M08</v>
          </cell>
          <cell r="C2022">
            <v>3</v>
          </cell>
          <cell r="D2022">
            <v>944.32</v>
          </cell>
          <cell r="E2022">
            <v>2832.96</v>
          </cell>
          <cell r="F2022" t="str">
            <v>P06</v>
          </cell>
          <cell r="G2022" t="str">
            <v>Fixed Shelf  - Kệ bắt chết</v>
          </cell>
          <cell r="H2022" t="str">
            <v>Pre-Assembly</v>
          </cell>
          <cell r="I2022">
            <v>12</v>
          </cell>
        </row>
        <row r="2023">
          <cell r="A2023" t="str">
            <v>B553665/A</v>
          </cell>
          <cell r="B2023" t="str">
            <v>CZ062M08</v>
          </cell>
          <cell r="C2023">
            <v>3</v>
          </cell>
          <cell r="D2023">
            <v>944.32</v>
          </cell>
          <cell r="E2023">
            <v>2832.96</v>
          </cell>
          <cell r="F2023" t="str">
            <v>P06-1</v>
          </cell>
          <cell r="G2023" t="str">
            <v>Shelf panel  - Ván kệ</v>
          </cell>
          <cell r="H2023" t="str">
            <v>MDF Veneer</v>
          </cell>
          <cell r="I2023">
            <v>12</v>
          </cell>
        </row>
        <row r="2024">
          <cell r="A2024" t="str">
            <v>B553665/A</v>
          </cell>
          <cell r="B2024" t="str">
            <v>CZ062M08</v>
          </cell>
          <cell r="C2024">
            <v>3</v>
          </cell>
          <cell r="D2024">
            <v>944.32</v>
          </cell>
          <cell r="E2024">
            <v>2832.96</v>
          </cell>
          <cell r="F2024" t="str">
            <v>P06-2</v>
          </cell>
          <cell r="G2024" t="str">
            <v>Shelf moulding - Chỉ đắp kệ</v>
          </cell>
          <cell r="H2024" t="str">
            <v>Standard Wood - ALDER/ASPEN/LENGA/US POPLAR, 2 COM - T25 W120mm+ L2m+</v>
          </cell>
          <cell r="I2024">
            <v>12</v>
          </cell>
        </row>
        <row r="2025">
          <cell r="A2025" t="str">
            <v>B553665/A</v>
          </cell>
          <cell r="B2025" t="str">
            <v>CZ062M08</v>
          </cell>
          <cell r="C2025">
            <v>3</v>
          </cell>
          <cell r="D2025">
            <v>944.32</v>
          </cell>
          <cell r="E2025">
            <v>2832.96</v>
          </cell>
          <cell r="F2025" t="str">
            <v>P07</v>
          </cell>
          <cell r="G2025" t="str">
            <v>Back panel - Ván hậu</v>
          </cell>
          <cell r="H2025" t="str">
            <v>MDF Veneer</v>
          </cell>
          <cell r="I2025">
            <v>3</v>
          </cell>
        </row>
        <row r="2026">
          <cell r="A2026" t="str">
            <v>B553665/A</v>
          </cell>
          <cell r="B2026" t="str">
            <v>CZ062M08</v>
          </cell>
          <cell r="C2026">
            <v>3</v>
          </cell>
          <cell r="D2026">
            <v>944.32</v>
          </cell>
          <cell r="E2026">
            <v>2832.96</v>
          </cell>
          <cell r="F2026" t="str">
            <v>P09</v>
          </cell>
          <cell r="G2026" t="str">
            <v>Bottom panel - Ván đáy</v>
          </cell>
          <cell r="H2026" t="str">
            <v>Cement Board - 18 x 1220 x 2440mm, Dark Grey</v>
          </cell>
          <cell r="I2026">
            <v>12</v>
          </cell>
        </row>
        <row r="2027">
          <cell r="A2027" t="str">
            <v>B553665/A</v>
          </cell>
          <cell r="B2027" t="str">
            <v>CZ062M08</v>
          </cell>
          <cell r="C2027">
            <v>3</v>
          </cell>
          <cell r="D2027">
            <v>944.32</v>
          </cell>
          <cell r="E2027">
            <v>2832.96</v>
          </cell>
          <cell r="F2027" t="str">
            <v>P10</v>
          </cell>
          <cell r="G2027" t="str">
            <v>Corner block - ke góc</v>
          </cell>
          <cell r="H2027" t="str">
            <v>Poplar off cut</v>
          </cell>
          <cell r="I2027">
            <v>6</v>
          </cell>
        </row>
        <row r="2028">
          <cell r="A2028" t="str">
            <v>B553665/A</v>
          </cell>
          <cell r="B2028" t="str">
            <v>CZ062M08</v>
          </cell>
          <cell r="C2028">
            <v>3</v>
          </cell>
          <cell r="D2028">
            <v>944.32</v>
          </cell>
          <cell r="E2028">
            <v>2832.96</v>
          </cell>
          <cell r="F2028" t="str">
            <v>P10-1</v>
          </cell>
          <cell r="G2028" t="str">
            <v>Corner block - ke góc</v>
          </cell>
          <cell r="H2028" t="str">
            <v>Poplar off cut</v>
          </cell>
          <cell r="I2028">
            <v>6</v>
          </cell>
        </row>
        <row r="2029">
          <cell r="A2029" t="str">
            <v>B553666/A</v>
          </cell>
          <cell r="B2029" t="str">
            <v>CZ062M08</v>
          </cell>
          <cell r="C2029">
            <v>3</v>
          </cell>
          <cell r="D2029">
            <v>944.32</v>
          </cell>
          <cell r="E2029">
            <v>2832.96</v>
          </cell>
          <cell r="F2029" t="str">
            <v>A1-S1</v>
          </cell>
          <cell r="G2029" t="str">
            <v>Front leg  - Chần tiền</v>
          </cell>
          <cell r="H2029" t="str">
            <v>Pre-Assembly</v>
          </cell>
          <cell r="I2029">
            <v>6</v>
          </cell>
        </row>
        <row r="2030">
          <cell r="A2030" t="str">
            <v>B553666/A</v>
          </cell>
          <cell r="B2030" t="str">
            <v>CZ062M08</v>
          </cell>
          <cell r="C2030">
            <v>3</v>
          </cell>
          <cell r="D2030">
            <v>944.32</v>
          </cell>
          <cell r="E2030">
            <v>2832.96</v>
          </cell>
          <cell r="F2030" t="str">
            <v>A1-S1-1</v>
          </cell>
          <cell r="G2030" t="str">
            <v>Wood laminater - Gỗ ghép 1</v>
          </cell>
          <cell r="H2030" t="str">
            <v>Wood laminate</v>
          </cell>
          <cell r="I2030">
            <v>6</v>
          </cell>
        </row>
        <row r="2031">
          <cell r="A2031" t="str">
            <v>B553666/A</v>
          </cell>
          <cell r="B2031" t="str">
            <v>CZ062M08</v>
          </cell>
          <cell r="C2031">
            <v>3</v>
          </cell>
          <cell r="D2031">
            <v>944.32</v>
          </cell>
          <cell r="E2031">
            <v>2832.96</v>
          </cell>
          <cell r="F2031" t="str">
            <v>A1-S1-2</v>
          </cell>
          <cell r="G2031" t="str">
            <v>Wood laminater - Gỗ ghép 1</v>
          </cell>
          <cell r="H2031" t="str">
            <v>Standard Wood - ALDER/ASPEN/LENGA/US POPLAR, 2 COM - T25 W120mm+ L2m+</v>
          </cell>
          <cell r="I2031">
            <v>6</v>
          </cell>
        </row>
        <row r="2032">
          <cell r="A2032" t="str">
            <v>B553666/A</v>
          </cell>
          <cell r="B2032" t="str">
            <v>CZ062M08</v>
          </cell>
          <cell r="C2032">
            <v>3</v>
          </cell>
          <cell r="D2032">
            <v>944.32</v>
          </cell>
          <cell r="E2032">
            <v>2832.96</v>
          </cell>
          <cell r="F2032" t="str">
            <v>A1-S2</v>
          </cell>
          <cell r="G2032" t="str">
            <v>Back leg - Chân hậu</v>
          </cell>
          <cell r="H2032" t="str">
            <v>Wood laminate</v>
          </cell>
          <cell r="I2032">
            <v>6</v>
          </cell>
        </row>
        <row r="2033">
          <cell r="A2033" t="str">
            <v>B553666/A</v>
          </cell>
          <cell r="B2033" t="str">
            <v>CZ062M08</v>
          </cell>
          <cell r="C2033">
            <v>3</v>
          </cell>
          <cell r="D2033">
            <v>944.32</v>
          </cell>
          <cell r="E2033">
            <v>2832.96</v>
          </cell>
          <cell r="F2033" t="str">
            <v>A1-S3</v>
          </cell>
          <cell r="G2033" t="str">
            <v xml:space="preserve">Side panel  - Ván hông </v>
          </cell>
          <cell r="H2033" t="str">
            <v>MDF Veneer</v>
          </cell>
          <cell r="I2033">
            <v>6</v>
          </cell>
        </row>
        <row r="2034">
          <cell r="A2034" t="str">
            <v>B553666/A</v>
          </cell>
          <cell r="B2034" t="str">
            <v>CZ062M08</v>
          </cell>
          <cell r="C2034">
            <v>3</v>
          </cell>
          <cell r="D2034">
            <v>944.32</v>
          </cell>
          <cell r="E2034">
            <v>2832.96</v>
          </cell>
          <cell r="F2034" t="str">
            <v>A1-S4</v>
          </cell>
          <cell r="G2034" t="str">
            <v>Cleat - Bọ gỗ</v>
          </cell>
          <cell r="H2034" t="str">
            <v>Wood Rubber Laminate Board - 20 x 1220 x 2440mm, Veneer Poplar both Faces</v>
          </cell>
          <cell r="I2034">
            <v>12</v>
          </cell>
        </row>
        <row r="2035">
          <cell r="A2035" t="str">
            <v>B553666/A</v>
          </cell>
          <cell r="B2035" t="str">
            <v>CZ062M08</v>
          </cell>
          <cell r="C2035">
            <v>3</v>
          </cell>
          <cell r="D2035">
            <v>944.32</v>
          </cell>
          <cell r="E2035">
            <v>2832.96</v>
          </cell>
          <cell r="F2035" t="str">
            <v>A1-S5</v>
          </cell>
          <cell r="G2035" t="str">
            <v>Patching wood - Gỗ đắp</v>
          </cell>
          <cell r="H2035" t="str">
            <v>Standard Wood - ALDER/ASPEN/LENGA/US POPLAR, 2 COM - T32 W120mm+ L2m+</v>
          </cell>
          <cell r="I2035">
            <v>6</v>
          </cell>
        </row>
        <row r="2036">
          <cell r="A2036" t="str">
            <v>B553666/A</v>
          </cell>
          <cell r="B2036" t="str">
            <v>CZ062M08</v>
          </cell>
          <cell r="C2036">
            <v>3</v>
          </cell>
          <cell r="D2036">
            <v>944.32</v>
          </cell>
          <cell r="E2036">
            <v>2832.96</v>
          </cell>
          <cell r="F2036" t="str">
            <v>A1-S6</v>
          </cell>
          <cell r="G2036" t="str">
            <v>Cleat - Bọ gỗ</v>
          </cell>
          <cell r="H2036" t="str">
            <v>Wood Rubber Laminate Board - 20 x 1220 x 2440mm, Veneer Poplar both Faces</v>
          </cell>
          <cell r="I2036">
            <v>24</v>
          </cell>
        </row>
        <row r="2037">
          <cell r="A2037" t="str">
            <v>B553666/A</v>
          </cell>
          <cell r="B2037" t="str">
            <v>CZ062M08</v>
          </cell>
          <cell r="C2037">
            <v>3</v>
          </cell>
          <cell r="D2037">
            <v>944.32</v>
          </cell>
          <cell r="E2037">
            <v>2832.96</v>
          </cell>
          <cell r="F2037" t="str">
            <v>A2-S1</v>
          </cell>
          <cell r="G2037" t="str">
            <v>Front Bottom Rail  - Đố đáy trước</v>
          </cell>
          <cell r="H2037" t="str">
            <v>Standard Wood - ALDER/ASPEN/LENGA/US POPLAR, 2 COM - T32 W120mm+ L2m+</v>
          </cell>
          <cell r="I2037">
            <v>3</v>
          </cell>
        </row>
        <row r="2038">
          <cell r="A2038" t="str">
            <v>B553666/A</v>
          </cell>
          <cell r="B2038" t="str">
            <v>CZ062M08</v>
          </cell>
          <cell r="C2038">
            <v>3</v>
          </cell>
          <cell r="D2038">
            <v>944.32</v>
          </cell>
          <cell r="E2038">
            <v>2832.96</v>
          </cell>
          <cell r="F2038" t="str">
            <v>A2-S1-1</v>
          </cell>
          <cell r="G2038" t="str">
            <v>Front Bottom Rail  - Đố đáy trước</v>
          </cell>
          <cell r="H2038" t="str">
            <v>Standard Wood - ALDER/ASPEN/LENGA/US POPLAR, 2 COM - T32 W120mm+ L2m+</v>
          </cell>
          <cell r="I2038">
            <v>3</v>
          </cell>
        </row>
        <row r="2039">
          <cell r="A2039" t="str">
            <v>B553666/A</v>
          </cell>
          <cell r="B2039" t="str">
            <v>CZ062M08</v>
          </cell>
          <cell r="C2039">
            <v>3</v>
          </cell>
          <cell r="D2039">
            <v>944.32</v>
          </cell>
          <cell r="E2039">
            <v>2832.96</v>
          </cell>
          <cell r="F2039" t="str">
            <v>A2-S3</v>
          </cell>
          <cell r="G2039" t="str">
            <v>center rail with note - đố giữa</v>
          </cell>
          <cell r="H2039" t="str">
            <v>Wood US Poplar - Straight Edged, 2 COM - T32mm x W100mm Up x L1.8m Up</v>
          </cell>
          <cell r="I2039">
            <v>3</v>
          </cell>
        </row>
        <row r="2040">
          <cell r="A2040" t="str">
            <v>B553666/A</v>
          </cell>
          <cell r="B2040" t="str">
            <v>CZ062M08</v>
          </cell>
          <cell r="C2040">
            <v>3</v>
          </cell>
          <cell r="D2040">
            <v>944.32</v>
          </cell>
          <cell r="E2040">
            <v>2832.96</v>
          </cell>
          <cell r="F2040" t="str">
            <v>A2-S4</v>
          </cell>
          <cell r="G2040" t="str">
            <v>Bottom panel - Ván đáy</v>
          </cell>
          <cell r="H2040" t="str">
            <v>MDF Veneer</v>
          </cell>
          <cell r="I2040">
            <v>3</v>
          </cell>
        </row>
        <row r="2041">
          <cell r="A2041" t="str">
            <v>B553666/A</v>
          </cell>
          <cell r="B2041" t="str">
            <v>CZ062M08</v>
          </cell>
          <cell r="C2041">
            <v>3</v>
          </cell>
          <cell r="D2041">
            <v>944.32</v>
          </cell>
          <cell r="E2041">
            <v>2832.96</v>
          </cell>
          <cell r="F2041" t="str">
            <v>A2-S5</v>
          </cell>
          <cell r="G2041" t="str">
            <v>Cleat - Bọ gỗ</v>
          </cell>
          <cell r="H2041" t="str">
            <v>Wood Rubber Laminate Board - 20 x 1220 x 2440mm, Veneer Poplar both Faces</v>
          </cell>
          <cell r="I2041">
            <v>12</v>
          </cell>
        </row>
        <row r="2042">
          <cell r="A2042" t="str">
            <v>B553666/A</v>
          </cell>
          <cell r="B2042" t="str">
            <v>CZ062M08</v>
          </cell>
          <cell r="C2042">
            <v>3</v>
          </cell>
          <cell r="D2042">
            <v>944.32</v>
          </cell>
          <cell r="E2042">
            <v>2832.96</v>
          </cell>
          <cell r="F2042" t="str">
            <v>A3</v>
          </cell>
          <cell r="G2042" t="str">
            <v>Door Frame - Khung cửa</v>
          </cell>
          <cell r="H2042" t="str">
            <v>Pre-Assembly</v>
          </cell>
          <cell r="I2042">
            <v>6</v>
          </cell>
        </row>
        <row r="2043">
          <cell r="A2043" t="str">
            <v>B553666/A</v>
          </cell>
          <cell r="B2043" t="str">
            <v>CZ062M08</v>
          </cell>
          <cell r="C2043">
            <v>3</v>
          </cell>
          <cell r="D2043">
            <v>944.32</v>
          </cell>
          <cell r="E2043">
            <v>2832.96</v>
          </cell>
          <cell r="F2043" t="str">
            <v>A3-S1</v>
          </cell>
          <cell r="G2043" t="str">
            <v>Door vertical rail  - Đố cửa đứng</v>
          </cell>
          <cell r="H2043" t="str">
            <v>Wood laminate</v>
          </cell>
          <cell r="I2043">
            <v>6</v>
          </cell>
        </row>
        <row r="2044">
          <cell r="A2044" t="str">
            <v>B553666/A</v>
          </cell>
          <cell r="B2044" t="str">
            <v>CZ062M08</v>
          </cell>
          <cell r="C2044">
            <v>3</v>
          </cell>
          <cell r="D2044">
            <v>944.32</v>
          </cell>
          <cell r="E2044">
            <v>2832.96</v>
          </cell>
          <cell r="F2044" t="str">
            <v>A3-S2</v>
          </cell>
          <cell r="G2044" t="str">
            <v>Door Horizontal rail  - Đố cửa ngang</v>
          </cell>
          <cell r="H2044" t="str">
            <v>Wood EU Beech - Straight/Waving Edged ABC, 2 COM - T26mm x W100mm up x L1.8m up</v>
          </cell>
          <cell r="I2044">
            <v>12</v>
          </cell>
        </row>
        <row r="2045">
          <cell r="A2045" t="str">
            <v>B553666/A</v>
          </cell>
          <cell r="B2045" t="str">
            <v>CZ062M08</v>
          </cell>
          <cell r="C2045">
            <v>3</v>
          </cell>
          <cell r="D2045">
            <v>944.32</v>
          </cell>
          <cell r="E2045">
            <v>2832.96</v>
          </cell>
          <cell r="F2045" t="str">
            <v>A3-S3</v>
          </cell>
          <cell r="G2045" t="str">
            <v>Door vertical rail  - Đố cửa đứng</v>
          </cell>
          <cell r="H2045" t="str">
            <v>Wood laminate</v>
          </cell>
          <cell r="I2045">
            <v>6</v>
          </cell>
        </row>
        <row r="2046">
          <cell r="A2046" t="str">
            <v>B553666/A</v>
          </cell>
          <cell r="B2046" t="str">
            <v>CZ062M08</v>
          </cell>
          <cell r="C2046">
            <v>3</v>
          </cell>
          <cell r="D2046">
            <v>944.32</v>
          </cell>
          <cell r="E2046">
            <v>2832.96</v>
          </cell>
          <cell r="F2046" t="str">
            <v>P01</v>
          </cell>
          <cell r="G2046" t="str">
            <v>Front top rail  - Đố tiền nóc</v>
          </cell>
          <cell r="H2046" t="str">
            <v>Wood laminate</v>
          </cell>
          <cell r="I2046">
            <v>3</v>
          </cell>
        </row>
        <row r="2047">
          <cell r="A2047" t="str">
            <v>B553666/A</v>
          </cell>
          <cell r="B2047" t="str">
            <v>CZ062M08</v>
          </cell>
          <cell r="C2047">
            <v>3</v>
          </cell>
          <cell r="D2047">
            <v>944.32</v>
          </cell>
          <cell r="E2047">
            <v>2832.96</v>
          </cell>
          <cell r="F2047" t="str">
            <v>P02</v>
          </cell>
          <cell r="G2047" t="str">
            <v>Back top rail - Đố hậu nóc</v>
          </cell>
          <cell r="H2047" t="str">
            <v>Wood Rubber Laminate Board - 20 x 1220 x 2440mm, Veneer Poplar both Faces</v>
          </cell>
          <cell r="I2047">
            <v>15</v>
          </cell>
        </row>
        <row r="2048">
          <cell r="A2048" t="str">
            <v>B553666/A</v>
          </cell>
          <cell r="B2048" t="str">
            <v>CZ062M08</v>
          </cell>
          <cell r="C2048">
            <v>3</v>
          </cell>
          <cell r="D2048">
            <v>944.32</v>
          </cell>
          <cell r="E2048">
            <v>2832.96</v>
          </cell>
          <cell r="F2048" t="str">
            <v>P03</v>
          </cell>
          <cell r="G2048" t="str">
            <v xml:space="preserve">Top panel  - Ván nóc </v>
          </cell>
          <cell r="H2048" t="str">
            <v>MDF Veneer</v>
          </cell>
          <cell r="I2048">
            <v>3</v>
          </cell>
        </row>
        <row r="2049">
          <cell r="A2049" t="str">
            <v>B553666/A</v>
          </cell>
          <cell r="B2049" t="str">
            <v>CZ062M08</v>
          </cell>
          <cell r="C2049">
            <v>3</v>
          </cell>
          <cell r="D2049">
            <v>944.32</v>
          </cell>
          <cell r="E2049">
            <v>2832.96</v>
          </cell>
          <cell r="F2049" t="str">
            <v>P04</v>
          </cell>
          <cell r="G2049" t="str">
            <v>Spline - Lưỡi gà</v>
          </cell>
          <cell r="H2049" t="str">
            <v>Plywood LVD - 06 x 1220 x 2440mm, Bleached Poplar Veneer Both Sides [CARB P2 Compliant]</v>
          </cell>
          <cell r="I2049">
            <v>6</v>
          </cell>
        </row>
        <row r="2050">
          <cell r="A2050" t="str">
            <v>B553666/A</v>
          </cell>
          <cell r="B2050" t="str">
            <v>CZ062M08</v>
          </cell>
          <cell r="C2050">
            <v>3</v>
          </cell>
          <cell r="D2050">
            <v>944.32</v>
          </cell>
          <cell r="E2050">
            <v>2832.96</v>
          </cell>
          <cell r="F2050" t="str">
            <v>P05</v>
          </cell>
          <cell r="G2050" t="str">
            <v>Spline - Lưỡi gà</v>
          </cell>
          <cell r="H2050" t="str">
            <v>Plywood LVD - 06 x 1220 x 2440mm, Bleached Poplar Veneer Both Sides [CARB P2 Compliant]</v>
          </cell>
          <cell r="I2050">
            <v>3</v>
          </cell>
        </row>
        <row r="2051">
          <cell r="A2051" t="str">
            <v>B553666/A</v>
          </cell>
          <cell r="B2051" t="str">
            <v>CZ062M08</v>
          </cell>
          <cell r="C2051">
            <v>3</v>
          </cell>
          <cell r="D2051">
            <v>944.32</v>
          </cell>
          <cell r="E2051">
            <v>2832.96</v>
          </cell>
          <cell r="F2051" t="str">
            <v>P06</v>
          </cell>
          <cell r="G2051" t="str">
            <v>Fixed Shelf  - Kệ bắt chết</v>
          </cell>
          <cell r="H2051" t="str">
            <v>Pre-Assembly</v>
          </cell>
          <cell r="I2051">
            <v>12</v>
          </cell>
        </row>
        <row r="2052">
          <cell r="A2052" t="str">
            <v>B553666/A</v>
          </cell>
          <cell r="B2052" t="str">
            <v>CZ062M08</v>
          </cell>
          <cell r="C2052">
            <v>3</v>
          </cell>
          <cell r="D2052">
            <v>944.32</v>
          </cell>
          <cell r="E2052">
            <v>2832.96</v>
          </cell>
          <cell r="F2052" t="str">
            <v>P06-1</v>
          </cell>
          <cell r="G2052" t="str">
            <v>Shelf panel  - Ván kệ</v>
          </cell>
          <cell r="H2052" t="str">
            <v>MDF Veneer</v>
          </cell>
          <cell r="I2052">
            <v>12</v>
          </cell>
        </row>
        <row r="2053">
          <cell r="A2053" t="str">
            <v>B553666/A</v>
          </cell>
          <cell r="B2053" t="str">
            <v>CZ062M08</v>
          </cell>
          <cell r="C2053">
            <v>3</v>
          </cell>
          <cell r="D2053">
            <v>944.32</v>
          </cell>
          <cell r="E2053">
            <v>2832.96</v>
          </cell>
          <cell r="F2053" t="str">
            <v>P06-2</v>
          </cell>
          <cell r="G2053" t="str">
            <v>Shelf moulding - Chỉ đắp kệ</v>
          </cell>
          <cell r="H2053" t="str">
            <v>Standard Wood - ALDER/ASPEN/LENGA/US POPLAR, 2 COM - T25 W120mm+ L2m+</v>
          </cell>
          <cell r="I2053">
            <v>12</v>
          </cell>
        </row>
        <row r="2054">
          <cell r="A2054" t="str">
            <v>B553666/A</v>
          </cell>
          <cell r="B2054" t="str">
            <v>CZ062M08</v>
          </cell>
          <cell r="C2054">
            <v>3</v>
          </cell>
          <cell r="D2054">
            <v>944.32</v>
          </cell>
          <cell r="E2054">
            <v>2832.96</v>
          </cell>
          <cell r="F2054" t="str">
            <v>P07</v>
          </cell>
          <cell r="G2054" t="str">
            <v>Back panel - Ván hậu</v>
          </cell>
          <cell r="H2054" t="str">
            <v>MDF Veneer</v>
          </cell>
          <cell r="I2054">
            <v>3</v>
          </cell>
        </row>
        <row r="2055">
          <cell r="A2055" t="str">
            <v>B553666/A</v>
          </cell>
          <cell r="B2055" t="str">
            <v>CZ062M08</v>
          </cell>
          <cell r="C2055">
            <v>3</v>
          </cell>
          <cell r="D2055">
            <v>944.32</v>
          </cell>
          <cell r="E2055">
            <v>2832.96</v>
          </cell>
          <cell r="F2055" t="str">
            <v>P09</v>
          </cell>
          <cell r="G2055" t="str">
            <v>Bottom panel - Ván đáy</v>
          </cell>
          <cell r="H2055" t="str">
            <v>Cement Board - 18 x 1220 x 2440mm, Dark Grey</v>
          </cell>
          <cell r="I2055">
            <v>12</v>
          </cell>
        </row>
        <row r="2056">
          <cell r="A2056" t="str">
            <v>B553666/A</v>
          </cell>
          <cell r="B2056" t="str">
            <v>CZ062M08</v>
          </cell>
          <cell r="C2056">
            <v>3</v>
          </cell>
          <cell r="D2056">
            <v>944.32</v>
          </cell>
          <cell r="E2056">
            <v>2832.96</v>
          </cell>
          <cell r="F2056" t="str">
            <v>P10</v>
          </cell>
          <cell r="G2056" t="str">
            <v>Corner block - ke góc</v>
          </cell>
          <cell r="H2056" t="str">
            <v>Poplar off cut</v>
          </cell>
          <cell r="I2056">
            <v>6</v>
          </cell>
        </row>
        <row r="2057">
          <cell r="A2057" t="str">
            <v>B553666/A</v>
          </cell>
          <cell r="B2057" t="str">
            <v>CZ062M08</v>
          </cell>
          <cell r="C2057">
            <v>3</v>
          </cell>
          <cell r="D2057">
            <v>944.32</v>
          </cell>
          <cell r="E2057">
            <v>2832.96</v>
          </cell>
          <cell r="F2057" t="str">
            <v>P10-1</v>
          </cell>
          <cell r="G2057" t="str">
            <v>Corner block - ke góc</v>
          </cell>
          <cell r="H2057" t="str">
            <v>Poplar off cut</v>
          </cell>
          <cell r="I2057">
            <v>6</v>
          </cell>
        </row>
        <row r="2058">
          <cell r="A2058" t="str">
            <v>B553669/A</v>
          </cell>
          <cell r="B2058" t="str">
            <v>CZ062M09</v>
          </cell>
          <cell r="C2058">
            <v>4</v>
          </cell>
          <cell r="D2058">
            <v>944.32</v>
          </cell>
          <cell r="E2058">
            <v>3777.28</v>
          </cell>
          <cell r="F2058" t="str">
            <v>A1-S1</v>
          </cell>
          <cell r="G2058" t="str">
            <v>Front leg  - Chần tiền</v>
          </cell>
          <cell r="H2058" t="str">
            <v>Pre-Assembly</v>
          </cell>
          <cell r="I2058">
            <v>8</v>
          </cell>
        </row>
        <row r="2059">
          <cell r="A2059" t="str">
            <v>B553669/A</v>
          </cell>
          <cell r="B2059" t="str">
            <v>CZ062M09</v>
          </cell>
          <cell r="C2059">
            <v>4</v>
          </cell>
          <cell r="D2059">
            <v>944.32</v>
          </cell>
          <cell r="E2059">
            <v>3777.28</v>
          </cell>
          <cell r="F2059" t="str">
            <v>A1-S1-1</v>
          </cell>
          <cell r="G2059" t="str">
            <v>Wood laminater - Gỗ ghép 1</v>
          </cell>
          <cell r="H2059" t="str">
            <v>Wood laminate</v>
          </cell>
          <cell r="I2059">
            <v>8</v>
          </cell>
        </row>
        <row r="2060">
          <cell r="A2060" t="str">
            <v>B553669/A</v>
          </cell>
          <cell r="B2060" t="str">
            <v>CZ062M09</v>
          </cell>
          <cell r="C2060">
            <v>4</v>
          </cell>
          <cell r="D2060">
            <v>944.32</v>
          </cell>
          <cell r="E2060">
            <v>3777.28</v>
          </cell>
          <cell r="F2060" t="str">
            <v>A1-S1-2</v>
          </cell>
          <cell r="G2060" t="str">
            <v>Wood laminater - Gỗ ghép 1</v>
          </cell>
          <cell r="H2060" t="str">
            <v>Standard Wood - ALDER/ASPEN/LENGA/US POPLAR, 2 COM - T25 W120mm+ L2m+</v>
          </cell>
          <cell r="I2060">
            <v>8</v>
          </cell>
        </row>
        <row r="2061">
          <cell r="A2061" t="str">
            <v>B553669/A</v>
          </cell>
          <cell r="B2061" t="str">
            <v>CZ062M09</v>
          </cell>
          <cell r="C2061">
            <v>4</v>
          </cell>
          <cell r="D2061">
            <v>944.32</v>
          </cell>
          <cell r="E2061">
            <v>3777.28</v>
          </cell>
          <cell r="F2061" t="str">
            <v>A1-S2</v>
          </cell>
          <cell r="G2061" t="str">
            <v>Back leg - Chân hậu</v>
          </cell>
          <cell r="H2061" t="str">
            <v>Wood laminate</v>
          </cell>
          <cell r="I2061">
            <v>8</v>
          </cell>
        </row>
        <row r="2062">
          <cell r="A2062" t="str">
            <v>B553669/A</v>
          </cell>
          <cell r="B2062" t="str">
            <v>CZ062M09</v>
          </cell>
          <cell r="C2062">
            <v>4</v>
          </cell>
          <cell r="D2062">
            <v>944.32</v>
          </cell>
          <cell r="E2062">
            <v>3777.28</v>
          </cell>
          <cell r="F2062" t="str">
            <v>A1-S3</v>
          </cell>
          <cell r="G2062" t="str">
            <v xml:space="preserve">Side panel  - Ván hông </v>
          </cell>
          <cell r="H2062" t="str">
            <v>MDF Veneer</v>
          </cell>
          <cell r="I2062">
            <v>8</v>
          </cell>
        </row>
        <row r="2063">
          <cell r="A2063" t="str">
            <v>B553669/A</v>
          </cell>
          <cell r="B2063" t="str">
            <v>CZ062M09</v>
          </cell>
          <cell r="C2063">
            <v>4</v>
          </cell>
          <cell r="D2063">
            <v>944.32</v>
          </cell>
          <cell r="E2063">
            <v>3777.28</v>
          </cell>
          <cell r="F2063" t="str">
            <v>A1-S4</v>
          </cell>
          <cell r="G2063" t="str">
            <v>Cleat - Bọ gỗ</v>
          </cell>
          <cell r="H2063" t="str">
            <v>Wood Rubber Laminate Board - 20 x 1220 x 2440mm, Veneer Poplar both Faces</v>
          </cell>
          <cell r="I2063">
            <v>16</v>
          </cell>
        </row>
        <row r="2064">
          <cell r="A2064" t="str">
            <v>B553669/A</v>
          </cell>
          <cell r="B2064" t="str">
            <v>CZ062M09</v>
          </cell>
          <cell r="C2064">
            <v>4</v>
          </cell>
          <cell r="D2064">
            <v>944.32</v>
          </cell>
          <cell r="E2064">
            <v>3777.28</v>
          </cell>
          <cell r="F2064" t="str">
            <v>A1-S5</v>
          </cell>
          <cell r="G2064" t="str">
            <v>Patching wood - Gỗ đắp</v>
          </cell>
          <cell r="H2064" t="str">
            <v>Standard Wood - ALDER/ASPEN/LENGA/US POPLAR, 2 COM - T32 W120mm+ L2m+</v>
          </cell>
          <cell r="I2064">
            <v>8</v>
          </cell>
        </row>
        <row r="2065">
          <cell r="A2065" t="str">
            <v>B553669/A</v>
          </cell>
          <cell r="B2065" t="str">
            <v>CZ062M09</v>
          </cell>
          <cell r="C2065">
            <v>4</v>
          </cell>
          <cell r="D2065">
            <v>944.32</v>
          </cell>
          <cell r="E2065">
            <v>3777.28</v>
          </cell>
          <cell r="F2065" t="str">
            <v>A1-S6</v>
          </cell>
          <cell r="G2065" t="str">
            <v>Cleat - Bọ gỗ</v>
          </cell>
          <cell r="H2065" t="str">
            <v>Wood Rubber Laminate Board - 20 x 1220 x 2440mm, Veneer Poplar both Faces</v>
          </cell>
          <cell r="I2065">
            <v>32</v>
          </cell>
        </row>
        <row r="2066">
          <cell r="A2066" t="str">
            <v>B553669/A</v>
          </cell>
          <cell r="B2066" t="str">
            <v>CZ062M09</v>
          </cell>
          <cell r="C2066">
            <v>4</v>
          </cell>
          <cell r="D2066">
            <v>944.32</v>
          </cell>
          <cell r="E2066">
            <v>3777.28</v>
          </cell>
          <cell r="F2066" t="str">
            <v>A2-S1</v>
          </cell>
          <cell r="G2066" t="str">
            <v>Front Bottom Rail  - Đố đáy trước</v>
          </cell>
          <cell r="H2066" t="str">
            <v>Standard Wood - ALDER/ASPEN/LENGA/US POPLAR, 2 COM - T32 W120mm+ L2m+</v>
          </cell>
          <cell r="I2066">
            <v>4</v>
          </cell>
        </row>
        <row r="2067">
          <cell r="A2067" t="str">
            <v>B553669/A</v>
          </cell>
          <cell r="B2067" t="str">
            <v>CZ062M09</v>
          </cell>
          <cell r="C2067">
            <v>4</v>
          </cell>
          <cell r="D2067">
            <v>944.32</v>
          </cell>
          <cell r="E2067">
            <v>3777.28</v>
          </cell>
          <cell r="F2067" t="str">
            <v>A2-S1-1</v>
          </cell>
          <cell r="G2067" t="str">
            <v>Front Bottom Rail  - Đố đáy trước</v>
          </cell>
          <cell r="H2067" t="str">
            <v>Standard Wood - ALDER/ASPEN/LENGA/US POPLAR, 2 COM - T32 W120mm+ L2m+</v>
          </cell>
          <cell r="I2067">
            <v>4</v>
          </cell>
        </row>
        <row r="2068">
          <cell r="A2068" t="str">
            <v>B553669/A</v>
          </cell>
          <cell r="B2068" t="str">
            <v>CZ062M09</v>
          </cell>
          <cell r="C2068">
            <v>4</v>
          </cell>
          <cell r="D2068">
            <v>944.32</v>
          </cell>
          <cell r="E2068">
            <v>3777.28</v>
          </cell>
          <cell r="F2068" t="str">
            <v>A2-S3</v>
          </cell>
          <cell r="G2068" t="str">
            <v>center rail with note - đố giữa</v>
          </cell>
          <cell r="H2068" t="str">
            <v>Wood US Poplar - Straight Edged, 2 COM - T32mm x W100mm Up x L1.8m Up</v>
          </cell>
          <cell r="I2068">
            <v>4</v>
          </cell>
        </row>
        <row r="2069">
          <cell r="A2069" t="str">
            <v>B553669/A</v>
          </cell>
          <cell r="B2069" t="str">
            <v>CZ062M09</v>
          </cell>
          <cell r="C2069">
            <v>4</v>
          </cell>
          <cell r="D2069">
            <v>944.32</v>
          </cell>
          <cell r="E2069">
            <v>3777.28</v>
          </cell>
          <cell r="F2069" t="str">
            <v>A2-S4</v>
          </cell>
          <cell r="G2069" t="str">
            <v>Bottom panel - Ván đáy</v>
          </cell>
          <cell r="H2069" t="str">
            <v>MDF Veneer</v>
          </cell>
          <cell r="I2069">
            <v>4</v>
          </cell>
        </row>
        <row r="2070">
          <cell r="A2070" t="str">
            <v>B553669/A</v>
          </cell>
          <cell r="B2070" t="str">
            <v>CZ062M09</v>
          </cell>
          <cell r="C2070">
            <v>4</v>
          </cell>
          <cell r="D2070">
            <v>944.32</v>
          </cell>
          <cell r="E2070">
            <v>3777.28</v>
          </cell>
          <cell r="F2070" t="str">
            <v>A2-S5</v>
          </cell>
          <cell r="G2070" t="str">
            <v>Cleat - Bọ gỗ</v>
          </cell>
          <cell r="H2070" t="str">
            <v>Wood Rubber Laminate Board - 20 x 1220 x 2440mm, Veneer Poplar both Faces</v>
          </cell>
          <cell r="I2070">
            <v>16</v>
          </cell>
        </row>
        <row r="2071">
          <cell r="A2071" t="str">
            <v>B553669/A</v>
          </cell>
          <cell r="B2071" t="str">
            <v>CZ062M09</v>
          </cell>
          <cell r="C2071">
            <v>4</v>
          </cell>
          <cell r="D2071">
            <v>944.32</v>
          </cell>
          <cell r="E2071">
            <v>3777.28</v>
          </cell>
          <cell r="F2071" t="str">
            <v>A3</v>
          </cell>
          <cell r="G2071" t="str">
            <v>Door Frame - Khung cửa</v>
          </cell>
          <cell r="H2071" t="str">
            <v>Pre-Assembly</v>
          </cell>
          <cell r="I2071">
            <v>8</v>
          </cell>
        </row>
        <row r="2072">
          <cell r="A2072" t="str">
            <v>B553669/A</v>
          </cell>
          <cell r="B2072" t="str">
            <v>CZ062M09</v>
          </cell>
          <cell r="C2072">
            <v>4</v>
          </cell>
          <cell r="D2072">
            <v>944.32</v>
          </cell>
          <cell r="E2072">
            <v>3777.28</v>
          </cell>
          <cell r="F2072" t="str">
            <v>A3-S1</v>
          </cell>
          <cell r="G2072" t="str">
            <v>Door vertical rail  - Đố cửa đứng</v>
          </cell>
          <cell r="H2072" t="str">
            <v>Wood laminate</v>
          </cell>
          <cell r="I2072">
            <v>8</v>
          </cell>
        </row>
        <row r="2073">
          <cell r="A2073" t="str">
            <v>B553669/A</v>
          </cell>
          <cell r="B2073" t="str">
            <v>CZ062M09</v>
          </cell>
          <cell r="C2073">
            <v>4</v>
          </cell>
          <cell r="D2073">
            <v>944.32</v>
          </cell>
          <cell r="E2073">
            <v>3777.28</v>
          </cell>
          <cell r="F2073" t="str">
            <v>A3-S2</v>
          </cell>
          <cell r="G2073" t="str">
            <v>Door Horizontal rail  - Đố cửa ngang</v>
          </cell>
          <cell r="H2073" t="str">
            <v>Wood EU Beech - Straight/Waving Edged ABC, 2 COM - T26mm x W100mm up x L1.8m up</v>
          </cell>
          <cell r="I2073">
            <v>16</v>
          </cell>
        </row>
        <row r="2074">
          <cell r="A2074" t="str">
            <v>B553669/A</v>
          </cell>
          <cell r="B2074" t="str">
            <v>CZ062M09</v>
          </cell>
          <cell r="C2074">
            <v>4</v>
          </cell>
          <cell r="D2074">
            <v>944.32</v>
          </cell>
          <cell r="E2074">
            <v>3777.28</v>
          </cell>
          <cell r="F2074" t="str">
            <v>A3-S3</v>
          </cell>
          <cell r="G2074" t="str">
            <v>Door vertical rail  - Đố cửa đứng</v>
          </cell>
          <cell r="H2074" t="str">
            <v>Wood laminate</v>
          </cell>
          <cell r="I2074">
            <v>8</v>
          </cell>
        </row>
        <row r="2075">
          <cell r="A2075" t="str">
            <v>B553669/A</v>
          </cell>
          <cell r="B2075" t="str">
            <v>CZ062M09</v>
          </cell>
          <cell r="C2075">
            <v>4</v>
          </cell>
          <cell r="D2075">
            <v>944.32</v>
          </cell>
          <cell r="E2075">
            <v>3777.28</v>
          </cell>
          <cell r="F2075" t="str">
            <v>P01</v>
          </cell>
          <cell r="G2075" t="str">
            <v>Front top rail  - Đố tiền nóc</v>
          </cell>
          <cell r="H2075" t="str">
            <v>Wood laminate</v>
          </cell>
          <cell r="I2075">
            <v>4</v>
          </cell>
        </row>
        <row r="2076">
          <cell r="A2076" t="str">
            <v>B553669/A</v>
          </cell>
          <cell r="B2076" t="str">
            <v>CZ062M09</v>
          </cell>
          <cell r="C2076">
            <v>4</v>
          </cell>
          <cell r="D2076">
            <v>944.32</v>
          </cell>
          <cell r="E2076">
            <v>3777.28</v>
          </cell>
          <cell r="F2076" t="str">
            <v>P02</v>
          </cell>
          <cell r="G2076" t="str">
            <v>Back top rail - Đố hậu nóc</v>
          </cell>
          <cell r="H2076" t="str">
            <v>Wood Rubber Laminate Board - 20 x 1220 x 2440mm, Veneer Poplar both Faces</v>
          </cell>
          <cell r="I2076">
            <v>20</v>
          </cell>
        </row>
        <row r="2077">
          <cell r="A2077" t="str">
            <v>B553669/A</v>
          </cell>
          <cell r="B2077" t="str">
            <v>CZ062M09</v>
          </cell>
          <cell r="C2077">
            <v>4</v>
          </cell>
          <cell r="D2077">
            <v>944.32</v>
          </cell>
          <cell r="E2077">
            <v>3777.28</v>
          </cell>
          <cell r="F2077" t="str">
            <v>P03</v>
          </cell>
          <cell r="G2077" t="str">
            <v xml:space="preserve">Top panel  - Ván nóc </v>
          </cell>
          <cell r="H2077" t="str">
            <v>MDF Veneer</v>
          </cell>
          <cell r="I2077">
            <v>4</v>
          </cell>
        </row>
        <row r="2078">
          <cell r="A2078" t="str">
            <v>B553669/A</v>
          </cell>
          <cell r="B2078" t="str">
            <v>CZ062M09</v>
          </cell>
          <cell r="C2078">
            <v>4</v>
          </cell>
          <cell r="D2078">
            <v>944.32</v>
          </cell>
          <cell r="E2078">
            <v>3777.28</v>
          </cell>
          <cell r="F2078" t="str">
            <v>P04</v>
          </cell>
          <cell r="G2078" t="str">
            <v>Spline - Lưỡi gà</v>
          </cell>
          <cell r="H2078" t="str">
            <v>Plywood LVD - 06 x 1220 x 2440mm, Bleached Poplar Veneer Both Sides [CARB P2 Compliant]</v>
          </cell>
          <cell r="I2078">
            <v>8</v>
          </cell>
        </row>
        <row r="2079">
          <cell r="A2079" t="str">
            <v>B553669/A</v>
          </cell>
          <cell r="B2079" t="str">
            <v>CZ062M09</v>
          </cell>
          <cell r="C2079">
            <v>4</v>
          </cell>
          <cell r="D2079">
            <v>944.32</v>
          </cell>
          <cell r="E2079">
            <v>3777.28</v>
          </cell>
          <cell r="F2079" t="str">
            <v>P05</v>
          </cell>
          <cell r="G2079" t="str">
            <v>Spline - Lưỡi gà</v>
          </cell>
          <cell r="H2079" t="str">
            <v>Plywood LVD - 06 x 1220 x 2440mm, Bleached Poplar Veneer Both Sides [CARB P2 Compliant]</v>
          </cell>
          <cell r="I2079">
            <v>4</v>
          </cell>
        </row>
        <row r="2080">
          <cell r="A2080" t="str">
            <v>B553669/A</v>
          </cell>
          <cell r="B2080" t="str">
            <v>CZ062M09</v>
          </cell>
          <cell r="C2080">
            <v>4</v>
          </cell>
          <cell r="D2080">
            <v>944.32</v>
          </cell>
          <cell r="E2080">
            <v>3777.28</v>
          </cell>
          <cell r="F2080" t="str">
            <v>P06</v>
          </cell>
          <cell r="G2080" t="str">
            <v>Fixed Shelf  - Kệ bắt chết</v>
          </cell>
          <cell r="H2080" t="str">
            <v>Pre-Assembly</v>
          </cell>
          <cell r="I2080">
            <v>16</v>
          </cell>
        </row>
        <row r="2081">
          <cell r="A2081" t="str">
            <v>B553669/A</v>
          </cell>
          <cell r="B2081" t="str">
            <v>CZ062M09</v>
          </cell>
          <cell r="C2081">
            <v>4</v>
          </cell>
          <cell r="D2081">
            <v>944.32</v>
          </cell>
          <cell r="E2081">
            <v>3777.28</v>
          </cell>
          <cell r="F2081" t="str">
            <v>P06-1</v>
          </cell>
          <cell r="G2081" t="str">
            <v>Shelf panel  - Ván kệ</v>
          </cell>
          <cell r="H2081" t="str">
            <v>MDF Veneer</v>
          </cell>
          <cell r="I2081">
            <v>16</v>
          </cell>
        </row>
        <row r="2082">
          <cell r="A2082" t="str">
            <v>B553669/A</v>
          </cell>
          <cell r="B2082" t="str">
            <v>CZ062M09</v>
          </cell>
          <cell r="C2082">
            <v>4</v>
          </cell>
          <cell r="D2082">
            <v>944.32</v>
          </cell>
          <cell r="E2082">
            <v>3777.28</v>
          </cell>
          <cell r="F2082" t="str">
            <v>P06-2</v>
          </cell>
          <cell r="G2082" t="str">
            <v>Shelf moulding - Chỉ đắp kệ</v>
          </cell>
          <cell r="H2082" t="str">
            <v>Standard Wood - ALDER/ASPEN/LENGA/US POPLAR, 2 COM - T25 W120mm+ L2m+</v>
          </cell>
          <cell r="I2082">
            <v>16</v>
          </cell>
        </row>
        <row r="2083">
          <cell r="A2083" t="str">
            <v>B553669/A</v>
          </cell>
          <cell r="B2083" t="str">
            <v>CZ062M09</v>
          </cell>
          <cell r="C2083">
            <v>4</v>
          </cell>
          <cell r="D2083">
            <v>944.32</v>
          </cell>
          <cell r="E2083">
            <v>3777.28</v>
          </cell>
          <cell r="F2083" t="str">
            <v>P07</v>
          </cell>
          <cell r="G2083" t="str">
            <v>Back panel - Ván hậu</v>
          </cell>
          <cell r="H2083" t="str">
            <v>MDF Veneer</v>
          </cell>
          <cell r="I2083">
            <v>4</v>
          </cell>
        </row>
        <row r="2084">
          <cell r="A2084" t="str">
            <v>B553669/A</v>
          </cell>
          <cell r="B2084" t="str">
            <v>CZ062M09</v>
          </cell>
          <cell r="C2084">
            <v>4</v>
          </cell>
          <cell r="D2084">
            <v>944.32</v>
          </cell>
          <cell r="E2084">
            <v>3777.28</v>
          </cell>
          <cell r="F2084" t="str">
            <v>P09</v>
          </cell>
          <cell r="G2084" t="str">
            <v>Bottom panel - Ván đáy</v>
          </cell>
          <cell r="H2084" t="str">
            <v>Cement Board - 18 x 1220 x 2440mm, Dark Grey</v>
          </cell>
          <cell r="I2084">
            <v>16</v>
          </cell>
        </row>
        <row r="2085">
          <cell r="A2085" t="str">
            <v>B553669/A</v>
          </cell>
          <cell r="B2085" t="str">
            <v>CZ062M09</v>
          </cell>
          <cell r="C2085">
            <v>4</v>
          </cell>
          <cell r="D2085">
            <v>944.32</v>
          </cell>
          <cell r="E2085">
            <v>3777.28</v>
          </cell>
          <cell r="F2085" t="str">
            <v>P10</v>
          </cell>
          <cell r="G2085" t="str">
            <v>Corner block - ke góc</v>
          </cell>
          <cell r="H2085" t="str">
            <v>Poplar off cut</v>
          </cell>
          <cell r="I2085">
            <v>8</v>
          </cell>
        </row>
        <row r="2086">
          <cell r="A2086" t="str">
            <v>B553669/A</v>
          </cell>
          <cell r="B2086" t="str">
            <v>CZ062M09</v>
          </cell>
          <cell r="C2086">
            <v>4</v>
          </cell>
          <cell r="D2086">
            <v>944.32</v>
          </cell>
          <cell r="E2086">
            <v>3777.28</v>
          </cell>
          <cell r="F2086" t="str">
            <v>P10-1</v>
          </cell>
          <cell r="G2086" t="str">
            <v>Corner block - ke góc</v>
          </cell>
          <cell r="H2086" t="str">
            <v>Poplar off cut</v>
          </cell>
          <cell r="I2086">
            <v>8</v>
          </cell>
        </row>
        <row r="2087">
          <cell r="A2087" t="str">
            <v>B553670/A</v>
          </cell>
          <cell r="B2087" t="str">
            <v>CZ062M09</v>
          </cell>
          <cell r="C2087">
            <v>5</v>
          </cell>
          <cell r="D2087">
            <v>944.32</v>
          </cell>
          <cell r="E2087">
            <v>4721.6000000000004</v>
          </cell>
          <cell r="F2087" t="str">
            <v>A1-S1</v>
          </cell>
          <cell r="G2087" t="str">
            <v>Front leg  - Chần tiền</v>
          </cell>
          <cell r="H2087" t="str">
            <v>Pre-Assembly</v>
          </cell>
          <cell r="I2087">
            <v>10</v>
          </cell>
        </row>
        <row r="2088">
          <cell r="A2088" t="str">
            <v>B553670/A</v>
          </cell>
          <cell r="B2088" t="str">
            <v>CZ062M09</v>
          </cell>
          <cell r="C2088">
            <v>5</v>
          </cell>
          <cell r="D2088">
            <v>944.32</v>
          </cell>
          <cell r="E2088">
            <v>4721.6000000000004</v>
          </cell>
          <cell r="F2088" t="str">
            <v>A1-S1-1</v>
          </cell>
          <cell r="G2088" t="str">
            <v>Wood laminater - Gỗ ghép 1</v>
          </cell>
          <cell r="H2088" t="str">
            <v>Wood laminate</v>
          </cell>
          <cell r="I2088">
            <v>10</v>
          </cell>
        </row>
        <row r="2089">
          <cell r="A2089" t="str">
            <v>B553670/A</v>
          </cell>
          <cell r="B2089" t="str">
            <v>CZ062M09</v>
          </cell>
          <cell r="C2089">
            <v>5</v>
          </cell>
          <cell r="D2089">
            <v>944.32</v>
          </cell>
          <cell r="E2089">
            <v>4721.6000000000004</v>
          </cell>
          <cell r="F2089" t="str">
            <v>A1-S1-2</v>
          </cell>
          <cell r="G2089" t="str">
            <v>Wood laminater - Gỗ ghép 1</v>
          </cell>
          <cell r="H2089" t="str">
            <v>Standard Wood - ALDER/ASPEN/LENGA/US POPLAR, 2 COM - T25 W120mm+ L2m+</v>
          </cell>
          <cell r="I2089">
            <v>10</v>
          </cell>
        </row>
        <row r="2090">
          <cell r="A2090" t="str">
            <v>B553670/A</v>
          </cell>
          <cell r="B2090" t="str">
            <v>CZ062M09</v>
          </cell>
          <cell r="C2090">
            <v>5</v>
          </cell>
          <cell r="D2090">
            <v>944.32</v>
          </cell>
          <cell r="E2090">
            <v>4721.6000000000004</v>
          </cell>
          <cell r="F2090" t="str">
            <v>A1-S2</v>
          </cell>
          <cell r="G2090" t="str">
            <v>Back leg - Chân hậu</v>
          </cell>
          <cell r="H2090" t="str">
            <v>Wood laminate</v>
          </cell>
          <cell r="I2090">
            <v>10</v>
          </cell>
        </row>
        <row r="2091">
          <cell r="A2091" t="str">
            <v>B553670/A</v>
          </cell>
          <cell r="B2091" t="str">
            <v>CZ062M09</v>
          </cell>
          <cell r="C2091">
            <v>5</v>
          </cell>
          <cell r="D2091">
            <v>944.32</v>
          </cell>
          <cell r="E2091">
            <v>4721.6000000000004</v>
          </cell>
          <cell r="F2091" t="str">
            <v>A1-S3</v>
          </cell>
          <cell r="G2091" t="str">
            <v xml:space="preserve">Side panel  - Ván hông </v>
          </cell>
          <cell r="H2091" t="str">
            <v>MDF Veneer</v>
          </cell>
          <cell r="I2091">
            <v>10</v>
          </cell>
        </row>
        <row r="2092">
          <cell r="A2092" t="str">
            <v>B553670/A</v>
          </cell>
          <cell r="B2092" t="str">
            <v>CZ062M09</v>
          </cell>
          <cell r="C2092">
            <v>5</v>
          </cell>
          <cell r="D2092">
            <v>944.32</v>
          </cell>
          <cell r="E2092">
            <v>4721.6000000000004</v>
          </cell>
          <cell r="F2092" t="str">
            <v>A1-S4</v>
          </cell>
          <cell r="G2092" t="str">
            <v>Cleat - Bọ gỗ</v>
          </cell>
          <cell r="H2092" t="str">
            <v>Wood Rubber Laminate Board - 20 x 1220 x 2440mm, Veneer Poplar both Faces</v>
          </cell>
          <cell r="I2092">
            <v>20</v>
          </cell>
        </row>
        <row r="2093">
          <cell r="A2093" t="str">
            <v>B553670/A</v>
          </cell>
          <cell r="B2093" t="str">
            <v>CZ062M09</v>
          </cell>
          <cell r="C2093">
            <v>5</v>
          </cell>
          <cell r="D2093">
            <v>944.32</v>
          </cell>
          <cell r="E2093">
            <v>4721.6000000000004</v>
          </cell>
          <cell r="F2093" t="str">
            <v>A1-S5</v>
          </cell>
          <cell r="G2093" t="str">
            <v>Patching wood - Gỗ đắp</v>
          </cell>
          <cell r="H2093" t="str">
            <v>Standard Wood - ALDER/ASPEN/LENGA/US POPLAR, 2 COM - T32 W120mm+ L2m+</v>
          </cell>
          <cell r="I2093">
            <v>10</v>
          </cell>
        </row>
        <row r="2094">
          <cell r="A2094" t="str">
            <v>B553670/A</v>
          </cell>
          <cell r="B2094" t="str">
            <v>CZ062M09</v>
          </cell>
          <cell r="C2094">
            <v>5</v>
          </cell>
          <cell r="D2094">
            <v>944.32</v>
          </cell>
          <cell r="E2094">
            <v>4721.6000000000004</v>
          </cell>
          <cell r="F2094" t="str">
            <v>A1-S6</v>
          </cell>
          <cell r="G2094" t="str">
            <v>Cleat - Bọ gỗ</v>
          </cell>
          <cell r="H2094" t="str">
            <v>Wood Rubber Laminate Board - 20 x 1220 x 2440mm, Veneer Poplar both Faces</v>
          </cell>
          <cell r="I2094">
            <v>40</v>
          </cell>
        </row>
        <row r="2095">
          <cell r="A2095" t="str">
            <v>B553670/A</v>
          </cell>
          <cell r="B2095" t="str">
            <v>CZ062M09</v>
          </cell>
          <cell r="C2095">
            <v>5</v>
          </cell>
          <cell r="D2095">
            <v>944.32</v>
          </cell>
          <cell r="E2095">
            <v>4721.6000000000004</v>
          </cell>
          <cell r="F2095" t="str">
            <v>A2-S1</v>
          </cell>
          <cell r="G2095" t="str">
            <v>Front Bottom Rail  - Đố đáy trước</v>
          </cell>
          <cell r="H2095" t="str">
            <v>Standard Wood - ALDER/ASPEN/LENGA/US POPLAR, 2 COM - T32 W120mm+ L2m+</v>
          </cell>
          <cell r="I2095">
            <v>5</v>
          </cell>
        </row>
        <row r="2096">
          <cell r="A2096" t="str">
            <v>B553670/A</v>
          </cell>
          <cell r="B2096" t="str">
            <v>CZ062M09</v>
          </cell>
          <cell r="C2096">
            <v>5</v>
          </cell>
          <cell r="D2096">
            <v>944.32</v>
          </cell>
          <cell r="E2096">
            <v>4721.6000000000004</v>
          </cell>
          <cell r="F2096" t="str">
            <v>A2-S1-1</v>
          </cell>
          <cell r="G2096" t="str">
            <v>Front Bottom Rail  - Đố đáy trước</v>
          </cell>
          <cell r="H2096" t="str">
            <v>Standard Wood - ALDER/ASPEN/LENGA/US POPLAR, 2 COM - T32 W120mm+ L2m+</v>
          </cell>
          <cell r="I2096">
            <v>5</v>
          </cell>
        </row>
        <row r="2097">
          <cell r="A2097" t="str">
            <v>B553670/A</v>
          </cell>
          <cell r="B2097" t="str">
            <v>CZ062M09</v>
          </cell>
          <cell r="C2097">
            <v>5</v>
          </cell>
          <cell r="D2097">
            <v>944.32</v>
          </cell>
          <cell r="E2097">
            <v>4721.6000000000004</v>
          </cell>
          <cell r="F2097" t="str">
            <v>A2-S3</v>
          </cell>
          <cell r="G2097" t="str">
            <v>center rail with note - đố giữa</v>
          </cell>
          <cell r="H2097" t="str">
            <v>Wood US Poplar - Straight Edged, 2 COM - T32mm x W100mm Up x L1.8m Up</v>
          </cell>
          <cell r="I2097">
            <v>5</v>
          </cell>
        </row>
        <row r="2098">
          <cell r="A2098" t="str">
            <v>B553670/A</v>
          </cell>
          <cell r="B2098" t="str">
            <v>CZ062M09</v>
          </cell>
          <cell r="C2098">
            <v>5</v>
          </cell>
          <cell r="D2098">
            <v>944.32</v>
          </cell>
          <cell r="E2098">
            <v>4721.6000000000004</v>
          </cell>
          <cell r="F2098" t="str">
            <v>A2-S4</v>
          </cell>
          <cell r="G2098" t="str">
            <v>Bottom panel - Ván đáy</v>
          </cell>
          <cell r="H2098" t="str">
            <v>MDF Veneer</v>
          </cell>
          <cell r="I2098">
            <v>5</v>
          </cell>
        </row>
        <row r="2099">
          <cell r="A2099" t="str">
            <v>B553670/A</v>
          </cell>
          <cell r="B2099" t="str">
            <v>CZ062M09</v>
          </cell>
          <cell r="C2099">
            <v>5</v>
          </cell>
          <cell r="D2099">
            <v>944.32</v>
          </cell>
          <cell r="E2099">
            <v>4721.6000000000004</v>
          </cell>
          <cell r="F2099" t="str">
            <v>A2-S5</v>
          </cell>
          <cell r="G2099" t="str">
            <v>Cleat - Bọ gỗ</v>
          </cell>
          <cell r="H2099" t="str">
            <v>Wood Rubber Laminate Board - 20 x 1220 x 2440mm, Veneer Poplar both Faces</v>
          </cell>
          <cell r="I2099">
            <v>20</v>
          </cell>
        </row>
        <row r="2100">
          <cell r="A2100" t="str">
            <v>B553670/A</v>
          </cell>
          <cell r="B2100" t="str">
            <v>CZ062M09</v>
          </cell>
          <cell r="C2100">
            <v>5</v>
          </cell>
          <cell r="D2100">
            <v>944.32</v>
          </cell>
          <cell r="E2100">
            <v>4721.6000000000004</v>
          </cell>
          <cell r="F2100" t="str">
            <v>A3</v>
          </cell>
          <cell r="G2100" t="str">
            <v>Door Frame - Khung cửa</v>
          </cell>
          <cell r="H2100" t="str">
            <v>Pre-Assembly</v>
          </cell>
          <cell r="I2100">
            <v>10</v>
          </cell>
        </row>
        <row r="2101">
          <cell r="A2101" t="str">
            <v>B553670/A</v>
          </cell>
          <cell r="B2101" t="str">
            <v>CZ062M09</v>
          </cell>
          <cell r="C2101">
            <v>5</v>
          </cell>
          <cell r="D2101">
            <v>944.32</v>
          </cell>
          <cell r="E2101">
            <v>4721.6000000000004</v>
          </cell>
          <cell r="F2101" t="str">
            <v>A3-S1</v>
          </cell>
          <cell r="G2101" t="str">
            <v>Door vertical rail  - Đố cửa đứng</v>
          </cell>
          <cell r="H2101" t="str">
            <v>Wood laminate</v>
          </cell>
          <cell r="I2101">
            <v>10</v>
          </cell>
        </row>
        <row r="2102">
          <cell r="A2102" t="str">
            <v>B553670/A</v>
          </cell>
          <cell r="B2102" t="str">
            <v>CZ062M09</v>
          </cell>
          <cell r="C2102">
            <v>5</v>
          </cell>
          <cell r="D2102">
            <v>944.32</v>
          </cell>
          <cell r="E2102">
            <v>4721.6000000000004</v>
          </cell>
          <cell r="F2102" t="str">
            <v>A3-S2</v>
          </cell>
          <cell r="G2102" t="str">
            <v>Door Horizontal rail  - Đố cửa ngang</v>
          </cell>
          <cell r="H2102" t="str">
            <v>Wood EU Beech - Straight/Waving Edged ABC, 2 COM - T26mm x W100mm up x L1.8m up</v>
          </cell>
          <cell r="I2102">
            <v>20</v>
          </cell>
        </row>
        <row r="2103">
          <cell r="A2103" t="str">
            <v>B553670/A</v>
          </cell>
          <cell r="B2103" t="str">
            <v>CZ062M09</v>
          </cell>
          <cell r="C2103">
            <v>5</v>
          </cell>
          <cell r="D2103">
            <v>944.32</v>
          </cell>
          <cell r="E2103">
            <v>4721.6000000000004</v>
          </cell>
          <cell r="F2103" t="str">
            <v>A3-S3</v>
          </cell>
          <cell r="G2103" t="str">
            <v>Door vertical rail  - Đố cửa đứng</v>
          </cell>
          <cell r="H2103" t="str">
            <v>Wood laminate</v>
          </cell>
          <cell r="I2103">
            <v>10</v>
          </cell>
        </row>
        <row r="2104">
          <cell r="A2104" t="str">
            <v>B553670/A</v>
          </cell>
          <cell r="B2104" t="str">
            <v>CZ062M09</v>
          </cell>
          <cell r="C2104">
            <v>5</v>
          </cell>
          <cell r="D2104">
            <v>944.32</v>
          </cell>
          <cell r="E2104">
            <v>4721.6000000000004</v>
          </cell>
          <cell r="F2104" t="str">
            <v>P01</v>
          </cell>
          <cell r="G2104" t="str">
            <v>Front top rail  - Đố tiền nóc</v>
          </cell>
          <cell r="H2104" t="str">
            <v>Wood laminate</v>
          </cell>
          <cell r="I2104">
            <v>5</v>
          </cell>
        </row>
        <row r="2105">
          <cell r="A2105" t="str">
            <v>B553670/A</v>
          </cell>
          <cell r="B2105" t="str">
            <v>CZ062M09</v>
          </cell>
          <cell r="C2105">
            <v>5</v>
          </cell>
          <cell r="D2105">
            <v>944.32</v>
          </cell>
          <cell r="E2105">
            <v>4721.6000000000004</v>
          </cell>
          <cell r="F2105" t="str">
            <v>P02</v>
          </cell>
          <cell r="G2105" t="str">
            <v>Back top rail - Đố hậu nóc</v>
          </cell>
          <cell r="H2105" t="str">
            <v>Wood Rubber Laminate Board - 20 x 1220 x 2440mm, Veneer Poplar both Faces</v>
          </cell>
          <cell r="I2105">
            <v>25</v>
          </cell>
        </row>
        <row r="2106">
          <cell r="A2106" t="str">
            <v>B553670/A</v>
          </cell>
          <cell r="B2106" t="str">
            <v>CZ062M09</v>
          </cell>
          <cell r="C2106">
            <v>5</v>
          </cell>
          <cell r="D2106">
            <v>944.32</v>
          </cell>
          <cell r="E2106">
            <v>4721.6000000000004</v>
          </cell>
          <cell r="F2106" t="str">
            <v>P03</v>
          </cell>
          <cell r="G2106" t="str">
            <v xml:space="preserve">Top panel  - Ván nóc </v>
          </cell>
          <cell r="H2106" t="str">
            <v>MDF Veneer</v>
          </cell>
          <cell r="I2106">
            <v>5</v>
          </cell>
        </row>
        <row r="2107">
          <cell r="A2107" t="str">
            <v>B553670/A</v>
          </cell>
          <cell r="B2107" t="str">
            <v>CZ062M09</v>
          </cell>
          <cell r="C2107">
            <v>5</v>
          </cell>
          <cell r="D2107">
            <v>944.32</v>
          </cell>
          <cell r="E2107">
            <v>4721.6000000000004</v>
          </cell>
          <cell r="F2107" t="str">
            <v>P04</v>
          </cell>
          <cell r="G2107" t="str">
            <v>Spline - Lưỡi gà</v>
          </cell>
          <cell r="H2107" t="str">
            <v>Plywood LVD - 06 x 1220 x 2440mm, Bleached Poplar Veneer Both Sides [CARB P2 Compliant]</v>
          </cell>
          <cell r="I2107">
            <v>10</v>
          </cell>
        </row>
        <row r="2108">
          <cell r="A2108" t="str">
            <v>B553670/A</v>
          </cell>
          <cell r="B2108" t="str">
            <v>CZ062M09</v>
          </cell>
          <cell r="C2108">
            <v>5</v>
          </cell>
          <cell r="D2108">
            <v>944.32</v>
          </cell>
          <cell r="E2108">
            <v>4721.6000000000004</v>
          </cell>
          <cell r="F2108" t="str">
            <v>P05</v>
          </cell>
          <cell r="G2108" t="str">
            <v>Spline - Lưỡi gà</v>
          </cell>
          <cell r="H2108" t="str">
            <v>Plywood LVD - 06 x 1220 x 2440mm, Bleached Poplar Veneer Both Sides [CARB P2 Compliant]</v>
          </cell>
          <cell r="I2108">
            <v>5</v>
          </cell>
        </row>
        <row r="2109">
          <cell r="A2109" t="str">
            <v>B553670/A</v>
          </cell>
          <cell r="B2109" t="str">
            <v>CZ062M09</v>
          </cell>
          <cell r="C2109">
            <v>5</v>
          </cell>
          <cell r="D2109">
            <v>944.32</v>
          </cell>
          <cell r="E2109">
            <v>4721.6000000000004</v>
          </cell>
          <cell r="F2109" t="str">
            <v>P06</v>
          </cell>
          <cell r="G2109" t="str">
            <v>Fixed Shelf  - Kệ bắt chết</v>
          </cell>
          <cell r="H2109" t="str">
            <v>Pre-Assembly</v>
          </cell>
          <cell r="I2109">
            <v>20</v>
          </cell>
        </row>
        <row r="2110">
          <cell r="A2110" t="str">
            <v>B553670/A</v>
          </cell>
          <cell r="B2110" t="str">
            <v>CZ062M09</v>
          </cell>
          <cell r="C2110">
            <v>5</v>
          </cell>
          <cell r="D2110">
            <v>944.32</v>
          </cell>
          <cell r="E2110">
            <v>4721.6000000000004</v>
          </cell>
          <cell r="F2110" t="str">
            <v>P06-1</v>
          </cell>
          <cell r="G2110" t="str">
            <v>Shelf panel  - Ván kệ</v>
          </cell>
          <cell r="H2110" t="str">
            <v>MDF Veneer</v>
          </cell>
          <cell r="I2110">
            <v>20</v>
          </cell>
        </row>
        <row r="2111">
          <cell r="A2111" t="str">
            <v>B553670/A</v>
          </cell>
          <cell r="B2111" t="str">
            <v>CZ062M09</v>
          </cell>
          <cell r="C2111">
            <v>5</v>
          </cell>
          <cell r="D2111">
            <v>944.32</v>
          </cell>
          <cell r="E2111">
            <v>4721.6000000000004</v>
          </cell>
          <cell r="F2111" t="str">
            <v>P06-2</v>
          </cell>
          <cell r="G2111" t="str">
            <v>Shelf moulding - Chỉ đắp kệ</v>
          </cell>
          <cell r="H2111" t="str">
            <v>Standard Wood - ALDER/ASPEN/LENGA/US POPLAR, 2 COM - T25 W120mm+ L2m+</v>
          </cell>
          <cell r="I2111">
            <v>20</v>
          </cell>
        </row>
        <row r="2112">
          <cell r="A2112" t="str">
            <v>B553670/A</v>
          </cell>
          <cell r="B2112" t="str">
            <v>CZ062M09</v>
          </cell>
          <cell r="C2112">
            <v>5</v>
          </cell>
          <cell r="D2112">
            <v>944.32</v>
          </cell>
          <cell r="E2112">
            <v>4721.6000000000004</v>
          </cell>
          <cell r="F2112" t="str">
            <v>P07</v>
          </cell>
          <cell r="G2112" t="str">
            <v>Back panel - Ván hậu</v>
          </cell>
          <cell r="H2112" t="str">
            <v>MDF Veneer</v>
          </cell>
          <cell r="I2112">
            <v>5</v>
          </cell>
        </row>
        <row r="2113">
          <cell r="A2113" t="str">
            <v>B553670/A</v>
          </cell>
          <cell r="B2113" t="str">
            <v>CZ062M09</v>
          </cell>
          <cell r="C2113">
            <v>5</v>
          </cell>
          <cell r="D2113">
            <v>944.32</v>
          </cell>
          <cell r="E2113">
            <v>4721.6000000000004</v>
          </cell>
          <cell r="F2113" t="str">
            <v>P09</v>
          </cell>
          <cell r="G2113" t="str">
            <v>Bottom panel - Ván đáy</v>
          </cell>
          <cell r="H2113" t="str">
            <v>Cement Board - 18 x 1220 x 2440mm, Dark Grey</v>
          </cell>
          <cell r="I2113">
            <v>20</v>
          </cell>
        </row>
        <row r="2114">
          <cell r="A2114" t="str">
            <v>B553670/A</v>
          </cell>
          <cell r="B2114" t="str">
            <v>CZ062M09</v>
          </cell>
          <cell r="C2114">
            <v>5</v>
          </cell>
          <cell r="D2114">
            <v>944.32</v>
          </cell>
          <cell r="E2114">
            <v>4721.6000000000004</v>
          </cell>
          <cell r="F2114" t="str">
            <v>P10</v>
          </cell>
          <cell r="G2114" t="str">
            <v>Corner block - ke góc</v>
          </cell>
          <cell r="H2114" t="str">
            <v>Poplar off cut</v>
          </cell>
          <cell r="I2114">
            <v>10</v>
          </cell>
        </row>
        <row r="2115">
          <cell r="A2115" t="str">
            <v>B553670/A</v>
          </cell>
          <cell r="B2115" t="str">
            <v>CZ062M09</v>
          </cell>
          <cell r="C2115">
            <v>5</v>
          </cell>
          <cell r="D2115">
            <v>944.32</v>
          </cell>
          <cell r="E2115">
            <v>4721.6000000000004</v>
          </cell>
          <cell r="F2115" t="str">
            <v>P10-1</v>
          </cell>
          <cell r="G2115" t="str">
            <v>Corner block - ke góc</v>
          </cell>
          <cell r="H2115" t="str">
            <v>Poplar off cut</v>
          </cell>
          <cell r="I2115">
            <v>10</v>
          </cell>
        </row>
        <row r="2116">
          <cell r="A2116" t="str">
            <v>B557263/A</v>
          </cell>
          <cell r="B2116" t="str">
            <v>CZ062M190</v>
          </cell>
          <cell r="C2116">
            <v>6</v>
          </cell>
          <cell r="D2116">
            <v>944.32</v>
          </cell>
          <cell r="E2116">
            <v>5665.92</v>
          </cell>
          <cell r="F2116" t="str">
            <v>A1-S1</v>
          </cell>
          <cell r="G2116" t="str">
            <v>Front leg  - Chần tiền</v>
          </cell>
          <cell r="H2116" t="str">
            <v>Pre-Assembly</v>
          </cell>
          <cell r="I2116">
            <v>12</v>
          </cell>
        </row>
        <row r="2117">
          <cell r="A2117" t="str">
            <v>B557263/A</v>
          </cell>
          <cell r="B2117" t="str">
            <v>CZ062M190</v>
          </cell>
          <cell r="C2117">
            <v>6</v>
          </cell>
          <cell r="D2117">
            <v>944.32</v>
          </cell>
          <cell r="E2117">
            <v>5665.92</v>
          </cell>
          <cell r="F2117" t="str">
            <v>A1-S1-1</v>
          </cell>
          <cell r="G2117" t="str">
            <v>Wood laminater - Gỗ ghép 1</v>
          </cell>
          <cell r="H2117" t="str">
            <v>Wood laminate</v>
          </cell>
          <cell r="I2117">
            <v>12</v>
          </cell>
        </row>
        <row r="2118">
          <cell r="A2118" t="str">
            <v>B557263/A</v>
          </cell>
          <cell r="B2118" t="str">
            <v>CZ062M190</v>
          </cell>
          <cell r="C2118">
            <v>6</v>
          </cell>
          <cell r="D2118">
            <v>944.32</v>
          </cell>
          <cell r="E2118">
            <v>5665.92</v>
          </cell>
          <cell r="F2118" t="str">
            <v>A1-S1-2</v>
          </cell>
          <cell r="G2118" t="str">
            <v>Wood laminater - Gỗ ghép 1</v>
          </cell>
          <cell r="H2118" t="str">
            <v>Standard Wood - ALDER/ASPEN/LENGA/US POPLAR, 2 COM - T25 W120mm+ L2m+</v>
          </cell>
          <cell r="I2118">
            <v>12</v>
          </cell>
        </row>
        <row r="2119">
          <cell r="A2119" t="str">
            <v>B557263/A</v>
          </cell>
          <cell r="B2119" t="str">
            <v>CZ062M190</v>
          </cell>
          <cell r="C2119">
            <v>6</v>
          </cell>
          <cell r="D2119">
            <v>944.32</v>
          </cell>
          <cell r="E2119">
            <v>5665.92</v>
          </cell>
          <cell r="F2119" t="str">
            <v>A1-S2</v>
          </cell>
          <cell r="G2119" t="str">
            <v>Back leg - Chân hậu</v>
          </cell>
          <cell r="H2119" t="str">
            <v>Wood laminate</v>
          </cell>
          <cell r="I2119">
            <v>12</v>
          </cell>
        </row>
        <row r="2120">
          <cell r="A2120" t="str">
            <v>B557263/A</v>
          </cell>
          <cell r="B2120" t="str">
            <v>CZ062M190</v>
          </cell>
          <cell r="C2120">
            <v>6</v>
          </cell>
          <cell r="D2120">
            <v>944.32</v>
          </cell>
          <cell r="E2120">
            <v>5665.92</v>
          </cell>
          <cell r="F2120" t="str">
            <v>A1-S3</v>
          </cell>
          <cell r="G2120" t="str">
            <v xml:space="preserve">Side panel  - Ván hông </v>
          </cell>
          <cell r="H2120" t="str">
            <v>MDF Veneer</v>
          </cell>
          <cell r="I2120">
            <v>12</v>
          </cell>
        </row>
        <row r="2121">
          <cell r="A2121" t="str">
            <v>B557263/A</v>
          </cell>
          <cell r="B2121" t="str">
            <v>CZ062M190</v>
          </cell>
          <cell r="C2121">
            <v>6</v>
          </cell>
          <cell r="D2121">
            <v>944.32</v>
          </cell>
          <cell r="E2121">
            <v>5665.92</v>
          </cell>
          <cell r="F2121" t="str">
            <v>A1-S4</v>
          </cell>
          <cell r="G2121" t="str">
            <v>Cleat - Bọ gỗ</v>
          </cell>
          <cell r="H2121" t="str">
            <v>Wood Hard Maple - 1 COM, Sap and Better - T25mm x L2.0m up</v>
          </cell>
          <cell r="I2121">
            <v>24</v>
          </cell>
        </row>
        <row r="2122">
          <cell r="A2122" t="str">
            <v>B557263/A</v>
          </cell>
          <cell r="B2122" t="str">
            <v>CZ062M190</v>
          </cell>
          <cell r="C2122">
            <v>6</v>
          </cell>
          <cell r="D2122">
            <v>944.32</v>
          </cell>
          <cell r="E2122">
            <v>5665.92</v>
          </cell>
          <cell r="F2122" t="str">
            <v>A1-S5</v>
          </cell>
          <cell r="G2122" t="str">
            <v>Patching wood - Gỗ đắp</v>
          </cell>
          <cell r="H2122" t="str">
            <v>Wood Hard Maple - 1 COM, Sap and Better - T32mm x L2.0m up</v>
          </cell>
          <cell r="I2122">
            <v>12</v>
          </cell>
        </row>
        <row r="2123">
          <cell r="A2123" t="str">
            <v>B557263/A</v>
          </cell>
          <cell r="B2123" t="str">
            <v>CZ062M190</v>
          </cell>
          <cell r="C2123">
            <v>6</v>
          </cell>
          <cell r="D2123">
            <v>944.32</v>
          </cell>
          <cell r="E2123">
            <v>5665.92</v>
          </cell>
          <cell r="F2123" t="str">
            <v>A1-S6</v>
          </cell>
          <cell r="G2123" t="str">
            <v>Cleat - Bọ gỗ</v>
          </cell>
          <cell r="H2123" t="str">
            <v>Wood Hard Maple - 1 COM, Sap and Better - T25mm x L2.0m up</v>
          </cell>
          <cell r="I2123">
            <v>48</v>
          </cell>
        </row>
        <row r="2124">
          <cell r="A2124" t="str">
            <v>B557263/A</v>
          </cell>
          <cell r="B2124" t="str">
            <v>CZ062M190</v>
          </cell>
          <cell r="C2124">
            <v>6</v>
          </cell>
          <cell r="D2124">
            <v>944.32</v>
          </cell>
          <cell r="E2124">
            <v>5665.92</v>
          </cell>
          <cell r="F2124" t="str">
            <v>A2-S1</v>
          </cell>
          <cell r="G2124" t="str">
            <v>Front Bottom Rail  - Đố đáy trước</v>
          </cell>
          <cell r="H2124" t="str">
            <v>Wd+VN</v>
          </cell>
          <cell r="I2124">
            <v>6</v>
          </cell>
        </row>
        <row r="2125">
          <cell r="A2125" t="str">
            <v>B557263/A</v>
          </cell>
          <cell r="B2125" t="str">
            <v>CZ062M190</v>
          </cell>
          <cell r="C2125">
            <v>6</v>
          </cell>
          <cell r="D2125">
            <v>944.32</v>
          </cell>
          <cell r="E2125">
            <v>5665.92</v>
          </cell>
          <cell r="F2125" t="str">
            <v>A2-S2</v>
          </cell>
          <cell r="G2125" t="str">
            <v>Back bottom rail - Đố hậu đáy</v>
          </cell>
          <cell r="H2125" t="str">
            <v>Standard Wood - ALDER/ASPEN/LENGA/US POPLAR, 2 COM - T38 W120mm+ L2m+</v>
          </cell>
          <cell r="I2125">
            <v>6</v>
          </cell>
        </row>
        <row r="2126">
          <cell r="A2126" t="str">
            <v>B557263/A</v>
          </cell>
          <cell r="B2126" t="str">
            <v>CZ062M190</v>
          </cell>
          <cell r="C2126">
            <v>6</v>
          </cell>
          <cell r="D2126">
            <v>944.32</v>
          </cell>
          <cell r="E2126">
            <v>5665.92</v>
          </cell>
          <cell r="F2126" t="str">
            <v>A2-S3</v>
          </cell>
          <cell r="G2126" t="str">
            <v>center rail with note - đố giữa</v>
          </cell>
          <cell r="H2126" t="str">
            <v>Wood US Poplar - Straight Edged, 2 COM - T32mm x W100mm Up x L1.8m Up</v>
          </cell>
          <cell r="I2126">
            <v>6</v>
          </cell>
        </row>
        <row r="2127">
          <cell r="A2127" t="str">
            <v>B557263/A</v>
          </cell>
          <cell r="B2127" t="str">
            <v>CZ062M190</v>
          </cell>
          <cell r="C2127">
            <v>6</v>
          </cell>
          <cell r="D2127">
            <v>944.32</v>
          </cell>
          <cell r="E2127">
            <v>5665.92</v>
          </cell>
          <cell r="F2127" t="str">
            <v>A2-S4</v>
          </cell>
          <cell r="G2127" t="str">
            <v>Bottom panel - Ván đáy</v>
          </cell>
          <cell r="H2127" t="str">
            <v>MDF Veneer</v>
          </cell>
          <cell r="I2127">
            <v>6</v>
          </cell>
        </row>
        <row r="2128">
          <cell r="A2128" t="str">
            <v>B557263/A</v>
          </cell>
          <cell r="B2128" t="str">
            <v>CZ062M190</v>
          </cell>
          <cell r="C2128">
            <v>6</v>
          </cell>
          <cell r="D2128">
            <v>944.32</v>
          </cell>
          <cell r="E2128">
            <v>5665.92</v>
          </cell>
          <cell r="F2128" t="str">
            <v>A2-S5</v>
          </cell>
          <cell r="G2128" t="str">
            <v>Cleat - Bọ gỗ</v>
          </cell>
          <cell r="H2128" t="str">
            <v>Wood Rubber Laminate Board - 20 x 1220 x 2440mm, Veneer Poplar both Faces</v>
          </cell>
          <cell r="I2128">
            <v>12</v>
          </cell>
        </row>
        <row r="2129">
          <cell r="A2129" t="str">
            <v>B557263/A</v>
          </cell>
          <cell r="B2129" t="str">
            <v>CZ062M190</v>
          </cell>
          <cell r="C2129">
            <v>6</v>
          </cell>
          <cell r="D2129">
            <v>944.32</v>
          </cell>
          <cell r="E2129">
            <v>5665.92</v>
          </cell>
          <cell r="F2129" t="str">
            <v>A3</v>
          </cell>
          <cell r="G2129" t="str">
            <v>Door Frame - Khung cửa</v>
          </cell>
          <cell r="H2129" t="str">
            <v>Pre-Assembly</v>
          </cell>
          <cell r="I2129">
            <v>12</v>
          </cell>
        </row>
        <row r="2130">
          <cell r="A2130" t="str">
            <v>B557263/A</v>
          </cell>
          <cell r="B2130" t="str">
            <v>CZ062M190</v>
          </cell>
          <cell r="C2130">
            <v>6</v>
          </cell>
          <cell r="D2130">
            <v>944.32</v>
          </cell>
          <cell r="E2130">
            <v>5665.92</v>
          </cell>
          <cell r="F2130" t="str">
            <v>A3-S1</v>
          </cell>
          <cell r="G2130" t="str">
            <v>Door vertical rail  - Đố cửa đứng</v>
          </cell>
          <cell r="H2130" t="str">
            <v>Wood laminate</v>
          </cell>
          <cell r="I2130">
            <v>12</v>
          </cell>
        </row>
        <row r="2131">
          <cell r="A2131" t="str">
            <v>B557263/A</v>
          </cell>
          <cell r="B2131" t="str">
            <v>CZ062M190</v>
          </cell>
          <cell r="C2131">
            <v>6</v>
          </cell>
          <cell r="D2131">
            <v>944.32</v>
          </cell>
          <cell r="E2131">
            <v>5665.92</v>
          </cell>
          <cell r="F2131" t="str">
            <v>A3-S2</v>
          </cell>
          <cell r="G2131" t="str">
            <v>Door Horizontal rail  - Đố cửa ngang</v>
          </cell>
          <cell r="H2131" t="str">
            <v>Wood EU Beech - Straight/Waving Edged ABC, 2 COM - T26mm x W100mm up x L1.8m up</v>
          </cell>
          <cell r="I2131">
            <v>24</v>
          </cell>
        </row>
        <row r="2132">
          <cell r="A2132" t="str">
            <v>B557263/A</v>
          </cell>
          <cell r="B2132" t="str">
            <v>CZ062M190</v>
          </cell>
          <cell r="C2132">
            <v>6</v>
          </cell>
          <cell r="D2132">
            <v>944.32</v>
          </cell>
          <cell r="E2132">
            <v>5665.92</v>
          </cell>
          <cell r="F2132" t="str">
            <v>A3-S3</v>
          </cell>
          <cell r="G2132" t="str">
            <v>Door vertical rail  - Đố cửa đứng</v>
          </cell>
          <cell r="H2132" t="str">
            <v>Wood laminate</v>
          </cell>
          <cell r="I2132">
            <v>12</v>
          </cell>
        </row>
        <row r="2133">
          <cell r="A2133" t="str">
            <v>B557263/A</v>
          </cell>
          <cell r="B2133" t="str">
            <v>CZ062M190</v>
          </cell>
          <cell r="C2133">
            <v>6</v>
          </cell>
          <cell r="D2133">
            <v>944.32</v>
          </cell>
          <cell r="E2133">
            <v>5665.92</v>
          </cell>
          <cell r="F2133" t="str">
            <v>P01</v>
          </cell>
          <cell r="G2133" t="str">
            <v>Front top rail  - Đố tiền nóc</v>
          </cell>
          <cell r="H2133" t="str">
            <v>Wood laminate</v>
          </cell>
          <cell r="I2133">
            <v>6</v>
          </cell>
        </row>
        <row r="2134">
          <cell r="A2134" t="str">
            <v>B557263/A</v>
          </cell>
          <cell r="B2134" t="str">
            <v>CZ062M190</v>
          </cell>
          <cell r="C2134">
            <v>6</v>
          </cell>
          <cell r="D2134">
            <v>944.32</v>
          </cell>
          <cell r="E2134">
            <v>5665.92</v>
          </cell>
          <cell r="F2134" t="str">
            <v>P02</v>
          </cell>
          <cell r="G2134" t="str">
            <v>Back top rail - Đố hậu nóc</v>
          </cell>
          <cell r="H2134" t="str">
            <v>Wood Hard Maple - 1 COM, Sap and Better - T25mm x L2.0m up</v>
          </cell>
          <cell r="I2134">
            <v>30</v>
          </cell>
        </row>
        <row r="2135">
          <cell r="A2135" t="str">
            <v>B557263/A</v>
          </cell>
          <cell r="B2135" t="str">
            <v>CZ062M190</v>
          </cell>
          <cell r="C2135">
            <v>6</v>
          </cell>
          <cell r="D2135">
            <v>944.32</v>
          </cell>
          <cell r="E2135">
            <v>5665.92</v>
          </cell>
          <cell r="F2135" t="str">
            <v>P03</v>
          </cell>
          <cell r="G2135" t="str">
            <v xml:space="preserve">Top panel  - Ván nóc </v>
          </cell>
          <cell r="H2135" t="str">
            <v>MDF Veneer</v>
          </cell>
          <cell r="I2135">
            <v>6</v>
          </cell>
        </row>
        <row r="2136">
          <cell r="A2136" t="str">
            <v>B557263/A</v>
          </cell>
          <cell r="B2136" t="str">
            <v>CZ062M190</v>
          </cell>
          <cell r="C2136">
            <v>6</v>
          </cell>
          <cell r="D2136">
            <v>944.32</v>
          </cell>
          <cell r="E2136">
            <v>5665.92</v>
          </cell>
          <cell r="F2136" t="str">
            <v>P04</v>
          </cell>
          <cell r="G2136" t="str">
            <v>Spline - Lưỡi gà</v>
          </cell>
          <cell r="H2136" t="str">
            <v>wood off cut</v>
          </cell>
          <cell r="I2136">
            <v>12</v>
          </cell>
        </row>
        <row r="2137">
          <cell r="A2137" t="str">
            <v>B557263/A</v>
          </cell>
          <cell r="B2137" t="str">
            <v>CZ062M190</v>
          </cell>
          <cell r="C2137">
            <v>6</v>
          </cell>
          <cell r="D2137">
            <v>944.32</v>
          </cell>
          <cell r="E2137">
            <v>5665.92</v>
          </cell>
          <cell r="F2137" t="str">
            <v>P05</v>
          </cell>
          <cell r="G2137" t="str">
            <v>Spline - Lưỡi gà</v>
          </cell>
          <cell r="H2137" t="str">
            <v>wood off cut</v>
          </cell>
          <cell r="I2137">
            <v>6</v>
          </cell>
        </row>
        <row r="2138">
          <cell r="A2138" t="str">
            <v>B557263/A</v>
          </cell>
          <cell r="B2138" t="str">
            <v>CZ062M190</v>
          </cell>
          <cell r="C2138">
            <v>6</v>
          </cell>
          <cell r="D2138">
            <v>944.32</v>
          </cell>
          <cell r="E2138">
            <v>5665.92</v>
          </cell>
          <cell r="F2138" t="str">
            <v>P06</v>
          </cell>
          <cell r="G2138" t="str">
            <v>Fixed Shelf  - Kệ bắt chết</v>
          </cell>
          <cell r="H2138" t="str">
            <v>Pre-Assembly</v>
          </cell>
          <cell r="I2138">
            <v>24</v>
          </cell>
        </row>
        <row r="2139">
          <cell r="A2139" t="str">
            <v>B557263/A</v>
          </cell>
          <cell r="B2139" t="str">
            <v>CZ062M190</v>
          </cell>
          <cell r="C2139">
            <v>6</v>
          </cell>
          <cell r="D2139">
            <v>944.32</v>
          </cell>
          <cell r="E2139">
            <v>5665.92</v>
          </cell>
          <cell r="F2139" t="str">
            <v>P06-1</v>
          </cell>
          <cell r="G2139" t="str">
            <v>Shelf panel  - Ván kệ</v>
          </cell>
          <cell r="H2139" t="str">
            <v>MDF Veneer</v>
          </cell>
          <cell r="I2139">
            <v>24</v>
          </cell>
        </row>
        <row r="2140">
          <cell r="A2140" t="str">
            <v>B557263/A</v>
          </cell>
          <cell r="B2140" t="str">
            <v>CZ062M190</v>
          </cell>
          <cell r="C2140">
            <v>6</v>
          </cell>
          <cell r="D2140">
            <v>944.32</v>
          </cell>
          <cell r="E2140">
            <v>5665.92</v>
          </cell>
          <cell r="F2140" t="str">
            <v>P06-2</v>
          </cell>
          <cell r="G2140" t="str">
            <v>Shelf moulding - Chỉ đắp kệ</v>
          </cell>
          <cell r="H2140" t="str">
            <v>Wood Hard Maple - 1 COM, Sap and Better - T25mm x L2.0m up</v>
          </cell>
          <cell r="I2140">
            <v>24</v>
          </cell>
        </row>
        <row r="2141">
          <cell r="A2141" t="str">
            <v>B557263/A</v>
          </cell>
          <cell r="B2141" t="str">
            <v>CZ062M190</v>
          </cell>
          <cell r="C2141">
            <v>6</v>
          </cell>
          <cell r="D2141">
            <v>944.32</v>
          </cell>
          <cell r="E2141">
            <v>5665.92</v>
          </cell>
          <cell r="F2141" t="str">
            <v>P07</v>
          </cell>
          <cell r="G2141" t="str">
            <v>Back panel - Ván hậu</v>
          </cell>
          <cell r="H2141" t="str">
            <v>MDF Veneer</v>
          </cell>
          <cell r="I2141">
            <v>6</v>
          </cell>
        </row>
        <row r="2142">
          <cell r="A2142" t="str">
            <v>B557263/A</v>
          </cell>
          <cell r="B2142" t="str">
            <v>CZ062M190</v>
          </cell>
          <cell r="C2142">
            <v>6</v>
          </cell>
          <cell r="D2142">
            <v>944.32</v>
          </cell>
          <cell r="E2142">
            <v>5665.92</v>
          </cell>
          <cell r="F2142" t="str">
            <v>P09</v>
          </cell>
          <cell r="G2142" t="str">
            <v>Bottom panel - Ván đáy</v>
          </cell>
          <cell r="H2142" t="str">
            <v>Cement Board - 18 x 1220 x 2440mm, Dark Grey</v>
          </cell>
          <cell r="I2142">
            <v>24</v>
          </cell>
        </row>
        <row r="2143">
          <cell r="A2143" t="str">
            <v>B557263/A</v>
          </cell>
          <cell r="B2143" t="str">
            <v>CZ062M190</v>
          </cell>
          <cell r="C2143">
            <v>6</v>
          </cell>
          <cell r="D2143">
            <v>944.32</v>
          </cell>
          <cell r="E2143">
            <v>5665.92</v>
          </cell>
          <cell r="F2143" t="str">
            <v>P10</v>
          </cell>
          <cell r="G2143" t="str">
            <v>Corner block - ke góc</v>
          </cell>
          <cell r="H2143" t="str">
            <v>Poplar off cut</v>
          </cell>
          <cell r="I2143">
            <v>12</v>
          </cell>
        </row>
        <row r="2144">
          <cell r="A2144" t="str">
            <v>B557263/A</v>
          </cell>
          <cell r="B2144" t="str">
            <v>CZ062M190</v>
          </cell>
          <cell r="C2144">
            <v>6</v>
          </cell>
          <cell r="D2144">
            <v>944.32</v>
          </cell>
          <cell r="E2144">
            <v>5665.92</v>
          </cell>
          <cell r="F2144" t="str">
            <v>P10-1</v>
          </cell>
          <cell r="G2144" t="str">
            <v>Corner block - ke góc</v>
          </cell>
          <cell r="H2144" t="str">
            <v>Poplar off cut</v>
          </cell>
          <cell r="I2144">
            <v>12</v>
          </cell>
        </row>
        <row r="2145">
          <cell r="A2145" t="str">
            <v>B557264/A</v>
          </cell>
          <cell r="B2145" t="str">
            <v>CZ062M190</v>
          </cell>
          <cell r="C2145">
            <v>4</v>
          </cell>
          <cell r="D2145">
            <v>944.32</v>
          </cell>
          <cell r="E2145">
            <v>3777.28</v>
          </cell>
          <cell r="F2145" t="str">
            <v>A1-S1</v>
          </cell>
          <cell r="G2145" t="str">
            <v>Front leg  - Chần tiền</v>
          </cell>
          <cell r="H2145" t="str">
            <v>Pre-Assembly</v>
          </cell>
          <cell r="I2145">
            <v>8</v>
          </cell>
        </row>
        <row r="2146">
          <cell r="A2146" t="str">
            <v>B557264/A</v>
          </cell>
          <cell r="B2146" t="str">
            <v>CZ062M190</v>
          </cell>
          <cell r="C2146">
            <v>4</v>
          </cell>
          <cell r="D2146">
            <v>944.32</v>
          </cell>
          <cell r="E2146">
            <v>3777.28</v>
          </cell>
          <cell r="F2146" t="str">
            <v>A1-S1-1</v>
          </cell>
          <cell r="G2146" t="str">
            <v>Wood laminater - Gỗ ghép 1</v>
          </cell>
          <cell r="H2146" t="str">
            <v>Wood laminate</v>
          </cell>
          <cell r="I2146">
            <v>8</v>
          </cell>
        </row>
        <row r="2147">
          <cell r="A2147" t="str">
            <v>B557264/A</v>
          </cell>
          <cell r="B2147" t="str">
            <v>CZ062M190</v>
          </cell>
          <cell r="C2147">
            <v>4</v>
          </cell>
          <cell r="D2147">
            <v>944.32</v>
          </cell>
          <cell r="E2147">
            <v>3777.28</v>
          </cell>
          <cell r="F2147" t="str">
            <v>A1-S1-2</v>
          </cell>
          <cell r="G2147" t="str">
            <v>Wood laminater - Gỗ ghép 1</v>
          </cell>
          <cell r="H2147" t="str">
            <v>Standard Wood - ALDER/ASPEN/LENGA/US POPLAR, 2 COM - T25 W120mm+ L2m+</v>
          </cell>
          <cell r="I2147">
            <v>8</v>
          </cell>
        </row>
        <row r="2148">
          <cell r="A2148" t="str">
            <v>B557264/A</v>
          </cell>
          <cell r="B2148" t="str">
            <v>CZ062M190</v>
          </cell>
          <cell r="C2148">
            <v>4</v>
          </cell>
          <cell r="D2148">
            <v>944.32</v>
          </cell>
          <cell r="E2148">
            <v>3777.28</v>
          </cell>
          <cell r="F2148" t="str">
            <v>A1-S2</v>
          </cell>
          <cell r="G2148" t="str">
            <v>Back leg - Chân hậu</v>
          </cell>
          <cell r="H2148" t="str">
            <v>Wood laminate</v>
          </cell>
          <cell r="I2148">
            <v>8</v>
          </cell>
        </row>
        <row r="2149">
          <cell r="A2149" t="str">
            <v>B557264/A</v>
          </cell>
          <cell r="B2149" t="str">
            <v>CZ062M190</v>
          </cell>
          <cell r="C2149">
            <v>4</v>
          </cell>
          <cell r="D2149">
            <v>944.32</v>
          </cell>
          <cell r="E2149">
            <v>3777.28</v>
          </cell>
          <cell r="F2149" t="str">
            <v>A1-S3</v>
          </cell>
          <cell r="G2149" t="str">
            <v xml:space="preserve">Side panel  - Ván hông </v>
          </cell>
          <cell r="H2149" t="str">
            <v>MDF Veneer</v>
          </cell>
          <cell r="I2149">
            <v>8</v>
          </cell>
        </row>
        <row r="2150">
          <cell r="A2150" t="str">
            <v>B557264/A</v>
          </cell>
          <cell r="B2150" t="str">
            <v>CZ062M190</v>
          </cell>
          <cell r="C2150">
            <v>4</v>
          </cell>
          <cell r="D2150">
            <v>944.32</v>
          </cell>
          <cell r="E2150">
            <v>3777.28</v>
          </cell>
          <cell r="F2150" t="str">
            <v>A1-S4</v>
          </cell>
          <cell r="G2150" t="str">
            <v>Cleat - Bọ gỗ</v>
          </cell>
          <cell r="H2150" t="str">
            <v>Wood Hard Maple - 1 COM, Sap and Better - T25mm x L2.0m up</v>
          </cell>
          <cell r="I2150">
            <v>16</v>
          </cell>
        </row>
        <row r="2151">
          <cell r="A2151" t="str">
            <v>B557264/A</v>
          </cell>
          <cell r="B2151" t="str">
            <v>CZ062M190</v>
          </cell>
          <cell r="C2151">
            <v>4</v>
          </cell>
          <cell r="D2151">
            <v>944.32</v>
          </cell>
          <cell r="E2151">
            <v>3777.28</v>
          </cell>
          <cell r="F2151" t="str">
            <v>A1-S5</v>
          </cell>
          <cell r="G2151" t="str">
            <v>Patching wood - Gỗ đắp</v>
          </cell>
          <cell r="H2151" t="str">
            <v>Wood Hard Maple - 1 COM, Sap and Better - T32mm x L2.0m up</v>
          </cell>
          <cell r="I2151">
            <v>8</v>
          </cell>
        </row>
        <row r="2152">
          <cell r="A2152" t="str">
            <v>B557264/A</v>
          </cell>
          <cell r="B2152" t="str">
            <v>CZ062M190</v>
          </cell>
          <cell r="C2152">
            <v>4</v>
          </cell>
          <cell r="D2152">
            <v>944.32</v>
          </cell>
          <cell r="E2152">
            <v>3777.28</v>
          </cell>
          <cell r="F2152" t="str">
            <v>A1-S6</v>
          </cell>
          <cell r="G2152" t="str">
            <v>Cleat - Bọ gỗ</v>
          </cell>
          <cell r="H2152" t="str">
            <v>Wood Hard Maple - 1 COM, Sap and Better - T25mm x L2.0m up</v>
          </cell>
          <cell r="I2152">
            <v>32</v>
          </cell>
        </row>
        <row r="2153">
          <cell r="A2153" t="str">
            <v>B557264/A</v>
          </cell>
          <cell r="B2153" t="str">
            <v>CZ062M190</v>
          </cell>
          <cell r="C2153">
            <v>4</v>
          </cell>
          <cell r="D2153">
            <v>944.32</v>
          </cell>
          <cell r="E2153">
            <v>3777.28</v>
          </cell>
          <cell r="F2153" t="str">
            <v>A2-S1</v>
          </cell>
          <cell r="G2153" t="str">
            <v>Front Bottom Rail  - Đố đáy trước</v>
          </cell>
          <cell r="H2153" t="str">
            <v>Wd+VN</v>
          </cell>
          <cell r="I2153">
            <v>4</v>
          </cell>
        </row>
        <row r="2154">
          <cell r="A2154" t="str">
            <v>B557264/A</v>
          </cell>
          <cell r="B2154" t="str">
            <v>CZ062M190</v>
          </cell>
          <cell r="C2154">
            <v>4</v>
          </cell>
          <cell r="D2154">
            <v>944.32</v>
          </cell>
          <cell r="E2154">
            <v>3777.28</v>
          </cell>
          <cell r="F2154" t="str">
            <v>A2-S2</v>
          </cell>
          <cell r="G2154" t="str">
            <v>Back bottom rail - Đố hậu đáy</v>
          </cell>
          <cell r="H2154" t="str">
            <v>Standard Wood - ALDER/ASPEN/LENGA/US POPLAR, 2 COM - T38 W120mm+ L2m+</v>
          </cell>
          <cell r="I2154">
            <v>4</v>
          </cell>
        </row>
        <row r="2155">
          <cell r="A2155" t="str">
            <v>B557264/A</v>
          </cell>
          <cell r="B2155" t="str">
            <v>CZ062M190</v>
          </cell>
          <cell r="C2155">
            <v>4</v>
          </cell>
          <cell r="D2155">
            <v>944.32</v>
          </cell>
          <cell r="E2155">
            <v>3777.28</v>
          </cell>
          <cell r="F2155" t="str">
            <v>A2-S3</v>
          </cell>
          <cell r="G2155" t="str">
            <v>center rail with note - đố giữa</v>
          </cell>
          <cell r="H2155" t="str">
            <v>Wood US Poplar - Straight Edged, 2 COM - T32mm x W100mm Up x L1.8m Up</v>
          </cell>
          <cell r="I2155">
            <v>4</v>
          </cell>
        </row>
        <row r="2156">
          <cell r="A2156" t="str">
            <v>B557264/A</v>
          </cell>
          <cell r="B2156" t="str">
            <v>CZ062M190</v>
          </cell>
          <cell r="C2156">
            <v>4</v>
          </cell>
          <cell r="D2156">
            <v>944.32</v>
          </cell>
          <cell r="E2156">
            <v>3777.28</v>
          </cell>
          <cell r="F2156" t="str">
            <v>A2-S4</v>
          </cell>
          <cell r="G2156" t="str">
            <v>Bottom panel - Ván đáy</v>
          </cell>
          <cell r="H2156" t="str">
            <v>MDF Veneer</v>
          </cell>
          <cell r="I2156">
            <v>4</v>
          </cell>
        </row>
        <row r="2157">
          <cell r="A2157" t="str">
            <v>B557264/A</v>
          </cell>
          <cell r="B2157" t="str">
            <v>CZ062M190</v>
          </cell>
          <cell r="C2157">
            <v>4</v>
          </cell>
          <cell r="D2157">
            <v>944.32</v>
          </cell>
          <cell r="E2157">
            <v>3777.28</v>
          </cell>
          <cell r="F2157" t="str">
            <v>A2-S5</v>
          </cell>
          <cell r="G2157" t="str">
            <v>Cleat - Bọ gỗ</v>
          </cell>
          <cell r="H2157" t="str">
            <v>Wood Rubber Laminate Board - 20 x 1220 x 2440mm, Veneer Poplar both Faces</v>
          </cell>
          <cell r="I2157">
            <v>8</v>
          </cell>
        </row>
        <row r="2158">
          <cell r="A2158" t="str">
            <v>B557264/A</v>
          </cell>
          <cell r="B2158" t="str">
            <v>CZ062M190</v>
          </cell>
          <cell r="C2158">
            <v>4</v>
          </cell>
          <cell r="D2158">
            <v>944.32</v>
          </cell>
          <cell r="E2158">
            <v>3777.28</v>
          </cell>
          <cell r="F2158" t="str">
            <v>A3</v>
          </cell>
          <cell r="G2158" t="str">
            <v>Door Frame - Khung cửa</v>
          </cell>
          <cell r="H2158" t="str">
            <v>Pre-Assembly</v>
          </cell>
          <cell r="I2158">
            <v>8</v>
          </cell>
        </row>
        <row r="2159">
          <cell r="A2159" t="str">
            <v>B557264/A</v>
          </cell>
          <cell r="B2159" t="str">
            <v>CZ062M190</v>
          </cell>
          <cell r="C2159">
            <v>4</v>
          </cell>
          <cell r="D2159">
            <v>944.32</v>
          </cell>
          <cell r="E2159">
            <v>3777.28</v>
          </cell>
          <cell r="F2159" t="str">
            <v>A3-S1</v>
          </cell>
          <cell r="G2159" t="str">
            <v>Door vertical rail  - Đố cửa đứng</v>
          </cell>
          <cell r="H2159" t="str">
            <v>Wood laminate</v>
          </cell>
          <cell r="I2159">
            <v>8</v>
          </cell>
        </row>
        <row r="2160">
          <cell r="A2160" t="str">
            <v>B557264/A</v>
          </cell>
          <cell r="B2160" t="str">
            <v>CZ062M190</v>
          </cell>
          <cell r="C2160">
            <v>4</v>
          </cell>
          <cell r="D2160">
            <v>944.32</v>
          </cell>
          <cell r="E2160">
            <v>3777.28</v>
          </cell>
          <cell r="F2160" t="str">
            <v>A3-S2</v>
          </cell>
          <cell r="G2160" t="str">
            <v>Door Horizontal rail  - Đố cửa ngang</v>
          </cell>
          <cell r="H2160" t="str">
            <v>Wood EU Beech - Straight/Waving Edged ABC, 2 COM - T26mm x W100mm up x L1.8m up</v>
          </cell>
          <cell r="I2160">
            <v>16</v>
          </cell>
        </row>
        <row r="2161">
          <cell r="A2161" t="str">
            <v>B557264/A</v>
          </cell>
          <cell r="B2161" t="str">
            <v>CZ062M190</v>
          </cell>
          <cell r="C2161">
            <v>4</v>
          </cell>
          <cell r="D2161">
            <v>944.32</v>
          </cell>
          <cell r="E2161">
            <v>3777.28</v>
          </cell>
          <cell r="F2161" t="str">
            <v>A3-S3</v>
          </cell>
          <cell r="G2161" t="str">
            <v>Door vertical rail  - Đố cửa đứng</v>
          </cell>
          <cell r="H2161" t="str">
            <v>Wood laminate</v>
          </cell>
          <cell r="I2161">
            <v>8</v>
          </cell>
        </row>
        <row r="2162">
          <cell r="A2162" t="str">
            <v>B557264/A</v>
          </cell>
          <cell r="B2162" t="str">
            <v>CZ062M190</v>
          </cell>
          <cell r="C2162">
            <v>4</v>
          </cell>
          <cell r="D2162">
            <v>944.32</v>
          </cell>
          <cell r="E2162">
            <v>3777.28</v>
          </cell>
          <cell r="F2162" t="str">
            <v>P01</v>
          </cell>
          <cell r="G2162" t="str">
            <v>Front top rail  - Đố tiền nóc</v>
          </cell>
          <cell r="H2162" t="str">
            <v>Wood laminate</v>
          </cell>
          <cell r="I2162">
            <v>4</v>
          </cell>
        </row>
        <row r="2163">
          <cell r="A2163" t="str">
            <v>B557264/A</v>
          </cell>
          <cell r="B2163" t="str">
            <v>CZ062M190</v>
          </cell>
          <cell r="C2163">
            <v>4</v>
          </cell>
          <cell r="D2163">
            <v>944.32</v>
          </cell>
          <cell r="E2163">
            <v>3777.28</v>
          </cell>
          <cell r="F2163" t="str">
            <v>P02</v>
          </cell>
          <cell r="G2163" t="str">
            <v>Back top rail - Đố hậu nóc</v>
          </cell>
          <cell r="H2163" t="str">
            <v>Wood Hard Maple - 1 COM, Sap and Better - T25mm x L2.0m up</v>
          </cell>
          <cell r="I2163">
            <v>20</v>
          </cell>
        </row>
        <row r="2164">
          <cell r="A2164" t="str">
            <v>B557264/A</v>
          </cell>
          <cell r="B2164" t="str">
            <v>CZ062M190</v>
          </cell>
          <cell r="C2164">
            <v>4</v>
          </cell>
          <cell r="D2164">
            <v>944.32</v>
          </cell>
          <cell r="E2164">
            <v>3777.28</v>
          </cell>
          <cell r="F2164" t="str">
            <v>P03</v>
          </cell>
          <cell r="G2164" t="str">
            <v xml:space="preserve">Top panel  - Ván nóc </v>
          </cell>
          <cell r="H2164" t="str">
            <v>MDF Veneer</v>
          </cell>
          <cell r="I2164">
            <v>4</v>
          </cell>
        </row>
        <row r="2165">
          <cell r="A2165" t="str">
            <v>B557264/A</v>
          </cell>
          <cell r="B2165" t="str">
            <v>CZ062M190</v>
          </cell>
          <cell r="C2165">
            <v>4</v>
          </cell>
          <cell r="D2165">
            <v>944.32</v>
          </cell>
          <cell r="E2165">
            <v>3777.28</v>
          </cell>
          <cell r="F2165" t="str">
            <v>P04</v>
          </cell>
          <cell r="G2165" t="str">
            <v>Spline - Lưỡi gà</v>
          </cell>
          <cell r="H2165" t="str">
            <v>wood off cut</v>
          </cell>
          <cell r="I2165">
            <v>8</v>
          </cell>
        </row>
        <row r="2166">
          <cell r="A2166" t="str">
            <v>B557264/A</v>
          </cell>
          <cell r="B2166" t="str">
            <v>CZ062M190</v>
          </cell>
          <cell r="C2166">
            <v>4</v>
          </cell>
          <cell r="D2166">
            <v>944.32</v>
          </cell>
          <cell r="E2166">
            <v>3777.28</v>
          </cell>
          <cell r="F2166" t="str">
            <v>P05</v>
          </cell>
          <cell r="G2166" t="str">
            <v>Spline - Lưỡi gà</v>
          </cell>
          <cell r="H2166" t="str">
            <v>wood off cut</v>
          </cell>
          <cell r="I2166">
            <v>4</v>
          </cell>
        </row>
        <row r="2167">
          <cell r="A2167" t="str">
            <v>B557264/A</v>
          </cell>
          <cell r="B2167" t="str">
            <v>CZ062M190</v>
          </cell>
          <cell r="C2167">
            <v>4</v>
          </cell>
          <cell r="D2167">
            <v>944.32</v>
          </cell>
          <cell r="E2167">
            <v>3777.28</v>
          </cell>
          <cell r="F2167" t="str">
            <v>P06</v>
          </cell>
          <cell r="G2167" t="str">
            <v>Fixed Shelf  - Kệ bắt chết</v>
          </cell>
          <cell r="H2167" t="str">
            <v>Pre-Assembly</v>
          </cell>
          <cell r="I2167">
            <v>16</v>
          </cell>
        </row>
        <row r="2168">
          <cell r="A2168" t="str">
            <v>B557264/A</v>
          </cell>
          <cell r="B2168" t="str">
            <v>CZ062M190</v>
          </cell>
          <cell r="C2168">
            <v>4</v>
          </cell>
          <cell r="D2168">
            <v>944.32</v>
          </cell>
          <cell r="E2168">
            <v>3777.28</v>
          </cell>
          <cell r="F2168" t="str">
            <v>P06-1</v>
          </cell>
          <cell r="G2168" t="str">
            <v>Shelf panel  - Ván kệ</v>
          </cell>
          <cell r="H2168" t="str">
            <v>MDF Veneer</v>
          </cell>
          <cell r="I2168">
            <v>16</v>
          </cell>
        </row>
        <row r="2169">
          <cell r="A2169" t="str">
            <v>B557264/A</v>
          </cell>
          <cell r="B2169" t="str">
            <v>CZ062M190</v>
          </cell>
          <cell r="C2169">
            <v>4</v>
          </cell>
          <cell r="D2169">
            <v>944.32</v>
          </cell>
          <cell r="E2169">
            <v>3777.28</v>
          </cell>
          <cell r="F2169" t="str">
            <v>P06-2</v>
          </cell>
          <cell r="G2169" t="str">
            <v>Shelf moulding - Chỉ đắp kệ</v>
          </cell>
          <cell r="H2169" t="str">
            <v>Wood Hard Maple - 1 COM, Sap and Better - T25mm x L2.0m up</v>
          </cell>
          <cell r="I2169">
            <v>16</v>
          </cell>
        </row>
        <row r="2170">
          <cell r="A2170" t="str">
            <v>B557264/A</v>
          </cell>
          <cell r="B2170" t="str">
            <v>CZ062M190</v>
          </cell>
          <cell r="C2170">
            <v>4</v>
          </cell>
          <cell r="D2170">
            <v>944.32</v>
          </cell>
          <cell r="E2170">
            <v>3777.28</v>
          </cell>
          <cell r="F2170" t="str">
            <v>P07</v>
          </cell>
          <cell r="G2170" t="str">
            <v>Back panel - Ván hậu</v>
          </cell>
          <cell r="H2170" t="str">
            <v>MDF Veneer</v>
          </cell>
          <cell r="I2170">
            <v>4</v>
          </cell>
        </row>
        <row r="2171">
          <cell r="A2171" t="str">
            <v>B557264/A</v>
          </cell>
          <cell r="B2171" t="str">
            <v>CZ062M190</v>
          </cell>
          <cell r="C2171">
            <v>4</v>
          </cell>
          <cell r="D2171">
            <v>944.32</v>
          </cell>
          <cell r="E2171">
            <v>3777.28</v>
          </cell>
          <cell r="F2171" t="str">
            <v>P09</v>
          </cell>
          <cell r="G2171" t="str">
            <v>Bottom panel - Ván đáy</v>
          </cell>
          <cell r="H2171" t="str">
            <v>Cement Board - 18 x 1220 x 2440mm, Dark Grey</v>
          </cell>
          <cell r="I2171">
            <v>16</v>
          </cell>
        </row>
        <row r="2172">
          <cell r="A2172" t="str">
            <v>B557264/A</v>
          </cell>
          <cell r="B2172" t="str">
            <v>CZ062M190</v>
          </cell>
          <cell r="C2172">
            <v>4</v>
          </cell>
          <cell r="D2172">
            <v>944.32</v>
          </cell>
          <cell r="E2172">
            <v>3777.28</v>
          </cell>
          <cell r="F2172" t="str">
            <v>P10</v>
          </cell>
          <cell r="G2172" t="str">
            <v>Corner block - ke góc</v>
          </cell>
          <cell r="H2172" t="str">
            <v>Poplar off cut</v>
          </cell>
          <cell r="I2172">
            <v>8</v>
          </cell>
        </row>
        <row r="2173">
          <cell r="A2173" t="str">
            <v>B557264/A</v>
          </cell>
          <cell r="B2173" t="str">
            <v>CZ062M190</v>
          </cell>
          <cell r="C2173">
            <v>4</v>
          </cell>
          <cell r="D2173">
            <v>944.32</v>
          </cell>
          <cell r="E2173">
            <v>3777.28</v>
          </cell>
          <cell r="F2173" t="str">
            <v>P10-1</v>
          </cell>
          <cell r="G2173" t="str">
            <v>Corner block - ke góc</v>
          </cell>
          <cell r="H2173" t="str">
            <v>Poplar off cut</v>
          </cell>
          <cell r="I2173">
            <v>8</v>
          </cell>
        </row>
        <row r="2174">
          <cell r="A2174" t="str">
            <v>B557789/A</v>
          </cell>
          <cell r="B2174" t="str">
            <v>CZ067M08</v>
          </cell>
          <cell r="C2174">
            <v>1</v>
          </cell>
          <cell r="D2174">
            <v>278.36</v>
          </cell>
          <cell r="E2174">
            <v>278.36</v>
          </cell>
          <cell r="F2174" t="str">
            <v>P01</v>
          </cell>
          <cell r="G2174" t="str">
            <v>The leg  - Chân</v>
          </cell>
          <cell r="H2174" t="str">
            <v>Wood laminate</v>
          </cell>
          <cell r="I2174">
            <v>4</v>
          </cell>
        </row>
        <row r="2175">
          <cell r="A2175" t="str">
            <v>B557789/A</v>
          </cell>
          <cell r="B2175" t="str">
            <v>CZ067M08</v>
          </cell>
          <cell r="C2175">
            <v>1</v>
          </cell>
          <cell r="D2175">
            <v>278.36</v>
          </cell>
          <cell r="E2175">
            <v>278.36</v>
          </cell>
          <cell r="F2175" t="str">
            <v>P02</v>
          </cell>
          <cell r="G2175" t="str">
            <v>Top rail - Đố nóc</v>
          </cell>
          <cell r="H2175" t="str">
            <v>Wood US Poplar - Straight Edged, 2 COM - T38mm x W100mm Up x L1.8m Up</v>
          </cell>
          <cell r="I2175">
            <v>8</v>
          </cell>
        </row>
        <row r="2176">
          <cell r="A2176" t="str">
            <v>B557789/A</v>
          </cell>
          <cell r="B2176" t="str">
            <v>CZ067M08</v>
          </cell>
          <cell r="C2176">
            <v>1</v>
          </cell>
          <cell r="D2176">
            <v>278.36</v>
          </cell>
          <cell r="E2176">
            <v>278.36</v>
          </cell>
          <cell r="F2176" t="str">
            <v>P03</v>
          </cell>
          <cell r="G2176" t="str">
            <v xml:space="preserve">Top panel  - Ván nóc </v>
          </cell>
          <cell r="H2176" t="str">
            <v>MDF - 15 x 1830 x 2440mm [CARB P2 Compliant]</v>
          </cell>
          <cell r="I2176">
            <v>1</v>
          </cell>
        </row>
        <row r="2177">
          <cell r="A2177" t="str">
            <v>B557789/A</v>
          </cell>
          <cell r="B2177" t="str">
            <v>CZ067M08</v>
          </cell>
          <cell r="C2177">
            <v>1</v>
          </cell>
          <cell r="D2177">
            <v>278.36</v>
          </cell>
          <cell r="E2177">
            <v>278.36</v>
          </cell>
          <cell r="F2177" t="str">
            <v>P04</v>
          </cell>
          <cell r="G2177" t="str">
            <v>Bottom panel - Ván đáy</v>
          </cell>
          <cell r="H2177" t="str">
            <v>MDF - 15 x 1830 x 2440mm [CARB P2 Compliant]</v>
          </cell>
          <cell r="I2177">
            <v>1</v>
          </cell>
        </row>
        <row r="2178">
          <cell r="A2178" t="str">
            <v>B557789/A</v>
          </cell>
          <cell r="B2178" t="str">
            <v>CZ067M08</v>
          </cell>
          <cell r="C2178">
            <v>1</v>
          </cell>
          <cell r="D2178">
            <v>278.36</v>
          </cell>
          <cell r="E2178">
            <v>278.36</v>
          </cell>
          <cell r="F2178" t="str">
            <v>P05</v>
          </cell>
          <cell r="G2178" t="str">
            <v>Bottom panel - Ván đáy</v>
          </cell>
          <cell r="H2178" t="str">
            <v>MDF Veneer</v>
          </cell>
          <cell r="I2178">
            <v>2</v>
          </cell>
        </row>
        <row r="2179">
          <cell r="A2179" t="str">
            <v>B557789/A</v>
          </cell>
          <cell r="B2179" t="str">
            <v>CZ067M08</v>
          </cell>
          <cell r="C2179">
            <v>1</v>
          </cell>
          <cell r="D2179">
            <v>278.36</v>
          </cell>
          <cell r="E2179">
            <v>278.36</v>
          </cell>
          <cell r="F2179" t="str">
            <v>P06</v>
          </cell>
          <cell r="G2179" t="str">
            <v>Patching wood - Gỗ đắp</v>
          </cell>
          <cell r="H2179" t="str">
            <v>MDF OFF CUT</v>
          </cell>
          <cell r="I2179">
            <v>2</v>
          </cell>
        </row>
        <row r="2180">
          <cell r="A2180" t="str">
            <v>B557792/A</v>
          </cell>
          <cell r="B2180" t="str">
            <v>CZ067M09</v>
          </cell>
          <cell r="C2180">
            <v>13</v>
          </cell>
          <cell r="D2180">
            <v>278.36</v>
          </cell>
          <cell r="E2180">
            <v>3618.6800000000003</v>
          </cell>
          <cell r="F2180" t="str">
            <v>P01</v>
          </cell>
          <cell r="G2180" t="str">
            <v>The leg  - Chân</v>
          </cell>
          <cell r="H2180" t="str">
            <v>Wood laminate</v>
          </cell>
          <cell r="I2180">
            <v>52</v>
          </cell>
        </row>
        <row r="2181">
          <cell r="A2181" t="str">
            <v>B557792/A</v>
          </cell>
          <cell r="B2181" t="str">
            <v>CZ067M09</v>
          </cell>
          <cell r="C2181">
            <v>13</v>
          </cell>
          <cell r="D2181">
            <v>278.36</v>
          </cell>
          <cell r="E2181">
            <v>3618.6800000000003</v>
          </cell>
          <cell r="F2181" t="str">
            <v>P02</v>
          </cell>
          <cell r="G2181" t="str">
            <v>Top rail - Đố nóc</v>
          </cell>
          <cell r="H2181" t="str">
            <v>Wood US Poplar - Straight Edged, 2 COM - T38mm x W100mm Up x L1.8m Up</v>
          </cell>
          <cell r="I2181">
            <v>104</v>
          </cell>
        </row>
        <row r="2182">
          <cell r="A2182" t="str">
            <v>B557792/A</v>
          </cell>
          <cell r="B2182" t="str">
            <v>CZ067M09</v>
          </cell>
          <cell r="C2182">
            <v>13</v>
          </cell>
          <cell r="D2182">
            <v>278.36</v>
          </cell>
          <cell r="E2182">
            <v>3618.6800000000003</v>
          </cell>
          <cell r="F2182" t="str">
            <v>P03</v>
          </cell>
          <cell r="G2182" t="str">
            <v xml:space="preserve">Top panel  - Ván nóc </v>
          </cell>
          <cell r="H2182" t="str">
            <v>MDF - 15 x 1830 x 2440mm [CARB P2 Compliant]</v>
          </cell>
          <cell r="I2182">
            <v>13</v>
          </cell>
        </row>
        <row r="2183">
          <cell r="A2183" t="str">
            <v>B557792/A</v>
          </cell>
          <cell r="B2183" t="str">
            <v>CZ067M09</v>
          </cell>
          <cell r="C2183">
            <v>13</v>
          </cell>
          <cell r="D2183">
            <v>278.36</v>
          </cell>
          <cell r="E2183">
            <v>3618.6800000000003</v>
          </cell>
          <cell r="F2183" t="str">
            <v>P04</v>
          </cell>
          <cell r="G2183" t="str">
            <v>Bottom panel - Ván đáy</v>
          </cell>
          <cell r="H2183" t="str">
            <v>MDF - 15 x 1830 x 2440mm [CARB P2 Compliant]</v>
          </cell>
          <cell r="I2183">
            <v>13</v>
          </cell>
        </row>
        <row r="2184">
          <cell r="A2184" t="str">
            <v>B557792/A</v>
          </cell>
          <cell r="B2184" t="str">
            <v>CZ067M09</v>
          </cell>
          <cell r="C2184">
            <v>13</v>
          </cell>
          <cell r="D2184">
            <v>278.36</v>
          </cell>
          <cell r="E2184">
            <v>3618.6800000000003</v>
          </cell>
          <cell r="F2184" t="str">
            <v>P05</v>
          </cell>
          <cell r="G2184" t="str">
            <v>Bottom panel - Ván đáy</v>
          </cell>
          <cell r="H2184" t="str">
            <v>MDF Veneer</v>
          </cell>
          <cell r="I2184">
            <v>26</v>
          </cell>
        </row>
        <row r="2185">
          <cell r="A2185" t="str">
            <v>B557792/A</v>
          </cell>
          <cell r="B2185" t="str">
            <v>CZ067M09</v>
          </cell>
          <cell r="C2185">
            <v>13</v>
          </cell>
          <cell r="D2185">
            <v>278.36</v>
          </cell>
          <cell r="E2185">
            <v>3618.6800000000003</v>
          </cell>
          <cell r="F2185" t="str">
            <v>P06</v>
          </cell>
          <cell r="G2185" t="str">
            <v>Patching wood - Gỗ đắp</v>
          </cell>
          <cell r="H2185" t="str">
            <v>MDF OFF CUT</v>
          </cell>
          <cell r="I2185">
            <v>26</v>
          </cell>
        </row>
        <row r="2186">
          <cell r="A2186" t="str">
            <v>B557793/A</v>
          </cell>
          <cell r="B2186" t="str">
            <v>CZ067M09</v>
          </cell>
          <cell r="C2186">
            <v>14</v>
          </cell>
          <cell r="D2186">
            <v>278.36</v>
          </cell>
          <cell r="E2186">
            <v>3897.04</v>
          </cell>
          <cell r="F2186" t="str">
            <v>P01</v>
          </cell>
          <cell r="G2186" t="str">
            <v>The leg  - Chân</v>
          </cell>
          <cell r="H2186" t="str">
            <v>Wood laminate</v>
          </cell>
          <cell r="I2186">
            <v>56</v>
          </cell>
        </row>
        <row r="2187">
          <cell r="A2187" t="str">
            <v>B557793/A</v>
          </cell>
          <cell r="B2187" t="str">
            <v>CZ067M09</v>
          </cell>
          <cell r="C2187">
            <v>14</v>
          </cell>
          <cell r="D2187">
            <v>278.36</v>
          </cell>
          <cell r="E2187">
            <v>3897.04</v>
          </cell>
          <cell r="F2187" t="str">
            <v>P02</v>
          </cell>
          <cell r="G2187" t="str">
            <v>Top rail - Đố nóc</v>
          </cell>
          <cell r="H2187" t="str">
            <v>Wood US Poplar - Straight Edged, 2 COM - T38mm x W100mm Up x L1.8m Up</v>
          </cell>
          <cell r="I2187">
            <v>112</v>
          </cell>
        </row>
        <row r="2188">
          <cell r="A2188" t="str">
            <v>B557793/A</v>
          </cell>
          <cell r="B2188" t="str">
            <v>CZ067M09</v>
          </cell>
          <cell r="C2188">
            <v>14</v>
          </cell>
          <cell r="D2188">
            <v>278.36</v>
          </cell>
          <cell r="E2188">
            <v>3897.04</v>
          </cell>
          <cell r="F2188" t="str">
            <v>P03</v>
          </cell>
          <cell r="G2188" t="str">
            <v xml:space="preserve">Top panel  - Ván nóc </v>
          </cell>
          <cell r="H2188" t="str">
            <v>MDF - 15 x 1830 x 2440mm [CARB P2 Compliant]</v>
          </cell>
          <cell r="I2188">
            <v>14</v>
          </cell>
        </row>
        <row r="2189">
          <cell r="A2189" t="str">
            <v>B557793/A</v>
          </cell>
          <cell r="B2189" t="str">
            <v>CZ067M09</v>
          </cell>
          <cell r="C2189">
            <v>14</v>
          </cell>
          <cell r="D2189">
            <v>278.36</v>
          </cell>
          <cell r="E2189">
            <v>3897.04</v>
          </cell>
          <cell r="F2189" t="str">
            <v>P04</v>
          </cell>
          <cell r="G2189" t="str">
            <v>Bottom panel - Ván đáy</v>
          </cell>
          <cell r="H2189" t="str">
            <v>MDF - 15 x 1830 x 2440mm [CARB P2 Compliant]</v>
          </cell>
          <cell r="I2189">
            <v>14</v>
          </cell>
        </row>
        <row r="2190">
          <cell r="A2190" t="str">
            <v>B557793/A</v>
          </cell>
          <cell r="B2190" t="str">
            <v>CZ067M09</v>
          </cell>
          <cell r="C2190">
            <v>14</v>
          </cell>
          <cell r="D2190">
            <v>278.36</v>
          </cell>
          <cell r="E2190">
            <v>3897.04</v>
          </cell>
          <cell r="F2190" t="str">
            <v>P05</v>
          </cell>
          <cell r="G2190" t="str">
            <v>Bottom panel - Ván đáy</v>
          </cell>
          <cell r="H2190" t="str">
            <v>MDF Veneer</v>
          </cell>
          <cell r="I2190">
            <v>28</v>
          </cell>
        </row>
        <row r="2191">
          <cell r="A2191" t="str">
            <v>B557793/A</v>
          </cell>
          <cell r="B2191" t="str">
            <v>CZ067M09</v>
          </cell>
          <cell r="C2191">
            <v>14</v>
          </cell>
          <cell r="D2191">
            <v>278.36</v>
          </cell>
          <cell r="E2191">
            <v>3897.04</v>
          </cell>
          <cell r="F2191" t="str">
            <v>P06</v>
          </cell>
          <cell r="G2191" t="str">
            <v>Patching wood - Gỗ đắp</v>
          </cell>
          <cell r="H2191" t="str">
            <v>MDF OFF CUT</v>
          </cell>
          <cell r="I2191">
            <v>28</v>
          </cell>
        </row>
        <row r="2192">
          <cell r="A2192" t="str">
            <v>B556604/A</v>
          </cell>
          <cell r="B2192" t="str">
            <v>CZ067M191</v>
          </cell>
          <cell r="C2192">
            <v>1</v>
          </cell>
          <cell r="D2192">
            <v>278.36</v>
          </cell>
          <cell r="E2192">
            <v>278.36</v>
          </cell>
          <cell r="F2192" t="str">
            <v>P01</v>
          </cell>
          <cell r="G2192" t="str">
            <v>The leg  - Chân</v>
          </cell>
          <cell r="H2192" t="str">
            <v>Wood laminate</v>
          </cell>
          <cell r="I2192">
            <v>4</v>
          </cell>
        </row>
        <row r="2193">
          <cell r="A2193" t="str">
            <v>B556604/A</v>
          </cell>
          <cell r="B2193" t="str">
            <v>CZ067M191</v>
          </cell>
          <cell r="C2193">
            <v>1</v>
          </cell>
          <cell r="D2193">
            <v>278.36</v>
          </cell>
          <cell r="E2193">
            <v>278.36</v>
          </cell>
          <cell r="F2193" t="str">
            <v>P02</v>
          </cell>
          <cell r="G2193" t="str">
            <v>Top rail - Đố nóc</v>
          </cell>
          <cell r="H2193" t="str">
            <v>Wood US Poplar - Straight Edged, 2 COM - T38mm x W100mm Up x L1.8m Up</v>
          </cell>
          <cell r="I2193">
            <v>8</v>
          </cell>
        </row>
        <row r="2194">
          <cell r="A2194" t="str">
            <v>B556604/A</v>
          </cell>
          <cell r="B2194" t="str">
            <v>CZ067M191</v>
          </cell>
          <cell r="C2194">
            <v>1</v>
          </cell>
          <cell r="D2194">
            <v>278.36</v>
          </cell>
          <cell r="E2194">
            <v>278.36</v>
          </cell>
          <cell r="F2194" t="str">
            <v>P03</v>
          </cell>
          <cell r="G2194" t="str">
            <v xml:space="preserve">Top panel  - Ván nóc </v>
          </cell>
          <cell r="H2194" t="str">
            <v>MDF - 15 x 1830 x 2440mm [CARB P2 Compliant]</v>
          </cell>
          <cell r="I2194">
            <v>1</v>
          </cell>
        </row>
        <row r="2195">
          <cell r="A2195" t="str">
            <v>B556604/A</v>
          </cell>
          <cell r="B2195" t="str">
            <v>CZ067M191</v>
          </cell>
          <cell r="C2195">
            <v>1</v>
          </cell>
          <cell r="D2195">
            <v>278.36</v>
          </cell>
          <cell r="E2195">
            <v>278.36</v>
          </cell>
          <cell r="F2195" t="str">
            <v>P04</v>
          </cell>
          <cell r="G2195" t="str">
            <v>Bottom panel - Ván đáy</v>
          </cell>
          <cell r="H2195" t="str">
            <v>MDF - 15 x 1830 x 2440mm [CARB P2 Compliant]</v>
          </cell>
          <cell r="I2195">
            <v>1</v>
          </cell>
        </row>
        <row r="2196">
          <cell r="A2196" t="str">
            <v>B556604/A</v>
          </cell>
          <cell r="B2196" t="str">
            <v>CZ067M191</v>
          </cell>
          <cell r="C2196">
            <v>1</v>
          </cell>
          <cell r="D2196">
            <v>278.36</v>
          </cell>
          <cell r="E2196">
            <v>278.36</v>
          </cell>
          <cell r="F2196" t="str">
            <v>P05</v>
          </cell>
          <cell r="G2196" t="str">
            <v>Bottom panel - Ván đáy</v>
          </cell>
          <cell r="H2196" t="str">
            <v>MDF Veneer</v>
          </cell>
          <cell r="I2196">
            <v>2</v>
          </cell>
        </row>
        <row r="2197">
          <cell r="A2197" t="str">
            <v>B556604/A</v>
          </cell>
          <cell r="B2197" t="str">
            <v>CZ067M191</v>
          </cell>
          <cell r="C2197">
            <v>1</v>
          </cell>
          <cell r="D2197">
            <v>278.36</v>
          </cell>
          <cell r="E2197">
            <v>278.36</v>
          </cell>
          <cell r="F2197" t="str">
            <v>P06</v>
          </cell>
          <cell r="G2197" t="str">
            <v>Patching wood - Gỗ đắp</v>
          </cell>
          <cell r="H2197" t="str">
            <v>MDF OFF CUT</v>
          </cell>
          <cell r="I2197">
            <v>2</v>
          </cell>
        </row>
        <row r="2198">
          <cell r="A2198" t="str">
            <v>B557795/A</v>
          </cell>
          <cell r="B2198" t="str">
            <v>CZ067M191</v>
          </cell>
          <cell r="C2198">
            <v>1</v>
          </cell>
          <cell r="D2198">
            <v>278.36</v>
          </cell>
          <cell r="E2198">
            <v>278.36</v>
          </cell>
          <cell r="F2198" t="str">
            <v>P01</v>
          </cell>
          <cell r="G2198" t="str">
            <v>The leg  - Chân</v>
          </cell>
          <cell r="H2198" t="str">
            <v>Wood laminate</v>
          </cell>
          <cell r="I2198">
            <v>4</v>
          </cell>
        </row>
        <row r="2199">
          <cell r="A2199" t="str">
            <v>B557795/A</v>
          </cell>
          <cell r="B2199" t="str">
            <v>CZ067M191</v>
          </cell>
          <cell r="C2199">
            <v>1</v>
          </cell>
          <cell r="D2199">
            <v>278.36</v>
          </cell>
          <cell r="E2199">
            <v>278.36</v>
          </cell>
          <cell r="F2199" t="str">
            <v>P02</v>
          </cell>
          <cell r="G2199" t="str">
            <v>Top rail - Đố nóc</v>
          </cell>
          <cell r="H2199" t="str">
            <v>Wood US Poplar - Straight Edged, 2 COM - T38mm x W100mm Up x L1.8m Up</v>
          </cell>
          <cell r="I2199">
            <v>8</v>
          </cell>
        </row>
        <row r="2200">
          <cell r="A2200" t="str">
            <v>B557795/A</v>
          </cell>
          <cell r="B2200" t="str">
            <v>CZ067M191</v>
          </cell>
          <cell r="C2200">
            <v>1</v>
          </cell>
          <cell r="D2200">
            <v>278.36</v>
          </cell>
          <cell r="E2200">
            <v>278.36</v>
          </cell>
          <cell r="F2200" t="str">
            <v>P03</v>
          </cell>
          <cell r="G2200" t="str">
            <v xml:space="preserve">Top panel  - Ván nóc </v>
          </cell>
          <cell r="H2200" t="str">
            <v>MDF - 15 x 1830 x 2440mm [CARB P2 Compliant]</v>
          </cell>
          <cell r="I2200">
            <v>1</v>
          </cell>
        </row>
        <row r="2201">
          <cell r="A2201" t="str">
            <v>B557795/A</v>
          </cell>
          <cell r="B2201" t="str">
            <v>CZ067M191</v>
          </cell>
          <cell r="C2201">
            <v>1</v>
          </cell>
          <cell r="D2201">
            <v>278.36</v>
          </cell>
          <cell r="E2201">
            <v>278.36</v>
          </cell>
          <cell r="F2201" t="str">
            <v>P04</v>
          </cell>
          <cell r="G2201" t="str">
            <v>Bottom panel - Ván đáy</v>
          </cell>
          <cell r="H2201" t="str">
            <v>MDF - 15 x 1830 x 2440mm [CARB P2 Compliant]</v>
          </cell>
          <cell r="I2201">
            <v>1</v>
          </cell>
        </row>
        <row r="2202">
          <cell r="A2202" t="str">
            <v>B557795/A</v>
          </cell>
          <cell r="B2202" t="str">
            <v>CZ067M191</v>
          </cell>
          <cell r="C2202">
            <v>1</v>
          </cell>
          <cell r="D2202">
            <v>278.36</v>
          </cell>
          <cell r="E2202">
            <v>278.36</v>
          </cell>
          <cell r="F2202" t="str">
            <v>P05</v>
          </cell>
          <cell r="G2202" t="str">
            <v>Bottom panel - Ván đáy</v>
          </cell>
          <cell r="H2202" t="str">
            <v>MDF Veneer</v>
          </cell>
          <cell r="I2202">
            <v>2</v>
          </cell>
        </row>
        <row r="2203">
          <cell r="A2203" t="str">
            <v>B557795/A</v>
          </cell>
          <cell r="B2203" t="str">
            <v>CZ067M191</v>
          </cell>
          <cell r="C2203">
            <v>1</v>
          </cell>
          <cell r="D2203">
            <v>278.36</v>
          </cell>
          <cell r="E2203">
            <v>278.36</v>
          </cell>
          <cell r="F2203" t="str">
            <v>P06</v>
          </cell>
          <cell r="G2203" t="str">
            <v>Patching wood - Gỗ đắp</v>
          </cell>
          <cell r="H2203" t="str">
            <v>MDF OFF CUT</v>
          </cell>
          <cell r="I2203">
            <v>2</v>
          </cell>
        </row>
        <row r="2204">
          <cell r="A2204" t="str">
            <v>B557798/A</v>
          </cell>
          <cell r="B2204" t="str">
            <v>CZ069M08</v>
          </cell>
          <cell r="C2204">
            <v>10</v>
          </cell>
          <cell r="D2204">
            <v>544.11</v>
          </cell>
          <cell r="E2204">
            <v>5441.1</v>
          </cell>
          <cell r="F2204" t="str">
            <v>A1-S1</v>
          </cell>
          <cell r="G2204" t="str">
            <v>Front Vertical rail  - Trụ tiền</v>
          </cell>
          <cell r="H2204" t="str">
            <v>Wood laminate</v>
          </cell>
          <cell r="I2204">
            <v>20</v>
          </cell>
        </row>
        <row r="2205">
          <cell r="A2205" t="str">
            <v>B557798/A</v>
          </cell>
          <cell r="B2205" t="str">
            <v>CZ069M08</v>
          </cell>
          <cell r="C2205">
            <v>10</v>
          </cell>
          <cell r="D2205">
            <v>544.11</v>
          </cell>
          <cell r="E2205">
            <v>5441.1</v>
          </cell>
          <cell r="F2205" t="str">
            <v>A1-S2</v>
          </cell>
          <cell r="G2205" t="str">
            <v>Back Vertical rail - Trụ hậu</v>
          </cell>
          <cell r="H2205" t="str">
            <v>Wood laminate</v>
          </cell>
          <cell r="I2205">
            <v>20</v>
          </cell>
        </row>
        <row r="2206">
          <cell r="A2206" t="str">
            <v>B557798/A</v>
          </cell>
          <cell r="B2206" t="str">
            <v>CZ069M08</v>
          </cell>
          <cell r="C2206">
            <v>10</v>
          </cell>
          <cell r="D2206">
            <v>544.11</v>
          </cell>
          <cell r="E2206">
            <v>5441.1</v>
          </cell>
          <cell r="F2206" t="str">
            <v>A1-S3</v>
          </cell>
          <cell r="G2206" t="str">
            <v xml:space="preserve">Side panel  - Ván hông </v>
          </cell>
          <cell r="H2206" t="str">
            <v>MDF - 15 x 1830 x 2440mm [CARB P2 Compliant]</v>
          </cell>
          <cell r="I2206">
            <v>20</v>
          </cell>
        </row>
        <row r="2207">
          <cell r="A2207" t="str">
            <v>B557798/A</v>
          </cell>
          <cell r="B2207" t="str">
            <v>CZ069M08</v>
          </cell>
          <cell r="C2207">
            <v>10</v>
          </cell>
          <cell r="D2207">
            <v>544.11</v>
          </cell>
          <cell r="E2207">
            <v>5441.1</v>
          </cell>
          <cell r="F2207" t="str">
            <v>A1-S5</v>
          </cell>
          <cell r="G2207" t="str">
            <v xml:space="preserve">Side rail  - Đố hông </v>
          </cell>
          <cell r="H2207" t="str">
            <v>Wood US Poplar - Straight Edged, 2 COM - T38mm x W100mm Up x L1.8m Up</v>
          </cell>
          <cell r="I2207">
            <v>20</v>
          </cell>
        </row>
        <row r="2208">
          <cell r="A2208" t="str">
            <v>B557798/A</v>
          </cell>
          <cell r="B2208" t="str">
            <v>CZ069M08</v>
          </cell>
          <cell r="C2208">
            <v>10</v>
          </cell>
          <cell r="D2208">
            <v>544.11</v>
          </cell>
          <cell r="E2208">
            <v>5441.1</v>
          </cell>
          <cell r="F2208" t="str">
            <v>A3-S1</v>
          </cell>
          <cell r="G2208" t="str">
            <v xml:space="preserve">Drawer front - Mặt hộc kéo </v>
          </cell>
          <cell r="H2208" t="str">
            <v>Wood US Poplar - Straight Edged, 2 COM - T25mm x W100mm Up x L1.8m Up</v>
          </cell>
          <cell r="I2208">
            <v>30</v>
          </cell>
        </row>
        <row r="2209">
          <cell r="A2209" t="str">
            <v>B557798/A</v>
          </cell>
          <cell r="B2209" t="str">
            <v>CZ069M08</v>
          </cell>
          <cell r="C2209">
            <v>10</v>
          </cell>
          <cell r="D2209">
            <v>544.11</v>
          </cell>
          <cell r="E2209">
            <v>5441.1</v>
          </cell>
          <cell r="F2209" t="str">
            <v>A3-S2</v>
          </cell>
          <cell r="G2209" t="str">
            <v>Drawer side - Hông hộc kéo</v>
          </cell>
          <cell r="H2209" t="str">
            <v>Wood US Poplar - Straight Edged, 2 COM - T38mm x W100mm Up x L1.8m Up</v>
          </cell>
          <cell r="I2209">
            <v>60</v>
          </cell>
        </row>
        <row r="2210">
          <cell r="A2210" t="str">
            <v>B557798/A</v>
          </cell>
          <cell r="B2210" t="str">
            <v>CZ069M08</v>
          </cell>
          <cell r="C2210">
            <v>10</v>
          </cell>
          <cell r="D2210">
            <v>544.11</v>
          </cell>
          <cell r="E2210">
            <v>5441.1</v>
          </cell>
          <cell r="F2210" t="str">
            <v>A3-S3</v>
          </cell>
          <cell r="G2210" t="str">
            <v>Drawer back - Hậu hộc kéo</v>
          </cell>
          <cell r="H2210" t="str">
            <v>Wood US Poplar - Straight Edged, 2 COM - T38mm x W100mm Up x L1.8m Up</v>
          </cell>
          <cell r="I2210">
            <v>30</v>
          </cell>
        </row>
        <row r="2211">
          <cell r="A2211" t="str">
            <v>B557798/A</v>
          </cell>
          <cell r="B2211" t="str">
            <v>CZ069M08</v>
          </cell>
          <cell r="C2211">
            <v>10</v>
          </cell>
          <cell r="D2211">
            <v>544.11</v>
          </cell>
          <cell r="E2211">
            <v>5441.1</v>
          </cell>
          <cell r="F2211" t="str">
            <v>A3-S4</v>
          </cell>
          <cell r="G2211" t="str">
            <v>Drawer bottom  - Đáy hộc kéo</v>
          </cell>
          <cell r="H2211" t="str">
            <v>MDF - 06 x 1220 x 2440mm, Veneer Okoume 0.3mm Both Faces [CARB P2 Compliant]</v>
          </cell>
          <cell r="I2211">
            <v>30</v>
          </cell>
        </row>
        <row r="2212">
          <cell r="A2212" t="str">
            <v>B557798/A</v>
          </cell>
          <cell r="B2212" t="str">
            <v>CZ069M08</v>
          </cell>
          <cell r="C2212">
            <v>10</v>
          </cell>
          <cell r="D2212">
            <v>544.11</v>
          </cell>
          <cell r="E2212">
            <v>5441.1</v>
          </cell>
          <cell r="F2212" t="str">
            <v>A3-S6</v>
          </cell>
          <cell r="G2212" t="str">
            <v>Patching wood - Gỗ đắp</v>
          </cell>
          <cell r="H2212" t="str">
            <v>Wood US Poplar - Straight Edged, 2 COM - T38mm x W100mm Up x L1.8m Up</v>
          </cell>
          <cell r="I2212">
            <v>60</v>
          </cell>
        </row>
        <row r="2213">
          <cell r="A2213" t="str">
            <v>B557798/A</v>
          </cell>
          <cell r="B2213" t="str">
            <v>CZ069M08</v>
          </cell>
          <cell r="C2213">
            <v>10</v>
          </cell>
          <cell r="D2213">
            <v>544.11</v>
          </cell>
          <cell r="E2213">
            <v>5441.1</v>
          </cell>
          <cell r="F2213" t="str">
            <v>P01</v>
          </cell>
          <cell r="G2213" t="str">
            <v>Front Bottom Rail  - Đố đáy trước</v>
          </cell>
          <cell r="H2213" t="str">
            <v>Wood laminate</v>
          </cell>
          <cell r="I2213">
            <v>20</v>
          </cell>
        </row>
        <row r="2214">
          <cell r="A2214" t="str">
            <v>B557798/A</v>
          </cell>
          <cell r="B2214" t="str">
            <v>CZ069M08</v>
          </cell>
          <cell r="C2214">
            <v>10</v>
          </cell>
          <cell r="D2214">
            <v>544.11</v>
          </cell>
          <cell r="E2214">
            <v>5441.1</v>
          </cell>
          <cell r="F2214" t="str">
            <v>P02</v>
          </cell>
          <cell r="G2214" t="str">
            <v>Front top rail  - Đố tiền nóc</v>
          </cell>
          <cell r="H2214" t="str">
            <v>Wood laminate</v>
          </cell>
          <cell r="I2214">
            <v>10</v>
          </cell>
        </row>
        <row r="2215">
          <cell r="A2215" t="str">
            <v>B557798/A</v>
          </cell>
          <cell r="B2215" t="str">
            <v>CZ069M08</v>
          </cell>
          <cell r="C2215">
            <v>10</v>
          </cell>
          <cell r="D2215">
            <v>544.11</v>
          </cell>
          <cell r="E2215">
            <v>5441.1</v>
          </cell>
          <cell r="F2215" t="str">
            <v>P03</v>
          </cell>
          <cell r="G2215" t="str">
            <v xml:space="preserve">Top panel  - Ván nóc </v>
          </cell>
          <cell r="H2215" t="str">
            <v>MDF - 12 x 1830 x 2440mm [CARB P2 Compliant]</v>
          </cell>
          <cell r="I2215">
            <v>10</v>
          </cell>
        </row>
        <row r="2216">
          <cell r="A2216" t="str">
            <v>B557798/A</v>
          </cell>
          <cell r="B2216" t="str">
            <v>CZ069M08</v>
          </cell>
          <cell r="C2216">
            <v>10</v>
          </cell>
          <cell r="D2216">
            <v>544.11</v>
          </cell>
          <cell r="E2216">
            <v>5441.1</v>
          </cell>
          <cell r="F2216" t="str">
            <v>P04-1</v>
          </cell>
          <cell r="G2216" t="str">
            <v>Corner block - ke góc</v>
          </cell>
          <cell r="H2216" t="str">
            <v>Poplar off cut</v>
          </cell>
          <cell r="I2216">
            <v>20</v>
          </cell>
        </row>
        <row r="2217">
          <cell r="A2217" t="str">
            <v>B557798/A</v>
          </cell>
          <cell r="B2217" t="str">
            <v>CZ069M08</v>
          </cell>
          <cell r="C2217">
            <v>10</v>
          </cell>
          <cell r="D2217">
            <v>544.11</v>
          </cell>
          <cell r="E2217">
            <v>5441.1</v>
          </cell>
          <cell r="F2217" t="str">
            <v>P04-2</v>
          </cell>
          <cell r="G2217" t="str">
            <v>Corner block - ke góc</v>
          </cell>
          <cell r="H2217" t="str">
            <v>Poplar off cut</v>
          </cell>
          <cell r="I2217">
            <v>20</v>
          </cell>
        </row>
        <row r="2218">
          <cell r="A2218" t="str">
            <v>B557798/A</v>
          </cell>
          <cell r="B2218" t="str">
            <v>CZ069M08</v>
          </cell>
          <cell r="C2218">
            <v>10</v>
          </cell>
          <cell r="D2218">
            <v>544.11</v>
          </cell>
          <cell r="E2218">
            <v>5441.1</v>
          </cell>
          <cell r="F2218" t="str">
            <v>P04-3</v>
          </cell>
          <cell r="G2218" t="str">
            <v>Corner block - ke góc</v>
          </cell>
          <cell r="H2218" t="str">
            <v>Poplar off cut</v>
          </cell>
          <cell r="I2218">
            <v>40</v>
          </cell>
        </row>
        <row r="2219">
          <cell r="A2219" t="str">
            <v>B557798/A</v>
          </cell>
          <cell r="B2219" t="str">
            <v>CZ069M08</v>
          </cell>
          <cell r="C2219">
            <v>10</v>
          </cell>
          <cell r="D2219">
            <v>544.11</v>
          </cell>
          <cell r="E2219">
            <v>5441.1</v>
          </cell>
          <cell r="F2219" t="str">
            <v>P05</v>
          </cell>
          <cell r="G2219" t="str">
            <v>Partition panel - Vách ngăn</v>
          </cell>
          <cell r="H2219" t="str">
            <v>Wood US Poplar - Straight Edged, 2 COM - T25mm x W100mm Up x L1.8m Up</v>
          </cell>
          <cell r="I2219">
            <v>20</v>
          </cell>
        </row>
        <row r="2220">
          <cell r="A2220" t="str">
            <v>B557798/A</v>
          </cell>
          <cell r="B2220" t="str">
            <v>CZ069M08</v>
          </cell>
          <cell r="C2220">
            <v>10</v>
          </cell>
          <cell r="D2220">
            <v>544.11</v>
          </cell>
          <cell r="E2220">
            <v>5441.1</v>
          </cell>
          <cell r="F2220" t="str">
            <v>P06</v>
          </cell>
          <cell r="G2220" t="str">
            <v>Bottom panel - Ván đáy</v>
          </cell>
          <cell r="H2220" t="str">
            <v>MDF Veneer</v>
          </cell>
          <cell r="I2220">
            <v>10</v>
          </cell>
        </row>
        <row r="2221">
          <cell r="A2221" t="str">
            <v>B557798/A</v>
          </cell>
          <cell r="B2221" t="str">
            <v>CZ069M08</v>
          </cell>
          <cell r="C2221">
            <v>10</v>
          </cell>
          <cell r="D2221">
            <v>544.11</v>
          </cell>
          <cell r="E2221">
            <v>5441.1</v>
          </cell>
          <cell r="F2221" t="str">
            <v>P07</v>
          </cell>
          <cell r="G2221" t="str">
            <v>Patching wood - Gỗ đắp</v>
          </cell>
          <cell r="H2221" t="str">
            <v>Wood US Poplar - Straight Edged, 2 COM - T38mm x W100mm Up x L1.8m Up</v>
          </cell>
          <cell r="I2221">
            <v>20</v>
          </cell>
        </row>
        <row r="2222">
          <cell r="A2222" t="str">
            <v>B557798/A</v>
          </cell>
          <cell r="B2222" t="str">
            <v>CZ069M08</v>
          </cell>
          <cell r="C2222">
            <v>10</v>
          </cell>
          <cell r="D2222">
            <v>544.11</v>
          </cell>
          <cell r="E2222">
            <v>5441.1</v>
          </cell>
          <cell r="F2222" t="str">
            <v>P09</v>
          </cell>
          <cell r="G2222" t="str">
            <v>Back panel - Ván hậu</v>
          </cell>
          <cell r="H2222" t="str">
            <v>MDF - 15 x 1830 x 2440mm [CARB P2 Compliant]</v>
          </cell>
          <cell r="I2222">
            <v>10</v>
          </cell>
        </row>
        <row r="2223">
          <cell r="A2223" t="str">
            <v>B557798/A</v>
          </cell>
          <cell r="B2223" t="str">
            <v>CZ069M08</v>
          </cell>
          <cell r="C2223">
            <v>10</v>
          </cell>
          <cell r="D2223">
            <v>544.11</v>
          </cell>
          <cell r="E2223">
            <v>5441.1</v>
          </cell>
          <cell r="F2223" t="str">
            <v>P10</v>
          </cell>
          <cell r="G2223" t="str">
            <v>Center bottom rail - Đố đáy giữa</v>
          </cell>
          <cell r="H2223" t="str">
            <v>Wood US Poplar - Straight Edged, 2 COM - T38mm x W100mm Up x L1.8m Up</v>
          </cell>
          <cell r="I2223">
            <v>20</v>
          </cell>
        </row>
        <row r="2224">
          <cell r="A2224" t="str">
            <v>B557798/A</v>
          </cell>
          <cell r="B2224" t="str">
            <v>CZ069M08</v>
          </cell>
          <cell r="C2224">
            <v>10</v>
          </cell>
          <cell r="D2224">
            <v>544.11</v>
          </cell>
          <cell r="E2224">
            <v>5441.1</v>
          </cell>
          <cell r="F2224" t="str">
            <v>P11</v>
          </cell>
          <cell r="G2224" t="str">
            <v>Bottom panel - Ván đáy</v>
          </cell>
          <cell r="H2224" t="str">
            <v>MDF - 12 x 1830 x 2440mm [CARB P2 Compliant]</v>
          </cell>
          <cell r="I2224">
            <v>10</v>
          </cell>
        </row>
        <row r="2225">
          <cell r="A2225" t="str">
            <v>B557798/A</v>
          </cell>
          <cell r="B2225" t="str">
            <v>CZ069M08</v>
          </cell>
          <cell r="C2225">
            <v>10</v>
          </cell>
          <cell r="D2225">
            <v>544.11</v>
          </cell>
          <cell r="E2225">
            <v>5441.1</v>
          </cell>
          <cell r="F2225" t="str">
            <v>P12</v>
          </cell>
          <cell r="G2225" t="str">
            <v>Drawer stop - Dừng hộc</v>
          </cell>
          <cell r="H2225" t="str">
            <v>Poplar off cut</v>
          </cell>
          <cell r="I2225">
            <v>60</v>
          </cell>
        </row>
        <row r="2226">
          <cell r="A2226" t="str">
            <v>B557799/A</v>
          </cell>
          <cell r="B2226" t="str">
            <v>CZ069M08</v>
          </cell>
          <cell r="C2226">
            <v>11</v>
          </cell>
          <cell r="D2226">
            <v>544.11</v>
          </cell>
          <cell r="E2226">
            <v>5985.21</v>
          </cell>
          <cell r="F2226" t="str">
            <v>A1-S1</v>
          </cell>
          <cell r="G2226" t="str">
            <v>Front Vertical rail  - Trụ tiền</v>
          </cell>
          <cell r="H2226" t="str">
            <v>Wood laminate</v>
          </cell>
          <cell r="I2226">
            <v>22</v>
          </cell>
        </row>
        <row r="2227">
          <cell r="A2227" t="str">
            <v>B557799/A</v>
          </cell>
          <cell r="B2227" t="str">
            <v>CZ069M08</v>
          </cell>
          <cell r="C2227">
            <v>11</v>
          </cell>
          <cell r="D2227">
            <v>544.11</v>
          </cell>
          <cell r="E2227">
            <v>5985.21</v>
          </cell>
          <cell r="F2227" t="str">
            <v>A1-S2</v>
          </cell>
          <cell r="G2227" t="str">
            <v>Back Vertical rail - Trụ hậu</v>
          </cell>
          <cell r="H2227" t="str">
            <v>Wood laminate</v>
          </cell>
          <cell r="I2227">
            <v>22</v>
          </cell>
        </row>
        <row r="2228">
          <cell r="A2228" t="str">
            <v>B557799/A</v>
          </cell>
          <cell r="B2228" t="str">
            <v>CZ069M08</v>
          </cell>
          <cell r="C2228">
            <v>11</v>
          </cell>
          <cell r="D2228">
            <v>544.11</v>
          </cell>
          <cell r="E2228">
            <v>5985.21</v>
          </cell>
          <cell r="F2228" t="str">
            <v>A1-S3</v>
          </cell>
          <cell r="G2228" t="str">
            <v xml:space="preserve">Side panel  - Ván hông </v>
          </cell>
          <cell r="H2228" t="str">
            <v>MDF - 15 x 1830 x 2440mm [CARB P2 Compliant]</v>
          </cell>
          <cell r="I2228">
            <v>22</v>
          </cell>
        </row>
        <row r="2229">
          <cell r="A2229" t="str">
            <v>B557799/A</v>
          </cell>
          <cell r="B2229" t="str">
            <v>CZ069M08</v>
          </cell>
          <cell r="C2229">
            <v>11</v>
          </cell>
          <cell r="D2229">
            <v>544.11</v>
          </cell>
          <cell r="E2229">
            <v>5985.21</v>
          </cell>
          <cell r="F2229" t="str">
            <v>A1-S5</v>
          </cell>
          <cell r="G2229" t="str">
            <v xml:space="preserve">Side rail  - Đố hông </v>
          </cell>
          <cell r="H2229" t="str">
            <v>Wood US Poplar - Straight Edged, 2 COM - T38mm x W100mm Up x L1.8m Up</v>
          </cell>
          <cell r="I2229">
            <v>22</v>
          </cell>
        </row>
        <row r="2230">
          <cell r="A2230" t="str">
            <v>B557799/A</v>
          </cell>
          <cell r="B2230" t="str">
            <v>CZ069M08</v>
          </cell>
          <cell r="C2230">
            <v>11</v>
          </cell>
          <cell r="D2230">
            <v>544.11</v>
          </cell>
          <cell r="E2230">
            <v>5985.21</v>
          </cell>
          <cell r="F2230" t="str">
            <v>A3-S1</v>
          </cell>
          <cell r="G2230" t="str">
            <v xml:space="preserve">Drawer front - Mặt hộc kéo </v>
          </cell>
          <cell r="H2230" t="str">
            <v>Wood US Poplar - Straight Edged, 2 COM - T25mm x W100mm Up x L1.8m Up</v>
          </cell>
          <cell r="I2230">
            <v>33</v>
          </cell>
        </row>
        <row r="2231">
          <cell r="A2231" t="str">
            <v>B557799/A</v>
          </cell>
          <cell r="B2231" t="str">
            <v>CZ069M08</v>
          </cell>
          <cell r="C2231">
            <v>11</v>
          </cell>
          <cell r="D2231">
            <v>544.11</v>
          </cell>
          <cell r="E2231">
            <v>5985.21</v>
          </cell>
          <cell r="F2231" t="str">
            <v>A3-S2</v>
          </cell>
          <cell r="G2231" t="str">
            <v>Drawer side - Hông hộc kéo</v>
          </cell>
          <cell r="H2231" t="str">
            <v>Wood US Poplar - Straight Edged, 2 COM - T38mm x W100mm Up x L1.8m Up</v>
          </cell>
          <cell r="I2231">
            <v>66</v>
          </cell>
        </row>
        <row r="2232">
          <cell r="A2232" t="str">
            <v>B557799/A</v>
          </cell>
          <cell r="B2232" t="str">
            <v>CZ069M08</v>
          </cell>
          <cell r="C2232">
            <v>11</v>
          </cell>
          <cell r="D2232">
            <v>544.11</v>
          </cell>
          <cell r="E2232">
            <v>5985.21</v>
          </cell>
          <cell r="F2232" t="str">
            <v>A3-S3</v>
          </cell>
          <cell r="G2232" t="str">
            <v>Drawer back - Hậu hộc kéo</v>
          </cell>
          <cell r="H2232" t="str">
            <v>Wood US Poplar - Straight Edged, 2 COM - T38mm x W100mm Up x L1.8m Up</v>
          </cell>
          <cell r="I2232">
            <v>33</v>
          </cell>
        </row>
        <row r="2233">
          <cell r="A2233" t="str">
            <v>B557799/A</v>
          </cell>
          <cell r="B2233" t="str">
            <v>CZ069M08</v>
          </cell>
          <cell r="C2233">
            <v>11</v>
          </cell>
          <cell r="D2233">
            <v>544.11</v>
          </cell>
          <cell r="E2233">
            <v>5985.21</v>
          </cell>
          <cell r="F2233" t="str">
            <v>A3-S4</v>
          </cell>
          <cell r="G2233" t="str">
            <v>Drawer bottom  - Đáy hộc kéo</v>
          </cell>
          <cell r="H2233" t="str">
            <v>MDF - 06 x 1220 x 2440mm, Veneer Okoume 0.3mm Both Faces [CARB P2 Compliant]</v>
          </cell>
          <cell r="I2233">
            <v>33</v>
          </cell>
        </row>
        <row r="2234">
          <cell r="A2234" t="str">
            <v>B557799/A</v>
          </cell>
          <cell r="B2234" t="str">
            <v>CZ069M08</v>
          </cell>
          <cell r="C2234">
            <v>11</v>
          </cell>
          <cell r="D2234">
            <v>544.11</v>
          </cell>
          <cell r="E2234">
            <v>5985.21</v>
          </cell>
          <cell r="F2234" t="str">
            <v>A3-S6</v>
          </cell>
          <cell r="G2234" t="str">
            <v>Patching wood - Gỗ đắp</v>
          </cell>
          <cell r="H2234" t="str">
            <v>Wood US Poplar - Straight Edged, 2 COM - T38mm x W100mm Up x L1.8m Up</v>
          </cell>
          <cell r="I2234">
            <v>66</v>
          </cell>
        </row>
        <row r="2235">
          <cell r="A2235" t="str">
            <v>B557799/A</v>
          </cell>
          <cell r="B2235" t="str">
            <v>CZ069M08</v>
          </cell>
          <cell r="C2235">
            <v>11</v>
          </cell>
          <cell r="D2235">
            <v>544.11</v>
          </cell>
          <cell r="E2235">
            <v>5985.21</v>
          </cell>
          <cell r="F2235" t="str">
            <v>P01</v>
          </cell>
          <cell r="G2235" t="str">
            <v>Front Bottom Rail  - Đố đáy trước</v>
          </cell>
          <cell r="H2235" t="str">
            <v>Wood laminate</v>
          </cell>
          <cell r="I2235">
            <v>22</v>
          </cell>
        </row>
        <row r="2236">
          <cell r="A2236" t="str">
            <v>B557799/A</v>
          </cell>
          <cell r="B2236" t="str">
            <v>CZ069M08</v>
          </cell>
          <cell r="C2236">
            <v>11</v>
          </cell>
          <cell r="D2236">
            <v>544.11</v>
          </cell>
          <cell r="E2236">
            <v>5985.21</v>
          </cell>
          <cell r="F2236" t="str">
            <v>P02</v>
          </cell>
          <cell r="G2236" t="str">
            <v>Front top rail  - Đố tiền nóc</v>
          </cell>
          <cell r="H2236" t="str">
            <v>Wood laminate</v>
          </cell>
          <cell r="I2236">
            <v>11</v>
          </cell>
        </row>
        <row r="2237">
          <cell r="A2237" t="str">
            <v>B557799/A</v>
          </cell>
          <cell r="B2237" t="str">
            <v>CZ069M08</v>
          </cell>
          <cell r="C2237">
            <v>11</v>
          </cell>
          <cell r="D2237">
            <v>544.11</v>
          </cell>
          <cell r="E2237">
            <v>5985.21</v>
          </cell>
          <cell r="F2237" t="str">
            <v>P03</v>
          </cell>
          <cell r="G2237" t="str">
            <v xml:space="preserve">Top panel  - Ván nóc </v>
          </cell>
          <cell r="H2237" t="str">
            <v>MDF - 12 x 1830 x 2440mm [CARB P2 Compliant]</v>
          </cell>
          <cell r="I2237">
            <v>11</v>
          </cell>
        </row>
        <row r="2238">
          <cell r="A2238" t="str">
            <v>B557799/A</v>
          </cell>
          <cell r="B2238" t="str">
            <v>CZ069M08</v>
          </cell>
          <cell r="C2238">
            <v>11</v>
          </cell>
          <cell r="D2238">
            <v>544.11</v>
          </cell>
          <cell r="E2238">
            <v>5985.21</v>
          </cell>
          <cell r="F2238" t="str">
            <v>P04-1</v>
          </cell>
          <cell r="G2238" t="str">
            <v>Corner block - ke góc</v>
          </cell>
          <cell r="H2238" t="str">
            <v>Poplar off cut</v>
          </cell>
          <cell r="I2238">
            <v>22</v>
          </cell>
        </row>
        <row r="2239">
          <cell r="A2239" t="str">
            <v>B557799/A</v>
          </cell>
          <cell r="B2239" t="str">
            <v>CZ069M08</v>
          </cell>
          <cell r="C2239">
            <v>11</v>
          </cell>
          <cell r="D2239">
            <v>544.11</v>
          </cell>
          <cell r="E2239">
            <v>5985.21</v>
          </cell>
          <cell r="F2239" t="str">
            <v>P04-2</v>
          </cell>
          <cell r="G2239" t="str">
            <v>Corner block - ke góc</v>
          </cell>
          <cell r="H2239" t="str">
            <v>Poplar off cut</v>
          </cell>
          <cell r="I2239">
            <v>22</v>
          </cell>
        </row>
        <row r="2240">
          <cell r="A2240" t="str">
            <v>B557799/A</v>
          </cell>
          <cell r="B2240" t="str">
            <v>CZ069M08</v>
          </cell>
          <cell r="C2240">
            <v>11</v>
          </cell>
          <cell r="D2240">
            <v>544.11</v>
          </cell>
          <cell r="E2240">
            <v>5985.21</v>
          </cell>
          <cell r="F2240" t="str">
            <v>P04-3</v>
          </cell>
          <cell r="G2240" t="str">
            <v>Corner block - ke góc</v>
          </cell>
          <cell r="H2240" t="str">
            <v>Poplar off cut</v>
          </cell>
          <cell r="I2240">
            <v>44</v>
          </cell>
        </row>
        <row r="2241">
          <cell r="A2241" t="str">
            <v>B557799/A</v>
          </cell>
          <cell r="B2241" t="str">
            <v>CZ069M08</v>
          </cell>
          <cell r="C2241">
            <v>11</v>
          </cell>
          <cell r="D2241">
            <v>544.11</v>
          </cell>
          <cell r="E2241">
            <v>5985.21</v>
          </cell>
          <cell r="F2241" t="str">
            <v>P05</v>
          </cell>
          <cell r="G2241" t="str">
            <v>Partition panel - Vách ngăn</v>
          </cell>
          <cell r="H2241" t="str">
            <v>Wood US Poplar - Straight Edged, 2 COM - T25mm x W100mm Up x L1.8m Up</v>
          </cell>
          <cell r="I2241">
            <v>22</v>
          </cell>
        </row>
        <row r="2242">
          <cell r="A2242" t="str">
            <v>B557799/A</v>
          </cell>
          <cell r="B2242" t="str">
            <v>CZ069M08</v>
          </cell>
          <cell r="C2242">
            <v>11</v>
          </cell>
          <cell r="D2242">
            <v>544.11</v>
          </cell>
          <cell r="E2242">
            <v>5985.21</v>
          </cell>
          <cell r="F2242" t="str">
            <v>P06</v>
          </cell>
          <cell r="G2242" t="str">
            <v>Bottom panel - Ván đáy</v>
          </cell>
          <cell r="H2242" t="str">
            <v>MDF Veneer</v>
          </cell>
          <cell r="I2242">
            <v>11</v>
          </cell>
        </row>
        <row r="2243">
          <cell r="A2243" t="str">
            <v>B557799/A</v>
          </cell>
          <cell r="B2243" t="str">
            <v>CZ069M08</v>
          </cell>
          <cell r="C2243">
            <v>11</v>
          </cell>
          <cell r="D2243">
            <v>544.11</v>
          </cell>
          <cell r="E2243">
            <v>5985.21</v>
          </cell>
          <cell r="F2243" t="str">
            <v>P07</v>
          </cell>
          <cell r="G2243" t="str">
            <v>Patching wood - Gỗ đắp</v>
          </cell>
          <cell r="H2243" t="str">
            <v>Wood US Poplar - Straight Edged, 2 COM - T38mm x W100mm Up x L1.8m Up</v>
          </cell>
          <cell r="I2243">
            <v>22</v>
          </cell>
        </row>
        <row r="2244">
          <cell r="A2244" t="str">
            <v>B557799/A</v>
          </cell>
          <cell r="B2244" t="str">
            <v>CZ069M08</v>
          </cell>
          <cell r="C2244">
            <v>11</v>
          </cell>
          <cell r="D2244">
            <v>544.11</v>
          </cell>
          <cell r="E2244">
            <v>5985.21</v>
          </cell>
          <cell r="F2244" t="str">
            <v>P09</v>
          </cell>
          <cell r="G2244" t="str">
            <v>Back panel - Ván hậu</v>
          </cell>
          <cell r="H2244" t="str">
            <v>MDF - 15 x 1830 x 2440mm [CARB P2 Compliant]</v>
          </cell>
          <cell r="I2244">
            <v>11</v>
          </cell>
        </row>
        <row r="2245">
          <cell r="A2245" t="str">
            <v>B557799/A</v>
          </cell>
          <cell r="B2245" t="str">
            <v>CZ069M08</v>
          </cell>
          <cell r="C2245">
            <v>11</v>
          </cell>
          <cell r="D2245">
            <v>544.11</v>
          </cell>
          <cell r="E2245">
            <v>5985.21</v>
          </cell>
          <cell r="F2245" t="str">
            <v>P10</v>
          </cell>
          <cell r="G2245" t="str">
            <v>Center bottom rail - Đố đáy giữa</v>
          </cell>
          <cell r="H2245" t="str">
            <v>Wood US Poplar - Straight Edged, 2 COM - T38mm x W100mm Up x L1.8m Up</v>
          </cell>
          <cell r="I2245">
            <v>22</v>
          </cell>
        </row>
        <row r="2246">
          <cell r="A2246" t="str">
            <v>B557799/A</v>
          </cell>
          <cell r="B2246" t="str">
            <v>CZ069M08</v>
          </cell>
          <cell r="C2246">
            <v>11</v>
          </cell>
          <cell r="D2246">
            <v>544.11</v>
          </cell>
          <cell r="E2246">
            <v>5985.21</v>
          </cell>
          <cell r="F2246" t="str">
            <v>P11</v>
          </cell>
          <cell r="G2246" t="str">
            <v>Bottom panel - Ván đáy</v>
          </cell>
          <cell r="H2246" t="str">
            <v>MDF - 12 x 1830 x 2440mm [CARB P2 Compliant]</v>
          </cell>
          <cell r="I2246">
            <v>11</v>
          </cell>
        </row>
        <row r="2247">
          <cell r="A2247" t="str">
            <v>B557799/A</v>
          </cell>
          <cell r="B2247" t="str">
            <v>CZ069M08</v>
          </cell>
          <cell r="C2247">
            <v>11</v>
          </cell>
          <cell r="D2247">
            <v>544.11</v>
          </cell>
          <cell r="E2247">
            <v>5985.21</v>
          </cell>
          <cell r="F2247" t="str">
            <v>P12</v>
          </cell>
          <cell r="G2247" t="str">
            <v>Drawer stop - Dừng hộc</v>
          </cell>
          <cell r="H2247" t="str">
            <v>Poplar off cut</v>
          </cell>
          <cell r="I2247">
            <v>66</v>
          </cell>
        </row>
        <row r="2248">
          <cell r="A2248" t="str">
            <v>B557801/A</v>
          </cell>
          <cell r="B2248" t="str">
            <v>CZ069M09</v>
          </cell>
          <cell r="C2248">
            <v>1</v>
          </cell>
          <cell r="D2248">
            <v>544.11</v>
          </cell>
          <cell r="E2248">
            <v>544.11</v>
          </cell>
          <cell r="F2248" t="str">
            <v>A1-S1</v>
          </cell>
          <cell r="G2248" t="str">
            <v>Front Vertical rail  - Trụ tiền</v>
          </cell>
          <cell r="H2248" t="str">
            <v>Wood laminate</v>
          </cell>
          <cell r="I2248">
            <v>2</v>
          </cell>
        </row>
        <row r="2249">
          <cell r="A2249" t="str">
            <v>B557801/A</v>
          </cell>
          <cell r="B2249" t="str">
            <v>CZ069M09</v>
          </cell>
          <cell r="C2249">
            <v>1</v>
          </cell>
          <cell r="D2249">
            <v>544.11</v>
          </cell>
          <cell r="E2249">
            <v>544.11</v>
          </cell>
          <cell r="F2249" t="str">
            <v>A1-S2</v>
          </cell>
          <cell r="G2249" t="str">
            <v>Back Vertical rail - Trụ hậu</v>
          </cell>
          <cell r="H2249" t="str">
            <v>Wood laminate</v>
          </cell>
          <cell r="I2249">
            <v>2</v>
          </cell>
        </row>
        <row r="2250">
          <cell r="A2250" t="str">
            <v>B557801/A</v>
          </cell>
          <cell r="B2250" t="str">
            <v>CZ069M09</v>
          </cell>
          <cell r="C2250">
            <v>1</v>
          </cell>
          <cell r="D2250">
            <v>544.11</v>
          </cell>
          <cell r="E2250">
            <v>544.11</v>
          </cell>
          <cell r="F2250" t="str">
            <v>A1-S3</v>
          </cell>
          <cell r="G2250" t="str">
            <v xml:space="preserve">Side panel  - Ván hông </v>
          </cell>
          <cell r="H2250" t="str">
            <v>MDF - 15 x 1830 x 2440mm [CARB P2 Compliant]</v>
          </cell>
          <cell r="I2250">
            <v>2</v>
          </cell>
        </row>
        <row r="2251">
          <cell r="A2251" t="str">
            <v>B557801/A</v>
          </cell>
          <cell r="B2251" t="str">
            <v>CZ069M09</v>
          </cell>
          <cell r="C2251">
            <v>1</v>
          </cell>
          <cell r="D2251">
            <v>544.11</v>
          </cell>
          <cell r="E2251">
            <v>544.11</v>
          </cell>
          <cell r="F2251" t="str">
            <v>A1-S5</v>
          </cell>
          <cell r="G2251" t="str">
            <v xml:space="preserve">Side rail  - Đố hông </v>
          </cell>
          <cell r="H2251" t="str">
            <v>Wood US Poplar - Straight Edged, 2 COM - T38mm x W100mm Up x L1.8m Up</v>
          </cell>
          <cell r="I2251">
            <v>2</v>
          </cell>
        </row>
        <row r="2252">
          <cell r="A2252" t="str">
            <v>B557801/A</v>
          </cell>
          <cell r="B2252" t="str">
            <v>CZ069M09</v>
          </cell>
          <cell r="C2252">
            <v>1</v>
          </cell>
          <cell r="D2252">
            <v>544.11</v>
          </cell>
          <cell r="E2252">
            <v>544.11</v>
          </cell>
          <cell r="F2252" t="str">
            <v>A3-S1</v>
          </cell>
          <cell r="G2252" t="str">
            <v xml:space="preserve">Drawer front - Mặt hộc kéo </v>
          </cell>
          <cell r="H2252" t="str">
            <v>Wood US Poplar - Straight Edged, 2 COM - T25mm x W100mm Up x L1.8m Up</v>
          </cell>
          <cell r="I2252">
            <v>3</v>
          </cell>
        </row>
        <row r="2253">
          <cell r="A2253" t="str">
            <v>B557801/A</v>
          </cell>
          <cell r="B2253" t="str">
            <v>CZ069M09</v>
          </cell>
          <cell r="C2253">
            <v>1</v>
          </cell>
          <cell r="D2253">
            <v>544.11</v>
          </cell>
          <cell r="E2253">
            <v>544.11</v>
          </cell>
          <cell r="F2253" t="str">
            <v>A3-S2</v>
          </cell>
          <cell r="G2253" t="str">
            <v>Drawer side - Hông hộc kéo</v>
          </cell>
          <cell r="H2253" t="str">
            <v>Wood US Poplar - Straight Edged, 2 COM - T38mm x W100mm Up x L1.8m Up</v>
          </cell>
          <cell r="I2253">
            <v>6</v>
          </cell>
        </row>
        <row r="2254">
          <cell r="A2254" t="str">
            <v>B557801/A</v>
          </cell>
          <cell r="B2254" t="str">
            <v>CZ069M09</v>
          </cell>
          <cell r="C2254">
            <v>1</v>
          </cell>
          <cell r="D2254">
            <v>544.11</v>
          </cell>
          <cell r="E2254">
            <v>544.11</v>
          </cell>
          <cell r="F2254" t="str">
            <v>A3-S3</v>
          </cell>
          <cell r="G2254" t="str">
            <v>Drawer back - Hậu hộc kéo</v>
          </cell>
          <cell r="H2254" t="str">
            <v>Wood US Poplar - Straight Edged, 2 COM - T38mm x W100mm Up x L1.8m Up</v>
          </cell>
          <cell r="I2254">
            <v>3</v>
          </cell>
        </row>
        <row r="2255">
          <cell r="A2255" t="str">
            <v>B557801/A</v>
          </cell>
          <cell r="B2255" t="str">
            <v>CZ069M09</v>
          </cell>
          <cell r="C2255">
            <v>1</v>
          </cell>
          <cell r="D2255">
            <v>544.11</v>
          </cell>
          <cell r="E2255">
            <v>544.11</v>
          </cell>
          <cell r="F2255" t="str">
            <v>A3-S4</v>
          </cell>
          <cell r="G2255" t="str">
            <v>Drawer bottom  - Đáy hộc kéo</v>
          </cell>
          <cell r="H2255" t="str">
            <v>MDF - 06 x 1220 x 2440mm, Veneer Okoume 0.3mm Both Faces [CARB P2 Compliant]</v>
          </cell>
          <cell r="I2255">
            <v>3</v>
          </cell>
        </row>
        <row r="2256">
          <cell r="A2256" t="str">
            <v>B557801/A</v>
          </cell>
          <cell r="B2256" t="str">
            <v>CZ069M09</v>
          </cell>
          <cell r="C2256">
            <v>1</v>
          </cell>
          <cell r="D2256">
            <v>544.11</v>
          </cell>
          <cell r="E2256">
            <v>544.11</v>
          </cell>
          <cell r="F2256" t="str">
            <v>A3-S6</v>
          </cell>
          <cell r="G2256" t="str">
            <v>Patching wood - Gỗ đắp</v>
          </cell>
          <cell r="H2256" t="str">
            <v>Wood US Poplar - Straight Edged, 2 COM - T38mm x W100mm Up x L1.8m Up</v>
          </cell>
          <cell r="I2256">
            <v>6</v>
          </cell>
        </row>
        <row r="2257">
          <cell r="A2257" t="str">
            <v>B557801/A</v>
          </cell>
          <cell r="B2257" t="str">
            <v>CZ069M09</v>
          </cell>
          <cell r="C2257">
            <v>1</v>
          </cell>
          <cell r="D2257">
            <v>544.11</v>
          </cell>
          <cell r="E2257">
            <v>544.11</v>
          </cell>
          <cell r="F2257" t="str">
            <v>P01</v>
          </cell>
          <cell r="G2257" t="str">
            <v>Front Bottom Rail  - Đố đáy trước</v>
          </cell>
          <cell r="H2257" t="str">
            <v>Wood laminate</v>
          </cell>
          <cell r="I2257">
            <v>2</v>
          </cell>
        </row>
        <row r="2258">
          <cell r="A2258" t="str">
            <v>B557801/A</v>
          </cell>
          <cell r="B2258" t="str">
            <v>CZ069M09</v>
          </cell>
          <cell r="C2258">
            <v>1</v>
          </cell>
          <cell r="D2258">
            <v>544.11</v>
          </cell>
          <cell r="E2258">
            <v>544.11</v>
          </cell>
          <cell r="F2258" t="str">
            <v>P02</v>
          </cell>
          <cell r="G2258" t="str">
            <v>Front top rail  - Đố tiền nóc</v>
          </cell>
          <cell r="H2258" t="str">
            <v>Wood laminate</v>
          </cell>
          <cell r="I2258">
            <v>1</v>
          </cell>
        </row>
        <row r="2259">
          <cell r="A2259" t="str">
            <v>B557801/A</v>
          </cell>
          <cell r="B2259" t="str">
            <v>CZ069M09</v>
          </cell>
          <cell r="C2259">
            <v>1</v>
          </cell>
          <cell r="D2259">
            <v>544.11</v>
          </cell>
          <cell r="E2259">
            <v>544.11</v>
          </cell>
          <cell r="F2259" t="str">
            <v>P03</v>
          </cell>
          <cell r="G2259" t="str">
            <v xml:space="preserve">Top panel  - Ván nóc </v>
          </cell>
          <cell r="H2259" t="str">
            <v>MDF - 12 x 1830 x 2440mm [CARB P2 Compliant]</v>
          </cell>
          <cell r="I2259">
            <v>1</v>
          </cell>
        </row>
        <row r="2260">
          <cell r="A2260" t="str">
            <v>B557801/A</v>
          </cell>
          <cell r="B2260" t="str">
            <v>CZ069M09</v>
          </cell>
          <cell r="C2260">
            <v>1</v>
          </cell>
          <cell r="D2260">
            <v>544.11</v>
          </cell>
          <cell r="E2260">
            <v>544.11</v>
          </cell>
          <cell r="F2260" t="str">
            <v>P04-1</v>
          </cell>
          <cell r="G2260" t="str">
            <v>Corner block - ke góc</v>
          </cell>
          <cell r="H2260" t="str">
            <v>Poplar off cut</v>
          </cell>
          <cell r="I2260">
            <v>2</v>
          </cell>
        </row>
        <row r="2261">
          <cell r="A2261" t="str">
            <v>B557801/A</v>
          </cell>
          <cell r="B2261" t="str">
            <v>CZ069M09</v>
          </cell>
          <cell r="C2261">
            <v>1</v>
          </cell>
          <cell r="D2261">
            <v>544.11</v>
          </cell>
          <cell r="E2261">
            <v>544.11</v>
          </cell>
          <cell r="F2261" t="str">
            <v>P04-2</v>
          </cell>
          <cell r="G2261" t="str">
            <v>Corner block - ke góc</v>
          </cell>
          <cell r="H2261" t="str">
            <v>Poplar off cut</v>
          </cell>
          <cell r="I2261">
            <v>2</v>
          </cell>
        </row>
        <row r="2262">
          <cell r="A2262" t="str">
            <v>B557801/A</v>
          </cell>
          <cell r="B2262" t="str">
            <v>CZ069M09</v>
          </cell>
          <cell r="C2262">
            <v>1</v>
          </cell>
          <cell r="D2262">
            <v>544.11</v>
          </cell>
          <cell r="E2262">
            <v>544.11</v>
          </cell>
          <cell r="F2262" t="str">
            <v>P04-3</v>
          </cell>
          <cell r="G2262" t="str">
            <v>Corner block - ke góc</v>
          </cell>
          <cell r="H2262" t="str">
            <v>Poplar off cut</v>
          </cell>
          <cell r="I2262">
            <v>4</v>
          </cell>
        </row>
        <row r="2263">
          <cell r="A2263" t="str">
            <v>B557801/A</v>
          </cell>
          <cell r="B2263" t="str">
            <v>CZ069M09</v>
          </cell>
          <cell r="C2263">
            <v>1</v>
          </cell>
          <cell r="D2263">
            <v>544.11</v>
          </cell>
          <cell r="E2263">
            <v>544.11</v>
          </cell>
          <cell r="F2263" t="str">
            <v>P05</v>
          </cell>
          <cell r="G2263" t="str">
            <v>Partition panel - Vách ngăn</v>
          </cell>
          <cell r="H2263" t="str">
            <v>Wood US Poplar - Straight Edged, 2 COM - T25mm x W100mm Up x L1.8m Up</v>
          </cell>
          <cell r="I2263">
            <v>2</v>
          </cell>
        </row>
        <row r="2264">
          <cell r="A2264" t="str">
            <v>B557801/A</v>
          </cell>
          <cell r="B2264" t="str">
            <v>CZ069M09</v>
          </cell>
          <cell r="C2264">
            <v>1</v>
          </cell>
          <cell r="D2264">
            <v>544.11</v>
          </cell>
          <cell r="E2264">
            <v>544.11</v>
          </cell>
          <cell r="F2264" t="str">
            <v>P06</v>
          </cell>
          <cell r="G2264" t="str">
            <v>Bottom panel - Ván đáy</v>
          </cell>
          <cell r="H2264" t="str">
            <v>MDF Veneer</v>
          </cell>
          <cell r="I2264">
            <v>1</v>
          </cell>
        </row>
        <row r="2265">
          <cell r="A2265" t="str">
            <v>B557801/A</v>
          </cell>
          <cell r="B2265" t="str">
            <v>CZ069M09</v>
          </cell>
          <cell r="C2265">
            <v>1</v>
          </cell>
          <cell r="D2265">
            <v>544.11</v>
          </cell>
          <cell r="E2265">
            <v>544.11</v>
          </cell>
          <cell r="F2265" t="str">
            <v>P07</v>
          </cell>
          <cell r="G2265" t="str">
            <v>Patching wood - Gỗ đắp</v>
          </cell>
          <cell r="H2265" t="str">
            <v>Wood US Poplar - Straight Edged, 2 COM - T38mm x W100mm Up x L1.8m Up</v>
          </cell>
          <cell r="I2265">
            <v>2</v>
          </cell>
        </row>
        <row r="2266">
          <cell r="A2266" t="str">
            <v>B557801/A</v>
          </cell>
          <cell r="B2266" t="str">
            <v>CZ069M09</v>
          </cell>
          <cell r="C2266">
            <v>1</v>
          </cell>
          <cell r="D2266">
            <v>544.11</v>
          </cell>
          <cell r="E2266">
            <v>544.11</v>
          </cell>
          <cell r="F2266" t="str">
            <v>P09</v>
          </cell>
          <cell r="G2266" t="str">
            <v>Back panel - Ván hậu</v>
          </cell>
          <cell r="H2266" t="str">
            <v>MDF - 15 x 1830 x 2440mm [CARB P2 Compliant]</v>
          </cell>
          <cell r="I2266">
            <v>1</v>
          </cell>
        </row>
        <row r="2267">
          <cell r="A2267" t="str">
            <v>B557801/A</v>
          </cell>
          <cell r="B2267" t="str">
            <v>CZ069M09</v>
          </cell>
          <cell r="C2267">
            <v>1</v>
          </cell>
          <cell r="D2267">
            <v>544.11</v>
          </cell>
          <cell r="E2267">
            <v>544.11</v>
          </cell>
          <cell r="F2267" t="str">
            <v>P10</v>
          </cell>
          <cell r="G2267" t="str">
            <v>Center bottom rail - Đố đáy giữa</v>
          </cell>
          <cell r="H2267" t="str">
            <v>Wood US Poplar - Straight Edged, 2 COM - T38mm x W100mm Up x L1.8m Up</v>
          </cell>
          <cell r="I2267">
            <v>2</v>
          </cell>
        </row>
        <row r="2268">
          <cell r="A2268" t="str">
            <v>B557801/A</v>
          </cell>
          <cell r="B2268" t="str">
            <v>CZ069M09</v>
          </cell>
          <cell r="C2268">
            <v>1</v>
          </cell>
          <cell r="D2268">
            <v>544.11</v>
          </cell>
          <cell r="E2268">
            <v>544.11</v>
          </cell>
          <cell r="F2268" t="str">
            <v>P11</v>
          </cell>
          <cell r="G2268" t="str">
            <v>Bottom panel - Ván đáy</v>
          </cell>
          <cell r="H2268" t="str">
            <v>MDF - 12 x 1830 x 2440mm [CARB P2 Compliant]</v>
          </cell>
          <cell r="I2268">
            <v>1</v>
          </cell>
        </row>
        <row r="2269">
          <cell r="A2269" t="str">
            <v>B557801/A</v>
          </cell>
          <cell r="B2269" t="str">
            <v>CZ069M09</v>
          </cell>
          <cell r="C2269">
            <v>1</v>
          </cell>
          <cell r="D2269">
            <v>544.11</v>
          </cell>
          <cell r="E2269">
            <v>544.11</v>
          </cell>
          <cell r="F2269" t="str">
            <v>P12</v>
          </cell>
          <cell r="G2269" t="str">
            <v>Drawer stop - Dừng hộc</v>
          </cell>
          <cell r="H2269" t="str">
            <v>Poplar off cut</v>
          </cell>
          <cell r="I2269">
            <v>6</v>
          </cell>
        </row>
        <row r="2270">
          <cell r="A2270" t="str">
            <v>B556607/A</v>
          </cell>
          <cell r="B2270" t="str">
            <v>CZ069M190</v>
          </cell>
          <cell r="C2270">
            <v>3</v>
          </cell>
          <cell r="D2270">
            <v>544.11</v>
          </cell>
          <cell r="E2270">
            <v>1632.33</v>
          </cell>
          <cell r="F2270" t="str">
            <v>A1-S1</v>
          </cell>
          <cell r="G2270" t="str">
            <v>Front Vertical rail  - Trụ tiền</v>
          </cell>
          <cell r="H2270" t="str">
            <v>Wood laminate</v>
          </cell>
          <cell r="I2270">
            <v>6</v>
          </cell>
        </row>
        <row r="2271">
          <cell r="A2271" t="str">
            <v>B556607/A</v>
          </cell>
          <cell r="B2271" t="str">
            <v>CZ069M190</v>
          </cell>
          <cell r="C2271">
            <v>3</v>
          </cell>
          <cell r="D2271">
            <v>544.11</v>
          </cell>
          <cell r="E2271">
            <v>1632.33</v>
          </cell>
          <cell r="F2271" t="str">
            <v>A1-S2</v>
          </cell>
          <cell r="G2271" t="str">
            <v>Back Vertical rail - Trụ hậu</v>
          </cell>
          <cell r="H2271" t="str">
            <v>Wood laminate</v>
          </cell>
          <cell r="I2271">
            <v>6</v>
          </cell>
        </row>
        <row r="2272">
          <cell r="A2272" t="str">
            <v>B556607/A</v>
          </cell>
          <cell r="B2272" t="str">
            <v>CZ069M190</v>
          </cell>
          <cell r="C2272">
            <v>3</v>
          </cell>
          <cell r="D2272">
            <v>544.11</v>
          </cell>
          <cell r="E2272">
            <v>1632.33</v>
          </cell>
          <cell r="F2272" t="str">
            <v>A1-S3</v>
          </cell>
          <cell r="G2272" t="str">
            <v xml:space="preserve">Side panel  - Ván hông </v>
          </cell>
          <cell r="H2272" t="str">
            <v>MDF - 15 x 1830 x 2440mm [CARB P2 Compliant]</v>
          </cell>
          <cell r="I2272">
            <v>6</v>
          </cell>
        </row>
        <row r="2273">
          <cell r="A2273" t="str">
            <v>B556607/A</v>
          </cell>
          <cell r="B2273" t="str">
            <v>CZ069M190</v>
          </cell>
          <cell r="C2273">
            <v>3</v>
          </cell>
          <cell r="D2273">
            <v>544.11</v>
          </cell>
          <cell r="E2273">
            <v>1632.33</v>
          </cell>
          <cell r="F2273" t="str">
            <v>A1-S5</v>
          </cell>
          <cell r="G2273" t="str">
            <v xml:space="preserve">Side rail  - Đố hông </v>
          </cell>
          <cell r="H2273" t="str">
            <v>Standard Wood - ALDER/ASPEN/LENGA/US POPLAR, 2 COM - T38 W120mm+ L2m+</v>
          </cell>
          <cell r="I2273">
            <v>6</v>
          </cell>
        </row>
        <row r="2274">
          <cell r="A2274" t="str">
            <v>B556607/A</v>
          </cell>
          <cell r="B2274" t="str">
            <v>CZ069M190</v>
          </cell>
          <cell r="C2274">
            <v>3</v>
          </cell>
          <cell r="D2274">
            <v>544.11</v>
          </cell>
          <cell r="E2274">
            <v>1632.33</v>
          </cell>
          <cell r="F2274" t="str">
            <v>A3-S1</v>
          </cell>
          <cell r="G2274" t="str">
            <v xml:space="preserve">Drawer front - Mặt hộc kéo </v>
          </cell>
          <cell r="H2274" t="str">
            <v>MDF Veneer</v>
          </cell>
          <cell r="I2274">
            <v>9</v>
          </cell>
        </row>
        <row r="2275">
          <cell r="A2275" t="str">
            <v>B556607/A</v>
          </cell>
          <cell r="B2275" t="str">
            <v>CZ069M190</v>
          </cell>
          <cell r="C2275">
            <v>3</v>
          </cell>
          <cell r="D2275">
            <v>544.11</v>
          </cell>
          <cell r="E2275">
            <v>1632.33</v>
          </cell>
          <cell r="F2275" t="str">
            <v>A3-S2</v>
          </cell>
          <cell r="G2275" t="str">
            <v>Drawer side - Hông hộc kéo</v>
          </cell>
          <cell r="H2275" t="str">
            <v>MDF Veneer</v>
          </cell>
          <cell r="I2275">
            <v>18</v>
          </cell>
        </row>
        <row r="2276">
          <cell r="A2276" t="str">
            <v>B556607/A</v>
          </cell>
          <cell r="B2276" t="str">
            <v>CZ069M190</v>
          </cell>
          <cell r="C2276">
            <v>3</v>
          </cell>
          <cell r="D2276">
            <v>544.11</v>
          </cell>
          <cell r="E2276">
            <v>1632.33</v>
          </cell>
          <cell r="F2276" t="str">
            <v>A3-S3</v>
          </cell>
          <cell r="G2276" t="str">
            <v>Drawer back - Hậu hộc kéo</v>
          </cell>
          <cell r="H2276" t="str">
            <v>MDF Veneer</v>
          </cell>
          <cell r="I2276">
            <v>9</v>
          </cell>
        </row>
        <row r="2277">
          <cell r="A2277" t="str">
            <v>B556607/A</v>
          </cell>
          <cell r="B2277" t="str">
            <v>CZ069M190</v>
          </cell>
          <cell r="C2277">
            <v>3</v>
          </cell>
          <cell r="D2277">
            <v>544.11</v>
          </cell>
          <cell r="E2277">
            <v>1632.33</v>
          </cell>
          <cell r="F2277" t="str">
            <v>A3-S4</v>
          </cell>
          <cell r="G2277" t="str">
            <v>Drawer bottom  - Đáy hộc kéo</v>
          </cell>
          <cell r="H2277" t="str">
            <v>MDF Veneer</v>
          </cell>
          <cell r="I2277">
            <v>9</v>
          </cell>
        </row>
        <row r="2278">
          <cell r="A2278" t="str">
            <v>B556607/A</v>
          </cell>
          <cell r="B2278" t="str">
            <v>CZ069M190</v>
          </cell>
          <cell r="C2278">
            <v>3</v>
          </cell>
          <cell r="D2278">
            <v>544.11</v>
          </cell>
          <cell r="E2278">
            <v>1632.33</v>
          </cell>
          <cell r="F2278" t="str">
            <v>A3-S6</v>
          </cell>
          <cell r="G2278" t="str">
            <v>Patching wood - Gỗ đắp</v>
          </cell>
          <cell r="H2278" t="str">
            <v>Wood US Poplar - Straight Edged, 2 COM - T38mm x W100mm Up x L1.8m Up</v>
          </cell>
          <cell r="I2278">
            <v>18</v>
          </cell>
        </row>
        <row r="2279">
          <cell r="A2279" t="str">
            <v>B556607/A</v>
          </cell>
          <cell r="B2279" t="str">
            <v>CZ069M190</v>
          </cell>
          <cell r="C2279">
            <v>3</v>
          </cell>
          <cell r="D2279">
            <v>544.11</v>
          </cell>
          <cell r="E2279">
            <v>1632.33</v>
          </cell>
          <cell r="F2279" t="str">
            <v>P01</v>
          </cell>
          <cell r="G2279" t="str">
            <v>Front Bottom Rail  - Đố đáy trước</v>
          </cell>
          <cell r="H2279" t="str">
            <v>Wood laminate</v>
          </cell>
          <cell r="I2279">
            <v>6</v>
          </cell>
        </row>
        <row r="2280">
          <cell r="A2280" t="str">
            <v>B556607/A</v>
          </cell>
          <cell r="B2280" t="str">
            <v>CZ069M190</v>
          </cell>
          <cell r="C2280">
            <v>3</v>
          </cell>
          <cell r="D2280">
            <v>544.11</v>
          </cell>
          <cell r="E2280">
            <v>1632.33</v>
          </cell>
          <cell r="F2280" t="str">
            <v>P02</v>
          </cell>
          <cell r="G2280" t="str">
            <v>Front top rail  - Đố tiền nóc</v>
          </cell>
          <cell r="H2280" t="str">
            <v>Wood laminate</v>
          </cell>
          <cell r="I2280">
            <v>3</v>
          </cell>
        </row>
        <row r="2281">
          <cell r="A2281" t="str">
            <v>B556607/A</v>
          </cell>
          <cell r="B2281" t="str">
            <v>CZ069M190</v>
          </cell>
          <cell r="C2281">
            <v>3</v>
          </cell>
          <cell r="D2281">
            <v>544.11</v>
          </cell>
          <cell r="E2281">
            <v>1632.33</v>
          </cell>
          <cell r="F2281" t="str">
            <v>P03</v>
          </cell>
          <cell r="G2281" t="str">
            <v xml:space="preserve">Top panel  - Ván nóc </v>
          </cell>
          <cell r="H2281" t="str">
            <v>MDF - 12 x 1830 x 2440mm [CARB P2 Compliant]</v>
          </cell>
          <cell r="I2281">
            <v>3</v>
          </cell>
        </row>
        <row r="2282">
          <cell r="A2282" t="str">
            <v>B556607/A</v>
          </cell>
          <cell r="B2282" t="str">
            <v>CZ069M190</v>
          </cell>
          <cell r="C2282">
            <v>3</v>
          </cell>
          <cell r="D2282">
            <v>544.11</v>
          </cell>
          <cell r="E2282">
            <v>1632.33</v>
          </cell>
          <cell r="F2282" t="str">
            <v>P04-1</v>
          </cell>
          <cell r="G2282" t="str">
            <v>Corner block - ke góc</v>
          </cell>
          <cell r="H2282" t="str">
            <v>Poplar off cut</v>
          </cell>
          <cell r="I2282">
            <v>6</v>
          </cell>
        </row>
        <row r="2283">
          <cell r="A2283" t="str">
            <v>B556607/A</v>
          </cell>
          <cell r="B2283" t="str">
            <v>CZ069M190</v>
          </cell>
          <cell r="C2283">
            <v>3</v>
          </cell>
          <cell r="D2283">
            <v>544.11</v>
          </cell>
          <cell r="E2283">
            <v>1632.33</v>
          </cell>
          <cell r="F2283" t="str">
            <v>P04-2</v>
          </cell>
          <cell r="G2283" t="str">
            <v>Corner block - ke góc</v>
          </cell>
          <cell r="H2283" t="str">
            <v>Poplar off cut</v>
          </cell>
          <cell r="I2283">
            <v>6</v>
          </cell>
        </row>
        <row r="2284">
          <cell r="A2284" t="str">
            <v>B556607/A</v>
          </cell>
          <cell r="B2284" t="str">
            <v>CZ069M190</v>
          </cell>
          <cell r="C2284">
            <v>3</v>
          </cell>
          <cell r="D2284">
            <v>544.11</v>
          </cell>
          <cell r="E2284">
            <v>1632.33</v>
          </cell>
          <cell r="F2284" t="str">
            <v>P04-3</v>
          </cell>
          <cell r="G2284" t="str">
            <v>Corner block - ke góc</v>
          </cell>
          <cell r="H2284" t="str">
            <v>Poplar off cut</v>
          </cell>
          <cell r="I2284">
            <v>12</v>
          </cell>
        </row>
        <row r="2285">
          <cell r="A2285" t="str">
            <v>B556607/A</v>
          </cell>
          <cell r="B2285" t="str">
            <v>CZ069M190</v>
          </cell>
          <cell r="C2285">
            <v>3</v>
          </cell>
          <cell r="D2285">
            <v>544.11</v>
          </cell>
          <cell r="E2285">
            <v>1632.33</v>
          </cell>
          <cell r="F2285" t="str">
            <v>P05</v>
          </cell>
          <cell r="G2285" t="str">
            <v>Partition panel - Vách ngăn</v>
          </cell>
          <cell r="H2285" t="str">
            <v>Standard Wood - ALDER/ASPEN/LENGA/US POPLAR, 2 COM - T25 W120mm+ L2m+</v>
          </cell>
          <cell r="I2285">
            <v>6</v>
          </cell>
        </row>
        <row r="2286">
          <cell r="A2286" t="str">
            <v>B556607/A</v>
          </cell>
          <cell r="B2286" t="str">
            <v>CZ069M190</v>
          </cell>
          <cell r="C2286">
            <v>3</v>
          </cell>
          <cell r="D2286">
            <v>544.11</v>
          </cell>
          <cell r="E2286">
            <v>1632.33</v>
          </cell>
          <cell r="F2286" t="str">
            <v>P06</v>
          </cell>
          <cell r="G2286" t="str">
            <v>Bottom panel - Ván đáy</v>
          </cell>
          <cell r="H2286" t="str">
            <v>MDF Veneer</v>
          </cell>
          <cell r="I2286">
            <v>3</v>
          </cell>
        </row>
        <row r="2287">
          <cell r="A2287" t="str">
            <v>B556607/A</v>
          </cell>
          <cell r="B2287" t="str">
            <v>CZ069M190</v>
          </cell>
          <cell r="C2287">
            <v>3</v>
          </cell>
          <cell r="D2287">
            <v>544.11</v>
          </cell>
          <cell r="E2287">
            <v>1632.33</v>
          </cell>
          <cell r="F2287" t="str">
            <v>P07</v>
          </cell>
          <cell r="G2287" t="str">
            <v>Patching wood - Gỗ đắp</v>
          </cell>
          <cell r="H2287" t="str">
            <v>Standard Wood - ALDER/ASPEN/LENGA/US POPLAR, 2 COM - T25 W120mm+ L2m+</v>
          </cell>
          <cell r="I2287">
            <v>6</v>
          </cell>
        </row>
        <row r="2288">
          <cell r="A2288" t="str">
            <v>B556607/A</v>
          </cell>
          <cell r="B2288" t="str">
            <v>CZ069M190</v>
          </cell>
          <cell r="C2288">
            <v>3</v>
          </cell>
          <cell r="D2288">
            <v>544.11</v>
          </cell>
          <cell r="E2288">
            <v>1632.33</v>
          </cell>
          <cell r="F2288" t="str">
            <v>P09</v>
          </cell>
          <cell r="G2288" t="str">
            <v>Back panel - Ván hậu</v>
          </cell>
          <cell r="H2288" t="str">
            <v>MDF - 15 x 1830 x 2440mm [CARB P2 Compliant]</v>
          </cell>
          <cell r="I2288">
            <v>3</v>
          </cell>
        </row>
        <row r="2289">
          <cell r="A2289" t="str">
            <v>B556607/A</v>
          </cell>
          <cell r="B2289" t="str">
            <v>CZ069M190</v>
          </cell>
          <cell r="C2289">
            <v>3</v>
          </cell>
          <cell r="D2289">
            <v>544.11</v>
          </cell>
          <cell r="E2289">
            <v>1632.33</v>
          </cell>
          <cell r="F2289" t="str">
            <v>P10</v>
          </cell>
          <cell r="G2289" t="str">
            <v>Center bottom rail - Đố đáy giữa</v>
          </cell>
          <cell r="H2289" t="str">
            <v>Standard Wood - ALDER/ASPEN/LENGA/US POPLAR, 2 COM - T38 W120mm+ L2m+</v>
          </cell>
          <cell r="I2289">
            <v>6</v>
          </cell>
        </row>
        <row r="2290">
          <cell r="A2290" t="str">
            <v>B556607/A</v>
          </cell>
          <cell r="B2290" t="str">
            <v>CZ069M190</v>
          </cell>
          <cell r="C2290">
            <v>3</v>
          </cell>
          <cell r="D2290">
            <v>544.11</v>
          </cell>
          <cell r="E2290">
            <v>1632.33</v>
          </cell>
          <cell r="F2290" t="str">
            <v>P11</v>
          </cell>
          <cell r="G2290" t="str">
            <v>Bottom panel - Ván đáy</v>
          </cell>
          <cell r="H2290" t="str">
            <v>MDF - 12 x 1830 x 2440mm [CARB P2 Compliant]</v>
          </cell>
          <cell r="I2290">
            <v>3</v>
          </cell>
        </row>
        <row r="2291">
          <cell r="A2291" t="str">
            <v>B557803/A</v>
          </cell>
          <cell r="B2291" t="str">
            <v>CZ069M190</v>
          </cell>
          <cell r="C2291">
            <v>2</v>
          </cell>
          <cell r="D2291">
            <v>544.11</v>
          </cell>
          <cell r="E2291">
            <v>1088.22</v>
          </cell>
          <cell r="F2291" t="str">
            <v>A1-S1</v>
          </cell>
          <cell r="G2291" t="str">
            <v>Front Vertical rail  - Trụ tiền</v>
          </cell>
          <cell r="H2291" t="str">
            <v>Wood laminate</v>
          </cell>
          <cell r="I2291">
            <v>4</v>
          </cell>
        </row>
        <row r="2292">
          <cell r="A2292" t="str">
            <v>B557803/A</v>
          </cell>
          <cell r="B2292" t="str">
            <v>CZ069M190</v>
          </cell>
          <cell r="C2292">
            <v>2</v>
          </cell>
          <cell r="D2292">
            <v>544.11</v>
          </cell>
          <cell r="E2292">
            <v>1088.22</v>
          </cell>
          <cell r="F2292" t="str">
            <v>A1-S2</v>
          </cell>
          <cell r="G2292" t="str">
            <v>Back Vertical rail - Trụ hậu</v>
          </cell>
          <cell r="H2292" t="str">
            <v>Wood laminate</v>
          </cell>
          <cell r="I2292">
            <v>4</v>
          </cell>
        </row>
        <row r="2293">
          <cell r="A2293" t="str">
            <v>B557803/A</v>
          </cell>
          <cell r="B2293" t="str">
            <v>CZ069M190</v>
          </cell>
          <cell r="C2293">
            <v>2</v>
          </cell>
          <cell r="D2293">
            <v>544.11</v>
          </cell>
          <cell r="E2293">
            <v>1088.22</v>
          </cell>
          <cell r="F2293" t="str">
            <v>A1-S3</v>
          </cell>
          <cell r="G2293" t="str">
            <v xml:space="preserve">Side panel  - Ván hông </v>
          </cell>
          <cell r="H2293" t="str">
            <v>MDF - 15 x 1830 x 2440mm [CARB P2 Compliant]</v>
          </cell>
          <cell r="I2293">
            <v>4</v>
          </cell>
        </row>
        <row r="2294">
          <cell r="A2294" t="str">
            <v>B557803/A</v>
          </cell>
          <cell r="B2294" t="str">
            <v>CZ069M190</v>
          </cell>
          <cell r="C2294">
            <v>2</v>
          </cell>
          <cell r="D2294">
            <v>544.11</v>
          </cell>
          <cell r="E2294">
            <v>1088.22</v>
          </cell>
          <cell r="F2294" t="str">
            <v>A1-S5</v>
          </cell>
          <cell r="G2294" t="str">
            <v xml:space="preserve">Side rail  - Đố hông </v>
          </cell>
          <cell r="H2294" t="str">
            <v>Standard Wood - ALDER/ASPEN/LENGA/US POPLAR, 2 COM - T38 W120mm+ L2m+</v>
          </cell>
          <cell r="I2294">
            <v>4</v>
          </cell>
        </row>
        <row r="2295">
          <cell r="A2295" t="str">
            <v>B557803/A</v>
          </cell>
          <cell r="B2295" t="str">
            <v>CZ069M190</v>
          </cell>
          <cell r="C2295">
            <v>2</v>
          </cell>
          <cell r="D2295">
            <v>544.11</v>
          </cell>
          <cell r="E2295">
            <v>1088.22</v>
          </cell>
          <cell r="F2295" t="str">
            <v>A3-S1</v>
          </cell>
          <cell r="G2295" t="str">
            <v xml:space="preserve">Drawer front - Mặt hộc kéo </v>
          </cell>
          <cell r="H2295" t="str">
            <v>MDF Veneer</v>
          </cell>
          <cell r="I2295">
            <v>6</v>
          </cell>
        </row>
        <row r="2296">
          <cell r="A2296" t="str">
            <v>B557803/A</v>
          </cell>
          <cell r="B2296" t="str">
            <v>CZ069M190</v>
          </cell>
          <cell r="C2296">
            <v>2</v>
          </cell>
          <cell r="D2296">
            <v>544.11</v>
          </cell>
          <cell r="E2296">
            <v>1088.22</v>
          </cell>
          <cell r="F2296" t="str">
            <v>A3-S2</v>
          </cell>
          <cell r="G2296" t="str">
            <v>Drawer side - Hông hộc kéo</v>
          </cell>
          <cell r="H2296" t="str">
            <v>MDF Veneer</v>
          </cell>
          <cell r="I2296">
            <v>12</v>
          </cell>
        </row>
        <row r="2297">
          <cell r="A2297" t="str">
            <v>B557803/A</v>
          </cell>
          <cell r="B2297" t="str">
            <v>CZ069M190</v>
          </cell>
          <cell r="C2297">
            <v>2</v>
          </cell>
          <cell r="D2297">
            <v>544.11</v>
          </cell>
          <cell r="E2297">
            <v>1088.22</v>
          </cell>
          <cell r="F2297" t="str">
            <v>A3-S3</v>
          </cell>
          <cell r="G2297" t="str">
            <v>Drawer back - Hậu hộc kéo</v>
          </cell>
          <cell r="H2297" t="str">
            <v>MDF Veneer</v>
          </cell>
          <cell r="I2297">
            <v>6</v>
          </cell>
        </row>
        <row r="2298">
          <cell r="A2298" t="str">
            <v>B557803/A</v>
          </cell>
          <cell r="B2298" t="str">
            <v>CZ069M190</v>
          </cell>
          <cell r="C2298">
            <v>2</v>
          </cell>
          <cell r="D2298">
            <v>544.11</v>
          </cell>
          <cell r="E2298">
            <v>1088.22</v>
          </cell>
          <cell r="F2298" t="str">
            <v>A3-S4</v>
          </cell>
          <cell r="G2298" t="str">
            <v>Drawer bottom  - Đáy hộc kéo</v>
          </cell>
          <cell r="H2298" t="str">
            <v>MDF Veneer</v>
          </cell>
          <cell r="I2298">
            <v>6</v>
          </cell>
        </row>
        <row r="2299">
          <cell r="A2299" t="str">
            <v>B557803/A</v>
          </cell>
          <cell r="B2299" t="str">
            <v>CZ069M190</v>
          </cell>
          <cell r="C2299">
            <v>2</v>
          </cell>
          <cell r="D2299">
            <v>544.11</v>
          </cell>
          <cell r="E2299">
            <v>1088.22</v>
          </cell>
          <cell r="F2299" t="str">
            <v>A3-S6</v>
          </cell>
          <cell r="G2299" t="str">
            <v>Patching wood - Gỗ đắp</v>
          </cell>
          <cell r="H2299" t="str">
            <v>Wood US Poplar - Straight Edged, 2 COM - T38mm x W100mm Up x L1.8m Up</v>
          </cell>
          <cell r="I2299">
            <v>12</v>
          </cell>
        </row>
        <row r="2300">
          <cell r="A2300" t="str">
            <v>B557803/A</v>
          </cell>
          <cell r="B2300" t="str">
            <v>CZ069M190</v>
          </cell>
          <cell r="C2300">
            <v>2</v>
          </cell>
          <cell r="D2300">
            <v>544.11</v>
          </cell>
          <cell r="E2300">
            <v>1088.22</v>
          </cell>
          <cell r="F2300" t="str">
            <v>P01</v>
          </cell>
          <cell r="G2300" t="str">
            <v>Front Bottom Rail  - Đố đáy trước</v>
          </cell>
          <cell r="H2300" t="str">
            <v>Wood laminate</v>
          </cell>
          <cell r="I2300">
            <v>4</v>
          </cell>
        </row>
        <row r="2301">
          <cell r="A2301" t="str">
            <v>B557803/A</v>
          </cell>
          <cell r="B2301" t="str">
            <v>CZ069M190</v>
          </cell>
          <cell r="C2301">
            <v>2</v>
          </cell>
          <cell r="D2301">
            <v>544.11</v>
          </cell>
          <cell r="E2301">
            <v>1088.22</v>
          </cell>
          <cell r="F2301" t="str">
            <v>P02</v>
          </cell>
          <cell r="G2301" t="str">
            <v>Front top rail  - Đố tiền nóc</v>
          </cell>
          <cell r="H2301" t="str">
            <v>Wood laminate</v>
          </cell>
          <cell r="I2301">
            <v>2</v>
          </cell>
        </row>
        <row r="2302">
          <cell r="A2302" t="str">
            <v>B557803/A</v>
          </cell>
          <cell r="B2302" t="str">
            <v>CZ069M190</v>
          </cell>
          <cell r="C2302">
            <v>2</v>
          </cell>
          <cell r="D2302">
            <v>544.11</v>
          </cell>
          <cell r="E2302">
            <v>1088.22</v>
          </cell>
          <cell r="F2302" t="str">
            <v>P03</v>
          </cell>
          <cell r="G2302" t="str">
            <v xml:space="preserve">Top panel  - Ván nóc </v>
          </cell>
          <cell r="H2302" t="str">
            <v>MDF - 12 x 1830 x 2440mm [CARB P2 Compliant]</v>
          </cell>
          <cell r="I2302">
            <v>2</v>
          </cell>
        </row>
        <row r="2303">
          <cell r="A2303" t="str">
            <v>B557803/A</v>
          </cell>
          <cell r="B2303" t="str">
            <v>CZ069M190</v>
          </cell>
          <cell r="C2303">
            <v>2</v>
          </cell>
          <cell r="D2303">
            <v>544.11</v>
          </cell>
          <cell r="E2303">
            <v>1088.22</v>
          </cell>
          <cell r="F2303" t="str">
            <v>P04-1</v>
          </cell>
          <cell r="G2303" t="str">
            <v>Corner block - ke góc</v>
          </cell>
          <cell r="H2303" t="str">
            <v>Poplar off cut</v>
          </cell>
          <cell r="I2303">
            <v>4</v>
          </cell>
        </row>
        <row r="2304">
          <cell r="A2304" t="str">
            <v>B557803/A</v>
          </cell>
          <cell r="B2304" t="str">
            <v>CZ069M190</v>
          </cell>
          <cell r="C2304">
            <v>2</v>
          </cell>
          <cell r="D2304">
            <v>544.11</v>
          </cell>
          <cell r="E2304">
            <v>1088.22</v>
          </cell>
          <cell r="F2304" t="str">
            <v>P04-2</v>
          </cell>
          <cell r="G2304" t="str">
            <v>Corner block - ke góc</v>
          </cell>
          <cell r="H2304" t="str">
            <v>Poplar off cut</v>
          </cell>
          <cell r="I2304">
            <v>4</v>
          </cell>
        </row>
        <row r="2305">
          <cell r="A2305" t="str">
            <v>B557803/A</v>
          </cell>
          <cell r="B2305" t="str">
            <v>CZ069M190</v>
          </cell>
          <cell r="C2305">
            <v>2</v>
          </cell>
          <cell r="D2305">
            <v>544.11</v>
          </cell>
          <cell r="E2305">
            <v>1088.22</v>
          </cell>
          <cell r="F2305" t="str">
            <v>P04-3</v>
          </cell>
          <cell r="G2305" t="str">
            <v>Corner block - ke góc</v>
          </cell>
          <cell r="H2305" t="str">
            <v>Poplar off cut</v>
          </cell>
          <cell r="I2305">
            <v>8</v>
          </cell>
        </row>
        <row r="2306">
          <cell r="A2306" t="str">
            <v>B557803/A</v>
          </cell>
          <cell r="B2306" t="str">
            <v>CZ069M190</v>
          </cell>
          <cell r="C2306">
            <v>2</v>
          </cell>
          <cell r="D2306">
            <v>544.11</v>
          </cell>
          <cell r="E2306">
            <v>1088.22</v>
          </cell>
          <cell r="F2306" t="str">
            <v>P05</v>
          </cell>
          <cell r="G2306" t="str">
            <v>Partition panel - Vách ngăn</v>
          </cell>
          <cell r="H2306" t="str">
            <v>Standard Wood - ALDER/ASPEN/LENGA/US POPLAR, 2 COM - T25 W120mm+ L2m+</v>
          </cell>
          <cell r="I2306">
            <v>4</v>
          </cell>
        </row>
        <row r="2307">
          <cell r="A2307" t="str">
            <v>B557803/A</v>
          </cell>
          <cell r="B2307" t="str">
            <v>CZ069M190</v>
          </cell>
          <cell r="C2307">
            <v>2</v>
          </cell>
          <cell r="D2307">
            <v>544.11</v>
          </cell>
          <cell r="E2307">
            <v>1088.22</v>
          </cell>
          <cell r="F2307" t="str">
            <v>P06</v>
          </cell>
          <cell r="G2307" t="str">
            <v>Bottom panel - Ván đáy</v>
          </cell>
          <cell r="H2307" t="str">
            <v>MDF Veneer</v>
          </cell>
          <cell r="I2307">
            <v>2</v>
          </cell>
        </row>
        <row r="2308">
          <cell r="A2308" t="str">
            <v>B557803/A</v>
          </cell>
          <cell r="B2308" t="str">
            <v>CZ069M190</v>
          </cell>
          <cell r="C2308">
            <v>2</v>
          </cell>
          <cell r="D2308">
            <v>544.11</v>
          </cell>
          <cell r="E2308">
            <v>1088.22</v>
          </cell>
          <cell r="F2308" t="str">
            <v>P07</v>
          </cell>
          <cell r="G2308" t="str">
            <v>Patching wood - Gỗ đắp</v>
          </cell>
          <cell r="H2308" t="str">
            <v>Standard Wood - ALDER/ASPEN/LENGA/US POPLAR, 2 COM - T25 W120mm+ L2m+</v>
          </cell>
          <cell r="I2308">
            <v>4</v>
          </cell>
        </row>
        <row r="2309">
          <cell r="A2309" t="str">
            <v>B557803/A</v>
          </cell>
          <cell r="B2309" t="str">
            <v>CZ069M190</v>
          </cell>
          <cell r="C2309">
            <v>2</v>
          </cell>
          <cell r="D2309">
            <v>544.11</v>
          </cell>
          <cell r="E2309">
            <v>1088.22</v>
          </cell>
          <cell r="F2309" t="str">
            <v>P09</v>
          </cell>
          <cell r="G2309" t="str">
            <v>Back panel - Ván hậu</v>
          </cell>
          <cell r="H2309" t="str">
            <v>MDF - 15 x 1830 x 2440mm [CARB P2 Compliant]</v>
          </cell>
          <cell r="I2309">
            <v>2</v>
          </cell>
        </row>
        <row r="2310">
          <cell r="A2310" t="str">
            <v>B557803/A</v>
          </cell>
          <cell r="B2310" t="str">
            <v>CZ069M190</v>
          </cell>
          <cell r="C2310">
            <v>2</v>
          </cell>
          <cell r="D2310">
            <v>544.11</v>
          </cell>
          <cell r="E2310">
            <v>1088.22</v>
          </cell>
          <cell r="F2310" t="str">
            <v>P10</v>
          </cell>
          <cell r="G2310" t="str">
            <v>Center bottom rail - Đố đáy giữa</v>
          </cell>
          <cell r="H2310" t="str">
            <v>Standard Wood - ALDER/ASPEN/LENGA/US POPLAR, 2 COM - T38 W120mm+ L2m+</v>
          </cell>
          <cell r="I2310">
            <v>4</v>
          </cell>
        </row>
        <row r="2311">
          <cell r="A2311" t="str">
            <v>B557803/A</v>
          </cell>
          <cell r="B2311" t="str">
            <v>CZ069M190</v>
          </cell>
          <cell r="C2311">
            <v>2</v>
          </cell>
          <cell r="D2311">
            <v>544.11</v>
          </cell>
          <cell r="E2311">
            <v>1088.22</v>
          </cell>
          <cell r="F2311" t="str">
            <v>P11</v>
          </cell>
          <cell r="G2311" t="str">
            <v>Bottom panel - Ván đáy</v>
          </cell>
          <cell r="H2311" t="str">
            <v>MDF - 12 x 1830 x 2440mm [CARB P2 Compliant]</v>
          </cell>
          <cell r="I2311">
            <v>2</v>
          </cell>
        </row>
        <row r="2312">
          <cell r="A2312" t="str">
            <v>B557806/A</v>
          </cell>
          <cell r="B2312" t="str">
            <v>CZ069M191</v>
          </cell>
          <cell r="C2312">
            <v>5</v>
          </cell>
          <cell r="D2312">
            <v>544.11</v>
          </cell>
          <cell r="E2312">
            <v>2720.55</v>
          </cell>
          <cell r="F2312" t="str">
            <v>A1-S1</v>
          </cell>
          <cell r="G2312" t="str">
            <v>Front Vertical rail  - Trụ tiền</v>
          </cell>
          <cell r="H2312" t="str">
            <v>Wood laminate</v>
          </cell>
          <cell r="I2312">
            <v>10</v>
          </cell>
        </row>
        <row r="2313">
          <cell r="A2313" t="str">
            <v>B557806/A</v>
          </cell>
          <cell r="B2313" t="str">
            <v>CZ069M191</v>
          </cell>
          <cell r="C2313">
            <v>5</v>
          </cell>
          <cell r="D2313">
            <v>544.11</v>
          </cell>
          <cell r="E2313">
            <v>2720.55</v>
          </cell>
          <cell r="F2313" t="str">
            <v>A1-S2</v>
          </cell>
          <cell r="G2313" t="str">
            <v>Back Vertical rail - Trụ hậu</v>
          </cell>
          <cell r="H2313" t="str">
            <v>Wood laminate</v>
          </cell>
          <cell r="I2313">
            <v>10</v>
          </cell>
        </row>
        <row r="2314">
          <cell r="A2314" t="str">
            <v>B557806/A</v>
          </cell>
          <cell r="B2314" t="str">
            <v>CZ069M191</v>
          </cell>
          <cell r="C2314">
            <v>5</v>
          </cell>
          <cell r="D2314">
            <v>544.11</v>
          </cell>
          <cell r="E2314">
            <v>2720.55</v>
          </cell>
          <cell r="F2314" t="str">
            <v>A1-S3</v>
          </cell>
          <cell r="G2314" t="str">
            <v xml:space="preserve">Side panel  - Ván hông </v>
          </cell>
          <cell r="H2314" t="str">
            <v>MDF - 15 x 1830 x 2440mm [CARB P2 Compliant]</v>
          </cell>
          <cell r="I2314">
            <v>10</v>
          </cell>
        </row>
        <row r="2315">
          <cell r="A2315" t="str">
            <v>B557806/A</v>
          </cell>
          <cell r="B2315" t="str">
            <v>CZ069M191</v>
          </cell>
          <cell r="C2315">
            <v>5</v>
          </cell>
          <cell r="D2315">
            <v>544.11</v>
          </cell>
          <cell r="E2315">
            <v>2720.55</v>
          </cell>
          <cell r="F2315" t="str">
            <v>A1-S5</v>
          </cell>
          <cell r="G2315" t="str">
            <v xml:space="preserve">Side rail  - Đố hông </v>
          </cell>
          <cell r="H2315" t="str">
            <v>Wood US Poplar - Straight Edged, 2 COM - T38mm x W100mm Up x L1.8m Up</v>
          </cell>
          <cell r="I2315">
            <v>10</v>
          </cell>
        </row>
        <row r="2316">
          <cell r="A2316" t="str">
            <v>B557806/A</v>
          </cell>
          <cell r="B2316" t="str">
            <v>CZ069M191</v>
          </cell>
          <cell r="C2316">
            <v>5</v>
          </cell>
          <cell r="D2316">
            <v>544.11</v>
          </cell>
          <cell r="E2316">
            <v>2720.55</v>
          </cell>
          <cell r="F2316" t="str">
            <v>A3-S1</v>
          </cell>
          <cell r="G2316" t="str">
            <v xml:space="preserve">Drawer front - Mặt hộc kéo </v>
          </cell>
          <cell r="H2316" t="str">
            <v>Wood US Poplar - Straight Edged, 2 COM - T25mm x W100mm Up x L1.8m Up</v>
          </cell>
          <cell r="I2316">
            <v>15</v>
          </cell>
        </row>
        <row r="2317">
          <cell r="A2317" t="str">
            <v>B557806/A</v>
          </cell>
          <cell r="B2317" t="str">
            <v>CZ069M191</v>
          </cell>
          <cell r="C2317">
            <v>5</v>
          </cell>
          <cell r="D2317">
            <v>544.11</v>
          </cell>
          <cell r="E2317">
            <v>2720.55</v>
          </cell>
          <cell r="F2317" t="str">
            <v>A3-S2</v>
          </cell>
          <cell r="G2317" t="str">
            <v>Drawer side - Hông hộc kéo</v>
          </cell>
          <cell r="H2317" t="str">
            <v>Wood US Poplar - Straight Edged, 2 COM - T38mm x W100mm Up x L1.8m Up</v>
          </cell>
          <cell r="I2317">
            <v>30</v>
          </cell>
        </row>
        <row r="2318">
          <cell r="A2318" t="str">
            <v>B557806/A</v>
          </cell>
          <cell r="B2318" t="str">
            <v>CZ069M191</v>
          </cell>
          <cell r="C2318">
            <v>5</v>
          </cell>
          <cell r="D2318">
            <v>544.11</v>
          </cell>
          <cell r="E2318">
            <v>2720.55</v>
          </cell>
          <cell r="F2318" t="str">
            <v>A3-S3</v>
          </cell>
          <cell r="G2318" t="str">
            <v>Drawer back - Hậu hộc kéo</v>
          </cell>
          <cell r="H2318" t="str">
            <v>Wood US Poplar - Straight Edged, 2 COM - T38mm x W100mm Up x L1.8m Up</v>
          </cell>
          <cell r="I2318">
            <v>15</v>
          </cell>
        </row>
        <row r="2319">
          <cell r="A2319" t="str">
            <v>B557806/A</v>
          </cell>
          <cell r="B2319" t="str">
            <v>CZ069M191</v>
          </cell>
          <cell r="C2319">
            <v>5</v>
          </cell>
          <cell r="D2319">
            <v>544.11</v>
          </cell>
          <cell r="E2319">
            <v>2720.55</v>
          </cell>
          <cell r="F2319" t="str">
            <v>A3-S4</v>
          </cell>
          <cell r="G2319" t="str">
            <v>Drawer bottom  - Đáy hộc kéo</v>
          </cell>
          <cell r="H2319" t="str">
            <v>MDF - 06 x 1220 x 2440mm, Veneer Okoume 0.3mm Both Faces [CARB P2 Compliant]</v>
          </cell>
          <cell r="I2319">
            <v>15</v>
          </cell>
        </row>
        <row r="2320">
          <cell r="A2320" t="str">
            <v>B557806/A</v>
          </cell>
          <cell r="B2320" t="str">
            <v>CZ069M191</v>
          </cell>
          <cell r="C2320">
            <v>5</v>
          </cell>
          <cell r="D2320">
            <v>544.11</v>
          </cell>
          <cell r="E2320">
            <v>2720.55</v>
          </cell>
          <cell r="F2320" t="str">
            <v>A3-S6</v>
          </cell>
          <cell r="G2320" t="str">
            <v>Patching wood - Gỗ đắp</v>
          </cell>
          <cell r="H2320" t="str">
            <v>Wood US Poplar - Straight Edged, 2 COM - T38mm x W100mm Up x L1.8m Up</v>
          </cell>
          <cell r="I2320">
            <v>30</v>
          </cell>
        </row>
        <row r="2321">
          <cell r="A2321" t="str">
            <v>B557806/A</v>
          </cell>
          <cell r="B2321" t="str">
            <v>CZ069M191</v>
          </cell>
          <cell r="C2321">
            <v>5</v>
          </cell>
          <cell r="D2321">
            <v>544.11</v>
          </cell>
          <cell r="E2321">
            <v>2720.55</v>
          </cell>
          <cell r="F2321" t="str">
            <v>P01</v>
          </cell>
          <cell r="G2321" t="str">
            <v>Front Bottom Rail  - Đố đáy trước</v>
          </cell>
          <cell r="H2321" t="str">
            <v>Wood laminate</v>
          </cell>
          <cell r="I2321">
            <v>10</v>
          </cell>
        </row>
        <row r="2322">
          <cell r="A2322" t="str">
            <v>B557806/A</v>
          </cell>
          <cell r="B2322" t="str">
            <v>CZ069M191</v>
          </cell>
          <cell r="C2322">
            <v>5</v>
          </cell>
          <cell r="D2322">
            <v>544.11</v>
          </cell>
          <cell r="E2322">
            <v>2720.55</v>
          </cell>
          <cell r="F2322" t="str">
            <v>P02</v>
          </cell>
          <cell r="G2322" t="str">
            <v>Front top rail  - Đố tiền nóc</v>
          </cell>
          <cell r="H2322" t="str">
            <v>Wood laminate</v>
          </cell>
          <cell r="I2322">
            <v>5</v>
          </cell>
        </row>
        <row r="2323">
          <cell r="A2323" t="str">
            <v>B557806/A</v>
          </cell>
          <cell r="B2323" t="str">
            <v>CZ069M191</v>
          </cell>
          <cell r="C2323">
            <v>5</v>
          </cell>
          <cell r="D2323">
            <v>544.11</v>
          </cell>
          <cell r="E2323">
            <v>2720.55</v>
          </cell>
          <cell r="F2323" t="str">
            <v>P03</v>
          </cell>
          <cell r="G2323" t="str">
            <v xml:space="preserve">Top panel  - Ván nóc </v>
          </cell>
          <cell r="H2323" t="str">
            <v>MDF - 12 x 1830 x 2440mm [CARB P2 Compliant]</v>
          </cell>
          <cell r="I2323">
            <v>5</v>
          </cell>
        </row>
        <row r="2324">
          <cell r="A2324" t="str">
            <v>B557806/A</v>
          </cell>
          <cell r="B2324" t="str">
            <v>CZ069M191</v>
          </cell>
          <cell r="C2324">
            <v>5</v>
          </cell>
          <cell r="D2324">
            <v>544.11</v>
          </cell>
          <cell r="E2324">
            <v>2720.55</v>
          </cell>
          <cell r="F2324" t="str">
            <v>P04-1</v>
          </cell>
          <cell r="G2324" t="str">
            <v>Corner block - ke góc</v>
          </cell>
          <cell r="H2324" t="str">
            <v>Poplar off cut</v>
          </cell>
          <cell r="I2324">
            <v>10</v>
          </cell>
        </row>
        <row r="2325">
          <cell r="A2325" t="str">
            <v>B557806/A</v>
          </cell>
          <cell r="B2325" t="str">
            <v>CZ069M191</v>
          </cell>
          <cell r="C2325">
            <v>5</v>
          </cell>
          <cell r="D2325">
            <v>544.11</v>
          </cell>
          <cell r="E2325">
            <v>2720.55</v>
          </cell>
          <cell r="F2325" t="str">
            <v>P04-2</v>
          </cell>
          <cell r="G2325" t="str">
            <v>Corner block - ke góc</v>
          </cell>
          <cell r="H2325" t="str">
            <v>Poplar off cut</v>
          </cell>
          <cell r="I2325">
            <v>10</v>
          </cell>
        </row>
        <row r="2326">
          <cell r="A2326" t="str">
            <v>B557806/A</v>
          </cell>
          <cell r="B2326" t="str">
            <v>CZ069M191</v>
          </cell>
          <cell r="C2326">
            <v>5</v>
          </cell>
          <cell r="D2326">
            <v>544.11</v>
          </cell>
          <cell r="E2326">
            <v>2720.55</v>
          </cell>
          <cell r="F2326" t="str">
            <v>P04-3</v>
          </cell>
          <cell r="G2326" t="str">
            <v>Corner block - ke góc</v>
          </cell>
          <cell r="H2326" t="str">
            <v>Poplar off cut</v>
          </cell>
          <cell r="I2326">
            <v>20</v>
          </cell>
        </row>
        <row r="2327">
          <cell r="A2327" t="str">
            <v>B557806/A</v>
          </cell>
          <cell r="B2327" t="str">
            <v>CZ069M191</v>
          </cell>
          <cell r="C2327">
            <v>5</v>
          </cell>
          <cell r="D2327">
            <v>544.11</v>
          </cell>
          <cell r="E2327">
            <v>2720.55</v>
          </cell>
          <cell r="F2327" t="str">
            <v>P05</v>
          </cell>
          <cell r="G2327" t="str">
            <v>Partition panel - Vách ngăn</v>
          </cell>
          <cell r="H2327" t="str">
            <v>Wood US Poplar - Straight Edged, 2 COM - T25mm x W100mm Up x L1.8m Up</v>
          </cell>
          <cell r="I2327">
            <v>10</v>
          </cell>
        </row>
        <row r="2328">
          <cell r="A2328" t="str">
            <v>B557806/A</v>
          </cell>
          <cell r="B2328" t="str">
            <v>CZ069M191</v>
          </cell>
          <cell r="C2328">
            <v>5</v>
          </cell>
          <cell r="D2328">
            <v>544.11</v>
          </cell>
          <cell r="E2328">
            <v>2720.55</v>
          </cell>
          <cell r="F2328" t="str">
            <v>P06</v>
          </cell>
          <cell r="G2328" t="str">
            <v>Bottom panel - Ván đáy</v>
          </cell>
          <cell r="H2328" t="str">
            <v>MDF Veneer</v>
          </cell>
          <cell r="I2328">
            <v>5</v>
          </cell>
        </row>
        <row r="2329">
          <cell r="A2329" t="str">
            <v>B557806/A</v>
          </cell>
          <cell r="B2329" t="str">
            <v>CZ069M191</v>
          </cell>
          <cell r="C2329">
            <v>5</v>
          </cell>
          <cell r="D2329">
            <v>544.11</v>
          </cell>
          <cell r="E2329">
            <v>2720.55</v>
          </cell>
          <cell r="F2329" t="str">
            <v>P07</v>
          </cell>
          <cell r="G2329" t="str">
            <v>Patching wood - Gỗ đắp</v>
          </cell>
          <cell r="H2329" t="str">
            <v>Wood US Poplar - Straight Edged, 2 COM - T38mm x W100mm Up x L1.8m Up</v>
          </cell>
          <cell r="I2329">
            <v>10</v>
          </cell>
        </row>
        <row r="2330">
          <cell r="A2330" t="str">
            <v>B557806/A</v>
          </cell>
          <cell r="B2330" t="str">
            <v>CZ069M191</v>
          </cell>
          <cell r="C2330">
            <v>5</v>
          </cell>
          <cell r="D2330">
            <v>544.11</v>
          </cell>
          <cell r="E2330">
            <v>2720.55</v>
          </cell>
          <cell r="F2330" t="str">
            <v>P09</v>
          </cell>
          <cell r="G2330" t="str">
            <v>Back panel - Ván hậu</v>
          </cell>
          <cell r="H2330" t="str">
            <v>MDF - 15 x 1830 x 2440mm [CARB P2 Compliant]</v>
          </cell>
          <cell r="I2330">
            <v>5</v>
          </cell>
        </row>
        <row r="2331">
          <cell r="A2331" t="str">
            <v>B557806/A</v>
          </cell>
          <cell r="B2331" t="str">
            <v>CZ069M191</v>
          </cell>
          <cell r="C2331">
            <v>5</v>
          </cell>
          <cell r="D2331">
            <v>544.11</v>
          </cell>
          <cell r="E2331">
            <v>2720.55</v>
          </cell>
          <cell r="F2331" t="str">
            <v>P10</v>
          </cell>
          <cell r="G2331" t="str">
            <v>Center bottom rail - Đố đáy giữa</v>
          </cell>
          <cell r="H2331" t="str">
            <v>Wood US Poplar - Straight Edged, 2 COM - T38mm x W100mm Up x L1.8m Up</v>
          </cell>
          <cell r="I2331">
            <v>10</v>
          </cell>
        </row>
        <row r="2332">
          <cell r="A2332" t="str">
            <v>B557806/A</v>
          </cell>
          <cell r="B2332" t="str">
            <v>CZ069M191</v>
          </cell>
          <cell r="C2332">
            <v>5</v>
          </cell>
          <cell r="D2332">
            <v>544.11</v>
          </cell>
          <cell r="E2332">
            <v>2720.55</v>
          </cell>
          <cell r="F2332" t="str">
            <v>P11</v>
          </cell>
          <cell r="G2332" t="str">
            <v>Bottom panel - Ván đáy</v>
          </cell>
          <cell r="H2332" t="str">
            <v>MDF - 12 x 1830 x 2440mm [CARB P2 Compliant]</v>
          </cell>
          <cell r="I2332">
            <v>5</v>
          </cell>
        </row>
        <row r="2333">
          <cell r="A2333" t="str">
            <v>B557806/A</v>
          </cell>
          <cell r="B2333" t="str">
            <v>CZ069M191</v>
          </cell>
          <cell r="C2333">
            <v>5</v>
          </cell>
          <cell r="D2333">
            <v>544.11</v>
          </cell>
          <cell r="E2333">
            <v>2720.55</v>
          </cell>
          <cell r="F2333" t="str">
            <v>P12</v>
          </cell>
          <cell r="G2333" t="str">
            <v>Drawer stop - Dừng hộc</v>
          </cell>
          <cell r="H2333" t="str">
            <v>Poplar off cut</v>
          </cell>
          <cell r="I2333">
            <v>30</v>
          </cell>
        </row>
        <row r="2334">
          <cell r="A2334" t="str">
            <v>B557807/A</v>
          </cell>
          <cell r="B2334" t="str">
            <v>CZ069M191</v>
          </cell>
          <cell r="C2334">
            <v>5</v>
          </cell>
          <cell r="D2334">
            <v>544.11</v>
          </cell>
          <cell r="E2334">
            <v>2720.55</v>
          </cell>
          <cell r="F2334" t="str">
            <v>A1-S1</v>
          </cell>
          <cell r="G2334" t="str">
            <v>Front Vertical rail  - Trụ tiền</v>
          </cell>
          <cell r="H2334" t="str">
            <v>Wood laminate</v>
          </cell>
          <cell r="I2334">
            <v>10</v>
          </cell>
        </row>
        <row r="2335">
          <cell r="A2335" t="str">
            <v>B557807/A</v>
          </cell>
          <cell r="B2335" t="str">
            <v>CZ069M191</v>
          </cell>
          <cell r="C2335">
            <v>5</v>
          </cell>
          <cell r="D2335">
            <v>544.11</v>
          </cell>
          <cell r="E2335">
            <v>2720.55</v>
          </cell>
          <cell r="F2335" t="str">
            <v>A1-S2</v>
          </cell>
          <cell r="G2335" t="str">
            <v>Back Vertical rail - Trụ hậu</v>
          </cell>
          <cell r="H2335" t="str">
            <v>Wood laminate</v>
          </cell>
          <cell r="I2335">
            <v>10</v>
          </cell>
        </row>
        <row r="2336">
          <cell r="A2336" t="str">
            <v>B557807/A</v>
          </cell>
          <cell r="B2336" t="str">
            <v>CZ069M191</v>
          </cell>
          <cell r="C2336">
            <v>5</v>
          </cell>
          <cell r="D2336">
            <v>544.11</v>
          </cell>
          <cell r="E2336">
            <v>2720.55</v>
          </cell>
          <cell r="F2336" t="str">
            <v>A1-S3</v>
          </cell>
          <cell r="G2336" t="str">
            <v xml:space="preserve">Side panel  - Ván hông </v>
          </cell>
          <cell r="H2336" t="str">
            <v>MDF - 15 x 1830 x 2440mm [CARB P2 Compliant]</v>
          </cell>
          <cell r="I2336">
            <v>10</v>
          </cell>
        </row>
        <row r="2337">
          <cell r="A2337" t="str">
            <v>B557807/A</v>
          </cell>
          <cell r="B2337" t="str">
            <v>CZ069M191</v>
          </cell>
          <cell r="C2337">
            <v>5</v>
          </cell>
          <cell r="D2337">
            <v>544.11</v>
          </cell>
          <cell r="E2337">
            <v>2720.55</v>
          </cell>
          <cell r="F2337" t="str">
            <v>A1-S5</v>
          </cell>
          <cell r="G2337" t="str">
            <v xml:space="preserve">Side rail  - Đố hông </v>
          </cell>
          <cell r="H2337" t="str">
            <v>Wood US Poplar - Straight Edged, 2 COM - T38mm x W100mm Up x L1.8m Up</v>
          </cell>
          <cell r="I2337">
            <v>10</v>
          </cell>
        </row>
        <row r="2338">
          <cell r="A2338" t="str">
            <v>B557807/A</v>
          </cell>
          <cell r="B2338" t="str">
            <v>CZ069M191</v>
          </cell>
          <cell r="C2338">
            <v>5</v>
          </cell>
          <cell r="D2338">
            <v>544.11</v>
          </cell>
          <cell r="E2338">
            <v>2720.55</v>
          </cell>
          <cell r="F2338" t="str">
            <v>A3-S1</v>
          </cell>
          <cell r="G2338" t="str">
            <v xml:space="preserve">Drawer front - Mặt hộc kéo </v>
          </cell>
          <cell r="H2338" t="str">
            <v>Wood US Poplar - Straight Edged, 2 COM - T25mm x W100mm Up x L1.8m Up</v>
          </cell>
          <cell r="I2338">
            <v>15</v>
          </cell>
        </row>
        <row r="2339">
          <cell r="A2339" t="str">
            <v>B557807/A</v>
          </cell>
          <cell r="B2339" t="str">
            <v>CZ069M191</v>
          </cell>
          <cell r="C2339">
            <v>5</v>
          </cell>
          <cell r="D2339">
            <v>544.11</v>
          </cell>
          <cell r="E2339">
            <v>2720.55</v>
          </cell>
          <cell r="F2339" t="str">
            <v>A3-S2</v>
          </cell>
          <cell r="G2339" t="str">
            <v>Drawer side - Hông hộc kéo</v>
          </cell>
          <cell r="H2339" t="str">
            <v>Wood US Poplar - Straight Edged, 2 COM - T38mm x W100mm Up x L1.8m Up</v>
          </cell>
          <cell r="I2339">
            <v>30</v>
          </cell>
        </row>
        <row r="2340">
          <cell r="A2340" t="str">
            <v>B557807/A</v>
          </cell>
          <cell r="B2340" t="str">
            <v>CZ069M191</v>
          </cell>
          <cell r="C2340">
            <v>5</v>
          </cell>
          <cell r="D2340">
            <v>544.11</v>
          </cell>
          <cell r="E2340">
            <v>2720.55</v>
          </cell>
          <cell r="F2340" t="str">
            <v>A3-S3</v>
          </cell>
          <cell r="G2340" t="str">
            <v>Drawer back - Hậu hộc kéo</v>
          </cell>
          <cell r="H2340" t="str">
            <v>Wood US Poplar - Straight Edged, 2 COM - T38mm x W100mm Up x L1.8m Up</v>
          </cell>
          <cell r="I2340">
            <v>15</v>
          </cell>
        </row>
        <row r="2341">
          <cell r="A2341" t="str">
            <v>B557807/A</v>
          </cell>
          <cell r="B2341" t="str">
            <v>CZ069M191</v>
          </cell>
          <cell r="C2341">
            <v>5</v>
          </cell>
          <cell r="D2341">
            <v>544.11</v>
          </cell>
          <cell r="E2341">
            <v>2720.55</v>
          </cell>
          <cell r="F2341" t="str">
            <v>A3-S4</v>
          </cell>
          <cell r="G2341" t="str">
            <v>Drawer bottom  - Đáy hộc kéo</v>
          </cell>
          <cell r="H2341" t="str">
            <v>MDF - 06 x 1220 x 2440mm, Veneer Okoume 0.3mm Both Faces [CARB P2 Compliant]</v>
          </cell>
          <cell r="I2341">
            <v>15</v>
          </cell>
        </row>
        <row r="2342">
          <cell r="A2342" t="str">
            <v>B557807/A</v>
          </cell>
          <cell r="B2342" t="str">
            <v>CZ069M191</v>
          </cell>
          <cell r="C2342">
            <v>5</v>
          </cell>
          <cell r="D2342">
            <v>544.11</v>
          </cell>
          <cell r="E2342">
            <v>2720.55</v>
          </cell>
          <cell r="F2342" t="str">
            <v>A3-S6</v>
          </cell>
          <cell r="G2342" t="str">
            <v>Patching wood - Gỗ đắp</v>
          </cell>
          <cell r="H2342" t="str">
            <v>Wood US Poplar - Straight Edged, 2 COM - T38mm x W100mm Up x L1.8m Up</v>
          </cell>
          <cell r="I2342">
            <v>30</v>
          </cell>
        </row>
        <row r="2343">
          <cell r="A2343" t="str">
            <v>B557807/A</v>
          </cell>
          <cell r="B2343" t="str">
            <v>CZ069M191</v>
          </cell>
          <cell r="C2343">
            <v>5</v>
          </cell>
          <cell r="D2343">
            <v>544.11</v>
          </cell>
          <cell r="E2343">
            <v>2720.55</v>
          </cell>
          <cell r="F2343" t="str">
            <v>P01</v>
          </cell>
          <cell r="G2343" t="str">
            <v>Front Bottom Rail  - Đố đáy trước</v>
          </cell>
          <cell r="H2343" t="str">
            <v>Wood laminate</v>
          </cell>
          <cell r="I2343">
            <v>10</v>
          </cell>
        </row>
        <row r="2344">
          <cell r="A2344" t="str">
            <v>B557807/A</v>
          </cell>
          <cell r="B2344" t="str">
            <v>CZ069M191</v>
          </cell>
          <cell r="C2344">
            <v>5</v>
          </cell>
          <cell r="D2344">
            <v>544.11</v>
          </cell>
          <cell r="E2344">
            <v>2720.55</v>
          </cell>
          <cell r="F2344" t="str">
            <v>P02</v>
          </cell>
          <cell r="G2344" t="str">
            <v>Front top rail  - Đố tiền nóc</v>
          </cell>
          <cell r="H2344" t="str">
            <v>Wood laminate</v>
          </cell>
          <cell r="I2344">
            <v>5</v>
          </cell>
        </row>
        <row r="2345">
          <cell r="A2345" t="str">
            <v>B557807/A</v>
          </cell>
          <cell r="B2345" t="str">
            <v>CZ069M191</v>
          </cell>
          <cell r="C2345">
            <v>5</v>
          </cell>
          <cell r="D2345">
            <v>544.11</v>
          </cell>
          <cell r="E2345">
            <v>2720.55</v>
          </cell>
          <cell r="F2345" t="str">
            <v>P03</v>
          </cell>
          <cell r="G2345" t="str">
            <v xml:space="preserve">Top panel  - Ván nóc </v>
          </cell>
          <cell r="H2345" t="str">
            <v>MDF - 12 x 1830 x 2440mm [CARB P2 Compliant]</v>
          </cell>
          <cell r="I2345">
            <v>5</v>
          </cell>
        </row>
        <row r="2346">
          <cell r="A2346" t="str">
            <v>B557807/A</v>
          </cell>
          <cell r="B2346" t="str">
            <v>CZ069M191</v>
          </cell>
          <cell r="C2346">
            <v>5</v>
          </cell>
          <cell r="D2346">
            <v>544.11</v>
          </cell>
          <cell r="E2346">
            <v>2720.55</v>
          </cell>
          <cell r="F2346" t="str">
            <v>P04-1</v>
          </cell>
          <cell r="G2346" t="str">
            <v>Corner block - ke góc</v>
          </cell>
          <cell r="H2346" t="str">
            <v>Poplar off cut</v>
          </cell>
          <cell r="I2346">
            <v>10</v>
          </cell>
        </row>
        <row r="2347">
          <cell r="A2347" t="str">
            <v>B557807/A</v>
          </cell>
          <cell r="B2347" t="str">
            <v>CZ069M191</v>
          </cell>
          <cell r="C2347">
            <v>5</v>
          </cell>
          <cell r="D2347">
            <v>544.11</v>
          </cell>
          <cell r="E2347">
            <v>2720.55</v>
          </cell>
          <cell r="F2347" t="str">
            <v>P04-2</v>
          </cell>
          <cell r="G2347" t="str">
            <v>Corner block - ke góc</v>
          </cell>
          <cell r="H2347" t="str">
            <v>Poplar off cut</v>
          </cell>
          <cell r="I2347">
            <v>10</v>
          </cell>
        </row>
        <row r="2348">
          <cell r="A2348" t="str">
            <v>B557807/A</v>
          </cell>
          <cell r="B2348" t="str">
            <v>CZ069M191</v>
          </cell>
          <cell r="C2348">
            <v>5</v>
          </cell>
          <cell r="D2348">
            <v>544.11</v>
          </cell>
          <cell r="E2348">
            <v>2720.55</v>
          </cell>
          <cell r="F2348" t="str">
            <v>P04-3</v>
          </cell>
          <cell r="G2348" t="str">
            <v>Corner block - ke góc</v>
          </cell>
          <cell r="H2348" t="str">
            <v>Poplar off cut</v>
          </cell>
          <cell r="I2348">
            <v>20</v>
          </cell>
        </row>
        <row r="2349">
          <cell r="A2349" t="str">
            <v>B557807/A</v>
          </cell>
          <cell r="B2349" t="str">
            <v>CZ069M191</v>
          </cell>
          <cell r="C2349">
            <v>5</v>
          </cell>
          <cell r="D2349">
            <v>544.11</v>
          </cell>
          <cell r="E2349">
            <v>2720.55</v>
          </cell>
          <cell r="F2349" t="str">
            <v>P05</v>
          </cell>
          <cell r="G2349" t="str">
            <v>Partition panel - Vách ngăn</v>
          </cell>
          <cell r="H2349" t="str">
            <v>Wood US Poplar - Straight Edged, 2 COM - T25mm x W100mm Up x L1.8m Up</v>
          </cell>
          <cell r="I2349">
            <v>10</v>
          </cell>
        </row>
        <row r="2350">
          <cell r="A2350" t="str">
            <v>B557807/A</v>
          </cell>
          <cell r="B2350" t="str">
            <v>CZ069M191</v>
          </cell>
          <cell r="C2350">
            <v>5</v>
          </cell>
          <cell r="D2350">
            <v>544.11</v>
          </cell>
          <cell r="E2350">
            <v>2720.55</v>
          </cell>
          <cell r="F2350" t="str">
            <v>P06</v>
          </cell>
          <cell r="G2350" t="str">
            <v>Bottom panel - Ván đáy</v>
          </cell>
          <cell r="H2350" t="str">
            <v>MDF Veneer</v>
          </cell>
          <cell r="I2350">
            <v>5</v>
          </cell>
        </row>
        <row r="2351">
          <cell r="A2351" t="str">
            <v>B557807/A</v>
          </cell>
          <cell r="B2351" t="str">
            <v>CZ069M191</v>
          </cell>
          <cell r="C2351">
            <v>5</v>
          </cell>
          <cell r="D2351">
            <v>544.11</v>
          </cell>
          <cell r="E2351">
            <v>2720.55</v>
          </cell>
          <cell r="F2351" t="str">
            <v>P07</v>
          </cell>
          <cell r="G2351" t="str">
            <v>Patching wood - Gỗ đắp</v>
          </cell>
          <cell r="H2351" t="str">
            <v>Wood US Poplar - Straight Edged, 2 COM - T38mm x W100mm Up x L1.8m Up</v>
          </cell>
          <cell r="I2351">
            <v>10</v>
          </cell>
        </row>
        <row r="2352">
          <cell r="A2352" t="str">
            <v>B557807/A</v>
          </cell>
          <cell r="B2352" t="str">
            <v>CZ069M191</v>
          </cell>
          <cell r="C2352">
            <v>5</v>
          </cell>
          <cell r="D2352">
            <v>544.11</v>
          </cell>
          <cell r="E2352">
            <v>2720.55</v>
          </cell>
          <cell r="F2352" t="str">
            <v>P09</v>
          </cell>
          <cell r="G2352" t="str">
            <v>Back panel - Ván hậu</v>
          </cell>
          <cell r="H2352" t="str">
            <v>MDF - 15 x 1830 x 2440mm [CARB P2 Compliant]</v>
          </cell>
          <cell r="I2352">
            <v>5</v>
          </cell>
        </row>
        <row r="2353">
          <cell r="A2353" t="str">
            <v>B557807/A</v>
          </cell>
          <cell r="B2353" t="str">
            <v>CZ069M191</v>
          </cell>
          <cell r="C2353">
            <v>5</v>
          </cell>
          <cell r="D2353">
            <v>544.11</v>
          </cell>
          <cell r="E2353">
            <v>2720.55</v>
          </cell>
          <cell r="F2353" t="str">
            <v>P10</v>
          </cell>
          <cell r="G2353" t="str">
            <v>Center bottom rail - Đố đáy giữa</v>
          </cell>
          <cell r="H2353" t="str">
            <v>Wood US Poplar - Straight Edged, 2 COM - T38mm x W100mm Up x L1.8m Up</v>
          </cell>
          <cell r="I2353">
            <v>10</v>
          </cell>
        </row>
        <row r="2354">
          <cell r="A2354" t="str">
            <v>B557807/A</v>
          </cell>
          <cell r="B2354" t="str">
            <v>CZ069M191</v>
          </cell>
          <cell r="C2354">
            <v>5</v>
          </cell>
          <cell r="D2354">
            <v>544.11</v>
          </cell>
          <cell r="E2354">
            <v>2720.55</v>
          </cell>
          <cell r="F2354" t="str">
            <v>P11</v>
          </cell>
          <cell r="G2354" t="str">
            <v>Bottom panel - Ván đáy</v>
          </cell>
          <cell r="H2354" t="str">
            <v>MDF - 12 x 1830 x 2440mm [CARB P2 Compliant]</v>
          </cell>
          <cell r="I2354">
            <v>5</v>
          </cell>
        </row>
        <row r="2355">
          <cell r="A2355" t="str">
            <v>B557807/A</v>
          </cell>
          <cell r="B2355" t="str">
            <v>CZ069M191</v>
          </cell>
          <cell r="C2355">
            <v>5</v>
          </cell>
          <cell r="D2355">
            <v>544.11</v>
          </cell>
          <cell r="E2355">
            <v>2720.55</v>
          </cell>
          <cell r="F2355" t="str">
            <v>P12</v>
          </cell>
          <cell r="G2355" t="str">
            <v>Drawer stop - Dừng hộc</v>
          </cell>
          <cell r="H2355" t="str">
            <v>Poplar off cut</v>
          </cell>
          <cell r="I2355">
            <v>30</v>
          </cell>
        </row>
        <row r="2356">
          <cell r="A2356" t="str">
            <v>B557810/A</v>
          </cell>
          <cell r="B2356" t="str">
            <v>CZ127M08</v>
          </cell>
          <cell r="C2356">
            <v>6</v>
          </cell>
          <cell r="D2356">
            <v>513.64</v>
          </cell>
          <cell r="E2356">
            <v>3081.84</v>
          </cell>
          <cell r="F2356" t="str">
            <v>A1-S1</v>
          </cell>
          <cell r="G2356" t="str">
            <v>The leg  - Chân</v>
          </cell>
          <cell r="H2356" t="str">
            <v>Standard wood</v>
          </cell>
          <cell r="I2356">
            <v>24</v>
          </cell>
        </row>
        <row r="2357">
          <cell r="A2357" t="str">
            <v>B557810/A</v>
          </cell>
          <cell r="B2357" t="str">
            <v>CZ127M08</v>
          </cell>
          <cell r="C2357">
            <v>6</v>
          </cell>
          <cell r="D2357">
            <v>513.64</v>
          </cell>
          <cell r="E2357">
            <v>3081.84</v>
          </cell>
          <cell r="F2357" t="str">
            <v>A1-S2</v>
          </cell>
          <cell r="G2357" t="str">
            <v>front Top &amp; bottom rail  - Đố nóc và đố đáy trước</v>
          </cell>
          <cell r="H2357" t="str">
            <v>Wood laminate</v>
          </cell>
          <cell r="I2357">
            <v>12</v>
          </cell>
        </row>
        <row r="2358">
          <cell r="A2358" t="str">
            <v>B557810/A</v>
          </cell>
          <cell r="B2358" t="str">
            <v>CZ127M08</v>
          </cell>
          <cell r="C2358">
            <v>6</v>
          </cell>
          <cell r="D2358">
            <v>513.64</v>
          </cell>
          <cell r="E2358">
            <v>3081.84</v>
          </cell>
          <cell r="F2358" t="str">
            <v>A1-S3</v>
          </cell>
          <cell r="G2358" t="str">
            <v>Side top rail - Đố hông trên</v>
          </cell>
          <cell r="H2358" t="str">
            <v>Wood laminate</v>
          </cell>
          <cell r="I2358">
            <v>12</v>
          </cell>
        </row>
        <row r="2359">
          <cell r="A2359" t="str">
            <v>B557810/A</v>
          </cell>
          <cell r="B2359" t="str">
            <v>CZ127M08</v>
          </cell>
          <cell r="C2359">
            <v>6</v>
          </cell>
          <cell r="D2359">
            <v>513.64</v>
          </cell>
          <cell r="E2359">
            <v>3081.84</v>
          </cell>
          <cell r="F2359" t="str">
            <v>A1-S4</v>
          </cell>
          <cell r="G2359" t="str">
            <v>Center top rail - Đố nóc giữa</v>
          </cell>
          <cell r="H2359" t="str">
            <v>Wood laminate</v>
          </cell>
          <cell r="I2359">
            <v>6</v>
          </cell>
        </row>
        <row r="2360">
          <cell r="A2360" t="str">
            <v>B557810/A</v>
          </cell>
          <cell r="B2360" t="str">
            <v>CZ127M08</v>
          </cell>
          <cell r="C2360">
            <v>6</v>
          </cell>
          <cell r="D2360">
            <v>513.64</v>
          </cell>
          <cell r="E2360">
            <v>3081.84</v>
          </cell>
          <cell r="F2360" t="str">
            <v>A1-S5</v>
          </cell>
          <cell r="G2360" t="str">
            <v xml:space="preserve">Top panel  - Ván nóc </v>
          </cell>
          <cell r="H2360" t="str">
            <v>MDF Veneer</v>
          </cell>
          <cell r="I2360">
            <v>6</v>
          </cell>
        </row>
        <row r="2361">
          <cell r="A2361" t="str">
            <v>B557810/A</v>
          </cell>
          <cell r="B2361" t="str">
            <v>CZ127M08</v>
          </cell>
          <cell r="C2361">
            <v>6</v>
          </cell>
          <cell r="D2361">
            <v>513.64</v>
          </cell>
          <cell r="E2361">
            <v>3081.84</v>
          </cell>
          <cell r="F2361" t="str">
            <v>A1-S6</v>
          </cell>
          <cell r="G2361" t="str">
            <v>Center rail - Đố giữa</v>
          </cell>
          <cell r="H2361" t="str">
            <v>MDF OFF CUT</v>
          </cell>
          <cell r="I2361">
            <v>24</v>
          </cell>
        </row>
        <row r="2362">
          <cell r="A2362" t="str">
            <v>B557810/A</v>
          </cell>
          <cell r="B2362" t="str">
            <v>CZ127M08</v>
          </cell>
          <cell r="C2362">
            <v>6</v>
          </cell>
          <cell r="D2362">
            <v>513.64</v>
          </cell>
          <cell r="E2362">
            <v>3081.84</v>
          </cell>
          <cell r="F2362" t="str">
            <v>A1-S7</v>
          </cell>
          <cell r="G2362" t="str">
            <v>Dust board Panel  - Ván quét bụi</v>
          </cell>
          <cell r="H2362" t="str">
            <v>MDF Veneer</v>
          </cell>
          <cell r="I2362">
            <v>6</v>
          </cell>
        </row>
        <row r="2363">
          <cell r="A2363" t="str">
            <v>B557810/A</v>
          </cell>
          <cell r="B2363" t="str">
            <v>CZ127M08</v>
          </cell>
          <cell r="C2363">
            <v>6</v>
          </cell>
          <cell r="D2363">
            <v>513.64</v>
          </cell>
          <cell r="E2363">
            <v>3081.84</v>
          </cell>
          <cell r="F2363" t="str">
            <v>A1-S9-1</v>
          </cell>
          <cell r="G2363" t="str">
            <v>Corner block - ke góc</v>
          </cell>
          <cell r="H2363" t="str">
            <v>Poplar off cut</v>
          </cell>
          <cell r="I2363">
            <v>24</v>
          </cell>
        </row>
        <row r="2364">
          <cell r="A2364" t="str">
            <v>B557810/A</v>
          </cell>
          <cell r="B2364" t="str">
            <v>CZ127M08</v>
          </cell>
          <cell r="C2364">
            <v>6</v>
          </cell>
          <cell r="D2364">
            <v>513.64</v>
          </cell>
          <cell r="E2364">
            <v>3081.84</v>
          </cell>
          <cell r="F2364" t="str">
            <v>A2-S1</v>
          </cell>
          <cell r="G2364" t="str">
            <v>Front Bottom Rail  - Đố đáy trước</v>
          </cell>
          <cell r="H2364" t="str">
            <v>Wood laminate</v>
          </cell>
          <cell r="I2364">
            <v>12</v>
          </cell>
        </row>
        <row r="2365">
          <cell r="A2365" t="str">
            <v>B557810/A</v>
          </cell>
          <cell r="B2365" t="str">
            <v>CZ127M08</v>
          </cell>
          <cell r="C2365">
            <v>6</v>
          </cell>
          <cell r="D2365">
            <v>513.64</v>
          </cell>
          <cell r="E2365">
            <v>3081.84</v>
          </cell>
          <cell r="F2365" t="str">
            <v>A2-S2</v>
          </cell>
          <cell r="G2365" t="str">
            <v>Side bottom rail - Đố hông dưới</v>
          </cell>
          <cell r="H2365" t="str">
            <v>Wood laminate</v>
          </cell>
          <cell r="I2365">
            <v>12</v>
          </cell>
        </row>
        <row r="2366">
          <cell r="A2366" t="str">
            <v>B557810/A</v>
          </cell>
          <cell r="B2366" t="str">
            <v>CZ127M08</v>
          </cell>
          <cell r="C2366">
            <v>6</v>
          </cell>
          <cell r="D2366">
            <v>513.64</v>
          </cell>
          <cell r="E2366">
            <v>3081.84</v>
          </cell>
          <cell r="F2366" t="str">
            <v>A2-S3</v>
          </cell>
          <cell r="G2366" t="str">
            <v>Center rail - Đố giữa</v>
          </cell>
          <cell r="H2366" t="str">
            <v>MDF OFF CUT</v>
          </cell>
          <cell r="I2366">
            <v>24</v>
          </cell>
        </row>
        <row r="2367">
          <cell r="A2367" t="str">
            <v>B557810/A</v>
          </cell>
          <cell r="B2367" t="str">
            <v>CZ127M08</v>
          </cell>
          <cell r="C2367">
            <v>6</v>
          </cell>
          <cell r="D2367">
            <v>513.64</v>
          </cell>
          <cell r="E2367">
            <v>3081.84</v>
          </cell>
          <cell r="F2367" t="str">
            <v>A2-S4</v>
          </cell>
          <cell r="G2367" t="str">
            <v xml:space="preserve">Top panel  - Ván nóc </v>
          </cell>
          <cell r="H2367" t="str">
            <v>MDF Veneer</v>
          </cell>
          <cell r="I2367">
            <v>6</v>
          </cell>
        </row>
        <row r="2368">
          <cell r="A2368" t="str">
            <v>B557810/A</v>
          </cell>
          <cell r="B2368" t="str">
            <v>CZ127M08</v>
          </cell>
          <cell r="C2368">
            <v>6</v>
          </cell>
          <cell r="D2368">
            <v>513.64</v>
          </cell>
          <cell r="E2368">
            <v>3081.84</v>
          </cell>
          <cell r="F2368" t="str">
            <v>A2-S5</v>
          </cell>
          <cell r="G2368" t="str">
            <v>Corner block - ke góc</v>
          </cell>
          <cell r="H2368" t="str">
            <v>Poplar off cut</v>
          </cell>
          <cell r="I2368">
            <v>24</v>
          </cell>
        </row>
        <row r="2369">
          <cell r="A2369" t="str">
            <v>B557810/A</v>
          </cell>
          <cell r="B2369" t="str">
            <v>CZ127M08</v>
          </cell>
          <cell r="C2369">
            <v>6</v>
          </cell>
          <cell r="D2369">
            <v>513.64</v>
          </cell>
          <cell r="E2369">
            <v>3081.84</v>
          </cell>
          <cell r="F2369" t="str">
            <v>A2-S6</v>
          </cell>
          <cell r="G2369" t="str">
            <v>Dust board Panel  - Ván quét bụi</v>
          </cell>
          <cell r="H2369" t="str">
            <v>MDF - 06 x 1830 x 2440mm [CARB P2 Compliant]</v>
          </cell>
          <cell r="I2369">
            <v>6</v>
          </cell>
        </row>
        <row r="2370">
          <cell r="A2370" t="str">
            <v>B557810/A</v>
          </cell>
          <cell r="B2370" t="str">
            <v>CZ127M08</v>
          </cell>
          <cell r="C2370">
            <v>6</v>
          </cell>
          <cell r="D2370">
            <v>513.64</v>
          </cell>
          <cell r="E2370">
            <v>3081.84</v>
          </cell>
          <cell r="F2370" t="str">
            <v>A2-S7</v>
          </cell>
          <cell r="G2370" t="str">
            <v>Dust board Panel  - Ván quét bụi</v>
          </cell>
          <cell r="H2370" t="str">
            <v>MDF - 06 x 1830 x 2440mm [CARB P2 Compliant]</v>
          </cell>
          <cell r="I2370">
            <v>24</v>
          </cell>
        </row>
        <row r="2371">
          <cell r="A2371" t="str">
            <v>B557810/A</v>
          </cell>
          <cell r="B2371" t="str">
            <v>CZ127M08</v>
          </cell>
          <cell r="C2371">
            <v>6</v>
          </cell>
          <cell r="D2371">
            <v>513.64</v>
          </cell>
          <cell r="E2371">
            <v>3081.84</v>
          </cell>
          <cell r="F2371" t="str">
            <v>A2-S8</v>
          </cell>
          <cell r="G2371" t="str">
            <v>Corner block - ke góc</v>
          </cell>
          <cell r="H2371" t="str">
            <v>Standard Wood - ALDER/ASPEN/LENGA/US POPLAR, 2 COM - T38 W120mm+ L2m+</v>
          </cell>
          <cell r="I2371">
            <v>24</v>
          </cell>
        </row>
        <row r="2372">
          <cell r="A2372" t="str">
            <v>B557810/A</v>
          </cell>
          <cell r="B2372" t="str">
            <v>CZ127M08</v>
          </cell>
          <cell r="C2372">
            <v>6</v>
          </cell>
          <cell r="D2372">
            <v>513.64</v>
          </cell>
          <cell r="E2372">
            <v>3081.84</v>
          </cell>
          <cell r="F2372" t="str">
            <v>A2-S9</v>
          </cell>
          <cell r="G2372" t="str">
            <v>Center rail - Đố giữa</v>
          </cell>
          <cell r="H2372" t="str">
            <v>Wood laminate</v>
          </cell>
          <cell r="I2372">
            <v>6</v>
          </cell>
        </row>
        <row r="2373">
          <cell r="A2373" t="str">
            <v>B557811/A</v>
          </cell>
          <cell r="B2373" t="str">
            <v>CZ127M08</v>
          </cell>
          <cell r="C2373">
            <v>6</v>
          </cell>
          <cell r="D2373">
            <v>513.64</v>
          </cell>
          <cell r="E2373">
            <v>3081.84</v>
          </cell>
          <cell r="F2373" t="str">
            <v>A1-S1</v>
          </cell>
          <cell r="G2373" t="str">
            <v>The leg  - Chân</v>
          </cell>
          <cell r="H2373" t="str">
            <v>Standard wood</v>
          </cell>
          <cell r="I2373">
            <v>24</v>
          </cell>
        </row>
        <row r="2374">
          <cell r="A2374" t="str">
            <v>B557811/A</v>
          </cell>
          <cell r="B2374" t="str">
            <v>CZ127M08</v>
          </cell>
          <cell r="C2374">
            <v>6</v>
          </cell>
          <cell r="D2374">
            <v>513.64</v>
          </cell>
          <cell r="E2374">
            <v>3081.84</v>
          </cell>
          <cell r="F2374" t="str">
            <v>A1-S2</v>
          </cell>
          <cell r="G2374" t="str">
            <v>front Top &amp; bottom rail  - Đố nóc và đố đáy trước</v>
          </cell>
          <cell r="H2374" t="str">
            <v>Wood laminate</v>
          </cell>
          <cell r="I2374">
            <v>12</v>
          </cell>
        </row>
        <row r="2375">
          <cell r="A2375" t="str">
            <v>B557811/A</v>
          </cell>
          <cell r="B2375" t="str">
            <v>CZ127M08</v>
          </cell>
          <cell r="C2375">
            <v>6</v>
          </cell>
          <cell r="D2375">
            <v>513.64</v>
          </cell>
          <cell r="E2375">
            <v>3081.84</v>
          </cell>
          <cell r="F2375" t="str">
            <v>A1-S3</v>
          </cell>
          <cell r="G2375" t="str">
            <v>Side top rail - Đố hông trên</v>
          </cell>
          <cell r="H2375" t="str">
            <v>Wood laminate</v>
          </cell>
          <cell r="I2375">
            <v>12</v>
          </cell>
        </row>
        <row r="2376">
          <cell r="A2376" t="str">
            <v>B557811/A</v>
          </cell>
          <cell r="B2376" t="str">
            <v>CZ127M08</v>
          </cell>
          <cell r="C2376">
            <v>6</v>
          </cell>
          <cell r="D2376">
            <v>513.64</v>
          </cell>
          <cell r="E2376">
            <v>3081.84</v>
          </cell>
          <cell r="F2376" t="str">
            <v>A1-S4</v>
          </cell>
          <cell r="G2376" t="str">
            <v>Center top rail - Đố nóc giữa</v>
          </cell>
          <cell r="H2376" t="str">
            <v>Wood laminate</v>
          </cell>
          <cell r="I2376">
            <v>6</v>
          </cell>
        </row>
        <row r="2377">
          <cell r="A2377" t="str">
            <v>B557811/A</v>
          </cell>
          <cell r="B2377" t="str">
            <v>CZ127M08</v>
          </cell>
          <cell r="C2377">
            <v>6</v>
          </cell>
          <cell r="D2377">
            <v>513.64</v>
          </cell>
          <cell r="E2377">
            <v>3081.84</v>
          </cell>
          <cell r="F2377" t="str">
            <v>A1-S5</v>
          </cell>
          <cell r="G2377" t="str">
            <v xml:space="preserve">Top panel  - Ván nóc </v>
          </cell>
          <cell r="H2377" t="str">
            <v>MDF Veneer</v>
          </cell>
          <cell r="I2377">
            <v>6</v>
          </cell>
        </row>
        <row r="2378">
          <cell r="A2378" t="str">
            <v>B557811/A</v>
          </cell>
          <cell r="B2378" t="str">
            <v>CZ127M08</v>
          </cell>
          <cell r="C2378">
            <v>6</v>
          </cell>
          <cell r="D2378">
            <v>513.64</v>
          </cell>
          <cell r="E2378">
            <v>3081.84</v>
          </cell>
          <cell r="F2378" t="str">
            <v>A1-S6</v>
          </cell>
          <cell r="G2378" t="str">
            <v>Center rail - Đố giữa</v>
          </cell>
          <cell r="H2378" t="str">
            <v>MDF OFF CUT</v>
          </cell>
          <cell r="I2378">
            <v>24</v>
          </cell>
        </row>
        <row r="2379">
          <cell r="A2379" t="str">
            <v>B557811/A</v>
          </cell>
          <cell r="B2379" t="str">
            <v>CZ127M08</v>
          </cell>
          <cell r="C2379">
            <v>6</v>
          </cell>
          <cell r="D2379">
            <v>513.64</v>
          </cell>
          <cell r="E2379">
            <v>3081.84</v>
          </cell>
          <cell r="F2379" t="str">
            <v>A1-S7</v>
          </cell>
          <cell r="G2379" t="str">
            <v>Dust board Panel  - Ván quét bụi</v>
          </cell>
          <cell r="H2379" t="str">
            <v>MDF Veneer</v>
          </cell>
          <cell r="I2379">
            <v>6</v>
          </cell>
        </row>
        <row r="2380">
          <cell r="A2380" t="str">
            <v>B557811/A</v>
          </cell>
          <cell r="B2380" t="str">
            <v>CZ127M08</v>
          </cell>
          <cell r="C2380">
            <v>6</v>
          </cell>
          <cell r="D2380">
            <v>513.64</v>
          </cell>
          <cell r="E2380">
            <v>3081.84</v>
          </cell>
          <cell r="F2380" t="str">
            <v>A1-S9-1</v>
          </cell>
          <cell r="G2380" t="str">
            <v>Corner block - ke góc</v>
          </cell>
          <cell r="H2380" t="str">
            <v>Poplar off cut</v>
          </cell>
          <cell r="I2380">
            <v>24</v>
          </cell>
        </row>
        <row r="2381">
          <cell r="A2381" t="str">
            <v>B557811/A</v>
          </cell>
          <cell r="B2381" t="str">
            <v>CZ127M08</v>
          </cell>
          <cell r="C2381">
            <v>6</v>
          </cell>
          <cell r="D2381">
            <v>513.64</v>
          </cell>
          <cell r="E2381">
            <v>3081.84</v>
          </cell>
          <cell r="F2381" t="str">
            <v>A2-S1</v>
          </cell>
          <cell r="G2381" t="str">
            <v>Front Bottom Rail  - Đố đáy trước</v>
          </cell>
          <cell r="H2381" t="str">
            <v>Wood laminate</v>
          </cell>
          <cell r="I2381">
            <v>12</v>
          </cell>
        </row>
        <row r="2382">
          <cell r="A2382" t="str">
            <v>B557811/A</v>
          </cell>
          <cell r="B2382" t="str">
            <v>CZ127M08</v>
          </cell>
          <cell r="C2382">
            <v>6</v>
          </cell>
          <cell r="D2382">
            <v>513.64</v>
          </cell>
          <cell r="E2382">
            <v>3081.84</v>
          </cell>
          <cell r="F2382" t="str">
            <v>A2-S2</v>
          </cell>
          <cell r="G2382" t="str">
            <v>Side bottom rail - Đố hông dưới</v>
          </cell>
          <cell r="H2382" t="str">
            <v>Wood laminate</v>
          </cell>
          <cell r="I2382">
            <v>12</v>
          </cell>
        </row>
        <row r="2383">
          <cell r="A2383" t="str">
            <v>B557811/A</v>
          </cell>
          <cell r="B2383" t="str">
            <v>CZ127M08</v>
          </cell>
          <cell r="C2383">
            <v>6</v>
          </cell>
          <cell r="D2383">
            <v>513.64</v>
          </cell>
          <cell r="E2383">
            <v>3081.84</v>
          </cell>
          <cell r="F2383" t="str">
            <v>A2-S3</v>
          </cell>
          <cell r="G2383" t="str">
            <v>Center rail - Đố giữa</v>
          </cell>
          <cell r="H2383" t="str">
            <v>MDF OFF CUT</v>
          </cell>
          <cell r="I2383">
            <v>24</v>
          </cell>
        </row>
        <row r="2384">
          <cell r="A2384" t="str">
            <v>B557811/A</v>
          </cell>
          <cell r="B2384" t="str">
            <v>CZ127M08</v>
          </cell>
          <cell r="C2384">
            <v>6</v>
          </cell>
          <cell r="D2384">
            <v>513.64</v>
          </cell>
          <cell r="E2384">
            <v>3081.84</v>
          </cell>
          <cell r="F2384" t="str">
            <v>A2-S4</v>
          </cell>
          <cell r="G2384" t="str">
            <v xml:space="preserve">Top panel  - Ván nóc </v>
          </cell>
          <cell r="H2384" t="str">
            <v>MDF Veneer</v>
          </cell>
          <cell r="I2384">
            <v>6</v>
          </cell>
        </row>
        <row r="2385">
          <cell r="A2385" t="str">
            <v>B557811/A</v>
          </cell>
          <cell r="B2385" t="str">
            <v>CZ127M08</v>
          </cell>
          <cell r="C2385">
            <v>6</v>
          </cell>
          <cell r="D2385">
            <v>513.64</v>
          </cell>
          <cell r="E2385">
            <v>3081.84</v>
          </cell>
          <cell r="F2385" t="str">
            <v>A2-S5</v>
          </cell>
          <cell r="G2385" t="str">
            <v>Corner block - ke góc</v>
          </cell>
          <cell r="H2385" t="str">
            <v>Poplar off cut</v>
          </cell>
          <cell r="I2385">
            <v>24</v>
          </cell>
        </row>
        <row r="2386">
          <cell r="A2386" t="str">
            <v>B557811/A</v>
          </cell>
          <cell r="B2386" t="str">
            <v>CZ127M08</v>
          </cell>
          <cell r="C2386">
            <v>6</v>
          </cell>
          <cell r="D2386">
            <v>513.64</v>
          </cell>
          <cell r="E2386">
            <v>3081.84</v>
          </cell>
          <cell r="F2386" t="str">
            <v>A2-S6</v>
          </cell>
          <cell r="G2386" t="str">
            <v>Dust board Panel  - Ván quét bụi</v>
          </cell>
          <cell r="H2386" t="str">
            <v>MDF - 06 x 1830 x 2440mm [CARB P2 Compliant]</v>
          </cell>
          <cell r="I2386">
            <v>6</v>
          </cell>
        </row>
        <row r="2387">
          <cell r="A2387" t="str">
            <v>B557811/A</v>
          </cell>
          <cell r="B2387" t="str">
            <v>CZ127M08</v>
          </cell>
          <cell r="C2387">
            <v>6</v>
          </cell>
          <cell r="D2387">
            <v>513.64</v>
          </cell>
          <cell r="E2387">
            <v>3081.84</v>
          </cell>
          <cell r="F2387" t="str">
            <v>A2-S7</v>
          </cell>
          <cell r="G2387" t="str">
            <v>Dust board Panel  - Ván quét bụi</v>
          </cell>
          <cell r="H2387" t="str">
            <v>MDF - 06 x 1830 x 2440mm [CARB P2 Compliant]</v>
          </cell>
          <cell r="I2387">
            <v>24</v>
          </cell>
        </row>
        <row r="2388">
          <cell r="A2388" t="str">
            <v>B557811/A</v>
          </cell>
          <cell r="B2388" t="str">
            <v>CZ127M08</v>
          </cell>
          <cell r="C2388">
            <v>6</v>
          </cell>
          <cell r="D2388">
            <v>513.64</v>
          </cell>
          <cell r="E2388">
            <v>3081.84</v>
          </cell>
          <cell r="F2388" t="str">
            <v>A2-S8</v>
          </cell>
          <cell r="G2388" t="str">
            <v>Corner block - ke góc</v>
          </cell>
          <cell r="H2388" t="str">
            <v>Standard Wood - ALDER/ASPEN/LENGA/US POPLAR, 2 COM - T38 W120mm+ L2m+</v>
          </cell>
          <cell r="I2388">
            <v>24</v>
          </cell>
        </row>
        <row r="2389">
          <cell r="A2389" t="str">
            <v>B557811/A</v>
          </cell>
          <cell r="B2389" t="str">
            <v>CZ127M08</v>
          </cell>
          <cell r="C2389">
            <v>6</v>
          </cell>
          <cell r="D2389">
            <v>513.64</v>
          </cell>
          <cell r="E2389">
            <v>3081.84</v>
          </cell>
          <cell r="F2389" t="str">
            <v>A2-S9</v>
          </cell>
          <cell r="G2389" t="str">
            <v>Center rail - Đố giữa</v>
          </cell>
          <cell r="H2389" t="str">
            <v>Wood laminate</v>
          </cell>
          <cell r="I2389">
            <v>6</v>
          </cell>
        </row>
        <row r="2390">
          <cell r="A2390" t="str">
            <v>B557814/A</v>
          </cell>
          <cell r="B2390" t="str">
            <v>CZ127M09</v>
          </cell>
          <cell r="C2390">
            <v>10</v>
          </cell>
          <cell r="D2390">
            <v>513.64</v>
          </cell>
          <cell r="E2390">
            <v>5136.3999999999996</v>
          </cell>
          <cell r="F2390" t="str">
            <v>A1-S1</v>
          </cell>
          <cell r="G2390" t="str">
            <v>The leg  - Chân</v>
          </cell>
          <cell r="H2390" t="str">
            <v>Standard wood</v>
          </cell>
          <cell r="I2390">
            <v>40</v>
          </cell>
        </row>
        <row r="2391">
          <cell r="A2391" t="str">
            <v>B557814/A</v>
          </cell>
          <cell r="B2391" t="str">
            <v>CZ127M09</v>
          </cell>
          <cell r="C2391">
            <v>10</v>
          </cell>
          <cell r="D2391">
            <v>513.64</v>
          </cell>
          <cell r="E2391">
            <v>5136.3999999999996</v>
          </cell>
          <cell r="F2391" t="str">
            <v>A1-S2</v>
          </cell>
          <cell r="G2391" t="str">
            <v>front Top &amp; bottom rail  - Đố nóc và đố đáy trước</v>
          </cell>
          <cell r="H2391" t="str">
            <v>Wood laminate</v>
          </cell>
          <cell r="I2391">
            <v>20</v>
          </cell>
        </row>
        <row r="2392">
          <cell r="A2392" t="str">
            <v>B557814/A</v>
          </cell>
          <cell r="B2392" t="str">
            <v>CZ127M09</v>
          </cell>
          <cell r="C2392">
            <v>10</v>
          </cell>
          <cell r="D2392">
            <v>513.64</v>
          </cell>
          <cell r="E2392">
            <v>5136.3999999999996</v>
          </cell>
          <cell r="F2392" t="str">
            <v>A1-S3</v>
          </cell>
          <cell r="G2392" t="str">
            <v>Side top rail - Đố hông trên</v>
          </cell>
          <cell r="H2392" t="str">
            <v>Wood laminate</v>
          </cell>
          <cell r="I2392">
            <v>20</v>
          </cell>
        </row>
        <row r="2393">
          <cell r="A2393" t="str">
            <v>B557814/A</v>
          </cell>
          <cell r="B2393" t="str">
            <v>CZ127M09</v>
          </cell>
          <cell r="C2393">
            <v>10</v>
          </cell>
          <cell r="D2393">
            <v>513.64</v>
          </cell>
          <cell r="E2393">
            <v>5136.3999999999996</v>
          </cell>
          <cell r="F2393" t="str">
            <v>A1-S4</v>
          </cell>
          <cell r="G2393" t="str">
            <v>Center top rail - Đố nóc giữa</v>
          </cell>
          <cell r="H2393" t="str">
            <v>Wood laminate</v>
          </cell>
          <cell r="I2393">
            <v>10</v>
          </cell>
        </row>
        <row r="2394">
          <cell r="A2394" t="str">
            <v>B557814/A</v>
          </cell>
          <cell r="B2394" t="str">
            <v>CZ127M09</v>
          </cell>
          <cell r="C2394">
            <v>10</v>
          </cell>
          <cell r="D2394">
            <v>513.64</v>
          </cell>
          <cell r="E2394">
            <v>5136.3999999999996</v>
          </cell>
          <cell r="F2394" t="str">
            <v>A1-S5</v>
          </cell>
          <cell r="G2394" t="str">
            <v xml:space="preserve">Top panel  - Ván nóc </v>
          </cell>
          <cell r="H2394" t="str">
            <v>MDF Veneer</v>
          </cell>
          <cell r="I2394">
            <v>10</v>
          </cell>
        </row>
        <row r="2395">
          <cell r="A2395" t="str">
            <v>B557814/A</v>
          </cell>
          <cell r="B2395" t="str">
            <v>CZ127M09</v>
          </cell>
          <cell r="C2395">
            <v>10</v>
          </cell>
          <cell r="D2395">
            <v>513.64</v>
          </cell>
          <cell r="E2395">
            <v>5136.3999999999996</v>
          </cell>
          <cell r="F2395" t="str">
            <v>A1-S6</v>
          </cell>
          <cell r="G2395" t="str">
            <v>Center rail - Đố giữa</v>
          </cell>
          <cell r="H2395" t="str">
            <v>MDF OFF CUT</v>
          </cell>
          <cell r="I2395">
            <v>40</v>
          </cell>
        </row>
        <row r="2396">
          <cell r="A2396" t="str">
            <v>B557814/A</v>
          </cell>
          <cell r="B2396" t="str">
            <v>CZ127M09</v>
          </cell>
          <cell r="C2396">
            <v>10</v>
          </cell>
          <cell r="D2396">
            <v>513.64</v>
          </cell>
          <cell r="E2396">
            <v>5136.3999999999996</v>
          </cell>
          <cell r="F2396" t="str">
            <v>A1-S7</v>
          </cell>
          <cell r="G2396" t="str">
            <v>Dust board Panel  - Ván quét bụi</v>
          </cell>
          <cell r="H2396" t="str">
            <v>MDF Veneer</v>
          </cell>
          <cell r="I2396">
            <v>10</v>
          </cell>
        </row>
        <row r="2397">
          <cell r="A2397" t="str">
            <v>B557814/A</v>
          </cell>
          <cell r="B2397" t="str">
            <v>CZ127M09</v>
          </cell>
          <cell r="C2397">
            <v>10</v>
          </cell>
          <cell r="D2397">
            <v>513.64</v>
          </cell>
          <cell r="E2397">
            <v>5136.3999999999996</v>
          </cell>
          <cell r="F2397" t="str">
            <v>A1-S9-1</v>
          </cell>
          <cell r="G2397" t="str">
            <v>Corner block - ke góc</v>
          </cell>
          <cell r="H2397" t="str">
            <v>Poplar off cut</v>
          </cell>
          <cell r="I2397">
            <v>40</v>
          </cell>
        </row>
        <row r="2398">
          <cell r="A2398" t="str">
            <v>B557814/A</v>
          </cell>
          <cell r="B2398" t="str">
            <v>CZ127M09</v>
          </cell>
          <cell r="C2398">
            <v>10</v>
          </cell>
          <cell r="D2398">
            <v>513.64</v>
          </cell>
          <cell r="E2398">
            <v>5136.3999999999996</v>
          </cell>
          <cell r="F2398" t="str">
            <v>A2-S1</v>
          </cell>
          <cell r="G2398" t="str">
            <v>Front Bottom Rail  - Đố đáy trước</v>
          </cell>
          <cell r="H2398" t="str">
            <v>Wood laminate</v>
          </cell>
          <cell r="I2398">
            <v>20</v>
          </cell>
        </row>
        <row r="2399">
          <cell r="A2399" t="str">
            <v>B557814/A</v>
          </cell>
          <cell r="B2399" t="str">
            <v>CZ127M09</v>
          </cell>
          <cell r="C2399">
            <v>10</v>
          </cell>
          <cell r="D2399">
            <v>513.64</v>
          </cell>
          <cell r="E2399">
            <v>5136.3999999999996</v>
          </cell>
          <cell r="F2399" t="str">
            <v>A2-S2</v>
          </cell>
          <cell r="G2399" t="str">
            <v>Side bottom rail - Đố hông dưới</v>
          </cell>
          <cell r="H2399" t="str">
            <v>Wood laminate</v>
          </cell>
          <cell r="I2399">
            <v>20</v>
          </cell>
        </row>
        <row r="2400">
          <cell r="A2400" t="str">
            <v>B557814/A</v>
          </cell>
          <cell r="B2400" t="str">
            <v>CZ127M09</v>
          </cell>
          <cell r="C2400">
            <v>10</v>
          </cell>
          <cell r="D2400">
            <v>513.64</v>
          </cell>
          <cell r="E2400">
            <v>5136.3999999999996</v>
          </cell>
          <cell r="F2400" t="str">
            <v>A2-S3</v>
          </cell>
          <cell r="G2400" t="str">
            <v>Center rail - Đố giữa</v>
          </cell>
          <cell r="H2400" t="str">
            <v>MDF OFF CUT</v>
          </cell>
          <cell r="I2400">
            <v>40</v>
          </cell>
        </row>
        <row r="2401">
          <cell r="A2401" t="str">
            <v>B557814/A</v>
          </cell>
          <cell r="B2401" t="str">
            <v>CZ127M09</v>
          </cell>
          <cell r="C2401">
            <v>10</v>
          </cell>
          <cell r="D2401">
            <v>513.64</v>
          </cell>
          <cell r="E2401">
            <v>5136.3999999999996</v>
          </cell>
          <cell r="F2401" t="str">
            <v>A2-S4</v>
          </cell>
          <cell r="G2401" t="str">
            <v xml:space="preserve">Top panel  - Ván nóc </v>
          </cell>
          <cell r="H2401" t="str">
            <v>MDF Veneer</v>
          </cell>
          <cell r="I2401">
            <v>10</v>
          </cell>
        </row>
        <row r="2402">
          <cell r="A2402" t="str">
            <v>B557814/A</v>
          </cell>
          <cell r="B2402" t="str">
            <v>CZ127M09</v>
          </cell>
          <cell r="C2402">
            <v>10</v>
          </cell>
          <cell r="D2402">
            <v>513.64</v>
          </cell>
          <cell r="E2402">
            <v>5136.3999999999996</v>
          </cell>
          <cell r="F2402" t="str">
            <v>A2-S5</v>
          </cell>
          <cell r="G2402" t="str">
            <v>Corner block - ke góc</v>
          </cell>
          <cell r="H2402" t="str">
            <v>Poplar off cut</v>
          </cell>
          <cell r="I2402">
            <v>40</v>
          </cell>
        </row>
        <row r="2403">
          <cell r="A2403" t="str">
            <v>B557814/A</v>
          </cell>
          <cell r="B2403" t="str">
            <v>CZ127M09</v>
          </cell>
          <cell r="C2403">
            <v>10</v>
          </cell>
          <cell r="D2403">
            <v>513.64</v>
          </cell>
          <cell r="E2403">
            <v>5136.3999999999996</v>
          </cell>
          <cell r="F2403" t="str">
            <v>A2-S6</v>
          </cell>
          <cell r="G2403" t="str">
            <v>Dust board Panel  - Ván quét bụi</v>
          </cell>
          <cell r="H2403" t="str">
            <v>MDF - 06 x 1830 x 2440mm [CARB P2 Compliant]</v>
          </cell>
          <cell r="I2403">
            <v>10</v>
          </cell>
        </row>
        <row r="2404">
          <cell r="A2404" t="str">
            <v>B557814/A</v>
          </cell>
          <cell r="B2404" t="str">
            <v>CZ127M09</v>
          </cell>
          <cell r="C2404">
            <v>10</v>
          </cell>
          <cell r="D2404">
            <v>513.64</v>
          </cell>
          <cell r="E2404">
            <v>5136.3999999999996</v>
          </cell>
          <cell r="F2404" t="str">
            <v>A2-S7</v>
          </cell>
          <cell r="G2404" t="str">
            <v>Dust board Panel  - Ván quét bụi</v>
          </cell>
          <cell r="H2404" t="str">
            <v>MDF - 06 x 1830 x 2440mm [CARB P2 Compliant]</v>
          </cell>
          <cell r="I2404">
            <v>40</v>
          </cell>
        </row>
        <row r="2405">
          <cell r="A2405" t="str">
            <v>B557814/A</v>
          </cell>
          <cell r="B2405" t="str">
            <v>CZ127M09</v>
          </cell>
          <cell r="C2405">
            <v>10</v>
          </cell>
          <cell r="D2405">
            <v>513.64</v>
          </cell>
          <cell r="E2405">
            <v>5136.3999999999996</v>
          </cell>
          <cell r="F2405" t="str">
            <v>A2-S8</v>
          </cell>
          <cell r="G2405" t="str">
            <v>Corner block - ke góc</v>
          </cell>
          <cell r="H2405" t="str">
            <v>Standard Wood - ALDER/ASPEN/LENGA/US POPLAR, 2 COM - T38 W120mm+ L2m+</v>
          </cell>
          <cell r="I2405">
            <v>40</v>
          </cell>
        </row>
        <row r="2406">
          <cell r="A2406" t="str">
            <v>B557814/A</v>
          </cell>
          <cell r="B2406" t="str">
            <v>CZ127M09</v>
          </cell>
          <cell r="C2406">
            <v>10</v>
          </cell>
          <cell r="D2406">
            <v>513.64</v>
          </cell>
          <cell r="E2406">
            <v>5136.3999999999996</v>
          </cell>
          <cell r="F2406" t="str">
            <v>A2-S9</v>
          </cell>
          <cell r="G2406" t="str">
            <v>Center rail - Đố giữa</v>
          </cell>
          <cell r="H2406" t="str">
            <v>Wood laminate</v>
          </cell>
          <cell r="I2406">
            <v>10</v>
          </cell>
        </row>
        <row r="2407">
          <cell r="A2407" t="str">
            <v>B557815/A</v>
          </cell>
          <cell r="B2407" t="str">
            <v>CZ127M09</v>
          </cell>
          <cell r="C2407">
            <v>10</v>
          </cell>
          <cell r="D2407">
            <v>513.64</v>
          </cell>
          <cell r="E2407">
            <v>5136.3999999999996</v>
          </cell>
          <cell r="F2407" t="str">
            <v>A1-S1</v>
          </cell>
          <cell r="G2407" t="str">
            <v>The leg  - Chân</v>
          </cell>
          <cell r="H2407" t="str">
            <v>Standard wood</v>
          </cell>
          <cell r="I2407">
            <v>40</v>
          </cell>
        </row>
        <row r="2408">
          <cell r="A2408" t="str">
            <v>B557815/A</v>
          </cell>
          <cell r="B2408" t="str">
            <v>CZ127M09</v>
          </cell>
          <cell r="C2408">
            <v>10</v>
          </cell>
          <cell r="D2408">
            <v>513.64</v>
          </cell>
          <cell r="E2408">
            <v>5136.3999999999996</v>
          </cell>
          <cell r="F2408" t="str">
            <v>A1-S2</v>
          </cell>
          <cell r="G2408" t="str">
            <v>front Top &amp; bottom rail  - Đố nóc và đố đáy trước</v>
          </cell>
          <cell r="H2408" t="str">
            <v>Wood laminate</v>
          </cell>
          <cell r="I2408">
            <v>20</v>
          </cell>
        </row>
        <row r="2409">
          <cell r="A2409" t="str">
            <v>B557815/A</v>
          </cell>
          <cell r="B2409" t="str">
            <v>CZ127M09</v>
          </cell>
          <cell r="C2409">
            <v>10</v>
          </cell>
          <cell r="D2409">
            <v>513.64</v>
          </cell>
          <cell r="E2409">
            <v>5136.3999999999996</v>
          </cell>
          <cell r="F2409" t="str">
            <v>A1-S3</v>
          </cell>
          <cell r="G2409" t="str">
            <v>Side top rail - Đố hông trên</v>
          </cell>
          <cell r="H2409" t="str">
            <v>Wood laminate</v>
          </cell>
          <cell r="I2409">
            <v>20</v>
          </cell>
        </row>
        <row r="2410">
          <cell r="A2410" t="str">
            <v>B557815/A</v>
          </cell>
          <cell r="B2410" t="str">
            <v>CZ127M09</v>
          </cell>
          <cell r="C2410">
            <v>10</v>
          </cell>
          <cell r="D2410">
            <v>513.64</v>
          </cell>
          <cell r="E2410">
            <v>5136.3999999999996</v>
          </cell>
          <cell r="F2410" t="str">
            <v>A1-S4</v>
          </cell>
          <cell r="G2410" t="str">
            <v>Center top rail - Đố nóc giữa</v>
          </cell>
          <cell r="H2410" t="str">
            <v>Wood laminate</v>
          </cell>
          <cell r="I2410">
            <v>10</v>
          </cell>
        </row>
        <row r="2411">
          <cell r="A2411" t="str">
            <v>B557815/A</v>
          </cell>
          <cell r="B2411" t="str">
            <v>CZ127M09</v>
          </cell>
          <cell r="C2411">
            <v>10</v>
          </cell>
          <cell r="D2411">
            <v>513.64</v>
          </cell>
          <cell r="E2411">
            <v>5136.3999999999996</v>
          </cell>
          <cell r="F2411" t="str">
            <v>A1-S5</v>
          </cell>
          <cell r="G2411" t="str">
            <v xml:space="preserve">Top panel  - Ván nóc </v>
          </cell>
          <cell r="H2411" t="str">
            <v>MDF Veneer</v>
          </cell>
          <cell r="I2411">
            <v>10</v>
          </cell>
        </row>
        <row r="2412">
          <cell r="A2412" t="str">
            <v>B557815/A</v>
          </cell>
          <cell r="B2412" t="str">
            <v>CZ127M09</v>
          </cell>
          <cell r="C2412">
            <v>10</v>
          </cell>
          <cell r="D2412">
            <v>513.64</v>
          </cell>
          <cell r="E2412">
            <v>5136.3999999999996</v>
          </cell>
          <cell r="F2412" t="str">
            <v>A1-S6</v>
          </cell>
          <cell r="G2412" t="str">
            <v>Center rail - Đố giữa</v>
          </cell>
          <cell r="H2412" t="str">
            <v>MDF OFF CUT</v>
          </cell>
          <cell r="I2412">
            <v>40</v>
          </cell>
        </row>
        <row r="2413">
          <cell r="A2413" t="str">
            <v>B557815/A</v>
          </cell>
          <cell r="B2413" t="str">
            <v>CZ127M09</v>
          </cell>
          <cell r="C2413">
            <v>10</v>
          </cell>
          <cell r="D2413">
            <v>513.64</v>
          </cell>
          <cell r="E2413">
            <v>5136.3999999999996</v>
          </cell>
          <cell r="F2413" t="str">
            <v>A1-S7</v>
          </cell>
          <cell r="G2413" t="str">
            <v>Dust board Panel  - Ván quét bụi</v>
          </cell>
          <cell r="H2413" t="str">
            <v>MDF Veneer</v>
          </cell>
          <cell r="I2413">
            <v>10</v>
          </cell>
        </row>
        <row r="2414">
          <cell r="A2414" t="str">
            <v>B557815/A</v>
          </cell>
          <cell r="B2414" t="str">
            <v>CZ127M09</v>
          </cell>
          <cell r="C2414">
            <v>10</v>
          </cell>
          <cell r="D2414">
            <v>513.64</v>
          </cell>
          <cell r="E2414">
            <v>5136.3999999999996</v>
          </cell>
          <cell r="F2414" t="str">
            <v>A1-S9-1</v>
          </cell>
          <cell r="G2414" t="str">
            <v>Corner block - ke góc</v>
          </cell>
          <cell r="H2414" t="str">
            <v>Poplar off cut</v>
          </cell>
          <cell r="I2414">
            <v>40</v>
          </cell>
        </row>
        <row r="2415">
          <cell r="A2415" t="str">
            <v>B557815/A</v>
          </cell>
          <cell r="B2415" t="str">
            <v>CZ127M09</v>
          </cell>
          <cell r="C2415">
            <v>10</v>
          </cell>
          <cell r="D2415">
            <v>513.64</v>
          </cell>
          <cell r="E2415">
            <v>5136.3999999999996</v>
          </cell>
          <cell r="F2415" t="str">
            <v>A2-S1</v>
          </cell>
          <cell r="G2415" t="str">
            <v>Front Bottom Rail  - Đố đáy trước</v>
          </cell>
          <cell r="H2415" t="str">
            <v>Wood laminate</v>
          </cell>
          <cell r="I2415">
            <v>20</v>
          </cell>
        </row>
        <row r="2416">
          <cell r="A2416" t="str">
            <v>B557815/A</v>
          </cell>
          <cell r="B2416" t="str">
            <v>CZ127M09</v>
          </cell>
          <cell r="C2416">
            <v>10</v>
          </cell>
          <cell r="D2416">
            <v>513.64</v>
          </cell>
          <cell r="E2416">
            <v>5136.3999999999996</v>
          </cell>
          <cell r="F2416" t="str">
            <v>A2-S2</v>
          </cell>
          <cell r="G2416" t="str">
            <v>Side bottom rail - Đố hông dưới</v>
          </cell>
          <cell r="H2416" t="str">
            <v>Wood laminate</v>
          </cell>
          <cell r="I2416">
            <v>20</v>
          </cell>
        </row>
        <row r="2417">
          <cell r="A2417" t="str">
            <v>B557815/A</v>
          </cell>
          <cell r="B2417" t="str">
            <v>CZ127M09</v>
          </cell>
          <cell r="C2417">
            <v>10</v>
          </cell>
          <cell r="D2417">
            <v>513.64</v>
          </cell>
          <cell r="E2417">
            <v>5136.3999999999996</v>
          </cell>
          <cell r="F2417" t="str">
            <v>A2-S3</v>
          </cell>
          <cell r="G2417" t="str">
            <v>Center rail - Đố giữa</v>
          </cell>
          <cell r="H2417" t="str">
            <v>MDF OFF CUT</v>
          </cell>
          <cell r="I2417">
            <v>40</v>
          </cell>
        </row>
        <row r="2418">
          <cell r="A2418" t="str">
            <v>B557815/A</v>
          </cell>
          <cell r="B2418" t="str">
            <v>CZ127M09</v>
          </cell>
          <cell r="C2418">
            <v>10</v>
          </cell>
          <cell r="D2418">
            <v>513.64</v>
          </cell>
          <cell r="E2418">
            <v>5136.3999999999996</v>
          </cell>
          <cell r="F2418" t="str">
            <v>A2-S4</v>
          </cell>
          <cell r="G2418" t="str">
            <v xml:space="preserve">Top panel  - Ván nóc </v>
          </cell>
          <cell r="H2418" t="str">
            <v>MDF Veneer</v>
          </cell>
          <cell r="I2418">
            <v>10</v>
          </cell>
        </row>
        <row r="2419">
          <cell r="A2419" t="str">
            <v>B557815/A</v>
          </cell>
          <cell r="B2419" t="str">
            <v>CZ127M09</v>
          </cell>
          <cell r="C2419">
            <v>10</v>
          </cell>
          <cell r="D2419">
            <v>513.64</v>
          </cell>
          <cell r="E2419">
            <v>5136.3999999999996</v>
          </cell>
          <cell r="F2419" t="str">
            <v>A2-S5</v>
          </cell>
          <cell r="G2419" t="str">
            <v>Corner block - ke góc</v>
          </cell>
          <cell r="H2419" t="str">
            <v>Poplar off cut</v>
          </cell>
          <cell r="I2419">
            <v>40</v>
          </cell>
        </row>
        <row r="2420">
          <cell r="A2420" t="str">
            <v>B557815/A</v>
          </cell>
          <cell r="B2420" t="str">
            <v>CZ127M09</v>
          </cell>
          <cell r="C2420">
            <v>10</v>
          </cell>
          <cell r="D2420">
            <v>513.64</v>
          </cell>
          <cell r="E2420">
            <v>5136.3999999999996</v>
          </cell>
          <cell r="F2420" t="str">
            <v>A2-S6</v>
          </cell>
          <cell r="G2420" t="str">
            <v>Dust board Panel  - Ván quét bụi</v>
          </cell>
          <cell r="H2420" t="str">
            <v>MDF - 06 x 1830 x 2440mm [CARB P2 Compliant]</v>
          </cell>
          <cell r="I2420">
            <v>10</v>
          </cell>
        </row>
        <row r="2421">
          <cell r="A2421" t="str">
            <v>B557815/A</v>
          </cell>
          <cell r="B2421" t="str">
            <v>CZ127M09</v>
          </cell>
          <cell r="C2421">
            <v>10</v>
          </cell>
          <cell r="D2421">
            <v>513.64</v>
          </cell>
          <cell r="E2421">
            <v>5136.3999999999996</v>
          </cell>
          <cell r="F2421" t="str">
            <v>A2-S7</v>
          </cell>
          <cell r="G2421" t="str">
            <v>Dust board Panel  - Ván quét bụi</v>
          </cell>
          <cell r="H2421" t="str">
            <v>MDF - 06 x 1830 x 2440mm [CARB P2 Compliant]</v>
          </cell>
          <cell r="I2421">
            <v>40</v>
          </cell>
        </row>
        <row r="2422">
          <cell r="A2422" t="str">
            <v>B557815/A</v>
          </cell>
          <cell r="B2422" t="str">
            <v>CZ127M09</v>
          </cell>
          <cell r="C2422">
            <v>10</v>
          </cell>
          <cell r="D2422">
            <v>513.64</v>
          </cell>
          <cell r="E2422">
            <v>5136.3999999999996</v>
          </cell>
          <cell r="F2422" t="str">
            <v>A2-S8</v>
          </cell>
          <cell r="G2422" t="str">
            <v>Corner block - ke góc</v>
          </cell>
          <cell r="H2422" t="str">
            <v>Standard Wood - ALDER/ASPEN/LENGA/US POPLAR, 2 COM - T38 W120mm+ L2m+</v>
          </cell>
          <cell r="I2422">
            <v>40</v>
          </cell>
        </row>
        <row r="2423">
          <cell r="A2423" t="str">
            <v>B557815/A</v>
          </cell>
          <cell r="B2423" t="str">
            <v>CZ127M09</v>
          </cell>
          <cell r="C2423">
            <v>10</v>
          </cell>
          <cell r="D2423">
            <v>513.64</v>
          </cell>
          <cell r="E2423">
            <v>5136.3999999999996</v>
          </cell>
          <cell r="F2423" t="str">
            <v>A2-S9</v>
          </cell>
          <cell r="G2423" t="str">
            <v>Center rail - Đố giữa</v>
          </cell>
          <cell r="H2423" t="str">
            <v>Wood laminate</v>
          </cell>
          <cell r="I2423">
            <v>10</v>
          </cell>
        </row>
        <row r="2424">
          <cell r="A2424" t="str">
            <v>B556601/A</v>
          </cell>
          <cell r="B2424" t="str">
            <v>CZ127M190</v>
          </cell>
          <cell r="C2424">
            <v>1</v>
          </cell>
          <cell r="D2424">
            <v>513.64</v>
          </cell>
          <cell r="E2424">
            <v>513.64</v>
          </cell>
          <cell r="F2424" t="str">
            <v>A1-S1</v>
          </cell>
          <cell r="G2424" t="str">
            <v>The leg  - Chân</v>
          </cell>
          <cell r="H2424" t="str">
            <v>Standard wood</v>
          </cell>
          <cell r="I2424">
            <v>4</v>
          </cell>
        </row>
        <row r="2425">
          <cell r="A2425" t="str">
            <v>B556601/A</v>
          </cell>
          <cell r="B2425" t="str">
            <v>CZ127M190</v>
          </cell>
          <cell r="C2425">
            <v>1</v>
          </cell>
          <cell r="D2425">
            <v>513.64</v>
          </cell>
          <cell r="E2425">
            <v>513.64</v>
          </cell>
          <cell r="F2425" t="str">
            <v>A1-S2</v>
          </cell>
          <cell r="G2425" t="str">
            <v>front Top &amp; bottom rail  - Đố nóc và đố đáy trước</v>
          </cell>
          <cell r="H2425" t="str">
            <v>Wood laminate</v>
          </cell>
          <cell r="I2425">
            <v>2</v>
          </cell>
        </row>
        <row r="2426">
          <cell r="A2426" t="str">
            <v>B556601/A</v>
          </cell>
          <cell r="B2426" t="str">
            <v>CZ127M190</v>
          </cell>
          <cell r="C2426">
            <v>1</v>
          </cell>
          <cell r="D2426">
            <v>513.64</v>
          </cell>
          <cell r="E2426">
            <v>513.64</v>
          </cell>
          <cell r="F2426" t="str">
            <v>A1-S3</v>
          </cell>
          <cell r="G2426" t="str">
            <v>Side top rail - Đố hông trên</v>
          </cell>
          <cell r="H2426" t="str">
            <v>Wood laminate</v>
          </cell>
          <cell r="I2426">
            <v>2</v>
          </cell>
        </row>
        <row r="2427">
          <cell r="A2427" t="str">
            <v>B556601/A</v>
          </cell>
          <cell r="B2427" t="str">
            <v>CZ127M190</v>
          </cell>
          <cell r="C2427">
            <v>1</v>
          </cell>
          <cell r="D2427">
            <v>513.64</v>
          </cell>
          <cell r="E2427">
            <v>513.64</v>
          </cell>
          <cell r="F2427" t="str">
            <v>A1-S4</v>
          </cell>
          <cell r="G2427" t="str">
            <v>Center top rail - Đố nóc giữa</v>
          </cell>
          <cell r="H2427" t="str">
            <v>Wood laminate</v>
          </cell>
          <cell r="I2427">
            <v>1</v>
          </cell>
        </row>
        <row r="2428">
          <cell r="A2428" t="str">
            <v>B556601/A</v>
          </cell>
          <cell r="B2428" t="str">
            <v>CZ127M190</v>
          </cell>
          <cell r="C2428">
            <v>1</v>
          </cell>
          <cell r="D2428">
            <v>513.64</v>
          </cell>
          <cell r="E2428">
            <v>513.64</v>
          </cell>
          <cell r="F2428" t="str">
            <v>A1-S5</v>
          </cell>
          <cell r="G2428" t="str">
            <v xml:space="preserve">Top panel  - Ván nóc </v>
          </cell>
          <cell r="H2428" t="str">
            <v>MDF Veneer</v>
          </cell>
          <cell r="I2428">
            <v>1</v>
          </cell>
        </row>
        <row r="2429">
          <cell r="A2429" t="str">
            <v>B556601/A</v>
          </cell>
          <cell r="B2429" t="str">
            <v>CZ127M190</v>
          </cell>
          <cell r="C2429">
            <v>1</v>
          </cell>
          <cell r="D2429">
            <v>513.64</v>
          </cell>
          <cell r="E2429">
            <v>513.64</v>
          </cell>
          <cell r="F2429" t="str">
            <v>A1-S6</v>
          </cell>
          <cell r="G2429" t="str">
            <v>Center rail - Đố giữa</v>
          </cell>
          <cell r="H2429" t="str">
            <v>MDF OFF CUT</v>
          </cell>
          <cell r="I2429">
            <v>4</v>
          </cell>
        </row>
        <row r="2430">
          <cell r="A2430" t="str">
            <v>B556601/A</v>
          </cell>
          <cell r="B2430" t="str">
            <v>CZ127M190</v>
          </cell>
          <cell r="C2430">
            <v>1</v>
          </cell>
          <cell r="D2430">
            <v>513.64</v>
          </cell>
          <cell r="E2430">
            <v>513.64</v>
          </cell>
          <cell r="F2430" t="str">
            <v>A1-S7</v>
          </cell>
          <cell r="G2430" t="str">
            <v>Bottom panel - Ván đáy</v>
          </cell>
          <cell r="H2430" t="str">
            <v>MDF Veneer</v>
          </cell>
          <cell r="I2430">
            <v>1</v>
          </cell>
        </row>
        <row r="2431">
          <cell r="A2431" t="str">
            <v>B556601/A</v>
          </cell>
          <cell r="B2431" t="str">
            <v>CZ127M190</v>
          </cell>
          <cell r="C2431">
            <v>1</v>
          </cell>
          <cell r="D2431">
            <v>513.64</v>
          </cell>
          <cell r="E2431">
            <v>513.64</v>
          </cell>
          <cell r="F2431" t="str">
            <v>A1-S9-1</v>
          </cell>
          <cell r="G2431" t="str">
            <v>Corner block - ke góc</v>
          </cell>
          <cell r="H2431" t="str">
            <v>Poplar off cut</v>
          </cell>
          <cell r="I2431">
            <v>4</v>
          </cell>
        </row>
        <row r="2432">
          <cell r="A2432" t="str">
            <v>B556601/A</v>
          </cell>
          <cell r="B2432" t="str">
            <v>CZ127M190</v>
          </cell>
          <cell r="C2432">
            <v>1</v>
          </cell>
          <cell r="D2432">
            <v>513.64</v>
          </cell>
          <cell r="E2432">
            <v>513.64</v>
          </cell>
          <cell r="F2432" t="str">
            <v>A2-S1</v>
          </cell>
          <cell r="G2432" t="str">
            <v>Front Bottom Rail  - Đố đáy trước</v>
          </cell>
          <cell r="H2432" t="str">
            <v>Wood laminate</v>
          </cell>
          <cell r="I2432">
            <v>2</v>
          </cell>
        </row>
        <row r="2433">
          <cell r="A2433" t="str">
            <v>B556601/A</v>
          </cell>
          <cell r="B2433" t="str">
            <v>CZ127M190</v>
          </cell>
          <cell r="C2433">
            <v>1</v>
          </cell>
          <cell r="D2433">
            <v>513.64</v>
          </cell>
          <cell r="E2433">
            <v>513.64</v>
          </cell>
          <cell r="F2433" t="str">
            <v>A2-S2</v>
          </cell>
          <cell r="G2433" t="str">
            <v>Side bottom rail - Đố hông dưới</v>
          </cell>
          <cell r="H2433" t="str">
            <v>Wood laminate</v>
          </cell>
          <cell r="I2433">
            <v>2</v>
          </cell>
        </row>
        <row r="2434">
          <cell r="A2434" t="str">
            <v>B556601/A</v>
          </cell>
          <cell r="B2434" t="str">
            <v>CZ127M190</v>
          </cell>
          <cell r="C2434">
            <v>1</v>
          </cell>
          <cell r="D2434">
            <v>513.64</v>
          </cell>
          <cell r="E2434">
            <v>513.64</v>
          </cell>
          <cell r="F2434" t="str">
            <v>A2-S3</v>
          </cell>
          <cell r="G2434" t="str">
            <v>Center bottom rail - Đố đáy giữa</v>
          </cell>
          <cell r="H2434" t="str">
            <v>MDF OFF CUT</v>
          </cell>
          <cell r="I2434">
            <v>4</v>
          </cell>
        </row>
        <row r="2435">
          <cell r="A2435" t="str">
            <v>B556601/A</v>
          </cell>
          <cell r="B2435" t="str">
            <v>CZ127M190</v>
          </cell>
          <cell r="C2435">
            <v>1</v>
          </cell>
          <cell r="D2435">
            <v>513.64</v>
          </cell>
          <cell r="E2435">
            <v>513.64</v>
          </cell>
          <cell r="F2435" t="str">
            <v>A2-S4</v>
          </cell>
          <cell r="G2435" t="str">
            <v xml:space="preserve">Top panel  - Ván nóc </v>
          </cell>
          <cell r="H2435" t="str">
            <v>MDF Veneer</v>
          </cell>
          <cell r="I2435">
            <v>1</v>
          </cell>
        </row>
        <row r="2436">
          <cell r="A2436" t="str">
            <v>B556601/A</v>
          </cell>
          <cell r="B2436" t="str">
            <v>CZ127M190</v>
          </cell>
          <cell r="C2436">
            <v>1</v>
          </cell>
          <cell r="D2436">
            <v>513.64</v>
          </cell>
          <cell r="E2436">
            <v>513.64</v>
          </cell>
          <cell r="F2436" t="str">
            <v>A2-S5</v>
          </cell>
          <cell r="G2436" t="str">
            <v>Corner block - ke góc</v>
          </cell>
          <cell r="H2436" t="str">
            <v>Poplar off cut</v>
          </cell>
          <cell r="I2436">
            <v>4</v>
          </cell>
        </row>
        <row r="2437">
          <cell r="A2437" t="str">
            <v>B556601/A</v>
          </cell>
          <cell r="B2437" t="str">
            <v>CZ127M190</v>
          </cell>
          <cell r="C2437">
            <v>1</v>
          </cell>
          <cell r="D2437">
            <v>513.64</v>
          </cell>
          <cell r="E2437">
            <v>513.64</v>
          </cell>
          <cell r="F2437" t="str">
            <v>A2-S6</v>
          </cell>
          <cell r="G2437" t="str">
            <v>Bottom panel - Ván đáy</v>
          </cell>
          <cell r="H2437" t="str">
            <v>MDF - 06 x 1830 x 2440mm [CARB P2 Compliant]</v>
          </cell>
          <cell r="I2437">
            <v>1</v>
          </cell>
        </row>
        <row r="2438">
          <cell r="A2438" t="str">
            <v>B556601/A</v>
          </cell>
          <cell r="B2438" t="str">
            <v>CZ127M190</v>
          </cell>
          <cell r="C2438">
            <v>1</v>
          </cell>
          <cell r="D2438">
            <v>513.64</v>
          </cell>
          <cell r="E2438">
            <v>513.64</v>
          </cell>
          <cell r="F2438" t="str">
            <v>A2-S7</v>
          </cell>
          <cell r="G2438" t="str">
            <v>Dust board Panel  - Ván quét bụi</v>
          </cell>
          <cell r="H2438" t="str">
            <v>MDF - 06 x 1830 x 2440mm [CARB P2 Compliant]</v>
          </cell>
          <cell r="I2438">
            <v>4</v>
          </cell>
        </row>
        <row r="2439">
          <cell r="A2439" t="str">
            <v>B556601/A</v>
          </cell>
          <cell r="B2439" t="str">
            <v>CZ127M190</v>
          </cell>
          <cell r="C2439">
            <v>1</v>
          </cell>
          <cell r="D2439">
            <v>513.64</v>
          </cell>
          <cell r="E2439">
            <v>513.64</v>
          </cell>
          <cell r="F2439" t="str">
            <v>A2-S8</v>
          </cell>
          <cell r="G2439" t="str">
            <v>Corner block - ke góc</v>
          </cell>
          <cell r="H2439" t="str">
            <v>Standard Wood - ALDER/ASPEN/LENGA/US POPLAR, 2 COM - T38 W120mm+ L2m+</v>
          </cell>
          <cell r="I2439">
            <v>4</v>
          </cell>
        </row>
        <row r="2440">
          <cell r="A2440" t="str">
            <v>B556601/A</v>
          </cell>
          <cell r="B2440" t="str">
            <v>CZ127M190</v>
          </cell>
          <cell r="C2440">
            <v>1</v>
          </cell>
          <cell r="D2440">
            <v>513.64</v>
          </cell>
          <cell r="E2440">
            <v>513.64</v>
          </cell>
          <cell r="F2440" t="str">
            <v>A2-S9</v>
          </cell>
          <cell r="G2440" t="str">
            <v>Center bottom rail - Đố đáy giữa</v>
          </cell>
          <cell r="H2440" t="str">
            <v>Wood EU Beech - Straight/Waving Edged ABC, 2 COM - T38mm x W100mm up x L1.8m up</v>
          </cell>
          <cell r="I2440">
            <v>1</v>
          </cell>
        </row>
        <row r="2441">
          <cell r="A2441" t="str">
            <v>B557817/A</v>
          </cell>
          <cell r="B2441" t="str">
            <v>CZ127M190</v>
          </cell>
          <cell r="C2441">
            <v>1</v>
          </cell>
          <cell r="D2441">
            <v>513.64</v>
          </cell>
          <cell r="E2441">
            <v>513.64</v>
          </cell>
          <cell r="F2441" t="str">
            <v>A1-S1</v>
          </cell>
          <cell r="G2441" t="str">
            <v>The leg  - Chân</v>
          </cell>
          <cell r="H2441" t="str">
            <v>Standard wood</v>
          </cell>
          <cell r="I2441">
            <v>4</v>
          </cell>
        </row>
        <row r="2442">
          <cell r="A2442" t="str">
            <v>B557817/A</v>
          </cell>
          <cell r="B2442" t="str">
            <v>CZ127M190</v>
          </cell>
          <cell r="C2442">
            <v>1</v>
          </cell>
          <cell r="D2442">
            <v>513.64</v>
          </cell>
          <cell r="E2442">
            <v>513.64</v>
          </cell>
          <cell r="F2442" t="str">
            <v>A1-S2</v>
          </cell>
          <cell r="G2442" t="str">
            <v>front Top &amp; bottom rail  - Đố nóc và đố đáy trước</v>
          </cell>
          <cell r="H2442" t="str">
            <v>Wood laminate</v>
          </cell>
          <cell r="I2442">
            <v>2</v>
          </cell>
        </row>
        <row r="2443">
          <cell r="A2443" t="str">
            <v>B557817/A</v>
          </cell>
          <cell r="B2443" t="str">
            <v>CZ127M190</v>
          </cell>
          <cell r="C2443">
            <v>1</v>
          </cell>
          <cell r="D2443">
            <v>513.64</v>
          </cell>
          <cell r="E2443">
            <v>513.64</v>
          </cell>
          <cell r="F2443" t="str">
            <v>A1-S3</v>
          </cell>
          <cell r="G2443" t="str">
            <v>Side top rail - Đố hông trên</v>
          </cell>
          <cell r="H2443" t="str">
            <v>Wood laminate</v>
          </cell>
          <cell r="I2443">
            <v>2</v>
          </cell>
        </row>
        <row r="2444">
          <cell r="A2444" t="str">
            <v>B557817/A</v>
          </cell>
          <cell r="B2444" t="str">
            <v>CZ127M190</v>
          </cell>
          <cell r="C2444">
            <v>1</v>
          </cell>
          <cell r="D2444">
            <v>513.64</v>
          </cell>
          <cell r="E2444">
            <v>513.64</v>
          </cell>
          <cell r="F2444" t="str">
            <v>A1-S4</v>
          </cell>
          <cell r="G2444" t="str">
            <v>Center top rail - Đố nóc giữa</v>
          </cell>
          <cell r="H2444" t="str">
            <v>Wood laminate</v>
          </cell>
          <cell r="I2444">
            <v>1</v>
          </cell>
        </row>
        <row r="2445">
          <cell r="A2445" t="str">
            <v>B557817/A</v>
          </cell>
          <cell r="B2445" t="str">
            <v>CZ127M190</v>
          </cell>
          <cell r="C2445">
            <v>1</v>
          </cell>
          <cell r="D2445">
            <v>513.64</v>
          </cell>
          <cell r="E2445">
            <v>513.64</v>
          </cell>
          <cell r="F2445" t="str">
            <v>A1-S5</v>
          </cell>
          <cell r="G2445" t="str">
            <v xml:space="preserve">Top panel  - Ván nóc </v>
          </cell>
          <cell r="H2445" t="str">
            <v>MDF Veneer</v>
          </cell>
          <cell r="I2445">
            <v>1</v>
          </cell>
        </row>
        <row r="2446">
          <cell r="A2446" t="str">
            <v>B557817/A</v>
          </cell>
          <cell r="B2446" t="str">
            <v>CZ127M190</v>
          </cell>
          <cell r="C2446">
            <v>1</v>
          </cell>
          <cell r="D2446">
            <v>513.64</v>
          </cell>
          <cell r="E2446">
            <v>513.64</v>
          </cell>
          <cell r="F2446" t="str">
            <v>A1-S6</v>
          </cell>
          <cell r="G2446" t="str">
            <v>Center rail - Đố giữa</v>
          </cell>
          <cell r="H2446" t="str">
            <v>MDF OFF CUT</v>
          </cell>
          <cell r="I2446">
            <v>4</v>
          </cell>
        </row>
        <row r="2447">
          <cell r="A2447" t="str">
            <v>B557817/A</v>
          </cell>
          <cell r="B2447" t="str">
            <v>CZ127M190</v>
          </cell>
          <cell r="C2447">
            <v>1</v>
          </cell>
          <cell r="D2447">
            <v>513.64</v>
          </cell>
          <cell r="E2447">
            <v>513.64</v>
          </cell>
          <cell r="F2447" t="str">
            <v>A1-S7</v>
          </cell>
          <cell r="G2447" t="str">
            <v>Bottom panel - Ván đáy</v>
          </cell>
          <cell r="H2447" t="str">
            <v>MDF Veneer</v>
          </cell>
          <cell r="I2447">
            <v>1</v>
          </cell>
        </row>
        <row r="2448">
          <cell r="A2448" t="str">
            <v>B557817/A</v>
          </cell>
          <cell r="B2448" t="str">
            <v>CZ127M190</v>
          </cell>
          <cell r="C2448">
            <v>1</v>
          </cell>
          <cell r="D2448">
            <v>513.64</v>
          </cell>
          <cell r="E2448">
            <v>513.64</v>
          </cell>
          <cell r="F2448" t="str">
            <v>A1-S9-1</v>
          </cell>
          <cell r="G2448" t="str">
            <v>Corner block - ke góc</v>
          </cell>
          <cell r="H2448" t="str">
            <v>Poplar off cut</v>
          </cell>
          <cell r="I2448">
            <v>4</v>
          </cell>
        </row>
        <row r="2449">
          <cell r="A2449" t="str">
            <v>B557817/A</v>
          </cell>
          <cell r="B2449" t="str">
            <v>CZ127M190</v>
          </cell>
          <cell r="C2449">
            <v>1</v>
          </cell>
          <cell r="D2449">
            <v>513.64</v>
          </cell>
          <cell r="E2449">
            <v>513.64</v>
          </cell>
          <cell r="F2449" t="str">
            <v>A2-S1</v>
          </cell>
          <cell r="G2449" t="str">
            <v>Front Bottom Rail  - Đố đáy trước</v>
          </cell>
          <cell r="H2449" t="str">
            <v>Wood laminate</v>
          </cell>
          <cell r="I2449">
            <v>2</v>
          </cell>
        </row>
        <row r="2450">
          <cell r="A2450" t="str">
            <v>B557817/A</v>
          </cell>
          <cell r="B2450" t="str">
            <v>CZ127M190</v>
          </cell>
          <cell r="C2450">
            <v>1</v>
          </cell>
          <cell r="D2450">
            <v>513.64</v>
          </cell>
          <cell r="E2450">
            <v>513.64</v>
          </cell>
          <cell r="F2450" t="str">
            <v>A2-S2</v>
          </cell>
          <cell r="G2450" t="str">
            <v>Side bottom rail - Đố hông dưới</v>
          </cell>
          <cell r="H2450" t="str">
            <v>Wood laminate</v>
          </cell>
          <cell r="I2450">
            <v>2</v>
          </cell>
        </row>
        <row r="2451">
          <cell r="A2451" t="str">
            <v>B557817/A</v>
          </cell>
          <cell r="B2451" t="str">
            <v>CZ127M190</v>
          </cell>
          <cell r="C2451">
            <v>1</v>
          </cell>
          <cell r="D2451">
            <v>513.64</v>
          </cell>
          <cell r="E2451">
            <v>513.64</v>
          </cell>
          <cell r="F2451" t="str">
            <v>A2-S3</v>
          </cell>
          <cell r="G2451" t="str">
            <v>Center bottom rail - Đố đáy giữa</v>
          </cell>
          <cell r="H2451" t="str">
            <v>MDF OFF CUT</v>
          </cell>
          <cell r="I2451">
            <v>4</v>
          </cell>
        </row>
        <row r="2452">
          <cell r="A2452" t="str">
            <v>B557817/A</v>
          </cell>
          <cell r="B2452" t="str">
            <v>CZ127M190</v>
          </cell>
          <cell r="C2452">
            <v>1</v>
          </cell>
          <cell r="D2452">
            <v>513.64</v>
          </cell>
          <cell r="E2452">
            <v>513.64</v>
          </cell>
          <cell r="F2452" t="str">
            <v>A2-S4</v>
          </cell>
          <cell r="G2452" t="str">
            <v xml:space="preserve">Top panel  - Ván nóc </v>
          </cell>
          <cell r="H2452" t="str">
            <v>MDF Veneer</v>
          </cell>
          <cell r="I2452">
            <v>1</v>
          </cell>
        </row>
        <row r="2453">
          <cell r="A2453" t="str">
            <v>B557817/A</v>
          </cell>
          <cell r="B2453" t="str">
            <v>CZ127M190</v>
          </cell>
          <cell r="C2453">
            <v>1</v>
          </cell>
          <cell r="D2453">
            <v>513.64</v>
          </cell>
          <cell r="E2453">
            <v>513.64</v>
          </cell>
          <cell r="F2453" t="str">
            <v>A2-S5</v>
          </cell>
          <cell r="G2453" t="str">
            <v>Corner block - ke góc</v>
          </cell>
          <cell r="H2453" t="str">
            <v>Poplar off cut</v>
          </cell>
          <cell r="I2453">
            <v>4</v>
          </cell>
        </row>
        <row r="2454">
          <cell r="A2454" t="str">
            <v>B557817/A</v>
          </cell>
          <cell r="B2454" t="str">
            <v>CZ127M190</v>
          </cell>
          <cell r="C2454">
            <v>1</v>
          </cell>
          <cell r="D2454">
            <v>513.64</v>
          </cell>
          <cell r="E2454">
            <v>513.64</v>
          </cell>
          <cell r="F2454" t="str">
            <v>A2-S6</v>
          </cell>
          <cell r="G2454" t="str">
            <v>Bottom panel - Ván đáy</v>
          </cell>
          <cell r="H2454" t="str">
            <v>MDF - 06 x 1830 x 2440mm [CARB P2 Compliant]</v>
          </cell>
          <cell r="I2454">
            <v>1</v>
          </cell>
        </row>
        <row r="2455">
          <cell r="A2455" t="str">
            <v>B557817/A</v>
          </cell>
          <cell r="B2455" t="str">
            <v>CZ127M190</v>
          </cell>
          <cell r="C2455">
            <v>1</v>
          </cell>
          <cell r="D2455">
            <v>513.64</v>
          </cell>
          <cell r="E2455">
            <v>513.64</v>
          </cell>
          <cell r="F2455" t="str">
            <v>A2-S7</v>
          </cell>
          <cell r="G2455" t="str">
            <v>Dust board Panel  - Ván quét bụi</v>
          </cell>
          <cell r="H2455" t="str">
            <v>MDF - 06 x 1830 x 2440mm [CARB P2 Compliant]</v>
          </cell>
          <cell r="I2455">
            <v>4</v>
          </cell>
        </row>
        <row r="2456">
          <cell r="A2456" t="str">
            <v>B557817/A</v>
          </cell>
          <cell r="B2456" t="str">
            <v>CZ127M190</v>
          </cell>
          <cell r="C2456">
            <v>1</v>
          </cell>
          <cell r="D2456">
            <v>513.64</v>
          </cell>
          <cell r="E2456">
            <v>513.64</v>
          </cell>
          <cell r="F2456" t="str">
            <v>A2-S8</v>
          </cell>
          <cell r="G2456" t="str">
            <v>Corner block - ke góc</v>
          </cell>
          <cell r="H2456" t="str">
            <v>Standard Wood - ALDER/ASPEN/LENGA/US POPLAR, 2 COM - T38 W120mm+ L2m+</v>
          </cell>
          <cell r="I2456">
            <v>4</v>
          </cell>
        </row>
        <row r="2457">
          <cell r="A2457" t="str">
            <v>B557817/A</v>
          </cell>
          <cell r="B2457" t="str">
            <v>CZ127M190</v>
          </cell>
          <cell r="C2457">
            <v>1</v>
          </cell>
          <cell r="D2457">
            <v>513.64</v>
          </cell>
          <cell r="E2457">
            <v>513.64</v>
          </cell>
          <cell r="F2457" t="str">
            <v>A2-S9</v>
          </cell>
          <cell r="G2457" t="str">
            <v>Center bottom rail - Đố đáy giữa</v>
          </cell>
          <cell r="H2457" t="str">
            <v>Wood EU Beech - Straight/Waving Edged ABC, 2 COM - T38mm x W100mm up x L1.8m up</v>
          </cell>
          <cell r="I2457">
            <v>1</v>
          </cell>
        </row>
        <row r="2458">
          <cell r="A2458" t="str">
            <v>B557820/A</v>
          </cell>
          <cell r="B2458" t="str">
            <v>CZ127M191</v>
          </cell>
          <cell r="C2458">
            <v>4</v>
          </cell>
          <cell r="D2458">
            <v>513.64</v>
          </cell>
          <cell r="E2458">
            <v>2054.56</v>
          </cell>
          <cell r="F2458" t="str">
            <v>A1-S1</v>
          </cell>
          <cell r="G2458" t="str">
            <v>The leg  - Chân</v>
          </cell>
          <cell r="H2458" t="str">
            <v>Standard wood</v>
          </cell>
          <cell r="I2458">
            <v>16</v>
          </cell>
        </row>
        <row r="2459">
          <cell r="A2459" t="str">
            <v>B557820/A</v>
          </cell>
          <cell r="B2459" t="str">
            <v>CZ127M191</v>
          </cell>
          <cell r="C2459">
            <v>4</v>
          </cell>
          <cell r="D2459">
            <v>513.64</v>
          </cell>
          <cell r="E2459">
            <v>2054.56</v>
          </cell>
          <cell r="F2459" t="str">
            <v>A1-S2</v>
          </cell>
          <cell r="G2459" t="str">
            <v>front Top &amp; bottom rail  - Đố nóc và đố đáy trước</v>
          </cell>
          <cell r="H2459" t="str">
            <v>Wood laminate</v>
          </cell>
          <cell r="I2459">
            <v>8</v>
          </cell>
        </row>
        <row r="2460">
          <cell r="A2460" t="str">
            <v>B557820/A</v>
          </cell>
          <cell r="B2460" t="str">
            <v>CZ127M191</v>
          </cell>
          <cell r="C2460">
            <v>4</v>
          </cell>
          <cell r="D2460">
            <v>513.64</v>
          </cell>
          <cell r="E2460">
            <v>2054.56</v>
          </cell>
          <cell r="F2460" t="str">
            <v>A1-S3</v>
          </cell>
          <cell r="G2460" t="str">
            <v>Side top rail - Đố hông trên</v>
          </cell>
          <cell r="H2460" t="str">
            <v>Wood laminate</v>
          </cell>
          <cell r="I2460">
            <v>8</v>
          </cell>
        </row>
        <row r="2461">
          <cell r="A2461" t="str">
            <v>B557820/A</v>
          </cell>
          <cell r="B2461" t="str">
            <v>CZ127M191</v>
          </cell>
          <cell r="C2461">
            <v>4</v>
          </cell>
          <cell r="D2461">
            <v>513.64</v>
          </cell>
          <cell r="E2461">
            <v>2054.56</v>
          </cell>
          <cell r="F2461" t="str">
            <v>A1-S4</v>
          </cell>
          <cell r="G2461" t="str">
            <v>Center top rail - Đố nóc giữa</v>
          </cell>
          <cell r="H2461" t="str">
            <v>Wood laminate</v>
          </cell>
          <cell r="I2461">
            <v>4</v>
          </cell>
        </row>
        <row r="2462">
          <cell r="A2462" t="str">
            <v>B557820/A</v>
          </cell>
          <cell r="B2462" t="str">
            <v>CZ127M191</v>
          </cell>
          <cell r="C2462">
            <v>4</v>
          </cell>
          <cell r="D2462">
            <v>513.64</v>
          </cell>
          <cell r="E2462">
            <v>2054.56</v>
          </cell>
          <cell r="F2462" t="str">
            <v>A1-S5</v>
          </cell>
          <cell r="G2462" t="str">
            <v xml:space="preserve">Top panel  - Ván nóc </v>
          </cell>
          <cell r="H2462" t="str">
            <v>MDF Veneer</v>
          </cell>
          <cell r="I2462">
            <v>4</v>
          </cell>
        </row>
        <row r="2463">
          <cell r="A2463" t="str">
            <v>B557820/A</v>
          </cell>
          <cell r="B2463" t="str">
            <v>CZ127M191</v>
          </cell>
          <cell r="C2463">
            <v>4</v>
          </cell>
          <cell r="D2463">
            <v>513.64</v>
          </cell>
          <cell r="E2463">
            <v>2054.56</v>
          </cell>
          <cell r="F2463" t="str">
            <v>A1-S6</v>
          </cell>
          <cell r="G2463" t="str">
            <v>Center rail - Đố giữa</v>
          </cell>
          <cell r="H2463" t="str">
            <v>MDF OFF CUT</v>
          </cell>
          <cell r="I2463">
            <v>16</v>
          </cell>
        </row>
        <row r="2464">
          <cell r="A2464" t="str">
            <v>B557820/A</v>
          </cell>
          <cell r="B2464" t="str">
            <v>CZ127M191</v>
          </cell>
          <cell r="C2464">
            <v>4</v>
          </cell>
          <cell r="D2464">
            <v>513.64</v>
          </cell>
          <cell r="E2464">
            <v>2054.56</v>
          </cell>
          <cell r="F2464" t="str">
            <v>A1-S7</v>
          </cell>
          <cell r="G2464" t="str">
            <v>Dust board Panel  - Ván quét bụi</v>
          </cell>
          <cell r="H2464" t="str">
            <v>MDF Veneer</v>
          </cell>
          <cell r="I2464">
            <v>4</v>
          </cell>
        </row>
        <row r="2465">
          <cell r="A2465" t="str">
            <v>B557820/A</v>
          </cell>
          <cell r="B2465" t="str">
            <v>CZ127M191</v>
          </cell>
          <cell r="C2465">
            <v>4</v>
          </cell>
          <cell r="D2465">
            <v>513.64</v>
          </cell>
          <cell r="E2465">
            <v>2054.56</v>
          </cell>
          <cell r="F2465" t="str">
            <v>A1-S9-1</v>
          </cell>
          <cell r="G2465" t="str">
            <v>Corner block - ke góc</v>
          </cell>
          <cell r="H2465" t="str">
            <v>Poplar off cut</v>
          </cell>
          <cell r="I2465">
            <v>16</v>
          </cell>
        </row>
        <row r="2466">
          <cell r="A2466" t="str">
            <v>B557820/A</v>
          </cell>
          <cell r="B2466" t="str">
            <v>CZ127M191</v>
          </cell>
          <cell r="C2466">
            <v>4</v>
          </cell>
          <cell r="D2466">
            <v>513.64</v>
          </cell>
          <cell r="E2466">
            <v>2054.56</v>
          </cell>
          <cell r="F2466" t="str">
            <v>A2-S1</v>
          </cell>
          <cell r="G2466" t="str">
            <v>Front Bottom Rail  - Đố đáy trước</v>
          </cell>
          <cell r="H2466" t="str">
            <v>Wood laminate</v>
          </cell>
          <cell r="I2466">
            <v>8</v>
          </cell>
        </row>
        <row r="2467">
          <cell r="A2467" t="str">
            <v>B557820/A</v>
          </cell>
          <cell r="B2467" t="str">
            <v>CZ127M191</v>
          </cell>
          <cell r="C2467">
            <v>4</v>
          </cell>
          <cell r="D2467">
            <v>513.64</v>
          </cell>
          <cell r="E2467">
            <v>2054.56</v>
          </cell>
          <cell r="F2467" t="str">
            <v>A2-S2</v>
          </cell>
          <cell r="G2467" t="str">
            <v>Side bottom rail - Đố hông dưới</v>
          </cell>
          <cell r="H2467" t="str">
            <v>Wood laminate</v>
          </cell>
          <cell r="I2467">
            <v>8</v>
          </cell>
        </row>
        <row r="2468">
          <cell r="A2468" t="str">
            <v>B557820/A</v>
          </cell>
          <cell r="B2468" t="str">
            <v>CZ127M191</v>
          </cell>
          <cell r="C2468">
            <v>4</v>
          </cell>
          <cell r="D2468">
            <v>513.64</v>
          </cell>
          <cell r="E2468">
            <v>2054.56</v>
          </cell>
          <cell r="F2468" t="str">
            <v>A2-S3</v>
          </cell>
          <cell r="G2468" t="str">
            <v>Center rail - Đố giữa</v>
          </cell>
          <cell r="H2468" t="str">
            <v>MDF OFF CUT</v>
          </cell>
          <cell r="I2468">
            <v>16</v>
          </cell>
        </row>
        <row r="2469">
          <cell r="A2469" t="str">
            <v>B557820/A</v>
          </cell>
          <cell r="B2469" t="str">
            <v>CZ127M191</v>
          </cell>
          <cell r="C2469">
            <v>4</v>
          </cell>
          <cell r="D2469">
            <v>513.64</v>
          </cell>
          <cell r="E2469">
            <v>2054.56</v>
          </cell>
          <cell r="F2469" t="str">
            <v>A2-S4</v>
          </cell>
          <cell r="G2469" t="str">
            <v xml:space="preserve">Top panel  - Ván nóc </v>
          </cell>
          <cell r="H2469" t="str">
            <v>MDF Veneer</v>
          </cell>
          <cell r="I2469">
            <v>4</v>
          </cell>
        </row>
        <row r="2470">
          <cell r="A2470" t="str">
            <v>B557820/A</v>
          </cell>
          <cell r="B2470" t="str">
            <v>CZ127M191</v>
          </cell>
          <cell r="C2470">
            <v>4</v>
          </cell>
          <cell r="D2470">
            <v>513.64</v>
          </cell>
          <cell r="E2470">
            <v>2054.56</v>
          </cell>
          <cell r="F2470" t="str">
            <v>A2-S5</v>
          </cell>
          <cell r="G2470" t="str">
            <v>Corner block - ke góc</v>
          </cell>
          <cell r="H2470" t="str">
            <v>Poplar off cut</v>
          </cell>
          <cell r="I2470">
            <v>16</v>
          </cell>
        </row>
        <row r="2471">
          <cell r="A2471" t="str">
            <v>B557820/A</v>
          </cell>
          <cell r="B2471" t="str">
            <v>CZ127M191</v>
          </cell>
          <cell r="C2471">
            <v>4</v>
          </cell>
          <cell r="D2471">
            <v>513.64</v>
          </cell>
          <cell r="E2471">
            <v>2054.56</v>
          </cell>
          <cell r="F2471" t="str">
            <v>A2-S6</v>
          </cell>
          <cell r="G2471" t="str">
            <v>Dust board Panel  - Ván quét bụi</v>
          </cell>
          <cell r="H2471" t="str">
            <v>MDF - 06 x 1830 x 2440mm [CARB P2 Compliant]</v>
          </cell>
          <cell r="I2471">
            <v>4</v>
          </cell>
        </row>
        <row r="2472">
          <cell r="A2472" t="str">
            <v>B557820/A</v>
          </cell>
          <cell r="B2472" t="str">
            <v>CZ127M191</v>
          </cell>
          <cell r="C2472">
            <v>4</v>
          </cell>
          <cell r="D2472">
            <v>513.64</v>
          </cell>
          <cell r="E2472">
            <v>2054.56</v>
          </cell>
          <cell r="F2472" t="str">
            <v>A2-S7</v>
          </cell>
          <cell r="G2472" t="str">
            <v>Dust board Panel  - Ván quét bụi</v>
          </cell>
          <cell r="H2472" t="str">
            <v>MDF - 06 x 1830 x 2440mm [CARB P2 Compliant]</v>
          </cell>
          <cell r="I2472">
            <v>16</v>
          </cell>
        </row>
        <row r="2473">
          <cell r="A2473" t="str">
            <v>B557820/A</v>
          </cell>
          <cell r="B2473" t="str">
            <v>CZ127M191</v>
          </cell>
          <cell r="C2473">
            <v>4</v>
          </cell>
          <cell r="D2473">
            <v>513.64</v>
          </cell>
          <cell r="E2473">
            <v>2054.56</v>
          </cell>
          <cell r="F2473" t="str">
            <v>A2-S8</v>
          </cell>
          <cell r="G2473" t="str">
            <v>Corner block - ke góc</v>
          </cell>
          <cell r="H2473" t="str">
            <v>Standard Wood - ALDER/ASPEN/LENGA/US POPLAR, 2 COM - T38 W120mm+ L2m+</v>
          </cell>
          <cell r="I2473">
            <v>16</v>
          </cell>
        </row>
        <row r="2474">
          <cell r="A2474" t="str">
            <v>B557820/A</v>
          </cell>
          <cell r="B2474" t="str">
            <v>CZ127M191</v>
          </cell>
          <cell r="C2474">
            <v>4</v>
          </cell>
          <cell r="D2474">
            <v>513.64</v>
          </cell>
          <cell r="E2474">
            <v>2054.56</v>
          </cell>
          <cell r="F2474" t="str">
            <v>A2-S9</v>
          </cell>
          <cell r="G2474" t="str">
            <v>Center rail - Đố giữa</v>
          </cell>
          <cell r="H2474" t="str">
            <v>Wood laminate</v>
          </cell>
          <cell r="I2474">
            <v>4</v>
          </cell>
        </row>
        <row r="2475">
          <cell r="A2475" t="str">
            <v>B557821/A</v>
          </cell>
          <cell r="B2475" t="str">
            <v>CZ127M191</v>
          </cell>
          <cell r="C2475">
            <v>3</v>
          </cell>
          <cell r="D2475">
            <v>513.64</v>
          </cell>
          <cell r="E2475">
            <v>1540.92</v>
          </cell>
          <cell r="F2475" t="str">
            <v>A1-S1</v>
          </cell>
          <cell r="G2475" t="str">
            <v>The leg  - Chân</v>
          </cell>
          <cell r="H2475" t="str">
            <v>Standard wood</v>
          </cell>
          <cell r="I2475">
            <v>12</v>
          </cell>
        </row>
        <row r="2476">
          <cell r="A2476" t="str">
            <v>B557821/A</v>
          </cell>
          <cell r="B2476" t="str">
            <v>CZ127M191</v>
          </cell>
          <cell r="C2476">
            <v>3</v>
          </cell>
          <cell r="D2476">
            <v>513.64</v>
          </cell>
          <cell r="E2476">
            <v>1540.92</v>
          </cell>
          <cell r="F2476" t="str">
            <v>A1-S2</v>
          </cell>
          <cell r="G2476" t="str">
            <v>front Top &amp; bottom rail  - Đố nóc và đố đáy trước</v>
          </cell>
          <cell r="H2476" t="str">
            <v>Wood laminate</v>
          </cell>
          <cell r="I2476">
            <v>6</v>
          </cell>
        </row>
        <row r="2477">
          <cell r="A2477" t="str">
            <v>B557821/A</v>
          </cell>
          <cell r="B2477" t="str">
            <v>CZ127M191</v>
          </cell>
          <cell r="C2477">
            <v>3</v>
          </cell>
          <cell r="D2477">
            <v>513.64</v>
          </cell>
          <cell r="E2477">
            <v>1540.92</v>
          </cell>
          <cell r="F2477" t="str">
            <v>A1-S3</v>
          </cell>
          <cell r="G2477" t="str">
            <v>Side top rail - Đố hông trên</v>
          </cell>
          <cell r="H2477" t="str">
            <v>Wood laminate</v>
          </cell>
          <cell r="I2477">
            <v>6</v>
          </cell>
        </row>
        <row r="2478">
          <cell r="A2478" t="str">
            <v>B557821/A</v>
          </cell>
          <cell r="B2478" t="str">
            <v>CZ127M191</v>
          </cell>
          <cell r="C2478">
            <v>3</v>
          </cell>
          <cell r="D2478">
            <v>513.64</v>
          </cell>
          <cell r="E2478">
            <v>1540.92</v>
          </cell>
          <cell r="F2478" t="str">
            <v>A1-S4</v>
          </cell>
          <cell r="G2478" t="str">
            <v>Center top rail - Đố nóc giữa</v>
          </cell>
          <cell r="H2478" t="str">
            <v>Wood laminate</v>
          </cell>
          <cell r="I2478">
            <v>3</v>
          </cell>
        </row>
        <row r="2479">
          <cell r="A2479" t="str">
            <v>B557821/A</v>
          </cell>
          <cell r="B2479" t="str">
            <v>CZ127M191</v>
          </cell>
          <cell r="C2479">
            <v>3</v>
          </cell>
          <cell r="D2479">
            <v>513.64</v>
          </cell>
          <cell r="E2479">
            <v>1540.92</v>
          </cell>
          <cell r="F2479" t="str">
            <v>A1-S5</v>
          </cell>
          <cell r="G2479" t="str">
            <v xml:space="preserve">Top panel  - Ván nóc </v>
          </cell>
          <cell r="H2479" t="str">
            <v>MDF Veneer</v>
          </cell>
          <cell r="I2479">
            <v>3</v>
          </cell>
        </row>
        <row r="2480">
          <cell r="A2480" t="str">
            <v>B557821/A</v>
          </cell>
          <cell r="B2480" t="str">
            <v>CZ127M191</v>
          </cell>
          <cell r="C2480">
            <v>3</v>
          </cell>
          <cell r="D2480">
            <v>513.64</v>
          </cell>
          <cell r="E2480">
            <v>1540.92</v>
          </cell>
          <cell r="F2480" t="str">
            <v>A1-S6</v>
          </cell>
          <cell r="G2480" t="str">
            <v>Center rail - Đố giữa</v>
          </cell>
          <cell r="H2480" t="str">
            <v>MDF OFF CUT</v>
          </cell>
          <cell r="I2480">
            <v>12</v>
          </cell>
        </row>
        <row r="2481">
          <cell r="A2481" t="str">
            <v>B557821/A</v>
          </cell>
          <cell r="B2481" t="str">
            <v>CZ127M191</v>
          </cell>
          <cell r="C2481">
            <v>3</v>
          </cell>
          <cell r="D2481">
            <v>513.64</v>
          </cell>
          <cell r="E2481">
            <v>1540.92</v>
          </cell>
          <cell r="F2481" t="str">
            <v>A1-S7</v>
          </cell>
          <cell r="G2481" t="str">
            <v>Dust board Panel  - Ván quét bụi</v>
          </cell>
          <cell r="H2481" t="str">
            <v>MDF Veneer</v>
          </cell>
          <cell r="I2481">
            <v>3</v>
          </cell>
        </row>
        <row r="2482">
          <cell r="A2482" t="str">
            <v>B557821/A</v>
          </cell>
          <cell r="B2482" t="str">
            <v>CZ127M191</v>
          </cell>
          <cell r="C2482">
            <v>3</v>
          </cell>
          <cell r="D2482">
            <v>513.64</v>
          </cell>
          <cell r="E2482">
            <v>1540.92</v>
          </cell>
          <cell r="F2482" t="str">
            <v>A1-S9-1</v>
          </cell>
          <cell r="G2482" t="str">
            <v>Corner block - ke góc</v>
          </cell>
          <cell r="H2482" t="str">
            <v>Poplar off cut</v>
          </cell>
          <cell r="I2482">
            <v>12</v>
          </cell>
        </row>
        <row r="2483">
          <cell r="A2483" t="str">
            <v>B557821/A</v>
          </cell>
          <cell r="B2483" t="str">
            <v>CZ127M191</v>
          </cell>
          <cell r="C2483">
            <v>3</v>
          </cell>
          <cell r="D2483">
            <v>513.64</v>
          </cell>
          <cell r="E2483">
            <v>1540.92</v>
          </cell>
          <cell r="F2483" t="str">
            <v>A2-S1</v>
          </cell>
          <cell r="G2483" t="str">
            <v>Front Bottom Rail  - Đố đáy trước</v>
          </cell>
          <cell r="H2483" t="str">
            <v>Wood laminate</v>
          </cell>
          <cell r="I2483">
            <v>6</v>
          </cell>
        </row>
        <row r="2484">
          <cell r="A2484" t="str">
            <v>B557821/A</v>
          </cell>
          <cell r="B2484" t="str">
            <v>CZ127M191</v>
          </cell>
          <cell r="C2484">
            <v>3</v>
          </cell>
          <cell r="D2484">
            <v>513.64</v>
          </cell>
          <cell r="E2484">
            <v>1540.92</v>
          </cell>
          <cell r="F2484" t="str">
            <v>A2-S2</v>
          </cell>
          <cell r="G2484" t="str">
            <v>Side bottom rail - Đố hông dưới</v>
          </cell>
          <cell r="H2484" t="str">
            <v>Wood laminate</v>
          </cell>
          <cell r="I2484">
            <v>6</v>
          </cell>
        </row>
        <row r="2485">
          <cell r="A2485" t="str">
            <v>B557821/A</v>
          </cell>
          <cell r="B2485" t="str">
            <v>CZ127M191</v>
          </cell>
          <cell r="C2485">
            <v>3</v>
          </cell>
          <cell r="D2485">
            <v>513.64</v>
          </cell>
          <cell r="E2485">
            <v>1540.92</v>
          </cell>
          <cell r="F2485" t="str">
            <v>A2-S3</v>
          </cell>
          <cell r="G2485" t="str">
            <v>Center rail - Đố giữa</v>
          </cell>
          <cell r="H2485" t="str">
            <v>MDF OFF CUT</v>
          </cell>
          <cell r="I2485">
            <v>12</v>
          </cell>
        </row>
        <row r="2486">
          <cell r="A2486" t="str">
            <v>B557821/A</v>
          </cell>
          <cell r="B2486" t="str">
            <v>CZ127M191</v>
          </cell>
          <cell r="C2486">
            <v>3</v>
          </cell>
          <cell r="D2486">
            <v>513.64</v>
          </cell>
          <cell r="E2486">
            <v>1540.92</v>
          </cell>
          <cell r="F2486" t="str">
            <v>A2-S4</v>
          </cell>
          <cell r="G2486" t="str">
            <v xml:space="preserve">Top panel  - Ván nóc </v>
          </cell>
          <cell r="H2486" t="str">
            <v>MDF Veneer</v>
          </cell>
          <cell r="I2486">
            <v>3</v>
          </cell>
        </row>
        <row r="2487">
          <cell r="A2487" t="str">
            <v>B557821/A</v>
          </cell>
          <cell r="B2487" t="str">
            <v>CZ127M191</v>
          </cell>
          <cell r="C2487">
            <v>3</v>
          </cell>
          <cell r="D2487">
            <v>513.64</v>
          </cell>
          <cell r="E2487">
            <v>1540.92</v>
          </cell>
          <cell r="F2487" t="str">
            <v>A2-S5</v>
          </cell>
          <cell r="G2487" t="str">
            <v>Corner block - ke góc</v>
          </cell>
          <cell r="H2487" t="str">
            <v>Poplar off cut</v>
          </cell>
          <cell r="I2487">
            <v>12</v>
          </cell>
        </row>
        <row r="2488">
          <cell r="A2488" t="str">
            <v>B557821/A</v>
          </cell>
          <cell r="B2488" t="str">
            <v>CZ127M191</v>
          </cell>
          <cell r="C2488">
            <v>3</v>
          </cell>
          <cell r="D2488">
            <v>513.64</v>
          </cell>
          <cell r="E2488">
            <v>1540.92</v>
          </cell>
          <cell r="F2488" t="str">
            <v>A2-S6</v>
          </cell>
          <cell r="G2488" t="str">
            <v>Dust board Panel  - Ván quét bụi</v>
          </cell>
          <cell r="H2488" t="str">
            <v>MDF - 06 x 1830 x 2440mm [CARB P2 Compliant]</v>
          </cell>
          <cell r="I2488">
            <v>3</v>
          </cell>
        </row>
        <row r="2489">
          <cell r="A2489" t="str">
            <v>B557821/A</v>
          </cell>
          <cell r="B2489" t="str">
            <v>CZ127M191</v>
          </cell>
          <cell r="C2489">
            <v>3</v>
          </cell>
          <cell r="D2489">
            <v>513.64</v>
          </cell>
          <cell r="E2489">
            <v>1540.92</v>
          </cell>
          <cell r="F2489" t="str">
            <v>A2-S7</v>
          </cell>
          <cell r="G2489" t="str">
            <v>Dust board Panel  - Ván quét bụi</v>
          </cell>
          <cell r="H2489" t="str">
            <v>MDF - 06 x 1830 x 2440mm [CARB P2 Compliant]</v>
          </cell>
          <cell r="I2489">
            <v>12</v>
          </cell>
        </row>
        <row r="2490">
          <cell r="A2490" t="str">
            <v>B557821/A</v>
          </cell>
          <cell r="B2490" t="str">
            <v>CZ127M191</v>
          </cell>
          <cell r="C2490">
            <v>3</v>
          </cell>
          <cell r="D2490">
            <v>513.64</v>
          </cell>
          <cell r="E2490">
            <v>1540.92</v>
          </cell>
          <cell r="F2490" t="str">
            <v>A2-S8</v>
          </cell>
          <cell r="G2490" t="str">
            <v>Corner block - ke góc</v>
          </cell>
          <cell r="H2490" t="str">
            <v>Standard Wood - ALDER/ASPEN/LENGA/US POPLAR, 2 COM - T38 W120mm+ L2m+</v>
          </cell>
          <cell r="I2490">
            <v>12</v>
          </cell>
        </row>
        <row r="2491">
          <cell r="A2491" t="str">
            <v>B557821/A</v>
          </cell>
          <cell r="B2491" t="str">
            <v>CZ127M191</v>
          </cell>
          <cell r="C2491">
            <v>3</v>
          </cell>
          <cell r="D2491">
            <v>513.64</v>
          </cell>
          <cell r="E2491">
            <v>1540.92</v>
          </cell>
          <cell r="F2491" t="str">
            <v>A2-S9</v>
          </cell>
          <cell r="G2491" t="str">
            <v>Center rail - Đố giữa</v>
          </cell>
          <cell r="H2491" t="str">
            <v>Wood laminate</v>
          </cell>
          <cell r="I2491">
            <v>3</v>
          </cell>
        </row>
        <row r="2492">
          <cell r="A2492" t="str">
            <v>B557823/A</v>
          </cell>
          <cell r="B2492" t="str">
            <v>CZ129M08</v>
          </cell>
          <cell r="C2492">
            <v>6</v>
          </cell>
          <cell r="D2492">
            <v>607.13</v>
          </cell>
          <cell r="E2492">
            <v>3642.7799999999997</v>
          </cell>
          <cell r="F2492" t="str">
            <v>A1-S1</v>
          </cell>
          <cell r="G2492" t="str">
            <v>Front Vertical rail  - Trụ tiền</v>
          </cell>
          <cell r="H2492" t="str">
            <v>Poplar 2 COM</v>
          </cell>
          <cell r="I2492">
            <v>12</v>
          </cell>
        </row>
        <row r="2493">
          <cell r="A2493" t="str">
            <v>B557823/A</v>
          </cell>
          <cell r="B2493" t="str">
            <v>CZ129M08</v>
          </cell>
          <cell r="C2493">
            <v>6</v>
          </cell>
          <cell r="D2493">
            <v>607.13</v>
          </cell>
          <cell r="E2493">
            <v>3642.7799999999997</v>
          </cell>
          <cell r="F2493" t="str">
            <v>A1-S2</v>
          </cell>
          <cell r="G2493" t="str">
            <v>Back Vertical rail - Trụ hậu</v>
          </cell>
          <cell r="H2493" t="str">
            <v>Poplar 2 COM</v>
          </cell>
          <cell r="I2493">
            <v>12</v>
          </cell>
        </row>
        <row r="2494">
          <cell r="A2494" t="str">
            <v>B557823/A</v>
          </cell>
          <cell r="B2494" t="str">
            <v>CZ129M08</v>
          </cell>
          <cell r="C2494">
            <v>6</v>
          </cell>
          <cell r="D2494">
            <v>607.13</v>
          </cell>
          <cell r="E2494">
            <v>3642.7799999999997</v>
          </cell>
          <cell r="F2494" t="str">
            <v>A1-S3</v>
          </cell>
          <cell r="G2494" t="str">
            <v xml:space="preserve">Side panel  - Ván hông </v>
          </cell>
          <cell r="H2494" t="str">
            <v>Standard Wood - ALDER/ASPEN/LENGA/US POPLAR, 2 COM - T25 W120mm+ L2m+</v>
          </cell>
          <cell r="I2494">
            <v>12</v>
          </cell>
        </row>
        <row r="2495">
          <cell r="A2495" t="str">
            <v>B557823/A</v>
          </cell>
          <cell r="B2495" t="str">
            <v>CZ129M08</v>
          </cell>
          <cell r="C2495">
            <v>6</v>
          </cell>
          <cell r="D2495">
            <v>607.13</v>
          </cell>
          <cell r="E2495">
            <v>3642.7799999999997</v>
          </cell>
          <cell r="F2495" t="str">
            <v>A3-S1</v>
          </cell>
          <cell r="G2495" t="str">
            <v xml:space="preserve">Drawer front - Mặt hộc kéo </v>
          </cell>
          <cell r="H2495" t="str">
            <v>Standard Wood - ALDER/ASPEN/LENGA/US POPLAR, 2 COM - T25 W120mm+ L2m+</v>
          </cell>
          <cell r="I2495">
            <v>18</v>
          </cell>
        </row>
        <row r="2496">
          <cell r="A2496" t="str">
            <v>B557823/A</v>
          </cell>
          <cell r="B2496" t="str">
            <v>CZ129M08</v>
          </cell>
          <cell r="C2496">
            <v>6</v>
          </cell>
          <cell r="D2496">
            <v>607.13</v>
          </cell>
          <cell r="E2496">
            <v>3642.7799999999997</v>
          </cell>
          <cell r="F2496" t="str">
            <v>A3-S2</v>
          </cell>
          <cell r="G2496" t="str">
            <v>Drawer side - Hông hộc kéo</v>
          </cell>
          <cell r="H2496" t="str">
            <v>Standard Wood - ALDER/ASPEN/LENGA/US POPLAR, 2 COM - T25 W120mm+ L2m+</v>
          </cell>
          <cell r="I2496">
            <v>36</v>
          </cell>
        </row>
        <row r="2497">
          <cell r="A2497" t="str">
            <v>B557823/A</v>
          </cell>
          <cell r="B2497" t="str">
            <v>CZ129M08</v>
          </cell>
          <cell r="C2497">
            <v>6</v>
          </cell>
          <cell r="D2497">
            <v>607.13</v>
          </cell>
          <cell r="E2497">
            <v>3642.7799999999997</v>
          </cell>
          <cell r="F2497" t="str">
            <v>A3-S3</v>
          </cell>
          <cell r="G2497" t="str">
            <v>Drawer back - Hậu hộc kéo</v>
          </cell>
          <cell r="H2497" t="str">
            <v>Standard Wood - ALDER/ASPEN/LENGA/US POPLAR, 2 COM - T38 W120mm+ L2m+</v>
          </cell>
          <cell r="I2497">
            <v>18</v>
          </cell>
        </row>
        <row r="2498">
          <cell r="A2498" t="str">
            <v>B557823/A</v>
          </cell>
          <cell r="B2498" t="str">
            <v>CZ129M08</v>
          </cell>
          <cell r="C2498">
            <v>6</v>
          </cell>
          <cell r="D2498">
            <v>607.13</v>
          </cell>
          <cell r="E2498">
            <v>3642.7799999999997</v>
          </cell>
          <cell r="F2498" t="str">
            <v>A3-S4</v>
          </cell>
          <cell r="G2498" t="str">
            <v>Drawer bottom  - Đáy hộc kéo</v>
          </cell>
          <cell r="H2498" t="str">
            <v>MDF - 06 x 1220 x 2440mm, Veneer Okoume 0.3mm Both Faces [CARB P2 Compliant]</v>
          </cell>
          <cell r="I2498">
            <v>18</v>
          </cell>
        </row>
        <row r="2499">
          <cell r="A2499" t="str">
            <v>B557823/A</v>
          </cell>
          <cell r="B2499" t="str">
            <v>CZ129M08</v>
          </cell>
          <cell r="C2499">
            <v>6</v>
          </cell>
          <cell r="D2499">
            <v>607.13</v>
          </cell>
          <cell r="E2499">
            <v>3642.7799999999997</v>
          </cell>
          <cell r="F2499" t="str">
            <v>A3-S6</v>
          </cell>
          <cell r="G2499" t="str">
            <v>Patching wood - Gỗ đắp</v>
          </cell>
          <cell r="H2499" t="str">
            <v>Wood US Poplar - Straight Edged, 2 COM - T38mm x W100mm Up x L1.8m Up</v>
          </cell>
          <cell r="I2499">
            <v>36</v>
          </cell>
        </row>
        <row r="2500">
          <cell r="A2500" t="str">
            <v>B557823/A</v>
          </cell>
          <cell r="B2500" t="str">
            <v>CZ129M08</v>
          </cell>
          <cell r="C2500">
            <v>6</v>
          </cell>
          <cell r="D2500">
            <v>607.13</v>
          </cell>
          <cell r="E2500">
            <v>3642.7799999999997</v>
          </cell>
          <cell r="F2500" t="str">
            <v>P01</v>
          </cell>
          <cell r="G2500" t="str">
            <v>Front top rail  - Đố tiền nóc</v>
          </cell>
          <cell r="H2500" t="str">
            <v>Standard Wood - ALDER/ASPEN/LENGA/US POPLAR, 2 COM - T50 W120mm+ L2m+</v>
          </cell>
          <cell r="I2500">
            <v>6</v>
          </cell>
        </row>
        <row r="2501">
          <cell r="A2501" t="str">
            <v>B557823/A</v>
          </cell>
          <cell r="B2501" t="str">
            <v>CZ129M08</v>
          </cell>
          <cell r="C2501">
            <v>6</v>
          </cell>
          <cell r="D2501">
            <v>607.13</v>
          </cell>
          <cell r="E2501">
            <v>3642.7799999999997</v>
          </cell>
          <cell r="F2501" t="str">
            <v>P02</v>
          </cell>
          <cell r="G2501" t="str">
            <v xml:space="preserve">Top panel  - Ván nóc </v>
          </cell>
          <cell r="H2501" t="str">
            <v>MDF Veneer</v>
          </cell>
          <cell r="I2501">
            <v>6</v>
          </cell>
        </row>
        <row r="2502">
          <cell r="A2502" t="str">
            <v>B557823/A</v>
          </cell>
          <cell r="B2502" t="str">
            <v>CZ129M08</v>
          </cell>
          <cell r="C2502">
            <v>6</v>
          </cell>
          <cell r="D2502">
            <v>607.13</v>
          </cell>
          <cell r="E2502">
            <v>3642.7799999999997</v>
          </cell>
          <cell r="F2502" t="str">
            <v>P04</v>
          </cell>
          <cell r="G2502" t="str">
            <v>Partition panel - Vách ngăn</v>
          </cell>
          <cell r="H2502" t="str">
            <v>Standard Wood - ALDER/ASPEN/LENGA/US POPLAR, 2 COM - T25 W120mm+ L2m+</v>
          </cell>
          <cell r="I2502">
            <v>12</v>
          </cell>
        </row>
        <row r="2503">
          <cell r="A2503" t="str">
            <v>B557823/A</v>
          </cell>
          <cell r="B2503" t="str">
            <v>CZ129M08</v>
          </cell>
          <cell r="C2503">
            <v>6</v>
          </cell>
          <cell r="D2503">
            <v>607.13</v>
          </cell>
          <cell r="E2503">
            <v>3642.7799999999997</v>
          </cell>
          <cell r="F2503" t="str">
            <v>P05</v>
          </cell>
          <cell r="G2503" t="str">
            <v>Bottom panel - Ván đáy</v>
          </cell>
          <cell r="H2503" t="str">
            <v>MDF Veneer</v>
          </cell>
          <cell r="I2503">
            <v>6</v>
          </cell>
        </row>
        <row r="2504">
          <cell r="A2504" t="str">
            <v>B557823/A</v>
          </cell>
          <cell r="B2504" t="str">
            <v>CZ129M08</v>
          </cell>
          <cell r="C2504">
            <v>6</v>
          </cell>
          <cell r="D2504">
            <v>607.13</v>
          </cell>
          <cell r="E2504">
            <v>3642.7799999999997</v>
          </cell>
          <cell r="F2504" t="str">
            <v>P06</v>
          </cell>
          <cell r="G2504" t="str">
            <v>Patching wood - Gỗ đắp</v>
          </cell>
          <cell r="H2504" t="str">
            <v>Standard Wood - ALDER/ASPEN/LENGA/US POPLAR, 2 COM - T25 W120mm+ L2m+</v>
          </cell>
          <cell r="I2504">
            <v>12</v>
          </cell>
        </row>
        <row r="2505">
          <cell r="A2505" t="str">
            <v>B557823/A</v>
          </cell>
          <cell r="B2505" t="str">
            <v>CZ129M08</v>
          </cell>
          <cell r="C2505">
            <v>6</v>
          </cell>
          <cell r="D2505">
            <v>607.13</v>
          </cell>
          <cell r="E2505">
            <v>3642.7799999999997</v>
          </cell>
          <cell r="F2505" t="str">
            <v>P07</v>
          </cell>
          <cell r="G2505" t="str">
            <v>Back panel - Ván hậu</v>
          </cell>
          <cell r="H2505" t="str">
            <v>Standard Wood - ALDER/ASPEN/LENGA/US POPLAR, 2 COM - T25 W120mm+ L2m+</v>
          </cell>
          <cell r="I2505">
            <v>6</v>
          </cell>
        </row>
        <row r="2506">
          <cell r="A2506" t="str">
            <v>B557823/A</v>
          </cell>
          <cell r="B2506" t="str">
            <v>CZ129M08</v>
          </cell>
          <cell r="C2506">
            <v>6</v>
          </cell>
          <cell r="D2506">
            <v>607.13</v>
          </cell>
          <cell r="E2506">
            <v>3642.7799999999997</v>
          </cell>
          <cell r="F2506" t="str">
            <v>P08</v>
          </cell>
          <cell r="G2506" t="str">
            <v>Patching wood - Gỗ đắp</v>
          </cell>
          <cell r="H2506" t="str">
            <v>Standard Wood - ALDER/ASPEN/LENGA/US POPLAR, 2 COM - T38 W120mm+ L2m+</v>
          </cell>
          <cell r="I2506">
            <v>12</v>
          </cell>
        </row>
        <row r="2507">
          <cell r="A2507" t="str">
            <v>B557823/A</v>
          </cell>
          <cell r="B2507" t="str">
            <v>CZ129M08</v>
          </cell>
          <cell r="C2507">
            <v>6</v>
          </cell>
          <cell r="D2507">
            <v>607.13</v>
          </cell>
          <cell r="E2507">
            <v>3642.7799999999997</v>
          </cell>
          <cell r="F2507" t="str">
            <v>P09</v>
          </cell>
          <cell r="G2507" t="str">
            <v>Cleat - Bọ gỗ</v>
          </cell>
          <cell r="H2507" t="str">
            <v>Standard Wood - ALDER/ASPEN/LENGA/US POPLAR, 2 COM - T50 W120mm+ L2m+</v>
          </cell>
          <cell r="I2507">
            <v>12</v>
          </cell>
        </row>
        <row r="2508">
          <cell r="A2508" t="str">
            <v>B557823/A</v>
          </cell>
          <cell r="B2508" t="str">
            <v>CZ129M08</v>
          </cell>
          <cell r="C2508">
            <v>6</v>
          </cell>
          <cell r="D2508">
            <v>607.13</v>
          </cell>
          <cell r="E2508">
            <v>3642.7799999999997</v>
          </cell>
          <cell r="F2508" t="str">
            <v>P09-1</v>
          </cell>
          <cell r="G2508" t="str">
            <v>Cleat - Bọ gỗ</v>
          </cell>
          <cell r="H2508" t="str">
            <v>Poplar off cut</v>
          </cell>
          <cell r="I2508">
            <v>12</v>
          </cell>
        </row>
        <row r="2509">
          <cell r="A2509" t="str">
            <v>B557823/A</v>
          </cell>
          <cell r="B2509" t="str">
            <v>CZ129M08</v>
          </cell>
          <cell r="C2509">
            <v>6</v>
          </cell>
          <cell r="D2509">
            <v>607.13</v>
          </cell>
          <cell r="E2509">
            <v>3642.7799999999997</v>
          </cell>
          <cell r="F2509" t="str">
            <v>P10</v>
          </cell>
          <cell r="G2509" t="str">
            <v>Cleat - Bọ gỗ</v>
          </cell>
          <cell r="H2509" t="str">
            <v>Poplar off cut</v>
          </cell>
          <cell r="I2509">
            <v>12</v>
          </cell>
        </row>
        <row r="2510">
          <cell r="A2510" t="str">
            <v>B557825/A</v>
          </cell>
          <cell r="B2510" t="str">
            <v>CZ129M09</v>
          </cell>
          <cell r="C2510">
            <v>15</v>
          </cell>
          <cell r="D2510">
            <v>607.13</v>
          </cell>
          <cell r="E2510">
            <v>9106.9500000000007</v>
          </cell>
          <cell r="F2510" t="str">
            <v>A1-S1</v>
          </cell>
          <cell r="G2510" t="str">
            <v>Front Vertical rail  - Trụ tiền</v>
          </cell>
          <cell r="H2510" t="str">
            <v>Poplar 2 COM</v>
          </cell>
          <cell r="I2510">
            <v>30</v>
          </cell>
        </row>
        <row r="2511">
          <cell r="A2511" t="str">
            <v>B557825/A</v>
          </cell>
          <cell r="B2511" t="str">
            <v>CZ129M09</v>
          </cell>
          <cell r="C2511">
            <v>15</v>
          </cell>
          <cell r="D2511">
            <v>607.13</v>
          </cell>
          <cell r="E2511">
            <v>9106.9500000000007</v>
          </cell>
          <cell r="F2511" t="str">
            <v>A1-S2</v>
          </cell>
          <cell r="G2511" t="str">
            <v>Back Vertical rail - Trụ hậu</v>
          </cell>
          <cell r="H2511" t="str">
            <v>Poplar 2 COM</v>
          </cell>
          <cell r="I2511">
            <v>30</v>
          </cell>
        </row>
        <row r="2512">
          <cell r="A2512" t="str">
            <v>B557825/A</v>
          </cell>
          <cell r="B2512" t="str">
            <v>CZ129M09</v>
          </cell>
          <cell r="C2512">
            <v>15</v>
          </cell>
          <cell r="D2512">
            <v>607.13</v>
          </cell>
          <cell r="E2512">
            <v>9106.9500000000007</v>
          </cell>
          <cell r="F2512" t="str">
            <v>A1-S3</v>
          </cell>
          <cell r="G2512" t="str">
            <v xml:space="preserve">Side panel  - Ván hông </v>
          </cell>
          <cell r="H2512" t="str">
            <v>Standard Wood - ALDER/ASPEN/LENGA/US POPLAR, 2 COM - T25 W120mm+ L2m+</v>
          </cell>
          <cell r="I2512">
            <v>30</v>
          </cell>
        </row>
        <row r="2513">
          <cell r="A2513" t="str">
            <v>B557825/A</v>
          </cell>
          <cell r="B2513" t="str">
            <v>CZ129M09</v>
          </cell>
          <cell r="C2513">
            <v>15</v>
          </cell>
          <cell r="D2513">
            <v>607.13</v>
          </cell>
          <cell r="E2513">
            <v>9106.9500000000007</v>
          </cell>
          <cell r="F2513" t="str">
            <v>A3-S1</v>
          </cell>
          <cell r="G2513" t="str">
            <v xml:space="preserve">Drawer front - Mặt hộc kéo </v>
          </cell>
          <cell r="H2513" t="str">
            <v>Standard Wood - ALDER/ASPEN/LENGA/US POPLAR, 2 COM - T25 W120mm+ L2m+</v>
          </cell>
          <cell r="I2513">
            <v>45</v>
          </cell>
        </row>
        <row r="2514">
          <cell r="A2514" t="str">
            <v>B557825/A</v>
          </cell>
          <cell r="B2514" t="str">
            <v>CZ129M09</v>
          </cell>
          <cell r="C2514">
            <v>15</v>
          </cell>
          <cell r="D2514">
            <v>607.13</v>
          </cell>
          <cell r="E2514">
            <v>9106.9500000000007</v>
          </cell>
          <cell r="F2514" t="str">
            <v>A3-S2</v>
          </cell>
          <cell r="G2514" t="str">
            <v>Drawer side - Hông hộc kéo</v>
          </cell>
          <cell r="H2514" t="str">
            <v>Standard Wood - ALDER/ASPEN/LENGA/US POPLAR, 2 COM - T25 W120mm+ L2m+</v>
          </cell>
          <cell r="I2514">
            <v>90</v>
          </cell>
        </row>
        <row r="2515">
          <cell r="A2515" t="str">
            <v>B557825/A</v>
          </cell>
          <cell r="B2515" t="str">
            <v>CZ129M09</v>
          </cell>
          <cell r="C2515">
            <v>15</v>
          </cell>
          <cell r="D2515">
            <v>607.13</v>
          </cell>
          <cell r="E2515">
            <v>9106.9500000000007</v>
          </cell>
          <cell r="F2515" t="str">
            <v>A3-S3</v>
          </cell>
          <cell r="G2515" t="str">
            <v>Drawer back - Hậu hộc kéo</v>
          </cell>
          <cell r="H2515" t="str">
            <v>Standard Wood - ALDER/ASPEN/LENGA/US POPLAR, 2 COM - T38 W120mm+ L2m+</v>
          </cell>
          <cell r="I2515">
            <v>45</v>
          </cell>
        </row>
        <row r="2516">
          <cell r="A2516" t="str">
            <v>B557825/A</v>
          </cell>
          <cell r="B2516" t="str">
            <v>CZ129M09</v>
          </cell>
          <cell r="C2516">
            <v>15</v>
          </cell>
          <cell r="D2516">
            <v>607.13</v>
          </cell>
          <cell r="E2516">
            <v>9106.9500000000007</v>
          </cell>
          <cell r="F2516" t="str">
            <v>A3-S4</v>
          </cell>
          <cell r="G2516" t="str">
            <v>Drawer bottom  - Đáy hộc kéo</v>
          </cell>
          <cell r="H2516" t="str">
            <v>MDF - 06 x 1220 x 2440mm, Veneer Okoume 0.3mm Both Faces [CARB P2 Compliant]</v>
          </cell>
          <cell r="I2516">
            <v>45</v>
          </cell>
        </row>
        <row r="2517">
          <cell r="A2517" t="str">
            <v>B557825/A</v>
          </cell>
          <cell r="B2517" t="str">
            <v>CZ129M09</v>
          </cell>
          <cell r="C2517">
            <v>15</v>
          </cell>
          <cell r="D2517">
            <v>607.13</v>
          </cell>
          <cell r="E2517">
            <v>9106.9500000000007</v>
          </cell>
          <cell r="F2517" t="str">
            <v>A3-S6</v>
          </cell>
          <cell r="G2517" t="str">
            <v>Patching wood - Gỗ đắp</v>
          </cell>
          <cell r="H2517" t="str">
            <v>Wood US Poplar - Straight Edged, 2 COM - T38mm x W100mm Up x L1.8m Up</v>
          </cell>
          <cell r="I2517">
            <v>90</v>
          </cell>
        </row>
        <row r="2518">
          <cell r="A2518" t="str">
            <v>B557825/A</v>
          </cell>
          <cell r="B2518" t="str">
            <v>CZ129M09</v>
          </cell>
          <cell r="C2518">
            <v>15</v>
          </cell>
          <cell r="D2518">
            <v>607.13</v>
          </cell>
          <cell r="E2518">
            <v>9106.9500000000007</v>
          </cell>
          <cell r="F2518" t="str">
            <v>P01</v>
          </cell>
          <cell r="G2518" t="str">
            <v>Front top rail  - Đố tiền nóc</v>
          </cell>
          <cell r="H2518" t="str">
            <v>Standard Wood - ALDER/ASPEN/LENGA/US POPLAR, 2 COM - T50 W120mm+ L2m+</v>
          </cell>
          <cell r="I2518">
            <v>15</v>
          </cell>
        </row>
        <row r="2519">
          <cell r="A2519" t="str">
            <v>B557825/A</v>
          </cell>
          <cell r="B2519" t="str">
            <v>CZ129M09</v>
          </cell>
          <cell r="C2519">
            <v>15</v>
          </cell>
          <cell r="D2519">
            <v>607.13</v>
          </cell>
          <cell r="E2519">
            <v>9106.9500000000007</v>
          </cell>
          <cell r="F2519" t="str">
            <v>P02</v>
          </cell>
          <cell r="G2519" t="str">
            <v xml:space="preserve">Top panel  - Ván nóc </v>
          </cell>
          <cell r="H2519" t="str">
            <v>MDF Veneer</v>
          </cell>
          <cell r="I2519">
            <v>15</v>
          </cell>
        </row>
        <row r="2520">
          <cell r="A2520" t="str">
            <v>B557825/A</v>
          </cell>
          <cell r="B2520" t="str">
            <v>CZ129M09</v>
          </cell>
          <cell r="C2520">
            <v>15</v>
          </cell>
          <cell r="D2520">
            <v>607.13</v>
          </cell>
          <cell r="E2520">
            <v>9106.9500000000007</v>
          </cell>
          <cell r="F2520" t="str">
            <v>P04</v>
          </cell>
          <cell r="G2520" t="str">
            <v>Partition panel - Vách ngăn</v>
          </cell>
          <cell r="H2520" t="str">
            <v>Standard Wood - ALDER/ASPEN/LENGA/US POPLAR, 2 COM - T25 W120mm+ L2m+</v>
          </cell>
          <cell r="I2520">
            <v>30</v>
          </cell>
        </row>
        <row r="2521">
          <cell r="A2521" t="str">
            <v>B557825/A</v>
          </cell>
          <cell r="B2521" t="str">
            <v>CZ129M09</v>
          </cell>
          <cell r="C2521">
            <v>15</v>
          </cell>
          <cell r="D2521">
            <v>607.13</v>
          </cell>
          <cell r="E2521">
            <v>9106.9500000000007</v>
          </cell>
          <cell r="F2521" t="str">
            <v>P05</v>
          </cell>
          <cell r="G2521" t="str">
            <v>Bottom panel - Ván đáy</v>
          </cell>
          <cell r="H2521" t="str">
            <v>MDF Veneer</v>
          </cell>
          <cell r="I2521">
            <v>15</v>
          </cell>
        </row>
        <row r="2522">
          <cell r="A2522" t="str">
            <v>B557825/A</v>
          </cell>
          <cell r="B2522" t="str">
            <v>CZ129M09</v>
          </cell>
          <cell r="C2522">
            <v>15</v>
          </cell>
          <cell r="D2522">
            <v>607.13</v>
          </cell>
          <cell r="E2522">
            <v>9106.9500000000007</v>
          </cell>
          <cell r="F2522" t="str">
            <v>P06</v>
          </cell>
          <cell r="G2522" t="str">
            <v>Patching wood - Gỗ đắp</v>
          </cell>
          <cell r="H2522" t="str">
            <v>Standard Wood - ALDER/ASPEN/LENGA/US POPLAR, 2 COM - T25 W120mm+ L2m+</v>
          </cell>
          <cell r="I2522">
            <v>30</v>
          </cell>
        </row>
        <row r="2523">
          <cell r="A2523" t="str">
            <v>B557825/A</v>
          </cell>
          <cell r="B2523" t="str">
            <v>CZ129M09</v>
          </cell>
          <cell r="C2523">
            <v>15</v>
          </cell>
          <cell r="D2523">
            <v>607.13</v>
          </cell>
          <cell r="E2523">
            <v>9106.9500000000007</v>
          </cell>
          <cell r="F2523" t="str">
            <v>P07</v>
          </cell>
          <cell r="G2523" t="str">
            <v>Back panel - Ván hậu</v>
          </cell>
          <cell r="H2523" t="str">
            <v>Standard Wood - ALDER/ASPEN/LENGA/US POPLAR, 2 COM - T25 W120mm+ L2m+</v>
          </cell>
          <cell r="I2523">
            <v>15</v>
          </cell>
        </row>
        <row r="2524">
          <cell r="A2524" t="str">
            <v>B557825/A</v>
          </cell>
          <cell r="B2524" t="str">
            <v>CZ129M09</v>
          </cell>
          <cell r="C2524">
            <v>15</v>
          </cell>
          <cell r="D2524">
            <v>607.13</v>
          </cell>
          <cell r="E2524">
            <v>9106.9500000000007</v>
          </cell>
          <cell r="F2524" t="str">
            <v>P08</v>
          </cell>
          <cell r="G2524" t="str">
            <v>Patching wood - Gỗ đắp</v>
          </cell>
          <cell r="H2524" t="str">
            <v>Standard Wood - ALDER/ASPEN/LENGA/US POPLAR, 2 COM - T38 W120mm+ L2m+</v>
          </cell>
          <cell r="I2524">
            <v>30</v>
          </cell>
        </row>
        <row r="2525">
          <cell r="A2525" t="str">
            <v>B557825/A</v>
          </cell>
          <cell r="B2525" t="str">
            <v>CZ129M09</v>
          </cell>
          <cell r="C2525">
            <v>15</v>
          </cell>
          <cell r="D2525">
            <v>607.13</v>
          </cell>
          <cell r="E2525">
            <v>9106.9500000000007</v>
          </cell>
          <cell r="F2525" t="str">
            <v>P09</v>
          </cell>
          <cell r="G2525" t="str">
            <v>Cleat - Bọ gỗ</v>
          </cell>
          <cell r="H2525" t="str">
            <v>Standard Wood - ALDER/ASPEN/LENGA/US POPLAR, 2 COM - T50 W120mm+ L2m+</v>
          </cell>
          <cell r="I2525">
            <v>30</v>
          </cell>
        </row>
        <row r="2526">
          <cell r="A2526" t="str">
            <v>B557825/A</v>
          </cell>
          <cell r="B2526" t="str">
            <v>CZ129M09</v>
          </cell>
          <cell r="C2526">
            <v>15</v>
          </cell>
          <cell r="D2526">
            <v>607.13</v>
          </cell>
          <cell r="E2526">
            <v>9106.9500000000007</v>
          </cell>
          <cell r="F2526" t="str">
            <v>P09-1</v>
          </cell>
          <cell r="G2526" t="str">
            <v>Cleat - Bọ gỗ</v>
          </cell>
          <cell r="H2526" t="str">
            <v>Poplar off cut</v>
          </cell>
          <cell r="I2526">
            <v>30</v>
          </cell>
        </row>
        <row r="2527">
          <cell r="A2527" t="str">
            <v>B557825/A</v>
          </cell>
          <cell r="B2527" t="str">
            <v>CZ129M09</v>
          </cell>
          <cell r="C2527">
            <v>15</v>
          </cell>
          <cell r="D2527">
            <v>607.13</v>
          </cell>
          <cell r="E2527">
            <v>9106.9500000000007</v>
          </cell>
          <cell r="F2527" t="str">
            <v>P10</v>
          </cell>
          <cell r="G2527" t="str">
            <v>Cleat - Bọ gỗ</v>
          </cell>
          <cell r="H2527" t="str">
            <v>Poplar off cut</v>
          </cell>
          <cell r="I2527">
            <v>30</v>
          </cell>
        </row>
        <row r="2528">
          <cell r="A2528" t="str">
            <v>B557828/A</v>
          </cell>
          <cell r="B2528" t="str">
            <v>CZ129M10</v>
          </cell>
          <cell r="C2528">
            <v>2</v>
          </cell>
          <cell r="D2528">
            <v>607.13</v>
          </cell>
          <cell r="E2528">
            <v>1214.26</v>
          </cell>
          <cell r="F2528" t="str">
            <v>A1-S1</v>
          </cell>
          <cell r="G2528" t="str">
            <v>Front Vertical rail  - Trụ tiền</v>
          </cell>
          <cell r="H2528" t="str">
            <v>Poplar 2 COM</v>
          </cell>
          <cell r="I2528">
            <v>4</v>
          </cell>
        </row>
        <row r="2529">
          <cell r="A2529" t="str">
            <v>B557828/A</v>
          </cell>
          <cell r="B2529" t="str">
            <v>CZ129M10</v>
          </cell>
          <cell r="C2529">
            <v>2</v>
          </cell>
          <cell r="D2529">
            <v>607.13</v>
          </cell>
          <cell r="E2529">
            <v>1214.26</v>
          </cell>
          <cell r="F2529" t="str">
            <v>A1-S2</v>
          </cell>
          <cell r="G2529" t="str">
            <v>Back Vertical rail - Trụ hậu</v>
          </cell>
          <cell r="H2529" t="str">
            <v>Poplar 2 COM</v>
          </cell>
          <cell r="I2529">
            <v>4</v>
          </cell>
        </row>
        <row r="2530">
          <cell r="A2530" t="str">
            <v>B557828/A</v>
          </cell>
          <cell r="B2530" t="str">
            <v>CZ129M10</v>
          </cell>
          <cell r="C2530">
            <v>2</v>
          </cell>
          <cell r="D2530">
            <v>607.13</v>
          </cell>
          <cell r="E2530">
            <v>1214.26</v>
          </cell>
          <cell r="F2530" t="str">
            <v>A1-S3</v>
          </cell>
          <cell r="G2530" t="str">
            <v xml:space="preserve">Side panel  - Ván hông </v>
          </cell>
          <cell r="H2530" t="str">
            <v>Standard Wood - ALDER/ASPEN/LENGA/US POPLAR, 2 COM - T25 W120mm+ L2m+</v>
          </cell>
          <cell r="I2530">
            <v>4</v>
          </cell>
        </row>
        <row r="2531">
          <cell r="A2531" t="str">
            <v>B557828/A</v>
          </cell>
          <cell r="B2531" t="str">
            <v>CZ129M10</v>
          </cell>
          <cell r="C2531">
            <v>2</v>
          </cell>
          <cell r="D2531">
            <v>607.13</v>
          </cell>
          <cell r="E2531">
            <v>1214.26</v>
          </cell>
          <cell r="F2531" t="str">
            <v>A3-S1</v>
          </cell>
          <cell r="G2531" t="str">
            <v xml:space="preserve">Drawer front - Mặt hộc kéo </v>
          </cell>
          <cell r="H2531" t="str">
            <v>Standard Wood - ALDER/ASPEN/LENGA/US POPLAR, 2 COM - T25 W120mm+ L2m+</v>
          </cell>
          <cell r="I2531">
            <v>6</v>
          </cell>
        </row>
        <row r="2532">
          <cell r="A2532" t="str">
            <v>B557828/A</v>
          </cell>
          <cell r="B2532" t="str">
            <v>CZ129M10</v>
          </cell>
          <cell r="C2532">
            <v>2</v>
          </cell>
          <cell r="D2532">
            <v>607.13</v>
          </cell>
          <cell r="E2532">
            <v>1214.26</v>
          </cell>
          <cell r="F2532" t="str">
            <v>A3-S2</v>
          </cell>
          <cell r="G2532" t="str">
            <v>Drawer side - Hông hộc kéo</v>
          </cell>
          <cell r="H2532" t="str">
            <v>Standard Wood - ALDER/ASPEN/LENGA/US POPLAR, 2 COM - T25 W120mm+ L2m+</v>
          </cell>
          <cell r="I2532">
            <v>12</v>
          </cell>
        </row>
        <row r="2533">
          <cell r="A2533" t="str">
            <v>B557828/A</v>
          </cell>
          <cell r="B2533" t="str">
            <v>CZ129M10</v>
          </cell>
          <cell r="C2533">
            <v>2</v>
          </cell>
          <cell r="D2533">
            <v>607.13</v>
          </cell>
          <cell r="E2533">
            <v>1214.26</v>
          </cell>
          <cell r="F2533" t="str">
            <v>A3-S3</v>
          </cell>
          <cell r="G2533" t="str">
            <v>Drawer back - Hậu hộc kéo</v>
          </cell>
          <cell r="H2533" t="str">
            <v>Standard Wood - ALDER/ASPEN/LENGA/US POPLAR, 2 COM - T38 W120mm+ L2m+</v>
          </cell>
          <cell r="I2533">
            <v>6</v>
          </cell>
        </row>
        <row r="2534">
          <cell r="A2534" t="str">
            <v>B557828/A</v>
          </cell>
          <cell r="B2534" t="str">
            <v>CZ129M10</v>
          </cell>
          <cell r="C2534">
            <v>2</v>
          </cell>
          <cell r="D2534">
            <v>607.13</v>
          </cell>
          <cell r="E2534">
            <v>1214.26</v>
          </cell>
          <cell r="F2534" t="str">
            <v>A3-S4</v>
          </cell>
          <cell r="G2534" t="str">
            <v>Drawer bottom  - Đáy hộc kéo</v>
          </cell>
          <cell r="H2534" t="str">
            <v>MDF - 06 x 1220 x 2440mm, Veneer Okoume 0.3mm Both Faces [CARB P2 Compliant]</v>
          </cell>
          <cell r="I2534">
            <v>6</v>
          </cell>
        </row>
        <row r="2535">
          <cell r="A2535" t="str">
            <v>B557828/A</v>
          </cell>
          <cell r="B2535" t="str">
            <v>CZ129M10</v>
          </cell>
          <cell r="C2535">
            <v>2</v>
          </cell>
          <cell r="D2535">
            <v>607.13</v>
          </cell>
          <cell r="E2535">
            <v>1214.26</v>
          </cell>
          <cell r="F2535" t="str">
            <v>A3-S6</v>
          </cell>
          <cell r="G2535" t="str">
            <v>Patching wood - Gỗ đắp</v>
          </cell>
          <cell r="H2535" t="str">
            <v>Wood US Poplar - Straight Edged, 2 COM - T38mm x W100mm Up x L1.8m Up</v>
          </cell>
          <cell r="I2535">
            <v>12</v>
          </cell>
        </row>
        <row r="2536">
          <cell r="A2536" t="str">
            <v>B557828/A</v>
          </cell>
          <cell r="B2536" t="str">
            <v>CZ129M10</v>
          </cell>
          <cell r="C2536">
            <v>2</v>
          </cell>
          <cell r="D2536">
            <v>607.13</v>
          </cell>
          <cell r="E2536">
            <v>1214.26</v>
          </cell>
          <cell r="F2536" t="str">
            <v>P01</v>
          </cell>
          <cell r="G2536" t="str">
            <v>Front top rail  - Đố tiền nóc</v>
          </cell>
          <cell r="H2536" t="str">
            <v>Standard Wood - ALDER/ASPEN/LENGA/US POPLAR, 2 COM - T50 W120mm+ L2m+</v>
          </cell>
          <cell r="I2536">
            <v>2</v>
          </cell>
        </row>
        <row r="2537">
          <cell r="A2537" t="str">
            <v>B557828/A</v>
          </cell>
          <cell r="B2537" t="str">
            <v>CZ129M10</v>
          </cell>
          <cell r="C2537">
            <v>2</v>
          </cell>
          <cell r="D2537">
            <v>607.13</v>
          </cell>
          <cell r="E2537">
            <v>1214.26</v>
          </cell>
          <cell r="F2537" t="str">
            <v>P02</v>
          </cell>
          <cell r="G2537" t="str">
            <v xml:space="preserve">Top panel  - Ván nóc </v>
          </cell>
          <cell r="H2537" t="str">
            <v>MDF Veneer</v>
          </cell>
          <cell r="I2537">
            <v>2</v>
          </cell>
        </row>
        <row r="2538">
          <cell r="A2538" t="str">
            <v>B557828/A</v>
          </cell>
          <cell r="B2538" t="str">
            <v>CZ129M10</v>
          </cell>
          <cell r="C2538">
            <v>2</v>
          </cell>
          <cell r="D2538">
            <v>607.13</v>
          </cell>
          <cell r="E2538">
            <v>1214.26</v>
          </cell>
          <cell r="F2538" t="str">
            <v>P04</v>
          </cell>
          <cell r="G2538" t="str">
            <v>Partition panel - Vách ngăn</v>
          </cell>
          <cell r="H2538" t="str">
            <v>Standard Wood - ALDER/ASPEN/LENGA/US POPLAR, 2 COM - T25 W120mm+ L2m+</v>
          </cell>
          <cell r="I2538">
            <v>4</v>
          </cell>
        </row>
        <row r="2539">
          <cell r="A2539" t="str">
            <v>B557828/A</v>
          </cell>
          <cell r="B2539" t="str">
            <v>CZ129M10</v>
          </cell>
          <cell r="C2539">
            <v>2</v>
          </cell>
          <cell r="D2539">
            <v>607.13</v>
          </cell>
          <cell r="E2539">
            <v>1214.26</v>
          </cell>
          <cell r="F2539" t="str">
            <v>P05</v>
          </cell>
          <cell r="G2539" t="str">
            <v>Bottom panel - Ván đáy</v>
          </cell>
          <cell r="H2539" t="str">
            <v>MDF Veneer</v>
          </cell>
          <cell r="I2539">
            <v>2</v>
          </cell>
        </row>
        <row r="2540">
          <cell r="A2540" t="str">
            <v>B557828/A</v>
          </cell>
          <cell r="B2540" t="str">
            <v>CZ129M10</v>
          </cell>
          <cell r="C2540">
            <v>2</v>
          </cell>
          <cell r="D2540">
            <v>607.13</v>
          </cell>
          <cell r="E2540">
            <v>1214.26</v>
          </cell>
          <cell r="F2540" t="str">
            <v>P06</v>
          </cell>
          <cell r="G2540" t="str">
            <v>Patching wood - Gỗ đắp</v>
          </cell>
          <cell r="H2540" t="str">
            <v>Standard Wood - ALDER/ASPEN/LENGA/US POPLAR, 2 COM - T25 W120mm+ L2m+</v>
          </cell>
          <cell r="I2540">
            <v>4</v>
          </cell>
        </row>
        <row r="2541">
          <cell r="A2541" t="str">
            <v>B557828/A</v>
          </cell>
          <cell r="B2541" t="str">
            <v>CZ129M10</v>
          </cell>
          <cell r="C2541">
            <v>2</v>
          </cell>
          <cell r="D2541">
            <v>607.13</v>
          </cell>
          <cell r="E2541">
            <v>1214.26</v>
          </cell>
          <cell r="F2541" t="str">
            <v>P07</v>
          </cell>
          <cell r="G2541" t="str">
            <v>Back panel - Ván hậu</v>
          </cell>
          <cell r="H2541" t="str">
            <v>Standard Wood - ALDER/ASPEN/LENGA/US POPLAR, 2 COM - T25 W120mm+ L2m+</v>
          </cell>
          <cell r="I2541">
            <v>2</v>
          </cell>
        </row>
        <row r="2542">
          <cell r="A2542" t="str">
            <v>B557828/A</v>
          </cell>
          <cell r="B2542" t="str">
            <v>CZ129M10</v>
          </cell>
          <cell r="C2542">
            <v>2</v>
          </cell>
          <cell r="D2542">
            <v>607.13</v>
          </cell>
          <cell r="E2542">
            <v>1214.26</v>
          </cell>
          <cell r="F2542" t="str">
            <v>P08</v>
          </cell>
          <cell r="G2542" t="str">
            <v>Patching wood - Gỗ đắp</v>
          </cell>
          <cell r="H2542" t="str">
            <v>Standard Wood - ALDER/ASPEN/LENGA/US POPLAR, 2 COM - T38 W120mm+ L2m+</v>
          </cell>
          <cell r="I2542">
            <v>4</v>
          </cell>
        </row>
        <row r="2543">
          <cell r="A2543" t="str">
            <v>B557828/A</v>
          </cell>
          <cell r="B2543" t="str">
            <v>CZ129M10</v>
          </cell>
          <cell r="C2543">
            <v>2</v>
          </cell>
          <cell r="D2543">
            <v>607.13</v>
          </cell>
          <cell r="E2543">
            <v>1214.26</v>
          </cell>
          <cell r="F2543" t="str">
            <v>P09</v>
          </cell>
          <cell r="G2543" t="str">
            <v>Cleat - Bọ gỗ</v>
          </cell>
          <cell r="H2543" t="str">
            <v>Standard Wood - ALDER/ASPEN/LENGA/US POPLAR, 2 COM - T50 W120mm+ L2m+</v>
          </cell>
          <cell r="I2543">
            <v>4</v>
          </cell>
        </row>
        <row r="2544">
          <cell r="A2544" t="str">
            <v>B557828/A</v>
          </cell>
          <cell r="B2544" t="str">
            <v>CZ129M10</v>
          </cell>
          <cell r="C2544">
            <v>2</v>
          </cell>
          <cell r="D2544">
            <v>607.13</v>
          </cell>
          <cell r="E2544">
            <v>1214.26</v>
          </cell>
          <cell r="F2544" t="str">
            <v>P09-1</v>
          </cell>
          <cell r="G2544" t="str">
            <v>Cleat - Bọ gỗ</v>
          </cell>
          <cell r="H2544" t="str">
            <v>Poplar off cut</v>
          </cell>
          <cell r="I2544">
            <v>4</v>
          </cell>
        </row>
        <row r="2545">
          <cell r="A2545" t="str">
            <v>B557828/A</v>
          </cell>
          <cell r="B2545" t="str">
            <v>CZ129M10</v>
          </cell>
          <cell r="C2545">
            <v>2</v>
          </cell>
          <cell r="D2545">
            <v>607.13</v>
          </cell>
          <cell r="E2545">
            <v>1214.26</v>
          </cell>
          <cell r="F2545" t="str">
            <v>P10</v>
          </cell>
          <cell r="G2545" t="str">
            <v>Cleat - Bọ gỗ</v>
          </cell>
          <cell r="H2545" t="str">
            <v>Poplar off cut</v>
          </cell>
          <cell r="I2545">
            <v>4</v>
          </cell>
        </row>
        <row r="2546">
          <cell r="A2546" t="str">
            <v>B557829/A</v>
          </cell>
          <cell r="B2546" t="str">
            <v>CZ129M10</v>
          </cell>
          <cell r="C2546">
            <v>2</v>
          </cell>
          <cell r="D2546">
            <v>607.13</v>
          </cell>
          <cell r="E2546">
            <v>1214.26</v>
          </cell>
          <cell r="F2546" t="str">
            <v>A1-S1</v>
          </cell>
          <cell r="G2546" t="str">
            <v>Front Vertical rail  - Trụ tiền</v>
          </cell>
          <cell r="H2546" t="str">
            <v>Poplar 2 COM</v>
          </cell>
          <cell r="I2546">
            <v>4</v>
          </cell>
        </row>
        <row r="2547">
          <cell r="A2547" t="str">
            <v>B557829/A</v>
          </cell>
          <cell r="B2547" t="str">
            <v>CZ129M10</v>
          </cell>
          <cell r="C2547">
            <v>2</v>
          </cell>
          <cell r="D2547">
            <v>607.13</v>
          </cell>
          <cell r="E2547">
            <v>1214.26</v>
          </cell>
          <cell r="F2547" t="str">
            <v>A1-S2</v>
          </cell>
          <cell r="G2547" t="str">
            <v>Back Vertical rail - Trụ hậu</v>
          </cell>
          <cell r="H2547" t="str">
            <v>Poplar 2 COM</v>
          </cell>
          <cell r="I2547">
            <v>4</v>
          </cell>
        </row>
        <row r="2548">
          <cell r="A2548" t="str">
            <v>B557829/A</v>
          </cell>
          <cell r="B2548" t="str">
            <v>CZ129M10</v>
          </cell>
          <cell r="C2548">
            <v>2</v>
          </cell>
          <cell r="D2548">
            <v>607.13</v>
          </cell>
          <cell r="E2548">
            <v>1214.26</v>
          </cell>
          <cell r="F2548" t="str">
            <v>A1-S3</v>
          </cell>
          <cell r="G2548" t="str">
            <v xml:space="preserve">Side panel  - Ván hông </v>
          </cell>
          <cell r="H2548" t="str">
            <v>Standard Wood - ALDER/ASPEN/LENGA/US POPLAR, 2 COM - T25 W120mm+ L2m+</v>
          </cell>
          <cell r="I2548">
            <v>4</v>
          </cell>
        </row>
        <row r="2549">
          <cell r="A2549" t="str">
            <v>B557829/A</v>
          </cell>
          <cell r="B2549" t="str">
            <v>CZ129M10</v>
          </cell>
          <cell r="C2549">
            <v>2</v>
          </cell>
          <cell r="D2549">
            <v>607.13</v>
          </cell>
          <cell r="E2549">
            <v>1214.26</v>
          </cell>
          <cell r="F2549" t="str">
            <v>A3-S1</v>
          </cell>
          <cell r="G2549" t="str">
            <v xml:space="preserve">Drawer front - Mặt hộc kéo </v>
          </cell>
          <cell r="H2549" t="str">
            <v>Standard Wood - ALDER/ASPEN/LENGA/US POPLAR, 2 COM - T25 W120mm+ L2m+</v>
          </cell>
          <cell r="I2549">
            <v>6</v>
          </cell>
        </row>
        <row r="2550">
          <cell r="A2550" t="str">
            <v>B557829/A</v>
          </cell>
          <cell r="B2550" t="str">
            <v>CZ129M10</v>
          </cell>
          <cell r="C2550">
            <v>2</v>
          </cell>
          <cell r="D2550">
            <v>607.13</v>
          </cell>
          <cell r="E2550">
            <v>1214.26</v>
          </cell>
          <cell r="F2550" t="str">
            <v>A3-S2</v>
          </cell>
          <cell r="G2550" t="str">
            <v>Drawer side - Hông hộc kéo</v>
          </cell>
          <cell r="H2550" t="str">
            <v>Standard Wood - ALDER/ASPEN/LENGA/US POPLAR, 2 COM - T25 W120mm+ L2m+</v>
          </cell>
          <cell r="I2550">
            <v>12</v>
          </cell>
        </row>
        <row r="2551">
          <cell r="A2551" t="str">
            <v>B557829/A</v>
          </cell>
          <cell r="B2551" t="str">
            <v>CZ129M10</v>
          </cell>
          <cell r="C2551">
            <v>2</v>
          </cell>
          <cell r="D2551">
            <v>607.13</v>
          </cell>
          <cell r="E2551">
            <v>1214.26</v>
          </cell>
          <cell r="F2551" t="str">
            <v>A3-S3</v>
          </cell>
          <cell r="G2551" t="str">
            <v>Drawer back - Hậu hộc kéo</v>
          </cell>
          <cell r="H2551" t="str">
            <v>Standard Wood - ALDER/ASPEN/LENGA/US POPLAR, 2 COM - T38 W120mm+ L2m+</v>
          </cell>
          <cell r="I2551">
            <v>6</v>
          </cell>
        </row>
        <row r="2552">
          <cell r="A2552" t="str">
            <v>B557829/A</v>
          </cell>
          <cell r="B2552" t="str">
            <v>CZ129M10</v>
          </cell>
          <cell r="C2552">
            <v>2</v>
          </cell>
          <cell r="D2552">
            <v>607.13</v>
          </cell>
          <cell r="E2552">
            <v>1214.26</v>
          </cell>
          <cell r="F2552" t="str">
            <v>A3-S4</v>
          </cell>
          <cell r="G2552" t="str">
            <v>Drawer bottom  - Đáy hộc kéo</v>
          </cell>
          <cell r="H2552" t="str">
            <v>MDF - 06 x 1220 x 2440mm, Veneer Okoume 0.3mm Both Faces [CARB P2 Compliant]</v>
          </cell>
          <cell r="I2552">
            <v>6</v>
          </cell>
        </row>
        <row r="2553">
          <cell r="A2553" t="str">
            <v>B557829/A</v>
          </cell>
          <cell r="B2553" t="str">
            <v>CZ129M10</v>
          </cell>
          <cell r="C2553">
            <v>2</v>
          </cell>
          <cell r="D2553">
            <v>607.13</v>
          </cell>
          <cell r="E2553">
            <v>1214.26</v>
          </cell>
          <cell r="F2553" t="str">
            <v>A3-S6</v>
          </cell>
          <cell r="G2553" t="str">
            <v>Patching wood - Gỗ đắp</v>
          </cell>
          <cell r="H2553" t="str">
            <v>Wood US Poplar - Straight Edged, 2 COM - T38mm x W100mm Up x L1.8m Up</v>
          </cell>
          <cell r="I2553">
            <v>12</v>
          </cell>
        </row>
        <row r="2554">
          <cell r="A2554" t="str">
            <v>B557829/A</v>
          </cell>
          <cell r="B2554" t="str">
            <v>CZ129M10</v>
          </cell>
          <cell r="C2554">
            <v>2</v>
          </cell>
          <cell r="D2554">
            <v>607.13</v>
          </cell>
          <cell r="E2554">
            <v>1214.26</v>
          </cell>
          <cell r="F2554" t="str">
            <v>P01</v>
          </cell>
          <cell r="G2554" t="str">
            <v>Front top rail  - Đố tiền nóc</v>
          </cell>
          <cell r="H2554" t="str">
            <v>Standard Wood - ALDER/ASPEN/LENGA/US POPLAR, 2 COM - T50 W120mm+ L2m+</v>
          </cell>
          <cell r="I2554">
            <v>2</v>
          </cell>
        </row>
        <row r="2555">
          <cell r="A2555" t="str">
            <v>B557829/A</v>
          </cell>
          <cell r="B2555" t="str">
            <v>CZ129M10</v>
          </cell>
          <cell r="C2555">
            <v>2</v>
          </cell>
          <cell r="D2555">
            <v>607.13</v>
          </cell>
          <cell r="E2555">
            <v>1214.26</v>
          </cell>
          <cell r="F2555" t="str">
            <v>P02</v>
          </cell>
          <cell r="G2555" t="str">
            <v xml:space="preserve">Top panel  - Ván nóc </v>
          </cell>
          <cell r="H2555" t="str">
            <v>MDF Veneer</v>
          </cell>
          <cell r="I2555">
            <v>2</v>
          </cell>
        </row>
        <row r="2556">
          <cell r="A2556" t="str">
            <v>B557829/A</v>
          </cell>
          <cell r="B2556" t="str">
            <v>CZ129M10</v>
          </cell>
          <cell r="C2556">
            <v>2</v>
          </cell>
          <cell r="D2556">
            <v>607.13</v>
          </cell>
          <cell r="E2556">
            <v>1214.26</v>
          </cell>
          <cell r="F2556" t="str">
            <v>P04</v>
          </cell>
          <cell r="G2556" t="str">
            <v>Partition panel - Vách ngăn</v>
          </cell>
          <cell r="H2556" t="str">
            <v>Standard Wood - ALDER/ASPEN/LENGA/US POPLAR, 2 COM - T25 W120mm+ L2m+</v>
          </cell>
          <cell r="I2556">
            <v>4</v>
          </cell>
        </row>
        <row r="2557">
          <cell r="A2557" t="str">
            <v>B557829/A</v>
          </cell>
          <cell r="B2557" t="str">
            <v>CZ129M10</v>
          </cell>
          <cell r="C2557">
            <v>2</v>
          </cell>
          <cell r="D2557">
            <v>607.13</v>
          </cell>
          <cell r="E2557">
            <v>1214.26</v>
          </cell>
          <cell r="F2557" t="str">
            <v>P05</v>
          </cell>
          <cell r="G2557" t="str">
            <v>Bottom panel - Ván đáy</v>
          </cell>
          <cell r="H2557" t="str">
            <v>MDF Veneer</v>
          </cell>
          <cell r="I2557">
            <v>2</v>
          </cell>
        </row>
        <row r="2558">
          <cell r="A2558" t="str">
            <v>B557829/A</v>
          </cell>
          <cell r="B2558" t="str">
            <v>CZ129M10</v>
          </cell>
          <cell r="C2558">
            <v>2</v>
          </cell>
          <cell r="D2558">
            <v>607.13</v>
          </cell>
          <cell r="E2558">
            <v>1214.26</v>
          </cell>
          <cell r="F2558" t="str">
            <v>P06</v>
          </cell>
          <cell r="G2558" t="str">
            <v>Patching wood - Gỗ đắp</v>
          </cell>
          <cell r="H2558" t="str">
            <v>Standard Wood - ALDER/ASPEN/LENGA/US POPLAR, 2 COM - T25 W120mm+ L2m+</v>
          </cell>
          <cell r="I2558">
            <v>4</v>
          </cell>
        </row>
        <row r="2559">
          <cell r="A2559" t="str">
            <v>B557829/A</v>
          </cell>
          <cell r="B2559" t="str">
            <v>CZ129M10</v>
          </cell>
          <cell r="C2559">
            <v>2</v>
          </cell>
          <cell r="D2559">
            <v>607.13</v>
          </cell>
          <cell r="E2559">
            <v>1214.26</v>
          </cell>
          <cell r="F2559" t="str">
            <v>P07</v>
          </cell>
          <cell r="G2559" t="str">
            <v>Back panel - Ván hậu</v>
          </cell>
          <cell r="H2559" t="str">
            <v>Standard Wood - ALDER/ASPEN/LENGA/US POPLAR, 2 COM - T25 W120mm+ L2m+</v>
          </cell>
          <cell r="I2559">
            <v>2</v>
          </cell>
        </row>
        <row r="2560">
          <cell r="A2560" t="str">
            <v>B557829/A</v>
          </cell>
          <cell r="B2560" t="str">
            <v>CZ129M10</v>
          </cell>
          <cell r="C2560">
            <v>2</v>
          </cell>
          <cell r="D2560">
            <v>607.13</v>
          </cell>
          <cell r="E2560">
            <v>1214.26</v>
          </cell>
          <cell r="F2560" t="str">
            <v>P08</v>
          </cell>
          <cell r="G2560" t="str">
            <v>Patching wood - Gỗ đắp</v>
          </cell>
          <cell r="H2560" t="str">
            <v>Standard Wood - ALDER/ASPEN/LENGA/US POPLAR, 2 COM - T38 W120mm+ L2m+</v>
          </cell>
          <cell r="I2560">
            <v>4</v>
          </cell>
        </row>
        <row r="2561">
          <cell r="A2561" t="str">
            <v>B557829/A</v>
          </cell>
          <cell r="B2561" t="str">
            <v>CZ129M10</v>
          </cell>
          <cell r="C2561">
            <v>2</v>
          </cell>
          <cell r="D2561">
            <v>607.13</v>
          </cell>
          <cell r="E2561">
            <v>1214.26</v>
          </cell>
          <cell r="F2561" t="str">
            <v>P09</v>
          </cell>
          <cell r="G2561" t="str">
            <v>Cleat - Bọ gỗ</v>
          </cell>
          <cell r="H2561" t="str">
            <v>Standard Wood - ALDER/ASPEN/LENGA/US POPLAR, 2 COM - T50 W120mm+ L2m+</v>
          </cell>
          <cell r="I2561">
            <v>4</v>
          </cell>
        </row>
        <row r="2562">
          <cell r="A2562" t="str">
            <v>B557829/A</v>
          </cell>
          <cell r="B2562" t="str">
            <v>CZ129M10</v>
          </cell>
          <cell r="C2562">
            <v>2</v>
          </cell>
          <cell r="D2562">
            <v>607.13</v>
          </cell>
          <cell r="E2562">
            <v>1214.26</v>
          </cell>
          <cell r="F2562" t="str">
            <v>P09-1</v>
          </cell>
          <cell r="G2562" t="str">
            <v>Cleat - Bọ gỗ</v>
          </cell>
          <cell r="H2562" t="str">
            <v>Poplar off cut</v>
          </cell>
          <cell r="I2562">
            <v>4</v>
          </cell>
        </row>
        <row r="2563">
          <cell r="A2563" t="str">
            <v>B557829/A</v>
          </cell>
          <cell r="B2563" t="str">
            <v>CZ129M10</v>
          </cell>
          <cell r="C2563">
            <v>2</v>
          </cell>
          <cell r="D2563">
            <v>607.13</v>
          </cell>
          <cell r="E2563">
            <v>1214.26</v>
          </cell>
          <cell r="F2563" t="str">
            <v>P10</v>
          </cell>
          <cell r="G2563" t="str">
            <v>Cleat - Bọ gỗ</v>
          </cell>
          <cell r="H2563" t="str">
            <v>Poplar off cut</v>
          </cell>
          <cell r="I2563">
            <v>4</v>
          </cell>
        </row>
        <row r="2564">
          <cell r="A2564" t="str">
            <v>B557832/A</v>
          </cell>
          <cell r="B2564" t="str">
            <v>CZ130M08</v>
          </cell>
          <cell r="C2564">
            <v>12</v>
          </cell>
          <cell r="D2564">
            <v>577.72</v>
          </cell>
          <cell r="E2564">
            <v>6932.64</v>
          </cell>
          <cell r="F2564" t="str">
            <v>A1-S1</v>
          </cell>
          <cell r="G2564" t="str">
            <v>Front leg  - Chần tiền</v>
          </cell>
          <cell r="H2564" t="str">
            <v>Pre-Assembly</v>
          </cell>
          <cell r="I2564">
            <v>24</v>
          </cell>
        </row>
        <row r="2565">
          <cell r="A2565" t="str">
            <v>B557832/A</v>
          </cell>
          <cell r="B2565" t="str">
            <v>CZ130M08</v>
          </cell>
          <cell r="C2565">
            <v>12</v>
          </cell>
          <cell r="D2565">
            <v>577.72</v>
          </cell>
          <cell r="E2565">
            <v>6932.64</v>
          </cell>
          <cell r="F2565" t="str">
            <v>A1-S1-1</v>
          </cell>
          <cell r="G2565" t="str">
            <v>Front leg  - Chần tiền</v>
          </cell>
          <cell r="H2565" t="str">
            <v>Wood laminate</v>
          </cell>
          <cell r="I2565">
            <v>24</v>
          </cell>
        </row>
        <row r="2566">
          <cell r="A2566" t="str">
            <v>B557832/A</v>
          </cell>
          <cell r="B2566" t="str">
            <v>CZ130M08</v>
          </cell>
          <cell r="C2566">
            <v>12</v>
          </cell>
          <cell r="D2566">
            <v>577.72</v>
          </cell>
          <cell r="E2566">
            <v>6932.64</v>
          </cell>
          <cell r="F2566" t="str">
            <v>A1-S1-2</v>
          </cell>
          <cell r="G2566" t="str">
            <v>Wood laminater - Gỗ ghép 1</v>
          </cell>
          <cell r="H2566" t="str">
            <v>TRAM OFF CUT</v>
          </cell>
          <cell r="I2566">
            <v>24</v>
          </cell>
        </row>
        <row r="2567">
          <cell r="A2567" t="str">
            <v>B557832/A</v>
          </cell>
          <cell r="B2567" t="str">
            <v>CZ130M08</v>
          </cell>
          <cell r="C2567">
            <v>12</v>
          </cell>
          <cell r="D2567">
            <v>577.72</v>
          </cell>
          <cell r="E2567">
            <v>6932.64</v>
          </cell>
          <cell r="F2567" t="str">
            <v>A1-S2</v>
          </cell>
          <cell r="G2567" t="str">
            <v>Back leg - Chân hậu</v>
          </cell>
          <cell r="H2567" t="str">
            <v>Beech 2 COM</v>
          </cell>
          <cell r="I2567">
            <v>24</v>
          </cell>
        </row>
        <row r="2568">
          <cell r="A2568" t="str">
            <v>B557832/A</v>
          </cell>
          <cell r="B2568" t="str">
            <v>CZ130M08</v>
          </cell>
          <cell r="C2568">
            <v>12</v>
          </cell>
          <cell r="D2568">
            <v>577.72</v>
          </cell>
          <cell r="E2568">
            <v>6932.64</v>
          </cell>
          <cell r="F2568" t="str">
            <v>A1-S3</v>
          </cell>
          <cell r="G2568" t="str">
            <v xml:space="preserve">Side panel  - Ván hông </v>
          </cell>
          <cell r="H2568" t="str">
            <v>MDF Veneer</v>
          </cell>
          <cell r="I2568">
            <v>24</v>
          </cell>
        </row>
        <row r="2569">
          <cell r="A2569" t="str">
            <v>B557832/A</v>
          </cell>
          <cell r="B2569" t="str">
            <v>CZ130M08</v>
          </cell>
          <cell r="C2569">
            <v>12</v>
          </cell>
          <cell r="D2569">
            <v>577.72</v>
          </cell>
          <cell r="E2569">
            <v>6932.64</v>
          </cell>
          <cell r="F2569" t="str">
            <v>A1-S4</v>
          </cell>
          <cell r="G2569" t="str">
            <v xml:space="preserve">Side rail  - Đố hông </v>
          </cell>
          <cell r="H2569" t="str">
            <v>Wood Rubber Laminate Board - 20 x 1220 x 2440mm, Veneer Poplar both Faces</v>
          </cell>
          <cell r="I2569">
            <v>24</v>
          </cell>
        </row>
        <row r="2570">
          <cell r="A2570" t="str">
            <v>B557832/A</v>
          </cell>
          <cell r="B2570" t="str">
            <v>CZ130M08</v>
          </cell>
          <cell r="C2570">
            <v>12</v>
          </cell>
          <cell r="D2570">
            <v>577.72</v>
          </cell>
          <cell r="E2570">
            <v>6932.64</v>
          </cell>
          <cell r="F2570" t="str">
            <v>A1-S5</v>
          </cell>
          <cell r="G2570" t="str">
            <v>Patching wood - Gỗ đắp</v>
          </cell>
          <cell r="H2570" t="str">
            <v>Wood US Poplar - Straight Edged, 2 COM - T38mm x W100mm Up x L1.8m Up</v>
          </cell>
          <cell r="I2570">
            <v>24</v>
          </cell>
        </row>
        <row r="2571">
          <cell r="A2571" t="str">
            <v>B557832/A</v>
          </cell>
          <cell r="B2571" t="str">
            <v>CZ130M08</v>
          </cell>
          <cell r="C2571">
            <v>12</v>
          </cell>
          <cell r="D2571">
            <v>577.72</v>
          </cell>
          <cell r="E2571">
            <v>6932.64</v>
          </cell>
          <cell r="F2571" t="str">
            <v>A2-S1</v>
          </cell>
          <cell r="G2571" t="str">
            <v>Front Bottom Rail  - Đố đáy trước</v>
          </cell>
          <cell r="H2571" t="str">
            <v>Standard Wood - ALDER/ASPEN/LENGA/US POPLAR, 2 COM - T32 W120mm+ L2m+</v>
          </cell>
          <cell r="I2571">
            <v>12</v>
          </cell>
        </row>
        <row r="2572">
          <cell r="A2572" t="str">
            <v>B557832/A</v>
          </cell>
          <cell r="B2572" t="str">
            <v>CZ130M08</v>
          </cell>
          <cell r="C2572">
            <v>12</v>
          </cell>
          <cell r="D2572">
            <v>577.72</v>
          </cell>
          <cell r="E2572">
            <v>6932.64</v>
          </cell>
          <cell r="F2572" t="str">
            <v>A2-S2</v>
          </cell>
          <cell r="G2572" t="str">
            <v>Back bottom rail - Đố hậu đáy</v>
          </cell>
          <cell r="H2572" t="str">
            <v>Wood US Poplar - Straight Edged, 2 COM - T38mm x W100mm Up x L1.8m Up</v>
          </cell>
          <cell r="I2572">
            <v>12</v>
          </cell>
        </row>
        <row r="2573">
          <cell r="A2573" t="str">
            <v>B557832/A</v>
          </cell>
          <cell r="B2573" t="str">
            <v>CZ130M08</v>
          </cell>
          <cell r="C2573">
            <v>12</v>
          </cell>
          <cell r="D2573">
            <v>577.72</v>
          </cell>
          <cell r="E2573">
            <v>6932.64</v>
          </cell>
          <cell r="F2573" t="str">
            <v>A2-S3</v>
          </cell>
          <cell r="G2573" t="str">
            <v>Bottom panel - Ván đáy</v>
          </cell>
          <cell r="H2573" t="str">
            <v>MDF Veneer</v>
          </cell>
          <cell r="I2573">
            <v>12</v>
          </cell>
        </row>
        <row r="2574">
          <cell r="A2574" t="str">
            <v>B557832/A</v>
          </cell>
          <cell r="B2574" t="str">
            <v>CZ130M08</v>
          </cell>
          <cell r="C2574">
            <v>12</v>
          </cell>
          <cell r="D2574">
            <v>577.72</v>
          </cell>
          <cell r="E2574">
            <v>6932.64</v>
          </cell>
          <cell r="F2574" t="str">
            <v>A2-S4</v>
          </cell>
          <cell r="G2574" t="str">
            <v>Cleat - Bọ gỗ</v>
          </cell>
          <cell r="H2574" t="str">
            <v>Wood Rubber Laminate Board - 20 x 1220 x 2440mm, Veneer Poplar both Faces</v>
          </cell>
          <cell r="I2574">
            <v>24</v>
          </cell>
        </row>
        <row r="2575">
          <cell r="A2575" t="str">
            <v>B557832/A</v>
          </cell>
          <cell r="B2575" t="str">
            <v>CZ130M08</v>
          </cell>
          <cell r="C2575">
            <v>12</v>
          </cell>
          <cell r="D2575">
            <v>577.72</v>
          </cell>
          <cell r="E2575">
            <v>6932.64</v>
          </cell>
          <cell r="F2575" t="str">
            <v>A3-S3</v>
          </cell>
          <cell r="G2575" t="str">
            <v>Door panel  - Ván cửa</v>
          </cell>
          <cell r="H2575" t="str">
            <v>MDF Veneer</v>
          </cell>
          <cell r="I2575">
            <v>24</v>
          </cell>
        </row>
        <row r="2576">
          <cell r="A2576" t="str">
            <v>B557832/A</v>
          </cell>
          <cell r="B2576" t="str">
            <v>CZ130M08</v>
          </cell>
          <cell r="C2576">
            <v>12</v>
          </cell>
          <cell r="D2576">
            <v>577.72</v>
          </cell>
          <cell r="E2576">
            <v>6932.64</v>
          </cell>
          <cell r="F2576" t="str">
            <v>A3-S4</v>
          </cell>
          <cell r="G2576" t="str">
            <v>Patching moulding - Chỉ đắp</v>
          </cell>
          <cell r="H2576" t="str">
            <v>Wood US Poplar - Straight Edged, 2 COM - T38mm x W100mm Up x L1.8m Up</v>
          </cell>
          <cell r="I2576">
            <v>24</v>
          </cell>
        </row>
        <row r="2577">
          <cell r="A2577" t="str">
            <v>B557832/A</v>
          </cell>
          <cell r="B2577" t="str">
            <v>CZ130M08</v>
          </cell>
          <cell r="C2577">
            <v>12</v>
          </cell>
          <cell r="D2577">
            <v>577.72</v>
          </cell>
          <cell r="E2577">
            <v>6932.64</v>
          </cell>
          <cell r="F2577" t="str">
            <v>A3-S5</v>
          </cell>
          <cell r="G2577" t="str">
            <v>Patching moulding - Chỉ đắp</v>
          </cell>
          <cell r="H2577" t="str">
            <v>Wood US Poplar - Straight Edged, 2 COM - T38mm x W100mm Up x L1.8m Up</v>
          </cell>
          <cell r="I2577">
            <v>48</v>
          </cell>
        </row>
        <row r="2578">
          <cell r="A2578" t="str">
            <v>B557832/A</v>
          </cell>
          <cell r="B2578" t="str">
            <v>CZ130M08</v>
          </cell>
          <cell r="C2578">
            <v>12</v>
          </cell>
          <cell r="D2578">
            <v>577.72</v>
          </cell>
          <cell r="E2578">
            <v>6932.64</v>
          </cell>
          <cell r="F2578" t="str">
            <v>A3-S6</v>
          </cell>
          <cell r="G2578" t="str">
            <v>Patching moulding - Chỉ đắp</v>
          </cell>
          <cell r="H2578" t="str">
            <v>TRAM OFF CUT</v>
          </cell>
          <cell r="I2578">
            <v>48</v>
          </cell>
        </row>
        <row r="2579">
          <cell r="A2579" t="str">
            <v>B557832/A</v>
          </cell>
          <cell r="B2579" t="str">
            <v>CZ130M08</v>
          </cell>
          <cell r="C2579">
            <v>12</v>
          </cell>
          <cell r="D2579">
            <v>577.72</v>
          </cell>
          <cell r="E2579">
            <v>6932.64</v>
          </cell>
          <cell r="F2579" t="str">
            <v>A3-S7</v>
          </cell>
          <cell r="G2579" t="str">
            <v>Patching moulding - Chỉ đắp</v>
          </cell>
          <cell r="H2579" t="str">
            <v>Wood US Poplar - Straight Edged, 2 COM - T38mm x W100mm Up x L1.8m Up</v>
          </cell>
          <cell r="I2579">
            <v>24</v>
          </cell>
        </row>
        <row r="2580">
          <cell r="A2580" t="str">
            <v>B557832/A</v>
          </cell>
          <cell r="B2580" t="str">
            <v>CZ130M08</v>
          </cell>
          <cell r="C2580">
            <v>12</v>
          </cell>
          <cell r="D2580">
            <v>577.72</v>
          </cell>
          <cell r="E2580">
            <v>6932.64</v>
          </cell>
          <cell r="F2580" t="str">
            <v>A3-S8</v>
          </cell>
          <cell r="G2580" t="str">
            <v>Insert Wood - Gỗ chèn</v>
          </cell>
          <cell r="H2580" t="str">
            <v>Beech off cut</v>
          </cell>
          <cell r="I2580">
            <v>48</v>
          </cell>
        </row>
        <row r="2581">
          <cell r="A2581" t="str">
            <v>B557832/A</v>
          </cell>
          <cell r="B2581" t="str">
            <v>CZ130M08</v>
          </cell>
          <cell r="C2581">
            <v>12</v>
          </cell>
          <cell r="D2581">
            <v>577.72</v>
          </cell>
          <cell r="E2581">
            <v>6932.64</v>
          </cell>
          <cell r="F2581" t="str">
            <v>P01</v>
          </cell>
          <cell r="G2581" t="str">
            <v>Front top rail  - Đố tiền nóc</v>
          </cell>
          <cell r="H2581" t="str">
            <v>Wood laminate</v>
          </cell>
          <cell r="I2581">
            <v>12</v>
          </cell>
        </row>
        <row r="2582">
          <cell r="A2582" t="str">
            <v>B557832/A</v>
          </cell>
          <cell r="B2582" t="str">
            <v>CZ130M08</v>
          </cell>
          <cell r="C2582">
            <v>12</v>
          </cell>
          <cell r="D2582">
            <v>577.72</v>
          </cell>
          <cell r="E2582">
            <v>6932.64</v>
          </cell>
          <cell r="F2582" t="str">
            <v>P02</v>
          </cell>
          <cell r="G2582" t="str">
            <v>Back top rail - Đố hậu nóc</v>
          </cell>
          <cell r="H2582" t="str">
            <v>Wood Rubber Laminate Board - 20 x 1220 x 2440mm, Veneer Poplar both Faces</v>
          </cell>
          <cell r="I2582">
            <v>12</v>
          </cell>
        </row>
        <row r="2583">
          <cell r="A2583" t="str">
            <v>B557832/A</v>
          </cell>
          <cell r="B2583" t="str">
            <v>CZ130M08</v>
          </cell>
          <cell r="C2583">
            <v>12</v>
          </cell>
          <cell r="D2583">
            <v>577.72</v>
          </cell>
          <cell r="E2583">
            <v>6932.64</v>
          </cell>
          <cell r="F2583" t="str">
            <v>P03</v>
          </cell>
          <cell r="G2583" t="str">
            <v xml:space="preserve">Top panel  - Ván nóc </v>
          </cell>
          <cell r="H2583" t="str">
            <v>MDF Veneer</v>
          </cell>
          <cell r="I2583">
            <v>12</v>
          </cell>
        </row>
        <row r="2584">
          <cell r="A2584" t="str">
            <v>B557832/A</v>
          </cell>
          <cell r="B2584" t="str">
            <v>CZ130M08</v>
          </cell>
          <cell r="C2584">
            <v>12</v>
          </cell>
          <cell r="D2584">
            <v>577.72</v>
          </cell>
          <cell r="E2584">
            <v>6932.64</v>
          </cell>
          <cell r="F2584" t="str">
            <v>P06</v>
          </cell>
          <cell r="G2584" t="str">
            <v>Adjustable Shelf  - Kệ di động</v>
          </cell>
          <cell r="H2584" t="str">
            <v>Pre-Assembly</v>
          </cell>
          <cell r="I2584">
            <v>12</v>
          </cell>
        </row>
        <row r="2585">
          <cell r="A2585" t="str">
            <v>B557832/A</v>
          </cell>
          <cell r="B2585" t="str">
            <v>CZ130M08</v>
          </cell>
          <cell r="C2585">
            <v>12</v>
          </cell>
          <cell r="D2585">
            <v>577.72</v>
          </cell>
          <cell r="E2585">
            <v>6932.64</v>
          </cell>
          <cell r="F2585" t="str">
            <v>P06-1</v>
          </cell>
          <cell r="G2585" t="str">
            <v>Adjustable Shelf  - Kệ di động</v>
          </cell>
          <cell r="H2585" t="str">
            <v>MDF Veneer</v>
          </cell>
          <cell r="I2585">
            <v>12</v>
          </cell>
        </row>
        <row r="2586">
          <cell r="A2586" t="str">
            <v>B557832/A</v>
          </cell>
          <cell r="B2586" t="str">
            <v>CZ130M08</v>
          </cell>
          <cell r="C2586">
            <v>12</v>
          </cell>
          <cell r="D2586">
            <v>577.72</v>
          </cell>
          <cell r="E2586">
            <v>6932.64</v>
          </cell>
          <cell r="F2586" t="str">
            <v>P06-2</v>
          </cell>
          <cell r="G2586" t="str">
            <v>Adjustable Shelf  - Kệ di động</v>
          </cell>
          <cell r="H2586" t="str">
            <v>Standard Wood - ALDER/ASPEN/LENGA/US POPLAR, 2 COM - T25 W120mm+ L2m+</v>
          </cell>
          <cell r="I2586">
            <v>12</v>
          </cell>
        </row>
        <row r="2587">
          <cell r="A2587" t="str">
            <v>B557832/A</v>
          </cell>
          <cell r="B2587" t="str">
            <v>CZ130M08</v>
          </cell>
          <cell r="C2587">
            <v>12</v>
          </cell>
          <cell r="D2587">
            <v>577.72</v>
          </cell>
          <cell r="E2587">
            <v>6932.64</v>
          </cell>
          <cell r="F2587" t="str">
            <v>P07</v>
          </cell>
          <cell r="G2587" t="str">
            <v>Back panel - Ván hậu</v>
          </cell>
          <cell r="H2587" t="str">
            <v>MDF Veneer</v>
          </cell>
          <cell r="I2587">
            <v>12</v>
          </cell>
        </row>
        <row r="2588">
          <cell r="A2588" t="str">
            <v>B557832/A</v>
          </cell>
          <cell r="B2588" t="str">
            <v>CZ130M08</v>
          </cell>
          <cell r="C2588">
            <v>12</v>
          </cell>
          <cell r="D2588">
            <v>577.72</v>
          </cell>
          <cell r="E2588">
            <v>6932.64</v>
          </cell>
          <cell r="F2588" t="str">
            <v>P08</v>
          </cell>
          <cell r="G2588" t="str">
            <v>Corner block - ke góc</v>
          </cell>
          <cell r="H2588" t="str">
            <v>Poplar off cut</v>
          </cell>
          <cell r="I2588">
            <v>24</v>
          </cell>
        </row>
        <row r="2589">
          <cell r="A2589" t="str">
            <v>B557832/A</v>
          </cell>
          <cell r="B2589" t="str">
            <v>CZ130M08</v>
          </cell>
          <cell r="C2589">
            <v>12</v>
          </cell>
          <cell r="D2589">
            <v>577.72</v>
          </cell>
          <cell r="E2589">
            <v>6932.64</v>
          </cell>
          <cell r="F2589" t="str">
            <v>P09</v>
          </cell>
          <cell r="G2589" t="str">
            <v>Corner block - ke góc</v>
          </cell>
          <cell r="H2589" t="str">
            <v>Poplar off cut</v>
          </cell>
          <cell r="I2589">
            <v>24</v>
          </cell>
        </row>
        <row r="2590">
          <cell r="A2590" t="str">
            <v>B557832/A</v>
          </cell>
          <cell r="B2590" t="str">
            <v>CZ130M08</v>
          </cell>
          <cell r="C2590">
            <v>12</v>
          </cell>
          <cell r="D2590">
            <v>577.72</v>
          </cell>
          <cell r="E2590">
            <v>6932.64</v>
          </cell>
          <cell r="F2590" t="str">
            <v>P10</v>
          </cell>
          <cell r="G2590" t="str">
            <v>Bottom panel - Ván đáy</v>
          </cell>
          <cell r="H2590" t="str">
            <v>Cement Board - 20 x 1220 x 2440mm, Dark Grey</v>
          </cell>
          <cell r="I2590">
            <v>12</v>
          </cell>
        </row>
        <row r="2591">
          <cell r="A2591" t="str">
            <v>B557832/A</v>
          </cell>
          <cell r="B2591" t="str">
            <v>CZ130M08</v>
          </cell>
          <cell r="C2591">
            <v>12</v>
          </cell>
          <cell r="D2591">
            <v>577.72</v>
          </cell>
          <cell r="E2591">
            <v>6932.64</v>
          </cell>
          <cell r="F2591" t="str">
            <v>P12</v>
          </cell>
          <cell r="G2591" t="str">
            <v>Corner block - ke góc</v>
          </cell>
          <cell r="H2591" t="str">
            <v>Poplar off cut</v>
          </cell>
          <cell r="I2591">
            <v>24</v>
          </cell>
        </row>
        <row r="2592">
          <cell r="A2592" t="str">
            <v>B557832/A</v>
          </cell>
          <cell r="B2592" t="str">
            <v>CZ130M08</v>
          </cell>
          <cell r="C2592">
            <v>12</v>
          </cell>
          <cell r="D2592">
            <v>577.72</v>
          </cell>
          <cell r="E2592">
            <v>6932.64</v>
          </cell>
          <cell r="F2592" t="str">
            <v>P13</v>
          </cell>
          <cell r="G2592" t="str">
            <v>Spline - Lưỡi gà</v>
          </cell>
          <cell r="H2592" t="str">
            <v>Plywood LVD - 06 x 1220 x 2440mm, Bleached Poplar Veneer Both Sides [CARB P2 Compliant]</v>
          </cell>
          <cell r="I2592">
            <v>24</v>
          </cell>
        </row>
        <row r="2593">
          <cell r="A2593" t="str">
            <v>B557832/A</v>
          </cell>
          <cell r="B2593" t="str">
            <v>CZ130M08</v>
          </cell>
          <cell r="C2593">
            <v>12</v>
          </cell>
          <cell r="D2593">
            <v>577.72</v>
          </cell>
          <cell r="E2593">
            <v>6932.64</v>
          </cell>
          <cell r="F2593" t="str">
            <v>P14</v>
          </cell>
          <cell r="G2593" t="str">
            <v>Spline - Lưỡi gà</v>
          </cell>
          <cell r="H2593" t="str">
            <v>Plywood LVD - 06 x 1220 x 2440mm, Bleached Poplar Veneer Both Sides [CARB P2 Compliant]</v>
          </cell>
          <cell r="I2593">
            <v>12</v>
          </cell>
        </row>
        <row r="2594">
          <cell r="A2594" t="str">
            <v>B557832/A</v>
          </cell>
          <cell r="B2594" t="str">
            <v>CZ130M08</v>
          </cell>
          <cell r="C2594">
            <v>12</v>
          </cell>
          <cell r="D2594">
            <v>577.72</v>
          </cell>
          <cell r="E2594">
            <v>6932.64</v>
          </cell>
          <cell r="F2594" t="str">
            <v>P16</v>
          </cell>
          <cell r="G2594" t="str">
            <v>Patching wood - Gỗ đắp</v>
          </cell>
          <cell r="H2594" t="str">
            <v>wood off cut</v>
          </cell>
          <cell r="I2594">
            <v>24</v>
          </cell>
        </row>
        <row r="2595">
          <cell r="A2595" t="str">
            <v>B557832/A</v>
          </cell>
          <cell r="B2595" t="str">
            <v>CZ130M08</v>
          </cell>
          <cell r="C2595">
            <v>12</v>
          </cell>
          <cell r="D2595">
            <v>577.72</v>
          </cell>
          <cell r="E2595">
            <v>6932.64</v>
          </cell>
          <cell r="F2595" t="str">
            <v>P17</v>
          </cell>
          <cell r="G2595" t="str">
            <v>Cleat - Bọ gỗ</v>
          </cell>
          <cell r="H2595" t="str">
            <v>TRAM OFF CUT</v>
          </cell>
          <cell r="I2595">
            <v>24</v>
          </cell>
        </row>
        <row r="2596">
          <cell r="A2596" t="str">
            <v>B557833/A</v>
          </cell>
          <cell r="B2596" t="str">
            <v>CZ130M08</v>
          </cell>
          <cell r="C2596">
            <v>14</v>
          </cell>
          <cell r="D2596">
            <v>577.72</v>
          </cell>
          <cell r="E2596">
            <v>8088.08</v>
          </cell>
          <cell r="F2596" t="str">
            <v>A1-S1</v>
          </cell>
          <cell r="G2596" t="str">
            <v>Front leg  - Chần tiền</v>
          </cell>
          <cell r="H2596" t="str">
            <v>Pre-Assembly</v>
          </cell>
          <cell r="I2596">
            <v>28</v>
          </cell>
        </row>
        <row r="2597">
          <cell r="A2597" t="str">
            <v>B557833/A</v>
          </cell>
          <cell r="B2597" t="str">
            <v>CZ130M08</v>
          </cell>
          <cell r="C2597">
            <v>14</v>
          </cell>
          <cell r="D2597">
            <v>577.72</v>
          </cell>
          <cell r="E2597">
            <v>8088.08</v>
          </cell>
          <cell r="F2597" t="str">
            <v>A1-S1-1</v>
          </cell>
          <cell r="G2597" t="str">
            <v>Front leg  - Chần tiền</v>
          </cell>
          <cell r="H2597" t="str">
            <v>Wood laminate</v>
          </cell>
          <cell r="I2597">
            <v>28</v>
          </cell>
        </row>
        <row r="2598">
          <cell r="A2598" t="str">
            <v>B557833/A</v>
          </cell>
          <cell r="B2598" t="str">
            <v>CZ130M08</v>
          </cell>
          <cell r="C2598">
            <v>14</v>
          </cell>
          <cell r="D2598">
            <v>577.72</v>
          </cell>
          <cell r="E2598">
            <v>8088.08</v>
          </cell>
          <cell r="F2598" t="str">
            <v>A1-S1-2</v>
          </cell>
          <cell r="G2598" t="str">
            <v>Wood laminater - Gỗ ghép 1</v>
          </cell>
          <cell r="H2598" t="str">
            <v>TRAM OFF CUT</v>
          </cell>
          <cell r="I2598">
            <v>28</v>
          </cell>
        </row>
        <row r="2599">
          <cell r="A2599" t="str">
            <v>B557833/A</v>
          </cell>
          <cell r="B2599" t="str">
            <v>CZ130M08</v>
          </cell>
          <cell r="C2599">
            <v>14</v>
          </cell>
          <cell r="D2599">
            <v>577.72</v>
          </cell>
          <cell r="E2599">
            <v>8088.08</v>
          </cell>
          <cell r="F2599" t="str">
            <v>A1-S2</v>
          </cell>
          <cell r="G2599" t="str">
            <v>Back leg - Chân hậu</v>
          </cell>
          <cell r="H2599" t="str">
            <v>Beech 2 COM</v>
          </cell>
          <cell r="I2599">
            <v>28</v>
          </cell>
        </row>
        <row r="2600">
          <cell r="A2600" t="str">
            <v>B557833/A</v>
          </cell>
          <cell r="B2600" t="str">
            <v>CZ130M08</v>
          </cell>
          <cell r="C2600">
            <v>14</v>
          </cell>
          <cell r="D2600">
            <v>577.72</v>
          </cell>
          <cell r="E2600">
            <v>8088.08</v>
          </cell>
          <cell r="F2600" t="str">
            <v>A1-S3</v>
          </cell>
          <cell r="G2600" t="str">
            <v xml:space="preserve">Side panel  - Ván hông </v>
          </cell>
          <cell r="H2600" t="str">
            <v>MDF Veneer</v>
          </cell>
          <cell r="I2600">
            <v>28</v>
          </cell>
        </row>
        <row r="2601">
          <cell r="A2601" t="str">
            <v>B557833/A</v>
          </cell>
          <cell r="B2601" t="str">
            <v>CZ130M08</v>
          </cell>
          <cell r="C2601">
            <v>14</v>
          </cell>
          <cell r="D2601">
            <v>577.72</v>
          </cell>
          <cell r="E2601">
            <v>8088.08</v>
          </cell>
          <cell r="F2601" t="str">
            <v>A1-S4</v>
          </cell>
          <cell r="G2601" t="str">
            <v xml:space="preserve">Side rail  - Đố hông </v>
          </cell>
          <cell r="H2601" t="str">
            <v>Wood Rubber Laminate Board - 20 x 1220 x 2440mm, Veneer Poplar both Faces</v>
          </cell>
          <cell r="I2601">
            <v>28</v>
          </cell>
        </row>
        <row r="2602">
          <cell r="A2602" t="str">
            <v>B557833/A</v>
          </cell>
          <cell r="B2602" t="str">
            <v>CZ130M08</v>
          </cell>
          <cell r="C2602">
            <v>14</v>
          </cell>
          <cell r="D2602">
            <v>577.72</v>
          </cell>
          <cell r="E2602">
            <v>8088.08</v>
          </cell>
          <cell r="F2602" t="str">
            <v>A1-S5</v>
          </cell>
          <cell r="G2602" t="str">
            <v>Patching wood - Gỗ đắp</v>
          </cell>
          <cell r="H2602" t="str">
            <v>Wood US Poplar - Straight Edged, 2 COM - T38mm x W100mm Up x L1.8m Up</v>
          </cell>
          <cell r="I2602">
            <v>28</v>
          </cell>
        </row>
        <row r="2603">
          <cell r="A2603" t="str">
            <v>B557833/A</v>
          </cell>
          <cell r="B2603" t="str">
            <v>CZ130M08</v>
          </cell>
          <cell r="C2603">
            <v>14</v>
          </cell>
          <cell r="D2603">
            <v>577.72</v>
          </cell>
          <cell r="E2603">
            <v>8088.08</v>
          </cell>
          <cell r="F2603" t="str">
            <v>A2-S1</v>
          </cell>
          <cell r="G2603" t="str">
            <v>Front Bottom Rail  - Đố đáy trước</v>
          </cell>
          <cell r="H2603" t="str">
            <v>Standard Wood - ALDER/ASPEN/LENGA/US POPLAR, 2 COM - T32 W120mm+ L2m+</v>
          </cell>
          <cell r="I2603">
            <v>14</v>
          </cell>
        </row>
        <row r="2604">
          <cell r="A2604" t="str">
            <v>B557833/A</v>
          </cell>
          <cell r="B2604" t="str">
            <v>CZ130M08</v>
          </cell>
          <cell r="C2604">
            <v>14</v>
          </cell>
          <cell r="D2604">
            <v>577.72</v>
          </cell>
          <cell r="E2604">
            <v>8088.08</v>
          </cell>
          <cell r="F2604" t="str">
            <v>A2-S2</v>
          </cell>
          <cell r="G2604" t="str">
            <v>Back bottom rail - Đố hậu đáy</v>
          </cell>
          <cell r="H2604" t="str">
            <v>Wood US Poplar - Straight Edged, 2 COM - T38mm x W100mm Up x L1.8m Up</v>
          </cell>
          <cell r="I2604">
            <v>14</v>
          </cell>
        </row>
        <row r="2605">
          <cell r="A2605" t="str">
            <v>B557833/A</v>
          </cell>
          <cell r="B2605" t="str">
            <v>CZ130M08</v>
          </cell>
          <cell r="C2605">
            <v>14</v>
          </cell>
          <cell r="D2605">
            <v>577.72</v>
          </cell>
          <cell r="E2605">
            <v>8088.08</v>
          </cell>
          <cell r="F2605" t="str">
            <v>A2-S3</v>
          </cell>
          <cell r="G2605" t="str">
            <v>Bottom panel - Ván đáy</v>
          </cell>
          <cell r="H2605" t="str">
            <v>MDF Veneer</v>
          </cell>
          <cell r="I2605">
            <v>14</v>
          </cell>
        </row>
        <row r="2606">
          <cell r="A2606" t="str">
            <v>B557833/A</v>
          </cell>
          <cell r="B2606" t="str">
            <v>CZ130M08</v>
          </cell>
          <cell r="C2606">
            <v>14</v>
          </cell>
          <cell r="D2606">
            <v>577.72</v>
          </cell>
          <cell r="E2606">
            <v>8088.08</v>
          </cell>
          <cell r="F2606" t="str">
            <v>A2-S4</v>
          </cell>
          <cell r="G2606" t="str">
            <v>Cleat - Bọ gỗ</v>
          </cell>
          <cell r="H2606" t="str">
            <v>Wood Rubber Laminate Board - 20 x 1220 x 2440mm, Veneer Poplar both Faces</v>
          </cell>
          <cell r="I2606">
            <v>28</v>
          </cell>
        </row>
        <row r="2607">
          <cell r="A2607" t="str">
            <v>B557833/A</v>
          </cell>
          <cell r="B2607" t="str">
            <v>CZ130M08</v>
          </cell>
          <cell r="C2607">
            <v>14</v>
          </cell>
          <cell r="D2607">
            <v>577.72</v>
          </cell>
          <cell r="E2607">
            <v>8088.08</v>
          </cell>
          <cell r="F2607" t="str">
            <v>A3-S3</v>
          </cell>
          <cell r="G2607" t="str">
            <v>Door panel  - Ván cửa</v>
          </cell>
          <cell r="H2607" t="str">
            <v>MDF Veneer</v>
          </cell>
          <cell r="I2607">
            <v>28</v>
          </cell>
        </row>
        <row r="2608">
          <cell r="A2608" t="str">
            <v>B557833/A</v>
          </cell>
          <cell r="B2608" t="str">
            <v>CZ130M08</v>
          </cell>
          <cell r="C2608">
            <v>14</v>
          </cell>
          <cell r="D2608">
            <v>577.72</v>
          </cell>
          <cell r="E2608">
            <v>8088.08</v>
          </cell>
          <cell r="F2608" t="str">
            <v>A3-S4</v>
          </cell>
          <cell r="G2608" t="str">
            <v>Patching moulding - Chỉ đắp</v>
          </cell>
          <cell r="H2608" t="str">
            <v>Wood US Poplar - Straight Edged, 2 COM - T38mm x W100mm Up x L1.8m Up</v>
          </cell>
          <cell r="I2608">
            <v>28</v>
          </cell>
        </row>
        <row r="2609">
          <cell r="A2609" t="str">
            <v>B557833/A</v>
          </cell>
          <cell r="B2609" t="str">
            <v>CZ130M08</v>
          </cell>
          <cell r="C2609">
            <v>14</v>
          </cell>
          <cell r="D2609">
            <v>577.72</v>
          </cell>
          <cell r="E2609">
            <v>8088.08</v>
          </cell>
          <cell r="F2609" t="str">
            <v>A3-S5</v>
          </cell>
          <cell r="G2609" t="str">
            <v>Patching moulding - Chỉ đắp</v>
          </cell>
          <cell r="H2609" t="str">
            <v>Wood US Poplar - Straight Edged, 2 COM - T38mm x W100mm Up x L1.8m Up</v>
          </cell>
          <cell r="I2609">
            <v>56</v>
          </cell>
        </row>
        <row r="2610">
          <cell r="A2610" t="str">
            <v>B557833/A</v>
          </cell>
          <cell r="B2610" t="str">
            <v>CZ130M08</v>
          </cell>
          <cell r="C2610">
            <v>14</v>
          </cell>
          <cell r="D2610">
            <v>577.72</v>
          </cell>
          <cell r="E2610">
            <v>8088.08</v>
          </cell>
          <cell r="F2610" t="str">
            <v>A3-S6</v>
          </cell>
          <cell r="G2610" t="str">
            <v>Patching moulding - Chỉ đắp</v>
          </cell>
          <cell r="H2610" t="str">
            <v>TRAM OFF CUT</v>
          </cell>
          <cell r="I2610">
            <v>56</v>
          </cell>
        </row>
        <row r="2611">
          <cell r="A2611" t="str">
            <v>B557833/A</v>
          </cell>
          <cell r="B2611" t="str">
            <v>CZ130M08</v>
          </cell>
          <cell r="C2611">
            <v>14</v>
          </cell>
          <cell r="D2611">
            <v>577.72</v>
          </cell>
          <cell r="E2611">
            <v>8088.08</v>
          </cell>
          <cell r="F2611" t="str">
            <v>A3-S7</v>
          </cell>
          <cell r="G2611" t="str">
            <v>Patching moulding - Chỉ đắp</v>
          </cell>
          <cell r="H2611" t="str">
            <v>Wood US Poplar - Straight Edged, 2 COM - T38mm x W100mm Up x L1.8m Up</v>
          </cell>
          <cell r="I2611">
            <v>28</v>
          </cell>
        </row>
        <row r="2612">
          <cell r="A2612" t="str">
            <v>B557833/A</v>
          </cell>
          <cell r="B2612" t="str">
            <v>CZ130M08</v>
          </cell>
          <cell r="C2612">
            <v>14</v>
          </cell>
          <cell r="D2612">
            <v>577.72</v>
          </cell>
          <cell r="E2612">
            <v>8088.08</v>
          </cell>
          <cell r="F2612" t="str">
            <v>A3-S8</v>
          </cell>
          <cell r="G2612" t="str">
            <v>Insert Wood - Gỗ chèn</v>
          </cell>
          <cell r="H2612" t="str">
            <v>Beech off cut</v>
          </cell>
          <cell r="I2612">
            <v>56</v>
          </cell>
        </row>
        <row r="2613">
          <cell r="A2613" t="str">
            <v>B557833/A</v>
          </cell>
          <cell r="B2613" t="str">
            <v>CZ130M08</v>
          </cell>
          <cell r="C2613">
            <v>14</v>
          </cell>
          <cell r="D2613">
            <v>577.72</v>
          </cell>
          <cell r="E2613">
            <v>8088.08</v>
          </cell>
          <cell r="F2613" t="str">
            <v>P01</v>
          </cell>
          <cell r="G2613" t="str">
            <v>Front top rail  - Đố tiền nóc</v>
          </cell>
          <cell r="H2613" t="str">
            <v>Wood laminate</v>
          </cell>
          <cell r="I2613">
            <v>14</v>
          </cell>
        </row>
        <row r="2614">
          <cell r="A2614" t="str">
            <v>B557833/A</v>
          </cell>
          <cell r="B2614" t="str">
            <v>CZ130M08</v>
          </cell>
          <cell r="C2614">
            <v>14</v>
          </cell>
          <cell r="D2614">
            <v>577.72</v>
          </cell>
          <cell r="E2614">
            <v>8088.08</v>
          </cell>
          <cell r="F2614" t="str">
            <v>P02</v>
          </cell>
          <cell r="G2614" t="str">
            <v>Back top rail - Đố hậu nóc</v>
          </cell>
          <cell r="H2614" t="str">
            <v>Wood Rubber Laminate Board - 20 x 1220 x 2440mm, Veneer Poplar both Faces</v>
          </cell>
          <cell r="I2614">
            <v>14</v>
          </cell>
        </row>
        <row r="2615">
          <cell r="A2615" t="str">
            <v>B557833/A</v>
          </cell>
          <cell r="B2615" t="str">
            <v>CZ130M08</v>
          </cell>
          <cell r="C2615">
            <v>14</v>
          </cell>
          <cell r="D2615">
            <v>577.72</v>
          </cell>
          <cell r="E2615">
            <v>8088.08</v>
          </cell>
          <cell r="F2615" t="str">
            <v>P03</v>
          </cell>
          <cell r="G2615" t="str">
            <v xml:space="preserve">Top panel  - Ván nóc </v>
          </cell>
          <cell r="H2615" t="str">
            <v>MDF Veneer</v>
          </cell>
          <cell r="I2615">
            <v>14</v>
          </cell>
        </row>
        <row r="2616">
          <cell r="A2616" t="str">
            <v>B557833/A</v>
          </cell>
          <cell r="B2616" t="str">
            <v>CZ130M08</v>
          </cell>
          <cell r="C2616">
            <v>14</v>
          </cell>
          <cell r="D2616">
            <v>577.72</v>
          </cell>
          <cell r="E2616">
            <v>8088.08</v>
          </cell>
          <cell r="F2616" t="str">
            <v>P06</v>
          </cell>
          <cell r="G2616" t="str">
            <v>Adjustable Shelf  - Kệ di động</v>
          </cell>
          <cell r="H2616" t="str">
            <v>Pre-Assembly</v>
          </cell>
          <cell r="I2616">
            <v>14</v>
          </cell>
        </row>
        <row r="2617">
          <cell r="A2617" t="str">
            <v>B557833/A</v>
          </cell>
          <cell r="B2617" t="str">
            <v>CZ130M08</v>
          </cell>
          <cell r="C2617">
            <v>14</v>
          </cell>
          <cell r="D2617">
            <v>577.72</v>
          </cell>
          <cell r="E2617">
            <v>8088.08</v>
          </cell>
          <cell r="F2617" t="str">
            <v>P06-1</v>
          </cell>
          <cell r="G2617" t="str">
            <v>Adjustable Shelf  - Kệ di động</v>
          </cell>
          <cell r="H2617" t="str">
            <v>MDF Veneer</v>
          </cell>
          <cell r="I2617">
            <v>14</v>
          </cell>
        </row>
        <row r="2618">
          <cell r="A2618" t="str">
            <v>B557833/A</v>
          </cell>
          <cell r="B2618" t="str">
            <v>CZ130M08</v>
          </cell>
          <cell r="C2618">
            <v>14</v>
          </cell>
          <cell r="D2618">
            <v>577.72</v>
          </cell>
          <cell r="E2618">
            <v>8088.08</v>
          </cell>
          <cell r="F2618" t="str">
            <v>P06-2</v>
          </cell>
          <cell r="G2618" t="str">
            <v>Adjustable Shelf  - Kệ di động</v>
          </cell>
          <cell r="H2618" t="str">
            <v>Standard Wood - ALDER/ASPEN/LENGA/US POPLAR, 2 COM - T25 W120mm+ L2m+</v>
          </cell>
          <cell r="I2618">
            <v>14</v>
          </cell>
        </row>
        <row r="2619">
          <cell r="A2619" t="str">
            <v>B557833/A</v>
          </cell>
          <cell r="B2619" t="str">
            <v>CZ130M08</v>
          </cell>
          <cell r="C2619">
            <v>14</v>
          </cell>
          <cell r="D2619">
            <v>577.72</v>
          </cell>
          <cell r="E2619">
            <v>8088.08</v>
          </cell>
          <cell r="F2619" t="str">
            <v>P07</v>
          </cell>
          <cell r="G2619" t="str">
            <v>Back panel - Ván hậu</v>
          </cell>
          <cell r="H2619" t="str">
            <v>MDF Veneer</v>
          </cell>
          <cell r="I2619">
            <v>14</v>
          </cell>
        </row>
        <row r="2620">
          <cell r="A2620" t="str">
            <v>B557833/A</v>
          </cell>
          <cell r="B2620" t="str">
            <v>CZ130M08</v>
          </cell>
          <cell r="C2620">
            <v>14</v>
          </cell>
          <cell r="D2620">
            <v>577.72</v>
          </cell>
          <cell r="E2620">
            <v>8088.08</v>
          </cell>
          <cell r="F2620" t="str">
            <v>P08</v>
          </cell>
          <cell r="G2620" t="str">
            <v>Corner block - ke góc</v>
          </cell>
          <cell r="H2620" t="str">
            <v>Poplar off cut</v>
          </cell>
          <cell r="I2620">
            <v>28</v>
          </cell>
        </row>
        <row r="2621">
          <cell r="A2621" t="str">
            <v>B557833/A</v>
          </cell>
          <cell r="B2621" t="str">
            <v>CZ130M08</v>
          </cell>
          <cell r="C2621">
            <v>14</v>
          </cell>
          <cell r="D2621">
            <v>577.72</v>
          </cell>
          <cell r="E2621">
            <v>8088.08</v>
          </cell>
          <cell r="F2621" t="str">
            <v>P09</v>
          </cell>
          <cell r="G2621" t="str">
            <v>Corner block - ke góc</v>
          </cell>
          <cell r="H2621" t="str">
            <v>Poplar off cut</v>
          </cell>
          <cell r="I2621">
            <v>28</v>
          </cell>
        </row>
        <row r="2622">
          <cell r="A2622" t="str">
            <v>B557833/A</v>
          </cell>
          <cell r="B2622" t="str">
            <v>CZ130M08</v>
          </cell>
          <cell r="C2622">
            <v>14</v>
          </cell>
          <cell r="D2622">
            <v>577.72</v>
          </cell>
          <cell r="E2622">
            <v>8088.08</v>
          </cell>
          <cell r="F2622" t="str">
            <v>P10</v>
          </cell>
          <cell r="G2622" t="str">
            <v>Bottom panel - Ván đáy</v>
          </cell>
          <cell r="H2622" t="str">
            <v>Cement Board - 20 x 1220 x 2440mm, Dark Grey</v>
          </cell>
          <cell r="I2622">
            <v>14</v>
          </cell>
        </row>
        <row r="2623">
          <cell r="A2623" t="str">
            <v>B557833/A</v>
          </cell>
          <cell r="B2623" t="str">
            <v>CZ130M08</v>
          </cell>
          <cell r="C2623">
            <v>14</v>
          </cell>
          <cell r="D2623">
            <v>577.72</v>
          </cell>
          <cell r="E2623">
            <v>8088.08</v>
          </cell>
          <cell r="F2623" t="str">
            <v>P12</v>
          </cell>
          <cell r="G2623" t="str">
            <v>Corner block - ke góc</v>
          </cell>
          <cell r="H2623" t="str">
            <v>Poplar off cut</v>
          </cell>
          <cell r="I2623">
            <v>28</v>
          </cell>
        </row>
        <row r="2624">
          <cell r="A2624" t="str">
            <v>B557833/A</v>
          </cell>
          <cell r="B2624" t="str">
            <v>CZ130M08</v>
          </cell>
          <cell r="C2624">
            <v>14</v>
          </cell>
          <cell r="D2624">
            <v>577.72</v>
          </cell>
          <cell r="E2624">
            <v>8088.08</v>
          </cell>
          <cell r="F2624" t="str">
            <v>P13</v>
          </cell>
          <cell r="G2624" t="str">
            <v>Spline - Lưỡi gà</v>
          </cell>
          <cell r="H2624" t="str">
            <v>Plywood LVD - 06 x 1220 x 2440mm, Bleached Poplar Veneer Both Sides [CARB P2 Compliant]</v>
          </cell>
          <cell r="I2624">
            <v>28</v>
          </cell>
        </row>
        <row r="2625">
          <cell r="A2625" t="str">
            <v>B557833/A</v>
          </cell>
          <cell r="B2625" t="str">
            <v>CZ130M08</v>
          </cell>
          <cell r="C2625">
            <v>14</v>
          </cell>
          <cell r="D2625">
            <v>577.72</v>
          </cell>
          <cell r="E2625">
            <v>8088.08</v>
          </cell>
          <cell r="F2625" t="str">
            <v>P14</v>
          </cell>
          <cell r="G2625" t="str">
            <v>Spline - Lưỡi gà</v>
          </cell>
          <cell r="H2625" t="str">
            <v>Plywood LVD - 06 x 1220 x 2440mm, Bleached Poplar Veneer Both Sides [CARB P2 Compliant]</v>
          </cell>
          <cell r="I2625">
            <v>14</v>
          </cell>
        </row>
        <row r="2626">
          <cell r="A2626" t="str">
            <v>B557833/A</v>
          </cell>
          <cell r="B2626" t="str">
            <v>CZ130M08</v>
          </cell>
          <cell r="C2626">
            <v>14</v>
          </cell>
          <cell r="D2626">
            <v>577.72</v>
          </cell>
          <cell r="E2626">
            <v>8088.08</v>
          </cell>
          <cell r="F2626" t="str">
            <v>P16</v>
          </cell>
          <cell r="G2626" t="str">
            <v>Patching wood - Gỗ đắp</v>
          </cell>
          <cell r="H2626" t="str">
            <v>wood off cut</v>
          </cell>
          <cell r="I2626">
            <v>28</v>
          </cell>
        </row>
        <row r="2627">
          <cell r="A2627" t="str">
            <v>B557833/A</v>
          </cell>
          <cell r="B2627" t="str">
            <v>CZ130M08</v>
          </cell>
          <cell r="C2627">
            <v>14</v>
          </cell>
          <cell r="D2627">
            <v>577.72</v>
          </cell>
          <cell r="E2627">
            <v>8088.08</v>
          </cell>
          <cell r="F2627" t="str">
            <v>P17</v>
          </cell>
          <cell r="G2627" t="str">
            <v>Cleat - Bọ gỗ</v>
          </cell>
          <cell r="H2627" t="str">
            <v>TRAM OFF CUT</v>
          </cell>
          <cell r="I2627">
            <v>28</v>
          </cell>
        </row>
        <row r="2628">
          <cell r="A2628" t="str">
            <v>B557836/A</v>
          </cell>
          <cell r="B2628" t="str">
            <v>CZ130M09</v>
          </cell>
          <cell r="C2628">
            <v>5</v>
          </cell>
          <cell r="D2628">
            <v>577.72</v>
          </cell>
          <cell r="E2628">
            <v>2888.6000000000004</v>
          </cell>
          <cell r="F2628" t="str">
            <v>A1-S1</v>
          </cell>
          <cell r="G2628" t="str">
            <v>Front leg  - Chần tiền</v>
          </cell>
          <cell r="H2628" t="str">
            <v>Pre-Assembly</v>
          </cell>
          <cell r="I2628">
            <v>10</v>
          </cell>
        </row>
        <row r="2629">
          <cell r="A2629" t="str">
            <v>B557836/A</v>
          </cell>
          <cell r="B2629" t="str">
            <v>CZ130M09</v>
          </cell>
          <cell r="C2629">
            <v>5</v>
          </cell>
          <cell r="D2629">
            <v>577.72</v>
          </cell>
          <cell r="E2629">
            <v>2888.6000000000004</v>
          </cell>
          <cell r="F2629" t="str">
            <v>A1-S1-1</v>
          </cell>
          <cell r="G2629" t="str">
            <v>Front leg  - Chần tiền</v>
          </cell>
          <cell r="H2629" t="str">
            <v>Wood laminate</v>
          </cell>
          <cell r="I2629">
            <v>10</v>
          </cell>
        </row>
        <row r="2630">
          <cell r="A2630" t="str">
            <v>B557836/A</v>
          </cell>
          <cell r="B2630" t="str">
            <v>CZ130M09</v>
          </cell>
          <cell r="C2630">
            <v>5</v>
          </cell>
          <cell r="D2630">
            <v>577.72</v>
          </cell>
          <cell r="E2630">
            <v>2888.6000000000004</v>
          </cell>
          <cell r="F2630" t="str">
            <v>A1-S1-2</v>
          </cell>
          <cell r="G2630" t="str">
            <v>Wood laminater - Gỗ ghép 1</v>
          </cell>
          <cell r="H2630" t="str">
            <v>TRAM OFF CUT</v>
          </cell>
          <cell r="I2630">
            <v>10</v>
          </cell>
        </row>
        <row r="2631">
          <cell r="A2631" t="str">
            <v>B557836/A</v>
          </cell>
          <cell r="B2631" t="str">
            <v>CZ130M09</v>
          </cell>
          <cell r="C2631">
            <v>5</v>
          </cell>
          <cell r="D2631">
            <v>577.72</v>
          </cell>
          <cell r="E2631">
            <v>2888.6000000000004</v>
          </cell>
          <cell r="F2631" t="str">
            <v>A1-S2</v>
          </cell>
          <cell r="G2631" t="str">
            <v>Back leg - Chân hậu</v>
          </cell>
          <cell r="H2631" t="str">
            <v>Beech 2 COM</v>
          </cell>
          <cell r="I2631">
            <v>10</v>
          </cell>
        </row>
        <row r="2632">
          <cell r="A2632" t="str">
            <v>B557836/A</v>
          </cell>
          <cell r="B2632" t="str">
            <v>CZ130M09</v>
          </cell>
          <cell r="C2632">
            <v>5</v>
          </cell>
          <cell r="D2632">
            <v>577.72</v>
          </cell>
          <cell r="E2632">
            <v>2888.6000000000004</v>
          </cell>
          <cell r="F2632" t="str">
            <v>A1-S3</v>
          </cell>
          <cell r="G2632" t="str">
            <v xml:space="preserve">Side panel  - Ván hông </v>
          </cell>
          <cell r="H2632" t="str">
            <v>MDF Veneer</v>
          </cell>
          <cell r="I2632">
            <v>10</v>
          </cell>
        </row>
        <row r="2633">
          <cell r="A2633" t="str">
            <v>B557836/A</v>
          </cell>
          <cell r="B2633" t="str">
            <v>CZ130M09</v>
          </cell>
          <cell r="C2633">
            <v>5</v>
          </cell>
          <cell r="D2633">
            <v>577.72</v>
          </cell>
          <cell r="E2633">
            <v>2888.6000000000004</v>
          </cell>
          <cell r="F2633" t="str">
            <v>A1-S4</v>
          </cell>
          <cell r="G2633" t="str">
            <v xml:space="preserve">Side rail  - Đố hông </v>
          </cell>
          <cell r="H2633" t="str">
            <v>Wood Rubber Laminate Board - 20 x 1220 x 2440mm, Veneer Poplar both Faces</v>
          </cell>
          <cell r="I2633">
            <v>10</v>
          </cell>
        </row>
        <row r="2634">
          <cell r="A2634" t="str">
            <v>B557836/A</v>
          </cell>
          <cell r="B2634" t="str">
            <v>CZ130M09</v>
          </cell>
          <cell r="C2634">
            <v>5</v>
          </cell>
          <cell r="D2634">
            <v>577.72</v>
          </cell>
          <cell r="E2634">
            <v>2888.6000000000004</v>
          </cell>
          <cell r="F2634" t="str">
            <v>A1-S5</v>
          </cell>
          <cell r="G2634" t="str">
            <v>Patching wood - Gỗ đắp</v>
          </cell>
          <cell r="H2634" t="str">
            <v>Wood US Poplar - Straight Edged, 2 COM - T38mm x W100mm Up x L1.8m Up</v>
          </cell>
          <cell r="I2634">
            <v>10</v>
          </cell>
        </row>
        <row r="2635">
          <cell r="A2635" t="str">
            <v>B557836/A</v>
          </cell>
          <cell r="B2635" t="str">
            <v>CZ130M09</v>
          </cell>
          <cell r="C2635">
            <v>5</v>
          </cell>
          <cell r="D2635">
            <v>577.72</v>
          </cell>
          <cell r="E2635">
            <v>2888.6000000000004</v>
          </cell>
          <cell r="F2635" t="str">
            <v>A2-S1</v>
          </cell>
          <cell r="G2635" t="str">
            <v>Front Bottom Rail  - Đố đáy trước</v>
          </cell>
          <cell r="H2635" t="str">
            <v>Standard Wood - ALDER/ASPEN/LENGA/US POPLAR, 2 COM - T32 W120mm+ L2m+</v>
          </cell>
          <cell r="I2635">
            <v>5</v>
          </cell>
        </row>
        <row r="2636">
          <cell r="A2636" t="str">
            <v>B557836/A</v>
          </cell>
          <cell r="B2636" t="str">
            <v>CZ130M09</v>
          </cell>
          <cell r="C2636">
            <v>5</v>
          </cell>
          <cell r="D2636">
            <v>577.72</v>
          </cell>
          <cell r="E2636">
            <v>2888.6000000000004</v>
          </cell>
          <cell r="F2636" t="str">
            <v>A2-S2</v>
          </cell>
          <cell r="G2636" t="str">
            <v>Back bottom rail - Đố hậu đáy</v>
          </cell>
          <cell r="H2636" t="str">
            <v>Wood US Poplar - Straight Edged, 2 COM - T38mm x W100mm Up x L1.8m Up</v>
          </cell>
          <cell r="I2636">
            <v>5</v>
          </cell>
        </row>
        <row r="2637">
          <cell r="A2637" t="str">
            <v>B557836/A</v>
          </cell>
          <cell r="B2637" t="str">
            <v>CZ130M09</v>
          </cell>
          <cell r="C2637">
            <v>5</v>
          </cell>
          <cell r="D2637">
            <v>577.72</v>
          </cell>
          <cell r="E2637">
            <v>2888.6000000000004</v>
          </cell>
          <cell r="F2637" t="str">
            <v>A2-S3</v>
          </cell>
          <cell r="G2637" t="str">
            <v>Bottom panel - Ván đáy</v>
          </cell>
          <cell r="H2637" t="str">
            <v>MDF Veneer</v>
          </cell>
          <cell r="I2637">
            <v>5</v>
          </cell>
        </row>
        <row r="2638">
          <cell r="A2638" t="str">
            <v>B557836/A</v>
          </cell>
          <cell r="B2638" t="str">
            <v>CZ130M09</v>
          </cell>
          <cell r="C2638">
            <v>5</v>
          </cell>
          <cell r="D2638">
            <v>577.72</v>
          </cell>
          <cell r="E2638">
            <v>2888.6000000000004</v>
          </cell>
          <cell r="F2638" t="str">
            <v>A2-S4</v>
          </cell>
          <cell r="G2638" t="str">
            <v>Cleat - Bọ gỗ</v>
          </cell>
          <cell r="H2638" t="str">
            <v>Wood Rubber Laminate Board - 20 x 1220 x 2440mm, Veneer Poplar both Faces</v>
          </cell>
          <cell r="I2638">
            <v>10</v>
          </cell>
        </row>
        <row r="2639">
          <cell r="A2639" t="str">
            <v>B557836/A</v>
          </cell>
          <cell r="B2639" t="str">
            <v>CZ130M09</v>
          </cell>
          <cell r="C2639">
            <v>5</v>
          </cell>
          <cell r="D2639">
            <v>577.72</v>
          </cell>
          <cell r="E2639">
            <v>2888.6000000000004</v>
          </cell>
          <cell r="F2639" t="str">
            <v>A3-S3</v>
          </cell>
          <cell r="G2639" t="str">
            <v>Door panel  - Ván cửa</v>
          </cell>
          <cell r="H2639" t="str">
            <v>MDF Veneer</v>
          </cell>
          <cell r="I2639">
            <v>10</v>
          </cell>
        </row>
        <row r="2640">
          <cell r="A2640" t="str">
            <v>B557836/A</v>
          </cell>
          <cell r="B2640" t="str">
            <v>CZ130M09</v>
          </cell>
          <cell r="C2640">
            <v>5</v>
          </cell>
          <cell r="D2640">
            <v>577.72</v>
          </cell>
          <cell r="E2640">
            <v>2888.6000000000004</v>
          </cell>
          <cell r="F2640" t="str">
            <v>A3-S4</v>
          </cell>
          <cell r="G2640" t="str">
            <v>Patching moulding - Chỉ đắp</v>
          </cell>
          <cell r="H2640" t="str">
            <v>Wood US Poplar - Straight Edged, 2 COM - T38mm x W100mm Up x L1.8m Up</v>
          </cell>
          <cell r="I2640">
            <v>10</v>
          </cell>
        </row>
        <row r="2641">
          <cell r="A2641" t="str">
            <v>B557836/A</v>
          </cell>
          <cell r="B2641" t="str">
            <v>CZ130M09</v>
          </cell>
          <cell r="C2641">
            <v>5</v>
          </cell>
          <cell r="D2641">
            <v>577.72</v>
          </cell>
          <cell r="E2641">
            <v>2888.6000000000004</v>
          </cell>
          <cell r="F2641" t="str">
            <v>A3-S5</v>
          </cell>
          <cell r="G2641" t="str">
            <v>Patching moulding - Chỉ đắp</v>
          </cell>
          <cell r="H2641" t="str">
            <v>Wood US Poplar - Straight Edged, 2 COM - T38mm x W100mm Up x L1.8m Up</v>
          </cell>
          <cell r="I2641">
            <v>20</v>
          </cell>
        </row>
        <row r="2642">
          <cell r="A2642" t="str">
            <v>B557836/A</v>
          </cell>
          <cell r="B2642" t="str">
            <v>CZ130M09</v>
          </cell>
          <cell r="C2642">
            <v>5</v>
          </cell>
          <cell r="D2642">
            <v>577.72</v>
          </cell>
          <cell r="E2642">
            <v>2888.6000000000004</v>
          </cell>
          <cell r="F2642" t="str">
            <v>A3-S6</v>
          </cell>
          <cell r="G2642" t="str">
            <v>Patching moulding - Chỉ đắp</v>
          </cell>
          <cell r="H2642" t="str">
            <v>TRAM OFF CUT</v>
          </cell>
          <cell r="I2642">
            <v>20</v>
          </cell>
        </row>
        <row r="2643">
          <cell r="A2643" t="str">
            <v>B557836/A</v>
          </cell>
          <cell r="B2643" t="str">
            <v>CZ130M09</v>
          </cell>
          <cell r="C2643">
            <v>5</v>
          </cell>
          <cell r="D2643">
            <v>577.72</v>
          </cell>
          <cell r="E2643">
            <v>2888.6000000000004</v>
          </cell>
          <cell r="F2643" t="str">
            <v>A3-S7</v>
          </cell>
          <cell r="G2643" t="str">
            <v>Patching moulding - Chỉ đắp</v>
          </cell>
          <cell r="H2643" t="str">
            <v>Wood US Poplar - Straight Edged, 2 COM - T38mm x W100mm Up x L1.8m Up</v>
          </cell>
          <cell r="I2643">
            <v>10</v>
          </cell>
        </row>
        <row r="2644">
          <cell r="A2644" t="str">
            <v>B557836/A</v>
          </cell>
          <cell r="B2644" t="str">
            <v>CZ130M09</v>
          </cell>
          <cell r="C2644">
            <v>5</v>
          </cell>
          <cell r="D2644">
            <v>577.72</v>
          </cell>
          <cell r="E2644">
            <v>2888.6000000000004</v>
          </cell>
          <cell r="F2644" t="str">
            <v>A3-S8</v>
          </cell>
          <cell r="G2644" t="str">
            <v>Insert Wood - Gỗ chèn</v>
          </cell>
          <cell r="H2644" t="str">
            <v>Beech off cut</v>
          </cell>
          <cell r="I2644">
            <v>20</v>
          </cell>
        </row>
        <row r="2645">
          <cell r="A2645" t="str">
            <v>B557836/A</v>
          </cell>
          <cell r="B2645" t="str">
            <v>CZ130M09</v>
          </cell>
          <cell r="C2645">
            <v>5</v>
          </cell>
          <cell r="D2645">
            <v>577.72</v>
          </cell>
          <cell r="E2645">
            <v>2888.6000000000004</v>
          </cell>
          <cell r="F2645" t="str">
            <v>P01</v>
          </cell>
          <cell r="G2645" t="str">
            <v>Front top rail  - Đố tiền nóc</v>
          </cell>
          <cell r="H2645" t="str">
            <v>Wood laminate</v>
          </cell>
          <cell r="I2645">
            <v>5</v>
          </cell>
        </row>
        <row r="2646">
          <cell r="A2646" t="str">
            <v>B557836/A</v>
          </cell>
          <cell r="B2646" t="str">
            <v>CZ130M09</v>
          </cell>
          <cell r="C2646">
            <v>5</v>
          </cell>
          <cell r="D2646">
            <v>577.72</v>
          </cell>
          <cell r="E2646">
            <v>2888.6000000000004</v>
          </cell>
          <cell r="F2646" t="str">
            <v>P02</v>
          </cell>
          <cell r="G2646" t="str">
            <v>Back top rail - Đố hậu nóc</v>
          </cell>
          <cell r="H2646" t="str">
            <v>Wood Rubber Laminate Board - 20 x 1220 x 2440mm, Veneer Poplar both Faces</v>
          </cell>
          <cell r="I2646">
            <v>5</v>
          </cell>
        </row>
        <row r="2647">
          <cell r="A2647" t="str">
            <v>B557836/A</v>
          </cell>
          <cell r="B2647" t="str">
            <v>CZ130M09</v>
          </cell>
          <cell r="C2647">
            <v>5</v>
          </cell>
          <cell r="D2647">
            <v>577.72</v>
          </cell>
          <cell r="E2647">
            <v>2888.6000000000004</v>
          </cell>
          <cell r="F2647" t="str">
            <v>P03</v>
          </cell>
          <cell r="G2647" t="str">
            <v xml:space="preserve">Top panel  - Ván nóc </v>
          </cell>
          <cell r="H2647" t="str">
            <v>MDF Veneer</v>
          </cell>
          <cell r="I2647">
            <v>5</v>
          </cell>
        </row>
        <row r="2648">
          <cell r="A2648" t="str">
            <v>B557836/A</v>
          </cell>
          <cell r="B2648" t="str">
            <v>CZ130M09</v>
          </cell>
          <cell r="C2648">
            <v>5</v>
          </cell>
          <cell r="D2648">
            <v>577.72</v>
          </cell>
          <cell r="E2648">
            <v>2888.6000000000004</v>
          </cell>
          <cell r="F2648" t="str">
            <v>P06</v>
          </cell>
          <cell r="G2648" t="str">
            <v>Adjustable Shelf  - Kệ di động</v>
          </cell>
          <cell r="H2648" t="str">
            <v>Pre-Assembly</v>
          </cell>
          <cell r="I2648">
            <v>5</v>
          </cell>
        </row>
        <row r="2649">
          <cell r="A2649" t="str">
            <v>B557836/A</v>
          </cell>
          <cell r="B2649" t="str">
            <v>CZ130M09</v>
          </cell>
          <cell r="C2649">
            <v>5</v>
          </cell>
          <cell r="D2649">
            <v>577.72</v>
          </cell>
          <cell r="E2649">
            <v>2888.6000000000004</v>
          </cell>
          <cell r="F2649" t="str">
            <v>P06-1</v>
          </cell>
          <cell r="G2649" t="str">
            <v>Adjustable Shelf  - Kệ di động</v>
          </cell>
          <cell r="H2649" t="str">
            <v>MDF Veneer</v>
          </cell>
          <cell r="I2649">
            <v>5</v>
          </cell>
        </row>
        <row r="2650">
          <cell r="A2650" t="str">
            <v>B557836/A</v>
          </cell>
          <cell r="B2650" t="str">
            <v>CZ130M09</v>
          </cell>
          <cell r="C2650">
            <v>5</v>
          </cell>
          <cell r="D2650">
            <v>577.72</v>
          </cell>
          <cell r="E2650">
            <v>2888.6000000000004</v>
          </cell>
          <cell r="F2650" t="str">
            <v>P06-2</v>
          </cell>
          <cell r="G2650" t="str">
            <v>Adjustable Shelf  - Kệ di động</v>
          </cell>
          <cell r="H2650" t="str">
            <v>Standard Wood - ALDER/ASPEN/LENGA/US POPLAR, 2 COM - T25 W120mm+ L2m+</v>
          </cell>
          <cell r="I2650">
            <v>5</v>
          </cell>
        </row>
        <row r="2651">
          <cell r="A2651" t="str">
            <v>B557836/A</v>
          </cell>
          <cell r="B2651" t="str">
            <v>CZ130M09</v>
          </cell>
          <cell r="C2651">
            <v>5</v>
          </cell>
          <cell r="D2651">
            <v>577.72</v>
          </cell>
          <cell r="E2651">
            <v>2888.6000000000004</v>
          </cell>
          <cell r="F2651" t="str">
            <v>P07</v>
          </cell>
          <cell r="G2651" t="str">
            <v>Back panel - Ván hậu</v>
          </cell>
          <cell r="H2651" t="str">
            <v>MDF Veneer</v>
          </cell>
          <cell r="I2651">
            <v>5</v>
          </cell>
        </row>
        <row r="2652">
          <cell r="A2652" t="str">
            <v>B557836/A</v>
          </cell>
          <cell r="B2652" t="str">
            <v>CZ130M09</v>
          </cell>
          <cell r="C2652">
            <v>5</v>
          </cell>
          <cell r="D2652">
            <v>577.72</v>
          </cell>
          <cell r="E2652">
            <v>2888.6000000000004</v>
          </cell>
          <cell r="F2652" t="str">
            <v>P08</v>
          </cell>
          <cell r="G2652" t="str">
            <v>Corner block - ke góc</v>
          </cell>
          <cell r="H2652" t="str">
            <v>Poplar off cut</v>
          </cell>
          <cell r="I2652">
            <v>10</v>
          </cell>
        </row>
        <row r="2653">
          <cell r="A2653" t="str">
            <v>B557836/A</v>
          </cell>
          <cell r="B2653" t="str">
            <v>CZ130M09</v>
          </cell>
          <cell r="C2653">
            <v>5</v>
          </cell>
          <cell r="D2653">
            <v>577.72</v>
          </cell>
          <cell r="E2653">
            <v>2888.6000000000004</v>
          </cell>
          <cell r="F2653" t="str">
            <v>P09</v>
          </cell>
          <cell r="G2653" t="str">
            <v>Corner block - ke góc</v>
          </cell>
          <cell r="H2653" t="str">
            <v>Poplar off cut</v>
          </cell>
          <cell r="I2653">
            <v>10</v>
          </cell>
        </row>
        <row r="2654">
          <cell r="A2654" t="str">
            <v>B557836/A</v>
          </cell>
          <cell r="B2654" t="str">
            <v>CZ130M09</v>
          </cell>
          <cell r="C2654">
            <v>5</v>
          </cell>
          <cell r="D2654">
            <v>577.72</v>
          </cell>
          <cell r="E2654">
            <v>2888.6000000000004</v>
          </cell>
          <cell r="F2654" t="str">
            <v>P10</v>
          </cell>
          <cell r="G2654" t="str">
            <v>Bottom panel - Ván đáy</v>
          </cell>
          <cell r="H2654" t="str">
            <v>Cement Board - 20 x 1220 x 2440mm, Dark Grey</v>
          </cell>
          <cell r="I2654">
            <v>5</v>
          </cell>
        </row>
        <row r="2655">
          <cell r="A2655" t="str">
            <v>B557836/A</v>
          </cell>
          <cell r="B2655" t="str">
            <v>CZ130M09</v>
          </cell>
          <cell r="C2655">
            <v>5</v>
          </cell>
          <cell r="D2655">
            <v>577.72</v>
          </cell>
          <cell r="E2655">
            <v>2888.6000000000004</v>
          </cell>
          <cell r="F2655" t="str">
            <v>P12</v>
          </cell>
          <cell r="G2655" t="str">
            <v>Corner block - ke góc</v>
          </cell>
          <cell r="H2655" t="str">
            <v>Poplar off cut</v>
          </cell>
          <cell r="I2655">
            <v>10</v>
          </cell>
        </row>
        <row r="2656">
          <cell r="A2656" t="str">
            <v>B557836/A</v>
          </cell>
          <cell r="B2656" t="str">
            <v>CZ130M09</v>
          </cell>
          <cell r="C2656">
            <v>5</v>
          </cell>
          <cell r="D2656">
            <v>577.72</v>
          </cell>
          <cell r="E2656">
            <v>2888.6000000000004</v>
          </cell>
          <cell r="F2656" t="str">
            <v>P13</v>
          </cell>
          <cell r="G2656" t="str">
            <v>Spline - Lưỡi gà</v>
          </cell>
          <cell r="H2656" t="str">
            <v>Plywood LVD - 06 x 1220 x 2440mm, Bleached Poplar Veneer Both Sides [CARB P2 Compliant]</v>
          </cell>
          <cell r="I2656">
            <v>10</v>
          </cell>
        </row>
        <row r="2657">
          <cell r="A2657" t="str">
            <v>B557836/A</v>
          </cell>
          <cell r="B2657" t="str">
            <v>CZ130M09</v>
          </cell>
          <cell r="C2657">
            <v>5</v>
          </cell>
          <cell r="D2657">
            <v>577.72</v>
          </cell>
          <cell r="E2657">
            <v>2888.6000000000004</v>
          </cell>
          <cell r="F2657" t="str">
            <v>P14</v>
          </cell>
          <cell r="G2657" t="str">
            <v>Spline - Lưỡi gà</v>
          </cell>
          <cell r="H2657" t="str">
            <v>Plywood LVD - 06 x 1220 x 2440mm, Bleached Poplar Veneer Both Sides [CARB P2 Compliant]</v>
          </cell>
          <cell r="I2657">
            <v>5</v>
          </cell>
        </row>
        <row r="2658">
          <cell r="A2658" t="str">
            <v>B557836/A</v>
          </cell>
          <cell r="B2658" t="str">
            <v>CZ130M09</v>
          </cell>
          <cell r="C2658">
            <v>5</v>
          </cell>
          <cell r="D2658">
            <v>577.72</v>
          </cell>
          <cell r="E2658">
            <v>2888.6000000000004</v>
          </cell>
          <cell r="F2658" t="str">
            <v>P16</v>
          </cell>
          <cell r="G2658" t="str">
            <v>Patching wood - Gỗ đắp</v>
          </cell>
          <cell r="H2658" t="str">
            <v>wood off cut</v>
          </cell>
          <cell r="I2658">
            <v>10</v>
          </cell>
        </row>
        <row r="2659">
          <cell r="A2659" t="str">
            <v>B557836/A</v>
          </cell>
          <cell r="B2659" t="str">
            <v>CZ130M09</v>
          </cell>
          <cell r="C2659">
            <v>5</v>
          </cell>
          <cell r="D2659">
            <v>577.72</v>
          </cell>
          <cell r="E2659">
            <v>2888.6000000000004</v>
          </cell>
          <cell r="F2659" t="str">
            <v>P17</v>
          </cell>
          <cell r="G2659" t="str">
            <v>Cleat - Bọ gỗ</v>
          </cell>
          <cell r="H2659" t="str">
            <v>TRAM OFF CUT</v>
          </cell>
          <cell r="I2659">
            <v>10</v>
          </cell>
        </row>
        <row r="2660">
          <cell r="A2660" t="str">
            <v>B557837/A</v>
          </cell>
          <cell r="B2660" t="str">
            <v>CZ130M09</v>
          </cell>
          <cell r="C2660">
            <v>4</v>
          </cell>
          <cell r="D2660">
            <v>577.72</v>
          </cell>
          <cell r="E2660">
            <v>2310.88</v>
          </cell>
          <cell r="F2660" t="str">
            <v>A1-S1</v>
          </cell>
          <cell r="G2660" t="str">
            <v>Front leg  - Chần tiền</v>
          </cell>
          <cell r="H2660" t="str">
            <v>Pre-Assembly</v>
          </cell>
          <cell r="I2660">
            <v>8</v>
          </cell>
        </row>
        <row r="2661">
          <cell r="A2661" t="str">
            <v>B557837/A</v>
          </cell>
          <cell r="B2661" t="str">
            <v>CZ130M09</v>
          </cell>
          <cell r="C2661">
            <v>4</v>
          </cell>
          <cell r="D2661">
            <v>577.72</v>
          </cell>
          <cell r="E2661">
            <v>2310.88</v>
          </cell>
          <cell r="F2661" t="str">
            <v>A1-S1-1</v>
          </cell>
          <cell r="G2661" t="str">
            <v>Front leg  - Chần tiền</v>
          </cell>
          <cell r="H2661" t="str">
            <v>Wood laminate</v>
          </cell>
          <cell r="I2661">
            <v>8</v>
          </cell>
        </row>
        <row r="2662">
          <cell r="A2662" t="str">
            <v>B557837/A</v>
          </cell>
          <cell r="B2662" t="str">
            <v>CZ130M09</v>
          </cell>
          <cell r="C2662">
            <v>4</v>
          </cell>
          <cell r="D2662">
            <v>577.72</v>
          </cell>
          <cell r="E2662">
            <v>2310.88</v>
          </cell>
          <cell r="F2662" t="str">
            <v>A1-S1-2</v>
          </cell>
          <cell r="G2662" t="str">
            <v>Wood laminater - Gỗ ghép 1</v>
          </cell>
          <cell r="H2662" t="str">
            <v>TRAM OFF CUT</v>
          </cell>
          <cell r="I2662">
            <v>8</v>
          </cell>
        </row>
        <row r="2663">
          <cell r="A2663" t="str">
            <v>B557837/A</v>
          </cell>
          <cell r="B2663" t="str">
            <v>CZ130M09</v>
          </cell>
          <cell r="C2663">
            <v>4</v>
          </cell>
          <cell r="D2663">
            <v>577.72</v>
          </cell>
          <cell r="E2663">
            <v>2310.88</v>
          </cell>
          <cell r="F2663" t="str">
            <v>A1-S2</v>
          </cell>
          <cell r="G2663" t="str">
            <v>Back leg - Chân hậu</v>
          </cell>
          <cell r="H2663" t="str">
            <v>Beech 2 COM</v>
          </cell>
          <cell r="I2663">
            <v>8</v>
          </cell>
        </row>
        <row r="2664">
          <cell r="A2664" t="str">
            <v>B557837/A</v>
          </cell>
          <cell r="B2664" t="str">
            <v>CZ130M09</v>
          </cell>
          <cell r="C2664">
            <v>4</v>
          </cell>
          <cell r="D2664">
            <v>577.72</v>
          </cell>
          <cell r="E2664">
            <v>2310.88</v>
          </cell>
          <cell r="F2664" t="str">
            <v>A1-S3</v>
          </cell>
          <cell r="G2664" t="str">
            <v xml:space="preserve">Side panel  - Ván hông </v>
          </cell>
          <cell r="H2664" t="str">
            <v>MDF Veneer</v>
          </cell>
          <cell r="I2664">
            <v>8</v>
          </cell>
        </row>
        <row r="2665">
          <cell r="A2665" t="str">
            <v>B557837/A</v>
          </cell>
          <cell r="B2665" t="str">
            <v>CZ130M09</v>
          </cell>
          <cell r="C2665">
            <v>4</v>
          </cell>
          <cell r="D2665">
            <v>577.72</v>
          </cell>
          <cell r="E2665">
            <v>2310.88</v>
          </cell>
          <cell r="F2665" t="str">
            <v>A1-S4</v>
          </cell>
          <cell r="G2665" t="str">
            <v xml:space="preserve">Side rail  - Đố hông </v>
          </cell>
          <cell r="H2665" t="str">
            <v>Wood Rubber Laminate Board - 20 x 1220 x 2440mm, Veneer Poplar both Faces</v>
          </cell>
          <cell r="I2665">
            <v>8</v>
          </cell>
        </row>
        <row r="2666">
          <cell r="A2666" t="str">
            <v>B557837/A</v>
          </cell>
          <cell r="B2666" t="str">
            <v>CZ130M09</v>
          </cell>
          <cell r="C2666">
            <v>4</v>
          </cell>
          <cell r="D2666">
            <v>577.72</v>
          </cell>
          <cell r="E2666">
            <v>2310.88</v>
          </cell>
          <cell r="F2666" t="str">
            <v>A1-S5</v>
          </cell>
          <cell r="G2666" t="str">
            <v>Patching wood - Gỗ đắp</v>
          </cell>
          <cell r="H2666" t="str">
            <v>Wood US Poplar - Straight Edged, 2 COM - T38mm x W100mm Up x L1.8m Up</v>
          </cell>
          <cell r="I2666">
            <v>8</v>
          </cell>
        </row>
        <row r="2667">
          <cell r="A2667" t="str">
            <v>B557837/A</v>
          </cell>
          <cell r="B2667" t="str">
            <v>CZ130M09</v>
          </cell>
          <cell r="C2667">
            <v>4</v>
          </cell>
          <cell r="D2667">
            <v>577.72</v>
          </cell>
          <cell r="E2667">
            <v>2310.88</v>
          </cell>
          <cell r="F2667" t="str">
            <v>A2-S1</v>
          </cell>
          <cell r="G2667" t="str">
            <v>Front Bottom Rail  - Đố đáy trước</v>
          </cell>
          <cell r="H2667" t="str">
            <v>Standard Wood - ALDER/ASPEN/LENGA/US POPLAR, 2 COM - T32 W120mm+ L2m+</v>
          </cell>
          <cell r="I2667">
            <v>4</v>
          </cell>
        </row>
        <row r="2668">
          <cell r="A2668" t="str">
            <v>B557837/A</v>
          </cell>
          <cell r="B2668" t="str">
            <v>CZ130M09</v>
          </cell>
          <cell r="C2668">
            <v>4</v>
          </cell>
          <cell r="D2668">
            <v>577.72</v>
          </cell>
          <cell r="E2668">
            <v>2310.88</v>
          </cell>
          <cell r="F2668" t="str">
            <v>A2-S2</v>
          </cell>
          <cell r="G2668" t="str">
            <v>Back bottom rail - Đố hậu đáy</v>
          </cell>
          <cell r="H2668" t="str">
            <v>Wood US Poplar - Straight Edged, 2 COM - T38mm x W100mm Up x L1.8m Up</v>
          </cell>
          <cell r="I2668">
            <v>4</v>
          </cell>
        </row>
        <row r="2669">
          <cell r="A2669" t="str">
            <v>B557837/A</v>
          </cell>
          <cell r="B2669" t="str">
            <v>CZ130M09</v>
          </cell>
          <cell r="C2669">
            <v>4</v>
          </cell>
          <cell r="D2669">
            <v>577.72</v>
          </cell>
          <cell r="E2669">
            <v>2310.88</v>
          </cell>
          <cell r="F2669" t="str">
            <v>A2-S3</v>
          </cell>
          <cell r="G2669" t="str">
            <v>Bottom panel - Ván đáy</v>
          </cell>
          <cell r="H2669" t="str">
            <v>MDF Veneer</v>
          </cell>
          <cell r="I2669">
            <v>4</v>
          </cell>
        </row>
        <row r="2670">
          <cell r="A2670" t="str">
            <v>B557837/A</v>
          </cell>
          <cell r="B2670" t="str">
            <v>CZ130M09</v>
          </cell>
          <cell r="C2670">
            <v>4</v>
          </cell>
          <cell r="D2670">
            <v>577.72</v>
          </cell>
          <cell r="E2670">
            <v>2310.88</v>
          </cell>
          <cell r="F2670" t="str">
            <v>A2-S4</v>
          </cell>
          <cell r="G2670" t="str">
            <v>Cleat - Bọ gỗ</v>
          </cell>
          <cell r="H2670" t="str">
            <v>Wood Rubber Laminate Board - 20 x 1220 x 2440mm, Veneer Poplar both Faces</v>
          </cell>
          <cell r="I2670">
            <v>8</v>
          </cell>
        </row>
        <row r="2671">
          <cell r="A2671" t="str">
            <v>B557837/A</v>
          </cell>
          <cell r="B2671" t="str">
            <v>CZ130M09</v>
          </cell>
          <cell r="C2671">
            <v>4</v>
          </cell>
          <cell r="D2671">
            <v>577.72</v>
          </cell>
          <cell r="E2671">
            <v>2310.88</v>
          </cell>
          <cell r="F2671" t="str">
            <v>A3-S3</v>
          </cell>
          <cell r="G2671" t="str">
            <v>Door panel  - Ván cửa</v>
          </cell>
          <cell r="H2671" t="str">
            <v>MDF Veneer</v>
          </cell>
          <cell r="I2671">
            <v>8</v>
          </cell>
        </row>
        <row r="2672">
          <cell r="A2672" t="str">
            <v>B557837/A</v>
          </cell>
          <cell r="B2672" t="str">
            <v>CZ130M09</v>
          </cell>
          <cell r="C2672">
            <v>4</v>
          </cell>
          <cell r="D2672">
            <v>577.72</v>
          </cell>
          <cell r="E2672">
            <v>2310.88</v>
          </cell>
          <cell r="F2672" t="str">
            <v>A3-S4</v>
          </cell>
          <cell r="G2672" t="str">
            <v>Patching moulding - Chỉ đắp</v>
          </cell>
          <cell r="H2672" t="str">
            <v>Wood US Poplar - Straight Edged, 2 COM - T38mm x W100mm Up x L1.8m Up</v>
          </cell>
          <cell r="I2672">
            <v>8</v>
          </cell>
        </row>
        <row r="2673">
          <cell r="A2673" t="str">
            <v>B557837/A</v>
          </cell>
          <cell r="B2673" t="str">
            <v>CZ130M09</v>
          </cell>
          <cell r="C2673">
            <v>4</v>
          </cell>
          <cell r="D2673">
            <v>577.72</v>
          </cell>
          <cell r="E2673">
            <v>2310.88</v>
          </cell>
          <cell r="F2673" t="str">
            <v>A3-S5</v>
          </cell>
          <cell r="G2673" t="str">
            <v>Patching moulding - Chỉ đắp</v>
          </cell>
          <cell r="H2673" t="str">
            <v>Wood US Poplar - Straight Edged, 2 COM - T38mm x W100mm Up x L1.8m Up</v>
          </cell>
          <cell r="I2673">
            <v>16</v>
          </cell>
        </row>
        <row r="2674">
          <cell r="A2674" t="str">
            <v>B557837/A</v>
          </cell>
          <cell r="B2674" t="str">
            <v>CZ130M09</v>
          </cell>
          <cell r="C2674">
            <v>4</v>
          </cell>
          <cell r="D2674">
            <v>577.72</v>
          </cell>
          <cell r="E2674">
            <v>2310.88</v>
          </cell>
          <cell r="F2674" t="str">
            <v>A3-S6</v>
          </cell>
          <cell r="G2674" t="str">
            <v>Patching moulding - Chỉ đắp</v>
          </cell>
          <cell r="H2674" t="str">
            <v>TRAM OFF CUT</v>
          </cell>
          <cell r="I2674">
            <v>16</v>
          </cell>
        </row>
        <row r="2675">
          <cell r="A2675" t="str">
            <v>B557837/A</v>
          </cell>
          <cell r="B2675" t="str">
            <v>CZ130M09</v>
          </cell>
          <cell r="C2675">
            <v>4</v>
          </cell>
          <cell r="D2675">
            <v>577.72</v>
          </cell>
          <cell r="E2675">
            <v>2310.88</v>
          </cell>
          <cell r="F2675" t="str">
            <v>A3-S7</v>
          </cell>
          <cell r="G2675" t="str">
            <v>Patching moulding - Chỉ đắp</v>
          </cell>
          <cell r="H2675" t="str">
            <v>Wood US Poplar - Straight Edged, 2 COM - T38mm x W100mm Up x L1.8m Up</v>
          </cell>
          <cell r="I2675">
            <v>8</v>
          </cell>
        </row>
        <row r="2676">
          <cell r="A2676" t="str">
            <v>B557837/A</v>
          </cell>
          <cell r="B2676" t="str">
            <v>CZ130M09</v>
          </cell>
          <cell r="C2676">
            <v>4</v>
          </cell>
          <cell r="D2676">
            <v>577.72</v>
          </cell>
          <cell r="E2676">
            <v>2310.88</v>
          </cell>
          <cell r="F2676" t="str">
            <v>A3-S8</v>
          </cell>
          <cell r="G2676" t="str">
            <v>Insert Wood - Gỗ chèn</v>
          </cell>
          <cell r="H2676" t="str">
            <v>Beech off cut</v>
          </cell>
          <cell r="I2676">
            <v>16</v>
          </cell>
        </row>
        <row r="2677">
          <cell r="A2677" t="str">
            <v>B557837/A</v>
          </cell>
          <cell r="B2677" t="str">
            <v>CZ130M09</v>
          </cell>
          <cell r="C2677">
            <v>4</v>
          </cell>
          <cell r="D2677">
            <v>577.72</v>
          </cell>
          <cell r="E2677">
            <v>2310.88</v>
          </cell>
          <cell r="F2677" t="str">
            <v>P01</v>
          </cell>
          <cell r="G2677" t="str">
            <v>Front top rail  - Đố tiền nóc</v>
          </cell>
          <cell r="H2677" t="str">
            <v>Wood laminate</v>
          </cell>
          <cell r="I2677">
            <v>4</v>
          </cell>
        </row>
        <row r="2678">
          <cell r="A2678" t="str">
            <v>B557837/A</v>
          </cell>
          <cell r="B2678" t="str">
            <v>CZ130M09</v>
          </cell>
          <cell r="C2678">
            <v>4</v>
          </cell>
          <cell r="D2678">
            <v>577.72</v>
          </cell>
          <cell r="E2678">
            <v>2310.88</v>
          </cell>
          <cell r="F2678" t="str">
            <v>P02</v>
          </cell>
          <cell r="G2678" t="str">
            <v>Back top rail - Đố hậu nóc</v>
          </cell>
          <cell r="H2678" t="str">
            <v>Wood Rubber Laminate Board - 20 x 1220 x 2440mm, Veneer Poplar both Faces</v>
          </cell>
          <cell r="I2678">
            <v>4</v>
          </cell>
        </row>
        <row r="2679">
          <cell r="A2679" t="str">
            <v>B557837/A</v>
          </cell>
          <cell r="B2679" t="str">
            <v>CZ130M09</v>
          </cell>
          <cell r="C2679">
            <v>4</v>
          </cell>
          <cell r="D2679">
            <v>577.72</v>
          </cell>
          <cell r="E2679">
            <v>2310.88</v>
          </cell>
          <cell r="F2679" t="str">
            <v>P03</v>
          </cell>
          <cell r="G2679" t="str">
            <v xml:space="preserve">Top panel  - Ván nóc </v>
          </cell>
          <cell r="H2679" t="str">
            <v>MDF Veneer</v>
          </cell>
          <cell r="I2679">
            <v>4</v>
          </cell>
        </row>
        <row r="2680">
          <cell r="A2680" t="str">
            <v>B557837/A</v>
          </cell>
          <cell r="B2680" t="str">
            <v>CZ130M09</v>
          </cell>
          <cell r="C2680">
            <v>4</v>
          </cell>
          <cell r="D2680">
            <v>577.72</v>
          </cell>
          <cell r="E2680">
            <v>2310.88</v>
          </cell>
          <cell r="F2680" t="str">
            <v>P06</v>
          </cell>
          <cell r="G2680" t="str">
            <v>Adjustable Shelf  - Kệ di động</v>
          </cell>
          <cell r="H2680" t="str">
            <v>Pre-Assembly</v>
          </cell>
          <cell r="I2680">
            <v>4</v>
          </cell>
        </row>
        <row r="2681">
          <cell r="A2681" t="str">
            <v>B557837/A</v>
          </cell>
          <cell r="B2681" t="str">
            <v>CZ130M09</v>
          </cell>
          <cell r="C2681">
            <v>4</v>
          </cell>
          <cell r="D2681">
            <v>577.72</v>
          </cell>
          <cell r="E2681">
            <v>2310.88</v>
          </cell>
          <cell r="F2681" t="str">
            <v>P06-1</v>
          </cell>
          <cell r="G2681" t="str">
            <v>Adjustable Shelf  - Kệ di động</v>
          </cell>
          <cell r="H2681" t="str">
            <v>MDF Veneer</v>
          </cell>
          <cell r="I2681">
            <v>4</v>
          </cell>
        </row>
        <row r="2682">
          <cell r="A2682" t="str">
            <v>B557837/A</v>
          </cell>
          <cell r="B2682" t="str">
            <v>CZ130M09</v>
          </cell>
          <cell r="C2682">
            <v>4</v>
          </cell>
          <cell r="D2682">
            <v>577.72</v>
          </cell>
          <cell r="E2682">
            <v>2310.88</v>
          </cell>
          <cell r="F2682" t="str">
            <v>P06-2</v>
          </cell>
          <cell r="G2682" t="str">
            <v>Adjustable Shelf  - Kệ di động</v>
          </cell>
          <cell r="H2682" t="str">
            <v>Standard Wood - ALDER/ASPEN/LENGA/US POPLAR, 2 COM - T25 W120mm+ L2m+</v>
          </cell>
          <cell r="I2682">
            <v>4</v>
          </cell>
        </row>
        <row r="2683">
          <cell r="A2683" t="str">
            <v>B557837/A</v>
          </cell>
          <cell r="B2683" t="str">
            <v>CZ130M09</v>
          </cell>
          <cell r="C2683">
            <v>4</v>
          </cell>
          <cell r="D2683">
            <v>577.72</v>
          </cell>
          <cell r="E2683">
            <v>2310.88</v>
          </cell>
          <cell r="F2683" t="str">
            <v>P07</v>
          </cell>
          <cell r="G2683" t="str">
            <v>Back panel - Ván hậu</v>
          </cell>
          <cell r="H2683" t="str">
            <v>MDF Veneer</v>
          </cell>
          <cell r="I2683">
            <v>4</v>
          </cell>
        </row>
        <row r="2684">
          <cell r="A2684" t="str">
            <v>B557837/A</v>
          </cell>
          <cell r="B2684" t="str">
            <v>CZ130M09</v>
          </cell>
          <cell r="C2684">
            <v>4</v>
          </cell>
          <cell r="D2684">
            <v>577.72</v>
          </cell>
          <cell r="E2684">
            <v>2310.88</v>
          </cell>
          <cell r="F2684" t="str">
            <v>P08</v>
          </cell>
          <cell r="G2684" t="str">
            <v>Corner block - ke góc</v>
          </cell>
          <cell r="H2684" t="str">
            <v>Poplar off cut</v>
          </cell>
          <cell r="I2684">
            <v>8</v>
          </cell>
        </row>
        <row r="2685">
          <cell r="A2685" t="str">
            <v>B557837/A</v>
          </cell>
          <cell r="B2685" t="str">
            <v>CZ130M09</v>
          </cell>
          <cell r="C2685">
            <v>4</v>
          </cell>
          <cell r="D2685">
            <v>577.72</v>
          </cell>
          <cell r="E2685">
            <v>2310.88</v>
          </cell>
          <cell r="F2685" t="str">
            <v>P09</v>
          </cell>
          <cell r="G2685" t="str">
            <v>Corner block - ke góc</v>
          </cell>
          <cell r="H2685" t="str">
            <v>Poplar off cut</v>
          </cell>
          <cell r="I2685">
            <v>8</v>
          </cell>
        </row>
        <row r="2686">
          <cell r="A2686" t="str">
            <v>B557837/A</v>
          </cell>
          <cell r="B2686" t="str">
            <v>CZ130M09</v>
          </cell>
          <cell r="C2686">
            <v>4</v>
          </cell>
          <cell r="D2686">
            <v>577.72</v>
          </cell>
          <cell r="E2686">
            <v>2310.88</v>
          </cell>
          <cell r="F2686" t="str">
            <v>P10</v>
          </cell>
          <cell r="G2686" t="str">
            <v>Bottom panel - Ván đáy</v>
          </cell>
          <cell r="H2686" t="str">
            <v>Cement Board - 20 x 1220 x 2440mm, Dark Grey</v>
          </cell>
          <cell r="I2686">
            <v>4</v>
          </cell>
        </row>
        <row r="2687">
          <cell r="A2687" t="str">
            <v>B557837/A</v>
          </cell>
          <cell r="B2687" t="str">
            <v>CZ130M09</v>
          </cell>
          <cell r="C2687">
            <v>4</v>
          </cell>
          <cell r="D2687">
            <v>577.72</v>
          </cell>
          <cell r="E2687">
            <v>2310.88</v>
          </cell>
          <cell r="F2687" t="str">
            <v>P12</v>
          </cell>
          <cell r="G2687" t="str">
            <v>Corner block - ke góc</v>
          </cell>
          <cell r="H2687" t="str">
            <v>Poplar off cut</v>
          </cell>
          <cell r="I2687">
            <v>8</v>
          </cell>
        </row>
        <row r="2688">
          <cell r="A2688" t="str">
            <v>B557837/A</v>
          </cell>
          <cell r="B2688" t="str">
            <v>CZ130M09</v>
          </cell>
          <cell r="C2688">
            <v>4</v>
          </cell>
          <cell r="D2688">
            <v>577.72</v>
          </cell>
          <cell r="E2688">
            <v>2310.88</v>
          </cell>
          <cell r="F2688" t="str">
            <v>P13</v>
          </cell>
          <cell r="G2688" t="str">
            <v>Spline - Lưỡi gà</v>
          </cell>
          <cell r="H2688" t="str">
            <v>Plywood LVD - 06 x 1220 x 2440mm, Bleached Poplar Veneer Both Sides [CARB P2 Compliant]</v>
          </cell>
          <cell r="I2688">
            <v>8</v>
          </cell>
        </row>
        <row r="2689">
          <cell r="A2689" t="str">
            <v>B557837/A</v>
          </cell>
          <cell r="B2689" t="str">
            <v>CZ130M09</v>
          </cell>
          <cell r="C2689">
            <v>4</v>
          </cell>
          <cell r="D2689">
            <v>577.72</v>
          </cell>
          <cell r="E2689">
            <v>2310.88</v>
          </cell>
          <cell r="F2689" t="str">
            <v>P14</v>
          </cell>
          <cell r="G2689" t="str">
            <v>Spline - Lưỡi gà</v>
          </cell>
          <cell r="H2689" t="str">
            <v>Plywood LVD - 06 x 1220 x 2440mm, Bleached Poplar Veneer Both Sides [CARB P2 Compliant]</v>
          </cell>
          <cell r="I2689">
            <v>4</v>
          </cell>
        </row>
        <row r="2690">
          <cell r="A2690" t="str">
            <v>B557837/A</v>
          </cell>
          <cell r="B2690" t="str">
            <v>CZ130M09</v>
          </cell>
          <cell r="C2690">
            <v>4</v>
          </cell>
          <cell r="D2690">
            <v>577.72</v>
          </cell>
          <cell r="E2690">
            <v>2310.88</v>
          </cell>
          <cell r="F2690" t="str">
            <v>P16</v>
          </cell>
          <cell r="G2690" t="str">
            <v>Patching wood - Gỗ đắp</v>
          </cell>
          <cell r="H2690" t="str">
            <v>wood off cut</v>
          </cell>
          <cell r="I2690">
            <v>8</v>
          </cell>
        </row>
        <row r="2691">
          <cell r="A2691" t="str">
            <v>B557837/A</v>
          </cell>
          <cell r="B2691" t="str">
            <v>CZ130M09</v>
          </cell>
          <cell r="C2691">
            <v>4</v>
          </cell>
          <cell r="D2691">
            <v>577.72</v>
          </cell>
          <cell r="E2691">
            <v>2310.88</v>
          </cell>
          <cell r="F2691" t="str">
            <v>P17</v>
          </cell>
          <cell r="G2691" t="str">
            <v>Cleat - Bọ gỗ</v>
          </cell>
          <cell r="H2691" t="str">
            <v>TRAM OFF CUT</v>
          </cell>
          <cell r="I2691">
            <v>8</v>
          </cell>
        </row>
        <row r="2692">
          <cell r="A2692" t="str">
            <v>B557840/A</v>
          </cell>
          <cell r="B2692" t="str">
            <v>CZ130M190</v>
          </cell>
          <cell r="C2692">
            <v>2</v>
          </cell>
          <cell r="D2692">
            <v>577.72</v>
          </cell>
          <cell r="E2692">
            <v>1155.44</v>
          </cell>
          <cell r="F2692" t="str">
            <v>A1-S1</v>
          </cell>
          <cell r="G2692" t="str">
            <v>Front leg  - Chần tiền</v>
          </cell>
          <cell r="H2692" t="str">
            <v>Pre-Assembly</v>
          </cell>
          <cell r="I2692">
            <v>4</v>
          </cell>
        </row>
        <row r="2693">
          <cell r="A2693" t="str">
            <v>B557840/A</v>
          </cell>
          <cell r="B2693" t="str">
            <v>CZ130M190</v>
          </cell>
          <cell r="C2693">
            <v>2</v>
          </cell>
          <cell r="D2693">
            <v>577.72</v>
          </cell>
          <cell r="E2693">
            <v>1155.44</v>
          </cell>
          <cell r="F2693" t="str">
            <v>A1-S1-1</v>
          </cell>
          <cell r="G2693" t="str">
            <v>Front leg  - Chần tiền</v>
          </cell>
          <cell r="H2693" t="str">
            <v>Wood - Maple 1 COM</v>
          </cell>
          <cell r="I2693">
            <v>4</v>
          </cell>
        </row>
        <row r="2694">
          <cell r="A2694" t="str">
            <v>B557840/A</v>
          </cell>
          <cell r="B2694" t="str">
            <v>CZ130M190</v>
          </cell>
          <cell r="C2694">
            <v>2</v>
          </cell>
          <cell r="D2694">
            <v>577.72</v>
          </cell>
          <cell r="E2694">
            <v>1155.44</v>
          </cell>
          <cell r="F2694" t="str">
            <v>A1-S1-2</v>
          </cell>
          <cell r="G2694" t="str">
            <v>Wood laminater - Gỗ ghép 1</v>
          </cell>
          <cell r="H2694" t="str">
            <v>TRAM OFF CUT</v>
          </cell>
          <cell r="I2694">
            <v>4</v>
          </cell>
        </row>
        <row r="2695">
          <cell r="A2695" t="str">
            <v>B557840/A</v>
          </cell>
          <cell r="B2695" t="str">
            <v>CZ130M190</v>
          </cell>
          <cell r="C2695">
            <v>2</v>
          </cell>
          <cell r="D2695">
            <v>577.72</v>
          </cell>
          <cell r="E2695">
            <v>1155.44</v>
          </cell>
          <cell r="F2695" t="str">
            <v>A1-S2</v>
          </cell>
          <cell r="G2695" t="str">
            <v>Back leg - Chân hậu</v>
          </cell>
          <cell r="H2695" t="str">
            <v>Beech 2 COM</v>
          </cell>
          <cell r="I2695">
            <v>4</v>
          </cell>
        </row>
        <row r="2696">
          <cell r="A2696" t="str">
            <v>B557840/A</v>
          </cell>
          <cell r="B2696" t="str">
            <v>CZ130M190</v>
          </cell>
          <cell r="C2696">
            <v>2</v>
          </cell>
          <cell r="D2696">
            <v>577.72</v>
          </cell>
          <cell r="E2696">
            <v>1155.44</v>
          </cell>
          <cell r="F2696" t="str">
            <v>A1-S3</v>
          </cell>
          <cell r="G2696" t="str">
            <v xml:space="preserve">Side panel  - Ván hông </v>
          </cell>
          <cell r="H2696" t="str">
            <v>MDF Veneer</v>
          </cell>
          <cell r="I2696">
            <v>4</v>
          </cell>
        </row>
        <row r="2697">
          <cell r="A2697" t="str">
            <v>B557840/A</v>
          </cell>
          <cell r="B2697" t="str">
            <v>CZ130M190</v>
          </cell>
          <cell r="C2697">
            <v>2</v>
          </cell>
          <cell r="D2697">
            <v>577.72</v>
          </cell>
          <cell r="E2697">
            <v>1155.44</v>
          </cell>
          <cell r="F2697" t="str">
            <v>A1-S4</v>
          </cell>
          <cell r="G2697" t="str">
            <v xml:space="preserve">Side rail  - Đố hông </v>
          </cell>
          <cell r="H2697" t="str">
            <v>Wood Hard Maple - 1 COM, Sap and Better - T25mm x L2.0m up</v>
          </cell>
          <cell r="I2697">
            <v>4</v>
          </cell>
        </row>
        <row r="2698">
          <cell r="A2698" t="str">
            <v>B557840/A</v>
          </cell>
          <cell r="B2698" t="str">
            <v>CZ130M190</v>
          </cell>
          <cell r="C2698">
            <v>2</v>
          </cell>
          <cell r="D2698">
            <v>577.72</v>
          </cell>
          <cell r="E2698">
            <v>1155.44</v>
          </cell>
          <cell r="F2698" t="str">
            <v>A1-S5</v>
          </cell>
          <cell r="G2698" t="str">
            <v>Patching wood - Gỗ đắp</v>
          </cell>
          <cell r="H2698" t="str">
            <v>Wood Hard Maple - 1 COM, Sap and Better - T38mm x L2.0m up</v>
          </cell>
          <cell r="I2698">
            <v>4</v>
          </cell>
        </row>
        <row r="2699">
          <cell r="A2699" t="str">
            <v>B557840/A</v>
          </cell>
          <cell r="B2699" t="str">
            <v>CZ130M190</v>
          </cell>
          <cell r="C2699">
            <v>2</v>
          </cell>
          <cell r="D2699">
            <v>577.72</v>
          </cell>
          <cell r="E2699">
            <v>1155.44</v>
          </cell>
          <cell r="F2699" t="str">
            <v>A2-S1</v>
          </cell>
          <cell r="G2699" t="str">
            <v>Front Bottom Rail  - Đố đáy trước</v>
          </cell>
          <cell r="H2699" t="str">
            <v>Wd+VN</v>
          </cell>
          <cell r="I2699">
            <v>2</v>
          </cell>
        </row>
        <row r="2700">
          <cell r="A2700" t="str">
            <v>B557840/A</v>
          </cell>
          <cell r="B2700" t="str">
            <v>CZ130M190</v>
          </cell>
          <cell r="C2700">
            <v>2</v>
          </cell>
          <cell r="D2700">
            <v>577.72</v>
          </cell>
          <cell r="E2700">
            <v>1155.44</v>
          </cell>
          <cell r="F2700" t="str">
            <v>A2-S2</v>
          </cell>
          <cell r="G2700" t="str">
            <v>Back bottom rail - Đố hậu đáy</v>
          </cell>
          <cell r="H2700" t="str">
            <v>Wood US Poplar - Straight Edged, 2 COM - T38mm x W100mm Up x L1.8m Up</v>
          </cell>
          <cell r="I2700">
            <v>2</v>
          </cell>
        </row>
        <row r="2701">
          <cell r="A2701" t="str">
            <v>B557840/A</v>
          </cell>
          <cell r="B2701" t="str">
            <v>CZ130M190</v>
          </cell>
          <cell r="C2701">
            <v>2</v>
          </cell>
          <cell r="D2701">
            <v>577.72</v>
          </cell>
          <cell r="E2701">
            <v>1155.44</v>
          </cell>
          <cell r="F2701" t="str">
            <v>A2-S3</v>
          </cell>
          <cell r="G2701" t="str">
            <v>Bottom panel - Ván đáy</v>
          </cell>
          <cell r="H2701" t="str">
            <v>MDF Veneer</v>
          </cell>
          <cell r="I2701">
            <v>2</v>
          </cell>
        </row>
        <row r="2702">
          <cell r="A2702" t="str">
            <v>B557840/A</v>
          </cell>
          <cell r="B2702" t="str">
            <v>CZ130M190</v>
          </cell>
          <cell r="C2702">
            <v>2</v>
          </cell>
          <cell r="D2702">
            <v>577.72</v>
          </cell>
          <cell r="E2702">
            <v>1155.44</v>
          </cell>
          <cell r="F2702" t="str">
            <v>A2-S4</v>
          </cell>
          <cell r="G2702" t="str">
            <v>Cleat - Bọ gỗ</v>
          </cell>
          <cell r="H2702" t="str">
            <v>Wood Rubber Laminate Board - 20 x 1220 x 2440mm, Veneer Poplar both Faces</v>
          </cell>
          <cell r="I2702">
            <v>4</v>
          </cell>
        </row>
        <row r="2703">
          <cell r="A2703" t="str">
            <v>B557840/A</v>
          </cell>
          <cell r="B2703" t="str">
            <v>CZ130M190</v>
          </cell>
          <cell r="C2703">
            <v>2</v>
          </cell>
          <cell r="D2703">
            <v>577.72</v>
          </cell>
          <cell r="E2703">
            <v>1155.44</v>
          </cell>
          <cell r="F2703" t="str">
            <v>A3-S3</v>
          </cell>
          <cell r="G2703" t="str">
            <v>Door panel  - Ván cửa</v>
          </cell>
          <cell r="H2703" t="str">
            <v>MDF Veneer</v>
          </cell>
          <cell r="I2703">
            <v>4</v>
          </cell>
        </row>
        <row r="2704">
          <cell r="A2704" t="str">
            <v>B557840/A</v>
          </cell>
          <cell r="B2704" t="str">
            <v>CZ130M190</v>
          </cell>
          <cell r="C2704">
            <v>2</v>
          </cell>
          <cell r="D2704">
            <v>577.72</v>
          </cell>
          <cell r="E2704">
            <v>1155.44</v>
          </cell>
          <cell r="F2704" t="str">
            <v>A3-S4</v>
          </cell>
          <cell r="G2704" t="str">
            <v>Patching moulding - Chỉ đắp</v>
          </cell>
          <cell r="H2704" t="str">
            <v>Wood Hard Maple - 1 COM, Sap and Better - T32mm x L2.0m up</v>
          </cell>
          <cell r="I2704">
            <v>4</v>
          </cell>
        </row>
        <row r="2705">
          <cell r="A2705" t="str">
            <v>B557840/A</v>
          </cell>
          <cell r="B2705" t="str">
            <v>CZ130M190</v>
          </cell>
          <cell r="C2705">
            <v>2</v>
          </cell>
          <cell r="D2705">
            <v>577.72</v>
          </cell>
          <cell r="E2705">
            <v>1155.44</v>
          </cell>
          <cell r="F2705" t="str">
            <v>A3-S5</v>
          </cell>
          <cell r="G2705" t="str">
            <v>Patching moulding - Chỉ đắp</v>
          </cell>
          <cell r="H2705" t="str">
            <v>Wood Hard Maple - 1 COM, Sap and Better - T32mm x L2.0m up</v>
          </cell>
          <cell r="I2705">
            <v>8</v>
          </cell>
        </row>
        <row r="2706">
          <cell r="A2706" t="str">
            <v>B557840/A</v>
          </cell>
          <cell r="B2706" t="str">
            <v>CZ130M190</v>
          </cell>
          <cell r="C2706">
            <v>2</v>
          </cell>
          <cell r="D2706">
            <v>577.72</v>
          </cell>
          <cell r="E2706">
            <v>1155.44</v>
          </cell>
          <cell r="F2706" t="str">
            <v>A3-S6</v>
          </cell>
          <cell r="G2706" t="str">
            <v>Patching moulding - Chỉ đắp</v>
          </cell>
          <cell r="H2706" t="str">
            <v>Wood Hard Maple - 1 COM, Sap and Better - T32mm x L2.0m up</v>
          </cell>
          <cell r="I2706">
            <v>8</v>
          </cell>
        </row>
        <row r="2707">
          <cell r="A2707" t="str">
            <v>B557840/A</v>
          </cell>
          <cell r="B2707" t="str">
            <v>CZ130M190</v>
          </cell>
          <cell r="C2707">
            <v>2</v>
          </cell>
          <cell r="D2707">
            <v>577.72</v>
          </cell>
          <cell r="E2707">
            <v>1155.44</v>
          </cell>
          <cell r="F2707" t="str">
            <v>A3-S7</v>
          </cell>
          <cell r="G2707" t="str">
            <v>Patching moulding - Chỉ đắp</v>
          </cell>
          <cell r="H2707" t="str">
            <v>Wood Hard Maple - 1 COM, Sap and Better - T32mm x L2.0m up</v>
          </cell>
          <cell r="I2707">
            <v>4</v>
          </cell>
        </row>
        <row r="2708">
          <cell r="A2708" t="str">
            <v>B557840/A</v>
          </cell>
          <cell r="B2708" t="str">
            <v>CZ130M190</v>
          </cell>
          <cell r="C2708">
            <v>2</v>
          </cell>
          <cell r="D2708">
            <v>577.72</v>
          </cell>
          <cell r="E2708">
            <v>1155.44</v>
          </cell>
          <cell r="F2708" t="str">
            <v>A3-S8</v>
          </cell>
          <cell r="G2708" t="str">
            <v>Insert Wood - Gỗ chèn</v>
          </cell>
          <cell r="H2708" t="str">
            <v>Poplar off cut</v>
          </cell>
          <cell r="I2708">
            <v>8</v>
          </cell>
        </row>
        <row r="2709">
          <cell r="A2709" t="str">
            <v>B557840/A</v>
          </cell>
          <cell r="B2709" t="str">
            <v>CZ130M190</v>
          </cell>
          <cell r="C2709">
            <v>2</v>
          </cell>
          <cell r="D2709">
            <v>577.72</v>
          </cell>
          <cell r="E2709">
            <v>1155.44</v>
          </cell>
          <cell r="F2709" t="str">
            <v>P01</v>
          </cell>
          <cell r="G2709" t="str">
            <v>Front top rail  - Đố tiền nóc</v>
          </cell>
          <cell r="H2709" t="str">
            <v>Wood laminate</v>
          </cell>
          <cell r="I2709">
            <v>2</v>
          </cell>
        </row>
        <row r="2710">
          <cell r="A2710" t="str">
            <v>B557840/A</v>
          </cell>
          <cell r="B2710" t="str">
            <v>CZ130M190</v>
          </cell>
          <cell r="C2710">
            <v>2</v>
          </cell>
          <cell r="D2710">
            <v>577.72</v>
          </cell>
          <cell r="E2710">
            <v>1155.44</v>
          </cell>
          <cell r="F2710" t="str">
            <v>P02</v>
          </cell>
          <cell r="G2710" t="str">
            <v>Back top rail - Đố hậu nóc</v>
          </cell>
          <cell r="H2710" t="str">
            <v>Wood Hard Maple - 1 COM, Sap and Better - T25mm x L2.0m up</v>
          </cell>
          <cell r="I2710">
            <v>2</v>
          </cell>
        </row>
        <row r="2711">
          <cell r="A2711" t="str">
            <v>B557840/A</v>
          </cell>
          <cell r="B2711" t="str">
            <v>CZ130M190</v>
          </cell>
          <cell r="C2711">
            <v>2</v>
          </cell>
          <cell r="D2711">
            <v>577.72</v>
          </cell>
          <cell r="E2711">
            <v>1155.44</v>
          </cell>
          <cell r="F2711" t="str">
            <v>P03</v>
          </cell>
          <cell r="G2711" t="str">
            <v xml:space="preserve">Top panel  - Ván nóc </v>
          </cell>
          <cell r="H2711" t="str">
            <v>MDF Veneer</v>
          </cell>
          <cell r="I2711">
            <v>2</v>
          </cell>
        </row>
        <row r="2712">
          <cell r="A2712" t="str">
            <v>B557840/A</v>
          </cell>
          <cell r="B2712" t="str">
            <v>CZ130M190</v>
          </cell>
          <cell r="C2712">
            <v>2</v>
          </cell>
          <cell r="D2712">
            <v>577.72</v>
          </cell>
          <cell r="E2712">
            <v>1155.44</v>
          </cell>
          <cell r="F2712" t="str">
            <v>P06</v>
          </cell>
          <cell r="G2712" t="str">
            <v>Adjustable Shelf  - Kệ di động</v>
          </cell>
          <cell r="H2712" t="str">
            <v>Pre-Assembly</v>
          </cell>
          <cell r="I2712">
            <v>2</v>
          </cell>
        </row>
        <row r="2713">
          <cell r="A2713" t="str">
            <v>B557840/A</v>
          </cell>
          <cell r="B2713" t="str">
            <v>CZ130M190</v>
          </cell>
          <cell r="C2713">
            <v>2</v>
          </cell>
          <cell r="D2713">
            <v>577.72</v>
          </cell>
          <cell r="E2713">
            <v>1155.44</v>
          </cell>
          <cell r="F2713" t="str">
            <v>P06-1</v>
          </cell>
          <cell r="G2713" t="str">
            <v>Adjustable Shelf  - Kệ di động</v>
          </cell>
          <cell r="H2713" t="str">
            <v>MDF Veneer</v>
          </cell>
          <cell r="I2713">
            <v>2</v>
          </cell>
        </row>
        <row r="2714">
          <cell r="A2714" t="str">
            <v>B557840/A</v>
          </cell>
          <cell r="B2714" t="str">
            <v>CZ130M190</v>
          </cell>
          <cell r="C2714">
            <v>2</v>
          </cell>
          <cell r="D2714">
            <v>577.72</v>
          </cell>
          <cell r="E2714">
            <v>1155.44</v>
          </cell>
          <cell r="F2714" t="str">
            <v>P06-2</v>
          </cell>
          <cell r="G2714" t="str">
            <v>Adjustable Shelf  - Kệ di động</v>
          </cell>
          <cell r="H2714" t="str">
            <v>Wood Hard Maple - 1 COM, Sap and Better - T25mm x L2.0m up</v>
          </cell>
          <cell r="I2714">
            <v>2</v>
          </cell>
        </row>
        <row r="2715">
          <cell r="A2715" t="str">
            <v>B557840/A</v>
          </cell>
          <cell r="B2715" t="str">
            <v>CZ130M190</v>
          </cell>
          <cell r="C2715">
            <v>2</v>
          </cell>
          <cell r="D2715">
            <v>577.72</v>
          </cell>
          <cell r="E2715">
            <v>1155.44</v>
          </cell>
          <cell r="F2715" t="str">
            <v>P07</v>
          </cell>
          <cell r="G2715" t="str">
            <v>Back panel - Ván hậu</v>
          </cell>
          <cell r="H2715" t="str">
            <v>MDF Veneer</v>
          </cell>
          <cell r="I2715">
            <v>2</v>
          </cell>
        </row>
        <row r="2716">
          <cell r="A2716" t="str">
            <v>B557840/A</v>
          </cell>
          <cell r="B2716" t="str">
            <v>CZ130M190</v>
          </cell>
          <cell r="C2716">
            <v>2</v>
          </cell>
          <cell r="D2716">
            <v>577.72</v>
          </cell>
          <cell r="E2716">
            <v>1155.44</v>
          </cell>
          <cell r="F2716" t="str">
            <v>P08</v>
          </cell>
          <cell r="G2716" t="str">
            <v>Corner block - ke góc</v>
          </cell>
          <cell r="H2716" t="str">
            <v>Poplar off cut</v>
          </cell>
          <cell r="I2716">
            <v>4</v>
          </cell>
        </row>
        <row r="2717">
          <cell r="A2717" t="str">
            <v>B557840/A</v>
          </cell>
          <cell r="B2717" t="str">
            <v>CZ130M190</v>
          </cell>
          <cell r="C2717">
            <v>2</v>
          </cell>
          <cell r="D2717">
            <v>577.72</v>
          </cell>
          <cell r="E2717">
            <v>1155.44</v>
          </cell>
          <cell r="F2717" t="str">
            <v>P09</v>
          </cell>
          <cell r="G2717" t="str">
            <v>Cleat - Bọ gỗ</v>
          </cell>
          <cell r="H2717" t="str">
            <v>Poplar off cut</v>
          </cell>
          <cell r="I2717">
            <v>4</v>
          </cell>
        </row>
        <row r="2718">
          <cell r="A2718" t="str">
            <v>B557840/A</v>
          </cell>
          <cell r="B2718" t="str">
            <v>CZ130M190</v>
          </cell>
          <cell r="C2718">
            <v>2</v>
          </cell>
          <cell r="D2718">
            <v>577.72</v>
          </cell>
          <cell r="E2718">
            <v>1155.44</v>
          </cell>
          <cell r="F2718" t="str">
            <v>P10</v>
          </cell>
          <cell r="G2718" t="str">
            <v>Bottom panel - Ván đáy</v>
          </cell>
          <cell r="H2718" t="str">
            <v>Cement Board - 20 x 1220 x 2440mm, Dark Grey</v>
          </cell>
          <cell r="I2718">
            <v>2</v>
          </cell>
        </row>
        <row r="2719">
          <cell r="A2719" t="str">
            <v>B557840/A</v>
          </cell>
          <cell r="B2719" t="str">
            <v>CZ130M190</v>
          </cell>
          <cell r="C2719">
            <v>2</v>
          </cell>
          <cell r="D2719">
            <v>577.72</v>
          </cell>
          <cell r="E2719">
            <v>1155.44</v>
          </cell>
          <cell r="F2719" t="str">
            <v>P12</v>
          </cell>
          <cell r="G2719" t="str">
            <v>Corner block - ke góc</v>
          </cell>
          <cell r="H2719" t="str">
            <v>Poplar off cut</v>
          </cell>
          <cell r="I2719">
            <v>4</v>
          </cell>
        </row>
        <row r="2720">
          <cell r="A2720" t="str">
            <v>B557840/A</v>
          </cell>
          <cell r="B2720" t="str">
            <v>CZ130M190</v>
          </cell>
          <cell r="C2720">
            <v>2</v>
          </cell>
          <cell r="D2720">
            <v>577.72</v>
          </cell>
          <cell r="E2720">
            <v>1155.44</v>
          </cell>
          <cell r="F2720" t="str">
            <v>P13</v>
          </cell>
          <cell r="G2720" t="str">
            <v>Spline - Lưỡi gà</v>
          </cell>
          <cell r="H2720" t="str">
            <v>Plywood LVD - 06 x 1220 x 2440mm, Bleached Poplar Veneer Both Sides [CARB P2 Compliant]</v>
          </cell>
          <cell r="I2720">
            <v>4</v>
          </cell>
        </row>
        <row r="2721">
          <cell r="A2721" t="str">
            <v>B557840/A</v>
          </cell>
          <cell r="B2721" t="str">
            <v>CZ130M190</v>
          </cell>
          <cell r="C2721">
            <v>2</v>
          </cell>
          <cell r="D2721">
            <v>577.72</v>
          </cell>
          <cell r="E2721">
            <v>1155.44</v>
          </cell>
          <cell r="F2721" t="str">
            <v>P14</v>
          </cell>
          <cell r="G2721" t="str">
            <v>Spline - Lưỡi gà</v>
          </cell>
          <cell r="H2721" t="str">
            <v>Plywood LVD - 06 x 1220 x 2440mm, Bleached Poplar Veneer Both Sides [CARB P2 Compliant]</v>
          </cell>
          <cell r="I2721">
            <v>2</v>
          </cell>
        </row>
        <row r="2722">
          <cell r="A2722" t="str">
            <v>B557840/A</v>
          </cell>
          <cell r="B2722" t="str">
            <v>CZ130M190</v>
          </cell>
          <cell r="C2722">
            <v>2</v>
          </cell>
          <cell r="D2722">
            <v>577.72</v>
          </cell>
          <cell r="E2722">
            <v>1155.44</v>
          </cell>
          <cell r="F2722" t="str">
            <v>P16</v>
          </cell>
          <cell r="G2722" t="str">
            <v>Patching wood - Gỗ đắp</v>
          </cell>
          <cell r="H2722" t="str">
            <v>Poplar off cut</v>
          </cell>
          <cell r="I2722">
            <v>4</v>
          </cell>
        </row>
        <row r="2723">
          <cell r="A2723" t="str">
            <v>B557840/A</v>
          </cell>
          <cell r="B2723" t="str">
            <v>CZ130M190</v>
          </cell>
          <cell r="C2723">
            <v>2</v>
          </cell>
          <cell r="D2723">
            <v>577.72</v>
          </cell>
          <cell r="E2723">
            <v>1155.44</v>
          </cell>
          <cell r="F2723" t="str">
            <v>P17</v>
          </cell>
          <cell r="G2723" t="str">
            <v>Cleat - Bọ gỗ</v>
          </cell>
          <cell r="H2723" t="str">
            <v>TRAM OFF CUT</v>
          </cell>
          <cell r="I2723">
            <v>4</v>
          </cell>
        </row>
        <row r="2724">
          <cell r="A2724" t="str">
            <v>B557841/A</v>
          </cell>
          <cell r="B2724" t="str">
            <v>CZ130M190</v>
          </cell>
          <cell r="C2724">
            <v>1</v>
          </cell>
          <cell r="D2724">
            <v>577.72</v>
          </cell>
          <cell r="E2724">
            <v>577.72</v>
          </cell>
          <cell r="F2724" t="str">
            <v>A1-S1</v>
          </cell>
          <cell r="G2724" t="str">
            <v>Front leg  - Chần tiền</v>
          </cell>
          <cell r="H2724" t="str">
            <v>Pre-Assembly</v>
          </cell>
          <cell r="I2724">
            <v>2</v>
          </cell>
        </row>
        <row r="2725">
          <cell r="A2725" t="str">
            <v>B557841/A</v>
          </cell>
          <cell r="B2725" t="str">
            <v>CZ130M190</v>
          </cell>
          <cell r="C2725">
            <v>1</v>
          </cell>
          <cell r="D2725">
            <v>577.72</v>
          </cell>
          <cell r="E2725">
            <v>577.72</v>
          </cell>
          <cell r="F2725" t="str">
            <v>A1-S1-1</v>
          </cell>
          <cell r="G2725" t="str">
            <v>Front leg  - Chần tiền</v>
          </cell>
          <cell r="H2725" t="str">
            <v>Wood - Maple 1 COM</v>
          </cell>
          <cell r="I2725">
            <v>2</v>
          </cell>
        </row>
        <row r="2726">
          <cell r="A2726" t="str">
            <v>B557841/A</v>
          </cell>
          <cell r="B2726" t="str">
            <v>CZ130M190</v>
          </cell>
          <cell r="C2726">
            <v>1</v>
          </cell>
          <cell r="D2726">
            <v>577.72</v>
          </cell>
          <cell r="E2726">
            <v>577.72</v>
          </cell>
          <cell r="F2726" t="str">
            <v>A1-S1-2</v>
          </cell>
          <cell r="G2726" t="str">
            <v>Wood laminater - Gỗ ghép 1</v>
          </cell>
          <cell r="H2726" t="str">
            <v>TRAM OFF CUT</v>
          </cell>
          <cell r="I2726">
            <v>2</v>
          </cell>
        </row>
        <row r="2727">
          <cell r="A2727" t="str">
            <v>B557841/A</v>
          </cell>
          <cell r="B2727" t="str">
            <v>CZ130M190</v>
          </cell>
          <cell r="C2727">
            <v>1</v>
          </cell>
          <cell r="D2727">
            <v>577.72</v>
          </cell>
          <cell r="E2727">
            <v>577.72</v>
          </cell>
          <cell r="F2727" t="str">
            <v>A1-S2</v>
          </cell>
          <cell r="G2727" t="str">
            <v>Back leg - Chân hậu</v>
          </cell>
          <cell r="H2727" t="str">
            <v>Beech 2 COM</v>
          </cell>
          <cell r="I2727">
            <v>2</v>
          </cell>
        </row>
        <row r="2728">
          <cell r="A2728" t="str">
            <v>B557841/A</v>
          </cell>
          <cell r="B2728" t="str">
            <v>CZ130M190</v>
          </cell>
          <cell r="C2728">
            <v>1</v>
          </cell>
          <cell r="D2728">
            <v>577.72</v>
          </cell>
          <cell r="E2728">
            <v>577.72</v>
          </cell>
          <cell r="F2728" t="str">
            <v>A1-S3</v>
          </cell>
          <cell r="G2728" t="str">
            <v xml:space="preserve">Side panel  - Ván hông </v>
          </cell>
          <cell r="H2728" t="str">
            <v>MDF Veneer</v>
          </cell>
          <cell r="I2728">
            <v>2</v>
          </cell>
        </row>
        <row r="2729">
          <cell r="A2729" t="str">
            <v>B557841/A</v>
          </cell>
          <cell r="B2729" t="str">
            <v>CZ130M190</v>
          </cell>
          <cell r="C2729">
            <v>1</v>
          </cell>
          <cell r="D2729">
            <v>577.72</v>
          </cell>
          <cell r="E2729">
            <v>577.72</v>
          </cell>
          <cell r="F2729" t="str">
            <v>A1-S4</v>
          </cell>
          <cell r="G2729" t="str">
            <v xml:space="preserve">Side rail  - Đố hông </v>
          </cell>
          <cell r="H2729" t="str">
            <v>Wood Hard Maple - 1 COM, Sap and Better - T25mm x L2.0m up</v>
          </cell>
          <cell r="I2729">
            <v>2</v>
          </cell>
        </row>
        <row r="2730">
          <cell r="A2730" t="str">
            <v>B557841/A</v>
          </cell>
          <cell r="B2730" t="str">
            <v>CZ130M190</v>
          </cell>
          <cell r="C2730">
            <v>1</v>
          </cell>
          <cell r="D2730">
            <v>577.72</v>
          </cell>
          <cell r="E2730">
            <v>577.72</v>
          </cell>
          <cell r="F2730" t="str">
            <v>A1-S5</v>
          </cell>
          <cell r="G2730" t="str">
            <v>Patching wood - Gỗ đắp</v>
          </cell>
          <cell r="H2730" t="str">
            <v>Wood Hard Maple - 1 COM, Sap and Better - T38mm x L2.0m up</v>
          </cell>
          <cell r="I2730">
            <v>2</v>
          </cell>
        </row>
        <row r="2731">
          <cell r="A2731" t="str">
            <v>B557841/A</v>
          </cell>
          <cell r="B2731" t="str">
            <v>CZ130M190</v>
          </cell>
          <cell r="C2731">
            <v>1</v>
          </cell>
          <cell r="D2731">
            <v>577.72</v>
          </cell>
          <cell r="E2731">
            <v>577.72</v>
          </cell>
          <cell r="F2731" t="str">
            <v>A2-S1</v>
          </cell>
          <cell r="G2731" t="str">
            <v>Front Bottom Rail  - Đố đáy trước</v>
          </cell>
          <cell r="H2731" t="str">
            <v>Wd+VN</v>
          </cell>
          <cell r="I2731">
            <v>1</v>
          </cell>
        </row>
        <row r="2732">
          <cell r="A2732" t="str">
            <v>B557841/A</v>
          </cell>
          <cell r="B2732" t="str">
            <v>CZ130M190</v>
          </cell>
          <cell r="C2732">
            <v>1</v>
          </cell>
          <cell r="D2732">
            <v>577.72</v>
          </cell>
          <cell r="E2732">
            <v>577.72</v>
          </cell>
          <cell r="F2732" t="str">
            <v>A2-S2</v>
          </cell>
          <cell r="G2732" t="str">
            <v>Back bottom rail - Đố hậu đáy</v>
          </cell>
          <cell r="H2732" t="str">
            <v>Wood US Poplar - Straight Edged, 2 COM - T38mm x W100mm Up x L1.8m Up</v>
          </cell>
          <cell r="I2732">
            <v>1</v>
          </cell>
        </row>
        <row r="2733">
          <cell r="A2733" t="str">
            <v>B557841/A</v>
          </cell>
          <cell r="B2733" t="str">
            <v>CZ130M190</v>
          </cell>
          <cell r="C2733">
            <v>1</v>
          </cell>
          <cell r="D2733">
            <v>577.72</v>
          </cell>
          <cell r="E2733">
            <v>577.72</v>
          </cell>
          <cell r="F2733" t="str">
            <v>A2-S3</v>
          </cell>
          <cell r="G2733" t="str">
            <v>Bottom panel - Ván đáy</v>
          </cell>
          <cell r="H2733" t="str">
            <v>MDF Veneer</v>
          </cell>
          <cell r="I2733">
            <v>1</v>
          </cell>
        </row>
        <row r="2734">
          <cell r="A2734" t="str">
            <v>B557841/A</v>
          </cell>
          <cell r="B2734" t="str">
            <v>CZ130M190</v>
          </cell>
          <cell r="C2734">
            <v>1</v>
          </cell>
          <cell r="D2734">
            <v>577.72</v>
          </cell>
          <cell r="E2734">
            <v>577.72</v>
          </cell>
          <cell r="F2734" t="str">
            <v>A2-S4</v>
          </cell>
          <cell r="G2734" t="str">
            <v>Cleat - Bọ gỗ</v>
          </cell>
          <cell r="H2734" t="str">
            <v>Wood Rubber Laminate Board - 20 x 1220 x 2440mm, Veneer Poplar both Faces</v>
          </cell>
          <cell r="I2734">
            <v>2</v>
          </cell>
        </row>
        <row r="2735">
          <cell r="A2735" t="str">
            <v>B557841/A</v>
          </cell>
          <cell r="B2735" t="str">
            <v>CZ130M190</v>
          </cell>
          <cell r="C2735">
            <v>1</v>
          </cell>
          <cell r="D2735">
            <v>577.72</v>
          </cell>
          <cell r="E2735">
            <v>577.72</v>
          </cell>
          <cell r="F2735" t="str">
            <v>A3-S3</v>
          </cell>
          <cell r="G2735" t="str">
            <v>Door panel  - Ván cửa</v>
          </cell>
          <cell r="H2735" t="str">
            <v>MDF Veneer</v>
          </cell>
          <cell r="I2735">
            <v>2</v>
          </cell>
        </row>
        <row r="2736">
          <cell r="A2736" t="str">
            <v>B557841/A</v>
          </cell>
          <cell r="B2736" t="str">
            <v>CZ130M190</v>
          </cell>
          <cell r="C2736">
            <v>1</v>
          </cell>
          <cell r="D2736">
            <v>577.72</v>
          </cell>
          <cell r="E2736">
            <v>577.72</v>
          </cell>
          <cell r="F2736" t="str">
            <v>A3-S4</v>
          </cell>
          <cell r="G2736" t="str">
            <v>Patching moulding - Chỉ đắp</v>
          </cell>
          <cell r="H2736" t="str">
            <v>Wood Hard Maple - 1 COM, Sap and Better - T32mm x L2.0m up</v>
          </cell>
          <cell r="I2736">
            <v>2</v>
          </cell>
        </row>
        <row r="2737">
          <cell r="A2737" t="str">
            <v>B557841/A</v>
          </cell>
          <cell r="B2737" t="str">
            <v>CZ130M190</v>
          </cell>
          <cell r="C2737">
            <v>1</v>
          </cell>
          <cell r="D2737">
            <v>577.72</v>
          </cell>
          <cell r="E2737">
            <v>577.72</v>
          </cell>
          <cell r="F2737" t="str">
            <v>A3-S5</v>
          </cell>
          <cell r="G2737" t="str">
            <v>Patching moulding - Chỉ đắp</v>
          </cell>
          <cell r="H2737" t="str">
            <v>Wood Hard Maple - 1 COM, Sap and Better - T32mm x L2.0m up</v>
          </cell>
          <cell r="I2737">
            <v>4</v>
          </cell>
        </row>
        <row r="2738">
          <cell r="A2738" t="str">
            <v>B557841/A</v>
          </cell>
          <cell r="B2738" t="str">
            <v>CZ130M190</v>
          </cell>
          <cell r="C2738">
            <v>1</v>
          </cell>
          <cell r="D2738">
            <v>577.72</v>
          </cell>
          <cell r="E2738">
            <v>577.72</v>
          </cell>
          <cell r="F2738" t="str">
            <v>A3-S6</v>
          </cell>
          <cell r="G2738" t="str">
            <v>Patching moulding - Chỉ đắp</v>
          </cell>
          <cell r="H2738" t="str">
            <v>Wood Hard Maple - 1 COM, Sap and Better - T32mm x L2.0m up</v>
          </cell>
          <cell r="I2738">
            <v>4</v>
          </cell>
        </row>
        <row r="2739">
          <cell r="A2739" t="str">
            <v>B557841/A</v>
          </cell>
          <cell r="B2739" t="str">
            <v>CZ130M190</v>
          </cell>
          <cell r="C2739">
            <v>1</v>
          </cell>
          <cell r="D2739">
            <v>577.72</v>
          </cell>
          <cell r="E2739">
            <v>577.72</v>
          </cell>
          <cell r="F2739" t="str">
            <v>A3-S7</v>
          </cell>
          <cell r="G2739" t="str">
            <v>Patching moulding - Chỉ đắp</v>
          </cell>
          <cell r="H2739" t="str">
            <v>Wood Hard Maple - 1 COM, Sap and Better - T32mm x L2.0m up</v>
          </cell>
          <cell r="I2739">
            <v>2</v>
          </cell>
        </row>
        <row r="2740">
          <cell r="A2740" t="str">
            <v>B557841/A</v>
          </cell>
          <cell r="B2740" t="str">
            <v>CZ130M190</v>
          </cell>
          <cell r="C2740">
            <v>1</v>
          </cell>
          <cell r="D2740">
            <v>577.72</v>
          </cell>
          <cell r="E2740">
            <v>577.72</v>
          </cell>
          <cell r="F2740" t="str">
            <v>A3-S8</v>
          </cell>
          <cell r="G2740" t="str">
            <v>Insert Wood - Gỗ chèn</v>
          </cell>
          <cell r="H2740" t="str">
            <v>Poplar off cut</v>
          </cell>
          <cell r="I2740">
            <v>4</v>
          </cell>
        </row>
        <row r="2741">
          <cell r="A2741" t="str">
            <v>B557841/A</v>
          </cell>
          <cell r="B2741" t="str">
            <v>CZ130M190</v>
          </cell>
          <cell r="C2741">
            <v>1</v>
          </cell>
          <cell r="D2741">
            <v>577.72</v>
          </cell>
          <cell r="E2741">
            <v>577.72</v>
          </cell>
          <cell r="F2741" t="str">
            <v>P01</v>
          </cell>
          <cell r="G2741" t="str">
            <v>Front top rail  - Đố tiền nóc</v>
          </cell>
          <cell r="H2741" t="str">
            <v>Wood laminate</v>
          </cell>
          <cell r="I2741">
            <v>1</v>
          </cell>
        </row>
        <row r="2742">
          <cell r="A2742" t="str">
            <v>B557841/A</v>
          </cell>
          <cell r="B2742" t="str">
            <v>CZ130M190</v>
          </cell>
          <cell r="C2742">
            <v>1</v>
          </cell>
          <cell r="D2742">
            <v>577.72</v>
          </cell>
          <cell r="E2742">
            <v>577.72</v>
          </cell>
          <cell r="F2742" t="str">
            <v>P02</v>
          </cell>
          <cell r="G2742" t="str">
            <v>Back top rail - Đố hậu nóc</v>
          </cell>
          <cell r="H2742" t="str">
            <v>Wood Hard Maple - 1 COM, Sap and Better - T25mm x L2.0m up</v>
          </cell>
          <cell r="I2742">
            <v>1</v>
          </cell>
        </row>
        <row r="2743">
          <cell r="A2743" t="str">
            <v>B557841/A</v>
          </cell>
          <cell r="B2743" t="str">
            <v>CZ130M190</v>
          </cell>
          <cell r="C2743">
            <v>1</v>
          </cell>
          <cell r="D2743">
            <v>577.72</v>
          </cell>
          <cell r="E2743">
            <v>577.72</v>
          </cell>
          <cell r="F2743" t="str">
            <v>P03</v>
          </cell>
          <cell r="G2743" t="str">
            <v xml:space="preserve">Top panel  - Ván nóc </v>
          </cell>
          <cell r="H2743" t="str">
            <v>MDF Veneer</v>
          </cell>
          <cell r="I2743">
            <v>1</v>
          </cell>
        </row>
        <row r="2744">
          <cell r="A2744" t="str">
            <v>B557841/A</v>
          </cell>
          <cell r="B2744" t="str">
            <v>CZ130M190</v>
          </cell>
          <cell r="C2744">
            <v>1</v>
          </cell>
          <cell r="D2744">
            <v>577.72</v>
          </cell>
          <cell r="E2744">
            <v>577.72</v>
          </cell>
          <cell r="F2744" t="str">
            <v>P06</v>
          </cell>
          <cell r="G2744" t="str">
            <v>Adjustable Shelf  - Kệ di động</v>
          </cell>
          <cell r="H2744" t="str">
            <v>Pre-Assembly</v>
          </cell>
          <cell r="I2744">
            <v>1</v>
          </cell>
        </row>
        <row r="2745">
          <cell r="A2745" t="str">
            <v>B557841/A</v>
          </cell>
          <cell r="B2745" t="str">
            <v>CZ130M190</v>
          </cell>
          <cell r="C2745">
            <v>1</v>
          </cell>
          <cell r="D2745">
            <v>577.72</v>
          </cell>
          <cell r="E2745">
            <v>577.72</v>
          </cell>
          <cell r="F2745" t="str">
            <v>P06-1</v>
          </cell>
          <cell r="G2745" t="str">
            <v>Adjustable Shelf  - Kệ di động</v>
          </cell>
          <cell r="H2745" t="str">
            <v>MDF Veneer</v>
          </cell>
          <cell r="I2745">
            <v>1</v>
          </cell>
        </row>
        <row r="2746">
          <cell r="A2746" t="str">
            <v>B557841/A</v>
          </cell>
          <cell r="B2746" t="str">
            <v>CZ130M190</v>
          </cell>
          <cell r="C2746">
            <v>1</v>
          </cell>
          <cell r="D2746">
            <v>577.72</v>
          </cell>
          <cell r="E2746">
            <v>577.72</v>
          </cell>
          <cell r="F2746" t="str">
            <v>P06-2</v>
          </cell>
          <cell r="G2746" t="str">
            <v>Adjustable Shelf  - Kệ di động</v>
          </cell>
          <cell r="H2746" t="str">
            <v>Wood Hard Maple - 1 COM, Sap and Better - T25mm x L2.0m up</v>
          </cell>
          <cell r="I2746">
            <v>1</v>
          </cell>
        </row>
        <row r="2747">
          <cell r="A2747" t="str">
            <v>B557841/A</v>
          </cell>
          <cell r="B2747" t="str">
            <v>CZ130M190</v>
          </cell>
          <cell r="C2747">
            <v>1</v>
          </cell>
          <cell r="D2747">
            <v>577.72</v>
          </cell>
          <cell r="E2747">
            <v>577.72</v>
          </cell>
          <cell r="F2747" t="str">
            <v>P07</v>
          </cell>
          <cell r="G2747" t="str">
            <v>Back panel - Ván hậu</v>
          </cell>
          <cell r="H2747" t="str">
            <v>MDF Veneer</v>
          </cell>
          <cell r="I2747">
            <v>1</v>
          </cell>
        </row>
        <row r="2748">
          <cell r="A2748" t="str">
            <v>B557841/A</v>
          </cell>
          <cell r="B2748" t="str">
            <v>CZ130M190</v>
          </cell>
          <cell r="C2748">
            <v>1</v>
          </cell>
          <cell r="D2748">
            <v>577.72</v>
          </cell>
          <cell r="E2748">
            <v>577.72</v>
          </cell>
          <cell r="F2748" t="str">
            <v>P08</v>
          </cell>
          <cell r="G2748" t="str">
            <v>Corner block - ke góc</v>
          </cell>
          <cell r="H2748" t="str">
            <v>Poplar off cut</v>
          </cell>
          <cell r="I2748">
            <v>2</v>
          </cell>
        </row>
        <row r="2749">
          <cell r="A2749" t="str">
            <v>B557841/A</v>
          </cell>
          <cell r="B2749" t="str">
            <v>CZ130M190</v>
          </cell>
          <cell r="C2749">
            <v>1</v>
          </cell>
          <cell r="D2749">
            <v>577.72</v>
          </cell>
          <cell r="E2749">
            <v>577.72</v>
          </cell>
          <cell r="F2749" t="str">
            <v>P09</v>
          </cell>
          <cell r="G2749" t="str">
            <v>Cleat - Bọ gỗ</v>
          </cell>
          <cell r="H2749" t="str">
            <v>Poplar off cut</v>
          </cell>
          <cell r="I2749">
            <v>2</v>
          </cell>
        </row>
        <row r="2750">
          <cell r="A2750" t="str">
            <v>B557841/A</v>
          </cell>
          <cell r="B2750" t="str">
            <v>CZ130M190</v>
          </cell>
          <cell r="C2750">
            <v>1</v>
          </cell>
          <cell r="D2750">
            <v>577.72</v>
          </cell>
          <cell r="E2750">
            <v>577.72</v>
          </cell>
          <cell r="F2750" t="str">
            <v>P10</v>
          </cell>
          <cell r="G2750" t="str">
            <v>Bottom panel - Ván đáy</v>
          </cell>
          <cell r="H2750" t="str">
            <v>Cement Board - 20 x 1220 x 2440mm, Dark Grey</v>
          </cell>
          <cell r="I2750">
            <v>1</v>
          </cell>
        </row>
        <row r="2751">
          <cell r="A2751" t="str">
            <v>B557841/A</v>
          </cell>
          <cell r="B2751" t="str">
            <v>CZ130M190</v>
          </cell>
          <cell r="C2751">
            <v>1</v>
          </cell>
          <cell r="D2751">
            <v>577.72</v>
          </cell>
          <cell r="E2751">
            <v>577.72</v>
          </cell>
          <cell r="F2751" t="str">
            <v>P12</v>
          </cell>
          <cell r="G2751" t="str">
            <v>Corner block - ke góc</v>
          </cell>
          <cell r="H2751" t="str">
            <v>Poplar off cut</v>
          </cell>
          <cell r="I2751">
            <v>2</v>
          </cell>
        </row>
        <row r="2752">
          <cell r="A2752" t="str">
            <v>B557841/A</v>
          </cell>
          <cell r="B2752" t="str">
            <v>CZ130M190</v>
          </cell>
          <cell r="C2752">
            <v>1</v>
          </cell>
          <cell r="D2752">
            <v>577.72</v>
          </cell>
          <cell r="E2752">
            <v>577.72</v>
          </cell>
          <cell r="F2752" t="str">
            <v>P13</v>
          </cell>
          <cell r="G2752" t="str">
            <v>Spline - Lưỡi gà</v>
          </cell>
          <cell r="H2752" t="str">
            <v>Plywood LVD - 06 x 1220 x 2440mm, Bleached Poplar Veneer Both Sides [CARB P2 Compliant]</v>
          </cell>
          <cell r="I2752">
            <v>2</v>
          </cell>
        </row>
        <row r="2753">
          <cell r="A2753" t="str">
            <v>B557841/A</v>
          </cell>
          <cell r="B2753" t="str">
            <v>CZ130M190</v>
          </cell>
          <cell r="C2753">
            <v>1</v>
          </cell>
          <cell r="D2753">
            <v>577.72</v>
          </cell>
          <cell r="E2753">
            <v>577.72</v>
          </cell>
          <cell r="F2753" t="str">
            <v>P14</v>
          </cell>
          <cell r="G2753" t="str">
            <v>Spline - Lưỡi gà</v>
          </cell>
          <cell r="H2753" t="str">
            <v>Plywood LVD - 06 x 1220 x 2440mm, Bleached Poplar Veneer Both Sides [CARB P2 Compliant]</v>
          </cell>
          <cell r="I2753">
            <v>1</v>
          </cell>
        </row>
        <row r="2754">
          <cell r="A2754" t="str">
            <v>B557841/A</v>
          </cell>
          <cell r="B2754" t="str">
            <v>CZ130M190</v>
          </cell>
          <cell r="C2754">
            <v>1</v>
          </cell>
          <cell r="D2754">
            <v>577.72</v>
          </cell>
          <cell r="E2754">
            <v>577.72</v>
          </cell>
          <cell r="F2754" t="str">
            <v>P16</v>
          </cell>
          <cell r="G2754" t="str">
            <v>Patching wood - Gỗ đắp</v>
          </cell>
          <cell r="H2754" t="str">
            <v>Poplar off cut</v>
          </cell>
          <cell r="I2754">
            <v>2</v>
          </cell>
        </row>
        <row r="2755">
          <cell r="A2755" t="str">
            <v>B557841/A</v>
          </cell>
          <cell r="B2755" t="str">
            <v>CZ130M190</v>
          </cell>
          <cell r="C2755">
            <v>1</v>
          </cell>
          <cell r="D2755">
            <v>577.72</v>
          </cell>
          <cell r="E2755">
            <v>577.72</v>
          </cell>
          <cell r="F2755" t="str">
            <v>P17</v>
          </cell>
          <cell r="G2755" t="str">
            <v>Cleat - Bọ gỗ</v>
          </cell>
          <cell r="H2755" t="str">
            <v>TRAM OFF CUT</v>
          </cell>
          <cell r="I2755">
            <v>2</v>
          </cell>
        </row>
        <row r="2756">
          <cell r="A2756" t="str">
            <v>B557844/A</v>
          </cell>
          <cell r="B2756" t="str">
            <v>CZ130M191</v>
          </cell>
          <cell r="C2756">
            <v>2</v>
          </cell>
          <cell r="D2756">
            <v>577.72</v>
          </cell>
          <cell r="E2756">
            <v>1155.44</v>
          </cell>
          <cell r="F2756" t="str">
            <v>A1-S1</v>
          </cell>
          <cell r="G2756" t="str">
            <v>Front leg  - Chần tiền</v>
          </cell>
          <cell r="H2756" t="str">
            <v>Pre-Assembly</v>
          </cell>
          <cell r="I2756">
            <v>4</v>
          </cell>
        </row>
        <row r="2757">
          <cell r="A2757" t="str">
            <v>B557844/A</v>
          </cell>
          <cell r="B2757" t="str">
            <v>CZ130M191</v>
          </cell>
          <cell r="C2757">
            <v>2</v>
          </cell>
          <cell r="D2757">
            <v>577.72</v>
          </cell>
          <cell r="E2757">
            <v>1155.44</v>
          </cell>
          <cell r="F2757" t="str">
            <v>A1-S1-1</v>
          </cell>
          <cell r="G2757" t="str">
            <v>Front leg  - Chần tiền</v>
          </cell>
          <cell r="H2757" t="str">
            <v>Wood laminate</v>
          </cell>
          <cell r="I2757">
            <v>4</v>
          </cell>
        </row>
        <row r="2758">
          <cell r="A2758" t="str">
            <v>B557844/A</v>
          </cell>
          <cell r="B2758" t="str">
            <v>CZ130M191</v>
          </cell>
          <cell r="C2758">
            <v>2</v>
          </cell>
          <cell r="D2758">
            <v>577.72</v>
          </cell>
          <cell r="E2758">
            <v>1155.44</v>
          </cell>
          <cell r="F2758" t="str">
            <v>A1-S1-2</v>
          </cell>
          <cell r="G2758" t="str">
            <v>Wood laminater - Gỗ ghép 1</v>
          </cell>
          <cell r="H2758" t="str">
            <v>TRAM OFF CUT</v>
          </cell>
          <cell r="I2758">
            <v>4</v>
          </cell>
        </row>
        <row r="2759">
          <cell r="A2759" t="str">
            <v>B557844/A</v>
          </cell>
          <cell r="B2759" t="str">
            <v>CZ130M191</v>
          </cell>
          <cell r="C2759">
            <v>2</v>
          </cell>
          <cell r="D2759">
            <v>577.72</v>
          </cell>
          <cell r="E2759">
            <v>1155.44</v>
          </cell>
          <cell r="F2759" t="str">
            <v>A1-S2</v>
          </cell>
          <cell r="G2759" t="str">
            <v>Back leg - Chân hậu</v>
          </cell>
          <cell r="H2759" t="str">
            <v>Beech 2 COM</v>
          </cell>
          <cell r="I2759">
            <v>4</v>
          </cell>
        </row>
        <row r="2760">
          <cell r="A2760" t="str">
            <v>B557844/A</v>
          </cell>
          <cell r="B2760" t="str">
            <v>CZ130M191</v>
          </cell>
          <cell r="C2760">
            <v>2</v>
          </cell>
          <cell r="D2760">
            <v>577.72</v>
          </cell>
          <cell r="E2760">
            <v>1155.44</v>
          </cell>
          <cell r="F2760" t="str">
            <v>A1-S3</v>
          </cell>
          <cell r="G2760" t="str">
            <v xml:space="preserve">Side panel  - Ván hông </v>
          </cell>
          <cell r="H2760" t="str">
            <v>MDF Veneer</v>
          </cell>
          <cell r="I2760">
            <v>4</v>
          </cell>
        </row>
        <row r="2761">
          <cell r="A2761" t="str">
            <v>B557844/A</v>
          </cell>
          <cell r="B2761" t="str">
            <v>CZ130M191</v>
          </cell>
          <cell r="C2761">
            <v>2</v>
          </cell>
          <cell r="D2761">
            <v>577.72</v>
          </cell>
          <cell r="E2761">
            <v>1155.44</v>
          </cell>
          <cell r="F2761" t="str">
            <v>A1-S4</v>
          </cell>
          <cell r="G2761" t="str">
            <v xml:space="preserve">Side rail  - Đố hông </v>
          </cell>
          <cell r="H2761" t="str">
            <v>Wood Rubber Laminate Board - 20 x 1220 x 2440mm, Veneer Poplar both Faces</v>
          </cell>
          <cell r="I2761">
            <v>4</v>
          </cell>
        </row>
        <row r="2762">
          <cell r="A2762" t="str">
            <v>B557844/A</v>
          </cell>
          <cell r="B2762" t="str">
            <v>CZ130M191</v>
          </cell>
          <cell r="C2762">
            <v>2</v>
          </cell>
          <cell r="D2762">
            <v>577.72</v>
          </cell>
          <cell r="E2762">
            <v>1155.44</v>
          </cell>
          <cell r="F2762" t="str">
            <v>A1-S5</v>
          </cell>
          <cell r="G2762" t="str">
            <v>Patching wood - Gỗ đắp</v>
          </cell>
          <cell r="H2762" t="str">
            <v>Wood US Poplar - Straight Edged, 2 COM - T38mm x W100mm Up x L1.8m Up</v>
          </cell>
          <cell r="I2762">
            <v>4</v>
          </cell>
        </row>
        <row r="2763">
          <cell r="A2763" t="str">
            <v>B557844/A</v>
          </cell>
          <cell r="B2763" t="str">
            <v>CZ130M191</v>
          </cell>
          <cell r="C2763">
            <v>2</v>
          </cell>
          <cell r="D2763">
            <v>577.72</v>
          </cell>
          <cell r="E2763">
            <v>1155.44</v>
          </cell>
          <cell r="F2763" t="str">
            <v>A2-S1</v>
          </cell>
          <cell r="G2763" t="str">
            <v>Front Bottom Rail  - Đố đáy trước</v>
          </cell>
          <cell r="H2763" t="str">
            <v>Standard Wood - ALDER/ASPEN/LENGA/US POPLAR, 2 COM - T32 W120mm+ L2m+</v>
          </cell>
          <cell r="I2763">
            <v>2</v>
          </cell>
        </row>
        <row r="2764">
          <cell r="A2764" t="str">
            <v>B557844/A</v>
          </cell>
          <cell r="B2764" t="str">
            <v>CZ130M191</v>
          </cell>
          <cell r="C2764">
            <v>2</v>
          </cell>
          <cell r="D2764">
            <v>577.72</v>
          </cell>
          <cell r="E2764">
            <v>1155.44</v>
          </cell>
          <cell r="F2764" t="str">
            <v>A2-S2</v>
          </cell>
          <cell r="G2764" t="str">
            <v>Back bottom rail - Đố hậu đáy</v>
          </cell>
          <cell r="H2764" t="str">
            <v>Wood US Poplar - Straight Edged, 2 COM - T38mm x W100mm Up x L1.8m Up</v>
          </cell>
          <cell r="I2764">
            <v>2</v>
          </cell>
        </row>
        <row r="2765">
          <cell r="A2765" t="str">
            <v>B557844/A</v>
          </cell>
          <cell r="B2765" t="str">
            <v>CZ130M191</v>
          </cell>
          <cell r="C2765">
            <v>2</v>
          </cell>
          <cell r="D2765">
            <v>577.72</v>
          </cell>
          <cell r="E2765">
            <v>1155.44</v>
          </cell>
          <cell r="F2765" t="str">
            <v>A2-S3</v>
          </cell>
          <cell r="G2765" t="str">
            <v>Bottom panel - Ván đáy</v>
          </cell>
          <cell r="H2765" t="str">
            <v>MDF Veneer</v>
          </cell>
          <cell r="I2765">
            <v>2</v>
          </cell>
        </row>
        <row r="2766">
          <cell r="A2766" t="str">
            <v>B557844/A</v>
          </cell>
          <cell r="B2766" t="str">
            <v>CZ130M191</v>
          </cell>
          <cell r="C2766">
            <v>2</v>
          </cell>
          <cell r="D2766">
            <v>577.72</v>
          </cell>
          <cell r="E2766">
            <v>1155.44</v>
          </cell>
          <cell r="F2766" t="str">
            <v>A2-S4</v>
          </cell>
          <cell r="G2766" t="str">
            <v>Cleat - Bọ gỗ</v>
          </cell>
          <cell r="H2766" t="str">
            <v>Wood Rubber Laminate Board - 20 x 1220 x 2440mm, Veneer Poplar both Faces</v>
          </cell>
          <cell r="I2766">
            <v>4</v>
          </cell>
        </row>
        <row r="2767">
          <cell r="A2767" t="str">
            <v>B557844/A</v>
          </cell>
          <cell r="B2767" t="str">
            <v>CZ130M191</v>
          </cell>
          <cell r="C2767">
            <v>2</v>
          </cell>
          <cell r="D2767">
            <v>577.72</v>
          </cell>
          <cell r="E2767">
            <v>1155.44</v>
          </cell>
          <cell r="F2767" t="str">
            <v>A3-S3</v>
          </cell>
          <cell r="G2767" t="str">
            <v>Door panel  - Ván cửa</v>
          </cell>
          <cell r="H2767" t="str">
            <v>MDF Veneer</v>
          </cell>
          <cell r="I2767">
            <v>4</v>
          </cell>
        </row>
        <row r="2768">
          <cell r="A2768" t="str">
            <v>B557844/A</v>
          </cell>
          <cell r="B2768" t="str">
            <v>CZ130M191</v>
          </cell>
          <cell r="C2768">
            <v>2</v>
          </cell>
          <cell r="D2768">
            <v>577.72</v>
          </cell>
          <cell r="E2768">
            <v>1155.44</v>
          </cell>
          <cell r="F2768" t="str">
            <v>A3-S4</v>
          </cell>
          <cell r="G2768" t="str">
            <v>Patching moulding - Chỉ đắp</v>
          </cell>
          <cell r="H2768" t="str">
            <v>Wood US Poplar - Straight Edged, 2 COM - T38mm x W100mm Up x L1.8m Up</v>
          </cell>
          <cell r="I2768">
            <v>4</v>
          </cell>
        </row>
        <row r="2769">
          <cell r="A2769" t="str">
            <v>B557844/A</v>
          </cell>
          <cell r="B2769" t="str">
            <v>CZ130M191</v>
          </cell>
          <cell r="C2769">
            <v>2</v>
          </cell>
          <cell r="D2769">
            <v>577.72</v>
          </cell>
          <cell r="E2769">
            <v>1155.44</v>
          </cell>
          <cell r="F2769" t="str">
            <v>A3-S5</v>
          </cell>
          <cell r="G2769" t="str">
            <v>Patching moulding - Chỉ đắp</v>
          </cell>
          <cell r="H2769" t="str">
            <v>Wood US Poplar - Straight Edged, 2 COM - T38mm x W100mm Up x L1.8m Up</v>
          </cell>
          <cell r="I2769">
            <v>8</v>
          </cell>
        </row>
        <row r="2770">
          <cell r="A2770" t="str">
            <v>B557844/A</v>
          </cell>
          <cell r="B2770" t="str">
            <v>CZ130M191</v>
          </cell>
          <cell r="C2770">
            <v>2</v>
          </cell>
          <cell r="D2770">
            <v>577.72</v>
          </cell>
          <cell r="E2770">
            <v>1155.44</v>
          </cell>
          <cell r="F2770" t="str">
            <v>A3-S6</v>
          </cell>
          <cell r="G2770" t="str">
            <v>Patching moulding - Chỉ đắp</v>
          </cell>
          <cell r="H2770" t="str">
            <v>TRAM OFF CUT</v>
          </cell>
          <cell r="I2770">
            <v>8</v>
          </cell>
        </row>
        <row r="2771">
          <cell r="A2771" t="str">
            <v>B557844/A</v>
          </cell>
          <cell r="B2771" t="str">
            <v>CZ130M191</v>
          </cell>
          <cell r="C2771">
            <v>2</v>
          </cell>
          <cell r="D2771">
            <v>577.72</v>
          </cell>
          <cell r="E2771">
            <v>1155.44</v>
          </cell>
          <cell r="F2771" t="str">
            <v>A3-S7</v>
          </cell>
          <cell r="G2771" t="str">
            <v>Patching moulding - Chỉ đắp</v>
          </cell>
          <cell r="H2771" t="str">
            <v>Wood US Poplar - Straight Edged, 2 COM - T38mm x W100mm Up x L1.8m Up</v>
          </cell>
          <cell r="I2771">
            <v>4</v>
          </cell>
        </row>
        <row r="2772">
          <cell r="A2772" t="str">
            <v>B557844/A</v>
          </cell>
          <cell r="B2772" t="str">
            <v>CZ130M191</v>
          </cell>
          <cell r="C2772">
            <v>2</v>
          </cell>
          <cell r="D2772">
            <v>577.72</v>
          </cell>
          <cell r="E2772">
            <v>1155.44</v>
          </cell>
          <cell r="F2772" t="str">
            <v>A3-S8</v>
          </cell>
          <cell r="G2772" t="str">
            <v>Insert Wood - Gỗ chèn</v>
          </cell>
          <cell r="H2772" t="str">
            <v>Beech off cut</v>
          </cell>
          <cell r="I2772">
            <v>8</v>
          </cell>
        </row>
        <row r="2773">
          <cell r="A2773" t="str">
            <v>B557844/A</v>
          </cell>
          <cell r="B2773" t="str">
            <v>CZ130M191</v>
          </cell>
          <cell r="C2773">
            <v>2</v>
          </cell>
          <cell r="D2773">
            <v>577.72</v>
          </cell>
          <cell r="E2773">
            <v>1155.44</v>
          </cell>
          <cell r="F2773" t="str">
            <v>P01</v>
          </cell>
          <cell r="G2773" t="str">
            <v>Front top rail  - Đố tiền nóc</v>
          </cell>
          <cell r="H2773" t="str">
            <v>Wood laminate</v>
          </cell>
          <cell r="I2773">
            <v>2</v>
          </cell>
        </row>
        <row r="2774">
          <cell r="A2774" t="str">
            <v>B557844/A</v>
          </cell>
          <cell r="B2774" t="str">
            <v>CZ130M191</v>
          </cell>
          <cell r="C2774">
            <v>2</v>
          </cell>
          <cell r="D2774">
            <v>577.72</v>
          </cell>
          <cell r="E2774">
            <v>1155.44</v>
          </cell>
          <cell r="F2774" t="str">
            <v>P02</v>
          </cell>
          <cell r="G2774" t="str">
            <v>Back top rail - Đố hậu nóc</v>
          </cell>
          <cell r="H2774" t="str">
            <v>Wood Rubber Laminate Board - 20 x 1220 x 2440mm, Veneer Poplar both Faces</v>
          </cell>
          <cell r="I2774">
            <v>2</v>
          </cell>
        </row>
        <row r="2775">
          <cell r="A2775" t="str">
            <v>B557844/A</v>
          </cell>
          <cell r="B2775" t="str">
            <v>CZ130M191</v>
          </cell>
          <cell r="C2775">
            <v>2</v>
          </cell>
          <cell r="D2775">
            <v>577.72</v>
          </cell>
          <cell r="E2775">
            <v>1155.44</v>
          </cell>
          <cell r="F2775" t="str">
            <v>P03</v>
          </cell>
          <cell r="G2775" t="str">
            <v xml:space="preserve">Top panel  - Ván nóc </v>
          </cell>
          <cell r="H2775" t="str">
            <v>MDF Veneer</v>
          </cell>
          <cell r="I2775">
            <v>2</v>
          </cell>
        </row>
        <row r="2776">
          <cell r="A2776" t="str">
            <v>B557844/A</v>
          </cell>
          <cell r="B2776" t="str">
            <v>CZ130M191</v>
          </cell>
          <cell r="C2776">
            <v>2</v>
          </cell>
          <cell r="D2776">
            <v>577.72</v>
          </cell>
          <cell r="E2776">
            <v>1155.44</v>
          </cell>
          <cell r="F2776" t="str">
            <v>P06</v>
          </cell>
          <cell r="G2776" t="str">
            <v>Adjustable Shelf  - Kệ di động</v>
          </cell>
          <cell r="H2776" t="str">
            <v>Pre-Assembly</v>
          </cell>
          <cell r="I2776">
            <v>2</v>
          </cell>
        </row>
        <row r="2777">
          <cell r="A2777" t="str">
            <v>B557844/A</v>
          </cell>
          <cell r="B2777" t="str">
            <v>CZ130M191</v>
          </cell>
          <cell r="C2777">
            <v>2</v>
          </cell>
          <cell r="D2777">
            <v>577.72</v>
          </cell>
          <cell r="E2777">
            <v>1155.44</v>
          </cell>
          <cell r="F2777" t="str">
            <v>P06-1</v>
          </cell>
          <cell r="G2777" t="str">
            <v>Adjustable Shelf  - Kệ di động</v>
          </cell>
          <cell r="H2777" t="str">
            <v>MDF Veneer</v>
          </cell>
          <cell r="I2777">
            <v>2</v>
          </cell>
        </row>
        <row r="2778">
          <cell r="A2778" t="str">
            <v>B557844/A</v>
          </cell>
          <cell r="B2778" t="str">
            <v>CZ130M191</v>
          </cell>
          <cell r="C2778">
            <v>2</v>
          </cell>
          <cell r="D2778">
            <v>577.72</v>
          </cell>
          <cell r="E2778">
            <v>1155.44</v>
          </cell>
          <cell r="F2778" t="str">
            <v>P06-2</v>
          </cell>
          <cell r="G2778" t="str">
            <v>Adjustable Shelf  - Kệ di động</v>
          </cell>
          <cell r="H2778" t="str">
            <v>Standard Wood - ALDER/ASPEN/LENGA/US POPLAR, 2 COM - T25 W120mm+ L2m+</v>
          </cell>
          <cell r="I2778">
            <v>2</v>
          </cell>
        </row>
        <row r="2779">
          <cell r="A2779" t="str">
            <v>B557844/A</v>
          </cell>
          <cell r="B2779" t="str">
            <v>CZ130M191</v>
          </cell>
          <cell r="C2779">
            <v>2</v>
          </cell>
          <cell r="D2779">
            <v>577.72</v>
          </cell>
          <cell r="E2779">
            <v>1155.44</v>
          </cell>
          <cell r="F2779" t="str">
            <v>P07</v>
          </cell>
          <cell r="G2779" t="str">
            <v>Back panel - Ván hậu</v>
          </cell>
          <cell r="H2779" t="str">
            <v>MDF Veneer</v>
          </cell>
          <cell r="I2779">
            <v>2</v>
          </cell>
        </row>
        <row r="2780">
          <cell r="A2780" t="str">
            <v>B557844/A</v>
          </cell>
          <cell r="B2780" t="str">
            <v>CZ130M191</v>
          </cell>
          <cell r="C2780">
            <v>2</v>
          </cell>
          <cell r="D2780">
            <v>577.72</v>
          </cell>
          <cell r="E2780">
            <v>1155.44</v>
          </cell>
          <cell r="F2780" t="str">
            <v>P08</v>
          </cell>
          <cell r="G2780" t="str">
            <v>Corner block - ke góc</v>
          </cell>
          <cell r="H2780" t="str">
            <v>Poplar off cut</v>
          </cell>
          <cell r="I2780">
            <v>4</v>
          </cell>
        </row>
        <row r="2781">
          <cell r="A2781" t="str">
            <v>B557844/A</v>
          </cell>
          <cell r="B2781" t="str">
            <v>CZ130M191</v>
          </cell>
          <cell r="C2781">
            <v>2</v>
          </cell>
          <cell r="D2781">
            <v>577.72</v>
          </cell>
          <cell r="E2781">
            <v>1155.44</v>
          </cell>
          <cell r="F2781" t="str">
            <v>P09</v>
          </cell>
          <cell r="G2781" t="str">
            <v>Corner block - ke góc</v>
          </cell>
          <cell r="H2781" t="str">
            <v>Poplar off cut</v>
          </cell>
          <cell r="I2781">
            <v>4</v>
          </cell>
        </row>
        <row r="2782">
          <cell r="A2782" t="str">
            <v>B557844/A</v>
          </cell>
          <cell r="B2782" t="str">
            <v>CZ130M191</v>
          </cell>
          <cell r="C2782">
            <v>2</v>
          </cell>
          <cell r="D2782">
            <v>577.72</v>
          </cell>
          <cell r="E2782">
            <v>1155.44</v>
          </cell>
          <cell r="F2782" t="str">
            <v>P10</v>
          </cell>
          <cell r="G2782" t="str">
            <v>Bottom panel - Ván đáy</v>
          </cell>
          <cell r="H2782" t="str">
            <v>Cement Board - 20 x 1220 x 2440mm, Dark Grey</v>
          </cell>
          <cell r="I2782">
            <v>2</v>
          </cell>
        </row>
        <row r="2783">
          <cell r="A2783" t="str">
            <v>B557844/A</v>
          </cell>
          <cell r="B2783" t="str">
            <v>CZ130M191</v>
          </cell>
          <cell r="C2783">
            <v>2</v>
          </cell>
          <cell r="D2783">
            <v>577.72</v>
          </cell>
          <cell r="E2783">
            <v>1155.44</v>
          </cell>
          <cell r="F2783" t="str">
            <v>P12</v>
          </cell>
          <cell r="G2783" t="str">
            <v>Corner block - ke góc</v>
          </cell>
          <cell r="H2783" t="str">
            <v>Poplar off cut</v>
          </cell>
          <cell r="I2783">
            <v>4</v>
          </cell>
        </row>
        <row r="2784">
          <cell r="A2784" t="str">
            <v>B557844/A</v>
          </cell>
          <cell r="B2784" t="str">
            <v>CZ130M191</v>
          </cell>
          <cell r="C2784">
            <v>2</v>
          </cell>
          <cell r="D2784">
            <v>577.72</v>
          </cell>
          <cell r="E2784">
            <v>1155.44</v>
          </cell>
          <cell r="F2784" t="str">
            <v>P13</v>
          </cell>
          <cell r="G2784" t="str">
            <v>Spline - Lưỡi gà</v>
          </cell>
          <cell r="H2784" t="str">
            <v>Plywood LVD - 06 x 1220 x 2440mm, Bleached Poplar Veneer Both Sides [CARB P2 Compliant]</v>
          </cell>
          <cell r="I2784">
            <v>4</v>
          </cell>
        </row>
        <row r="2785">
          <cell r="A2785" t="str">
            <v>B557844/A</v>
          </cell>
          <cell r="B2785" t="str">
            <v>CZ130M191</v>
          </cell>
          <cell r="C2785">
            <v>2</v>
          </cell>
          <cell r="D2785">
            <v>577.72</v>
          </cell>
          <cell r="E2785">
            <v>1155.44</v>
          </cell>
          <cell r="F2785" t="str">
            <v>P14</v>
          </cell>
          <cell r="G2785" t="str">
            <v>Spline - Lưỡi gà</v>
          </cell>
          <cell r="H2785" t="str">
            <v>Plywood LVD - 06 x 1220 x 2440mm, Bleached Poplar Veneer Both Sides [CARB P2 Compliant]</v>
          </cell>
          <cell r="I2785">
            <v>2</v>
          </cell>
        </row>
        <row r="2786">
          <cell r="A2786" t="str">
            <v>B557844/A</v>
          </cell>
          <cell r="B2786" t="str">
            <v>CZ130M191</v>
          </cell>
          <cell r="C2786">
            <v>2</v>
          </cell>
          <cell r="D2786">
            <v>577.72</v>
          </cell>
          <cell r="E2786">
            <v>1155.44</v>
          </cell>
          <cell r="F2786" t="str">
            <v>P16</v>
          </cell>
          <cell r="G2786" t="str">
            <v>Patching wood - Gỗ đắp</v>
          </cell>
          <cell r="H2786" t="str">
            <v>wood off cut</v>
          </cell>
          <cell r="I2786">
            <v>4</v>
          </cell>
        </row>
        <row r="2787">
          <cell r="A2787" t="str">
            <v>B557844/A</v>
          </cell>
          <cell r="B2787" t="str">
            <v>CZ130M191</v>
          </cell>
          <cell r="C2787">
            <v>2</v>
          </cell>
          <cell r="D2787">
            <v>577.72</v>
          </cell>
          <cell r="E2787">
            <v>1155.44</v>
          </cell>
          <cell r="F2787" t="str">
            <v>P17</v>
          </cell>
          <cell r="G2787" t="str">
            <v>Cleat - Bọ gỗ</v>
          </cell>
          <cell r="H2787" t="str">
            <v>TRAM OFF CUT</v>
          </cell>
          <cell r="I2787">
            <v>4</v>
          </cell>
        </row>
        <row r="2788">
          <cell r="A2788" t="str">
            <v>B557845/A</v>
          </cell>
          <cell r="B2788" t="str">
            <v>CZ130M191</v>
          </cell>
          <cell r="C2788">
            <v>2</v>
          </cell>
          <cell r="D2788">
            <v>577.72</v>
          </cell>
          <cell r="E2788">
            <v>1155.44</v>
          </cell>
          <cell r="F2788" t="str">
            <v>A1-S1</v>
          </cell>
          <cell r="G2788" t="str">
            <v>Front leg  - Chần tiền</v>
          </cell>
          <cell r="H2788" t="str">
            <v>Pre-Assembly</v>
          </cell>
          <cell r="I2788">
            <v>4</v>
          </cell>
        </row>
        <row r="2789">
          <cell r="A2789" t="str">
            <v>B557845/A</v>
          </cell>
          <cell r="B2789" t="str">
            <v>CZ130M191</v>
          </cell>
          <cell r="C2789">
            <v>2</v>
          </cell>
          <cell r="D2789">
            <v>577.72</v>
          </cell>
          <cell r="E2789">
            <v>1155.44</v>
          </cell>
          <cell r="F2789" t="str">
            <v>A1-S1-1</v>
          </cell>
          <cell r="G2789" t="str">
            <v>Front leg  - Chần tiền</v>
          </cell>
          <cell r="H2789" t="str">
            <v>Wood laminate</v>
          </cell>
          <cell r="I2789">
            <v>4</v>
          </cell>
        </row>
        <row r="2790">
          <cell r="A2790" t="str">
            <v>B557845/A</v>
          </cell>
          <cell r="B2790" t="str">
            <v>CZ130M191</v>
          </cell>
          <cell r="C2790">
            <v>2</v>
          </cell>
          <cell r="D2790">
            <v>577.72</v>
          </cell>
          <cell r="E2790">
            <v>1155.44</v>
          </cell>
          <cell r="F2790" t="str">
            <v>A1-S1-2</v>
          </cell>
          <cell r="G2790" t="str">
            <v>Wood laminater - Gỗ ghép 1</v>
          </cell>
          <cell r="H2790" t="str">
            <v>TRAM OFF CUT</v>
          </cell>
          <cell r="I2790">
            <v>4</v>
          </cell>
        </row>
        <row r="2791">
          <cell r="A2791" t="str">
            <v>B557845/A</v>
          </cell>
          <cell r="B2791" t="str">
            <v>CZ130M191</v>
          </cell>
          <cell r="C2791">
            <v>2</v>
          </cell>
          <cell r="D2791">
            <v>577.72</v>
          </cell>
          <cell r="E2791">
            <v>1155.44</v>
          </cell>
          <cell r="F2791" t="str">
            <v>A1-S2</v>
          </cell>
          <cell r="G2791" t="str">
            <v>Back leg - Chân hậu</v>
          </cell>
          <cell r="H2791" t="str">
            <v>Beech 2 COM</v>
          </cell>
          <cell r="I2791">
            <v>4</v>
          </cell>
        </row>
        <row r="2792">
          <cell r="A2792" t="str">
            <v>B557845/A</v>
          </cell>
          <cell r="B2792" t="str">
            <v>CZ130M191</v>
          </cell>
          <cell r="C2792">
            <v>2</v>
          </cell>
          <cell r="D2792">
            <v>577.72</v>
          </cell>
          <cell r="E2792">
            <v>1155.44</v>
          </cell>
          <cell r="F2792" t="str">
            <v>A1-S3</v>
          </cell>
          <cell r="G2792" t="str">
            <v xml:space="preserve">Side panel  - Ván hông </v>
          </cell>
          <cell r="H2792" t="str">
            <v>MDF Veneer</v>
          </cell>
          <cell r="I2792">
            <v>4</v>
          </cell>
        </row>
        <row r="2793">
          <cell r="A2793" t="str">
            <v>B557845/A</v>
          </cell>
          <cell r="B2793" t="str">
            <v>CZ130M191</v>
          </cell>
          <cell r="C2793">
            <v>2</v>
          </cell>
          <cell r="D2793">
            <v>577.72</v>
          </cell>
          <cell r="E2793">
            <v>1155.44</v>
          </cell>
          <cell r="F2793" t="str">
            <v>A1-S4</v>
          </cell>
          <cell r="G2793" t="str">
            <v xml:space="preserve">Side rail  - Đố hông </v>
          </cell>
          <cell r="H2793" t="str">
            <v>Wood Rubber Laminate Board - 20 x 1220 x 2440mm, Veneer Poplar both Faces</v>
          </cell>
          <cell r="I2793">
            <v>4</v>
          </cell>
        </row>
        <row r="2794">
          <cell r="A2794" t="str">
            <v>B557845/A</v>
          </cell>
          <cell r="B2794" t="str">
            <v>CZ130M191</v>
          </cell>
          <cell r="C2794">
            <v>2</v>
          </cell>
          <cell r="D2794">
            <v>577.72</v>
          </cell>
          <cell r="E2794">
            <v>1155.44</v>
          </cell>
          <cell r="F2794" t="str">
            <v>A1-S5</v>
          </cell>
          <cell r="G2794" t="str">
            <v>Patching wood - Gỗ đắp</v>
          </cell>
          <cell r="H2794" t="str">
            <v>Wood US Poplar - Straight Edged, 2 COM - T38mm x W100mm Up x L1.8m Up</v>
          </cell>
          <cell r="I2794">
            <v>4</v>
          </cell>
        </row>
        <row r="2795">
          <cell r="A2795" t="str">
            <v>B557845/A</v>
          </cell>
          <cell r="B2795" t="str">
            <v>CZ130M191</v>
          </cell>
          <cell r="C2795">
            <v>2</v>
          </cell>
          <cell r="D2795">
            <v>577.72</v>
          </cell>
          <cell r="E2795">
            <v>1155.44</v>
          </cell>
          <cell r="F2795" t="str">
            <v>A2-S1</v>
          </cell>
          <cell r="G2795" t="str">
            <v>Front Bottom Rail  - Đố đáy trước</v>
          </cell>
          <cell r="H2795" t="str">
            <v>Standard Wood - ALDER/ASPEN/LENGA/US POPLAR, 2 COM - T32 W120mm+ L2m+</v>
          </cell>
          <cell r="I2795">
            <v>2</v>
          </cell>
        </row>
        <row r="2796">
          <cell r="A2796" t="str">
            <v>B557845/A</v>
          </cell>
          <cell r="B2796" t="str">
            <v>CZ130M191</v>
          </cell>
          <cell r="C2796">
            <v>2</v>
          </cell>
          <cell r="D2796">
            <v>577.72</v>
          </cell>
          <cell r="E2796">
            <v>1155.44</v>
          </cell>
          <cell r="F2796" t="str">
            <v>A2-S2</v>
          </cell>
          <cell r="G2796" t="str">
            <v>Back bottom rail - Đố hậu đáy</v>
          </cell>
          <cell r="H2796" t="str">
            <v>Wood US Poplar - Straight Edged, 2 COM - T38mm x W100mm Up x L1.8m Up</v>
          </cell>
          <cell r="I2796">
            <v>2</v>
          </cell>
        </row>
        <row r="2797">
          <cell r="A2797" t="str">
            <v>B557845/A</v>
          </cell>
          <cell r="B2797" t="str">
            <v>CZ130M191</v>
          </cell>
          <cell r="C2797">
            <v>2</v>
          </cell>
          <cell r="D2797">
            <v>577.72</v>
          </cell>
          <cell r="E2797">
            <v>1155.44</v>
          </cell>
          <cell r="F2797" t="str">
            <v>A2-S3</v>
          </cell>
          <cell r="G2797" t="str">
            <v>Bottom panel - Ván đáy</v>
          </cell>
          <cell r="H2797" t="str">
            <v>MDF Veneer</v>
          </cell>
          <cell r="I2797">
            <v>2</v>
          </cell>
        </row>
        <row r="2798">
          <cell r="A2798" t="str">
            <v>B557845/A</v>
          </cell>
          <cell r="B2798" t="str">
            <v>CZ130M191</v>
          </cell>
          <cell r="C2798">
            <v>2</v>
          </cell>
          <cell r="D2798">
            <v>577.72</v>
          </cell>
          <cell r="E2798">
            <v>1155.44</v>
          </cell>
          <cell r="F2798" t="str">
            <v>A2-S4</v>
          </cell>
          <cell r="G2798" t="str">
            <v>Cleat - Bọ gỗ</v>
          </cell>
          <cell r="H2798" t="str">
            <v>Wood Rubber Laminate Board - 20 x 1220 x 2440mm, Veneer Poplar both Faces</v>
          </cell>
          <cell r="I2798">
            <v>4</v>
          </cell>
        </row>
        <row r="2799">
          <cell r="A2799" t="str">
            <v>B557845/A</v>
          </cell>
          <cell r="B2799" t="str">
            <v>CZ130M191</v>
          </cell>
          <cell r="C2799">
            <v>2</v>
          </cell>
          <cell r="D2799">
            <v>577.72</v>
          </cell>
          <cell r="E2799">
            <v>1155.44</v>
          </cell>
          <cell r="F2799" t="str">
            <v>A3-S3</v>
          </cell>
          <cell r="G2799" t="str">
            <v>Door panel  - Ván cửa</v>
          </cell>
          <cell r="H2799" t="str">
            <v>MDF Veneer</v>
          </cell>
          <cell r="I2799">
            <v>4</v>
          </cell>
        </row>
        <row r="2800">
          <cell r="A2800" t="str">
            <v>B557845/A</v>
          </cell>
          <cell r="B2800" t="str">
            <v>CZ130M191</v>
          </cell>
          <cell r="C2800">
            <v>2</v>
          </cell>
          <cell r="D2800">
            <v>577.72</v>
          </cell>
          <cell r="E2800">
            <v>1155.44</v>
          </cell>
          <cell r="F2800" t="str">
            <v>A3-S4</v>
          </cell>
          <cell r="G2800" t="str">
            <v>Patching moulding - Chỉ đắp</v>
          </cell>
          <cell r="H2800" t="str">
            <v>Wood US Poplar - Straight Edged, 2 COM - T38mm x W100mm Up x L1.8m Up</v>
          </cell>
          <cell r="I2800">
            <v>4</v>
          </cell>
        </row>
        <row r="2801">
          <cell r="A2801" t="str">
            <v>B557845/A</v>
          </cell>
          <cell r="B2801" t="str">
            <v>CZ130M191</v>
          </cell>
          <cell r="C2801">
            <v>2</v>
          </cell>
          <cell r="D2801">
            <v>577.72</v>
          </cell>
          <cell r="E2801">
            <v>1155.44</v>
          </cell>
          <cell r="F2801" t="str">
            <v>A3-S5</v>
          </cell>
          <cell r="G2801" t="str">
            <v>Patching moulding - Chỉ đắp</v>
          </cell>
          <cell r="H2801" t="str">
            <v>Wood US Poplar - Straight Edged, 2 COM - T38mm x W100mm Up x L1.8m Up</v>
          </cell>
          <cell r="I2801">
            <v>8</v>
          </cell>
        </row>
        <row r="2802">
          <cell r="A2802" t="str">
            <v>B557845/A</v>
          </cell>
          <cell r="B2802" t="str">
            <v>CZ130M191</v>
          </cell>
          <cell r="C2802">
            <v>2</v>
          </cell>
          <cell r="D2802">
            <v>577.72</v>
          </cell>
          <cell r="E2802">
            <v>1155.44</v>
          </cell>
          <cell r="F2802" t="str">
            <v>A3-S6</v>
          </cell>
          <cell r="G2802" t="str">
            <v>Patching moulding - Chỉ đắp</v>
          </cell>
          <cell r="H2802" t="str">
            <v>TRAM OFF CUT</v>
          </cell>
          <cell r="I2802">
            <v>8</v>
          </cell>
        </row>
        <row r="2803">
          <cell r="A2803" t="str">
            <v>B557845/A</v>
          </cell>
          <cell r="B2803" t="str">
            <v>CZ130M191</v>
          </cell>
          <cell r="C2803">
            <v>2</v>
          </cell>
          <cell r="D2803">
            <v>577.72</v>
          </cell>
          <cell r="E2803">
            <v>1155.44</v>
          </cell>
          <cell r="F2803" t="str">
            <v>A3-S7</v>
          </cell>
          <cell r="G2803" t="str">
            <v>Patching moulding - Chỉ đắp</v>
          </cell>
          <cell r="H2803" t="str">
            <v>Wood US Poplar - Straight Edged, 2 COM - T38mm x W100mm Up x L1.8m Up</v>
          </cell>
          <cell r="I2803">
            <v>4</v>
          </cell>
        </row>
        <row r="2804">
          <cell r="A2804" t="str">
            <v>B557845/A</v>
          </cell>
          <cell r="B2804" t="str">
            <v>CZ130M191</v>
          </cell>
          <cell r="C2804">
            <v>2</v>
          </cell>
          <cell r="D2804">
            <v>577.72</v>
          </cell>
          <cell r="E2804">
            <v>1155.44</v>
          </cell>
          <cell r="F2804" t="str">
            <v>A3-S8</v>
          </cell>
          <cell r="G2804" t="str">
            <v>Insert Wood - Gỗ chèn</v>
          </cell>
          <cell r="H2804" t="str">
            <v>Beech off cut</v>
          </cell>
          <cell r="I2804">
            <v>8</v>
          </cell>
        </row>
        <row r="2805">
          <cell r="A2805" t="str">
            <v>B557845/A</v>
          </cell>
          <cell r="B2805" t="str">
            <v>CZ130M191</v>
          </cell>
          <cell r="C2805">
            <v>2</v>
          </cell>
          <cell r="D2805">
            <v>577.72</v>
          </cell>
          <cell r="E2805">
            <v>1155.44</v>
          </cell>
          <cell r="F2805" t="str">
            <v>P01</v>
          </cell>
          <cell r="G2805" t="str">
            <v>Front top rail  - Đố tiền nóc</v>
          </cell>
          <cell r="H2805" t="str">
            <v>Wood laminate</v>
          </cell>
          <cell r="I2805">
            <v>2</v>
          </cell>
        </row>
        <row r="2806">
          <cell r="A2806" t="str">
            <v>B557845/A</v>
          </cell>
          <cell r="B2806" t="str">
            <v>CZ130M191</v>
          </cell>
          <cell r="C2806">
            <v>2</v>
          </cell>
          <cell r="D2806">
            <v>577.72</v>
          </cell>
          <cell r="E2806">
            <v>1155.44</v>
          </cell>
          <cell r="F2806" t="str">
            <v>P02</v>
          </cell>
          <cell r="G2806" t="str">
            <v>Back top rail - Đố hậu nóc</v>
          </cell>
          <cell r="H2806" t="str">
            <v>Wood Rubber Laminate Board - 20 x 1220 x 2440mm, Veneer Poplar both Faces</v>
          </cell>
          <cell r="I2806">
            <v>2</v>
          </cell>
        </row>
        <row r="2807">
          <cell r="A2807" t="str">
            <v>B557845/A</v>
          </cell>
          <cell r="B2807" t="str">
            <v>CZ130M191</v>
          </cell>
          <cell r="C2807">
            <v>2</v>
          </cell>
          <cell r="D2807">
            <v>577.72</v>
          </cell>
          <cell r="E2807">
            <v>1155.44</v>
          </cell>
          <cell r="F2807" t="str">
            <v>P03</v>
          </cell>
          <cell r="G2807" t="str">
            <v xml:space="preserve">Top panel  - Ván nóc </v>
          </cell>
          <cell r="H2807" t="str">
            <v>MDF Veneer</v>
          </cell>
          <cell r="I2807">
            <v>2</v>
          </cell>
        </row>
        <row r="2808">
          <cell r="A2808" t="str">
            <v>B557845/A</v>
          </cell>
          <cell r="B2808" t="str">
            <v>CZ130M191</v>
          </cell>
          <cell r="C2808">
            <v>2</v>
          </cell>
          <cell r="D2808">
            <v>577.72</v>
          </cell>
          <cell r="E2808">
            <v>1155.44</v>
          </cell>
          <cell r="F2808" t="str">
            <v>P06</v>
          </cell>
          <cell r="G2808" t="str">
            <v>Adjustable Shelf  - Kệ di động</v>
          </cell>
          <cell r="H2808" t="str">
            <v>Pre-Assembly</v>
          </cell>
          <cell r="I2808">
            <v>2</v>
          </cell>
        </row>
        <row r="2809">
          <cell r="A2809" t="str">
            <v>B557845/A</v>
          </cell>
          <cell r="B2809" t="str">
            <v>CZ130M191</v>
          </cell>
          <cell r="C2809">
            <v>2</v>
          </cell>
          <cell r="D2809">
            <v>577.72</v>
          </cell>
          <cell r="E2809">
            <v>1155.44</v>
          </cell>
          <cell r="F2809" t="str">
            <v>P06-1</v>
          </cell>
          <cell r="G2809" t="str">
            <v>Adjustable Shelf  - Kệ di động</v>
          </cell>
          <cell r="H2809" t="str">
            <v>MDF Veneer</v>
          </cell>
          <cell r="I2809">
            <v>2</v>
          </cell>
        </row>
        <row r="2810">
          <cell r="A2810" t="str">
            <v>B557845/A</v>
          </cell>
          <cell r="B2810" t="str">
            <v>CZ130M191</v>
          </cell>
          <cell r="C2810">
            <v>2</v>
          </cell>
          <cell r="D2810">
            <v>577.72</v>
          </cell>
          <cell r="E2810">
            <v>1155.44</v>
          </cell>
          <cell r="F2810" t="str">
            <v>P06-2</v>
          </cell>
          <cell r="G2810" t="str">
            <v>Adjustable Shelf  - Kệ di động</v>
          </cell>
          <cell r="H2810" t="str">
            <v>Standard Wood - ALDER/ASPEN/LENGA/US POPLAR, 2 COM - T25 W120mm+ L2m+</v>
          </cell>
          <cell r="I2810">
            <v>2</v>
          </cell>
        </row>
        <row r="2811">
          <cell r="A2811" t="str">
            <v>B557845/A</v>
          </cell>
          <cell r="B2811" t="str">
            <v>CZ130M191</v>
          </cell>
          <cell r="C2811">
            <v>2</v>
          </cell>
          <cell r="D2811">
            <v>577.72</v>
          </cell>
          <cell r="E2811">
            <v>1155.44</v>
          </cell>
          <cell r="F2811" t="str">
            <v>P07</v>
          </cell>
          <cell r="G2811" t="str">
            <v>Back panel - Ván hậu</v>
          </cell>
          <cell r="H2811" t="str">
            <v>MDF Veneer</v>
          </cell>
          <cell r="I2811">
            <v>2</v>
          </cell>
        </row>
        <row r="2812">
          <cell r="A2812" t="str">
            <v>B557845/A</v>
          </cell>
          <cell r="B2812" t="str">
            <v>CZ130M191</v>
          </cell>
          <cell r="C2812">
            <v>2</v>
          </cell>
          <cell r="D2812">
            <v>577.72</v>
          </cell>
          <cell r="E2812">
            <v>1155.44</v>
          </cell>
          <cell r="F2812" t="str">
            <v>P08</v>
          </cell>
          <cell r="G2812" t="str">
            <v>Corner block - ke góc</v>
          </cell>
          <cell r="H2812" t="str">
            <v>Poplar off cut</v>
          </cell>
          <cell r="I2812">
            <v>4</v>
          </cell>
        </row>
        <row r="2813">
          <cell r="A2813" t="str">
            <v>B557845/A</v>
          </cell>
          <cell r="B2813" t="str">
            <v>CZ130M191</v>
          </cell>
          <cell r="C2813">
            <v>2</v>
          </cell>
          <cell r="D2813">
            <v>577.72</v>
          </cell>
          <cell r="E2813">
            <v>1155.44</v>
          </cell>
          <cell r="F2813" t="str">
            <v>P09</v>
          </cell>
          <cell r="G2813" t="str">
            <v>Corner block - ke góc</v>
          </cell>
          <cell r="H2813" t="str">
            <v>Poplar off cut</v>
          </cell>
          <cell r="I2813">
            <v>4</v>
          </cell>
        </row>
        <row r="2814">
          <cell r="A2814" t="str">
            <v>B557845/A</v>
          </cell>
          <cell r="B2814" t="str">
            <v>CZ130M191</v>
          </cell>
          <cell r="C2814">
            <v>2</v>
          </cell>
          <cell r="D2814">
            <v>577.72</v>
          </cell>
          <cell r="E2814">
            <v>1155.44</v>
          </cell>
          <cell r="F2814" t="str">
            <v>P10</v>
          </cell>
          <cell r="G2814" t="str">
            <v>Bottom panel - Ván đáy</v>
          </cell>
          <cell r="H2814" t="str">
            <v>Cement Board - 20 x 1220 x 2440mm, Dark Grey</v>
          </cell>
          <cell r="I2814">
            <v>2</v>
          </cell>
        </row>
        <row r="2815">
          <cell r="A2815" t="str">
            <v>B557845/A</v>
          </cell>
          <cell r="B2815" t="str">
            <v>CZ130M191</v>
          </cell>
          <cell r="C2815">
            <v>2</v>
          </cell>
          <cell r="D2815">
            <v>577.72</v>
          </cell>
          <cell r="E2815">
            <v>1155.44</v>
          </cell>
          <cell r="F2815" t="str">
            <v>P12</v>
          </cell>
          <cell r="G2815" t="str">
            <v>Corner block - ke góc</v>
          </cell>
          <cell r="H2815" t="str">
            <v>Poplar off cut</v>
          </cell>
          <cell r="I2815">
            <v>4</v>
          </cell>
        </row>
        <row r="2816">
          <cell r="A2816" t="str">
            <v>B557845/A</v>
          </cell>
          <cell r="B2816" t="str">
            <v>CZ130M191</v>
          </cell>
          <cell r="C2816">
            <v>2</v>
          </cell>
          <cell r="D2816">
            <v>577.72</v>
          </cell>
          <cell r="E2816">
            <v>1155.44</v>
          </cell>
          <cell r="F2816" t="str">
            <v>P13</v>
          </cell>
          <cell r="G2816" t="str">
            <v>Spline - Lưỡi gà</v>
          </cell>
          <cell r="H2816" t="str">
            <v>Plywood LVD - 06 x 1220 x 2440mm, Bleached Poplar Veneer Both Sides [CARB P2 Compliant]</v>
          </cell>
          <cell r="I2816">
            <v>4</v>
          </cell>
        </row>
        <row r="2817">
          <cell r="A2817" t="str">
            <v>B557845/A</v>
          </cell>
          <cell r="B2817" t="str">
            <v>CZ130M191</v>
          </cell>
          <cell r="C2817">
            <v>2</v>
          </cell>
          <cell r="D2817">
            <v>577.72</v>
          </cell>
          <cell r="E2817">
            <v>1155.44</v>
          </cell>
          <cell r="F2817" t="str">
            <v>P14</v>
          </cell>
          <cell r="G2817" t="str">
            <v>Spline - Lưỡi gà</v>
          </cell>
          <cell r="H2817" t="str">
            <v>Plywood LVD - 06 x 1220 x 2440mm, Bleached Poplar Veneer Both Sides [CARB P2 Compliant]</v>
          </cell>
          <cell r="I2817">
            <v>2</v>
          </cell>
        </row>
        <row r="2818">
          <cell r="A2818" t="str">
            <v>B557845/A</v>
          </cell>
          <cell r="B2818" t="str">
            <v>CZ130M191</v>
          </cell>
          <cell r="C2818">
            <v>2</v>
          </cell>
          <cell r="D2818">
            <v>577.72</v>
          </cell>
          <cell r="E2818">
            <v>1155.44</v>
          </cell>
          <cell r="F2818" t="str">
            <v>P16</v>
          </cell>
          <cell r="G2818" t="str">
            <v>Patching wood - Gỗ đắp</v>
          </cell>
          <cell r="H2818" t="str">
            <v>wood off cut</v>
          </cell>
          <cell r="I2818">
            <v>4</v>
          </cell>
        </row>
        <row r="2819">
          <cell r="A2819" t="str">
            <v>B557845/A</v>
          </cell>
          <cell r="B2819" t="str">
            <v>CZ130M191</v>
          </cell>
          <cell r="C2819">
            <v>2</v>
          </cell>
          <cell r="D2819">
            <v>577.72</v>
          </cell>
          <cell r="E2819">
            <v>1155.44</v>
          </cell>
          <cell r="F2819" t="str">
            <v>P17</v>
          </cell>
          <cell r="G2819" t="str">
            <v>Cleat - Bọ gỗ</v>
          </cell>
          <cell r="H2819" t="str">
            <v>TRAM OFF CUT</v>
          </cell>
          <cell r="I2819">
            <v>4</v>
          </cell>
        </row>
        <row r="2820">
          <cell r="A2820" t="str">
            <v>B557849/A</v>
          </cell>
          <cell r="B2820" t="str">
            <v>CZ551M09</v>
          </cell>
          <cell r="C2820">
            <v>4</v>
          </cell>
          <cell r="D2820">
            <v>315.12</v>
          </cell>
          <cell r="E2820">
            <v>1260.48</v>
          </cell>
          <cell r="F2820" t="str">
            <v>A1-S1</v>
          </cell>
          <cell r="G2820" t="str">
            <v>Front Vertical rail  - Trụ tiền</v>
          </cell>
          <cell r="H2820" t="str">
            <v>Pre-Assembly</v>
          </cell>
          <cell r="I2820">
            <v>8</v>
          </cell>
        </row>
        <row r="2821">
          <cell r="A2821" t="str">
            <v>B557849/A</v>
          </cell>
          <cell r="B2821" t="str">
            <v>CZ551M09</v>
          </cell>
          <cell r="C2821">
            <v>4</v>
          </cell>
          <cell r="D2821">
            <v>315.12</v>
          </cell>
          <cell r="E2821">
            <v>1260.48</v>
          </cell>
          <cell r="F2821" t="str">
            <v>A1-S1-1</v>
          </cell>
          <cell r="G2821" t="str">
            <v>Front rail  - Đố tiền</v>
          </cell>
          <cell r="H2821" t="str">
            <v>Wood Rubber Laminate Board - 20 x 1220 x 2440mm, Veneer Poplar both Faces</v>
          </cell>
          <cell r="I2821">
            <v>8</v>
          </cell>
        </row>
        <row r="2822">
          <cell r="A2822" t="str">
            <v>B557849/A</v>
          </cell>
          <cell r="B2822" t="str">
            <v>CZ551M09</v>
          </cell>
          <cell r="C2822">
            <v>4</v>
          </cell>
          <cell r="D2822">
            <v>315.12</v>
          </cell>
          <cell r="E2822">
            <v>1260.48</v>
          </cell>
          <cell r="F2822" t="str">
            <v>A1-S1-2</v>
          </cell>
          <cell r="G2822" t="str">
            <v>Patching wood - Gỗ đắp</v>
          </cell>
          <cell r="H2822" t="str">
            <v>TRAM OFF CUT</v>
          </cell>
          <cell r="I2822">
            <v>8</v>
          </cell>
        </row>
        <row r="2823">
          <cell r="A2823" t="str">
            <v>B557849/A</v>
          </cell>
          <cell r="B2823" t="str">
            <v>CZ551M09</v>
          </cell>
          <cell r="C2823">
            <v>4</v>
          </cell>
          <cell r="D2823">
            <v>315.12</v>
          </cell>
          <cell r="E2823">
            <v>1260.48</v>
          </cell>
          <cell r="F2823" t="str">
            <v>A1-S2</v>
          </cell>
          <cell r="G2823" t="str">
            <v>Back leg - Chân hậu</v>
          </cell>
          <cell r="H2823" t="str">
            <v>Beech 2 COM</v>
          </cell>
          <cell r="I2823">
            <v>8</v>
          </cell>
        </row>
        <row r="2824">
          <cell r="A2824" t="str">
            <v>B557849/A</v>
          </cell>
          <cell r="B2824" t="str">
            <v>CZ551M09</v>
          </cell>
          <cell r="C2824">
            <v>4</v>
          </cell>
          <cell r="D2824">
            <v>315.12</v>
          </cell>
          <cell r="E2824">
            <v>1260.48</v>
          </cell>
          <cell r="F2824" t="str">
            <v>A1-S3</v>
          </cell>
          <cell r="G2824" t="str">
            <v xml:space="preserve">Side panel  - Ván hông </v>
          </cell>
          <cell r="H2824" t="str">
            <v>MDF - 15 x 1830 x 2440mm [CARB P2 Compliant]</v>
          </cell>
          <cell r="I2824">
            <v>8</v>
          </cell>
        </row>
        <row r="2825">
          <cell r="A2825" t="str">
            <v>B557849/A</v>
          </cell>
          <cell r="B2825" t="str">
            <v>CZ551M09</v>
          </cell>
          <cell r="C2825">
            <v>4</v>
          </cell>
          <cell r="D2825">
            <v>315.12</v>
          </cell>
          <cell r="E2825">
            <v>1260.48</v>
          </cell>
          <cell r="F2825" t="str">
            <v>A1-S4</v>
          </cell>
          <cell r="G2825" t="str">
            <v>Cleat - Bọ gỗ</v>
          </cell>
          <cell r="H2825" t="str">
            <v>Wood Rubber Laminate Board - 20 x 1220 x 2440mm, Veneer Poplar both Faces</v>
          </cell>
          <cell r="I2825">
            <v>8</v>
          </cell>
        </row>
        <row r="2826">
          <cell r="A2826" t="str">
            <v>B557849/A</v>
          </cell>
          <cell r="B2826" t="str">
            <v>CZ551M09</v>
          </cell>
          <cell r="C2826">
            <v>4</v>
          </cell>
          <cell r="D2826">
            <v>315.12</v>
          </cell>
          <cell r="E2826">
            <v>1260.48</v>
          </cell>
          <cell r="F2826" t="str">
            <v>A1-S5</v>
          </cell>
          <cell r="G2826" t="str">
            <v>side rail inside with note finger - Đố trong ghép finger</v>
          </cell>
          <cell r="H2826" t="str">
            <v>Pre-Assembly</v>
          </cell>
          <cell r="I2826">
            <v>16</v>
          </cell>
        </row>
        <row r="2827">
          <cell r="A2827" t="str">
            <v>B557849/A</v>
          </cell>
          <cell r="B2827" t="str">
            <v>CZ551M09</v>
          </cell>
          <cell r="C2827">
            <v>4</v>
          </cell>
          <cell r="D2827">
            <v>315.12</v>
          </cell>
          <cell r="E2827">
            <v>1260.48</v>
          </cell>
          <cell r="F2827" t="str">
            <v>A1-S5-1</v>
          </cell>
          <cell r="G2827" t="str">
            <v xml:space="preserve">Side rail  - Đố hông </v>
          </cell>
          <cell r="H2827" t="str">
            <v>Wood US Poplar - Straight Edged, 2 COM - T25mm x W100mm Up x L1.8m Up</v>
          </cell>
          <cell r="I2827">
            <v>16</v>
          </cell>
        </row>
        <row r="2828">
          <cell r="A2828" t="str">
            <v>B557849/A</v>
          </cell>
          <cell r="B2828" t="str">
            <v>CZ551M09</v>
          </cell>
          <cell r="C2828">
            <v>4</v>
          </cell>
          <cell r="D2828">
            <v>315.12</v>
          </cell>
          <cell r="E2828">
            <v>1260.48</v>
          </cell>
          <cell r="F2828" t="str">
            <v>A1-S5-2</v>
          </cell>
          <cell r="G2828" t="str">
            <v>Patching wood - Gỗ đắp</v>
          </cell>
          <cell r="H2828" t="str">
            <v>wood off cut</v>
          </cell>
          <cell r="I2828">
            <v>32</v>
          </cell>
        </row>
        <row r="2829">
          <cell r="A2829" t="str">
            <v>B557849/A</v>
          </cell>
          <cell r="B2829" t="str">
            <v>CZ551M09</v>
          </cell>
          <cell r="C2829">
            <v>4</v>
          </cell>
          <cell r="D2829">
            <v>315.12</v>
          </cell>
          <cell r="E2829">
            <v>1260.48</v>
          </cell>
          <cell r="F2829" t="str">
            <v>A4-S1</v>
          </cell>
          <cell r="G2829" t="str">
            <v>Front Bottom Rail  - Đố đáy trước</v>
          </cell>
          <cell r="H2829" t="str">
            <v>Wood Rubber Laminate Board - 20 x 1220 x 2440mm, Veneer Poplar both Faces</v>
          </cell>
          <cell r="I2829">
            <v>4</v>
          </cell>
        </row>
        <row r="2830">
          <cell r="A2830" t="str">
            <v>B557849/A</v>
          </cell>
          <cell r="B2830" t="str">
            <v>CZ551M09</v>
          </cell>
          <cell r="C2830">
            <v>4</v>
          </cell>
          <cell r="D2830">
            <v>315.12</v>
          </cell>
          <cell r="E2830">
            <v>1260.48</v>
          </cell>
          <cell r="F2830" t="str">
            <v>A4-S2</v>
          </cell>
          <cell r="G2830" t="str">
            <v>Back bottom rail - Đố hậu đáy</v>
          </cell>
          <cell r="H2830" t="str">
            <v>Wood Rubber Laminate Board - 20 x 1220 x 2440mm, Veneer Poplar both Faces</v>
          </cell>
          <cell r="I2830">
            <v>4</v>
          </cell>
        </row>
        <row r="2831">
          <cell r="A2831" t="str">
            <v>B557849/A</v>
          </cell>
          <cell r="B2831" t="str">
            <v>CZ551M09</v>
          </cell>
          <cell r="C2831">
            <v>4</v>
          </cell>
          <cell r="D2831">
            <v>315.12</v>
          </cell>
          <cell r="E2831">
            <v>1260.48</v>
          </cell>
          <cell r="F2831" t="str">
            <v>A4-S4</v>
          </cell>
          <cell r="G2831" t="str">
            <v>Dust board Panel  - Ván quét bụi</v>
          </cell>
          <cell r="H2831" t="str">
            <v>MDF - 06 x 1830 x 2440mm [CARB P2 Compliant]</v>
          </cell>
          <cell r="I2831">
            <v>4</v>
          </cell>
        </row>
        <row r="2832">
          <cell r="A2832" t="str">
            <v>B557849/A</v>
          </cell>
          <cell r="B2832" t="str">
            <v>CZ551M09</v>
          </cell>
          <cell r="C2832">
            <v>4</v>
          </cell>
          <cell r="D2832">
            <v>315.12</v>
          </cell>
          <cell r="E2832">
            <v>1260.48</v>
          </cell>
          <cell r="F2832" t="str">
            <v>A6-S1</v>
          </cell>
          <cell r="G2832" t="str">
            <v xml:space="preserve">Drawer front - Mặt hộc kéo </v>
          </cell>
          <cell r="H2832" t="str">
            <v>MDF Veneer</v>
          </cell>
          <cell r="I2832">
            <v>8</v>
          </cell>
        </row>
        <row r="2833">
          <cell r="A2833" t="str">
            <v>B557849/A</v>
          </cell>
          <cell r="B2833" t="str">
            <v>CZ551M09</v>
          </cell>
          <cell r="C2833">
            <v>4</v>
          </cell>
          <cell r="D2833">
            <v>315.12</v>
          </cell>
          <cell r="E2833">
            <v>1260.48</v>
          </cell>
          <cell r="F2833" t="str">
            <v>A6-S2</v>
          </cell>
          <cell r="G2833" t="str">
            <v>Drawer side - Hông hộc kéo</v>
          </cell>
          <cell r="H2833" t="str">
            <v>MDF-N - 12 x 1220 x 2440mm, Veneer Okoume 0.3mm Both Faces [CARB P2 Compliant]</v>
          </cell>
          <cell r="I2833">
            <v>16</v>
          </cell>
        </row>
        <row r="2834">
          <cell r="A2834" t="str">
            <v>B557849/A</v>
          </cell>
          <cell r="B2834" t="str">
            <v>CZ551M09</v>
          </cell>
          <cell r="C2834">
            <v>4</v>
          </cell>
          <cell r="D2834">
            <v>315.12</v>
          </cell>
          <cell r="E2834">
            <v>1260.48</v>
          </cell>
          <cell r="F2834" t="str">
            <v>A6-S3</v>
          </cell>
          <cell r="G2834" t="str">
            <v>Drawer back - Hậu hộc kéo</v>
          </cell>
          <cell r="H2834" t="str">
            <v>MDF - 12 x 1220 x 2440mm, Veneer Okoume 0.3mm Both Faces [CARB P2 Compliant]</v>
          </cell>
          <cell r="I2834">
            <v>8</v>
          </cell>
        </row>
        <row r="2835">
          <cell r="A2835" t="str">
            <v>B557849/A</v>
          </cell>
          <cell r="B2835" t="str">
            <v>CZ551M09</v>
          </cell>
          <cell r="C2835">
            <v>4</v>
          </cell>
          <cell r="D2835">
            <v>315.12</v>
          </cell>
          <cell r="E2835">
            <v>1260.48</v>
          </cell>
          <cell r="F2835" t="str">
            <v>A6-S4</v>
          </cell>
          <cell r="G2835" t="str">
            <v>Drawer bottom  - Đáy hộc kéo</v>
          </cell>
          <cell r="H2835" t="str">
            <v>MDF - 06 x 1220 x 2440mm, Veneer Okoume 0.3mm Both Faces [CARB P2 Compliant]</v>
          </cell>
          <cell r="I2835">
            <v>8</v>
          </cell>
        </row>
        <row r="2836">
          <cell r="A2836" t="str">
            <v>B557849/A</v>
          </cell>
          <cell r="B2836" t="str">
            <v>CZ551M09</v>
          </cell>
          <cell r="C2836">
            <v>4</v>
          </cell>
          <cell r="D2836">
            <v>315.12</v>
          </cell>
          <cell r="E2836">
            <v>1260.48</v>
          </cell>
          <cell r="F2836" t="str">
            <v>P01</v>
          </cell>
          <cell r="G2836" t="str">
            <v>Front top rail  - Đố tiền nóc</v>
          </cell>
          <cell r="H2836" t="str">
            <v>Wood Rubber Laminate Board - 20 x 1220 x 2440mm, Veneer Poplar both Faces</v>
          </cell>
          <cell r="I2836">
            <v>4</v>
          </cell>
        </row>
        <row r="2837">
          <cell r="A2837" t="str">
            <v>B557849/A</v>
          </cell>
          <cell r="B2837" t="str">
            <v>CZ551M09</v>
          </cell>
          <cell r="C2837">
            <v>4</v>
          </cell>
          <cell r="D2837">
            <v>315.12</v>
          </cell>
          <cell r="E2837">
            <v>1260.48</v>
          </cell>
          <cell r="F2837" t="str">
            <v>P02</v>
          </cell>
          <cell r="G2837" t="str">
            <v>Back rail with note finger - đố hậu</v>
          </cell>
          <cell r="H2837" t="str">
            <v>Wood Rubber Laminate Board - 20 x 1220 x 2440mm, Veneer Poplar both Faces</v>
          </cell>
          <cell r="I2837">
            <v>4</v>
          </cell>
        </row>
        <row r="2838">
          <cell r="A2838" t="str">
            <v>B557849/A</v>
          </cell>
          <cell r="B2838" t="str">
            <v>CZ551M09</v>
          </cell>
          <cell r="C2838">
            <v>4</v>
          </cell>
          <cell r="D2838">
            <v>315.12</v>
          </cell>
          <cell r="E2838">
            <v>1260.48</v>
          </cell>
          <cell r="F2838" t="str">
            <v>P03</v>
          </cell>
          <cell r="G2838" t="str">
            <v xml:space="preserve">Top panel  - Ván nóc </v>
          </cell>
          <cell r="H2838" t="str">
            <v>MDF - 15 x 1830 x 2440mm [CARB P2 Compliant]</v>
          </cell>
          <cell r="I2838">
            <v>4</v>
          </cell>
        </row>
        <row r="2839">
          <cell r="A2839" t="str">
            <v>B557849/A</v>
          </cell>
          <cell r="B2839" t="str">
            <v>CZ551M09</v>
          </cell>
          <cell r="C2839">
            <v>4</v>
          </cell>
          <cell r="D2839">
            <v>315.12</v>
          </cell>
          <cell r="E2839">
            <v>1260.48</v>
          </cell>
          <cell r="F2839" t="str">
            <v>P04</v>
          </cell>
          <cell r="G2839" t="str">
            <v>Spline - Lưỡi gà</v>
          </cell>
          <cell r="H2839" t="str">
            <v>Plywood LVD - 06 x 1220 x 2440mm, Bleached Poplar Veneer Both Sides [CARB P2 Compliant]</v>
          </cell>
          <cell r="I2839">
            <v>4</v>
          </cell>
        </row>
        <row r="2840">
          <cell r="A2840" t="str">
            <v>B557849/A</v>
          </cell>
          <cell r="B2840" t="str">
            <v>CZ551M09</v>
          </cell>
          <cell r="C2840">
            <v>4</v>
          </cell>
          <cell r="D2840">
            <v>315.12</v>
          </cell>
          <cell r="E2840">
            <v>1260.48</v>
          </cell>
          <cell r="F2840" t="str">
            <v>P05</v>
          </cell>
          <cell r="G2840" t="str">
            <v>Spline - Lưỡi gà</v>
          </cell>
          <cell r="H2840" t="str">
            <v>Plywood LVD - 06 x 1220 x 2440mm, Bleached Poplar Veneer Both Sides [CARB P2 Compliant]</v>
          </cell>
          <cell r="I2840">
            <v>8</v>
          </cell>
        </row>
        <row r="2841">
          <cell r="A2841" t="str">
            <v>B557849/A</v>
          </cell>
          <cell r="B2841" t="str">
            <v>CZ551M09</v>
          </cell>
          <cell r="C2841">
            <v>4</v>
          </cell>
          <cell r="D2841">
            <v>315.12</v>
          </cell>
          <cell r="E2841">
            <v>1260.48</v>
          </cell>
          <cell r="F2841" t="str">
            <v>P10</v>
          </cell>
          <cell r="G2841" t="str">
            <v>Back panel - Ván hậu</v>
          </cell>
          <cell r="H2841" t="str">
            <v>MDF - 06 x 1220 x 2440mm, Veneer Okoume 0.3mm Both Faces [CARB P2 Compliant]</v>
          </cell>
          <cell r="I2841">
            <v>4</v>
          </cell>
        </row>
        <row r="2842">
          <cell r="A2842" t="str">
            <v>B557849/A</v>
          </cell>
          <cell r="B2842" t="str">
            <v>CZ551M09</v>
          </cell>
          <cell r="C2842">
            <v>4</v>
          </cell>
          <cell r="D2842">
            <v>315.12</v>
          </cell>
          <cell r="E2842">
            <v>1260.48</v>
          </cell>
          <cell r="F2842" t="str">
            <v>P12</v>
          </cell>
          <cell r="G2842" t="str">
            <v>Corner block - ke góc</v>
          </cell>
          <cell r="H2842" t="str">
            <v>wood off cut</v>
          </cell>
          <cell r="I2842">
            <v>8</v>
          </cell>
        </row>
        <row r="2843">
          <cell r="A2843" t="str">
            <v>B557849/A</v>
          </cell>
          <cell r="B2843" t="str">
            <v>CZ551M09</v>
          </cell>
          <cell r="C2843">
            <v>4</v>
          </cell>
          <cell r="D2843">
            <v>315.12</v>
          </cell>
          <cell r="E2843">
            <v>1260.48</v>
          </cell>
          <cell r="F2843" t="str">
            <v>P13</v>
          </cell>
          <cell r="G2843" t="str">
            <v>Cleat - Bọ gỗ</v>
          </cell>
          <cell r="H2843" t="str">
            <v>Wood US Poplar - Straight Edged, 2 COM - T25mm x W100mm Up x L1.8m Up</v>
          </cell>
          <cell r="I2843">
            <v>8</v>
          </cell>
        </row>
        <row r="2844">
          <cell r="A2844" t="str">
            <v>B557849/A</v>
          </cell>
          <cell r="B2844" t="str">
            <v>CZ551M09</v>
          </cell>
          <cell r="C2844">
            <v>4</v>
          </cell>
          <cell r="D2844">
            <v>315.12</v>
          </cell>
          <cell r="E2844">
            <v>1260.48</v>
          </cell>
          <cell r="F2844" t="str">
            <v>P14</v>
          </cell>
          <cell r="G2844" t="str">
            <v>Drawer stop - Dừng hộc</v>
          </cell>
          <cell r="H2844" t="str">
            <v>Poplar off cut</v>
          </cell>
          <cell r="I2844">
            <v>16</v>
          </cell>
        </row>
        <row r="2845">
          <cell r="A2845" t="str">
            <v>B557849/A</v>
          </cell>
          <cell r="B2845" t="str">
            <v>CZ551M09</v>
          </cell>
          <cell r="C2845">
            <v>4</v>
          </cell>
          <cell r="D2845">
            <v>315.12</v>
          </cell>
          <cell r="E2845">
            <v>1260.48</v>
          </cell>
          <cell r="F2845" t="str">
            <v>P15</v>
          </cell>
          <cell r="G2845" t="str">
            <v>Front rail  - Đố tiền</v>
          </cell>
          <cell r="H2845" t="str">
            <v>Wood US Poplar - Straight Edged, 2 COM - T25mm x W100mm Up x L1.8m Up</v>
          </cell>
          <cell r="I2845">
            <v>4</v>
          </cell>
        </row>
        <row r="2846">
          <cell r="A2846" t="str">
            <v>B557850/A</v>
          </cell>
          <cell r="B2846" t="str">
            <v>CZ551M09</v>
          </cell>
          <cell r="C2846">
            <v>3</v>
          </cell>
          <cell r="D2846">
            <v>315.12</v>
          </cell>
          <cell r="E2846">
            <v>945.36</v>
          </cell>
          <cell r="F2846" t="str">
            <v>A1-S1</v>
          </cell>
          <cell r="G2846" t="str">
            <v>Front Vertical rail  - Trụ tiền</v>
          </cell>
          <cell r="H2846" t="str">
            <v>Pre-Assembly</v>
          </cell>
          <cell r="I2846">
            <v>6</v>
          </cell>
        </row>
        <row r="2847">
          <cell r="A2847" t="str">
            <v>B557850/A</v>
          </cell>
          <cell r="B2847" t="str">
            <v>CZ551M09</v>
          </cell>
          <cell r="C2847">
            <v>3</v>
          </cell>
          <cell r="D2847">
            <v>315.12</v>
          </cell>
          <cell r="E2847">
            <v>945.36</v>
          </cell>
          <cell r="F2847" t="str">
            <v>A1-S1-1</v>
          </cell>
          <cell r="G2847" t="str">
            <v>Front rail  - Đố tiền</v>
          </cell>
          <cell r="H2847" t="str">
            <v>Wood Rubber Laminate Board - 20 x 1220 x 2440mm, Veneer Poplar both Faces</v>
          </cell>
          <cell r="I2847">
            <v>6</v>
          </cell>
        </row>
        <row r="2848">
          <cell r="A2848" t="str">
            <v>B557850/A</v>
          </cell>
          <cell r="B2848" t="str">
            <v>CZ551M09</v>
          </cell>
          <cell r="C2848">
            <v>3</v>
          </cell>
          <cell r="D2848">
            <v>315.12</v>
          </cell>
          <cell r="E2848">
            <v>945.36</v>
          </cell>
          <cell r="F2848" t="str">
            <v>A1-S1-2</v>
          </cell>
          <cell r="G2848" t="str">
            <v>Patching wood - Gỗ đắp</v>
          </cell>
          <cell r="H2848" t="str">
            <v>TRAM OFF CUT</v>
          </cell>
          <cell r="I2848">
            <v>6</v>
          </cell>
        </row>
        <row r="2849">
          <cell r="A2849" t="str">
            <v>B557850/A</v>
          </cell>
          <cell r="B2849" t="str">
            <v>CZ551M09</v>
          </cell>
          <cell r="C2849">
            <v>3</v>
          </cell>
          <cell r="D2849">
            <v>315.12</v>
          </cell>
          <cell r="E2849">
            <v>945.36</v>
          </cell>
          <cell r="F2849" t="str">
            <v>A1-S2</v>
          </cell>
          <cell r="G2849" t="str">
            <v>Back leg - Chân hậu</v>
          </cell>
          <cell r="H2849" t="str">
            <v>Beech 2 COM</v>
          </cell>
          <cell r="I2849">
            <v>6</v>
          </cell>
        </row>
        <row r="2850">
          <cell r="A2850" t="str">
            <v>B557850/A</v>
          </cell>
          <cell r="B2850" t="str">
            <v>CZ551M09</v>
          </cell>
          <cell r="C2850">
            <v>3</v>
          </cell>
          <cell r="D2850">
            <v>315.12</v>
          </cell>
          <cell r="E2850">
            <v>945.36</v>
          </cell>
          <cell r="F2850" t="str">
            <v>A1-S3</v>
          </cell>
          <cell r="G2850" t="str">
            <v xml:space="preserve">Side panel  - Ván hông </v>
          </cell>
          <cell r="H2850" t="str">
            <v>MDF - 15 x 1830 x 2440mm [CARB P2 Compliant]</v>
          </cell>
          <cell r="I2850">
            <v>6</v>
          </cell>
        </row>
        <row r="2851">
          <cell r="A2851" t="str">
            <v>B557850/A</v>
          </cell>
          <cell r="B2851" t="str">
            <v>CZ551M09</v>
          </cell>
          <cell r="C2851">
            <v>3</v>
          </cell>
          <cell r="D2851">
            <v>315.12</v>
          </cell>
          <cell r="E2851">
            <v>945.36</v>
          </cell>
          <cell r="F2851" t="str">
            <v>A1-S4</v>
          </cell>
          <cell r="G2851" t="str">
            <v>Cleat - Bọ gỗ</v>
          </cell>
          <cell r="H2851" t="str">
            <v>Wood Rubber Laminate Board - 20 x 1220 x 2440mm, Veneer Poplar both Faces</v>
          </cell>
          <cell r="I2851">
            <v>6</v>
          </cell>
        </row>
        <row r="2852">
          <cell r="A2852" t="str">
            <v>B557850/A</v>
          </cell>
          <cell r="B2852" t="str">
            <v>CZ551M09</v>
          </cell>
          <cell r="C2852">
            <v>3</v>
          </cell>
          <cell r="D2852">
            <v>315.12</v>
          </cell>
          <cell r="E2852">
            <v>945.36</v>
          </cell>
          <cell r="F2852" t="str">
            <v>A1-S5</v>
          </cell>
          <cell r="G2852" t="str">
            <v>side rail inside with note finger - Đố trong ghép finger</v>
          </cell>
          <cell r="H2852" t="str">
            <v>Pre-Assembly</v>
          </cell>
          <cell r="I2852">
            <v>12</v>
          </cell>
        </row>
        <row r="2853">
          <cell r="A2853" t="str">
            <v>B557850/A</v>
          </cell>
          <cell r="B2853" t="str">
            <v>CZ551M09</v>
          </cell>
          <cell r="C2853">
            <v>3</v>
          </cell>
          <cell r="D2853">
            <v>315.12</v>
          </cell>
          <cell r="E2853">
            <v>945.36</v>
          </cell>
          <cell r="F2853" t="str">
            <v>A1-S5-1</v>
          </cell>
          <cell r="G2853" t="str">
            <v xml:space="preserve">Side rail  - Đố hông </v>
          </cell>
          <cell r="H2853" t="str">
            <v>Wood US Poplar - Straight Edged, 2 COM - T25mm x W100mm Up x L1.8m Up</v>
          </cell>
          <cell r="I2853">
            <v>12</v>
          </cell>
        </row>
        <row r="2854">
          <cell r="A2854" t="str">
            <v>B557850/A</v>
          </cell>
          <cell r="B2854" t="str">
            <v>CZ551M09</v>
          </cell>
          <cell r="C2854">
            <v>3</v>
          </cell>
          <cell r="D2854">
            <v>315.12</v>
          </cell>
          <cell r="E2854">
            <v>945.36</v>
          </cell>
          <cell r="F2854" t="str">
            <v>A1-S5-2</v>
          </cell>
          <cell r="G2854" t="str">
            <v>Patching wood - Gỗ đắp</v>
          </cell>
          <cell r="H2854" t="str">
            <v>wood off cut</v>
          </cell>
          <cell r="I2854">
            <v>24</v>
          </cell>
        </row>
        <row r="2855">
          <cell r="A2855" t="str">
            <v>B557850/A</v>
          </cell>
          <cell r="B2855" t="str">
            <v>CZ551M09</v>
          </cell>
          <cell r="C2855">
            <v>3</v>
          </cell>
          <cell r="D2855">
            <v>315.12</v>
          </cell>
          <cell r="E2855">
            <v>945.36</v>
          </cell>
          <cell r="F2855" t="str">
            <v>A4-S1</v>
          </cell>
          <cell r="G2855" t="str">
            <v>Front Bottom Rail  - Đố đáy trước</v>
          </cell>
          <cell r="H2855" t="str">
            <v>Wood Rubber Laminate Board - 20 x 1220 x 2440mm, Veneer Poplar both Faces</v>
          </cell>
          <cell r="I2855">
            <v>3</v>
          </cell>
        </row>
        <row r="2856">
          <cell r="A2856" t="str">
            <v>B557850/A</v>
          </cell>
          <cell r="B2856" t="str">
            <v>CZ551M09</v>
          </cell>
          <cell r="C2856">
            <v>3</v>
          </cell>
          <cell r="D2856">
            <v>315.12</v>
          </cell>
          <cell r="E2856">
            <v>945.36</v>
          </cell>
          <cell r="F2856" t="str">
            <v>A4-S2</v>
          </cell>
          <cell r="G2856" t="str">
            <v>Back bottom rail - Đố hậu đáy</v>
          </cell>
          <cell r="H2856" t="str">
            <v>Wood Rubber Laminate Board - 20 x 1220 x 2440mm, Veneer Poplar both Faces</v>
          </cell>
          <cell r="I2856">
            <v>3</v>
          </cell>
        </row>
        <row r="2857">
          <cell r="A2857" t="str">
            <v>B557850/A</v>
          </cell>
          <cell r="B2857" t="str">
            <v>CZ551M09</v>
          </cell>
          <cell r="C2857">
            <v>3</v>
          </cell>
          <cell r="D2857">
            <v>315.12</v>
          </cell>
          <cell r="E2857">
            <v>945.36</v>
          </cell>
          <cell r="F2857" t="str">
            <v>A4-S4</v>
          </cell>
          <cell r="G2857" t="str">
            <v>Dust board Panel  - Ván quét bụi</v>
          </cell>
          <cell r="H2857" t="str">
            <v>MDF - 06 x 1830 x 2440mm [CARB P2 Compliant]</v>
          </cell>
          <cell r="I2857">
            <v>3</v>
          </cell>
        </row>
        <row r="2858">
          <cell r="A2858" t="str">
            <v>B557850/A</v>
          </cell>
          <cell r="B2858" t="str">
            <v>CZ551M09</v>
          </cell>
          <cell r="C2858">
            <v>3</v>
          </cell>
          <cell r="D2858">
            <v>315.12</v>
          </cell>
          <cell r="E2858">
            <v>945.36</v>
          </cell>
          <cell r="F2858" t="str">
            <v>A6-S1</v>
          </cell>
          <cell r="G2858" t="str">
            <v xml:space="preserve">Drawer front - Mặt hộc kéo </v>
          </cell>
          <cell r="H2858" t="str">
            <v>MDF Veneer</v>
          </cell>
          <cell r="I2858">
            <v>6</v>
          </cell>
        </row>
        <row r="2859">
          <cell r="A2859" t="str">
            <v>B557850/A</v>
          </cell>
          <cell r="B2859" t="str">
            <v>CZ551M09</v>
          </cell>
          <cell r="C2859">
            <v>3</v>
          </cell>
          <cell r="D2859">
            <v>315.12</v>
          </cell>
          <cell r="E2859">
            <v>945.36</v>
          </cell>
          <cell r="F2859" t="str">
            <v>A6-S2</v>
          </cell>
          <cell r="G2859" t="str">
            <v>Drawer side - Hông hộc kéo</v>
          </cell>
          <cell r="H2859" t="str">
            <v>MDF-N - 12 x 1220 x 2440mm, Veneer Okoume 0.3mm Both Faces [CARB P2 Compliant]</v>
          </cell>
          <cell r="I2859">
            <v>12</v>
          </cell>
        </row>
        <row r="2860">
          <cell r="A2860" t="str">
            <v>B557850/A</v>
          </cell>
          <cell r="B2860" t="str">
            <v>CZ551M09</v>
          </cell>
          <cell r="C2860">
            <v>3</v>
          </cell>
          <cell r="D2860">
            <v>315.12</v>
          </cell>
          <cell r="E2860">
            <v>945.36</v>
          </cell>
          <cell r="F2860" t="str">
            <v>A6-S3</v>
          </cell>
          <cell r="G2860" t="str">
            <v>Drawer back - Hậu hộc kéo</v>
          </cell>
          <cell r="H2860" t="str">
            <v>MDF - 12 x 1220 x 2440mm, Veneer Okoume 0.3mm Both Faces [CARB P2 Compliant]</v>
          </cell>
          <cell r="I2860">
            <v>6</v>
          </cell>
        </row>
        <row r="2861">
          <cell r="A2861" t="str">
            <v>B557850/A</v>
          </cell>
          <cell r="B2861" t="str">
            <v>CZ551M09</v>
          </cell>
          <cell r="C2861">
            <v>3</v>
          </cell>
          <cell r="D2861">
            <v>315.12</v>
          </cell>
          <cell r="E2861">
            <v>945.36</v>
          </cell>
          <cell r="F2861" t="str">
            <v>A6-S4</v>
          </cell>
          <cell r="G2861" t="str">
            <v>Drawer bottom  - Đáy hộc kéo</v>
          </cell>
          <cell r="H2861" t="str">
            <v>MDF - 06 x 1220 x 2440mm, Veneer Okoume 0.3mm Both Faces [CARB P2 Compliant]</v>
          </cell>
          <cell r="I2861">
            <v>6</v>
          </cell>
        </row>
        <row r="2862">
          <cell r="A2862" t="str">
            <v>B557850/A</v>
          </cell>
          <cell r="B2862" t="str">
            <v>CZ551M09</v>
          </cell>
          <cell r="C2862">
            <v>3</v>
          </cell>
          <cell r="D2862">
            <v>315.12</v>
          </cell>
          <cell r="E2862">
            <v>945.36</v>
          </cell>
          <cell r="F2862" t="str">
            <v>P01</v>
          </cell>
          <cell r="G2862" t="str">
            <v>Front top rail  - Đố tiền nóc</v>
          </cell>
          <cell r="H2862" t="str">
            <v>Wood Rubber Laminate Board - 20 x 1220 x 2440mm, Veneer Poplar both Faces</v>
          </cell>
          <cell r="I2862">
            <v>3</v>
          </cell>
        </row>
        <row r="2863">
          <cell r="A2863" t="str">
            <v>B557850/A</v>
          </cell>
          <cell r="B2863" t="str">
            <v>CZ551M09</v>
          </cell>
          <cell r="C2863">
            <v>3</v>
          </cell>
          <cell r="D2863">
            <v>315.12</v>
          </cell>
          <cell r="E2863">
            <v>945.36</v>
          </cell>
          <cell r="F2863" t="str">
            <v>P02</v>
          </cell>
          <cell r="G2863" t="str">
            <v>Back rail with note finger - đố hậu</v>
          </cell>
          <cell r="H2863" t="str">
            <v>Wood Rubber Laminate Board - 20 x 1220 x 2440mm, Veneer Poplar both Faces</v>
          </cell>
          <cell r="I2863">
            <v>3</v>
          </cell>
        </row>
        <row r="2864">
          <cell r="A2864" t="str">
            <v>B557850/A</v>
          </cell>
          <cell r="B2864" t="str">
            <v>CZ551M09</v>
          </cell>
          <cell r="C2864">
            <v>3</v>
          </cell>
          <cell r="D2864">
            <v>315.12</v>
          </cell>
          <cell r="E2864">
            <v>945.36</v>
          </cell>
          <cell r="F2864" t="str">
            <v>P03</v>
          </cell>
          <cell r="G2864" t="str">
            <v xml:space="preserve">Top panel  - Ván nóc </v>
          </cell>
          <cell r="H2864" t="str">
            <v>MDF - 15 x 1830 x 2440mm [CARB P2 Compliant]</v>
          </cell>
          <cell r="I2864">
            <v>3</v>
          </cell>
        </row>
        <row r="2865">
          <cell r="A2865" t="str">
            <v>B557850/A</v>
          </cell>
          <cell r="B2865" t="str">
            <v>CZ551M09</v>
          </cell>
          <cell r="C2865">
            <v>3</v>
          </cell>
          <cell r="D2865">
            <v>315.12</v>
          </cell>
          <cell r="E2865">
            <v>945.36</v>
          </cell>
          <cell r="F2865" t="str">
            <v>P04</v>
          </cell>
          <cell r="G2865" t="str">
            <v>Spline - Lưỡi gà</v>
          </cell>
          <cell r="H2865" t="str">
            <v>Plywood LVD - 06 x 1220 x 2440mm, Bleached Poplar Veneer Both Sides [CARB P2 Compliant]</v>
          </cell>
          <cell r="I2865">
            <v>3</v>
          </cell>
        </row>
        <row r="2866">
          <cell r="A2866" t="str">
            <v>B557850/A</v>
          </cell>
          <cell r="B2866" t="str">
            <v>CZ551M09</v>
          </cell>
          <cell r="C2866">
            <v>3</v>
          </cell>
          <cell r="D2866">
            <v>315.12</v>
          </cell>
          <cell r="E2866">
            <v>945.36</v>
          </cell>
          <cell r="F2866" t="str">
            <v>P05</v>
          </cell>
          <cell r="G2866" t="str">
            <v>Spline - Lưỡi gà</v>
          </cell>
          <cell r="H2866" t="str">
            <v>Plywood LVD - 06 x 1220 x 2440mm, Bleached Poplar Veneer Both Sides [CARB P2 Compliant]</v>
          </cell>
          <cell r="I2866">
            <v>6</v>
          </cell>
        </row>
        <row r="2867">
          <cell r="A2867" t="str">
            <v>B557850/A</v>
          </cell>
          <cell r="B2867" t="str">
            <v>CZ551M09</v>
          </cell>
          <cell r="C2867">
            <v>3</v>
          </cell>
          <cell r="D2867">
            <v>315.12</v>
          </cell>
          <cell r="E2867">
            <v>945.36</v>
          </cell>
          <cell r="F2867" t="str">
            <v>P10</v>
          </cell>
          <cell r="G2867" t="str">
            <v>Back panel - Ván hậu</v>
          </cell>
          <cell r="H2867" t="str">
            <v>MDF - 06 x 1220 x 2440mm, Veneer Okoume 0.3mm Both Faces [CARB P2 Compliant]</v>
          </cell>
          <cell r="I2867">
            <v>3</v>
          </cell>
        </row>
        <row r="2868">
          <cell r="A2868" t="str">
            <v>B557850/A</v>
          </cell>
          <cell r="B2868" t="str">
            <v>CZ551M09</v>
          </cell>
          <cell r="C2868">
            <v>3</v>
          </cell>
          <cell r="D2868">
            <v>315.12</v>
          </cell>
          <cell r="E2868">
            <v>945.36</v>
          </cell>
          <cell r="F2868" t="str">
            <v>P12</v>
          </cell>
          <cell r="G2868" t="str">
            <v>Corner block - ke góc</v>
          </cell>
          <cell r="H2868" t="str">
            <v>wood off cut</v>
          </cell>
          <cell r="I2868">
            <v>6</v>
          </cell>
        </row>
        <row r="2869">
          <cell r="A2869" t="str">
            <v>B557850/A</v>
          </cell>
          <cell r="B2869" t="str">
            <v>CZ551M09</v>
          </cell>
          <cell r="C2869">
            <v>3</v>
          </cell>
          <cell r="D2869">
            <v>315.12</v>
          </cell>
          <cell r="E2869">
            <v>945.36</v>
          </cell>
          <cell r="F2869" t="str">
            <v>P13</v>
          </cell>
          <cell r="G2869" t="str">
            <v>Cleat - Bọ gỗ</v>
          </cell>
          <cell r="H2869" t="str">
            <v>Wood US Poplar - Straight Edged, 2 COM - T25mm x W100mm Up x L1.8m Up</v>
          </cell>
          <cell r="I2869">
            <v>6</v>
          </cell>
        </row>
        <row r="2870">
          <cell r="A2870" t="str">
            <v>B557850/A</v>
          </cell>
          <cell r="B2870" t="str">
            <v>CZ551M09</v>
          </cell>
          <cell r="C2870">
            <v>3</v>
          </cell>
          <cell r="D2870">
            <v>315.12</v>
          </cell>
          <cell r="E2870">
            <v>945.36</v>
          </cell>
          <cell r="F2870" t="str">
            <v>P14</v>
          </cell>
          <cell r="G2870" t="str">
            <v>Drawer stop - Dừng hộc</v>
          </cell>
          <cell r="H2870" t="str">
            <v>Poplar off cut</v>
          </cell>
          <cell r="I2870">
            <v>12</v>
          </cell>
        </row>
        <row r="2871">
          <cell r="A2871" t="str">
            <v>B557850/A</v>
          </cell>
          <cell r="B2871" t="str">
            <v>CZ551M09</v>
          </cell>
          <cell r="C2871">
            <v>3</v>
          </cell>
          <cell r="D2871">
            <v>315.12</v>
          </cell>
          <cell r="E2871">
            <v>945.36</v>
          </cell>
          <cell r="F2871" t="str">
            <v>P15</v>
          </cell>
          <cell r="G2871" t="str">
            <v>Front rail  - Đố tiền</v>
          </cell>
          <cell r="H2871" t="str">
            <v>Wood US Poplar - Straight Edged, 2 COM - T25mm x W100mm Up x L1.8m Up</v>
          </cell>
          <cell r="I2871">
            <v>3</v>
          </cell>
        </row>
        <row r="2872">
          <cell r="A2872" t="str">
            <v>B557853/A</v>
          </cell>
          <cell r="B2872" t="str">
            <v>CZ551M10</v>
          </cell>
          <cell r="C2872">
            <v>20</v>
          </cell>
          <cell r="D2872">
            <v>315.12</v>
          </cell>
          <cell r="E2872">
            <v>6302.4</v>
          </cell>
          <cell r="F2872" t="str">
            <v>A1-S1</v>
          </cell>
          <cell r="G2872" t="str">
            <v>Front Vertical rail  - Trụ tiền</v>
          </cell>
          <cell r="H2872" t="str">
            <v>Pre-Assembly</v>
          </cell>
          <cell r="I2872">
            <v>40</v>
          </cell>
        </row>
        <row r="2873">
          <cell r="A2873" t="str">
            <v>B557853/A</v>
          </cell>
          <cell r="B2873" t="str">
            <v>CZ551M10</v>
          </cell>
          <cell r="C2873">
            <v>20</v>
          </cell>
          <cell r="D2873">
            <v>315.12</v>
          </cell>
          <cell r="E2873">
            <v>6302.4</v>
          </cell>
          <cell r="F2873" t="str">
            <v>A1-S1-1</v>
          </cell>
          <cell r="G2873" t="str">
            <v>Front rail  - Đố tiền</v>
          </cell>
          <cell r="H2873" t="str">
            <v>Wood Rubber Laminate Board - 20 x 1220 x 2440mm, Veneer Poplar both Faces</v>
          </cell>
          <cell r="I2873">
            <v>40</v>
          </cell>
        </row>
        <row r="2874">
          <cell r="A2874" t="str">
            <v>B557853/A</v>
          </cell>
          <cell r="B2874" t="str">
            <v>CZ551M10</v>
          </cell>
          <cell r="C2874">
            <v>20</v>
          </cell>
          <cell r="D2874">
            <v>315.12</v>
          </cell>
          <cell r="E2874">
            <v>6302.4</v>
          </cell>
          <cell r="F2874" t="str">
            <v>A1-S1-2</v>
          </cell>
          <cell r="G2874" t="str">
            <v>Patching wood - Gỗ đắp</v>
          </cell>
          <cell r="H2874" t="str">
            <v>TRAM OFF CUT</v>
          </cell>
          <cell r="I2874">
            <v>40</v>
          </cell>
        </row>
        <row r="2875">
          <cell r="A2875" t="str">
            <v>B557853/A</v>
          </cell>
          <cell r="B2875" t="str">
            <v>CZ551M10</v>
          </cell>
          <cell r="C2875">
            <v>20</v>
          </cell>
          <cell r="D2875">
            <v>315.12</v>
          </cell>
          <cell r="E2875">
            <v>6302.4</v>
          </cell>
          <cell r="F2875" t="str">
            <v>A1-S2</v>
          </cell>
          <cell r="G2875" t="str">
            <v>Back leg - Chân hậu</v>
          </cell>
          <cell r="H2875" t="str">
            <v>Beech 2 COM</v>
          </cell>
          <cell r="I2875">
            <v>40</v>
          </cell>
        </row>
        <row r="2876">
          <cell r="A2876" t="str">
            <v>B557853/A</v>
          </cell>
          <cell r="B2876" t="str">
            <v>CZ551M10</v>
          </cell>
          <cell r="C2876">
            <v>20</v>
          </cell>
          <cell r="D2876">
            <v>315.12</v>
          </cell>
          <cell r="E2876">
            <v>6302.4</v>
          </cell>
          <cell r="F2876" t="str">
            <v>A1-S3</v>
          </cell>
          <cell r="G2876" t="str">
            <v xml:space="preserve">Side panel  - Ván hông </v>
          </cell>
          <cell r="H2876" t="str">
            <v>MDF - 15 x 1830 x 2440mm [CARB P2 Compliant]</v>
          </cell>
          <cell r="I2876">
            <v>40</v>
          </cell>
        </row>
        <row r="2877">
          <cell r="A2877" t="str">
            <v>B557853/A</v>
          </cell>
          <cell r="B2877" t="str">
            <v>CZ551M10</v>
          </cell>
          <cell r="C2877">
            <v>20</v>
          </cell>
          <cell r="D2877">
            <v>315.12</v>
          </cell>
          <cell r="E2877">
            <v>6302.4</v>
          </cell>
          <cell r="F2877" t="str">
            <v>A1-S4</v>
          </cell>
          <cell r="G2877" t="str">
            <v>Cleat - Bọ gỗ</v>
          </cell>
          <cell r="H2877" t="str">
            <v>Wood Rubber Laminate Board - 20 x 1220 x 2440mm, Veneer Poplar both Faces</v>
          </cell>
          <cell r="I2877">
            <v>40</v>
          </cell>
        </row>
        <row r="2878">
          <cell r="A2878" t="str">
            <v>B557853/A</v>
          </cell>
          <cell r="B2878" t="str">
            <v>CZ551M10</v>
          </cell>
          <cell r="C2878">
            <v>20</v>
          </cell>
          <cell r="D2878">
            <v>315.12</v>
          </cell>
          <cell r="E2878">
            <v>6302.4</v>
          </cell>
          <cell r="F2878" t="str">
            <v>A1-S5</v>
          </cell>
          <cell r="G2878" t="str">
            <v>side rail inside with note finger - Đố trong ghép finger</v>
          </cell>
          <cell r="H2878" t="str">
            <v>Pre-Assembly</v>
          </cell>
          <cell r="I2878">
            <v>80</v>
          </cell>
        </row>
        <row r="2879">
          <cell r="A2879" t="str">
            <v>B557853/A</v>
          </cell>
          <cell r="B2879" t="str">
            <v>CZ551M10</v>
          </cell>
          <cell r="C2879">
            <v>20</v>
          </cell>
          <cell r="D2879">
            <v>315.12</v>
          </cell>
          <cell r="E2879">
            <v>6302.4</v>
          </cell>
          <cell r="F2879" t="str">
            <v>A1-S5-1</v>
          </cell>
          <cell r="G2879" t="str">
            <v xml:space="preserve">Side rail  - Đố hông </v>
          </cell>
          <cell r="H2879" t="str">
            <v>Wood US Poplar - Straight Edged, 2 COM - T25mm x W100mm Up x L1.8m Up</v>
          </cell>
          <cell r="I2879">
            <v>80</v>
          </cell>
        </row>
        <row r="2880">
          <cell r="A2880" t="str">
            <v>B557853/A</v>
          </cell>
          <cell r="B2880" t="str">
            <v>CZ551M10</v>
          </cell>
          <cell r="C2880">
            <v>20</v>
          </cell>
          <cell r="D2880">
            <v>315.12</v>
          </cell>
          <cell r="E2880">
            <v>6302.4</v>
          </cell>
          <cell r="F2880" t="str">
            <v>A1-S5-2</v>
          </cell>
          <cell r="G2880" t="str">
            <v>Patching wood - Gỗ đắp</v>
          </cell>
          <cell r="H2880" t="str">
            <v>wood off cut</v>
          </cell>
          <cell r="I2880">
            <v>160</v>
          </cell>
        </row>
        <row r="2881">
          <cell r="A2881" t="str">
            <v>B557853/A</v>
          </cell>
          <cell r="B2881" t="str">
            <v>CZ551M10</v>
          </cell>
          <cell r="C2881">
            <v>20</v>
          </cell>
          <cell r="D2881">
            <v>315.12</v>
          </cell>
          <cell r="E2881">
            <v>6302.4</v>
          </cell>
          <cell r="F2881" t="str">
            <v>A4-S1</v>
          </cell>
          <cell r="G2881" t="str">
            <v>Front Bottom Rail  - Đố đáy trước</v>
          </cell>
          <cell r="H2881" t="str">
            <v>Wood Rubber Laminate Board - 20 x 1220 x 2440mm, Veneer Poplar both Faces</v>
          </cell>
          <cell r="I2881">
            <v>20</v>
          </cell>
        </row>
        <row r="2882">
          <cell r="A2882" t="str">
            <v>B557853/A</v>
          </cell>
          <cell r="B2882" t="str">
            <v>CZ551M10</v>
          </cell>
          <cell r="C2882">
            <v>20</v>
          </cell>
          <cell r="D2882">
            <v>315.12</v>
          </cell>
          <cell r="E2882">
            <v>6302.4</v>
          </cell>
          <cell r="F2882" t="str">
            <v>A4-S2</v>
          </cell>
          <cell r="G2882" t="str">
            <v>Back bottom rail - Đố hậu đáy</v>
          </cell>
          <cell r="H2882" t="str">
            <v>Wood Rubber Laminate Board - 20 x 1220 x 2440mm, Veneer Poplar both Faces</v>
          </cell>
          <cell r="I2882">
            <v>20</v>
          </cell>
        </row>
        <row r="2883">
          <cell r="A2883" t="str">
            <v>B557853/A</v>
          </cell>
          <cell r="B2883" t="str">
            <v>CZ551M10</v>
          </cell>
          <cell r="C2883">
            <v>20</v>
          </cell>
          <cell r="D2883">
            <v>315.12</v>
          </cell>
          <cell r="E2883">
            <v>6302.4</v>
          </cell>
          <cell r="F2883" t="str">
            <v>A4-S4</v>
          </cell>
          <cell r="G2883" t="str">
            <v>Dust board Panel  - Ván quét bụi</v>
          </cell>
          <cell r="H2883" t="str">
            <v>MDF - 06 x 1830 x 2440mm [CARB P2 Compliant]</v>
          </cell>
          <cell r="I2883">
            <v>20</v>
          </cell>
        </row>
        <row r="2884">
          <cell r="A2884" t="str">
            <v>B557853/A</v>
          </cell>
          <cell r="B2884" t="str">
            <v>CZ551M10</v>
          </cell>
          <cell r="C2884">
            <v>20</v>
          </cell>
          <cell r="D2884">
            <v>315.12</v>
          </cell>
          <cell r="E2884">
            <v>6302.4</v>
          </cell>
          <cell r="F2884" t="str">
            <v>A6-S1</v>
          </cell>
          <cell r="G2884" t="str">
            <v xml:space="preserve">Drawer front - Mặt hộc kéo </v>
          </cell>
          <cell r="H2884" t="str">
            <v>MDF Veneer</v>
          </cell>
          <cell r="I2884">
            <v>40</v>
          </cell>
        </row>
        <row r="2885">
          <cell r="A2885" t="str">
            <v>B557853/A</v>
          </cell>
          <cell r="B2885" t="str">
            <v>CZ551M10</v>
          </cell>
          <cell r="C2885">
            <v>20</v>
          </cell>
          <cell r="D2885">
            <v>315.12</v>
          </cell>
          <cell r="E2885">
            <v>6302.4</v>
          </cell>
          <cell r="F2885" t="str">
            <v>A6-S2</v>
          </cell>
          <cell r="G2885" t="str">
            <v>Drawer side - Hông hộc kéo</v>
          </cell>
          <cell r="H2885" t="str">
            <v>MDF-N - 12 x 1220 x 2440mm, Veneer Okoume 0.3mm Both Faces [CARB P2 Compliant]</v>
          </cell>
          <cell r="I2885">
            <v>80</v>
          </cell>
        </row>
        <row r="2886">
          <cell r="A2886" t="str">
            <v>B557853/A</v>
          </cell>
          <cell r="B2886" t="str">
            <v>CZ551M10</v>
          </cell>
          <cell r="C2886">
            <v>20</v>
          </cell>
          <cell r="D2886">
            <v>315.12</v>
          </cell>
          <cell r="E2886">
            <v>6302.4</v>
          </cell>
          <cell r="F2886" t="str">
            <v>A6-S3</v>
          </cell>
          <cell r="G2886" t="str">
            <v>Drawer back - Hậu hộc kéo</v>
          </cell>
          <cell r="H2886" t="str">
            <v>MDF - 12 x 1220 x 2440mm, Veneer Okoume 0.3mm Both Faces [CARB P2 Compliant]</v>
          </cell>
          <cell r="I2886">
            <v>40</v>
          </cell>
        </row>
        <row r="2887">
          <cell r="A2887" t="str">
            <v>B557853/A</v>
          </cell>
          <cell r="B2887" t="str">
            <v>CZ551M10</v>
          </cell>
          <cell r="C2887">
            <v>20</v>
          </cell>
          <cell r="D2887">
            <v>315.12</v>
          </cell>
          <cell r="E2887">
            <v>6302.4</v>
          </cell>
          <cell r="F2887" t="str">
            <v>A6-S4</v>
          </cell>
          <cell r="G2887" t="str">
            <v>Drawer bottom  - Đáy hộc kéo</v>
          </cell>
          <cell r="H2887" t="str">
            <v>MDF - 06 x 1220 x 2440mm, Veneer Okoume 0.3mm Both Faces [CARB P2 Compliant]</v>
          </cell>
          <cell r="I2887">
            <v>40</v>
          </cell>
        </row>
        <row r="2888">
          <cell r="A2888" t="str">
            <v>B557853/A</v>
          </cell>
          <cell r="B2888" t="str">
            <v>CZ551M10</v>
          </cell>
          <cell r="C2888">
            <v>20</v>
          </cell>
          <cell r="D2888">
            <v>315.12</v>
          </cell>
          <cell r="E2888">
            <v>6302.4</v>
          </cell>
          <cell r="F2888" t="str">
            <v>P01</v>
          </cell>
          <cell r="G2888" t="str">
            <v>Front top rail  - Đố tiền nóc</v>
          </cell>
          <cell r="H2888" t="str">
            <v>Wood Rubber Laminate Board - 20 x 1220 x 2440mm, Veneer Poplar both Faces</v>
          </cell>
          <cell r="I2888">
            <v>20</v>
          </cell>
        </row>
        <row r="2889">
          <cell r="A2889" t="str">
            <v>B557853/A</v>
          </cell>
          <cell r="B2889" t="str">
            <v>CZ551M10</v>
          </cell>
          <cell r="C2889">
            <v>20</v>
          </cell>
          <cell r="D2889">
            <v>315.12</v>
          </cell>
          <cell r="E2889">
            <v>6302.4</v>
          </cell>
          <cell r="F2889" t="str">
            <v>P02</v>
          </cell>
          <cell r="G2889" t="str">
            <v>Back rail with note finger - đố hậu</v>
          </cell>
          <cell r="H2889" t="str">
            <v>Wood Rubber Laminate Board - 20 x 1220 x 2440mm, Veneer Poplar both Faces</v>
          </cell>
          <cell r="I2889">
            <v>20</v>
          </cell>
        </row>
        <row r="2890">
          <cell r="A2890" t="str">
            <v>B557853/A</v>
          </cell>
          <cell r="B2890" t="str">
            <v>CZ551M10</v>
          </cell>
          <cell r="C2890">
            <v>20</v>
          </cell>
          <cell r="D2890">
            <v>315.12</v>
          </cell>
          <cell r="E2890">
            <v>6302.4</v>
          </cell>
          <cell r="F2890" t="str">
            <v>P03</v>
          </cell>
          <cell r="G2890" t="str">
            <v xml:space="preserve">Top panel  - Ván nóc </v>
          </cell>
          <cell r="H2890" t="str">
            <v>MDF - 15 x 1830 x 2440mm [CARB P2 Compliant]</v>
          </cell>
          <cell r="I2890">
            <v>20</v>
          </cell>
        </row>
        <row r="2891">
          <cell r="A2891" t="str">
            <v>B557853/A</v>
          </cell>
          <cell r="B2891" t="str">
            <v>CZ551M10</v>
          </cell>
          <cell r="C2891">
            <v>20</v>
          </cell>
          <cell r="D2891">
            <v>315.12</v>
          </cell>
          <cell r="E2891">
            <v>6302.4</v>
          </cell>
          <cell r="F2891" t="str">
            <v>P04</v>
          </cell>
          <cell r="G2891" t="str">
            <v>Spline - Lưỡi gà</v>
          </cell>
          <cell r="H2891" t="str">
            <v>Plywood LVD - 06 x 1220 x 2440mm, Bleached Poplar Veneer Both Sides [CARB P2 Compliant]</v>
          </cell>
          <cell r="I2891">
            <v>20</v>
          </cell>
        </row>
        <row r="2892">
          <cell r="A2892" t="str">
            <v>B557853/A</v>
          </cell>
          <cell r="B2892" t="str">
            <v>CZ551M10</v>
          </cell>
          <cell r="C2892">
            <v>20</v>
          </cell>
          <cell r="D2892">
            <v>315.12</v>
          </cell>
          <cell r="E2892">
            <v>6302.4</v>
          </cell>
          <cell r="F2892" t="str">
            <v>P05</v>
          </cell>
          <cell r="G2892" t="str">
            <v>Spline - Lưỡi gà</v>
          </cell>
          <cell r="H2892" t="str">
            <v>Plywood LVD - 06 x 1220 x 2440mm, Bleached Poplar Veneer Both Sides [CARB P2 Compliant]</v>
          </cell>
          <cell r="I2892">
            <v>40</v>
          </cell>
        </row>
        <row r="2893">
          <cell r="A2893" t="str">
            <v>B557853/A</v>
          </cell>
          <cell r="B2893" t="str">
            <v>CZ551M10</v>
          </cell>
          <cell r="C2893">
            <v>20</v>
          </cell>
          <cell r="D2893">
            <v>315.12</v>
          </cell>
          <cell r="E2893">
            <v>6302.4</v>
          </cell>
          <cell r="F2893" t="str">
            <v>P10</v>
          </cell>
          <cell r="G2893" t="str">
            <v>Back panel - Ván hậu</v>
          </cell>
          <cell r="H2893" t="str">
            <v>MDF - 06 x 1220 x 2440mm, Veneer Okoume 0.3mm Both Faces [CARB P2 Compliant]</v>
          </cell>
          <cell r="I2893">
            <v>20</v>
          </cell>
        </row>
        <row r="2894">
          <cell r="A2894" t="str">
            <v>B557853/A</v>
          </cell>
          <cell r="B2894" t="str">
            <v>CZ551M10</v>
          </cell>
          <cell r="C2894">
            <v>20</v>
          </cell>
          <cell r="D2894">
            <v>315.12</v>
          </cell>
          <cell r="E2894">
            <v>6302.4</v>
          </cell>
          <cell r="F2894" t="str">
            <v>P12</v>
          </cell>
          <cell r="G2894" t="str">
            <v>Corner block - ke góc</v>
          </cell>
          <cell r="H2894" t="str">
            <v>wood off cut</v>
          </cell>
          <cell r="I2894">
            <v>40</v>
          </cell>
        </row>
        <row r="2895">
          <cell r="A2895" t="str">
            <v>B557853/A</v>
          </cell>
          <cell r="B2895" t="str">
            <v>CZ551M10</v>
          </cell>
          <cell r="C2895">
            <v>20</v>
          </cell>
          <cell r="D2895">
            <v>315.12</v>
          </cell>
          <cell r="E2895">
            <v>6302.4</v>
          </cell>
          <cell r="F2895" t="str">
            <v>P13</v>
          </cell>
          <cell r="G2895" t="str">
            <v>Cleat - Bọ gỗ</v>
          </cell>
          <cell r="H2895" t="str">
            <v>Wood US Poplar - Straight Edged, 2 COM - T25mm x W100mm Up x L1.8m Up</v>
          </cell>
          <cell r="I2895">
            <v>40</v>
          </cell>
        </row>
        <row r="2896">
          <cell r="A2896" t="str">
            <v>B557853/A</v>
          </cell>
          <cell r="B2896" t="str">
            <v>CZ551M10</v>
          </cell>
          <cell r="C2896">
            <v>20</v>
          </cell>
          <cell r="D2896">
            <v>315.12</v>
          </cell>
          <cell r="E2896">
            <v>6302.4</v>
          </cell>
          <cell r="F2896" t="str">
            <v>P14</v>
          </cell>
          <cell r="G2896" t="str">
            <v>Drawer stop - Dừng hộc</v>
          </cell>
          <cell r="H2896" t="str">
            <v>Poplar off cut</v>
          </cell>
          <cell r="I2896">
            <v>80</v>
          </cell>
        </row>
        <row r="2897">
          <cell r="A2897" t="str">
            <v>B557853/A</v>
          </cell>
          <cell r="B2897" t="str">
            <v>CZ551M10</v>
          </cell>
          <cell r="C2897">
            <v>20</v>
          </cell>
          <cell r="D2897">
            <v>315.12</v>
          </cell>
          <cell r="E2897">
            <v>6302.4</v>
          </cell>
          <cell r="F2897" t="str">
            <v>P15</v>
          </cell>
          <cell r="G2897" t="str">
            <v>Front rail  - Đố tiền</v>
          </cell>
          <cell r="H2897" t="str">
            <v>Wood US Poplar - Straight Edged, 2 COM - T25mm x W100mm Up x L1.8m Up</v>
          </cell>
          <cell r="I2897">
            <v>20</v>
          </cell>
        </row>
        <row r="2898">
          <cell r="A2898" t="str">
            <v>B557854/A</v>
          </cell>
          <cell r="B2898" t="str">
            <v>CZ551M10</v>
          </cell>
          <cell r="C2898">
            <v>23</v>
          </cell>
          <cell r="D2898">
            <v>315.12</v>
          </cell>
          <cell r="E2898">
            <v>7247.76</v>
          </cell>
          <cell r="F2898" t="str">
            <v>A1-S1</v>
          </cell>
          <cell r="G2898" t="str">
            <v>Front Vertical rail  - Trụ tiền</v>
          </cell>
          <cell r="H2898" t="str">
            <v>Pre-Assembly</v>
          </cell>
          <cell r="I2898">
            <v>46</v>
          </cell>
        </row>
        <row r="2899">
          <cell r="A2899" t="str">
            <v>B557854/A</v>
          </cell>
          <cell r="B2899" t="str">
            <v>CZ551M10</v>
          </cell>
          <cell r="C2899">
            <v>23</v>
          </cell>
          <cell r="D2899">
            <v>315.12</v>
          </cell>
          <cell r="E2899">
            <v>7247.76</v>
          </cell>
          <cell r="F2899" t="str">
            <v>A1-S1-1</v>
          </cell>
          <cell r="G2899" t="str">
            <v>Front rail  - Đố tiền</v>
          </cell>
          <cell r="H2899" t="str">
            <v>Wood Rubber Laminate Board - 20 x 1220 x 2440mm, Veneer Poplar both Faces</v>
          </cell>
          <cell r="I2899">
            <v>46</v>
          </cell>
        </row>
        <row r="2900">
          <cell r="A2900" t="str">
            <v>B557854/A</v>
          </cell>
          <cell r="B2900" t="str">
            <v>CZ551M10</v>
          </cell>
          <cell r="C2900">
            <v>23</v>
          </cell>
          <cell r="D2900">
            <v>315.12</v>
          </cell>
          <cell r="E2900">
            <v>7247.76</v>
          </cell>
          <cell r="F2900" t="str">
            <v>A1-S1-2</v>
          </cell>
          <cell r="G2900" t="str">
            <v>Patching wood - Gỗ đắp</v>
          </cell>
          <cell r="H2900" t="str">
            <v>TRAM OFF CUT</v>
          </cell>
          <cell r="I2900">
            <v>46</v>
          </cell>
        </row>
        <row r="2901">
          <cell r="A2901" t="str">
            <v>B557854/A</v>
          </cell>
          <cell r="B2901" t="str">
            <v>CZ551M10</v>
          </cell>
          <cell r="C2901">
            <v>23</v>
          </cell>
          <cell r="D2901">
            <v>315.12</v>
          </cell>
          <cell r="E2901">
            <v>7247.76</v>
          </cell>
          <cell r="F2901" t="str">
            <v>A1-S2</v>
          </cell>
          <cell r="G2901" t="str">
            <v>Back leg - Chân hậu</v>
          </cell>
          <cell r="H2901" t="str">
            <v>Beech 2 COM</v>
          </cell>
          <cell r="I2901">
            <v>46</v>
          </cell>
        </row>
        <row r="2902">
          <cell r="A2902" t="str">
            <v>B557854/A</v>
          </cell>
          <cell r="B2902" t="str">
            <v>CZ551M10</v>
          </cell>
          <cell r="C2902">
            <v>23</v>
          </cell>
          <cell r="D2902">
            <v>315.12</v>
          </cell>
          <cell r="E2902">
            <v>7247.76</v>
          </cell>
          <cell r="F2902" t="str">
            <v>A1-S3</v>
          </cell>
          <cell r="G2902" t="str">
            <v xml:space="preserve">Side panel  - Ván hông </v>
          </cell>
          <cell r="H2902" t="str">
            <v>MDF - 15 x 1830 x 2440mm [CARB P2 Compliant]</v>
          </cell>
          <cell r="I2902">
            <v>46</v>
          </cell>
        </row>
        <row r="2903">
          <cell r="A2903" t="str">
            <v>B557854/A</v>
          </cell>
          <cell r="B2903" t="str">
            <v>CZ551M10</v>
          </cell>
          <cell r="C2903">
            <v>23</v>
          </cell>
          <cell r="D2903">
            <v>315.12</v>
          </cell>
          <cell r="E2903">
            <v>7247.76</v>
          </cell>
          <cell r="F2903" t="str">
            <v>A1-S4</v>
          </cell>
          <cell r="G2903" t="str">
            <v>Cleat - Bọ gỗ</v>
          </cell>
          <cell r="H2903" t="str">
            <v>Wood Rubber Laminate Board - 20 x 1220 x 2440mm, Veneer Poplar both Faces</v>
          </cell>
          <cell r="I2903">
            <v>46</v>
          </cell>
        </row>
        <row r="2904">
          <cell r="A2904" t="str">
            <v>B557854/A</v>
          </cell>
          <cell r="B2904" t="str">
            <v>CZ551M10</v>
          </cell>
          <cell r="C2904">
            <v>23</v>
          </cell>
          <cell r="D2904">
            <v>315.12</v>
          </cell>
          <cell r="E2904">
            <v>7247.76</v>
          </cell>
          <cell r="F2904" t="str">
            <v>A1-S5</v>
          </cell>
          <cell r="G2904" t="str">
            <v>side rail inside with note finger - Đố trong ghép finger</v>
          </cell>
          <cell r="H2904" t="str">
            <v>Pre-Assembly</v>
          </cell>
          <cell r="I2904">
            <v>92</v>
          </cell>
        </row>
        <row r="2905">
          <cell r="A2905" t="str">
            <v>B557854/A</v>
          </cell>
          <cell r="B2905" t="str">
            <v>CZ551M10</v>
          </cell>
          <cell r="C2905">
            <v>23</v>
          </cell>
          <cell r="D2905">
            <v>315.12</v>
          </cell>
          <cell r="E2905">
            <v>7247.76</v>
          </cell>
          <cell r="F2905" t="str">
            <v>A1-S5-1</v>
          </cell>
          <cell r="G2905" t="str">
            <v xml:space="preserve">Side rail  - Đố hông </v>
          </cell>
          <cell r="H2905" t="str">
            <v>Wood US Poplar - Straight Edged, 2 COM - T25mm x W100mm Up x L1.8m Up</v>
          </cell>
          <cell r="I2905">
            <v>92</v>
          </cell>
        </row>
        <row r="2906">
          <cell r="A2906" t="str">
            <v>B557854/A</v>
          </cell>
          <cell r="B2906" t="str">
            <v>CZ551M10</v>
          </cell>
          <cell r="C2906">
            <v>23</v>
          </cell>
          <cell r="D2906">
            <v>315.12</v>
          </cell>
          <cell r="E2906">
            <v>7247.76</v>
          </cell>
          <cell r="F2906" t="str">
            <v>A1-S5-2</v>
          </cell>
          <cell r="G2906" t="str">
            <v>Patching wood - Gỗ đắp</v>
          </cell>
          <cell r="H2906" t="str">
            <v>wood off cut</v>
          </cell>
          <cell r="I2906">
            <v>184</v>
          </cell>
        </row>
        <row r="2907">
          <cell r="A2907" t="str">
            <v>B557854/A</v>
          </cell>
          <cell r="B2907" t="str">
            <v>CZ551M10</v>
          </cell>
          <cell r="C2907">
            <v>23</v>
          </cell>
          <cell r="D2907">
            <v>315.12</v>
          </cell>
          <cell r="E2907">
            <v>7247.76</v>
          </cell>
          <cell r="F2907" t="str">
            <v>A4-S1</v>
          </cell>
          <cell r="G2907" t="str">
            <v>Front Bottom Rail  - Đố đáy trước</v>
          </cell>
          <cell r="H2907" t="str">
            <v>Wood Rubber Laminate Board - 20 x 1220 x 2440mm, Veneer Poplar both Faces</v>
          </cell>
          <cell r="I2907">
            <v>23</v>
          </cell>
        </row>
        <row r="2908">
          <cell r="A2908" t="str">
            <v>B557854/A</v>
          </cell>
          <cell r="B2908" t="str">
            <v>CZ551M10</v>
          </cell>
          <cell r="C2908">
            <v>23</v>
          </cell>
          <cell r="D2908">
            <v>315.12</v>
          </cell>
          <cell r="E2908">
            <v>7247.76</v>
          </cell>
          <cell r="F2908" t="str">
            <v>A4-S2</v>
          </cell>
          <cell r="G2908" t="str">
            <v>Back bottom rail - Đố hậu đáy</v>
          </cell>
          <cell r="H2908" t="str">
            <v>Wood Rubber Laminate Board - 20 x 1220 x 2440mm, Veneer Poplar both Faces</v>
          </cell>
          <cell r="I2908">
            <v>23</v>
          </cell>
        </row>
        <row r="2909">
          <cell r="A2909" t="str">
            <v>B557854/A</v>
          </cell>
          <cell r="B2909" t="str">
            <v>CZ551M10</v>
          </cell>
          <cell r="C2909">
            <v>23</v>
          </cell>
          <cell r="D2909">
            <v>315.12</v>
          </cell>
          <cell r="E2909">
            <v>7247.76</v>
          </cell>
          <cell r="F2909" t="str">
            <v>A4-S4</v>
          </cell>
          <cell r="G2909" t="str">
            <v>Dust board Panel  - Ván quét bụi</v>
          </cell>
          <cell r="H2909" t="str">
            <v>MDF - 06 x 1830 x 2440mm [CARB P2 Compliant]</v>
          </cell>
          <cell r="I2909">
            <v>23</v>
          </cell>
        </row>
        <row r="2910">
          <cell r="A2910" t="str">
            <v>B557854/A</v>
          </cell>
          <cell r="B2910" t="str">
            <v>CZ551M10</v>
          </cell>
          <cell r="C2910">
            <v>23</v>
          </cell>
          <cell r="D2910">
            <v>315.12</v>
          </cell>
          <cell r="E2910">
            <v>7247.76</v>
          </cell>
          <cell r="F2910" t="str">
            <v>A6-S1</v>
          </cell>
          <cell r="G2910" t="str">
            <v xml:space="preserve">Drawer front - Mặt hộc kéo </v>
          </cell>
          <cell r="H2910" t="str">
            <v>MDF Veneer</v>
          </cell>
          <cell r="I2910">
            <v>46</v>
          </cell>
        </row>
        <row r="2911">
          <cell r="A2911" t="str">
            <v>B557854/A</v>
          </cell>
          <cell r="B2911" t="str">
            <v>CZ551M10</v>
          </cell>
          <cell r="C2911">
            <v>23</v>
          </cell>
          <cell r="D2911">
            <v>315.12</v>
          </cell>
          <cell r="E2911">
            <v>7247.76</v>
          </cell>
          <cell r="F2911" t="str">
            <v>A6-S2</v>
          </cell>
          <cell r="G2911" t="str">
            <v>Drawer side - Hông hộc kéo</v>
          </cell>
          <cell r="H2911" t="str">
            <v>MDF-N - 12 x 1220 x 2440mm, Veneer Okoume 0.3mm Both Faces [CARB P2 Compliant]</v>
          </cell>
          <cell r="I2911">
            <v>92</v>
          </cell>
        </row>
        <row r="2912">
          <cell r="A2912" t="str">
            <v>B557854/A</v>
          </cell>
          <cell r="B2912" t="str">
            <v>CZ551M10</v>
          </cell>
          <cell r="C2912">
            <v>23</v>
          </cell>
          <cell r="D2912">
            <v>315.12</v>
          </cell>
          <cell r="E2912">
            <v>7247.76</v>
          </cell>
          <cell r="F2912" t="str">
            <v>A6-S3</v>
          </cell>
          <cell r="G2912" t="str">
            <v>Drawer back - Hậu hộc kéo</v>
          </cell>
          <cell r="H2912" t="str">
            <v>MDF - 12 x 1220 x 2440mm, Veneer Okoume 0.3mm Both Faces [CARB P2 Compliant]</v>
          </cell>
          <cell r="I2912">
            <v>46</v>
          </cell>
        </row>
        <row r="2913">
          <cell r="A2913" t="str">
            <v>B557854/A</v>
          </cell>
          <cell r="B2913" t="str">
            <v>CZ551M10</v>
          </cell>
          <cell r="C2913">
            <v>23</v>
          </cell>
          <cell r="D2913">
            <v>315.12</v>
          </cell>
          <cell r="E2913">
            <v>7247.76</v>
          </cell>
          <cell r="F2913" t="str">
            <v>A6-S4</v>
          </cell>
          <cell r="G2913" t="str">
            <v>Drawer bottom  - Đáy hộc kéo</v>
          </cell>
          <cell r="H2913" t="str">
            <v>MDF - 06 x 1220 x 2440mm, Veneer Okoume 0.3mm Both Faces [CARB P2 Compliant]</v>
          </cell>
          <cell r="I2913">
            <v>46</v>
          </cell>
        </row>
        <row r="2914">
          <cell r="A2914" t="str">
            <v>B557854/A</v>
          </cell>
          <cell r="B2914" t="str">
            <v>CZ551M10</v>
          </cell>
          <cell r="C2914">
            <v>23</v>
          </cell>
          <cell r="D2914">
            <v>315.12</v>
          </cell>
          <cell r="E2914">
            <v>7247.76</v>
          </cell>
          <cell r="F2914" t="str">
            <v>P01</v>
          </cell>
          <cell r="G2914" t="str">
            <v>Front top rail  - Đố tiền nóc</v>
          </cell>
          <cell r="H2914" t="str">
            <v>Wood Rubber Laminate Board - 20 x 1220 x 2440mm, Veneer Poplar both Faces</v>
          </cell>
          <cell r="I2914">
            <v>23</v>
          </cell>
        </row>
        <row r="2915">
          <cell r="A2915" t="str">
            <v>B557854/A</v>
          </cell>
          <cell r="B2915" t="str">
            <v>CZ551M10</v>
          </cell>
          <cell r="C2915">
            <v>23</v>
          </cell>
          <cell r="D2915">
            <v>315.12</v>
          </cell>
          <cell r="E2915">
            <v>7247.76</v>
          </cell>
          <cell r="F2915" t="str">
            <v>P02</v>
          </cell>
          <cell r="G2915" t="str">
            <v>Back rail with note finger - đố hậu</v>
          </cell>
          <cell r="H2915" t="str">
            <v>Wood Rubber Laminate Board - 20 x 1220 x 2440mm, Veneer Poplar both Faces</v>
          </cell>
          <cell r="I2915">
            <v>23</v>
          </cell>
        </row>
        <row r="2916">
          <cell r="A2916" t="str">
            <v>B557854/A</v>
          </cell>
          <cell r="B2916" t="str">
            <v>CZ551M10</v>
          </cell>
          <cell r="C2916">
            <v>23</v>
          </cell>
          <cell r="D2916">
            <v>315.12</v>
          </cell>
          <cell r="E2916">
            <v>7247.76</v>
          </cell>
          <cell r="F2916" t="str">
            <v>P03</v>
          </cell>
          <cell r="G2916" t="str">
            <v xml:space="preserve">Top panel  - Ván nóc </v>
          </cell>
          <cell r="H2916" t="str">
            <v>MDF - 15 x 1830 x 2440mm [CARB P2 Compliant]</v>
          </cell>
          <cell r="I2916">
            <v>23</v>
          </cell>
        </row>
        <row r="2917">
          <cell r="A2917" t="str">
            <v>B557854/A</v>
          </cell>
          <cell r="B2917" t="str">
            <v>CZ551M10</v>
          </cell>
          <cell r="C2917">
            <v>23</v>
          </cell>
          <cell r="D2917">
            <v>315.12</v>
          </cell>
          <cell r="E2917">
            <v>7247.76</v>
          </cell>
          <cell r="F2917" t="str">
            <v>P04</v>
          </cell>
          <cell r="G2917" t="str">
            <v>Spline - Lưỡi gà</v>
          </cell>
          <cell r="H2917" t="str">
            <v>Plywood LVD - 06 x 1220 x 2440mm, Bleached Poplar Veneer Both Sides [CARB P2 Compliant]</v>
          </cell>
          <cell r="I2917">
            <v>23</v>
          </cell>
        </row>
        <row r="2918">
          <cell r="A2918" t="str">
            <v>B557854/A</v>
          </cell>
          <cell r="B2918" t="str">
            <v>CZ551M10</v>
          </cell>
          <cell r="C2918">
            <v>23</v>
          </cell>
          <cell r="D2918">
            <v>315.12</v>
          </cell>
          <cell r="E2918">
            <v>7247.76</v>
          </cell>
          <cell r="F2918" t="str">
            <v>P05</v>
          </cell>
          <cell r="G2918" t="str">
            <v>Spline - Lưỡi gà</v>
          </cell>
          <cell r="H2918" t="str">
            <v>Plywood LVD - 06 x 1220 x 2440mm, Bleached Poplar Veneer Both Sides [CARB P2 Compliant]</v>
          </cell>
          <cell r="I2918">
            <v>46</v>
          </cell>
        </row>
        <row r="2919">
          <cell r="A2919" t="str">
            <v>B557854/A</v>
          </cell>
          <cell r="B2919" t="str">
            <v>CZ551M10</v>
          </cell>
          <cell r="C2919">
            <v>23</v>
          </cell>
          <cell r="D2919">
            <v>315.12</v>
          </cell>
          <cell r="E2919">
            <v>7247.76</v>
          </cell>
          <cell r="F2919" t="str">
            <v>P10</v>
          </cell>
          <cell r="G2919" t="str">
            <v>Back panel - Ván hậu</v>
          </cell>
          <cell r="H2919" t="str">
            <v>MDF - 06 x 1220 x 2440mm, Veneer Okoume 0.3mm Both Faces [CARB P2 Compliant]</v>
          </cell>
          <cell r="I2919">
            <v>23</v>
          </cell>
        </row>
        <row r="2920">
          <cell r="A2920" t="str">
            <v>B557854/A</v>
          </cell>
          <cell r="B2920" t="str">
            <v>CZ551M10</v>
          </cell>
          <cell r="C2920">
            <v>23</v>
          </cell>
          <cell r="D2920">
            <v>315.12</v>
          </cell>
          <cell r="E2920">
            <v>7247.76</v>
          </cell>
          <cell r="F2920" t="str">
            <v>P12</v>
          </cell>
          <cell r="G2920" t="str">
            <v>Corner block - ke góc</v>
          </cell>
          <cell r="H2920" t="str">
            <v>wood off cut</v>
          </cell>
          <cell r="I2920">
            <v>46</v>
          </cell>
        </row>
        <row r="2921">
          <cell r="A2921" t="str">
            <v>B557854/A</v>
          </cell>
          <cell r="B2921" t="str">
            <v>CZ551M10</v>
          </cell>
          <cell r="C2921">
            <v>23</v>
          </cell>
          <cell r="D2921">
            <v>315.12</v>
          </cell>
          <cell r="E2921">
            <v>7247.76</v>
          </cell>
          <cell r="F2921" t="str">
            <v>P13</v>
          </cell>
          <cell r="G2921" t="str">
            <v>Cleat - Bọ gỗ</v>
          </cell>
          <cell r="H2921" t="str">
            <v>Wood US Poplar - Straight Edged, 2 COM - T25mm x W100mm Up x L1.8m Up</v>
          </cell>
          <cell r="I2921">
            <v>46</v>
          </cell>
        </row>
        <row r="2922">
          <cell r="A2922" t="str">
            <v>B557854/A</v>
          </cell>
          <cell r="B2922" t="str">
            <v>CZ551M10</v>
          </cell>
          <cell r="C2922">
            <v>23</v>
          </cell>
          <cell r="D2922">
            <v>315.12</v>
          </cell>
          <cell r="E2922">
            <v>7247.76</v>
          </cell>
          <cell r="F2922" t="str">
            <v>P14</v>
          </cell>
          <cell r="G2922" t="str">
            <v>Drawer stop - Dừng hộc</v>
          </cell>
          <cell r="H2922" t="str">
            <v>Poplar off cut</v>
          </cell>
          <cell r="I2922">
            <v>92</v>
          </cell>
        </row>
        <row r="2923">
          <cell r="A2923" t="str">
            <v>B557854/A</v>
          </cell>
          <cell r="B2923" t="str">
            <v>CZ551M10</v>
          </cell>
          <cell r="C2923">
            <v>23</v>
          </cell>
          <cell r="D2923">
            <v>315.12</v>
          </cell>
          <cell r="E2923">
            <v>7247.76</v>
          </cell>
          <cell r="F2923" t="str">
            <v>P15</v>
          </cell>
          <cell r="G2923" t="str">
            <v>Front rail  - Đố tiền</v>
          </cell>
          <cell r="H2923" t="str">
            <v>Wood US Poplar - Straight Edged, 2 COM - T25mm x W100mm Up x L1.8m Up</v>
          </cell>
          <cell r="I2923">
            <v>23</v>
          </cell>
        </row>
        <row r="2924">
          <cell r="A2924" t="str">
            <v>B557857/A</v>
          </cell>
          <cell r="B2924" t="str">
            <v>CZ551M191</v>
          </cell>
          <cell r="C2924">
            <v>4</v>
          </cell>
          <cell r="D2924">
            <v>315.12</v>
          </cell>
          <cell r="E2924">
            <v>1260.48</v>
          </cell>
          <cell r="F2924" t="str">
            <v>A1-S1</v>
          </cell>
          <cell r="G2924" t="str">
            <v>Front Vertical rail  - Trụ tiền</v>
          </cell>
          <cell r="H2924" t="str">
            <v>Pre-Assembly</v>
          </cell>
          <cell r="I2924">
            <v>8</v>
          </cell>
        </row>
        <row r="2925">
          <cell r="A2925" t="str">
            <v>B557857/A</v>
          </cell>
          <cell r="B2925" t="str">
            <v>CZ551M191</v>
          </cell>
          <cell r="C2925">
            <v>4</v>
          </cell>
          <cell r="D2925">
            <v>315.12</v>
          </cell>
          <cell r="E2925">
            <v>1260.48</v>
          </cell>
          <cell r="F2925" t="str">
            <v>A1-S1-1</v>
          </cell>
          <cell r="G2925" t="str">
            <v>Front rail  - Đố tiền</v>
          </cell>
          <cell r="H2925" t="str">
            <v>Wood Rubber Laminate Board - 20 x 1220 x 2440mm, Veneer Poplar both Faces</v>
          </cell>
          <cell r="I2925">
            <v>8</v>
          </cell>
        </row>
        <row r="2926">
          <cell r="A2926" t="str">
            <v>B557857/A</v>
          </cell>
          <cell r="B2926" t="str">
            <v>CZ551M191</v>
          </cell>
          <cell r="C2926">
            <v>4</v>
          </cell>
          <cell r="D2926">
            <v>315.12</v>
          </cell>
          <cell r="E2926">
            <v>1260.48</v>
          </cell>
          <cell r="F2926" t="str">
            <v>A1-S1-2</v>
          </cell>
          <cell r="G2926" t="str">
            <v>Patching wood - Gỗ đắp</v>
          </cell>
          <cell r="H2926" t="str">
            <v>TRAM OFF CUT</v>
          </cell>
          <cell r="I2926">
            <v>8</v>
          </cell>
        </row>
        <row r="2927">
          <cell r="A2927" t="str">
            <v>B557857/A</v>
          </cell>
          <cell r="B2927" t="str">
            <v>CZ551M191</v>
          </cell>
          <cell r="C2927">
            <v>4</v>
          </cell>
          <cell r="D2927">
            <v>315.12</v>
          </cell>
          <cell r="E2927">
            <v>1260.48</v>
          </cell>
          <cell r="F2927" t="str">
            <v>A1-S2</v>
          </cell>
          <cell r="G2927" t="str">
            <v>Back leg - Chân hậu</v>
          </cell>
          <cell r="H2927" t="str">
            <v>Beech 2 COM</v>
          </cell>
          <cell r="I2927">
            <v>8</v>
          </cell>
        </row>
        <row r="2928">
          <cell r="A2928" t="str">
            <v>B557857/A</v>
          </cell>
          <cell r="B2928" t="str">
            <v>CZ551M191</v>
          </cell>
          <cell r="C2928">
            <v>4</v>
          </cell>
          <cell r="D2928">
            <v>315.12</v>
          </cell>
          <cell r="E2928">
            <v>1260.48</v>
          </cell>
          <cell r="F2928" t="str">
            <v>A1-S3</v>
          </cell>
          <cell r="G2928" t="str">
            <v xml:space="preserve">Side panel  - Ván hông </v>
          </cell>
          <cell r="H2928" t="str">
            <v>MDF - 15 x 1830 x 2440mm [CARB P2 Compliant]</v>
          </cell>
          <cell r="I2928">
            <v>8</v>
          </cell>
        </row>
        <row r="2929">
          <cell r="A2929" t="str">
            <v>B557857/A</v>
          </cell>
          <cell r="B2929" t="str">
            <v>CZ551M191</v>
          </cell>
          <cell r="C2929">
            <v>4</v>
          </cell>
          <cell r="D2929">
            <v>315.12</v>
          </cell>
          <cell r="E2929">
            <v>1260.48</v>
          </cell>
          <cell r="F2929" t="str">
            <v>A1-S4</v>
          </cell>
          <cell r="G2929" t="str">
            <v>Cleat - Bọ gỗ</v>
          </cell>
          <cell r="H2929" t="str">
            <v>Wood Rubber Laminate Board - 20 x 1220 x 2440mm, Veneer Poplar both Faces</v>
          </cell>
          <cell r="I2929">
            <v>8</v>
          </cell>
        </row>
        <row r="2930">
          <cell r="A2930" t="str">
            <v>B557857/A</v>
          </cell>
          <cell r="B2930" t="str">
            <v>CZ551M191</v>
          </cell>
          <cell r="C2930">
            <v>4</v>
          </cell>
          <cell r="D2930">
            <v>315.12</v>
          </cell>
          <cell r="E2930">
            <v>1260.48</v>
          </cell>
          <cell r="F2930" t="str">
            <v>A1-S5</v>
          </cell>
          <cell r="G2930" t="str">
            <v>side rail inside with note finger - Đố trong ghép finger</v>
          </cell>
          <cell r="H2930" t="str">
            <v>Pre-Assembly</v>
          </cell>
          <cell r="I2930">
            <v>16</v>
          </cell>
        </row>
        <row r="2931">
          <cell r="A2931" t="str">
            <v>B557857/A</v>
          </cell>
          <cell r="B2931" t="str">
            <v>CZ551M191</v>
          </cell>
          <cell r="C2931">
            <v>4</v>
          </cell>
          <cell r="D2931">
            <v>315.12</v>
          </cell>
          <cell r="E2931">
            <v>1260.48</v>
          </cell>
          <cell r="F2931" t="str">
            <v>A1-S5-1</v>
          </cell>
          <cell r="G2931" t="str">
            <v xml:space="preserve">Side rail  - Đố hông </v>
          </cell>
          <cell r="H2931" t="str">
            <v>Wood US Poplar - Straight Edged, 2 COM - T25mm x W100mm Up x L1.8m Up</v>
          </cell>
          <cell r="I2931">
            <v>16</v>
          </cell>
        </row>
        <row r="2932">
          <cell r="A2932" t="str">
            <v>B557857/A</v>
          </cell>
          <cell r="B2932" t="str">
            <v>CZ551M191</v>
          </cell>
          <cell r="C2932">
            <v>4</v>
          </cell>
          <cell r="D2932">
            <v>315.12</v>
          </cell>
          <cell r="E2932">
            <v>1260.48</v>
          </cell>
          <cell r="F2932" t="str">
            <v>A1-S5-2</v>
          </cell>
          <cell r="G2932" t="str">
            <v>Patching wood - Gỗ đắp</v>
          </cell>
          <cell r="H2932" t="str">
            <v>wood off cut</v>
          </cell>
          <cell r="I2932">
            <v>32</v>
          </cell>
        </row>
        <row r="2933">
          <cell r="A2933" t="str">
            <v>B557857/A</v>
          </cell>
          <cell r="B2933" t="str">
            <v>CZ551M191</v>
          </cell>
          <cell r="C2933">
            <v>4</v>
          </cell>
          <cell r="D2933">
            <v>315.12</v>
          </cell>
          <cell r="E2933">
            <v>1260.48</v>
          </cell>
          <cell r="F2933" t="str">
            <v>A4-S1</v>
          </cell>
          <cell r="G2933" t="str">
            <v>Front Bottom Rail  - Đố đáy trước</v>
          </cell>
          <cell r="H2933" t="str">
            <v>Wood Rubber Laminate Board - 20 x 1220 x 2440mm, Veneer Poplar both Faces</v>
          </cell>
          <cell r="I2933">
            <v>4</v>
          </cell>
        </row>
        <row r="2934">
          <cell r="A2934" t="str">
            <v>B557857/A</v>
          </cell>
          <cell r="B2934" t="str">
            <v>CZ551M191</v>
          </cell>
          <cell r="C2934">
            <v>4</v>
          </cell>
          <cell r="D2934">
            <v>315.12</v>
          </cell>
          <cell r="E2934">
            <v>1260.48</v>
          </cell>
          <cell r="F2934" t="str">
            <v>A4-S2</v>
          </cell>
          <cell r="G2934" t="str">
            <v>Back bottom rail - Đố hậu đáy</v>
          </cell>
          <cell r="H2934" t="str">
            <v>Wood Rubber Laminate Board - 20 x 1220 x 2440mm, Veneer Poplar both Faces</v>
          </cell>
          <cell r="I2934">
            <v>4</v>
          </cell>
        </row>
        <row r="2935">
          <cell r="A2935" t="str">
            <v>B557857/A</v>
          </cell>
          <cell r="B2935" t="str">
            <v>CZ551M191</v>
          </cell>
          <cell r="C2935">
            <v>4</v>
          </cell>
          <cell r="D2935">
            <v>315.12</v>
          </cell>
          <cell r="E2935">
            <v>1260.48</v>
          </cell>
          <cell r="F2935" t="str">
            <v>A4-S4</v>
          </cell>
          <cell r="G2935" t="str">
            <v>Dust board Panel  - Ván quét bụi</v>
          </cell>
          <cell r="H2935" t="str">
            <v>MDF - 06 x 1830 x 2440mm [CARB P2 Compliant]</v>
          </cell>
          <cell r="I2935">
            <v>4</v>
          </cell>
        </row>
        <row r="2936">
          <cell r="A2936" t="str">
            <v>B557857/A</v>
          </cell>
          <cell r="B2936" t="str">
            <v>CZ551M191</v>
          </cell>
          <cell r="C2936">
            <v>4</v>
          </cell>
          <cell r="D2936">
            <v>315.12</v>
          </cell>
          <cell r="E2936">
            <v>1260.48</v>
          </cell>
          <cell r="F2936" t="str">
            <v>A6-S1</v>
          </cell>
          <cell r="G2936" t="str">
            <v xml:space="preserve">Drawer front - Mặt hộc kéo </v>
          </cell>
          <cell r="H2936" t="str">
            <v>MDF Veneer</v>
          </cell>
          <cell r="I2936">
            <v>8</v>
          </cell>
        </row>
        <row r="2937">
          <cell r="A2937" t="str">
            <v>B557857/A</v>
          </cell>
          <cell r="B2937" t="str">
            <v>CZ551M191</v>
          </cell>
          <cell r="C2937">
            <v>4</v>
          </cell>
          <cell r="D2937">
            <v>315.12</v>
          </cell>
          <cell r="E2937">
            <v>1260.48</v>
          </cell>
          <cell r="F2937" t="str">
            <v>A6-S2</v>
          </cell>
          <cell r="G2937" t="str">
            <v>Drawer side - Hông hộc kéo</v>
          </cell>
          <cell r="H2937" t="str">
            <v>MDF-N - 12 x 1220 x 2440mm, Veneer Okoume 0.3mm Both Faces [CARB P2 Compliant]</v>
          </cell>
          <cell r="I2937">
            <v>16</v>
          </cell>
        </row>
        <row r="2938">
          <cell r="A2938" t="str">
            <v>B557857/A</v>
          </cell>
          <cell r="B2938" t="str">
            <v>CZ551M191</v>
          </cell>
          <cell r="C2938">
            <v>4</v>
          </cell>
          <cell r="D2938">
            <v>315.12</v>
          </cell>
          <cell r="E2938">
            <v>1260.48</v>
          </cell>
          <cell r="F2938" t="str">
            <v>A6-S3</v>
          </cell>
          <cell r="G2938" t="str">
            <v>Drawer back - Hậu hộc kéo</v>
          </cell>
          <cell r="H2938" t="str">
            <v>MDF - 12 x 1220 x 2440mm, Veneer Okoume 0.3mm Both Faces [CARB P2 Compliant]</v>
          </cell>
          <cell r="I2938">
            <v>8</v>
          </cell>
        </row>
        <row r="2939">
          <cell r="A2939" t="str">
            <v>B557857/A</v>
          </cell>
          <cell r="B2939" t="str">
            <v>CZ551M191</v>
          </cell>
          <cell r="C2939">
            <v>4</v>
          </cell>
          <cell r="D2939">
            <v>315.12</v>
          </cell>
          <cell r="E2939">
            <v>1260.48</v>
          </cell>
          <cell r="F2939" t="str">
            <v>A6-S4</v>
          </cell>
          <cell r="G2939" t="str">
            <v>Drawer bottom  - Đáy hộc kéo</v>
          </cell>
          <cell r="H2939" t="str">
            <v>MDF - 06 x 1220 x 2440mm, Veneer Okoume 0.3mm Both Faces [CARB P2 Compliant]</v>
          </cell>
          <cell r="I2939">
            <v>8</v>
          </cell>
        </row>
        <row r="2940">
          <cell r="A2940" t="str">
            <v>B557857/A</v>
          </cell>
          <cell r="B2940" t="str">
            <v>CZ551M191</v>
          </cell>
          <cell r="C2940">
            <v>4</v>
          </cell>
          <cell r="D2940">
            <v>315.12</v>
          </cell>
          <cell r="E2940">
            <v>1260.48</v>
          </cell>
          <cell r="F2940" t="str">
            <v>P01</v>
          </cell>
          <cell r="G2940" t="str">
            <v>Front top rail  - Đố tiền nóc</v>
          </cell>
          <cell r="H2940" t="str">
            <v>Wood Rubber Laminate Board - 20 x 1220 x 2440mm, Veneer Poplar both Faces</v>
          </cell>
          <cell r="I2940">
            <v>4</v>
          </cell>
        </row>
        <row r="2941">
          <cell r="A2941" t="str">
            <v>B557857/A</v>
          </cell>
          <cell r="B2941" t="str">
            <v>CZ551M191</v>
          </cell>
          <cell r="C2941">
            <v>4</v>
          </cell>
          <cell r="D2941">
            <v>315.12</v>
          </cell>
          <cell r="E2941">
            <v>1260.48</v>
          </cell>
          <cell r="F2941" t="str">
            <v>P02</v>
          </cell>
          <cell r="G2941" t="str">
            <v>Back rail with note finger - đố hậu</v>
          </cell>
          <cell r="H2941" t="str">
            <v>Wood Rubber Laminate Board - 20 x 1220 x 2440mm, Veneer Poplar both Faces</v>
          </cell>
          <cell r="I2941">
            <v>4</v>
          </cell>
        </row>
        <row r="2942">
          <cell r="A2942" t="str">
            <v>B557857/A</v>
          </cell>
          <cell r="B2942" t="str">
            <v>CZ551M191</v>
          </cell>
          <cell r="C2942">
            <v>4</v>
          </cell>
          <cell r="D2942">
            <v>315.12</v>
          </cell>
          <cell r="E2942">
            <v>1260.48</v>
          </cell>
          <cell r="F2942" t="str">
            <v>P03</v>
          </cell>
          <cell r="G2942" t="str">
            <v xml:space="preserve">Top panel  - Ván nóc </v>
          </cell>
          <cell r="H2942" t="str">
            <v>MDF - 15 x 1830 x 2440mm [CARB P2 Compliant]</v>
          </cell>
          <cell r="I2942">
            <v>4</v>
          </cell>
        </row>
        <row r="2943">
          <cell r="A2943" t="str">
            <v>B557857/A</v>
          </cell>
          <cell r="B2943" t="str">
            <v>CZ551M191</v>
          </cell>
          <cell r="C2943">
            <v>4</v>
          </cell>
          <cell r="D2943">
            <v>315.12</v>
          </cell>
          <cell r="E2943">
            <v>1260.48</v>
          </cell>
          <cell r="F2943" t="str">
            <v>P04</v>
          </cell>
          <cell r="G2943" t="str">
            <v>Spline - Lưỡi gà</v>
          </cell>
          <cell r="H2943" t="str">
            <v>Plywood LVD - 06 x 1220 x 2440mm, Bleached Poplar Veneer Both Sides [CARB P2 Compliant]</v>
          </cell>
          <cell r="I2943">
            <v>4</v>
          </cell>
        </row>
        <row r="2944">
          <cell r="A2944" t="str">
            <v>B557857/A</v>
          </cell>
          <cell r="B2944" t="str">
            <v>CZ551M191</v>
          </cell>
          <cell r="C2944">
            <v>4</v>
          </cell>
          <cell r="D2944">
            <v>315.12</v>
          </cell>
          <cell r="E2944">
            <v>1260.48</v>
          </cell>
          <cell r="F2944" t="str">
            <v>P05</v>
          </cell>
          <cell r="G2944" t="str">
            <v>Spline - Lưỡi gà</v>
          </cell>
          <cell r="H2944" t="str">
            <v>Plywood LVD - 06 x 1220 x 2440mm, Bleached Poplar Veneer Both Sides [CARB P2 Compliant]</v>
          </cell>
          <cell r="I2944">
            <v>8</v>
          </cell>
        </row>
        <row r="2945">
          <cell r="A2945" t="str">
            <v>B557857/A</v>
          </cell>
          <cell r="B2945" t="str">
            <v>CZ551M191</v>
          </cell>
          <cell r="C2945">
            <v>4</v>
          </cell>
          <cell r="D2945">
            <v>315.12</v>
          </cell>
          <cell r="E2945">
            <v>1260.48</v>
          </cell>
          <cell r="F2945" t="str">
            <v>P10</v>
          </cell>
          <cell r="G2945" t="str">
            <v>Back panel - Ván hậu</v>
          </cell>
          <cell r="H2945" t="str">
            <v>MDF - 06 x 1220 x 2440mm, Veneer Okoume 0.3mm Both Faces [CARB P2 Compliant]</v>
          </cell>
          <cell r="I2945">
            <v>4</v>
          </cell>
        </row>
        <row r="2946">
          <cell r="A2946" t="str">
            <v>B557857/A</v>
          </cell>
          <cell r="B2946" t="str">
            <v>CZ551M191</v>
          </cell>
          <cell r="C2946">
            <v>4</v>
          </cell>
          <cell r="D2946">
            <v>315.12</v>
          </cell>
          <cell r="E2946">
            <v>1260.48</v>
          </cell>
          <cell r="F2946" t="str">
            <v>P12</v>
          </cell>
          <cell r="G2946" t="str">
            <v>Corner block - ke góc</v>
          </cell>
          <cell r="H2946" t="str">
            <v>wood off cut</v>
          </cell>
          <cell r="I2946">
            <v>8</v>
          </cell>
        </row>
        <row r="2947">
          <cell r="A2947" t="str">
            <v>B557857/A</v>
          </cell>
          <cell r="B2947" t="str">
            <v>CZ551M191</v>
          </cell>
          <cell r="C2947">
            <v>4</v>
          </cell>
          <cell r="D2947">
            <v>315.12</v>
          </cell>
          <cell r="E2947">
            <v>1260.48</v>
          </cell>
          <cell r="F2947" t="str">
            <v>P13</v>
          </cell>
          <cell r="G2947" t="str">
            <v>Cleat - Bọ gỗ</v>
          </cell>
          <cell r="H2947" t="str">
            <v>Wood US Poplar - Straight Edged, 2 COM - T25mm x W100mm Up x L1.8m Up</v>
          </cell>
          <cell r="I2947">
            <v>8</v>
          </cell>
        </row>
        <row r="2948">
          <cell r="A2948" t="str">
            <v>B557857/A</v>
          </cell>
          <cell r="B2948" t="str">
            <v>CZ551M191</v>
          </cell>
          <cell r="C2948">
            <v>4</v>
          </cell>
          <cell r="D2948">
            <v>315.12</v>
          </cell>
          <cell r="E2948">
            <v>1260.48</v>
          </cell>
          <cell r="F2948" t="str">
            <v>P14</v>
          </cell>
          <cell r="G2948" t="str">
            <v>Drawer stop - Dừng hộc</v>
          </cell>
          <cell r="H2948" t="str">
            <v>Poplar off cut</v>
          </cell>
          <cell r="I2948">
            <v>16</v>
          </cell>
        </row>
        <row r="2949">
          <cell r="A2949" t="str">
            <v>B557857/A</v>
          </cell>
          <cell r="B2949" t="str">
            <v>CZ551M191</v>
          </cell>
          <cell r="C2949">
            <v>4</v>
          </cell>
          <cell r="D2949">
            <v>315.12</v>
          </cell>
          <cell r="E2949">
            <v>1260.48</v>
          </cell>
          <cell r="F2949" t="str">
            <v>P15</v>
          </cell>
          <cell r="G2949" t="str">
            <v>Front rail  - Đố tiền</v>
          </cell>
          <cell r="H2949" t="str">
            <v>Wood US Poplar - Straight Edged, 2 COM - T25mm x W100mm Up x L1.8m Up</v>
          </cell>
          <cell r="I2949">
            <v>4</v>
          </cell>
        </row>
        <row r="2950">
          <cell r="A2950" t="str">
            <v>B557858/A</v>
          </cell>
          <cell r="B2950" t="str">
            <v>CZ551M191</v>
          </cell>
          <cell r="C2950">
            <v>3</v>
          </cell>
          <cell r="D2950">
            <v>315.12</v>
          </cell>
          <cell r="E2950">
            <v>945.36</v>
          </cell>
          <cell r="F2950" t="str">
            <v>A1-S1</v>
          </cell>
          <cell r="G2950" t="str">
            <v>Front Vertical rail  - Trụ tiền</v>
          </cell>
          <cell r="H2950" t="str">
            <v>Pre-Assembly</v>
          </cell>
          <cell r="I2950">
            <v>6</v>
          </cell>
        </row>
        <row r="2951">
          <cell r="A2951" t="str">
            <v>B557858/A</v>
          </cell>
          <cell r="B2951" t="str">
            <v>CZ551M191</v>
          </cell>
          <cell r="C2951">
            <v>3</v>
          </cell>
          <cell r="D2951">
            <v>315.12</v>
          </cell>
          <cell r="E2951">
            <v>945.36</v>
          </cell>
          <cell r="F2951" t="str">
            <v>A1-S1-1</v>
          </cell>
          <cell r="G2951" t="str">
            <v>Front rail  - Đố tiền</v>
          </cell>
          <cell r="H2951" t="str">
            <v>Wood Rubber Laminate Board - 20 x 1220 x 2440mm, Veneer Poplar both Faces</v>
          </cell>
          <cell r="I2951">
            <v>6</v>
          </cell>
        </row>
        <row r="2952">
          <cell r="A2952" t="str">
            <v>B557858/A</v>
          </cell>
          <cell r="B2952" t="str">
            <v>CZ551M191</v>
          </cell>
          <cell r="C2952">
            <v>3</v>
          </cell>
          <cell r="D2952">
            <v>315.12</v>
          </cell>
          <cell r="E2952">
            <v>945.36</v>
          </cell>
          <cell r="F2952" t="str">
            <v>A1-S1-2</v>
          </cell>
          <cell r="G2952" t="str">
            <v>Patching wood - Gỗ đắp</v>
          </cell>
          <cell r="H2952" t="str">
            <v>TRAM OFF CUT</v>
          </cell>
          <cell r="I2952">
            <v>6</v>
          </cell>
        </row>
        <row r="2953">
          <cell r="A2953" t="str">
            <v>B557858/A</v>
          </cell>
          <cell r="B2953" t="str">
            <v>CZ551M191</v>
          </cell>
          <cell r="C2953">
            <v>3</v>
          </cell>
          <cell r="D2953">
            <v>315.12</v>
          </cell>
          <cell r="E2953">
            <v>945.36</v>
          </cell>
          <cell r="F2953" t="str">
            <v>A1-S2</v>
          </cell>
          <cell r="G2953" t="str">
            <v>Back leg - Chân hậu</v>
          </cell>
          <cell r="H2953" t="str">
            <v>Beech 2 COM</v>
          </cell>
          <cell r="I2953">
            <v>6</v>
          </cell>
        </row>
        <row r="2954">
          <cell r="A2954" t="str">
            <v>B557858/A</v>
          </cell>
          <cell r="B2954" t="str">
            <v>CZ551M191</v>
          </cell>
          <cell r="C2954">
            <v>3</v>
          </cell>
          <cell r="D2954">
            <v>315.12</v>
          </cell>
          <cell r="E2954">
            <v>945.36</v>
          </cell>
          <cell r="F2954" t="str">
            <v>A1-S3</v>
          </cell>
          <cell r="G2954" t="str">
            <v xml:space="preserve">Side panel  - Ván hông </v>
          </cell>
          <cell r="H2954" t="str">
            <v>MDF - 15 x 1830 x 2440mm [CARB P2 Compliant]</v>
          </cell>
          <cell r="I2954">
            <v>6</v>
          </cell>
        </row>
        <row r="2955">
          <cell r="A2955" t="str">
            <v>B557858/A</v>
          </cell>
          <cell r="B2955" t="str">
            <v>CZ551M191</v>
          </cell>
          <cell r="C2955">
            <v>3</v>
          </cell>
          <cell r="D2955">
            <v>315.12</v>
          </cell>
          <cell r="E2955">
            <v>945.36</v>
          </cell>
          <cell r="F2955" t="str">
            <v>A1-S4</v>
          </cell>
          <cell r="G2955" t="str">
            <v>Cleat - Bọ gỗ</v>
          </cell>
          <cell r="H2955" t="str">
            <v>Wood Rubber Laminate Board - 20 x 1220 x 2440mm, Veneer Poplar both Faces</v>
          </cell>
          <cell r="I2955">
            <v>6</v>
          </cell>
        </row>
        <row r="2956">
          <cell r="A2956" t="str">
            <v>B557858/A</v>
          </cell>
          <cell r="B2956" t="str">
            <v>CZ551M191</v>
          </cell>
          <cell r="C2956">
            <v>3</v>
          </cell>
          <cell r="D2956">
            <v>315.12</v>
          </cell>
          <cell r="E2956">
            <v>945.36</v>
          </cell>
          <cell r="F2956" t="str">
            <v>A1-S5</v>
          </cell>
          <cell r="G2956" t="str">
            <v>side rail inside with note finger - Đố trong ghép finger</v>
          </cell>
          <cell r="H2956" t="str">
            <v>Pre-Assembly</v>
          </cell>
          <cell r="I2956">
            <v>12</v>
          </cell>
        </row>
        <row r="2957">
          <cell r="A2957" t="str">
            <v>B557858/A</v>
          </cell>
          <cell r="B2957" t="str">
            <v>CZ551M191</v>
          </cell>
          <cell r="C2957">
            <v>3</v>
          </cell>
          <cell r="D2957">
            <v>315.12</v>
          </cell>
          <cell r="E2957">
            <v>945.36</v>
          </cell>
          <cell r="F2957" t="str">
            <v>A1-S5-1</v>
          </cell>
          <cell r="G2957" t="str">
            <v xml:space="preserve">Side rail  - Đố hông </v>
          </cell>
          <cell r="H2957" t="str">
            <v>Wood US Poplar - Straight Edged, 2 COM - T25mm x W100mm Up x L1.8m Up</v>
          </cell>
          <cell r="I2957">
            <v>12</v>
          </cell>
        </row>
        <row r="2958">
          <cell r="A2958" t="str">
            <v>B557858/A</v>
          </cell>
          <cell r="B2958" t="str">
            <v>CZ551M191</v>
          </cell>
          <cell r="C2958">
            <v>3</v>
          </cell>
          <cell r="D2958">
            <v>315.12</v>
          </cell>
          <cell r="E2958">
            <v>945.36</v>
          </cell>
          <cell r="F2958" t="str">
            <v>A1-S5-2</v>
          </cell>
          <cell r="G2958" t="str">
            <v>Patching wood - Gỗ đắp</v>
          </cell>
          <cell r="H2958" t="str">
            <v>wood off cut</v>
          </cell>
          <cell r="I2958">
            <v>24</v>
          </cell>
        </row>
        <row r="2959">
          <cell r="A2959" t="str">
            <v>B557858/A</v>
          </cell>
          <cell r="B2959" t="str">
            <v>CZ551M191</v>
          </cell>
          <cell r="C2959">
            <v>3</v>
          </cell>
          <cell r="D2959">
            <v>315.12</v>
          </cell>
          <cell r="E2959">
            <v>945.36</v>
          </cell>
          <cell r="F2959" t="str">
            <v>A4-S1</v>
          </cell>
          <cell r="G2959" t="str">
            <v>Front Bottom Rail  - Đố đáy trước</v>
          </cell>
          <cell r="H2959" t="str">
            <v>Wood Rubber Laminate Board - 20 x 1220 x 2440mm, Veneer Poplar both Faces</v>
          </cell>
          <cell r="I2959">
            <v>3</v>
          </cell>
        </row>
        <row r="2960">
          <cell r="A2960" t="str">
            <v>B557858/A</v>
          </cell>
          <cell r="B2960" t="str">
            <v>CZ551M191</v>
          </cell>
          <cell r="C2960">
            <v>3</v>
          </cell>
          <cell r="D2960">
            <v>315.12</v>
          </cell>
          <cell r="E2960">
            <v>945.36</v>
          </cell>
          <cell r="F2960" t="str">
            <v>A4-S2</v>
          </cell>
          <cell r="G2960" t="str">
            <v>Back bottom rail - Đố hậu đáy</v>
          </cell>
          <cell r="H2960" t="str">
            <v>Wood Rubber Laminate Board - 20 x 1220 x 2440mm, Veneer Poplar both Faces</v>
          </cell>
          <cell r="I2960">
            <v>3</v>
          </cell>
        </row>
        <row r="2961">
          <cell r="A2961" t="str">
            <v>B557858/A</v>
          </cell>
          <cell r="B2961" t="str">
            <v>CZ551M191</v>
          </cell>
          <cell r="C2961">
            <v>3</v>
          </cell>
          <cell r="D2961">
            <v>315.12</v>
          </cell>
          <cell r="E2961">
            <v>945.36</v>
          </cell>
          <cell r="F2961" t="str">
            <v>A4-S4</v>
          </cell>
          <cell r="G2961" t="str">
            <v>Dust board Panel  - Ván quét bụi</v>
          </cell>
          <cell r="H2961" t="str">
            <v>MDF - 06 x 1830 x 2440mm [CARB P2 Compliant]</v>
          </cell>
          <cell r="I2961">
            <v>3</v>
          </cell>
        </row>
        <row r="2962">
          <cell r="A2962" t="str">
            <v>B557858/A</v>
          </cell>
          <cell r="B2962" t="str">
            <v>CZ551M191</v>
          </cell>
          <cell r="C2962">
            <v>3</v>
          </cell>
          <cell r="D2962">
            <v>315.12</v>
          </cell>
          <cell r="E2962">
            <v>945.36</v>
          </cell>
          <cell r="F2962" t="str">
            <v>A6-S1</v>
          </cell>
          <cell r="G2962" t="str">
            <v xml:space="preserve">Drawer front - Mặt hộc kéo </v>
          </cell>
          <cell r="H2962" t="str">
            <v>MDF Veneer</v>
          </cell>
          <cell r="I2962">
            <v>6</v>
          </cell>
        </row>
        <row r="2963">
          <cell r="A2963" t="str">
            <v>B557858/A</v>
          </cell>
          <cell r="B2963" t="str">
            <v>CZ551M191</v>
          </cell>
          <cell r="C2963">
            <v>3</v>
          </cell>
          <cell r="D2963">
            <v>315.12</v>
          </cell>
          <cell r="E2963">
            <v>945.36</v>
          </cell>
          <cell r="F2963" t="str">
            <v>A6-S2</v>
          </cell>
          <cell r="G2963" t="str">
            <v>Drawer side - Hông hộc kéo</v>
          </cell>
          <cell r="H2963" t="str">
            <v>MDF-N - 12 x 1220 x 2440mm, Veneer Okoume 0.3mm Both Faces [CARB P2 Compliant]</v>
          </cell>
          <cell r="I2963">
            <v>12</v>
          </cell>
        </row>
        <row r="2964">
          <cell r="A2964" t="str">
            <v>B557858/A</v>
          </cell>
          <cell r="B2964" t="str">
            <v>CZ551M191</v>
          </cell>
          <cell r="C2964">
            <v>3</v>
          </cell>
          <cell r="D2964">
            <v>315.12</v>
          </cell>
          <cell r="E2964">
            <v>945.36</v>
          </cell>
          <cell r="F2964" t="str">
            <v>A6-S3</v>
          </cell>
          <cell r="G2964" t="str">
            <v>Drawer back - Hậu hộc kéo</v>
          </cell>
          <cell r="H2964" t="str">
            <v>MDF - 12 x 1220 x 2440mm, Veneer Okoume 0.3mm Both Faces [CARB P2 Compliant]</v>
          </cell>
          <cell r="I2964">
            <v>6</v>
          </cell>
        </row>
        <row r="2965">
          <cell r="A2965" t="str">
            <v>B557858/A</v>
          </cell>
          <cell r="B2965" t="str">
            <v>CZ551M191</v>
          </cell>
          <cell r="C2965">
            <v>3</v>
          </cell>
          <cell r="D2965">
            <v>315.12</v>
          </cell>
          <cell r="E2965">
            <v>945.36</v>
          </cell>
          <cell r="F2965" t="str">
            <v>A6-S4</v>
          </cell>
          <cell r="G2965" t="str">
            <v>Drawer bottom  - Đáy hộc kéo</v>
          </cell>
          <cell r="H2965" t="str">
            <v>MDF - 06 x 1220 x 2440mm, Veneer Okoume 0.3mm Both Faces [CARB P2 Compliant]</v>
          </cell>
          <cell r="I2965">
            <v>6</v>
          </cell>
        </row>
        <row r="2966">
          <cell r="A2966" t="str">
            <v>B557858/A</v>
          </cell>
          <cell r="B2966" t="str">
            <v>CZ551M191</v>
          </cell>
          <cell r="C2966">
            <v>3</v>
          </cell>
          <cell r="D2966">
            <v>315.12</v>
          </cell>
          <cell r="E2966">
            <v>945.36</v>
          </cell>
          <cell r="F2966" t="str">
            <v>P01</v>
          </cell>
          <cell r="G2966" t="str">
            <v>Front top rail  - Đố tiền nóc</v>
          </cell>
          <cell r="H2966" t="str">
            <v>Wood Rubber Laminate Board - 20 x 1220 x 2440mm, Veneer Poplar both Faces</v>
          </cell>
          <cell r="I2966">
            <v>3</v>
          </cell>
        </row>
        <row r="2967">
          <cell r="A2967" t="str">
            <v>B557858/A</v>
          </cell>
          <cell r="B2967" t="str">
            <v>CZ551M191</v>
          </cell>
          <cell r="C2967">
            <v>3</v>
          </cell>
          <cell r="D2967">
            <v>315.12</v>
          </cell>
          <cell r="E2967">
            <v>945.36</v>
          </cell>
          <cell r="F2967" t="str">
            <v>P02</v>
          </cell>
          <cell r="G2967" t="str">
            <v>Back rail with note finger - đố hậu</v>
          </cell>
          <cell r="H2967" t="str">
            <v>Wood Rubber Laminate Board - 20 x 1220 x 2440mm, Veneer Poplar both Faces</v>
          </cell>
          <cell r="I2967">
            <v>3</v>
          </cell>
        </row>
        <row r="2968">
          <cell r="A2968" t="str">
            <v>B557858/A</v>
          </cell>
          <cell r="B2968" t="str">
            <v>CZ551M191</v>
          </cell>
          <cell r="C2968">
            <v>3</v>
          </cell>
          <cell r="D2968">
            <v>315.12</v>
          </cell>
          <cell r="E2968">
            <v>945.36</v>
          </cell>
          <cell r="F2968" t="str">
            <v>P03</v>
          </cell>
          <cell r="G2968" t="str">
            <v xml:space="preserve">Top panel  - Ván nóc </v>
          </cell>
          <cell r="H2968" t="str">
            <v>MDF - 15 x 1830 x 2440mm [CARB P2 Compliant]</v>
          </cell>
          <cell r="I2968">
            <v>3</v>
          </cell>
        </row>
        <row r="2969">
          <cell r="A2969" t="str">
            <v>B557858/A</v>
          </cell>
          <cell r="B2969" t="str">
            <v>CZ551M191</v>
          </cell>
          <cell r="C2969">
            <v>3</v>
          </cell>
          <cell r="D2969">
            <v>315.12</v>
          </cell>
          <cell r="E2969">
            <v>945.36</v>
          </cell>
          <cell r="F2969" t="str">
            <v>P04</v>
          </cell>
          <cell r="G2969" t="str">
            <v>Spline - Lưỡi gà</v>
          </cell>
          <cell r="H2969" t="str">
            <v>Plywood LVD - 06 x 1220 x 2440mm, Bleached Poplar Veneer Both Sides [CARB P2 Compliant]</v>
          </cell>
          <cell r="I2969">
            <v>3</v>
          </cell>
        </row>
        <row r="2970">
          <cell r="A2970" t="str">
            <v>B557858/A</v>
          </cell>
          <cell r="B2970" t="str">
            <v>CZ551M191</v>
          </cell>
          <cell r="C2970">
            <v>3</v>
          </cell>
          <cell r="D2970">
            <v>315.12</v>
          </cell>
          <cell r="E2970">
            <v>945.36</v>
          </cell>
          <cell r="F2970" t="str">
            <v>P05</v>
          </cell>
          <cell r="G2970" t="str">
            <v>Spline - Lưỡi gà</v>
          </cell>
          <cell r="H2970" t="str">
            <v>Plywood LVD - 06 x 1220 x 2440mm, Bleached Poplar Veneer Both Sides [CARB P2 Compliant]</v>
          </cell>
          <cell r="I2970">
            <v>6</v>
          </cell>
        </row>
        <row r="2971">
          <cell r="A2971" t="str">
            <v>B557858/A</v>
          </cell>
          <cell r="B2971" t="str">
            <v>CZ551M191</v>
          </cell>
          <cell r="C2971">
            <v>3</v>
          </cell>
          <cell r="D2971">
            <v>315.12</v>
          </cell>
          <cell r="E2971">
            <v>945.36</v>
          </cell>
          <cell r="F2971" t="str">
            <v>P10</v>
          </cell>
          <cell r="G2971" t="str">
            <v>Back panel - Ván hậu</v>
          </cell>
          <cell r="H2971" t="str">
            <v>MDF - 06 x 1220 x 2440mm, Veneer Okoume 0.3mm Both Faces [CARB P2 Compliant]</v>
          </cell>
          <cell r="I2971">
            <v>3</v>
          </cell>
        </row>
        <row r="2972">
          <cell r="A2972" t="str">
            <v>B557858/A</v>
          </cell>
          <cell r="B2972" t="str">
            <v>CZ551M191</v>
          </cell>
          <cell r="C2972">
            <v>3</v>
          </cell>
          <cell r="D2972">
            <v>315.12</v>
          </cell>
          <cell r="E2972">
            <v>945.36</v>
          </cell>
          <cell r="F2972" t="str">
            <v>P12</v>
          </cell>
          <cell r="G2972" t="str">
            <v>Corner block - ke góc</v>
          </cell>
          <cell r="H2972" t="str">
            <v>wood off cut</v>
          </cell>
          <cell r="I2972">
            <v>6</v>
          </cell>
        </row>
        <row r="2973">
          <cell r="A2973" t="str">
            <v>B557858/A</v>
          </cell>
          <cell r="B2973" t="str">
            <v>CZ551M191</v>
          </cell>
          <cell r="C2973">
            <v>3</v>
          </cell>
          <cell r="D2973">
            <v>315.12</v>
          </cell>
          <cell r="E2973">
            <v>945.36</v>
          </cell>
          <cell r="F2973" t="str">
            <v>P13</v>
          </cell>
          <cell r="G2973" t="str">
            <v>Cleat - Bọ gỗ</v>
          </cell>
          <cell r="H2973" t="str">
            <v>Wood US Poplar - Straight Edged, 2 COM - T25mm x W100mm Up x L1.8m Up</v>
          </cell>
          <cell r="I2973">
            <v>6</v>
          </cell>
        </row>
        <row r="2974">
          <cell r="A2974" t="str">
            <v>B557858/A</v>
          </cell>
          <cell r="B2974" t="str">
            <v>CZ551M191</v>
          </cell>
          <cell r="C2974">
            <v>3</v>
          </cell>
          <cell r="D2974">
            <v>315.12</v>
          </cell>
          <cell r="E2974">
            <v>945.36</v>
          </cell>
          <cell r="F2974" t="str">
            <v>P14</v>
          </cell>
          <cell r="G2974" t="str">
            <v>Drawer stop - Dừng hộc</v>
          </cell>
          <cell r="H2974" t="str">
            <v>Poplar off cut</v>
          </cell>
          <cell r="I2974">
            <v>12</v>
          </cell>
        </row>
        <row r="2975">
          <cell r="A2975" t="str">
            <v>B557858/A</v>
          </cell>
          <cell r="B2975" t="str">
            <v>CZ551M191</v>
          </cell>
          <cell r="C2975">
            <v>3</v>
          </cell>
          <cell r="D2975">
            <v>315.12</v>
          </cell>
          <cell r="E2975">
            <v>945.36</v>
          </cell>
          <cell r="F2975" t="str">
            <v>P15</v>
          </cell>
          <cell r="G2975" t="str">
            <v>Front rail  - Đố tiền</v>
          </cell>
          <cell r="H2975" t="str">
            <v>Wood US Poplar - Straight Edged, 2 COM - T25mm x W100mm Up x L1.8m Up</v>
          </cell>
          <cell r="I2975">
            <v>3</v>
          </cell>
        </row>
        <row r="2976">
          <cell r="A2976" t="str">
            <v>B557861/A</v>
          </cell>
          <cell r="B2976" t="str">
            <v>CZ557NM09</v>
          </cell>
          <cell r="C2976">
            <v>12</v>
          </cell>
          <cell r="D2976">
            <v>698.19</v>
          </cell>
          <cell r="E2976">
            <v>8378.2800000000007</v>
          </cell>
          <cell r="F2976" t="str">
            <v>A01-S01</v>
          </cell>
          <cell r="G2976" t="str">
            <v>Front leg  - Chần tiền</v>
          </cell>
          <cell r="H2976" t="str">
            <v>Pre-Assembly</v>
          </cell>
          <cell r="I2976">
            <v>24</v>
          </cell>
        </row>
        <row r="2977">
          <cell r="A2977" t="str">
            <v>B557861/A</v>
          </cell>
          <cell r="B2977" t="str">
            <v>CZ557NM09</v>
          </cell>
          <cell r="C2977">
            <v>12</v>
          </cell>
          <cell r="D2977">
            <v>698.19</v>
          </cell>
          <cell r="E2977">
            <v>8378.2800000000007</v>
          </cell>
          <cell r="F2977" t="str">
            <v>A01-S01-1</v>
          </cell>
          <cell r="G2977" t="str">
            <v>Wood laminater - Gỗ ghép 1</v>
          </cell>
          <cell r="H2977" t="str">
            <v>Wood US Poplar - Straight Edged, 2 COM - T25mm x W100mm Up x L1.8m Up</v>
          </cell>
          <cell r="I2977">
            <v>24</v>
          </cell>
        </row>
        <row r="2978">
          <cell r="A2978" t="str">
            <v>B557861/A</v>
          </cell>
          <cell r="B2978" t="str">
            <v>CZ557NM09</v>
          </cell>
          <cell r="C2978">
            <v>12</v>
          </cell>
          <cell r="D2978">
            <v>698.19</v>
          </cell>
          <cell r="E2978">
            <v>8378.2800000000007</v>
          </cell>
          <cell r="F2978" t="str">
            <v>A01-S01-2</v>
          </cell>
          <cell r="G2978" t="str">
            <v>Wood laminater - Gỗ ghép 1</v>
          </cell>
          <cell r="H2978" t="str">
            <v>Poplar off cut</v>
          </cell>
          <cell r="I2978">
            <v>24</v>
          </cell>
        </row>
        <row r="2979">
          <cell r="A2979" t="str">
            <v>B557861/A</v>
          </cell>
          <cell r="B2979" t="str">
            <v>CZ557NM09</v>
          </cell>
          <cell r="C2979">
            <v>12</v>
          </cell>
          <cell r="D2979">
            <v>698.19</v>
          </cell>
          <cell r="E2979">
            <v>8378.2800000000007</v>
          </cell>
          <cell r="F2979" t="str">
            <v>A01-S02</v>
          </cell>
          <cell r="G2979" t="str">
            <v>Back leg - Chân hậu</v>
          </cell>
          <cell r="H2979" t="str">
            <v>Beech 2 COM</v>
          </cell>
          <cell r="I2979">
            <v>24</v>
          </cell>
        </row>
        <row r="2980">
          <cell r="A2980" t="str">
            <v>B557861/A</v>
          </cell>
          <cell r="B2980" t="str">
            <v>CZ557NM09</v>
          </cell>
          <cell r="C2980">
            <v>12</v>
          </cell>
          <cell r="D2980">
            <v>698.19</v>
          </cell>
          <cell r="E2980">
            <v>8378.2800000000007</v>
          </cell>
          <cell r="F2980" t="str">
            <v>A01-S03</v>
          </cell>
          <cell r="G2980" t="str">
            <v xml:space="preserve">Side panel  - Ván hông </v>
          </cell>
          <cell r="H2980" t="str">
            <v>MDF - 15 x 1830 x 2440mm [CARB P2 Compliant]</v>
          </cell>
          <cell r="I2980">
            <v>24</v>
          </cell>
        </row>
        <row r="2981">
          <cell r="A2981" t="str">
            <v>B557861/A</v>
          </cell>
          <cell r="B2981" t="str">
            <v>CZ557NM09</v>
          </cell>
          <cell r="C2981">
            <v>12</v>
          </cell>
          <cell r="D2981">
            <v>698.19</v>
          </cell>
          <cell r="E2981">
            <v>8378.2800000000007</v>
          </cell>
          <cell r="F2981" t="str">
            <v>A01-S04</v>
          </cell>
          <cell r="G2981" t="str">
            <v xml:space="preserve">Side rail  - Đố hông </v>
          </cell>
          <cell r="H2981" t="str">
            <v>Pre-Assembly</v>
          </cell>
          <cell r="I2981">
            <v>120</v>
          </cell>
        </row>
        <row r="2982">
          <cell r="A2982" t="str">
            <v>B557861/A</v>
          </cell>
          <cell r="B2982" t="str">
            <v>CZ557NM09</v>
          </cell>
          <cell r="C2982">
            <v>12</v>
          </cell>
          <cell r="D2982">
            <v>698.19</v>
          </cell>
          <cell r="E2982">
            <v>8378.2800000000007</v>
          </cell>
          <cell r="F2982" t="str">
            <v>A01-S04-1</v>
          </cell>
          <cell r="G2982" t="str">
            <v xml:space="preserve">Side rail  - Đố hông </v>
          </cell>
          <cell r="H2982" t="str">
            <v>Standard Wood - ALDER/ASPEN/LENGA/US POPLAR, 2 COM - T25 W120mm+ L2m+</v>
          </cell>
          <cell r="I2982">
            <v>120</v>
          </cell>
        </row>
        <row r="2983">
          <cell r="A2983" t="str">
            <v>B557861/A</v>
          </cell>
          <cell r="B2983" t="str">
            <v>CZ557NM09</v>
          </cell>
          <cell r="C2983">
            <v>12</v>
          </cell>
          <cell r="D2983">
            <v>698.19</v>
          </cell>
          <cell r="E2983">
            <v>8378.2800000000007</v>
          </cell>
          <cell r="F2983" t="str">
            <v>A01-S04-2</v>
          </cell>
          <cell r="G2983" t="str">
            <v>Patching wood - Gỗ đắp</v>
          </cell>
          <cell r="H2983" t="str">
            <v>wood off cut</v>
          </cell>
          <cell r="I2983">
            <v>240</v>
          </cell>
        </row>
        <row r="2984">
          <cell r="A2984" t="str">
            <v>B557861/A</v>
          </cell>
          <cell r="B2984" t="str">
            <v>CZ557NM09</v>
          </cell>
          <cell r="C2984">
            <v>12</v>
          </cell>
          <cell r="D2984">
            <v>698.19</v>
          </cell>
          <cell r="E2984">
            <v>8378.2800000000007</v>
          </cell>
          <cell r="F2984" t="str">
            <v>A03-S01</v>
          </cell>
          <cell r="G2984" t="str">
            <v>Front Bottom Rail  - Đố đáy trước</v>
          </cell>
          <cell r="H2984" t="str">
            <v>Wood Rubber Laminate Board - 20 x 1220 x 2440mm, Veneer Poplar both Faces</v>
          </cell>
          <cell r="I2984">
            <v>12</v>
          </cell>
        </row>
        <row r="2985">
          <cell r="A2985" t="str">
            <v>B557861/A</v>
          </cell>
          <cell r="B2985" t="str">
            <v>CZ557NM09</v>
          </cell>
          <cell r="C2985">
            <v>12</v>
          </cell>
          <cell r="D2985">
            <v>698.19</v>
          </cell>
          <cell r="E2985">
            <v>8378.2800000000007</v>
          </cell>
          <cell r="F2985" t="str">
            <v>A03-S02</v>
          </cell>
          <cell r="G2985" t="str">
            <v>Back bottom rail - Đố hậu đáy</v>
          </cell>
          <cell r="H2985" t="str">
            <v>Wood Rubber Laminate Board - 20 x 1220 x 2440mm, Veneer Poplar both Faces</v>
          </cell>
          <cell r="I2985">
            <v>12</v>
          </cell>
        </row>
        <row r="2986">
          <cell r="A2986" t="str">
            <v>B557861/A</v>
          </cell>
          <cell r="B2986" t="str">
            <v>CZ557NM09</v>
          </cell>
          <cell r="C2986">
            <v>12</v>
          </cell>
          <cell r="D2986">
            <v>698.19</v>
          </cell>
          <cell r="E2986">
            <v>8378.2800000000007</v>
          </cell>
          <cell r="F2986" t="str">
            <v>A03-S03</v>
          </cell>
          <cell r="G2986" t="str">
            <v>Center bottom rail - Đố đáy giữa</v>
          </cell>
          <cell r="H2986" t="str">
            <v>Wood Rubber Laminate Board - 20 x 1220 x 2440mm, Veneer Poplar both Faces</v>
          </cell>
          <cell r="I2986">
            <v>12</v>
          </cell>
        </row>
        <row r="2987">
          <cell r="A2987" t="str">
            <v>B557861/A</v>
          </cell>
          <cell r="B2987" t="str">
            <v>CZ557NM09</v>
          </cell>
          <cell r="C2987">
            <v>12</v>
          </cell>
          <cell r="D2987">
            <v>698.19</v>
          </cell>
          <cell r="E2987">
            <v>8378.2800000000007</v>
          </cell>
          <cell r="F2987" t="str">
            <v>A03-S04</v>
          </cell>
          <cell r="G2987" t="str">
            <v>Dust board Panel  - Ván quét bụi</v>
          </cell>
          <cell r="H2987" t="str">
            <v>MDF - 06 x 1830 x 2440mm [CARB P2 Compliant]</v>
          </cell>
          <cell r="I2987">
            <v>12</v>
          </cell>
        </row>
        <row r="2988">
          <cell r="A2988" t="str">
            <v>B557861/A</v>
          </cell>
          <cell r="B2988" t="str">
            <v>CZ557NM09</v>
          </cell>
          <cell r="C2988">
            <v>12</v>
          </cell>
          <cell r="D2988">
            <v>698.19</v>
          </cell>
          <cell r="E2988">
            <v>8378.2800000000007</v>
          </cell>
          <cell r="F2988" t="str">
            <v>A04-S01</v>
          </cell>
          <cell r="G2988" t="str">
            <v xml:space="preserve">Drawer front - Mặt hộc kéo </v>
          </cell>
          <cell r="H2988" t="str">
            <v>MDF Veneer</v>
          </cell>
          <cell r="I2988">
            <v>60</v>
          </cell>
        </row>
        <row r="2989">
          <cell r="A2989" t="str">
            <v>B557861/A</v>
          </cell>
          <cell r="B2989" t="str">
            <v>CZ557NM09</v>
          </cell>
          <cell r="C2989">
            <v>12</v>
          </cell>
          <cell r="D2989">
            <v>698.19</v>
          </cell>
          <cell r="E2989">
            <v>8378.2800000000007</v>
          </cell>
          <cell r="F2989" t="str">
            <v>A04-S02</v>
          </cell>
          <cell r="G2989" t="str">
            <v>Drawer side - Hông hộc kéo</v>
          </cell>
          <cell r="H2989" t="str">
            <v>MDF-N - 12 x 1220 x 2440mm, Veneer Okoume 0.3mm Both Faces [CARB P2 Compliant]</v>
          </cell>
          <cell r="I2989">
            <v>120</v>
          </cell>
        </row>
        <row r="2990">
          <cell r="A2990" t="str">
            <v>B557861/A</v>
          </cell>
          <cell r="B2990" t="str">
            <v>CZ557NM09</v>
          </cell>
          <cell r="C2990">
            <v>12</v>
          </cell>
          <cell r="D2990">
            <v>698.19</v>
          </cell>
          <cell r="E2990">
            <v>8378.2800000000007</v>
          </cell>
          <cell r="F2990" t="str">
            <v>A04-S03</v>
          </cell>
          <cell r="G2990" t="str">
            <v>Drawer back - Hậu hộc kéo</v>
          </cell>
          <cell r="H2990" t="str">
            <v>MDF - 12 x 1220 x 2440mm, Veneer Okoume 0.3mm Both Faces [CARB P2 Compliant]</v>
          </cell>
          <cell r="I2990">
            <v>60</v>
          </cell>
        </row>
        <row r="2991">
          <cell r="A2991" t="str">
            <v>B557861/A</v>
          </cell>
          <cell r="B2991" t="str">
            <v>CZ557NM09</v>
          </cell>
          <cell r="C2991">
            <v>12</v>
          </cell>
          <cell r="D2991">
            <v>698.19</v>
          </cell>
          <cell r="E2991">
            <v>8378.2800000000007</v>
          </cell>
          <cell r="F2991" t="str">
            <v>A04-S04</v>
          </cell>
          <cell r="G2991" t="str">
            <v>Drawer bottom  - Đáy hộc kéo</v>
          </cell>
          <cell r="H2991" t="str">
            <v>MDF - 06 x 1220 x 2440mm, Veneer Okoume 0.3mm Both Faces [CARB P2 Compliant]</v>
          </cell>
          <cell r="I2991">
            <v>60</v>
          </cell>
        </row>
        <row r="2992">
          <cell r="A2992" t="str">
            <v>B557861/A</v>
          </cell>
          <cell r="B2992" t="str">
            <v>CZ557NM09</v>
          </cell>
          <cell r="C2992">
            <v>12</v>
          </cell>
          <cell r="D2992">
            <v>698.19</v>
          </cell>
          <cell r="E2992">
            <v>8378.2800000000007</v>
          </cell>
          <cell r="F2992" t="str">
            <v>A04-S06</v>
          </cell>
          <cell r="G2992" t="str">
            <v>cleat support under drawer - Đỡ đáy hộc kéo</v>
          </cell>
          <cell r="H2992" t="str">
            <v>Plywood LVD - 12 x 1220 x 2440mm, Bleached Poplar Veneer Both Sides [CARB P2 Compliant]</v>
          </cell>
          <cell r="I2992">
            <v>60</v>
          </cell>
        </row>
        <row r="2993">
          <cell r="A2993" t="str">
            <v>B557861/A</v>
          </cell>
          <cell r="B2993" t="str">
            <v>CZ557NM09</v>
          </cell>
          <cell r="C2993">
            <v>12</v>
          </cell>
          <cell r="D2993">
            <v>698.19</v>
          </cell>
          <cell r="E2993">
            <v>8378.2800000000007</v>
          </cell>
          <cell r="F2993" t="str">
            <v>P01</v>
          </cell>
          <cell r="G2993" t="str">
            <v>Front rail  - Đố tiền</v>
          </cell>
          <cell r="H2993" t="str">
            <v>Wood Rubber Laminate Board - 20 x 1220 x 2440mm, Veneer Poplar both Faces</v>
          </cell>
          <cell r="I2993">
            <v>12</v>
          </cell>
        </row>
        <row r="2994">
          <cell r="A2994" t="str">
            <v>B557861/A</v>
          </cell>
          <cell r="B2994" t="str">
            <v>CZ557NM09</v>
          </cell>
          <cell r="C2994">
            <v>12</v>
          </cell>
          <cell r="D2994">
            <v>698.19</v>
          </cell>
          <cell r="E2994">
            <v>8378.2800000000007</v>
          </cell>
          <cell r="F2994" t="str">
            <v>P02</v>
          </cell>
          <cell r="G2994" t="str">
            <v>back rail - Đố hậu</v>
          </cell>
          <cell r="H2994" t="str">
            <v>Wood Rubber Laminate Board - 20 x 1220 x 2440mm, Veneer Poplar both Faces</v>
          </cell>
          <cell r="I2994">
            <v>12</v>
          </cell>
        </row>
        <row r="2995">
          <cell r="A2995" t="str">
            <v>B557861/A</v>
          </cell>
          <cell r="B2995" t="str">
            <v>CZ557NM09</v>
          </cell>
          <cell r="C2995">
            <v>12</v>
          </cell>
          <cell r="D2995">
            <v>698.19</v>
          </cell>
          <cell r="E2995">
            <v>8378.2800000000007</v>
          </cell>
          <cell r="F2995" t="str">
            <v>P03</v>
          </cell>
          <cell r="G2995" t="str">
            <v>Center rail - Đố giữa</v>
          </cell>
          <cell r="H2995" t="str">
            <v>Wood Rubber Laminate Board - 20 x 1220 x 2440mm, Veneer Poplar both Faces</v>
          </cell>
          <cell r="I2995">
            <v>12</v>
          </cell>
        </row>
        <row r="2996">
          <cell r="A2996" t="str">
            <v>B557861/A</v>
          </cell>
          <cell r="B2996" t="str">
            <v>CZ557NM09</v>
          </cell>
          <cell r="C2996">
            <v>12</v>
          </cell>
          <cell r="D2996">
            <v>698.19</v>
          </cell>
          <cell r="E2996">
            <v>8378.2800000000007</v>
          </cell>
          <cell r="F2996" t="str">
            <v>P04</v>
          </cell>
          <cell r="G2996" t="str">
            <v xml:space="preserve">Top panel  - Ván nóc </v>
          </cell>
          <cell r="H2996" t="str">
            <v>MDF - 15 x 1830 x 2440mm [CARB P2 Compliant]</v>
          </cell>
          <cell r="I2996">
            <v>12</v>
          </cell>
        </row>
        <row r="2997">
          <cell r="A2997" t="str">
            <v>B557861/A</v>
          </cell>
          <cell r="B2997" t="str">
            <v>CZ557NM09</v>
          </cell>
          <cell r="C2997">
            <v>12</v>
          </cell>
          <cell r="D2997">
            <v>698.19</v>
          </cell>
          <cell r="E2997">
            <v>8378.2800000000007</v>
          </cell>
          <cell r="F2997" t="str">
            <v>P05</v>
          </cell>
          <cell r="G2997" t="str">
            <v>Back panel - Ván hậu</v>
          </cell>
          <cell r="H2997" t="str">
            <v>MDF Veneer</v>
          </cell>
          <cell r="I2997">
            <v>12</v>
          </cell>
        </row>
        <row r="2998">
          <cell r="A2998" t="str">
            <v>B557861/A</v>
          </cell>
          <cell r="B2998" t="str">
            <v>CZ557NM09</v>
          </cell>
          <cell r="C2998">
            <v>12</v>
          </cell>
          <cell r="D2998">
            <v>698.19</v>
          </cell>
          <cell r="E2998">
            <v>8378.2800000000007</v>
          </cell>
          <cell r="F2998" t="str">
            <v>P10</v>
          </cell>
          <cell r="G2998" t="str">
            <v>Corner block - ke góc</v>
          </cell>
          <cell r="H2998" t="str">
            <v>Poplar off cut</v>
          </cell>
          <cell r="I2998">
            <v>24</v>
          </cell>
        </row>
        <row r="2999">
          <cell r="A2999" t="str">
            <v>B557861/A</v>
          </cell>
          <cell r="B2999" t="str">
            <v>CZ557NM09</v>
          </cell>
          <cell r="C2999">
            <v>12</v>
          </cell>
          <cell r="D2999">
            <v>698.19</v>
          </cell>
          <cell r="E2999">
            <v>8378.2800000000007</v>
          </cell>
          <cell r="F2999" t="str">
            <v>P12</v>
          </cell>
          <cell r="G2999" t="str">
            <v>Spline - Lưỡi gà</v>
          </cell>
          <cell r="H2999" t="str">
            <v>Plywood LVD - 06 x 1220 x 2440mm, Bleached Poplar Veneer Both Sides [CARB P2 Compliant]</v>
          </cell>
          <cell r="I2999">
            <v>24</v>
          </cell>
        </row>
        <row r="3000">
          <cell r="A3000" t="str">
            <v>B557861/A</v>
          </cell>
          <cell r="B3000" t="str">
            <v>CZ557NM09</v>
          </cell>
          <cell r="C3000">
            <v>12</v>
          </cell>
          <cell r="D3000">
            <v>698.19</v>
          </cell>
          <cell r="E3000">
            <v>8378.2800000000007</v>
          </cell>
          <cell r="F3000" t="str">
            <v>P13</v>
          </cell>
          <cell r="G3000" t="str">
            <v>Spline - Lưỡi gà</v>
          </cell>
          <cell r="H3000" t="str">
            <v>Plywood LVD - 06 x 1220 x 2440mm, Bleached Poplar Veneer Both Sides [CARB P2 Compliant]</v>
          </cell>
          <cell r="I3000">
            <v>12</v>
          </cell>
        </row>
        <row r="3001">
          <cell r="A3001" t="str">
            <v>B557861/A</v>
          </cell>
          <cell r="B3001" t="str">
            <v>CZ557NM09</v>
          </cell>
          <cell r="C3001">
            <v>12</v>
          </cell>
          <cell r="D3001">
            <v>698.19</v>
          </cell>
          <cell r="E3001">
            <v>8378.2800000000007</v>
          </cell>
          <cell r="F3001" t="str">
            <v>P14</v>
          </cell>
          <cell r="G3001" t="str">
            <v>Cleat - Bọ gỗ</v>
          </cell>
          <cell r="H3001" t="str">
            <v>Wood Rubber Laminate Board - 20 x 1220 x 2440mm, Veneer Poplar both Faces</v>
          </cell>
          <cell r="I3001">
            <v>24</v>
          </cell>
        </row>
        <row r="3002">
          <cell r="A3002" t="str">
            <v>B557861/A</v>
          </cell>
          <cell r="B3002" t="str">
            <v>CZ557NM09</v>
          </cell>
          <cell r="C3002">
            <v>12</v>
          </cell>
          <cell r="D3002">
            <v>698.19</v>
          </cell>
          <cell r="E3002">
            <v>8378.2800000000007</v>
          </cell>
          <cell r="F3002" t="str">
            <v>P15</v>
          </cell>
          <cell r="G3002" t="str">
            <v>Cleat - Bọ gỗ</v>
          </cell>
          <cell r="H3002" t="str">
            <v>Wood Rubber Laminate Board - 20 x 1220 x 2440mm, Veneer Poplar both Faces</v>
          </cell>
          <cell r="I3002">
            <v>24</v>
          </cell>
        </row>
        <row r="3003">
          <cell r="A3003" t="str">
            <v>B557861/A</v>
          </cell>
          <cell r="B3003" t="str">
            <v>CZ557NM09</v>
          </cell>
          <cell r="C3003">
            <v>12</v>
          </cell>
          <cell r="D3003">
            <v>698.19</v>
          </cell>
          <cell r="E3003">
            <v>8378.2800000000007</v>
          </cell>
          <cell r="F3003" t="str">
            <v>P17</v>
          </cell>
          <cell r="G3003" t="str">
            <v>Front rail  - Đố tiền</v>
          </cell>
          <cell r="H3003" t="str">
            <v>Wood Rubber Laminate Board - 20 x 1220 x 2440mm, Veneer Poplar both Faces</v>
          </cell>
          <cell r="I3003">
            <v>48</v>
          </cell>
        </row>
        <row r="3004">
          <cell r="A3004" t="str">
            <v>B557861/A</v>
          </cell>
          <cell r="B3004" t="str">
            <v>CZ557NM09</v>
          </cell>
          <cell r="C3004">
            <v>12</v>
          </cell>
          <cell r="D3004">
            <v>698.19</v>
          </cell>
          <cell r="E3004">
            <v>8378.2800000000007</v>
          </cell>
          <cell r="F3004" t="str">
            <v>P17A</v>
          </cell>
          <cell r="G3004" t="str">
            <v>back rail - Đố hậu</v>
          </cell>
          <cell r="H3004" t="str">
            <v>Wood Rubber Laminate Board - 20 x 1220 x 2440mm, Veneer Poplar both Faces</v>
          </cell>
          <cell r="I3004">
            <v>12</v>
          </cell>
        </row>
        <row r="3005">
          <cell r="A3005" t="str">
            <v>B557861/A</v>
          </cell>
          <cell r="B3005" t="str">
            <v>CZ557NM09</v>
          </cell>
          <cell r="C3005">
            <v>12</v>
          </cell>
          <cell r="D3005">
            <v>698.19</v>
          </cell>
          <cell r="E3005">
            <v>8378.2800000000007</v>
          </cell>
          <cell r="F3005" t="str">
            <v>P18</v>
          </cell>
          <cell r="G3005" t="str">
            <v>Patching wood - Gỗ đắp</v>
          </cell>
          <cell r="H3005" t="str">
            <v>Wood Rubber Laminate Board - 20 x 1220 x 2440mm, Veneer Poplar both Faces</v>
          </cell>
          <cell r="I3005">
            <v>24</v>
          </cell>
        </row>
        <row r="3006">
          <cell r="A3006" t="str">
            <v>B557861/A</v>
          </cell>
          <cell r="B3006" t="str">
            <v>CZ557NM09</v>
          </cell>
          <cell r="C3006">
            <v>12</v>
          </cell>
          <cell r="D3006">
            <v>698.19</v>
          </cell>
          <cell r="E3006">
            <v>8378.2800000000007</v>
          </cell>
          <cell r="F3006" t="str">
            <v>P19</v>
          </cell>
          <cell r="G3006" t="str">
            <v>Back panel - Ván hậu</v>
          </cell>
          <cell r="H3006" t="str">
            <v>Cement Board - 18 x 1220 x 2440mm, Dark Grey</v>
          </cell>
          <cell r="I3006">
            <v>12</v>
          </cell>
        </row>
        <row r="3007">
          <cell r="A3007" t="str">
            <v>B557861/A</v>
          </cell>
          <cell r="B3007" t="str">
            <v>CZ557NM09</v>
          </cell>
          <cell r="C3007">
            <v>12</v>
          </cell>
          <cell r="D3007">
            <v>698.19</v>
          </cell>
          <cell r="E3007">
            <v>8378.2800000000007</v>
          </cell>
          <cell r="F3007" t="str">
            <v>P20</v>
          </cell>
          <cell r="G3007" t="str">
            <v>Drawer stop - Dừng hộc</v>
          </cell>
          <cell r="H3007" t="str">
            <v>Poplar off cut</v>
          </cell>
          <cell r="I3007">
            <v>120</v>
          </cell>
        </row>
        <row r="3008">
          <cell r="A3008" t="str">
            <v>B557862/A</v>
          </cell>
          <cell r="B3008" t="str">
            <v>CZ557NM09</v>
          </cell>
          <cell r="C3008">
            <v>13</v>
          </cell>
          <cell r="D3008">
            <v>698.19</v>
          </cell>
          <cell r="E3008">
            <v>9076.4700000000012</v>
          </cell>
          <cell r="F3008" t="str">
            <v>A01-S01</v>
          </cell>
          <cell r="G3008" t="str">
            <v>Front leg  - Chần tiền</v>
          </cell>
          <cell r="H3008" t="str">
            <v>Pre-Assembly</v>
          </cell>
          <cell r="I3008">
            <v>26</v>
          </cell>
        </row>
        <row r="3009">
          <cell r="A3009" t="str">
            <v>B557862/A</v>
          </cell>
          <cell r="B3009" t="str">
            <v>CZ557NM09</v>
          </cell>
          <cell r="C3009">
            <v>13</v>
          </cell>
          <cell r="D3009">
            <v>698.19</v>
          </cell>
          <cell r="E3009">
            <v>9076.4700000000012</v>
          </cell>
          <cell r="F3009" t="str">
            <v>A01-S01-1</v>
          </cell>
          <cell r="G3009" t="str">
            <v>Wood laminater - Gỗ ghép 1</v>
          </cell>
          <cell r="H3009" t="str">
            <v>Wood US Poplar - Straight Edged, 2 COM - T25mm x W100mm Up x L1.8m Up</v>
          </cell>
          <cell r="I3009">
            <v>26</v>
          </cell>
        </row>
        <row r="3010">
          <cell r="A3010" t="str">
            <v>B557862/A</v>
          </cell>
          <cell r="B3010" t="str">
            <v>CZ557NM09</v>
          </cell>
          <cell r="C3010">
            <v>13</v>
          </cell>
          <cell r="D3010">
            <v>698.19</v>
          </cell>
          <cell r="E3010">
            <v>9076.4700000000012</v>
          </cell>
          <cell r="F3010" t="str">
            <v>A01-S01-2</v>
          </cell>
          <cell r="G3010" t="str">
            <v>Wood laminater - Gỗ ghép 1</v>
          </cell>
          <cell r="H3010" t="str">
            <v>Poplar off cut</v>
          </cell>
          <cell r="I3010">
            <v>26</v>
          </cell>
        </row>
        <row r="3011">
          <cell r="A3011" t="str">
            <v>B557862/A</v>
          </cell>
          <cell r="B3011" t="str">
            <v>CZ557NM09</v>
          </cell>
          <cell r="C3011">
            <v>13</v>
          </cell>
          <cell r="D3011">
            <v>698.19</v>
          </cell>
          <cell r="E3011">
            <v>9076.4700000000012</v>
          </cell>
          <cell r="F3011" t="str">
            <v>A01-S02</v>
          </cell>
          <cell r="G3011" t="str">
            <v>Back leg - Chân hậu</v>
          </cell>
          <cell r="H3011" t="str">
            <v>Beech 2 COM</v>
          </cell>
          <cell r="I3011">
            <v>26</v>
          </cell>
        </row>
        <row r="3012">
          <cell r="A3012" t="str">
            <v>B557862/A</v>
          </cell>
          <cell r="B3012" t="str">
            <v>CZ557NM09</v>
          </cell>
          <cell r="C3012">
            <v>13</v>
          </cell>
          <cell r="D3012">
            <v>698.19</v>
          </cell>
          <cell r="E3012">
            <v>9076.4700000000012</v>
          </cell>
          <cell r="F3012" t="str">
            <v>A01-S03</v>
          </cell>
          <cell r="G3012" t="str">
            <v xml:space="preserve">Side panel  - Ván hông </v>
          </cell>
          <cell r="H3012" t="str">
            <v>MDF - 15 x 1830 x 2440mm [CARB P2 Compliant]</v>
          </cell>
          <cell r="I3012">
            <v>26</v>
          </cell>
        </row>
        <row r="3013">
          <cell r="A3013" t="str">
            <v>B557862/A</v>
          </cell>
          <cell r="B3013" t="str">
            <v>CZ557NM09</v>
          </cell>
          <cell r="C3013">
            <v>13</v>
          </cell>
          <cell r="D3013">
            <v>698.19</v>
          </cell>
          <cell r="E3013">
            <v>9076.4700000000012</v>
          </cell>
          <cell r="F3013" t="str">
            <v>A01-S04</v>
          </cell>
          <cell r="G3013" t="str">
            <v xml:space="preserve">Side rail  - Đố hông </v>
          </cell>
          <cell r="H3013" t="str">
            <v>Pre-Assembly</v>
          </cell>
          <cell r="I3013">
            <v>130</v>
          </cell>
        </row>
        <row r="3014">
          <cell r="A3014" t="str">
            <v>B557862/A</v>
          </cell>
          <cell r="B3014" t="str">
            <v>CZ557NM09</v>
          </cell>
          <cell r="C3014">
            <v>13</v>
          </cell>
          <cell r="D3014">
            <v>698.19</v>
          </cell>
          <cell r="E3014">
            <v>9076.4700000000012</v>
          </cell>
          <cell r="F3014" t="str">
            <v>A01-S04-1</v>
          </cell>
          <cell r="G3014" t="str">
            <v xml:space="preserve">Side rail  - Đố hông </v>
          </cell>
          <cell r="H3014" t="str">
            <v>Standard Wood - ALDER/ASPEN/LENGA/US POPLAR, 2 COM - T25 W120mm+ L2m+</v>
          </cell>
          <cell r="I3014">
            <v>130</v>
          </cell>
        </row>
        <row r="3015">
          <cell r="A3015" t="str">
            <v>B557862/A</v>
          </cell>
          <cell r="B3015" t="str">
            <v>CZ557NM09</v>
          </cell>
          <cell r="C3015">
            <v>13</v>
          </cell>
          <cell r="D3015">
            <v>698.19</v>
          </cell>
          <cell r="E3015">
            <v>9076.4700000000012</v>
          </cell>
          <cell r="F3015" t="str">
            <v>A01-S04-2</v>
          </cell>
          <cell r="G3015" t="str">
            <v>Patching wood - Gỗ đắp</v>
          </cell>
          <cell r="H3015" t="str">
            <v>wood off cut</v>
          </cell>
          <cell r="I3015">
            <v>260</v>
          </cell>
        </row>
        <row r="3016">
          <cell r="A3016" t="str">
            <v>B557862/A</v>
          </cell>
          <cell r="B3016" t="str">
            <v>CZ557NM09</v>
          </cell>
          <cell r="C3016">
            <v>13</v>
          </cell>
          <cell r="D3016">
            <v>698.19</v>
          </cell>
          <cell r="E3016">
            <v>9076.4700000000012</v>
          </cell>
          <cell r="F3016" t="str">
            <v>A03-S01</v>
          </cell>
          <cell r="G3016" t="str">
            <v>Front Bottom Rail  - Đố đáy trước</v>
          </cell>
          <cell r="H3016" t="str">
            <v>Wood Rubber Laminate Board - 20 x 1220 x 2440mm, Veneer Poplar both Faces</v>
          </cell>
          <cell r="I3016">
            <v>13</v>
          </cell>
        </row>
        <row r="3017">
          <cell r="A3017" t="str">
            <v>B557862/A</v>
          </cell>
          <cell r="B3017" t="str">
            <v>CZ557NM09</v>
          </cell>
          <cell r="C3017">
            <v>13</v>
          </cell>
          <cell r="D3017">
            <v>698.19</v>
          </cell>
          <cell r="E3017">
            <v>9076.4700000000012</v>
          </cell>
          <cell r="F3017" t="str">
            <v>A03-S02</v>
          </cell>
          <cell r="G3017" t="str">
            <v>Back bottom rail - Đố hậu đáy</v>
          </cell>
          <cell r="H3017" t="str">
            <v>Wood Rubber Laminate Board - 20 x 1220 x 2440mm, Veneer Poplar both Faces</v>
          </cell>
          <cell r="I3017">
            <v>13</v>
          </cell>
        </row>
        <row r="3018">
          <cell r="A3018" t="str">
            <v>B557862/A</v>
          </cell>
          <cell r="B3018" t="str">
            <v>CZ557NM09</v>
          </cell>
          <cell r="C3018">
            <v>13</v>
          </cell>
          <cell r="D3018">
            <v>698.19</v>
          </cell>
          <cell r="E3018">
            <v>9076.4700000000012</v>
          </cell>
          <cell r="F3018" t="str">
            <v>A03-S03</v>
          </cell>
          <cell r="G3018" t="str">
            <v>Center bottom rail - Đố đáy giữa</v>
          </cell>
          <cell r="H3018" t="str">
            <v>Wood Rubber Laminate Board - 20 x 1220 x 2440mm, Veneer Poplar both Faces</v>
          </cell>
          <cell r="I3018">
            <v>13</v>
          </cell>
        </row>
        <row r="3019">
          <cell r="A3019" t="str">
            <v>B557862/A</v>
          </cell>
          <cell r="B3019" t="str">
            <v>CZ557NM09</v>
          </cell>
          <cell r="C3019">
            <v>13</v>
          </cell>
          <cell r="D3019">
            <v>698.19</v>
          </cell>
          <cell r="E3019">
            <v>9076.4700000000012</v>
          </cell>
          <cell r="F3019" t="str">
            <v>A03-S04</v>
          </cell>
          <cell r="G3019" t="str">
            <v>Dust board Panel  - Ván quét bụi</v>
          </cell>
          <cell r="H3019" t="str">
            <v>MDF - 06 x 1830 x 2440mm [CARB P2 Compliant]</v>
          </cell>
          <cell r="I3019">
            <v>13</v>
          </cell>
        </row>
        <row r="3020">
          <cell r="A3020" t="str">
            <v>B557862/A</v>
          </cell>
          <cell r="B3020" t="str">
            <v>CZ557NM09</v>
          </cell>
          <cell r="C3020">
            <v>13</v>
          </cell>
          <cell r="D3020">
            <v>698.19</v>
          </cell>
          <cell r="E3020">
            <v>9076.4700000000012</v>
          </cell>
          <cell r="F3020" t="str">
            <v>A04-S01</v>
          </cell>
          <cell r="G3020" t="str">
            <v xml:space="preserve">Drawer front - Mặt hộc kéo </v>
          </cell>
          <cell r="H3020" t="str">
            <v>MDF Veneer</v>
          </cell>
          <cell r="I3020">
            <v>65</v>
          </cell>
        </row>
        <row r="3021">
          <cell r="A3021" t="str">
            <v>B557862/A</v>
          </cell>
          <cell r="B3021" t="str">
            <v>CZ557NM09</v>
          </cell>
          <cell r="C3021">
            <v>13</v>
          </cell>
          <cell r="D3021">
            <v>698.19</v>
          </cell>
          <cell r="E3021">
            <v>9076.4700000000012</v>
          </cell>
          <cell r="F3021" t="str">
            <v>A04-S02</v>
          </cell>
          <cell r="G3021" t="str">
            <v>Drawer side - Hông hộc kéo</v>
          </cell>
          <cell r="H3021" t="str">
            <v>MDF-N - 12 x 1220 x 2440mm, Veneer Okoume 0.3mm Both Faces [CARB P2 Compliant]</v>
          </cell>
          <cell r="I3021">
            <v>130</v>
          </cell>
        </row>
        <row r="3022">
          <cell r="A3022" t="str">
            <v>B557862/A</v>
          </cell>
          <cell r="B3022" t="str">
            <v>CZ557NM09</v>
          </cell>
          <cell r="C3022">
            <v>13</v>
          </cell>
          <cell r="D3022">
            <v>698.19</v>
          </cell>
          <cell r="E3022">
            <v>9076.4700000000012</v>
          </cell>
          <cell r="F3022" t="str">
            <v>A04-S03</v>
          </cell>
          <cell r="G3022" t="str">
            <v>Drawer back - Hậu hộc kéo</v>
          </cell>
          <cell r="H3022" t="str">
            <v>MDF - 12 x 1220 x 2440mm, Veneer Okoume 0.3mm Both Faces [CARB P2 Compliant]</v>
          </cell>
          <cell r="I3022">
            <v>65</v>
          </cell>
        </row>
        <row r="3023">
          <cell r="A3023" t="str">
            <v>B557862/A</v>
          </cell>
          <cell r="B3023" t="str">
            <v>CZ557NM09</v>
          </cell>
          <cell r="C3023">
            <v>13</v>
          </cell>
          <cell r="D3023">
            <v>698.19</v>
          </cell>
          <cell r="E3023">
            <v>9076.4700000000012</v>
          </cell>
          <cell r="F3023" t="str">
            <v>A04-S04</v>
          </cell>
          <cell r="G3023" t="str">
            <v>Drawer bottom  - Đáy hộc kéo</v>
          </cell>
          <cell r="H3023" t="str">
            <v>MDF - 06 x 1220 x 2440mm, Veneer Okoume 0.3mm Both Faces [CARB P2 Compliant]</v>
          </cell>
          <cell r="I3023">
            <v>65</v>
          </cell>
        </row>
        <row r="3024">
          <cell r="A3024" t="str">
            <v>B557862/A</v>
          </cell>
          <cell r="B3024" t="str">
            <v>CZ557NM09</v>
          </cell>
          <cell r="C3024">
            <v>13</v>
          </cell>
          <cell r="D3024">
            <v>698.19</v>
          </cell>
          <cell r="E3024">
            <v>9076.4700000000012</v>
          </cell>
          <cell r="F3024" t="str">
            <v>A04-S06</v>
          </cell>
          <cell r="G3024" t="str">
            <v>cleat support under drawer - Đỡ đáy hộc kéo</v>
          </cell>
          <cell r="H3024" t="str">
            <v>Plywood LVD - 12 x 1220 x 2440mm, Bleached Poplar Veneer Both Sides [CARB P2 Compliant]</v>
          </cell>
          <cell r="I3024">
            <v>65</v>
          </cell>
        </row>
        <row r="3025">
          <cell r="A3025" t="str">
            <v>B557862/A</v>
          </cell>
          <cell r="B3025" t="str">
            <v>CZ557NM09</v>
          </cell>
          <cell r="C3025">
            <v>13</v>
          </cell>
          <cell r="D3025">
            <v>698.19</v>
          </cell>
          <cell r="E3025">
            <v>9076.4700000000012</v>
          </cell>
          <cell r="F3025" t="str">
            <v>P01</v>
          </cell>
          <cell r="G3025" t="str">
            <v>Front rail  - Đố tiền</v>
          </cell>
          <cell r="H3025" t="str">
            <v>Wood Rubber Laminate Board - 20 x 1220 x 2440mm, Veneer Poplar both Faces</v>
          </cell>
          <cell r="I3025">
            <v>13</v>
          </cell>
        </row>
        <row r="3026">
          <cell r="A3026" t="str">
            <v>B557862/A</v>
          </cell>
          <cell r="B3026" t="str">
            <v>CZ557NM09</v>
          </cell>
          <cell r="C3026">
            <v>13</v>
          </cell>
          <cell r="D3026">
            <v>698.19</v>
          </cell>
          <cell r="E3026">
            <v>9076.4700000000012</v>
          </cell>
          <cell r="F3026" t="str">
            <v>P02</v>
          </cell>
          <cell r="G3026" t="str">
            <v>back rail - Đố hậu</v>
          </cell>
          <cell r="H3026" t="str">
            <v>Wood Rubber Laminate Board - 20 x 1220 x 2440mm, Veneer Poplar both Faces</v>
          </cell>
          <cell r="I3026">
            <v>13</v>
          </cell>
        </row>
        <row r="3027">
          <cell r="A3027" t="str">
            <v>B557862/A</v>
          </cell>
          <cell r="B3027" t="str">
            <v>CZ557NM09</v>
          </cell>
          <cell r="C3027">
            <v>13</v>
          </cell>
          <cell r="D3027">
            <v>698.19</v>
          </cell>
          <cell r="E3027">
            <v>9076.4700000000012</v>
          </cell>
          <cell r="F3027" t="str">
            <v>P03</v>
          </cell>
          <cell r="G3027" t="str">
            <v>Center rail - Đố giữa</v>
          </cell>
          <cell r="H3027" t="str">
            <v>Wood Rubber Laminate Board - 20 x 1220 x 2440mm, Veneer Poplar both Faces</v>
          </cell>
          <cell r="I3027">
            <v>13</v>
          </cell>
        </row>
        <row r="3028">
          <cell r="A3028" t="str">
            <v>B557862/A</v>
          </cell>
          <cell r="B3028" t="str">
            <v>CZ557NM09</v>
          </cell>
          <cell r="C3028">
            <v>13</v>
          </cell>
          <cell r="D3028">
            <v>698.19</v>
          </cell>
          <cell r="E3028">
            <v>9076.4700000000012</v>
          </cell>
          <cell r="F3028" t="str">
            <v>P04</v>
          </cell>
          <cell r="G3028" t="str">
            <v xml:space="preserve">Top panel  - Ván nóc </v>
          </cell>
          <cell r="H3028" t="str">
            <v>MDF - 15 x 1830 x 2440mm [CARB P2 Compliant]</v>
          </cell>
          <cell r="I3028">
            <v>13</v>
          </cell>
        </row>
        <row r="3029">
          <cell r="A3029" t="str">
            <v>B557862/A</v>
          </cell>
          <cell r="B3029" t="str">
            <v>CZ557NM09</v>
          </cell>
          <cell r="C3029">
            <v>13</v>
          </cell>
          <cell r="D3029">
            <v>698.19</v>
          </cell>
          <cell r="E3029">
            <v>9076.4700000000012</v>
          </cell>
          <cell r="F3029" t="str">
            <v>P05</v>
          </cell>
          <cell r="G3029" t="str">
            <v>Back panel - Ván hậu</v>
          </cell>
          <cell r="H3029" t="str">
            <v>MDF Veneer</v>
          </cell>
          <cell r="I3029">
            <v>13</v>
          </cell>
        </row>
        <row r="3030">
          <cell r="A3030" t="str">
            <v>B557862/A</v>
          </cell>
          <cell r="B3030" t="str">
            <v>CZ557NM09</v>
          </cell>
          <cell r="C3030">
            <v>13</v>
          </cell>
          <cell r="D3030">
            <v>698.19</v>
          </cell>
          <cell r="E3030">
            <v>9076.4700000000012</v>
          </cell>
          <cell r="F3030" t="str">
            <v>P10</v>
          </cell>
          <cell r="G3030" t="str">
            <v>Corner block - ke góc</v>
          </cell>
          <cell r="H3030" t="str">
            <v>Poplar off cut</v>
          </cell>
          <cell r="I3030">
            <v>26</v>
          </cell>
        </row>
        <row r="3031">
          <cell r="A3031" t="str">
            <v>B557862/A</v>
          </cell>
          <cell r="B3031" t="str">
            <v>CZ557NM09</v>
          </cell>
          <cell r="C3031">
            <v>13</v>
          </cell>
          <cell r="D3031">
            <v>698.19</v>
          </cell>
          <cell r="E3031">
            <v>9076.4700000000012</v>
          </cell>
          <cell r="F3031" t="str">
            <v>P12</v>
          </cell>
          <cell r="G3031" t="str">
            <v>Spline - Lưỡi gà</v>
          </cell>
          <cell r="H3031" t="str">
            <v>Plywood LVD - 06 x 1220 x 2440mm, Bleached Poplar Veneer Both Sides [CARB P2 Compliant]</v>
          </cell>
          <cell r="I3031">
            <v>26</v>
          </cell>
        </row>
        <row r="3032">
          <cell r="A3032" t="str">
            <v>B557862/A</v>
          </cell>
          <cell r="B3032" t="str">
            <v>CZ557NM09</v>
          </cell>
          <cell r="C3032">
            <v>13</v>
          </cell>
          <cell r="D3032">
            <v>698.19</v>
          </cell>
          <cell r="E3032">
            <v>9076.4700000000012</v>
          </cell>
          <cell r="F3032" t="str">
            <v>P13</v>
          </cell>
          <cell r="G3032" t="str">
            <v>Spline - Lưỡi gà</v>
          </cell>
          <cell r="H3032" t="str">
            <v>Plywood LVD - 06 x 1220 x 2440mm, Bleached Poplar Veneer Both Sides [CARB P2 Compliant]</v>
          </cell>
          <cell r="I3032">
            <v>13</v>
          </cell>
        </row>
        <row r="3033">
          <cell r="A3033" t="str">
            <v>B557862/A</v>
          </cell>
          <cell r="B3033" t="str">
            <v>CZ557NM09</v>
          </cell>
          <cell r="C3033">
            <v>13</v>
          </cell>
          <cell r="D3033">
            <v>698.19</v>
          </cell>
          <cell r="E3033">
            <v>9076.4700000000012</v>
          </cell>
          <cell r="F3033" t="str">
            <v>P14</v>
          </cell>
          <cell r="G3033" t="str">
            <v>Cleat - Bọ gỗ</v>
          </cell>
          <cell r="H3033" t="str">
            <v>Wood Rubber Laminate Board - 20 x 1220 x 2440mm, Veneer Poplar both Faces</v>
          </cell>
          <cell r="I3033">
            <v>26</v>
          </cell>
        </row>
        <row r="3034">
          <cell r="A3034" t="str">
            <v>B557862/A</v>
          </cell>
          <cell r="B3034" t="str">
            <v>CZ557NM09</v>
          </cell>
          <cell r="C3034">
            <v>13</v>
          </cell>
          <cell r="D3034">
            <v>698.19</v>
          </cell>
          <cell r="E3034">
            <v>9076.4700000000012</v>
          </cell>
          <cell r="F3034" t="str">
            <v>P15</v>
          </cell>
          <cell r="G3034" t="str">
            <v>Cleat - Bọ gỗ</v>
          </cell>
          <cell r="H3034" t="str">
            <v>Wood Rubber Laminate Board - 20 x 1220 x 2440mm, Veneer Poplar both Faces</v>
          </cell>
          <cell r="I3034">
            <v>26</v>
          </cell>
        </row>
        <row r="3035">
          <cell r="A3035" t="str">
            <v>B557862/A</v>
          </cell>
          <cell r="B3035" t="str">
            <v>CZ557NM09</v>
          </cell>
          <cell r="C3035">
            <v>13</v>
          </cell>
          <cell r="D3035">
            <v>698.19</v>
          </cell>
          <cell r="E3035">
            <v>9076.4700000000012</v>
          </cell>
          <cell r="F3035" t="str">
            <v>P17</v>
          </cell>
          <cell r="G3035" t="str">
            <v>Front rail  - Đố tiền</v>
          </cell>
          <cell r="H3035" t="str">
            <v>Wood Rubber Laminate Board - 20 x 1220 x 2440mm, Veneer Poplar both Faces</v>
          </cell>
          <cell r="I3035">
            <v>52</v>
          </cell>
        </row>
        <row r="3036">
          <cell r="A3036" t="str">
            <v>B557862/A</v>
          </cell>
          <cell r="B3036" t="str">
            <v>CZ557NM09</v>
          </cell>
          <cell r="C3036">
            <v>13</v>
          </cell>
          <cell r="D3036">
            <v>698.19</v>
          </cell>
          <cell r="E3036">
            <v>9076.4700000000012</v>
          </cell>
          <cell r="F3036" t="str">
            <v>P17A</v>
          </cell>
          <cell r="G3036" t="str">
            <v>back rail - Đố hậu</v>
          </cell>
          <cell r="H3036" t="str">
            <v>Wood Rubber Laminate Board - 20 x 1220 x 2440mm, Veneer Poplar both Faces</v>
          </cell>
          <cell r="I3036">
            <v>13</v>
          </cell>
        </row>
        <row r="3037">
          <cell r="A3037" t="str">
            <v>B557862/A</v>
          </cell>
          <cell r="B3037" t="str">
            <v>CZ557NM09</v>
          </cell>
          <cell r="C3037">
            <v>13</v>
          </cell>
          <cell r="D3037">
            <v>698.19</v>
          </cell>
          <cell r="E3037">
            <v>9076.4700000000012</v>
          </cell>
          <cell r="F3037" t="str">
            <v>P18</v>
          </cell>
          <cell r="G3037" t="str">
            <v>Patching wood - Gỗ đắp</v>
          </cell>
          <cell r="H3037" t="str">
            <v>Wood Rubber Laminate Board - 20 x 1220 x 2440mm, Veneer Poplar both Faces</v>
          </cell>
          <cell r="I3037">
            <v>26</v>
          </cell>
        </row>
        <row r="3038">
          <cell r="A3038" t="str">
            <v>B557862/A</v>
          </cell>
          <cell r="B3038" t="str">
            <v>CZ557NM09</v>
          </cell>
          <cell r="C3038">
            <v>13</v>
          </cell>
          <cell r="D3038">
            <v>698.19</v>
          </cell>
          <cell r="E3038">
            <v>9076.4700000000012</v>
          </cell>
          <cell r="F3038" t="str">
            <v>P19</v>
          </cell>
          <cell r="G3038" t="str">
            <v>Back panel - Ván hậu</v>
          </cell>
          <cell r="H3038" t="str">
            <v>Cement Board - 18 x 1220 x 2440mm, Dark Grey</v>
          </cell>
          <cell r="I3038">
            <v>13</v>
          </cell>
        </row>
        <row r="3039">
          <cell r="A3039" t="str">
            <v>B557862/A</v>
          </cell>
          <cell r="B3039" t="str">
            <v>CZ557NM09</v>
          </cell>
          <cell r="C3039">
            <v>13</v>
          </cell>
          <cell r="D3039">
            <v>698.19</v>
          </cell>
          <cell r="E3039">
            <v>9076.4700000000012</v>
          </cell>
          <cell r="F3039" t="str">
            <v>P20</v>
          </cell>
          <cell r="G3039" t="str">
            <v>Drawer stop - Dừng hộc</v>
          </cell>
          <cell r="H3039" t="str">
            <v>Poplar off cut</v>
          </cell>
          <cell r="I3039">
            <v>130</v>
          </cell>
        </row>
        <row r="3040">
          <cell r="A3040" t="str">
            <v>B556620/A</v>
          </cell>
          <cell r="B3040" t="str">
            <v>CZ557NM10</v>
          </cell>
          <cell r="C3040">
            <v>2</v>
          </cell>
          <cell r="D3040">
            <v>698.19</v>
          </cell>
          <cell r="E3040">
            <v>1396.38</v>
          </cell>
          <cell r="F3040" t="str">
            <v>A01-S01</v>
          </cell>
          <cell r="G3040" t="str">
            <v>Front leg  - Chần tiền</v>
          </cell>
          <cell r="H3040" t="str">
            <v>Pre-Assembly</v>
          </cell>
          <cell r="I3040">
            <v>4</v>
          </cell>
        </row>
        <row r="3041">
          <cell r="A3041" t="str">
            <v>B556620/A</v>
          </cell>
          <cell r="B3041" t="str">
            <v>CZ557NM10</v>
          </cell>
          <cell r="C3041">
            <v>2</v>
          </cell>
          <cell r="D3041">
            <v>698.19</v>
          </cell>
          <cell r="E3041">
            <v>1396.38</v>
          </cell>
          <cell r="F3041" t="str">
            <v>A01-S01-1</v>
          </cell>
          <cell r="G3041" t="str">
            <v>Wood laminater - Gỗ ghép 1</v>
          </cell>
          <cell r="H3041" t="str">
            <v>Wood US Poplar - Straight Edged, 2 COM - T25mm x W100mm Up x L1.8m Up</v>
          </cell>
          <cell r="I3041">
            <v>4</v>
          </cell>
        </row>
        <row r="3042">
          <cell r="A3042" t="str">
            <v>B556620/A</v>
          </cell>
          <cell r="B3042" t="str">
            <v>CZ557NM10</v>
          </cell>
          <cell r="C3042">
            <v>2</v>
          </cell>
          <cell r="D3042">
            <v>698.19</v>
          </cell>
          <cell r="E3042">
            <v>1396.38</v>
          </cell>
          <cell r="F3042" t="str">
            <v>A01-S01-2</v>
          </cell>
          <cell r="G3042" t="str">
            <v>Wood laminater - Gỗ ghép 1</v>
          </cell>
          <cell r="H3042" t="str">
            <v>Poplar off cut</v>
          </cell>
          <cell r="I3042">
            <v>4</v>
          </cell>
        </row>
        <row r="3043">
          <cell r="A3043" t="str">
            <v>B556620/A</v>
          </cell>
          <cell r="B3043" t="str">
            <v>CZ557NM10</v>
          </cell>
          <cell r="C3043">
            <v>2</v>
          </cell>
          <cell r="D3043">
            <v>698.19</v>
          </cell>
          <cell r="E3043">
            <v>1396.38</v>
          </cell>
          <cell r="F3043" t="str">
            <v>A01-S02</v>
          </cell>
          <cell r="G3043" t="str">
            <v>Back leg - Chân hậu</v>
          </cell>
          <cell r="H3043" t="str">
            <v>Beech 2 COM</v>
          </cell>
          <cell r="I3043">
            <v>4</v>
          </cell>
        </row>
        <row r="3044">
          <cell r="A3044" t="str">
            <v>B556620/A</v>
          </cell>
          <cell r="B3044" t="str">
            <v>CZ557NM10</v>
          </cell>
          <cell r="C3044">
            <v>2</v>
          </cell>
          <cell r="D3044">
            <v>698.19</v>
          </cell>
          <cell r="E3044">
            <v>1396.38</v>
          </cell>
          <cell r="F3044" t="str">
            <v>A01-S03</v>
          </cell>
          <cell r="G3044" t="str">
            <v xml:space="preserve">Side panel  - Ván hông </v>
          </cell>
          <cell r="H3044" t="str">
            <v>MDF - 15 x 1830 x 2440mm [CARB P2 Compliant]</v>
          </cell>
          <cell r="I3044">
            <v>4</v>
          </cell>
        </row>
        <row r="3045">
          <cell r="A3045" t="str">
            <v>B556620/A</v>
          </cell>
          <cell r="B3045" t="str">
            <v>CZ557NM10</v>
          </cell>
          <cell r="C3045">
            <v>2</v>
          </cell>
          <cell r="D3045">
            <v>698.19</v>
          </cell>
          <cell r="E3045">
            <v>1396.38</v>
          </cell>
          <cell r="F3045" t="str">
            <v>A01-S04</v>
          </cell>
          <cell r="G3045" t="str">
            <v xml:space="preserve">Side rail  - Đố hông </v>
          </cell>
          <cell r="H3045" t="str">
            <v>Pre-Assembly</v>
          </cell>
          <cell r="I3045">
            <v>20</v>
          </cell>
        </row>
        <row r="3046">
          <cell r="A3046" t="str">
            <v>B556620/A</v>
          </cell>
          <cell r="B3046" t="str">
            <v>CZ557NM10</v>
          </cell>
          <cell r="C3046">
            <v>2</v>
          </cell>
          <cell r="D3046">
            <v>698.19</v>
          </cell>
          <cell r="E3046">
            <v>1396.38</v>
          </cell>
          <cell r="F3046" t="str">
            <v>A01-S04-1</v>
          </cell>
          <cell r="G3046" t="str">
            <v xml:space="preserve">Side rail  - Đố hông </v>
          </cell>
          <cell r="H3046" t="str">
            <v>Standard Wood - ALDER/ASPEN/LENGA/US POPLAR, 2 COM - T25 W120mm+ L2m+</v>
          </cell>
          <cell r="I3046">
            <v>20</v>
          </cell>
        </row>
        <row r="3047">
          <cell r="A3047" t="str">
            <v>B556620/A</v>
          </cell>
          <cell r="B3047" t="str">
            <v>CZ557NM10</v>
          </cell>
          <cell r="C3047">
            <v>2</v>
          </cell>
          <cell r="D3047">
            <v>698.19</v>
          </cell>
          <cell r="E3047">
            <v>1396.38</v>
          </cell>
          <cell r="F3047" t="str">
            <v>A01-S04-2</v>
          </cell>
          <cell r="G3047" t="str">
            <v>Patching wood - Gỗ đắp</v>
          </cell>
          <cell r="H3047" t="str">
            <v>wood off cut</v>
          </cell>
          <cell r="I3047">
            <v>40</v>
          </cell>
        </row>
        <row r="3048">
          <cell r="A3048" t="str">
            <v>B556620/A</v>
          </cell>
          <cell r="B3048" t="str">
            <v>CZ557NM10</v>
          </cell>
          <cell r="C3048">
            <v>2</v>
          </cell>
          <cell r="D3048">
            <v>698.19</v>
          </cell>
          <cell r="E3048">
            <v>1396.38</v>
          </cell>
          <cell r="F3048" t="str">
            <v>A03-S01</v>
          </cell>
          <cell r="G3048" t="str">
            <v>Front Bottom Rail  - Đố đáy trước</v>
          </cell>
          <cell r="H3048" t="str">
            <v>Wood Rubber Laminate Board - 20 x 1220 x 2440mm, Veneer Poplar both Faces</v>
          </cell>
          <cell r="I3048">
            <v>2</v>
          </cell>
        </row>
        <row r="3049">
          <cell r="A3049" t="str">
            <v>B556620/A</v>
          </cell>
          <cell r="B3049" t="str">
            <v>CZ557NM10</v>
          </cell>
          <cell r="C3049">
            <v>2</v>
          </cell>
          <cell r="D3049">
            <v>698.19</v>
          </cell>
          <cell r="E3049">
            <v>1396.38</v>
          </cell>
          <cell r="F3049" t="str">
            <v>A03-S02</v>
          </cell>
          <cell r="G3049" t="str">
            <v>Back bottom rail - Đố hậu đáy</v>
          </cell>
          <cell r="H3049" t="str">
            <v>Wood Rubber Laminate Board - 20 x 1220 x 2440mm, Veneer Poplar both Faces</v>
          </cell>
          <cell r="I3049">
            <v>2</v>
          </cell>
        </row>
        <row r="3050">
          <cell r="A3050" t="str">
            <v>B556620/A</v>
          </cell>
          <cell r="B3050" t="str">
            <v>CZ557NM10</v>
          </cell>
          <cell r="C3050">
            <v>2</v>
          </cell>
          <cell r="D3050">
            <v>698.19</v>
          </cell>
          <cell r="E3050">
            <v>1396.38</v>
          </cell>
          <cell r="F3050" t="str">
            <v>A03-S03</v>
          </cell>
          <cell r="G3050" t="str">
            <v>Center bottom rail - Đố đáy giữa</v>
          </cell>
          <cell r="H3050" t="str">
            <v>Wood Rubber Laminate Board - 20 x 1220 x 2440mm, Veneer Poplar both Faces</v>
          </cell>
          <cell r="I3050">
            <v>2</v>
          </cell>
        </row>
        <row r="3051">
          <cell r="A3051" t="str">
            <v>B556620/A</v>
          </cell>
          <cell r="B3051" t="str">
            <v>CZ557NM10</v>
          </cell>
          <cell r="C3051">
            <v>2</v>
          </cell>
          <cell r="D3051">
            <v>698.19</v>
          </cell>
          <cell r="E3051">
            <v>1396.38</v>
          </cell>
          <cell r="F3051" t="str">
            <v>A03-S04</v>
          </cell>
          <cell r="G3051" t="str">
            <v>Dust board Panel  - Ván quét bụi</v>
          </cell>
          <cell r="H3051" t="str">
            <v>MDF - 06 x 1830 x 2440mm [CARB P2 Compliant]</v>
          </cell>
          <cell r="I3051">
            <v>2</v>
          </cell>
        </row>
        <row r="3052">
          <cell r="A3052" t="str">
            <v>B556620/A</v>
          </cell>
          <cell r="B3052" t="str">
            <v>CZ557NM10</v>
          </cell>
          <cell r="C3052">
            <v>2</v>
          </cell>
          <cell r="D3052">
            <v>698.19</v>
          </cell>
          <cell r="E3052">
            <v>1396.38</v>
          </cell>
          <cell r="F3052" t="str">
            <v>A04-S01</v>
          </cell>
          <cell r="G3052" t="str">
            <v xml:space="preserve">Drawer front - Mặt hộc kéo </v>
          </cell>
          <cell r="H3052" t="str">
            <v>MDF Veneer</v>
          </cell>
          <cell r="I3052">
            <v>10</v>
          </cell>
        </row>
        <row r="3053">
          <cell r="A3053" t="str">
            <v>B556620/A</v>
          </cell>
          <cell r="B3053" t="str">
            <v>CZ557NM10</v>
          </cell>
          <cell r="C3053">
            <v>2</v>
          </cell>
          <cell r="D3053">
            <v>698.19</v>
          </cell>
          <cell r="E3053">
            <v>1396.38</v>
          </cell>
          <cell r="F3053" t="str">
            <v>A04-S02</v>
          </cell>
          <cell r="G3053" t="str">
            <v>Drawer side - Hông hộc kéo</v>
          </cell>
          <cell r="H3053" t="str">
            <v>MDF-N - 12 x 1220 x 2440mm, Veneer Okoume 0.3mm Both Faces [CARB P2 Compliant]</v>
          </cell>
          <cell r="I3053">
            <v>20</v>
          </cell>
        </row>
        <row r="3054">
          <cell r="A3054" t="str">
            <v>B556620/A</v>
          </cell>
          <cell r="B3054" t="str">
            <v>CZ557NM10</v>
          </cell>
          <cell r="C3054">
            <v>2</v>
          </cell>
          <cell r="D3054">
            <v>698.19</v>
          </cell>
          <cell r="E3054">
            <v>1396.38</v>
          </cell>
          <cell r="F3054" t="str">
            <v>A04-S03</v>
          </cell>
          <cell r="G3054" t="str">
            <v>Drawer back - Hậu hộc kéo</v>
          </cell>
          <cell r="H3054" t="str">
            <v>MDF - 12 x 1220 x 2440mm, Veneer Okoume 0.3mm Both Faces [CARB P2 Compliant]</v>
          </cell>
          <cell r="I3054">
            <v>10</v>
          </cell>
        </row>
        <row r="3055">
          <cell r="A3055" t="str">
            <v>B556620/A</v>
          </cell>
          <cell r="B3055" t="str">
            <v>CZ557NM10</v>
          </cell>
          <cell r="C3055">
            <v>2</v>
          </cell>
          <cell r="D3055">
            <v>698.19</v>
          </cell>
          <cell r="E3055">
            <v>1396.38</v>
          </cell>
          <cell r="F3055" t="str">
            <v>A04-S04</v>
          </cell>
          <cell r="G3055" t="str">
            <v>Drawer bottom  - Đáy hộc kéo</v>
          </cell>
          <cell r="H3055" t="str">
            <v>MDF - 06 x 1220 x 2440mm, Veneer Okoume 0.3mm Both Faces [CARB P2 Compliant]</v>
          </cell>
          <cell r="I3055">
            <v>10</v>
          </cell>
        </row>
        <row r="3056">
          <cell r="A3056" t="str">
            <v>B556620/A</v>
          </cell>
          <cell r="B3056" t="str">
            <v>CZ557NM10</v>
          </cell>
          <cell r="C3056">
            <v>2</v>
          </cell>
          <cell r="D3056">
            <v>698.19</v>
          </cell>
          <cell r="E3056">
            <v>1396.38</v>
          </cell>
          <cell r="F3056" t="str">
            <v>A04-S06</v>
          </cell>
          <cell r="G3056" t="str">
            <v>cleat support under drawer - Đỡ đáy hộc kéo</v>
          </cell>
          <cell r="H3056" t="str">
            <v>Plywood LVD - 12 x 1220 x 2440mm, Bleached Poplar Veneer Both Sides [CARB P2 Compliant]</v>
          </cell>
          <cell r="I3056">
            <v>10</v>
          </cell>
        </row>
        <row r="3057">
          <cell r="A3057" t="str">
            <v>B556620/A</v>
          </cell>
          <cell r="B3057" t="str">
            <v>CZ557NM10</v>
          </cell>
          <cell r="C3057">
            <v>2</v>
          </cell>
          <cell r="D3057">
            <v>698.19</v>
          </cell>
          <cell r="E3057">
            <v>1396.38</v>
          </cell>
          <cell r="F3057" t="str">
            <v>P01</v>
          </cell>
          <cell r="G3057" t="str">
            <v>Front rail  - Đố tiền</v>
          </cell>
          <cell r="H3057" t="str">
            <v>Wood Rubber Laminate Board - 20 x 1220 x 2440mm, Veneer Poplar both Faces</v>
          </cell>
          <cell r="I3057">
            <v>2</v>
          </cell>
        </row>
        <row r="3058">
          <cell r="A3058" t="str">
            <v>B556620/A</v>
          </cell>
          <cell r="B3058" t="str">
            <v>CZ557NM10</v>
          </cell>
          <cell r="C3058">
            <v>2</v>
          </cell>
          <cell r="D3058">
            <v>698.19</v>
          </cell>
          <cell r="E3058">
            <v>1396.38</v>
          </cell>
          <cell r="F3058" t="str">
            <v>P02</v>
          </cell>
          <cell r="G3058" t="str">
            <v>back rail - Đố hậu</v>
          </cell>
          <cell r="H3058" t="str">
            <v>Wood Rubber Laminate Board - 20 x 1220 x 2440mm, Veneer Poplar both Faces</v>
          </cell>
          <cell r="I3058">
            <v>2</v>
          </cell>
        </row>
        <row r="3059">
          <cell r="A3059" t="str">
            <v>B556620/A</v>
          </cell>
          <cell r="B3059" t="str">
            <v>CZ557NM10</v>
          </cell>
          <cell r="C3059">
            <v>2</v>
          </cell>
          <cell r="D3059">
            <v>698.19</v>
          </cell>
          <cell r="E3059">
            <v>1396.38</v>
          </cell>
          <cell r="F3059" t="str">
            <v>P03</v>
          </cell>
          <cell r="G3059" t="str">
            <v>Center rail - Đố giữa</v>
          </cell>
          <cell r="H3059" t="str">
            <v>Wood Rubber Laminate Board - 20 x 1220 x 2440mm, Veneer Poplar both Faces</v>
          </cell>
          <cell r="I3059">
            <v>2</v>
          </cell>
        </row>
        <row r="3060">
          <cell r="A3060" t="str">
            <v>B556620/A</v>
          </cell>
          <cell r="B3060" t="str">
            <v>CZ557NM10</v>
          </cell>
          <cell r="C3060">
            <v>2</v>
          </cell>
          <cell r="D3060">
            <v>698.19</v>
          </cell>
          <cell r="E3060">
            <v>1396.38</v>
          </cell>
          <cell r="F3060" t="str">
            <v>P04</v>
          </cell>
          <cell r="G3060" t="str">
            <v xml:space="preserve">Top panel  - Ván nóc </v>
          </cell>
          <cell r="H3060" t="str">
            <v>MDF - 15 x 1830 x 2440mm [CARB P2 Compliant]</v>
          </cell>
          <cell r="I3060">
            <v>2</v>
          </cell>
        </row>
        <row r="3061">
          <cell r="A3061" t="str">
            <v>B556620/A</v>
          </cell>
          <cell r="B3061" t="str">
            <v>CZ557NM10</v>
          </cell>
          <cell r="C3061">
            <v>2</v>
          </cell>
          <cell r="D3061">
            <v>698.19</v>
          </cell>
          <cell r="E3061">
            <v>1396.38</v>
          </cell>
          <cell r="F3061" t="str">
            <v>P05</v>
          </cell>
          <cell r="G3061" t="str">
            <v>Back panel - Ván hậu</v>
          </cell>
          <cell r="H3061" t="str">
            <v>MDF Veneer</v>
          </cell>
          <cell r="I3061">
            <v>2</v>
          </cell>
        </row>
        <row r="3062">
          <cell r="A3062" t="str">
            <v>B556620/A</v>
          </cell>
          <cell r="B3062" t="str">
            <v>CZ557NM10</v>
          </cell>
          <cell r="C3062">
            <v>2</v>
          </cell>
          <cell r="D3062">
            <v>698.19</v>
          </cell>
          <cell r="E3062">
            <v>1396.38</v>
          </cell>
          <cell r="F3062" t="str">
            <v>P10</v>
          </cell>
          <cell r="G3062" t="str">
            <v>Corner block - ke góc</v>
          </cell>
          <cell r="H3062" t="str">
            <v>Poplar off cut</v>
          </cell>
          <cell r="I3062">
            <v>4</v>
          </cell>
        </row>
        <row r="3063">
          <cell r="A3063" t="str">
            <v>B556620/A</v>
          </cell>
          <cell r="B3063" t="str">
            <v>CZ557NM10</v>
          </cell>
          <cell r="C3063">
            <v>2</v>
          </cell>
          <cell r="D3063">
            <v>698.19</v>
          </cell>
          <cell r="E3063">
            <v>1396.38</v>
          </cell>
          <cell r="F3063" t="str">
            <v>P12</v>
          </cell>
          <cell r="G3063" t="str">
            <v>Spline - Lưỡi gà</v>
          </cell>
          <cell r="H3063" t="str">
            <v>Plywood LVD - 06 x 1220 x 2440mm, Bleached Poplar Veneer Both Sides [CARB P2 Compliant]</v>
          </cell>
          <cell r="I3063">
            <v>4</v>
          </cell>
        </row>
        <row r="3064">
          <cell r="A3064" t="str">
            <v>B556620/A</v>
          </cell>
          <cell r="B3064" t="str">
            <v>CZ557NM10</v>
          </cell>
          <cell r="C3064">
            <v>2</v>
          </cell>
          <cell r="D3064">
            <v>698.19</v>
          </cell>
          <cell r="E3064">
            <v>1396.38</v>
          </cell>
          <cell r="F3064" t="str">
            <v>P13</v>
          </cell>
          <cell r="G3064" t="str">
            <v>Spline - Lưỡi gà</v>
          </cell>
          <cell r="H3064" t="str">
            <v>Plywood LVD - 06 x 1220 x 2440mm, Bleached Poplar Veneer Both Sides [CARB P2 Compliant]</v>
          </cell>
          <cell r="I3064">
            <v>2</v>
          </cell>
        </row>
        <row r="3065">
          <cell r="A3065" t="str">
            <v>B556620/A</v>
          </cell>
          <cell r="B3065" t="str">
            <v>CZ557NM10</v>
          </cell>
          <cell r="C3065">
            <v>2</v>
          </cell>
          <cell r="D3065">
            <v>698.19</v>
          </cell>
          <cell r="E3065">
            <v>1396.38</v>
          </cell>
          <cell r="F3065" t="str">
            <v>P14</v>
          </cell>
          <cell r="G3065" t="str">
            <v>Cleat - Bọ gỗ</v>
          </cell>
          <cell r="H3065" t="str">
            <v>Wood Rubber Laminate Board - 20 x 1220 x 2440mm, Veneer Poplar both Faces</v>
          </cell>
          <cell r="I3065">
            <v>4</v>
          </cell>
        </row>
        <row r="3066">
          <cell r="A3066" t="str">
            <v>B556620/A</v>
          </cell>
          <cell r="B3066" t="str">
            <v>CZ557NM10</v>
          </cell>
          <cell r="C3066">
            <v>2</v>
          </cell>
          <cell r="D3066">
            <v>698.19</v>
          </cell>
          <cell r="E3066">
            <v>1396.38</v>
          </cell>
          <cell r="F3066" t="str">
            <v>P15</v>
          </cell>
          <cell r="G3066" t="str">
            <v>Cleat - Bọ gỗ</v>
          </cell>
          <cell r="H3066" t="str">
            <v>Wood Rubber Laminate Board - 20 x 1220 x 2440mm, Veneer Poplar both Faces</v>
          </cell>
          <cell r="I3066">
            <v>4</v>
          </cell>
        </row>
        <row r="3067">
          <cell r="A3067" t="str">
            <v>B556620/A</v>
          </cell>
          <cell r="B3067" t="str">
            <v>CZ557NM10</v>
          </cell>
          <cell r="C3067">
            <v>2</v>
          </cell>
          <cell r="D3067">
            <v>698.19</v>
          </cell>
          <cell r="E3067">
            <v>1396.38</v>
          </cell>
          <cell r="F3067" t="str">
            <v>P17</v>
          </cell>
          <cell r="G3067" t="str">
            <v>Front rail  - Đố tiền</v>
          </cell>
          <cell r="H3067" t="str">
            <v>Wood Rubber Laminate Board - 20 x 1220 x 2440mm, Veneer Poplar both Faces</v>
          </cell>
          <cell r="I3067">
            <v>8</v>
          </cell>
        </row>
        <row r="3068">
          <cell r="A3068" t="str">
            <v>B556620/A</v>
          </cell>
          <cell r="B3068" t="str">
            <v>CZ557NM10</v>
          </cell>
          <cell r="C3068">
            <v>2</v>
          </cell>
          <cell r="D3068">
            <v>698.19</v>
          </cell>
          <cell r="E3068">
            <v>1396.38</v>
          </cell>
          <cell r="F3068" t="str">
            <v>P17A</v>
          </cell>
          <cell r="G3068" t="str">
            <v>back rail - Đố hậu</v>
          </cell>
          <cell r="H3068" t="str">
            <v>Wood Rubber Laminate Board - 20 x 1220 x 2440mm, Veneer Poplar both Faces</v>
          </cell>
          <cell r="I3068">
            <v>2</v>
          </cell>
        </row>
        <row r="3069">
          <cell r="A3069" t="str">
            <v>B556620/A</v>
          </cell>
          <cell r="B3069" t="str">
            <v>CZ557NM10</v>
          </cell>
          <cell r="C3069">
            <v>2</v>
          </cell>
          <cell r="D3069">
            <v>698.19</v>
          </cell>
          <cell r="E3069">
            <v>1396.38</v>
          </cell>
          <cell r="F3069" t="str">
            <v>P18</v>
          </cell>
          <cell r="G3069" t="str">
            <v>Patching wood - Gỗ đắp</v>
          </cell>
          <cell r="H3069" t="str">
            <v>Wood Rubber Laminate Board - 20 x 1220 x 2440mm, Veneer Poplar both Faces</v>
          </cell>
          <cell r="I3069">
            <v>4</v>
          </cell>
        </row>
        <row r="3070">
          <cell r="A3070" t="str">
            <v>B556620/A</v>
          </cell>
          <cell r="B3070" t="str">
            <v>CZ557NM10</v>
          </cell>
          <cell r="C3070">
            <v>2</v>
          </cell>
          <cell r="D3070">
            <v>698.19</v>
          </cell>
          <cell r="E3070">
            <v>1396.38</v>
          </cell>
          <cell r="F3070" t="str">
            <v>P19</v>
          </cell>
          <cell r="G3070" t="str">
            <v>Back panel - Ván hậu</v>
          </cell>
          <cell r="H3070" t="str">
            <v>Cement Board - 18 x 1220 x 2440mm, Dark Grey</v>
          </cell>
          <cell r="I3070">
            <v>2</v>
          </cell>
        </row>
        <row r="3071">
          <cell r="A3071" t="str">
            <v>B556620/A</v>
          </cell>
          <cell r="B3071" t="str">
            <v>CZ557NM10</v>
          </cell>
          <cell r="C3071">
            <v>2</v>
          </cell>
          <cell r="D3071">
            <v>698.19</v>
          </cell>
          <cell r="E3071">
            <v>1396.38</v>
          </cell>
          <cell r="F3071" t="str">
            <v>P20</v>
          </cell>
          <cell r="G3071" t="str">
            <v>Drawer stop - Dừng hộc</v>
          </cell>
          <cell r="H3071" t="str">
            <v>Poplar off cut</v>
          </cell>
          <cell r="I3071">
            <v>20</v>
          </cell>
        </row>
        <row r="3072">
          <cell r="A3072" t="str">
            <v>B557865/A</v>
          </cell>
          <cell r="B3072" t="str">
            <v>CZ568M08</v>
          </cell>
          <cell r="C3072">
            <v>16</v>
          </cell>
          <cell r="D3072">
            <v>934.86</v>
          </cell>
          <cell r="E3072">
            <v>14957.76</v>
          </cell>
          <cell r="F3072" t="str">
            <v>A1-S1</v>
          </cell>
          <cell r="G3072" t="str">
            <v>Front leg  - Chần tiền</v>
          </cell>
          <cell r="H3072" t="str">
            <v>Pre-Assembly</v>
          </cell>
          <cell r="I3072">
            <v>32</v>
          </cell>
        </row>
        <row r="3073">
          <cell r="A3073" t="str">
            <v>B557865/A</v>
          </cell>
          <cell r="B3073" t="str">
            <v>CZ568M08</v>
          </cell>
          <cell r="C3073">
            <v>16</v>
          </cell>
          <cell r="D3073">
            <v>934.86</v>
          </cell>
          <cell r="E3073">
            <v>14957.76</v>
          </cell>
          <cell r="F3073" t="str">
            <v>A1-S1-1</v>
          </cell>
          <cell r="G3073" t="str">
            <v>Front rail  - Đố tiền</v>
          </cell>
          <cell r="H3073" t="str">
            <v>Wood laminate</v>
          </cell>
          <cell r="I3073">
            <v>32</v>
          </cell>
        </row>
        <row r="3074">
          <cell r="A3074" t="str">
            <v>B557865/A</v>
          </cell>
          <cell r="B3074" t="str">
            <v>CZ568M08</v>
          </cell>
          <cell r="C3074">
            <v>16</v>
          </cell>
          <cell r="D3074">
            <v>934.86</v>
          </cell>
          <cell r="E3074">
            <v>14957.76</v>
          </cell>
          <cell r="F3074" t="str">
            <v>A1-S1-2</v>
          </cell>
          <cell r="G3074" t="str">
            <v>Wood laminater - Gỗ ghép 1</v>
          </cell>
          <cell r="H3074" t="str">
            <v>TRAM OFF CUT</v>
          </cell>
          <cell r="I3074">
            <v>32</v>
          </cell>
        </row>
        <row r="3075">
          <cell r="A3075" t="str">
            <v>B557865/A</v>
          </cell>
          <cell r="B3075" t="str">
            <v>CZ568M08</v>
          </cell>
          <cell r="C3075">
            <v>16</v>
          </cell>
          <cell r="D3075">
            <v>934.86</v>
          </cell>
          <cell r="E3075">
            <v>14957.76</v>
          </cell>
          <cell r="F3075" t="str">
            <v>A1-S2</v>
          </cell>
          <cell r="G3075" t="str">
            <v>Back leg - Chân hậu</v>
          </cell>
          <cell r="H3075" t="str">
            <v>Beech 2 COM</v>
          </cell>
          <cell r="I3075">
            <v>32</v>
          </cell>
        </row>
        <row r="3076">
          <cell r="A3076" t="str">
            <v>B557865/A</v>
          </cell>
          <cell r="B3076" t="str">
            <v>CZ568M08</v>
          </cell>
          <cell r="C3076">
            <v>16</v>
          </cell>
          <cell r="D3076">
            <v>934.86</v>
          </cell>
          <cell r="E3076">
            <v>14957.76</v>
          </cell>
          <cell r="F3076" t="str">
            <v>A1-S3</v>
          </cell>
          <cell r="G3076" t="str">
            <v xml:space="preserve">Side panel  - Ván hông </v>
          </cell>
          <cell r="H3076" t="str">
            <v>MDF Veneer</v>
          </cell>
          <cell r="I3076">
            <v>32</v>
          </cell>
        </row>
        <row r="3077">
          <cell r="A3077" t="str">
            <v>B557865/A</v>
          </cell>
          <cell r="B3077" t="str">
            <v>CZ568M08</v>
          </cell>
          <cell r="C3077">
            <v>16</v>
          </cell>
          <cell r="D3077">
            <v>934.86</v>
          </cell>
          <cell r="E3077">
            <v>14957.76</v>
          </cell>
          <cell r="F3077" t="str">
            <v>A1-S4</v>
          </cell>
          <cell r="G3077" t="str">
            <v>Patching wood - Gỗ đắp</v>
          </cell>
          <cell r="H3077" t="str">
            <v>Wood US Poplar - Straight Edged, 2 COM - T38mm x W100mm Up x L1.8m Up</v>
          </cell>
          <cell r="I3077">
            <v>32</v>
          </cell>
        </row>
        <row r="3078">
          <cell r="A3078" t="str">
            <v>B557865/A</v>
          </cell>
          <cell r="B3078" t="str">
            <v>CZ568M08</v>
          </cell>
          <cell r="C3078">
            <v>16</v>
          </cell>
          <cell r="D3078">
            <v>934.86</v>
          </cell>
          <cell r="E3078">
            <v>14957.76</v>
          </cell>
          <cell r="F3078" t="str">
            <v>A1-S5</v>
          </cell>
          <cell r="G3078" t="str">
            <v>Cleat - Bọ gỗ</v>
          </cell>
          <cell r="H3078" t="str">
            <v>Wood Rubber Laminate Board - 20 x 1220 x 2440mm, Veneer Poplar both Faces</v>
          </cell>
          <cell r="I3078">
            <v>32</v>
          </cell>
        </row>
        <row r="3079">
          <cell r="A3079" t="str">
            <v>B557865/A</v>
          </cell>
          <cell r="B3079" t="str">
            <v>CZ568M08</v>
          </cell>
          <cell r="C3079">
            <v>16</v>
          </cell>
          <cell r="D3079">
            <v>934.86</v>
          </cell>
          <cell r="E3079">
            <v>14957.76</v>
          </cell>
          <cell r="F3079" t="str">
            <v>A2-S1</v>
          </cell>
          <cell r="G3079" t="str">
            <v>Front Bottom Rail  - Đố đáy trước</v>
          </cell>
          <cell r="H3079" t="str">
            <v>Standard Wood - ALDER/ASPEN/LENGA/US POPLAR, 2 COM - T32 W120mm+ L2m+</v>
          </cell>
          <cell r="I3079">
            <v>16</v>
          </cell>
        </row>
        <row r="3080">
          <cell r="A3080" t="str">
            <v>B557865/A</v>
          </cell>
          <cell r="B3080" t="str">
            <v>CZ568M08</v>
          </cell>
          <cell r="C3080">
            <v>16</v>
          </cell>
          <cell r="D3080">
            <v>934.86</v>
          </cell>
          <cell r="E3080">
            <v>14957.76</v>
          </cell>
          <cell r="F3080" t="str">
            <v>A2-S2</v>
          </cell>
          <cell r="G3080" t="str">
            <v>Back bottom rail - Đố hậu đáy</v>
          </cell>
          <cell r="H3080" t="str">
            <v>Wood US Poplar - Straight Edged, 2 COM - T38mm x W100mm Up x L1.8m Up</v>
          </cell>
          <cell r="I3080">
            <v>16</v>
          </cell>
        </row>
        <row r="3081">
          <cell r="A3081" t="str">
            <v>B557865/A</v>
          </cell>
          <cell r="B3081" t="str">
            <v>CZ568M08</v>
          </cell>
          <cell r="C3081">
            <v>16</v>
          </cell>
          <cell r="D3081">
            <v>934.86</v>
          </cell>
          <cell r="E3081">
            <v>14957.76</v>
          </cell>
          <cell r="F3081" t="str">
            <v>A2-S3</v>
          </cell>
          <cell r="G3081" t="str">
            <v>Center bottom rail - Đố đáy giữa</v>
          </cell>
          <cell r="H3081" t="str">
            <v>Wood US Poplar - Straight Edged, 2 COM - T38mm x W100mm Up x L1.8m Up</v>
          </cell>
          <cell r="I3081">
            <v>32</v>
          </cell>
        </row>
        <row r="3082">
          <cell r="A3082" t="str">
            <v>B557865/A</v>
          </cell>
          <cell r="B3082" t="str">
            <v>CZ568M08</v>
          </cell>
          <cell r="C3082">
            <v>16</v>
          </cell>
          <cell r="D3082">
            <v>934.86</v>
          </cell>
          <cell r="E3082">
            <v>14957.76</v>
          </cell>
          <cell r="F3082" t="str">
            <v>A2-S4</v>
          </cell>
          <cell r="G3082" t="str">
            <v>Center bottom rail - Đố đáy giữa</v>
          </cell>
          <cell r="H3082" t="str">
            <v>Wood laminate</v>
          </cell>
          <cell r="I3082">
            <v>16</v>
          </cell>
        </row>
        <row r="3083">
          <cell r="A3083" t="str">
            <v>B557865/A</v>
          </cell>
          <cell r="B3083" t="str">
            <v>CZ568M08</v>
          </cell>
          <cell r="C3083">
            <v>16</v>
          </cell>
          <cell r="D3083">
            <v>934.86</v>
          </cell>
          <cell r="E3083">
            <v>14957.76</v>
          </cell>
          <cell r="F3083" t="str">
            <v>A2-S5</v>
          </cell>
          <cell r="G3083" t="str">
            <v>Bottom panel - Ván đáy</v>
          </cell>
          <cell r="H3083" t="str">
            <v>MDF Veneer</v>
          </cell>
          <cell r="I3083">
            <v>32</v>
          </cell>
        </row>
        <row r="3084">
          <cell r="A3084" t="str">
            <v>B557865/A</v>
          </cell>
          <cell r="B3084" t="str">
            <v>CZ568M08</v>
          </cell>
          <cell r="C3084">
            <v>16</v>
          </cell>
          <cell r="D3084">
            <v>934.86</v>
          </cell>
          <cell r="E3084">
            <v>14957.76</v>
          </cell>
          <cell r="F3084" t="str">
            <v>A2-S6</v>
          </cell>
          <cell r="G3084" t="str">
            <v>Cleat - Bọ gỗ</v>
          </cell>
          <cell r="H3084" t="str">
            <v>Wood Rubber Laminate Board - 20 x 1220 x 2440mm, Veneer Poplar both Faces</v>
          </cell>
          <cell r="I3084">
            <v>32</v>
          </cell>
        </row>
        <row r="3085">
          <cell r="A3085" t="str">
            <v>B557865/A</v>
          </cell>
          <cell r="B3085" t="str">
            <v>CZ568M08</v>
          </cell>
          <cell r="C3085">
            <v>16</v>
          </cell>
          <cell r="D3085">
            <v>934.86</v>
          </cell>
          <cell r="E3085">
            <v>14957.76</v>
          </cell>
          <cell r="F3085" t="str">
            <v>A2-S7</v>
          </cell>
          <cell r="G3085" t="str">
            <v>Dust board Panel  - Ván quét bụi</v>
          </cell>
          <cell r="H3085" t="str">
            <v>MDF - 06 x 1830 x 2440mm [CARB P2 Compliant]</v>
          </cell>
          <cell r="I3085">
            <v>16</v>
          </cell>
        </row>
        <row r="3086">
          <cell r="A3086" t="str">
            <v>B557865/A</v>
          </cell>
          <cell r="B3086" t="str">
            <v>CZ568M08</v>
          </cell>
          <cell r="C3086">
            <v>16</v>
          </cell>
          <cell r="D3086">
            <v>934.86</v>
          </cell>
          <cell r="E3086">
            <v>14957.76</v>
          </cell>
          <cell r="F3086" t="str">
            <v>A3-S1</v>
          </cell>
          <cell r="G3086" t="str">
            <v xml:space="preserve">Drawer front - Mặt hộc kéo </v>
          </cell>
          <cell r="H3086" t="str">
            <v>MDF Veneer</v>
          </cell>
          <cell r="I3086">
            <v>48</v>
          </cell>
        </row>
        <row r="3087">
          <cell r="A3087" t="str">
            <v>B557865/A</v>
          </cell>
          <cell r="B3087" t="str">
            <v>CZ568M08</v>
          </cell>
          <cell r="C3087">
            <v>16</v>
          </cell>
          <cell r="D3087">
            <v>934.86</v>
          </cell>
          <cell r="E3087">
            <v>14957.76</v>
          </cell>
          <cell r="F3087" t="str">
            <v>A3-S2</v>
          </cell>
          <cell r="G3087" t="str">
            <v>Drawer side - Hông hộc kéo</v>
          </cell>
          <cell r="H3087" t="str">
            <v>MDF-N - 12 x 1220 x 2440mm, Veneer Okoume 0.3mm Both Faces [CARB P2 Compliant]</v>
          </cell>
          <cell r="I3087">
            <v>96</v>
          </cell>
        </row>
        <row r="3088">
          <cell r="A3088" t="str">
            <v>B557865/A</v>
          </cell>
          <cell r="B3088" t="str">
            <v>CZ568M08</v>
          </cell>
          <cell r="C3088">
            <v>16</v>
          </cell>
          <cell r="D3088">
            <v>934.86</v>
          </cell>
          <cell r="E3088">
            <v>14957.76</v>
          </cell>
          <cell r="F3088" t="str">
            <v>A3-S3</v>
          </cell>
          <cell r="G3088" t="str">
            <v>Drawer back - Hậu hộc kéo</v>
          </cell>
          <cell r="H3088" t="str">
            <v>MDF - 12 x 1220 x 2440mm, Veneer Okoume 0.3mm Both Faces [CARB P2 Compliant]</v>
          </cell>
          <cell r="I3088">
            <v>48</v>
          </cell>
        </row>
        <row r="3089">
          <cell r="A3089" t="str">
            <v>B557865/A</v>
          </cell>
          <cell r="B3089" t="str">
            <v>CZ568M08</v>
          </cell>
          <cell r="C3089">
            <v>16</v>
          </cell>
          <cell r="D3089">
            <v>934.86</v>
          </cell>
          <cell r="E3089">
            <v>14957.76</v>
          </cell>
          <cell r="F3089" t="str">
            <v>A3-S4</v>
          </cell>
          <cell r="G3089" t="str">
            <v>Drawer bottom  - Đáy hộc kéo</v>
          </cell>
          <cell r="H3089" t="str">
            <v>MDF - 06 x 1220 x 2440mm, Veneer Okoume 0.3mm Both Faces [CARB P2 Compliant]</v>
          </cell>
          <cell r="I3089">
            <v>48</v>
          </cell>
        </row>
        <row r="3090">
          <cell r="A3090" t="str">
            <v>B557865/A</v>
          </cell>
          <cell r="B3090" t="str">
            <v>CZ568M08</v>
          </cell>
          <cell r="C3090">
            <v>16</v>
          </cell>
          <cell r="D3090">
            <v>934.86</v>
          </cell>
          <cell r="E3090">
            <v>14957.76</v>
          </cell>
          <cell r="F3090" t="str">
            <v>A5-3</v>
          </cell>
          <cell r="G3090" t="str">
            <v>Door panel  - Ván cửa</v>
          </cell>
          <cell r="H3090" t="str">
            <v>MDF Veneer</v>
          </cell>
          <cell r="I3090">
            <v>64</v>
          </cell>
        </row>
        <row r="3091">
          <cell r="A3091" t="str">
            <v>B557865/A</v>
          </cell>
          <cell r="B3091" t="str">
            <v>CZ568M08</v>
          </cell>
          <cell r="C3091">
            <v>16</v>
          </cell>
          <cell r="D3091">
            <v>934.86</v>
          </cell>
          <cell r="E3091">
            <v>14957.76</v>
          </cell>
          <cell r="F3091" t="str">
            <v>A5-4</v>
          </cell>
          <cell r="G3091" t="str">
            <v>Patching moulding - Chỉ đắp</v>
          </cell>
          <cell r="H3091" t="str">
            <v>Wood US Poplar - Straight Edged, 2 COM - T38mm x W100mm Up x L1.8m Up</v>
          </cell>
          <cell r="I3091">
            <v>64</v>
          </cell>
        </row>
        <row r="3092">
          <cell r="A3092" t="str">
            <v>B557865/A</v>
          </cell>
          <cell r="B3092" t="str">
            <v>CZ568M08</v>
          </cell>
          <cell r="C3092">
            <v>16</v>
          </cell>
          <cell r="D3092">
            <v>934.86</v>
          </cell>
          <cell r="E3092">
            <v>14957.76</v>
          </cell>
          <cell r="F3092" t="str">
            <v>A5-5</v>
          </cell>
          <cell r="G3092" t="str">
            <v>Patching moulding - Chỉ đắp</v>
          </cell>
          <cell r="H3092" t="str">
            <v>Wood US Poplar - Straight Edged, 2 COM - T38mm x W100mm Up x L1.8m Up</v>
          </cell>
          <cell r="I3092">
            <v>128</v>
          </cell>
        </row>
        <row r="3093">
          <cell r="A3093" t="str">
            <v>B557865/A</v>
          </cell>
          <cell r="B3093" t="str">
            <v>CZ568M08</v>
          </cell>
          <cell r="C3093">
            <v>16</v>
          </cell>
          <cell r="D3093">
            <v>934.86</v>
          </cell>
          <cell r="E3093">
            <v>14957.76</v>
          </cell>
          <cell r="F3093" t="str">
            <v>A5-6</v>
          </cell>
          <cell r="G3093" t="str">
            <v>Patching moulding - Chỉ đắp</v>
          </cell>
          <cell r="H3093" t="str">
            <v>TRAM OFF CUT</v>
          </cell>
          <cell r="I3093">
            <v>128</v>
          </cell>
        </row>
        <row r="3094">
          <cell r="A3094" t="str">
            <v>B557865/A</v>
          </cell>
          <cell r="B3094" t="str">
            <v>CZ568M08</v>
          </cell>
          <cell r="C3094">
            <v>16</v>
          </cell>
          <cell r="D3094">
            <v>934.86</v>
          </cell>
          <cell r="E3094">
            <v>14957.76</v>
          </cell>
          <cell r="F3094" t="str">
            <v>A5-7</v>
          </cell>
          <cell r="G3094" t="str">
            <v>Patching moulding - Chỉ đắp</v>
          </cell>
          <cell r="H3094" t="str">
            <v>Wood US Poplar - Straight Edged, 2 COM - T38mm x W100mm Up x L1.8m Up</v>
          </cell>
          <cell r="I3094">
            <v>64</v>
          </cell>
        </row>
        <row r="3095">
          <cell r="A3095" t="str">
            <v>B557865/A</v>
          </cell>
          <cell r="B3095" t="str">
            <v>CZ568M08</v>
          </cell>
          <cell r="C3095">
            <v>16</v>
          </cell>
          <cell r="D3095">
            <v>934.86</v>
          </cell>
          <cell r="E3095">
            <v>14957.76</v>
          </cell>
          <cell r="F3095" t="str">
            <v>A5-8</v>
          </cell>
          <cell r="G3095" t="str">
            <v>Insert Wood - Gỗ chèn</v>
          </cell>
          <cell r="H3095" t="str">
            <v>Beech off cut</v>
          </cell>
          <cell r="I3095">
            <v>192</v>
          </cell>
        </row>
        <row r="3096">
          <cell r="A3096" t="str">
            <v>B557865/A</v>
          </cell>
          <cell r="B3096" t="str">
            <v>CZ568M08</v>
          </cell>
          <cell r="C3096">
            <v>16</v>
          </cell>
          <cell r="D3096">
            <v>934.86</v>
          </cell>
          <cell r="E3096">
            <v>14957.76</v>
          </cell>
          <cell r="F3096" t="str">
            <v>P01</v>
          </cell>
          <cell r="G3096" t="str">
            <v>Front top rail  - Đố tiền nóc</v>
          </cell>
          <cell r="H3096" t="str">
            <v>Wood laminate</v>
          </cell>
          <cell r="I3096">
            <v>16</v>
          </cell>
        </row>
        <row r="3097">
          <cell r="A3097" t="str">
            <v>B557865/A</v>
          </cell>
          <cell r="B3097" t="str">
            <v>CZ568M08</v>
          </cell>
          <cell r="C3097">
            <v>16</v>
          </cell>
          <cell r="D3097">
            <v>934.86</v>
          </cell>
          <cell r="E3097">
            <v>14957.76</v>
          </cell>
          <cell r="F3097" t="str">
            <v>P02</v>
          </cell>
          <cell r="G3097" t="str">
            <v>Back rail with note finger - đố hậu</v>
          </cell>
          <cell r="H3097" t="str">
            <v>Standard Wood - ALDER/ASPEN/LENGA/US POPLAR, 2 COM - T25 W120mm+ L2m+</v>
          </cell>
          <cell r="I3097">
            <v>16</v>
          </cell>
        </row>
        <row r="3098">
          <cell r="A3098" t="str">
            <v>B557865/A</v>
          </cell>
          <cell r="B3098" t="str">
            <v>CZ568M08</v>
          </cell>
          <cell r="C3098">
            <v>16</v>
          </cell>
          <cell r="D3098">
            <v>934.86</v>
          </cell>
          <cell r="E3098">
            <v>14957.76</v>
          </cell>
          <cell r="F3098" t="str">
            <v>P03</v>
          </cell>
          <cell r="G3098" t="str">
            <v xml:space="preserve">Top panel  - Ván nóc </v>
          </cell>
          <cell r="H3098" t="str">
            <v>MDF Veneer</v>
          </cell>
          <cell r="I3098">
            <v>16</v>
          </cell>
        </row>
        <row r="3099">
          <cell r="A3099" t="str">
            <v>B557865/A</v>
          </cell>
          <cell r="B3099" t="str">
            <v>CZ568M08</v>
          </cell>
          <cell r="C3099">
            <v>16</v>
          </cell>
          <cell r="D3099">
            <v>934.86</v>
          </cell>
          <cell r="E3099">
            <v>14957.76</v>
          </cell>
          <cell r="F3099" t="str">
            <v>P04</v>
          </cell>
          <cell r="G3099" t="str">
            <v>Cleat - Bọ gỗ</v>
          </cell>
          <cell r="H3099" t="str">
            <v>Wood Rubber Laminate Board - 20 x 1220 x 2440mm, Veneer Poplar both Faces</v>
          </cell>
          <cell r="I3099">
            <v>32</v>
          </cell>
        </row>
        <row r="3100">
          <cell r="A3100" t="str">
            <v>B557865/A</v>
          </cell>
          <cell r="B3100" t="str">
            <v>CZ568M08</v>
          </cell>
          <cell r="C3100">
            <v>16</v>
          </cell>
          <cell r="D3100">
            <v>934.86</v>
          </cell>
          <cell r="E3100">
            <v>14957.76</v>
          </cell>
          <cell r="F3100" t="str">
            <v>P08</v>
          </cell>
          <cell r="G3100" t="str">
            <v>Adjustable Shelf  - Kệ di động</v>
          </cell>
          <cell r="H3100" t="str">
            <v>Pre-Assembly</v>
          </cell>
          <cell r="I3100">
            <v>32</v>
          </cell>
        </row>
        <row r="3101">
          <cell r="A3101" t="str">
            <v>B557865/A</v>
          </cell>
          <cell r="B3101" t="str">
            <v>CZ568M08</v>
          </cell>
          <cell r="C3101">
            <v>16</v>
          </cell>
          <cell r="D3101">
            <v>934.86</v>
          </cell>
          <cell r="E3101">
            <v>14957.76</v>
          </cell>
          <cell r="F3101" t="str">
            <v>P08-1</v>
          </cell>
          <cell r="G3101" t="str">
            <v>Adjustable Shelf  - Kệ di động</v>
          </cell>
          <cell r="H3101" t="str">
            <v>MDF Veneer</v>
          </cell>
          <cell r="I3101">
            <v>32</v>
          </cell>
        </row>
        <row r="3102">
          <cell r="A3102" t="str">
            <v>B557865/A</v>
          </cell>
          <cell r="B3102" t="str">
            <v>CZ568M08</v>
          </cell>
          <cell r="C3102">
            <v>16</v>
          </cell>
          <cell r="D3102">
            <v>934.86</v>
          </cell>
          <cell r="E3102">
            <v>14957.76</v>
          </cell>
          <cell r="F3102" t="str">
            <v>P08-2</v>
          </cell>
          <cell r="G3102" t="str">
            <v>Adjustable Shelf  - Kệ di động</v>
          </cell>
          <cell r="H3102" t="str">
            <v>Wood US Poplar - Straight Edged, 2 COM - T25mm x W100mm Up x L1.8m Up</v>
          </cell>
          <cell r="I3102">
            <v>32</v>
          </cell>
        </row>
        <row r="3103">
          <cell r="A3103" t="str">
            <v>B557865/A</v>
          </cell>
          <cell r="B3103" t="str">
            <v>CZ568M08</v>
          </cell>
          <cell r="C3103">
            <v>16</v>
          </cell>
          <cell r="D3103">
            <v>934.86</v>
          </cell>
          <cell r="E3103">
            <v>14957.76</v>
          </cell>
          <cell r="F3103" t="str">
            <v>P09</v>
          </cell>
          <cell r="G3103" t="str">
            <v>Partition panel - Vách ngăn</v>
          </cell>
          <cell r="H3103" t="str">
            <v>MDF Veneer</v>
          </cell>
          <cell r="I3103">
            <v>32</v>
          </cell>
        </row>
        <row r="3104">
          <cell r="A3104" t="str">
            <v>B557865/A</v>
          </cell>
          <cell r="B3104" t="str">
            <v>CZ568M08</v>
          </cell>
          <cell r="C3104">
            <v>16</v>
          </cell>
          <cell r="D3104">
            <v>934.86</v>
          </cell>
          <cell r="E3104">
            <v>14957.76</v>
          </cell>
          <cell r="F3104" t="str">
            <v>P11</v>
          </cell>
          <cell r="G3104" t="str">
            <v>Back panel - Ván hậu</v>
          </cell>
          <cell r="H3104" t="str">
            <v>MDF Veneer</v>
          </cell>
          <cell r="I3104">
            <v>16</v>
          </cell>
        </row>
        <row r="3105">
          <cell r="A3105" t="str">
            <v>B557865/A</v>
          </cell>
          <cell r="B3105" t="str">
            <v>CZ568M08</v>
          </cell>
          <cell r="C3105">
            <v>16</v>
          </cell>
          <cell r="D3105">
            <v>934.86</v>
          </cell>
          <cell r="E3105">
            <v>14957.76</v>
          </cell>
          <cell r="F3105" t="str">
            <v>P12</v>
          </cell>
          <cell r="G3105" t="str">
            <v>Back panel - Ván hậu</v>
          </cell>
          <cell r="H3105" t="str">
            <v>MDF Veneer</v>
          </cell>
          <cell r="I3105">
            <v>16</v>
          </cell>
        </row>
        <row r="3106">
          <cell r="A3106" t="str">
            <v>B557865/A</v>
          </cell>
          <cell r="B3106" t="str">
            <v>CZ568M08</v>
          </cell>
          <cell r="C3106">
            <v>16</v>
          </cell>
          <cell r="D3106">
            <v>934.86</v>
          </cell>
          <cell r="E3106">
            <v>14957.76</v>
          </cell>
          <cell r="F3106" t="str">
            <v>P13</v>
          </cell>
          <cell r="G3106" t="str">
            <v>Center leg - Chân giữa</v>
          </cell>
          <cell r="H3106" t="str">
            <v>Poplar off cut</v>
          </cell>
          <cell r="I3106">
            <v>16</v>
          </cell>
        </row>
        <row r="3107">
          <cell r="A3107" t="str">
            <v>B557865/A</v>
          </cell>
          <cell r="B3107" t="str">
            <v>CZ568M08</v>
          </cell>
          <cell r="C3107">
            <v>16</v>
          </cell>
          <cell r="D3107">
            <v>934.86</v>
          </cell>
          <cell r="E3107">
            <v>14957.76</v>
          </cell>
          <cell r="F3107" t="str">
            <v>P14</v>
          </cell>
          <cell r="G3107" t="str">
            <v>Patching wood - Gỗ đắp</v>
          </cell>
          <cell r="H3107" t="str">
            <v>Wood US Poplar - Straight Edged, 2 COM - T38mm x W100mm Up x L1.8m Up</v>
          </cell>
          <cell r="I3107">
            <v>96</v>
          </cell>
        </row>
        <row r="3108">
          <cell r="A3108" t="str">
            <v>B557865/A</v>
          </cell>
          <cell r="B3108" t="str">
            <v>CZ568M08</v>
          </cell>
          <cell r="C3108">
            <v>16</v>
          </cell>
          <cell r="D3108">
            <v>934.86</v>
          </cell>
          <cell r="E3108">
            <v>14957.76</v>
          </cell>
          <cell r="F3108" t="str">
            <v>P16</v>
          </cell>
          <cell r="G3108" t="str">
            <v>Corner block - ke góc</v>
          </cell>
          <cell r="H3108" t="str">
            <v>Poplar off cut</v>
          </cell>
          <cell r="I3108">
            <v>32</v>
          </cell>
        </row>
        <row r="3109">
          <cell r="A3109" t="str">
            <v>B557865/A</v>
          </cell>
          <cell r="B3109" t="str">
            <v>CZ568M08</v>
          </cell>
          <cell r="C3109">
            <v>16</v>
          </cell>
          <cell r="D3109">
            <v>934.86</v>
          </cell>
          <cell r="E3109">
            <v>14957.76</v>
          </cell>
          <cell r="F3109" t="str">
            <v>P17</v>
          </cell>
          <cell r="G3109" t="str">
            <v>Corner block - ke góc</v>
          </cell>
          <cell r="H3109" t="str">
            <v>Poplar off cut</v>
          </cell>
          <cell r="I3109">
            <v>32</v>
          </cell>
        </row>
        <row r="3110">
          <cell r="A3110" t="str">
            <v>B557865/A</v>
          </cell>
          <cell r="B3110" t="str">
            <v>CZ568M08</v>
          </cell>
          <cell r="C3110">
            <v>16</v>
          </cell>
          <cell r="D3110">
            <v>934.86</v>
          </cell>
          <cell r="E3110">
            <v>14957.76</v>
          </cell>
          <cell r="F3110" t="str">
            <v>P19</v>
          </cell>
          <cell r="G3110" t="str">
            <v>Corner block - ke góc</v>
          </cell>
          <cell r="H3110" t="str">
            <v>Poplar off cut</v>
          </cell>
          <cell r="I3110">
            <v>32</v>
          </cell>
        </row>
        <row r="3111">
          <cell r="A3111" t="str">
            <v>B557865/A</v>
          </cell>
          <cell r="B3111" t="str">
            <v>CZ568M08</v>
          </cell>
          <cell r="C3111">
            <v>16</v>
          </cell>
          <cell r="D3111">
            <v>934.86</v>
          </cell>
          <cell r="E3111">
            <v>14957.76</v>
          </cell>
          <cell r="F3111" t="str">
            <v>P20</v>
          </cell>
          <cell r="G3111" t="str">
            <v>Spline - Lưỡi gà</v>
          </cell>
          <cell r="H3111" t="str">
            <v>Plywood LVD - 06 x 1220 x 2440mm, Bleached Poplar Veneer Both Sides [CARB P2 Compliant]</v>
          </cell>
          <cell r="I3111">
            <v>32</v>
          </cell>
        </row>
        <row r="3112">
          <cell r="A3112" t="str">
            <v>B557865/A</v>
          </cell>
          <cell r="B3112" t="str">
            <v>CZ568M08</v>
          </cell>
          <cell r="C3112">
            <v>16</v>
          </cell>
          <cell r="D3112">
            <v>934.86</v>
          </cell>
          <cell r="E3112">
            <v>14957.76</v>
          </cell>
          <cell r="F3112" t="str">
            <v>P21</v>
          </cell>
          <cell r="G3112" t="str">
            <v>Spline - Lưỡi gà</v>
          </cell>
          <cell r="H3112" t="str">
            <v>Plywood LVD - 06 x 1220 x 2440mm, Bleached Poplar Veneer Both Sides [CARB P2 Compliant]</v>
          </cell>
          <cell r="I3112">
            <v>16</v>
          </cell>
        </row>
        <row r="3113">
          <cell r="A3113" t="str">
            <v>B557865/A</v>
          </cell>
          <cell r="B3113" t="str">
            <v>CZ568M08</v>
          </cell>
          <cell r="C3113">
            <v>16</v>
          </cell>
          <cell r="D3113">
            <v>934.86</v>
          </cell>
          <cell r="E3113">
            <v>14957.76</v>
          </cell>
          <cell r="F3113" t="str">
            <v>P22</v>
          </cell>
          <cell r="G3113" t="str">
            <v>Front rail  - Đố tiền</v>
          </cell>
          <cell r="H3113" t="str">
            <v>Wood Rubber Laminate Board - 20 x 1220 x 2440mm, Veneer Poplar both Faces</v>
          </cell>
          <cell r="I3113">
            <v>32</v>
          </cell>
        </row>
        <row r="3114">
          <cell r="A3114" t="str">
            <v>B557865/A</v>
          </cell>
          <cell r="B3114" t="str">
            <v>CZ568M08</v>
          </cell>
          <cell r="C3114">
            <v>16</v>
          </cell>
          <cell r="D3114">
            <v>934.86</v>
          </cell>
          <cell r="E3114">
            <v>14957.76</v>
          </cell>
          <cell r="F3114" t="str">
            <v>P23</v>
          </cell>
          <cell r="G3114" t="str">
            <v>Patching wood - Gỗ đắp</v>
          </cell>
          <cell r="H3114" t="str">
            <v>wood off cut</v>
          </cell>
          <cell r="I3114">
            <v>32</v>
          </cell>
        </row>
        <row r="3115">
          <cell r="A3115" t="str">
            <v>B557865/A</v>
          </cell>
          <cell r="B3115" t="str">
            <v>CZ568M08</v>
          </cell>
          <cell r="C3115">
            <v>16</v>
          </cell>
          <cell r="D3115">
            <v>934.86</v>
          </cell>
          <cell r="E3115">
            <v>14957.76</v>
          </cell>
          <cell r="F3115" t="str">
            <v>P24</v>
          </cell>
          <cell r="G3115" t="str">
            <v>Drawer stop - Dừng hộc</v>
          </cell>
          <cell r="H3115" t="str">
            <v>Poplar off cut</v>
          </cell>
          <cell r="I3115">
            <v>96</v>
          </cell>
        </row>
        <row r="3116">
          <cell r="A3116" t="str">
            <v>B557866/A</v>
          </cell>
          <cell r="B3116" t="str">
            <v>CZ568M08</v>
          </cell>
          <cell r="C3116">
            <v>18</v>
          </cell>
          <cell r="D3116">
            <v>934.86</v>
          </cell>
          <cell r="E3116">
            <v>16827.48</v>
          </cell>
          <cell r="F3116" t="str">
            <v>A1-S1</v>
          </cell>
          <cell r="G3116" t="str">
            <v>Front leg  - Chần tiền</v>
          </cell>
          <cell r="H3116" t="str">
            <v>Pre-Assembly</v>
          </cell>
          <cell r="I3116">
            <v>36</v>
          </cell>
        </row>
        <row r="3117">
          <cell r="A3117" t="str">
            <v>B557866/A</v>
          </cell>
          <cell r="B3117" t="str">
            <v>CZ568M08</v>
          </cell>
          <cell r="C3117">
            <v>18</v>
          </cell>
          <cell r="D3117">
            <v>934.86</v>
          </cell>
          <cell r="E3117">
            <v>16827.48</v>
          </cell>
          <cell r="F3117" t="str">
            <v>A1-S1-1</v>
          </cell>
          <cell r="G3117" t="str">
            <v>Front rail  - Đố tiền</v>
          </cell>
          <cell r="H3117" t="str">
            <v>Wood laminate</v>
          </cell>
          <cell r="I3117">
            <v>36</v>
          </cell>
        </row>
        <row r="3118">
          <cell r="A3118" t="str">
            <v>B557866/A</v>
          </cell>
          <cell r="B3118" t="str">
            <v>CZ568M08</v>
          </cell>
          <cell r="C3118">
            <v>18</v>
          </cell>
          <cell r="D3118">
            <v>934.86</v>
          </cell>
          <cell r="E3118">
            <v>16827.48</v>
          </cell>
          <cell r="F3118" t="str">
            <v>A1-S1-2</v>
          </cell>
          <cell r="G3118" t="str">
            <v>Wood laminater - Gỗ ghép 1</v>
          </cell>
          <cell r="H3118" t="str">
            <v>TRAM OFF CUT</v>
          </cell>
          <cell r="I3118">
            <v>36</v>
          </cell>
        </row>
        <row r="3119">
          <cell r="A3119" t="str">
            <v>B557866/A</v>
          </cell>
          <cell r="B3119" t="str">
            <v>CZ568M08</v>
          </cell>
          <cell r="C3119">
            <v>18</v>
          </cell>
          <cell r="D3119">
            <v>934.86</v>
          </cell>
          <cell r="E3119">
            <v>16827.48</v>
          </cell>
          <cell r="F3119" t="str">
            <v>A1-S2</v>
          </cell>
          <cell r="G3119" t="str">
            <v>Back leg - Chân hậu</v>
          </cell>
          <cell r="H3119" t="str">
            <v>Beech 2 COM</v>
          </cell>
          <cell r="I3119">
            <v>36</v>
          </cell>
        </row>
        <row r="3120">
          <cell r="A3120" t="str">
            <v>B557866/A</v>
          </cell>
          <cell r="B3120" t="str">
            <v>CZ568M08</v>
          </cell>
          <cell r="C3120">
            <v>18</v>
          </cell>
          <cell r="D3120">
            <v>934.86</v>
          </cell>
          <cell r="E3120">
            <v>16827.48</v>
          </cell>
          <cell r="F3120" t="str">
            <v>A1-S3</v>
          </cell>
          <cell r="G3120" t="str">
            <v xml:space="preserve">Side panel  - Ván hông </v>
          </cell>
          <cell r="H3120" t="str">
            <v>MDF Veneer</v>
          </cell>
          <cell r="I3120">
            <v>36</v>
          </cell>
        </row>
        <row r="3121">
          <cell r="A3121" t="str">
            <v>B557866/A</v>
          </cell>
          <cell r="B3121" t="str">
            <v>CZ568M08</v>
          </cell>
          <cell r="C3121">
            <v>18</v>
          </cell>
          <cell r="D3121">
            <v>934.86</v>
          </cell>
          <cell r="E3121">
            <v>16827.48</v>
          </cell>
          <cell r="F3121" t="str">
            <v>A1-S4</v>
          </cell>
          <cell r="G3121" t="str">
            <v>Patching wood - Gỗ đắp</v>
          </cell>
          <cell r="H3121" t="str">
            <v>Wood US Poplar - Straight Edged, 2 COM - T38mm x W100mm Up x L1.8m Up</v>
          </cell>
          <cell r="I3121">
            <v>36</v>
          </cell>
        </row>
        <row r="3122">
          <cell r="A3122" t="str">
            <v>B557866/A</v>
          </cell>
          <cell r="B3122" t="str">
            <v>CZ568M08</v>
          </cell>
          <cell r="C3122">
            <v>18</v>
          </cell>
          <cell r="D3122">
            <v>934.86</v>
          </cell>
          <cell r="E3122">
            <v>16827.48</v>
          </cell>
          <cell r="F3122" t="str">
            <v>A1-S5</v>
          </cell>
          <cell r="G3122" t="str">
            <v>Cleat - Bọ gỗ</v>
          </cell>
          <cell r="H3122" t="str">
            <v>Wood Rubber Laminate Board - 20 x 1220 x 2440mm, Veneer Poplar both Faces</v>
          </cell>
          <cell r="I3122">
            <v>36</v>
          </cell>
        </row>
        <row r="3123">
          <cell r="A3123" t="str">
            <v>B557866/A</v>
          </cell>
          <cell r="B3123" t="str">
            <v>CZ568M08</v>
          </cell>
          <cell r="C3123">
            <v>18</v>
          </cell>
          <cell r="D3123">
            <v>934.86</v>
          </cell>
          <cell r="E3123">
            <v>16827.48</v>
          </cell>
          <cell r="F3123" t="str">
            <v>A2-S1</v>
          </cell>
          <cell r="G3123" t="str">
            <v>Front Bottom Rail  - Đố đáy trước</v>
          </cell>
          <cell r="H3123" t="str">
            <v>Standard Wood - ALDER/ASPEN/LENGA/US POPLAR, 2 COM - T32 W120mm+ L2m+</v>
          </cell>
          <cell r="I3123">
            <v>18</v>
          </cell>
        </row>
        <row r="3124">
          <cell r="A3124" t="str">
            <v>B557866/A</v>
          </cell>
          <cell r="B3124" t="str">
            <v>CZ568M08</v>
          </cell>
          <cell r="C3124">
            <v>18</v>
          </cell>
          <cell r="D3124">
            <v>934.86</v>
          </cell>
          <cell r="E3124">
            <v>16827.48</v>
          </cell>
          <cell r="F3124" t="str">
            <v>A2-S2</v>
          </cell>
          <cell r="G3124" t="str">
            <v>Back bottom rail - Đố hậu đáy</v>
          </cell>
          <cell r="H3124" t="str">
            <v>Wood US Poplar - Straight Edged, 2 COM - T38mm x W100mm Up x L1.8m Up</v>
          </cell>
          <cell r="I3124">
            <v>18</v>
          </cell>
        </row>
        <row r="3125">
          <cell r="A3125" t="str">
            <v>B557866/A</v>
          </cell>
          <cell r="B3125" t="str">
            <v>CZ568M08</v>
          </cell>
          <cell r="C3125">
            <v>18</v>
          </cell>
          <cell r="D3125">
            <v>934.86</v>
          </cell>
          <cell r="E3125">
            <v>16827.48</v>
          </cell>
          <cell r="F3125" t="str">
            <v>A2-S3</v>
          </cell>
          <cell r="G3125" t="str">
            <v>Center bottom rail - Đố đáy giữa</v>
          </cell>
          <cell r="H3125" t="str">
            <v>Wood US Poplar - Straight Edged, 2 COM - T38mm x W100mm Up x L1.8m Up</v>
          </cell>
          <cell r="I3125">
            <v>36</v>
          </cell>
        </row>
        <row r="3126">
          <cell r="A3126" t="str">
            <v>B557866/A</v>
          </cell>
          <cell r="B3126" t="str">
            <v>CZ568M08</v>
          </cell>
          <cell r="C3126">
            <v>18</v>
          </cell>
          <cell r="D3126">
            <v>934.86</v>
          </cell>
          <cell r="E3126">
            <v>16827.48</v>
          </cell>
          <cell r="F3126" t="str">
            <v>A2-S4</v>
          </cell>
          <cell r="G3126" t="str">
            <v>Center bottom rail - Đố đáy giữa</v>
          </cell>
          <cell r="H3126" t="str">
            <v>Wood laminate</v>
          </cell>
          <cell r="I3126">
            <v>18</v>
          </cell>
        </row>
        <row r="3127">
          <cell r="A3127" t="str">
            <v>B557866/A</v>
          </cell>
          <cell r="B3127" t="str">
            <v>CZ568M08</v>
          </cell>
          <cell r="C3127">
            <v>18</v>
          </cell>
          <cell r="D3127">
            <v>934.86</v>
          </cell>
          <cell r="E3127">
            <v>16827.48</v>
          </cell>
          <cell r="F3127" t="str">
            <v>A2-S5</v>
          </cell>
          <cell r="G3127" t="str">
            <v>Bottom panel - Ván đáy</v>
          </cell>
          <cell r="H3127" t="str">
            <v>MDF Veneer</v>
          </cell>
          <cell r="I3127">
            <v>36</v>
          </cell>
        </row>
        <row r="3128">
          <cell r="A3128" t="str">
            <v>B557866/A</v>
          </cell>
          <cell r="B3128" t="str">
            <v>CZ568M08</v>
          </cell>
          <cell r="C3128">
            <v>18</v>
          </cell>
          <cell r="D3128">
            <v>934.86</v>
          </cell>
          <cell r="E3128">
            <v>16827.48</v>
          </cell>
          <cell r="F3128" t="str">
            <v>A2-S6</v>
          </cell>
          <cell r="G3128" t="str">
            <v>Cleat - Bọ gỗ</v>
          </cell>
          <cell r="H3128" t="str">
            <v>Wood Rubber Laminate Board - 20 x 1220 x 2440mm, Veneer Poplar both Faces</v>
          </cell>
          <cell r="I3128">
            <v>36</v>
          </cell>
        </row>
        <row r="3129">
          <cell r="A3129" t="str">
            <v>B557866/A</v>
          </cell>
          <cell r="B3129" t="str">
            <v>CZ568M08</v>
          </cell>
          <cell r="C3129">
            <v>18</v>
          </cell>
          <cell r="D3129">
            <v>934.86</v>
          </cell>
          <cell r="E3129">
            <v>16827.48</v>
          </cell>
          <cell r="F3129" t="str">
            <v>A2-S7</v>
          </cell>
          <cell r="G3129" t="str">
            <v>Dust board Panel  - Ván quét bụi</v>
          </cell>
          <cell r="H3129" t="str">
            <v>MDF - 06 x 1830 x 2440mm [CARB P2 Compliant]</v>
          </cell>
          <cell r="I3129">
            <v>18</v>
          </cell>
        </row>
        <row r="3130">
          <cell r="A3130" t="str">
            <v>B557866/A</v>
          </cell>
          <cell r="B3130" t="str">
            <v>CZ568M08</v>
          </cell>
          <cell r="C3130">
            <v>18</v>
          </cell>
          <cell r="D3130">
            <v>934.86</v>
          </cell>
          <cell r="E3130">
            <v>16827.48</v>
          </cell>
          <cell r="F3130" t="str">
            <v>A3-S1</v>
          </cell>
          <cell r="G3130" t="str">
            <v xml:space="preserve">Drawer front - Mặt hộc kéo </v>
          </cell>
          <cell r="H3130" t="str">
            <v>MDF Veneer</v>
          </cell>
          <cell r="I3130">
            <v>54</v>
          </cell>
        </row>
        <row r="3131">
          <cell r="A3131" t="str">
            <v>B557866/A</v>
          </cell>
          <cell r="B3131" t="str">
            <v>CZ568M08</v>
          </cell>
          <cell r="C3131">
            <v>18</v>
          </cell>
          <cell r="D3131">
            <v>934.86</v>
          </cell>
          <cell r="E3131">
            <v>16827.48</v>
          </cell>
          <cell r="F3131" t="str">
            <v>A3-S2</v>
          </cell>
          <cell r="G3131" t="str">
            <v>Drawer side - Hông hộc kéo</v>
          </cell>
          <cell r="H3131" t="str">
            <v>MDF-N - 12 x 1220 x 2440mm, Veneer Okoume 0.3mm Both Faces [CARB P2 Compliant]</v>
          </cell>
          <cell r="I3131">
            <v>108</v>
          </cell>
        </row>
        <row r="3132">
          <cell r="A3132" t="str">
            <v>B557866/A</v>
          </cell>
          <cell r="B3132" t="str">
            <v>CZ568M08</v>
          </cell>
          <cell r="C3132">
            <v>18</v>
          </cell>
          <cell r="D3132">
            <v>934.86</v>
          </cell>
          <cell r="E3132">
            <v>16827.48</v>
          </cell>
          <cell r="F3132" t="str">
            <v>A3-S3</v>
          </cell>
          <cell r="G3132" t="str">
            <v>Drawer back - Hậu hộc kéo</v>
          </cell>
          <cell r="H3132" t="str">
            <v>MDF - 12 x 1220 x 2440mm, Veneer Okoume 0.3mm Both Faces [CARB P2 Compliant]</v>
          </cell>
          <cell r="I3132">
            <v>54</v>
          </cell>
        </row>
        <row r="3133">
          <cell r="A3133" t="str">
            <v>B557866/A</v>
          </cell>
          <cell r="B3133" t="str">
            <v>CZ568M08</v>
          </cell>
          <cell r="C3133">
            <v>18</v>
          </cell>
          <cell r="D3133">
            <v>934.86</v>
          </cell>
          <cell r="E3133">
            <v>16827.48</v>
          </cell>
          <cell r="F3133" t="str">
            <v>A3-S4</v>
          </cell>
          <cell r="G3133" t="str">
            <v>Drawer bottom  - Đáy hộc kéo</v>
          </cell>
          <cell r="H3133" t="str">
            <v>MDF - 06 x 1220 x 2440mm, Veneer Okoume 0.3mm Both Faces [CARB P2 Compliant]</v>
          </cell>
          <cell r="I3133">
            <v>54</v>
          </cell>
        </row>
        <row r="3134">
          <cell r="A3134" t="str">
            <v>B557866/A</v>
          </cell>
          <cell r="B3134" t="str">
            <v>CZ568M08</v>
          </cell>
          <cell r="C3134">
            <v>18</v>
          </cell>
          <cell r="D3134">
            <v>934.86</v>
          </cell>
          <cell r="E3134">
            <v>16827.48</v>
          </cell>
          <cell r="F3134" t="str">
            <v>A5-3</v>
          </cell>
          <cell r="G3134" t="str">
            <v>Door panel  - Ván cửa</v>
          </cell>
          <cell r="H3134" t="str">
            <v>MDF Veneer</v>
          </cell>
          <cell r="I3134">
            <v>72</v>
          </cell>
        </row>
        <row r="3135">
          <cell r="A3135" t="str">
            <v>B557866/A</v>
          </cell>
          <cell r="B3135" t="str">
            <v>CZ568M08</v>
          </cell>
          <cell r="C3135">
            <v>18</v>
          </cell>
          <cell r="D3135">
            <v>934.86</v>
          </cell>
          <cell r="E3135">
            <v>16827.48</v>
          </cell>
          <cell r="F3135" t="str">
            <v>A5-4</v>
          </cell>
          <cell r="G3135" t="str">
            <v>Patching moulding - Chỉ đắp</v>
          </cell>
          <cell r="H3135" t="str">
            <v>Wood US Poplar - Straight Edged, 2 COM - T38mm x W100mm Up x L1.8m Up</v>
          </cell>
          <cell r="I3135">
            <v>72</v>
          </cell>
        </row>
        <row r="3136">
          <cell r="A3136" t="str">
            <v>B557866/A</v>
          </cell>
          <cell r="B3136" t="str">
            <v>CZ568M08</v>
          </cell>
          <cell r="C3136">
            <v>18</v>
          </cell>
          <cell r="D3136">
            <v>934.86</v>
          </cell>
          <cell r="E3136">
            <v>16827.48</v>
          </cell>
          <cell r="F3136" t="str">
            <v>A5-5</v>
          </cell>
          <cell r="G3136" t="str">
            <v>Patching moulding - Chỉ đắp</v>
          </cell>
          <cell r="H3136" t="str">
            <v>Wood US Poplar - Straight Edged, 2 COM - T38mm x W100mm Up x L1.8m Up</v>
          </cell>
          <cell r="I3136">
            <v>144</v>
          </cell>
        </row>
        <row r="3137">
          <cell r="A3137" t="str">
            <v>B557866/A</v>
          </cell>
          <cell r="B3137" t="str">
            <v>CZ568M08</v>
          </cell>
          <cell r="C3137">
            <v>18</v>
          </cell>
          <cell r="D3137">
            <v>934.86</v>
          </cell>
          <cell r="E3137">
            <v>16827.48</v>
          </cell>
          <cell r="F3137" t="str">
            <v>A5-6</v>
          </cell>
          <cell r="G3137" t="str">
            <v>Patching moulding - Chỉ đắp</v>
          </cell>
          <cell r="H3137" t="str">
            <v>TRAM OFF CUT</v>
          </cell>
          <cell r="I3137">
            <v>144</v>
          </cell>
        </row>
        <row r="3138">
          <cell r="A3138" t="str">
            <v>B557866/A</v>
          </cell>
          <cell r="B3138" t="str">
            <v>CZ568M08</v>
          </cell>
          <cell r="C3138">
            <v>18</v>
          </cell>
          <cell r="D3138">
            <v>934.86</v>
          </cell>
          <cell r="E3138">
            <v>16827.48</v>
          </cell>
          <cell r="F3138" t="str">
            <v>A5-7</v>
          </cell>
          <cell r="G3138" t="str">
            <v>Patching moulding - Chỉ đắp</v>
          </cell>
          <cell r="H3138" t="str">
            <v>Wood US Poplar - Straight Edged, 2 COM - T38mm x W100mm Up x L1.8m Up</v>
          </cell>
          <cell r="I3138">
            <v>72</v>
          </cell>
        </row>
        <row r="3139">
          <cell r="A3139" t="str">
            <v>B557866/A</v>
          </cell>
          <cell r="B3139" t="str">
            <v>CZ568M08</v>
          </cell>
          <cell r="C3139">
            <v>18</v>
          </cell>
          <cell r="D3139">
            <v>934.86</v>
          </cell>
          <cell r="E3139">
            <v>16827.48</v>
          </cell>
          <cell r="F3139" t="str">
            <v>A5-8</v>
          </cell>
          <cell r="G3139" t="str">
            <v>Insert Wood - Gỗ chèn</v>
          </cell>
          <cell r="H3139" t="str">
            <v>Beech off cut</v>
          </cell>
          <cell r="I3139">
            <v>216</v>
          </cell>
        </row>
        <row r="3140">
          <cell r="A3140" t="str">
            <v>B557866/A</v>
          </cell>
          <cell r="B3140" t="str">
            <v>CZ568M08</v>
          </cell>
          <cell r="C3140">
            <v>18</v>
          </cell>
          <cell r="D3140">
            <v>934.86</v>
          </cell>
          <cell r="E3140">
            <v>16827.48</v>
          </cell>
          <cell r="F3140" t="str">
            <v>P01</v>
          </cell>
          <cell r="G3140" t="str">
            <v>Front top rail  - Đố tiền nóc</v>
          </cell>
          <cell r="H3140" t="str">
            <v>Wood laminate</v>
          </cell>
          <cell r="I3140">
            <v>18</v>
          </cell>
        </row>
        <row r="3141">
          <cell r="A3141" t="str">
            <v>B557866/A</v>
          </cell>
          <cell r="B3141" t="str">
            <v>CZ568M08</v>
          </cell>
          <cell r="C3141">
            <v>18</v>
          </cell>
          <cell r="D3141">
            <v>934.86</v>
          </cell>
          <cell r="E3141">
            <v>16827.48</v>
          </cell>
          <cell r="F3141" t="str">
            <v>P02</v>
          </cell>
          <cell r="G3141" t="str">
            <v>Back rail with note finger - đố hậu</v>
          </cell>
          <cell r="H3141" t="str">
            <v>Standard Wood - ALDER/ASPEN/LENGA/US POPLAR, 2 COM - T25 W120mm+ L2m+</v>
          </cell>
          <cell r="I3141">
            <v>18</v>
          </cell>
        </row>
        <row r="3142">
          <cell r="A3142" t="str">
            <v>B557866/A</v>
          </cell>
          <cell r="B3142" t="str">
            <v>CZ568M08</v>
          </cell>
          <cell r="C3142">
            <v>18</v>
          </cell>
          <cell r="D3142">
            <v>934.86</v>
          </cell>
          <cell r="E3142">
            <v>16827.48</v>
          </cell>
          <cell r="F3142" t="str">
            <v>P03</v>
          </cell>
          <cell r="G3142" t="str">
            <v xml:space="preserve">Top panel  - Ván nóc </v>
          </cell>
          <cell r="H3142" t="str">
            <v>MDF Veneer</v>
          </cell>
          <cell r="I3142">
            <v>18</v>
          </cell>
        </row>
        <row r="3143">
          <cell r="A3143" t="str">
            <v>B557866/A</v>
          </cell>
          <cell r="B3143" t="str">
            <v>CZ568M08</v>
          </cell>
          <cell r="C3143">
            <v>18</v>
          </cell>
          <cell r="D3143">
            <v>934.86</v>
          </cell>
          <cell r="E3143">
            <v>16827.48</v>
          </cell>
          <cell r="F3143" t="str">
            <v>P04</v>
          </cell>
          <cell r="G3143" t="str">
            <v>Cleat - Bọ gỗ</v>
          </cell>
          <cell r="H3143" t="str">
            <v>Wood Rubber Laminate Board - 20 x 1220 x 2440mm, Veneer Poplar both Faces</v>
          </cell>
          <cell r="I3143">
            <v>36</v>
          </cell>
        </row>
        <row r="3144">
          <cell r="A3144" t="str">
            <v>B557866/A</v>
          </cell>
          <cell r="B3144" t="str">
            <v>CZ568M08</v>
          </cell>
          <cell r="C3144">
            <v>18</v>
          </cell>
          <cell r="D3144">
            <v>934.86</v>
          </cell>
          <cell r="E3144">
            <v>16827.48</v>
          </cell>
          <cell r="F3144" t="str">
            <v>P08</v>
          </cell>
          <cell r="G3144" t="str">
            <v>Adjustable Shelf  - Kệ di động</v>
          </cell>
          <cell r="H3144" t="str">
            <v>Pre-Assembly</v>
          </cell>
          <cell r="I3144">
            <v>36</v>
          </cell>
        </row>
        <row r="3145">
          <cell r="A3145" t="str">
            <v>B557866/A</v>
          </cell>
          <cell r="B3145" t="str">
            <v>CZ568M08</v>
          </cell>
          <cell r="C3145">
            <v>18</v>
          </cell>
          <cell r="D3145">
            <v>934.86</v>
          </cell>
          <cell r="E3145">
            <v>16827.48</v>
          </cell>
          <cell r="F3145" t="str">
            <v>P08-1</v>
          </cell>
          <cell r="G3145" t="str">
            <v>Adjustable Shelf  - Kệ di động</v>
          </cell>
          <cell r="H3145" t="str">
            <v>MDF Veneer</v>
          </cell>
          <cell r="I3145">
            <v>36</v>
          </cell>
        </row>
        <row r="3146">
          <cell r="A3146" t="str">
            <v>B557866/A</v>
          </cell>
          <cell r="B3146" t="str">
            <v>CZ568M08</v>
          </cell>
          <cell r="C3146">
            <v>18</v>
          </cell>
          <cell r="D3146">
            <v>934.86</v>
          </cell>
          <cell r="E3146">
            <v>16827.48</v>
          </cell>
          <cell r="F3146" t="str">
            <v>P08-2</v>
          </cell>
          <cell r="G3146" t="str">
            <v>Adjustable Shelf  - Kệ di động</v>
          </cell>
          <cell r="H3146" t="str">
            <v>Wood US Poplar - Straight Edged, 2 COM - T25mm x W100mm Up x L1.8m Up</v>
          </cell>
          <cell r="I3146">
            <v>36</v>
          </cell>
        </row>
        <row r="3147">
          <cell r="A3147" t="str">
            <v>B557866/A</v>
          </cell>
          <cell r="B3147" t="str">
            <v>CZ568M08</v>
          </cell>
          <cell r="C3147">
            <v>18</v>
          </cell>
          <cell r="D3147">
            <v>934.86</v>
          </cell>
          <cell r="E3147">
            <v>16827.48</v>
          </cell>
          <cell r="F3147" t="str">
            <v>P09</v>
          </cell>
          <cell r="G3147" t="str">
            <v>Partition panel - Vách ngăn</v>
          </cell>
          <cell r="H3147" t="str">
            <v>MDF Veneer</v>
          </cell>
          <cell r="I3147">
            <v>36</v>
          </cell>
        </row>
        <row r="3148">
          <cell r="A3148" t="str">
            <v>B557866/A</v>
          </cell>
          <cell r="B3148" t="str">
            <v>CZ568M08</v>
          </cell>
          <cell r="C3148">
            <v>18</v>
          </cell>
          <cell r="D3148">
            <v>934.86</v>
          </cell>
          <cell r="E3148">
            <v>16827.48</v>
          </cell>
          <cell r="F3148" t="str">
            <v>P11</v>
          </cell>
          <cell r="G3148" t="str">
            <v>Back panel - Ván hậu</v>
          </cell>
          <cell r="H3148" t="str">
            <v>MDF Veneer</v>
          </cell>
          <cell r="I3148">
            <v>18</v>
          </cell>
        </row>
        <row r="3149">
          <cell r="A3149" t="str">
            <v>B557866/A</v>
          </cell>
          <cell r="B3149" t="str">
            <v>CZ568M08</v>
          </cell>
          <cell r="C3149">
            <v>18</v>
          </cell>
          <cell r="D3149">
            <v>934.86</v>
          </cell>
          <cell r="E3149">
            <v>16827.48</v>
          </cell>
          <cell r="F3149" t="str">
            <v>P12</v>
          </cell>
          <cell r="G3149" t="str">
            <v>Back panel - Ván hậu</v>
          </cell>
          <cell r="H3149" t="str">
            <v>MDF Veneer</v>
          </cell>
          <cell r="I3149">
            <v>18</v>
          </cell>
        </row>
        <row r="3150">
          <cell r="A3150" t="str">
            <v>B557866/A</v>
          </cell>
          <cell r="B3150" t="str">
            <v>CZ568M08</v>
          </cell>
          <cell r="C3150">
            <v>18</v>
          </cell>
          <cell r="D3150">
            <v>934.86</v>
          </cell>
          <cell r="E3150">
            <v>16827.48</v>
          </cell>
          <cell r="F3150" t="str">
            <v>P13</v>
          </cell>
          <cell r="G3150" t="str">
            <v>Center leg - Chân giữa</v>
          </cell>
          <cell r="H3150" t="str">
            <v>Poplar off cut</v>
          </cell>
          <cell r="I3150">
            <v>18</v>
          </cell>
        </row>
        <row r="3151">
          <cell r="A3151" t="str">
            <v>B557866/A</v>
          </cell>
          <cell r="B3151" t="str">
            <v>CZ568M08</v>
          </cell>
          <cell r="C3151">
            <v>18</v>
          </cell>
          <cell r="D3151">
            <v>934.86</v>
          </cell>
          <cell r="E3151">
            <v>16827.48</v>
          </cell>
          <cell r="F3151" t="str">
            <v>P14</v>
          </cell>
          <cell r="G3151" t="str">
            <v>Patching wood - Gỗ đắp</v>
          </cell>
          <cell r="H3151" t="str">
            <v>Wood US Poplar - Straight Edged, 2 COM - T38mm x W100mm Up x L1.8m Up</v>
          </cell>
          <cell r="I3151">
            <v>108</v>
          </cell>
        </row>
        <row r="3152">
          <cell r="A3152" t="str">
            <v>B557866/A</v>
          </cell>
          <cell r="B3152" t="str">
            <v>CZ568M08</v>
          </cell>
          <cell r="C3152">
            <v>18</v>
          </cell>
          <cell r="D3152">
            <v>934.86</v>
          </cell>
          <cell r="E3152">
            <v>16827.48</v>
          </cell>
          <cell r="F3152" t="str">
            <v>P16</v>
          </cell>
          <cell r="G3152" t="str">
            <v>Corner block - ke góc</v>
          </cell>
          <cell r="H3152" t="str">
            <v>Poplar off cut</v>
          </cell>
          <cell r="I3152">
            <v>36</v>
          </cell>
        </row>
        <row r="3153">
          <cell r="A3153" t="str">
            <v>B557866/A</v>
          </cell>
          <cell r="B3153" t="str">
            <v>CZ568M08</v>
          </cell>
          <cell r="C3153">
            <v>18</v>
          </cell>
          <cell r="D3153">
            <v>934.86</v>
          </cell>
          <cell r="E3153">
            <v>16827.48</v>
          </cell>
          <cell r="F3153" t="str">
            <v>P17</v>
          </cell>
          <cell r="G3153" t="str">
            <v>Corner block - ke góc</v>
          </cell>
          <cell r="H3153" t="str">
            <v>Poplar off cut</v>
          </cell>
          <cell r="I3153">
            <v>36</v>
          </cell>
        </row>
        <row r="3154">
          <cell r="A3154" t="str">
            <v>B557866/A</v>
          </cell>
          <cell r="B3154" t="str">
            <v>CZ568M08</v>
          </cell>
          <cell r="C3154">
            <v>18</v>
          </cell>
          <cell r="D3154">
            <v>934.86</v>
          </cell>
          <cell r="E3154">
            <v>16827.48</v>
          </cell>
          <cell r="F3154" t="str">
            <v>P19</v>
          </cell>
          <cell r="G3154" t="str">
            <v>Corner block - ke góc</v>
          </cell>
          <cell r="H3154" t="str">
            <v>Poplar off cut</v>
          </cell>
          <cell r="I3154">
            <v>36</v>
          </cell>
        </row>
        <row r="3155">
          <cell r="A3155" t="str">
            <v>B557866/A</v>
          </cell>
          <cell r="B3155" t="str">
            <v>CZ568M08</v>
          </cell>
          <cell r="C3155">
            <v>18</v>
          </cell>
          <cell r="D3155">
            <v>934.86</v>
          </cell>
          <cell r="E3155">
            <v>16827.48</v>
          </cell>
          <cell r="F3155" t="str">
            <v>P20</v>
          </cell>
          <cell r="G3155" t="str">
            <v>Spline - Lưỡi gà</v>
          </cell>
          <cell r="H3155" t="str">
            <v>Plywood LVD - 06 x 1220 x 2440mm, Bleached Poplar Veneer Both Sides [CARB P2 Compliant]</v>
          </cell>
          <cell r="I3155">
            <v>36</v>
          </cell>
        </row>
        <row r="3156">
          <cell r="A3156" t="str">
            <v>B557866/A</v>
          </cell>
          <cell r="B3156" t="str">
            <v>CZ568M08</v>
          </cell>
          <cell r="C3156">
            <v>18</v>
          </cell>
          <cell r="D3156">
            <v>934.86</v>
          </cell>
          <cell r="E3156">
            <v>16827.48</v>
          </cell>
          <cell r="F3156" t="str">
            <v>P21</v>
          </cell>
          <cell r="G3156" t="str">
            <v>Spline - Lưỡi gà</v>
          </cell>
          <cell r="H3156" t="str">
            <v>Plywood LVD - 06 x 1220 x 2440mm, Bleached Poplar Veneer Both Sides [CARB P2 Compliant]</v>
          </cell>
          <cell r="I3156">
            <v>18</v>
          </cell>
        </row>
        <row r="3157">
          <cell r="A3157" t="str">
            <v>B557866/A</v>
          </cell>
          <cell r="B3157" t="str">
            <v>CZ568M08</v>
          </cell>
          <cell r="C3157">
            <v>18</v>
          </cell>
          <cell r="D3157">
            <v>934.86</v>
          </cell>
          <cell r="E3157">
            <v>16827.48</v>
          </cell>
          <cell r="F3157" t="str">
            <v>P22</v>
          </cell>
          <cell r="G3157" t="str">
            <v>Front rail  - Đố tiền</v>
          </cell>
          <cell r="H3157" t="str">
            <v>Wood Rubber Laminate Board - 20 x 1220 x 2440mm, Veneer Poplar both Faces</v>
          </cell>
          <cell r="I3157">
            <v>36</v>
          </cell>
        </row>
        <row r="3158">
          <cell r="A3158" t="str">
            <v>B557866/A</v>
          </cell>
          <cell r="B3158" t="str">
            <v>CZ568M08</v>
          </cell>
          <cell r="C3158">
            <v>18</v>
          </cell>
          <cell r="D3158">
            <v>934.86</v>
          </cell>
          <cell r="E3158">
            <v>16827.48</v>
          </cell>
          <cell r="F3158" t="str">
            <v>P23</v>
          </cell>
          <cell r="G3158" t="str">
            <v>Patching wood - Gỗ đắp</v>
          </cell>
          <cell r="H3158" t="str">
            <v>wood off cut</v>
          </cell>
          <cell r="I3158">
            <v>36</v>
          </cell>
        </row>
        <row r="3159">
          <cell r="A3159" t="str">
            <v>B557866/A</v>
          </cell>
          <cell r="B3159" t="str">
            <v>CZ568M08</v>
          </cell>
          <cell r="C3159">
            <v>18</v>
          </cell>
          <cell r="D3159">
            <v>934.86</v>
          </cell>
          <cell r="E3159">
            <v>16827.48</v>
          </cell>
          <cell r="F3159" t="str">
            <v>P24</v>
          </cell>
          <cell r="G3159" t="str">
            <v>Drawer stop - Dừng hộc</v>
          </cell>
          <cell r="H3159" t="str">
            <v>Poplar off cut</v>
          </cell>
          <cell r="I3159">
            <v>108</v>
          </cell>
        </row>
        <row r="3160">
          <cell r="A3160" t="str">
            <v>B557869/A</v>
          </cell>
          <cell r="B3160" t="str">
            <v>CZ568M09</v>
          </cell>
          <cell r="C3160">
            <v>2</v>
          </cell>
          <cell r="D3160">
            <v>934.86</v>
          </cell>
          <cell r="E3160">
            <v>1869.72</v>
          </cell>
          <cell r="F3160" t="str">
            <v>A1-S1</v>
          </cell>
          <cell r="G3160" t="str">
            <v>Front leg  - Chần tiền</v>
          </cell>
          <cell r="H3160" t="str">
            <v>Pre-Assembly</v>
          </cell>
          <cell r="I3160">
            <v>4</v>
          </cell>
        </row>
        <row r="3161">
          <cell r="A3161" t="str">
            <v>B557869/A</v>
          </cell>
          <cell r="B3161" t="str">
            <v>CZ568M09</v>
          </cell>
          <cell r="C3161">
            <v>2</v>
          </cell>
          <cell r="D3161">
            <v>934.86</v>
          </cell>
          <cell r="E3161">
            <v>1869.72</v>
          </cell>
          <cell r="F3161" t="str">
            <v>A1-S1-1</v>
          </cell>
          <cell r="G3161" t="str">
            <v>Front rail  - Đố tiền</v>
          </cell>
          <cell r="H3161" t="str">
            <v>Wood laminate</v>
          </cell>
          <cell r="I3161">
            <v>4</v>
          </cell>
        </row>
        <row r="3162">
          <cell r="A3162" t="str">
            <v>B557869/A</v>
          </cell>
          <cell r="B3162" t="str">
            <v>CZ568M09</v>
          </cell>
          <cell r="C3162">
            <v>2</v>
          </cell>
          <cell r="D3162">
            <v>934.86</v>
          </cell>
          <cell r="E3162">
            <v>1869.72</v>
          </cell>
          <cell r="F3162" t="str">
            <v>A1-S1-2</v>
          </cell>
          <cell r="G3162" t="str">
            <v>Wood laminater - Gỗ ghép 1</v>
          </cell>
          <cell r="H3162" t="str">
            <v>TRAM OFF CUT</v>
          </cell>
          <cell r="I3162">
            <v>4</v>
          </cell>
        </row>
        <row r="3163">
          <cell r="A3163" t="str">
            <v>B557869/A</v>
          </cell>
          <cell r="B3163" t="str">
            <v>CZ568M09</v>
          </cell>
          <cell r="C3163">
            <v>2</v>
          </cell>
          <cell r="D3163">
            <v>934.86</v>
          </cell>
          <cell r="E3163">
            <v>1869.72</v>
          </cell>
          <cell r="F3163" t="str">
            <v>A1-S2</v>
          </cell>
          <cell r="G3163" t="str">
            <v>Back leg - Chân hậu</v>
          </cell>
          <cell r="H3163" t="str">
            <v>Beech 2 COM</v>
          </cell>
          <cell r="I3163">
            <v>4</v>
          </cell>
        </row>
        <row r="3164">
          <cell r="A3164" t="str">
            <v>B557869/A</v>
          </cell>
          <cell r="B3164" t="str">
            <v>CZ568M09</v>
          </cell>
          <cell r="C3164">
            <v>2</v>
          </cell>
          <cell r="D3164">
            <v>934.86</v>
          </cell>
          <cell r="E3164">
            <v>1869.72</v>
          </cell>
          <cell r="F3164" t="str">
            <v>A1-S3</v>
          </cell>
          <cell r="G3164" t="str">
            <v xml:space="preserve">Side panel  - Ván hông </v>
          </cell>
          <cell r="H3164" t="str">
            <v>MDF Veneer</v>
          </cell>
          <cell r="I3164">
            <v>4</v>
          </cell>
        </row>
        <row r="3165">
          <cell r="A3165" t="str">
            <v>B557869/A</v>
          </cell>
          <cell r="B3165" t="str">
            <v>CZ568M09</v>
          </cell>
          <cell r="C3165">
            <v>2</v>
          </cell>
          <cell r="D3165">
            <v>934.86</v>
          </cell>
          <cell r="E3165">
            <v>1869.72</v>
          </cell>
          <cell r="F3165" t="str">
            <v>A1-S4</v>
          </cell>
          <cell r="G3165" t="str">
            <v>Patching wood - Gỗ đắp</v>
          </cell>
          <cell r="H3165" t="str">
            <v>Wood US Poplar - Straight Edged, 2 COM - T38mm x W100mm Up x L1.8m Up</v>
          </cell>
          <cell r="I3165">
            <v>4</v>
          </cell>
        </row>
        <row r="3166">
          <cell r="A3166" t="str">
            <v>B557869/A</v>
          </cell>
          <cell r="B3166" t="str">
            <v>CZ568M09</v>
          </cell>
          <cell r="C3166">
            <v>2</v>
          </cell>
          <cell r="D3166">
            <v>934.86</v>
          </cell>
          <cell r="E3166">
            <v>1869.72</v>
          </cell>
          <cell r="F3166" t="str">
            <v>A1-S5</v>
          </cell>
          <cell r="G3166" t="str">
            <v>Cleat - Bọ gỗ</v>
          </cell>
          <cell r="H3166" t="str">
            <v>Wood Rubber Laminate Board - 20 x 1220 x 2440mm, Veneer Poplar both Faces</v>
          </cell>
          <cell r="I3166">
            <v>4</v>
          </cell>
        </row>
        <row r="3167">
          <cell r="A3167" t="str">
            <v>B557869/A</v>
          </cell>
          <cell r="B3167" t="str">
            <v>CZ568M09</v>
          </cell>
          <cell r="C3167">
            <v>2</v>
          </cell>
          <cell r="D3167">
            <v>934.86</v>
          </cell>
          <cell r="E3167">
            <v>1869.72</v>
          </cell>
          <cell r="F3167" t="str">
            <v>A2-S1</v>
          </cell>
          <cell r="G3167" t="str">
            <v>Front Bottom Rail  - Đố đáy trước</v>
          </cell>
          <cell r="H3167" t="str">
            <v>Standard Wood - ALDER/ASPEN/LENGA/US POPLAR, 2 COM - T32 W120mm+ L2m+</v>
          </cell>
          <cell r="I3167">
            <v>2</v>
          </cell>
        </row>
        <row r="3168">
          <cell r="A3168" t="str">
            <v>B557869/A</v>
          </cell>
          <cell r="B3168" t="str">
            <v>CZ568M09</v>
          </cell>
          <cell r="C3168">
            <v>2</v>
          </cell>
          <cell r="D3168">
            <v>934.86</v>
          </cell>
          <cell r="E3168">
            <v>1869.72</v>
          </cell>
          <cell r="F3168" t="str">
            <v>A2-S2</v>
          </cell>
          <cell r="G3168" t="str">
            <v>Back bottom rail - Đố hậu đáy</v>
          </cell>
          <cell r="H3168" t="str">
            <v>Wood US Poplar - Straight Edged, 2 COM - T38mm x W100mm Up x L1.8m Up</v>
          </cell>
          <cell r="I3168">
            <v>2</v>
          </cell>
        </row>
        <row r="3169">
          <cell r="A3169" t="str">
            <v>B557869/A</v>
          </cell>
          <cell r="B3169" t="str">
            <v>CZ568M09</v>
          </cell>
          <cell r="C3169">
            <v>2</v>
          </cell>
          <cell r="D3169">
            <v>934.86</v>
          </cell>
          <cell r="E3169">
            <v>1869.72</v>
          </cell>
          <cell r="F3169" t="str">
            <v>A2-S3</v>
          </cell>
          <cell r="G3169" t="str">
            <v>Center bottom rail - Đố đáy giữa</v>
          </cell>
          <cell r="H3169" t="str">
            <v>Wood US Poplar - Straight Edged, 2 COM - T38mm x W100mm Up x L1.8m Up</v>
          </cell>
          <cell r="I3169">
            <v>4</v>
          </cell>
        </row>
        <row r="3170">
          <cell r="A3170" t="str">
            <v>B557869/A</v>
          </cell>
          <cell r="B3170" t="str">
            <v>CZ568M09</v>
          </cell>
          <cell r="C3170">
            <v>2</v>
          </cell>
          <cell r="D3170">
            <v>934.86</v>
          </cell>
          <cell r="E3170">
            <v>1869.72</v>
          </cell>
          <cell r="F3170" t="str">
            <v>A2-S4</v>
          </cell>
          <cell r="G3170" t="str">
            <v>Center bottom rail - Đố đáy giữa</v>
          </cell>
          <cell r="H3170" t="str">
            <v>Wood laminate</v>
          </cell>
          <cell r="I3170">
            <v>2</v>
          </cell>
        </row>
        <row r="3171">
          <cell r="A3171" t="str">
            <v>B557869/A</v>
          </cell>
          <cell r="B3171" t="str">
            <v>CZ568M09</v>
          </cell>
          <cell r="C3171">
            <v>2</v>
          </cell>
          <cell r="D3171">
            <v>934.86</v>
          </cell>
          <cell r="E3171">
            <v>1869.72</v>
          </cell>
          <cell r="F3171" t="str">
            <v>A2-S5</v>
          </cell>
          <cell r="G3171" t="str">
            <v>Bottom panel - Ván đáy</v>
          </cell>
          <cell r="H3171" t="str">
            <v>MDF Veneer</v>
          </cell>
          <cell r="I3171">
            <v>4</v>
          </cell>
        </row>
        <row r="3172">
          <cell r="A3172" t="str">
            <v>B557869/A</v>
          </cell>
          <cell r="B3172" t="str">
            <v>CZ568M09</v>
          </cell>
          <cell r="C3172">
            <v>2</v>
          </cell>
          <cell r="D3172">
            <v>934.86</v>
          </cell>
          <cell r="E3172">
            <v>1869.72</v>
          </cell>
          <cell r="F3172" t="str">
            <v>A2-S6</v>
          </cell>
          <cell r="G3172" t="str">
            <v>Cleat - Bọ gỗ</v>
          </cell>
          <cell r="H3172" t="str">
            <v>Wood Rubber Laminate Board - 20 x 1220 x 2440mm, Veneer Poplar both Faces</v>
          </cell>
          <cell r="I3172">
            <v>4</v>
          </cell>
        </row>
        <row r="3173">
          <cell r="A3173" t="str">
            <v>B557869/A</v>
          </cell>
          <cell r="B3173" t="str">
            <v>CZ568M09</v>
          </cell>
          <cell r="C3173">
            <v>2</v>
          </cell>
          <cell r="D3173">
            <v>934.86</v>
          </cell>
          <cell r="E3173">
            <v>1869.72</v>
          </cell>
          <cell r="F3173" t="str">
            <v>A2-S7</v>
          </cell>
          <cell r="G3173" t="str">
            <v>Dust board Panel  - Ván quét bụi</v>
          </cell>
          <cell r="H3173" t="str">
            <v>MDF - 06 x 1830 x 2440mm [CARB P2 Compliant]</v>
          </cell>
          <cell r="I3173">
            <v>2</v>
          </cell>
        </row>
        <row r="3174">
          <cell r="A3174" t="str">
            <v>B557869/A</v>
          </cell>
          <cell r="B3174" t="str">
            <v>CZ568M09</v>
          </cell>
          <cell r="C3174">
            <v>2</v>
          </cell>
          <cell r="D3174">
            <v>934.86</v>
          </cell>
          <cell r="E3174">
            <v>1869.72</v>
          </cell>
          <cell r="F3174" t="str">
            <v>A3-S1</v>
          </cell>
          <cell r="G3174" t="str">
            <v xml:space="preserve">Drawer front - Mặt hộc kéo </v>
          </cell>
          <cell r="H3174" t="str">
            <v>MDF Veneer</v>
          </cell>
          <cell r="I3174">
            <v>6</v>
          </cell>
        </row>
        <row r="3175">
          <cell r="A3175" t="str">
            <v>B557869/A</v>
          </cell>
          <cell r="B3175" t="str">
            <v>CZ568M09</v>
          </cell>
          <cell r="C3175">
            <v>2</v>
          </cell>
          <cell r="D3175">
            <v>934.86</v>
          </cell>
          <cell r="E3175">
            <v>1869.72</v>
          </cell>
          <cell r="F3175" t="str">
            <v>A3-S2</v>
          </cell>
          <cell r="G3175" t="str">
            <v>Drawer side - Hông hộc kéo</v>
          </cell>
          <cell r="H3175" t="str">
            <v>MDF-N - 12 x 1220 x 2440mm, Veneer Okoume 0.3mm Both Faces [CARB P2 Compliant]</v>
          </cell>
          <cell r="I3175">
            <v>12</v>
          </cell>
        </row>
        <row r="3176">
          <cell r="A3176" t="str">
            <v>B557869/A</v>
          </cell>
          <cell r="B3176" t="str">
            <v>CZ568M09</v>
          </cell>
          <cell r="C3176">
            <v>2</v>
          </cell>
          <cell r="D3176">
            <v>934.86</v>
          </cell>
          <cell r="E3176">
            <v>1869.72</v>
          </cell>
          <cell r="F3176" t="str">
            <v>A3-S3</v>
          </cell>
          <cell r="G3176" t="str">
            <v>Drawer back - Hậu hộc kéo</v>
          </cell>
          <cell r="H3176" t="str">
            <v>MDF - 12 x 1220 x 2440mm, Veneer Okoume 0.3mm Both Faces [CARB P2 Compliant]</v>
          </cell>
          <cell r="I3176">
            <v>6</v>
          </cell>
        </row>
        <row r="3177">
          <cell r="A3177" t="str">
            <v>B557869/A</v>
          </cell>
          <cell r="B3177" t="str">
            <v>CZ568M09</v>
          </cell>
          <cell r="C3177">
            <v>2</v>
          </cell>
          <cell r="D3177">
            <v>934.86</v>
          </cell>
          <cell r="E3177">
            <v>1869.72</v>
          </cell>
          <cell r="F3177" t="str">
            <v>A3-S4</v>
          </cell>
          <cell r="G3177" t="str">
            <v>Drawer bottom  - Đáy hộc kéo</v>
          </cell>
          <cell r="H3177" t="str">
            <v>MDF - 06 x 1220 x 2440mm, Veneer Okoume 0.3mm Both Faces [CARB P2 Compliant]</v>
          </cell>
          <cell r="I3177">
            <v>6</v>
          </cell>
        </row>
        <row r="3178">
          <cell r="A3178" t="str">
            <v>B557869/A</v>
          </cell>
          <cell r="B3178" t="str">
            <v>CZ568M09</v>
          </cell>
          <cell r="C3178">
            <v>2</v>
          </cell>
          <cell r="D3178">
            <v>934.86</v>
          </cell>
          <cell r="E3178">
            <v>1869.72</v>
          </cell>
          <cell r="F3178" t="str">
            <v>A5-3</v>
          </cell>
          <cell r="G3178" t="str">
            <v>Door panel  - Ván cửa</v>
          </cell>
          <cell r="H3178" t="str">
            <v>MDF Veneer</v>
          </cell>
          <cell r="I3178">
            <v>8</v>
          </cell>
        </row>
        <row r="3179">
          <cell r="A3179" t="str">
            <v>B557869/A</v>
          </cell>
          <cell r="B3179" t="str">
            <v>CZ568M09</v>
          </cell>
          <cell r="C3179">
            <v>2</v>
          </cell>
          <cell r="D3179">
            <v>934.86</v>
          </cell>
          <cell r="E3179">
            <v>1869.72</v>
          </cell>
          <cell r="F3179" t="str">
            <v>A5-4</v>
          </cell>
          <cell r="G3179" t="str">
            <v>Patching moulding - Chỉ đắp</v>
          </cell>
          <cell r="H3179" t="str">
            <v>Wood US Poplar - Straight Edged, 2 COM - T38mm x W100mm Up x L1.8m Up</v>
          </cell>
          <cell r="I3179">
            <v>8</v>
          </cell>
        </row>
        <row r="3180">
          <cell r="A3180" t="str">
            <v>B557869/A</v>
          </cell>
          <cell r="B3180" t="str">
            <v>CZ568M09</v>
          </cell>
          <cell r="C3180">
            <v>2</v>
          </cell>
          <cell r="D3180">
            <v>934.86</v>
          </cell>
          <cell r="E3180">
            <v>1869.72</v>
          </cell>
          <cell r="F3180" t="str">
            <v>A5-5</v>
          </cell>
          <cell r="G3180" t="str">
            <v>Patching moulding - Chỉ đắp</v>
          </cell>
          <cell r="H3180" t="str">
            <v>Wood US Poplar - Straight Edged, 2 COM - T38mm x W100mm Up x L1.8m Up</v>
          </cell>
          <cell r="I3180">
            <v>16</v>
          </cell>
        </row>
        <row r="3181">
          <cell r="A3181" t="str">
            <v>B557869/A</v>
          </cell>
          <cell r="B3181" t="str">
            <v>CZ568M09</v>
          </cell>
          <cell r="C3181">
            <v>2</v>
          </cell>
          <cell r="D3181">
            <v>934.86</v>
          </cell>
          <cell r="E3181">
            <v>1869.72</v>
          </cell>
          <cell r="F3181" t="str">
            <v>A5-6</v>
          </cell>
          <cell r="G3181" t="str">
            <v>Patching moulding - Chỉ đắp</v>
          </cell>
          <cell r="H3181" t="str">
            <v>TRAM OFF CUT</v>
          </cell>
          <cell r="I3181">
            <v>16</v>
          </cell>
        </row>
        <row r="3182">
          <cell r="A3182" t="str">
            <v>B557869/A</v>
          </cell>
          <cell r="B3182" t="str">
            <v>CZ568M09</v>
          </cell>
          <cell r="C3182">
            <v>2</v>
          </cell>
          <cell r="D3182">
            <v>934.86</v>
          </cell>
          <cell r="E3182">
            <v>1869.72</v>
          </cell>
          <cell r="F3182" t="str">
            <v>A5-7</v>
          </cell>
          <cell r="G3182" t="str">
            <v>Patching moulding - Chỉ đắp</v>
          </cell>
          <cell r="H3182" t="str">
            <v>Wood US Poplar - Straight Edged, 2 COM - T38mm x W100mm Up x L1.8m Up</v>
          </cell>
          <cell r="I3182">
            <v>8</v>
          </cell>
        </row>
        <row r="3183">
          <cell r="A3183" t="str">
            <v>B557869/A</v>
          </cell>
          <cell r="B3183" t="str">
            <v>CZ568M09</v>
          </cell>
          <cell r="C3183">
            <v>2</v>
          </cell>
          <cell r="D3183">
            <v>934.86</v>
          </cell>
          <cell r="E3183">
            <v>1869.72</v>
          </cell>
          <cell r="F3183" t="str">
            <v>A5-8</v>
          </cell>
          <cell r="G3183" t="str">
            <v>Insert Wood - Gỗ chèn</v>
          </cell>
          <cell r="H3183" t="str">
            <v>Beech off cut</v>
          </cell>
          <cell r="I3183">
            <v>24</v>
          </cell>
        </row>
        <row r="3184">
          <cell r="A3184" t="str">
            <v>B557869/A</v>
          </cell>
          <cell r="B3184" t="str">
            <v>CZ568M09</v>
          </cell>
          <cell r="C3184">
            <v>2</v>
          </cell>
          <cell r="D3184">
            <v>934.86</v>
          </cell>
          <cell r="E3184">
            <v>1869.72</v>
          </cell>
          <cell r="F3184" t="str">
            <v>P01</v>
          </cell>
          <cell r="G3184" t="str">
            <v>Front top rail  - Đố tiền nóc</v>
          </cell>
          <cell r="H3184" t="str">
            <v>Wood laminate</v>
          </cell>
          <cell r="I3184">
            <v>2</v>
          </cell>
        </row>
        <row r="3185">
          <cell r="A3185" t="str">
            <v>B557869/A</v>
          </cell>
          <cell r="B3185" t="str">
            <v>CZ568M09</v>
          </cell>
          <cell r="C3185">
            <v>2</v>
          </cell>
          <cell r="D3185">
            <v>934.86</v>
          </cell>
          <cell r="E3185">
            <v>1869.72</v>
          </cell>
          <cell r="F3185" t="str">
            <v>P02</v>
          </cell>
          <cell r="G3185" t="str">
            <v>Back rail with note finger - đố hậu</v>
          </cell>
          <cell r="H3185" t="str">
            <v>Standard Wood - ALDER/ASPEN/LENGA/US POPLAR, 2 COM - T25 W120mm+ L2m+</v>
          </cell>
          <cell r="I3185">
            <v>2</v>
          </cell>
        </row>
        <row r="3186">
          <cell r="A3186" t="str">
            <v>B557869/A</v>
          </cell>
          <cell r="B3186" t="str">
            <v>CZ568M09</v>
          </cell>
          <cell r="C3186">
            <v>2</v>
          </cell>
          <cell r="D3186">
            <v>934.86</v>
          </cell>
          <cell r="E3186">
            <v>1869.72</v>
          </cell>
          <cell r="F3186" t="str">
            <v>P03</v>
          </cell>
          <cell r="G3186" t="str">
            <v xml:space="preserve">Top panel  - Ván nóc </v>
          </cell>
          <cell r="H3186" t="str">
            <v>MDF Veneer</v>
          </cell>
          <cell r="I3186">
            <v>2</v>
          </cell>
        </row>
        <row r="3187">
          <cell r="A3187" t="str">
            <v>B557869/A</v>
          </cell>
          <cell r="B3187" t="str">
            <v>CZ568M09</v>
          </cell>
          <cell r="C3187">
            <v>2</v>
          </cell>
          <cell r="D3187">
            <v>934.86</v>
          </cell>
          <cell r="E3187">
            <v>1869.72</v>
          </cell>
          <cell r="F3187" t="str">
            <v>P04</v>
          </cell>
          <cell r="G3187" t="str">
            <v>Cleat - Bọ gỗ</v>
          </cell>
          <cell r="H3187" t="str">
            <v>Wood Rubber Laminate Board - 20 x 1220 x 2440mm, Veneer Poplar both Faces</v>
          </cell>
          <cell r="I3187">
            <v>4</v>
          </cell>
        </row>
        <row r="3188">
          <cell r="A3188" t="str">
            <v>B557869/A</v>
          </cell>
          <cell r="B3188" t="str">
            <v>CZ568M09</v>
          </cell>
          <cell r="C3188">
            <v>2</v>
          </cell>
          <cell r="D3188">
            <v>934.86</v>
          </cell>
          <cell r="E3188">
            <v>1869.72</v>
          </cell>
          <cell r="F3188" t="str">
            <v>P08</v>
          </cell>
          <cell r="G3188" t="str">
            <v>Adjustable Shelf  - Kệ di động</v>
          </cell>
          <cell r="H3188" t="str">
            <v>Pre-Assembly</v>
          </cell>
          <cell r="I3188">
            <v>4</v>
          </cell>
        </row>
        <row r="3189">
          <cell r="A3189" t="str">
            <v>B557869/A</v>
          </cell>
          <cell r="B3189" t="str">
            <v>CZ568M09</v>
          </cell>
          <cell r="C3189">
            <v>2</v>
          </cell>
          <cell r="D3189">
            <v>934.86</v>
          </cell>
          <cell r="E3189">
            <v>1869.72</v>
          </cell>
          <cell r="F3189" t="str">
            <v>P08-1</v>
          </cell>
          <cell r="G3189" t="str">
            <v>Adjustable Shelf  - Kệ di động</v>
          </cell>
          <cell r="H3189" t="str">
            <v>MDF Veneer</v>
          </cell>
          <cell r="I3189">
            <v>4</v>
          </cell>
        </row>
        <row r="3190">
          <cell r="A3190" t="str">
            <v>B557869/A</v>
          </cell>
          <cell r="B3190" t="str">
            <v>CZ568M09</v>
          </cell>
          <cell r="C3190">
            <v>2</v>
          </cell>
          <cell r="D3190">
            <v>934.86</v>
          </cell>
          <cell r="E3190">
            <v>1869.72</v>
          </cell>
          <cell r="F3190" t="str">
            <v>P08-2</v>
          </cell>
          <cell r="G3190" t="str">
            <v>Adjustable Shelf  - Kệ di động</v>
          </cell>
          <cell r="H3190" t="str">
            <v>Wood US Poplar - Straight Edged, 2 COM - T25mm x W100mm Up x L1.8m Up</v>
          </cell>
          <cell r="I3190">
            <v>4</v>
          </cell>
        </row>
        <row r="3191">
          <cell r="A3191" t="str">
            <v>B557869/A</v>
          </cell>
          <cell r="B3191" t="str">
            <v>CZ568M09</v>
          </cell>
          <cell r="C3191">
            <v>2</v>
          </cell>
          <cell r="D3191">
            <v>934.86</v>
          </cell>
          <cell r="E3191">
            <v>1869.72</v>
          </cell>
          <cell r="F3191" t="str">
            <v>P09</v>
          </cell>
          <cell r="G3191" t="str">
            <v>Partition panel - Vách ngăn</v>
          </cell>
          <cell r="H3191" t="str">
            <v>MDF Veneer</v>
          </cell>
          <cell r="I3191">
            <v>4</v>
          </cell>
        </row>
        <row r="3192">
          <cell r="A3192" t="str">
            <v>B557869/A</v>
          </cell>
          <cell r="B3192" t="str">
            <v>CZ568M09</v>
          </cell>
          <cell r="C3192">
            <v>2</v>
          </cell>
          <cell r="D3192">
            <v>934.86</v>
          </cell>
          <cell r="E3192">
            <v>1869.72</v>
          </cell>
          <cell r="F3192" t="str">
            <v>P11</v>
          </cell>
          <cell r="G3192" t="str">
            <v>Back panel - Ván hậu</v>
          </cell>
          <cell r="H3192" t="str">
            <v>MDF Veneer</v>
          </cell>
          <cell r="I3192">
            <v>2</v>
          </cell>
        </row>
        <row r="3193">
          <cell r="A3193" t="str">
            <v>B557869/A</v>
          </cell>
          <cell r="B3193" t="str">
            <v>CZ568M09</v>
          </cell>
          <cell r="C3193">
            <v>2</v>
          </cell>
          <cell r="D3193">
            <v>934.86</v>
          </cell>
          <cell r="E3193">
            <v>1869.72</v>
          </cell>
          <cell r="F3193" t="str">
            <v>P12</v>
          </cell>
          <cell r="G3193" t="str">
            <v>Back panel - Ván hậu</v>
          </cell>
          <cell r="H3193" t="str">
            <v>MDF Veneer</v>
          </cell>
          <cell r="I3193">
            <v>2</v>
          </cell>
        </row>
        <row r="3194">
          <cell r="A3194" t="str">
            <v>B557869/A</v>
          </cell>
          <cell r="B3194" t="str">
            <v>CZ568M09</v>
          </cell>
          <cell r="C3194">
            <v>2</v>
          </cell>
          <cell r="D3194">
            <v>934.86</v>
          </cell>
          <cell r="E3194">
            <v>1869.72</v>
          </cell>
          <cell r="F3194" t="str">
            <v>P13</v>
          </cell>
          <cell r="G3194" t="str">
            <v>Center leg - Chân giữa</v>
          </cell>
          <cell r="H3194" t="str">
            <v>Poplar off cut</v>
          </cell>
          <cell r="I3194">
            <v>2</v>
          </cell>
        </row>
        <row r="3195">
          <cell r="A3195" t="str">
            <v>B557869/A</v>
          </cell>
          <cell r="B3195" t="str">
            <v>CZ568M09</v>
          </cell>
          <cell r="C3195">
            <v>2</v>
          </cell>
          <cell r="D3195">
            <v>934.86</v>
          </cell>
          <cell r="E3195">
            <v>1869.72</v>
          </cell>
          <cell r="F3195" t="str">
            <v>P14</v>
          </cell>
          <cell r="G3195" t="str">
            <v>Patching wood - Gỗ đắp</v>
          </cell>
          <cell r="H3195" t="str">
            <v>Wood US Poplar - Straight Edged, 2 COM - T38mm x W100mm Up x L1.8m Up</v>
          </cell>
          <cell r="I3195">
            <v>12</v>
          </cell>
        </row>
        <row r="3196">
          <cell r="A3196" t="str">
            <v>B557869/A</v>
          </cell>
          <cell r="B3196" t="str">
            <v>CZ568M09</v>
          </cell>
          <cell r="C3196">
            <v>2</v>
          </cell>
          <cell r="D3196">
            <v>934.86</v>
          </cell>
          <cell r="E3196">
            <v>1869.72</v>
          </cell>
          <cell r="F3196" t="str">
            <v>P16</v>
          </cell>
          <cell r="G3196" t="str">
            <v>Corner block - ke góc</v>
          </cell>
          <cell r="H3196" t="str">
            <v>Poplar off cut</v>
          </cell>
          <cell r="I3196">
            <v>4</v>
          </cell>
        </row>
        <row r="3197">
          <cell r="A3197" t="str">
            <v>B557869/A</v>
          </cell>
          <cell r="B3197" t="str">
            <v>CZ568M09</v>
          </cell>
          <cell r="C3197">
            <v>2</v>
          </cell>
          <cell r="D3197">
            <v>934.86</v>
          </cell>
          <cell r="E3197">
            <v>1869.72</v>
          </cell>
          <cell r="F3197" t="str">
            <v>P17</v>
          </cell>
          <cell r="G3197" t="str">
            <v>Corner block - ke góc</v>
          </cell>
          <cell r="H3197" t="str">
            <v>Poplar off cut</v>
          </cell>
          <cell r="I3197">
            <v>4</v>
          </cell>
        </row>
        <row r="3198">
          <cell r="A3198" t="str">
            <v>B557869/A</v>
          </cell>
          <cell r="B3198" t="str">
            <v>CZ568M09</v>
          </cell>
          <cell r="C3198">
            <v>2</v>
          </cell>
          <cell r="D3198">
            <v>934.86</v>
          </cell>
          <cell r="E3198">
            <v>1869.72</v>
          </cell>
          <cell r="F3198" t="str">
            <v>P19</v>
          </cell>
          <cell r="G3198" t="str">
            <v>Corner block - ke góc</v>
          </cell>
          <cell r="H3198" t="str">
            <v>Poplar off cut</v>
          </cell>
          <cell r="I3198">
            <v>4</v>
          </cell>
        </row>
        <row r="3199">
          <cell r="A3199" t="str">
            <v>B557869/A</v>
          </cell>
          <cell r="B3199" t="str">
            <v>CZ568M09</v>
          </cell>
          <cell r="C3199">
            <v>2</v>
          </cell>
          <cell r="D3199">
            <v>934.86</v>
          </cell>
          <cell r="E3199">
            <v>1869.72</v>
          </cell>
          <cell r="F3199" t="str">
            <v>P20</v>
          </cell>
          <cell r="G3199" t="str">
            <v>Spline - Lưỡi gà</v>
          </cell>
          <cell r="H3199" t="str">
            <v>Plywood LVD - 06 x 1220 x 2440mm, Bleached Poplar Veneer Both Sides [CARB P2 Compliant]</v>
          </cell>
          <cell r="I3199">
            <v>4</v>
          </cell>
        </row>
        <row r="3200">
          <cell r="A3200" t="str">
            <v>B557869/A</v>
          </cell>
          <cell r="B3200" t="str">
            <v>CZ568M09</v>
          </cell>
          <cell r="C3200">
            <v>2</v>
          </cell>
          <cell r="D3200">
            <v>934.86</v>
          </cell>
          <cell r="E3200">
            <v>1869.72</v>
          </cell>
          <cell r="F3200" t="str">
            <v>P21</v>
          </cell>
          <cell r="G3200" t="str">
            <v>Spline - Lưỡi gà</v>
          </cell>
          <cell r="H3200" t="str">
            <v>Plywood LVD - 06 x 1220 x 2440mm, Bleached Poplar Veneer Both Sides [CARB P2 Compliant]</v>
          </cell>
          <cell r="I3200">
            <v>2</v>
          </cell>
        </row>
        <row r="3201">
          <cell r="A3201" t="str">
            <v>B557869/A</v>
          </cell>
          <cell r="B3201" t="str">
            <v>CZ568M09</v>
          </cell>
          <cell r="C3201">
            <v>2</v>
          </cell>
          <cell r="D3201">
            <v>934.86</v>
          </cell>
          <cell r="E3201">
            <v>1869.72</v>
          </cell>
          <cell r="F3201" t="str">
            <v>P22</v>
          </cell>
          <cell r="G3201" t="str">
            <v>Front rail  - Đố tiền</v>
          </cell>
          <cell r="H3201" t="str">
            <v>Wood Rubber Laminate Board - 20 x 1220 x 2440mm, Veneer Poplar both Faces</v>
          </cell>
          <cell r="I3201">
            <v>4</v>
          </cell>
        </row>
        <row r="3202">
          <cell r="A3202" t="str">
            <v>B557869/A</v>
          </cell>
          <cell r="B3202" t="str">
            <v>CZ568M09</v>
          </cell>
          <cell r="C3202">
            <v>2</v>
          </cell>
          <cell r="D3202">
            <v>934.86</v>
          </cell>
          <cell r="E3202">
            <v>1869.72</v>
          </cell>
          <cell r="F3202" t="str">
            <v>P23</v>
          </cell>
          <cell r="G3202" t="str">
            <v>Patching wood - Gỗ đắp</v>
          </cell>
          <cell r="H3202" t="str">
            <v>wood off cut</v>
          </cell>
          <cell r="I3202">
            <v>4</v>
          </cell>
        </row>
        <row r="3203">
          <cell r="A3203" t="str">
            <v>B557869/A</v>
          </cell>
          <cell r="B3203" t="str">
            <v>CZ568M09</v>
          </cell>
          <cell r="C3203">
            <v>2</v>
          </cell>
          <cell r="D3203">
            <v>934.86</v>
          </cell>
          <cell r="E3203">
            <v>1869.72</v>
          </cell>
          <cell r="F3203" t="str">
            <v>P24</v>
          </cell>
          <cell r="G3203" t="str">
            <v>Drawer stop - Dừng hộc</v>
          </cell>
          <cell r="H3203" t="str">
            <v>Poplar off cut</v>
          </cell>
          <cell r="I3203">
            <v>12</v>
          </cell>
        </row>
        <row r="3204">
          <cell r="A3204" t="str">
            <v>B557870/A</v>
          </cell>
          <cell r="B3204" t="str">
            <v>CZ568M09</v>
          </cell>
          <cell r="C3204">
            <v>1</v>
          </cell>
          <cell r="D3204">
            <v>934.86</v>
          </cell>
          <cell r="E3204">
            <v>934.86</v>
          </cell>
          <cell r="F3204" t="str">
            <v>A1-S1</v>
          </cell>
          <cell r="G3204" t="str">
            <v>Front leg  - Chần tiền</v>
          </cell>
          <cell r="H3204" t="str">
            <v>Pre-Assembly</v>
          </cell>
          <cell r="I3204">
            <v>2</v>
          </cell>
        </row>
        <row r="3205">
          <cell r="A3205" t="str">
            <v>B557870/A</v>
          </cell>
          <cell r="B3205" t="str">
            <v>CZ568M09</v>
          </cell>
          <cell r="C3205">
            <v>1</v>
          </cell>
          <cell r="D3205">
            <v>934.86</v>
          </cell>
          <cell r="E3205">
            <v>934.86</v>
          </cell>
          <cell r="F3205" t="str">
            <v>A1-S1-1</v>
          </cell>
          <cell r="G3205" t="str">
            <v>Front rail  - Đố tiền</v>
          </cell>
          <cell r="H3205" t="str">
            <v>Wood laminate</v>
          </cell>
          <cell r="I3205">
            <v>2</v>
          </cell>
        </row>
        <row r="3206">
          <cell r="A3206" t="str">
            <v>B557870/A</v>
          </cell>
          <cell r="B3206" t="str">
            <v>CZ568M09</v>
          </cell>
          <cell r="C3206">
            <v>1</v>
          </cell>
          <cell r="D3206">
            <v>934.86</v>
          </cell>
          <cell r="E3206">
            <v>934.86</v>
          </cell>
          <cell r="F3206" t="str">
            <v>A1-S1-2</v>
          </cell>
          <cell r="G3206" t="str">
            <v>Wood laminater - Gỗ ghép 1</v>
          </cell>
          <cell r="H3206" t="str">
            <v>TRAM OFF CUT</v>
          </cell>
          <cell r="I3206">
            <v>2</v>
          </cell>
        </row>
        <row r="3207">
          <cell r="A3207" t="str">
            <v>B557870/A</v>
          </cell>
          <cell r="B3207" t="str">
            <v>CZ568M09</v>
          </cell>
          <cell r="C3207">
            <v>1</v>
          </cell>
          <cell r="D3207">
            <v>934.86</v>
          </cell>
          <cell r="E3207">
            <v>934.86</v>
          </cell>
          <cell r="F3207" t="str">
            <v>A1-S2</v>
          </cell>
          <cell r="G3207" t="str">
            <v>Back leg - Chân hậu</v>
          </cell>
          <cell r="H3207" t="str">
            <v>Beech 2 COM</v>
          </cell>
          <cell r="I3207">
            <v>2</v>
          </cell>
        </row>
        <row r="3208">
          <cell r="A3208" t="str">
            <v>B557870/A</v>
          </cell>
          <cell r="B3208" t="str">
            <v>CZ568M09</v>
          </cell>
          <cell r="C3208">
            <v>1</v>
          </cell>
          <cell r="D3208">
            <v>934.86</v>
          </cell>
          <cell r="E3208">
            <v>934.86</v>
          </cell>
          <cell r="F3208" t="str">
            <v>A1-S3</v>
          </cell>
          <cell r="G3208" t="str">
            <v xml:space="preserve">Side panel  - Ván hông </v>
          </cell>
          <cell r="H3208" t="str">
            <v>MDF Veneer</v>
          </cell>
          <cell r="I3208">
            <v>2</v>
          </cell>
        </row>
        <row r="3209">
          <cell r="A3209" t="str">
            <v>B557870/A</v>
          </cell>
          <cell r="B3209" t="str">
            <v>CZ568M09</v>
          </cell>
          <cell r="C3209">
            <v>1</v>
          </cell>
          <cell r="D3209">
            <v>934.86</v>
          </cell>
          <cell r="E3209">
            <v>934.86</v>
          </cell>
          <cell r="F3209" t="str">
            <v>A1-S4</v>
          </cell>
          <cell r="G3209" t="str">
            <v>Patching wood - Gỗ đắp</v>
          </cell>
          <cell r="H3209" t="str">
            <v>Wood US Poplar - Straight Edged, 2 COM - T38mm x W100mm Up x L1.8m Up</v>
          </cell>
          <cell r="I3209">
            <v>2</v>
          </cell>
        </row>
        <row r="3210">
          <cell r="A3210" t="str">
            <v>B557870/A</v>
          </cell>
          <cell r="B3210" t="str">
            <v>CZ568M09</v>
          </cell>
          <cell r="C3210">
            <v>1</v>
          </cell>
          <cell r="D3210">
            <v>934.86</v>
          </cell>
          <cell r="E3210">
            <v>934.86</v>
          </cell>
          <cell r="F3210" t="str">
            <v>A1-S5</v>
          </cell>
          <cell r="G3210" t="str">
            <v>Cleat - Bọ gỗ</v>
          </cell>
          <cell r="H3210" t="str">
            <v>Wood Rubber Laminate Board - 20 x 1220 x 2440mm, Veneer Poplar both Faces</v>
          </cell>
          <cell r="I3210">
            <v>2</v>
          </cell>
        </row>
        <row r="3211">
          <cell r="A3211" t="str">
            <v>B557870/A</v>
          </cell>
          <cell r="B3211" t="str">
            <v>CZ568M09</v>
          </cell>
          <cell r="C3211">
            <v>1</v>
          </cell>
          <cell r="D3211">
            <v>934.86</v>
          </cell>
          <cell r="E3211">
            <v>934.86</v>
          </cell>
          <cell r="F3211" t="str">
            <v>A2-S1</v>
          </cell>
          <cell r="G3211" t="str">
            <v>Front Bottom Rail  - Đố đáy trước</v>
          </cell>
          <cell r="H3211" t="str">
            <v>Standard Wood - ALDER/ASPEN/LENGA/US POPLAR, 2 COM - T32 W120mm+ L2m+</v>
          </cell>
          <cell r="I3211">
            <v>1</v>
          </cell>
        </row>
        <row r="3212">
          <cell r="A3212" t="str">
            <v>B557870/A</v>
          </cell>
          <cell r="B3212" t="str">
            <v>CZ568M09</v>
          </cell>
          <cell r="C3212">
            <v>1</v>
          </cell>
          <cell r="D3212">
            <v>934.86</v>
          </cell>
          <cell r="E3212">
            <v>934.86</v>
          </cell>
          <cell r="F3212" t="str">
            <v>A2-S2</v>
          </cell>
          <cell r="G3212" t="str">
            <v>Back bottom rail - Đố hậu đáy</v>
          </cell>
          <cell r="H3212" t="str">
            <v>Wood US Poplar - Straight Edged, 2 COM - T38mm x W100mm Up x L1.8m Up</v>
          </cell>
          <cell r="I3212">
            <v>1</v>
          </cell>
        </row>
        <row r="3213">
          <cell r="A3213" t="str">
            <v>B557870/A</v>
          </cell>
          <cell r="B3213" t="str">
            <v>CZ568M09</v>
          </cell>
          <cell r="C3213">
            <v>1</v>
          </cell>
          <cell r="D3213">
            <v>934.86</v>
          </cell>
          <cell r="E3213">
            <v>934.86</v>
          </cell>
          <cell r="F3213" t="str">
            <v>A2-S3</v>
          </cell>
          <cell r="G3213" t="str">
            <v>Center bottom rail - Đố đáy giữa</v>
          </cell>
          <cell r="H3213" t="str">
            <v>Wood US Poplar - Straight Edged, 2 COM - T38mm x W100mm Up x L1.8m Up</v>
          </cell>
          <cell r="I3213">
            <v>2</v>
          </cell>
        </row>
        <row r="3214">
          <cell r="A3214" t="str">
            <v>B557870/A</v>
          </cell>
          <cell r="B3214" t="str">
            <v>CZ568M09</v>
          </cell>
          <cell r="C3214">
            <v>1</v>
          </cell>
          <cell r="D3214">
            <v>934.86</v>
          </cell>
          <cell r="E3214">
            <v>934.86</v>
          </cell>
          <cell r="F3214" t="str">
            <v>A2-S4</v>
          </cell>
          <cell r="G3214" t="str">
            <v>Center bottom rail - Đố đáy giữa</v>
          </cell>
          <cell r="H3214" t="str">
            <v>Wood laminate</v>
          </cell>
          <cell r="I3214">
            <v>1</v>
          </cell>
        </row>
        <row r="3215">
          <cell r="A3215" t="str">
            <v>B557870/A</v>
          </cell>
          <cell r="B3215" t="str">
            <v>CZ568M09</v>
          </cell>
          <cell r="C3215">
            <v>1</v>
          </cell>
          <cell r="D3215">
            <v>934.86</v>
          </cell>
          <cell r="E3215">
            <v>934.86</v>
          </cell>
          <cell r="F3215" t="str">
            <v>A2-S5</v>
          </cell>
          <cell r="G3215" t="str">
            <v>Bottom panel - Ván đáy</v>
          </cell>
          <cell r="H3215" t="str">
            <v>MDF Veneer</v>
          </cell>
          <cell r="I3215">
            <v>2</v>
          </cell>
        </row>
        <row r="3216">
          <cell r="A3216" t="str">
            <v>B557870/A</v>
          </cell>
          <cell r="B3216" t="str">
            <v>CZ568M09</v>
          </cell>
          <cell r="C3216">
            <v>1</v>
          </cell>
          <cell r="D3216">
            <v>934.86</v>
          </cell>
          <cell r="E3216">
            <v>934.86</v>
          </cell>
          <cell r="F3216" t="str">
            <v>A2-S6</v>
          </cell>
          <cell r="G3216" t="str">
            <v>Cleat - Bọ gỗ</v>
          </cell>
          <cell r="H3216" t="str">
            <v>Wood Rubber Laminate Board - 20 x 1220 x 2440mm, Veneer Poplar both Faces</v>
          </cell>
          <cell r="I3216">
            <v>2</v>
          </cell>
        </row>
        <row r="3217">
          <cell r="A3217" t="str">
            <v>B557870/A</v>
          </cell>
          <cell r="B3217" t="str">
            <v>CZ568M09</v>
          </cell>
          <cell r="C3217">
            <v>1</v>
          </cell>
          <cell r="D3217">
            <v>934.86</v>
          </cell>
          <cell r="E3217">
            <v>934.86</v>
          </cell>
          <cell r="F3217" t="str">
            <v>A2-S7</v>
          </cell>
          <cell r="G3217" t="str">
            <v>Dust board Panel  - Ván quét bụi</v>
          </cell>
          <cell r="H3217" t="str">
            <v>MDF - 06 x 1830 x 2440mm [CARB P2 Compliant]</v>
          </cell>
          <cell r="I3217">
            <v>1</v>
          </cell>
        </row>
        <row r="3218">
          <cell r="A3218" t="str">
            <v>B557870/A</v>
          </cell>
          <cell r="B3218" t="str">
            <v>CZ568M09</v>
          </cell>
          <cell r="C3218">
            <v>1</v>
          </cell>
          <cell r="D3218">
            <v>934.86</v>
          </cell>
          <cell r="E3218">
            <v>934.86</v>
          </cell>
          <cell r="F3218" t="str">
            <v>A3-S1</v>
          </cell>
          <cell r="G3218" t="str">
            <v xml:space="preserve">Drawer front - Mặt hộc kéo </v>
          </cell>
          <cell r="H3218" t="str">
            <v>MDF Veneer</v>
          </cell>
          <cell r="I3218">
            <v>3</v>
          </cell>
        </row>
        <row r="3219">
          <cell r="A3219" t="str">
            <v>B557870/A</v>
          </cell>
          <cell r="B3219" t="str">
            <v>CZ568M09</v>
          </cell>
          <cell r="C3219">
            <v>1</v>
          </cell>
          <cell r="D3219">
            <v>934.86</v>
          </cell>
          <cell r="E3219">
            <v>934.86</v>
          </cell>
          <cell r="F3219" t="str">
            <v>A3-S2</v>
          </cell>
          <cell r="G3219" t="str">
            <v>Drawer side - Hông hộc kéo</v>
          </cell>
          <cell r="H3219" t="str">
            <v>MDF-N - 12 x 1220 x 2440mm, Veneer Okoume 0.3mm Both Faces [CARB P2 Compliant]</v>
          </cell>
          <cell r="I3219">
            <v>6</v>
          </cell>
        </row>
        <row r="3220">
          <cell r="A3220" t="str">
            <v>B557870/A</v>
          </cell>
          <cell r="B3220" t="str">
            <v>CZ568M09</v>
          </cell>
          <cell r="C3220">
            <v>1</v>
          </cell>
          <cell r="D3220">
            <v>934.86</v>
          </cell>
          <cell r="E3220">
            <v>934.86</v>
          </cell>
          <cell r="F3220" t="str">
            <v>A3-S3</v>
          </cell>
          <cell r="G3220" t="str">
            <v>Drawer back - Hậu hộc kéo</v>
          </cell>
          <cell r="H3220" t="str">
            <v>MDF - 12 x 1220 x 2440mm, Veneer Okoume 0.3mm Both Faces [CARB P2 Compliant]</v>
          </cell>
          <cell r="I3220">
            <v>3</v>
          </cell>
        </row>
        <row r="3221">
          <cell r="A3221" t="str">
            <v>B557870/A</v>
          </cell>
          <cell r="B3221" t="str">
            <v>CZ568M09</v>
          </cell>
          <cell r="C3221">
            <v>1</v>
          </cell>
          <cell r="D3221">
            <v>934.86</v>
          </cell>
          <cell r="E3221">
            <v>934.86</v>
          </cell>
          <cell r="F3221" t="str">
            <v>A3-S4</v>
          </cell>
          <cell r="G3221" t="str">
            <v>Drawer bottom  - Đáy hộc kéo</v>
          </cell>
          <cell r="H3221" t="str">
            <v>MDF - 06 x 1220 x 2440mm, Veneer Okoume 0.3mm Both Faces [CARB P2 Compliant]</v>
          </cell>
          <cell r="I3221">
            <v>3</v>
          </cell>
        </row>
        <row r="3222">
          <cell r="A3222" t="str">
            <v>B557870/A</v>
          </cell>
          <cell r="B3222" t="str">
            <v>CZ568M09</v>
          </cell>
          <cell r="C3222">
            <v>1</v>
          </cell>
          <cell r="D3222">
            <v>934.86</v>
          </cell>
          <cell r="E3222">
            <v>934.86</v>
          </cell>
          <cell r="F3222" t="str">
            <v>A5-3</v>
          </cell>
          <cell r="G3222" t="str">
            <v>Door panel  - Ván cửa</v>
          </cell>
          <cell r="H3222" t="str">
            <v>MDF Veneer</v>
          </cell>
          <cell r="I3222">
            <v>4</v>
          </cell>
        </row>
        <row r="3223">
          <cell r="A3223" t="str">
            <v>B557870/A</v>
          </cell>
          <cell r="B3223" t="str">
            <v>CZ568M09</v>
          </cell>
          <cell r="C3223">
            <v>1</v>
          </cell>
          <cell r="D3223">
            <v>934.86</v>
          </cell>
          <cell r="E3223">
            <v>934.86</v>
          </cell>
          <cell r="F3223" t="str">
            <v>A5-4</v>
          </cell>
          <cell r="G3223" t="str">
            <v>Patching moulding - Chỉ đắp</v>
          </cell>
          <cell r="H3223" t="str">
            <v>Wood US Poplar - Straight Edged, 2 COM - T38mm x W100mm Up x L1.8m Up</v>
          </cell>
          <cell r="I3223">
            <v>4</v>
          </cell>
        </row>
        <row r="3224">
          <cell r="A3224" t="str">
            <v>B557870/A</v>
          </cell>
          <cell r="B3224" t="str">
            <v>CZ568M09</v>
          </cell>
          <cell r="C3224">
            <v>1</v>
          </cell>
          <cell r="D3224">
            <v>934.86</v>
          </cell>
          <cell r="E3224">
            <v>934.86</v>
          </cell>
          <cell r="F3224" t="str">
            <v>A5-5</v>
          </cell>
          <cell r="G3224" t="str">
            <v>Patching moulding - Chỉ đắp</v>
          </cell>
          <cell r="H3224" t="str">
            <v>Wood US Poplar - Straight Edged, 2 COM - T38mm x W100mm Up x L1.8m Up</v>
          </cell>
          <cell r="I3224">
            <v>8</v>
          </cell>
        </row>
        <row r="3225">
          <cell r="A3225" t="str">
            <v>B557870/A</v>
          </cell>
          <cell r="B3225" t="str">
            <v>CZ568M09</v>
          </cell>
          <cell r="C3225">
            <v>1</v>
          </cell>
          <cell r="D3225">
            <v>934.86</v>
          </cell>
          <cell r="E3225">
            <v>934.86</v>
          </cell>
          <cell r="F3225" t="str">
            <v>A5-6</v>
          </cell>
          <cell r="G3225" t="str">
            <v>Patching moulding - Chỉ đắp</v>
          </cell>
          <cell r="H3225" t="str">
            <v>TRAM OFF CUT</v>
          </cell>
          <cell r="I3225">
            <v>8</v>
          </cell>
        </row>
        <row r="3226">
          <cell r="A3226" t="str">
            <v>B557870/A</v>
          </cell>
          <cell r="B3226" t="str">
            <v>CZ568M09</v>
          </cell>
          <cell r="C3226">
            <v>1</v>
          </cell>
          <cell r="D3226">
            <v>934.86</v>
          </cell>
          <cell r="E3226">
            <v>934.86</v>
          </cell>
          <cell r="F3226" t="str">
            <v>A5-7</v>
          </cell>
          <cell r="G3226" t="str">
            <v>Patching moulding - Chỉ đắp</v>
          </cell>
          <cell r="H3226" t="str">
            <v>Wood US Poplar - Straight Edged, 2 COM - T38mm x W100mm Up x L1.8m Up</v>
          </cell>
          <cell r="I3226">
            <v>4</v>
          </cell>
        </row>
        <row r="3227">
          <cell r="A3227" t="str">
            <v>B557870/A</v>
          </cell>
          <cell r="B3227" t="str">
            <v>CZ568M09</v>
          </cell>
          <cell r="C3227">
            <v>1</v>
          </cell>
          <cell r="D3227">
            <v>934.86</v>
          </cell>
          <cell r="E3227">
            <v>934.86</v>
          </cell>
          <cell r="F3227" t="str">
            <v>A5-8</v>
          </cell>
          <cell r="G3227" t="str">
            <v>Insert Wood - Gỗ chèn</v>
          </cell>
          <cell r="H3227" t="str">
            <v>Beech off cut</v>
          </cell>
          <cell r="I3227">
            <v>12</v>
          </cell>
        </row>
        <row r="3228">
          <cell r="A3228" t="str">
            <v>B557870/A</v>
          </cell>
          <cell r="B3228" t="str">
            <v>CZ568M09</v>
          </cell>
          <cell r="C3228">
            <v>1</v>
          </cell>
          <cell r="D3228">
            <v>934.86</v>
          </cell>
          <cell r="E3228">
            <v>934.86</v>
          </cell>
          <cell r="F3228" t="str">
            <v>P01</v>
          </cell>
          <cell r="G3228" t="str">
            <v>Front top rail  - Đố tiền nóc</v>
          </cell>
          <cell r="H3228" t="str">
            <v>Wood laminate</v>
          </cell>
          <cell r="I3228">
            <v>1</v>
          </cell>
        </row>
        <row r="3229">
          <cell r="A3229" t="str">
            <v>B557870/A</v>
          </cell>
          <cell r="B3229" t="str">
            <v>CZ568M09</v>
          </cell>
          <cell r="C3229">
            <v>1</v>
          </cell>
          <cell r="D3229">
            <v>934.86</v>
          </cell>
          <cell r="E3229">
            <v>934.86</v>
          </cell>
          <cell r="F3229" t="str">
            <v>P02</v>
          </cell>
          <cell r="G3229" t="str">
            <v>Back rail with note finger - đố hậu</v>
          </cell>
          <cell r="H3229" t="str">
            <v>Standard Wood - ALDER/ASPEN/LENGA/US POPLAR, 2 COM - T25 W120mm+ L2m+</v>
          </cell>
          <cell r="I3229">
            <v>1</v>
          </cell>
        </row>
        <row r="3230">
          <cell r="A3230" t="str">
            <v>B557870/A</v>
          </cell>
          <cell r="B3230" t="str">
            <v>CZ568M09</v>
          </cell>
          <cell r="C3230">
            <v>1</v>
          </cell>
          <cell r="D3230">
            <v>934.86</v>
          </cell>
          <cell r="E3230">
            <v>934.86</v>
          </cell>
          <cell r="F3230" t="str">
            <v>P03</v>
          </cell>
          <cell r="G3230" t="str">
            <v xml:space="preserve">Top panel  - Ván nóc </v>
          </cell>
          <cell r="H3230" t="str">
            <v>MDF Veneer</v>
          </cell>
          <cell r="I3230">
            <v>1</v>
          </cell>
        </row>
        <row r="3231">
          <cell r="A3231" t="str">
            <v>B557870/A</v>
          </cell>
          <cell r="B3231" t="str">
            <v>CZ568M09</v>
          </cell>
          <cell r="C3231">
            <v>1</v>
          </cell>
          <cell r="D3231">
            <v>934.86</v>
          </cell>
          <cell r="E3231">
            <v>934.86</v>
          </cell>
          <cell r="F3231" t="str">
            <v>P04</v>
          </cell>
          <cell r="G3231" t="str">
            <v>Cleat - Bọ gỗ</v>
          </cell>
          <cell r="H3231" t="str">
            <v>Wood Rubber Laminate Board - 20 x 1220 x 2440mm, Veneer Poplar both Faces</v>
          </cell>
          <cell r="I3231">
            <v>2</v>
          </cell>
        </row>
        <row r="3232">
          <cell r="A3232" t="str">
            <v>B557870/A</v>
          </cell>
          <cell r="B3232" t="str">
            <v>CZ568M09</v>
          </cell>
          <cell r="C3232">
            <v>1</v>
          </cell>
          <cell r="D3232">
            <v>934.86</v>
          </cell>
          <cell r="E3232">
            <v>934.86</v>
          </cell>
          <cell r="F3232" t="str">
            <v>P08</v>
          </cell>
          <cell r="G3232" t="str">
            <v>Adjustable Shelf  - Kệ di động</v>
          </cell>
          <cell r="H3232" t="str">
            <v>Pre-Assembly</v>
          </cell>
          <cell r="I3232">
            <v>2</v>
          </cell>
        </row>
        <row r="3233">
          <cell r="A3233" t="str">
            <v>B557870/A</v>
          </cell>
          <cell r="B3233" t="str">
            <v>CZ568M09</v>
          </cell>
          <cell r="C3233">
            <v>1</v>
          </cell>
          <cell r="D3233">
            <v>934.86</v>
          </cell>
          <cell r="E3233">
            <v>934.86</v>
          </cell>
          <cell r="F3233" t="str">
            <v>P08-1</v>
          </cell>
          <cell r="G3233" t="str">
            <v>Adjustable Shelf  - Kệ di động</v>
          </cell>
          <cell r="H3233" t="str">
            <v>MDF Veneer</v>
          </cell>
          <cell r="I3233">
            <v>2</v>
          </cell>
        </row>
        <row r="3234">
          <cell r="A3234" t="str">
            <v>B557870/A</v>
          </cell>
          <cell r="B3234" t="str">
            <v>CZ568M09</v>
          </cell>
          <cell r="C3234">
            <v>1</v>
          </cell>
          <cell r="D3234">
            <v>934.86</v>
          </cell>
          <cell r="E3234">
            <v>934.86</v>
          </cell>
          <cell r="F3234" t="str">
            <v>P08-2</v>
          </cell>
          <cell r="G3234" t="str">
            <v>Adjustable Shelf  - Kệ di động</v>
          </cell>
          <cell r="H3234" t="str">
            <v>Wood US Poplar - Straight Edged, 2 COM - T25mm x W100mm Up x L1.8m Up</v>
          </cell>
          <cell r="I3234">
            <v>2</v>
          </cell>
        </row>
        <row r="3235">
          <cell r="A3235" t="str">
            <v>B557870/A</v>
          </cell>
          <cell r="B3235" t="str">
            <v>CZ568M09</v>
          </cell>
          <cell r="C3235">
            <v>1</v>
          </cell>
          <cell r="D3235">
            <v>934.86</v>
          </cell>
          <cell r="E3235">
            <v>934.86</v>
          </cell>
          <cell r="F3235" t="str">
            <v>P09</v>
          </cell>
          <cell r="G3235" t="str">
            <v>Partition panel - Vách ngăn</v>
          </cell>
          <cell r="H3235" t="str">
            <v>MDF Veneer</v>
          </cell>
          <cell r="I3235">
            <v>2</v>
          </cell>
        </row>
        <row r="3236">
          <cell r="A3236" t="str">
            <v>B557870/A</v>
          </cell>
          <cell r="B3236" t="str">
            <v>CZ568M09</v>
          </cell>
          <cell r="C3236">
            <v>1</v>
          </cell>
          <cell r="D3236">
            <v>934.86</v>
          </cell>
          <cell r="E3236">
            <v>934.86</v>
          </cell>
          <cell r="F3236" t="str">
            <v>P11</v>
          </cell>
          <cell r="G3236" t="str">
            <v>Back panel - Ván hậu</v>
          </cell>
          <cell r="H3236" t="str">
            <v>MDF Veneer</v>
          </cell>
          <cell r="I3236">
            <v>1</v>
          </cell>
        </row>
        <row r="3237">
          <cell r="A3237" t="str">
            <v>B557870/A</v>
          </cell>
          <cell r="B3237" t="str">
            <v>CZ568M09</v>
          </cell>
          <cell r="C3237">
            <v>1</v>
          </cell>
          <cell r="D3237">
            <v>934.86</v>
          </cell>
          <cell r="E3237">
            <v>934.86</v>
          </cell>
          <cell r="F3237" t="str">
            <v>P12</v>
          </cell>
          <cell r="G3237" t="str">
            <v>Back panel - Ván hậu</v>
          </cell>
          <cell r="H3237" t="str">
            <v>MDF Veneer</v>
          </cell>
          <cell r="I3237">
            <v>1</v>
          </cell>
        </row>
        <row r="3238">
          <cell r="A3238" t="str">
            <v>B557870/A</v>
          </cell>
          <cell r="B3238" t="str">
            <v>CZ568M09</v>
          </cell>
          <cell r="C3238">
            <v>1</v>
          </cell>
          <cell r="D3238">
            <v>934.86</v>
          </cell>
          <cell r="E3238">
            <v>934.86</v>
          </cell>
          <cell r="F3238" t="str">
            <v>P13</v>
          </cell>
          <cell r="G3238" t="str">
            <v>Center leg - Chân giữa</v>
          </cell>
          <cell r="H3238" t="str">
            <v>Poplar off cut</v>
          </cell>
          <cell r="I3238">
            <v>1</v>
          </cell>
        </row>
        <row r="3239">
          <cell r="A3239" t="str">
            <v>B557870/A</v>
          </cell>
          <cell r="B3239" t="str">
            <v>CZ568M09</v>
          </cell>
          <cell r="C3239">
            <v>1</v>
          </cell>
          <cell r="D3239">
            <v>934.86</v>
          </cell>
          <cell r="E3239">
            <v>934.86</v>
          </cell>
          <cell r="F3239" t="str">
            <v>P14</v>
          </cell>
          <cell r="G3239" t="str">
            <v>Patching wood - Gỗ đắp</v>
          </cell>
          <cell r="H3239" t="str">
            <v>Wood US Poplar - Straight Edged, 2 COM - T38mm x W100mm Up x L1.8m Up</v>
          </cell>
          <cell r="I3239">
            <v>6</v>
          </cell>
        </row>
        <row r="3240">
          <cell r="A3240" t="str">
            <v>B557870/A</v>
          </cell>
          <cell r="B3240" t="str">
            <v>CZ568M09</v>
          </cell>
          <cell r="C3240">
            <v>1</v>
          </cell>
          <cell r="D3240">
            <v>934.86</v>
          </cell>
          <cell r="E3240">
            <v>934.86</v>
          </cell>
          <cell r="F3240" t="str">
            <v>P16</v>
          </cell>
          <cell r="G3240" t="str">
            <v>Corner block - ke góc</v>
          </cell>
          <cell r="H3240" t="str">
            <v>Poplar off cut</v>
          </cell>
          <cell r="I3240">
            <v>2</v>
          </cell>
        </row>
        <row r="3241">
          <cell r="A3241" t="str">
            <v>B557870/A</v>
          </cell>
          <cell r="B3241" t="str">
            <v>CZ568M09</v>
          </cell>
          <cell r="C3241">
            <v>1</v>
          </cell>
          <cell r="D3241">
            <v>934.86</v>
          </cell>
          <cell r="E3241">
            <v>934.86</v>
          </cell>
          <cell r="F3241" t="str">
            <v>P17</v>
          </cell>
          <cell r="G3241" t="str">
            <v>Corner block - ke góc</v>
          </cell>
          <cell r="H3241" t="str">
            <v>Poplar off cut</v>
          </cell>
          <cell r="I3241">
            <v>2</v>
          </cell>
        </row>
        <row r="3242">
          <cell r="A3242" t="str">
            <v>B557870/A</v>
          </cell>
          <cell r="B3242" t="str">
            <v>CZ568M09</v>
          </cell>
          <cell r="C3242">
            <v>1</v>
          </cell>
          <cell r="D3242">
            <v>934.86</v>
          </cell>
          <cell r="E3242">
            <v>934.86</v>
          </cell>
          <cell r="F3242" t="str">
            <v>P19</v>
          </cell>
          <cell r="G3242" t="str">
            <v>Corner block - ke góc</v>
          </cell>
          <cell r="H3242" t="str">
            <v>Poplar off cut</v>
          </cell>
          <cell r="I3242">
            <v>2</v>
          </cell>
        </row>
        <row r="3243">
          <cell r="A3243" t="str">
            <v>B557870/A</v>
          </cell>
          <cell r="B3243" t="str">
            <v>CZ568M09</v>
          </cell>
          <cell r="C3243">
            <v>1</v>
          </cell>
          <cell r="D3243">
            <v>934.86</v>
          </cell>
          <cell r="E3243">
            <v>934.86</v>
          </cell>
          <cell r="F3243" t="str">
            <v>P20</v>
          </cell>
          <cell r="G3243" t="str">
            <v>Spline - Lưỡi gà</v>
          </cell>
          <cell r="H3243" t="str">
            <v>Plywood LVD - 06 x 1220 x 2440mm, Bleached Poplar Veneer Both Sides [CARB P2 Compliant]</v>
          </cell>
          <cell r="I3243">
            <v>2</v>
          </cell>
        </row>
        <row r="3244">
          <cell r="A3244" t="str">
            <v>B557870/A</v>
          </cell>
          <cell r="B3244" t="str">
            <v>CZ568M09</v>
          </cell>
          <cell r="C3244">
            <v>1</v>
          </cell>
          <cell r="D3244">
            <v>934.86</v>
          </cell>
          <cell r="E3244">
            <v>934.86</v>
          </cell>
          <cell r="F3244" t="str">
            <v>P21</v>
          </cell>
          <cell r="G3244" t="str">
            <v>Spline - Lưỡi gà</v>
          </cell>
          <cell r="H3244" t="str">
            <v>Plywood LVD - 06 x 1220 x 2440mm, Bleached Poplar Veneer Both Sides [CARB P2 Compliant]</v>
          </cell>
          <cell r="I3244">
            <v>1</v>
          </cell>
        </row>
        <row r="3245">
          <cell r="A3245" t="str">
            <v>B557870/A</v>
          </cell>
          <cell r="B3245" t="str">
            <v>CZ568M09</v>
          </cell>
          <cell r="C3245">
            <v>1</v>
          </cell>
          <cell r="D3245">
            <v>934.86</v>
          </cell>
          <cell r="E3245">
            <v>934.86</v>
          </cell>
          <cell r="F3245" t="str">
            <v>P22</v>
          </cell>
          <cell r="G3245" t="str">
            <v>Front rail  - Đố tiền</v>
          </cell>
          <cell r="H3245" t="str">
            <v>Wood Rubber Laminate Board - 20 x 1220 x 2440mm, Veneer Poplar both Faces</v>
          </cell>
          <cell r="I3245">
            <v>2</v>
          </cell>
        </row>
        <row r="3246">
          <cell r="A3246" t="str">
            <v>B557870/A</v>
          </cell>
          <cell r="B3246" t="str">
            <v>CZ568M09</v>
          </cell>
          <cell r="C3246">
            <v>1</v>
          </cell>
          <cell r="D3246">
            <v>934.86</v>
          </cell>
          <cell r="E3246">
            <v>934.86</v>
          </cell>
          <cell r="F3246" t="str">
            <v>P23</v>
          </cell>
          <cell r="G3246" t="str">
            <v>Patching wood - Gỗ đắp</v>
          </cell>
          <cell r="H3246" t="str">
            <v>wood off cut</v>
          </cell>
          <cell r="I3246">
            <v>2</v>
          </cell>
        </row>
        <row r="3247">
          <cell r="A3247" t="str">
            <v>B557870/A</v>
          </cell>
          <cell r="B3247" t="str">
            <v>CZ568M09</v>
          </cell>
          <cell r="C3247">
            <v>1</v>
          </cell>
          <cell r="D3247">
            <v>934.86</v>
          </cell>
          <cell r="E3247">
            <v>934.86</v>
          </cell>
          <cell r="F3247" t="str">
            <v>P24</v>
          </cell>
          <cell r="G3247" t="str">
            <v>Drawer stop - Dừng hộc</v>
          </cell>
          <cell r="H3247" t="str">
            <v>Poplar off cut</v>
          </cell>
          <cell r="I3247">
            <v>6</v>
          </cell>
        </row>
        <row r="3248">
          <cell r="A3248" t="str">
            <v>B557872/A</v>
          </cell>
          <cell r="B3248" t="str">
            <v>CZ568M191</v>
          </cell>
          <cell r="C3248">
            <v>1</v>
          </cell>
          <cell r="D3248">
            <v>934.86</v>
          </cell>
          <cell r="E3248">
            <v>934.86</v>
          </cell>
          <cell r="F3248" t="str">
            <v>A1-S1</v>
          </cell>
          <cell r="G3248" t="str">
            <v>Front leg  - Chần tiền</v>
          </cell>
          <cell r="H3248" t="str">
            <v>Pre-Assembly</v>
          </cell>
          <cell r="I3248">
            <v>2</v>
          </cell>
        </row>
        <row r="3249">
          <cell r="A3249" t="str">
            <v>B557872/A</v>
          </cell>
          <cell r="B3249" t="str">
            <v>CZ568M191</v>
          </cell>
          <cell r="C3249">
            <v>1</v>
          </cell>
          <cell r="D3249">
            <v>934.86</v>
          </cell>
          <cell r="E3249">
            <v>934.86</v>
          </cell>
          <cell r="F3249" t="str">
            <v>A1-S1-1</v>
          </cell>
          <cell r="G3249" t="str">
            <v>Front rail  - Đố tiền</v>
          </cell>
          <cell r="H3249" t="str">
            <v>Wood laminate</v>
          </cell>
          <cell r="I3249">
            <v>2</v>
          </cell>
        </row>
        <row r="3250">
          <cell r="A3250" t="str">
            <v>B557872/A</v>
          </cell>
          <cell r="B3250" t="str">
            <v>CZ568M191</v>
          </cell>
          <cell r="C3250">
            <v>1</v>
          </cell>
          <cell r="D3250">
            <v>934.86</v>
          </cell>
          <cell r="E3250">
            <v>934.86</v>
          </cell>
          <cell r="F3250" t="str">
            <v>A1-S1-2</v>
          </cell>
          <cell r="G3250" t="str">
            <v>Wood laminater - Gỗ ghép 1</v>
          </cell>
          <cell r="H3250" t="str">
            <v>TRAM OFF CUT</v>
          </cell>
          <cell r="I3250">
            <v>2</v>
          </cell>
        </row>
        <row r="3251">
          <cell r="A3251" t="str">
            <v>B557872/A</v>
          </cell>
          <cell r="B3251" t="str">
            <v>CZ568M191</v>
          </cell>
          <cell r="C3251">
            <v>1</v>
          </cell>
          <cell r="D3251">
            <v>934.86</v>
          </cell>
          <cell r="E3251">
            <v>934.86</v>
          </cell>
          <cell r="F3251" t="str">
            <v>A1-S2</v>
          </cell>
          <cell r="G3251" t="str">
            <v>Back leg - Chân hậu</v>
          </cell>
          <cell r="H3251" t="str">
            <v>Beech 2 COM</v>
          </cell>
          <cell r="I3251">
            <v>2</v>
          </cell>
        </row>
        <row r="3252">
          <cell r="A3252" t="str">
            <v>B557872/A</v>
          </cell>
          <cell r="B3252" t="str">
            <v>CZ568M191</v>
          </cell>
          <cell r="C3252">
            <v>1</v>
          </cell>
          <cell r="D3252">
            <v>934.86</v>
          </cell>
          <cell r="E3252">
            <v>934.86</v>
          </cell>
          <cell r="F3252" t="str">
            <v>A1-S3</v>
          </cell>
          <cell r="G3252" t="str">
            <v xml:space="preserve">Side panel  - Ván hông </v>
          </cell>
          <cell r="H3252" t="str">
            <v>MDF Veneer</v>
          </cell>
          <cell r="I3252">
            <v>2</v>
          </cell>
        </row>
        <row r="3253">
          <cell r="A3253" t="str">
            <v>B557872/A</v>
          </cell>
          <cell r="B3253" t="str">
            <v>CZ568M191</v>
          </cell>
          <cell r="C3253">
            <v>1</v>
          </cell>
          <cell r="D3253">
            <v>934.86</v>
          </cell>
          <cell r="E3253">
            <v>934.86</v>
          </cell>
          <cell r="F3253" t="str">
            <v>A1-S4</v>
          </cell>
          <cell r="G3253" t="str">
            <v>Patching wood - Gỗ đắp</v>
          </cell>
          <cell r="H3253" t="str">
            <v>Wood US Poplar - Straight Edged, 2 COM - T38mm x W100mm Up x L1.8m Up</v>
          </cell>
          <cell r="I3253">
            <v>2</v>
          </cell>
        </row>
        <row r="3254">
          <cell r="A3254" t="str">
            <v>B557872/A</v>
          </cell>
          <cell r="B3254" t="str">
            <v>CZ568M191</v>
          </cell>
          <cell r="C3254">
            <v>1</v>
          </cell>
          <cell r="D3254">
            <v>934.86</v>
          </cell>
          <cell r="E3254">
            <v>934.86</v>
          </cell>
          <cell r="F3254" t="str">
            <v>A1-S5</v>
          </cell>
          <cell r="G3254" t="str">
            <v>Cleat - Bọ gỗ</v>
          </cell>
          <cell r="H3254" t="str">
            <v>Wood Rubber Laminate Board - 20 x 1220 x 2440mm, Veneer Poplar both Faces</v>
          </cell>
          <cell r="I3254">
            <v>2</v>
          </cell>
        </row>
        <row r="3255">
          <cell r="A3255" t="str">
            <v>B557872/A</v>
          </cell>
          <cell r="B3255" t="str">
            <v>CZ568M191</v>
          </cell>
          <cell r="C3255">
            <v>1</v>
          </cell>
          <cell r="D3255">
            <v>934.86</v>
          </cell>
          <cell r="E3255">
            <v>934.86</v>
          </cell>
          <cell r="F3255" t="str">
            <v>A2-S1</v>
          </cell>
          <cell r="G3255" t="str">
            <v>Front Bottom Rail  - Đố đáy trước</v>
          </cell>
          <cell r="H3255" t="str">
            <v>Standard Wood - ALDER/ASPEN/LENGA/US POPLAR, 2 COM - T32 W120mm+ L2m+</v>
          </cell>
          <cell r="I3255">
            <v>1</v>
          </cell>
        </row>
        <row r="3256">
          <cell r="A3256" t="str">
            <v>B557872/A</v>
          </cell>
          <cell r="B3256" t="str">
            <v>CZ568M191</v>
          </cell>
          <cell r="C3256">
            <v>1</v>
          </cell>
          <cell r="D3256">
            <v>934.86</v>
          </cell>
          <cell r="E3256">
            <v>934.86</v>
          </cell>
          <cell r="F3256" t="str">
            <v>A2-S2</v>
          </cell>
          <cell r="G3256" t="str">
            <v>Back bottom rail - Đố hậu đáy</v>
          </cell>
          <cell r="H3256" t="str">
            <v>Wood US Poplar - Straight Edged, 2 COM - T38mm x W100mm Up x L1.8m Up</v>
          </cell>
          <cell r="I3256">
            <v>1</v>
          </cell>
        </row>
        <row r="3257">
          <cell r="A3257" t="str">
            <v>B557872/A</v>
          </cell>
          <cell r="B3257" t="str">
            <v>CZ568M191</v>
          </cell>
          <cell r="C3257">
            <v>1</v>
          </cell>
          <cell r="D3257">
            <v>934.86</v>
          </cell>
          <cell r="E3257">
            <v>934.86</v>
          </cell>
          <cell r="F3257" t="str">
            <v>A2-S3</v>
          </cell>
          <cell r="G3257" t="str">
            <v>Center bottom rail - Đố đáy giữa</v>
          </cell>
          <cell r="H3257" t="str">
            <v>Wood US Poplar - Straight Edged, 2 COM - T38mm x W100mm Up x L1.8m Up</v>
          </cell>
          <cell r="I3257">
            <v>2</v>
          </cell>
        </row>
        <row r="3258">
          <cell r="A3258" t="str">
            <v>B557872/A</v>
          </cell>
          <cell r="B3258" t="str">
            <v>CZ568M191</v>
          </cell>
          <cell r="C3258">
            <v>1</v>
          </cell>
          <cell r="D3258">
            <v>934.86</v>
          </cell>
          <cell r="E3258">
            <v>934.86</v>
          </cell>
          <cell r="F3258" t="str">
            <v>A2-S4</v>
          </cell>
          <cell r="G3258" t="str">
            <v>Center bottom rail - Đố đáy giữa</v>
          </cell>
          <cell r="H3258" t="str">
            <v>Wood laminate</v>
          </cell>
          <cell r="I3258">
            <v>1</v>
          </cell>
        </row>
        <row r="3259">
          <cell r="A3259" t="str">
            <v>B557872/A</v>
          </cell>
          <cell r="B3259" t="str">
            <v>CZ568M191</v>
          </cell>
          <cell r="C3259">
            <v>1</v>
          </cell>
          <cell r="D3259">
            <v>934.86</v>
          </cell>
          <cell r="E3259">
            <v>934.86</v>
          </cell>
          <cell r="F3259" t="str">
            <v>A2-S5</v>
          </cell>
          <cell r="G3259" t="str">
            <v>Bottom panel - Ván đáy</v>
          </cell>
          <cell r="H3259" t="str">
            <v>MDF Veneer</v>
          </cell>
          <cell r="I3259">
            <v>2</v>
          </cell>
        </row>
        <row r="3260">
          <cell r="A3260" t="str">
            <v>B557872/A</v>
          </cell>
          <cell r="B3260" t="str">
            <v>CZ568M191</v>
          </cell>
          <cell r="C3260">
            <v>1</v>
          </cell>
          <cell r="D3260">
            <v>934.86</v>
          </cell>
          <cell r="E3260">
            <v>934.86</v>
          </cell>
          <cell r="F3260" t="str">
            <v>A2-S6</v>
          </cell>
          <cell r="G3260" t="str">
            <v>Cleat - Bọ gỗ</v>
          </cell>
          <cell r="H3260" t="str">
            <v>Wood Rubber Laminate Board - 20 x 1220 x 2440mm, Veneer Poplar both Faces</v>
          </cell>
          <cell r="I3260">
            <v>2</v>
          </cell>
        </row>
        <row r="3261">
          <cell r="A3261" t="str">
            <v>B557872/A</v>
          </cell>
          <cell r="B3261" t="str">
            <v>CZ568M191</v>
          </cell>
          <cell r="C3261">
            <v>1</v>
          </cell>
          <cell r="D3261">
            <v>934.86</v>
          </cell>
          <cell r="E3261">
            <v>934.86</v>
          </cell>
          <cell r="F3261" t="str">
            <v>A2-S7</v>
          </cell>
          <cell r="G3261" t="str">
            <v>Dust board Panel  - Ván quét bụi</v>
          </cell>
          <cell r="H3261" t="str">
            <v>MDF - 06 x 1830 x 2440mm [CARB P2 Compliant]</v>
          </cell>
          <cell r="I3261">
            <v>1</v>
          </cell>
        </row>
        <row r="3262">
          <cell r="A3262" t="str">
            <v>B557872/A</v>
          </cell>
          <cell r="B3262" t="str">
            <v>CZ568M191</v>
          </cell>
          <cell r="C3262">
            <v>1</v>
          </cell>
          <cell r="D3262">
            <v>934.86</v>
          </cell>
          <cell r="E3262">
            <v>934.86</v>
          </cell>
          <cell r="F3262" t="str">
            <v>A3-S1</v>
          </cell>
          <cell r="G3262" t="str">
            <v xml:space="preserve">Drawer front - Mặt hộc kéo </v>
          </cell>
          <cell r="H3262" t="str">
            <v>MDF Veneer</v>
          </cell>
          <cell r="I3262">
            <v>3</v>
          </cell>
        </row>
        <row r="3263">
          <cell r="A3263" t="str">
            <v>B557872/A</v>
          </cell>
          <cell r="B3263" t="str">
            <v>CZ568M191</v>
          </cell>
          <cell r="C3263">
            <v>1</v>
          </cell>
          <cell r="D3263">
            <v>934.86</v>
          </cell>
          <cell r="E3263">
            <v>934.86</v>
          </cell>
          <cell r="F3263" t="str">
            <v>A3-S2</v>
          </cell>
          <cell r="G3263" t="str">
            <v>Drawer side - Hông hộc kéo</v>
          </cell>
          <cell r="H3263" t="str">
            <v>MDF-N - 12 x 1220 x 2440mm, Veneer Okoume 0.3mm Both Faces [CARB P2 Compliant]</v>
          </cell>
          <cell r="I3263">
            <v>6</v>
          </cell>
        </row>
        <row r="3264">
          <cell r="A3264" t="str">
            <v>B557872/A</v>
          </cell>
          <cell r="B3264" t="str">
            <v>CZ568M191</v>
          </cell>
          <cell r="C3264">
            <v>1</v>
          </cell>
          <cell r="D3264">
            <v>934.86</v>
          </cell>
          <cell r="E3264">
            <v>934.86</v>
          </cell>
          <cell r="F3264" t="str">
            <v>A3-S3</v>
          </cell>
          <cell r="G3264" t="str">
            <v>Drawer back - Hậu hộc kéo</v>
          </cell>
          <cell r="H3264" t="str">
            <v>MDF - 12 x 1220 x 2440mm, Veneer Okoume 0.3mm Both Faces [CARB P2 Compliant]</v>
          </cell>
          <cell r="I3264">
            <v>3</v>
          </cell>
        </row>
        <row r="3265">
          <cell r="A3265" t="str">
            <v>B557872/A</v>
          </cell>
          <cell r="B3265" t="str">
            <v>CZ568M191</v>
          </cell>
          <cell r="C3265">
            <v>1</v>
          </cell>
          <cell r="D3265">
            <v>934.86</v>
          </cell>
          <cell r="E3265">
            <v>934.86</v>
          </cell>
          <cell r="F3265" t="str">
            <v>A3-S4</v>
          </cell>
          <cell r="G3265" t="str">
            <v>Drawer bottom  - Đáy hộc kéo</v>
          </cell>
          <cell r="H3265" t="str">
            <v>MDF - 06 x 1220 x 2440mm, Veneer Okoume 0.3mm Both Faces [CARB P2 Compliant]</v>
          </cell>
          <cell r="I3265">
            <v>3</v>
          </cell>
        </row>
        <row r="3266">
          <cell r="A3266" t="str">
            <v>B557872/A</v>
          </cell>
          <cell r="B3266" t="str">
            <v>CZ568M191</v>
          </cell>
          <cell r="C3266">
            <v>1</v>
          </cell>
          <cell r="D3266">
            <v>934.86</v>
          </cell>
          <cell r="E3266">
            <v>934.86</v>
          </cell>
          <cell r="F3266" t="str">
            <v>A5-3</v>
          </cell>
          <cell r="G3266" t="str">
            <v>Door panel  - Ván cửa</v>
          </cell>
          <cell r="H3266" t="str">
            <v>MDF Veneer</v>
          </cell>
          <cell r="I3266">
            <v>4</v>
          </cell>
        </row>
        <row r="3267">
          <cell r="A3267" t="str">
            <v>B557872/A</v>
          </cell>
          <cell r="B3267" t="str">
            <v>CZ568M191</v>
          </cell>
          <cell r="C3267">
            <v>1</v>
          </cell>
          <cell r="D3267">
            <v>934.86</v>
          </cell>
          <cell r="E3267">
            <v>934.86</v>
          </cell>
          <cell r="F3267" t="str">
            <v>A5-4</v>
          </cell>
          <cell r="G3267" t="str">
            <v>Patching moulding - Chỉ đắp</v>
          </cell>
          <cell r="H3267" t="str">
            <v>Wood US Poplar - Straight Edged, 2 COM - T38mm x W100mm Up x L1.8m Up</v>
          </cell>
          <cell r="I3267">
            <v>4</v>
          </cell>
        </row>
        <row r="3268">
          <cell r="A3268" t="str">
            <v>B557872/A</v>
          </cell>
          <cell r="B3268" t="str">
            <v>CZ568M191</v>
          </cell>
          <cell r="C3268">
            <v>1</v>
          </cell>
          <cell r="D3268">
            <v>934.86</v>
          </cell>
          <cell r="E3268">
            <v>934.86</v>
          </cell>
          <cell r="F3268" t="str">
            <v>A5-5</v>
          </cell>
          <cell r="G3268" t="str">
            <v>Patching moulding - Chỉ đắp</v>
          </cell>
          <cell r="H3268" t="str">
            <v>Wood US Poplar - Straight Edged, 2 COM - T38mm x W100mm Up x L1.8m Up</v>
          </cell>
          <cell r="I3268">
            <v>8</v>
          </cell>
        </row>
        <row r="3269">
          <cell r="A3269" t="str">
            <v>B557872/A</v>
          </cell>
          <cell r="B3269" t="str">
            <v>CZ568M191</v>
          </cell>
          <cell r="C3269">
            <v>1</v>
          </cell>
          <cell r="D3269">
            <v>934.86</v>
          </cell>
          <cell r="E3269">
            <v>934.86</v>
          </cell>
          <cell r="F3269" t="str">
            <v>A5-6</v>
          </cell>
          <cell r="G3269" t="str">
            <v>Patching moulding - Chỉ đắp</v>
          </cell>
          <cell r="H3269" t="str">
            <v>TRAM OFF CUT</v>
          </cell>
          <cell r="I3269">
            <v>8</v>
          </cell>
        </row>
        <row r="3270">
          <cell r="A3270" t="str">
            <v>B557872/A</v>
          </cell>
          <cell r="B3270" t="str">
            <v>CZ568M191</v>
          </cell>
          <cell r="C3270">
            <v>1</v>
          </cell>
          <cell r="D3270">
            <v>934.86</v>
          </cell>
          <cell r="E3270">
            <v>934.86</v>
          </cell>
          <cell r="F3270" t="str">
            <v>A5-7</v>
          </cell>
          <cell r="G3270" t="str">
            <v>Patching moulding - Chỉ đắp</v>
          </cell>
          <cell r="H3270" t="str">
            <v>Wood US Poplar - Straight Edged, 2 COM - T38mm x W100mm Up x L1.8m Up</v>
          </cell>
          <cell r="I3270">
            <v>4</v>
          </cell>
        </row>
        <row r="3271">
          <cell r="A3271" t="str">
            <v>B557872/A</v>
          </cell>
          <cell r="B3271" t="str">
            <v>CZ568M191</v>
          </cell>
          <cell r="C3271">
            <v>1</v>
          </cell>
          <cell r="D3271">
            <v>934.86</v>
          </cell>
          <cell r="E3271">
            <v>934.86</v>
          </cell>
          <cell r="F3271" t="str">
            <v>A5-8</v>
          </cell>
          <cell r="G3271" t="str">
            <v>Insert Wood - Gỗ chèn</v>
          </cell>
          <cell r="H3271" t="str">
            <v>Beech off cut</v>
          </cell>
          <cell r="I3271">
            <v>12</v>
          </cell>
        </row>
        <row r="3272">
          <cell r="A3272" t="str">
            <v>B557872/A</v>
          </cell>
          <cell r="B3272" t="str">
            <v>CZ568M191</v>
          </cell>
          <cell r="C3272">
            <v>1</v>
          </cell>
          <cell r="D3272">
            <v>934.86</v>
          </cell>
          <cell r="E3272">
            <v>934.86</v>
          </cell>
          <cell r="F3272" t="str">
            <v>P01</v>
          </cell>
          <cell r="G3272" t="str">
            <v>Front top rail  - Đố tiền nóc</v>
          </cell>
          <cell r="H3272" t="str">
            <v>Wood laminate</v>
          </cell>
          <cell r="I3272">
            <v>1</v>
          </cell>
        </row>
        <row r="3273">
          <cell r="A3273" t="str">
            <v>B557872/A</v>
          </cell>
          <cell r="B3273" t="str">
            <v>CZ568M191</v>
          </cell>
          <cell r="C3273">
            <v>1</v>
          </cell>
          <cell r="D3273">
            <v>934.86</v>
          </cell>
          <cell r="E3273">
            <v>934.86</v>
          </cell>
          <cell r="F3273" t="str">
            <v>P02</v>
          </cell>
          <cell r="G3273" t="str">
            <v>Back rail with note finger - đố hậu</v>
          </cell>
          <cell r="H3273" t="str">
            <v>Standard Wood - ALDER/ASPEN/LENGA/US POPLAR, 2 COM - T25 W120mm+ L2m+</v>
          </cell>
          <cell r="I3273">
            <v>1</v>
          </cell>
        </row>
        <row r="3274">
          <cell r="A3274" t="str">
            <v>B557872/A</v>
          </cell>
          <cell r="B3274" t="str">
            <v>CZ568M191</v>
          </cell>
          <cell r="C3274">
            <v>1</v>
          </cell>
          <cell r="D3274">
            <v>934.86</v>
          </cell>
          <cell r="E3274">
            <v>934.86</v>
          </cell>
          <cell r="F3274" t="str">
            <v>P03</v>
          </cell>
          <cell r="G3274" t="str">
            <v xml:space="preserve">Top panel  - Ván nóc </v>
          </cell>
          <cell r="H3274" t="str">
            <v>MDF Veneer</v>
          </cell>
          <cell r="I3274">
            <v>1</v>
          </cell>
        </row>
        <row r="3275">
          <cell r="A3275" t="str">
            <v>B557872/A</v>
          </cell>
          <cell r="B3275" t="str">
            <v>CZ568M191</v>
          </cell>
          <cell r="C3275">
            <v>1</v>
          </cell>
          <cell r="D3275">
            <v>934.86</v>
          </cell>
          <cell r="E3275">
            <v>934.86</v>
          </cell>
          <cell r="F3275" t="str">
            <v>P04</v>
          </cell>
          <cell r="G3275" t="str">
            <v>Cleat - Bọ gỗ</v>
          </cell>
          <cell r="H3275" t="str">
            <v>Wood Rubber Laminate Board - 20 x 1220 x 2440mm, Veneer Poplar both Faces</v>
          </cell>
          <cell r="I3275">
            <v>2</v>
          </cell>
        </row>
        <row r="3276">
          <cell r="A3276" t="str">
            <v>B557872/A</v>
          </cell>
          <cell r="B3276" t="str">
            <v>CZ568M191</v>
          </cell>
          <cell r="C3276">
            <v>1</v>
          </cell>
          <cell r="D3276">
            <v>934.86</v>
          </cell>
          <cell r="E3276">
            <v>934.86</v>
          </cell>
          <cell r="F3276" t="str">
            <v>P08</v>
          </cell>
          <cell r="G3276" t="str">
            <v>Adjustable Shelf  - Kệ di động</v>
          </cell>
          <cell r="H3276" t="str">
            <v>Pre-Assembly</v>
          </cell>
          <cell r="I3276">
            <v>2</v>
          </cell>
        </row>
        <row r="3277">
          <cell r="A3277" t="str">
            <v>B557872/A</v>
          </cell>
          <cell r="B3277" t="str">
            <v>CZ568M191</v>
          </cell>
          <cell r="C3277">
            <v>1</v>
          </cell>
          <cell r="D3277">
            <v>934.86</v>
          </cell>
          <cell r="E3277">
            <v>934.86</v>
          </cell>
          <cell r="F3277" t="str">
            <v>P08-1</v>
          </cell>
          <cell r="G3277" t="str">
            <v>Adjustable Shelf  - Kệ di động</v>
          </cell>
          <cell r="H3277" t="str">
            <v>MDF Veneer</v>
          </cell>
          <cell r="I3277">
            <v>2</v>
          </cell>
        </row>
        <row r="3278">
          <cell r="A3278" t="str">
            <v>B557872/A</v>
          </cell>
          <cell r="B3278" t="str">
            <v>CZ568M191</v>
          </cell>
          <cell r="C3278">
            <v>1</v>
          </cell>
          <cell r="D3278">
            <v>934.86</v>
          </cell>
          <cell r="E3278">
            <v>934.86</v>
          </cell>
          <cell r="F3278" t="str">
            <v>P08-2</v>
          </cell>
          <cell r="G3278" t="str">
            <v>Adjustable Shelf  - Kệ di động</v>
          </cell>
          <cell r="H3278" t="str">
            <v>Wood US Poplar - Straight Edged, 2 COM - T25mm x W100mm Up x L1.8m Up</v>
          </cell>
          <cell r="I3278">
            <v>2</v>
          </cell>
        </row>
        <row r="3279">
          <cell r="A3279" t="str">
            <v>B557872/A</v>
          </cell>
          <cell r="B3279" t="str">
            <v>CZ568M191</v>
          </cell>
          <cell r="C3279">
            <v>1</v>
          </cell>
          <cell r="D3279">
            <v>934.86</v>
          </cell>
          <cell r="E3279">
            <v>934.86</v>
          </cell>
          <cell r="F3279" t="str">
            <v>P09</v>
          </cell>
          <cell r="G3279" t="str">
            <v>Partition panel - Vách ngăn</v>
          </cell>
          <cell r="H3279" t="str">
            <v>MDF Veneer</v>
          </cell>
          <cell r="I3279">
            <v>2</v>
          </cell>
        </row>
        <row r="3280">
          <cell r="A3280" t="str">
            <v>B557872/A</v>
          </cell>
          <cell r="B3280" t="str">
            <v>CZ568M191</v>
          </cell>
          <cell r="C3280">
            <v>1</v>
          </cell>
          <cell r="D3280">
            <v>934.86</v>
          </cell>
          <cell r="E3280">
            <v>934.86</v>
          </cell>
          <cell r="F3280" t="str">
            <v>P11</v>
          </cell>
          <cell r="G3280" t="str">
            <v>Back panel - Ván hậu</v>
          </cell>
          <cell r="H3280" t="str">
            <v>MDF Veneer</v>
          </cell>
          <cell r="I3280">
            <v>1</v>
          </cell>
        </row>
        <row r="3281">
          <cell r="A3281" t="str">
            <v>B557872/A</v>
          </cell>
          <cell r="B3281" t="str">
            <v>CZ568M191</v>
          </cell>
          <cell r="C3281">
            <v>1</v>
          </cell>
          <cell r="D3281">
            <v>934.86</v>
          </cell>
          <cell r="E3281">
            <v>934.86</v>
          </cell>
          <cell r="F3281" t="str">
            <v>P12</v>
          </cell>
          <cell r="G3281" t="str">
            <v>Back panel - Ván hậu</v>
          </cell>
          <cell r="H3281" t="str">
            <v>MDF Veneer</v>
          </cell>
          <cell r="I3281">
            <v>1</v>
          </cell>
        </row>
        <row r="3282">
          <cell r="A3282" t="str">
            <v>B557872/A</v>
          </cell>
          <cell r="B3282" t="str">
            <v>CZ568M191</v>
          </cell>
          <cell r="C3282">
            <v>1</v>
          </cell>
          <cell r="D3282">
            <v>934.86</v>
          </cell>
          <cell r="E3282">
            <v>934.86</v>
          </cell>
          <cell r="F3282" t="str">
            <v>P13</v>
          </cell>
          <cell r="G3282" t="str">
            <v>Center leg - Chân giữa</v>
          </cell>
          <cell r="H3282" t="str">
            <v>Poplar off cut</v>
          </cell>
          <cell r="I3282">
            <v>1</v>
          </cell>
        </row>
        <row r="3283">
          <cell r="A3283" t="str">
            <v>B557872/A</v>
          </cell>
          <cell r="B3283" t="str">
            <v>CZ568M191</v>
          </cell>
          <cell r="C3283">
            <v>1</v>
          </cell>
          <cell r="D3283">
            <v>934.86</v>
          </cell>
          <cell r="E3283">
            <v>934.86</v>
          </cell>
          <cell r="F3283" t="str">
            <v>P14</v>
          </cell>
          <cell r="G3283" t="str">
            <v>Patching wood - Gỗ đắp</v>
          </cell>
          <cell r="H3283" t="str">
            <v>Wood US Poplar - Straight Edged, 2 COM - T38mm x W100mm Up x L1.8m Up</v>
          </cell>
          <cell r="I3283">
            <v>6</v>
          </cell>
        </row>
        <row r="3284">
          <cell r="A3284" t="str">
            <v>B557872/A</v>
          </cell>
          <cell r="B3284" t="str">
            <v>CZ568M191</v>
          </cell>
          <cell r="C3284">
            <v>1</v>
          </cell>
          <cell r="D3284">
            <v>934.86</v>
          </cell>
          <cell r="E3284">
            <v>934.86</v>
          </cell>
          <cell r="F3284" t="str">
            <v>P16</v>
          </cell>
          <cell r="G3284" t="str">
            <v>Corner block - ke góc</v>
          </cell>
          <cell r="H3284" t="str">
            <v>Poplar off cut</v>
          </cell>
          <cell r="I3284">
            <v>2</v>
          </cell>
        </row>
        <row r="3285">
          <cell r="A3285" t="str">
            <v>B557872/A</v>
          </cell>
          <cell r="B3285" t="str">
            <v>CZ568M191</v>
          </cell>
          <cell r="C3285">
            <v>1</v>
          </cell>
          <cell r="D3285">
            <v>934.86</v>
          </cell>
          <cell r="E3285">
            <v>934.86</v>
          </cell>
          <cell r="F3285" t="str">
            <v>P17</v>
          </cell>
          <cell r="G3285" t="str">
            <v>Corner block - ke góc</v>
          </cell>
          <cell r="H3285" t="str">
            <v>Poplar off cut</v>
          </cell>
          <cell r="I3285">
            <v>2</v>
          </cell>
        </row>
        <row r="3286">
          <cell r="A3286" t="str">
            <v>B557872/A</v>
          </cell>
          <cell r="B3286" t="str">
            <v>CZ568M191</v>
          </cell>
          <cell r="C3286">
            <v>1</v>
          </cell>
          <cell r="D3286">
            <v>934.86</v>
          </cell>
          <cell r="E3286">
            <v>934.86</v>
          </cell>
          <cell r="F3286" t="str">
            <v>P19</v>
          </cell>
          <cell r="G3286" t="str">
            <v>Corner block - ke góc</v>
          </cell>
          <cell r="H3286" t="str">
            <v>Poplar off cut</v>
          </cell>
          <cell r="I3286">
            <v>2</v>
          </cell>
        </row>
        <row r="3287">
          <cell r="A3287" t="str">
            <v>B557872/A</v>
          </cell>
          <cell r="B3287" t="str">
            <v>CZ568M191</v>
          </cell>
          <cell r="C3287">
            <v>1</v>
          </cell>
          <cell r="D3287">
            <v>934.86</v>
          </cell>
          <cell r="E3287">
            <v>934.86</v>
          </cell>
          <cell r="F3287" t="str">
            <v>P20</v>
          </cell>
          <cell r="G3287" t="str">
            <v>Spline - Lưỡi gà</v>
          </cell>
          <cell r="H3287" t="str">
            <v>Plywood LVD - 06 x 1220 x 2440mm, Bleached Poplar Veneer Both Sides [CARB P2 Compliant]</v>
          </cell>
          <cell r="I3287">
            <v>2</v>
          </cell>
        </row>
        <row r="3288">
          <cell r="A3288" t="str">
            <v>B557872/A</v>
          </cell>
          <cell r="B3288" t="str">
            <v>CZ568M191</v>
          </cell>
          <cell r="C3288">
            <v>1</v>
          </cell>
          <cell r="D3288">
            <v>934.86</v>
          </cell>
          <cell r="E3288">
            <v>934.86</v>
          </cell>
          <cell r="F3288" t="str">
            <v>P21</v>
          </cell>
          <cell r="G3288" t="str">
            <v>Spline - Lưỡi gà</v>
          </cell>
          <cell r="H3288" t="str">
            <v>Plywood LVD - 06 x 1220 x 2440mm, Bleached Poplar Veneer Both Sides [CARB P2 Compliant]</v>
          </cell>
          <cell r="I3288">
            <v>1</v>
          </cell>
        </row>
        <row r="3289">
          <cell r="A3289" t="str">
            <v>B557872/A</v>
          </cell>
          <cell r="B3289" t="str">
            <v>CZ568M191</v>
          </cell>
          <cell r="C3289">
            <v>1</v>
          </cell>
          <cell r="D3289">
            <v>934.86</v>
          </cell>
          <cell r="E3289">
            <v>934.86</v>
          </cell>
          <cell r="F3289" t="str">
            <v>P22</v>
          </cell>
          <cell r="G3289" t="str">
            <v>Front rail  - Đố tiền</v>
          </cell>
          <cell r="H3289" t="str">
            <v>Wood Rubber Laminate Board - 20 x 1220 x 2440mm, Veneer Poplar both Faces</v>
          </cell>
          <cell r="I3289">
            <v>2</v>
          </cell>
        </row>
        <row r="3290">
          <cell r="A3290" t="str">
            <v>B557872/A</v>
          </cell>
          <cell r="B3290" t="str">
            <v>CZ568M191</v>
          </cell>
          <cell r="C3290">
            <v>1</v>
          </cell>
          <cell r="D3290">
            <v>934.86</v>
          </cell>
          <cell r="E3290">
            <v>934.86</v>
          </cell>
          <cell r="F3290" t="str">
            <v>P23</v>
          </cell>
          <cell r="G3290" t="str">
            <v>Patching wood - Gỗ đắp</v>
          </cell>
          <cell r="H3290" t="str">
            <v>wood off cut</v>
          </cell>
          <cell r="I3290">
            <v>2</v>
          </cell>
        </row>
        <row r="3291">
          <cell r="A3291" t="str">
            <v>B557872/A</v>
          </cell>
          <cell r="B3291" t="str">
            <v>CZ568M191</v>
          </cell>
          <cell r="C3291">
            <v>1</v>
          </cell>
          <cell r="D3291">
            <v>934.86</v>
          </cell>
          <cell r="E3291">
            <v>934.86</v>
          </cell>
          <cell r="F3291" t="str">
            <v>P24</v>
          </cell>
          <cell r="G3291" t="str">
            <v>Drawer stop - Dừng hộc</v>
          </cell>
          <cell r="H3291" t="str">
            <v>Poplar off cut</v>
          </cell>
          <cell r="I3291">
            <v>6</v>
          </cell>
        </row>
        <row r="3292">
          <cell r="A3292" t="str">
            <v>B552535/A</v>
          </cell>
          <cell r="B3292" t="str">
            <v>CZ641M08</v>
          </cell>
          <cell r="C3292">
            <v>7</v>
          </cell>
          <cell r="D3292">
            <v>808.26</v>
          </cell>
          <cell r="E3292">
            <v>5657.82</v>
          </cell>
          <cell r="F3292" t="str">
            <v>A1-S01</v>
          </cell>
          <cell r="G3292" t="str">
            <v>Top rail - Đố nóc</v>
          </cell>
          <cell r="H3292" t="str">
            <v>Poplar 2 COM</v>
          </cell>
          <cell r="I3292">
            <v>7</v>
          </cell>
        </row>
        <row r="3293">
          <cell r="A3293" t="str">
            <v>B552535/A</v>
          </cell>
          <cell r="B3293" t="str">
            <v>CZ641M08</v>
          </cell>
          <cell r="C3293">
            <v>7</v>
          </cell>
          <cell r="D3293">
            <v>808.26</v>
          </cell>
          <cell r="E3293">
            <v>5657.82</v>
          </cell>
          <cell r="F3293" t="str">
            <v>A1-S02</v>
          </cell>
          <cell r="G3293" t="str">
            <v>the post - trụ</v>
          </cell>
          <cell r="H3293" t="str">
            <v>Poplar 2 COM</v>
          </cell>
          <cell r="I3293">
            <v>14</v>
          </cell>
        </row>
        <row r="3294">
          <cell r="A3294" t="str">
            <v>B552535/A</v>
          </cell>
          <cell r="B3294" t="str">
            <v>CZ641M08</v>
          </cell>
          <cell r="C3294">
            <v>7</v>
          </cell>
          <cell r="D3294">
            <v>808.26</v>
          </cell>
          <cell r="E3294">
            <v>5657.82</v>
          </cell>
          <cell r="F3294" t="str">
            <v>A1-S03</v>
          </cell>
          <cell r="G3294" t="str">
            <v>Head board panel  - Ván đầu giường</v>
          </cell>
          <cell r="H3294" t="str">
            <v>MDF Veneer</v>
          </cell>
          <cell r="I3294">
            <v>7</v>
          </cell>
        </row>
        <row r="3295">
          <cell r="A3295" t="str">
            <v>B552535/A</v>
          </cell>
          <cell r="B3295" t="str">
            <v>CZ641M08</v>
          </cell>
          <cell r="C3295">
            <v>7</v>
          </cell>
          <cell r="D3295">
            <v>808.26</v>
          </cell>
          <cell r="E3295">
            <v>5657.82</v>
          </cell>
          <cell r="F3295" t="str">
            <v>A1-S08</v>
          </cell>
          <cell r="G3295" t="str">
            <v>Cleat - Bọ gỗ</v>
          </cell>
          <cell r="H3295" t="str">
            <v>Poplar off cut</v>
          </cell>
          <cell r="I3295">
            <v>28</v>
          </cell>
        </row>
        <row r="3296">
          <cell r="A3296" t="str">
            <v>B552535/A</v>
          </cell>
          <cell r="B3296" t="str">
            <v>CZ641M08</v>
          </cell>
          <cell r="C3296">
            <v>7</v>
          </cell>
          <cell r="D3296">
            <v>808.26</v>
          </cell>
          <cell r="E3296">
            <v>5657.82</v>
          </cell>
          <cell r="F3296" t="str">
            <v>A1-S09</v>
          </cell>
          <cell r="G3296" t="str">
            <v>Bottom rail inside - Đố tiền đáy</v>
          </cell>
          <cell r="H3296" t="str">
            <v>Standard Wood - ALDER/ASPEN/LENGA/US POPLAR, 2 COM - T50 W120mm+ L2m+</v>
          </cell>
          <cell r="I3296">
            <v>7</v>
          </cell>
        </row>
        <row r="3297">
          <cell r="A3297" t="str">
            <v>B552535/A</v>
          </cell>
          <cell r="B3297" t="str">
            <v>CZ641M08</v>
          </cell>
          <cell r="C3297">
            <v>7</v>
          </cell>
          <cell r="D3297">
            <v>808.26</v>
          </cell>
          <cell r="E3297">
            <v>5657.82</v>
          </cell>
          <cell r="F3297" t="str">
            <v>A1-S10</v>
          </cell>
          <cell r="G3297" t="str">
            <v>Vertical rail 1 - Đố đứng 1</v>
          </cell>
          <cell r="H3297" t="str">
            <v>Standard Wood - ALDER/ASPEN/LENGA/US POPLAR, 2 COM - T25 W120mm+ L2m+</v>
          </cell>
          <cell r="I3297">
            <v>7</v>
          </cell>
        </row>
        <row r="3298">
          <cell r="A3298" t="str">
            <v>B552535/A</v>
          </cell>
          <cell r="B3298" t="str">
            <v>CZ641M08</v>
          </cell>
          <cell r="C3298">
            <v>7</v>
          </cell>
          <cell r="D3298">
            <v>808.26</v>
          </cell>
          <cell r="E3298">
            <v>5657.82</v>
          </cell>
          <cell r="F3298" t="str">
            <v>A2-S01</v>
          </cell>
          <cell r="G3298" t="str">
            <v>the post - trụ</v>
          </cell>
          <cell r="H3298" t="str">
            <v>Wood laminate</v>
          </cell>
          <cell r="I3298">
            <v>14</v>
          </cell>
        </row>
        <row r="3299">
          <cell r="A3299" t="str">
            <v>B552535/A</v>
          </cell>
          <cell r="B3299" t="str">
            <v>CZ641M08</v>
          </cell>
          <cell r="C3299">
            <v>7</v>
          </cell>
          <cell r="D3299">
            <v>808.26</v>
          </cell>
          <cell r="E3299">
            <v>5657.82</v>
          </cell>
          <cell r="F3299" t="str">
            <v>A2-S02</v>
          </cell>
          <cell r="G3299" t="str">
            <v>Side Frame - Khung hông</v>
          </cell>
          <cell r="H3299" t="str">
            <v>Pre-Assembly</v>
          </cell>
          <cell r="I3299">
            <v>7</v>
          </cell>
        </row>
        <row r="3300">
          <cell r="A3300" t="str">
            <v>B552535/A</v>
          </cell>
          <cell r="B3300" t="str">
            <v>CZ641M08</v>
          </cell>
          <cell r="C3300">
            <v>7</v>
          </cell>
          <cell r="D3300">
            <v>808.26</v>
          </cell>
          <cell r="E3300">
            <v>5657.82</v>
          </cell>
          <cell r="F3300" t="str">
            <v>A2-S02-1</v>
          </cell>
          <cell r="G3300" t="str">
            <v>Horizontal rail 1 - Đố ngang 1</v>
          </cell>
          <cell r="H3300" t="str">
            <v>Standard Wood - ALDER/ASPEN/LENGA/US POPLAR, 2 COM - T25 W120mm+ L2m+</v>
          </cell>
          <cell r="I3300">
            <v>14</v>
          </cell>
        </row>
        <row r="3301">
          <cell r="A3301" t="str">
            <v>B552535/A</v>
          </cell>
          <cell r="B3301" t="str">
            <v>CZ641M08</v>
          </cell>
          <cell r="C3301">
            <v>7</v>
          </cell>
          <cell r="D3301">
            <v>808.26</v>
          </cell>
          <cell r="E3301">
            <v>5657.82</v>
          </cell>
          <cell r="F3301" t="str">
            <v>A2-S02-2</v>
          </cell>
          <cell r="G3301" t="str">
            <v>Vertical rail 1 - Đố đứng 1</v>
          </cell>
          <cell r="H3301" t="str">
            <v>Wood laminate</v>
          </cell>
          <cell r="I3301">
            <v>14</v>
          </cell>
        </row>
        <row r="3302">
          <cell r="A3302" t="str">
            <v>B552535/A</v>
          </cell>
          <cell r="B3302" t="str">
            <v>CZ641M08</v>
          </cell>
          <cell r="C3302">
            <v>7</v>
          </cell>
          <cell r="D3302">
            <v>808.26</v>
          </cell>
          <cell r="E3302">
            <v>5657.82</v>
          </cell>
          <cell r="F3302" t="str">
            <v>A2-S02-3</v>
          </cell>
          <cell r="G3302" t="str">
            <v>Vertical rail 1 - Đố đứng 1</v>
          </cell>
          <cell r="H3302" t="str">
            <v>Standard Wood - ALDER/ASPEN/LENGA/US POPLAR, 2 COM - T50 W120mm+ L2m+</v>
          </cell>
          <cell r="I3302">
            <v>14</v>
          </cell>
        </row>
        <row r="3303">
          <cell r="A3303" t="str">
            <v>B552535/A</v>
          </cell>
          <cell r="B3303" t="str">
            <v>CZ641M08</v>
          </cell>
          <cell r="C3303">
            <v>7</v>
          </cell>
          <cell r="D3303">
            <v>808.26</v>
          </cell>
          <cell r="E3303">
            <v>5657.82</v>
          </cell>
          <cell r="F3303" t="str">
            <v>A2-S02-4</v>
          </cell>
          <cell r="G3303" t="str">
            <v>Front top rail  - Đố tiền nóc</v>
          </cell>
          <cell r="H3303" t="str">
            <v>MDF Veneer</v>
          </cell>
          <cell r="I3303">
            <v>14</v>
          </cell>
        </row>
        <row r="3304">
          <cell r="A3304" t="str">
            <v>B552535/A</v>
          </cell>
          <cell r="B3304" t="str">
            <v>CZ641M08</v>
          </cell>
          <cell r="C3304">
            <v>7</v>
          </cell>
          <cell r="D3304">
            <v>808.26</v>
          </cell>
          <cell r="E3304">
            <v>5657.82</v>
          </cell>
          <cell r="F3304" t="str">
            <v>A2-S03</v>
          </cell>
          <cell r="G3304" t="str">
            <v>Insert Wood - Gỗ chèn</v>
          </cell>
          <cell r="H3304" t="str">
            <v>Beech off cut</v>
          </cell>
          <cell r="I3304">
            <v>14</v>
          </cell>
        </row>
        <row r="3305">
          <cell r="A3305" t="str">
            <v>B552535/A</v>
          </cell>
          <cell r="B3305" t="str">
            <v>CZ641M08</v>
          </cell>
          <cell r="C3305">
            <v>7</v>
          </cell>
          <cell r="D3305">
            <v>808.26</v>
          </cell>
          <cell r="E3305">
            <v>5657.82</v>
          </cell>
          <cell r="F3305" t="str">
            <v>A3</v>
          </cell>
          <cell r="G3305" t="str">
            <v xml:space="preserve">Side rail  - Đố hông </v>
          </cell>
          <cell r="H3305" t="str">
            <v>Pre-Assembly</v>
          </cell>
          <cell r="I3305">
            <v>14</v>
          </cell>
        </row>
        <row r="3306">
          <cell r="A3306" t="str">
            <v>B552535/A</v>
          </cell>
          <cell r="B3306" t="str">
            <v>CZ641M08</v>
          </cell>
          <cell r="C3306">
            <v>7</v>
          </cell>
          <cell r="D3306">
            <v>808.26</v>
          </cell>
          <cell r="E3306">
            <v>5657.82</v>
          </cell>
          <cell r="F3306" t="str">
            <v>A3-S01</v>
          </cell>
          <cell r="G3306" t="str">
            <v xml:space="preserve">Side rail  - Đố hông </v>
          </cell>
          <cell r="H3306" t="str">
            <v>MDF - 18 x 1830 x 2440mm [CARB P2 Compliant]</v>
          </cell>
          <cell r="I3306">
            <v>28</v>
          </cell>
        </row>
        <row r="3307">
          <cell r="A3307" t="str">
            <v>B552535/A</v>
          </cell>
          <cell r="B3307" t="str">
            <v>CZ641M08</v>
          </cell>
          <cell r="C3307">
            <v>7</v>
          </cell>
          <cell r="D3307">
            <v>808.26</v>
          </cell>
          <cell r="E3307">
            <v>5657.82</v>
          </cell>
          <cell r="F3307" t="str">
            <v>A3-S02</v>
          </cell>
          <cell r="G3307" t="str">
            <v>Vertical rail 1 - Đố đứng 1</v>
          </cell>
          <cell r="H3307" t="str">
            <v>Plywood off cut</v>
          </cell>
          <cell r="I3307">
            <v>56</v>
          </cell>
        </row>
        <row r="3308">
          <cell r="A3308" t="str">
            <v>B552535/A</v>
          </cell>
          <cell r="B3308" t="str">
            <v>CZ641M08</v>
          </cell>
          <cell r="C3308">
            <v>7</v>
          </cell>
          <cell r="D3308">
            <v>808.26</v>
          </cell>
          <cell r="E3308">
            <v>5657.82</v>
          </cell>
          <cell r="F3308" t="str">
            <v>A3-S03</v>
          </cell>
          <cell r="G3308" t="str">
            <v>Side top rail - Đố hông trên</v>
          </cell>
          <cell r="H3308" t="str">
            <v>MDF Veneer</v>
          </cell>
          <cell r="I3308">
            <v>28</v>
          </cell>
        </row>
        <row r="3309">
          <cell r="A3309" t="str">
            <v>B552535/A</v>
          </cell>
          <cell r="B3309" t="str">
            <v>CZ641M08</v>
          </cell>
          <cell r="C3309">
            <v>7</v>
          </cell>
          <cell r="D3309">
            <v>808.26</v>
          </cell>
          <cell r="E3309">
            <v>5657.82</v>
          </cell>
          <cell r="F3309" t="str">
            <v>A3-S04</v>
          </cell>
          <cell r="G3309" t="str">
            <v>Vertical rail 1 - Đố đứng 1</v>
          </cell>
          <cell r="H3309" t="str">
            <v>MDF laminate</v>
          </cell>
          <cell r="I3309">
            <v>28</v>
          </cell>
        </row>
        <row r="3310">
          <cell r="A3310" t="str">
            <v>B552535/A</v>
          </cell>
          <cell r="B3310" t="str">
            <v>CZ641M08</v>
          </cell>
          <cell r="C3310">
            <v>7</v>
          </cell>
          <cell r="D3310">
            <v>808.26</v>
          </cell>
          <cell r="E3310">
            <v>5657.82</v>
          </cell>
          <cell r="F3310" t="str">
            <v>A3-S05</v>
          </cell>
          <cell r="G3310" t="str">
            <v>Slat Support  - Đỡ dạt giường</v>
          </cell>
          <cell r="H3310" t="str">
            <v>Wood US Poplar - Straight Edged, 1 COM - T32mm x W100mm Up x L1.8m Up</v>
          </cell>
          <cell r="I3310">
            <v>14</v>
          </cell>
        </row>
        <row r="3311">
          <cell r="A3311" t="str">
            <v>B552535/A</v>
          </cell>
          <cell r="B3311" t="str">
            <v>CZ641M08</v>
          </cell>
          <cell r="C3311">
            <v>7</v>
          </cell>
          <cell r="D3311">
            <v>808.26</v>
          </cell>
          <cell r="E3311">
            <v>5657.82</v>
          </cell>
          <cell r="F3311" t="str">
            <v>P01</v>
          </cell>
          <cell r="G3311" t="str">
            <v>Slat Support  - Đỡ dạt giường</v>
          </cell>
          <cell r="H3311" t="str">
            <v>Wood US Poplar - Straight Edged, 1 COM - T38mm x W100mm Up x L1.8m Up</v>
          </cell>
          <cell r="I3311">
            <v>14</v>
          </cell>
        </row>
        <row r="3312">
          <cell r="A3312" t="str">
            <v>B552535/A</v>
          </cell>
          <cell r="B3312" t="str">
            <v>CZ641M08</v>
          </cell>
          <cell r="C3312">
            <v>7</v>
          </cell>
          <cell r="D3312">
            <v>808.26</v>
          </cell>
          <cell r="E3312">
            <v>5657.82</v>
          </cell>
          <cell r="F3312" t="str">
            <v>P02</v>
          </cell>
          <cell r="G3312" t="str">
            <v>slat buy - dạt mua từ nhà cung</v>
          </cell>
          <cell r="H3312" t="str">
            <v>Slat buy</v>
          </cell>
          <cell r="I3312">
            <v>91</v>
          </cell>
        </row>
        <row r="3313">
          <cell r="A3313" t="str">
            <v>B555626/A</v>
          </cell>
          <cell r="B3313" t="str">
            <v>CZ641M08</v>
          </cell>
          <cell r="C3313">
            <v>7</v>
          </cell>
          <cell r="D3313">
            <v>808.26</v>
          </cell>
          <cell r="E3313">
            <v>5657.82</v>
          </cell>
          <cell r="F3313" t="str">
            <v>A1-S01</v>
          </cell>
          <cell r="G3313" t="str">
            <v>Top rail - Đố nóc</v>
          </cell>
          <cell r="H3313" t="str">
            <v>Poplar 2 COM</v>
          </cell>
          <cell r="I3313">
            <v>7</v>
          </cell>
        </row>
        <row r="3314">
          <cell r="A3314" t="str">
            <v>B555626/A</v>
          </cell>
          <cell r="B3314" t="str">
            <v>CZ641M08</v>
          </cell>
          <cell r="C3314">
            <v>7</v>
          </cell>
          <cell r="D3314">
            <v>808.26</v>
          </cell>
          <cell r="E3314">
            <v>5657.82</v>
          </cell>
          <cell r="F3314" t="str">
            <v>A1-S02</v>
          </cell>
          <cell r="G3314" t="str">
            <v>the post - trụ</v>
          </cell>
          <cell r="H3314" t="str">
            <v>Poplar 2 COM</v>
          </cell>
          <cell r="I3314">
            <v>14</v>
          </cell>
        </row>
        <row r="3315">
          <cell r="A3315" t="str">
            <v>B555626/A</v>
          </cell>
          <cell r="B3315" t="str">
            <v>CZ641M08</v>
          </cell>
          <cell r="C3315">
            <v>7</v>
          </cell>
          <cell r="D3315">
            <v>808.26</v>
          </cell>
          <cell r="E3315">
            <v>5657.82</v>
          </cell>
          <cell r="F3315" t="str">
            <v>A1-S03</v>
          </cell>
          <cell r="G3315" t="str">
            <v>Head board panel  - Ván đầu giường</v>
          </cell>
          <cell r="H3315" t="str">
            <v>MDF Veneer</v>
          </cell>
          <cell r="I3315">
            <v>7</v>
          </cell>
        </row>
        <row r="3316">
          <cell r="A3316" t="str">
            <v>B555626/A</v>
          </cell>
          <cell r="B3316" t="str">
            <v>CZ641M08</v>
          </cell>
          <cell r="C3316">
            <v>7</v>
          </cell>
          <cell r="D3316">
            <v>808.26</v>
          </cell>
          <cell r="E3316">
            <v>5657.82</v>
          </cell>
          <cell r="F3316" t="str">
            <v>A1-S08</v>
          </cell>
          <cell r="G3316" t="str">
            <v>Cleat - Bọ gỗ</v>
          </cell>
          <cell r="H3316" t="str">
            <v>Poplar off cut</v>
          </cell>
          <cell r="I3316">
            <v>28</v>
          </cell>
        </row>
        <row r="3317">
          <cell r="A3317" t="str">
            <v>B555626/A</v>
          </cell>
          <cell r="B3317" t="str">
            <v>CZ641M08</v>
          </cell>
          <cell r="C3317">
            <v>7</v>
          </cell>
          <cell r="D3317">
            <v>808.26</v>
          </cell>
          <cell r="E3317">
            <v>5657.82</v>
          </cell>
          <cell r="F3317" t="str">
            <v>A1-S09</v>
          </cell>
          <cell r="G3317" t="str">
            <v>Bottom rail inside - Đố tiền đáy</v>
          </cell>
          <cell r="H3317" t="str">
            <v>Standard Wood - ALDER/ASPEN/LENGA/US POPLAR, 2 COM - T50 W120mm+ L2m+</v>
          </cell>
          <cell r="I3317">
            <v>7</v>
          </cell>
        </row>
        <row r="3318">
          <cell r="A3318" t="str">
            <v>B555626/A</v>
          </cell>
          <cell r="B3318" t="str">
            <v>CZ641M08</v>
          </cell>
          <cell r="C3318">
            <v>7</v>
          </cell>
          <cell r="D3318">
            <v>808.26</v>
          </cell>
          <cell r="E3318">
            <v>5657.82</v>
          </cell>
          <cell r="F3318" t="str">
            <v>A1-S10</v>
          </cell>
          <cell r="G3318" t="str">
            <v>Vertical rail 1 - Đố đứng 1</v>
          </cell>
          <cell r="H3318" t="str">
            <v>Standard Wood - ALDER/ASPEN/LENGA/US POPLAR, 2 COM - T25 W120mm+ L2m+</v>
          </cell>
          <cell r="I3318">
            <v>7</v>
          </cell>
        </row>
        <row r="3319">
          <cell r="A3319" t="str">
            <v>B555626/A</v>
          </cell>
          <cell r="B3319" t="str">
            <v>CZ641M08</v>
          </cell>
          <cell r="C3319">
            <v>7</v>
          </cell>
          <cell r="D3319">
            <v>808.26</v>
          </cell>
          <cell r="E3319">
            <v>5657.82</v>
          </cell>
          <cell r="F3319" t="str">
            <v>A2-S01</v>
          </cell>
          <cell r="G3319" t="str">
            <v>the post - trụ</v>
          </cell>
          <cell r="H3319" t="str">
            <v>Wood laminate</v>
          </cell>
          <cell r="I3319">
            <v>14</v>
          </cell>
        </row>
        <row r="3320">
          <cell r="A3320" t="str">
            <v>B555626/A</v>
          </cell>
          <cell r="B3320" t="str">
            <v>CZ641M08</v>
          </cell>
          <cell r="C3320">
            <v>7</v>
          </cell>
          <cell r="D3320">
            <v>808.26</v>
          </cell>
          <cell r="E3320">
            <v>5657.82</v>
          </cell>
          <cell r="F3320" t="str">
            <v>A2-S02</v>
          </cell>
          <cell r="G3320" t="str">
            <v>Side Frame - Khung hông</v>
          </cell>
          <cell r="H3320" t="str">
            <v>Pre-Assembly</v>
          </cell>
          <cell r="I3320">
            <v>7</v>
          </cell>
        </row>
        <row r="3321">
          <cell r="A3321" t="str">
            <v>B555626/A</v>
          </cell>
          <cell r="B3321" t="str">
            <v>CZ641M08</v>
          </cell>
          <cell r="C3321">
            <v>7</v>
          </cell>
          <cell r="D3321">
            <v>808.26</v>
          </cell>
          <cell r="E3321">
            <v>5657.82</v>
          </cell>
          <cell r="F3321" t="str">
            <v>A2-S02-1</v>
          </cell>
          <cell r="G3321" t="str">
            <v>Horizontal rail 1 - Đố ngang 1</v>
          </cell>
          <cell r="H3321" t="str">
            <v>Standard Wood - ALDER/ASPEN/LENGA/US POPLAR, 2 COM - T25 W120mm+ L2m+</v>
          </cell>
          <cell r="I3321">
            <v>14</v>
          </cell>
        </row>
        <row r="3322">
          <cell r="A3322" t="str">
            <v>B555626/A</v>
          </cell>
          <cell r="B3322" t="str">
            <v>CZ641M08</v>
          </cell>
          <cell r="C3322">
            <v>7</v>
          </cell>
          <cell r="D3322">
            <v>808.26</v>
          </cell>
          <cell r="E3322">
            <v>5657.82</v>
          </cell>
          <cell r="F3322" t="str">
            <v>A2-S02-2</v>
          </cell>
          <cell r="G3322" t="str">
            <v>Vertical rail 1 - Đố đứng 1</v>
          </cell>
          <cell r="H3322" t="str">
            <v>Wood laminate</v>
          </cell>
          <cell r="I3322">
            <v>14</v>
          </cell>
        </row>
        <row r="3323">
          <cell r="A3323" t="str">
            <v>B555626/A</v>
          </cell>
          <cell r="B3323" t="str">
            <v>CZ641M08</v>
          </cell>
          <cell r="C3323">
            <v>7</v>
          </cell>
          <cell r="D3323">
            <v>808.26</v>
          </cell>
          <cell r="E3323">
            <v>5657.82</v>
          </cell>
          <cell r="F3323" t="str">
            <v>A2-S02-3</v>
          </cell>
          <cell r="G3323" t="str">
            <v>Vertical rail 1 - Đố đứng 1</v>
          </cell>
          <cell r="H3323" t="str">
            <v>Standard Wood - ALDER/ASPEN/LENGA/US POPLAR, 2 COM - T50 W120mm+ L2m+</v>
          </cell>
          <cell r="I3323">
            <v>14</v>
          </cell>
        </row>
        <row r="3324">
          <cell r="A3324" t="str">
            <v>B555626/A</v>
          </cell>
          <cell r="B3324" t="str">
            <v>CZ641M08</v>
          </cell>
          <cell r="C3324">
            <v>7</v>
          </cell>
          <cell r="D3324">
            <v>808.26</v>
          </cell>
          <cell r="E3324">
            <v>5657.82</v>
          </cell>
          <cell r="F3324" t="str">
            <v>A2-S02-4</v>
          </cell>
          <cell r="G3324" t="str">
            <v>Front top rail  - Đố tiền nóc</v>
          </cell>
          <cell r="H3324" t="str">
            <v>MDF Veneer</v>
          </cell>
          <cell r="I3324">
            <v>14</v>
          </cell>
        </row>
        <row r="3325">
          <cell r="A3325" t="str">
            <v>B555626/A</v>
          </cell>
          <cell r="B3325" t="str">
            <v>CZ641M08</v>
          </cell>
          <cell r="C3325">
            <v>7</v>
          </cell>
          <cell r="D3325">
            <v>808.26</v>
          </cell>
          <cell r="E3325">
            <v>5657.82</v>
          </cell>
          <cell r="F3325" t="str">
            <v>A2-S03</v>
          </cell>
          <cell r="G3325" t="str">
            <v>Insert Wood - Gỗ chèn</v>
          </cell>
          <cell r="H3325" t="str">
            <v>Beech off cut</v>
          </cell>
          <cell r="I3325">
            <v>14</v>
          </cell>
        </row>
        <row r="3326">
          <cell r="A3326" t="str">
            <v>B555626/A</v>
          </cell>
          <cell r="B3326" t="str">
            <v>CZ641M08</v>
          </cell>
          <cell r="C3326">
            <v>7</v>
          </cell>
          <cell r="D3326">
            <v>808.26</v>
          </cell>
          <cell r="E3326">
            <v>5657.82</v>
          </cell>
          <cell r="F3326" t="str">
            <v>A3</v>
          </cell>
          <cell r="G3326" t="str">
            <v xml:space="preserve">Side rail  - Đố hông </v>
          </cell>
          <cell r="H3326" t="str">
            <v>Pre-Assembly</v>
          </cell>
          <cell r="I3326">
            <v>14</v>
          </cell>
        </row>
        <row r="3327">
          <cell r="A3327" t="str">
            <v>B555626/A</v>
          </cell>
          <cell r="B3327" t="str">
            <v>CZ641M08</v>
          </cell>
          <cell r="C3327">
            <v>7</v>
          </cell>
          <cell r="D3327">
            <v>808.26</v>
          </cell>
          <cell r="E3327">
            <v>5657.82</v>
          </cell>
          <cell r="F3327" t="str">
            <v>A3-S01</v>
          </cell>
          <cell r="G3327" t="str">
            <v xml:space="preserve">Side rail  - Đố hông </v>
          </cell>
          <cell r="H3327" t="str">
            <v>MDF - 18 x 1830 x 2440mm [CARB P2 Compliant]</v>
          </cell>
          <cell r="I3327">
            <v>28</v>
          </cell>
        </row>
        <row r="3328">
          <cell r="A3328" t="str">
            <v>B555626/A</v>
          </cell>
          <cell r="B3328" t="str">
            <v>CZ641M08</v>
          </cell>
          <cell r="C3328">
            <v>7</v>
          </cell>
          <cell r="D3328">
            <v>808.26</v>
          </cell>
          <cell r="E3328">
            <v>5657.82</v>
          </cell>
          <cell r="F3328" t="str">
            <v>A3-S02</v>
          </cell>
          <cell r="G3328" t="str">
            <v>Vertical rail 1 - Đố đứng 1</v>
          </cell>
          <cell r="H3328" t="str">
            <v>Plywood off cut</v>
          </cell>
          <cell r="I3328">
            <v>56</v>
          </cell>
        </row>
        <row r="3329">
          <cell r="A3329" t="str">
            <v>B555626/A</v>
          </cell>
          <cell r="B3329" t="str">
            <v>CZ641M08</v>
          </cell>
          <cell r="C3329">
            <v>7</v>
          </cell>
          <cell r="D3329">
            <v>808.26</v>
          </cell>
          <cell r="E3329">
            <v>5657.82</v>
          </cell>
          <cell r="F3329" t="str">
            <v>A3-S03</v>
          </cell>
          <cell r="G3329" t="str">
            <v>Side top rail - Đố hông trên</v>
          </cell>
          <cell r="H3329" t="str">
            <v>MDF Veneer</v>
          </cell>
          <cell r="I3329">
            <v>28</v>
          </cell>
        </row>
        <row r="3330">
          <cell r="A3330" t="str">
            <v>B555626/A</v>
          </cell>
          <cell r="B3330" t="str">
            <v>CZ641M08</v>
          </cell>
          <cell r="C3330">
            <v>7</v>
          </cell>
          <cell r="D3330">
            <v>808.26</v>
          </cell>
          <cell r="E3330">
            <v>5657.82</v>
          </cell>
          <cell r="F3330" t="str">
            <v>A3-S04</v>
          </cell>
          <cell r="G3330" t="str">
            <v>Vertical rail 1 - Đố đứng 1</v>
          </cell>
          <cell r="H3330" t="str">
            <v>MDF laminate</v>
          </cell>
          <cell r="I3330">
            <v>28</v>
          </cell>
        </row>
        <row r="3331">
          <cell r="A3331" t="str">
            <v>B555626/A</v>
          </cell>
          <cell r="B3331" t="str">
            <v>CZ641M08</v>
          </cell>
          <cell r="C3331">
            <v>7</v>
          </cell>
          <cell r="D3331">
            <v>808.26</v>
          </cell>
          <cell r="E3331">
            <v>5657.82</v>
          </cell>
          <cell r="F3331" t="str">
            <v>A3-S05</v>
          </cell>
          <cell r="G3331" t="str">
            <v>Slat Support  - Đỡ dạt giường</v>
          </cell>
          <cell r="H3331" t="str">
            <v>Wood US Poplar - Straight Edged, 1 COM - T32mm x W100mm Up x L1.8m Up</v>
          </cell>
          <cell r="I3331">
            <v>14</v>
          </cell>
        </row>
        <row r="3332">
          <cell r="A3332" t="str">
            <v>B555626/A</v>
          </cell>
          <cell r="B3332" t="str">
            <v>CZ641M08</v>
          </cell>
          <cell r="C3332">
            <v>7</v>
          </cell>
          <cell r="D3332">
            <v>808.26</v>
          </cell>
          <cell r="E3332">
            <v>5657.82</v>
          </cell>
          <cell r="F3332" t="str">
            <v>P01</v>
          </cell>
          <cell r="G3332" t="str">
            <v>Slat Support  - Đỡ dạt giường</v>
          </cell>
          <cell r="H3332" t="str">
            <v>Wood US Poplar - Straight Edged, 1 COM - T38mm x W100mm Up x L1.8m Up</v>
          </cell>
          <cell r="I3332">
            <v>14</v>
          </cell>
        </row>
        <row r="3333">
          <cell r="A3333" t="str">
            <v>B555626/A</v>
          </cell>
          <cell r="B3333" t="str">
            <v>CZ641M08</v>
          </cell>
          <cell r="C3333">
            <v>7</v>
          </cell>
          <cell r="D3333">
            <v>808.26</v>
          </cell>
          <cell r="E3333">
            <v>5657.82</v>
          </cell>
          <cell r="F3333" t="str">
            <v>P02</v>
          </cell>
          <cell r="G3333" t="str">
            <v>slat buy - dạt mua từ nhà cung</v>
          </cell>
          <cell r="H3333" t="str">
            <v>Slat buy</v>
          </cell>
          <cell r="I3333">
            <v>91</v>
          </cell>
        </row>
        <row r="3334">
          <cell r="A3334" t="str">
            <v>B552537/A</v>
          </cell>
          <cell r="B3334" t="str">
            <v>CZ641M09</v>
          </cell>
          <cell r="C3334">
            <v>3</v>
          </cell>
          <cell r="D3334">
            <v>808.26</v>
          </cell>
          <cell r="E3334">
            <v>2424.7799999999997</v>
          </cell>
          <cell r="F3334" t="str">
            <v>A1-S01</v>
          </cell>
          <cell r="G3334" t="str">
            <v>Top rail - Đố nóc</v>
          </cell>
          <cell r="H3334" t="str">
            <v>Poplar 2 COM</v>
          </cell>
          <cell r="I3334">
            <v>3</v>
          </cell>
        </row>
        <row r="3335">
          <cell r="A3335" t="str">
            <v>B552537/A</v>
          </cell>
          <cell r="B3335" t="str">
            <v>CZ641M09</v>
          </cell>
          <cell r="C3335">
            <v>3</v>
          </cell>
          <cell r="D3335">
            <v>808.26</v>
          </cell>
          <cell r="E3335">
            <v>2424.7799999999997</v>
          </cell>
          <cell r="F3335" t="str">
            <v>A1-S02</v>
          </cell>
          <cell r="G3335" t="str">
            <v>the post - trụ</v>
          </cell>
          <cell r="H3335" t="str">
            <v>Poplar 2 COM</v>
          </cell>
          <cell r="I3335">
            <v>6</v>
          </cell>
        </row>
        <row r="3336">
          <cell r="A3336" t="str">
            <v>B552537/A</v>
          </cell>
          <cell r="B3336" t="str">
            <v>CZ641M09</v>
          </cell>
          <cell r="C3336">
            <v>3</v>
          </cell>
          <cell r="D3336">
            <v>808.26</v>
          </cell>
          <cell r="E3336">
            <v>2424.7799999999997</v>
          </cell>
          <cell r="F3336" t="str">
            <v>A1-S03</v>
          </cell>
          <cell r="G3336" t="str">
            <v>Head board panel  - Ván đầu giường</v>
          </cell>
          <cell r="H3336" t="str">
            <v>MDF Veneer</v>
          </cell>
          <cell r="I3336">
            <v>3</v>
          </cell>
        </row>
        <row r="3337">
          <cell r="A3337" t="str">
            <v>B552537/A</v>
          </cell>
          <cell r="B3337" t="str">
            <v>CZ641M09</v>
          </cell>
          <cell r="C3337">
            <v>3</v>
          </cell>
          <cell r="D3337">
            <v>808.26</v>
          </cell>
          <cell r="E3337">
            <v>2424.7799999999997</v>
          </cell>
          <cell r="F3337" t="str">
            <v>A1-S08</v>
          </cell>
          <cell r="G3337" t="str">
            <v>Cleat - Bọ gỗ</v>
          </cell>
          <cell r="H3337" t="str">
            <v>Poplar off cut</v>
          </cell>
          <cell r="I3337">
            <v>12</v>
          </cell>
        </row>
        <row r="3338">
          <cell r="A3338" t="str">
            <v>B552537/A</v>
          </cell>
          <cell r="B3338" t="str">
            <v>CZ641M09</v>
          </cell>
          <cell r="C3338">
            <v>3</v>
          </cell>
          <cell r="D3338">
            <v>808.26</v>
          </cell>
          <cell r="E3338">
            <v>2424.7799999999997</v>
          </cell>
          <cell r="F3338" t="str">
            <v>A1-S09</v>
          </cell>
          <cell r="G3338" t="str">
            <v>Bottom rail inside - Đố tiền đáy</v>
          </cell>
          <cell r="H3338" t="str">
            <v>Standard Wood - ALDER/ASPEN/LENGA/US POPLAR, 2 COM - T50 W120mm+ L2m+</v>
          </cell>
          <cell r="I3338">
            <v>3</v>
          </cell>
        </row>
        <row r="3339">
          <cell r="A3339" t="str">
            <v>B552537/A</v>
          </cell>
          <cell r="B3339" t="str">
            <v>CZ641M09</v>
          </cell>
          <cell r="C3339">
            <v>3</v>
          </cell>
          <cell r="D3339">
            <v>808.26</v>
          </cell>
          <cell r="E3339">
            <v>2424.7799999999997</v>
          </cell>
          <cell r="F3339" t="str">
            <v>A1-S10</v>
          </cell>
          <cell r="G3339" t="str">
            <v>Vertical rail 1 - Đố đứng 1</v>
          </cell>
          <cell r="H3339" t="str">
            <v>Standard Wood - ALDER/ASPEN/LENGA/US POPLAR, 2 COM - T25 W120mm+ L2m+</v>
          </cell>
          <cell r="I3339">
            <v>3</v>
          </cell>
        </row>
        <row r="3340">
          <cell r="A3340" t="str">
            <v>B552537/A</v>
          </cell>
          <cell r="B3340" t="str">
            <v>CZ641M09</v>
          </cell>
          <cell r="C3340">
            <v>3</v>
          </cell>
          <cell r="D3340">
            <v>808.26</v>
          </cell>
          <cell r="E3340">
            <v>2424.7799999999997</v>
          </cell>
          <cell r="F3340" t="str">
            <v>A2-S01</v>
          </cell>
          <cell r="G3340" t="str">
            <v>the post - trụ</v>
          </cell>
          <cell r="H3340" t="str">
            <v>Wood laminate</v>
          </cell>
          <cell r="I3340">
            <v>6</v>
          </cell>
        </row>
        <row r="3341">
          <cell r="A3341" t="str">
            <v>B552537/A</v>
          </cell>
          <cell r="B3341" t="str">
            <v>CZ641M09</v>
          </cell>
          <cell r="C3341">
            <v>3</v>
          </cell>
          <cell r="D3341">
            <v>808.26</v>
          </cell>
          <cell r="E3341">
            <v>2424.7799999999997</v>
          </cell>
          <cell r="F3341" t="str">
            <v>A2-S02</v>
          </cell>
          <cell r="G3341" t="str">
            <v>Side Frame - Khung hông</v>
          </cell>
          <cell r="H3341" t="str">
            <v>Pre-Assembly</v>
          </cell>
          <cell r="I3341">
            <v>3</v>
          </cell>
        </row>
        <row r="3342">
          <cell r="A3342" t="str">
            <v>B552537/A</v>
          </cell>
          <cell r="B3342" t="str">
            <v>CZ641M09</v>
          </cell>
          <cell r="C3342">
            <v>3</v>
          </cell>
          <cell r="D3342">
            <v>808.26</v>
          </cell>
          <cell r="E3342">
            <v>2424.7799999999997</v>
          </cell>
          <cell r="F3342" t="str">
            <v>A2-S02-1</v>
          </cell>
          <cell r="G3342" t="str">
            <v>Horizontal rail 1 - Đố ngang 1</v>
          </cell>
          <cell r="H3342" t="str">
            <v>Standard Wood - ALDER/ASPEN/LENGA/US POPLAR, 2 COM - T25 W120mm+ L2m+</v>
          </cell>
          <cell r="I3342">
            <v>6</v>
          </cell>
        </row>
        <row r="3343">
          <cell r="A3343" t="str">
            <v>B552537/A</v>
          </cell>
          <cell r="B3343" t="str">
            <v>CZ641M09</v>
          </cell>
          <cell r="C3343">
            <v>3</v>
          </cell>
          <cell r="D3343">
            <v>808.26</v>
          </cell>
          <cell r="E3343">
            <v>2424.7799999999997</v>
          </cell>
          <cell r="F3343" t="str">
            <v>A2-S02-2</v>
          </cell>
          <cell r="G3343" t="str">
            <v>Vertical rail 1 - Đố đứng 1</v>
          </cell>
          <cell r="H3343" t="str">
            <v>Wood laminate</v>
          </cell>
          <cell r="I3343">
            <v>6</v>
          </cell>
        </row>
        <row r="3344">
          <cell r="A3344" t="str">
            <v>B552537/A</v>
          </cell>
          <cell r="B3344" t="str">
            <v>CZ641M09</v>
          </cell>
          <cell r="C3344">
            <v>3</v>
          </cell>
          <cell r="D3344">
            <v>808.26</v>
          </cell>
          <cell r="E3344">
            <v>2424.7799999999997</v>
          </cell>
          <cell r="F3344" t="str">
            <v>A2-S02-3</v>
          </cell>
          <cell r="G3344" t="str">
            <v>Vertical rail 1 - Đố đứng 1</v>
          </cell>
          <cell r="H3344" t="str">
            <v>Standard Wood - ALDER/ASPEN/LENGA/US POPLAR, 2 COM - T50 W120mm+ L2m+</v>
          </cell>
          <cell r="I3344">
            <v>6</v>
          </cell>
        </row>
        <row r="3345">
          <cell r="A3345" t="str">
            <v>B552537/A</v>
          </cell>
          <cell r="B3345" t="str">
            <v>CZ641M09</v>
          </cell>
          <cell r="C3345">
            <v>3</v>
          </cell>
          <cell r="D3345">
            <v>808.26</v>
          </cell>
          <cell r="E3345">
            <v>2424.7799999999997</v>
          </cell>
          <cell r="F3345" t="str">
            <v>A2-S02-4</v>
          </cell>
          <cell r="G3345" t="str">
            <v>Front top rail  - Đố tiền nóc</v>
          </cell>
          <cell r="H3345" t="str">
            <v>MDF Veneer</v>
          </cell>
          <cell r="I3345">
            <v>6</v>
          </cell>
        </row>
        <row r="3346">
          <cell r="A3346" t="str">
            <v>B552537/A</v>
          </cell>
          <cell r="B3346" t="str">
            <v>CZ641M09</v>
          </cell>
          <cell r="C3346">
            <v>3</v>
          </cell>
          <cell r="D3346">
            <v>808.26</v>
          </cell>
          <cell r="E3346">
            <v>2424.7799999999997</v>
          </cell>
          <cell r="F3346" t="str">
            <v>A2-S03</v>
          </cell>
          <cell r="G3346" t="str">
            <v>Insert Wood - Gỗ chèn</v>
          </cell>
          <cell r="H3346" t="str">
            <v>Beech off cut</v>
          </cell>
          <cell r="I3346">
            <v>6</v>
          </cell>
        </row>
        <row r="3347">
          <cell r="A3347" t="str">
            <v>B552537/A</v>
          </cell>
          <cell r="B3347" t="str">
            <v>CZ641M09</v>
          </cell>
          <cell r="C3347">
            <v>3</v>
          </cell>
          <cell r="D3347">
            <v>808.26</v>
          </cell>
          <cell r="E3347">
            <v>2424.7799999999997</v>
          </cell>
          <cell r="F3347" t="str">
            <v>A3</v>
          </cell>
          <cell r="G3347" t="str">
            <v xml:space="preserve">Side rail  - Đố hông </v>
          </cell>
          <cell r="H3347" t="str">
            <v>Pre-Assembly</v>
          </cell>
          <cell r="I3347">
            <v>6</v>
          </cell>
        </row>
        <row r="3348">
          <cell r="A3348" t="str">
            <v>B552537/A</v>
          </cell>
          <cell r="B3348" t="str">
            <v>CZ641M09</v>
          </cell>
          <cell r="C3348">
            <v>3</v>
          </cell>
          <cell r="D3348">
            <v>808.26</v>
          </cell>
          <cell r="E3348">
            <v>2424.7799999999997</v>
          </cell>
          <cell r="F3348" t="str">
            <v>A3-S01</v>
          </cell>
          <cell r="G3348" t="str">
            <v xml:space="preserve">Side rail  - Đố hông </v>
          </cell>
          <cell r="H3348" t="str">
            <v>MDF - 18 x 1830 x 2440mm [CARB P2 Compliant]</v>
          </cell>
          <cell r="I3348">
            <v>12</v>
          </cell>
        </row>
        <row r="3349">
          <cell r="A3349" t="str">
            <v>B552537/A</v>
          </cell>
          <cell r="B3349" t="str">
            <v>CZ641M09</v>
          </cell>
          <cell r="C3349">
            <v>3</v>
          </cell>
          <cell r="D3349">
            <v>808.26</v>
          </cell>
          <cell r="E3349">
            <v>2424.7799999999997</v>
          </cell>
          <cell r="F3349" t="str">
            <v>A3-S02</v>
          </cell>
          <cell r="G3349" t="str">
            <v>Vertical rail 1 - Đố đứng 1</v>
          </cell>
          <cell r="H3349" t="str">
            <v>Plywood off cut</v>
          </cell>
          <cell r="I3349">
            <v>24</v>
          </cell>
        </row>
        <row r="3350">
          <cell r="A3350" t="str">
            <v>B552537/A</v>
          </cell>
          <cell r="B3350" t="str">
            <v>CZ641M09</v>
          </cell>
          <cell r="C3350">
            <v>3</v>
          </cell>
          <cell r="D3350">
            <v>808.26</v>
          </cell>
          <cell r="E3350">
            <v>2424.7799999999997</v>
          </cell>
          <cell r="F3350" t="str">
            <v>A3-S03</v>
          </cell>
          <cell r="G3350" t="str">
            <v>Side top rail - Đố hông trên</v>
          </cell>
          <cell r="H3350" t="str">
            <v>MDF Veneer</v>
          </cell>
          <cell r="I3350">
            <v>12</v>
          </cell>
        </row>
        <row r="3351">
          <cell r="A3351" t="str">
            <v>B552537/A</v>
          </cell>
          <cell r="B3351" t="str">
            <v>CZ641M09</v>
          </cell>
          <cell r="C3351">
            <v>3</v>
          </cell>
          <cell r="D3351">
            <v>808.26</v>
          </cell>
          <cell r="E3351">
            <v>2424.7799999999997</v>
          </cell>
          <cell r="F3351" t="str">
            <v>A3-S04</v>
          </cell>
          <cell r="G3351" t="str">
            <v>Vertical rail 1 - Đố đứng 1</v>
          </cell>
          <cell r="H3351" t="str">
            <v>MDF laminate</v>
          </cell>
          <cell r="I3351">
            <v>12</v>
          </cell>
        </row>
        <row r="3352">
          <cell r="A3352" t="str">
            <v>B552537/A</v>
          </cell>
          <cell r="B3352" t="str">
            <v>CZ641M09</v>
          </cell>
          <cell r="C3352">
            <v>3</v>
          </cell>
          <cell r="D3352">
            <v>808.26</v>
          </cell>
          <cell r="E3352">
            <v>2424.7799999999997</v>
          </cell>
          <cell r="F3352" t="str">
            <v>A3-S05</v>
          </cell>
          <cell r="G3352" t="str">
            <v>Slat Support  - Đỡ dạt giường</v>
          </cell>
          <cell r="H3352" t="str">
            <v>Wood US Poplar - Straight Edged, 1 COM - T32mm x W100mm Up x L1.8m Up</v>
          </cell>
          <cell r="I3352">
            <v>6</v>
          </cell>
        </row>
        <row r="3353">
          <cell r="A3353" t="str">
            <v>B552537/A</v>
          </cell>
          <cell r="B3353" t="str">
            <v>CZ641M09</v>
          </cell>
          <cell r="C3353">
            <v>3</v>
          </cell>
          <cell r="D3353">
            <v>808.26</v>
          </cell>
          <cell r="E3353">
            <v>2424.7799999999997</v>
          </cell>
          <cell r="F3353" t="str">
            <v>P01</v>
          </cell>
          <cell r="G3353" t="str">
            <v>Slat Support  - Đỡ dạt giường</v>
          </cell>
          <cell r="H3353" t="str">
            <v>Wood US Poplar - Straight Edged, 1 COM - T38mm x W100mm Up x L1.8m Up</v>
          </cell>
          <cell r="I3353">
            <v>6</v>
          </cell>
        </row>
        <row r="3354">
          <cell r="A3354" t="str">
            <v>B552537/A</v>
          </cell>
          <cell r="B3354" t="str">
            <v>CZ641M09</v>
          </cell>
          <cell r="C3354">
            <v>3</v>
          </cell>
          <cell r="D3354">
            <v>808.26</v>
          </cell>
          <cell r="E3354">
            <v>2424.7799999999997</v>
          </cell>
          <cell r="F3354" t="str">
            <v>P02</v>
          </cell>
          <cell r="G3354" t="str">
            <v>slat buy - dạt mua từ nhà cung</v>
          </cell>
          <cell r="H3354" t="str">
            <v>Slat buy</v>
          </cell>
          <cell r="I3354">
            <v>39</v>
          </cell>
        </row>
        <row r="3355">
          <cell r="A3355" t="str">
            <v>B555623/A</v>
          </cell>
          <cell r="B3355" t="str">
            <v>CZ641M09</v>
          </cell>
          <cell r="C3355">
            <v>4</v>
          </cell>
          <cell r="D3355">
            <v>808.26</v>
          </cell>
          <cell r="E3355">
            <v>3233.04</v>
          </cell>
          <cell r="F3355" t="str">
            <v>A1-S01</v>
          </cell>
          <cell r="G3355" t="str">
            <v>Top rail - Đố nóc</v>
          </cell>
          <cell r="H3355" t="str">
            <v>Poplar 2 COM</v>
          </cell>
          <cell r="I3355">
            <v>4</v>
          </cell>
        </row>
        <row r="3356">
          <cell r="A3356" t="str">
            <v>B555623/A</v>
          </cell>
          <cell r="B3356" t="str">
            <v>CZ641M09</v>
          </cell>
          <cell r="C3356">
            <v>4</v>
          </cell>
          <cell r="D3356">
            <v>808.26</v>
          </cell>
          <cell r="E3356">
            <v>3233.04</v>
          </cell>
          <cell r="F3356" t="str">
            <v>A1-S02</v>
          </cell>
          <cell r="G3356" t="str">
            <v>the post - trụ</v>
          </cell>
          <cell r="H3356" t="str">
            <v>Poplar 2 COM</v>
          </cell>
          <cell r="I3356">
            <v>8</v>
          </cell>
        </row>
        <row r="3357">
          <cell r="A3357" t="str">
            <v>B555623/A</v>
          </cell>
          <cell r="B3357" t="str">
            <v>CZ641M09</v>
          </cell>
          <cell r="C3357">
            <v>4</v>
          </cell>
          <cell r="D3357">
            <v>808.26</v>
          </cell>
          <cell r="E3357">
            <v>3233.04</v>
          </cell>
          <cell r="F3357" t="str">
            <v>A1-S03</v>
          </cell>
          <cell r="G3357" t="str">
            <v>Head board panel  - Ván đầu giường</v>
          </cell>
          <cell r="H3357" t="str">
            <v>MDF Veneer</v>
          </cell>
          <cell r="I3357">
            <v>4</v>
          </cell>
        </row>
        <row r="3358">
          <cell r="A3358" t="str">
            <v>B555623/A</v>
          </cell>
          <cell r="B3358" t="str">
            <v>CZ641M09</v>
          </cell>
          <cell r="C3358">
            <v>4</v>
          </cell>
          <cell r="D3358">
            <v>808.26</v>
          </cell>
          <cell r="E3358">
            <v>3233.04</v>
          </cell>
          <cell r="F3358" t="str">
            <v>A1-S08</v>
          </cell>
          <cell r="G3358" t="str">
            <v>Cleat - Bọ gỗ</v>
          </cell>
          <cell r="H3358" t="str">
            <v>Poplar off cut</v>
          </cell>
          <cell r="I3358">
            <v>16</v>
          </cell>
        </row>
        <row r="3359">
          <cell r="A3359" t="str">
            <v>B555623/A</v>
          </cell>
          <cell r="B3359" t="str">
            <v>CZ641M09</v>
          </cell>
          <cell r="C3359">
            <v>4</v>
          </cell>
          <cell r="D3359">
            <v>808.26</v>
          </cell>
          <cell r="E3359">
            <v>3233.04</v>
          </cell>
          <cell r="F3359" t="str">
            <v>A1-S09</v>
          </cell>
          <cell r="G3359" t="str">
            <v>Bottom rail inside - Đố tiền đáy</v>
          </cell>
          <cell r="H3359" t="str">
            <v>Standard Wood - ALDER/ASPEN/LENGA/US POPLAR, 2 COM - T50 W120mm+ L2m+</v>
          </cell>
          <cell r="I3359">
            <v>4</v>
          </cell>
        </row>
        <row r="3360">
          <cell r="A3360" t="str">
            <v>B555623/A</v>
          </cell>
          <cell r="B3360" t="str">
            <v>CZ641M09</v>
          </cell>
          <cell r="C3360">
            <v>4</v>
          </cell>
          <cell r="D3360">
            <v>808.26</v>
          </cell>
          <cell r="E3360">
            <v>3233.04</v>
          </cell>
          <cell r="F3360" t="str">
            <v>A1-S10</v>
          </cell>
          <cell r="G3360" t="str">
            <v>Vertical rail 1 - Đố đứng 1</v>
          </cell>
          <cell r="H3360" t="str">
            <v>Standard Wood - ALDER/ASPEN/LENGA/US POPLAR, 2 COM - T25 W120mm+ L2m+</v>
          </cell>
          <cell r="I3360">
            <v>4</v>
          </cell>
        </row>
        <row r="3361">
          <cell r="A3361" t="str">
            <v>B555623/A</v>
          </cell>
          <cell r="B3361" t="str">
            <v>CZ641M09</v>
          </cell>
          <cell r="C3361">
            <v>4</v>
          </cell>
          <cell r="D3361">
            <v>808.26</v>
          </cell>
          <cell r="E3361">
            <v>3233.04</v>
          </cell>
          <cell r="F3361" t="str">
            <v>A2-S01</v>
          </cell>
          <cell r="G3361" t="str">
            <v>the post - trụ</v>
          </cell>
          <cell r="H3361" t="str">
            <v>Wood laminate</v>
          </cell>
          <cell r="I3361">
            <v>8</v>
          </cell>
        </row>
        <row r="3362">
          <cell r="A3362" t="str">
            <v>B555623/A</v>
          </cell>
          <cell r="B3362" t="str">
            <v>CZ641M09</v>
          </cell>
          <cell r="C3362">
            <v>4</v>
          </cell>
          <cell r="D3362">
            <v>808.26</v>
          </cell>
          <cell r="E3362">
            <v>3233.04</v>
          </cell>
          <cell r="F3362" t="str">
            <v>A2-S02</v>
          </cell>
          <cell r="G3362" t="str">
            <v>Side Frame - Khung hông</v>
          </cell>
          <cell r="H3362" t="str">
            <v>Pre-Assembly</v>
          </cell>
          <cell r="I3362">
            <v>4</v>
          </cell>
        </row>
        <row r="3363">
          <cell r="A3363" t="str">
            <v>B555623/A</v>
          </cell>
          <cell r="B3363" t="str">
            <v>CZ641M09</v>
          </cell>
          <cell r="C3363">
            <v>4</v>
          </cell>
          <cell r="D3363">
            <v>808.26</v>
          </cell>
          <cell r="E3363">
            <v>3233.04</v>
          </cell>
          <cell r="F3363" t="str">
            <v>A2-S02-1</v>
          </cell>
          <cell r="G3363" t="str">
            <v>Horizontal rail 1 - Đố ngang 1</v>
          </cell>
          <cell r="H3363" t="str">
            <v>Standard Wood - ALDER/ASPEN/LENGA/US POPLAR, 2 COM - T25 W120mm+ L2m+</v>
          </cell>
          <cell r="I3363">
            <v>8</v>
          </cell>
        </row>
        <row r="3364">
          <cell r="A3364" t="str">
            <v>B555623/A</v>
          </cell>
          <cell r="B3364" t="str">
            <v>CZ641M09</v>
          </cell>
          <cell r="C3364">
            <v>4</v>
          </cell>
          <cell r="D3364">
            <v>808.26</v>
          </cell>
          <cell r="E3364">
            <v>3233.04</v>
          </cell>
          <cell r="F3364" t="str">
            <v>A2-S02-2</v>
          </cell>
          <cell r="G3364" t="str">
            <v>Vertical rail 1 - Đố đứng 1</v>
          </cell>
          <cell r="H3364" t="str">
            <v>Wood laminate</v>
          </cell>
          <cell r="I3364">
            <v>8</v>
          </cell>
        </row>
        <row r="3365">
          <cell r="A3365" t="str">
            <v>B555623/A</v>
          </cell>
          <cell r="B3365" t="str">
            <v>CZ641M09</v>
          </cell>
          <cell r="C3365">
            <v>4</v>
          </cell>
          <cell r="D3365">
            <v>808.26</v>
          </cell>
          <cell r="E3365">
            <v>3233.04</v>
          </cell>
          <cell r="F3365" t="str">
            <v>A2-S02-3</v>
          </cell>
          <cell r="G3365" t="str">
            <v>Vertical rail 1 - Đố đứng 1</v>
          </cell>
          <cell r="H3365" t="str">
            <v>Standard Wood - ALDER/ASPEN/LENGA/US POPLAR, 2 COM - T50 W120mm+ L2m+</v>
          </cell>
          <cell r="I3365">
            <v>8</v>
          </cell>
        </row>
        <row r="3366">
          <cell r="A3366" t="str">
            <v>B555623/A</v>
          </cell>
          <cell r="B3366" t="str">
            <v>CZ641M09</v>
          </cell>
          <cell r="C3366">
            <v>4</v>
          </cell>
          <cell r="D3366">
            <v>808.26</v>
          </cell>
          <cell r="E3366">
            <v>3233.04</v>
          </cell>
          <cell r="F3366" t="str">
            <v>A2-S02-4</v>
          </cell>
          <cell r="G3366" t="str">
            <v>Front top rail  - Đố tiền nóc</v>
          </cell>
          <cell r="H3366" t="str">
            <v>MDF Veneer</v>
          </cell>
          <cell r="I3366">
            <v>8</v>
          </cell>
        </row>
        <row r="3367">
          <cell r="A3367" t="str">
            <v>B555623/A</v>
          </cell>
          <cell r="B3367" t="str">
            <v>CZ641M09</v>
          </cell>
          <cell r="C3367">
            <v>4</v>
          </cell>
          <cell r="D3367">
            <v>808.26</v>
          </cell>
          <cell r="E3367">
            <v>3233.04</v>
          </cell>
          <cell r="F3367" t="str">
            <v>A2-S03</v>
          </cell>
          <cell r="G3367" t="str">
            <v>Insert Wood - Gỗ chèn</v>
          </cell>
          <cell r="H3367" t="str">
            <v>Beech off cut</v>
          </cell>
          <cell r="I3367">
            <v>8</v>
          </cell>
        </row>
        <row r="3368">
          <cell r="A3368" t="str">
            <v>B555623/A</v>
          </cell>
          <cell r="B3368" t="str">
            <v>CZ641M09</v>
          </cell>
          <cell r="C3368">
            <v>4</v>
          </cell>
          <cell r="D3368">
            <v>808.26</v>
          </cell>
          <cell r="E3368">
            <v>3233.04</v>
          </cell>
          <cell r="F3368" t="str">
            <v>A3</v>
          </cell>
          <cell r="G3368" t="str">
            <v xml:space="preserve">Side rail  - Đố hông </v>
          </cell>
          <cell r="H3368" t="str">
            <v>Pre-Assembly</v>
          </cell>
          <cell r="I3368">
            <v>8</v>
          </cell>
        </row>
        <row r="3369">
          <cell r="A3369" t="str">
            <v>B555623/A</v>
          </cell>
          <cell r="B3369" t="str">
            <v>CZ641M09</v>
          </cell>
          <cell r="C3369">
            <v>4</v>
          </cell>
          <cell r="D3369">
            <v>808.26</v>
          </cell>
          <cell r="E3369">
            <v>3233.04</v>
          </cell>
          <cell r="F3369" t="str">
            <v>A3-S01</v>
          </cell>
          <cell r="G3369" t="str">
            <v xml:space="preserve">Side rail  - Đố hông </v>
          </cell>
          <cell r="H3369" t="str">
            <v>MDF - 18 x 1830 x 2440mm [CARB P2 Compliant]</v>
          </cell>
          <cell r="I3369">
            <v>16</v>
          </cell>
        </row>
        <row r="3370">
          <cell r="A3370" t="str">
            <v>B555623/A</v>
          </cell>
          <cell r="B3370" t="str">
            <v>CZ641M09</v>
          </cell>
          <cell r="C3370">
            <v>4</v>
          </cell>
          <cell r="D3370">
            <v>808.26</v>
          </cell>
          <cell r="E3370">
            <v>3233.04</v>
          </cell>
          <cell r="F3370" t="str">
            <v>A3-S02</v>
          </cell>
          <cell r="G3370" t="str">
            <v>Vertical rail 1 - Đố đứng 1</v>
          </cell>
          <cell r="H3370" t="str">
            <v>Plywood off cut</v>
          </cell>
          <cell r="I3370">
            <v>32</v>
          </cell>
        </row>
        <row r="3371">
          <cell r="A3371" t="str">
            <v>B555623/A</v>
          </cell>
          <cell r="B3371" t="str">
            <v>CZ641M09</v>
          </cell>
          <cell r="C3371">
            <v>4</v>
          </cell>
          <cell r="D3371">
            <v>808.26</v>
          </cell>
          <cell r="E3371">
            <v>3233.04</v>
          </cell>
          <cell r="F3371" t="str">
            <v>A3-S03</v>
          </cell>
          <cell r="G3371" t="str">
            <v>Side top rail - Đố hông trên</v>
          </cell>
          <cell r="H3371" t="str">
            <v>MDF Veneer</v>
          </cell>
          <cell r="I3371">
            <v>16</v>
          </cell>
        </row>
        <row r="3372">
          <cell r="A3372" t="str">
            <v>B555623/A</v>
          </cell>
          <cell r="B3372" t="str">
            <v>CZ641M09</v>
          </cell>
          <cell r="C3372">
            <v>4</v>
          </cell>
          <cell r="D3372">
            <v>808.26</v>
          </cell>
          <cell r="E3372">
            <v>3233.04</v>
          </cell>
          <cell r="F3372" t="str">
            <v>A3-S04</v>
          </cell>
          <cell r="G3372" t="str">
            <v>Vertical rail 1 - Đố đứng 1</v>
          </cell>
          <cell r="H3372" t="str">
            <v>MDF laminate</v>
          </cell>
          <cell r="I3372">
            <v>16</v>
          </cell>
        </row>
        <row r="3373">
          <cell r="A3373" t="str">
            <v>B555623/A</v>
          </cell>
          <cell r="B3373" t="str">
            <v>CZ641M09</v>
          </cell>
          <cell r="C3373">
            <v>4</v>
          </cell>
          <cell r="D3373">
            <v>808.26</v>
          </cell>
          <cell r="E3373">
            <v>3233.04</v>
          </cell>
          <cell r="F3373" t="str">
            <v>A3-S05</v>
          </cell>
          <cell r="G3373" t="str">
            <v>Slat Support  - Đỡ dạt giường</v>
          </cell>
          <cell r="H3373" t="str">
            <v>Wood US Poplar - Straight Edged, 1 COM - T32mm x W100mm Up x L1.8m Up</v>
          </cell>
          <cell r="I3373">
            <v>8</v>
          </cell>
        </row>
        <row r="3374">
          <cell r="A3374" t="str">
            <v>B555623/A</v>
          </cell>
          <cell r="B3374" t="str">
            <v>CZ641M09</v>
          </cell>
          <cell r="C3374">
            <v>4</v>
          </cell>
          <cell r="D3374">
            <v>808.26</v>
          </cell>
          <cell r="E3374">
            <v>3233.04</v>
          </cell>
          <cell r="F3374" t="str">
            <v>P01</v>
          </cell>
          <cell r="G3374" t="str">
            <v>Slat Support  - Đỡ dạt giường</v>
          </cell>
          <cell r="H3374" t="str">
            <v>Wood US Poplar - Straight Edged, 1 COM - T38mm x W100mm Up x L1.8m Up</v>
          </cell>
          <cell r="I3374">
            <v>8</v>
          </cell>
        </row>
        <row r="3375">
          <cell r="A3375" t="str">
            <v>B555623/A</v>
          </cell>
          <cell r="B3375" t="str">
            <v>CZ641M09</v>
          </cell>
          <cell r="C3375">
            <v>4</v>
          </cell>
          <cell r="D3375">
            <v>808.26</v>
          </cell>
          <cell r="E3375">
            <v>3233.04</v>
          </cell>
          <cell r="F3375" t="str">
            <v>P02</v>
          </cell>
          <cell r="G3375" t="str">
            <v>slat buy - dạt mua từ nhà cung</v>
          </cell>
          <cell r="H3375" t="str">
            <v>Slat buy</v>
          </cell>
          <cell r="I3375">
            <v>52</v>
          </cell>
        </row>
        <row r="3376">
          <cell r="A3376" t="str">
            <v>B557254/A</v>
          </cell>
          <cell r="B3376" t="str">
            <v>CZ641M191</v>
          </cell>
          <cell r="C3376">
            <v>11</v>
          </cell>
          <cell r="D3376">
            <v>808.26</v>
          </cell>
          <cell r="E3376">
            <v>8890.86</v>
          </cell>
          <cell r="F3376" t="str">
            <v>A1-S01</v>
          </cell>
          <cell r="G3376" t="str">
            <v>Top rail - Đố nóc</v>
          </cell>
          <cell r="H3376" t="str">
            <v>Poplar 2 COM</v>
          </cell>
          <cell r="I3376">
            <v>11</v>
          </cell>
        </row>
        <row r="3377">
          <cell r="A3377" t="str">
            <v>B557254/A</v>
          </cell>
          <cell r="B3377" t="str">
            <v>CZ641M191</v>
          </cell>
          <cell r="C3377">
            <v>11</v>
          </cell>
          <cell r="D3377">
            <v>808.26</v>
          </cell>
          <cell r="E3377">
            <v>8890.86</v>
          </cell>
          <cell r="F3377" t="str">
            <v>A1-S02</v>
          </cell>
          <cell r="G3377" t="str">
            <v>the post - trụ</v>
          </cell>
          <cell r="H3377" t="str">
            <v>Poplar 2 COM</v>
          </cell>
          <cell r="I3377">
            <v>22</v>
          </cell>
        </row>
        <row r="3378">
          <cell r="A3378" t="str">
            <v>B557254/A</v>
          </cell>
          <cell r="B3378" t="str">
            <v>CZ641M191</v>
          </cell>
          <cell r="C3378">
            <v>11</v>
          </cell>
          <cell r="D3378">
            <v>808.26</v>
          </cell>
          <cell r="E3378">
            <v>8890.86</v>
          </cell>
          <cell r="F3378" t="str">
            <v>A1-S03</v>
          </cell>
          <cell r="G3378" t="str">
            <v>Head board panel  - Ván đầu giường</v>
          </cell>
          <cell r="H3378" t="str">
            <v>MDF Veneer</v>
          </cell>
          <cell r="I3378">
            <v>11</v>
          </cell>
        </row>
        <row r="3379">
          <cell r="A3379" t="str">
            <v>B557254/A</v>
          </cell>
          <cell r="B3379" t="str">
            <v>CZ641M191</v>
          </cell>
          <cell r="C3379">
            <v>11</v>
          </cell>
          <cell r="D3379">
            <v>808.26</v>
          </cell>
          <cell r="E3379">
            <v>8890.86</v>
          </cell>
          <cell r="F3379" t="str">
            <v>A1-S08</v>
          </cell>
          <cell r="G3379" t="str">
            <v>Cleat - Bọ gỗ</v>
          </cell>
          <cell r="H3379" t="str">
            <v>Poplar off cut</v>
          </cell>
          <cell r="I3379">
            <v>44</v>
          </cell>
        </row>
        <row r="3380">
          <cell r="A3380" t="str">
            <v>B557254/A</v>
          </cell>
          <cell r="B3380" t="str">
            <v>CZ641M191</v>
          </cell>
          <cell r="C3380">
            <v>11</v>
          </cell>
          <cell r="D3380">
            <v>808.26</v>
          </cell>
          <cell r="E3380">
            <v>8890.86</v>
          </cell>
          <cell r="F3380" t="str">
            <v>A1-S09</v>
          </cell>
          <cell r="G3380" t="str">
            <v>Bottom rail inside - Đố tiền đáy</v>
          </cell>
          <cell r="H3380" t="str">
            <v>Standard Wood - ALDER/ASPEN/LENGA/US POPLAR, 2 COM - T50 W120mm+ L2m+</v>
          </cell>
          <cell r="I3380">
            <v>11</v>
          </cell>
        </row>
        <row r="3381">
          <cell r="A3381" t="str">
            <v>B557254/A</v>
          </cell>
          <cell r="B3381" t="str">
            <v>CZ641M191</v>
          </cell>
          <cell r="C3381">
            <v>11</v>
          </cell>
          <cell r="D3381">
            <v>808.26</v>
          </cell>
          <cell r="E3381">
            <v>8890.86</v>
          </cell>
          <cell r="F3381" t="str">
            <v>A1-S10</v>
          </cell>
          <cell r="G3381" t="str">
            <v>Vertical rail 1 - Đố đứng 1</v>
          </cell>
          <cell r="H3381" t="str">
            <v>Standard Wood - ALDER/ASPEN/LENGA/US POPLAR, 2 COM - T25 W120mm+ L2m+</v>
          </cell>
          <cell r="I3381">
            <v>11</v>
          </cell>
        </row>
        <row r="3382">
          <cell r="A3382" t="str">
            <v>B557254/A</v>
          </cell>
          <cell r="B3382" t="str">
            <v>CZ641M191</v>
          </cell>
          <cell r="C3382">
            <v>11</v>
          </cell>
          <cell r="D3382">
            <v>808.26</v>
          </cell>
          <cell r="E3382">
            <v>8890.86</v>
          </cell>
          <cell r="F3382" t="str">
            <v>A2-S01</v>
          </cell>
          <cell r="G3382" t="str">
            <v>the post - trụ</v>
          </cell>
          <cell r="H3382" t="str">
            <v>Wood laminate</v>
          </cell>
          <cell r="I3382">
            <v>22</v>
          </cell>
        </row>
        <row r="3383">
          <cell r="A3383" t="str">
            <v>B557254/A</v>
          </cell>
          <cell r="B3383" t="str">
            <v>CZ641M191</v>
          </cell>
          <cell r="C3383">
            <v>11</v>
          </cell>
          <cell r="D3383">
            <v>808.26</v>
          </cell>
          <cell r="E3383">
            <v>8890.86</v>
          </cell>
          <cell r="F3383" t="str">
            <v>A2-S02</v>
          </cell>
          <cell r="G3383" t="str">
            <v>Side Frame - Khung hông</v>
          </cell>
          <cell r="H3383" t="str">
            <v>Pre-Assembly</v>
          </cell>
          <cell r="I3383">
            <v>11</v>
          </cell>
        </row>
        <row r="3384">
          <cell r="A3384" t="str">
            <v>B557254/A</v>
          </cell>
          <cell r="B3384" t="str">
            <v>CZ641M191</v>
          </cell>
          <cell r="C3384">
            <v>11</v>
          </cell>
          <cell r="D3384">
            <v>808.26</v>
          </cell>
          <cell r="E3384">
            <v>8890.86</v>
          </cell>
          <cell r="F3384" t="str">
            <v>A2-S02-1</v>
          </cell>
          <cell r="G3384" t="str">
            <v>Horizontal rail 1 - Đố ngang 1</v>
          </cell>
          <cell r="H3384" t="str">
            <v>Standard Wood - ALDER/ASPEN/LENGA/US POPLAR, 2 COM - T25 W120mm+ L2m+</v>
          </cell>
          <cell r="I3384">
            <v>22</v>
          </cell>
        </row>
        <row r="3385">
          <cell r="A3385" t="str">
            <v>B557254/A</v>
          </cell>
          <cell r="B3385" t="str">
            <v>CZ641M191</v>
          </cell>
          <cell r="C3385">
            <v>11</v>
          </cell>
          <cell r="D3385">
            <v>808.26</v>
          </cell>
          <cell r="E3385">
            <v>8890.86</v>
          </cell>
          <cell r="F3385" t="str">
            <v>A2-S02-2</v>
          </cell>
          <cell r="G3385" t="str">
            <v>Vertical rail 1 - Đố đứng 1</v>
          </cell>
          <cell r="H3385" t="str">
            <v>Wood laminate</v>
          </cell>
          <cell r="I3385">
            <v>22</v>
          </cell>
        </row>
        <row r="3386">
          <cell r="A3386" t="str">
            <v>B557254/A</v>
          </cell>
          <cell r="B3386" t="str">
            <v>CZ641M191</v>
          </cell>
          <cell r="C3386">
            <v>11</v>
          </cell>
          <cell r="D3386">
            <v>808.26</v>
          </cell>
          <cell r="E3386">
            <v>8890.86</v>
          </cell>
          <cell r="F3386" t="str">
            <v>A2-S02-3</v>
          </cell>
          <cell r="G3386" t="str">
            <v>Vertical rail 1 - Đố đứng 1</v>
          </cell>
          <cell r="H3386" t="str">
            <v>Standard Wood - ALDER/ASPEN/LENGA/US POPLAR, 2 COM - T50 W120mm+ L2m+</v>
          </cell>
          <cell r="I3386">
            <v>22</v>
          </cell>
        </row>
        <row r="3387">
          <cell r="A3387" t="str">
            <v>B557254/A</v>
          </cell>
          <cell r="B3387" t="str">
            <v>CZ641M191</v>
          </cell>
          <cell r="C3387">
            <v>11</v>
          </cell>
          <cell r="D3387">
            <v>808.26</v>
          </cell>
          <cell r="E3387">
            <v>8890.86</v>
          </cell>
          <cell r="F3387" t="str">
            <v>A2-S02-4</v>
          </cell>
          <cell r="G3387" t="str">
            <v>Front top rail  - Đố tiền nóc</v>
          </cell>
          <cell r="H3387" t="str">
            <v>MDF Veneer</v>
          </cell>
          <cell r="I3387">
            <v>22</v>
          </cell>
        </row>
        <row r="3388">
          <cell r="A3388" t="str">
            <v>B557254/A</v>
          </cell>
          <cell r="B3388" t="str">
            <v>CZ641M191</v>
          </cell>
          <cell r="C3388">
            <v>11</v>
          </cell>
          <cell r="D3388">
            <v>808.26</v>
          </cell>
          <cell r="E3388">
            <v>8890.86</v>
          </cell>
          <cell r="F3388" t="str">
            <v>A2-S03</v>
          </cell>
          <cell r="G3388" t="str">
            <v>Insert Wood - Gỗ chèn</v>
          </cell>
          <cell r="H3388" t="str">
            <v>Beech off cut</v>
          </cell>
          <cell r="I3388">
            <v>22</v>
          </cell>
        </row>
        <row r="3389">
          <cell r="A3389" t="str">
            <v>B557254/A</v>
          </cell>
          <cell r="B3389" t="str">
            <v>CZ641M191</v>
          </cell>
          <cell r="C3389">
            <v>11</v>
          </cell>
          <cell r="D3389">
            <v>808.26</v>
          </cell>
          <cell r="E3389">
            <v>8890.86</v>
          </cell>
          <cell r="F3389" t="str">
            <v>A3</v>
          </cell>
          <cell r="G3389" t="str">
            <v xml:space="preserve">Side rail  - Đố hông </v>
          </cell>
          <cell r="H3389" t="str">
            <v>Pre-Assembly</v>
          </cell>
          <cell r="I3389">
            <v>22</v>
          </cell>
        </row>
        <row r="3390">
          <cell r="A3390" t="str">
            <v>B557254/A</v>
          </cell>
          <cell r="B3390" t="str">
            <v>CZ641M191</v>
          </cell>
          <cell r="C3390">
            <v>11</v>
          </cell>
          <cell r="D3390">
            <v>808.26</v>
          </cell>
          <cell r="E3390">
            <v>8890.86</v>
          </cell>
          <cell r="F3390" t="str">
            <v>A3-S01</v>
          </cell>
          <cell r="G3390" t="str">
            <v xml:space="preserve">Side rail  - Đố hông </v>
          </cell>
          <cell r="H3390" t="str">
            <v>MDF - 18 x 1830 x 2440mm [CARB P2 Compliant]</v>
          </cell>
          <cell r="I3390">
            <v>44</v>
          </cell>
        </row>
        <row r="3391">
          <cell r="A3391" t="str">
            <v>B557254/A</v>
          </cell>
          <cell r="B3391" t="str">
            <v>CZ641M191</v>
          </cell>
          <cell r="C3391">
            <v>11</v>
          </cell>
          <cell r="D3391">
            <v>808.26</v>
          </cell>
          <cell r="E3391">
            <v>8890.86</v>
          </cell>
          <cell r="F3391" t="str">
            <v>A3-S02</v>
          </cell>
          <cell r="G3391" t="str">
            <v>Vertical rail 1 - Đố đứng 1</v>
          </cell>
          <cell r="H3391" t="str">
            <v>Plywood off cut</v>
          </cell>
          <cell r="I3391">
            <v>88</v>
          </cell>
        </row>
        <row r="3392">
          <cell r="A3392" t="str">
            <v>B557254/A</v>
          </cell>
          <cell r="B3392" t="str">
            <v>CZ641M191</v>
          </cell>
          <cell r="C3392">
            <v>11</v>
          </cell>
          <cell r="D3392">
            <v>808.26</v>
          </cell>
          <cell r="E3392">
            <v>8890.86</v>
          </cell>
          <cell r="F3392" t="str">
            <v>A3-S03</v>
          </cell>
          <cell r="G3392" t="str">
            <v>Side top rail - Đố hông trên</v>
          </cell>
          <cell r="H3392" t="str">
            <v>MDF Veneer</v>
          </cell>
          <cell r="I3392">
            <v>44</v>
          </cell>
        </row>
        <row r="3393">
          <cell r="A3393" t="str">
            <v>B557254/A</v>
          </cell>
          <cell r="B3393" t="str">
            <v>CZ641M191</v>
          </cell>
          <cell r="C3393">
            <v>11</v>
          </cell>
          <cell r="D3393">
            <v>808.26</v>
          </cell>
          <cell r="E3393">
            <v>8890.86</v>
          </cell>
          <cell r="F3393" t="str">
            <v>A3-S04</v>
          </cell>
          <cell r="G3393" t="str">
            <v>Vertical rail 1 - Đố đứng 1</v>
          </cell>
          <cell r="H3393" t="str">
            <v>MDF laminate</v>
          </cell>
          <cell r="I3393">
            <v>44</v>
          </cell>
        </row>
        <row r="3394">
          <cell r="A3394" t="str">
            <v>B557254/A</v>
          </cell>
          <cell r="B3394" t="str">
            <v>CZ641M191</v>
          </cell>
          <cell r="C3394">
            <v>11</v>
          </cell>
          <cell r="D3394">
            <v>808.26</v>
          </cell>
          <cell r="E3394">
            <v>8890.86</v>
          </cell>
          <cell r="F3394" t="str">
            <v>A3-S05</v>
          </cell>
          <cell r="G3394" t="str">
            <v>Slat Support  - Đỡ dạt giường</v>
          </cell>
          <cell r="H3394" t="str">
            <v>Wood US Poplar - Straight Edged, 1 COM - T32mm x W100mm Up x L1.8m Up</v>
          </cell>
          <cell r="I3394">
            <v>22</v>
          </cell>
        </row>
        <row r="3395">
          <cell r="A3395" t="str">
            <v>B557254/A</v>
          </cell>
          <cell r="B3395" t="str">
            <v>CZ641M191</v>
          </cell>
          <cell r="C3395">
            <v>11</v>
          </cell>
          <cell r="D3395">
            <v>808.26</v>
          </cell>
          <cell r="E3395">
            <v>8890.86</v>
          </cell>
          <cell r="F3395" t="str">
            <v>P01</v>
          </cell>
          <cell r="G3395" t="str">
            <v>Slat Support  - Đỡ dạt giường</v>
          </cell>
          <cell r="H3395" t="str">
            <v>Wood US Poplar - Straight Edged, 1 COM - T38mm x W100mm Up x L1.8m Up</v>
          </cell>
          <cell r="I3395">
            <v>22</v>
          </cell>
        </row>
        <row r="3396">
          <cell r="A3396" t="str">
            <v>B557254/A</v>
          </cell>
          <cell r="B3396" t="str">
            <v>CZ641M191</v>
          </cell>
          <cell r="C3396">
            <v>11</v>
          </cell>
          <cell r="D3396">
            <v>808.26</v>
          </cell>
          <cell r="E3396">
            <v>8890.86</v>
          </cell>
          <cell r="F3396" t="str">
            <v>P02</v>
          </cell>
          <cell r="G3396" t="str">
            <v>slat buy - dạt mua từ nhà cung</v>
          </cell>
          <cell r="H3396" t="str">
            <v>Slat buy</v>
          </cell>
          <cell r="I3396">
            <v>143</v>
          </cell>
        </row>
        <row r="3397">
          <cell r="A3397" t="str">
            <v>B557990/A</v>
          </cell>
          <cell r="B3397" t="str">
            <v>CZ641M191</v>
          </cell>
          <cell r="C3397">
            <v>13</v>
          </cell>
          <cell r="D3397">
            <v>808.26</v>
          </cell>
          <cell r="E3397">
            <v>10507.38</v>
          </cell>
          <cell r="F3397" t="str">
            <v>A1-S01</v>
          </cell>
          <cell r="G3397" t="str">
            <v>Top rail - Đố nóc</v>
          </cell>
          <cell r="H3397" t="str">
            <v>Poplar 2 COM</v>
          </cell>
          <cell r="I3397">
            <v>13</v>
          </cell>
        </row>
        <row r="3398">
          <cell r="A3398" t="str">
            <v>B557990/A</v>
          </cell>
          <cell r="B3398" t="str">
            <v>CZ641M191</v>
          </cell>
          <cell r="C3398">
            <v>13</v>
          </cell>
          <cell r="D3398">
            <v>808.26</v>
          </cell>
          <cell r="E3398">
            <v>10507.38</v>
          </cell>
          <cell r="F3398" t="str">
            <v>A1-S02</v>
          </cell>
          <cell r="G3398" t="str">
            <v>the post - trụ</v>
          </cell>
          <cell r="H3398" t="str">
            <v>Poplar 2 COM</v>
          </cell>
          <cell r="I3398">
            <v>26</v>
          </cell>
        </row>
        <row r="3399">
          <cell r="A3399" t="str">
            <v>B557990/A</v>
          </cell>
          <cell r="B3399" t="str">
            <v>CZ641M191</v>
          </cell>
          <cell r="C3399">
            <v>13</v>
          </cell>
          <cell r="D3399">
            <v>808.26</v>
          </cell>
          <cell r="E3399">
            <v>10507.38</v>
          </cell>
          <cell r="F3399" t="str">
            <v>A1-S03</v>
          </cell>
          <cell r="G3399" t="str">
            <v>Head board panel  - Ván đầu giường</v>
          </cell>
          <cell r="H3399" t="str">
            <v>MDF Veneer</v>
          </cell>
          <cell r="I3399">
            <v>13</v>
          </cell>
        </row>
        <row r="3400">
          <cell r="A3400" t="str">
            <v>B557990/A</v>
          </cell>
          <cell r="B3400" t="str">
            <v>CZ641M191</v>
          </cell>
          <cell r="C3400">
            <v>13</v>
          </cell>
          <cell r="D3400">
            <v>808.26</v>
          </cell>
          <cell r="E3400">
            <v>10507.38</v>
          </cell>
          <cell r="F3400" t="str">
            <v>A1-S08</v>
          </cell>
          <cell r="G3400" t="str">
            <v>Cleat - Bọ gỗ</v>
          </cell>
          <cell r="H3400" t="str">
            <v>Poplar off cut</v>
          </cell>
          <cell r="I3400">
            <v>52</v>
          </cell>
        </row>
        <row r="3401">
          <cell r="A3401" t="str">
            <v>B557990/A</v>
          </cell>
          <cell r="B3401" t="str">
            <v>CZ641M191</v>
          </cell>
          <cell r="C3401">
            <v>13</v>
          </cell>
          <cell r="D3401">
            <v>808.26</v>
          </cell>
          <cell r="E3401">
            <v>10507.38</v>
          </cell>
          <cell r="F3401" t="str">
            <v>A1-S09</v>
          </cell>
          <cell r="G3401" t="str">
            <v>Bottom rail inside - Đố tiền đáy</v>
          </cell>
          <cell r="H3401" t="str">
            <v>Standard Wood - ALDER/ASPEN/LENGA/US POPLAR, 2 COM - T50 W120mm+ L2m+</v>
          </cell>
          <cell r="I3401">
            <v>13</v>
          </cell>
        </row>
        <row r="3402">
          <cell r="A3402" t="str">
            <v>B557990/A</v>
          </cell>
          <cell r="B3402" t="str">
            <v>CZ641M191</v>
          </cell>
          <cell r="C3402">
            <v>13</v>
          </cell>
          <cell r="D3402">
            <v>808.26</v>
          </cell>
          <cell r="E3402">
            <v>10507.38</v>
          </cell>
          <cell r="F3402" t="str">
            <v>A1-S10</v>
          </cell>
          <cell r="G3402" t="str">
            <v>Vertical rail 1 - Đố đứng 1</v>
          </cell>
          <cell r="H3402" t="str">
            <v>Standard Wood - ALDER/ASPEN/LENGA/US POPLAR, 2 COM - T25 W120mm+ L2m+</v>
          </cell>
          <cell r="I3402">
            <v>13</v>
          </cell>
        </row>
        <row r="3403">
          <cell r="A3403" t="str">
            <v>B557990/A</v>
          </cell>
          <cell r="B3403" t="str">
            <v>CZ641M191</v>
          </cell>
          <cell r="C3403">
            <v>13</v>
          </cell>
          <cell r="D3403">
            <v>808.26</v>
          </cell>
          <cell r="E3403">
            <v>10507.38</v>
          </cell>
          <cell r="F3403" t="str">
            <v>A2-S01</v>
          </cell>
          <cell r="G3403" t="str">
            <v>the post - trụ</v>
          </cell>
          <cell r="H3403" t="str">
            <v>Wood laminate</v>
          </cell>
          <cell r="I3403">
            <v>26</v>
          </cell>
        </row>
        <row r="3404">
          <cell r="A3404" t="str">
            <v>B557990/A</v>
          </cell>
          <cell r="B3404" t="str">
            <v>CZ641M191</v>
          </cell>
          <cell r="C3404">
            <v>13</v>
          </cell>
          <cell r="D3404">
            <v>808.26</v>
          </cell>
          <cell r="E3404">
            <v>10507.38</v>
          </cell>
          <cell r="F3404" t="str">
            <v>A2-S02</v>
          </cell>
          <cell r="G3404" t="str">
            <v>Side Frame - Khung hông</v>
          </cell>
          <cell r="H3404" t="str">
            <v>Pre-Assembly</v>
          </cell>
          <cell r="I3404">
            <v>13</v>
          </cell>
        </row>
        <row r="3405">
          <cell r="A3405" t="str">
            <v>B557990/A</v>
          </cell>
          <cell r="B3405" t="str">
            <v>CZ641M191</v>
          </cell>
          <cell r="C3405">
            <v>13</v>
          </cell>
          <cell r="D3405">
            <v>808.26</v>
          </cell>
          <cell r="E3405">
            <v>10507.38</v>
          </cell>
          <cell r="F3405" t="str">
            <v>A2-S02-1</v>
          </cell>
          <cell r="G3405" t="str">
            <v>Horizontal rail 1 - Đố ngang 1</v>
          </cell>
          <cell r="H3405" t="str">
            <v>Standard Wood - ALDER/ASPEN/LENGA/US POPLAR, 2 COM - T25 W120mm+ L2m+</v>
          </cell>
          <cell r="I3405">
            <v>26</v>
          </cell>
        </row>
        <row r="3406">
          <cell r="A3406" t="str">
            <v>B557990/A</v>
          </cell>
          <cell r="B3406" t="str">
            <v>CZ641M191</v>
          </cell>
          <cell r="C3406">
            <v>13</v>
          </cell>
          <cell r="D3406">
            <v>808.26</v>
          </cell>
          <cell r="E3406">
            <v>10507.38</v>
          </cell>
          <cell r="F3406" t="str">
            <v>A2-S02-2</v>
          </cell>
          <cell r="G3406" t="str">
            <v>Vertical rail 1 - Đố đứng 1</v>
          </cell>
          <cell r="H3406" t="str">
            <v>Wood laminate</v>
          </cell>
          <cell r="I3406">
            <v>26</v>
          </cell>
        </row>
        <row r="3407">
          <cell r="A3407" t="str">
            <v>B557990/A</v>
          </cell>
          <cell r="B3407" t="str">
            <v>CZ641M191</v>
          </cell>
          <cell r="C3407">
            <v>13</v>
          </cell>
          <cell r="D3407">
            <v>808.26</v>
          </cell>
          <cell r="E3407">
            <v>10507.38</v>
          </cell>
          <cell r="F3407" t="str">
            <v>A2-S02-3</v>
          </cell>
          <cell r="G3407" t="str">
            <v>Vertical rail 1 - Đố đứng 1</v>
          </cell>
          <cell r="H3407" t="str">
            <v>Standard Wood - ALDER/ASPEN/LENGA/US POPLAR, 2 COM - T50 W120mm+ L2m+</v>
          </cell>
          <cell r="I3407">
            <v>26</v>
          </cell>
        </row>
        <row r="3408">
          <cell r="A3408" t="str">
            <v>B557990/A</v>
          </cell>
          <cell r="B3408" t="str">
            <v>CZ641M191</v>
          </cell>
          <cell r="C3408">
            <v>13</v>
          </cell>
          <cell r="D3408">
            <v>808.26</v>
          </cell>
          <cell r="E3408">
            <v>10507.38</v>
          </cell>
          <cell r="F3408" t="str">
            <v>A2-S02-4</v>
          </cell>
          <cell r="G3408" t="str">
            <v>Front top rail  - Đố tiền nóc</v>
          </cell>
          <cell r="H3408" t="str">
            <v>MDF Veneer</v>
          </cell>
          <cell r="I3408">
            <v>26</v>
          </cell>
        </row>
        <row r="3409">
          <cell r="A3409" t="str">
            <v>B557990/A</v>
          </cell>
          <cell r="B3409" t="str">
            <v>CZ641M191</v>
          </cell>
          <cell r="C3409">
            <v>13</v>
          </cell>
          <cell r="D3409">
            <v>808.26</v>
          </cell>
          <cell r="E3409">
            <v>10507.38</v>
          </cell>
          <cell r="F3409" t="str">
            <v>A2-S03</v>
          </cell>
          <cell r="G3409" t="str">
            <v>Insert Wood - Gỗ chèn</v>
          </cell>
          <cell r="H3409" t="str">
            <v>Beech off cut</v>
          </cell>
          <cell r="I3409">
            <v>26</v>
          </cell>
        </row>
        <row r="3410">
          <cell r="A3410" t="str">
            <v>B557990/A</v>
          </cell>
          <cell r="B3410" t="str">
            <v>CZ641M191</v>
          </cell>
          <cell r="C3410">
            <v>13</v>
          </cell>
          <cell r="D3410">
            <v>808.26</v>
          </cell>
          <cell r="E3410">
            <v>10507.38</v>
          </cell>
          <cell r="F3410" t="str">
            <v>A3</v>
          </cell>
          <cell r="G3410" t="str">
            <v xml:space="preserve">Side rail  - Đố hông </v>
          </cell>
          <cell r="H3410" t="str">
            <v>Pre-Assembly</v>
          </cell>
          <cell r="I3410">
            <v>26</v>
          </cell>
        </row>
        <row r="3411">
          <cell r="A3411" t="str">
            <v>B557990/A</v>
          </cell>
          <cell r="B3411" t="str">
            <v>CZ641M191</v>
          </cell>
          <cell r="C3411">
            <v>13</v>
          </cell>
          <cell r="D3411">
            <v>808.26</v>
          </cell>
          <cell r="E3411">
            <v>10507.38</v>
          </cell>
          <cell r="F3411" t="str">
            <v>A3-S01</v>
          </cell>
          <cell r="G3411" t="str">
            <v xml:space="preserve">Side rail  - Đố hông </v>
          </cell>
          <cell r="H3411" t="str">
            <v>MDF - 18 x 1830 x 2440mm [CARB P2 Compliant]</v>
          </cell>
          <cell r="I3411">
            <v>52</v>
          </cell>
        </row>
        <row r="3412">
          <cell r="A3412" t="str">
            <v>B557990/A</v>
          </cell>
          <cell r="B3412" t="str">
            <v>CZ641M191</v>
          </cell>
          <cell r="C3412">
            <v>13</v>
          </cell>
          <cell r="D3412">
            <v>808.26</v>
          </cell>
          <cell r="E3412">
            <v>10507.38</v>
          </cell>
          <cell r="F3412" t="str">
            <v>A3-S02</v>
          </cell>
          <cell r="G3412" t="str">
            <v>Vertical rail 1 - Đố đứng 1</v>
          </cell>
          <cell r="H3412" t="str">
            <v>Plywood off cut</v>
          </cell>
          <cell r="I3412">
            <v>104</v>
          </cell>
        </row>
        <row r="3413">
          <cell r="A3413" t="str">
            <v>B557990/A</v>
          </cell>
          <cell r="B3413" t="str">
            <v>CZ641M191</v>
          </cell>
          <cell r="C3413">
            <v>13</v>
          </cell>
          <cell r="D3413">
            <v>808.26</v>
          </cell>
          <cell r="E3413">
            <v>10507.38</v>
          </cell>
          <cell r="F3413" t="str">
            <v>A3-S03</v>
          </cell>
          <cell r="G3413" t="str">
            <v>Side top rail - Đố hông trên</v>
          </cell>
          <cell r="H3413" t="str">
            <v>MDF Veneer</v>
          </cell>
          <cell r="I3413">
            <v>52</v>
          </cell>
        </row>
        <row r="3414">
          <cell r="A3414" t="str">
            <v>B557990/A</v>
          </cell>
          <cell r="B3414" t="str">
            <v>CZ641M191</v>
          </cell>
          <cell r="C3414">
            <v>13</v>
          </cell>
          <cell r="D3414">
            <v>808.26</v>
          </cell>
          <cell r="E3414">
            <v>10507.38</v>
          </cell>
          <cell r="F3414" t="str">
            <v>A3-S04</v>
          </cell>
          <cell r="G3414" t="str">
            <v>Vertical rail 1 - Đố đứng 1</v>
          </cell>
          <cell r="H3414" t="str">
            <v>MDF laminate</v>
          </cell>
          <cell r="I3414">
            <v>52</v>
          </cell>
        </row>
        <row r="3415">
          <cell r="A3415" t="str">
            <v>B557990/A</v>
          </cell>
          <cell r="B3415" t="str">
            <v>CZ641M191</v>
          </cell>
          <cell r="C3415">
            <v>13</v>
          </cell>
          <cell r="D3415">
            <v>808.26</v>
          </cell>
          <cell r="E3415">
            <v>10507.38</v>
          </cell>
          <cell r="F3415" t="str">
            <v>A3-S05</v>
          </cell>
          <cell r="G3415" t="str">
            <v>Slat Support  - Đỡ dạt giường</v>
          </cell>
          <cell r="H3415" t="str">
            <v>Wood US Poplar - Straight Edged, 1 COM - T32mm x W100mm Up x L1.8m Up</v>
          </cell>
          <cell r="I3415">
            <v>26</v>
          </cell>
        </row>
        <row r="3416">
          <cell r="A3416" t="str">
            <v>B557990/A</v>
          </cell>
          <cell r="B3416" t="str">
            <v>CZ641M191</v>
          </cell>
          <cell r="C3416">
            <v>13</v>
          </cell>
          <cell r="D3416">
            <v>808.26</v>
          </cell>
          <cell r="E3416">
            <v>10507.38</v>
          </cell>
          <cell r="F3416" t="str">
            <v>P01</v>
          </cell>
          <cell r="G3416" t="str">
            <v>Slat Support  - Đỡ dạt giường</v>
          </cell>
          <cell r="H3416" t="str">
            <v>Wood US Poplar - Straight Edged, 1 COM - T38mm x W100mm Up x L1.8m Up</v>
          </cell>
          <cell r="I3416">
            <v>26</v>
          </cell>
        </row>
        <row r="3417">
          <cell r="A3417" t="str">
            <v>B557990/A</v>
          </cell>
          <cell r="B3417" t="str">
            <v>CZ641M191</v>
          </cell>
          <cell r="C3417">
            <v>13</v>
          </cell>
          <cell r="D3417">
            <v>808.26</v>
          </cell>
          <cell r="E3417">
            <v>10507.38</v>
          </cell>
          <cell r="F3417" t="str">
            <v>P02</v>
          </cell>
          <cell r="G3417" t="str">
            <v>slat buy - dạt mua từ nhà cung</v>
          </cell>
          <cell r="H3417" t="str">
            <v>Slat buy</v>
          </cell>
          <cell r="I3417">
            <v>169</v>
          </cell>
        </row>
        <row r="3418">
          <cell r="A3418" t="str">
            <v>B557256/A</v>
          </cell>
          <cell r="B3418" t="str">
            <v>CZ642M09</v>
          </cell>
          <cell r="C3418">
            <v>17</v>
          </cell>
          <cell r="D3418">
            <v>808.26</v>
          </cell>
          <cell r="E3418">
            <v>13740.42</v>
          </cell>
          <cell r="F3418" t="str">
            <v>A1-S01</v>
          </cell>
          <cell r="G3418" t="str">
            <v>Top rail - Đố nóc</v>
          </cell>
          <cell r="H3418" t="str">
            <v>Poplar 2 COM</v>
          </cell>
          <cell r="I3418">
            <v>17</v>
          </cell>
        </row>
        <row r="3419">
          <cell r="A3419" t="str">
            <v>B557256/A</v>
          </cell>
          <cell r="B3419" t="str">
            <v>CZ642M09</v>
          </cell>
          <cell r="C3419">
            <v>17</v>
          </cell>
          <cell r="D3419">
            <v>808.26</v>
          </cell>
          <cell r="E3419">
            <v>13740.42</v>
          </cell>
          <cell r="F3419" t="str">
            <v>A1-S02</v>
          </cell>
          <cell r="G3419" t="str">
            <v>the post - trụ</v>
          </cell>
          <cell r="H3419" t="str">
            <v>Poplar 2 COM</v>
          </cell>
          <cell r="I3419">
            <v>34</v>
          </cell>
        </row>
        <row r="3420">
          <cell r="A3420" t="str">
            <v>B557256/A</v>
          </cell>
          <cell r="B3420" t="str">
            <v>CZ642M09</v>
          </cell>
          <cell r="C3420">
            <v>17</v>
          </cell>
          <cell r="D3420">
            <v>808.26</v>
          </cell>
          <cell r="E3420">
            <v>13740.42</v>
          </cell>
          <cell r="F3420" t="str">
            <v>A1-S03</v>
          </cell>
          <cell r="G3420" t="str">
            <v>Head board panel  - Ván đầu giường</v>
          </cell>
          <cell r="H3420" t="str">
            <v>MDF Veneer</v>
          </cell>
          <cell r="I3420">
            <v>17</v>
          </cell>
        </row>
        <row r="3421">
          <cell r="A3421" t="str">
            <v>B557256/A</v>
          </cell>
          <cell r="B3421" t="str">
            <v>CZ642M09</v>
          </cell>
          <cell r="C3421">
            <v>17</v>
          </cell>
          <cell r="D3421">
            <v>808.26</v>
          </cell>
          <cell r="E3421">
            <v>13740.42</v>
          </cell>
          <cell r="F3421" t="str">
            <v>A1-S03-1</v>
          </cell>
          <cell r="G3421" t="str">
            <v>Insert Wood - Gỗ chèn</v>
          </cell>
          <cell r="H3421" t="str">
            <v>Beech off cut</v>
          </cell>
          <cell r="I3421">
            <v>34</v>
          </cell>
        </row>
        <row r="3422">
          <cell r="A3422" t="str">
            <v>B557256/A</v>
          </cell>
          <cell r="B3422" t="str">
            <v>CZ642M09</v>
          </cell>
          <cell r="C3422">
            <v>17</v>
          </cell>
          <cell r="D3422">
            <v>808.26</v>
          </cell>
          <cell r="E3422">
            <v>13740.42</v>
          </cell>
          <cell r="F3422" t="str">
            <v>A1-S08</v>
          </cell>
          <cell r="G3422" t="str">
            <v xml:space="preserve">Panel - Ván </v>
          </cell>
          <cell r="H3422" t="str">
            <v>MDF Veneer</v>
          </cell>
          <cell r="I3422">
            <v>34</v>
          </cell>
        </row>
        <row r="3423">
          <cell r="A3423" t="str">
            <v>B557256/A</v>
          </cell>
          <cell r="B3423" t="str">
            <v>CZ642M09</v>
          </cell>
          <cell r="C3423">
            <v>17</v>
          </cell>
          <cell r="D3423">
            <v>808.26</v>
          </cell>
          <cell r="E3423">
            <v>13740.42</v>
          </cell>
          <cell r="F3423" t="str">
            <v>A1-S09</v>
          </cell>
          <cell r="G3423" t="str">
            <v>Bottom rail inside - Đố tiền đáy</v>
          </cell>
          <cell r="H3423" t="str">
            <v>Standard Wood - ALDER/ASPEN/LENGA/US POPLAR, 2 COM - T50 W120mm+ L2m+</v>
          </cell>
          <cell r="I3423">
            <v>17</v>
          </cell>
        </row>
        <row r="3424">
          <cell r="A3424" t="str">
            <v>B557256/A</v>
          </cell>
          <cell r="B3424" t="str">
            <v>CZ642M09</v>
          </cell>
          <cell r="C3424">
            <v>17</v>
          </cell>
          <cell r="D3424">
            <v>808.26</v>
          </cell>
          <cell r="E3424">
            <v>13740.42</v>
          </cell>
          <cell r="F3424" t="str">
            <v>A1-S10</v>
          </cell>
          <cell r="G3424" t="str">
            <v xml:space="preserve">Vertical panel  - ván đứng </v>
          </cell>
          <cell r="H3424" t="str">
            <v>Standard Wood - ALDER/ASPEN/LENGA/US POPLAR, 2 COM - T25 W120mm+ L2m+</v>
          </cell>
          <cell r="I3424">
            <v>17</v>
          </cell>
        </row>
        <row r="3425">
          <cell r="A3425" t="str">
            <v>B557256/A</v>
          </cell>
          <cell r="B3425" t="str">
            <v>CZ642M09</v>
          </cell>
          <cell r="C3425">
            <v>17</v>
          </cell>
          <cell r="D3425">
            <v>808.26</v>
          </cell>
          <cell r="E3425">
            <v>13740.42</v>
          </cell>
          <cell r="F3425" t="str">
            <v>A2-S01</v>
          </cell>
          <cell r="G3425" t="str">
            <v>the post - trụ</v>
          </cell>
          <cell r="H3425" t="str">
            <v>Wood laminate</v>
          </cell>
          <cell r="I3425">
            <v>34</v>
          </cell>
        </row>
        <row r="3426">
          <cell r="A3426" t="str">
            <v>B557256/A</v>
          </cell>
          <cell r="B3426" t="str">
            <v>CZ642M09</v>
          </cell>
          <cell r="C3426">
            <v>17</v>
          </cell>
          <cell r="D3426">
            <v>808.26</v>
          </cell>
          <cell r="E3426">
            <v>13740.42</v>
          </cell>
          <cell r="F3426" t="str">
            <v>A2-S02</v>
          </cell>
          <cell r="G3426" t="str">
            <v>Side Frame - Khung hông</v>
          </cell>
          <cell r="H3426" t="str">
            <v>Pre-Assembly</v>
          </cell>
          <cell r="I3426">
            <v>17</v>
          </cell>
        </row>
        <row r="3427">
          <cell r="A3427" t="str">
            <v>B557256/A</v>
          </cell>
          <cell r="B3427" t="str">
            <v>CZ642M09</v>
          </cell>
          <cell r="C3427">
            <v>17</v>
          </cell>
          <cell r="D3427">
            <v>808.26</v>
          </cell>
          <cell r="E3427">
            <v>13740.42</v>
          </cell>
          <cell r="F3427" t="str">
            <v>A2-S02-1</v>
          </cell>
          <cell r="G3427" t="str">
            <v>Horizontal rail 1 - Đố ngang 1</v>
          </cell>
          <cell r="H3427" t="str">
            <v>Standard Wood - ALDER/ASPEN/LENGA/US POPLAR, 2 COM - T25 W120mm+ L2m+</v>
          </cell>
          <cell r="I3427">
            <v>34</v>
          </cell>
        </row>
        <row r="3428">
          <cell r="A3428" t="str">
            <v>B557256/A</v>
          </cell>
          <cell r="B3428" t="str">
            <v>CZ642M09</v>
          </cell>
          <cell r="C3428">
            <v>17</v>
          </cell>
          <cell r="D3428">
            <v>808.26</v>
          </cell>
          <cell r="E3428">
            <v>13740.42</v>
          </cell>
          <cell r="F3428" t="str">
            <v>A2-S02-2</v>
          </cell>
          <cell r="G3428" t="str">
            <v>Vertical rail 1 - Đố đứng 1</v>
          </cell>
          <cell r="H3428" t="str">
            <v>Wood laminate</v>
          </cell>
          <cell r="I3428">
            <v>34</v>
          </cell>
        </row>
        <row r="3429">
          <cell r="A3429" t="str">
            <v>B557256/A</v>
          </cell>
          <cell r="B3429" t="str">
            <v>CZ642M09</v>
          </cell>
          <cell r="C3429">
            <v>17</v>
          </cell>
          <cell r="D3429">
            <v>808.26</v>
          </cell>
          <cell r="E3429">
            <v>13740.42</v>
          </cell>
          <cell r="F3429" t="str">
            <v>A2-S02-3</v>
          </cell>
          <cell r="G3429" t="str">
            <v>Vertical rail 1 - Đố đứng 1</v>
          </cell>
          <cell r="H3429" t="str">
            <v>Standard Wood - ALDER/ASPEN/LENGA/US POPLAR, 2 COM - T38 W120mm+ L2m+</v>
          </cell>
          <cell r="I3429">
            <v>34</v>
          </cell>
        </row>
        <row r="3430">
          <cell r="A3430" t="str">
            <v>B557256/A</v>
          </cell>
          <cell r="B3430" t="str">
            <v>CZ642M09</v>
          </cell>
          <cell r="C3430">
            <v>17</v>
          </cell>
          <cell r="D3430">
            <v>808.26</v>
          </cell>
          <cell r="E3430">
            <v>13740.42</v>
          </cell>
          <cell r="F3430" t="str">
            <v>A2-S02-4</v>
          </cell>
          <cell r="G3430" t="str">
            <v>Back panel - Ván hậu</v>
          </cell>
          <cell r="H3430" t="str">
            <v>MDF Veneer</v>
          </cell>
          <cell r="I3430">
            <v>34</v>
          </cell>
        </row>
        <row r="3431">
          <cell r="A3431" t="str">
            <v>B557256/A</v>
          </cell>
          <cell r="B3431" t="str">
            <v>CZ642M09</v>
          </cell>
          <cell r="C3431">
            <v>17</v>
          </cell>
          <cell r="D3431">
            <v>808.26</v>
          </cell>
          <cell r="E3431">
            <v>13740.42</v>
          </cell>
          <cell r="F3431" t="str">
            <v>A2-S03</v>
          </cell>
          <cell r="G3431" t="str">
            <v>Spline - Lưỡi gà</v>
          </cell>
          <cell r="H3431" t="str">
            <v>Beech off cut</v>
          </cell>
          <cell r="I3431">
            <v>34</v>
          </cell>
        </row>
        <row r="3432">
          <cell r="A3432" t="str">
            <v>B557256/A</v>
          </cell>
          <cell r="B3432" t="str">
            <v>CZ642M09</v>
          </cell>
          <cell r="C3432">
            <v>17</v>
          </cell>
          <cell r="D3432">
            <v>808.26</v>
          </cell>
          <cell r="E3432">
            <v>13740.42</v>
          </cell>
          <cell r="F3432" t="str">
            <v>A3</v>
          </cell>
          <cell r="G3432" t="str">
            <v xml:space="preserve">Side rail  - Đố hông </v>
          </cell>
          <cell r="H3432" t="str">
            <v>Pre-Assembly</v>
          </cell>
          <cell r="I3432">
            <v>34</v>
          </cell>
        </row>
        <row r="3433">
          <cell r="A3433" t="str">
            <v>B557256/A</v>
          </cell>
          <cell r="B3433" t="str">
            <v>CZ642M09</v>
          </cell>
          <cell r="C3433">
            <v>17</v>
          </cell>
          <cell r="D3433">
            <v>808.26</v>
          </cell>
          <cell r="E3433">
            <v>13740.42</v>
          </cell>
          <cell r="F3433" t="str">
            <v>A3-S01</v>
          </cell>
          <cell r="G3433" t="str">
            <v xml:space="preserve">Side rail  - Đố hông </v>
          </cell>
          <cell r="H3433" t="str">
            <v>MDF - 18 x 1830 x 2440mm [CARB P2 Compliant]</v>
          </cell>
          <cell r="I3433">
            <v>68</v>
          </cell>
        </row>
        <row r="3434">
          <cell r="A3434" t="str">
            <v>B557256/A</v>
          </cell>
          <cell r="B3434" t="str">
            <v>CZ642M09</v>
          </cell>
          <cell r="C3434">
            <v>17</v>
          </cell>
          <cell r="D3434">
            <v>808.26</v>
          </cell>
          <cell r="E3434">
            <v>13740.42</v>
          </cell>
          <cell r="F3434" t="str">
            <v>A3-S02</v>
          </cell>
          <cell r="G3434" t="str">
            <v>Vertical rail 1 - Đố đứng 1</v>
          </cell>
          <cell r="H3434" t="str">
            <v>Plywood off cut</v>
          </cell>
          <cell r="I3434">
            <v>136</v>
          </cell>
        </row>
        <row r="3435">
          <cell r="A3435" t="str">
            <v>B557256/A</v>
          </cell>
          <cell r="B3435" t="str">
            <v>CZ642M09</v>
          </cell>
          <cell r="C3435">
            <v>17</v>
          </cell>
          <cell r="D3435">
            <v>808.26</v>
          </cell>
          <cell r="E3435">
            <v>13740.42</v>
          </cell>
          <cell r="F3435" t="str">
            <v>A3-S03</v>
          </cell>
          <cell r="G3435" t="str">
            <v>Side top rail - Đố hông trên</v>
          </cell>
          <cell r="H3435" t="str">
            <v>MDF Veneer</v>
          </cell>
          <cell r="I3435">
            <v>68</v>
          </cell>
        </row>
        <row r="3436">
          <cell r="A3436" t="str">
            <v>B557256/A</v>
          </cell>
          <cell r="B3436" t="str">
            <v>CZ642M09</v>
          </cell>
          <cell r="C3436">
            <v>17</v>
          </cell>
          <cell r="D3436">
            <v>808.26</v>
          </cell>
          <cell r="E3436">
            <v>13740.42</v>
          </cell>
          <cell r="F3436" t="str">
            <v>A3-S04</v>
          </cell>
          <cell r="G3436" t="str">
            <v>Vertical rail 1 - Đố đứng 1</v>
          </cell>
          <cell r="H3436" t="str">
            <v>MDF laminate</v>
          </cell>
          <cell r="I3436">
            <v>68</v>
          </cell>
        </row>
        <row r="3437">
          <cell r="A3437" t="str">
            <v>B557256/A</v>
          </cell>
          <cell r="B3437" t="str">
            <v>CZ642M09</v>
          </cell>
          <cell r="C3437">
            <v>17</v>
          </cell>
          <cell r="D3437">
            <v>808.26</v>
          </cell>
          <cell r="E3437">
            <v>13740.42</v>
          </cell>
          <cell r="F3437" t="str">
            <v>A3-S05</v>
          </cell>
          <cell r="G3437" t="str">
            <v>Slat Support  - Đỡ dạt giường</v>
          </cell>
          <cell r="H3437" t="str">
            <v>Wood US Poplar - Straight Edged, 1 COM - T32mm x W100mm Up x L1.8m Up</v>
          </cell>
          <cell r="I3437">
            <v>34</v>
          </cell>
        </row>
        <row r="3438">
          <cell r="A3438" t="str">
            <v>B557256/A</v>
          </cell>
          <cell r="B3438" t="str">
            <v>CZ642M09</v>
          </cell>
          <cell r="C3438">
            <v>17</v>
          </cell>
          <cell r="D3438">
            <v>808.26</v>
          </cell>
          <cell r="E3438">
            <v>13740.42</v>
          </cell>
          <cell r="F3438" t="str">
            <v>P01</v>
          </cell>
          <cell r="G3438" t="str">
            <v>Slat Support  - Đỡ dạt giường</v>
          </cell>
          <cell r="H3438" t="str">
            <v>Wood US Poplar - Straight Edged, 1 COM - T50mm x W100mm Up x L1.8m Up</v>
          </cell>
          <cell r="I3438">
            <v>34</v>
          </cell>
        </row>
        <row r="3439">
          <cell r="A3439" t="str">
            <v>B557256/A</v>
          </cell>
          <cell r="B3439" t="str">
            <v>CZ642M09</v>
          </cell>
          <cell r="C3439">
            <v>17</v>
          </cell>
          <cell r="D3439">
            <v>808.26</v>
          </cell>
          <cell r="E3439">
            <v>13740.42</v>
          </cell>
          <cell r="F3439" t="str">
            <v>P02</v>
          </cell>
          <cell r="G3439" t="str">
            <v>slat buy - dạt mua từ nhà cung</v>
          </cell>
          <cell r="H3439" t="str">
            <v>Slat buy</v>
          </cell>
          <cell r="I3439">
            <v>221</v>
          </cell>
        </row>
        <row r="3440">
          <cell r="A3440" t="str">
            <v>B557992/A</v>
          </cell>
          <cell r="B3440" t="str">
            <v>CZ642M191</v>
          </cell>
          <cell r="C3440">
            <v>3</v>
          </cell>
          <cell r="D3440">
            <v>808.26</v>
          </cell>
          <cell r="E3440">
            <v>2424.7799999999997</v>
          </cell>
          <cell r="F3440" t="str">
            <v>A1-S01</v>
          </cell>
          <cell r="G3440" t="str">
            <v>Top rail - Đố nóc</v>
          </cell>
          <cell r="H3440" t="str">
            <v>Poplar 2 COM</v>
          </cell>
          <cell r="I3440">
            <v>3</v>
          </cell>
        </row>
        <row r="3441">
          <cell r="A3441" t="str">
            <v>B557992/A</v>
          </cell>
          <cell r="B3441" t="str">
            <v>CZ642M191</v>
          </cell>
          <cell r="C3441">
            <v>3</v>
          </cell>
          <cell r="D3441">
            <v>808.26</v>
          </cell>
          <cell r="E3441">
            <v>2424.7799999999997</v>
          </cell>
          <cell r="F3441" t="str">
            <v>A1-S02</v>
          </cell>
          <cell r="G3441" t="str">
            <v>the post - trụ</v>
          </cell>
          <cell r="H3441" t="str">
            <v>Poplar 2 COM</v>
          </cell>
          <cell r="I3441">
            <v>6</v>
          </cell>
        </row>
        <row r="3442">
          <cell r="A3442" t="str">
            <v>B557992/A</v>
          </cell>
          <cell r="B3442" t="str">
            <v>CZ642M191</v>
          </cell>
          <cell r="C3442">
            <v>3</v>
          </cell>
          <cell r="D3442">
            <v>808.26</v>
          </cell>
          <cell r="E3442">
            <v>2424.7799999999997</v>
          </cell>
          <cell r="F3442" t="str">
            <v>A1-S03</v>
          </cell>
          <cell r="G3442" t="str">
            <v>Head board panel  - Ván đầu giường</v>
          </cell>
          <cell r="H3442" t="str">
            <v>MDF Veneer</v>
          </cell>
          <cell r="I3442">
            <v>3</v>
          </cell>
        </row>
        <row r="3443">
          <cell r="A3443" t="str">
            <v>B557992/A</v>
          </cell>
          <cell r="B3443" t="str">
            <v>CZ642M191</v>
          </cell>
          <cell r="C3443">
            <v>3</v>
          </cell>
          <cell r="D3443">
            <v>808.26</v>
          </cell>
          <cell r="E3443">
            <v>2424.7799999999997</v>
          </cell>
          <cell r="F3443" t="str">
            <v>A1-S03-1</v>
          </cell>
          <cell r="G3443" t="str">
            <v>Insert Wood - Gỗ chèn</v>
          </cell>
          <cell r="H3443" t="str">
            <v>Beech off cut</v>
          </cell>
          <cell r="I3443">
            <v>6</v>
          </cell>
        </row>
        <row r="3444">
          <cell r="A3444" t="str">
            <v>B557992/A</v>
          </cell>
          <cell r="B3444" t="str">
            <v>CZ642M191</v>
          </cell>
          <cell r="C3444">
            <v>3</v>
          </cell>
          <cell r="D3444">
            <v>808.26</v>
          </cell>
          <cell r="E3444">
            <v>2424.7799999999997</v>
          </cell>
          <cell r="F3444" t="str">
            <v>A1-S08</v>
          </cell>
          <cell r="G3444" t="str">
            <v xml:space="preserve">Panel - Ván </v>
          </cell>
          <cell r="H3444" t="str">
            <v>MDF Veneer</v>
          </cell>
          <cell r="I3444">
            <v>6</v>
          </cell>
        </row>
        <row r="3445">
          <cell r="A3445" t="str">
            <v>B557992/A</v>
          </cell>
          <cell r="B3445" t="str">
            <v>CZ642M191</v>
          </cell>
          <cell r="C3445">
            <v>3</v>
          </cell>
          <cell r="D3445">
            <v>808.26</v>
          </cell>
          <cell r="E3445">
            <v>2424.7799999999997</v>
          </cell>
          <cell r="F3445" t="str">
            <v>A1-S09</v>
          </cell>
          <cell r="G3445" t="str">
            <v>Bottom rail inside - Đố tiền đáy</v>
          </cell>
          <cell r="H3445" t="str">
            <v>Standard Wood - ALDER/ASPEN/LENGA/US POPLAR, 2 COM - T50 W120mm+ L2m+</v>
          </cell>
          <cell r="I3445">
            <v>3</v>
          </cell>
        </row>
        <row r="3446">
          <cell r="A3446" t="str">
            <v>B557992/A</v>
          </cell>
          <cell r="B3446" t="str">
            <v>CZ642M191</v>
          </cell>
          <cell r="C3446">
            <v>3</v>
          </cell>
          <cell r="D3446">
            <v>808.26</v>
          </cell>
          <cell r="E3446">
            <v>2424.7799999999997</v>
          </cell>
          <cell r="F3446" t="str">
            <v>A1-S10</v>
          </cell>
          <cell r="G3446" t="str">
            <v xml:space="preserve">Vertical panel  - ván đứng </v>
          </cell>
          <cell r="H3446" t="str">
            <v>Standard Wood - ALDER/ASPEN/LENGA/US POPLAR, 2 COM - T25 W120mm+ L2m+</v>
          </cell>
          <cell r="I3446">
            <v>3</v>
          </cell>
        </row>
        <row r="3447">
          <cell r="A3447" t="str">
            <v>B557992/A</v>
          </cell>
          <cell r="B3447" t="str">
            <v>CZ642M191</v>
          </cell>
          <cell r="C3447">
            <v>3</v>
          </cell>
          <cell r="D3447">
            <v>808.26</v>
          </cell>
          <cell r="E3447">
            <v>2424.7799999999997</v>
          </cell>
          <cell r="F3447" t="str">
            <v>A2-S01</v>
          </cell>
          <cell r="G3447" t="str">
            <v>the post - trụ</v>
          </cell>
          <cell r="H3447" t="str">
            <v>Wood laminate</v>
          </cell>
          <cell r="I3447">
            <v>6</v>
          </cell>
        </row>
        <row r="3448">
          <cell r="A3448" t="str">
            <v>B557992/A</v>
          </cell>
          <cell r="B3448" t="str">
            <v>CZ642M191</v>
          </cell>
          <cell r="C3448">
            <v>3</v>
          </cell>
          <cell r="D3448">
            <v>808.26</v>
          </cell>
          <cell r="E3448">
            <v>2424.7799999999997</v>
          </cell>
          <cell r="F3448" t="str">
            <v>A2-S02</v>
          </cell>
          <cell r="G3448" t="str">
            <v>Side Frame - Khung hông</v>
          </cell>
          <cell r="H3448" t="str">
            <v>Pre-Assembly</v>
          </cell>
          <cell r="I3448">
            <v>3</v>
          </cell>
        </row>
        <row r="3449">
          <cell r="A3449" t="str">
            <v>B557992/A</v>
          </cell>
          <cell r="B3449" t="str">
            <v>CZ642M191</v>
          </cell>
          <cell r="C3449">
            <v>3</v>
          </cell>
          <cell r="D3449">
            <v>808.26</v>
          </cell>
          <cell r="E3449">
            <v>2424.7799999999997</v>
          </cell>
          <cell r="F3449" t="str">
            <v>A2-S02-1</v>
          </cell>
          <cell r="G3449" t="str">
            <v>Horizontal rail 1 - Đố ngang 1</v>
          </cell>
          <cell r="H3449" t="str">
            <v>Standard Wood - ALDER/ASPEN/LENGA/US POPLAR, 2 COM - T25 W120mm+ L2m+</v>
          </cell>
          <cell r="I3449">
            <v>6</v>
          </cell>
        </row>
        <row r="3450">
          <cell r="A3450" t="str">
            <v>B557992/A</v>
          </cell>
          <cell r="B3450" t="str">
            <v>CZ642M191</v>
          </cell>
          <cell r="C3450">
            <v>3</v>
          </cell>
          <cell r="D3450">
            <v>808.26</v>
          </cell>
          <cell r="E3450">
            <v>2424.7799999999997</v>
          </cell>
          <cell r="F3450" t="str">
            <v>A2-S02-2</v>
          </cell>
          <cell r="G3450" t="str">
            <v>Vertical rail 1 - Đố đứng 1</v>
          </cell>
          <cell r="H3450" t="str">
            <v>Wood laminate</v>
          </cell>
          <cell r="I3450">
            <v>6</v>
          </cell>
        </row>
        <row r="3451">
          <cell r="A3451" t="str">
            <v>B557992/A</v>
          </cell>
          <cell r="B3451" t="str">
            <v>CZ642M191</v>
          </cell>
          <cell r="C3451">
            <v>3</v>
          </cell>
          <cell r="D3451">
            <v>808.26</v>
          </cell>
          <cell r="E3451">
            <v>2424.7799999999997</v>
          </cell>
          <cell r="F3451" t="str">
            <v>A2-S02-3</v>
          </cell>
          <cell r="G3451" t="str">
            <v>Vertical rail 1 - Đố đứng 1</v>
          </cell>
          <cell r="H3451" t="str">
            <v>Standard Wood - ALDER/ASPEN/LENGA/US POPLAR, 2 COM - T38 W120mm+ L2m+</v>
          </cell>
          <cell r="I3451">
            <v>6</v>
          </cell>
        </row>
        <row r="3452">
          <cell r="A3452" t="str">
            <v>B557992/A</v>
          </cell>
          <cell r="B3452" t="str">
            <v>CZ642M191</v>
          </cell>
          <cell r="C3452">
            <v>3</v>
          </cell>
          <cell r="D3452">
            <v>808.26</v>
          </cell>
          <cell r="E3452">
            <v>2424.7799999999997</v>
          </cell>
          <cell r="F3452" t="str">
            <v>A2-S02-4</v>
          </cell>
          <cell r="G3452" t="str">
            <v>Back panel - Ván hậu</v>
          </cell>
          <cell r="H3452" t="str">
            <v>MDF Veneer</v>
          </cell>
          <cell r="I3452">
            <v>6</v>
          </cell>
        </row>
        <row r="3453">
          <cell r="A3453" t="str">
            <v>B557992/A</v>
          </cell>
          <cell r="B3453" t="str">
            <v>CZ642M191</v>
          </cell>
          <cell r="C3453">
            <v>3</v>
          </cell>
          <cell r="D3453">
            <v>808.26</v>
          </cell>
          <cell r="E3453">
            <v>2424.7799999999997</v>
          </cell>
          <cell r="F3453" t="str">
            <v>A2-S03</v>
          </cell>
          <cell r="G3453" t="str">
            <v>Spline - Lưỡi gà</v>
          </cell>
          <cell r="H3453" t="str">
            <v>Beech off cut</v>
          </cell>
          <cell r="I3453">
            <v>6</v>
          </cell>
        </row>
        <row r="3454">
          <cell r="A3454" t="str">
            <v>B557992/A</v>
          </cell>
          <cell r="B3454" t="str">
            <v>CZ642M191</v>
          </cell>
          <cell r="C3454">
            <v>3</v>
          </cell>
          <cell r="D3454">
            <v>808.26</v>
          </cell>
          <cell r="E3454">
            <v>2424.7799999999997</v>
          </cell>
          <cell r="F3454" t="str">
            <v>A3</v>
          </cell>
          <cell r="G3454" t="str">
            <v xml:space="preserve">Side rail  - Đố hông </v>
          </cell>
          <cell r="H3454" t="str">
            <v>Pre-Assembly</v>
          </cell>
          <cell r="I3454">
            <v>6</v>
          </cell>
        </row>
        <row r="3455">
          <cell r="A3455" t="str">
            <v>B557992/A</v>
          </cell>
          <cell r="B3455" t="str">
            <v>CZ642M191</v>
          </cell>
          <cell r="C3455">
            <v>3</v>
          </cell>
          <cell r="D3455">
            <v>808.26</v>
          </cell>
          <cell r="E3455">
            <v>2424.7799999999997</v>
          </cell>
          <cell r="F3455" t="str">
            <v>A3-S01</v>
          </cell>
          <cell r="G3455" t="str">
            <v xml:space="preserve">Side rail  - Đố hông </v>
          </cell>
          <cell r="H3455" t="str">
            <v>MDF - 18 x 1830 x 2440mm [CARB P2 Compliant]</v>
          </cell>
          <cell r="I3455">
            <v>12</v>
          </cell>
        </row>
        <row r="3456">
          <cell r="A3456" t="str">
            <v>B557992/A</v>
          </cell>
          <cell r="B3456" t="str">
            <v>CZ642M191</v>
          </cell>
          <cell r="C3456">
            <v>3</v>
          </cell>
          <cell r="D3456">
            <v>808.26</v>
          </cell>
          <cell r="E3456">
            <v>2424.7799999999997</v>
          </cell>
          <cell r="F3456" t="str">
            <v>A3-S02</v>
          </cell>
          <cell r="G3456" t="str">
            <v>Vertical rail 1 - Đố đứng 1</v>
          </cell>
          <cell r="H3456" t="str">
            <v>Plywood off cut</v>
          </cell>
          <cell r="I3456">
            <v>24</v>
          </cell>
        </row>
        <row r="3457">
          <cell r="A3457" t="str">
            <v>B557992/A</v>
          </cell>
          <cell r="B3457" t="str">
            <v>CZ642M191</v>
          </cell>
          <cell r="C3457">
            <v>3</v>
          </cell>
          <cell r="D3457">
            <v>808.26</v>
          </cell>
          <cell r="E3457">
            <v>2424.7799999999997</v>
          </cell>
          <cell r="F3457" t="str">
            <v>A3-S03</v>
          </cell>
          <cell r="G3457" t="str">
            <v>Side top rail - Đố hông trên</v>
          </cell>
          <cell r="H3457" t="str">
            <v>MDF Veneer</v>
          </cell>
          <cell r="I3457">
            <v>12</v>
          </cell>
        </row>
        <row r="3458">
          <cell r="A3458" t="str">
            <v>B557992/A</v>
          </cell>
          <cell r="B3458" t="str">
            <v>CZ642M191</v>
          </cell>
          <cell r="C3458">
            <v>3</v>
          </cell>
          <cell r="D3458">
            <v>808.26</v>
          </cell>
          <cell r="E3458">
            <v>2424.7799999999997</v>
          </cell>
          <cell r="F3458" t="str">
            <v>A3-S04</v>
          </cell>
          <cell r="G3458" t="str">
            <v>Vertical rail 1 - Đố đứng 1</v>
          </cell>
          <cell r="H3458" t="str">
            <v>MDF laminate</v>
          </cell>
          <cell r="I3458">
            <v>12</v>
          </cell>
        </row>
        <row r="3459">
          <cell r="A3459" t="str">
            <v>B557992/A</v>
          </cell>
          <cell r="B3459" t="str">
            <v>CZ642M191</v>
          </cell>
          <cell r="C3459">
            <v>3</v>
          </cell>
          <cell r="D3459">
            <v>808.26</v>
          </cell>
          <cell r="E3459">
            <v>2424.7799999999997</v>
          </cell>
          <cell r="F3459" t="str">
            <v>A3-S05</v>
          </cell>
          <cell r="G3459" t="str">
            <v>Slat Support  - Đỡ dạt giường</v>
          </cell>
          <cell r="H3459" t="str">
            <v>Wood US Poplar - Straight Edged, 1 COM - T32mm x W100mm Up x L1.8m Up</v>
          </cell>
          <cell r="I3459">
            <v>6</v>
          </cell>
        </row>
        <row r="3460">
          <cell r="A3460" t="str">
            <v>B557992/A</v>
          </cell>
          <cell r="B3460" t="str">
            <v>CZ642M191</v>
          </cell>
          <cell r="C3460">
            <v>3</v>
          </cell>
          <cell r="D3460">
            <v>808.26</v>
          </cell>
          <cell r="E3460">
            <v>2424.7799999999997</v>
          </cell>
          <cell r="F3460" t="str">
            <v>P01</v>
          </cell>
          <cell r="G3460" t="str">
            <v>Slat Support  - Đỡ dạt giường</v>
          </cell>
          <cell r="H3460" t="str">
            <v>Wood US Poplar - Straight Edged, 1 COM - T50mm x W100mm Up x L1.8m Up</v>
          </cell>
          <cell r="I3460">
            <v>6</v>
          </cell>
        </row>
        <row r="3461">
          <cell r="A3461" t="str">
            <v>B557992/A</v>
          </cell>
          <cell r="B3461" t="str">
            <v>CZ642M191</v>
          </cell>
          <cell r="C3461">
            <v>3</v>
          </cell>
          <cell r="D3461">
            <v>808.26</v>
          </cell>
          <cell r="E3461">
            <v>2424.7799999999997</v>
          </cell>
          <cell r="F3461" t="str">
            <v>P02</v>
          </cell>
          <cell r="G3461" t="str">
            <v>slat buy - dạt mua từ nhà cung</v>
          </cell>
          <cell r="H3461" t="str">
            <v>Slat buy</v>
          </cell>
          <cell r="I3461">
            <v>39</v>
          </cell>
        </row>
        <row r="3462">
          <cell r="A3462" t="str">
            <v>B558275/A</v>
          </cell>
          <cell r="B3462" t="str">
            <v>CZ823NM409</v>
          </cell>
          <cell r="C3462">
            <v>5</v>
          </cell>
          <cell r="D3462">
            <v>1884.9</v>
          </cell>
          <cell r="E3462">
            <v>9424.5</v>
          </cell>
          <cell r="F3462" t="str">
            <v>A1.A</v>
          </cell>
          <cell r="G3462" t="str">
            <v xml:space="preserve">Panel - Ván </v>
          </cell>
          <cell r="H3462" t="str">
            <v>Wd+MDF+VN</v>
          </cell>
          <cell r="I3462">
            <v>5</v>
          </cell>
        </row>
        <row r="3463">
          <cell r="A3463" t="str">
            <v>B558275/A</v>
          </cell>
          <cell r="B3463" t="str">
            <v>CZ823NM409</v>
          </cell>
          <cell r="C3463">
            <v>5</v>
          </cell>
          <cell r="D3463">
            <v>1884.9</v>
          </cell>
          <cell r="E3463">
            <v>9424.5</v>
          </cell>
          <cell r="F3463" t="str">
            <v>A1-1</v>
          </cell>
          <cell r="G3463" t="str">
            <v>Insert Wood - Gỗ chèn</v>
          </cell>
          <cell r="H3463" t="str">
            <v>Wood White Oak - Straight/Waving Edged, 1 COM - T25mm x W100mm Up x L1.8m Up</v>
          </cell>
          <cell r="I3463">
            <v>50</v>
          </cell>
        </row>
        <row r="3464">
          <cell r="A3464" t="str">
            <v>B558275/A</v>
          </cell>
          <cell r="B3464" t="str">
            <v>CZ823NM409</v>
          </cell>
          <cell r="C3464">
            <v>5</v>
          </cell>
          <cell r="D3464">
            <v>1884.9</v>
          </cell>
          <cell r="E3464">
            <v>9424.5</v>
          </cell>
          <cell r="F3464" t="str">
            <v>A1-S1</v>
          </cell>
          <cell r="G3464" t="str">
            <v xml:space="preserve">Drawer front - Mặt hộc kéo </v>
          </cell>
          <cell r="H3464" t="str">
            <v>Wd+MDF+VN</v>
          </cell>
          <cell r="I3464">
            <v>10</v>
          </cell>
        </row>
        <row r="3465">
          <cell r="A3465" t="str">
            <v>B558275/A</v>
          </cell>
          <cell r="B3465" t="str">
            <v>CZ823NM409</v>
          </cell>
          <cell r="C3465">
            <v>5</v>
          </cell>
          <cell r="D3465">
            <v>1884.9</v>
          </cell>
          <cell r="E3465">
            <v>9424.5</v>
          </cell>
          <cell r="F3465" t="str">
            <v>A1-S2</v>
          </cell>
          <cell r="G3465" t="str">
            <v xml:space="preserve">Drawer front 1 - Mặt hộc kéo </v>
          </cell>
          <cell r="H3465" t="str">
            <v>Wd+VN</v>
          </cell>
          <cell r="I3465">
            <v>10</v>
          </cell>
        </row>
        <row r="3466">
          <cell r="A3466" t="str">
            <v>B558275/A</v>
          </cell>
          <cell r="B3466" t="str">
            <v>CZ823NM409</v>
          </cell>
          <cell r="C3466">
            <v>5</v>
          </cell>
          <cell r="D3466">
            <v>1884.9</v>
          </cell>
          <cell r="E3466">
            <v>9424.5</v>
          </cell>
          <cell r="F3466" t="str">
            <v>A1-S3</v>
          </cell>
          <cell r="G3466" t="str">
            <v>Drawer side - Hông hộc kéo</v>
          </cell>
          <cell r="H3466" t="str">
            <v>MDF Veneer</v>
          </cell>
          <cell r="I3466">
            <v>20</v>
          </cell>
        </row>
        <row r="3467">
          <cell r="A3467" t="str">
            <v>B558275/A</v>
          </cell>
          <cell r="B3467" t="str">
            <v>CZ823NM409</v>
          </cell>
          <cell r="C3467">
            <v>5</v>
          </cell>
          <cell r="D3467">
            <v>1884.9</v>
          </cell>
          <cell r="E3467">
            <v>9424.5</v>
          </cell>
          <cell r="F3467" t="str">
            <v>A1-S4</v>
          </cell>
          <cell r="G3467" t="str">
            <v>Drawer back - Hậu hộc kéo</v>
          </cell>
          <cell r="H3467" t="str">
            <v>Wd+VN</v>
          </cell>
          <cell r="I3467">
            <v>10</v>
          </cell>
        </row>
        <row r="3468">
          <cell r="A3468" t="str">
            <v>B558275/A</v>
          </cell>
          <cell r="B3468" t="str">
            <v>CZ823NM409</v>
          </cell>
          <cell r="C3468">
            <v>5</v>
          </cell>
          <cell r="D3468">
            <v>1884.9</v>
          </cell>
          <cell r="E3468">
            <v>9424.5</v>
          </cell>
          <cell r="F3468" t="str">
            <v>A1-S5</v>
          </cell>
          <cell r="G3468" t="str">
            <v>Drawer bottom  - Đáy hộc kéo</v>
          </cell>
          <cell r="H3468" t="str">
            <v>MDF Veneer</v>
          </cell>
          <cell r="I3468">
            <v>50</v>
          </cell>
        </row>
        <row r="3469">
          <cell r="A3469" t="str">
            <v>B558275/A</v>
          </cell>
          <cell r="B3469" t="str">
            <v>CZ823NM409</v>
          </cell>
          <cell r="C3469">
            <v>5</v>
          </cell>
          <cell r="D3469">
            <v>1884.9</v>
          </cell>
          <cell r="E3469">
            <v>9424.5</v>
          </cell>
          <cell r="F3469" t="str">
            <v>A1-S6</v>
          </cell>
          <cell r="G3469" t="str">
            <v>cleat support under drawer - Đỡ đáy hộc kéo</v>
          </cell>
          <cell r="H3469" t="str">
            <v>Plywood LVD - 12 x 1220 x 2440mm, Bleached Poplar Veneer Both Sides [CARB P2 Compliant]</v>
          </cell>
          <cell r="I3469">
            <v>100</v>
          </cell>
        </row>
        <row r="3470">
          <cell r="A3470" t="str">
            <v>B558275/A</v>
          </cell>
          <cell r="B3470" t="str">
            <v>CZ823NM409</v>
          </cell>
          <cell r="C3470">
            <v>5</v>
          </cell>
          <cell r="D3470">
            <v>1884.9</v>
          </cell>
          <cell r="E3470">
            <v>9424.5</v>
          </cell>
          <cell r="F3470" t="str">
            <v>A2.A</v>
          </cell>
          <cell r="G3470" t="str">
            <v xml:space="preserve">Panel - Ván </v>
          </cell>
          <cell r="H3470" t="str">
            <v>MDF Veneer</v>
          </cell>
          <cell r="I3470">
            <v>5</v>
          </cell>
        </row>
        <row r="3471">
          <cell r="A3471" t="str">
            <v>B558275/A</v>
          </cell>
          <cell r="B3471" t="str">
            <v>CZ823NM409</v>
          </cell>
          <cell r="C3471">
            <v>5</v>
          </cell>
          <cell r="D3471">
            <v>1884.9</v>
          </cell>
          <cell r="E3471">
            <v>9424.5</v>
          </cell>
          <cell r="F3471" t="str">
            <v>A2-S1</v>
          </cell>
          <cell r="G3471" t="str">
            <v xml:space="preserve">Drawer front - Mặt hộc kéo </v>
          </cell>
          <cell r="H3471" t="str">
            <v>Wd+MDF+VN</v>
          </cell>
          <cell r="I3471">
            <v>10</v>
          </cell>
        </row>
        <row r="3472">
          <cell r="A3472" t="str">
            <v>B558275/A</v>
          </cell>
          <cell r="B3472" t="str">
            <v>CZ823NM409</v>
          </cell>
          <cell r="C3472">
            <v>5</v>
          </cell>
          <cell r="D3472">
            <v>1884.9</v>
          </cell>
          <cell r="E3472">
            <v>9424.5</v>
          </cell>
          <cell r="F3472" t="str">
            <v>A2-S2</v>
          </cell>
          <cell r="G3472" t="str">
            <v xml:space="preserve">Drawer front 1 - Mặt hộc kéo </v>
          </cell>
          <cell r="H3472" t="str">
            <v>MDF Veneer</v>
          </cell>
          <cell r="I3472">
            <v>10</v>
          </cell>
        </row>
        <row r="3473">
          <cell r="A3473" t="str">
            <v>B558275/A</v>
          </cell>
          <cell r="B3473" t="str">
            <v>CZ823NM409</v>
          </cell>
          <cell r="C3473">
            <v>5</v>
          </cell>
          <cell r="D3473">
            <v>1884.9</v>
          </cell>
          <cell r="E3473">
            <v>9424.5</v>
          </cell>
          <cell r="F3473" t="str">
            <v>A2-S3</v>
          </cell>
          <cell r="G3473" t="str">
            <v>Drawer side - Hông hộc kéo</v>
          </cell>
          <cell r="H3473" t="str">
            <v>MDF Veneer</v>
          </cell>
          <cell r="I3473">
            <v>20</v>
          </cell>
        </row>
        <row r="3474">
          <cell r="A3474" t="str">
            <v>B558275/A</v>
          </cell>
          <cell r="B3474" t="str">
            <v>CZ823NM409</v>
          </cell>
          <cell r="C3474">
            <v>5</v>
          </cell>
          <cell r="D3474">
            <v>1884.9</v>
          </cell>
          <cell r="E3474">
            <v>9424.5</v>
          </cell>
          <cell r="F3474" t="str">
            <v>A2-S4</v>
          </cell>
          <cell r="G3474" t="str">
            <v>Drawer back - Hậu hộc kéo</v>
          </cell>
          <cell r="H3474" t="str">
            <v>MDF Veneer</v>
          </cell>
          <cell r="I3474">
            <v>10</v>
          </cell>
        </row>
        <row r="3475">
          <cell r="A3475" t="str">
            <v>B558275/A</v>
          </cell>
          <cell r="B3475" t="str">
            <v>CZ823NM409</v>
          </cell>
          <cell r="C3475">
            <v>5</v>
          </cell>
          <cell r="D3475">
            <v>1884.9</v>
          </cell>
          <cell r="E3475">
            <v>9424.5</v>
          </cell>
          <cell r="F3475" t="str">
            <v>A4-S1</v>
          </cell>
          <cell r="G3475" t="str">
            <v>Vertical rail 1 - Đố đứng 1</v>
          </cell>
          <cell r="H3475" t="str">
            <v>Wd+VN</v>
          </cell>
          <cell r="I3475">
            <v>10</v>
          </cell>
        </row>
        <row r="3476">
          <cell r="A3476" t="str">
            <v>B558275/A</v>
          </cell>
          <cell r="B3476" t="str">
            <v>CZ823NM409</v>
          </cell>
          <cell r="C3476">
            <v>5</v>
          </cell>
          <cell r="D3476">
            <v>1884.9</v>
          </cell>
          <cell r="E3476">
            <v>9424.5</v>
          </cell>
          <cell r="F3476" t="str">
            <v>A4-S2</v>
          </cell>
          <cell r="G3476" t="str">
            <v xml:space="preserve">Side panel  - Ván hông </v>
          </cell>
          <cell r="H3476" t="str">
            <v>MDF Veneer</v>
          </cell>
          <cell r="I3476">
            <v>10</v>
          </cell>
        </row>
        <row r="3477">
          <cell r="A3477" t="str">
            <v>B558275/A</v>
          </cell>
          <cell r="B3477" t="str">
            <v>CZ823NM409</v>
          </cell>
          <cell r="C3477">
            <v>5</v>
          </cell>
          <cell r="D3477">
            <v>1884.9</v>
          </cell>
          <cell r="E3477">
            <v>9424.5</v>
          </cell>
          <cell r="F3477" t="str">
            <v>A4-S3</v>
          </cell>
          <cell r="G3477" t="str">
            <v>Patching wood - Gỗ đắp</v>
          </cell>
          <cell r="H3477" t="str">
            <v>Wood laminate</v>
          </cell>
          <cell r="I3477">
            <v>50</v>
          </cell>
        </row>
        <row r="3478">
          <cell r="A3478" t="str">
            <v>B558275/A</v>
          </cell>
          <cell r="B3478" t="str">
            <v>CZ823NM409</v>
          </cell>
          <cell r="C3478">
            <v>5</v>
          </cell>
          <cell r="D3478">
            <v>1884.9</v>
          </cell>
          <cell r="E3478">
            <v>9424.5</v>
          </cell>
          <cell r="F3478" t="str">
            <v>A5-S1</v>
          </cell>
          <cell r="G3478" t="str">
            <v>Front Bottom Rail  - Đố đáy trước</v>
          </cell>
          <cell r="H3478" t="str">
            <v>Wood White Oak - Straight/Waving Edged, 2 COM - T32mm x W100mm Up x L1.5m Up</v>
          </cell>
          <cell r="I3478">
            <v>10</v>
          </cell>
        </row>
        <row r="3479">
          <cell r="A3479" t="str">
            <v>B558275/A</v>
          </cell>
          <cell r="B3479" t="str">
            <v>CZ823NM409</v>
          </cell>
          <cell r="C3479">
            <v>5</v>
          </cell>
          <cell r="D3479">
            <v>1884.9</v>
          </cell>
          <cell r="E3479">
            <v>9424.5</v>
          </cell>
          <cell r="F3479" t="str">
            <v>A5-S2</v>
          </cell>
          <cell r="G3479" t="str">
            <v>Side bottom rail - Đố hông dưới</v>
          </cell>
          <cell r="H3479" t="str">
            <v>Wood White Oak - Straight/Waving Edged, 2 COM - T32mm x W100mm Up x L1.5m Up</v>
          </cell>
          <cell r="I3479">
            <v>10</v>
          </cell>
        </row>
        <row r="3480">
          <cell r="A3480" t="str">
            <v>B558275/A</v>
          </cell>
          <cell r="B3480" t="str">
            <v>CZ823NM409</v>
          </cell>
          <cell r="C3480">
            <v>5</v>
          </cell>
          <cell r="D3480">
            <v>1884.9</v>
          </cell>
          <cell r="E3480">
            <v>9424.5</v>
          </cell>
          <cell r="F3480" t="str">
            <v>A5-S3</v>
          </cell>
          <cell r="G3480" t="str">
            <v>Side bottom rail - Đố hông dưới</v>
          </cell>
          <cell r="H3480" t="str">
            <v>Standard Wood - ALDER/ASPEN/LENGA/US POPLAR, 2 COM - T38 W120mm+ L2m+</v>
          </cell>
          <cell r="I3480">
            <v>5</v>
          </cell>
        </row>
        <row r="3481">
          <cell r="A3481" t="str">
            <v>B558275/A</v>
          </cell>
          <cell r="B3481" t="str">
            <v>CZ823NM409</v>
          </cell>
          <cell r="C3481">
            <v>5</v>
          </cell>
          <cell r="D3481">
            <v>1884.9</v>
          </cell>
          <cell r="E3481">
            <v>9424.5</v>
          </cell>
          <cell r="F3481" t="str">
            <v>A6.A</v>
          </cell>
          <cell r="G3481" t="str">
            <v xml:space="preserve">Panel - Ván </v>
          </cell>
          <cell r="H3481" t="str">
            <v>MDF Veneer</v>
          </cell>
          <cell r="I3481">
            <v>15</v>
          </cell>
        </row>
        <row r="3482">
          <cell r="A3482" t="str">
            <v>B558275/A</v>
          </cell>
          <cell r="B3482" t="str">
            <v>CZ823NM409</v>
          </cell>
          <cell r="C3482">
            <v>5</v>
          </cell>
          <cell r="D3482">
            <v>1884.9</v>
          </cell>
          <cell r="E3482">
            <v>9424.5</v>
          </cell>
          <cell r="F3482" t="str">
            <v>A6-S1</v>
          </cell>
          <cell r="G3482" t="str">
            <v xml:space="preserve">Drawer front - Mặt hộc kéo </v>
          </cell>
          <cell r="H3482" t="str">
            <v>Wd+MDF+VN</v>
          </cell>
          <cell r="I3482">
            <v>30</v>
          </cell>
        </row>
        <row r="3483">
          <cell r="A3483" t="str">
            <v>B558275/A</v>
          </cell>
          <cell r="B3483" t="str">
            <v>CZ823NM409</v>
          </cell>
          <cell r="C3483">
            <v>5</v>
          </cell>
          <cell r="D3483">
            <v>1884.9</v>
          </cell>
          <cell r="E3483">
            <v>9424.5</v>
          </cell>
          <cell r="F3483" t="str">
            <v>A6-S2</v>
          </cell>
          <cell r="G3483" t="str">
            <v xml:space="preserve">Drawer front 1 - Mặt hộc kéo </v>
          </cell>
          <cell r="H3483" t="str">
            <v>MDF Veneer</v>
          </cell>
          <cell r="I3483">
            <v>30</v>
          </cell>
        </row>
        <row r="3484">
          <cell r="A3484" t="str">
            <v>B558275/A</v>
          </cell>
          <cell r="B3484" t="str">
            <v>CZ823NM409</v>
          </cell>
          <cell r="C3484">
            <v>5</v>
          </cell>
          <cell r="D3484">
            <v>1884.9</v>
          </cell>
          <cell r="E3484">
            <v>9424.5</v>
          </cell>
          <cell r="F3484" t="str">
            <v>A6-S3</v>
          </cell>
          <cell r="G3484" t="str">
            <v>Drawer side - Hông hộc kéo</v>
          </cell>
          <cell r="H3484" t="str">
            <v>MDF Veneer</v>
          </cell>
          <cell r="I3484">
            <v>60</v>
          </cell>
        </row>
        <row r="3485">
          <cell r="A3485" t="str">
            <v>B558275/A</v>
          </cell>
          <cell r="B3485" t="str">
            <v>CZ823NM409</v>
          </cell>
          <cell r="C3485">
            <v>5</v>
          </cell>
          <cell r="D3485">
            <v>1884.9</v>
          </cell>
          <cell r="E3485">
            <v>9424.5</v>
          </cell>
          <cell r="F3485" t="str">
            <v>A6-S4</v>
          </cell>
          <cell r="G3485" t="str">
            <v>Drawer back - Hậu hộc kéo</v>
          </cell>
          <cell r="H3485" t="str">
            <v>MDF Veneer</v>
          </cell>
          <cell r="I3485">
            <v>30</v>
          </cell>
        </row>
        <row r="3486">
          <cell r="A3486" t="str">
            <v>B558275/A</v>
          </cell>
          <cell r="B3486" t="str">
            <v>CZ823NM409</v>
          </cell>
          <cell r="C3486">
            <v>5</v>
          </cell>
          <cell r="D3486">
            <v>1884.9</v>
          </cell>
          <cell r="E3486">
            <v>9424.5</v>
          </cell>
          <cell r="F3486" t="str">
            <v>P01</v>
          </cell>
          <cell r="G3486" t="str">
            <v xml:space="preserve">Top panel  - Ván nóc </v>
          </cell>
          <cell r="H3486" t="str">
            <v>MDF Veneer</v>
          </cell>
          <cell r="I3486">
            <v>5</v>
          </cell>
        </row>
        <row r="3487">
          <cell r="A3487" t="str">
            <v>B558275/A</v>
          </cell>
          <cell r="B3487" t="str">
            <v>CZ823NM409</v>
          </cell>
          <cell r="C3487">
            <v>5</v>
          </cell>
          <cell r="D3487">
            <v>1884.9</v>
          </cell>
          <cell r="E3487">
            <v>9424.5</v>
          </cell>
          <cell r="F3487" t="str">
            <v>P02</v>
          </cell>
          <cell r="G3487" t="str">
            <v>Front rail  - Đố tiền</v>
          </cell>
          <cell r="H3487" t="str">
            <v>Wood Rubber Laminate Board - 20 x 1220 x 2440mm, Veneer Poplar both Faces</v>
          </cell>
          <cell r="I3487">
            <v>5</v>
          </cell>
        </row>
        <row r="3488">
          <cell r="A3488" t="str">
            <v>B558275/A</v>
          </cell>
          <cell r="B3488" t="str">
            <v>CZ823NM409</v>
          </cell>
          <cell r="C3488">
            <v>5</v>
          </cell>
          <cell r="D3488">
            <v>1884.9</v>
          </cell>
          <cell r="E3488">
            <v>9424.5</v>
          </cell>
          <cell r="F3488" t="str">
            <v>P04</v>
          </cell>
          <cell r="G3488" t="str">
            <v>Bottom panel - Ván đáy</v>
          </cell>
          <cell r="H3488" t="str">
            <v>MDF Veneer</v>
          </cell>
          <cell r="I3488">
            <v>5</v>
          </cell>
        </row>
        <row r="3489">
          <cell r="A3489" t="str">
            <v>B558275/A</v>
          </cell>
          <cell r="B3489" t="str">
            <v>CZ823NM409</v>
          </cell>
          <cell r="C3489">
            <v>5</v>
          </cell>
          <cell r="D3489">
            <v>1884.9</v>
          </cell>
          <cell r="E3489">
            <v>9424.5</v>
          </cell>
          <cell r="F3489" t="str">
            <v>P05</v>
          </cell>
          <cell r="G3489" t="str">
            <v>back rail - Đố hậu</v>
          </cell>
          <cell r="H3489" t="str">
            <v>Wood Rubber Laminate Board - 20 x 1220 x 2440mm, Veneer Poplar both Faces</v>
          </cell>
          <cell r="I3489">
            <v>5</v>
          </cell>
        </row>
        <row r="3490">
          <cell r="A3490" t="str">
            <v>B558275/A</v>
          </cell>
          <cell r="B3490" t="str">
            <v>CZ823NM409</v>
          </cell>
          <cell r="C3490">
            <v>5</v>
          </cell>
          <cell r="D3490">
            <v>1884.9</v>
          </cell>
          <cell r="E3490">
            <v>9424.5</v>
          </cell>
          <cell r="F3490" t="str">
            <v>P06</v>
          </cell>
          <cell r="G3490" t="str">
            <v>Back panel - Ván hậu</v>
          </cell>
          <cell r="H3490" t="str">
            <v>MDF Veneer</v>
          </cell>
          <cell r="I3490">
            <v>5</v>
          </cell>
        </row>
        <row r="3491">
          <cell r="A3491" t="str">
            <v>B558275/A</v>
          </cell>
          <cell r="B3491" t="str">
            <v>CZ823NM409</v>
          </cell>
          <cell r="C3491">
            <v>5</v>
          </cell>
          <cell r="D3491">
            <v>1884.9</v>
          </cell>
          <cell r="E3491">
            <v>9424.5</v>
          </cell>
          <cell r="F3491" t="str">
            <v>P07</v>
          </cell>
          <cell r="G3491" t="str">
            <v>Back bottom rail - Đố hậu đáy</v>
          </cell>
          <cell r="H3491" t="str">
            <v>Wood Rubber Laminate Board - 20 x 1220 x 2440mm, Veneer Poplar both Faces</v>
          </cell>
          <cell r="I3491">
            <v>5</v>
          </cell>
        </row>
        <row r="3492">
          <cell r="A3492" t="str">
            <v>B558275/A</v>
          </cell>
          <cell r="B3492" t="str">
            <v>CZ823NM409</v>
          </cell>
          <cell r="C3492">
            <v>5</v>
          </cell>
          <cell r="D3492">
            <v>1884.9</v>
          </cell>
          <cell r="E3492">
            <v>9424.5</v>
          </cell>
          <cell r="F3492" t="str">
            <v>P08</v>
          </cell>
          <cell r="G3492" t="str">
            <v>Partition panel - Vách ngăn</v>
          </cell>
          <cell r="H3492" t="str">
            <v>MDF Veneer</v>
          </cell>
          <cell r="I3492">
            <v>5</v>
          </cell>
        </row>
        <row r="3493">
          <cell r="A3493" t="str">
            <v>B558275/A</v>
          </cell>
          <cell r="B3493" t="str">
            <v>CZ823NM409</v>
          </cell>
          <cell r="C3493">
            <v>5</v>
          </cell>
          <cell r="D3493">
            <v>1884.9</v>
          </cell>
          <cell r="E3493">
            <v>9424.5</v>
          </cell>
          <cell r="F3493" t="str">
            <v>P09</v>
          </cell>
          <cell r="G3493" t="str">
            <v>Back panel - Ván hậu</v>
          </cell>
          <cell r="H3493" t="str">
            <v>Cement Board - 18 x 1220 x 2440mm, Dark Grey</v>
          </cell>
          <cell r="I3493">
            <v>10</v>
          </cell>
        </row>
        <row r="3494">
          <cell r="A3494" t="str">
            <v>B558275/A</v>
          </cell>
          <cell r="B3494" t="str">
            <v>CZ823NM409</v>
          </cell>
          <cell r="C3494">
            <v>5</v>
          </cell>
          <cell r="D3494">
            <v>1884.9</v>
          </cell>
          <cell r="E3494">
            <v>9424.5</v>
          </cell>
          <cell r="F3494" t="str">
            <v>P10</v>
          </cell>
          <cell r="G3494" t="str">
            <v>Front rail  - Đố tiền</v>
          </cell>
          <cell r="H3494" t="str">
            <v>Wood Rubber Laminate Board - 20 x 1220 x 2440mm, Veneer Poplar both Faces</v>
          </cell>
          <cell r="I3494">
            <v>40</v>
          </cell>
        </row>
        <row r="3495">
          <cell r="A3495" t="str">
            <v>B558275/A</v>
          </cell>
          <cell r="B3495" t="str">
            <v>CZ823NM409</v>
          </cell>
          <cell r="C3495">
            <v>5</v>
          </cell>
          <cell r="D3495">
            <v>1884.9</v>
          </cell>
          <cell r="E3495">
            <v>9424.5</v>
          </cell>
          <cell r="F3495" t="str">
            <v>P11</v>
          </cell>
          <cell r="G3495" t="str">
            <v>Back rail with note finger - đố hậu</v>
          </cell>
          <cell r="H3495" t="str">
            <v>Wood Rubber Laminate Board - 20 x 1220 x 2440mm, Veneer Poplar both Faces</v>
          </cell>
          <cell r="I3495">
            <v>10</v>
          </cell>
        </row>
        <row r="3496">
          <cell r="A3496" t="str">
            <v>B558275/A</v>
          </cell>
          <cell r="B3496" t="str">
            <v>CZ823NM409</v>
          </cell>
          <cell r="C3496">
            <v>5</v>
          </cell>
          <cell r="D3496">
            <v>1884.9</v>
          </cell>
          <cell r="E3496">
            <v>9424.5</v>
          </cell>
          <cell r="F3496" t="str">
            <v>P12</v>
          </cell>
          <cell r="G3496" t="str">
            <v>Drawer stop - Dừng hộc</v>
          </cell>
          <cell r="H3496" t="str">
            <v>Poplar off cut</v>
          </cell>
          <cell r="I3496">
            <v>100</v>
          </cell>
        </row>
        <row r="3497">
          <cell r="A3497" t="str">
            <v>B558275/A</v>
          </cell>
          <cell r="B3497" t="str">
            <v>CZ823NM409</v>
          </cell>
          <cell r="C3497">
            <v>5</v>
          </cell>
          <cell r="D3497">
            <v>1884.9</v>
          </cell>
          <cell r="E3497">
            <v>9424.5</v>
          </cell>
          <cell r="F3497" t="str">
            <v>P13</v>
          </cell>
          <cell r="G3497" t="str">
            <v>Corner block - ke góc</v>
          </cell>
          <cell r="H3497" t="str">
            <v>Poplar off cut</v>
          </cell>
          <cell r="I3497">
            <v>40</v>
          </cell>
        </row>
        <row r="3498">
          <cell r="A3498" t="str">
            <v>B558176/A</v>
          </cell>
          <cell r="B3498" t="str">
            <v>CZ842M188</v>
          </cell>
          <cell r="C3498">
            <v>1</v>
          </cell>
          <cell r="D3498">
            <v>978.2</v>
          </cell>
          <cell r="E3498">
            <v>978.2</v>
          </cell>
          <cell r="F3498" t="str">
            <v>A1-S01</v>
          </cell>
          <cell r="G3498" t="str">
            <v>Top rail - Đố nóc</v>
          </cell>
          <cell r="H3498" t="str">
            <v>Wood Red Oak - Straight/Waving Edged, 1 COM - T38mm x W100mm Up x L1.8m Up</v>
          </cell>
          <cell r="I3498">
            <v>1</v>
          </cell>
        </row>
        <row r="3499">
          <cell r="A3499" t="str">
            <v>B558176/A</v>
          </cell>
          <cell r="B3499" t="str">
            <v>CZ842M188</v>
          </cell>
          <cell r="C3499">
            <v>1</v>
          </cell>
          <cell r="D3499">
            <v>978.2</v>
          </cell>
          <cell r="E3499">
            <v>978.2</v>
          </cell>
          <cell r="F3499" t="str">
            <v>A1-S02</v>
          </cell>
          <cell r="G3499" t="str">
            <v xml:space="preserve">Side rail  - Đố hông </v>
          </cell>
          <cell r="H3499" t="str">
            <v>Wood laminate</v>
          </cell>
          <cell r="I3499">
            <v>2</v>
          </cell>
        </row>
        <row r="3500">
          <cell r="A3500" t="str">
            <v>B558176/A</v>
          </cell>
          <cell r="B3500" t="str">
            <v>CZ842M188</v>
          </cell>
          <cell r="C3500">
            <v>1</v>
          </cell>
          <cell r="D3500">
            <v>978.2</v>
          </cell>
          <cell r="E3500">
            <v>978.2</v>
          </cell>
          <cell r="F3500" t="str">
            <v>A1-S03</v>
          </cell>
          <cell r="G3500" t="str">
            <v xml:space="preserve">Panel - Ván </v>
          </cell>
          <cell r="H3500" t="str">
            <v>MDF - 15 x 1830 x 2440mm [CARB P2 Compliant]</v>
          </cell>
          <cell r="I3500">
            <v>1</v>
          </cell>
        </row>
        <row r="3501">
          <cell r="A3501" t="str">
            <v>B558176/A</v>
          </cell>
          <cell r="B3501" t="str">
            <v>CZ842M188</v>
          </cell>
          <cell r="C3501">
            <v>1</v>
          </cell>
          <cell r="D3501">
            <v>978.2</v>
          </cell>
          <cell r="E3501">
            <v>978.2</v>
          </cell>
          <cell r="F3501" t="str">
            <v>A1-S04</v>
          </cell>
          <cell r="G3501" t="str">
            <v>Back panel - Ván hậu</v>
          </cell>
          <cell r="H3501" t="str">
            <v>MDF Veneer</v>
          </cell>
          <cell r="I3501">
            <v>1</v>
          </cell>
        </row>
        <row r="3502">
          <cell r="A3502" t="str">
            <v>B558176/A</v>
          </cell>
          <cell r="B3502" t="str">
            <v>CZ842M188</v>
          </cell>
          <cell r="C3502">
            <v>1</v>
          </cell>
          <cell r="D3502">
            <v>978.2</v>
          </cell>
          <cell r="E3502">
            <v>978.2</v>
          </cell>
          <cell r="F3502" t="str">
            <v>A1-S05</v>
          </cell>
          <cell r="G3502" t="str">
            <v>Vertical rail 1 - Đố đứng 1</v>
          </cell>
          <cell r="H3502" t="str">
            <v>Wood Rubber Laminate Board - 20 x 1220 x 2440mm, Veneer Poplar both Faces</v>
          </cell>
          <cell r="I3502">
            <v>2</v>
          </cell>
        </row>
        <row r="3503">
          <cell r="A3503" t="str">
            <v>B558176/A</v>
          </cell>
          <cell r="B3503" t="str">
            <v>CZ842M188</v>
          </cell>
          <cell r="C3503">
            <v>1</v>
          </cell>
          <cell r="D3503">
            <v>978.2</v>
          </cell>
          <cell r="E3503">
            <v>978.2</v>
          </cell>
          <cell r="F3503" t="str">
            <v>A1-S06</v>
          </cell>
          <cell r="G3503" t="str">
            <v>Horizontal rail 1 - Đố ngang 1</v>
          </cell>
          <cell r="H3503" t="str">
            <v>Wood Rubber Laminate Board - 20 x 1220 x 2440mm, Veneer Poplar both Faces</v>
          </cell>
          <cell r="I3503">
            <v>1</v>
          </cell>
        </row>
        <row r="3504">
          <cell r="A3504" t="str">
            <v>B558176/A</v>
          </cell>
          <cell r="B3504" t="str">
            <v>CZ842M188</v>
          </cell>
          <cell r="C3504">
            <v>1</v>
          </cell>
          <cell r="D3504">
            <v>978.2</v>
          </cell>
          <cell r="E3504">
            <v>978.2</v>
          </cell>
          <cell r="F3504" t="str">
            <v>A1-S07</v>
          </cell>
          <cell r="G3504" t="str">
            <v>Horizontal rail 1 - Đố ngang 1</v>
          </cell>
          <cell r="H3504" t="str">
            <v>Wood Rubber Laminate Board - 20 x 1220 x 2440mm, Veneer Poplar both Faces</v>
          </cell>
          <cell r="I3504">
            <v>2</v>
          </cell>
        </row>
        <row r="3505">
          <cell r="A3505" t="str">
            <v>B558176/A</v>
          </cell>
          <cell r="B3505" t="str">
            <v>CZ842M188</v>
          </cell>
          <cell r="C3505">
            <v>1</v>
          </cell>
          <cell r="D3505">
            <v>978.2</v>
          </cell>
          <cell r="E3505">
            <v>978.2</v>
          </cell>
          <cell r="F3505" t="str">
            <v>A1-S08</v>
          </cell>
          <cell r="G3505" t="str">
            <v>Horizontal rail 1 - Đố ngang 1</v>
          </cell>
          <cell r="H3505" t="str">
            <v>Standard Wood - ALDER/ASPEN/LENGA/US POPLAR, 2 COM - T50 W120mm+ L2m+</v>
          </cell>
          <cell r="I3505">
            <v>1</v>
          </cell>
        </row>
        <row r="3506">
          <cell r="A3506" t="str">
            <v>B558176/A</v>
          </cell>
          <cell r="B3506" t="str">
            <v>CZ842M188</v>
          </cell>
          <cell r="C3506">
            <v>1</v>
          </cell>
          <cell r="D3506">
            <v>978.2</v>
          </cell>
          <cell r="E3506">
            <v>978.2</v>
          </cell>
          <cell r="F3506" t="str">
            <v>A1-S09</v>
          </cell>
          <cell r="G3506" t="str">
            <v>Cleat - Bọ gỗ</v>
          </cell>
          <cell r="H3506" t="str">
            <v>Beech off cut</v>
          </cell>
          <cell r="I3506">
            <v>4</v>
          </cell>
        </row>
        <row r="3507">
          <cell r="A3507" t="str">
            <v>B558176/A</v>
          </cell>
          <cell r="B3507" t="str">
            <v>CZ842M188</v>
          </cell>
          <cell r="C3507">
            <v>1</v>
          </cell>
          <cell r="D3507">
            <v>978.2</v>
          </cell>
          <cell r="E3507">
            <v>978.2</v>
          </cell>
          <cell r="F3507" t="str">
            <v>A1-S10</v>
          </cell>
          <cell r="G3507" t="str">
            <v xml:space="preserve">Front panel  - Ván tiền </v>
          </cell>
          <cell r="H3507" t="str">
            <v>MDF Veneer</v>
          </cell>
          <cell r="I3507">
            <v>1</v>
          </cell>
        </row>
        <row r="3508">
          <cell r="A3508" t="str">
            <v>B558176/A</v>
          </cell>
          <cell r="B3508" t="str">
            <v>CZ842M188</v>
          </cell>
          <cell r="C3508">
            <v>1</v>
          </cell>
          <cell r="D3508">
            <v>978.2</v>
          </cell>
          <cell r="E3508">
            <v>978.2</v>
          </cell>
          <cell r="F3508" t="str">
            <v>A1-S10-1</v>
          </cell>
          <cell r="G3508" t="str">
            <v>Patching wood - Gỗ đắp</v>
          </cell>
          <cell r="H3508" t="str">
            <v>Beech off cut</v>
          </cell>
          <cell r="I3508">
            <v>2</v>
          </cell>
        </row>
        <row r="3509">
          <cell r="A3509" t="str">
            <v>B558176/A</v>
          </cell>
          <cell r="B3509" t="str">
            <v>CZ842M188</v>
          </cell>
          <cell r="C3509">
            <v>1</v>
          </cell>
          <cell r="D3509">
            <v>978.2</v>
          </cell>
          <cell r="E3509">
            <v>978.2</v>
          </cell>
          <cell r="F3509" t="str">
            <v>A1-S11</v>
          </cell>
          <cell r="G3509" t="str">
            <v>Bottom rail inside - Đố tiền đáy</v>
          </cell>
          <cell r="H3509" t="str">
            <v>Wood Red Oak - Straight/Waving Edged, 2 COM - T32mm x W100mm Up x L1.5m Up</v>
          </cell>
          <cell r="I3509">
            <v>1</v>
          </cell>
        </row>
        <row r="3510">
          <cell r="A3510" t="str">
            <v>B558176/A</v>
          </cell>
          <cell r="B3510" t="str">
            <v>CZ842M188</v>
          </cell>
          <cell r="C3510">
            <v>1</v>
          </cell>
          <cell r="D3510">
            <v>978.2</v>
          </cell>
          <cell r="E3510">
            <v>978.2</v>
          </cell>
          <cell r="F3510" t="str">
            <v>A1-S12</v>
          </cell>
          <cell r="G3510" t="str">
            <v>Bottom rail inside - Đố tiền đáy</v>
          </cell>
          <cell r="H3510" t="str">
            <v>Wood laminate</v>
          </cell>
          <cell r="I3510">
            <v>2</v>
          </cell>
        </row>
        <row r="3511">
          <cell r="A3511" t="str">
            <v>B558176/A</v>
          </cell>
          <cell r="B3511" t="str">
            <v>CZ842M188</v>
          </cell>
          <cell r="C3511">
            <v>1</v>
          </cell>
          <cell r="D3511">
            <v>978.2</v>
          </cell>
          <cell r="E3511">
            <v>978.2</v>
          </cell>
          <cell r="F3511" t="str">
            <v>A1-S13</v>
          </cell>
          <cell r="G3511" t="str">
            <v>Vertical rail 1 - Đố đứng 1</v>
          </cell>
          <cell r="H3511" t="str">
            <v>Wood Rubber Laminate Board - 20 x 1220 x 2440mm, Veneer Poplar both Faces</v>
          </cell>
          <cell r="I3511">
            <v>2</v>
          </cell>
        </row>
        <row r="3512">
          <cell r="A3512" t="str">
            <v>B558176/A</v>
          </cell>
          <cell r="B3512" t="str">
            <v>CZ842M188</v>
          </cell>
          <cell r="C3512">
            <v>1</v>
          </cell>
          <cell r="D3512">
            <v>978.2</v>
          </cell>
          <cell r="E3512">
            <v>978.2</v>
          </cell>
          <cell r="F3512" t="str">
            <v>A1-S14</v>
          </cell>
          <cell r="G3512" t="str">
            <v>Vertical rail 1 - Đố đứng 1</v>
          </cell>
          <cell r="H3512" t="str">
            <v>Wood Rubber Laminate Board - 20 x 1220 x 2440mm, Veneer Poplar both Faces</v>
          </cell>
          <cell r="I3512">
            <v>6</v>
          </cell>
        </row>
        <row r="3513">
          <cell r="A3513" t="str">
            <v>B558176/A</v>
          </cell>
          <cell r="B3513" t="str">
            <v>CZ842M188</v>
          </cell>
          <cell r="C3513">
            <v>1</v>
          </cell>
          <cell r="D3513">
            <v>978.2</v>
          </cell>
          <cell r="E3513">
            <v>978.2</v>
          </cell>
          <cell r="F3513" t="str">
            <v>A1-S15</v>
          </cell>
          <cell r="G3513" t="str">
            <v>Vertical rail 1 - Đố đứng 1</v>
          </cell>
          <cell r="H3513" t="str">
            <v>Wood Rubber Laminate Board - 20 x 1220 x 2440mm, Veneer Poplar both Faces</v>
          </cell>
          <cell r="I3513">
            <v>2</v>
          </cell>
        </row>
        <row r="3514">
          <cell r="A3514" t="str">
            <v>B558176/A</v>
          </cell>
          <cell r="B3514" t="str">
            <v>CZ842M188</v>
          </cell>
          <cell r="C3514">
            <v>1</v>
          </cell>
          <cell r="D3514">
            <v>978.2</v>
          </cell>
          <cell r="E3514">
            <v>978.2</v>
          </cell>
          <cell r="F3514" t="str">
            <v>A1-S17</v>
          </cell>
          <cell r="G3514" t="str">
            <v>Vertical rail 1 - Đố đứng 1</v>
          </cell>
          <cell r="H3514" t="str">
            <v>MDF OFF CUT</v>
          </cell>
          <cell r="I3514">
            <v>9</v>
          </cell>
        </row>
        <row r="3515">
          <cell r="A3515" t="str">
            <v>B558176/A</v>
          </cell>
          <cell r="B3515" t="str">
            <v>CZ842M188</v>
          </cell>
          <cell r="C3515">
            <v>1</v>
          </cell>
          <cell r="D3515">
            <v>978.2</v>
          </cell>
          <cell r="E3515">
            <v>978.2</v>
          </cell>
          <cell r="F3515" t="str">
            <v>A1-S18</v>
          </cell>
          <cell r="G3515" t="str">
            <v>Vertical rail 1 - Đố đứng 1</v>
          </cell>
          <cell r="H3515" t="str">
            <v>MDF OFF CUT</v>
          </cell>
          <cell r="I3515">
            <v>3</v>
          </cell>
        </row>
        <row r="3516">
          <cell r="A3516" t="str">
            <v>B558176/A</v>
          </cell>
          <cell r="B3516" t="str">
            <v>CZ842M188</v>
          </cell>
          <cell r="C3516">
            <v>1</v>
          </cell>
          <cell r="D3516">
            <v>978.2</v>
          </cell>
          <cell r="E3516">
            <v>978.2</v>
          </cell>
          <cell r="F3516" t="str">
            <v>A2-S01</v>
          </cell>
          <cell r="G3516" t="str">
            <v>Top rail - Đố nóc</v>
          </cell>
          <cell r="H3516" t="str">
            <v>Wood laminate</v>
          </cell>
          <cell r="I3516">
            <v>1</v>
          </cell>
        </row>
        <row r="3517">
          <cell r="A3517" t="str">
            <v>B558176/A</v>
          </cell>
          <cell r="B3517" t="str">
            <v>CZ842M188</v>
          </cell>
          <cell r="C3517">
            <v>1</v>
          </cell>
          <cell r="D3517">
            <v>978.2</v>
          </cell>
          <cell r="E3517">
            <v>978.2</v>
          </cell>
          <cell r="F3517" t="str">
            <v>A2-S02</v>
          </cell>
          <cell r="G3517" t="str">
            <v>Vertical rail 1 - Đố đứng 1</v>
          </cell>
          <cell r="H3517" t="str">
            <v>Wood laminate</v>
          </cell>
          <cell r="I3517">
            <v>2</v>
          </cell>
        </row>
        <row r="3518">
          <cell r="A3518" t="str">
            <v>B558176/A</v>
          </cell>
          <cell r="B3518" t="str">
            <v>CZ842M188</v>
          </cell>
          <cell r="C3518">
            <v>1</v>
          </cell>
          <cell r="D3518">
            <v>978.2</v>
          </cell>
          <cell r="E3518">
            <v>978.2</v>
          </cell>
          <cell r="F3518" t="str">
            <v>A2-S03</v>
          </cell>
          <cell r="G3518" t="str">
            <v>Foot board panel  - Ván đuôi giường</v>
          </cell>
          <cell r="H3518" t="str">
            <v>MDF laminate</v>
          </cell>
          <cell r="I3518">
            <v>1</v>
          </cell>
        </row>
        <row r="3519">
          <cell r="A3519" t="str">
            <v>B558176/A</v>
          </cell>
          <cell r="B3519" t="str">
            <v>CZ842M188</v>
          </cell>
          <cell r="C3519">
            <v>1</v>
          </cell>
          <cell r="D3519">
            <v>978.2</v>
          </cell>
          <cell r="E3519">
            <v>978.2</v>
          </cell>
          <cell r="F3519" t="str">
            <v>A2-S04</v>
          </cell>
          <cell r="G3519" t="str">
            <v>Bottom rail inside - Đố tiền đáy</v>
          </cell>
          <cell r="H3519" t="str">
            <v>Wood laminate</v>
          </cell>
          <cell r="I3519">
            <v>1</v>
          </cell>
        </row>
        <row r="3520">
          <cell r="A3520" t="str">
            <v>B558176/A</v>
          </cell>
          <cell r="B3520" t="str">
            <v>CZ842M188</v>
          </cell>
          <cell r="C3520">
            <v>1</v>
          </cell>
          <cell r="D3520">
            <v>978.2</v>
          </cell>
          <cell r="E3520">
            <v>978.2</v>
          </cell>
          <cell r="F3520" t="str">
            <v>A3-S01</v>
          </cell>
          <cell r="G3520" t="str">
            <v xml:space="preserve">Side rail  - Đố hông </v>
          </cell>
          <cell r="H3520" t="str">
            <v>Wood Red Oak - Straight/Waving Edged, 1 COM - T38mm x W100mm Up x L1.8m Up</v>
          </cell>
          <cell r="I3520">
            <v>2</v>
          </cell>
        </row>
        <row r="3521">
          <cell r="A3521" t="str">
            <v>B558176/A</v>
          </cell>
          <cell r="B3521" t="str">
            <v>CZ842M188</v>
          </cell>
          <cell r="C3521">
            <v>1</v>
          </cell>
          <cell r="D3521">
            <v>978.2</v>
          </cell>
          <cell r="E3521">
            <v>978.2</v>
          </cell>
          <cell r="F3521" t="str">
            <v>A3-S02</v>
          </cell>
          <cell r="G3521" t="str">
            <v>Side bed - Hông giường</v>
          </cell>
          <cell r="H3521" t="str">
            <v>MDF Veneer</v>
          </cell>
          <cell r="I3521">
            <v>2</v>
          </cell>
        </row>
        <row r="3522">
          <cell r="A3522" t="str">
            <v>B558176/A</v>
          </cell>
          <cell r="B3522" t="str">
            <v>CZ842M188</v>
          </cell>
          <cell r="C3522">
            <v>1</v>
          </cell>
          <cell r="D3522">
            <v>978.2</v>
          </cell>
          <cell r="E3522">
            <v>978.2</v>
          </cell>
          <cell r="F3522" t="str">
            <v>A3-S02-1</v>
          </cell>
          <cell r="G3522" t="str">
            <v>Insert Wood - Gỗ chèn</v>
          </cell>
          <cell r="H3522" t="str">
            <v>Beech off cut</v>
          </cell>
          <cell r="I3522">
            <v>4</v>
          </cell>
        </row>
        <row r="3523">
          <cell r="A3523" t="str">
            <v>B558176/A</v>
          </cell>
          <cell r="B3523" t="str">
            <v>CZ842M188</v>
          </cell>
          <cell r="C3523">
            <v>1</v>
          </cell>
          <cell r="D3523">
            <v>978.2</v>
          </cell>
          <cell r="E3523">
            <v>978.2</v>
          </cell>
          <cell r="F3523" t="str">
            <v>A3-S03</v>
          </cell>
          <cell r="G3523" t="str">
            <v>Slat Support  - Đỡ dạt giường</v>
          </cell>
          <cell r="H3523" t="str">
            <v>Wood EU Beech - Straight/Waving Edged AB, 1 COM - T32mm x W100mm up x L1.8m up</v>
          </cell>
          <cell r="I3523">
            <v>2</v>
          </cell>
        </row>
        <row r="3524">
          <cell r="A3524" t="str">
            <v>B558176/A</v>
          </cell>
          <cell r="B3524" t="str">
            <v>CZ842M188</v>
          </cell>
          <cell r="C3524">
            <v>1</v>
          </cell>
          <cell r="D3524">
            <v>978.2</v>
          </cell>
          <cell r="E3524">
            <v>978.2</v>
          </cell>
          <cell r="F3524" t="str">
            <v>A3-S04</v>
          </cell>
          <cell r="G3524" t="str">
            <v>Front Bottom Rail  - Đố đáy trước</v>
          </cell>
          <cell r="H3524" t="str">
            <v>Wood Red Oak - Straight/Waving Edged, 1 COM - T32mm x W100mm Up x L1.8m Up</v>
          </cell>
          <cell r="I3524">
            <v>2</v>
          </cell>
        </row>
        <row r="3525">
          <cell r="A3525" t="str">
            <v>B558176/A</v>
          </cell>
          <cell r="B3525" t="str">
            <v>CZ842M188</v>
          </cell>
          <cell r="C3525">
            <v>1</v>
          </cell>
          <cell r="D3525">
            <v>978.2</v>
          </cell>
          <cell r="E3525">
            <v>978.2</v>
          </cell>
          <cell r="F3525" t="str">
            <v>P01</v>
          </cell>
          <cell r="G3525" t="str">
            <v>slat buy - dạt mua từ nhà cung</v>
          </cell>
          <cell r="H3525" t="str">
            <v>Slat buy</v>
          </cell>
          <cell r="I3525">
            <v>13</v>
          </cell>
        </row>
        <row r="3526">
          <cell r="A3526" t="str">
            <v>B558176/A</v>
          </cell>
          <cell r="B3526" t="str">
            <v>CZ842M188</v>
          </cell>
          <cell r="C3526">
            <v>1</v>
          </cell>
          <cell r="D3526">
            <v>978.2</v>
          </cell>
          <cell r="E3526">
            <v>978.2</v>
          </cell>
          <cell r="F3526" t="str">
            <v>P03</v>
          </cell>
          <cell r="G3526" t="str">
            <v>Slat Support  - Đỡ dạt giường</v>
          </cell>
          <cell r="H3526" t="str">
            <v>Wood US Poplar - Straight Edged, 1 COM - T38mm x W100mm Up x L1.8m Up</v>
          </cell>
          <cell r="I3526">
            <v>2</v>
          </cell>
        </row>
        <row r="3527">
          <cell r="A3527" t="str">
            <v>B558178/A</v>
          </cell>
          <cell r="B3527" t="str">
            <v>CZ842M409</v>
          </cell>
          <cell r="C3527">
            <v>1</v>
          </cell>
          <cell r="D3527">
            <v>978.2</v>
          </cell>
          <cell r="E3527">
            <v>978.2</v>
          </cell>
          <cell r="F3527" t="str">
            <v>A1-S01</v>
          </cell>
          <cell r="G3527" t="str">
            <v>Top rail - Đố nóc</v>
          </cell>
          <cell r="H3527" t="str">
            <v>Wood White Oak - Straight/Waving Edged, 1 COM - T38mm x W100mm Up x L1.8m Up</v>
          </cell>
          <cell r="I3527">
            <v>1</v>
          </cell>
        </row>
        <row r="3528">
          <cell r="A3528" t="str">
            <v>B558178/A</v>
          </cell>
          <cell r="B3528" t="str">
            <v>CZ842M409</v>
          </cell>
          <cell r="C3528">
            <v>1</v>
          </cell>
          <cell r="D3528">
            <v>978.2</v>
          </cell>
          <cell r="E3528">
            <v>978.2</v>
          </cell>
          <cell r="F3528" t="str">
            <v>A1-S02</v>
          </cell>
          <cell r="G3528" t="str">
            <v xml:space="preserve">Side rail  - Đố hông </v>
          </cell>
          <cell r="H3528" t="str">
            <v>Wood laminate</v>
          </cell>
          <cell r="I3528">
            <v>2</v>
          </cell>
        </row>
        <row r="3529">
          <cell r="A3529" t="str">
            <v>B558178/A</v>
          </cell>
          <cell r="B3529" t="str">
            <v>CZ842M409</v>
          </cell>
          <cell r="C3529">
            <v>1</v>
          </cell>
          <cell r="D3529">
            <v>978.2</v>
          </cell>
          <cell r="E3529">
            <v>978.2</v>
          </cell>
          <cell r="F3529" t="str">
            <v>A1-S03</v>
          </cell>
          <cell r="G3529" t="str">
            <v xml:space="preserve">Panel - Ván </v>
          </cell>
          <cell r="H3529" t="str">
            <v>MDF - 15 x 1830 x 2440mm [CARB P2 Compliant]</v>
          </cell>
          <cell r="I3529">
            <v>1</v>
          </cell>
        </row>
        <row r="3530">
          <cell r="A3530" t="str">
            <v>B558178/A</v>
          </cell>
          <cell r="B3530" t="str">
            <v>CZ842M409</v>
          </cell>
          <cell r="C3530">
            <v>1</v>
          </cell>
          <cell r="D3530">
            <v>978.2</v>
          </cell>
          <cell r="E3530">
            <v>978.2</v>
          </cell>
          <cell r="F3530" t="str">
            <v>A1-S04</v>
          </cell>
          <cell r="G3530" t="str">
            <v>Back panel - Ván hậu</v>
          </cell>
          <cell r="H3530" t="str">
            <v>MDF Veneer</v>
          </cell>
          <cell r="I3530">
            <v>1</v>
          </cell>
        </row>
        <row r="3531">
          <cell r="A3531" t="str">
            <v>B558178/A</v>
          </cell>
          <cell r="B3531" t="str">
            <v>CZ842M409</v>
          </cell>
          <cell r="C3531">
            <v>1</v>
          </cell>
          <cell r="D3531">
            <v>978.2</v>
          </cell>
          <cell r="E3531">
            <v>978.2</v>
          </cell>
          <cell r="F3531" t="str">
            <v>A1-S05</v>
          </cell>
          <cell r="G3531" t="str">
            <v>Vertical rail 1 - Đố đứng 1</v>
          </cell>
          <cell r="H3531" t="str">
            <v>Wood Rubber Laminate Board - 20 x 1220 x 2440mm, Veneer Poplar both Faces</v>
          </cell>
          <cell r="I3531">
            <v>2</v>
          </cell>
        </row>
        <row r="3532">
          <cell r="A3532" t="str">
            <v>B558178/A</v>
          </cell>
          <cell r="B3532" t="str">
            <v>CZ842M409</v>
          </cell>
          <cell r="C3532">
            <v>1</v>
          </cell>
          <cell r="D3532">
            <v>978.2</v>
          </cell>
          <cell r="E3532">
            <v>978.2</v>
          </cell>
          <cell r="F3532" t="str">
            <v>A1-S06</v>
          </cell>
          <cell r="G3532" t="str">
            <v>Horizontal rail 1 - Đố ngang 1</v>
          </cell>
          <cell r="H3532" t="str">
            <v>Wood Rubber Laminate Board - 20 x 1220 x 2440mm, Veneer Poplar both Faces</v>
          </cell>
          <cell r="I3532">
            <v>1</v>
          </cell>
        </row>
        <row r="3533">
          <cell r="A3533" t="str">
            <v>B558178/A</v>
          </cell>
          <cell r="B3533" t="str">
            <v>CZ842M409</v>
          </cell>
          <cell r="C3533">
            <v>1</v>
          </cell>
          <cell r="D3533">
            <v>978.2</v>
          </cell>
          <cell r="E3533">
            <v>978.2</v>
          </cell>
          <cell r="F3533" t="str">
            <v>A1-S07</v>
          </cell>
          <cell r="G3533" t="str">
            <v>Horizontal rail 1 - Đố ngang 1</v>
          </cell>
          <cell r="H3533" t="str">
            <v>Wood Rubber Laminate Board - 20 x 1220 x 2440mm, Veneer Poplar both Faces</v>
          </cell>
          <cell r="I3533">
            <v>2</v>
          </cell>
        </row>
        <row r="3534">
          <cell r="A3534" t="str">
            <v>B558178/A</v>
          </cell>
          <cell r="B3534" t="str">
            <v>CZ842M409</v>
          </cell>
          <cell r="C3534">
            <v>1</v>
          </cell>
          <cell r="D3534">
            <v>978.2</v>
          </cell>
          <cell r="E3534">
            <v>978.2</v>
          </cell>
          <cell r="F3534" t="str">
            <v>A1-S08</v>
          </cell>
          <cell r="G3534" t="str">
            <v>Horizontal rail 1 - Đố ngang 1</v>
          </cell>
          <cell r="H3534" t="str">
            <v>Standard Wood - ALDER/ASPEN/LENGA/US POPLAR, 2 COM - T50 W120mm+ L2m+</v>
          </cell>
          <cell r="I3534">
            <v>1</v>
          </cell>
        </row>
        <row r="3535">
          <cell r="A3535" t="str">
            <v>B558178/A</v>
          </cell>
          <cell r="B3535" t="str">
            <v>CZ842M409</v>
          </cell>
          <cell r="C3535">
            <v>1</v>
          </cell>
          <cell r="D3535">
            <v>978.2</v>
          </cell>
          <cell r="E3535">
            <v>978.2</v>
          </cell>
          <cell r="F3535" t="str">
            <v>A1-S09</v>
          </cell>
          <cell r="G3535" t="str">
            <v>Cleat - Bọ gỗ</v>
          </cell>
          <cell r="H3535" t="str">
            <v>Beech off cut</v>
          </cell>
          <cell r="I3535">
            <v>4</v>
          </cell>
        </row>
        <row r="3536">
          <cell r="A3536" t="str">
            <v>B558178/A</v>
          </cell>
          <cell r="B3536" t="str">
            <v>CZ842M409</v>
          </cell>
          <cell r="C3536">
            <v>1</v>
          </cell>
          <cell r="D3536">
            <v>978.2</v>
          </cell>
          <cell r="E3536">
            <v>978.2</v>
          </cell>
          <cell r="F3536" t="str">
            <v>A1-S10</v>
          </cell>
          <cell r="G3536" t="str">
            <v xml:space="preserve">Front panel  - Ván tiền </v>
          </cell>
          <cell r="H3536" t="str">
            <v>MDF Veneer</v>
          </cell>
          <cell r="I3536">
            <v>1</v>
          </cell>
        </row>
        <row r="3537">
          <cell r="A3537" t="str">
            <v>B558178/A</v>
          </cell>
          <cell r="B3537" t="str">
            <v>CZ842M409</v>
          </cell>
          <cell r="C3537">
            <v>1</v>
          </cell>
          <cell r="D3537">
            <v>978.2</v>
          </cell>
          <cell r="E3537">
            <v>978.2</v>
          </cell>
          <cell r="F3537" t="str">
            <v>A1-S10-1</v>
          </cell>
          <cell r="G3537" t="str">
            <v>Patching wood - Gỗ đắp</v>
          </cell>
          <cell r="H3537" t="str">
            <v>Beech off cut</v>
          </cell>
          <cell r="I3537">
            <v>2</v>
          </cell>
        </row>
        <row r="3538">
          <cell r="A3538" t="str">
            <v>B558178/A</v>
          </cell>
          <cell r="B3538" t="str">
            <v>CZ842M409</v>
          </cell>
          <cell r="C3538">
            <v>1</v>
          </cell>
          <cell r="D3538">
            <v>978.2</v>
          </cell>
          <cell r="E3538">
            <v>978.2</v>
          </cell>
          <cell r="F3538" t="str">
            <v>A1-S11</v>
          </cell>
          <cell r="G3538" t="str">
            <v>Bottom rail inside - Đố tiền đáy</v>
          </cell>
          <cell r="H3538" t="str">
            <v>Wood White Oak - Straight/Waving Edged, 2 COM - T32mm x W100mm Up x L1.5m Up</v>
          </cell>
          <cell r="I3538">
            <v>1</v>
          </cell>
        </row>
        <row r="3539">
          <cell r="A3539" t="str">
            <v>B558178/A</v>
          </cell>
          <cell r="B3539" t="str">
            <v>CZ842M409</v>
          </cell>
          <cell r="C3539">
            <v>1</v>
          </cell>
          <cell r="D3539">
            <v>978.2</v>
          </cell>
          <cell r="E3539">
            <v>978.2</v>
          </cell>
          <cell r="F3539" t="str">
            <v>A1-S12</v>
          </cell>
          <cell r="G3539" t="str">
            <v>Bottom rail inside - Đố tiền đáy</v>
          </cell>
          <cell r="H3539" t="str">
            <v>Wood laminate</v>
          </cell>
          <cell r="I3539">
            <v>2</v>
          </cell>
        </row>
        <row r="3540">
          <cell r="A3540" t="str">
            <v>B558178/A</v>
          </cell>
          <cell r="B3540" t="str">
            <v>CZ842M409</v>
          </cell>
          <cell r="C3540">
            <v>1</v>
          </cell>
          <cell r="D3540">
            <v>978.2</v>
          </cell>
          <cell r="E3540">
            <v>978.2</v>
          </cell>
          <cell r="F3540" t="str">
            <v>A1-S13</v>
          </cell>
          <cell r="G3540" t="str">
            <v>Vertical rail 1 - Đố đứng 1</v>
          </cell>
          <cell r="H3540" t="str">
            <v>Wood Rubber Laminate Board - 20 x 1220 x 2440mm, Veneer Poplar both Faces</v>
          </cell>
          <cell r="I3540">
            <v>2</v>
          </cell>
        </row>
        <row r="3541">
          <cell r="A3541" t="str">
            <v>B558178/A</v>
          </cell>
          <cell r="B3541" t="str">
            <v>CZ842M409</v>
          </cell>
          <cell r="C3541">
            <v>1</v>
          </cell>
          <cell r="D3541">
            <v>978.2</v>
          </cell>
          <cell r="E3541">
            <v>978.2</v>
          </cell>
          <cell r="F3541" t="str">
            <v>A1-S14</v>
          </cell>
          <cell r="G3541" t="str">
            <v>Vertical rail 1 - Đố đứng 1</v>
          </cell>
          <cell r="H3541" t="str">
            <v>Wood Rubber Laminate Board - 20 x 1220 x 2440mm, Veneer Poplar both Faces</v>
          </cell>
          <cell r="I3541">
            <v>6</v>
          </cell>
        </row>
        <row r="3542">
          <cell r="A3542" t="str">
            <v>B558178/A</v>
          </cell>
          <cell r="B3542" t="str">
            <v>CZ842M409</v>
          </cell>
          <cell r="C3542">
            <v>1</v>
          </cell>
          <cell r="D3542">
            <v>978.2</v>
          </cell>
          <cell r="E3542">
            <v>978.2</v>
          </cell>
          <cell r="F3542" t="str">
            <v>A1-S15</v>
          </cell>
          <cell r="G3542" t="str">
            <v>Vertical rail 1 - Đố đứng 1</v>
          </cell>
          <cell r="H3542" t="str">
            <v>Wood Rubber Laminate Board - 20 x 1220 x 2440mm, Veneer Poplar both Faces</v>
          </cell>
          <cell r="I3542">
            <v>2</v>
          </cell>
        </row>
        <row r="3543">
          <cell r="A3543" t="str">
            <v>B558178/A</v>
          </cell>
          <cell r="B3543" t="str">
            <v>CZ842M409</v>
          </cell>
          <cell r="C3543">
            <v>1</v>
          </cell>
          <cell r="D3543">
            <v>978.2</v>
          </cell>
          <cell r="E3543">
            <v>978.2</v>
          </cell>
          <cell r="F3543" t="str">
            <v>A1-S17</v>
          </cell>
          <cell r="G3543" t="str">
            <v>Vertical rail 1 - Đố đứng 1</v>
          </cell>
          <cell r="H3543" t="str">
            <v>MDF OFF CUT</v>
          </cell>
          <cell r="I3543">
            <v>9</v>
          </cell>
        </row>
        <row r="3544">
          <cell r="A3544" t="str">
            <v>B558178/A</v>
          </cell>
          <cell r="B3544" t="str">
            <v>CZ842M409</v>
          </cell>
          <cell r="C3544">
            <v>1</v>
          </cell>
          <cell r="D3544">
            <v>978.2</v>
          </cell>
          <cell r="E3544">
            <v>978.2</v>
          </cell>
          <cell r="F3544" t="str">
            <v>A1-S18</v>
          </cell>
          <cell r="G3544" t="str">
            <v>Vertical rail 1 - Đố đứng 1</v>
          </cell>
          <cell r="H3544" t="str">
            <v>MDF OFF CUT</v>
          </cell>
          <cell r="I3544">
            <v>3</v>
          </cell>
        </row>
        <row r="3545">
          <cell r="A3545" t="str">
            <v>B558178/A</v>
          </cell>
          <cell r="B3545" t="str">
            <v>CZ842M409</v>
          </cell>
          <cell r="C3545">
            <v>1</v>
          </cell>
          <cell r="D3545">
            <v>978.2</v>
          </cell>
          <cell r="E3545">
            <v>978.2</v>
          </cell>
          <cell r="F3545" t="str">
            <v>A2-S01</v>
          </cell>
          <cell r="G3545" t="str">
            <v>Top rail - Đố nóc</v>
          </cell>
          <cell r="H3545" t="str">
            <v>Wood laminate</v>
          </cell>
          <cell r="I3545">
            <v>1</v>
          </cell>
        </row>
        <row r="3546">
          <cell r="A3546" t="str">
            <v>B558178/A</v>
          </cell>
          <cell r="B3546" t="str">
            <v>CZ842M409</v>
          </cell>
          <cell r="C3546">
            <v>1</v>
          </cell>
          <cell r="D3546">
            <v>978.2</v>
          </cell>
          <cell r="E3546">
            <v>978.2</v>
          </cell>
          <cell r="F3546" t="str">
            <v>A2-S02</v>
          </cell>
          <cell r="G3546" t="str">
            <v>Vertical rail 1 - Đố đứng 1</v>
          </cell>
          <cell r="H3546" t="str">
            <v>Wood laminate</v>
          </cell>
          <cell r="I3546">
            <v>2</v>
          </cell>
        </row>
        <row r="3547">
          <cell r="A3547" t="str">
            <v>B558178/A</v>
          </cell>
          <cell r="B3547" t="str">
            <v>CZ842M409</v>
          </cell>
          <cell r="C3547">
            <v>1</v>
          </cell>
          <cell r="D3547">
            <v>978.2</v>
          </cell>
          <cell r="E3547">
            <v>978.2</v>
          </cell>
          <cell r="F3547" t="str">
            <v>A2-S03</v>
          </cell>
          <cell r="G3547" t="str">
            <v>Foot board panel  - Ván đuôi giường</v>
          </cell>
          <cell r="H3547" t="str">
            <v>MDF laminate</v>
          </cell>
          <cell r="I3547">
            <v>1</v>
          </cell>
        </row>
        <row r="3548">
          <cell r="A3548" t="str">
            <v>B558178/A</v>
          </cell>
          <cell r="B3548" t="str">
            <v>CZ842M409</v>
          </cell>
          <cell r="C3548">
            <v>1</v>
          </cell>
          <cell r="D3548">
            <v>978.2</v>
          </cell>
          <cell r="E3548">
            <v>978.2</v>
          </cell>
          <cell r="F3548" t="str">
            <v>A2-S04</v>
          </cell>
          <cell r="G3548" t="str">
            <v>Bottom rail inside - Đố tiền đáy</v>
          </cell>
          <cell r="H3548" t="str">
            <v>Wood laminate</v>
          </cell>
          <cell r="I3548">
            <v>1</v>
          </cell>
        </row>
        <row r="3549">
          <cell r="A3549" t="str">
            <v>B558178/A</v>
          </cell>
          <cell r="B3549" t="str">
            <v>CZ842M409</v>
          </cell>
          <cell r="C3549">
            <v>1</v>
          </cell>
          <cell r="D3549">
            <v>978.2</v>
          </cell>
          <cell r="E3549">
            <v>978.2</v>
          </cell>
          <cell r="F3549" t="str">
            <v>A3-S01</v>
          </cell>
          <cell r="G3549" t="str">
            <v xml:space="preserve">Side rail  - Đố hông </v>
          </cell>
          <cell r="H3549" t="str">
            <v>Wood White Oak - Straight/Waving Edged, 1 COM - T38mm x W100mm Up x L1.8m Up</v>
          </cell>
          <cell r="I3549">
            <v>2</v>
          </cell>
        </row>
        <row r="3550">
          <cell r="A3550" t="str">
            <v>B558178/A</v>
          </cell>
          <cell r="B3550" t="str">
            <v>CZ842M409</v>
          </cell>
          <cell r="C3550">
            <v>1</v>
          </cell>
          <cell r="D3550">
            <v>978.2</v>
          </cell>
          <cell r="E3550">
            <v>978.2</v>
          </cell>
          <cell r="F3550" t="str">
            <v>A3-S02</v>
          </cell>
          <cell r="G3550" t="str">
            <v>Side bed - Hông giường</v>
          </cell>
          <cell r="H3550" t="str">
            <v>MDF Veneer</v>
          </cell>
          <cell r="I3550">
            <v>2</v>
          </cell>
        </row>
        <row r="3551">
          <cell r="A3551" t="str">
            <v>B558178/A</v>
          </cell>
          <cell r="B3551" t="str">
            <v>CZ842M409</v>
          </cell>
          <cell r="C3551">
            <v>1</v>
          </cell>
          <cell r="D3551">
            <v>978.2</v>
          </cell>
          <cell r="E3551">
            <v>978.2</v>
          </cell>
          <cell r="F3551" t="str">
            <v>A3-S02-1</v>
          </cell>
          <cell r="G3551" t="str">
            <v>Insert Wood - Gỗ chèn</v>
          </cell>
          <cell r="H3551" t="str">
            <v>Beech off cut</v>
          </cell>
          <cell r="I3551">
            <v>4</v>
          </cell>
        </row>
        <row r="3552">
          <cell r="A3552" t="str">
            <v>B558178/A</v>
          </cell>
          <cell r="B3552" t="str">
            <v>CZ842M409</v>
          </cell>
          <cell r="C3552">
            <v>1</v>
          </cell>
          <cell r="D3552">
            <v>978.2</v>
          </cell>
          <cell r="E3552">
            <v>978.2</v>
          </cell>
          <cell r="F3552" t="str">
            <v>A3-S03</v>
          </cell>
          <cell r="G3552" t="str">
            <v>Slat Support  - Đỡ dạt giường</v>
          </cell>
          <cell r="H3552" t="str">
            <v>Wood EU Beech - Straight/Waving Edged AB, 1 COM - T32mm x W100mm up x L1.8m up</v>
          </cell>
          <cell r="I3552">
            <v>2</v>
          </cell>
        </row>
        <row r="3553">
          <cell r="A3553" t="str">
            <v>B558178/A</v>
          </cell>
          <cell r="B3553" t="str">
            <v>CZ842M409</v>
          </cell>
          <cell r="C3553">
            <v>1</v>
          </cell>
          <cell r="D3553">
            <v>978.2</v>
          </cell>
          <cell r="E3553">
            <v>978.2</v>
          </cell>
          <cell r="F3553" t="str">
            <v>A3-S04</v>
          </cell>
          <cell r="G3553" t="str">
            <v>Front Bottom Rail  - Đố đáy trước</v>
          </cell>
          <cell r="H3553" t="str">
            <v>Wood White Oak - Straight/Waving Edged, 1 COM - T32mm x W100mm Up x L1.8m Up</v>
          </cell>
          <cell r="I3553">
            <v>2</v>
          </cell>
        </row>
        <row r="3554">
          <cell r="A3554" t="str">
            <v>B558178/A</v>
          </cell>
          <cell r="B3554" t="str">
            <v>CZ842M409</v>
          </cell>
          <cell r="C3554">
            <v>1</v>
          </cell>
          <cell r="D3554">
            <v>978.2</v>
          </cell>
          <cell r="E3554">
            <v>978.2</v>
          </cell>
          <cell r="F3554" t="str">
            <v>P01</v>
          </cell>
          <cell r="G3554" t="str">
            <v>slat buy - dạt mua từ nhà cung</v>
          </cell>
          <cell r="H3554" t="str">
            <v>Slat buy</v>
          </cell>
          <cell r="I3554">
            <v>13</v>
          </cell>
        </row>
        <row r="3555">
          <cell r="A3555" t="str">
            <v>B558178/A</v>
          </cell>
          <cell r="B3555" t="str">
            <v>CZ842M409</v>
          </cell>
          <cell r="C3555">
            <v>1</v>
          </cell>
          <cell r="D3555">
            <v>978.2</v>
          </cell>
          <cell r="E3555">
            <v>978.2</v>
          </cell>
          <cell r="F3555" t="str">
            <v>P03</v>
          </cell>
          <cell r="G3555" t="str">
            <v>Slat Support  - Đỡ dạt giường</v>
          </cell>
          <cell r="H3555" t="str">
            <v>Wood US Poplar - Straight Edged, 1 COM - T38mm x W100mm Up x L1.8m Up</v>
          </cell>
          <cell r="I3555">
            <v>2</v>
          </cell>
        </row>
        <row r="3556">
          <cell r="A3556" t="str">
            <v>B558181/A</v>
          </cell>
          <cell r="B3556" t="str">
            <v>CZ842M409</v>
          </cell>
          <cell r="C3556">
            <v>3</v>
          </cell>
          <cell r="D3556">
            <v>978.2</v>
          </cell>
          <cell r="E3556">
            <v>2934.6000000000004</v>
          </cell>
          <cell r="F3556" t="str">
            <v>A1-S01</v>
          </cell>
          <cell r="G3556" t="str">
            <v>Top rail - Đố nóc</v>
          </cell>
          <cell r="H3556" t="str">
            <v>Wood White Oak - Straight/Waving Edged, 1 COM - T38mm x W100mm Up x L1.8m Up</v>
          </cell>
          <cell r="I3556">
            <v>3</v>
          </cell>
        </row>
        <row r="3557">
          <cell r="A3557" t="str">
            <v>B558181/A</v>
          </cell>
          <cell r="B3557" t="str">
            <v>CZ842M409</v>
          </cell>
          <cell r="C3557">
            <v>3</v>
          </cell>
          <cell r="D3557">
            <v>978.2</v>
          </cell>
          <cell r="E3557">
            <v>2934.6000000000004</v>
          </cell>
          <cell r="F3557" t="str">
            <v>A1-S02</v>
          </cell>
          <cell r="G3557" t="str">
            <v xml:space="preserve">Side rail  - Đố hông </v>
          </cell>
          <cell r="H3557" t="str">
            <v>Wood laminate</v>
          </cell>
          <cell r="I3557">
            <v>6</v>
          </cell>
        </row>
        <row r="3558">
          <cell r="A3558" t="str">
            <v>B558181/A</v>
          </cell>
          <cell r="B3558" t="str">
            <v>CZ842M409</v>
          </cell>
          <cell r="C3558">
            <v>3</v>
          </cell>
          <cell r="D3558">
            <v>978.2</v>
          </cell>
          <cell r="E3558">
            <v>2934.6000000000004</v>
          </cell>
          <cell r="F3558" t="str">
            <v>A1-S03</v>
          </cell>
          <cell r="G3558" t="str">
            <v xml:space="preserve">Panel - Ván </v>
          </cell>
          <cell r="H3558" t="str">
            <v>MDF - 15 x 1830 x 2440mm [CARB P2 Compliant]</v>
          </cell>
          <cell r="I3558">
            <v>3</v>
          </cell>
        </row>
        <row r="3559">
          <cell r="A3559" t="str">
            <v>B558181/A</v>
          </cell>
          <cell r="B3559" t="str">
            <v>CZ842M409</v>
          </cell>
          <cell r="C3559">
            <v>3</v>
          </cell>
          <cell r="D3559">
            <v>978.2</v>
          </cell>
          <cell r="E3559">
            <v>2934.6000000000004</v>
          </cell>
          <cell r="F3559" t="str">
            <v>A1-S04</v>
          </cell>
          <cell r="G3559" t="str">
            <v>Back panel - Ván hậu</v>
          </cell>
          <cell r="H3559" t="str">
            <v>MDF Veneer</v>
          </cell>
          <cell r="I3559">
            <v>3</v>
          </cell>
        </row>
        <row r="3560">
          <cell r="A3560" t="str">
            <v>B558181/A</v>
          </cell>
          <cell r="B3560" t="str">
            <v>CZ842M409</v>
          </cell>
          <cell r="C3560">
            <v>3</v>
          </cell>
          <cell r="D3560">
            <v>978.2</v>
          </cell>
          <cell r="E3560">
            <v>2934.6000000000004</v>
          </cell>
          <cell r="F3560" t="str">
            <v>A1-S05</v>
          </cell>
          <cell r="G3560" t="str">
            <v>Vertical rail 1 - Đố đứng 1</v>
          </cell>
          <cell r="H3560" t="str">
            <v>Wood Rubber Laminate Board - 20 x 1220 x 2440mm, Veneer Poplar both Faces</v>
          </cell>
          <cell r="I3560">
            <v>6</v>
          </cell>
        </row>
        <row r="3561">
          <cell r="A3561" t="str">
            <v>B558181/A</v>
          </cell>
          <cell r="B3561" t="str">
            <v>CZ842M409</v>
          </cell>
          <cell r="C3561">
            <v>3</v>
          </cell>
          <cell r="D3561">
            <v>978.2</v>
          </cell>
          <cell r="E3561">
            <v>2934.6000000000004</v>
          </cell>
          <cell r="F3561" t="str">
            <v>A1-S06</v>
          </cell>
          <cell r="G3561" t="str">
            <v>Horizontal rail 1 - Đố ngang 1</v>
          </cell>
          <cell r="H3561" t="str">
            <v>Wood Rubber Laminate Board - 20 x 1220 x 2440mm, Veneer Poplar both Faces</v>
          </cell>
          <cell r="I3561">
            <v>3</v>
          </cell>
        </row>
        <row r="3562">
          <cell r="A3562" t="str">
            <v>B558181/A</v>
          </cell>
          <cell r="B3562" t="str">
            <v>CZ842M409</v>
          </cell>
          <cell r="C3562">
            <v>3</v>
          </cell>
          <cell r="D3562">
            <v>978.2</v>
          </cell>
          <cell r="E3562">
            <v>2934.6000000000004</v>
          </cell>
          <cell r="F3562" t="str">
            <v>A1-S07</v>
          </cell>
          <cell r="G3562" t="str">
            <v>Horizontal rail 1 - Đố ngang 1</v>
          </cell>
          <cell r="H3562" t="str">
            <v>Wood Rubber Laminate Board - 20 x 1220 x 2440mm, Veneer Poplar both Faces</v>
          </cell>
          <cell r="I3562">
            <v>6</v>
          </cell>
        </row>
        <row r="3563">
          <cell r="A3563" t="str">
            <v>B558181/A</v>
          </cell>
          <cell r="B3563" t="str">
            <v>CZ842M409</v>
          </cell>
          <cell r="C3563">
            <v>3</v>
          </cell>
          <cell r="D3563">
            <v>978.2</v>
          </cell>
          <cell r="E3563">
            <v>2934.6000000000004</v>
          </cell>
          <cell r="F3563" t="str">
            <v>A1-S08</v>
          </cell>
          <cell r="G3563" t="str">
            <v>Horizontal rail 1 - Đố ngang 1</v>
          </cell>
          <cell r="H3563" t="str">
            <v>Standard Wood - ALDER/ASPEN/LENGA/US POPLAR, 2 COM - T50 W120mm+ L2m+</v>
          </cell>
          <cell r="I3563">
            <v>3</v>
          </cell>
        </row>
        <row r="3564">
          <cell r="A3564" t="str">
            <v>B558181/A</v>
          </cell>
          <cell r="B3564" t="str">
            <v>CZ842M409</v>
          </cell>
          <cell r="C3564">
            <v>3</v>
          </cell>
          <cell r="D3564">
            <v>978.2</v>
          </cell>
          <cell r="E3564">
            <v>2934.6000000000004</v>
          </cell>
          <cell r="F3564" t="str">
            <v>A1-S09</v>
          </cell>
          <cell r="G3564" t="str">
            <v>Cleat - Bọ gỗ</v>
          </cell>
          <cell r="H3564" t="str">
            <v>Beech off cut</v>
          </cell>
          <cell r="I3564">
            <v>12</v>
          </cell>
        </row>
        <row r="3565">
          <cell r="A3565" t="str">
            <v>B558181/A</v>
          </cell>
          <cell r="B3565" t="str">
            <v>CZ842M409</v>
          </cell>
          <cell r="C3565">
            <v>3</v>
          </cell>
          <cell r="D3565">
            <v>978.2</v>
          </cell>
          <cell r="E3565">
            <v>2934.6000000000004</v>
          </cell>
          <cell r="F3565" t="str">
            <v>A1-S10</v>
          </cell>
          <cell r="G3565" t="str">
            <v xml:space="preserve">Front panel  - Ván tiền </v>
          </cell>
          <cell r="H3565" t="str">
            <v>MDF Veneer</v>
          </cell>
          <cell r="I3565">
            <v>3</v>
          </cell>
        </row>
        <row r="3566">
          <cell r="A3566" t="str">
            <v>B558181/A</v>
          </cell>
          <cell r="B3566" t="str">
            <v>CZ842M409</v>
          </cell>
          <cell r="C3566">
            <v>3</v>
          </cell>
          <cell r="D3566">
            <v>978.2</v>
          </cell>
          <cell r="E3566">
            <v>2934.6000000000004</v>
          </cell>
          <cell r="F3566" t="str">
            <v>A1-S10-1</v>
          </cell>
          <cell r="G3566" t="str">
            <v>Patching wood - Gỗ đắp</v>
          </cell>
          <cell r="H3566" t="str">
            <v>Beech off cut</v>
          </cell>
          <cell r="I3566">
            <v>6</v>
          </cell>
        </row>
        <row r="3567">
          <cell r="A3567" t="str">
            <v>B558181/A</v>
          </cell>
          <cell r="B3567" t="str">
            <v>CZ842M409</v>
          </cell>
          <cell r="C3567">
            <v>3</v>
          </cell>
          <cell r="D3567">
            <v>978.2</v>
          </cell>
          <cell r="E3567">
            <v>2934.6000000000004</v>
          </cell>
          <cell r="F3567" t="str">
            <v>A1-S11</v>
          </cell>
          <cell r="G3567" t="str">
            <v>Bottom rail inside - Đố tiền đáy</v>
          </cell>
          <cell r="H3567" t="str">
            <v>Wood White Oak - Straight/Waving Edged, 2 COM - T32mm x W100mm Up x L1.5m Up</v>
          </cell>
          <cell r="I3567">
            <v>3</v>
          </cell>
        </row>
        <row r="3568">
          <cell r="A3568" t="str">
            <v>B558181/A</v>
          </cell>
          <cell r="B3568" t="str">
            <v>CZ842M409</v>
          </cell>
          <cell r="C3568">
            <v>3</v>
          </cell>
          <cell r="D3568">
            <v>978.2</v>
          </cell>
          <cell r="E3568">
            <v>2934.6000000000004</v>
          </cell>
          <cell r="F3568" t="str">
            <v>A1-S12</v>
          </cell>
          <cell r="G3568" t="str">
            <v>Bottom rail inside - Đố tiền đáy</v>
          </cell>
          <cell r="H3568" t="str">
            <v>Wood laminate</v>
          </cell>
          <cell r="I3568">
            <v>6</v>
          </cell>
        </row>
        <row r="3569">
          <cell r="A3569" t="str">
            <v>B558181/A</v>
          </cell>
          <cell r="B3569" t="str">
            <v>CZ842M409</v>
          </cell>
          <cell r="C3569">
            <v>3</v>
          </cell>
          <cell r="D3569">
            <v>978.2</v>
          </cell>
          <cell r="E3569">
            <v>2934.6000000000004</v>
          </cell>
          <cell r="F3569" t="str">
            <v>A1-S13</v>
          </cell>
          <cell r="G3569" t="str">
            <v>Vertical rail 1 - Đố đứng 1</v>
          </cell>
          <cell r="H3569" t="str">
            <v>Wood Rubber Laminate Board - 20 x 1220 x 2440mm, Veneer Poplar both Faces</v>
          </cell>
          <cell r="I3569">
            <v>6</v>
          </cell>
        </row>
        <row r="3570">
          <cell r="A3570" t="str">
            <v>B558181/A</v>
          </cell>
          <cell r="B3570" t="str">
            <v>CZ842M409</v>
          </cell>
          <cell r="C3570">
            <v>3</v>
          </cell>
          <cell r="D3570">
            <v>978.2</v>
          </cell>
          <cell r="E3570">
            <v>2934.6000000000004</v>
          </cell>
          <cell r="F3570" t="str">
            <v>A1-S14</v>
          </cell>
          <cell r="G3570" t="str">
            <v>Vertical rail 1 - Đố đứng 1</v>
          </cell>
          <cell r="H3570" t="str">
            <v>Wood Rubber Laminate Board - 20 x 1220 x 2440mm, Veneer Poplar both Faces</v>
          </cell>
          <cell r="I3570">
            <v>18</v>
          </cell>
        </row>
        <row r="3571">
          <cell r="A3571" t="str">
            <v>B558181/A</v>
          </cell>
          <cell r="B3571" t="str">
            <v>CZ842M409</v>
          </cell>
          <cell r="C3571">
            <v>3</v>
          </cell>
          <cell r="D3571">
            <v>978.2</v>
          </cell>
          <cell r="E3571">
            <v>2934.6000000000004</v>
          </cell>
          <cell r="F3571" t="str">
            <v>A1-S15</v>
          </cell>
          <cell r="G3571" t="str">
            <v>Vertical rail 1 - Đố đứng 1</v>
          </cell>
          <cell r="H3571" t="str">
            <v>Wood Rubber Laminate Board - 20 x 1220 x 2440mm, Veneer Poplar both Faces</v>
          </cell>
          <cell r="I3571">
            <v>6</v>
          </cell>
        </row>
        <row r="3572">
          <cell r="A3572" t="str">
            <v>B558181/A</v>
          </cell>
          <cell r="B3572" t="str">
            <v>CZ842M409</v>
          </cell>
          <cell r="C3572">
            <v>3</v>
          </cell>
          <cell r="D3572">
            <v>978.2</v>
          </cell>
          <cell r="E3572">
            <v>2934.6000000000004</v>
          </cell>
          <cell r="F3572" t="str">
            <v>A1-S17</v>
          </cell>
          <cell r="G3572" t="str">
            <v>Vertical rail 1 - Đố đứng 1</v>
          </cell>
          <cell r="H3572" t="str">
            <v>MDF OFF CUT</v>
          </cell>
          <cell r="I3572">
            <v>27</v>
          </cell>
        </row>
        <row r="3573">
          <cell r="A3573" t="str">
            <v>B558181/A</v>
          </cell>
          <cell r="B3573" t="str">
            <v>CZ842M409</v>
          </cell>
          <cell r="C3573">
            <v>3</v>
          </cell>
          <cell r="D3573">
            <v>978.2</v>
          </cell>
          <cell r="E3573">
            <v>2934.6000000000004</v>
          </cell>
          <cell r="F3573" t="str">
            <v>A1-S18</v>
          </cell>
          <cell r="G3573" t="str">
            <v>Vertical rail 1 - Đố đứng 1</v>
          </cell>
          <cell r="H3573" t="str">
            <v>MDF OFF CUT</v>
          </cell>
          <cell r="I3573">
            <v>9</v>
          </cell>
        </row>
        <row r="3574">
          <cell r="A3574" t="str">
            <v>B558181/A</v>
          </cell>
          <cell r="B3574" t="str">
            <v>CZ842M409</v>
          </cell>
          <cell r="C3574">
            <v>3</v>
          </cell>
          <cell r="D3574">
            <v>978.2</v>
          </cell>
          <cell r="E3574">
            <v>2934.6000000000004</v>
          </cell>
          <cell r="F3574" t="str">
            <v>A2-S01</v>
          </cell>
          <cell r="G3574" t="str">
            <v>Top rail - Đố nóc</v>
          </cell>
          <cell r="H3574" t="str">
            <v>Wood laminate</v>
          </cell>
          <cell r="I3574">
            <v>3</v>
          </cell>
        </row>
        <row r="3575">
          <cell r="A3575" t="str">
            <v>B558181/A</v>
          </cell>
          <cell r="B3575" t="str">
            <v>CZ842M409</v>
          </cell>
          <cell r="C3575">
            <v>3</v>
          </cell>
          <cell r="D3575">
            <v>978.2</v>
          </cell>
          <cell r="E3575">
            <v>2934.6000000000004</v>
          </cell>
          <cell r="F3575" t="str">
            <v>A2-S02</v>
          </cell>
          <cell r="G3575" t="str">
            <v>Vertical rail 1 - Đố đứng 1</v>
          </cell>
          <cell r="H3575" t="str">
            <v>Wood laminate</v>
          </cell>
          <cell r="I3575">
            <v>6</v>
          </cell>
        </row>
        <row r="3576">
          <cell r="A3576" t="str">
            <v>B558181/A</v>
          </cell>
          <cell r="B3576" t="str">
            <v>CZ842M409</v>
          </cell>
          <cell r="C3576">
            <v>3</v>
          </cell>
          <cell r="D3576">
            <v>978.2</v>
          </cell>
          <cell r="E3576">
            <v>2934.6000000000004</v>
          </cell>
          <cell r="F3576" t="str">
            <v>A2-S03</v>
          </cell>
          <cell r="G3576" t="str">
            <v>Foot board panel  - Ván đuôi giường</v>
          </cell>
          <cell r="H3576" t="str">
            <v>MDF laminate</v>
          </cell>
          <cell r="I3576">
            <v>3</v>
          </cell>
        </row>
        <row r="3577">
          <cell r="A3577" t="str">
            <v>B558181/A</v>
          </cell>
          <cell r="B3577" t="str">
            <v>CZ842M409</v>
          </cell>
          <cell r="C3577">
            <v>3</v>
          </cell>
          <cell r="D3577">
            <v>978.2</v>
          </cell>
          <cell r="E3577">
            <v>2934.6000000000004</v>
          </cell>
          <cell r="F3577" t="str">
            <v>A2-S04</v>
          </cell>
          <cell r="G3577" t="str">
            <v>Bottom rail inside - Đố tiền đáy</v>
          </cell>
          <cell r="H3577" t="str">
            <v>Wood laminate</v>
          </cell>
          <cell r="I3577">
            <v>3</v>
          </cell>
        </row>
        <row r="3578">
          <cell r="A3578" t="str">
            <v>B558181/A</v>
          </cell>
          <cell r="B3578" t="str">
            <v>CZ842M409</v>
          </cell>
          <cell r="C3578">
            <v>3</v>
          </cell>
          <cell r="D3578">
            <v>978.2</v>
          </cell>
          <cell r="E3578">
            <v>2934.6000000000004</v>
          </cell>
          <cell r="F3578" t="str">
            <v>A3-S01</v>
          </cell>
          <cell r="G3578" t="str">
            <v xml:space="preserve">Side rail  - Đố hông </v>
          </cell>
          <cell r="H3578" t="str">
            <v>Wood White Oak - Straight/Waving Edged, 1 COM - T38mm x W100mm Up x L1.8m Up</v>
          </cell>
          <cell r="I3578">
            <v>6</v>
          </cell>
        </row>
        <row r="3579">
          <cell r="A3579" t="str">
            <v>B558181/A</v>
          </cell>
          <cell r="B3579" t="str">
            <v>CZ842M409</v>
          </cell>
          <cell r="C3579">
            <v>3</v>
          </cell>
          <cell r="D3579">
            <v>978.2</v>
          </cell>
          <cell r="E3579">
            <v>2934.6000000000004</v>
          </cell>
          <cell r="F3579" t="str">
            <v>A3-S02</v>
          </cell>
          <cell r="G3579" t="str">
            <v>Side bed - Hông giường</v>
          </cell>
          <cell r="H3579" t="str">
            <v>MDF Veneer</v>
          </cell>
          <cell r="I3579">
            <v>6</v>
          </cell>
        </row>
        <row r="3580">
          <cell r="A3580" t="str">
            <v>B558181/A</v>
          </cell>
          <cell r="B3580" t="str">
            <v>CZ842M409</v>
          </cell>
          <cell r="C3580">
            <v>3</v>
          </cell>
          <cell r="D3580">
            <v>978.2</v>
          </cell>
          <cell r="E3580">
            <v>2934.6000000000004</v>
          </cell>
          <cell r="F3580" t="str">
            <v>A3-S02-1</v>
          </cell>
          <cell r="G3580" t="str">
            <v>Insert Wood - Gỗ chèn</v>
          </cell>
          <cell r="H3580" t="str">
            <v>Beech off cut</v>
          </cell>
          <cell r="I3580">
            <v>12</v>
          </cell>
        </row>
        <row r="3581">
          <cell r="A3581" t="str">
            <v>B558181/A</v>
          </cell>
          <cell r="B3581" t="str">
            <v>CZ842M409</v>
          </cell>
          <cell r="C3581">
            <v>3</v>
          </cell>
          <cell r="D3581">
            <v>978.2</v>
          </cell>
          <cell r="E3581">
            <v>2934.6000000000004</v>
          </cell>
          <cell r="F3581" t="str">
            <v>A3-S03</v>
          </cell>
          <cell r="G3581" t="str">
            <v>Slat Support  - Đỡ dạt giường</v>
          </cell>
          <cell r="H3581" t="str">
            <v>Wood EU Beech - Straight/Waving Edged AB, 1 COM - T32mm x W100mm up x L1.8m up</v>
          </cell>
          <cell r="I3581">
            <v>6</v>
          </cell>
        </row>
        <row r="3582">
          <cell r="A3582" t="str">
            <v>B558181/A</v>
          </cell>
          <cell r="B3582" t="str">
            <v>CZ842M409</v>
          </cell>
          <cell r="C3582">
            <v>3</v>
          </cell>
          <cell r="D3582">
            <v>978.2</v>
          </cell>
          <cell r="E3582">
            <v>2934.6000000000004</v>
          </cell>
          <cell r="F3582" t="str">
            <v>A3-S04</v>
          </cell>
          <cell r="G3582" t="str">
            <v>Front Bottom Rail  - Đố đáy trước</v>
          </cell>
          <cell r="H3582" t="str">
            <v>Wood White Oak - Straight/Waving Edged, 1 COM - T32mm x W100mm Up x L1.8m Up</v>
          </cell>
          <cell r="I3582">
            <v>6</v>
          </cell>
        </row>
        <row r="3583">
          <cell r="A3583" t="str">
            <v>B558181/A</v>
          </cell>
          <cell r="B3583" t="str">
            <v>CZ842M409</v>
          </cell>
          <cell r="C3583">
            <v>3</v>
          </cell>
          <cell r="D3583">
            <v>978.2</v>
          </cell>
          <cell r="E3583">
            <v>2934.6000000000004</v>
          </cell>
          <cell r="F3583" t="str">
            <v>P01</v>
          </cell>
          <cell r="G3583" t="str">
            <v>slat buy - dạt mua từ nhà cung</v>
          </cell>
          <cell r="H3583" t="str">
            <v>Slat buy</v>
          </cell>
          <cell r="I3583">
            <v>39</v>
          </cell>
        </row>
        <row r="3584">
          <cell r="A3584" t="str">
            <v>B558181/A</v>
          </cell>
          <cell r="B3584" t="str">
            <v>CZ842M409</v>
          </cell>
          <cell r="C3584">
            <v>3</v>
          </cell>
          <cell r="D3584">
            <v>978.2</v>
          </cell>
          <cell r="E3584">
            <v>2934.6000000000004</v>
          </cell>
          <cell r="F3584" t="str">
            <v>P03</v>
          </cell>
          <cell r="G3584" t="str">
            <v>Slat Support  - Đỡ dạt giường</v>
          </cell>
          <cell r="H3584" t="str">
            <v>Wood US Poplar - Straight Edged, 1 COM - T38mm x W100mm Up x L1.8m Up</v>
          </cell>
          <cell r="I3584">
            <v>6</v>
          </cell>
        </row>
        <row r="3585">
          <cell r="A3585" t="str">
            <v>B558182/A</v>
          </cell>
          <cell r="B3585" t="str">
            <v>CZ842M409</v>
          </cell>
          <cell r="C3585">
            <v>10</v>
          </cell>
          <cell r="D3585">
            <v>978.2</v>
          </cell>
          <cell r="E3585">
            <v>9782</v>
          </cell>
          <cell r="F3585" t="str">
            <v>A1-S01</v>
          </cell>
          <cell r="G3585" t="str">
            <v>Top rail - Đố nóc</v>
          </cell>
          <cell r="H3585" t="str">
            <v>Wood White Oak - Straight/Waving Edged, 1 COM - T38mm x W100mm Up x L1.8m Up</v>
          </cell>
          <cell r="I3585">
            <v>10</v>
          </cell>
        </row>
        <row r="3586">
          <cell r="A3586" t="str">
            <v>B558182/A</v>
          </cell>
          <cell r="B3586" t="str">
            <v>CZ842M409</v>
          </cell>
          <cell r="C3586">
            <v>10</v>
          </cell>
          <cell r="D3586">
            <v>978.2</v>
          </cell>
          <cell r="E3586">
            <v>9782</v>
          </cell>
          <cell r="F3586" t="str">
            <v>A1-S02</v>
          </cell>
          <cell r="G3586" t="str">
            <v xml:space="preserve">Side rail  - Đố hông </v>
          </cell>
          <cell r="H3586" t="str">
            <v>Wood laminate</v>
          </cell>
          <cell r="I3586">
            <v>20</v>
          </cell>
        </row>
        <row r="3587">
          <cell r="A3587" t="str">
            <v>B558182/A</v>
          </cell>
          <cell r="B3587" t="str">
            <v>CZ842M409</v>
          </cell>
          <cell r="C3587">
            <v>10</v>
          </cell>
          <cell r="D3587">
            <v>978.2</v>
          </cell>
          <cell r="E3587">
            <v>9782</v>
          </cell>
          <cell r="F3587" t="str">
            <v>A1-S03</v>
          </cell>
          <cell r="G3587" t="str">
            <v xml:space="preserve">Panel - Ván </v>
          </cell>
          <cell r="H3587" t="str">
            <v>MDF - 15 x 1830 x 2440mm [CARB P2 Compliant]</v>
          </cell>
          <cell r="I3587">
            <v>10</v>
          </cell>
        </row>
        <row r="3588">
          <cell r="A3588" t="str">
            <v>B558182/A</v>
          </cell>
          <cell r="B3588" t="str">
            <v>CZ842M409</v>
          </cell>
          <cell r="C3588">
            <v>10</v>
          </cell>
          <cell r="D3588">
            <v>978.2</v>
          </cell>
          <cell r="E3588">
            <v>9782</v>
          </cell>
          <cell r="F3588" t="str">
            <v>A1-S04</v>
          </cell>
          <cell r="G3588" t="str">
            <v>Back panel - Ván hậu</v>
          </cell>
          <cell r="H3588" t="str">
            <v>MDF Veneer</v>
          </cell>
          <cell r="I3588">
            <v>10</v>
          </cell>
        </row>
        <row r="3589">
          <cell r="A3589" t="str">
            <v>B558182/A</v>
          </cell>
          <cell r="B3589" t="str">
            <v>CZ842M409</v>
          </cell>
          <cell r="C3589">
            <v>10</v>
          </cell>
          <cell r="D3589">
            <v>978.2</v>
          </cell>
          <cell r="E3589">
            <v>9782</v>
          </cell>
          <cell r="F3589" t="str">
            <v>A1-S05</v>
          </cell>
          <cell r="G3589" t="str">
            <v>Vertical rail 1 - Đố đứng 1</v>
          </cell>
          <cell r="H3589" t="str">
            <v>Wood Rubber Laminate Board - 20 x 1220 x 2440mm, Veneer Poplar both Faces</v>
          </cell>
          <cell r="I3589">
            <v>20</v>
          </cell>
        </row>
        <row r="3590">
          <cell r="A3590" t="str">
            <v>B558182/A</v>
          </cell>
          <cell r="B3590" t="str">
            <v>CZ842M409</v>
          </cell>
          <cell r="C3590">
            <v>10</v>
          </cell>
          <cell r="D3590">
            <v>978.2</v>
          </cell>
          <cell r="E3590">
            <v>9782</v>
          </cell>
          <cell r="F3590" t="str">
            <v>A1-S06</v>
          </cell>
          <cell r="G3590" t="str">
            <v>Horizontal rail 1 - Đố ngang 1</v>
          </cell>
          <cell r="H3590" t="str">
            <v>Wood Rubber Laminate Board - 20 x 1220 x 2440mm, Veneer Poplar both Faces</v>
          </cell>
          <cell r="I3590">
            <v>10</v>
          </cell>
        </row>
        <row r="3591">
          <cell r="A3591" t="str">
            <v>B558182/A</v>
          </cell>
          <cell r="B3591" t="str">
            <v>CZ842M409</v>
          </cell>
          <cell r="C3591">
            <v>10</v>
          </cell>
          <cell r="D3591">
            <v>978.2</v>
          </cell>
          <cell r="E3591">
            <v>9782</v>
          </cell>
          <cell r="F3591" t="str">
            <v>A1-S07</v>
          </cell>
          <cell r="G3591" t="str">
            <v>Horizontal rail 1 - Đố ngang 1</v>
          </cell>
          <cell r="H3591" t="str">
            <v>Wood Rubber Laminate Board - 20 x 1220 x 2440mm, Veneer Poplar both Faces</v>
          </cell>
          <cell r="I3591">
            <v>20</v>
          </cell>
        </row>
        <row r="3592">
          <cell r="A3592" t="str">
            <v>B558182/A</v>
          </cell>
          <cell r="B3592" t="str">
            <v>CZ842M409</v>
          </cell>
          <cell r="C3592">
            <v>10</v>
          </cell>
          <cell r="D3592">
            <v>978.2</v>
          </cell>
          <cell r="E3592">
            <v>9782</v>
          </cell>
          <cell r="F3592" t="str">
            <v>A1-S08</v>
          </cell>
          <cell r="G3592" t="str">
            <v>Horizontal rail 1 - Đố ngang 1</v>
          </cell>
          <cell r="H3592" t="str">
            <v>Standard Wood - ALDER/ASPEN/LENGA/US POPLAR, 2 COM - T50 W120mm+ L2m+</v>
          </cell>
          <cell r="I3592">
            <v>10</v>
          </cell>
        </row>
        <row r="3593">
          <cell r="A3593" t="str">
            <v>B558182/A</v>
          </cell>
          <cell r="B3593" t="str">
            <v>CZ842M409</v>
          </cell>
          <cell r="C3593">
            <v>10</v>
          </cell>
          <cell r="D3593">
            <v>978.2</v>
          </cell>
          <cell r="E3593">
            <v>9782</v>
          </cell>
          <cell r="F3593" t="str">
            <v>A1-S09</v>
          </cell>
          <cell r="G3593" t="str">
            <v>Cleat - Bọ gỗ</v>
          </cell>
          <cell r="H3593" t="str">
            <v>Beech off cut</v>
          </cell>
          <cell r="I3593">
            <v>40</v>
          </cell>
        </row>
        <row r="3594">
          <cell r="A3594" t="str">
            <v>B558182/A</v>
          </cell>
          <cell r="B3594" t="str">
            <v>CZ842M409</v>
          </cell>
          <cell r="C3594">
            <v>10</v>
          </cell>
          <cell r="D3594">
            <v>978.2</v>
          </cell>
          <cell r="E3594">
            <v>9782</v>
          </cell>
          <cell r="F3594" t="str">
            <v>A1-S10</v>
          </cell>
          <cell r="G3594" t="str">
            <v xml:space="preserve">Front panel  - Ván tiền </v>
          </cell>
          <cell r="H3594" t="str">
            <v>MDF Veneer</v>
          </cell>
          <cell r="I3594">
            <v>10</v>
          </cell>
        </row>
        <row r="3595">
          <cell r="A3595" t="str">
            <v>B558182/A</v>
          </cell>
          <cell r="B3595" t="str">
            <v>CZ842M409</v>
          </cell>
          <cell r="C3595">
            <v>10</v>
          </cell>
          <cell r="D3595">
            <v>978.2</v>
          </cell>
          <cell r="E3595">
            <v>9782</v>
          </cell>
          <cell r="F3595" t="str">
            <v>A1-S10-1</v>
          </cell>
          <cell r="G3595" t="str">
            <v>Patching wood - Gỗ đắp</v>
          </cell>
          <cell r="H3595" t="str">
            <v>Beech off cut</v>
          </cell>
          <cell r="I3595">
            <v>20</v>
          </cell>
        </row>
        <row r="3596">
          <cell r="A3596" t="str">
            <v>B558182/A</v>
          </cell>
          <cell r="B3596" t="str">
            <v>CZ842M409</v>
          </cell>
          <cell r="C3596">
            <v>10</v>
          </cell>
          <cell r="D3596">
            <v>978.2</v>
          </cell>
          <cell r="E3596">
            <v>9782</v>
          </cell>
          <cell r="F3596" t="str">
            <v>A1-S11</v>
          </cell>
          <cell r="G3596" t="str">
            <v>Bottom rail inside - Đố tiền đáy</v>
          </cell>
          <cell r="H3596" t="str">
            <v>Wood White Oak - Straight/Waving Edged, 2 COM - T32mm x W100mm Up x L1.5m Up</v>
          </cell>
          <cell r="I3596">
            <v>10</v>
          </cell>
        </row>
        <row r="3597">
          <cell r="A3597" t="str">
            <v>B558182/A</v>
          </cell>
          <cell r="B3597" t="str">
            <v>CZ842M409</v>
          </cell>
          <cell r="C3597">
            <v>10</v>
          </cell>
          <cell r="D3597">
            <v>978.2</v>
          </cell>
          <cell r="E3597">
            <v>9782</v>
          </cell>
          <cell r="F3597" t="str">
            <v>A1-S12</v>
          </cell>
          <cell r="G3597" t="str">
            <v>Bottom rail inside - Đố tiền đáy</v>
          </cell>
          <cell r="H3597" t="str">
            <v>Wood laminate</v>
          </cell>
          <cell r="I3597">
            <v>20</v>
          </cell>
        </row>
        <row r="3598">
          <cell r="A3598" t="str">
            <v>B558182/A</v>
          </cell>
          <cell r="B3598" t="str">
            <v>CZ842M409</v>
          </cell>
          <cell r="C3598">
            <v>10</v>
          </cell>
          <cell r="D3598">
            <v>978.2</v>
          </cell>
          <cell r="E3598">
            <v>9782</v>
          </cell>
          <cell r="F3598" t="str">
            <v>A1-S13</v>
          </cell>
          <cell r="G3598" t="str">
            <v>Vertical rail 1 - Đố đứng 1</v>
          </cell>
          <cell r="H3598" t="str">
            <v>Wood Rubber Laminate Board - 20 x 1220 x 2440mm, Veneer Poplar both Faces</v>
          </cell>
          <cell r="I3598">
            <v>20</v>
          </cell>
        </row>
        <row r="3599">
          <cell r="A3599" t="str">
            <v>B558182/A</v>
          </cell>
          <cell r="B3599" t="str">
            <v>CZ842M409</v>
          </cell>
          <cell r="C3599">
            <v>10</v>
          </cell>
          <cell r="D3599">
            <v>978.2</v>
          </cell>
          <cell r="E3599">
            <v>9782</v>
          </cell>
          <cell r="F3599" t="str">
            <v>A1-S14</v>
          </cell>
          <cell r="G3599" t="str">
            <v>Vertical rail 1 - Đố đứng 1</v>
          </cell>
          <cell r="H3599" t="str">
            <v>Wood Rubber Laminate Board - 20 x 1220 x 2440mm, Veneer Poplar both Faces</v>
          </cell>
          <cell r="I3599">
            <v>60</v>
          </cell>
        </row>
        <row r="3600">
          <cell r="A3600" t="str">
            <v>B558182/A</v>
          </cell>
          <cell r="B3600" t="str">
            <v>CZ842M409</v>
          </cell>
          <cell r="C3600">
            <v>10</v>
          </cell>
          <cell r="D3600">
            <v>978.2</v>
          </cell>
          <cell r="E3600">
            <v>9782</v>
          </cell>
          <cell r="F3600" t="str">
            <v>A1-S15</v>
          </cell>
          <cell r="G3600" t="str">
            <v>Vertical rail 1 - Đố đứng 1</v>
          </cell>
          <cell r="H3600" t="str">
            <v>Wood Rubber Laminate Board - 20 x 1220 x 2440mm, Veneer Poplar both Faces</v>
          </cell>
          <cell r="I3600">
            <v>20</v>
          </cell>
        </row>
        <row r="3601">
          <cell r="A3601" t="str">
            <v>B558182/A</v>
          </cell>
          <cell r="B3601" t="str">
            <v>CZ842M409</v>
          </cell>
          <cell r="C3601">
            <v>10</v>
          </cell>
          <cell r="D3601">
            <v>978.2</v>
          </cell>
          <cell r="E3601">
            <v>9782</v>
          </cell>
          <cell r="F3601" t="str">
            <v>A1-S17</v>
          </cell>
          <cell r="G3601" t="str">
            <v>Vertical rail 1 - Đố đứng 1</v>
          </cell>
          <cell r="H3601" t="str">
            <v>MDF OFF CUT</v>
          </cell>
          <cell r="I3601">
            <v>90</v>
          </cell>
        </row>
        <row r="3602">
          <cell r="A3602" t="str">
            <v>B558182/A</v>
          </cell>
          <cell r="B3602" t="str">
            <v>CZ842M409</v>
          </cell>
          <cell r="C3602">
            <v>10</v>
          </cell>
          <cell r="D3602">
            <v>978.2</v>
          </cell>
          <cell r="E3602">
            <v>9782</v>
          </cell>
          <cell r="F3602" t="str">
            <v>A1-S18</v>
          </cell>
          <cell r="G3602" t="str">
            <v>Vertical rail 1 - Đố đứng 1</v>
          </cell>
          <cell r="H3602" t="str">
            <v>MDF OFF CUT</v>
          </cell>
          <cell r="I3602">
            <v>30</v>
          </cell>
        </row>
        <row r="3603">
          <cell r="A3603" t="str">
            <v>B558182/A</v>
          </cell>
          <cell r="B3603" t="str">
            <v>CZ842M409</v>
          </cell>
          <cell r="C3603">
            <v>10</v>
          </cell>
          <cell r="D3603">
            <v>978.2</v>
          </cell>
          <cell r="E3603">
            <v>9782</v>
          </cell>
          <cell r="F3603" t="str">
            <v>A2-S01</v>
          </cell>
          <cell r="G3603" t="str">
            <v>Top rail - Đố nóc</v>
          </cell>
          <cell r="H3603" t="str">
            <v>Wood laminate</v>
          </cell>
          <cell r="I3603">
            <v>10</v>
          </cell>
        </row>
        <row r="3604">
          <cell r="A3604" t="str">
            <v>B558182/A</v>
          </cell>
          <cell r="B3604" t="str">
            <v>CZ842M409</v>
          </cell>
          <cell r="C3604">
            <v>10</v>
          </cell>
          <cell r="D3604">
            <v>978.2</v>
          </cell>
          <cell r="E3604">
            <v>9782</v>
          </cell>
          <cell r="F3604" t="str">
            <v>A2-S02</v>
          </cell>
          <cell r="G3604" t="str">
            <v>Vertical rail 1 - Đố đứng 1</v>
          </cell>
          <cell r="H3604" t="str">
            <v>Wood laminate</v>
          </cell>
          <cell r="I3604">
            <v>20</v>
          </cell>
        </row>
        <row r="3605">
          <cell r="A3605" t="str">
            <v>B558182/A</v>
          </cell>
          <cell r="B3605" t="str">
            <v>CZ842M409</v>
          </cell>
          <cell r="C3605">
            <v>10</v>
          </cell>
          <cell r="D3605">
            <v>978.2</v>
          </cell>
          <cell r="E3605">
            <v>9782</v>
          </cell>
          <cell r="F3605" t="str">
            <v>A2-S03</v>
          </cell>
          <cell r="G3605" t="str">
            <v>Foot board panel  - Ván đuôi giường</v>
          </cell>
          <cell r="H3605" t="str">
            <v>MDF laminate</v>
          </cell>
          <cell r="I3605">
            <v>10</v>
          </cell>
        </row>
        <row r="3606">
          <cell r="A3606" t="str">
            <v>B558182/A</v>
          </cell>
          <cell r="B3606" t="str">
            <v>CZ842M409</v>
          </cell>
          <cell r="C3606">
            <v>10</v>
          </cell>
          <cell r="D3606">
            <v>978.2</v>
          </cell>
          <cell r="E3606">
            <v>9782</v>
          </cell>
          <cell r="F3606" t="str">
            <v>A2-S04</v>
          </cell>
          <cell r="G3606" t="str">
            <v>Bottom rail inside - Đố tiền đáy</v>
          </cell>
          <cell r="H3606" t="str">
            <v>Wood laminate</v>
          </cell>
          <cell r="I3606">
            <v>10</v>
          </cell>
        </row>
        <row r="3607">
          <cell r="A3607" t="str">
            <v>B558182/A</v>
          </cell>
          <cell r="B3607" t="str">
            <v>CZ842M409</v>
          </cell>
          <cell r="C3607">
            <v>10</v>
          </cell>
          <cell r="D3607">
            <v>978.2</v>
          </cell>
          <cell r="E3607">
            <v>9782</v>
          </cell>
          <cell r="F3607" t="str">
            <v>A3-S01</v>
          </cell>
          <cell r="G3607" t="str">
            <v xml:space="preserve">Side rail  - Đố hông </v>
          </cell>
          <cell r="H3607" t="str">
            <v>Wood White Oak - Straight/Waving Edged, 1 COM - T38mm x W100mm Up x L1.8m Up</v>
          </cell>
          <cell r="I3607">
            <v>20</v>
          </cell>
        </row>
        <row r="3608">
          <cell r="A3608" t="str">
            <v>B558182/A</v>
          </cell>
          <cell r="B3608" t="str">
            <v>CZ842M409</v>
          </cell>
          <cell r="C3608">
            <v>10</v>
          </cell>
          <cell r="D3608">
            <v>978.2</v>
          </cell>
          <cell r="E3608">
            <v>9782</v>
          </cell>
          <cell r="F3608" t="str">
            <v>A3-S02</v>
          </cell>
          <cell r="G3608" t="str">
            <v>Side bed - Hông giường</v>
          </cell>
          <cell r="H3608" t="str">
            <v>MDF Veneer</v>
          </cell>
          <cell r="I3608">
            <v>20</v>
          </cell>
        </row>
        <row r="3609">
          <cell r="A3609" t="str">
            <v>B558182/A</v>
          </cell>
          <cell r="B3609" t="str">
            <v>CZ842M409</v>
          </cell>
          <cell r="C3609">
            <v>10</v>
          </cell>
          <cell r="D3609">
            <v>978.2</v>
          </cell>
          <cell r="E3609">
            <v>9782</v>
          </cell>
          <cell r="F3609" t="str">
            <v>A3-S02-1</v>
          </cell>
          <cell r="G3609" t="str">
            <v>Insert Wood - Gỗ chèn</v>
          </cell>
          <cell r="H3609" t="str">
            <v>Beech off cut</v>
          </cell>
          <cell r="I3609">
            <v>40</v>
          </cell>
        </row>
        <row r="3610">
          <cell r="A3610" t="str">
            <v>B558182/A</v>
          </cell>
          <cell r="B3610" t="str">
            <v>CZ842M409</v>
          </cell>
          <cell r="C3610">
            <v>10</v>
          </cell>
          <cell r="D3610">
            <v>978.2</v>
          </cell>
          <cell r="E3610">
            <v>9782</v>
          </cell>
          <cell r="F3610" t="str">
            <v>A3-S03</v>
          </cell>
          <cell r="G3610" t="str">
            <v>Slat Support  - Đỡ dạt giường</v>
          </cell>
          <cell r="H3610" t="str">
            <v>Wood EU Beech - Straight/Waving Edged AB, 1 COM - T32mm x W100mm up x L1.8m up</v>
          </cell>
          <cell r="I3610">
            <v>20</v>
          </cell>
        </row>
        <row r="3611">
          <cell r="A3611" t="str">
            <v>B558182/A</v>
          </cell>
          <cell r="B3611" t="str">
            <v>CZ842M409</v>
          </cell>
          <cell r="C3611">
            <v>10</v>
          </cell>
          <cell r="D3611">
            <v>978.2</v>
          </cell>
          <cell r="E3611">
            <v>9782</v>
          </cell>
          <cell r="F3611" t="str">
            <v>A3-S04</v>
          </cell>
          <cell r="G3611" t="str">
            <v>Front Bottom Rail  - Đố đáy trước</v>
          </cell>
          <cell r="H3611" t="str">
            <v>Wood White Oak - Straight/Waving Edged, 1 COM - T32mm x W100mm Up x L1.8m Up</v>
          </cell>
          <cell r="I3611">
            <v>20</v>
          </cell>
        </row>
        <row r="3612">
          <cell r="A3612" t="str">
            <v>B558182/A</v>
          </cell>
          <cell r="B3612" t="str">
            <v>CZ842M409</v>
          </cell>
          <cell r="C3612">
            <v>10</v>
          </cell>
          <cell r="D3612">
            <v>978.2</v>
          </cell>
          <cell r="E3612">
            <v>9782</v>
          </cell>
          <cell r="F3612" t="str">
            <v>P01</v>
          </cell>
          <cell r="G3612" t="str">
            <v>slat buy - dạt mua từ nhà cung</v>
          </cell>
          <cell r="H3612" t="str">
            <v>Slat buy</v>
          </cell>
          <cell r="I3612">
            <v>130</v>
          </cell>
        </row>
        <row r="3613">
          <cell r="A3613" t="str">
            <v>B558182/A</v>
          </cell>
          <cell r="B3613" t="str">
            <v>CZ842M409</v>
          </cell>
          <cell r="C3613">
            <v>10</v>
          </cell>
          <cell r="D3613">
            <v>978.2</v>
          </cell>
          <cell r="E3613">
            <v>9782</v>
          </cell>
          <cell r="F3613" t="str">
            <v>P03</v>
          </cell>
          <cell r="G3613" t="str">
            <v>Slat Support  - Đỡ dạt giường</v>
          </cell>
          <cell r="H3613" t="str">
            <v>Wood US Poplar - Straight Edged, 1 COM - T38mm x W100mm Up x L1.8m Up</v>
          </cell>
          <cell r="I3613">
            <v>20</v>
          </cell>
        </row>
        <row r="3614">
          <cell r="A3614" t="str">
            <v>B558278/A</v>
          </cell>
          <cell r="B3614" t="str">
            <v>CZ854M381</v>
          </cell>
          <cell r="C3614">
            <v>3</v>
          </cell>
          <cell r="D3614">
            <v>1656.16</v>
          </cell>
          <cell r="E3614">
            <v>4968.4800000000005</v>
          </cell>
          <cell r="F3614" t="str">
            <v>A1-S01</v>
          </cell>
          <cell r="G3614" t="str">
            <v>Top rail - Đố nóc</v>
          </cell>
          <cell r="H3614" t="str">
            <v>Wood EU Beech - Straight/Waving Edged ABC, 2 COM - T38mm x W100mm up x L1.8m up</v>
          </cell>
          <cell r="I3614">
            <v>3</v>
          </cell>
        </row>
        <row r="3615">
          <cell r="A3615" t="str">
            <v>B558278/A</v>
          </cell>
          <cell r="B3615" t="str">
            <v>CZ854M381</v>
          </cell>
          <cell r="C3615">
            <v>3</v>
          </cell>
          <cell r="D3615">
            <v>1656.16</v>
          </cell>
          <cell r="E3615">
            <v>4968.4800000000005</v>
          </cell>
          <cell r="F3615" t="str">
            <v>A1-S02</v>
          </cell>
          <cell r="G3615" t="str">
            <v xml:space="preserve">Side rail  - Đố hông </v>
          </cell>
          <cell r="H3615" t="str">
            <v>Wood EU Beech - Straight/Waving Edged AB, 1 COM - T38mm x W100mm up x L1.8m up</v>
          </cell>
          <cell r="I3615">
            <v>6</v>
          </cell>
        </row>
        <row r="3616">
          <cell r="A3616" t="str">
            <v>B558278/A</v>
          </cell>
          <cell r="B3616" t="str">
            <v>CZ854M381</v>
          </cell>
          <cell r="C3616">
            <v>3</v>
          </cell>
          <cell r="D3616">
            <v>1656.16</v>
          </cell>
          <cell r="E3616">
            <v>4968.4800000000005</v>
          </cell>
          <cell r="F3616" t="str">
            <v>A1-S03</v>
          </cell>
          <cell r="G3616" t="str">
            <v xml:space="preserve">Front panel  - Ván tiền </v>
          </cell>
          <cell r="H3616" t="str">
            <v>MDF - 12 x 1830 x 2440mm [CARB P2 Compliant]</v>
          </cell>
          <cell r="I3616">
            <v>3</v>
          </cell>
        </row>
        <row r="3617">
          <cell r="A3617" t="str">
            <v>B558278/A</v>
          </cell>
          <cell r="B3617" t="str">
            <v>CZ854M381</v>
          </cell>
          <cell r="C3617">
            <v>3</v>
          </cell>
          <cell r="D3617">
            <v>1656.16</v>
          </cell>
          <cell r="E3617">
            <v>4968.4800000000005</v>
          </cell>
          <cell r="F3617" t="str">
            <v>A1-S04</v>
          </cell>
          <cell r="G3617" t="str">
            <v>Back panel - Ván hậu</v>
          </cell>
          <cell r="H3617" t="str">
            <v>MDF Veneer</v>
          </cell>
          <cell r="I3617">
            <v>3</v>
          </cell>
        </row>
        <row r="3618">
          <cell r="A3618" t="str">
            <v>B558278/A</v>
          </cell>
          <cell r="B3618" t="str">
            <v>CZ854M381</v>
          </cell>
          <cell r="C3618">
            <v>3</v>
          </cell>
          <cell r="D3618">
            <v>1656.16</v>
          </cell>
          <cell r="E3618">
            <v>4968.4800000000005</v>
          </cell>
          <cell r="F3618" t="str">
            <v>A1-S05</v>
          </cell>
          <cell r="G3618" t="str">
            <v>Center rail - Đố giữa</v>
          </cell>
          <cell r="H3618" t="str">
            <v>Standard Wood - ALDER/ASPEN/LENGA/US POPLAR, 2 COM - T25 W120mm+ L2m+</v>
          </cell>
          <cell r="I3618">
            <v>6</v>
          </cell>
        </row>
        <row r="3619">
          <cell r="A3619" t="str">
            <v>B558278/A</v>
          </cell>
          <cell r="B3619" t="str">
            <v>CZ854M381</v>
          </cell>
          <cell r="C3619">
            <v>3</v>
          </cell>
          <cell r="D3619">
            <v>1656.16</v>
          </cell>
          <cell r="E3619">
            <v>4968.4800000000005</v>
          </cell>
          <cell r="F3619" t="str">
            <v>A1-S05-1</v>
          </cell>
          <cell r="G3619" t="str">
            <v>Center rail - Đố giữa</v>
          </cell>
          <cell r="H3619" t="str">
            <v>Standard Wood - ALDER/ASPEN/LENGA/US POPLAR, 2 COM - T25 W120mm+ L2m+</v>
          </cell>
          <cell r="I3619">
            <v>9</v>
          </cell>
        </row>
        <row r="3620">
          <cell r="A3620" t="str">
            <v>B558278/A</v>
          </cell>
          <cell r="B3620" t="str">
            <v>CZ854M381</v>
          </cell>
          <cell r="C3620">
            <v>3</v>
          </cell>
          <cell r="D3620">
            <v>1656.16</v>
          </cell>
          <cell r="E3620">
            <v>4968.4800000000005</v>
          </cell>
          <cell r="F3620" t="str">
            <v>A1-S06</v>
          </cell>
          <cell r="G3620" t="str">
            <v xml:space="preserve">Front panel  - Ván tiền </v>
          </cell>
          <cell r="H3620" t="str">
            <v>MDF Veneer</v>
          </cell>
          <cell r="I3620">
            <v>3</v>
          </cell>
        </row>
        <row r="3621">
          <cell r="A3621" t="str">
            <v>B558278/A</v>
          </cell>
          <cell r="B3621" t="str">
            <v>CZ854M381</v>
          </cell>
          <cell r="C3621">
            <v>3</v>
          </cell>
          <cell r="D3621">
            <v>1656.16</v>
          </cell>
          <cell r="E3621">
            <v>4968.4800000000005</v>
          </cell>
          <cell r="F3621" t="str">
            <v>A1-S06-1</v>
          </cell>
          <cell r="G3621" t="str">
            <v>Insert Wood - Gỗ chèn</v>
          </cell>
          <cell r="H3621" t="str">
            <v>Beech off cut</v>
          </cell>
          <cell r="I3621">
            <v>18</v>
          </cell>
        </row>
        <row r="3622">
          <cell r="A3622" t="str">
            <v>B558278/A</v>
          </cell>
          <cell r="B3622" t="str">
            <v>CZ854M381</v>
          </cell>
          <cell r="C3622">
            <v>3</v>
          </cell>
          <cell r="D3622">
            <v>1656.16</v>
          </cell>
          <cell r="E3622">
            <v>4968.4800000000005</v>
          </cell>
          <cell r="F3622" t="str">
            <v>A1-S07-1</v>
          </cell>
          <cell r="G3622" t="str">
            <v>Patching wood - Gỗ đắp</v>
          </cell>
          <cell r="H3622" t="str">
            <v>Wood White Oak - Straight/Waving Edged, 1 COM - T25mm x W100mm Up x L1.8m Up</v>
          </cell>
          <cell r="I3622">
            <v>6</v>
          </cell>
        </row>
        <row r="3623">
          <cell r="A3623" t="str">
            <v>B558278/A</v>
          </cell>
          <cell r="B3623" t="str">
            <v>CZ854M381</v>
          </cell>
          <cell r="C3623">
            <v>3</v>
          </cell>
          <cell r="D3623">
            <v>1656.16</v>
          </cell>
          <cell r="E3623">
            <v>4968.4800000000005</v>
          </cell>
          <cell r="F3623" t="str">
            <v>A1-S08</v>
          </cell>
          <cell r="G3623" t="str">
            <v>Horizontal rail 1 - Đố ngang 1</v>
          </cell>
          <cell r="H3623" t="str">
            <v>Wood US Poplar - Straight Edged, 2 COM - T25mm x W100mm Up x L1.8m Up</v>
          </cell>
          <cell r="I3623">
            <v>6</v>
          </cell>
        </row>
        <row r="3624">
          <cell r="A3624" t="str">
            <v>B558278/A</v>
          </cell>
          <cell r="B3624" t="str">
            <v>CZ854M381</v>
          </cell>
          <cell r="C3624">
            <v>3</v>
          </cell>
          <cell r="D3624">
            <v>1656.16</v>
          </cell>
          <cell r="E3624">
            <v>4968.4800000000005</v>
          </cell>
          <cell r="F3624" t="str">
            <v>A1-S10</v>
          </cell>
          <cell r="G3624" t="str">
            <v>The leg  - Chân</v>
          </cell>
          <cell r="H3624" t="str">
            <v>Wood laminate</v>
          </cell>
          <cell r="I3624">
            <v>6</v>
          </cell>
        </row>
        <row r="3625">
          <cell r="A3625" t="str">
            <v>B558278/A</v>
          </cell>
          <cell r="B3625" t="str">
            <v>CZ854M381</v>
          </cell>
          <cell r="C3625">
            <v>3</v>
          </cell>
          <cell r="D3625">
            <v>1656.16</v>
          </cell>
          <cell r="E3625">
            <v>4968.4800000000005</v>
          </cell>
          <cell r="F3625" t="str">
            <v>A1-S11</v>
          </cell>
          <cell r="G3625" t="str">
            <v>Center rail - Đố giữa</v>
          </cell>
          <cell r="H3625" t="str">
            <v>MDF OFF CUT</v>
          </cell>
          <cell r="I3625">
            <v>6</v>
          </cell>
        </row>
        <row r="3626">
          <cell r="A3626" t="str">
            <v>B558278/A</v>
          </cell>
          <cell r="B3626" t="str">
            <v>CZ854M381</v>
          </cell>
          <cell r="C3626">
            <v>3</v>
          </cell>
          <cell r="D3626">
            <v>1656.16</v>
          </cell>
          <cell r="E3626">
            <v>4968.4800000000005</v>
          </cell>
          <cell r="F3626" t="str">
            <v>A1-S12</v>
          </cell>
          <cell r="G3626" t="str">
            <v>Cleat - Bọ gỗ</v>
          </cell>
          <cell r="H3626" t="str">
            <v>Beech off cut</v>
          </cell>
          <cell r="I3626">
            <v>12</v>
          </cell>
        </row>
        <row r="3627">
          <cell r="A3627" t="str">
            <v>B558278/A</v>
          </cell>
          <cell r="B3627" t="str">
            <v>CZ854M381</v>
          </cell>
          <cell r="C3627">
            <v>3</v>
          </cell>
          <cell r="D3627">
            <v>1656.16</v>
          </cell>
          <cell r="E3627">
            <v>4968.4800000000005</v>
          </cell>
          <cell r="F3627" t="str">
            <v>A1-S13</v>
          </cell>
          <cell r="G3627" t="str">
            <v>Corner block - ke góc</v>
          </cell>
          <cell r="H3627" t="str">
            <v>Beech off cut</v>
          </cell>
          <cell r="I3627">
            <v>42</v>
          </cell>
        </row>
        <row r="3628">
          <cell r="A3628" t="str">
            <v>B558278/A</v>
          </cell>
          <cell r="B3628" t="str">
            <v>CZ854M381</v>
          </cell>
          <cell r="C3628">
            <v>3</v>
          </cell>
          <cell r="D3628">
            <v>1656.16</v>
          </cell>
          <cell r="E3628">
            <v>4968.4800000000005</v>
          </cell>
          <cell r="F3628" t="str">
            <v>A1-S14</v>
          </cell>
          <cell r="G3628" t="str">
            <v>Patching wood - Gỗ đắp</v>
          </cell>
          <cell r="H3628" t="str">
            <v>Beech off cut</v>
          </cell>
          <cell r="I3628">
            <v>6</v>
          </cell>
        </row>
        <row r="3629">
          <cell r="A3629" t="str">
            <v>B558278/A</v>
          </cell>
          <cell r="B3629" t="str">
            <v>CZ854M381</v>
          </cell>
          <cell r="C3629">
            <v>3</v>
          </cell>
          <cell r="D3629">
            <v>1656.16</v>
          </cell>
          <cell r="E3629">
            <v>4968.4800000000005</v>
          </cell>
          <cell r="F3629" t="str">
            <v>A1-S15</v>
          </cell>
          <cell r="G3629" t="str">
            <v>Patching wood - Gỗ đắp</v>
          </cell>
          <cell r="H3629" t="str">
            <v>Wood laminate</v>
          </cell>
          <cell r="I3629">
            <v>24</v>
          </cell>
        </row>
        <row r="3630">
          <cell r="A3630" t="str">
            <v>B558278/A</v>
          </cell>
          <cell r="B3630" t="str">
            <v>CZ854M381</v>
          </cell>
          <cell r="C3630">
            <v>3</v>
          </cell>
          <cell r="D3630">
            <v>1656.16</v>
          </cell>
          <cell r="E3630">
            <v>4968.4800000000005</v>
          </cell>
          <cell r="F3630" t="str">
            <v>A1-S16</v>
          </cell>
          <cell r="G3630" t="str">
            <v>Cleat - Bọ gỗ</v>
          </cell>
          <cell r="H3630" t="str">
            <v>Plywood LVD - 18 x 1220 x 2440mm, Bleached Poplar Veneer Both Sides [CARB P2 Compliant]</v>
          </cell>
          <cell r="I3630">
            <v>18</v>
          </cell>
        </row>
        <row r="3631">
          <cell r="A3631" t="str">
            <v>B558278/A</v>
          </cell>
          <cell r="B3631" t="str">
            <v>CZ854M381</v>
          </cell>
          <cell r="C3631">
            <v>3</v>
          </cell>
          <cell r="D3631">
            <v>1656.16</v>
          </cell>
          <cell r="E3631">
            <v>4968.4800000000005</v>
          </cell>
          <cell r="F3631" t="str">
            <v>A1-S17</v>
          </cell>
          <cell r="G3631" t="str">
            <v>Cleat - Bọ gỗ</v>
          </cell>
          <cell r="H3631" t="str">
            <v>Plywood LVD - 18 x 1220 x 2440mm, Bleached Poplar Veneer Both Sides [CARB P2 Compliant]</v>
          </cell>
          <cell r="I3631">
            <v>6</v>
          </cell>
        </row>
        <row r="3632">
          <cell r="A3632" t="str">
            <v>B558278/A</v>
          </cell>
          <cell r="B3632" t="str">
            <v>CZ854M381</v>
          </cell>
          <cell r="C3632">
            <v>3</v>
          </cell>
          <cell r="D3632">
            <v>1656.16</v>
          </cell>
          <cell r="E3632">
            <v>4968.4800000000005</v>
          </cell>
          <cell r="F3632" t="str">
            <v>A2-S1</v>
          </cell>
          <cell r="G3632" t="str">
            <v>Top rail - Đố nóc</v>
          </cell>
          <cell r="H3632" t="str">
            <v>Wood White Oak - Straight/Waving Edged, 1 COM - T38mm x W100mm Up x L1.8m Up</v>
          </cell>
          <cell r="I3632">
            <v>3</v>
          </cell>
        </row>
        <row r="3633">
          <cell r="A3633" t="str">
            <v>B558278/A</v>
          </cell>
          <cell r="B3633" t="str">
            <v>CZ854M381</v>
          </cell>
          <cell r="C3633">
            <v>3</v>
          </cell>
          <cell r="D3633">
            <v>1656.16</v>
          </cell>
          <cell r="E3633">
            <v>4968.4800000000005</v>
          </cell>
          <cell r="F3633" t="str">
            <v>A2-S2</v>
          </cell>
          <cell r="G3633" t="str">
            <v xml:space="preserve">Front panel  - Ván tiền </v>
          </cell>
          <cell r="H3633" t="str">
            <v>Pre-Assembly</v>
          </cell>
          <cell r="I3633">
            <v>3</v>
          </cell>
        </row>
        <row r="3634">
          <cell r="A3634" t="str">
            <v>B558278/A</v>
          </cell>
          <cell r="B3634" t="str">
            <v>CZ854M381</v>
          </cell>
          <cell r="C3634">
            <v>3</v>
          </cell>
          <cell r="D3634">
            <v>1656.16</v>
          </cell>
          <cell r="E3634">
            <v>4968.4800000000005</v>
          </cell>
          <cell r="F3634" t="str">
            <v>A2-S2-1</v>
          </cell>
          <cell r="G3634" t="str">
            <v xml:space="preserve">Panel - Ván </v>
          </cell>
          <cell r="H3634" t="str">
            <v>MDF - 18 x 1830 x 2440mm [CARB P2 Compliant]</v>
          </cell>
          <cell r="I3634">
            <v>3</v>
          </cell>
        </row>
        <row r="3635">
          <cell r="A3635" t="str">
            <v>B558278/A</v>
          </cell>
          <cell r="B3635" t="str">
            <v>CZ854M381</v>
          </cell>
          <cell r="C3635">
            <v>3</v>
          </cell>
          <cell r="D3635">
            <v>1656.16</v>
          </cell>
          <cell r="E3635">
            <v>4968.4800000000005</v>
          </cell>
          <cell r="F3635" t="str">
            <v>A2-S2-2</v>
          </cell>
          <cell r="G3635" t="str">
            <v>Patching wood - Gỗ đắp</v>
          </cell>
          <cell r="H3635" t="str">
            <v>Wood White Oak - Straight/Waving Edged, 2 COM - T25mm x W100mm Up x L1.5m Up</v>
          </cell>
          <cell r="I3635">
            <v>6</v>
          </cell>
        </row>
        <row r="3636">
          <cell r="A3636" t="str">
            <v>B558278/A</v>
          </cell>
          <cell r="B3636" t="str">
            <v>CZ854M381</v>
          </cell>
          <cell r="C3636">
            <v>3</v>
          </cell>
          <cell r="D3636">
            <v>1656.16</v>
          </cell>
          <cell r="E3636">
            <v>4968.4800000000005</v>
          </cell>
          <cell r="F3636" t="str">
            <v>A2-S3</v>
          </cell>
          <cell r="G3636" t="str">
            <v>Cleat - Bọ gỗ</v>
          </cell>
          <cell r="H3636" t="str">
            <v>Wood White Oak - Straight/Waving Edged, 1 COM - T38mm x W100mm Up x L1.8m Up</v>
          </cell>
          <cell r="I3636">
            <v>18</v>
          </cell>
        </row>
        <row r="3637">
          <cell r="A3637" t="str">
            <v>B558278/A</v>
          </cell>
          <cell r="B3637" t="str">
            <v>CZ854M381</v>
          </cell>
          <cell r="C3637">
            <v>3</v>
          </cell>
          <cell r="D3637">
            <v>1656.16</v>
          </cell>
          <cell r="E3637">
            <v>4968.4800000000005</v>
          </cell>
          <cell r="F3637" t="str">
            <v>A2-S4</v>
          </cell>
          <cell r="G3637" t="str">
            <v>Patching wood - Gỗ đắp</v>
          </cell>
          <cell r="H3637" t="str">
            <v>Wood White Oak - Straight/Waving Edged, 2 COM - T25mm x W100mm Up x L1.5m Up</v>
          </cell>
          <cell r="I3637">
            <v>3</v>
          </cell>
        </row>
        <row r="3638">
          <cell r="A3638" t="str">
            <v>B558278/A</v>
          </cell>
          <cell r="B3638" t="str">
            <v>CZ854M381</v>
          </cell>
          <cell r="C3638">
            <v>3</v>
          </cell>
          <cell r="D3638">
            <v>1656.16</v>
          </cell>
          <cell r="E3638">
            <v>4968.4800000000005</v>
          </cell>
          <cell r="F3638" t="str">
            <v>A3-S1</v>
          </cell>
          <cell r="G3638" t="str">
            <v xml:space="preserve">Side rail  - Đố hông </v>
          </cell>
          <cell r="H3638" t="str">
            <v>Wood White Oak - Straight/Waving Edged, 1 COM - T38mm x W100mm Up x L1.8m Up</v>
          </cell>
          <cell r="I3638">
            <v>6</v>
          </cell>
        </row>
        <row r="3639">
          <cell r="A3639" t="str">
            <v>B558278/A</v>
          </cell>
          <cell r="B3639" t="str">
            <v>CZ854M381</v>
          </cell>
          <cell r="C3639">
            <v>3</v>
          </cell>
          <cell r="D3639">
            <v>1656.16</v>
          </cell>
          <cell r="E3639">
            <v>4968.4800000000005</v>
          </cell>
          <cell r="F3639" t="str">
            <v>A3-S2</v>
          </cell>
          <cell r="G3639" t="str">
            <v xml:space="preserve">Side panel  - Ván hông </v>
          </cell>
          <cell r="H3639" t="str">
            <v>Pre-Assembly</v>
          </cell>
          <cell r="I3639">
            <v>6</v>
          </cell>
        </row>
        <row r="3640">
          <cell r="A3640" t="str">
            <v>B558278/A</v>
          </cell>
          <cell r="B3640" t="str">
            <v>CZ854M381</v>
          </cell>
          <cell r="C3640">
            <v>3</v>
          </cell>
          <cell r="D3640">
            <v>1656.16</v>
          </cell>
          <cell r="E3640">
            <v>4968.4800000000005</v>
          </cell>
          <cell r="F3640" t="str">
            <v>A3-S2-1</v>
          </cell>
          <cell r="G3640" t="str">
            <v xml:space="preserve">Panel - Ván </v>
          </cell>
          <cell r="H3640" t="str">
            <v>MDF - 18 x 1830 x 2440mm [CARB P2 Compliant]</v>
          </cell>
          <cell r="I3640">
            <v>6</v>
          </cell>
        </row>
        <row r="3641">
          <cell r="A3641" t="str">
            <v>B558278/A</v>
          </cell>
          <cell r="B3641" t="str">
            <v>CZ854M381</v>
          </cell>
          <cell r="C3641">
            <v>3</v>
          </cell>
          <cell r="D3641">
            <v>1656.16</v>
          </cell>
          <cell r="E3641">
            <v>4968.4800000000005</v>
          </cell>
          <cell r="F3641" t="str">
            <v>A3-S2-2</v>
          </cell>
          <cell r="G3641" t="str">
            <v>Insert Wood - Gỗ chèn</v>
          </cell>
          <cell r="H3641" t="str">
            <v>Wood EU Beech - Straight/Waving Edged ABC, 2 COM - T38mm x W100mm up x L1.8m up</v>
          </cell>
          <cell r="I3641">
            <v>12</v>
          </cell>
        </row>
        <row r="3642">
          <cell r="A3642" t="str">
            <v>B558278/A</v>
          </cell>
          <cell r="B3642" t="str">
            <v>CZ854M381</v>
          </cell>
          <cell r="C3642">
            <v>3</v>
          </cell>
          <cell r="D3642">
            <v>1656.16</v>
          </cell>
          <cell r="E3642">
            <v>4968.4800000000005</v>
          </cell>
          <cell r="F3642" t="str">
            <v>A3-S2-3</v>
          </cell>
          <cell r="G3642" t="str">
            <v>Patching wood - Gỗ đắp</v>
          </cell>
          <cell r="H3642" t="str">
            <v>Wood White Oak - Straight/Waving Edged, 2 COM - T25mm x W100mm Up x L1.5m Up</v>
          </cell>
          <cell r="I3642">
            <v>12</v>
          </cell>
        </row>
        <row r="3643">
          <cell r="A3643" t="str">
            <v>B558278/A</v>
          </cell>
          <cell r="B3643" t="str">
            <v>CZ854M381</v>
          </cell>
          <cell r="C3643">
            <v>3</v>
          </cell>
          <cell r="D3643">
            <v>1656.16</v>
          </cell>
          <cell r="E3643">
            <v>4968.4800000000005</v>
          </cell>
          <cell r="F3643" t="str">
            <v>A3-S3</v>
          </cell>
          <cell r="G3643" t="str">
            <v>Slat Support  - Đỡ dạt giường</v>
          </cell>
          <cell r="H3643" t="str">
            <v>Wood EU Beech - Straight/Waving Edged AB, 1 COM - T50mm x W100mm up x L1.8m up</v>
          </cell>
          <cell r="I3643">
            <v>6</v>
          </cell>
        </row>
        <row r="3644">
          <cell r="A3644" t="str">
            <v>B558278/A</v>
          </cell>
          <cell r="B3644" t="str">
            <v>CZ854M381</v>
          </cell>
          <cell r="C3644">
            <v>3</v>
          </cell>
          <cell r="D3644">
            <v>1656.16</v>
          </cell>
          <cell r="E3644">
            <v>4968.4800000000005</v>
          </cell>
          <cell r="F3644" t="str">
            <v>A3-S4</v>
          </cell>
          <cell r="G3644" t="str">
            <v>The leg  - Chân</v>
          </cell>
          <cell r="H3644" t="str">
            <v>Wood White Oak - Straight/Waving Edged, 1 COM - T25mm x W100mm Up x L1.8m Up</v>
          </cell>
          <cell r="I3644">
            <v>6</v>
          </cell>
        </row>
        <row r="3645">
          <cell r="A3645" t="str">
            <v>B558278/A</v>
          </cell>
          <cell r="B3645" t="str">
            <v>CZ854M381</v>
          </cell>
          <cell r="C3645">
            <v>3</v>
          </cell>
          <cell r="D3645">
            <v>1656.16</v>
          </cell>
          <cell r="E3645">
            <v>4968.4800000000005</v>
          </cell>
          <cell r="F3645" t="str">
            <v>P01</v>
          </cell>
          <cell r="G3645" t="str">
            <v>slat buy - dạt mua từ nhà cung</v>
          </cell>
          <cell r="H3645" t="str">
            <v>Slat buy</v>
          </cell>
          <cell r="I3645">
            <v>39</v>
          </cell>
        </row>
        <row r="3646">
          <cell r="A3646" t="str">
            <v>B558278/A</v>
          </cell>
          <cell r="B3646" t="str">
            <v>CZ854M381</v>
          </cell>
          <cell r="C3646">
            <v>3</v>
          </cell>
          <cell r="D3646">
            <v>1656.16</v>
          </cell>
          <cell r="E3646">
            <v>4968.4800000000005</v>
          </cell>
          <cell r="F3646" t="str">
            <v>P02</v>
          </cell>
          <cell r="G3646" t="str">
            <v>Slat Support  - Đỡ dạt giường</v>
          </cell>
          <cell r="H3646" t="str">
            <v>Wood US Poplar - Straight Edged, 1 COM - T38mm x W100mm Up x L1.8m Up</v>
          </cell>
          <cell r="I3646">
            <v>6</v>
          </cell>
        </row>
        <row r="3647">
          <cell r="A3647" t="str">
            <v>B558278/A</v>
          </cell>
          <cell r="B3647" t="str">
            <v>CZ854M381</v>
          </cell>
          <cell r="C3647">
            <v>3</v>
          </cell>
          <cell r="D3647">
            <v>1656.16</v>
          </cell>
          <cell r="E3647">
            <v>4968.4800000000005</v>
          </cell>
          <cell r="F3647" t="str">
            <v>P03</v>
          </cell>
          <cell r="G3647" t="str">
            <v>Top rail - Đố nóc</v>
          </cell>
          <cell r="H3647" t="str">
            <v>Wood laminate</v>
          </cell>
          <cell r="I3647">
            <v>3</v>
          </cell>
        </row>
        <row r="3648">
          <cell r="A3648" t="str">
            <v>B558278/A</v>
          </cell>
          <cell r="B3648" t="str">
            <v>CZ854M381</v>
          </cell>
          <cell r="C3648">
            <v>3</v>
          </cell>
          <cell r="D3648">
            <v>1656.16</v>
          </cell>
          <cell r="E3648">
            <v>4968.4800000000005</v>
          </cell>
          <cell r="F3648" t="str">
            <v>P04</v>
          </cell>
          <cell r="G3648" t="str">
            <v>Top rail - Đố nóc</v>
          </cell>
          <cell r="H3648" t="str">
            <v>Wood laminate</v>
          </cell>
          <cell r="I3648">
            <v>3</v>
          </cell>
        </row>
        <row r="3649">
          <cell r="A3649" t="str">
            <v>B558278/A</v>
          </cell>
          <cell r="B3649" t="str">
            <v>CZ854M381</v>
          </cell>
          <cell r="C3649">
            <v>3</v>
          </cell>
          <cell r="D3649">
            <v>1656.16</v>
          </cell>
          <cell r="E3649">
            <v>4968.4800000000005</v>
          </cell>
          <cell r="F3649" t="str">
            <v>P05</v>
          </cell>
          <cell r="G3649" t="str">
            <v>Vertical rail 1 - Đố đứng 1</v>
          </cell>
          <cell r="H3649" t="str">
            <v>Pre-Assembly</v>
          </cell>
          <cell r="I3649">
            <v>6</v>
          </cell>
        </row>
        <row r="3650">
          <cell r="A3650" t="str">
            <v>B558278/A</v>
          </cell>
          <cell r="B3650" t="str">
            <v>CZ854M381</v>
          </cell>
          <cell r="C3650">
            <v>3</v>
          </cell>
          <cell r="D3650">
            <v>1656.16</v>
          </cell>
          <cell r="E3650">
            <v>4968.4800000000005</v>
          </cell>
          <cell r="F3650" t="str">
            <v>P05-1</v>
          </cell>
          <cell r="G3650" t="str">
            <v>Vertical rail 1 - Đố đứng 1</v>
          </cell>
          <cell r="H3650" t="str">
            <v>Wd+VN</v>
          </cell>
          <cell r="I3650">
            <v>6</v>
          </cell>
        </row>
        <row r="3651">
          <cell r="A3651" t="str">
            <v>B558278/A</v>
          </cell>
          <cell r="B3651" t="str">
            <v>CZ854M381</v>
          </cell>
          <cell r="C3651">
            <v>3</v>
          </cell>
          <cell r="D3651">
            <v>1656.16</v>
          </cell>
          <cell r="E3651">
            <v>4968.4800000000005</v>
          </cell>
          <cell r="F3651" t="str">
            <v>P05-2</v>
          </cell>
          <cell r="G3651" t="str">
            <v>Patching wood - Gỗ đắp</v>
          </cell>
          <cell r="H3651" t="str">
            <v>Wood laminate</v>
          </cell>
          <cell r="I3651">
            <v>12</v>
          </cell>
        </row>
        <row r="3652">
          <cell r="A3652" t="str">
            <v>B558278/A</v>
          </cell>
          <cell r="B3652" t="str">
            <v>CZ854M381</v>
          </cell>
          <cell r="C3652">
            <v>3</v>
          </cell>
          <cell r="D3652">
            <v>1656.16</v>
          </cell>
          <cell r="E3652">
            <v>4968.4800000000005</v>
          </cell>
          <cell r="F3652" t="str">
            <v>P06</v>
          </cell>
          <cell r="G3652" t="str">
            <v>Wood laminater - Gỗ ghép 1</v>
          </cell>
          <cell r="H3652" t="str">
            <v>Pre-Assembly</v>
          </cell>
          <cell r="I3652">
            <v>6</v>
          </cell>
        </row>
        <row r="3653">
          <cell r="A3653" t="str">
            <v>B558278/A</v>
          </cell>
          <cell r="B3653" t="str">
            <v>CZ854M381</v>
          </cell>
          <cell r="C3653">
            <v>3</v>
          </cell>
          <cell r="D3653">
            <v>1656.16</v>
          </cell>
          <cell r="E3653">
            <v>4968.4800000000005</v>
          </cell>
          <cell r="F3653" t="str">
            <v>P06-1</v>
          </cell>
          <cell r="G3653" t="str">
            <v>Wood laminater - Gỗ ghép 1</v>
          </cell>
          <cell r="H3653" t="str">
            <v>Wd+VN</v>
          </cell>
          <cell r="I3653">
            <v>6</v>
          </cell>
        </row>
        <row r="3654">
          <cell r="A3654" t="str">
            <v>B558279/A</v>
          </cell>
          <cell r="B3654" t="str">
            <v>CZ854M381</v>
          </cell>
          <cell r="C3654">
            <v>2</v>
          </cell>
          <cell r="D3654">
            <v>1656.16</v>
          </cell>
          <cell r="E3654">
            <v>3312.32</v>
          </cell>
          <cell r="F3654" t="str">
            <v>A1-S01</v>
          </cell>
          <cell r="G3654" t="str">
            <v>Top rail - Đố nóc</v>
          </cell>
          <cell r="H3654" t="str">
            <v>Wood EU Beech - Straight/Waving Edged ABC, 2 COM - T38mm x W100mm up x L1.8m up</v>
          </cell>
          <cell r="I3654">
            <v>2</v>
          </cell>
        </row>
        <row r="3655">
          <cell r="A3655" t="str">
            <v>B558279/A</v>
          </cell>
          <cell r="B3655" t="str">
            <v>CZ854M381</v>
          </cell>
          <cell r="C3655">
            <v>2</v>
          </cell>
          <cell r="D3655">
            <v>1656.16</v>
          </cell>
          <cell r="E3655">
            <v>3312.32</v>
          </cell>
          <cell r="F3655" t="str">
            <v>A1-S02</v>
          </cell>
          <cell r="G3655" t="str">
            <v xml:space="preserve">Side rail  - Đố hông </v>
          </cell>
          <cell r="H3655" t="str">
            <v>Wood EU Beech - Straight/Waving Edged AB, 1 COM - T38mm x W100mm up x L1.8m up</v>
          </cell>
          <cell r="I3655">
            <v>4</v>
          </cell>
        </row>
        <row r="3656">
          <cell r="A3656" t="str">
            <v>B558279/A</v>
          </cell>
          <cell r="B3656" t="str">
            <v>CZ854M381</v>
          </cell>
          <cell r="C3656">
            <v>2</v>
          </cell>
          <cell r="D3656">
            <v>1656.16</v>
          </cell>
          <cell r="E3656">
            <v>3312.32</v>
          </cell>
          <cell r="F3656" t="str">
            <v>A1-S03</v>
          </cell>
          <cell r="G3656" t="str">
            <v xml:space="preserve">Front panel  - Ván tiền </v>
          </cell>
          <cell r="H3656" t="str">
            <v>MDF - 12 x 1830 x 2440mm [CARB P2 Compliant]</v>
          </cell>
          <cell r="I3656">
            <v>2</v>
          </cell>
        </row>
        <row r="3657">
          <cell r="A3657" t="str">
            <v>B558279/A</v>
          </cell>
          <cell r="B3657" t="str">
            <v>CZ854M381</v>
          </cell>
          <cell r="C3657">
            <v>2</v>
          </cell>
          <cell r="D3657">
            <v>1656.16</v>
          </cell>
          <cell r="E3657">
            <v>3312.32</v>
          </cell>
          <cell r="F3657" t="str">
            <v>A1-S04</v>
          </cell>
          <cell r="G3657" t="str">
            <v>Back panel - Ván hậu</v>
          </cell>
          <cell r="H3657" t="str">
            <v>MDF Veneer</v>
          </cell>
          <cell r="I3657">
            <v>2</v>
          </cell>
        </row>
        <row r="3658">
          <cell r="A3658" t="str">
            <v>B558279/A</v>
          </cell>
          <cell r="B3658" t="str">
            <v>CZ854M381</v>
          </cell>
          <cell r="C3658">
            <v>2</v>
          </cell>
          <cell r="D3658">
            <v>1656.16</v>
          </cell>
          <cell r="E3658">
            <v>3312.32</v>
          </cell>
          <cell r="F3658" t="str">
            <v>A1-S05</v>
          </cell>
          <cell r="G3658" t="str">
            <v>Center rail - Đố giữa</v>
          </cell>
          <cell r="H3658" t="str">
            <v>Standard Wood - ALDER/ASPEN/LENGA/US POPLAR, 2 COM - T25 W120mm+ L2m+</v>
          </cell>
          <cell r="I3658">
            <v>4</v>
          </cell>
        </row>
        <row r="3659">
          <cell r="A3659" t="str">
            <v>B558279/A</v>
          </cell>
          <cell r="B3659" t="str">
            <v>CZ854M381</v>
          </cell>
          <cell r="C3659">
            <v>2</v>
          </cell>
          <cell r="D3659">
            <v>1656.16</v>
          </cell>
          <cell r="E3659">
            <v>3312.32</v>
          </cell>
          <cell r="F3659" t="str">
            <v>A1-S05-1</v>
          </cell>
          <cell r="G3659" t="str">
            <v>Center rail - Đố giữa</v>
          </cell>
          <cell r="H3659" t="str">
            <v>Standard Wood - ALDER/ASPEN/LENGA/US POPLAR, 2 COM - T25 W120mm+ L2m+</v>
          </cell>
          <cell r="I3659">
            <v>6</v>
          </cell>
        </row>
        <row r="3660">
          <cell r="A3660" t="str">
            <v>B558279/A</v>
          </cell>
          <cell r="B3660" t="str">
            <v>CZ854M381</v>
          </cell>
          <cell r="C3660">
            <v>2</v>
          </cell>
          <cell r="D3660">
            <v>1656.16</v>
          </cell>
          <cell r="E3660">
            <v>3312.32</v>
          </cell>
          <cell r="F3660" t="str">
            <v>A1-S06</v>
          </cell>
          <cell r="G3660" t="str">
            <v xml:space="preserve">Front panel  - Ván tiền </v>
          </cell>
          <cell r="H3660" t="str">
            <v>MDF Veneer</v>
          </cell>
          <cell r="I3660">
            <v>2</v>
          </cell>
        </row>
        <row r="3661">
          <cell r="A3661" t="str">
            <v>B558279/A</v>
          </cell>
          <cell r="B3661" t="str">
            <v>CZ854M381</v>
          </cell>
          <cell r="C3661">
            <v>2</v>
          </cell>
          <cell r="D3661">
            <v>1656.16</v>
          </cell>
          <cell r="E3661">
            <v>3312.32</v>
          </cell>
          <cell r="F3661" t="str">
            <v>A1-S06-1</v>
          </cell>
          <cell r="G3661" t="str">
            <v>Insert Wood - Gỗ chèn</v>
          </cell>
          <cell r="H3661" t="str">
            <v>Beech off cut</v>
          </cell>
          <cell r="I3661">
            <v>12</v>
          </cell>
        </row>
        <row r="3662">
          <cell r="A3662" t="str">
            <v>B558279/A</v>
          </cell>
          <cell r="B3662" t="str">
            <v>CZ854M381</v>
          </cell>
          <cell r="C3662">
            <v>2</v>
          </cell>
          <cell r="D3662">
            <v>1656.16</v>
          </cell>
          <cell r="E3662">
            <v>3312.32</v>
          </cell>
          <cell r="F3662" t="str">
            <v>A1-S07-1</v>
          </cell>
          <cell r="G3662" t="str">
            <v>Patching wood - Gỗ đắp</v>
          </cell>
          <cell r="H3662" t="str">
            <v>Wood White Oak - Straight/Waving Edged, 1 COM - T25mm x W100mm Up x L1.8m Up</v>
          </cell>
          <cell r="I3662">
            <v>4</v>
          </cell>
        </row>
        <row r="3663">
          <cell r="A3663" t="str">
            <v>B558279/A</v>
          </cell>
          <cell r="B3663" t="str">
            <v>CZ854M381</v>
          </cell>
          <cell r="C3663">
            <v>2</v>
          </cell>
          <cell r="D3663">
            <v>1656.16</v>
          </cell>
          <cell r="E3663">
            <v>3312.32</v>
          </cell>
          <cell r="F3663" t="str">
            <v>A1-S08</v>
          </cell>
          <cell r="G3663" t="str">
            <v>Horizontal rail 1 - Đố ngang 1</v>
          </cell>
          <cell r="H3663" t="str">
            <v>Wood US Poplar - Straight Edged, 2 COM - T25mm x W100mm Up x L1.8m Up</v>
          </cell>
          <cell r="I3663">
            <v>4</v>
          </cell>
        </row>
        <row r="3664">
          <cell r="A3664" t="str">
            <v>B558279/A</v>
          </cell>
          <cell r="B3664" t="str">
            <v>CZ854M381</v>
          </cell>
          <cell r="C3664">
            <v>2</v>
          </cell>
          <cell r="D3664">
            <v>1656.16</v>
          </cell>
          <cell r="E3664">
            <v>3312.32</v>
          </cell>
          <cell r="F3664" t="str">
            <v>A1-S10</v>
          </cell>
          <cell r="G3664" t="str">
            <v>The leg  - Chân</v>
          </cell>
          <cell r="H3664" t="str">
            <v>Wood laminate</v>
          </cell>
          <cell r="I3664">
            <v>4</v>
          </cell>
        </row>
        <row r="3665">
          <cell r="A3665" t="str">
            <v>B558279/A</v>
          </cell>
          <cell r="B3665" t="str">
            <v>CZ854M381</v>
          </cell>
          <cell r="C3665">
            <v>2</v>
          </cell>
          <cell r="D3665">
            <v>1656.16</v>
          </cell>
          <cell r="E3665">
            <v>3312.32</v>
          </cell>
          <cell r="F3665" t="str">
            <v>A1-S11</v>
          </cell>
          <cell r="G3665" t="str">
            <v>Center rail - Đố giữa</v>
          </cell>
          <cell r="H3665" t="str">
            <v>MDF OFF CUT</v>
          </cell>
          <cell r="I3665">
            <v>4</v>
          </cell>
        </row>
        <row r="3666">
          <cell r="A3666" t="str">
            <v>B558279/A</v>
          </cell>
          <cell r="B3666" t="str">
            <v>CZ854M381</v>
          </cell>
          <cell r="C3666">
            <v>2</v>
          </cell>
          <cell r="D3666">
            <v>1656.16</v>
          </cell>
          <cell r="E3666">
            <v>3312.32</v>
          </cell>
          <cell r="F3666" t="str">
            <v>A1-S12</v>
          </cell>
          <cell r="G3666" t="str">
            <v>Cleat - Bọ gỗ</v>
          </cell>
          <cell r="H3666" t="str">
            <v>Beech off cut</v>
          </cell>
          <cell r="I3666">
            <v>8</v>
          </cell>
        </row>
        <row r="3667">
          <cell r="A3667" t="str">
            <v>B558279/A</v>
          </cell>
          <cell r="B3667" t="str">
            <v>CZ854M381</v>
          </cell>
          <cell r="C3667">
            <v>2</v>
          </cell>
          <cell r="D3667">
            <v>1656.16</v>
          </cell>
          <cell r="E3667">
            <v>3312.32</v>
          </cell>
          <cell r="F3667" t="str">
            <v>A1-S13</v>
          </cell>
          <cell r="G3667" t="str">
            <v>Corner block - ke góc</v>
          </cell>
          <cell r="H3667" t="str">
            <v>Beech off cut</v>
          </cell>
          <cell r="I3667">
            <v>28</v>
          </cell>
        </row>
        <row r="3668">
          <cell r="A3668" t="str">
            <v>B558279/A</v>
          </cell>
          <cell r="B3668" t="str">
            <v>CZ854M381</v>
          </cell>
          <cell r="C3668">
            <v>2</v>
          </cell>
          <cell r="D3668">
            <v>1656.16</v>
          </cell>
          <cell r="E3668">
            <v>3312.32</v>
          </cell>
          <cell r="F3668" t="str">
            <v>A1-S14</v>
          </cell>
          <cell r="G3668" t="str">
            <v>Patching wood - Gỗ đắp</v>
          </cell>
          <cell r="H3668" t="str">
            <v>Beech off cut</v>
          </cell>
          <cell r="I3668">
            <v>4</v>
          </cell>
        </row>
        <row r="3669">
          <cell r="A3669" t="str">
            <v>B558279/A</v>
          </cell>
          <cell r="B3669" t="str">
            <v>CZ854M381</v>
          </cell>
          <cell r="C3669">
            <v>2</v>
          </cell>
          <cell r="D3669">
            <v>1656.16</v>
          </cell>
          <cell r="E3669">
            <v>3312.32</v>
          </cell>
          <cell r="F3669" t="str">
            <v>A1-S15</v>
          </cell>
          <cell r="G3669" t="str">
            <v>Patching wood - Gỗ đắp</v>
          </cell>
          <cell r="H3669" t="str">
            <v>Wood laminate</v>
          </cell>
          <cell r="I3669">
            <v>16</v>
          </cell>
        </row>
        <row r="3670">
          <cell r="A3670" t="str">
            <v>B558279/A</v>
          </cell>
          <cell r="B3670" t="str">
            <v>CZ854M381</v>
          </cell>
          <cell r="C3670">
            <v>2</v>
          </cell>
          <cell r="D3670">
            <v>1656.16</v>
          </cell>
          <cell r="E3670">
            <v>3312.32</v>
          </cell>
          <cell r="F3670" t="str">
            <v>A1-S16</v>
          </cell>
          <cell r="G3670" t="str">
            <v>Cleat - Bọ gỗ</v>
          </cell>
          <cell r="H3670" t="str">
            <v>Plywood LVD - 18 x 1220 x 2440mm, Bleached Poplar Veneer Both Sides [CARB P2 Compliant]</v>
          </cell>
          <cell r="I3670">
            <v>12</v>
          </cell>
        </row>
        <row r="3671">
          <cell r="A3671" t="str">
            <v>B558279/A</v>
          </cell>
          <cell r="B3671" t="str">
            <v>CZ854M381</v>
          </cell>
          <cell r="C3671">
            <v>2</v>
          </cell>
          <cell r="D3671">
            <v>1656.16</v>
          </cell>
          <cell r="E3671">
            <v>3312.32</v>
          </cell>
          <cell r="F3671" t="str">
            <v>A1-S17</v>
          </cell>
          <cell r="G3671" t="str">
            <v>Cleat - Bọ gỗ</v>
          </cell>
          <cell r="H3671" t="str">
            <v>Plywood LVD - 18 x 1220 x 2440mm, Bleached Poplar Veneer Both Sides [CARB P2 Compliant]</v>
          </cell>
          <cell r="I3671">
            <v>4</v>
          </cell>
        </row>
        <row r="3672">
          <cell r="A3672" t="str">
            <v>B558279/A</v>
          </cell>
          <cell r="B3672" t="str">
            <v>CZ854M381</v>
          </cell>
          <cell r="C3672">
            <v>2</v>
          </cell>
          <cell r="D3672">
            <v>1656.16</v>
          </cell>
          <cell r="E3672">
            <v>3312.32</v>
          </cell>
          <cell r="F3672" t="str">
            <v>A2-S1</v>
          </cell>
          <cell r="G3672" t="str">
            <v>Top rail - Đố nóc</v>
          </cell>
          <cell r="H3672" t="str">
            <v>Wood White Oak - Straight/Waving Edged, 1 COM - T38mm x W100mm Up x L1.8m Up</v>
          </cell>
          <cell r="I3672">
            <v>2</v>
          </cell>
        </row>
        <row r="3673">
          <cell r="A3673" t="str">
            <v>B558279/A</v>
          </cell>
          <cell r="B3673" t="str">
            <v>CZ854M381</v>
          </cell>
          <cell r="C3673">
            <v>2</v>
          </cell>
          <cell r="D3673">
            <v>1656.16</v>
          </cell>
          <cell r="E3673">
            <v>3312.32</v>
          </cell>
          <cell r="F3673" t="str">
            <v>A2-S2</v>
          </cell>
          <cell r="G3673" t="str">
            <v xml:space="preserve">Front panel  - Ván tiền </v>
          </cell>
          <cell r="H3673" t="str">
            <v>Pre-Assembly</v>
          </cell>
          <cell r="I3673">
            <v>2</v>
          </cell>
        </row>
        <row r="3674">
          <cell r="A3674" t="str">
            <v>B558279/A</v>
          </cell>
          <cell r="B3674" t="str">
            <v>CZ854M381</v>
          </cell>
          <cell r="C3674">
            <v>2</v>
          </cell>
          <cell r="D3674">
            <v>1656.16</v>
          </cell>
          <cell r="E3674">
            <v>3312.32</v>
          </cell>
          <cell r="F3674" t="str">
            <v>A2-S2-1</v>
          </cell>
          <cell r="G3674" t="str">
            <v xml:space="preserve">Panel - Ván </v>
          </cell>
          <cell r="H3674" t="str">
            <v>MDF - 18 x 1830 x 2440mm [CARB P2 Compliant]</v>
          </cell>
          <cell r="I3674">
            <v>2</v>
          </cell>
        </row>
        <row r="3675">
          <cell r="A3675" t="str">
            <v>B558279/A</v>
          </cell>
          <cell r="B3675" t="str">
            <v>CZ854M381</v>
          </cell>
          <cell r="C3675">
            <v>2</v>
          </cell>
          <cell r="D3675">
            <v>1656.16</v>
          </cell>
          <cell r="E3675">
            <v>3312.32</v>
          </cell>
          <cell r="F3675" t="str">
            <v>A2-S2-2</v>
          </cell>
          <cell r="G3675" t="str">
            <v>Patching wood - Gỗ đắp</v>
          </cell>
          <cell r="H3675" t="str">
            <v>Wood White Oak - Straight/Waving Edged, 2 COM - T25mm x W100mm Up x L1.5m Up</v>
          </cell>
          <cell r="I3675">
            <v>4</v>
          </cell>
        </row>
        <row r="3676">
          <cell r="A3676" t="str">
            <v>B558279/A</v>
          </cell>
          <cell r="B3676" t="str">
            <v>CZ854M381</v>
          </cell>
          <cell r="C3676">
            <v>2</v>
          </cell>
          <cell r="D3676">
            <v>1656.16</v>
          </cell>
          <cell r="E3676">
            <v>3312.32</v>
          </cell>
          <cell r="F3676" t="str">
            <v>A2-S3</v>
          </cell>
          <cell r="G3676" t="str">
            <v>Cleat - Bọ gỗ</v>
          </cell>
          <cell r="H3676" t="str">
            <v>Wood White Oak - Straight/Waving Edged, 1 COM - T38mm x W100mm Up x L1.8m Up</v>
          </cell>
          <cell r="I3676">
            <v>12</v>
          </cell>
        </row>
        <row r="3677">
          <cell r="A3677" t="str">
            <v>B558279/A</v>
          </cell>
          <cell r="B3677" t="str">
            <v>CZ854M381</v>
          </cell>
          <cell r="C3677">
            <v>2</v>
          </cell>
          <cell r="D3677">
            <v>1656.16</v>
          </cell>
          <cell r="E3677">
            <v>3312.32</v>
          </cell>
          <cell r="F3677" t="str">
            <v>A2-S4</v>
          </cell>
          <cell r="G3677" t="str">
            <v>Patching wood - Gỗ đắp</v>
          </cell>
          <cell r="H3677" t="str">
            <v>Wood White Oak - Straight/Waving Edged, 2 COM - T25mm x W100mm Up x L1.5m Up</v>
          </cell>
          <cell r="I3677">
            <v>2</v>
          </cell>
        </row>
        <row r="3678">
          <cell r="A3678" t="str">
            <v>B558279/A</v>
          </cell>
          <cell r="B3678" t="str">
            <v>CZ854M381</v>
          </cell>
          <cell r="C3678">
            <v>2</v>
          </cell>
          <cell r="D3678">
            <v>1656.16</v>
          </cell>
          <cell r="E3678">
            <v>3312.32</v>
          </cell>
          <cell r="F3678" t="str">
            <v>A3-S1</v>
          </cell>
          <cell r="G3678" t="str">
            <v xml:space="preserve">Side rail  - Đố hông </v>
          </cell>
          <cell r="H3678" t="str">
            <v>Wood White Oak - Straight/Waving Edged, 1 COM - T38mm x W100mm Up x L1.8m Up</v>
          </cell>
          <cell r="I3678">
            <v>4</v>
          </cell>
        </row>
        <row r="3679">
          <cell r="A3679" t="str">
            <v>B558279/A</v>
          </cell>
          <cell r="B3679" t="str">
            <v>CZ854M381</v>
          </cell>
          <cell r="C3679">
            <v>2</v>
          </cell>
          <cell r="D3679">
            <v>1656.16</v>
          </cell>
          <cell r="E3679">
            <v>3312.32</v>
          </cell>
          <cell r="F3679" t="str">
            <v>A3-S2</v>
          </cell>
          <cell r="G3679" t="str">
            <v xml:space="preserve">Side panel  - Ván hông </v>
          </cell>
          <cell r="H3679" t="str">
            <v>Pre-Assembly</v>
          </cell>
          <cell r="I3679">
            <v>4</v>
          </cell>
        </row>
        <row r="3680">
          <cell r="A3680" t="str">
            <v>B558279/A</v>
          </cell>
          <cell r="B3680" t="str">
            <v>CZ854M381</v>
          </cell>
          <cell r="C3680">
            <v>2</v>
          </cell>
          <cell r="D3680">
            <v>1656.16</v>
          </cell>
          <cell r="E3680">
            <v>3312.32</v>
          </cell>
          <cell r="F3680" t="str">
            <v>A3-S2-1</v>
          </cell>
          <cell r="G3680" t="str">
            <v xml:space="preserve">Panel - Ván </v>
          </cell>
          <cell r="H3680" t="str">
            <v>MDF - 18 x 1830 x 2440mm [CARB P2 Compliant]</v>
          </cell>
          <cell r="I3680">
            <v>4</v>
          </cell>
        </row>
        <row r="3681">
          <cell r="A3681" t="str">
            <v>B558279/A</v>
          </cell>
          <cell r="B3681" t="str">
            <v>CZ854M381</v>
          </cell>
          <cell r="C3681">
            <v>2</v>
          </cell>
          <cell r="D3681">
            <v>1656.16</v>
          </cell>
          <cell r="E3681">
            <v>3312.32</v>
          </cell>
          <cell r="F3681" t="str">
            <v>A3-S2-2</v>
          </cell>
          <cell r="G3681" t="str">
            <v>Insert Wood - Gỗ chèn</v>
          </cell>
          <cell r="H3681" t="str">
            <v>Wood EU Beech - Straight/Waving Edged ABC, 2 COM - T38mm x W100mm up x L1.8m up</v>
          </cell>
          <cell r="I3681">
            <v>8</v>
          </cell>
        </row>
        <row r="3682">
          <cell r="A3682" t="str">
            <v>B558279/A</v>
          </cell>
          <cell r="B3682" t="str">
            <v>CZ854M381</v>
          </cell>
          <cell r="C3682">
            <v>2</v>
          </cell>
          <cell r="D3682">
            <v>1656.16</v>
          </cell>
          <cell r="E3682">
            <v>3312.32</v>
          </cell>
          <cell r="F3682" t="str">
            <v>A3-S2-3</v>
          </cell>
          <cell r="G3682" t="str">
            <v>Patching wood - Gỗ đắp</v>
          </cell>
          <cell r="H3682" t="str">
            <v>Wood White Oak - Straight/Waving Edged, 2 COM - T25mm x W100mm Up x L1.5m Up</v>
          </cell>
          <cell r="I3682">
            <v>8</v>
          </cell>
        </row>
        <row r="3683">
          <cell r="A3683" t="str">
            <v>B558279/A</v>
          </cell>
          <cell r="B3683" t="str">
            <v>CZ854M381</v>
          </cell>
          <cell r="C3683">
            <v>2</v>
          </cell>
          <cell r="D3683">
            <v>1656.16</v>
          </cell>
          <cell r="E3683">
            <v>3312.32</v>
          </cell>
          <cell r="F3683" t="str">
            <v>A3-S3</v>
          </cell>
          <cell r="G3683" t="str">
            <v>Slat Support  - Đỡ dạt giường</v>
          </cell>
          <cell r="H3683" t="str">
            <v>Wood EU Beech - Straight/Waving Edged AB, 1 COM - T50mm x W100mm up x L1.8m up</v>
          </cell>
          <cell r="I3683">
            <v>4</v>
          </cell>
        </row>
        <row r="3684">
          <cell r="A3684" t="str">
            <v>B558279/A</v>
          </cell>
          <cell r="B3684" t="str">
            <v>CZ854M381</v>
          </cell>
          <cell r="C3684">
            <v>2</v>
          </cell>
          <cell r="D3684">
            <v>1656.16</v>
          </cell>
          <cell r="E3684">
            <v>3312.32</v>
          </cell>
          <cell r="F3684" t="str">
            <v>A3-S4</v>
          </cell>
          <cell r="G3684" t="str">
            <v>The leg  - Chân</v>
          </cell>
          <cell r="H3684" t="str">
            <v>Wood White Oak - Straight/Waving Edged, 1 COM - T25mm x W100mm Up x L1.8m Up</v>
          </cell>
          <cell r="I3684">
            <v>4</v>
          </cell>
        </row>
        <row r="3685">
          <cell r="A3685" t="str">
            <v>B558279/A</v>
          </cell>
          <cell r="B3685" t="str">
            <v>CZ854M381</v>
          </cell>
          <cell r="C3685">
            <v>2</v>
          </cell>
          <cell r="D3685">
            <v>1656.16</v>
          </cell>
          <cell r="E3685">
            <v>3312.32</v>
          </cell>
          <cell r="F3685" t="str">
            <v>P01</v>
          </cell>
          <cell r="G3685" t="str">
            <v>slat buy - dạt mua từ nhà cung</v>
          </cell>
          <cell r="H3685" t="str">
            <v>Slat buy</v>
          </cell>
          <cell r="I3685">
            <v>26</v>
          </cell>
        </row>
        <row r="3686">
          <cell r="A3686" t="str">
            <v>B558279/A</v>
          </cell>
          <cell r="B3686" t="str">
            <v>CZ854M381</v>
          </cell>
          <cell r="C3686">
            <v>2</v>
          </cell>
          <cell r="D3686">
            <v>1656.16</v>
          </cell>
          <cell r="E3686">
            <v>3312.32</v>
          </cell>
          <cell r="F3686" t="str">
            <v>P02</v>
          </cell>
          <cell r="G3686" t="str">
            <v>Slat Support  - Đỡ dạt giường</v>
          </cell>
          <cell r="H3686" t="str">
            <v>Wood US Poplar - Straight Edged, 1 COM - T38mm x W100mm Up x L1.8m Up</v>
          </cell>
          <cell r="I3686">
            <v>4</v>
          </cell>
        </row>
        <row r="3687">
          <cell r="A3687" t="str">
            <v>B558279/A</v>
          </cell>
          <cell r="B3687" t="str">
            <v>CZ854M381</v>
          </cell>
          <cell r="C3687">
            <v>2</v>
          </cell>
          <cell r="D3687">
            <v>1656.16</v>
          </cell>
          <cell r="E3687">
            <v>3312.32</v>
          </cell>
          <cell r="F3687" t="str">
            <v>P03</v>
          </cell>
          <cell r="G3687" t="str">
            <v>Top rail - Đố nóc</v>
          </cell>
          <cell r="H3687" t="str">
            <v>Wood laminate</v>
          </cell>
          <cell r="I3687">
            <v>2</v>
          </cell>
        </row>
        <row r="3688">
          <cell r="A3688" t="str">
            <v>B558279/A</v>
          </cell>
          <cell r="B3688" t="str">
            <v>CZ854M381</v>
          </cell>
          <cell r="C3688">
            <v>2</v>
          </cell>
          <cell r="D3688">
            <v>1656.16</v>
          </cell>
          <cell r="E3688">
            <v>3312.32</v>
          </cell>
          <cell r="F3688" t="str">
            <v>P04</v>
          </cell>
          <cell r="G3688" t="str">
            <v>Top rail - Đố nóc</v>
          </cell>
          <cell r="H3688" t="str">
            <v>Wood laminate</v>
          </cell>
          <cell r="I3688">
            <v>2</v>
          </cell>
        </row>
        <row r="3689">
          <cell r="A3689" t="str">
            <v>B558279/A</v>
          </cell>
          <cell r="B3689" t="str">
            <v>CZ854M381</v>
          </cell>
          <cell r="C3689">
            <v>2</v>
          </cell>
          <cell r="D3689">
            <v>1656.16</v>
          </cell>
          <cell r="E3689">
            <v>3312.32</v>
          </cell>
          <cell r="F3689" t="str">
            <v>P05</v>
          </cell>
          <cell r="G3689" t="str">
            <v>Vertical rail 1 - Đố đứng 1</v>
          </cell>
          <cell r="H3689" t="str">
            <v>Pre-Assembly</v>
          </cell>
          <cell r="I3689">
            <v>4</v>
          </cell>
        </row>
        <row r="3690">
          <cell r="A3690" t="str">
            <v>B558279/A</v>
          </cell>
          <cell r="B3690" t="str">
            <v>CZ854M381</v>
          </cell>
          <cell r="C3690">
            <v>2</v>
          </cell>
          <cell r="D3690">
            <v>1656.16</v>
          </cell>
          <cell r="E3690">
            <v>3312.32</v>
          </cell>
          <cell r="F3690" t="str">
            <v>P05-1</v>
          </cell>
          <cell r="G3690" t="str">
            <v>Vertical rail 1 - Đố đứng 1</v>
          </cell>
          <cell r="H3690" t="str">
            <v>Wd+VN</v>
          </cell>
          <cell r="I3690">
            <v>4</v>
          </cell>
        </row>
        <row r="3691">
          <cell r="A3691" t="str">
            <v>B558279/A</v>
          </cell>
          <cell r="B3691" t="str">
            <v>CZ854M381</v>
          </cell>
          <cell r="C3691">
            <v>2</v>
          </cell>
          <cell r="D3691">
            <v>1656.16</v>
          </cell>
          <cell r="E3691">
            <v>3312.32</v>
          </cell>
          <cell r="F3691" t="str">
            <v>P05-2</v>
          </cell>
          <cell r="G3691" t="str">
            <v>Patching wood - Gỗ đắp</v>
          </cell>
          <cell r="H3691" t="str">
            <v>Wood laminate</v>
          </cell>
          <cell r="I3691">
            <v>8</v>
          </cell>
        </row>
        <row r="3692">
          <cell r="A3692" t="str">
            <v>B558279/A</v>
          </cell>
          <cell r="B3692" t="str">
            <v>CZ854M381</v>
          </cell>
          <cell r="C3692">
            <v>2</v>
          </cell>
          <cell r="D3692">
            <v>1656.16</v>
          </cell>
          <cell r="E3692">
            <v>3312.32</v>
          </cell>
          <cell r="F3692" t="str">
            <v>P06</v>
          </cell>
          <cell r="G3692" t="str">
            <v>Wood laminater - Gỗ ghép 1</v>
          </cell>
          <cell r="H3692" t="str">
            <v>Pre-Assembly</v>
          </cell>
          <cell r="I3692">
            <v>4</v>
          </cell>
        </row>
        <row r="3693">
          <cell r="A3693" t="str">
            <v>B558279/A</v>
          </cell>
          <cell r="B3693" t="str">
            <v>CZ854M381</v>
          </cell>
          <cell r="C3693">
            <v>2</v>
          </cell>
          <cell r="D3693">
            <v>1656.16</v>
          </cell>
          <cell r="E3693">
            <v>3312.32</v>
          </cell>
          <cell r="F3693" t="str">
            <v>P06-1</v>
          </cell>
          <cell r="G3693" t="str">
            <v>Wood laminater - Gỗ ghép 1</v>
          </cell>
          <cell r="H3693" t="str">
            <v>Wd+VN</v>
          </cell>
          <cell r="I3693">
            <v>4</v>
          </cell>
        </row>
        <row r="3694">
          <cell r="A3694" t="str">
            <v>B558185/A</v>
          </cell>
          <cell r="B3694" t="str">
            <v>CZ891M196</v>
          </cell>
          <cell r="C3694">
            <v>3</v>
          </cell>
          <cell r="D3694">
            <v>499.55</v>
          </cell>
          <cell r="E3694">
            <v>1498.65</v>
          </cell>
          <cell r="F3694" t="str">
            <v>A1</v>
          </cell>
          <cell r="G3694" t="str">
            <v>Top Frame - Khung nóc</v>
          </cell>
          <cell r="H3694" t="str">
            <v>Pre-Assembly</v>
          </cell>
          <cell r="I3694">
            <v>3</v>
          </cell>
        </row>
        <row r="3695">
          <cell r="A3695" t="str">
            <v>B558185/A</v>
          </cell>
          <cell r="B3695" t="str">
            <v>CZ891M196</v>
          </cell>
          <cell r="C3695">
            <v>3</v>
          </cell>
          <cell r="D3695">
            <v>499.55</v>
          </cell>
          <cell r="E3695">
            <v>1498.65</v>
          </cell>
          <cell r="F3695" t="str">
            <v>A1-S01</v>
          </cell>
          <cell r="G3695" t="str">
            <v xml:space="preserve">Panel - Ván </v>
          </cell>
          <cell r="H3695" t="str">
            <v>MDF - 25 x 1830 x 2440mm [CARB P2 Compliant]</v>
          </cell>
          <cell r="I3695">
            <v>3</v>
          </cell>
        </row>
        <row r="3696">
          <cell r="A3696" t="str">
            <v>B558185/A</v>
          </cell>
          <cell r="B3696" t="str">
            <v>CZ891M196</v>
          </cell>
          <cell r="C3696">
            <v>3</v>
          </cell>
          <cell r="D3696">
            <v>499.55</v>
          </cell>
          <cell r="E3696">
            <v>1498.65</v>
          </cell>
          <cell r="F3696" t="str">
            <v>A1-S02</v>
          </cell>
          <cell r="G3696" t="str">
            <v xml:space="preserve">Panel - Ván </v>
          </cell>
          <cell r="H3696" t="str">
            <v>MDF - 25 x 1830 x 2440mm [CARB P2 Compliant]</v>
          </cell>
          <cell r="I3696">
            <v>3</v>
          </cell>
        </row>
        <row r="3697">
          <cell r="A3697" t="str">
            <v>B558185/A</v>
          </cell>
          <cell r="B3697" t="str">
            <v>CZ891M196</v>
          </cell>
          <cell r="C3697">
            <v>3</v>
          </cell>
          <cell r="D3697">
            <v>499.55</v>
          </cell>
          <cell r="E3697">
            <v>1498.65</v>
          </cell>
          <cell r="F3697" t="str">
            <v>A1-S03</v>
          </cell>
          <cell r="G3697" t="str">
            <v>Insert Wood - Gỗ chèn</v>
          </cell>
          <cell r="H3697" t="str">
            <v>Wood EU Beech - Straight/Waving Edged ABC, 2 COM - T26mm x W100mm up x L1.8m up</v>
          </cell>
          <cell r="I3697">
            <v>12</v>
          </cell>
        </row>
        <row r="3698">
          <cell r="A3698" t="str">
            <v>B558185/A</v>
          </cell>
          <cell r="B3698" t="str">
            <v>CZ891M196</v>
          </cell>
          <cell r="C3698">
            <v>3</v>
          </cell>
          <cell r="D3698">
            <v>499.55</v>
          </cell>
          <cell r="E3698">
            <v>1498.65</v>
          </cell>
          <cell r="F3698" t="str">
            <v>A2-S01</v>
          </cell>
          <cell r="G3698" t="str">
            <v>Center rail - Đố giữa</v>
          </cell>
          <cell r="H3698" t="str">
            <v>Wood Red Oak - Straight/Waving Edged, 1 COM - T32mm x W100mm Up x L1.8m Up</v>
          </cell>
          <cell r="I3698">
            <v>3</v>
          </cell>
        </row>
        <row r="3699">
          <cell r="A3699" t="str">
            <v>B558185/A</v>
          </cell>
          <cell r="B3699" t="str">
            <v>CZ891M196</v>
          </cell>
          <cell r="C3699">
            <v>3</v>
          </cell>
          <cell r="D3699">
            <v>499.55</v>
          </cell>
          <cell r="E3699">
            <v>1498.65</v>
          </cell>
          <cell r="F3699" t="str">
            <v>A2-S01-1</v>
          </cell>
          <cell r="G3699" t="str">
            <v>Center rail - Đố giữa</v>
          </cell>
          <cell r="H3699" t="str">
            <v>Wood Red Oak - Straight/Waving Edged, 1 COM - T32mm x W100mm Up x L1.8m Up</v>
          </cell>
          <cell r="I3699">
            <v>3</v>
          </cell>
        </row>
        <row r="3700">
          <cell r="A3700" t="str">
            <v>B558185/A</v>
          </cell>
          <cell r="B3700" t="str">
            <v>CZ891M196</v>
          </cell>
          <cell r="C3700">
            <v>3</v>
          </cell>
          <cell r="D3700">
            <v>499.55</v>
          </cell>
          <cell r="E3700">
            <v>1498.65</v>
          </cell>
          <cell r="F3700" t="str">
            <v>A2-S02</v>
          </cell>
          <cell r="G3700" t="str">
            <v>The leg  - Chân</v>
          </cell>
          <cell r="H3700" t="str">
            <v>Pre-Assembly</v>
          </cell>
          <cell r="I3700">
            <v>6</v>
          </cell>
        </row>
        <row r="3701">
          <cell r="A3701" t="str">
            <v>B558185/A</v>
          </cell>
          <cell r="B3701" t="str">
            <v>CZ891M196</v>
          </cell>
          <cell r="C3701">
            <v>3</v>
          </cell>
          <cell r="D3701">
            <v>499.55</v>
          </cell>
          <cell r="E3701">
            <v>1498.65</v>
          </cell>
          <cell r="F3701" t="str">
            <v>A2-S02-1</v>
          </cell>
          <cell r="G3701" t="str">
            <v>The leg  - Chân</v>
          </cell>
          <cell r="H3701" t="str">
            <v>Pre-Assembly</v>
          </cell>
          <cell r="I3701">
            <v>3</v>
          </cell>
        </row>
        <row r="3702">
          <cell r="A3702" t="str">
            <v>B558185/A</v>
          </cell>
          <cell r="B3702" t="str">
            <v>CZ891M196</v>
          </cell>
          <cell r="C3702">
            <v>3</v>
          </cell>
          <cell r="D3702">
            <v>499.55</v>
          </cell>
          <cell r="E3702">
            <v>1498.65</v>
          </cell>
          <cell r="F3702" t="str">
            <v>A2-S02-2</v>
          </cell>
          <cell r="G3702" t="str">
            <v>The leg  - Chân</v>
          </cell>
          <cell r="H3702" t="str">
            <v>Pre-Assembly</v>
          </cell>
          <cell r="I3702">
            <v>3</v>
          </cell>
        </row>
        <row r="3703">
          <cell r="A3703" t="str">
            <v>B558185/A</v>
          </cell>
          <cell r="B3703" t="str">
            <v>CZ891M196</v>
          </cell>
          <cell r="C3703">
            <v>3</v>
          </cell>
          <cell r="D3703">
            <v>499.55</v>
          </cell>
          <cell r="E3703">
            <v>1498.65</v>
          </cell>
          <cell r="F3703" t="str">
            <v>A2-S02A</v>
          </cell>
          <cell r="G3703" t="str">
            <v>The leg  - Chân</v>
          </cell>
          <cell r="H3703" t="str">
            <v>MDF laminate</v>
          </cell>
          <cell r="I3703">
            <v>6</v>
          </cell>
        </row>
        <row r="3704">
          <cell r="A3704" t="str">
            <v>B558185/A</v>
          </cell>
          <cell r="B3704" t="str">
            <v>CZ891M196</v>
          </cell>
          <cell r="C3704">
            <v>3</v>
          </cell>
          <cell r="D3704">
            <v>499.55</v>
          </cell>
          <cell r="E3704">
            <v>1498.65</v>
          </cell>
          <cell r="F3704" t="str">
            <v>A2-S02B</v>
          </cell>
          <cell r="G3704" t="str">
            <v>Patching wood - Gỗ đắp</v>
          </cell>
          <cell r="H3704" t="str">
            <v>Wood Red Oak - Straight/Waving Edged, 1 COM - T38mm x W100mm Up x L1.8m Up</v>
          </cell>
          <cell r="I3704">
            <v>12</v>
          </cell>
        </row>
        <row r="3705">
          <cell r="A3705" t="str">
            <v>B558186/A</v>
          </cell>
          <cell r="B3705" t="str">
            <v>CZ891M196</v>
          </cell>
          <cell r="C3705">
            <v>4</v>
          </cell>
          <cell r="D3705">
            <v>499.55</v>
          </cell>
          <cell r="E3705">
            <v>1998.2</v>
          </cell>
          <cell r="F3705" t="str">
            <v>A1</v>
          </cell>
          <cell r="G3705" t="str">
            <v>Top Frame - Khung nóc</v>
          </cell>
          <cell r="H3705" t="str">
            <v>Pre-Assembly</v>
          </cell>
          <cell r="I3705">
            <v>4</v>
          </cell>
        </row>
        <row r="3706">
          <cell r="A3706" t="str">
            <v>B558186/A</v>
          </cell>
          <cell r="B3706" t="str">
            <v>CZ891M196</v>
          </cell>
          <cell r="C3706">
            <v>4</v>
          </cell>
          <cell r="D3706">
            <v>499.55</v>
          </cell>
          <cell r="E3706">
            <v>1998.2</v>
          </cell>
          <cell r="F3706" t="str">
            <v>A1-S01</v>
          </cell>
          <cell r="G3706" t="str">
            <v xml:space="preserve">Panel - Ván </v>
          </cell>
          <cell r="H3706" t="str">
            <v>MDF - 25 x 1830 x 2440mm [CARB P2 Compliant]</v>
          </cell>
          <cell r="I3706">
            <v>4</v>
          </cell>
        </row>
        <row r="3707">
          <cell r="A3707" t="str">
            <v>B558186/A</v>
          </cell>
          <cell r="B3707" t="str">
            <v>CZ891M196</v>
          </cell>
          <cell r="C3707">
            <v>4</v>
          </cell>
          <cell r="D3707">
            <v>499.55</v>
          </cell>
          <cell r="E3707">
            <v>1998.2</v>
          </cell>
          <cell r="F3707" t="str">
            <v>A1-S02</v>
          </cell>
          <cell r="G3707" t="str">
            <v xml:space="preserve">Panel - Ván </v>
          </cell>
          <cell r="H3707" t="str">
            <v>MDF - 25 x 1830 x 2440mm [CARB P2 Compliant]</v>
          </cell>
          <cell r="I3707">
            <v>4</v>
          </cell>
        </row>
        <row r="3708">
          <cell r="A3708" t="str">
            <v>B558186/A</v>
          </cell>
          <cell r="B3708" t="str">
            <v>CZ891M196</v>
          </cell>
          <cell r="C3708">
            <v>4</v>
          </cell>
          <cell r="D3708">
            <v>499.55</v>
          </cell>
          <cell r="E3708">
            <v>1998.2</v>
          </cell>
          <cell r="F3708" t="str">
            <v>A1-S03</v>
          </cell>
          <cell r="G3708" t="str">
            <v>Insert Wood - Gỗ chèn</v>
          </cell>
          <cell r="H3708" t="str">
            <v>Wood EU Beech - Straight/Waving Edged ABC, 2 COM - T26mm x W100mm up x L1.8m up</v>
          </cell>
          <cell r="I3708">
            <v>16</v>
          </cell>
        </row>
        <row r="3709">
          <cell r="A3709" t="str">
            <v>B558186/A</v>
          </cell>
          <cell r="B3709" t="str">
            <v>CZ891M196</v>
          </cell>
          <cell r="C3709">
            <v>4</v>
          </cell>
          <cell r="D3709">
            <v>499.55</v>
          </cell>
          <cell r="E3709">
            <v>1998.2</v>
          </cell>
          <cell r="F3709" t="str">
            <v>A2-S01</v>
          </cell>
          <cell r="G3709" t="str">
            <v>Center rail - Đố giữa</v>
          </cell>
          <cell r="H3709" t="str">
            <v>Wood Red Oak - Straight/Waving Edged, 1 COM - T32mm x W100mm Up x L1.8m Up</v>
          </cell>
          <cell r="I3709">
            <v>4</v>
          </cell>
        </row>
        <row r="3710">
          <cell r="A3710" t="str">
            <v>B558186/A</v>
          </cell>
          <cell r="B3710" t="str">
            <v>CZ891M196</v>
          </cell>
          <cell r="C3710">
            <v>4</v>
          </cell>
          <cell r="D3710">
            <v>499.55</v>
          </cell>
          <cell r="E3710">
            <v>1998.2</v>
          </cell>
          <cell r="F3710" t="str">
            <v>A2-S01-1</v>
          </cell>
          <cell r="G3710" t="str">
            <v>Center rail - Đố giữa</v>
          </cell>
          <cell r="H3710" t="str">
            <v>Wood Red Oak - Straight/Waving Edged, 1 COM - T32mm x W100mm Up x L1.8m Up</v>
          </cell>
          <cell r="I3710">
            <v>4</v>
          </cell>
        </row>
        <row r="3711">
          <cell r="A3711" t="str">
            <v>B558186/A</v>
          </cell>
          <cell r="B3711" t="str">
            <v>CZ891M196</v>
          </cell>
          <cell r="C3711">
            <v>4</v>
          </cell>
          <cell r="D3711">
            <v>499.55</v>
          </cell>
          <cell r="E3711">
            <v>1998.2</v>
          </cell>
          <cell r="F3711" t="str">
            <v>A2-S02</v>
          </cell>
          <cell r="G3711" t="str">
            <v>The leg  - Chân</v>
          </cell>
          <cell r="H3711" t="str">
            <v>Pre-Assembly</v>
          </cell>
          <cell r="I3711">
            <v>8</v>
          </cell>
        </row>
        <row r="3712">
          <cell r="A3712" t="str">
            <v>B558186/A</v>
          </cell>
          <cell r="B3712" t="str">
            <v>CZ891M196</v>
          </cell>
          <cell r="C3712">
            <v>4</v>
          </cell>
          <cell r="D3712">
            <v>499.55</v>
          </cell>
          <cell r="E3712">
            <v>1998.2</v>
          </cell>
          <cell r="F3712" t="str">
            <v>A2-S02-1</v>
          </cell>
          <cell r="G3712" t="str">
            <v>The leg  - Chân</v>
          </cell>
          <cell r="H3712" t="str">
            <v>Pre-Assembly</v>
          </cell>
          <cell r="I3712">
            <v>4</v>
          </cell>
        </row>
        <row r="3713">
          <cell r="A3713" t="str">
            <v>B558186/A</v>
          </cell>
          <cell r="B3713" t="str">
            <v>CZ891M196</v>
          </cell>
          <cell r="C3713">
            <v>4</v>
          </cell>
          <cell r="D3713">
            <v>499.55</v>
          </cell>
          <cell r="E3713">
            <v>1998.2</v>
          </cell>
          <cell r="F3713" t="str">
            <v>A2-S02-2</v>
          </cell>
          <cell r="G3713" t="str">
            <v>The leg  - Chân</v>
          </cell>
          <cell r="H3713" t="str">
            <v>Pre-Assembly</v>
          </cell>
          <cell r="I3713">
            <v>4</v>
          </cell>
        </row>
        <row r="3714">
          <cell r="A3714" t="str">
            <v>B558186/A</v>
          </cell>
          <cell r="B3714" t="str">
            <v>CZ891M196</v>
          </cell>
          <cell r="C3714">
            <v>4</v>
          </cell>
          <cell r="D3714">
            <v>499.55</v>
          </cell>
          <cell r="E3714">
            <v>1998.2</v>
          </cell>
          <cell r="F3714" t="str">
            <v>A2-S02A</v>
          </cell>
          <cell r="G3714" t="str">
            <v>The leg  - Chân</v>
          </cell>
          <cell r="H3714" t="str">
            <v>MDF laminate</v>
          </cell>
          <cell r="I3714">
            <v>8</v>
          </cell>
        </row>
        <row r="3715">
          <cell r="A3715" t="str">
            <v>B558186/A</v>
          </cell>
          <cell r="B3715" t="str">
            <v>CZ891M196</v>
          </cell>
          <cell r="C3715">
            <v>4</v>
          </cell>
          <cell r="D3715">
            <v>499.55</v>
          </cell>
          <cell r="E3715">
            <v>1998.2</v>
          </cell>
          <cell r="F3715" t="str">
            <v>A2-S02B</v>
          </cell>
          <cell r="G3715" t="str">
            <v>Patching wood - Gỗ đắp</v>
          </cell>
          <cell r="H3715" t="str">
            <v>Wood Red Oak - Straight/Waving Edged, 1 COM - T38mm x W100mm Up x L1.8m Up</v>
          </cell>
          <cell r="I3715">
            <v>16</v>
          </cell>
        </row>
        <row r="3716">
          <cell r="A3716" t="str">
            <v>B558191/A</v>
          </cell>
          <cell r="B3716" t="str">
            <v>CZ891M381</v>
          </cell>
          <cell r="C3716">
            <v>5</v>
          </cell>
          <cell r="D3716">
            <v>499.55</v>
          </cell>
          <cell r="E3716">
            <v>2497.75</v>
          </cell>
          <cell r="F3716" t="str">
            <v>A1</v>
          </cell>
          <cell r="G3716" t="str">
            <v>Top Frame - Khung nóc</v>
          </cell>
          <cell r="H3716" t="str">
            <v>Pre-Assembly</v>
          </cell>
          <cell r="I3716">
            <v>5</v>
          </cell>
        </row>
        <row r="3717">
          <cell r="A3717" t="str">
            <v>B558191/A</v>
          </cell>
          <cell r="B3717" t="str">
            <v>CZ891M381</v>
          </cell>
          <cell r="C3717">
            <v>5</v>
          </cell>
          <cell r="D3717">
            <v>499.55</v>
          </cell>
          <cell r="E3717">
            <v>2497.75</v>
          </cell>
          <cell r="F3717" t="str">
            <v>A1-S01</v>
          </cell>
          <cell r="G3717" t="str">
            <v xml:space="preserve">Panel - Ván </v>
          </cell>
          <cell r="H3717" t="str">
            <v>MDF - 25 x 1830 x 2440mm [CARB P2 Compliant]</v>
          </cell>
          <cell r="I3717">
            <v>5</v>
          </cell>
        </row>
        <row r="3718">
          <cell r="A3718" t="str">
            <v>B558191/A</v>
          </cell>
          <cell r="B3718" t="str">
            <v>CZ891M381</v>
          </cell>
          <cell r="C3718">
            <v>5</v>
          </cell>
          <cell r="D3718">
            <v>499.55</v>
          </cell>
          <cell r="E3718">
            <v>2497.75</v>
          </cell>
          <cell r="F3718" t="str">
            <v>A1-S02</v>
          </cell>
          <cell r="G3718" t="str">
            <v xml:space="preserve">Panel - Ván </v>
          </cell>
          <cell r="H3718" t="str">
            <v>MDF - 25 x 1830 x 2440mm [CARB P2 Compliant]</v>
          </cell>
          <cell r="I3718">
            <v>5</v>
          </cell>
        </row>
        <row r="3719">
          <cell r="A3719" t="str">
            <v>B558191/A</v>
          </cell>
          <cell r="B3719" t="str">
            <v>CZ891M381</v>
          </cell>
          <cell r="C3719">
            <v>5</v>
          </cell>
          <cell r="D3719">
            <v>499.55</v>
          </cell>
          <cell r="E3719">
            <v>2497.75</v>
          </cell>
          <cell r="F3719" t="str">
            <v>A1-S03</v>
          </cell>
          <cell r="G3719" t="str">
            <v>Insert Wood - Gỗ chèn</v>
          </cell>
          <cell r="H3719" t="str">
            <v>Wood EU Beech - Straight/Waving Edged ABC, 2 COM - T26mm x W100mm up x L1.8m up</v>
          </cell>
          <cell r="I3719">
            <v>20</v>
          </cell>
        </row>
        <row r="3720">
          <cell r="A3720" t="str">
            <v>B558191/A</v>
          </cell>
          <cell r="B3720" t="str">
            <v>CZ891M381</v>
          </cell>
          <cell r="C3720">
            <v>5</v>
          </cell>
          <cell r="D3720">
            <v>499.55</v>
          </cell>
          <cell r="E3720">
            <v>2497.75</v>
          </cell>
          <cell r="F3720" t="str">
            <v>A2-S01</v>
          </cell>
          <cell r="G3720" t="str">
            <v>Center rail - Đố giữa</v>
          </cell>
          <cell r="H3720" t="str">
            <v>Wood White Oak - Straight/Waving Edged, 1 COM - T32mm x W100mm Up x L1.8m Up</v>
          </cell>
          <cell r="I3720">
            <v>5</v>
          </cell>
        </row>
        <row r="3721">
          <cell r="A3721" t="str">
            <v>B558191/A</v>
          </cell>
          <cell r="B3721" t="str">
            <v>CZ891M381</v>
          </cell>
          <cell r="C3721">
            <v>5</v>
          </cell>
          <cell r="D3721">
            <v>499.55</v>
          </cell>
          <cell r="E3721">
            <v>2497.75</v>
          </cell>
          <cell r="F3721" t="str">
            <v>A2-S01-1</v>
          </cell>
          <cell r="G3721" t="str">
            <v>Center rail - Đố giữa</v>
          </cell>
          <cell r="H3721" t="str">
            <v>Wood White Oak - Straight/Waving Edged, 1 COM - T32mm x W100mm Up x L1.8m Up</v>
          </cell>
          <cell r="I3721">
            <v>5</v>
          </cell>
        </row>
        <row r="3722">
          <cell r="A3722" t="str">
            <v>B558191/A</v>
          </cell>
          <cell r="B3722" t="str">
            <v>CZ891M381</v>
          </cell>
          <cell r="C3722">
            <v>5</v>
          </cell>
          <cell r="D3722">
            <v>499.55</v>
          </cell>
          <cell r="E3722">
            <v>2497.75</v>
          </cell>
          <cell r="F3722" t="str">
            <v>A2-S02</v>
          </cell>
          <cell r="G3722" t="str">
            <v>The leg  - Chân</v>
          </cell>
          <cell r="H3722" t="str">
            <v>Pre-Assembly</v>
          </cell>
          <cell r="I3722">
            <v>10</v>
          </cell>
        </row>
        <row r="3723">
          <cell r="A3723" t="str">
            <v>B558191/A</v>
          </cell>
          <cell r="B3723" t="str">
            <v>CZ891M381</v>
          </cell>
          <cell r="C3723">
            <v>5</v>
          </cell>
          <cell r="D3723">
            <v>499.55</v>
          </cell>
          <cell r="E3723">
            <v>2497.75</v>
          </cell>
          <cell r="F3723" t="str">
            <v>A2-S02-1</v>
          </cell>
          <cell r="G3723" t="str">
            <v>The leg  - Chân</v>
          </cell>
          <cell r="H3723" t="str">
            <v>Pre-Assembly</v>
          </cell>
          <cell r="I3723">
            <v>5</v>
          </cell>
        </row>
        <row r="3724">
          <cell r="A3724" t="str">
            <v>B558191/A</v>
          </cell>
          <cell r="B3724" t="str">
            <v>CZ891M381</v>
          </cell>
          <cell r="C3724">
            <v>5</v>
          </cell>
          <cell r="D3724">
            <v>499.55</v>
          </cell>
          <cell r="E3724">
            <v>2497.75</v>
          </cell>
          <cell r="F3724" t="str">
            <v>A2-S02-2</v>
          </cell>
          <cell r="G3724" t="str">
            <v>The leg  - Chân</v>
          </cell>
          <cell r="H3724" t="str">
            <v>Pre-Assembly</v>
          </cell>
          <cell r="I3724">
            <v>5</v>
          </cell>
        </row>
        <row r="3725">
          <cell r="A3725" t="str">
            <v>B558191/A</v>
          </cell>
          <cell r="B3725" t="str">
            <v>CZ891M381</v>
          </cell>
          <cell r="C3725">
            <v>5</v>
          </cell>
          <cell r="D3725">
            <v>499.55</v>
          </cell>
          <cell r="E3725">
            <v>2497.75</v>
          </cell>
          <cell r="F3725" t="str">
            <v>A2-S02A</v>
          </cell>
          <cell r="G3725" t="str">
            <v>The leg  - Chân</v>
          </cell>
          <cell r="H3725" t="str">
            <v>MDF laminate</v>
          </cell>
          <cell r="I3725">
            <v>10</v>
          </cell>
        </row>
        <row r="3726">
          <cell r="A3726" t="str">
            <v>B558191/A</v>
          </cell>
          <cell r="B3726" t="str">
            <v>CZ891M381</v>
          </cell>
          <cell r="C3726">
            <v>5</v>
          </cell>
          <cell r="D3726">
            <v>499.55</v>
          </cell>
          <cell r="E3726">
            <v>2497.75</v>
          </cell>
          <cell r="F3726" t="str">
            <v>A2-S02B</v>
          </cell>
          <cell r="G3726" t="str">
            <v>Patching wood - Gỗ đắp</v>
          </cell>
          <cell r="H3726" t="str">
            <v>Wood White Oak - Straight/Waving Edged, 1 COM - T38mm x W100mm Up x L1.8m Up</v>
          </cell>
          <cell r="I3726">
            <v>20</v>
          </cell>
        </row>
        <row r="3727">
          <cell r="A3727" t="str">
            <v>B558192/A</v>
          </cell>
          <cell r="B3727" t="str">
            <v>CZ891M381</v>
          </cell>
          <cell r="C3727">
            <v>4</v>
          </cell>
          <cell r="D3727">
            <v>499.55</v>
          </cell>
          <cell r="E3727">
            <v>1998.2</v>
          </cell>
          <cell r="F3727" t="str">
            <v>A1</v>
          </cell>
          <cell r="G3727" t="str">
            <v>Top Frame - Khung nóc</v>
          </cell>
          <cell r="H3727" t="str">
            <v>Pre-Assembly</v>
          </cell>
          <cell r="I3727">
            <v>4</v>
          </cell>
        </row>
        <row r="3728">
          <cell r="A3728" t="str">
            <v>B558192/A</v>
          </cell>
          <cell r="B3728" t="str">
            <v>CZ891M381</v>
          </cell>
          <cell r="C3728">
            <v>4</v>
          </cell>
          <cell r="D3728">
            <v>499.55</v>
          </cell>
          <cell r="E3728">
            <v>1998.2</v>
          </cell>
          <cell r="F3728" t="str">
            <v>A1-S01</v>
          </cell>
          <cell r="G3728" t="str">
            <v xml:space="preserve">Panel - Ván </v>
          </cell>
          <cell r="H3728" t="str">
            <v>MDF - 25 x 1830 x 2440mm [CARB P2 Compliant]</v>
          </cell>
          <cell r="I3728">
            <v>4</v>
          </cell>
        </row>
        <row r="3729">
          <cell r="A3729" t="str">
            <v>B558192/A</v>
          </cell>
          <cell r="B3729" t="str">
            <v>CZ891M381</v>
          </cell>
          <cell r="C3729">
            <v>4</v>
          </cell>
          <cell r="D3729">
            <v>499.55</v>
          </cell>
          <cell r="E3729">
            <v>1998.2</v>
          </cell>
          <cell r="F3729" t="str">
            <v>A1-S02</v>
          </cell>
          <cell r="G3729" t="str">
            <v xml:space="preserve">Panel - Ván </v>
          </cell>
          <cell r="H3729" t="str">
            <v>MDF - 25 x 1830 x 2440mm [CARB P2 Compliant]</v>
          </cell>
          <cell r="I3729">
            <v>4</v>
          </cell>
        </row>
        <row r="3730">
          <cell r="A3730" t="str">
            <v>B558192/A</v>
          </cell>
          <cell r="B3730" t="str">
            <v>CZ891M381</v>
          </cell>
          <cell r="C3730">
            <v>4</v>
          </cell>
          <cell r="D3730">
            <v>499.55</v>
          </cell>
          <cell r="E3730">
            <v>1998.2</v>
          </cell>
          <cell r="F3730" t="str">
            <v>A1-S03</v>
          </cell>
          <cell r="G3730" t="str">
            <v>Insert Wood - Gỗ chèn</v>
          </cell>
          <cell r="H3730" t="str">
            <v>Wood EU Beech - Straight/Waving Edged ABC, 2 COM - T26mm x W100mm up x L1.8m up</v>
          </cell>
          <cell r="I3730">
            <v>16</v>
          </cell>
        </row>
        <row r="3731">
          <cell r="A3731" t="str">
            <v>B558192/A</v>
          </cell>
          <cell r="B3731" t="str">
            <v>CZ891M381</v>
          </cell>
          <cell r="C3731">
            <v>4</v>
          </cell>
          <cell r="D3731">
            <v>499.55</v>
          </cell>
          <cell r="E3731">
            <v>1998.2</v>
          </cell>
          <cell r="F3731" t="str">
            <v>A2-S01</v>
          </cell>
          <cell r="G3731" t="str">
            <v>Center rail - Đố giữa</v>
          </cell>
          <cell r="H3731" t="str">
            <v>Wood White Oak - Straight/Waving Edged, 1 COM - T32mm x W100mm Up x L1.8m Up</v>
          </cell>
          <cell r="I3731">
            <v>4</v>
          </cell>
        </row>
        <row r="3732">
          <cell r="A3732" t="str">
            <v>B558192/A</v>
          </cell>
          <cell r="B3732" t="str">
            <v>CZ891M381</v>
          </cell>
          <cell r="C3732">
            <v>4</v>
          </cell>
          <cell r="D3732">
            <v>499.55</v>
          </cell>
          <cell r="E3732">
            <v>1998.2</v>
          </cell>
          <cell r="F3732" t="str">
            <v>A2-S01-1</v>
          </cell>
          <cell r="G3732" t="str">
            <v>Center rail - Đố giữa</v>
          </cell>
          <cell r="H3732" t="str">
            <v>Wood White Oak - Straight/Waving Edged, 1 COM - T32mm x W100mm Up x L1.8m Up</v>
          </cell>
          <cell r="I3732">
            <v>4</v>
          </cell>
        </row>
        <row r="3733">
          <cell r="A3733" t="str">
            <v>B558192/A</v>
          </cell>
          <cell r="B3733" t="str">
            <v>CZ891M381</v>
          </cell>
          <cell r="C3733">
            <v>4</v>
          </cell>
          <cell r="D3733">
            <v>499.55</v>
          </cell>
          <cell r="E3733">
            <v>1998.2</v>
          </cell>
          <cell r="F3733" t="str">
            <v>A2-S02</v>
          </cell>
          <cell r="G3733" t="str">
            <v>The leg  - Chân</v>
          </cell>
          <cell r="H3733" t="str">
            <v>Pre-Assembly</v>
          </cell>
          <cell r="I3733">
            <v>8</v>
          </cell>
        </row>
        <row r="3734">
          <cell r="A3734" t="str">
            <v>B558192/A</v>
          </cell>
          <cell r="B3734" t="str">
            <v>CZ891M381</v>
          </cell>
          <cell r="C3734">
            <v>4</v>
          </cell>
          <cell r="D3734">
            <v>499.55</v>
          </cell>
          <cell r="E3734">
            <v>1998.2</v>
          </cell>
          <cell r="F3734" t="str">
            <v>A2-S02-1</v>
          </cell>
          <cell r="G3734" t="str">
            <v>The leg  - Chân</v>
          </cell>
          <cell r="H3734" t="str">
            <v>Pre-Assembly</v>
          </cell>
          <cell r="I3734">
            <v>4</v>
          </cell>
        </row>
        <row r="3735">
          <cell r="A3735" t="str">
            <v>B558192/A</v>
          </cell>
          <cell r="B3735" t="str">
            <v>CZ891M381</v>
          </cell>
          <cell r="C3735">
            <v>4</v>
          </cell>
          <cell r="D3735">
            <v>499.55</v>
          </cell>
          <cell r="E3735">
            <v>1998.2</v>
          </cell>
          <cell r="F3735" t="str">
            <v>A2-S02-2</v>
          </cell>
          <cell r="G3735" t="str">
            <v>The leg  - Chân</v>
          </cell>
          <cell r="H3735" t="str">
            <v>Pre-Assembly</v>
          </cell>
          <cell r="I3735">
            <v>4</v>
          </cell>
        </row>
        <row r="3736">
          <cell r="A3736" t="str">
            <v>B558192/A</v>
          </cell>
          <cell r="B3736" t="str">
            <v>CZ891M381</v>
          </cell>
          <cell r="C3736">
            <v>4</v>
          </cell>
          <cell r="D3736">
            <v>499.55</v>
          </cell>
          <cell r="E3736">
            <v>1998.2</v>
          </cell>
          <cell r="F3736" t="str">
            <v>A2-S02A</v>
          </cell>
          <cell r="G3736" t="str">
            <v>The leg  - Chân</v>
          </cell>
          <cell r="H3736" t="str">
            <v>MDF laminate</v>
          </cell>
          <cell r="I3736">
            <v>8</v>
          </cell>
        </row>
        <row r="3737">
          <cell r="A3737" t="str">
            <v>B558192/A</v>
          </cell>
          <cell r="B3737" t="str">
            <v>CZ891M381</v>
          </cell>
          <cell r="C3737">
            <v>4</v>
          </cell>
          <cell r="D3737">
            <v>499.55</v>
          </cell>
          <cell r="E3737">
            <v>1998.2</v>
          </cell>
          <cell r="F3737" t="str">
            <v>A2-S02B</v>
          </cell>
          <cell r="G3737" t="str">
            <v>Patching wood - Gỗ đắp</v>
          </cell>
          <cell r="H3737" t="str">
            <v>Wood White Oak - Straight/Waving Edged, 1 COM - T38mm x W100mm Up x L1.8m Up</v>
          </cell>
          <cell r="I3737">
            <v>16</v>
          </cell>
        </row>
        <row r="3738">
          <cell r="A3738" t="str">
            <v>B558194/A</v>
          </cell>
          <cell r="B3738" t="str">
            <v>CZ891M409</v>
          </cell>
          <cell r="C3738">
            <v>2</v>
          </cell>
          <cell r="D3738">
            <v>499.55</v>
          </cell>
          <cell r="E3738">
            <v>999.1</v>
          </cell>
          <cell r="F3738" t="str">
            <v>A1</v>
          </cell>
          <cell r="G3738" t="str">
            <v>Top Frame - Khung nóc</v>
          </cell>
          <cell r="H3738" t="str">
            <v>Pre-Assembly</v>
          </cell>
          <cell r="I3738">
            <v>2</v>
          </cell>
        </row>
        <row r="3739">
          <cell r="A3739" t="str">
            <v>B558194/A</v>
          </cell>
          <cell r="B3739" t="str">
            <v>CZ891M409</v>
          </cell>
          <cell r="C3739">
            <v>2</v>
          </cell>
          <cell r="D3739">
            <v>499.55</v>
          </cell>
          <cell r="E3739">
            <v>999.1</v>
          </cell>
          <cell r="F3739" t="str">
            <v>A1-S01</v>
          </cell>
          <cell r="G3739" t="str">
            <v xml:space="preserve">Panel - Ván </v>
          </cell>
          <cell r="H3739" t="str">
            <v>MDF - 25 x 1830 x 2440mm [CARB P2 Compliant]</v>
          </cell>
          <cell r="I3739">
            <v>2</v>
          </cell>
        </row>
        <row r="3740">
          <cell r="A3740" t="str">
            <v>B558194/A</v>
          </cell>
          <cell r="B3740" t="str">
            <v>CZ891M409</v>
          </cell>
          <cell r="C3740">
            <v>2</v>
          </cell>
          <cell r="D3740">
            <v>499.55</v>
          </cell>
          <cell r="E3740">
            <v>999.1</v>
          </cell>
          <cell r="F3740" t="str">
            <v>A1-S02</v>
          </cell>
          <cell r="G3740" t="str">
            <v xml:space="preserve">Panel - Ván </v>
          </cell>
          <cell r="H3740" t="str">
            <v>MDF - 25 x 1830 x 2440mm [CARB P2 Compliant]</v>
          </cell>
          <cell r="I3740">
            <v>2</v>
          </cell>
        </row>
        <row r="3741">
          <cell r="A3741" t="str">
            <v>B558194/A</v>
          </cell>
          <cell r="B3741" t="str">
            <v>CZ891M409</v>
          </cell>
          <cell r="C3741">
            <v>2</v>
          </cell>
          <cell r="D3741">
            <v>499.55</v>
          </cell>
          <cell r="E3741">
            <v>999.1</v>
          </cell>
          <cell r="F3741" t="str">
            <v>A1-S03</v>
          </cell>
          <cell r="G3741" t="str">
            <v>Insert Wood - Gỗ chèn</v>
          </cell>
          <cell r="H3741" t="str">
            <v>Wood EU Beech - Straight/Waving Edged ABC, 2 COM - T26mm x W100mm up x L1.8m up</v>
          </cell>
          <cell r="I3741">
            <v>8</v>
          </cell>
        </row>
        <row r="3742">
          <cell r="A3742" t="str">
            <v>B558194/A</v>
          </cell>
          <cell r="B3742" t="str">
            <v>CZ891M409</v>
          </cell>
          <cell r="C3742">
            <v>2</v>
          </cell>
          <cell r="D3742">
            <v>499.55</v>
          </cell>
          <cell r="E3742">
            <v>999.1</v>
          </cell>
          <cell r="F3742" t="str">
            <v>A2-S01</v>
          </cell>
          <cell r="G3742" t="str">
            <v>Center rail - Đố giữa</v>
          </cell>
          <cell r="H3742" t="str">
            <v>Wood White Oak - Straight/Waving Edged, 1 COM - T32mm x W100mm Up x L1.8m Up</v>
          </cell>
          <cell r="I3742">
            <v>2</v>
          </cell>
        </row>
        <row r="3743">
          <cell r="A3743" t="str">
            <v>B558194/A</v>
          </cell>
          <cell r="B3743" t="str">
            <v>CZ891M409</v>
          </cell>
          <cell r="C3743">
            <v>2</v>
          </cell>
          <cell r="D3743">
            <v>499.55</v>
          </cell>
          <cell r="E3743">
            <v>999.1</v>
          </cell>
          <cell r="F3743" t="str">
            <v>A2-S01-1</v>
          </cell>
          <cell r="G3743" t="str">
            <v>Center rail - Đố giữa</v>
          </cell>
          <cell r="H3743" t="str">
            <v>Wood White Oak - Straight/Waving Edged, 1 COM - T32mm x W100mm Up x L1.8m Up</v>
          </cell>
          <cell r="I3743">
            <v>2</v>
          </cell>
        </row>
        <row r="3744">
          <cell r="A3744" t="str">
            <v>B558194/A</v>
          </cell>
          <cell r="B3744" t="str">
            <v>CZ891M409</v>
          </cell>
          <cell r="C3744">
            <v>2</v>
          </cell>
          <cell r="D3744">
            <v>499.55</v>
          </cell>
          <cell r="E3744">
            <v>999.1</v>
          </cell>
          <cell r="F3744" t="str">
            <v>A2-S02</v>
          </cell>
          <cell r="G3744" t="str">
            <v>The leg  - Chân</v>
          </cell>
          <cell r="H3744" t="str">
            <v>Pre-Assembly</v>
          </cell>
          <cell r="I3744">
            <v>4</v>
          </cell>
        </row>
        <row r="3745">
          <cell r="A3745" t="str">
            <v>B558194/A</v>
          </cell>
          <cell r="B3745" t="str">
            <v>CZ891M409</v>
          </cell>
          <cell r="C3745">
            <v>2</v>
          </cell>
          <cell r="D3745">
            <v>499.55</v>
          </cell>
          <cell r="E3745">
            <v>999.1</v>
          </cell>
          <cell r="F3745" t="str">
            <v>A2-S02-1</v>
          </cell>
          <cell r="G3745" t="str">
            <v>The leg  - Chân</v>
          </cell>
          <cell r="H3745" t="str">
            <v>Pre-Assembly</v>
          </cell>
          <cell r="I3745">
            <v>2</v>
          </cell>
        </row>
        <row r="3746">
          <cell r="A3746" t="str">
            <v>B558194/A</v>
          </cell>
          <cell r="B3746" t="str">
            <v>CZ891M409</v>
          </cell>
          <cell r="C3746">
            <v>2</v>
          </cell>
          <cell r="D3746">
            <v>499.55</v>
          </cell>
          <cell r="E3746">
            <v>999.1</v>
          </cell>
          <cell r="F3746" t="str">
            <v>A2-S02-2</v>
          </cell>
          <cell r="G3746" t="str">
            <v>The leg  - Chân</v>
          </cell>
          <cell r="H3746" t="str">
            <v>Pre-Assembly</v>
          </cell>
          <cell r="I3746">
            <v>2</v>
          </cell>
        </row>
        <row r="3747">
          <cell r="A3747" t="str">
            <v>B558194/A</v>
          </cell>
          <cell r="B3747" t="str">
            <v>CZ891M409</v>
          </cell>
          <cell r="C3747">
            <v>2</v>
          </cell>
          <cell r="D3747">
            <v>499.55</v>
          </cell>
          <cell r="E3747">
            <v>999.1</v>
          </cell>
          <cell r="F3747" t="str">
            <v>A2-S02A</v>
          </cell>
          <cell r="G3747" t="str">
            <v>The leg  - Chân</v>
          </cell>
          <cell r="H3747" t="str">
            <v>MDF laminate</v>
          </cell>
          <cell r="I3747">
            <v>4</v>
          </cell>
        </row>
        <row r="3748">
          <cell r="A3748" t="str">
            <v>B558194/A</v>
          </cell>
          <cell r="B3748" t="str">
            <v>CZ891M409</v>
          </cell>
          <cell r="C3748">
            <v>2</v>
          </cell>
          <cell r="D3748">
            <v>499.55</v>
          </cell>
          <cell r="E3748">
            <v>999.1</v>
          </cell>
          <cell r="F3748" t="str">
            <v>A2-S02B</v>
          </cell>
          <cell r="G3748" t="str">
            <v>Patching wood - Gỗ đắp</v>
          </cell>
          <cell r="H3748" t="str">
            <v>Wood White Oak - Straight/Waving Edged, 1 COM - T38mm x W100mm Up x L1.8m Up</v>
          </cell>
          <cell r="I3748">
            <v>8</v>
          </cell>
        </row>
        <row r="3749">
          <cell r="A3749" t="str">
            <v>B558197/A</v>
          </cell>
          <cell r="B3749" t="str">
            <v>CZ898NM381</v>
          </cell>
          <cell r="C3749">
            <v>1</v>
          </cell>
          <cell r="D3749">
            <v>847.81</v>
          </cell>
          <cell r="E3749">
            <v>847.81</v>
          </cell>
          <cell r="F3749" t="str">
            <v>A1</v>
          </cell>
          <cell r="G3749" t="str">
            <v xml:space="preserve">Drawer front - Mặt hộc kéo </v>
          </cell>
          <cell r="H3749" t="str">
            <v>MDF Veneer</v>
          </cell>
          <cell r="I3749">
            <v>1</v>
          </cell>
        </row>
        <row r="3750">
          <cell r="A3750" t="str">
            <v>B558197/A</v>
          </cell>
          <cell r="B3750" t="str">
            <v>CZ898NM381</v>
          </cell>
          <cell r="C3750">
            <v>1</v>
          </cell>
          <cell r="D3750">
            <v>847.81</v>
          </cell>
          <cell r="E3750">
            <v>847.81</v>
          </cell>
          <cell r="F3750" t="str">
            <v>A1-S01</v>
          </cell>
          <cell r="G3750" t="str">
            <v xml:space="preserve">Drawer front - Mặt hộc kéo </v>
          </cell>
          <cell r="H3750" t="str">
            <v>Pre-Assembly</v>
          </cell>
          <cell r="I3750">
            <v>2</v>
          </cell>
        </row>
        <row r="3751">
          <cell r="A3751" t="str">
            <v>B558197/A</v>
          </cell>
          <cell r="B3751" t="str">
            <v>CZ898NM381</v>
          </cell>
          <cell r="C3751">
            <v>1</v>
          </cell>
          <cell r="D3751">
            <v>847.81</v>
          </cell>
          <cell r="E3751">
            <v>847.81</v>
          </cell>
          <cell r="F3751" t="str">
            <v>A1-S01-B</v>
          </cell>
          <cell r="G3751" t="str">
            <v>Patching wood - Gỗ đắp</v>
          </cell>
          <cell r="H3751" t="str">
            <v>Wood White Oak - Straight/Waving Edged, 1 COM - T25mm x W100mm Up x L1.8m Up</v>
          </cell>
          <cell r="I3751">
            <v>8</v>
          </cell>
        </row>
        <row r="3752">
          <cell r="A3752" t="str">
            <v>B558197/A</v>
          </cell>
          <cell r="B3752" t="str">
            <v>CZ898NM381</v>
          </cell>
          <cell r="C3752">
            <v>1</v>
          </cell>
          <cell r="D3752">
            <v>847.81</v>
          </cell>
          <cell r="E3752">
            <v>847.81</v>
          </cell>
          <cell r="F3752" t="str">
            <v>A1-S02</v>
          </cell>
          <cell r="G3752" t="str">
            <v xml:space="preserve">Drawer front 1 - Mặt hộc kéo </v>
          </cell>
          <cell r="H3752" t="str">
            <v>MDF Veneer</v>
          </cell>
          <cell r="I3752">
            <v>2</v>
          </cell>
        </row>
        <row r="3753">
          <cell r="A3753" t="str">
            <v>B558197/A</v>
          </cell>
          <cell r="B3753" t="str">
            <v>CZ898NM381</v>
          </cell>
          <cell r="C3753">
            <v>1</v>
          </cell>
          <cell r="D3753">
            <v>847.81</v>
          </cell>
          <cell r="E3753">
            <v>847.81</v>
          </cell>
          <cell r="F3753" t="str">
            <v>A1-S03</v>
          </cell>
          <cell r="G3753" t="str">
            <v>Drawer side - Hông hộc kéo</v>
          </cell>
          <cell r="H3753" t="str">
            <v>MDF Veneer</v>
          </cell>
          <cell r="I3753">
            <v>4</v>
          </cell>
        </row>
        <row r="3754">
          <cell r="A3754" t="str">
            <v>B558197/A</v>
          </cell>
          <cell r="B3754" t="str">
            <v>CZ898NM381</v>
          </cell>
          <cell r="C3754">
            <v>1</v>
          </cell>
          <cell r="D3754">
            <v>847.81</v>
          </cell>
          <cell r="E3754">
            <v>847.81</v>
          </cell>
          <cell r="F3754" t="str">
            <v>A1-S04</v>
          </cell>
          <cell r="G3754" t="str">
            <v>Drawer back - Hậu hộc kéo</v>
          </cell>
          <cell r="H3754" t="str">
            <v>MDF Veneer</v>
          </cell>
          <cell r="I3754">
            <v>2</v>
          </cell>
        </row>
        <row r="3755">
          <cell r="A3755" t="str">
            <v>B558197/A</v>
          </cell>
          <cell r="B3755" t="str">
            <v>CZ898NM381</v>
          </cell>
          <cell r="C3755">
            <v>1</v>
          </cell>
          <cell r="D3755">
            <v>847.81</v>
          </cell>
          <cell r="E3755">
            <v>847.81</v>
          </cell>
          <cell r="F3755" t="str">
            <v>A1-S05</v>
          </cell>
          <cell r="G3755" t="str">
            <v>Drawer bottom  - Đáy hộc kéo</v>
          </cell>
          <cell r="H3755" t="str">
            <v>MDF Veneer</v>
          </cell>
          <cell r="I3755">
            <v>2</v>
          </cell>
        </row>
        <row r="3756">
          <cell r="A3756" t="str">
            <v>B558197/A</v>
          </cell>
          <cell r="B3756" t="str">
            <v>CZ898NM381</v>
          </cell>
          <cell r="C3756">
            <v>1</v>
          </cell>
          <cell r="D3756">
            <v>847.81</v>
          </cell>
          <cell r="E3756">
            <v>847.81</v>
          </cell>
          <cell r="F3756" t="str">
            <v>A2-S01</v>
          </cell>
          <cell r="G3756" t="str">
            <v xml:space="preserve">Drawer front - Mặt hộc kéo </v>
          </cell>
          <cell r="H3756" t="str">
            <v>Pre-Assembly</v>
          </cell>
          <cell r="I3756">
            <v>3</v>
          </cell>
        </row>
        <row r="3757">
          <cell r="A3757" t="str">
            <v>B558197/A</v>
          </cell>
          <cell r="B3757" t="str">
            <v>CZ898NM381</v>
          </cell>
          <cell r="C3757">
            <v>1</v>
          </cell>
          <cell r="D3757">
            <v>847.81</v>
          </cell>
          <cell r="E3757">
            <v>847.81</v>
          </cell>
          <cell r="F3757" t="str">
            <v>A2-S02</v>
          </cell>
          <cell r="G3757" t="str">
            <v xml:space="preserve">Drawer front 1 - Mặt hộc kéo </v>
          </cell>
          <cell r="H3757" t="str">
            <v>MDF Veneer</v>
          </cell>
          <cell r="I3757">
            <v>3</v>
          </cell>
        </row>
        <row r="3758">
          <cell r="A3758" t="str">
            <v>B558197/A</v>
          </cell>
          <cell r="B3758" t="str">
            <v>CZ898NM381</v>
          </cell>
          <cell r="C3758">
            <v>1</v>
          </cell>
          <cell r="D3758">
            <v>847.81</v>
          </cell>
          <cell r="E3758">
            <v>847.81</v>
          </cell>
          <cell r="F3758" t="str">
            <v>A2-S03</v>
          </cell>
          <cell r="G3758" t="str">
            <v>Drawer side - Hông hộc kéo</v>
          </cell>
          <cell r="H3758" t="str">
            <v>MDF Veneer</v>
          </cell>
          <cell r="I3758">
            <v>6</v>
          </cell>
        </row>
        <row r="3759">
          <cell r="A3759" t="str">
            <v>B558197/A</v>
          </cell>
          <cell r="B3759" t="str">
            <v>CZ898NM381</v>
          </cell>
          <cell r="C3759">
            <v>1</v>
          </cell>
          <cell r="D3759">
            <v>847.81</v>
          </cell>
          <cell r="E3759">
            <v>847.81</v>
          </cell>
          <cell r="F3759" t="str">
            <v>A2-S04</v>
          </cell>
          <cell r="G3759" t="str">
            <v>Drawer back - Hậu hộc kéo</v>
          </cell>
          <cell r="H3759" t="str">
            <v>MDF Veneer</v>
          </cell>
          <cell r="I3759">
            <v>3</v>
          </cell>
        </row>
        <row r="3760">
          <cell r="A3760" t="str">
            <v>B558197/A</v>
          </cell>
          <cell r="B3760" t="str">
            <v>CZ898NM381</v>
          </cell>
          <cell r="C3760">
            <v>1</v>
          </cell>
          <cell r="D3760">
            <v>847.81</v>
          </cell>
          <cell r="E3760">
            <v>847.81</v>
          </cell>
          <cell r="F3760" t="str">
            <v>A2-S05</v>
          </cell>
          <cell r="G3760" t="str">
            <v>Drawer bottom  - Đáy hộc kéo</v>
          </cell>
          <cell r="H3760" t="str">
            <v>MDF Veneer</v>
          </cell>
          <cell r="I3760">
            <v>3</v>
          </cell>
        </row>
        <row r="3761">
          <cell r="A3761" t="str">
            <v>B558197/A</v>
          </cell>
          <cell r="B3761" t="str">
            <v>CZ898NM381</v>
          </cell>
          <cell r="C3761">
            <v>1</v>
          </cell>
          <cell r="D3761">
            <v>847.81</v>
          </cell>
          <cell r="E3761">
            <v>847.81</v>
          </cell>
          <cell r="F3761" t="str">
            <v>A2-S06</v>
          </cell>
          <cell r="G3761" t="str">
            <v>Patching wood - Gỗ đắp</v>
          </cell>
          <cell r="H3761" t="str">
            <v>Wood EU Beech - Straight/Waving Edged ABC, 2 COM - T38mm x W100mm up x L1.8m up</v>
          </cell>
          <cell r="I3761">
            <v>3</v>
          </cell>
        </row>
        <row r="3762">
          <cell r="A3762" t="str">
            <v>B558197/A</v>
          </cell>
          <cell r="B3762" t="str">
            <v>CZ898NM381</v>
          </cell>
          <cell r="C3762">
            <v>1</v>
          </cell>
          <cell r="D3762">
            <v>847.81</v>
          </cell>
          <cell r="E3762">
            <v>847.81</v>
          </cell>
          <cell r="F3762" t="str">
            <v>A5-S01</v>
          </cell>
          <cell r="G3762" t="str">
            <v>Vertical rail 1 - Đố đứng 1</v>
          </cell>
          <cell r="H3762" t="str">
            <v>Wd+VN</v>
          </cell>
          <cell r="I3762">
            <v>2</v>
          </cell>
        </row>
        <row r="3763">
          <cell r="A3763" t="str">
            <v>B558197/A</v>
          </cell>
          <cell r="B3763" t="str">
            <v>CZ898NM381</v>
          </cell>
          <cell r="C3763">
            <v>1</v>
          </cell>
          <cell r="D3763">
            <v>847.81</v>
          </cell>
          <cell r="E3763">
            <v>847.81</v>
          </cell>
          <cell r="F3763" t="str">
            <v>A5-S02</v>
          </cell>
          <cell r="G3763" t="str">
            <v xml:space="preserve">Side panel  - Ván hông </v>
          </cell>
          <cell r="H3763" t="str">
            <v>MDF Veneer</v>
          </cell>
          <cell r="I3763">
            <v>2</v>
          </cell>
        </row>
        <row r="3764">
          <cell r="A3764" t="str">
            <v>B558197/A</v>
          </cell>
          <cell r="B3764" t="str">
            <v>CZ898NM381</v>
          </cell>
          <cell r="C3764">
            <v>1</v>
          </cell>
          <cell r="D3764">
            <v>847.81</v>
          </cell>
          <cell r="E3764">
            <v>847.81</v>
          </cell>
          <cell r="F3764" t="str">
            <v>A5-S03</v>
          </cell>
          <cell r="G3764" t="str">
            <v xml:space="preserve">Side rail  - Đố hông </v>
          </cell>
          <cell r="H3764" t="str">
            <v>Wood laminate</v>
          </cell>
          <cell r="I3764">
            <v>8</v>
          </cell>
        </row>
        <row r="3765">
          <cell r="A3765" t="str">
            <v>B558197/A</v>
          </cell>
          <cell r="B3765" t="str">
            <v>CZ898NM381</v>
          </cell>
          <cell r="C3765">
            <v>1</v>
          </cell>
          <cell r="D3765">
            <v>847.81</v>
          </cell>
          <cell r="E3765">
            <v>847.81</v>
          </cell>
          <cell r="F3765" t="str">
            <v>A6-S01</v>
          </cell>
          <cell r="G3765" t="str">
            <v>Front Bottom Rail  - Đố đáy trước</v>
          </cell>
          <cell r="H3765" t="str">
            <v>Wood White Oak - Straight/Waving Edged, 2 COM - T32mm x W100mm Up x L1.5m Up</v>
          </cell>
          <cell r="I3765">
            <v>2</v>
          </cell>
        </row>
        <row r="3766">
          <cell r="A3766" t="str">
            <v>B558197/A</v>
          </cell>
          <cell r="B3766" t="str">
            <v>CZ898NM381</v>
          </cell>
          <cell r="C3766">
            <v>1</v>
          </cell>
          <cell r="D3766">
            <v>847.81</v>
          </cell>
          <cell r="E3766">
            <v>847.81</v>
          </cell>
          <cell r="F3766" t="str">
            <v>A6-S02</v>
          </cell>
          <cell r="G3766" t="str">
            <v>Side bottom rail - Đố hông dưới</v>
          </cell>
          <cell r="H3766" t="str">
            <v>Wood White Oak - Straight/Waving Edged, 2 COM - T32mm x W100mm Up x L1.5m Up</v>
          </cell>
          <cell r="I3766">
            <v>2</v>
          </cell>
        </row>
        <row r="3767">
          <cell r="A3767" t="str">
            <v>B558197/A</v>
          </cell>
          <cell r="B3767" t="str">
            <v>CZ898NM381</v>
          </cell>
          <cell r="C3767">
            <v>1</v>
          </cell>
          <cell r="D3767">
            <v>847.81</v>
          </cell>
          <cell r="E3767">
            <v>847.81</v>
          </cell>
          <cell r="F3767" t="str">
            <v>A6-S03</v>
          </cell>
          <cell r="G3767" t="str">
            <v>Center bottom rail - Đố đáy giữa</v>
          </cell>
          <cell r="H3767" t="str">
            <v>Wood White Oak - Straight/Waving Edged, 2 COM - T32mm x W100mm Up x L1.5m Up</v>
          </cell>
          <cell r="I3767">
            <v>1</v>
          </cell>
        </row>
        <row r="3768">
          <cell r="A3768" t="str">
            <v>B558197/A</v>
          </cell>
          <cell r="B3768" t="str">
            <v>CZ898NM381</v>
          </cell>
          <cell r="C3768">
            <v>1</v>
          </cell>
          <cell r="D3768">
            <v>847.81</v>
          </cell>
          <cell r="E3768">
            <v>847.81</v>
          </cell>
          <cell r="F3768" t="str">
            <v>P01</v>
          </cell>
          <cell r="G3768" t="str">
            <v xml:space="preserve">Top panel  - Ván nóc </v>
          </cell>
          <cell r="H3768" t="str">
            <v>MDF Veneer</v>
          </cell>
          <cell r="I3768">
            <v>1</v>
          </cell>
        </row>
        <row r="3769">
          <cell r="A3769" t="str">
            <v>B558197/A</v>
          </cell>
          <cell r="B3769" t="str">
            <v>CZ898NM381</v>
          </cell>
          <cell r="C3769">
            <v>1</v>
          </cell>
          <cell r="D3769">
            <v>847.81</v>
          </cell>
          <cell r="E3769">
            <v>847.81</v>
          </cell>
          <cell r="F3769" t="str">
            <v>P02</v>
          </cell>
          <cell r="G3769" t="str">
            <v>Front top rail  - Đố tiền nóc</v>
          </cell>
          <cell r="H3769" t="str">
            <v>Wood laminate</v>
          </cell>
          <cell r="I3769">
            <v>1</v>
          </cell>
        </row>
        <row r="3770">
          <cell r="A3770" t="str">
            <v>B558197/A</v>
          </cell>
          <cell r="B3770" t="str">
            <v>CZ898NM381</v>
          </cell>
          <cell r="C3770">
            <v>1</v>
          </cell>
          <cell r="D3770">
            <v>847.81</v>
          </cell>
          <cell r="E3770">
            <v>847.81</v>
          </cell>
          <cell r="F3770" t="str">
            <v>P04</v>
          </cell>
          <cell r="G3770" t="str">
            <v>Bottom panel - Ván đáy</v>
          </cell>
          <cell r="H3770" t="str">
            <v>MDF Veneer</v>
          </cell>
          <cell r="I3770">
            <v>1</v>
          </cell>
        </row>
        <row r="3771">
          <cell r="A3771" t="str">
            <v>B558197/A</v>
          </cell>
          <cell r="B3771" t="str">
            <v>CZ898NM381</v>
          </cell>
          <cell r="C3771">
            <v>1</v>
          </cell>
          <cell r="D3771">
            <v>847.81</v>
          </cell>
          <cell r="E3771">
            <v>847.81</v>
          </cell>
          <cell r="F3771" t="str">
            <v>P05</v>
          </cell>
          <cell r="G3771" t="str">
            <v>back rail - Đố hậu</v>
          </cell>
          <cell r="H3771" t="str">
            <v>Wood Rubber Laminate Board - 20 x 1220 x 2440mm, Veneer Poplar both Faces</v>
          </cell>
          <cell r="I3771">
            <v>1</v>
          </cell>
        </row>
        <row r="3772">
          <cell r="A3772" t="str">
            <v>B558197/A</v>
          </cell>
          <cell r="B3772" t="str">
            <v>CZ898NM381</v>
          </cell>
          <cell r="C3772">
            <v>1</v>
          </cell>
          <cell r="D3772">
            <v>847.81</v>
          </cell>
          <cell r="E3772">
            <v>847.81</v>
          </cell>
          <cell r="F3772" t="str">
            <v>P06</v>
          </cell>
          <cell r="G3772" t="str">
            <v>Back panel - Ván hậu</v>
          </cell>
          <cell r="H3772" t="str">
            <v>MDF Veneer</v>
          </cell>
          <cell r="I3772">
            <v>1</v>
          </cell>
        </row>
        <row r="3773">
          <cell r="A3773" t="str">
            <v>B558197/A</v>
          </cell>
          <cell r="B3773" t="str">
            <v>CZ898NM381</v>
          </cell>
          <cell r="C3773">
            <v>1</v>
          </cell>
          <cell r="D3773">
            <v>847.81</v>
          </cell>
          <cell r="E3773">
            <v>847.81</v>
          </cell>
          <cell r="F3773" t="str">
            <v>P07</v>
          </cell>
          <cell r="G3773" t="str">
            <v>Back bottom rail - Đố hậu đáy</v>
          </cell>
          <cell r="H3773" t="str">
            <v>Wood Rubber Laminate Board - 20 x 1220 x 2440mm, Veneer Poplar both Faces</v>
          </cell>
          <cell r="I3773">
            <v>1</v>
          </cell>
        </row>
        <row r="3774">
          <cell r="A3774" t="str">
            <v>B558197/A</v>
          </cell>
          <cell r="B3774" t="str">
            <v>CZ898NM381</v>
          </cell>
          <cell r="C3774">
            <v>1</v>
          </cell>
          <cell r="D3774">
            <v>847.81</v>
          </cell>
          <cell r="E3774">
            <v>847.81</v>
          </cell>
          <cell r="F3774" t="str">
            <v>P08</v>
          </cell>
          <cell r="G3774" t="str">
            <v xml:space="preserve">Vertical panel  - ván đứng </v>
          </cell>
          <cell r="H3774" t="str">
            <v>MDF Veneer</v>
          </cell>
          <cell r="I3774">
            <v>1</v>
          </cell>
        </row>
        <row r="3775">
          <cell r="A3775" t="str">
            <v>B558197/A</v>
          </cell>
          <cell r="B3775" t="str">
            <v>CZ898NM381</v>
          </cell>
          <cell r="C3775">
            <v>1</v>
          </cell>
          <cell r="D3775">
            <v>847.81</v>
          </cell>
          <cell r="E3775">
            <v>847.81</v>
          </cell>
          <cell r="F3775" t="str">
            <v>P09</v>
          </cell>
          <cell r="G3775" t="str">
            <v>Front rail  - Đố tiền</v>
          </cell>
          <cell r="H3775" t="str">
            <v>Wood Rubber Laminate Board - 20 x 1220 x 2440mm, Veneer Poplar both Faces</v>
          </cell>
          <cell r="I3775">
            <v>3</v>
          </cell>
        </row>
        <row r="3776">
          <cell r="A3776" t="str">
            <v>B558197/A</v>
          </cell>
          <cell r="B3776" t="str">
            <v>CZ898NM381</v>
          </cell>
          <cell r="C3776">
            <v>1</v>
          </cell>
          <cell r="D3776">
            <v>847.81</v>
          </cell>
          <cell r="E3776">
            <v>847.81</v>
          </cell>
          <cell r="F3776" t="str">
            <v>P10</v>
          </cell>
          <cell r="G3776" t="str">
            <v>back rail - Đố hậu</v>
          </cell>
          <cell r="H3776" t="str">
            <v>Wood Rubber Laminate Board - 20 x 1220 x 2440mm, Veneer Poplar both Faces</v>
          </cell>
          <cell r="I3776">
            <v>1</v>
          </cell>
        </row>
        <row r="3777">
          <cell r="A3777" t="str">
            <v>B558197/A</v>
          </cell>
          <cell r="B3777" t="str">
            <v>CZ898NM381</v>
          </cell>
          <cell r="C3777">
            <v>1</v>
          </cell>
          <cell r="D3777">
            <v>847.81</v>
          </cell>
          <cell r="E3777">
            <v>847.81</v>
          </cell>
          <cell r="F3777" t="str">
            <v>P11</v>
          </cell>
          <cell r="G3777" t="str">
            <v>Corner block - ke góc</v>
          </cell>
          <cell r="H3777" t="str">
            <v>Poplar off cut</v>
          </cell>
          <cell r="I3777">
            <v>6</v>
          </cell>
        </row>
        <row r="3778">
          <cell r="A3778" t="str">
            <v>B558197/A</v>
          </cell>
          <cell r="B3778" t="str">
            <v>CZ898NM381</v>
          </cell>
          <cell r="C3778">
            <v>1</v>
          </cell>
          <cell r="D3778">
            <v>847.81</v>
          </cell>
          <cell r="E3778">
            <v>847.81</v>
          </cell>
          <cell r="F3778" t="str">
            <v>P12</v>
          </cell>
          <cell r="G3778" t="str">
            <v>Back panel - Ván hậu</v>
          </cell>
          <cell r="H3778" t="str">
            <v>Cement Board - 18 x 1220 x 2440mm, Dark Grey</v>
          </cell>
          <cell r="I3778">
            <v>1</v>
          </cell>
        </row>
        <row r="3779">
          <cell r="A3779" t="str">
            <v>B558197/A</v>
          </cell>
          <cell r="B3779" t="str">
            <v>CZ898NM381</v>
          </cell>
          <cell r="C3779">
            <v>1</v>
          </cell>
          <cell r="D3779">
            <v>847.81</v>
          </cell>
          <cell r="E3779">
            <v>847.81</v>
          </cell>
          <cell r="F3779" t="str">
            <v>P13</v>
          </cell>
          <cell r="G3779" t="str">
            <v>Drawer stop - Dừng hộc</v>
          </cell>
          <cell r="H3779" t="str">
            <v>Poplar off cut</v>
          </cell>
          <cell r="I3779">
            <v>10</v>
          </cell>
        </row>
        <row r="3780">
          <cell r="A3780" t="str">
            <v>B558200/A</v>
          </cell>
          <cell r="B3780" t="str">
            <v>CZ898NM409</v>
          </cell>
          <cell r="C3780">
            <v>5</v>
          </cell>
          <cell r="D3780">
            <v>932.59</v>
          </cell>
          <cell r="E3780">
            <v>4662.95</v>
          </cell>
          <cell r="F3780" t="str">
            <v>A1</v>
          </cell>
          <cell r="G3780" t="str">
            <v xml:space="preserve">Drawer front - Mặt hộc kéo </v>
          </cell>
          <cell r="H3780" t="str">
            <v>MDF Veneer</v>
          </cell>
          <cell r="I3780">
            <v>5</v>
          </cell>
        </row>
        <row r="3781">
          <cell r="A3781" t="str">
            <v>B558200/A</v>
          </cell>
          <cell r="B3781" t="str">
            <v>CZ898NM409</v>
          </cell>
          <cell r="C3781">
            <v>5</v>
          </cell>
          <cell r="D3781">
            <v>932.59</v>
          </cell>
          <cell r="E3781">
            <v>4662.95</v>
          </cell>
          <cell r="F3781" t="str">
            <v>A1-S01</v>
          </cell>
          <cell r="G3781" t="str">
            <v xml:space="preserve">Drawer front - Mặt hộc kéo </v>
          </cell>
          <cell r="H3781" t="str">
            <v>Pre-Assembly</v>
          </cell>
          <cell r="I3781">
            <v>10</v>
          </cell>
        </row>
        <row r="3782">
          <cell r="A3782" t="str">
            <v>B558200/A</v>
          </cell>
          <cell r="B3782" t="str">
            <v>CZ898NM409</v>
          </cell>
          <cell r="C3782">
            <v>5</v>
          </cell>
          <cell r="D3782">
            <v>932.59</v>
          </cell>
          <cell r="E3782">
            <v>4662.95</v>
          </cell>
          <cell r="F3782" t="str">
            <v>A1-S01-B</v>
          </cell>
          <cell r="G3782" t="str">
            <v>Patching wood - Gỗ đắp</v>
          </cell>
          <cell r="H3782" t="str">
            <v>Wood White Oak - Straight/Waving Edged, 1 COM - T25mm x W100mm Up x L1.8m Up</v>
          </cell>
          <cell r="I3782">
            <v>40</v>
          </cell>
        </row>
        <row r="3783">
          <cell r="A3783" t="str">
            <v>B558200/A</v>
          </cell>
          <cell r="B3783" t="str">
            <v>CZ898NM409</v>
          </cell>
          <cell r="C3783">
            <v>5</v>
          </cell>
          <cell r="D3783">
            <v>932.59</v>
          </cell>
          <cell r="E3783">
            <v>4662.95</v>
          </cell>
          <cell r="F3783" t="str">
            <v>A1-S02</v>
          </cell>
          <cell r="G3783" t="str">
            <v xml:space="preserve">Drawer front 1 - Mặt hộc kéo </v>
          </cell>
          <cell r="H3783" t="str">
            <v>MDF Veneer</v>
          </cell>
          <cell r="I3783">
            <v>10</v>
          </cell>
        </row>
        <row r="3784">
          <cell r="A3784" t="str">
            <v>B558200/A</v>
          </cell>
          <cell r="B3784" t="str">
            <v>CZ898NM409</v>
          </cell>
          <cell r="C3784">
            <v>5</v>
          </cell>
          <cell r="D3784">
            <v>932.59</v>
          </cell>
          <cell r="E3784">
            <v>4662.95</v>
          </cell>
          <cell r="F3784" t="str">
            <v>A1-S03</v>
          </cell>
          <cell r="G3784" t="str">
            <v>Drawer side - Hông hộc kéo</v>
          </cell>
          <cell r="H3784" t="str">
            <v>MDF Veneer</v>
          </cell>
          <cell r="I3784">
            <v>20</v>
          </cell>
        </row>
        <row r="3785">
          <cell r="A3785" t="str">
            <v>B558200/A</v>
          </cell>
          <cell r="B3785" t="str">
            <v>CZ898NM409</v>
          </cell>
          <cell r="C3785">
            <v>5</v>
          </cell>
          <cell r="D3785">
            <v>932.59</v>
          </cell>
          <cell r="E3785">
            <v>4662.95</v>
          </cell>
          <cell r="F3785" t="str">
            <v>A1-S04</v>
          </cell>
          <cell r="G3785" t="str">
            <v>Drawer back - Hậu hộc kéo</v>
          </cell>
          <cell r="H3785" t="str">
            <v>MDF Veneer</v>
          </cell>
          <cell r="I3785">
            <v>10</v>
          </cell>
        </row>
        <row r="3786">
          <cell r="A3786" t="str">
            <v>B558200/A</v>
          </cell>
          <cell r="B3786" t="str">
            <v>CZ898NM409</v>
          </cell>
          <cell r="C3786">
            <v>5</v>
          </cell>
          <cell r="D3786">
            <v>932.59</v>
          </cell>
          <cell r="E3786">
            <v>4662.95</v>
          </cell>
          <cell r="F3786" t="str">
            <v>A1-S05</v>
          </cell>
          <cell r="G3786" t="str">
            <v>Drawer bottom  - Đáy hộc kéo</v>
          </cell>
          <cell r="H3786" t="str">
            <v>MDF Veneer</v>
          </cell>
          <cell r="I3786">
            <v>10</v>
          </cell>
        </row>
        <row r="3787">
          <cell r="A3787" t="str">
            <v>B558200/A</v>
          </cell>
          <cell r="B3787" t="str">
            <v>CZ898NM409</v>
          </cell>
          <cell r="C3787">
            <v>5</v>
          </cell>
          <cell r="D3787">
            <v>932.59</v>
          </cell>
          <cell r="E3787">
            <v>4662.95</v>
          </cell>
          <cell r="F3787" t="str">
            <v>A2-S01</v>
          </cell>
          <cell r="G3787" t="str">
            <v xml:space="preserve">Drawer front - Mặt hộc kéo </v>
          </cell>
          <cell r="H3787" t="str">
            <v>Pre-Assembly</v>
          </cell>
          <cell r="I3787">
            <v>15</v>
          </cell>
        </row>
        <row r="3788">
          <cell r="A3788" t="str">
            <v>B558200/A</v>
          </cell>
          <cell r="B3788" t="str">
            <v>CZ898NM409</v>
          </cell>
          <cell r="C3788">
            <v>5</v>
          </cell>
          <cell r="D3788">
            <v>932.59</v>
          </cell>
          <cell r="E3788">
            <v>4662.95</v>
          </cell>
          <cell r="F3788" t="str">
            <v>A2-S02</v>
          </cell>
          <cell r="G3788" t="str">
            <v xml:space="preserve">Drawer front 1 - Mặt hộc kéo </v>
          </cell>
          <cell r="H3788" t="str">
            <v>MDF Veneer</v>
          </cell>
          <cell r="I3788">
            <v>15</v>
          </cell>
        </row>
        <row r="3789">
          <cell r="A3789" t="str">
            <v>B558200/A</v>
          </cell>
          <cell r="B3789" t="str">
            <v>CZ898NM409</v>
          </cell>
          <cell r="C3789">
            <v>5</v>
          </cell>
          <cell r="D3789">
            <v>932.59</v>
          </cell>
          <cell r="E3789">
            <v>4662.95</v>
          </cell>
          <cell r="F3789" t="str">
            <v>A2-S03</v>
          </cell>
          <cell r="G3789" t="str">
            <v>Drawer side - Hông hộc kéo</v>
          </cell>
          <cell r="H3789" t="str">
            <v>MDF Veneer</v>
          </cell>
          <cell r="I3789">
            <v>30</v>
          </cell>
        </row>
        <row r="3790">
          <cell r="A3790" t="str">
            <v>B558200/A</v>
          </cell>
          <cell r="B3790" t="str">
            <v>CZ898NM409</v>
          </cell>
          <cell r="C3790">
            <v>5</v>
          </cell>
          <cell r="D3790">
            <v>932.59</v>
          </cell>
          <cell r="E3790">
            <v>4662.95</v>
          </cell>
          <cell r="F3790" t="str">
            <v>A2-S04</v>
          </cell>
          <cell r="G3790" t="str">
            <v>Drawer back - Hậu hộc kéo</v>
          </cell>
          <cell r="H3790" t="str">
            <v>MDF Veneer</v>
          </cell>
          <cell r="I3790">
            <v>15</v>
          </cell>
        </row>
        <row r="3791">
          <cell r="A3791" t="str">
            <v>B558200/A</v>
          </cell>
          <cell r="B3791" t="str">
            <v>CZ898NM409</v>
          </cell>
          <cell r="C3791">
            <v>5</v>
          </cell>
          <cell r="D3791">
            <v>932.59</v>
          </cell>
          <cell r="E3791">
            <v>4662.95</v>
          </cell>
          <cell r="F3791" t="str">
            <v>A2-S05</v>
          </cell>
          <cell r="G3791" t="str">
            <v>Drawer bottom  - Đáy hộc kéo</v>
          </cell>
          <cell r="H3791" t="str">
            <v>MDF Veneer</v>
          </cell>
          <cell r="I3791">
            <v>15</v>
          </cell>
        </row>
        <row r="3792">
          <cell r="A3792" t="str">
            <v>B558200/A</v>
          </cell>
          <cell r="B3792" t="str">
            <v>CZ898NM409</v>
          </cell>
          <cell r="C3792">
            <v>5</v>
          </cell>
          <cell r="D3792">
            <v>932.59</v>
          </cell>
          <cell r="E3792">
            <v>4662.95</v>
          </cell>
          <cell r="F3792" t="str">
            <v>A2-S06</v>
          </cell>
          <cell r="G3792" t="str">
            <v>Patching wood - Gỗ đắp</v>
          </cell>
          <cell r="H3792" t="str">
            <v>Wood EU Beech - Straight/Waving Edged ABC, 2 COM - T38mm x W100mm up x L1.8m up</v>
          </cell>
          <cell r="I3792">
            <v>15</v>
          </cell>
        </row>
        <row r="3793">
          <cell r="A3793" t="str">
            <v>B558200/A</v>
          </cell>
          <cell r="B3793" t="str">
            <v>CZ898NM409</v>
          </cell>
          <cell r="C3793">
            <v>5</v>
          </cell>
          <cell r="D3793">
            <v>932.59</v>
          </cell>
          <cell r="E3793">
            <v>4662.95</v>
          </cell>
          <cell r="F3793" t="str">
            <v>A5-S01</v>
          </cell>
          <cell r="G3793" t="str">
            <v>Vertical rail 1 - Đố đứng 1</v>
          </cell>
          <cell r="H3793" t="str">
            <v>Wd+VN</v>
          </cell>
          <cell r="I3793">
            <v>10</v>
          </cell>
        </row>
        <row r="3794">
          <cell r="A3794" t="str">
            <v>B558200/A</v>
          </cell>
          <cell r="B3794" t="str">
            <v>CZ898NM409</v>
          </cell>
          <cell r="C3794">
            <v>5</v>
          </cell>
          <cell r="D3794">
            <v>932.59</v>
          </cell>
          <cell r="E3794">
            <v>4662.95</v>
          </cell>
          <cell r="F3794" t="str">
            <v>A5-S02</v>
          </cell>
          <cell r="G3794" t="str">
            <v xml:space="preserve">Side panel  - Ván hông </v>
          </cell>
          <cell r="H3794" t="str">
            <v>MDF Veneer</v>
          </cell>
          <cell r="I3794">
            <v>10</v>
          </cell>
        </row>
        <row r="3795">
          <cell r="A3795" t="str">
            <v>B558200/A</v>
          </cell>
          <cell r="B3795" t="str">
            <v>CZ898NM409</v>
          </cell>
          <cell r="C3795">
            <v>5</v>
          </cell>
          <cell r="D3795">
            <v>932.59</v>
          </cell>
          <cell r="E3795">
            <v>4662.95</v>
          </cell>
          <cell r="F3795" t="str">
            <v>A5-S03</v>
          </cell>
          <cell r="G3795" t="str">
            <v xml:space="preserve">Side rail  - Đố hông </v>
          </cell>
          <cell r="H3795" t="str">
            <v>Wood laminate</v>
          </cell>
          <cell r="I3795">
            <v>40</v>
          </cell>
        </row>
        <row r="3796">
          <cell r="A3796" t="str">
            <v>B558200/A</v>
          </cell>
          <cell r="B3796" t="str">
            <v>CZ898NM409</v>
          </cell>
          <cell r="C3796">
            <v>5</v>
          </cell>
          <cell r="D3796">
            <v>932.59</v>
          </cell>
          <cell r="E3796">
            <v>4662.95</v>
          </cell>
          <cell r="F3796" t="str">
            <v>A6-S01</v>
          </cell>
          <cell r="G3796" t="str">
            <v>Front Bottom Rail  - Đố đáy trước</v>
          </cell>
          <cell r="H3796" t="str">
            <v>Wood White Oak - Straight/Waving Edged, 2 COM - T32mm x W100mm Up x L1.5m Up</v>
          </cell>
          <cell r="I3796">
            <v>10</v>
          </cell>
        </row>
        <row r="3797">
          <cell r="A3797" t="str">
            <v>B558200/A</v>
          </cell>
          <cell r="B3797" t="str">
            <v>CZ898NM409</v>
          </cell>
          <cell r="C3797">
            <v>5</v>
          </cell>
          <cell r="D3797">
            <v>932.59</v>
          </cell>
          <cell r="E3797">
            <v>4662.95</v>
          </cell>
          <cell r="F3797" t="str">
            <v>A6-S02</v>
          </cell>
          <cell r="G3797" t="str">
            <v>Side bottom rail - Đố hông dưới</v>
          </cell>
          <cell r="H3797" t="str">
            <v>Wood White Oak - Straight/Waving Edged, 2 COM - T32mm x W100mm Up x L1.5m Up</v>
          </cell>
          <cell r="I3797">
            <v>10</v>
          </cell>
        </row>
        <row r="3798">
          <cell r="A3798" t="str">
            <v>B558200/A</v>
          </cell>
          <cell r="B3798" t="str">
            <v>CZ898NM409</v>
          </cell>
          <cell r="C3798">
            <v>5</v>
          </cell>
          <cell r="D3798">
            <v>932.59</v>
          </cell>
          <cell r="E3798">
            <v>4662.95</v>
          </cell>
          <cell r="F3798" t="str">
            <v>A6-S03</v>
          </cell>
          <cell r="G3798" t="str">
            <v>Center bottom rail - Đố đáy giữa</v>
          </cell>
          <cell r="H3798" t="str">
            <v>Wood White Oak - Straight/Waving Edged, 2 COM - T32mm x W100mm Up x L1.5m Up</v>
          </cell>
          <cell r="I3798">
            <v>5</v>
          </cell>
        </row>
        <row r="3799">
          <cell r="A3799" t="str">
            <v>B558200/A</v>
          </cell>
          <cell r="B3799" t="str">
            <v>CZ898NM409</v>
          </cell>
          <cell r="C3799">
            <v>5</v>
          </cell>
          <cell r="D3799">
            <v>932.59</v>
          </cell>
          <cell r="E3799">
            <v>4662.95</v>
          </cell>
          <cell r="F3799" t="str">
            <v>P01</v>
          </cell>
          <cell r="G3799" t="str">
            <v xml:space="preserve">Top panel  - Ván nóc </v>
          </cell>
          <cell r="H3799" t="str">
            <v>MDF Veneer</v>
          </cell>
          <cell r="I3799">
            <v>5</v>
          </cell>
        </row>
        <row r="3800">
          <cell r="A3800" t="str">
            <v>B558200/A</v>
          </cell>
          <cell r="B3800" t="str">
            <v>CZ898NM409</v>
          </cell>
          <cell r="C3800">
            <v>5</v>
          </cell>
          <cell r="D3800">
            <v>932.59</v>
          </cell>
          <cell r="E3800">
            <v>4662.95</v>
          </cell>
          <cell r="F3800" t="str">
            <v>P02</v>
          </cell>
          <cell r="G3800" t="str">
            <v>Front top rail  - Đố tiền nóc</v>
          </cell>
          <cell r="H3800" t="str">
            <v>Wood laminate</v>
          </cell>
          <cell r="I3800">
            <v>5</v>
          </cell>
        </row>
        <row r="3801">
          <cell r="A3801" t="str">
            <v>B558200/A</v>
          </cell>
          <cell r="B3801" t="str">
            <v>CZ898NM409</v>
          </cell>
          <cell r="C3801">
            <v>5</v>
          </cell>
          <cell r="D3801">
            <v>932.59</v>
          </cell>
          <cell r="E3801">
            <v>4662.95</v>
          </cell>
          <cell r="F3801" t="str">
            <v>P04</v>
          </cell>
          <cell r="G3801" t="str">
            <v>Bottom panel - Ván đáy</v>
          </cell>
          <cell r="H3801" t="str">
            <v>MDF Veneer</v>
          </cell>
          <cell r="I3801">
            <v>5</v>
          </cell>
        </row>
        <row r="3802">
          <cell r="A3802" t="str">
            <v>B558200/A</v>
          </cell>
          <cell r="B3802" t="str">
            <v>CZ898NM409</v>
          </cell>
          <cell r="C3802">
            <v>5</v>
          </cell>
          <cell r="D3802">
            <v>932.59</v>
          </cell>
          <cell r="E3802">
            <v>4662.95</v>
          </cell>
          <cell r="F3802" t="str">
            <v>P05</v>
          </cell>
          <cell r="G3802" t="str">
            <v>back rail - Đố hậu</v>
          </cell>
          <cell r="H3802" t="str">
            <v>Wood Rubber Laminate Board - 20 x 1220 x 2440mm, Veneer Poplar both Faces</v>
          </cell>
          <cell r="I3802">
            <v>5</v>
          </cell>
        </row>
        <row r="3803">
          <cell r="A3803" t="str">
            <v>B558200/A</v>
          </cell>
          <cell r="B3803" t="str">
            <v>CZ898NM409</v>
          </cell>
          <cell r="C3803">
            <v>5</v>
          </cell>
          <cell r="D3803">
            <v>932.59</v>
          </cell>
          <cell r="E3803">
            <v>4662.95</v>
          </cell>
          <cell r="F3803" t="str">
            <v>P06</v>
          </cell>
          <cell r="G3803" t="str">
            <v>Back panel - Ván hậu</v>
          </cell>
          <cell r="H3803" t="str">
            <v>MDF Veneer</v>
          </cell>
          <cell r="I3803">
            <v>5</v>
          </cell>
        </row>
        <row r="3804">
          <cell r="A3804" t="str">
            <v>B558200/A</v>
          </cell>
          <cell r="B3804" t="str">
            <v>CZ898NM409</v>
          </cell>
          <cell r="C3804">
            <v>5</v>
          </cell>
          <cell r="D3804">
            <v>932.59</v>
          </cell>
          <cell r="E3804">
            <v>4662.95</v>
          </cell>
          <cell r="F3804" t="str">
            <v>P07</v>
          </cell>
          <cell r="G3804" t="str">
            <v>Back bottom rail - Đố hậu đáy</v>
          </cell>
          <cell r="H3804" t="str">
            <v>Wood Rubber Laminate Board - 20 x 1220 x 2440mm, Veneer Poplar both Faces</v>
          </cell>
          <cell r="I3804">
            <v>5</v>
          </cell>
        </row>
        <row r="3805">
          <cell r="A3805" t="str">
            <v>B558200/A</v>
          </cell>
          <cell r="B3805" t="str">
            <v>CZ898NM409</v>
          </cell>
          <cell r="C3805">
            <v>5</v>
          </cell>
          <cell r="D3805">
            <v>932.59</v>
          </cell>
          <cell r="E3805">
            <v>4662.95</v>
          </cell>
          <cell r="F3805" t="str">
            <v>P08</v>
          </cell>
          <cell r="G3805" t="str">
            <v xml:space="preserve">Vertical panel  - ván đứng </v>
          </cell>
          <cell r="H3805" t="str">
            <v>MDF Veneer</v>
          </cell>
          <cell r="I3805">
            <v>5</v>
          </cell>
        </row>
        <row r="3806">
          <cell r="A3806" t="str">
            <v>B558200/A</v>
          </cell>
          <cell r="B3806" t="str">
            <v>CZ898NM409</v>
          </cell>
          <cell r="C3806">
            <v>5</v>
          </cell>
          <cell r="D3806">
            <v>932.59</v>
          </cell>
          <cell r="E3806">
            <v>4662.95</v>
          </cell>
          <cell r="F3806" t="str">
            <v>P09</v>
          </cell>
          <cell r="G3806" t="str">
            <v>Front rail  - Đố tiền</v>
          </cell>
          <cell r="H3806" t="str">
            <v>Wood Rubber Laminate Board - 20 x 1220 x 2440mm, Veneer Poplar both Faces</v>
          </cell>
          <cell r="I3806">
            <v>15</v>
          </cell>
        </row>
        <row r="3807">
          <cell r="A3807" t="str">
            <v>B558200/A</v>
          </cell>
          <cell r="B3807" t="str">
            <v>CZ898NM409</v>
          </cell>
          <cell r="C3807">
            <v>5</v>
          </cell>
          <cell r="D3807">
            <v>932.59</v>
          </cell>
          <cell r="E3807">
            <v>4662.95</v>
          </cell>
          <cell r="F3807" t="str">
            <v>P10</v>
          </cell>
          <cell r="G3807" t="str">
            <v>back rail - Đố hậu</v>
          </cell>
          <cell r="H3807" t="str">
            <v>Wood Rubber Laminate Board - 20 x 1220 x 2440mm, Veneer Poplar both Faces</v>
          </cell>
          <cell r="I3807">
            <v>5</v>
          </cell>
        </row>
        <row r="3808">
          <cell r="A3808" t="str">
            <v>B558200/A</v>
          </cell>
          <cell r="B3808" t="str">
            <v>CZ898NM409</v>
          </cell>
          <cell r="C3808">
            <v>5</v>
          </cell>
          <cell r="D3808">
            <v>932.59</v>
          </cell>
          <cell r="E3808">
            <v>4662.95</v>
          </cell>
          <cell r="F3808" t="str">
            <v>P11</v>
          </cell>
          <cell r="G3808" t="str">
            <v>Corner block - ke góc</v>
          </cell>
          <cell r="H3808" t="str">
            <v>Poplar off cut</v>
          </cell>
          <cell r="I3808">
            <v>30</v>
          </cell>
        </row>
        <row r="3809">
          <cell r="A3809" t="str">
            <v>B558200/A</v>
          </cell>
          <cell r="B3809" t="str">
            <v>CZ898NM409</v>
          </cell>
          <cell r="C3809">
            <v>5</v>
          </cell>
          <cell r="D3809">
            <v>932.59</v>
          </cell>
          <cell r="E3809">
            <v>4662.95</v>
          </cell>
          <cell r="F3809" t="str">
            <v>P12</v>
          </cell>
          <cell r="G3809" t="str">
            <v>Back panel - Ván hậu</v>
          </cell>
          <cell r="H3809" t="str">
            <v>Cement Board - 18 x 1220 x 2440mm, Dark Grey</v>
          </cell>
          <cell r="I3809">
            <v>5</v>
          </cell>
        </row>
        <row r="3810">
          <cell r="A3810" t="str">
            <v>B558200/A</v>
          </cell>
          <cell r="B3810" t="str">
            <v>CZ898NM409</v>
          </cell>
          <cell r="C3810">
            <v>5</v>
          </cell>
          <cell r="D3810">
            <v>932.59</v>
          </cell>
          <cell r="E3810">
            <v>4662.95</v>
          </cell>
          <cell r="F3810" t="str">
            <v>P13</v>
          </cell>
          <cell r="G3810" t="str">
            <v>Drawer stop - Dừng hộc</v>
          </cell>
          <cell r="H3810" t="str">
            <v>Poplar off cut</v>
          </cell>
          <cell r="I3810">
            <v>50</v>
          </cell>
        </row>
        <row r="3811">
          <cell r="A3811" t="str">
            <v>B558201/A</v>
          </cell>
          <cell r="B3811" t="str">
            <v>CZ898NM409</v>
          </cell>
          <cell r="C3811">
            <v>10</v>
          </cell>
          <cell r="D3811">
            <v>847.81</v>
          </cell>
          <cell r="E3811">
            <v>8478.0999999999985</v>
          </cell>
          <cell r="F3811" t="str">
            <v>A1</v>
          </cell>
          <cell r="G3811" t="str">
            <v xml:space="preserve">Drawer front - Mặt hộc kéo </v>
          </cell>
          <cell r="H3811" t="str">
            <v>MDF Veneer</v>
          </cell>
          <cell r="I3811">
            <v>10</v>
          </cell>
        </row>
        <row r="3812">
          <cell r="A3812" t="str">
            <v>B558201/A</v>
          </cell>
          <cell r="B3812" t="str">
            <v>CZ898NM409</v>
          </cell>
          <cell r="C3812">
            <v>10</v>
          </cell>
          <cell r="D3812">
            <v>847.81</v>
          </cell>
          <cell r="E3812">
            <v>8478.0999999999985</v>
          </cell>
          <cell r="F3812" t="str">
            <v>A1-S01</v>
          </cell>
          <cell r="G3812" t="str">
            <v xml:space="preserve">Drawer front - Mặt hộc kéo </v>
          </cell>
          <cell r="H3812" t="str">
            <v>Pre-Assembly</v>
          </cell>
          <cell r="I3812">
            <v>20</v>
          </cell>
        </row>
        <row r="3813">
          <cell r="A3813" t="str">
            <v>B558201/A</v>
          </cell>
          <cell r="B3813" t="str">
            <v>CZ898NM409</v>
          </cell>
          <cell r="C3813">
            <v>10</v>
          </cell>
          <cell r="D3813">
            <v>847.81</v>
          </cell>
          <cell r="E3813">
            <v>8478.0999999999985</v>
          </cell>
          <cell r="F3813" t="str">
            <v>A1-S01-B</v>
          </cell>
          <cell r="G3813" t="str">
            <v>Patching wood - Gỗ đắp</v>
          </cell>
          <cell r="H3813" t="str">
            <v>Wood White Oak - Straight/Waving Edged, 1 COM - T25mm x W100mm Up x L1.8m Up</v>
          </cell>
          <cell r="I3813">
            <v>80</v>
          </cell>
        </row>
        <row r="3814">
          <cell r="A3814" t="str">
            <v>B558201/A</v>
          </cell>
          <cell r="B3814" t="str">
            <v>CZ898NM409</v>
          </cell>
          <cell r="C3814">
            <v>10</v>
          </cell>
          <cell r="D3814">
            <v>847.81</v>
          </cell>
          <cell r="E3814">
            <v>8478.0999999999985</v>
          </cell>
          <cell r="F3814" t="str">
            <v>A1-S02</v>
          </cell>
          <cell r="G3814" t="str">
            <v xml:space="preserve">Drawer front 1 - Mặt hộc kéo </v>
          </cell>
          <cell r="H3814" t="str">
            <v>MDF Veneer</v>
          </cell>
          <cell r="I3814">
            <v>20</v>
          </cell>
        </row>
        <row r="3815">
          <cell r="A3815" t="str">
            <v>B558201/A</v>
          </cell>
          <cell r="B3815" t="str">
            <v>CZ898NM409</v>
          </cell>
          <cell r="C3815">
            <v>10</v>
          </cell>
          <cell r="D3815">
            <v>847.81</v>
          </cell>
          <cell r="E3815">
            <v>8478.0999999999985</v>
          </cell>
          <cell r="F3815" t="str">
            <v>A1-S03</v>
          </cell>
          <cell r="G3815" t="str">
            <v>Drawer side - Hông hộc kéo</v>
          </cell>
          <cell r="H3815" t="str">
            <v>MDF Veneer</v>
          </cell>
          <cell r="I3815">
            <v>40</v>
          </cell>
        </row>
        <row r="3816">
          <cell r="A3816" t="str">
            <v>B558201/A</v>
          </cell>
          <cell r="B3816" t="str">
            <v>CZ898NM409</v>
          </cell>
          <cell r="C3816">
            <v>10</v>
          </cell>
          <cell r="D3816">
            <v>847.81</v>
          </cell>
          <cell r="E3816">
            <v>8478.0999999999985</v>
          </cell>
          <cell r="F3816" t="str">
            <v>A1-S04</v>
          </cell>
          <cell r="G3816" t="str">
            <v>Drawer back - Hậu hộc kéo</v>
          </cell>
          <cell r="H3816" t="str">
            <v>MDF Veneer</v>
          </cell>
          <cell r="I3816">
            <v>20</v>
          </cell>
        </row>
        <row r="3817">
          <cell r="A3817" t="str">
            <v>B558201/A</v>
          </cell>
          <cell r="B3817" t="str">
            <v>CZ898NM409</v>
          </cell>
          <cell r="C3817">
            <v>10</v>
          </cell>
          <cell r="D3817">
            <v>847.81</v>
          </cell>
          <cell r="E3817">
            <v>8478.0999999999985</v>
          </cell>
          <cell r="F3817" t="str">
            <v>A1-S05</v>
          </cell>
          <cell r="G3817" t="str">
            <v>Drawer bottom  - Đáy hộc kéo</v>
          </cell>
          <cell r="H3817" t="str">
            <v>MDF Veneer</v>
          </cell>
          <cell r="I3817">
            <v>20</v>
          </cell>
        </row>
        <row r="3818">
          <cell r="A3818" t="str">
            <v>B558201/A</v>
          </cell>
          <cell r="B3818" t="str">
            <v>CZ898NM409</v>
          </cell>
          <cell r="C3818">
            <v>10</v>
          </cell>
          <cell r="D3818">
            <v>847.81</v>
          </cell>
          <cell r="E3818">
            <v>8478.0999999999985</v>
          </cell>
          <cell r="F3818" t="str">
            <v>A2-S01</v>
          </cell>
          <cell r="G3818" t="str">
            <v xml:space="preserve">Drawer front - Mặt hộc kéo </v>
          </cell>
          <cell r="H3818" t="str">
            <v>Pre-Assembly</v>
          </cell>
          <cell r="I3818">
            <v>30</v>
          </cell>
        </row>
        <row r="3819">
          <cell r="A3819" t="str">
            <v>B558201/A</v>
          </cell>
          <cell r="B3819" t="str">
            <v>CZ898NM409</v>
          </cell>
          <cell r="C3819">
            <v>10</v>
          </cell>
          <cell r="D3819">
            <v>847.81</v>
          </cell>
          <cell r="E3819">
            <v>8478.0999999999985</v>
          </cell>
          <cell r="F3819" t="str">
            <v>A2-S02</v>
          </cell>
          <cell r="G3819" t="str">
            <v xml:space="preserve">Drawer front 1 - Mặt hộc kéo </v>
          </cell>
          <cell r="H3819" t="str">
            <v>MDF Veneer</v>
          </cell>
          <cell r="I3819">
            <v>30</v>
          </cell>
        </row>
        <row r="3820">
          <cell r="A3820" t="str">
            <v>B558201/A</v>
          </cell>
          <cell r="B3820" t="str">
            <v>CZ898NM409</v>
          </cell>
          <cell r="C3820">
            <v>10</v>
          </cell>
          <cell r="D3820">
            <v>847.81</v>
          </cell>
          <cell r="E3820">
            <v>8478.0999999999985</v>
          </cell>
          <cell r="F3820" t="str">
            <v>A2-S03</v>
          </cell>
          <cell r="G3820" t="str">
            <v>Drawer side - Hông hộc kéo</v>
          </cell>
          <cell r="H3820" t="str">
            <v>MDF Veneer</v>
          </cell>
          <cell r="I3820">
            <v>60</v>
          </cell>
        </row>
        <row r="3821">
          <cell r="A3821" t="str">
            <v>B558201/A</v>
          </cell>
          <cell r="B3821" t="str">
            <v>CZ898NM409</v>
          </cell>
          <cell r="C3821">
            <v>10</v>
          </cell>
          <cell r="D3821">
            <v>847.81</v>
          </cell>
          <cell r="E3821">
            <v>8478.0999999999985</v>
          </cell>
          <cell r="F3821" t="str">
            <v>A2-S04</v>
          </cell>
          <cell r="G3821" t="str">
            <v>Drawer back - Hậu hộc kéo</v>
          </cell>
          <cell r="H3821" t="str">
            <v>MDF Veneer</v>
          </cell>
          <cell r="I3821">
            <v>30</v>
          </cell>
        </row>
        <row r="3822">
          <cell r="A3822" t="str">
            <v>B558201/A</v>
          </cell>
          <cell r="B3822" t="str">
            <v>CZ898NM409</v>
          </cell>
          <cell r="C3822">
            <v>10</v>
          </cell>
          <cell r="D3822">
            <v>847.81</v>
          </cell>
          <cell r="E3822">
            <v>8478.0999999999985</v>
          </cell>
          <cell r="F3822" t="str">
            <v>A2-S05</v>
          </cell>
          <cell r="G3822" t="str">
            <v>Drawer bottom  - Đáy hộc kéo</v>
          </cell>
          <cell r="H3822" t="str">
            <v>MDF Veneer</v>
          </cell>
          <cell r="I3822">
            <v>30</v>
          </cell>
        </row>
        <row r="3823">
          <cell r="A3823" t="str">
            <v>B558201/A</v>
          </cell>
          <cell r="B3823" t="str">
            <v>CZ898NM409</v>
          </cell>
          <cell r="C3823">
            <v>10</v>
          </cell>
          <cell r="D3823">
            <v>847.81</v>
          </cell>
          <cell r="E3823">
            <v>8478.0999999999985</v>
          </cell>
          <cell r="F3823" t="str">
            <v>A2-S06</v>
          </cell>
          <cell r="G3823" t="str">
            <v>Patching wood - Gỗ đắp</v>
          </cell>
          <cell r="H3823" t="str">
            <v>Wood EU Beech - Straight/Waving Edged ABC, 2 COM - T38mm x W100mm up x L1.8m up</v>
          </cell>
          <cell r="I3823">
            <v>30</v>
          </cell>
        </row>
        <row r="3824">
          <cell r="A3824" t="str">
            <v>B558201/A</v>
          </cell>
          <cell r="B3824" t="str">
            <v>CZ898NM409</v>
          </cell>
          <cell r="C3824">
            <v>10</v>
          </cell>
          <cell r="D3824">
            <v>847.81</v>
          </cell>
          <cell r="E3824">
            <v>8478.0999999999985</v>
          </cell>
          <cell r="F3824" t="str">
            <v>A5-S01</v>
          </cell>
          <cell r="G3824" t="str">
            <v>Vertical rail 1 - Đố đứng 1</v>
          </cell>
          <cell r="H3824" t="str">
            <v>Wd+VN</v>
          </cell>
          <cell r="I3824">
            <v>20</v>
          </cell>
        </row>
        <row r="3825">
          <cell r="A3825" t="str">
            <v>B558201/A</v>
          </cell>
          <cell r="B3825" t="str">
            <v>CZ898NM409</v>
          </cell>
          <cell r="C3825">
            <v>10</v>
          </cell>
          <cell r="D3825">
            <v>847.81</v>
          </cell>
          <cell r="E3825">
            <v>8478.0999999999985</v>
          </cell>
          <cell r="F3825" t="str">
            <v>A5-S02</v>
          </cell>
          <cell r="G3825" t="str">
            <v xml:space="preserve">Side panel  - Ván hông </v>
          </cell>
          <cell r="H3825" t="str">
            <v>MDF Veneer</v>
          </cell>
          <cell r="I3825">
            <v>20</v>
          </cell>
        </row>
        <row r="3826">
          <cell r="A3826" t="str">
            <v>B558201/A</v>
          </cell>
          <cell r="B3826" t="str">
            <v>CZ898NM409</v>
          </cell>
          <cell r="C3826">
            <v>10</v>
          </cell>
          <cell r="D3826">
            <v>847.81</v>
          </cell>
          <cell r="E3826">
            <v>8478.0999999999985</v>
          </cell>
          <cell r="F3826" t="str">
            <v>A5-S03</v>
          </cell>
          <cell r="G3826" t="str">
            <v xml:space="preserve">Side rail  - Đố hông </v>
          </cell>
          <cell r="H3826" t="str">
            <v>Wood laminate</v>
          </cell>
          <cell r="I3826">
            <v>80</v>
          </cell>
        </row>
        <row r="3827">
          <cell r="A3827" t="str">
            <v>B558201/A</v>
          </cell>
          <cell r="B3827" t="str">
            <v>CZ898NM409</v>
          </cell>
          <cell r="C3827">
            <v>10</v>
          </cell>
          <cell r="D3827">
            <v>847.81</v>
          </cell>
          <cell r="E3827">
            <v>8478.0999999999985</v>
          </cell>
          <cell r="F3827" t="str">
            <v>A6-S01</v>
          </cell>
          <cell r="G3827" t="str">
            <v>Front Bottom Rail  - Đố đáy trước</v>
          </cell>
          <cell r="H3827" t="str">
            <v>Wood White Oak - Straight/Waving Edged, 2 COM - T32mm x W100mm Up x L1.5m Up</v>
          </cell>
          <cell r="I3827">
            <v>20</v>
          </cell>
        </row>
        <row r="3828">
          <cell r="A3828" t="str">
            <v>B558201/A</v>
          </cell>
          <cell r="B3828" t="str">
            <v>CZ898NM409</v>
          </cell>
          <cell r="C3828">
            <v>10</v>
          </cell>
          <cell r="D3828">
            <v>847.81</v>
          </cell>
          <cell r="E3828">
            <v>8478.0999999999985</v>
          </cell>
          <cell r="F3828" t="str">
            <v>A6-S02</v>
          </cell>
          <cell r="G3828" t="str">
            <v>Side bottom rail - Đố hông dưới</v>
          </cell>
          <cell r="H3828" t="str">
            <v>Wood White Oak - Straight/Waving Edged, 2 COM - T32mm x W100mm Up x L1.5m Up</v>
          </cell>
          <cell r="I3828">
            <v>20</v>
          </cell>
        </row>
        <row r="3829">
          <cell r="A3829" t="str">
            <v>B558201/A</v>
          </cell>
          <cell r="B3829" t="str">
            <v>CZ898NM409</v>
          </cell>
          <cell r="C3829">
            <v>10</v>
          </cell>
          <cell r="D3829">
            <v>847.81</v>
          </cell>
          <cell r="E3829">
            <v>8478.0999999999985</v>
          </cell>
          <cell r="F3829" t="str">
            <v>A6-S03</v>
          </cell>
          <cell r="G3829" t="str">
            <v>Center bottom rail - Đố đáy giữa</v>
          </cell>
          <cell r="H3829" t="str">
            <v>Wood White Oak - Straight/Waving Edged, 2 COM - T32mm x W100mm Up x L1.5m Up</v>
          </cell>
          <cell r="I3829">
            <v>10</v>
          </cell>
        </row>
        <row r="3830">
          <cell r="A3830" t="str">
            <v>B558201/A</v>
          </cell>
          <cell r="B3830" t="str">
            <v>CZ898NM409</v>
          </cell>
          <cell r="C3830">
            <v>10</v>
          </cell>
          <cell r="D3830">
            <v>847.81</v>
          </cell>
          <cell r="E3830">
            <v>8478.0999999999985</v>
          </cell>
          <cell r="F3830" t="str">
            <v>P01</v>
          </cell>
          <cell r="G3830" t="str">
            <v xml:space="preserve">Top panel  - Ván nóc </v>
          </cell>
          <cell r="H3830" t="str">
            <v>MDF Veneer</v>
          </cell>
          <cell r="I3830">
            <v>10</v>
          </cell>
        </row>
        <row r="3831">
          <cell r="A3831" t="str">
            <v>B558201/A</v>
          </cell>
          <cell r="B3831" t="str">
            <v>CZ898NM409</v>
          </cell>
          <cell r="C3831">
            <v>10</v>
          </cell>
          <cell r="D3831">
            <v>847.81</v>
          </cell>
          <cell r="E3831">
            <v>8478.0999999999985</v>
          </cell>
          <cell r="F3831" t="str">
            <v>P02</v>
          </cell>
          <cell r="G3831" t="str">
            <v>Front top rail  - Đố tiền nóc</v>
          </cell>
          <cell r="H3831" t="str">
            <v>Wood laminate</v>
          </cell>
          <cell r="I3831">
            <v>10</v>
          </cell>
        </row>
        <row r="3832">
          <cell r="A3832" t="str">
            <v>B558201/A</v>
          </cell>
          <cell r="B3832" t="str">
            <v>CZ898NM409</v>
          </cell>
          <cell r="C3832">
            <v>10</v>
          </cell>
          <cell r="D3832">
            <v>847.81</v>
          </cell>
          <cell r="E3832">
            <v>8478.0999999999985</v>
          </cell>
          <cell r="F3832" t="str">
            <v>P04</v>
          </cell>
          <cell r="G3832" t="str">
            <v>Bottom panel - Ván đáy</v>
          </cell>
          <cell r="H3832" t="str">
            <v>MDF Veneer</v>
          </cell>
          <cell r="I3832">
            <v>10</v>
          </cell>
        </row>
        <row r="3833">
          <cell r="A3833" t="str">
            <v>B558201/A</v>
          </cell>
          <cell r="B3833" t="str">
            <v>CZ898NM409</v>
          </cell>
          <cell r="C3833">
            <v>10</v>
          </cell>
          <cell r="D3833">
            <v>847.81</v>
          </cell>
          <cell r="E3833">
            <v>8478.0999999999985</v>
          </cell>
          <cell r="F3833" t="str">
            <v>P05</v>
          </cell>
          <cell r="G3833" t="str">
            <v>back rail - Đố hậu</v>
          </cell>
          <cell r="H3833" t="str">
            <v>Wood Rubber Laminate Board - 20 x 1220 x 2440mm, Veneer Poplar both Faces</v>
          </cell>
          <cell r="I3833">
            <v>10</v>
          </cell>
        </row>
        <row r="3834">
          <cell r="A3834" t="str">
            <v>B558201/A</v>
          </cell>
          <cell r="B3834" t="str">
            <v>CZ898NM409</v>
          </cell>
          <cell r="C3834">
            <v>10</v>
          </cell>
          <cell r="D3834">
            <v>847.81</v>
          </cell>
          <cell r="E3834">
            <v>8478.0999999999985</v>
          </cell>
          <cell r="F3834" t="str">
            <v>P06</v>
          </cell>
          <cell r="G3834" t="str">
            <v>Back panel - Ván hậu</v>
          </cell>
          <cell r="H3834" t="str">
            <v>MDF Veneer</v>
          </cell>
          <cell r="I3834">
            <v>10</v>
          </cell>
        </row>
        <row r="3835">
          <cell r="A3835" t="str">
            <v>B558201/A</v>
          </cell>
          <cell r="B3835" t="str">
            <v>CZ898NM409</v>
          </cell>
          <cell r="C3835">
            <v>10</v>
          </cell>
          <cell r="D3835">
            <v>847.81</v>
          </cell>
          <cell r="E3835">
            <v>8478.0999999999985</v>
          </cell>
          <cell r="F3835" t="str">
            <v>P07</v>
          </cell>
          <cell r="G3835" t="str">
            <v>Back bottom rail - Đố hậu đáy</v>
          </cell>
          <cell r="H3835" t="str">
            <v>Wood Rubber Laminate Board - 20 x 1220 x 2440mm, Veneer Poplar both Faces</v>
          </cell>
          <cell r="I3835">
            <v>10</v>
          </cell>
        </row>
        <row r="3836">
          <cell r="A3836" t="str">
            <v>B558201/A</v>
          </cell>
          <cell r="B3836" t="str">
            <v>CZ898NM409</v>
          </cell>
          <cell r="C3836">
            <v>10</v>
          </cell>
          <cell r="D3836">
            <v>847.81</v>
          </cell>
          <cell r="E3836">
            <v>8478.0999999999985</v>
          </cell>
          <cell r="F3836" t="str">
            <v>P08</v>
          </cell>
          <cell r="G3836" t="str">
            <v xml:space="preserve">Vertical panel  - ván đứng </v>
          </cell>
          <cell r="H3836" t="str">
            <v>MDF Veneer</v>
          </cell>
          <cell r="I3836">
            <v>10</v>
          </cell>
        </row>
        <row r="3837">
          <cell r="A3837" t="str">
            <v>B558201/A</v>
          </cell>
          <cell r="B3837" t="str">
            <v>CZ898NM409</v>
          </cell>
          <cell r="C3837">
            <v>10</v>
          </cell>
          <cell r="D3837">
            <v>847.81</v>
          </cell>
          <cell r="E3837">
            <v>8478.0999999999985</v>
          </cell>
          <cell r="F3837" t="str">
            <v>P09</v>
          </cell>
          <cell r="G3837" t="str">
            <v>Front rail  - Đố tiền</v>
          </cell>
          <cell r="H3837" t="str">
            <v>Wood Rubber Laminate Board - 20 x 1220 x 2440mm, Veneer Poplar both Faces</v>
          </cell>
          <cell r="I3837">
            <v>30</v>
          </cell>
        </row>
        <row r="3838">
          <cell r="A3838" t="str">
            <v>B558201/A</v>
          </cell>
          <cell r="B3838" t="str">
            <v>CZ898NM409</v>
          </cell>
          <cell r="C3838">
            <v>10</v>
          </cell>
          <cell r="D3838">
            <v>847.81</v>
          </cell>
          <cell r="E3838">
            <v>8478.0999999999985</v>
          </cell>
          <cell r="F3838" t="str">
            <v>P10</v>
          </cell>
          <cell r="G3838" t="str">
            <v>back rail - Đố hậu</v>
          </cell>
          <cell r="H3838" t="str">
            <v>Wood Rubber Laminate Board - 20 x 1220 x 2440mm, Veneer Poplar both Faces</v>
          </cell>
          <cell r="I3838">
            <v>10</v>
          </cell>
        </row>
        <row r="3839">
          <cell r="A3839" t="str">
            <v>B558201/A</v>
          </cell>
          <cell r="B3839" t="str">
            <v>CZ898NM409</v>
          </cell>
          <cell r="C3839">
            <v>10</v>
          </cell>
          <cell r="D3839">
            <v>847.81</v>
          </cell>
          <cell r="E3839">
            <v>8478.0999999999985</v>
          </cell>
          <cell r="F3839" t="str">
            <v>P11</v>
          </cell>
          <cell r="G3839" t="str">
            <v>Corner block - ke góc</v>
          </cell>
          <cell r="H3839" t="str">
            <v>Poplar off cut</v>
          </cell>
          <cell r="I3839">
            <v>60</v>
          </cell>
        </row>
        <row r="3840">
          <cell r="A3840" t="str">
            <v>B558201/A</v>
          </cell>
          <cell r="B3840" t="str">
            <v>CZ898NM409</v>
          </cell>
          <cell r="C3840">
            <v>10</v>
          </cell>
          <cell r="D3840">
            <v>847.81</v>
          </cell>
          <cell r="E3840">
            <v>8478.0999999999985</v>
          </cell>
          <cell r="F3840" t="str">
            <v>P12</v>
          </cell>
          <cell r="G3840" t="str">
            <v>Back panel - Ván hậu</v>
          </cell>
          <cell r="H3840" t="str">
            <v>Cement Board - 18 x 1220 x 2440mm, Dark Grey</v>
          </cell>
          <cell r="I3840">
            <v>10</v>
          </cell>
        </row>
        <row r="3841">
          <cell r="A3841" t="str">
            <v>B558201/A</v>
          </cell>
          <cell r="B3841" t="str">
            <v>CZ898NM409</v>
          </cell>
          <cell r="C3841">
            <v>10</v>
          </cell>
          <cell r="D3841">
            <v>847.81</v>
          </cell>
          <cell r="E3841">
            <v>8478.0999999999985</v>
          </cell>
          <cell r="F3841" t="str">
            <v>P13</v>
          </cell>
          <cell r="G3841" t="str">
            <v>Drawer stop - Dừng hộc</v>
          </cell>
          <cell r="H3841" t="str">
            <v>Poplar off cut</v>
          </cell>
          <cell r="I3841">
            <v>100</v>
          </cell>
        </row>
        <row r="3842">
          <cell r="A3842" t="str">
            <v>B558204/A</v>
          </cell>
          <cell r="B3842" t="str">
            <v>CZ899M196</v>
          </cell>
          <cell r="C3842">
            <v>8</v>
          </cell>
          <cell r="D3842">
            <v>375.95</v>
          </cell>
          <cell r="E3842">
            <v>3007.6</v>
          </cell>
          <cell r="F3842" t="str">
            <v>A1-S1</v>
          </cell>
          <cell r="G3842" t="str">
            <v xml:space="preserve">Drawer front - Mặt hộc kéo </v>
          </cell>
          <cell r="H3842" t="str">
            <v>Pre-Assembly</v>
          </cell>
          <cell r="I3842">
            <v>24</v>
          </cell>
        </row>
        <row r="3843">
          <cell r="A3843" t="str">
            <v>B558204/A</v>
          </cell>
          <cell r="B3843" t="str">
            <v>CZ899M196</v>
          </cell>
          <cell r="C3843">
            <v>8</v>
          </cell>
          <cell r="D3843">
            <v>375.95</v>
          </cell>
          <cell r="E3843">
            <v>3007.6</v>
          </cell>
          <cell r="F3843" t="str">
            <v>A1-S1-2</v>
          </cell>
          <cell r="G3843" t="str">
            <v>Patching wood - Gỗ đắp</v>
          </cell>
          <cell r="H3843" t="str">
            <v>Wood Red Oak - Straight/Waving Edged, 1 COM - T25mm x W100mm Up x L1.8m Up</v>
          </cell>
          <cell r="I3843">
            <v>24</v>
          </cell>
        </row>
        <row r="3844">
          <cell r="A3844" t="str">
            <v>B558204/A</v>
          </cell>
          <cell r="B3844" t="str">
            <v>CZ899M196</v>
          </cell>
          <cell r="C3844">
            <v>8</v>
          </cell>
          <cell r="D3844">
            <v>375.95</v>
          </cell>
          <cell r="E3844">
            <v>3007.6</v>
          </cell>
          <cell r="F3844" t="str">
            <v>A1-S2</v>
          </cell>
          <cell r="G3844" t="str">
            <v xml:space="preserve">Drawer front 1 - Mặt hộc kéo </v>
          </cell>
          <cell r="H3844" t="str">
            <v>MDF Veneer</v>
          </cell>
          <cell r="I3844">
            <v>24</v>
          </cell>
        </row>
        <row r="3845">
          <cell r="A3845" t="str">
            <v>B558204/A</v>
          </cell>
          <cell r="B3845" t="str">
            <v>CZ899M196</v>
          </cell>
          <cell r="C3845">
            <v>8</v>
          </cell>
          <cell r="D3845">
            <v>375.95</v>
          </cell>
          <cell r="E3845">
            <v>3007.6</v>
          </cell>
          <cell r="F3845" t="str">
            <v>A1-S3</v>
          </cell>
          <cell r="G3845" t="str">
            <v>Drawer side - Hông hộc kéo</v>
          </cell>
          <cell r="H3845" t="str">
            <v>MDF Veneer</v>
          </cell>
          <cell r="I3845">
            <v>48</v>
          </cell>
        </row>
        <row r="3846">
          <cell r="A3846" t="str">
            <v>B558204/A</v>
          </cell>
          <cell r="B3846" t="str">
            <v>CZ899M196</v>
          </cell>
          <cell r="C3846">
            <v>8</v>
          </cell>
          <cell r="D3846">
            <v>375.95</v>
          </cell>
          <cell r="E3846">
            <v>3007.6</v>
          </cell>
          <cell r="F3846" t="str">
            <v>A1-S4</v>
          </cell>
          <cell r="G3846" t="str">
            <v>Drawer back - Hậu hộc kéo</v>
          </cell>
          <cell r="H3846" t="str">
            <v>MDF Veneer</v>
          </cell>
          <cell r="I3846">
            <v>24</v>
          </cell>
        </row>
        <row r="3847">
          <cell r="A3847" t="str">
            <v>B558204/A</v>
          </cell>
          <cell r="B3847" t="str">
            <v>CZ899M196</v>
          </cell>
          <cell r="C3847">
            <v>8</v>
          </cell>
          <cell r="D3847">
            <v>375.95</v>
          </cell>
          <cell r="E3847">
            <v>3007.6</v>
          </cell>
          <cell r="F3847" t="str">
            <v>A1-S5</v>
          </cell>
          <cell r="G3847" t="str">
            <v>Drawer bottom  - Đáy hộc kéo</v>
          </cell>
          <cell r="H3847" t="str">
            <v>MDF Veneer</v>
          </cell>
          <cell r="I3847">
            <v>24</v>
          </cell>
        </row>
        <row r="3848">
          <cell r="A3848" t="str">
            <v>B558204/A</v>
          </cell>
          <cell r="B3848" t="str">
            <v>CZ899M196</v>
          </cell>
          <cell r="C3848">
            <v>8</v>
          </cell>
          <cell r="D3848">
            <v>375.95</v>
          </cell>
          <cell r="E3848">
            <v>3007.6</v>
          </cell>
          <cell r="F3848" t="str">
            <v>A2-S1</v>
          </cell>
          <cell r="G3848" t="str">
            <v>Bottom rail inside - Đố tiền đáy</v>
          </cell>
          <cell r="H3848" t="str">
            <v>Wood Red Oak - Straight/Waving Edged, 2 COM - T32mm x W100mm Up x L1.5m Up</v>
          </cell>
          <cell r="I3848">
            <v>16</v>
          </cell>
        </row>
        <row r="3849">
          <cell r="A3849" t="str">
            <v>B558204/A</v>
          </cell>
          <cell r="B3849" t="str">
            <v>CZ899M196</v>
          </cell>
          <cell r="C3849">
            <v>8</v>
          </cell>
          <cell r="D3849">
            <v>375.95</v>
          </cell>
          <cell r="E3849">
            <v>3007.6</v>
          </cell>
          <cell r="F3849" t="str">
            <v>A2-S2</v>
          </cell>
          <cell r="G3849" t="str">
            <v>Side bottom rail - Đố hông dưới</v>
          </cell>
          <cell r="H3849" t="str">
            <v>Wood Red Oak - Straight/Waving Edged, 2 COM - T32mm x W100mm Up x L1.5m Up</v>
          </cell>
          <cell r="I3849">
            <v>16</v>
          </cell>
        </row>
        <row r="3850">
          <cell r="A3850" t="str">
            <v>B558204/A</v>
          </cell>
          <cell r="B3850" t="str">
            <v>CZ899M196</v>
          </cell>
          <cell r="C3850">
            <v>8</v>
          </cell>
          <cell r="D3850">
            <v>375.95</v>
          </cell>
          <cell r="E3850">
            <v>3007.6</v>
          </cell>
          <cell r="F3850" t="str">
            <v>A4-S1</v>
          </cell>
          <cell r="G3850" t="str">
            <v>Front leg  - Chần tiền</v>
          </cell>
          <cell r="H3850" t="str">
            <v>Wd+VN</v>
          </cell>
          <cell r="I3850">
            <v>16</v>
          </cell>
        </row>
        <row r="3851">
          <cell r="A3851" t="str">
            <v>B558204/A</v>
          </cell>
          <cell r="B3851" t="str">
            <v>CZ899M196</v>
          </cell>
          <cell r="C3851">
            <v>8</v>
          </cell>
          <cell r="D3851">
            <v>375.95</v>
          </cell>
          <cell r="E3851">
            <v>3007.6</v>
          </cell>
          <cell r="F3851" t="str">
            <v>A4-S2</v>
          </cell>
          <cell r="G3851" t="str">
            <v xml:space="preserve">Side panel  - Ván hông </v>
          </cell>
          <cell r="H3851" t="str">
            <v>MDF Veneer</v>
          </cell>
          <cell r="I3851">
            <v>16</v>
          </cell>
        </row>
        <row r="3852">
          <cell r="A3852" t="str">
            <v>B558204/A</v>
          </cell>
          <cell r="B3852" t="str">
            <v>CZ899M196</v>
          </cell>
          <cell r="C3852">
            <v>8</v>
          </cell>
          <cell r="D3852">
            <v>375.95</v>
          </cell>
          <cell r="E3852">
            <v>3007.6</v>
          </cell>
          <cell r="F3852" t="str">
            <v>A4-S3</v>
          </cell>
          <cell r="G3852" t="str">
            <v xml:space="preserve">Side rail  - Đố hông </v>
          </cell>
          <cell r="H3852" t="str">
            <v>Wood laminate</v>
          </cell>
          <cell r="I3852">
            <v>48</v>
          </cell>
        </row>
        <row r="3853">
          <cell r="A3853" t="str">
            <v>B558204/A</v>
          </cell>
          <cell r="B3853" t="str">
            <v>CZ899M196</v>
          </cell>
          <cell r="C3853">
            <v>8</v>
          </cell>
          <cell r="D3853">
            <v>375.95</v>
          </cell>
          <cell r="E3853">
            <v>3007.6</v>
          </cell>
          <cell r="F3853" t="str">
            <v>P01</v>
          </cell>
          <cell r="G3853" t="str">
            <v xml:space="preserve">Top panel  - Ván nóc </v>
          </cell>
          <cell r="H3853" t="str">
            <v>MDF Veneer</v>
          </cell>
          <cell r="I3853">
            <v>8</v>
          </cell>
        </row>
        <row r="3854">
          <cell r="A3854" t="str">
            <v>B558204/A</v>
          </cell>
          <cell r="B3854" t="str">
            <v>CZ899M196</v>
          </cell>
          <cell r="C3854">
            <v>8</v>
          </cell>
          <cell r="D3854">
            <v>375.95</v>
          </cell>
          <cell r="E3854">
            <v>3007.6</v>
          </cell>
          <cell r="F3854" t="str">
            <v>P02</v>
          </cell>
          <cell r="G3854" t="str">
            <v>Bottom panel - Ván đáy</v>
          </cell>
          <cell r="H3854" t="str">
            <v>MDF Veneer</v>
          </cell>
          <cell r="I3854">
            <v>8</v>
          </cell>
        </row>
        <row r="3855">
          <cell r="A3855" t="str">
            <v>B558204/A</v>
          </cell>
          <cell r="B3855" t="str">
            <v>CZ899M196</v>
          </cell>
          <cell r="C3855">
            <v>8</v>
          </cell>
          <cell r="D3855">
            <v>375.95</v>
          </cell>
          <cell r="E3855">
            <v>3007.6</v>
          </cell>
          <cell r="F3855" t="str">
            <v>P04</v>
          </cell>
          <cell r="G3855" t="str">
            <v>Back panel - Ván hậu</v>
          </cell>
          <cell r="H3855" t="str">
            <v>MDF Veneer</v>
          </cell>
          <cell r="I3855">
            <v>8</v>
          </cell>
        </row>
        <row r="3856">
          <cell r="A3856" t="str">
            <v>B558204/A</v>
          </cell>
          <cell r="B3856" t="str">
            <v>CZ899M196</v>
          </cell>
          <cell r="C3856">
            <v>8</v>
          </cell>
          <cell r="D3856">
            <v>375.95</v>
          </cell>
          <cell r="E3856">
            <v>3007.6</v>
          </cell>
          <cell r="F3856" t="str">
            <v>P05</v>
          </cell>
          <cell r="G3856" t="str">
            <v>Front top rail  - Đố tiền nóc</v>
          </cell>
          <cell r="H3856" t="str">
            <v>Wood Rubber Laminate Board - 20 x 1220 x 2440mm, Veneer Poplar both Faces</v>
          </cell>
          <cell r="I3856">
            <v>8</v>
          </cell>
        </row>
        <row r="3857">
          <cell r="A3857" t="str">
            <v>B558204/A</v>
          </cell>
          <cell r="B3857" t="str">
            <v>CZ899M196</v>
          </cell>
          <cell r="C3857">
            <v>8</v>
          </cell>
          <cell r="D3857">
            <v>375.95</v>
          </cell>
          <cell r="E3857">
            <v>3007.6</v>
          </cell>
          <cell r="F3857" t="str">
            <v>P06</v>
          </cell>
          <cell r="G3857" t="str">
            <v>Back rail with note finger - đố hậu</v>
          </cell>
          <cell r="H3857" t="str">
            <v>Wood Rubber Laminate Board - 20 x 1220 x 2440mm, Veneer Poplar both Faces</v>
          </cell>
          <cell r="I3857">
            <v>8</v>
          </cell>
        </row>
        <row r="3858">
          <cell r="A3858" t="str">
            <v>B558204/A</v>
          </cell>
          <cell r="B3858" t="str">
            <v>CZ899M196</v>
          </cell>
          <cell r="C3858">
            <v>8</v>
          </cell>
          <cell r="D3858">
            <v>375.95</v>
          </cell>
          <cell r="E3858">
            <v>3007.6</v>
          </cell>
          <cell r="F3858" t="str">
            <v>P06-1</v>
          </cell>
          <cell r="G3858" t="str">
            <v>Back bottom rail - Đố hậu đáy</v>
          </cell>
          <cell r="H3858" t="str">
            <v>Wood Rubber Laminate Board - 20 x 1220 x 2440mm, Veneer Poplar both Faces</v>
          </cell>
          <cell r="I3858">
            <v>8</v>
          </cell>
        </row>
        <row r="3859">
          <cell r="A3859" t="str">
            <v>B558204/A</v>
          </cell>
          <cell r="B3859" t="str">
            <v>CZ899M196</v>
          </cell>
          <cell r="C3859">
            <v>8</v>
          </cell>
          <cell r="D3859">
            <v>375.95</v>
          </cell>
          <cell r="E3859">
            <v>3007.6</v>
          </cell>
          <cell r="F3859" t="str">
            <v>P07</v>
          </cell>
          <cell r="G3859" t="str">
            <v>Front rail  - Đố tiền</v>
          </cell>
          <cell r="H3859" t="str">
            <v>Wood Rubber Laminate Board - 20 x 1220 x 2440mm, Veneer Poplar both Faces</v>
          </cell>
          <cell r="I3859">
            <v>16</v>
          </cell>
        </row>
        <row r="3860">
          <cell r="A3860" t="str">
            <v>B558204/A</v>
          </cell>
          <cell r="B3860" t="str">
            <v>CZ899M196</v>
          </cell>
          <cell r="C3860">
            <v>8</v>
          </cell>
          <cell r="D3860">
            <v>375.95</v>
          </cell>
          <cell r="E3860">
            <v>3007.6</v>
          </cell>
          <cell r="F3860" t="str">
            <v>P08</v>
          </cell>
          <cell r="G3860" t="str">
            <v>Drawer stop - Dừng hộc</v>
          </cell>
          <cell r="H3860" t="str">
            <v>Poplar off cut</v>
          </cell>
          <cell r="I3860">
            <v>16</v>
          </cell>
        </row>
        <row r="3861">
          <cell r="A3861" t="str">
            <v>B558205/A</v>
          </cell>
          <cell r="B3861" t="str">
            <v>CZ899M196</v>
          </cell>
          <cell r="C3861">
            <v>6</v>
          </cell>
          <cell r="D3861">
            <v>375.95</v>
          </cell>
          <cell r="E3861">
            <v>2255.6999999999998</v>
          </cell>
          <cell r="F3861" t="str">
            <v>A1-S1</v>
          </cell>
          <cell r="G3861" t="str">
            <v xml:space="preserve">Drawer front - Mặt hộc kéo </v>
          </cell>
          <cell r="H3861" t="str">
            <v>Pre-Assembly</v>
          </cell>
          <cell r="I3861">
            <v>18</v>
          </cell>
        </row>
        <row r="3862">
          <cell r="A3862" t="str">
            <v>B558205/A</v>
          </cell>
          <cell r="B3862" t="str">
            <v>CZ899M196</v>
          </cell>
          <cell r="C3862">
            <v>6</v>
          </cell>
          <cell r="D3862">
            <v>375.95</v>
          </cell>
          <cell r="E3862">
            <v>2255.6999999999998</v>
          </cell>
          <cell r="F3862" t="str">
            <v>A1-S1-2</v>
          </cell>
          <cell r="G3862" t="str">
            <v>Patching wood - Gỗ đắp</v>
          </cell>
          <cell r="H3862" t="str">
            <v>Wood Red Oak - Straight/Waving Edged, 1 COM - T25mm x W100mm Up x L1.8m Up</v>
          </cell>
          <cell r="I3862">
            <v>18</v>
          </cell>
        </row>
        <row r="3863">
          <cell r="A3863" t="str">
            <v>B558205/A</v>
          </cell>
          <cell r="B3863" t="str">
            <v>CZ899M196</v>
          </cell>
          <cell r="C3863">
            <v>6</v>
          </cell>
          <cell r="D3863">
            <v>375.95</v>
          </cell>
          <cell r="E3863">
            <v>2255.6999999999998</v>
          </cell>
          <cell r="F3863" t="str">
            <v>A1-S2</v>
          </cell>
          <cell r="G3863" t="str">
            <v xml:space="preserve">Drawer front 1 - Mặt hộc kéo </v>
          </cell>
          <cell r="H3863" t="str">
            <v>MDF Veneer</v>
          </cell>
          <cell r="I3863">
            <v>18</v>
          </cell>
        </row>
        <row r="3864">
          <cell r="A3864" t="str">
            <v>B558205/A</v>
          </cell>
          <cell r="B3864" t="str">
            <v>CZ899M196</v>
          </cell>
          <cell r="C3864">
            <v>6</v>
          </cell>
          <cell r="D3864">
            <v>375.95</v>
          </cell>
          <cell r="E3864">
            <v>2255.6999999999998</v>
          </cell>
          <cell r="F3864" t="str">
            <v>A1-S3</v>
          </cell>
          <cell r="G3864" t="str">
            <v>Drawer side - Hông hộc kéo</v>
          </cell>
          <cell r="H3864" t="str">
            <v>MDF Veneer</v>
          </cell>
          <cell r="I3864">
            <v>36</v>
          </cell>
        </row>
        <row r="3865">
          <cell r="A3865" t="str">
            <v>B558205/A</v>
          </cell>
          <cell r="B3865" t="str">
            <v>CZ899M196</v>
          </cell>
          <cell r="C3865">
            <v>6</v>
          </cell>
          <cell r="D3865">
            <v>375.95</v>
          </cell>
          <cell r="E3865">
            <v>2255.6999999999998</v>
          </cell>
          <cell r="F3865" t="str">
            <v>A1-S4</v>
          </cell>
          <cell r="G3865" t="str">
            <v>Drawer back - Hậu hộc kéo</v>
          </cell>
          <cell r="H3865" t="str">
            <v>MDF Veneer</v>
          </cell>
          <cell r="I3865">
            <v>18</v>
          </cell>
        </row>
        <row r="3866">
          <cell r="A3866" t="str">
            <v>B558205/A</v>
          </cell>
          <cell r="B3866" t="str">
            <v>CZ899M196</v>
          </cell>
          <cell r="C3866">
            <v>6</v>
          </cell>
          <cell r="D3866">
            <v>375.95</v>
          </cell>
          <cell r="E3866">
            <v>2255.6999999999998</v>
          </cell>
          <cell r="F3866" t="str">
            <v>A1-S5</v>
          </cell>
          <cell r="G3866" t="str">
            <v>Drawer bottom  - Đáy hộc kéo</v>
          </cell>
          <cell r="H3866" t="str">
            <v>MDF Veneer</v>
          </cell>
          <cell r="I3866">
            <v>18</v>
          </cell>
        </row>
        <row r="3867">
          <cell r="A3867" t="str">
            <v>B558205/A</v>
          </cell>
          <cell r="B3867" t="str">
            <v>CZ899M196</v>
          </cell>
          <cell r="C3867">
            <v>6</v>
          </cell>
          <cell r="D3867">
            <v>375.95</v>
          </cell>
          <cell r="E3867">
            <v>2255.6999999999998</v>
          </cell>
          <cell r="F3867" t="str">
            <v>A2-S1</v>
          </cell>
          <cell r="G3867" t="str">
            <v>Bottom rail inside - Đố tiền đáy</v>
          </cell>
          <cell r="H3867" t="str">
            <v>Wood Red Oak - Straight/Waving Edged, 2 COM - T32mm x W100mm Up x L1.5m Up</v>
          </cell>
          <cell r="I3867">
            <v>12</v>
          </cell>
        </row>
        <row r="3868">
          <cell r="A3868" t="str">
            <v>B558205/A</v>
          </cell>
          <cell r="B3868" t="str">
            <v>CZ899M196</v>
          </cell>
          <cell r="C3868">
            <v>6</v>
          </cell>
          <cell r="D3868">
            <v>375.95</v>
          </cell>
          <cell r="E3868">
            <v>2255.6999999999998</v>
          </cell>
          <cell r="F3868" t="str">
            <v>A2-S2</v>
          </cell>
          <cell r="G3868" t="str">
            <v>Side bottom rail - Đố hông dưới</v>
          </cell>
          <cell r="H3868" t="str">
            <v>Wood Red Oak - Straight/Waving Edged, 2 COM - T32mm x W100mm Up x L1.5m Up</v>
          </cell>
          <cell r="I3868">
            <v>12</v>
          </cell>
        </row>
        <row r="3869">
          <cell r="A3869" t="str">
            <v>B558205/A</v>
          </cell>
          <cell r="B3869" t="str">
            <v>CZ899M196</v>
          </cell>
          <cell r="C3869">
            <v>6</v>
          </cell>
          <cell r="D3869">
            <v>375.95</v>
          </cell>
          <cell r="E3869">
            <v>2255.6999999999998</v>
          </cell>
          <cell r="F3869" t="str">
            <v>A4-S1</v>
          </cell>
          <cell r="G3869" t="str">
            <v>Front leg  - Chần tiền</v>
          </cell>
          <cell r="H3869" t="str">
            <v>Wd+VN</v>
          </cell>
          <cell r="I3869">
            <v>12</v>
          </cell>
        </row>
        <row r="3870">
          <cell r="A3870" t="str">
            <v>B558205/A</v>
          </cell>
          <cell r="B3870" t="str">
            <v>CZ899M196</v>
          </cell>
          <cell r="C3870">
            <v>6</v>
          </cell>
          <cell r="D3870">
            <v>375.95</v>
          </cell>
          <cell r="E3870">
            <v>2255.6999999999998</v>
          </cell>
          <cell r="F3870" t="str">
            <v>A4-S2</v>
          </cell>
          <cell r="G3870" t="str">
            <v xml:space="preserve">Side panel  - Ván hông </v>
          </cell>
          <cell r="H3870" t="str">
            <v>MDF Veneer</v>
          </cell>
          <cell r="I3870">
            <v>12</v>
          </cell>
        </row>
        <row r="3871">
          <cell r="A3871" t="str">
            <v>B558205/A</v>
          </cell>
          <cell r="B3871" t="str">
            <v>CZ899M196</v>
          </cell>
          <cell r="C3871">
            <v>6</v>
          </cell>
          <cell r="D3871">
            <v>375.95</v>
          </cell>
          <cell r="E3871">
            <v>2255.6999999999998</v>
          </cell>
          <cell r="F3871" t="str">
            <v>A4-S3</v>
          </cell>
          <cell r="G3871" t="str">
            <v xml:space="preserve">Side rail  - Đố hông </v>
          </cell>
          <cell r="H3871" t="str">
            <v>Wood laminate</v>
          </cell>
          <cell r="I3871">
            <v>36</v>
          </cell>
        </row>
        <row r="3872">
          <cell r="A3872" t="str">
            <v>B558205/A</v>
          </cell>
          <cell r="B3872" t="str">
            <v>CZ899M196</v>
          </cell>
          <cell r="C3872">
            <v>6</v>
          </cell>
          <cell r="D3872">
            <v>375.95</v>
          </cell>
          <cell r="E3872">
            <v>2255.6999999999998</v>
          </cell>
          <cell r="F3872" t="str">
            <v>P01</v>
          </cell>
          <cell r="G3872" t="str">
            <v xml:space="preserve">Top panel  - Ván nóc </v>
          </cell>
          <cell r="H3872" t="str">
            <v>MDF Veneer</v>
          </cell>
          <cell r="I3872">
            <v>6</v>
          </cell>
        </row>
        <row r="3873">
          <cell r="A3873" t="str">
            <v>B558205/A</v>
          </cell>
          <cell r="B3873" t="str">
            <v>CZ899M196</v>
          </cell>
          <cell r="C3873">
            <v>6</v>
          </cell>
          <cell r="D3873">
            <v>375.95</v>
          </cell>
          <cell r="E3873">
            <v>2255.6999999999998</v>
          </cell>
          <cell r="F3873" t="str">
            <v>P02</v>
          </cell>
          <cell r="G3873" t="str">
            <v>Bottom panel - Ván đáy</v>
          </cell>
          <cell r="H3873" t="str">
            <v>MDF Veneer</v>
          </cell>
          <cell r="I3873">
            <v>6</v>
          </cell>
        </row>
        <row r="3874">
          <cell r="A3874" t="str">
            <v>B558205/A</v>
          </cell>
          <cell r="B3874" t="str">
            <v>CZ899M196</v>
          </cell>
          <cell r="C3874">
            <v>6</v>
          </cell>
          <cell r="D3874">
            <v>375.95</v>
          </cell>
          <cell r="E3874">
            <v>2255.6999999999998</v>
          </cell>
          <cell r="F3874" t="str">
            <v>P04</v>
          </cell>
          <cell r="G3874" t="str">
            <v>Back panel - Ván hậu</v>
          </cell>
          <cell r="H3874" t="str">
            <v>MDF Veneer</v>
          </cell>
          <cell r="I3874">
            <v>6</v>
          </cell>
        </row>
        <row r="3875">
          <cell r="A3875" t="str">
            <v>B558205/A</v>
          </cell>
          <cell r="B3875" t="str">
            <v>CZ899M196</v>
          </cell>
          <cell r="C3875">
            <v>6</v>
          </cell>
          <cell r="D3875">
            <v>375.95</v>
          </cell>
          <cell r="E3875">
            <v>2255.6999999999998</v>
          </cell>
          <cell r="F3875" t="str">
            <v>P05</v>
          </cell>
          <cell r="G3875" t="str">
            <v>Front top rail  - Đố tiền nóc</v>
          </cell>
          <cell r="H3875" t="str">
            <v>Wood Rubber Laminate Board - 20 x 1220 x 2440mm, Veneer Poplar both Faces</v>
          </cell>
          <cell r="I3875">
            <v>6</v>
          </cell>
        </row>
        <row r="3876">
          <cell r="A3876" t="str">
            <v>B558205/A</v>
          </cell>
          <cell r="B3876" t="str">
            <v>CZ899M196</v>
          </cell>
          <cell r="C3876">
            <v>6</v>
          </cell>
          <cell r="D3876">
            <v>375.95</v>
          </cell>
          <cell r="E3876">
            <v>2255.6999999999998</v>
          </cell>
          <cell r="F3876" t="str">
            <v>P06</v>
          </cell>
          <cell r="G3876" t="str">
            <v>Back rail with note finger - đố hậu</v>
          </cell>
          <cell r="H3876" t="str">
            <v>Wood Rubber Laminate Board - 20 x 1220 x 2440mm, Veneer Poplar both Faces</v>
          </cell>
          <cell r="I3876">
            <v>6</v>
          </cell>
        </row>
        <row r="3877">
          <cell r="A3877" t="str">
            <v>B558205/A</v>
          </cell>
          <cell r="B3877" t="str">
            <v>CZ899M196</v>
          </cell>
          <cell r="C3877">
            <v>6</v>
          </cell>
          <cell r="D3877">
            <v>375.95</v>
          </cell>
          <cell r="E3877">
            <v>2255.6999999999998</v>
          </cell>
          <cell r="F3877" t="str">
            <v>P06-1</v>
          </cell>
          <cell r="G3877" t="str">
            <v>Back bottom rail - Đố hậu đáy</v>
          </cell>
          <cell r="H3877" t="str">
            <v>Wood Rubber Laminate Board - 20 x 1220 x 2440mm, Veneer Poplar both Faces</v>
          </cell>
          <cell r="I3877">
            <v>6</v>
          </cell>
        </row>
        <row r="3878">
          <cell r="A3878" t="str">
            <v>B558205/A</v>
          </cell>
          <cell r="B3878" t="str">
            <v>CZ899M196</v>
          </cell>
          <cell r="C3878">
            <v>6</v>
          </cell>
          <cell r="D3878">
            <v>375.95</v>
          </cell>
          <cell r="E3878">
            <v>2255.6999999999998</v>
          </cell>
          <cell r="F3878" t="str">
            <v>P07</v>
          </cell>
          <cell r="G3878" t="str">
            <v>Front rail  - Đố tiền</v>
          </cell>
          <cell r="H3878" t="str">
            <v>Wood Rubber Laminate Board - 20 x 1220 x 2440mm, Veneer Poplar both Faces</v>
          </cell>
          <cell r="I3878">
            <v>12</v>
          </cell>
        </row>
        <row r="3879">
          <cell r="A3879" t="str">
            <v>B558205/A</v>
          </cell>
          <cell r="B3879" t="str">
            <v>CZ899M196</v>
          </cell>
          <cell r="C3879">
            <v>6</v>
          </cell>
          <cell r="D3879">
            <v>375.95</v>
          </cell>
          <cell r="E3879">
            <v>2255.6999999999998</v>
          </cell>
          <cell r="F3879" t="str">
            <v>P08</v>
          </cell>
          <cell r="G3879" t="str">
            <v>Drawer stop - Dừng hộc</v>
          </cell>
          <cell r="H3879" t="str">
            <v>Poplar off cut</v>
          </cell>
          <cell r="I3879">
            <v>12</v>
          </cell>
        </row>
        <row r="3880">
          <cell r="A3880" t="str">
            <v>B558208/A</v>
          </cell>
          <cell r="B3880" t="str">
            <v>CZ899M409</v>
          </cell>
          <cell r="C3880">
            <v>1</v>
          </cell>
          <cell r="D3880">
            <v>375.95</v>
          </cell>
          <cell r="E3880">
            <v>375.95</v>
          </cell>
          <cell r="F3880" t="str">
            <v>A1-S1</v>
          </cell>
          <cell r="G3880" t="str">
            <v xml:space="preserve">Drawer front - Mặt hộc kéo </v>
          </cell>
          <cell r="H3880" t="str">
            <v>Pre-Assembly</v>
          </cell>
          <cell r="I3880">
            <v>3</v>
          </cell>
        </row>
        <row r="3881">
          <cell r="A3881" t="str">
            <v>B558208/A</v>
          </cell>
          <cell r="B3881" t="str">
            <v>CZ899M409</v>
          </cell>
          <cell r="C3881">
            <v>1</v>
          </cell>
          <cell r="D3881">
            <v>375.95</v>
          </cell>
          <cell r="E3881">
            <v>375.95</v>
          </cell>
          <cell r="F3881" t="str">
            <v>A1-S1-2</v>
          </cell>
          <cell r="G3881" t="str">
            <v>Patching wood - Gỗ đắp</v>
          </cell>
          <cell r="H3881" t="str">
            <v>Wood White Oak - Straight/Waving Edged, 1 COM - T25mm x W100mm Up x L1.8m Up</v>
          </cell>
          <cell r="I3881">
            <v>3</v>
          </cell>
        </row>
        <row r="3882">
          <cell r="A3882" t="str">
            <v>B558208/A</v>
          </cell>
          <cell r="B3882" t="str">
            <v>CZ899M409</v>
          </cell>
          <cell r="C3882">
            <v>1</v>
          </cell>
          <cell r="D3882">
            <v>375.95</v>
          </cell>
          <cell r="E3882">
            <v>375.95</v>
          </cell>
          <cell r="F3882" t="str">
            <v>A1-S2</v>
          </cell>
          <cell r="G3882" t="str">
            <v xml:space="preserve">Drawer front 1 - Mặt hộc kéo </v>
          </cell>
          <cell r="H3882" t="str">
            <v>MDF Veneer</v>
          </cell>
          <cell r="I3882">
            <v>3</v>
          </cell>
        </row>
        <row r="3883">
          <cell r="A3883" t="str">
            <v>B558208/A</v>
          </cell>
          <cell r="B3883" t="str">
            <v>CZ899M409</v>
          </cell>
          <cell r="C3883">
            <v>1</v>
          </cell>
          <cell r="D3883">
            <v>375.95</v>
          </cell>
          <cell r="E3883">
            <v>375.95</v>
          </cell>
          <cell r="F3883" t="str">
            <v>A1-S3</v>
          </cell>
          <cell r="G3883" t="str">
            <v>Drawer side - Hông hộc kéo</v>
          </cell>
          <cell r="H3883" t="str">
            <v>MDF Veneer</v>
          </cell>
          <cell r="I3883">
            <v>6</v>
          </cell>
        </row>
        <row r="3884">
          <cell r="A3884" t="str">
            <v>B558208/A</v>
          </cell>
          <cell r="B3884" t="str">
            <v>CZ899M409</v>
          </cell>
          <cell r="C3884">
            <v>1</v>
          </cell>
          <cell r="D3884">
            <v>375.95</v>
          </cell>
          <cell r="E3884">
            <v>375.95</v>
          </cell>
          <cell r="F3884" t="str">
            <v>A1-S4</v>
          </cell>
          <cell r="G3884" t="str">
            <v>Drawer back - Hậu hộc kéo</v>
          </cell>
          <cell r="H3884" t="str">
            <v>MDF Veneer</v>
          </cell>
          <cell r="I3884">
            <v>3</v>
          </cell>
        </row>
        <row r="3885">
          <cell r="A3885" t="str">
            <v>B558208/A</v>
          </cell>
          <cell r="B3885" t="str">
            <v>CZ899M409</v>
          </cell>
          <cell r="C3885">
            <v>1</v>
          </cell>
          <cell r="D3885">
            <v>375.95</v>
          </cell>
          <cell r="E3885">
            <v>375.95</v>
          </cell>
          <cell r="F3885" t="str">
            <v>A1-S5</v>
          </cell>
          <cell r="G3885" t="str">
            <v>Drawer bottom  - Đáy hộc kéo</v>
          </cell>
          <cell r="H3885" t="str">
            <v>MDF Veneer</v>
          </cell>
          <cell r="I3885">
            <v>3</v>
          </cell>
        </row>
        <row r="3886">
          <cell r="A3886" t="str">
            <v>B558208/A</v>
          </cell>
          <cell r="B3886" t="str">
            <v>CZ899M409</v>
          </cell>
          <cell r="C3886">
            <v>1</v>
          </cell>
          <cell r="D3886">
            <v>375.95</v>
          </cell>
          <cell r="E3886">
            <v>375.95</v>
          </cell>
          <cell r="F3886" t="str">
            <v>A2-S1</v>
          </cell>
          <cell r="G3886" t="str">
            <v>Bottom rail inside - Đố tiền đáy</v>
          </cell>
          <cell r="H3886" t="str">
            <v>Wood White Oak - Straight/Waving Edged, 2 COM - T32mm x W100mm Up x L1.5m Up</v>
          </cell>
          <cell r="I3886">
            <v>2</v>
          </cell>
        </row>
        <row r="3887">
          <cell r="A3887" t="str">
            <v>B558208/A</v>
          </cell>
          <cell r="B3887" t="str">
            <v>CZ899M409</v>
          </cell>
          <cell r="C3887">
            <v>1</v>
          </cell>
          <cell r="D3887">
            <v>375.95</v>
          </cell>
          <cell r="E3887">
            <v>375.95</v>
          </cell>
          <cell r="F3887" t="str">
            <v>A2-S2</v>
          </cell>
          <cell r="G3887" t="str">
            <v>Side bottom rail - Đố hông dưới</v>
          </cell>
          <cell r="H3887" t="str">
            <v>Wood White Oak - Straight/Waving Edged, 2 COM - T32mm x W100mm Up x L1.5m Up</v>
          </cell>
          <cell r="I3887">
            <v>2</v>
          </cell>
        </row>
        <row r="3888">
          <cell r="A3888" t="str">
            <v>B558208/A</v>
          </cell>
          <cell r="B3888" t="str">
            <v>CZ899M409</v>
          </cell>
          <cell r="C3888">
            <v>1</v>
          </cell>
          <cell r="D3888">
            <v>375.95</v>
          </cell>
          <cell r="E3888">
            <v>375.95</v>
          </cell>
          <cell r="F3888" t="str">
            <v>A4-S1</v>
          </cell>
          <cell r="G3888" t="str">
            <v>Front leg  - Chần tiền</v>
          </cell>
          <cell r="H3888" t="str">
            <v>Wd+VN</v>
          </cell>
          <cell r="I3888">
            <v>2</v>
          </cell>
        </row>
        <row r="3889">
          <cell r="A3889" t="str">
            <v>B558208/A</v>
          </cell>
          <cell r="B3889" t="str">
            <v>CZ899M409</v>
          </cell>
          <cell r="C3889">
            <v>1</v>
          </cell>
          <cell r="D3889">
            <v>375.95</v>
          </cell>
          <cell r="E3889">
            <v>375.95</v>
          </cell>
          <cell r="F3889" t="str">
            <v>A4-S2</v>
          </cell>
          <cell r="G3889" t="str">
            <v xml:space="preserve">Side panel  - Ván hông </v>
          </cell>
          <cell r="H3889" t="str">
            <v>MDF Veneer</v>
          </cell>
          <cell r="I3889">
            <v>2</v>
          </cell>
        </row>
        <row r="3890">
          <cell r="A3890" t="str">
            <v>B558208/A</v>
          </cell>
          <cell r="B3890" t="str">
            <v>CZ899M409</v>
          </cell>
          <cell r="C3890">
            <v>1</v>
          </cell>
          <cell r="D3890">
            <v>375.95</v>
          </cell>
          <cell r="E3890">
            <v>375.95</v>
          </cell>
          <cell r="F3890" t="str">
            <v>A4-S3</v>
          </cell>
          <cell r="G3890" t="str">
            <v xml:space="preserve">Side rail  - Đố hông </v>
          </cell>
          <cell r="H3890" t="str">
            <v>Wood laminate</v>
          </cell>
          <cell r="I3890">
            <v>6</v>
          </cell>
        </row>
        <row r="3891">
          <cell r="A3891" t="str">
            <v>B558208/A</v>
          </cell>
          <cell r="B3891" t="str">
            <v>CZ899M409</v>
          </cell>
          <cell r="C3891">
            <v>1</v>
          </cell>
          <cell r="D3891">
            <v>375.95</v>
          </cell>
          <cell r="E3891">
            <v>375.95</v>
          </cell>
          <cell r="F3891" t="str">
            <v>P01</v>
          </cell>
          <cell r="G3891" t="str">
            <v xml:space="preserve">Top panel  - Ván nóc </v>
          </cell>
          <cell r="H3891" t="str">
            <v>MDF Veneer</v>
          </cell>
          <cell r="I3891">
            <v>1</v>
          </cell>
        </row>
        <row r="3892">
          <cell r="A3892" t="str">
            <v>B558208/A</v>
          </cell>
          <cell r="B3892" t="str">
            <v>CZ899M409</v>
          </cell>
          <cell r="C3892">
            <v>1</v>
          </cell>
          <cell r="D3892">
            <v>375.95</v>
          </cell>
          <cell r="E3892">
            <v>375.95</v>
          </cell>
          <cell r="F3892" t="str">
            <v>P02</v>
          </cell>
          <cell r="G3892" t="str">
            <v>Bottom panel - Ván đáy</v>
          </cell>
          <cell r="H3892" t="str">
            <v>MDF Veneer</v>
          </cell>
          <cell r="I3892">
            <v>1</v>
          </cell>
        </row>
        <row r="3893">
          <cell r="A3893" t="str">
            <v>B558208/A</v>
          </cell>
          <cell r="B3893" t="str">
            <v>CZ899M409</v>
          </cell>
          <cell r="C3893">
            <v>1</v>
          </cell>
          <cell r="D3893">
            <v>375.95</v>
          </cell>
          <cell r="E3893">
            <v>375.95</v>
          </cell>
          <cell r="F3893" t="str">
            <v>P04</v>
          </cell>
          <cell r="G3893" t="str">
            <v>Back panel - Ván hậu</v>
          </cell>
          <cell r="H3893" t="str">
            <v>MDF Veneer</v>
          </cell>
          <cell r="I3893">
            <v>1</v>
          </cell>
        </row>
        <row r="3894">
          <cell r="A3894" t="str">
            <v>B558208/A</v>
          </cell>
          <cell r="B3894" t="str">
            <v>CZ899M409</v>
          </cell>
          <cell r="C3894">
            <v>1</v>
          </cell>
          <cell r="D3894">
            <v>375.95</v>
          </cell>
          <cell r="E3894">
            <v>375.95</v>
          </cell>
          <cell r="F3894" t="str">
            <v>P05</v>
          </cell>
          <cell r="G3894" t="str">
            <v>Front top rail  - Đố tiền nóc</v>
          </cell>
          <cell r="H3894" t="str">
            <v>Wood Rubber Laminate Board - 20 x 1220 x 2440mm, Veneer Poplar both Faces</v>
          </cell>
          <cell r="I3894">
            <v>1</v>
          </cell>
        </row>
        <row r="3895">
          <cell r="A3895" t="str">
            <v>B558208/A</v>
          </cell>
          <cell r="B3895" t="str">
            <v>CZ899M409</v>
          </cell>
          <cell r="C3895">
            <v>1</v>
          </cell>
          <cell r="D3895">
            <v>375.95</v>
          </cell>
          <cell r="E3895">
            <v>375.95</v>
          </cell>
          <cell r="F3895" t="str">
            <v>P06</v>
          </cell>
          <cell r="G3895" t="str">
            <v>Back rail with note finger - đố hậu</v>
          </cell>
          <cell r="H3895" t="str">
            <v>Wood Rubber Laminate Board - 20 x 1220 x 2440mm, Veneer Poplar both Faces</v>
          </cell>
          <cell r="I3895">
            <v>1</v>
          </cell>
        </row>
        <row r="3896">
          <cell r="A3896" t="str">
            <v>B558208/A</v>
          </cell>
          <cell r="B3896" t="str">
            <v>CZ899M409</v>
          </cell>
          <cell r="C3896">
            <v>1</v>
          </cell>
          <cell r="D3896">
            <v>375.95</v>
          </cell>
          <cell r="E3896">
            <v>375.95</v>
          </cell>
          <cell r="F3896" t="str">
            <v>P06-1</v>
          </cell>
          <cell r="G3896" t="str">
            <v>Back bottom rail - Đố hậu đáy</v>
          </cell>
          <cell r="H3896" t="str">
            <v>Wood Rubber Laminate Board - 20 x 1220 x 2440mm, Veneer Poplar both Faces</v>
          </cell>
          <cell r="I3896">
            <v>1</v>
          </cell>
        </row>
        <row r="3897">
          <cell r="A3897" t="str">
            <v>B558208/A</v>
          </cell>
          <cell r="B3897" t="str">
            <v>CZ899M409</v>
          </cell>
          <cell r="C3897">
            <v>1</v>
          </cell>
          <cell r="D3897">
            <v>375.95</v>
          </cell>
          <cell r="E3897">
            <v>375.95</v>
          </cell>
          <cell r="F3897" t="str">
            <v>P07</v>
          </cell>
          <cell r="G3897" t="str">
            <v>Front rail  - Đố tiền</v>
          </cell>
          <cell r="H3897" t="str">
            <v>Wood Rubber Laminate Board - 20 x 1220 x 2440mm, Veneer Poplar both Faces</v>
          </cell>
          <cell r="I3897">
            <v>2</v>
          </cell>
        </row>
        <row r="3898">
          <cell r="A3898" t="str">
            <v>B558208/A</v>
          </cell>
          <cell r="B3898" t="str">
            <v>CZ899M409</v>
          </cell>
          <cell r="C3898">
            <v>1</v>
          </cell>
          <cell r="D3898">
            <v>375.95</v>
          </cell>
          <cell r="E3898">
            <v>375.95</v>
          </cell>
          <cell r="F3898" t="str">
            <v>P08</v>
          </cell>
          <cell r="G3898" t="str">
            <v>Drawer stop - Dừng hộc</v>
          </cell>
          <cell r="H3898" t="str">
            <v>Poplar off cut</v>
          </cell>
          <cell r="I3898">
            <v>6</v>
          </cell>
        </row>
        <row r="3899">
          <cell r="A3899" t="str">
            <v>B558209/A</v>
          </cell>
          <cell r="B3899" t="str">
            <v>CZ899M409</v>
          </cell>
          <cell r="C3899">
            <v>6</v>
          </cell>
          <cell r="D3899">
            <v>375.95</v>
          </cell>
          <cell r="E3899">
            <v>2255.6999999999998</v>
          </cell>
          <cell r="F3899" t="str">
            <v>A1-S1</v>
          </cell>
          <cell r="G3899" t="str">
            <v xml:space="preserve">Drawer front - Mặt hộc kéo </v>
          </cell>
          <cell r="H3899" t="str">
            <v>Pre-Assembly</v>
          </cell>
          <cell r="I3899">
            <v>18</v>
          </cell>
        </row>
        <row r="3900">
          <cell r="A3900" t="str">
            <v>B558209/A</v>
          </cell>
          <cell r="B3900" t="str">
            <v>CZ899M409</v>
          </cell>
          <cell r="C3900">
            <v>6</v>
          </cell>
          <cell r="D3900">
            <v>375.95</v>
          </cell>
          <cell r="E3900">
            <v>2255.6999999999998</v>
          </cell>
          <cell r="F3900" t="str">
            <v>A1-S1-2</v>
          </cell>
          <cell r="G3900" t="str">
            <v>Patching wood - Gỗ đắp</v>
          </cell>
          <cell r="H3900" t="str">
            <v>Wood White Oak - Straight/Waving Edged, 1 COM - T25mm x W100mm Up x L1.8m Up</v>
          </cell>
          <cell r="I3900">
            <v>18</v>
          </cell>
        </row>
        <row r="3901">
          <cell r="A3901" t="str">
            <v>B558209/A</v>
          </cell>
          <cell r="B3901" t="str">
            <v>CZ899M409</v>
          </cell>
          <cell r="C3901">
            <v>6</v>
          </cell>
          <cell r="D3901">
            <v>375.95</v>
          </cell>
          <cell r="E3901">
            <v>2255.6999999999998</v>
          </cell>
          <cell r="F3901" t="str">
            <v>A1-S2</v>
          </cell>
          <cell r="G3901" t="str">
            <v xml:space="preserve">Drawer front 1 - Mặt hộc kéo </v>
          </cell>
          <cell r="H3901" t="str">
            <v>MDF Veneer</v>
          </cell>
          <cell r="I3901">
            <v>18</v>
          </cell>
        </row>
        <row r="3902">
          <cell r="A3902" t="str">
            <v>B558209/A</v>
          </cell>
          <cell r="B3902" t="str">
            <v>CZ899M409</v>
          </cell>
          <cell r="C3902">
            <v>6</v>
          </cell>
          <cell r="D3902">
            <v>375.95</v>
          </cell>
          <cell r="E3902">
            <v>2255.6999999999998</v>
          </cell>
          <cell r="F3902" t="str">
            <v>A1-S3</v>
          </cell>
          <cell r="G3902" t="str">
            <v>Drawer side - Hông hộc kéo</v>
          </cell>
          <cell r="H3902" t="str">
            <v>MDF Veneer</v>
          </cell>
          <cell r="I3902">
            <v>36</v>
          </cell>
        </row>
        <row r="3903">
          <cell r="A3903" t="str">
            <v>B558209/A</v>
          </cell>
          <cell r="B3903" t="str">
            <v>CZ899M409</v>
          </cell>
          <cell r="C3903">
            <v>6</v>
          </cell>
          <cell r="D3903">
            <v>375.95</v>
          </cell>
          <cell r="E3903">
            <v>2255.6999999999998</v>
          </cell>
          <cell r="F3903" t="str">
            <v>A1-S4</v>
          </cell>
          <cell r="G3903" t="str">
            <v>Drawer back - Hậu hộc kéo</v>
          </cell>
          <cell r="H3903" t="str">
            <v>MDF Veneer</v>
          </cell>
          <cell r="I3903">
            <v>18</v>
          </cell>
        </row>
        <row r="3904">
          <cell r="A3904" t="str">
            <v>B558209/A</v>
          </cell>
          <cell r="B3904" t="str">
            <v>CZ899M409</v>
          </cell>
          <cell r="C3904">
            <v>6</v>
          </cell>
          <cell r="D3904">
            <v>375.95</v>
          </cell>
          <cell r="E3904">
            <v>2255.6999999999998</v>
          </cell>
          <cell r="F3904" t="str">
            <v>A1-S5</v>
          </cell>
          <cell r="G3904" t="str">
            <v>Drawer bottom  - Đáy hộc kéo</v>
          </cell>
          <cell r="H3904" t="str">
            <v>MDF Veneer</v>
          </cell>
          <cell r="I3904">
            <v>18</v>
          </cell>
        </row>
        <row r="3905">
          <cell r="A3905" t="str">
            <v>B558209/A</v>
          </cell>
          <cell r="B3905" t="str">
            <v>CZ899M409</v>
          </cell>
          <cell r="C3905">
            <v>6</v>
          </cell>
          <cell r="D3905">
            <v>375.95</v>
          </cell>
          <cell r="E3905">
            <v>2255.6999999999998</v>
          </cell>
          <cell r="F3905" t="str">
            <v>A2-S1</v>
          </cell>
          <cell r="G3905" t="str">
            <v>Bottom rail inside - Đố tiền đáy</v>
          </cell>
          <cell r="H3905" t="str">
            <v>Wood White Oak - Straight/Waving Edged, 2 COM - T32mm x W100mm Up x L1.5m Up</v>
          </cell>
          <cell r="I3905">
            <v>12</v>
          </cell>
        </row>
        <row r="3906">
          <cell r="A3906" t="str">
            <v>B558209/A</v>
          </cell>
          <cell r="B3906" t="str">
            <v>CZ899M409</v>
          </cell>
          <cell r="C3906">
            <v>6</v>
          </cell>
          <cell r="D3906">
            <v>375.95</v>
          </cell>
          <cell r="E3906">
            <v>2255.6999999999998</v>
          </cell>
          <cell r="F3906" t="str">
            <v>A2-S2</v>
          </cell>
          <cell r="G3906" t="str">
            <v>Side bottom rail - Đố hông dưới</v>
          </cell>
          <cell r="H3906" t="str">
            <v>Wood White Oak - Straight/Waving Edged, 2 COM - T32mm x W100mm Up x L1.5m Up</v>
          </cell>
          <cell r="I3906">
            <v>12</v>
          </cell>
        </row>
        <row r="3907">
          <cell r="A3907" t="str">
            <v>B558209/A</v>
          </cell>
          <cell r="B3907" t="str">
            <v>CZ899M409</v>
          </cell>
          <cell r="C3907">
            <v>6</v>
          </cell>
          <cell r="D3907">
            <v>375.95</v>
          </cell>
          <cell r="E3907">
            <v>2255.6999999999998</v>
          </cell>
          <cell r="F3907" t="str">
            <v>A4-S1</v>
          </cell>
          <cell r="G3907" t="str">
            <v>Front leg  - Chần tiền</v>
          </cell>
          <cell r="H3907" t="str">
            <v>Wd+VN</v>
          </cell>
          <cell r="I3907">
            <v>12</v>
          </cell>
        </row>
        <row r="3908">
          <cell r="A3908" t="str">
            <v>B558209/A</v>
          </cell>
          <cell r="B3908" t="str">
            <v>CZ899M409</v>
          </cell>
          <cell r="C3908">
            <v>6</v>
          </cell>
          <cell r="D3908">
            <v>375.95</v>
          </cell>
          <cell r="E3908">
            <v>2255.6999999999998</v>
          </cell>
          <cell r="F3908" t="str">
            <v>A4-S2</v>
          </cell>
          <cell r="G3908" t="str">
            <v xml:space="preserve">Side panel  - Ván hông </v>
          </cell>
          <cell r="H3908" t="str">
            <v>MDF Veneer</v>
          </cell>
          <cell r="I3908">
            <v>12</v>
          </cell>
        </row>
        <row r="3909">
          <cell r="A3909" t="str">
            <v>B558209/A</v>
          </cell>
          <cell r="B3909" t="str">
            <v>CZ899M409</v>
          </cell>
          <cell r="C3909">
            <v>6</v>
          </cell>
          <cell r="D3909">
            <v>375.95</v>
          </cell>
          <cell r="E3909">
            <v>2255.6999999999998</v>
          </cell>
          <cell r="F3909" t="str">
            <v>A4-S3</v>
          </cell>
          <cell r="G3909" t="str">
            <v xml:space="preserve">Side rail  - Đố hông </v>
          </cell>
          <cell r="H3909" t="str">
            <v>Wood laminate</v>
          </cell>
          <cell r="I3909">
            <v>36</v>
          </cell>
        </row>
        <row r="3910">
          <cell r="A3910" t="str">
            <v>B558209/A</v>
          </cell>
          <cell r="B3910" t="str">
            <v>CZ899M409</v>
          </cell>
          <cell r="C3910">
            <v>6</v>
          </cell>
          <cell r="D3910">
            <v>375.95</v>
          </cell>
          <cell r="E3910">
            <v>2255.6999999999998</v>
          </cell>
          <cell r="F3910" t="str">
            <v>P01</v>
          </cell>
          <cell r="G3910" t="str">
            <v xml:space="preserve">Top panel  - Ván nóc </v>
          </cell>
          <cell r="H3910" t="str">
            <v>MDF Veneer</v>
          </cell>
          <cell r="I3910">
            <v>6</v>
          </cell>
        </row>
        <row r="3911">
          <cell r="A3911" t="str">
            <v>B558209/A</v>
          </cell>
          <cell r="B3911" t="str">
            <v>CZ899M409</v>
          </cell>
          <cell r="C3911">
            <v>6</v>
          </cell>
          <cell r="D3911">
            <v>375.95</v>
          </cell>
          <cell r="E3911">
            <v>2255.6999999999998</v>
          </cell>
          <cell r="F3911" t="str">
            <v>P02</v>
          </cell>
          <cell r="G3911" t="str">
            <v>Bottom panel - Ván đáy</v>
          </cell>
          <cell r="H3911" t="str">
            <v>MDF Veneer</v>
          </cell>
          <cell r="I3911">
            <v>6</v>
          </cell>
        </row>
        <row r="3912">
          <cell r="A3912" t="str">
            <v>B558209/A</v>
          </cell>
          <cell r="B3912" t="str">
            <v>CZ899M409</v>
          </cell>
          <cell r="C3912">
            <v>6</v>
          </cell>
          <cell r="D3912">
            <v>375.95</v>
          </cell>
          <cell r="E3912">
            <v>2255.6999999999998</v>
          </cell>
          <cell r="F3912" t="str">
            <v>P04</v>
          </cell>
          <cell r="G3912" t="str">
            <v>Back panel - Ván hậu</v>
          </cell>
          <cell r="H3912" t="str">
            <v>MDF Veneer</v>
          </cell>
          <cell r="I3912">
            <v>6</v>
          </cell>
        </row>
        <row r="3913">
          <cell r="A3913" t="str">
            <v>B558209/A</v>
          </cell>
          <cell r="B3913" t="str">
            <v>CZ899M409</v>
          </cell>
          <cell r="C3913">
            <v>6</v>
          </cell>
          <cell r="D3913">
            <v>375.95</v>
          </cell>
          <cell r="E3913">
            <v>2255.6999999999998</v>
          </cell>
          <cell r="F3913" t="str">
            <v>P05</v>
          </cell>
          <cell r="G3913" t="str">
            <v>Front top rail  - Đố tiền nóc</v>
          </cell>
          <cell r="H3913" t="str">
            <v>Wood Rubber Laminate Board - 20 x 1220 x 2440mm, Veneer Poplar both Faces</v>
          </cell>
          <cell r="I3913">
            <v>6</v>
          </cell>
        </row>
        <row r="3914">
          <cell r="A3914" t="str">
            <v>B558209/A</v>
          </cell>
          <cell r="B3914" t="str">
            <v>CZ899M409</v>
          </cell>
          <cell r="C3914">
            <v>6</v>
          </cell>
          <cell r="D3914">
            <v>375.95</v>
          </cell>
          <cell r="E3914">
            <v>2255.6999999999998</v>
          </cell>
          <cell r="F3914" t="str">
            <v>P06</v>
          </cell>
          <cell r="G3914" t="str">
            <v>Back rail with note finger - đố hậu</v>
          </cell>
          <cell r="H3914" t="str">
            <v>Wood Rubber Laminate Board - 20 x 1220 x 2440mm, Veneer Poplar both Faces</v>
          </cell>
          <cell r="I3914">
            <v>6</v>
          </cell>
        </row>
        <row r="3915">
          <cell r="A3915" t="str">
            <v>B558209/A</v>
          </cell>
          <cell r="B3915" t="str">
            <v>CZ899M409</v>
          </cell>
          <cell r="C3915">
            <v>6</v>
          </cell>
          <cell r="D3915">
            <v>375.95</v>
          </cell>
          <cell r="E3915">
            <v>2255.6999999999998</v>
          </cell>
          <cell r="F3915" t="str">
            <v>P06-1</v>
          </cell>
          <cell r="G3915" t="str">
            <v>Back bottom rail - Đố hậu đáy</v>
          </cell>
          <cell r="H3915" t="str">
            <v>Wood Rubber Laminate Board - 20 x 1220 x 2440mm, Veneer Poplar both Faces</v>
          </cell>
          <cell r="I3915">
            <v>6</v>
          </cell>
        </row>
        <row r="3916">
          <cell r="A3916" t="str">
            <v>B558209/A</v>
          </cell>
          <cell r="B3916" t="str">
            <v>CZ899M409</v>
          </cell>
          <cell r="C3916">
            <v>6</v>
          </cell>
          <cell r="D3916">
            <v>375.95</v>
          </cell>
          <cell r="E3916">
            <v>2255.6999999999998</v>
          </cell>
          <cell r="F3916" t="str">
            <v>P07</v>
          </cell>
          <cell r="G3916" t="str">
            <v>Front rail  - Đố tiền</v>
          </cell>
          <cell r="H3916" t="str">
            <v>Wood Rubber Laminate Board - 20 x 1220 x 2440mm, Veneer Poplar both Faces</v>
          </cell>
          <cell r="I3916">
            <v>12</v>
          </cell>
        </row>
        <row r="3917">
          <cell r="A3917" t="str">
            <v>B558209/A</v>
          </cell>
          <cell r="B3917" t="str">
            <v>CZ899M409</v>
          </cell>
          <cell r="C3917">
            <v>6</v>
          </cell>
          <cell r="D3917">
            <v>375.95</v>
          </cell>
          <cell r="E3917">
            <v>2255.6999999999998</v>
          </cell>
          <cell r="F3917" t="str">
            <v>P08</v>
          </cell>
          <cell r="G3917" t="str">
            <v>Drawer stop - Dừng hộc</v>
          </cell>
          <cell r="H3917" t="str">
            <v>Poplar off cut</v>
          </cell>
          <cell r="I3917">
            <v>36</v>
          </cell>
        </row>
        <row r="3918">
          <cell r="A3918" t="str">
            <v>B558212/A</v>
          </cell>
          <cell r="B3918" t="str">
            <v>CZ905M188</v>
          </cell>
          <cell r="C3918">
            <v>11</v>
          </cell>
          <cell r="D3918">
            <v>185.4</v>
          </cell>
          <cell r="E3918">
            <v>2039.4</v>
          </cell>
          <cell r="F3918" t="str">
            <v>P01</v>
          </cell>
          <cell r="G3918" t="str">
            <v xml:space="preserve">Top panel  - Ván nóc </v>
          </cell>
          <cell r="H3918" t="str">
            <v>MDF Veneer</v>
          </cell>
          <cell r="I3918">
            <v>11</v>
          </cell>
        </row>
        <row r="3919">
          <cell r="A3919" t="str">
            <v>B558212/A</v>
          </cell>
          <cell r="B3919" t="str">
            <v>CZ905M188</v>
          </cell>
          <cell r="C3919">
            <v>11</v>
          </cell>
          <cell r="D3919">
            <v>185.4</v>
          </cell>
          <cell r="E3919">
            <v>2039.4</v>
          </cell>
          <cell r="F3919" t="str">
            <v>P02</v>
          </cell>
          <cell r="G3919" t="str">
            <v>the post - trụ</v>
          </cell>
          <cell r="H3919" t="str">
            <v>Wood laminate</v>
          </cell>
          <cell r="I3919">
            <v>44</v>
          </cell>
        </row>
        <row r="3920">
          <cell r="A3920" t="str">
            <v>B558212/A</v>
          </cell>
          <cell r="B3920" t="str">
            <v>CZ905M188</v>
          </cell>
          <cell r="C3920">
            <v>11</v>
          </cell>
          <cell r="D3920">
            <v>185.4</v>
          </cell>
          <cell r="E3920">
            <v>2039.4</v>
          </cell>
          <cell r="F3920" t="str">
            <v>P03</v>
          </cell>
          <cell r="G3920" t="str">
            <v>The leg  - Chân</v>
          </cell>
          <cell r="H3920" t="str">
            <v>Wood laminate</v>
          </cell>
          <cell r="I3920">
            <v>11</v>
          </cell>
        </row>
        <row r="3921">
          <cell r="A3921" t="str">
            <v>B558212/A</v>
          </cell>
          <cell r="B3921" t="str">
            <v>CZ905M188</v>
          </cell>
          <cell r="C3921">
            <v>11</v>
          </cell>
          <cell r="D3921">
            <v>185.4</v>
          </cell>
          <cell r="E3921">
            <v>2039.4</v>
          </cell>
          <cell r="F3921" t="str">
            <v>P04</v>
          </cell>
          <cell r="G3921" t="str">
            <v>The leg  - Chân</v>
          </cell>
          <cell r="H3921" t="str">
            <v>Wood laminate</v>
          </cell>
          <cell r="I3921">
            <v>11</v>
          </cell>
        </row>
        <row r="3922">
          <cell r="A3922" t="str">
            <v>B558213/A</v>
          </cell>
          <cell r="B3922" t="str">
            <v>CZ905M188</v>
          </cell>
          <cell r="C3922">
            <v>10</v>
          </cell>
          <cell r="D3922">
            <v>185.4</v>
          </cell>
          <cell r="E3922">
            <v>1854</v>
          </cell>
          <cell r="F3922" t="str">
            <v>P01</v>
          </cell>
          <cell r="G3922" t="str">
            <v xml:space="preserve">Top panel  - Ván nóc </v>
          </cell>
          <cell r="H3922" t="str">
            <v>MDF Veneer</v>
          </cell>
          <cell r="I3922">
            <v>10</v>
          </cell>
        </row>
        <row r="3923">
          <cell r="A3923" t="str">
            <v>B558213/A</v>
          </cell>
          <cell r="B3923" t="str">
            <v>CZ905M188</v>
          </cell>
          <cell r="C3923">
            <v>10</v>
          </cell>
          <cell r="D3923">
            <v>185.4</v>
          </cell>
          <cell r="E3923">
            <v>1854</v>
          </cell>
          <cell r="F3923" t="str">
            <v>P02</v>
          </cell>
          <cell r="G3923" t="str">
            <v>the post - trụ</v>
          </cell>
          <cell r="H3923" t="str">
            <v>Wood laminate</v>
          </cell>
          <cell r="I3923">
            <v>40</v>
          </cell>
        </row>
        <row r="3924">
          <cell r="A3924" t="str">
            <v>B558213/A</v>
          </cell>
          <cell r="B3924" t="str">
            <v>CZ905M188</v>
          </cell>
          <cell r="C3924">
            <v>10</v>
          </cell>
          <cell r="D3924">
            <v>185.4</v>
          </cell>
          <cell r="E3924">
            <v>1854</v>
          </cell>
          <cell r="F3924" t="str">
            <v>P03</v>
          </cell>
          <cell r="G3924" t="str">
            <v>The leg  - Chân</v>
          </cell>
          <cell r="H3924" t="str">
            <v>Wood laminate</v>
          </cell>
          <cell r="I3924">
            <v>10</v>
          </cell>
        </row>
        <row r="3925">
          <cell r="A3925" t="str">
            <v>B558213/A</v>
          </cell>
          <cell r="B3925" t="str">
            <v>CZ905M188</v>
          </cell>
          <cell r="C3925">
            <v>10</v>
          </cell>
          <cell r="D3925">
            <v>185.4</v>
          </cell>
          <cell r="E3925">
            <v>1854</v>
          </cell>
          <cell r="F3925" t="str">
            <v>P04</v>
          </cell>
          <cell r="G3925" t="str">
            <v>The leg  - Chân</v>
          </cell>
          <cell r="H3925" t="str">
            <v>Wood laminate</v>
          </cell>
          <cell r="I3925">
            <v>10</v>
          </cell>
        </row>
        <row r="3926">
          <cell r="A3926" t="str">
            <v>B558260/A</v>
          </cell>
          <cell r="B3926" t="str">
            <v>RH836M29</v>
          </cell>
          <cell r="C3926">
            <v>13</v>
          </cell>
          <cell r="D3926">
            <v>176.38</v>
          </cell>
          <cell r="E3926">
            <v>2292.94</v>
          </cell>
          <cell r="F3926" t="str">
            <v>A2-S1</v>
          </cell>
          <cell r="G3926" t="str">
            <v xml:space="preserve">Drawer front - Mặt hộc kéo </v>
          </cell>
          <cell r="H3926" t="str">
            <v>Wood Acacia - Straight/Waving Edged - T30mm x W100mm Up x L1m Up</v>
          </cell>
          <cell r="I3926">
            <v>52</v>
          </cell>
        </row>
        <row r="3927">
          <cell r="A3927" t="str">
            <v>B558260/A</v>
          </cell>
          <cell r="B3927" t="str">
            <v>RH836M29</v>
          </cell>
          <cell r="C3927">
            <v>13</v>
          </cell>
          <cell r="D3927">
            <v>176.38</v>
          </cell>
          <cell r="E3927">
            <v>2292.94</v>
          </cell>
          <cell r="F3927" t="str">
            <v>A2-S2</v>
          </cell>
          <cell r="G3927" t="str">
            <v>Drawer side - Hông hộc kéo</v>
          </cell>
          <cell r="H3927" t="str">
            <v>MDF Veneer</v>
          </cell>
          <cell r="I3927">
            <v>104</v>
          </cell>
        </row>
        <row r="3928">
          <cell r="A3928" t="str">
            <v>B558260/A</v>
          </cell>
          <cell r="B3928" t="str">
            <v>RH836M29</v>
          </cell>
          <cell r="C3928">
            <v>13</v>
          </cell>
          <cell r="D3928">
            <v>176.38</v>
          </cell>
          <cell r="E3928">
            <v>2292.94</v>
          </cell>
          <cell r="F3928" t="str">
            <v>A2-S3</v>
          </cell>
          <cell r="G3928" t="str">
            <v>Drawer back - Hậu hộc kéo</v>
          </cell>
          <cell r="H3928" t="str">
            <v>MDF Veneer</v>
          </cell>
          <cell r="I3928">
            <v>39</v>
          </cell>
        </row>
        <row r="3929">
          <cell r="A3929" t="str">
            <v>B558260/A</v>
          </cell>
          <cell r="B3929" t="str">
            <v>RH836M29</v>
          </cell>
          <cell r="C3929">
            <v>13</v>
          </cell>
          <cell r="D3929">
            <v>176.38</v>
          </cell>
          <cell r="E3929">
            <v>2292.94</v>
          </cell>
          <cell r="F3929" t="str">
            <v>A2-S4</v>
          </cell>
          <cell r="G3929" t="str">
            <v>Drawer bottom  - Đáy hộc kéo</v>
          </cell>
          <cell r="H3929" t="str">
            <v>MDF - 06 x 1220 x 2440mm, Veneer Tram 0.3mm + Veneer Engineering 0.3mm [CARB P2 Compliant]</v>
          </cell>
          <cell r="I3929">
            <v>52</v>
          </cell>
        </row>
        <row r="3930">
          <cell r="A3930" t="str">
            <v>B558260/A</v>
          </cell>
          <cell r="B3930" t="str">
            <v>RH836M29</v>
          </cell>
          <cell r="C3930">
            <v>13</v>
          </cell>
          <cell r="D3930">
            <v>176.38</v>
          </cell>
          <cell r="E3930">
            <v>2292.94</v>
          </cell>
          <cell r="F3930" t="str">
            <v>A2-S7</v>
          </cell>
          <cell r="G3930" t="str">
            <v>Drawer stop - Dừng hộc</v>
          </cell>
          <cell r="H3930" t="str">
            <v>wood off cut</v>
          </cell>
          <cell r="I3930">
            <v>78</v>
          </cell>
        </row>
        <row r="3931">
          <cell r="A3931" t="str">
            <v>B558260/A</v>
          </cell>
          <cell r="B3931" t="str">
            <v>RH836M29</v>
          </cell>
          <cell r="C3931">
            <v>13</v>
          </cell>
          <cell r="D3931">
            <v>176.38</v>
          </cell>
          <cell r="E3931">
            <v>2292.94</v>
          </cell>
          <cell r="F3931" t="str">
            <v>A3-S1</v>
          </cell>
          <cell r="G3931" t="str">
            <v>Drawer back - Hậu hộc kéo</v>
          </cell>
          <cell r="H3931" t="str">
            <v>Wood Acacia - Straight/Waving Edged - T35mm x W100mm Up x L1.5m Up</v>
          </cell>
          <cell r="I3931">
            <v>13</v>
          </cell>
        </row>
        <row r="3932">
          <cell r="A3932" t="str">
            <v>B558260/A</v>
          </cell>
          <cell r="B3932" t="str">
            <v>RH836M29</v>
          </cell>
          <cell r="C3932">
            <v>13</v>
          </cell>
          <cell r="D3932">
            <v>176.38</v>
          </cell>
          <cell r="E3932">
            <v>2292.94</v>
          </cell>
          <cell r="F3932" t="str">
            <v>A3-S2</v>
          </cell>
          <cell r="G3932" t="str">
            <v>Patching wood - Gỗ đắp</v>
          </cell>
          <cell r="H3932" t="str">
            <v>Veneer laminate</v>
          </cell>
          <cell r="I3932">
            <v>104</v>
          </cell>
        </row>
        <row r="3933">
          <cell r="A3933" t="str">
            <v>B558260/A</v>
          </cell>
          <cell r="B3933" t="str">
            <v>RH836M29</v>
          </cell>
          <cell r="C3933">
            <v>13</v>
          </cell>
          <cell r="D3933">
            <v>176.38</v>
          </cell>
          <cell r="E3933">
            <v>2292.94</v>
          </cell>
          <cell r="F3933" t="str">
            <v>A3-S3</v>
          </cell>
          <cell r="G3933" t="str">
            <v>Patching wood - Gỗ đắp</v>
          </cell>
          <cell r="H3933" t="str">
            <v>Poplar off cut</v>
          </cell>
          <cell r="I3933">
            <v>13</v>
          </cell>
        </row>
        <row r="3934">
          <cell r="A3934" t="str">
            <v>B558260/A</v>
          </cell>
          <cell r="B3934" t="str">
            <v>RH836M29</v>
          </cell>
          <cell r="C3934">
            <v>13</v>
          </cell>
          <cell r="D3934">
            <v>176.38</v>
          </cell>
          <cell r="E3934">
            <v>2292.94</v>
          </cell>
          <cell r="F3934" t="str">
            <v>A4-S1</v>
          </cell>
          <cell r="G3934" t="str">
            <v xml:space="preserve">Drawer front - Mặt hộc kéo </v>
          </cell>
          <cell r="H3934" t="str">
            <v>Wood Acacia - Straight/Waving Edged - T30mm x W100mm Up x L1m Up</v>
          </cell>
          <cell r="I3934">
            <v>26</v>
          </cell>
        </row>
        <row r="3935">
          <cell r="A3935" t="str">
            <v>B558260/A</v>
          </cell>
          <cell r="B3935" t="str">
            <v>RH836M29</v>
          </cell>
          <cell r="C3935">
            <v>13</v>
          </cell>
          <cell r="D3935">
            <v>176.38</v>
          </cell>
          <cell r="E3935">
            <v>2292.94</v>
          </cell>
          <cell r="F3935" t="str">
            <v>A4-S2</v>
          </cell>
          <cell r="G3935" t="str">
            <v>Drawer side - Hông hộc kéo</v>
          </cell>
          <cell r="H3935" t="str">
            <v>Wood Acacia - Straight/Waving Edged - T35mm x W100mm Up x L1.5m Up</v>
          </cell>
          <cell r="I3935">
            <v>52</v>
          </cell>
        </row>
        <row r="3936">
          <cell r="A3936" t="str">
            <v>B558260/A</v>
          </cell>
          <cell r="B3936" t="str">
            <v>RH836M29</v>
          </cell>
          <cell r="C3936">
            <v>13</v>
          </cell>
          <cell r="D3936">
            <v>176.38</v>
          </cell>
          <cell r="E3936">
            <v>2292.94</v>
          </cell>
          <cell r="F3936" t="str">
            <v>A4-S3</v>
          </cell>
          <cell r="G3936" t="str">
            <v>Drawer back - Hậu hộc kéo</v>
          </cell>
          <cell r="H3936" t="str">
            <v>Wood Acacia - Straight/Waving Edged - T35mm x W100mm Up x L1.5m Up</v>
          </cell>
          <cell r="I3936">
            <v>26</v>
          </cell>
        </row>
        <row r="3937">
          <cell r="A3937" t="str">
            <v>B558260/A</v>
          </cell>
          <cell r="B3937" t="str">
            <v>RH836M29</v>
          </cell>
          <cell r="C3937">
            <v>13</v>
          </cell>
          <cell r="D3937">
            <v>176.38</v>
          </cell>
          <cell r="E3937">
            <v>2292.94</v>
          </cell>
          <cell r="F3937" t="str">
            <v>A4-S4</v>
          </cell>
          <cell r="G3937" t="str">
            <v>Drawer bottom  - Đáy hộc kéo</v>
          </cell>
          <cell r="H3937" t="str">
            <v>Wood Acacia - Straight/Waving Edged - T35mm x W100mm Up x L1m Up</v>
          </cell>
          <cell r="I3937">
            <v>26</v>
          </cell>
        </row>
        <row r="3938">
          <cell r="A3938" t="str">
            <v>B558260/A</v>
          </cell>
          <cell r="B3938" t="str">
            <v>RH836M29</v>
          </cell>
          <cell r="C3938">
            <v>13</v>
          </cell>
          <cell r="D3938">
            <v>176.38</v>
          </cell>
          <cell r="E3938">
            <v>2292.94</v>
          </cell>
          <cell r="F3938" t="str">
            <v>A4-S5</v>
          </cell>
          <cell r="G3938" t="str">
            <v>Patching wood - Gỗ đắp</v>
          </cell>
          <cell r="H3938" t="str">
            <v>Veneer Okoume - Rotary Backing - T2.1 x W1220 x L2440 mm (B Grade)</v>
          </cell>
          <cell r="I3938">
            <v>26</v>
          </cell>
        </row>
        <row r="3939">
          <cell r="A3939" t="str">
            <v>B558260/A</v>
          </cell>
          <cell r="B3939" t="str">
            <v>RH836M29</v>
          </cell>
          <cell r="C3939">
            <v>13</v>
          </cell>
          <cell r="D3939">
            <v>176.38</v>
          </cell>
          <cell r="E3939">
            <v>2292.94</v>
          </cell>
          <cell r="F3939" t="str">
            <v>P08</v>
          </cell>
          <cell r="G3939" t="str">
            <v xml:space="preserve">Side panel  - Ván hông </v>
          </cell>
          <cell r="H3939" t="str">
            <v>Wood Acacia - Straight/Waving Edged - T25mm x W100mm Up x L1m Up</v>
          </cell>
          <cell r="I3939">
            <v>26</v>
          </cell>
        </row>
        <row r="3940">
          <cell r="A3940" t="str">
            <v>B558260/A</v>
          </cell>
          <cell r="B3940" t="str">
            <v>RH836M29</v>
          </cell>
          <cell r="C3940">
            <v>13</v>
          </cell>
          <cell r="D3940">
            <v>176.38</v>
          </cell>
          <cell r="E3940">
            <v>2292.94</v>
          </cell>
          <cell r="F3940" t="str">
            <v>P09</v>
          </cell>
          <cell r="G3940" t="str">
            <v>Center panel - Ván giữa</v>
          </cell>
          <cell r="H3940" t="str">
            <v>Wood Acacia - Straight/Waving Edged - T25mm x W100mm Up x L1m Up</v>
          </cell>
          <cell r="I3940">
            <v>26</v>
          </cell>
        </row>
        <row r="3941">
          <cell r="A3941" t="str">
            <v>B558260/A</v>
          </cell>
          <cell r="B3941" t="str">
            <v>RH836M29</v>
          </cell>
          <cell r="C3941">
            <v>13</v>
          </cell>
          <cell r="D3941">
            <v>176.38</v>
          </cell>
          <cell r="E3941">
            <v>2292.94</v>
          </cell>
          <cell r="F3941" t="str">
            <v>P10</v>
          </cell>
          <cell r="G3941" t="str">
            <v>Center panel - Ván giữa</v>
          </cell>
          <cell r="H3941" t="str">
            <v>Wood Acacia - Straight/Waving Edged - T25mm x W100mm Up x L1m Up</v>
          </cell>
          <cell r="I3941">
            <v>13</v>
          </cell>
        </row>
        <row r="3942">
          <cell r="A3942" t="str">
            <v>B558260/A</v>
          </cell>
          <cell r="B3942" t="str">
            <v>RH836M29</v>
          </cell>
          <cell r="C3942">
            <v>13</v>
          </cell>
          <cell r="D3942">
            <v>176.38</v>
          </cell>
          <cell r="E3942">
            <v>2292.94</v>
          </cell>
          <cell r="F3942" t="str">
            <v>P11</v>
          </cell>
          <cell r="G3942" t="str">
            <v>Center panel - Ván giữa</v>
          </cell>
          <cell r="H3942" t="str">
            <v>Wood Acacia - Straight/Waving Edged - T25mm x W100mm Up x L1m Up</v>
          </cell>
          <cell r="I3942">
            <v>52</v>
          </cell>
        </row>
        <row r="3943">
          <cell r="A3943" t="str">
            <v>B558260/A</v>
          </cell>
          <cell r="B3943" t="str">
            <v>RH836M29</v>
          </cell>
          <cell r="C3943">
            <v>13</v>
          </cell>
          <cell r="D3943">
            <v>176.38</v>
          </cell>
          <cell r="E3943">
            <v>2292.94</v>
          </cell>
          <cell r="F3943" t="str">
            <v>P13</v>
          </cell>
          <cell r="G3943" t="str">
            <v>Center panel - Ván giữa</v>
          </cell>
          <cell r="H3943" t="str">
            <v>Pre-Assembly</v>
          </cell>
          <cell r="I3943">
            <v>13</v>
          </cell>
        </row>
        <row r="3944">
          <cell r="A3944" t="str">
            <v>B558260/A</v>
          </cell>
          <cell r="B3944" t="str">
            <v>RH836M29</v>
          </cell>
          <cell r="C3944">
            <v>13</v>
          </cell>
          <cell r="D3944">
            <v>176.38</v>
          </cell>
          <cell r="E3944">
            <v>2292.94</v>
          </cell>
          <cell r="F3944" t="str">
            <v>P13-1</v>
          </cell>
          <cell r="G3944" t="str">
            <v xml:space="preserve">Panel - Ván </v>
          </cell>
          <cell r="H3944" t="str">
            <v>MDF Veneer</v>
          </cell>
          <cell r="I3944">
            <v>13</v>
          </cell>
        </row>
        <row r="3945">
          <cell r="A3945" t="str">
            <v>B558260/A</v>
          </cell>
          <cell r="B3945" t="str">
            <v>RH836M29</v>
          </cell>
          <cell r="C3945">
            <v>13</v>
          </cell>
          <cell r="D3945">
            <v>176.38</v>
          </cell>
          <cell r="E3945">
            <v>2292.94</v>
          </cell>
          <cell r="F3945" t="str">
            <v>P13-2</v>
          </cell>
          <cell r="G3945" t="str">
            <v>Front moulding  - Chỉ tiền</v>
          </cell>
          <cell r="H3945" t="str">
            <v>Wood Acacia - Straight/Waving Edged - T35mm x W100mm Up x L1m Up</v>
          </cell>
          <cell r="I3945">
            <v>13</v>
          </cell>
        </row>
        <row r="3946">
          <cell r="A3946" t="str">
            <v>B558260/A</v>
          </cell>
          <cell r="B3946" t="str">
            <v>RH836M29</v>
          </cell>
          <cell r="C3946">
            <v>13</v>
          </cell>
          <cell r="D3946">
            <v>176.38</v>
          </cell>
          <cell r="E3946">
            <v>2292.94</v>
          </cell>
          <cell r="F3946" t="str">
            <v>P15</v>
          </cell>
          <cell r="G3946" t="str">
            <v>Back panel - Ván hậu</v>
          </cell>
          <cell r="H3946" t="str">
            <v>MDF Veneer</v>
          </cell>
          <cell r="I3946">
            <v>13</v>
          </cell>
        </row>
        <row r="3947">
          <cell r="A3947" t="str">
            <v>B558260/A</v>
          </cell>
          <cell r="B3947" t="str">
            <v>RH836M29</v>
          </cell>
          <cell r="C3947">
            <v>13</v>
          </cell>
          <cell r="D3947">
            <v>176.38</v>
          </cell>
          <cell r="E3947">
            <v>2292.94</v>
          </cell>
          <cell r="F3947" t="str">
            <v>P16</v>
          </cell>
          <cell r="G3947" t="str">
            <v>Patching wood - Gỗ đắp</v>
          </cell>
          <cell r="H3947" t="str">
            <v>Wood US Poplar - Straight Edged, 2 COM - T38mm x W100mm Up x L1.8m Up</v>
          </cell>
          <cell r="I3947">
            <v>13</v>
          </cell>
        </row>
        <row r="3948">
          <cell r="A3948" t="str">
            <v>B558260/A</v>
          </cell>
          <cell r="B3948" t="str">
            <v>RH836M29</v>
          </cell>
          <cell r="C3948">
            <v>13</v>
          </cell>
          <cell r="D3948">
            <v>176.38</v>
          </cell>
          <cell r="E3948">
            <v>2292.94</v>
          </cell>
          <cell r="F3948" t="str">
            <v>P17</v>
          </cell>
          <cell r="G3948" t="str">
            <v xml:space="preserve">Top panel  - Ván nóc </v>
          </cell>
          <cell r="H3948" t="str">
            <v>MDF Veneer</v>
          </cell>
          <cell r="I3948">
            <v>13</v>
          </cell>
        </row>
        <row r="3949">
          <cell r="A3949" t="str">
            <v>B558261/A</v>
          </cell>
          <cell r="B3949" t="str">
            <v>RH836M29</v>
          </cell>
          <cell r="C3949">
            <v>12</v>
          </cell>
          <cell r="D3949">
            <v>176.38</v>
          </cell>
          <cell r="E3949">
            <v>2116.56</v>
          </cell>
          <cell r="F3949" t="str">
            <v>A2-S1</v>
          </cell>
          <cell r="G3949" t="str">
            <v xml:space="preserve">Drawer front - Mặt hộc kéo </v>
          </cell>
          <cell r="H3949" t="str">
            <v>Wood Acacia - Straight/Waving Edged - T30mm x W100mm Up x L1m Up</v>
          </cell>
          <cell r="I3949">
            <v>48</v>
          </cell>
        </row>
        <row r="3950">
          <cell r="A3950" t="str">
            <v>B558261/A</v>
          </cell>
          <cell r="B3950" t="str">
            <v>RH836M29</v>
          </cell>
          <cell r="C3950">
            <v>12</v>
          </cell>
          <cell r="D3950">
            <v>176.38</v>
          </cell>
          <cell r="E3950">
            <v>2116.56</v>
          </cell>
          <cell r="F3950" t="str">
            <v>A2-S2</v>
          </cell>
          <cell r="G3950" t="str">
            <v>Drawer side - Hông hộc kéo</v>
          </cell>
          <cell r="H3950" t="str">
            <v>MDF Veneer</v>
          </cell>
          <cell r="I3950">
            <v>96</v>
          </cell>
        </row>
        <row r="3951">
          <cell r="A3951" t="str">
            <v>B558261/A</v>
          </cell>
          <cell r="B3951" t="str">
            <v>RH836M29</v>
          </cell>
          <cell r="C3951">
            <v>12</v>
          </cell>
          <cell r="D3951">
            <v>176.38</v>
          </cell>
          <cell r="E3951">
            <v>2116.56</v>
          </cell>
          <cell r="F3951" t="str">
            <v>A2-S3</v>
          </cell>
          <cell r="G3951" t="str">
            <v>Drawer back - Hậu hộc kéo</v>
          </cell>
          <cell r="H3951" t="str">
            <v>MDF Veneer</v>
          </cell>
          <cell r="I3951">
            <v>36</v>
          </cell>
        </row>
        <row r="3952">
          <cell r="A3952" t="str">
            <v>B558261/A</v>
          </cell>
          <cell r="B3952" t="str">
            <v>RH836M29</v>
          </cell>
          <cell r="C3952">
            <v>12</v>
          </cell>
          <cell r="D3952">
            <v>176.38</v>
          </cell>
          <cell r="E3952">
            <v>2116.56</v>
          </cell>
          <cell r="F3952" t="str">
            <v>A2-S4</v>
          </cell>
          <cell r="G3952" t="str">
            <v>Drawer bottom  - Đáy hộc kéo</v>
          </cell>
          <cell r="H3952" t="str">
            <v>MDF - 06 x 1220 x 2440mm, Veneer Tram 0.3mm + Veneer Engineering 0.3mm [CARB P2 Compliant]</v>
          </cell>
          <cell r="I3952">
            <v>48</v>
          </cell>
        </row>
        <row r="3953">
          <cell r="A3953" t="str">
            <v>B558261/A</v>
          </cell>
          <cell r="B3953" t="str">
            <v>RH836M29</v>
          </cell>
          <cell r="C3953">
            <v>12</v>
          </cell>
          <cell r="D3953">
            <v>176.38</v>
          </cell>
          <cell r="E3953">
            <v>2116.56</v>
          </cell>
          <cell r="F3953" t="str">
            <v>A2-S7</v>
          </cell>
          <cell r="G3953" t="str">
            <v>Drawer stop - Dừng hộc</v>
          </cell>
          <cell r="H3953" t="str">
            <v>wood off cut</v>
          </cell>
          <cell r="I3953">
            <v>72</v>
          </cell>
        </row>
        <row r="3954">
          <cell r="A3954" t="str">
            <v>B558261/A</v>
          </cell>
          <cell r="B3954" t="str">
            <v>RH836M29</v>
          </cell>
          <cell r="C3954">
            <v>12</v>
          </cell>
          <cell r="D3954">
            <v>176.38</v>
          </cell>
          <cell r="E3954">
            <v>2116.56</v>
          </cell>
          <cell r="F3954" t="str">
            <v>A3-S1</v>
          </cell>
          <cell r="G3954" t="str">
            <v>Drawer back - Hậu hộc kéo</v>
          </cell>
          <cell r="H3954" t="str">
            <v>Wood Acacia - Straight/Waving Edged - T35mm x W100mm Up x L1.5m Up</v>
          </cell>
          <cell r="I3954">
            <v>12</v>
          </cell>
        </row>
        <row r="3955">
          <cell r="A3955" t="str">
            <v>B558261/A</v>
          </cell>
          <cell r="B3955" t="str">
            <v>RH836M29</v>
          </cell>
          <cell r="C3955">
            <v>12</v>
          </cell>
          <cell r="D3955">
            <v>176.38</v>
          </cell>
          <cell r="E3955">
            <v>2116.56</v>
          </cell>
          <cell r="F3955" t="str">
            <v>A3-S2</v>
          </cell>
          <cell r="G3955" t="str">
            <v>Patching wood - Gỗ đắp</v>
          </cell>
          <cell r="H3955" t="str">
            <v>Veneer laminate</v>
          </cell>
          <cell r="I3955">
            <v>96</v>
          </cell>
        </row>
        <row r="3956">
          <cell r="A3956" t="str">
            <v>B558261/A</v>
          </cell>
          <cell r="B3956" t="str">
            <v>RH836M29</v>
          </cell>
          <cell r="C3956">
            <v>12</v>
          </cell>
          <cell r="D3956">
            <v>176.38</v>
          </cell>
          <cell r="E3956">
            <v>2116.56</v>
          </cell>
          <cell r="F3956" t="str">
            <v>A3-S3</v>
          </cell>
          <cell r="G3956" t="str">
            <v>Patching wood - Gỗ đắp</v>
          </cell>
          <cell r="H3956" t="str">
            <v>Poplar off cut</v>
          </cell>
          <cell r="I3956">
            <v>12</v>
          </cell>
        </row>
        <row r="3957">
          <cell r="A3957" t="str">
            <v>B558261/A</v>
          </cell>
          <cell r="B3957" t="str">
            <v>RH836M29</v>
          </cell>
          <cell r="C3957">
            <v>12</v>
          </cell>
          <cell r="D3957">
            <v>176.38</v>
          </cell>
          <cell r="E3957">
            <v>2116.56</v>
          </cell>
          <cell r="F3957" t="str">
            <v>A4-S1</v>
          </cell>
          <cell r="G3957" t="str">
            <v xml:space="preserve">Drawer front - Mặt hộc kéo </v>
          </cell>
          <cell r="H3957" t="str">
            <v>Wood Acacia - Straight/Waving Edged - T30mm x W100mm Up x L1m Up</v>
          </cell>
          <cell r="I3957">
            <v>24</v>
          </cell>
        </row>
        <row r="3958">
          <cell r="A3958" t="str">
            <v>B558261/A</v>
          </cell>
          <cell r="B3958" t="str">
            <v>RH836M29</v>
          </cell>
          <cell r="C3958">
            <v>12</v>
          </cell>
          <cell r="D3958">
            <v>176.38</v>
          </cell>
          <cell r="E3958">
            <v>2116.56</v>
          </cell>
          <cell r="F3958" t="str">
            <v>A4-S2</v>
          </cell>
          <cell r="G3958" t="str">
            <v>Drawer side - Hông hộc kéo</v>
          </cell>
          <cell r="H3958" t="str">
            <v>Wood Acacia - Straight/Waving Edged - T35mm x W100mm Up x L1.5m Up</v>
          </cell>
          <cell r="I3958">
            <v>48</v>
          </cell>
        </row>
        <row r="3959">
          <cell r="A3959" t="str">
            <v>B558261/A</v>
          </cell>
          <cell r="B3959" t="str">
            <v>RH836M29</v>
          </cell>
          <cell r="C3959">
            <v>12</v>
          </cell>
          <cell r="D3959">
            <v>176.38</v>
          </cell>
          <cell r="E3959">
            <v>2116.56</v>
          </cell>
          <cell r="F3959" t="str">
            <v>A4-S3</v>
          </cell>
          <cell r="G3959" t="str">
            <v>Drawer back - Hậu hộc kéo</v>
          </cell>
          <cell r="H3959" t="str">
            <v>Wood Acacia - Straight/Waving Edged - T35mm x W100mm Up x L1.5m Up</v>
          </cell>
          <cell r="I3959">
            <v>24</v>
          </cell>
        </row>
        <row r="3960">
          <cell r="A3960" t="str">
            <v>B558261/A</v>
          </cell>
          <cell r="B3960" t="str">
            <v>RH836M29</v>
          </cell>
          <cell r="C3960">
            <v>12</v>
          </cell>
          <cell r="D3960">
            <v>176.38</v>
          </cell>
          <cell r="E3960">
            <v>2116.56</v>
          </cell>
          <cell r="F3960" t="str">
            <v>A4-S4</v>
          </cell>
          <cell r="G3960" t="str">
            <v>Drawer bottom  - Đáy hộc kéo</v>
          </cell>
          <cell r="H3960" t="str">
            <v>Wood Acacia - Straight/Waving Edged - T35mm x W100mm Up x L1m Up</v>
          </cell>
          <cell r="I3960">
            <v>24</v>
          </cell>
        </row>
        <row r="3961">
          <cell r="A3961" t="str">
            <v>B558261/A</v>
          </cell>
          <cell r="B3961" t="str">
            <v>RH836M29</v>
          </cell>
          <cell r="C3961">
            <v>12</v>
          </cell>
          <cell r="D3961">
            <v>176.38</v>
          </cell>
          <cell r="E3961">
            <v>2116.56</v>
          </cell>
          <cell r="F3961" t="str">
            <v>A4-S5</v>
          </cell>
          <cell r="G3961" t="str">
            <v>Patching wood - Gỗ đắp</v>
          </cell>
          <cell r="H3961" t="str">
            <v>Veneer Okoume - Rotary Backing - T2.1 x W1220 x L2440 mm (B Grade)</v>
          </cell>
          <cell r="I3961">
            <v>24</v>
          </cell>
        </row>
        <row r="3962">
          <cell r="A3962" t="str">
            <v>B558261/A</v>
          </cell>
          <cell r="B3962" t="str">
            <v>RH836M29</v>
          </cell>
          <cell r="C3962">
            <v>12</v>
          </cell>
          <cell r="D3962">
            <v>176.38</v>
          </cell>
          <cell r="E3962">
            <v>2116.56</v>
          </cell>
          <cell r="F3962" t="str">
            <v>P08</v>
          </cell>
          <cell r="G3962" t="str">
            <v xml:space="preserve">Side panel  - Ván hông </v>
          </cell>
          <cell r="H3962" t="str">
            <v>Wood Acacia - Straight/Waving Edged - T25mm x W100mm Up x L1m Up</v>
          </cell>
          <cell r="I3962">
            <v>24</v>
          </cell>
        </row>
        <row r="3963">
          <cell r="A3963" t="str">
            <v>B558261/A</v>
          </cell>
          <cell r="B3963" t="str">
            <v>RH836M29</v>
          </cell>
          <cell r="C3963">
            <v>12</v>
          </cell>
          <cell r="D3963">
            <v>176.38</v>
          </cell>
          <cell r="E3963">
            <v>2116.56</v>
          </cell>
          <cell r="F3963" t="str">
            <v>P09</v>
          </cell>
          <cell r="G3963" t="str">
            <v>Center panel - Ván giữa</v>
          </cell>
          <cell r="H3963" t="str">
            <v>Wood Acacia - Straight/Waving Edged - T25mm x W100mm Up x L1m Up</v>
          </cell>
          <cell r="I3963">
            <v>24</v>
          </cell>
        </row>
        <row r="3964">
          <cell r="A3964" t="str">
            <v>B558261/A</v>
          </cell>
          <cell r="B3964" t="str">
            <v>RH836M29</v>
          </cell>
          <cell r="C3964">
            <v>12</v>
          </cell>
          <cell r="D3964">
            <v>176.38</v>
          </cell>
          <cell r="E3964">
            <v>2116.56</v>
          </cell>
          <cell r="F3964" t="str">
            <v>P10</v>
          </cell>
          <cell r="G3964" t="str">
            <v>Center panel - Ván giữa</v>
          </cell>
          <cell r="H3964" t="str">
            <v>Wood Acacia - Straight/Waving Edged - T25mm x W100mm Up x L1m Up</v>
          </cell>
          <cell r="I3964">
            <v>12</v>
          </cell>
        </row>
        <row r="3965">
          <cell r="A3965" t="str">
            <v>B558261/A</v>
          </cell>
          <cell r="B3965" t="str">
            <v>RH836M29</v>
          </cell>
          <cell r="C3965">
            <v>12</v>
          </cell>
          <cell r="D3965">
            <v>176.38</v>
          </cell>
          <cell r="E3965">
            <v>2116.56</v>
          </cell>
          <cell r="F3965" t="str">
            <v>P11</v>
          </cell>
          <cell r="G3965" t="str">
            <v>Center panel - Ván giữa</v>
          </cell>
          <cell r="H3965" t="str">
            <v>Wood Acacia - Straight/Waving Edged - T25mm x W100mm Up x L1m Up</v>
          </cell>
          <cell r="I3965">
            <v>48</v>
          </cell>
        </row>
        <row r="3966">
          <cell r="A3966" t="str">
            <v>B558261/A</v>
          </cell>
          <cell r="B3966" t="str">
            <v>RH836M29</v>
          </cell>
          <cell r="C3966">
            <v>12</v>
          </cell>
          <cell r="D3966">
            <v>176.38</v>
          </cell>
          <cell r="E3966">
            <v>2116.56</v>
          </cell>
          <cell r="F3966" t="str">
            <v>P13</v>
          </cell>
          <cell r="G3966" t="str">
            <v>Center panel - Ván giữa</v>
          </cell>
          <cell r="H3966" t="str">
            <v>Pre-Assembly</v>
          </cell>
          <cell r="I3966">
            <v>12</v>
          </cell>
        </row>
        <row r="3967">
          <cell r="A3967" t="str">
            <v>B558261/A</v>
          </cell>
          <cell r="B3967" t="str">
            <v>RH836M29</v>
          </cell>
          <cell r="C3967">
            <v>12</v>
          </cell>
          <cell r="D3967">
            <v>176.38</v>
          </cell>
          <cell r="E3967">
            <v>2116.56</v>
          </cell>
          <cell r="F3967" t="str">
            <v>P13-1</v>
          </cell>
          <cell r="G3967" t="str">
            <v xml:space="preserve">Panel - Ván </v>
          </cell>
          <cell r="H3967" t="str">
            <v>MDF Veneer</v>
          </cell>
          <cell r="I3967">
            <v>12</v>
          </cell>
        </row>
        <row r="3968">
          <cell r="A3968" t="str">
            <v>B558261/A</v>
          </cell>
          <cell r="B3968" t="str">
            <v>RH836M29</v>
          </cell>
          <cell r="C3968">
            <v>12</v>
          </cell>
          <cell r="D3968">
            <v>176.38</v>
          </cell>
          <cell r="E3968">
            <v>2116.56</v>
          </cell>
          <cell r="F3968" t="str">
            <v>P13-2</v>
          </cell>
          <cell r="G3968" t="str">
            <v>Front moulding  - Chỉ tiền</v>
          </cell>
          <cell r="H3968" t="str">
            <v>Wood Acacia - Straight/Waving Edged - T35mm x W100mm Up x L1m Up</v>
          </cell>
          <cell r="I3968">
            <v>12</v>
          </cell>
        </row>
        <row r="3969">
          <cell r="A3969" t="str">
            <v>B558261/A</v>
          </cell>
          <cell r="B3969" t="str">
            <v>RH836M29</v>
          </cell>
          <cell r="C3969">
            <v>12</v>
          </cell>
          <cell r="D3969">
            <v>176.38</v>
          </cell>
          <cell r="E3969">
            <v>2116.56</v>
          </cell>
          <cell r="F3969" t="str">
            <v>P15</v>
          </cell>
          <cell r="G3969" t="str">
            <v>Back panel - Ván hậu</v>
          </cell>
          <cell r="H3969" t="str">
            <v>MDF Veneer</v>
          </cell>
          <cell r="I3969">
            <v>12</v>
          </cell>
        </row>
        <row r="3970">
          <cell r="A3970" t="str">
            <v>B558261/A</v>
          </cell>
          <cell r="B3970" t="str">
            <v>RH836M29</v>
          </cell>
          <cell r="C3970">
            <v>12</v>
          </cell>
          <cell r="D3970">
            <v>176.38</v>
          </cell>
          <cell r="E3970">
            <v>2116.56</v>
          </cell>
          <cell r="F3970" t="str">
            <v>P16</v>
          </cell>
          <cell r="G3970" t="str">
            <v>Patching wood - Gỗ đắp</v>
          </cell>
          <cell r="H3970" t="str">
            <v>Wood US Poplar - Straight Edged, 2 COM - T38mm x W100mm Up x L1.8m Up</v>
          </cell>
          <cell r="I3970">
            <v>12</v>
          </cell>
        </row>
        <row r="3971">
          <cell r="A3971" t="str">
            <v>B558261/A</v>
          </cell>
          <cell r="B3971" t="str">
            <v>RH836M29</v>
          </cell>
          <cell r="C3971">
            <v>12</v>
          </cell>
          <cell r="D3971">
            <v>176.38</v>
          </cell>
          <cell r="E3971">
            <v>2116.56</v>
          </cell>
          <cell r="F3971" t="str">
            <v>P17</v>
          </cell>
          <cell r="G3971" t="str">
            <v xml:space="preserve">Top panel  - Ván nóc </v>
          </cell>
          <cell r="H3971" t="str">
            <v>MDF Veneer</v>
          </cell>
          <cell r="I3971">
            <v>12</v>
          </cell>
        </row>
        <row r="3972">
          <cell r="A3972" t="str">
            <v>B558372/A</v>
          </cell>
          <cell r="B3972" t="str">
            <v>RH899AM02</v>
          </cell>
          <cell r="C3972">
            <v>5</v>
          </cell>
          <cell r="D3972">
            <v>874.7</v>
          </cell>
          <cell r="E3972">
            <v>4373.5</v>
          </cell>
          <cell r="F3972" t="str">
            <v>A1A</v>
          </cell>
          <cell r="G3972" t="str">
            <v>Top Frame - Khung nóc</v>
          </cell>
          <cell r="H3972" t="str">
            <v>Pre-Assembly</v>
          </cell>
          <cell r="I3972">
            <v>10</v>
          </cell>
        </row>
        <row r="3973">
          <cell r="A3973" t="str">
            <v>B558372/A</v>
          </cell>
          <cell r="B3973" t="str">
            <v>RH899AM02</v>
          </cell>
          <cell r="C3973">
            <v>5</v>
          </cell>
          <cell r="D3973">
            <v>874.7</v>
          </cell>
          <cell r="E3973">
            <v>4373.5</v>
          </cell>
          <cell r="F3973" t="str">
            <v>A1A-1</v>
          </cell>
          <cell r="G3973" t="str">
            <v xml:space="preserve">Top panel  - Ván nóc </v>
          </cell>
          <cell r="H3973" t="str">
            <v>Pre-Assembly</v>
          </cell>
          <cell r="I3973">
            <v>10</v>
          </cell>
        </row>
        <row r="3974">
          <cell r="A3974" t="str">
            <v>B558372/A</v>
          </cell>
          <cell r="B3974" t="str">
            <v>RH899AM02</v>
          </cell>
          <cell r="C3974">
            <v>5</v>
          </cell>
          <cell r="D3974">
            <v>874.7</v>
          </cell>
          <cell r="E3974">
            <v>4373.5</v>
          </cell>
          <cell r="F3974" t="str">
            <v>A1-S01</v>
          </cell>
          <cell r="G3974" t="str">
            <v xml:space="preserve">Top panel  - Ván nóc </v>
          </cell>
          <cell r="H3974" t="str">
            <v>MDF Veneer</v>
          </cell>
          <cell r="I3974">
            <v>10</v>
          </cell>
        </row>
        <row r="3975">
          <cell r="A3975" t="str">
            <v>B558372/A</v>
          </cell>
          <cell r="B3975" t="str">
            <v>RH899AM02</v>
          </cell>
          <cell r="C3975">
            <v>5</v>
          </cell>
          <cell r="D3975">
            <v>874.7</v>
          </cell>
          <cell r="E3975">
            <v>4373.5</v>
          </cell>
          <cell r="F3975" t="str">
            <v>A1-S02</v>
          </cell>
          <cell r="G3975" t="str">
            <v>Top moulding  - Chỉ nóc</v>
          </cell>
          <cell r="H3975" t="str">
            <v>Wood US Poplar - Straight Edged, 2 COM - T50mm x W100mm Up x L1.8m Up</v>
          </cell>
          <cell r="I3975">
            <v>10</v>
          </cell>
        </row>
        <row r="3976">
          <cell r="A3976" t="str">
            <v>B558372/A</v>
          </cell>
          <cell r="B3976" t="str">
            <v>RH899AM02</v>
          </cell>
          <cell r="C3976">
            <v>5</v>
          </cell>
          <cell r="D3976">
            <v>874.7</v>
          </cell>
          <cell r="E3976">
            <v>4373.5</v>
          </cell>
          <cell r="F3976" t="str">
            <v>A1-S03</v>
          </cell>
          <cell r="G3976" t="str">
            <v>Top moulding  - Chỉ nóc</v>
          </cell>
          <cell r="H3976" t="str">
            <v>Wood US Poplar - Straight Edged, 2 COM - T50mm x W100mm Up x L1.8m Up</v>
          </cell>
          <cell r="I3976">
            <v>20</v>
          </cell>
        </row>
        <row r="3977">
          <cell r="A3977" t="str">
            <v>B558372/A</v>
          </cell>
          <cell r="B3977" t="str">
            <v>RH899AM02</v>
          </cell>
          <cell r="C3977">
            <v>5</v>
          </cell>
          <cell r="D3977">
            <v>874.7</v>
          </cell>
          <cell r="E3977">
            <v>4373.5</v>
          </cell>
          <cell r="F3977" t="str">
            <v>A1-S06</v>
          </cell>
          <cell r="G3977" t="str">
            <v>Front top rail  - Đố tiền nóc</v>
          </cell>
          <cell r="H3977" t="str">
            <v>Wood US Poplar - Straight Edged, 2 COM - T32mm x W100mm Up x L1.8m Up</v>
          </cell>
          <cell r="I3977">
            <v>20</v>
          </cell>
        </row>
        <row r="3978">
          <cell r="A3978" t="str">
            <v>B558372/A</v>
          </cell>
          <cell r="B3978" t="str">
            <v>RH899AM02</v>
          </cell>
          <cell r="C3978">
            <v>5</v>
          </cell>
          <cell r="D3978">
            <v>874.7</v>
          </cell>
          <cell r="E3978">
            <v>4373.5</v>
          </cell>
          <cell r="F3978" t="str">
            <v>A1-S07</v>
          </cell>
          <cell r="G3978" t="str">
            <v>Front top rail  - Đố tiền nóc</v>
          </cell>
          <cell r="H3978" t="str">
            <v>Wood US Poplar - Straight Edged, 2 COM - T32mm x W100mm Up x L1.8m Up</v>
          </cell>
          <cell r="I3978">
            <v>10</v>
          </cell>
        </row>
        <row r="3979">
          <cell r="A3979" t="str">
            <v>B558372/A</v>
          </cell>
          <cell r="B3979" t="str">
            <v>RH899AM02</v>
          </cell>
          <cell r="C3979">
            <v>5</v>
          </cell>
          <cell r="D3979">
            <v>874.7</v>
          </cell>
          <cell r="E3979">
            <v>4373.5</v>
          </cell>
          <cell r="F3979" t="str">
            <v>A1-S08</v>
          </cell>
          <cell r="G3979" t="str">
            <v xml:space="preserve">Side rail  - Đố hông </v>
          </cell>
          <cell r="H3979" t="str">
            <v>Wood US Poplar - Straight Edged, 2 COM - T25mm x W100mm Up x L1.8m Up</v>
          </cell>
          <cell r="I3979">
            <v>30</v>
          </cell>
        </row>
        <row r="3980">
          <cell r="A3980" t="str">
            <v>B558372/A</v>
          </cell>
          <cell r="B3980" t="str">
            <v>RH899AM02</v>
          </cell>
          <cell r="C3980">
            <v>5</v>
          </cell>
          <cell r="D3980">
            <v>874.7</v>
          </cell>
          <cell r="E3980">
            <v>4373.5</v>
          </cell>
          <cell r="F3980" t="str">
            <v>A1-S09</v>
          </cell>
          <cell r="G3980" t="str">
            <v>Top moulding  - Chỉ nóc</v>
          </cell>
          <cell r="H3980" t="str">
            <v>Moulding Poplar wood (400-800mm - 40%)and (800mm up - 60%)</v>
          </cell>
          <cell r="I3980">
            <v>10</v>
          </cell>
        </row>
        <row r="3981">
          <cell r="A3981" t="str">
            <v>B558372/A</v>
          </cell>
          <cell r="B3981" t="str">
            <v>RH899AM02</v>
          </cell>
          <cell r="C3981">
            <v>5</v>
          </cell>
          <cell r="D3981">
            <v>874.7</v>
          </cell>
          <cell r="E3981">
            <v>4373.5</v>
          </cell>
          <cell r="F3981" t="str">
            <v>A1-S10</v>
          </cell>
          <cell r="G3981" t="str">
            <v>Top moulding  - Chỉ nóc</v>
          </cell>
          <cell r="H3981" t="str">
            <v>Moulding Poplar wood (400-800mm - 40%)and (800mm up - 60%)</v>
          </cell>
          <cell r="I3981">
            <v>20</v>
          </cell>
        </row>
        <row r="3982">
          <cell r="A3982" t="str">
            <v>B558372/A</v>
          </cell>
          <cell r="B3982" t="str">
            <v>RH899AM02</v>
          </cell>
          <cell r="C3982">
            <v>5</v>
          </cell>
          <cell r="D3982">
            <v>874.7</v>
          </cell>
          <cell r="E3982">
            <v>4373.5</v>
          </cell>
          <cell r="F3982" t="str">
            <v>A2A</v>
          </cell>
          <cell r="G3982" t="str">
            <v>Top Frame - Khung nóc</v>
          </cell>
          <cell r="H3982" t="str">
            <v>Pre-Assembly</v>
          </cell>
          <cell r="I3982">
            <v>10</v>
          </cell>
        </row>
        <row r="3983">
          <cell r="A3983" t="str">
            <v>B558372/A</v>
          </cell>
          <cell r="B3983" t="str">
            <v>RH899AM02</v>
          </cell>
          <cell r="C3983">
            <v>5</v>
          </cell>
          <cell r="D3983">
            <v>874.7</v>
          </cell>
          <cell r="E3983">
            <v>4373.5</v>
          </cell>
          <cell r="F3983" t="str">
            <v>A2A-1</v>
          </cell>
          <cell r="G3983" t="str">
            <v xml:space="preserve">Top panel  - Ván nóc </v>
          </cell>
          <cell r="H3983" t="str">
            <v>Pre-Assembly</v>
          </cell>
          <cell r="I3983">
            <v>10</v>
          </cell>
        </row>
        <row r="3984">
          <cell r="A3984" t="str">
            <v>B558372/A</v>
          </cell>
          <cell r="B3984" t="str">
            <v>RH899AM02</v>
          </cell>
          <cell r="C3984">
            <v>5</v>
          </cell>
          <cell r="D3984">
            <v>874.7</v>
          </cell>
          <cell r="E3984">
            <v>4373.5</v>
          </cell>
          <cell r="F3984" t="str">
            <v>A2-S1</v>
          </cell>
          <cell r="G3984" t="str">
            <v xml:space="preserve">Top panel  - Ván nóc </v>
          </cell>
          <cell r="H3984" t="str">
            <v>MDF Veneer</v>
          </cell>
          <cell r="I3984">
            <v>10</v>
          </cell>
        </row>
        <row r="3985">
          <cell r="A3985" t="str">
            <v>B558372/A</v>
          </cell>
          <cell r="B3985" t="str">
            <v>RH899AM02</v>
          </cell>
          <cell r="C3985">
            <v>5</v>
          </cell>
          <cell r="D3985">
            <v>874.7</v>
          </cell>
          <cell r="E3985">
            <v>4373.5</v>
          </cell>
          <cell r="F3985" t="str">
            <v>A2-S2</v>
          </cell>
          <cell r="G3985" t="str">
            <v>Front top rail  - Đố tiền nóc</v>
          </cell>
          <cell r="H3985" t="str">
            <v>Wood Acacia - Straight/Waving Edged - T30mm x W100mm Up x L1m Up</v>
          </cell>
          <cell r="I3985">
            <v>20</v>
          </cell>
        </row>
        <row r="3986">
          <cell r="A3986" t="str">
            <v>B558372/A</v>
          </cell>
          <cell r="B3986" t="str">
            <v>RH899AM02</v>
          </cell>
          <cell r="C3986">
            <v>5</v>
          </cell>
          <cell r="D3986">
            <v>874.7</v>
          </cell>
          <cell r="E3986">
            <v>4373.5</v>
          </cell>
          <cell r="F3986" t="str">
            <v>A2-S3</v>
          </cell>
          <cell r="G3986" t="str">
            <v>Top moulding  - Chỉ nóc</v>
          </cell>
          <cell r="H3986" t="str">
            <v>Wood - Acacia</v>
          </cell>
          <cell r="I3986">
            <v>20</v>
          </cell>
        </row>
        <row r="3987">
          <cell r="A3987" t="str">
            <v>B558372/A</v>
          </cell>
          <cell r="B3987" t="str">
            <v>RH899AM02</v>
          </cell>
          <cell r="C3987">
            <v>5</v>
          </cell>
          <cell r="D3987">
            <v>874.7</v>
          </cell>
          <cell r="E3987">
            <v>4373.5</v>
          </cell>
          <cell r="F3987" t="str">
            <v>A2-S5</v>
          </cell>
          <cell r="G3987" t="str">
            <v>Top moulding  - Chỉ nóc</v>
          </cell>
          <cell r="H3987" t="str">
            <v>Moulding Poplar wood (400-800mm - 40%)and (800mm up - 60%)</v>
          </cell>
          <cell r="I3987">
            <v>20</v>
          </cell>
        </row>
        <row r="3988">
          <cell r="A3988" t="str">
            <v>B558372/A</v>
          </cell>
          <cell r="B3988" t="str">
            <v>RH899AM02</v>
          </cell>
          <cell r="C3988">
            <v>5</v>
          </cell>
          <cell r="D3988">
            <v>874.7</v>
          </cell>
          <cell r="E3988">
            <v>4373.5</v>
          </cell>
          <cell r="F3988" t="str">
            <v>A2-S7</v>
          </cell>
          <cell r="G3988" t="str">
            <v>Top moulding  - Chỉ nóc</v>
          </cell>
          <cell r="H3988" t="str">
            <v>Wood Acacia - Straight/Waving Edged - T35mm x W100mm Up x L1.5m Up</v>
          </cell>
          <cell r="I3988">
            <v>20</v>
          </cell>
        </row>
        <row r="3989">
          <cell r="A3989" t="str">
            <v>B558372/A</v>
          </cell>
          <cell r="B3989" t="str">
            <v>RH899AM02</v>
          </cell>
          <cell r="C3989">
            <v>5</v>
          </cell>
          <cell r="D3989">
            <v>874.7</v>
          </cell>
          <cell r="E3989">
            <v>4373.5</v>
          </cell>
          <cell r="F3989" t="str">
            <v>A3-S1</v>
          </cell>
          <cell r="G3989" t="str">
            <v>Front Top rail 1 - Đố nóc trước 1</v>
          </cell>
          <cell r="H3989" t="str">
            <v>Wood US Poplar - Straight Edged, 2 COM - T32mm x W100mm Up x L1.8m Up</v>
          </cell>
          <cell r="I3989">
            <v>10</v>
          </cell>
        </row>
        <row r="3990">
          <cell r="A3990" t="str">
            <v>B558372/A</v>
          </cell>
          <cell r="B3990" t="str">
            <v>RH899AM02</v>
          </cell>
          <cell r="C3990">
            <v>5</v>
          </cell>
          <cell r="D3990">
            <v>874.7</v>
          </cell>
          <cell r="E3990">
            <v>4373.5</v>
          </cell>
          <cell r="F3990" t="str">
            <v>A3-S2</v>
          </cell>
          <cell r="G3990" t="str">
            <v xml:space="preserve">Side rail  - Đố hông </v>
          </cell>
          <cell r="H3990" t="str">
            <v>Wood Acacia - Straight/Waving Edged - T30mm x W100mm Up x L1m Up</v>
          </cell>
          <cell r="I3990">
            <v>10</v>
          </cell>
        </row>
        <row r="3991">
          <cell r="A3991" t="str">
            <v>B558372/A</v>
          </cell>
          <cell r="B3991" t="str">
            <v>RH899AM02</v>
          </cell>
          <cell r="C3991">
            <v>5</v>
          </cell>
          <cell r="D3991">
            <v>874.7</v>
          </cell>
          <cell r="E3991">
            <v>4373.5</v>
          </cell>
          <cell r="F3991" t="str">
            <v>A3-S4</v>
          </cell>
          <cell r="G3991" t="str">
            <v>Center rail - Đố giữa</v>
          </cell>
          <cell r="H3991" t="str">
            <v>Wood Acacia - Straight/Waving Edged - T30mm x W100mm Up x L1m Up</v>
          </cell>
          <cell r="I3991">
            <v>10</v>
          </cell>
        </row>
        <row r="3992">
          <cell r="A3992" t="str">
            <v>B558372/A</v>
          </cell>
          <cell r="B3992" t="str">
            <v>RH899AM02</v>
          </cell>
          <cell r="C3992">
            <v>5</v>
          </cell>
          <cell r="D3992">
            <v>874.7</v>
          </cell>
          <cell r="E3992">
            <v>4373.5</v>
          </cell>
          <cell r="F3992" t="str">
            <v>A3-S5</v>
          </cell>
          <cell r="G3992" t="str">
            <v xml:space="preserve">Side rail  - Đố hông </v>
          </cell>
          <cell r="H3992" t="str">
            <v>Wood Acacia - Straight/Waving Edged - T30mm x W100mm Up x L1m Up</v>
          </cell>
          <cell r="I3992">
            <v>10</v>
          </cell>
        </row>
        <row r="3993">
          <cell r="A3993" t="str">
            <v>B558372/A</v>
          </cell>
          <cell r="B3993" t="str">
            <v>RH899AM02</v>
          </cell>
          <cell r="C3993">
            <v>5</v>
          </cell>
          <cell r="D3993">
            <v>874.7</v>
          </cell>
          <cell r="E3993">
            <v>4373.5</v>
          </cell>
          <cell r="F3993" t="str">
            <v>A4</v>
          </cell>
          <cell r="G3993" t="str">
            <v>Bottom rail inside - Đố tiền đáy</v>
          </cell>
          <cell r="H3993" t="str">
            <v>Wood laminate</v>
          </cell>
          <cell r="I3993">
            <v>5</v>
          </cell>
        </row>
        <row r="3994">
          <cell r="A3994" t="str">
            <v>B558372/A</v>
          </cell>
          <cell r="B3994" t="str">
            <v>RH899AM02</v>
          </cell>
          <cell r="C3994">
            <v>5</v>
          </cell>
          <cell r="D3994">
            <v>874.7</v>
          </cell>
          <cell r="E3994">
            <v>4373.5</v>
          </cell>
          <cell r="F3994" t="str">
            <v>A4-S5</v>
          </cell>
          <cell r="G3994" t="str">
            <v>Corner block - ke góc</v>
          </cell>
          <cell r="H3994" t="str">
            <v>TRAM OFF CUT</v>
          </cell>
          <cell r="I3994">
            <v>40</v>
          </cell>
        </row>
        <row r="3995">
          <cell r="A3995" t="str">
            <v>B558372/A</v>
          </cell>
          <cell r="B3995" t="str">
            <v>RH899AM02</v>
          </cell>
          <cell r="C3995">
            <v>5</v>
          </cell>
          <cell r="D3995">
            <v>874.7</v>
          </cell>
          <cell r="E3995">
            <v>4373.5</v>
          </cell>
          <cell r="F3995" t="str">
            <v>A4-S6</v>
          </cell>
          <cell r="G3995" t="str">
            <v>Corner block - ke góc</v>
          </cell>
          <cell r="H3995" t="str">
            <v>TRAM OFF CUT</v>
          </cell>
          <cell r="I3995">
            <v>30</v>
          </cell>
        </row>
        <row r="3996">
          <cell r="A3996" t="str">
            <v>B558372/A</v>
          </cell>
          <cell r="B3996" t="str">
            <v>RH899AM02</v>
          </cell>
          <cell r="C3996">
            <v>5</v>
          </cell>
          <cell r="D3996">
            <v>874.7</v>
          </cell>
          <cell r="E3996">
            <v>4373.5</v>
          </cell>
          <cell r="F3996" t="str">
            <v>A5-S01</v>
          </cell>
          <cell r="G3996" t="str">
            <v>The leg  - Chân</v>
          </cell>
          <cell r="H3996" t="str">
            <v>Pre-Assembly</v>
          </cell>
          <cell r="I3996">
            <v>20</v>
          </cell>
        </row>
        <row r="3997">
          <cell r="A3997" t="str">
            <v>B558372/A</v>
          </cell>
          <cell r="B3997" t="str">
            <v>RH899AM02</v>
          </cell>
          <cell r="C3997">
            <v>5</v>
          </cell>
          <cell r="D3997">
            <v>874.7</v>
          </cell>
          <cell r="E3997">
            <v>4373.5</v>
          </cell>
          <cell r="F3997" t="str">
            <v>A5-S01-1</v>
          </cell>
          <cell r="G3997" t="str">
            <v xml:space="preserve">Turning foot  - Chân tiện </v>
          </cell>
          <cell r="H3997" t="str">
            <v>Wood - Acacia</v>
          </cell>
          <cell r="I3997">
            <v>20</v>
          </cell>
        </row>
        <row r="3998">
          <cell r="A3998" t="str">
            <v>B558372/A</v>
          </cell>
          <cell r="B3998" t="str">
            <v>RH899AM02</v>
          </cell>
          <cell r="C3998">
            <v>5</v>
          </cell>
          <cell r="D3998">
            <v>874.7</v>
          </cell>
          <cell r="E3998">
            <v>4373.5</v>
          </cell>
          <cell r="F3998" t="str">
            <v>A5-S01-2</v>
          </cell>
          <cell r="G3998" t="str">
            <v>The leg  - Chân</v>
          </cell>
          <cell r="H3998" t="str">
            <v>TRAM OFF CUT</v>
          </cell>
          <cell r="I3998">
            <v>20</v>
          </cell>
        </row>
        <row r="3999">
          <cell r="A3999" t="str">
            <v>B558372/A</v>
          </cell>
          <cell r="B3999" t="str">
            <v>RH899AM02</v>
          </cell>
          <cell r="C3999">
            <v>5</v>
          </cell>
          <cell r="D3999">
            <v>874.7</v>
          </cell>
          <cell r="E3999">
            <v>4373.5</v>
          </cell>
          <cell r="F3999" t="str">
            <v>A5-S01-3</v>
          </cell>
          <cell r="G3999" t="str">
            <v>Tenon - Mộng cấy</v>
          </cell>
          <cell r="H3999" t="str">
            <v>TRAM OFF CUT</v>
          </cell>
          <cell r="I3999">
            <v>40</v>
          </cell>
        </row>
        <row r="4000">
          <cell r="A4000" t="str">
            <v>B558372/A</v>
          </cell>
          <cell r="B4000" t="str">
            <v>RH899AM02</v>
          </cell>
          <cell r="C4000">
            <v>5</v>
          </cell>
          <cell r="D4000">
            <v>874.7</v>
          </cell>
          <cell r="E4000">
            <v>4373.5</v>
          </cell>
          <cell r="F4000" t="str">
            <v>A5-S02</v>
          </cell>
          <cell r="G4000" t="str">
            <v>Side top rail - Đố hông trên</v>
          </cell>
          <cell r="H4000" t="str">
            <v>Wood Acacia - Straight/Waving Edged - T30mm x W100mm Up x L1m Up</v>
          </cell>
          <cell r="I4000">
            <v>10</v>
          </cell>
        </row>
        <row r="4001">
          <cell r="A4001" t="str">
            <v>B558372/A</v>
          </cell>
          <cell r="B4001" t="str">
            <v>RH899AM02</v>
          </cell>
          <cell r="C4001">
            <v>5</v>
          </cell>
          <cell r="D4001">
            <v>874.7</v>
          </cell>
          <cell r="E4001">
            <v>4373.5</v>
          </cell>
          <cell r="F4001" t="str">
            <v>A5-S03</v>
          </cell>
          <cell r="G4001" t="str">
            <v>Side moulding - Chỉ hông</v>
          </cell>
          <cell r="H4001" t="str">
            <v>Wood - Acacia</v>
          </cell>
          <cell r="I4001">
            <v>20</v>
          </cell>
        </row>
        <row r="4002">
          <cell r="A4002" t="str">
            <v>B558372/A</v>
          </cell>
          <cell r="B4002" t="str">
            <v>RH899AM02</v>
          </cell>
          <cell r="C4002">
            <v>5</v>
          </cell>
          <cell r="D4002">
            <v>874.7</v>
          </cell>
          <cell r="E4002">
            <v>4373.5</v>
          </cell>
          <cell r="F4002" t="str">
            <v>A5-S04</v>
          </cell>
          <cell r="G4002" t="str">
            <v>Front moulding  - Chỉ tiền</v>
          </cell>
          <cell r="H4002" t="str">
            <v>Wood US Poplar - Straight Edged, 2 COM - T50mm x W100mm Up x L1.8m Up</v>
          </cell>
          <cell r="I4002">
            <v>10</v>
          </cell>
        </row>
        <row r="4003">
          <cell r="A4003" t="str">
            <v>B558372/A</v>
          </cell>
          <cell r="B4003" t="str">
            <v>RH899AM02</v>
          </cell>
          <cell r="C4003">
            <v>5</v>
          </cell>
          <cell r="D4003">
            <v>874.7</v>
          </cell>
          <cell r="E4003">
            <v>4373.5</v>
          </cell>
          <cell r="F4003" t="str">
            <v>A5-S05</v>
          </cell>
          <cell r="G4003" t="str">
            <v>Back moulding - Chỉ hậu</v>
          </cell>
          <cell r="H4003" t="str">
            <v>Wood - Acacia</v>
          </cell>
          <cell r="I4003">
            <v>20</v>
          </cell>
        </row>
        <row r="4004">
          <cell r="A4004" t="str">
            <v>B558372/A</v>
          </cell>
          <cell r="B4004" t="str">
            <v>RH899AM02</v>
          </cell>
          <cell r="C4004">
            <v>5</v>
          </cell>
          <cell r="D4004">
            <v>874.7</v>
          </cell>
          <cell r="E4004">
            <v>4373.5</v>
          </cell>
          <cell r="F4004" t="str">
            <v>A5-S06</v>
          </cell>
          <cell r="G4004" t="str">
            <v>Bottom panel - Ván đáy</v>
          </cell>
          <cell r="H4004" t="str">
            <v>Wood Acacia - Straight/Waving Edged - T25mm x W100mm Up x L1m Up</v>
          </cell>
          <cell r="I4004">
            <v>10</v>
          </cell>
        </row>
        <row r="4005">
          <cell r="A4005" t="str">
            <v>B558372/A</v>
          </cell>
          <cell r="B4005" t="str">
            <v>RH899AM02</v>
          </cell>
          <cell r="C4005">
            <v>5</v>
          </cell>
          <cell r="D4005">
            <v>874.7</v>
          </cell>
          <cell r="E4005">
            <v>4373.5</v>
          </cell>
          <cell r="F4005" t="str">
            <v>A5-S07</v>
          </cell>
          <cell r="G4005" t="str">
            <v>Front Bottom Rail  - Đố đáy trước</v>
          </cell>
          <cell r="H4005" t="str">
            <v>Wood Acacia - Straight/Waving Edged - T25mm x W100mm Up x L1m Up</v>
          </cell>
          <cell r="I4005">
            <v>10</v>
          </cell>
        </row>
        <row r="4006">
          <cell r="A4006" t="str">
            <v>B558372/A</v>
          </cell>
          <cell r="B4006" t="str">
            <v>RH899AM02</v>
          </cell>
          <cell r="C4006">
            <v>5</v>
          </cell>
          <cell r="D4006">
            <v>874.7</v>
          </cell>
          <cell r="E4006">
            <v>4373.5</v>
          </cell>
          <cell r="F4006" t="str">
            <v>A5-S08</v>
          </cell>
          <cell r="G4006" t="str">
            <v>Side moulding - Chỉ hông</v>
          </cell>
          <cell r="H4006" t="str">
            <v>Wood Acacia - Straight/Waving Edged - T25mm x W100mm Up x L1m Up</v>
          </cell>
          <cell r="I4006">
            <v>80</v>
          </cell>
        </row>
        <row r="4007">
          <cell r="A4007" t="str">
            <v>B558372/A</v>
          </cell>
          <cell r="B4007" t="str">
            <v>RH899AM02</v>
          </cell>
          <cell r="C4007">
            <v>5</v>
          </cell>
          <cell r="D4007">
            <v>874.7</v>
          </cell>
          <cell r="E4007">
            <v>4373.5</v>
          </cell>
          <cell r="F4007" t="str">
            <v>A5-S10</v>
          </cell>
          <cell r="G4007" t="str">
            <v>Patching wood - Gỗ đắp</v>
          </cell>
          <cell r="H4007" t="str">
            <v>TRAM OFF CUT</v>
          </cell>
          <cell r="I4007">
            <v>20</v>
          </cell>
        </row>
        <row r="4008">
          <cell r="A4008" t="str">
            <v>B558372/A</v>
          </cell>
          <cell r="B4008" t="str">
            <v>RH899AM02</v>
          </cell>
          <cell r="C4008">
            <v>5</v>
          </cell>
          <cell r="D4008">
            <v>874.7</v>
          </cell>
          <cell r="E4008">
            <v>4373.5</v>
          </cell>
          <cell r="F4008" t="str">
            <v>P1</v>
          </cell>
          <cell r="G4008" t="str">
            <v>Cleat - Bọ gỗ</v>
          </cell>
          <cell r="H4008" t="str">
            <v>TRAM OFF CUT</v>
          </cell>
          <cell r="I4008">
            <v>40</v>
          </cell>
        </row>
        <row r="4009">
          <cell r="A4009" t="str">
            <v>B558375/A</v>
          </cell>
          <cell r="B4009" t="str">
            <v>RH899AM03</v>
          </cell>
          <cell r="C4009">
            <v>10</v>
          </cell>
          <cell r="D4009">
            <v>874.7</v>
          </cell>
          <cell r="E4009">
            <v>8747</v>
          </cell>
          <cell r="F4009" t="str">
            <v>A1A</v>
          </cell>
          <cell r="G4009" t="str">
            <v>Top Frame - Khung nóc</v>
          </cell>
          <cell r="H4009" t="str">
            <v>Pre-Assembly</v>
          </cell>
          <cell r="I4009">
            <v>20</v>
          </cell>
        </row>
        <row r="4010">
          <cell r="A4010" t="str">
            <v>B558375/A</v>
          </cell>
          <cell r="B4010" t="str">
            <v>RH899AM03</v>
          </cell>
          <cell r="C4010">
            <v>10</v>
          </cell>
          <cell r="D4010">
            <v>874.7</v>
          </cell>
          <cell r="E4010">
            <v>8747</v>
          </cell>
          <cell r="F4010" t="str">
            <v>A1A-1</v>
          </cell>
          <cell r="G4010" t="str">
            <v xml:space="preserve">Top panel  - Ván nóc </v>
          </cell>
          <cell r="H4010" t="str">
            <v>Pre-Assembly</v>
          </cell>
          <cell r="I4010">
            <v>20</v>
          </cell>
        </row>
        <row r="4011">
          <cell r="A4011" t="str">
            <v>B558375/A</v>
          </cell>
          <cell r="B4011" t="str">
            <v>RH899AM03</v>
          </cell>
          <cell r="C4011">
            <v>10</v>
          </cell>
          <cell r="D4011">
            <v>874.7</v>
          </cell>
          <cell r="E4011">
            <v>8747</v>
          </cell>
          <cell r="F4011" t="str">
            <v>A1-S00</v>
          </cell>
          <cell r="G4011" t="str">
            <v>VN - Veneer</v>
          </cell>
          <cell r="H4011" t="str">
            <v>Veneer laminate</v>
          </cell>
          <cell r="I4011">
            <v>10</v>
          </cell>
        </row>
        <row r="4012">
          <cell r="A4012" t="str">
            <v>B558375/A</v>
          </cell>
          <cell r="B4012" t="str">
            <v>RH899AM03</v>
          </cell>
          <cell r="C4012">
            <v>10</v>
          </cell>
          <cell r="D4012">
            <v>874.7</v>
          </cell>
          <cell r="E4012">
            <v>8747</v>
          </cell>
          <cell r="F4012" t="str">
            <v>A1-S01</v>
          </cell>
          <cell r="G4012" t="str">
            <v xml:space="preserve">Top panel  - Ván nóc </v>
          </cell>
          <cell r="H4012" t="str">
            <v>MDF Veneer</v>
          </cell>
          <cell r="I4012">
            <v>20</v>
          </cell>
        </row>
        <row r="4013">
          <cell r="A4013" t="str">
            <v>B558375/A</v>
          </cell>
          <cell r="B4013" t="str">
            <v>RH899AM03</v>
          </cell>
          <cell r="C4013">
            <v>10</v>
          </cell>
          <cell r="D4013">
            <v>874.7</v>
          </cell>
          <cell r="E4013">
            <v>8747</v>
          </cell>
          <cell r="F4013" t="str">
            <v>A1-S02</v>
          </cell>
          <cell r="G4013" t="str">
            <v>Top moulding  - Chỉ nóc</v>
          </cell>
          <cell r="H4013" t="str">
            <v>Wood US Poplar - Straight Edged, 2 COM - T50mm x W100mm Up x L1.8m Up</v>
          </cell>
          <cell r="I4013">
            <v>20</v>
          </cell>
        </row>
        <row r="4014">
          <cell r="A4014" t="str">
            <v>B558375/A</v>
          </cell>
          <cell r="B4014" t="str">
            <v>RH899AM03</v>
          </cell>
          <cell r="C4014">
            <v>10</v>
          </cell>
          <cell r="D4014">
            <v>874.7</v>
          </cell>
          <cell r="E4014">
            <v>8747</v>
          </cell>
          <cell r="F4014" t="str">
            <v>A1-S03</v>
          </cell>
          <cell r="G4014" t="str">
            <v>Top moulding  - Chỉ nóc</v>
          </cell>
          <cell r="H4014" t="str">
            <v>Wood US Poplar - Straight Edged, 2 COM - T50mm x W100mm Up x L1.8m Up</v>
          </cell>
          <cell r="I4014">
            <v>40</v>
          </cell>
        </row>
        <row r="4015">
          <cell r="A4015" t="str">
            <v>B558375/A</v>
          </cell>
          <cell r="B4015" t="str">
            <v>RH899AM03</v>
          </cell>
          <cell r="C4015">
            <v>10</v>
          </cell>
          <cell r="D4015">
            <v>874.7</v>
          </cell>
          <cell r="E4015">
            <v>8747</v>
          </cell>
          <cell r="F4015" t="str">
            <v>A1-S06</v>
          </cell>
          <cell r="G4015" t="str">
            <v>Front top rail  - Đố tiền nóc</v>
          </cell>
          <cell r="H4015" t="str">
            <v>Wood Acacia - Straight/Waving Edged - T30mm x W100mm Up x L1.5m Up</v>
          </cell>
          <cell r="I4015">
            <v>40</v>
          </cell>
        </row>
        <row r="4016">
          <cell r="A4016" t="str">
            <v>B558375/A</v>
          </cell>
          <cell r="B4016" t="str">
            <v>RH899AM03</v>
          </cell>
          <cell r="C4016">
            <v>10</v>
          </cell>
          <cell r="D4016">
            <v>874.7</v>
          </cell>
          <cell r="E4016">
            <v>8747</v>
          </cell>
          <cell r="F4016" t="str">
            <v>A1-S07</v>
          </cell>
          <cell r="G4016" t="str">
            <v>Front top rail  - Đố tiền nóc</v>
          </cell>
          <cell r="H4016" t="str">
            <v>Wood Acacia - Straight/Waving Edged - T30mm x W100mm Up x L1m Up</v>
          </cell>
          <cell r="I4016">
            <v>20</v>
          </cell>
        </row>
        <row r="4017">
          <cell r="A4017" t="str">
            <v>B558375/A</v>
          </cell>
          <cell r="B4017" t="str">
            <v>RH899AM03</v>
          </cell>
          <cell r="C4017">
            <v>10</v>
          </cell>
          <cell r="D4017">
            <v>874.7</v>
          </cell>
          <cell r="E4017">
            <v>8747</v>
          </cell>
          <cell r="F4017" t="str">
            <v>A1-S08</v>
          </cell>
          <cell r="G4017" t="str">
            <v>Center rail - Đố giữa</v>
          </cell>
          <cell r="H4017" t="str">
            <v>Wood US Poplar - Straight Edged, 2 COM - T25mm x W100mm Up x L1.8m Up</v>
          </cell>
          <cell r="I4017">
            <v>60</v>
          </cell>
        </row>
        <row r="4018">
          <cell r="A4018" t="str">
            <v>B558375/A</v>
          </cell>
          <cell r="B4018" t="str">
            <v>RH899AM03</v>
          </cell>
          <cell r="C4018">
            <v>10</v>
          </cell>
          <cell r="D4018">
            <v>874.7</v>
          </cell>
          <cell r="E4018">
            <v>8747</v>
          </cell>
          <cell r="F4018" t="str">
            <v>A1-S09</v>
          </cell>
          <cell r="G4018" t="str">
            <v>Top moulding  - Chỉ nóc</v>
          </cell>
          <cell r="H4018" t="str">
            <v>Moulding Poplar wood (400-800mm - 40%)and (800mm up - 60%)</v>
          </cell>
          <cell r="I4018">
            <v>20</v>
          </cell>
        </row>
        <row r="4019">
          <cell r="A4019" t="str">
            <v>B558375/A</v>
          </cell>
          <cell r="B4019" t="str">
            <v>RH899AM03</v>
          </cell>
          <cell r="C4019">
            <v>10</v>
          </cell>
          <cell r="D4019">
            <v>874.7</v>
          </cell>
          <cell r="E4019">
            <v>8747</v>
          </cell>
          <cell r="F4019" t="str">
            <v>A1-S10</v>
          </cell>
          <cell r="G4019" t="str">
            <v>Top moulding  - Chỉ nóc</v>
          </cell>
          <cell r="H4019" t="str">
            <v>Moulding Poplar wood (400-800mm - 40%)and (800mm up - 60%)</v>
          </cell>
          <cell r="I4019">
            <v>40</v>
          </cell>
        </row>
        <row r="4020">
          <cell r="A4020" t="str">
            <v>B558375/A</v>
          </cell>
          <cell r="B4020" t="str">
            <v>RH899AM03</v>
          </cell>
          <cell r="C4020">
            <v>10</v>
          </cell>
          <cell r="D4020">
            <v>874.7</v>
          </cell>
          <cell r="E4020">
            <v>8747</v>
          </cell>
          <cell r="F4020" t="str">
            <v>A2A</v>
          </cell>
          <cell r="G4020" t="str">
            <v>Top Frame - Khung nóc</v>
          </cell>
          <cell r="H4020" t="str">
            <v>Pre-Assembly</v>
          </cell>
          <cell r="I4020">
            <v>20</v>
          </cell>
        </row>
        <row r="4021">
          <cell r="A4021" t="str">
            <v>B558375/A</v>
          </cell>
          <cell r="B4021" t="str">
            <v>RH899AM03</v>
          </cell>
          <cell r="C4021">
            <v>10</v>
          </cell>
          <cell r="D4021">
            <v>874.7</v>
          </cell>
          <cell r="E4021">
            <v>8747</v>
          </cell>
          <cell r="F4021" t="str">
            <v>A2A-1</v>
          </cell>
          <cell r="G4021" t="str">
            <v xml:space="preserve">Top panel  - Ván nóc </v>
          </cell>
          <cell r="H4021" t="str">
            <v>Pre-Assembly</v>
          </cell>
          <cell r="I4021">
            <v>20</v>
          </cell>
        </row>
        <row r="4022">
          <cell r="A4022" t="str">
            <v>B558375/A</v>
          </cell>
          <cell r="B4022" t="str">
            <v>RH899AM03</v>
          </cell>
          <cell r="C4022">
            <v>10</v>
          </cell>
          <cell r="D4022">
            <v>874.7</v>
          </cell>
          <cell r="E4022">
            <v>8747</v>
          </cell>
          <cell r="F4022" t="str">
            <v>A2-S1</v>
          </cell>
          <cell r="G4022" t="str">
            <v xml:space="preserve">Top panel  - Ván nóc </v>
          </cell>
          <cell r="H4022" t="str">
            <v>MDF Veneer</v>
          </cell>
          <cell r="I4022">
            <v>20</v>
          </cell>
        </row>
        <row r="4023">
          <cell r="A4023" t="str">
            <v>B558375/A</v>
          </cell>
          <cell r="B4023" t="str">
            <v>RH899AM03</v>
          </cell>
          <cell r="C4023">
            <v>10</v>
          </cell>
          <cell r="D4023">
            <v>874.7</v>
          </cell>
          <cell r="E4023">
            <v>8747</v>
          </cell>
          <cell r="F4023" t="str">
            <v>A2-S2</v>
          </cell>
          <cell r="G4023" t="str">
            <v>Front top rail  - Đố tiền nóc</v>
          </cell>
          <cell r="H4023" t="str">
            <v>Wood Acacia - Straight/Waving Edged - T30mm x W100mm Up x L1m Up</v>
          </cell>
          <cell r="I4023">
            <v>40</v>
          </cell>
        </row>
        <row r="4024">
          <cell r="A4024" t="str">
            <v>B558375/A</v>
          </cell>
          <cell r="B4024" t="str">
            <v>RH899AM03</v>
          </cell>
          <cell r="C4024">
            <v>10</v>
          </cell>
          <cell r="D4024">
            <v>874.7</v>
          </cell>
          <cell r="E4024">
            <v>8747</v>
          </cell>
          <cell r="F4024" t="str">
            <v>A2-S3</v>
          </cell>
          <cell r="G4024" t="str">
            <v>Top moulding  - Chỉ nóc</v>
          </cell>
          <cell r="H4024" t="str">
            <v>Wood US Poplar - Straight Edged, 2 COM - T50mm x W100mm Up x L1.8m Up</v>
          </cell>
          <cell r="I4024">
            <v>40</v>
          </cell>
        </row>
        <row r="4025">
          <cell r="A4025" t="str">
            <v>B558375/A</v>
          </cell>
          <cell r="B4025" t="str">
            <v>RH899AM03</v>
          </cell>
          <cell r="C4025">
            <v>10</v>
          </cell>
          <cell r="D4025">
            <v>874.7</v>
          </cell>
          <cell r="E4025">
            <v>8747</v>
          </cell>
          <cell r="F4025" t="str">
            <v>A2-S5</v>
          </cell>
          <cell r="G4025" t="str">
            <v>Top moulding  - Chỉ nóc</v>
          </cell>
          <cell r="H4025" t="str">
            <v>Moulding Poplar wood (400-800mm - 40%)and (800mm up - 60%)</v>
          </cell>
          <cell r="I4025">
            <v>40</v>
          </cell>
        </row>
        <row r="4026">
          <cell r="A4026" t="str">
            <v>B558375/A</v>
          </cell>
          <cell r="B4026" t="str">
            <v>RH899AM03</v>
          </cell>
          <cell r="C4026">
            <v>10</v>
          </cell>
          <cell r="D4026">
            <v>874.7</v>
          </cell>
          <cell r="E4026">
            <v>8747</v>
          </cell>
          <cell r="F4026" t="str">
            <v>A2-S7</v>
          </cell>
          <cell r="G4026" t="str">
            <v>Patching wood - Gỗ đắp</v>
          </cell>
          <cell r="H4026" t="str">
            <v>Wood Acacia - Straight/Waving Edged - T35mm x W100mm Up x L1m Up</v>
          </cell>
          <cell r="I4026">
            <v>40</v>
          </cell>
        </row>
        <row r="4027">
          <cell r="A4027" t="str">
            <v>B558375/A</v>
          </cell>
          <cell r="B4027" t="str">
            <v>RH899AM03</v>
          </cell>
          <cell r="C4027">
            <v>10</v>
          </cell>
          <cell r="D4027">
            <v>874.7</v>
          </cell>
          <cell r="E4027">
            <v>8747</v>
          </cell>
          <cell r="F4027" t="str">
            <v>A3-S1</v>
          </cell>
          <cell r="G4027" t="str">
            <v>Front Top rail 1 - Đố nóc trước 1</v>
          </cell>
          <cell r="H4027" t="str">
            <v>Wood US Poplar - Straight Edged, 2 COM - T32mm x W100mm Up x L1.8m Up</v>
          </cell>
          <cell r="I4027">
            <v>20</v>
          </cell>
        </row>
        <row r="4028">
          <cell r="A4028" t="str">
            <v>B558375/A</v>
          </cell>
          <cell r="B4028" t="str">
            <v>RH899AM03</v>
          </cell>
          <cell r="C4028">
            <v>10</v>
          </cell>
          <cell r="D4028">
            <v>874.7</v>
          </cell>
          <cell r="E4028">
            <v>8747</v>
          </cell>
          <cell r="F4028" t="str">
            <v>A3-S2</v>
          </cell>
          <cell r="G4028" t="str">
            <v xml:space="preserve">Side rail  - Đố hông </v>
          </cell>
          <cell r="H4028" t="str">
            <v>Wood Acacia - Straight/Waving Edged - T30mm x W100mm Up x L1m Up</v>
          </cell>
          <cell r="I4028">
            <v>20</v>
          </cell>
        </row>
        <row r="4029">
          <cell r="A4029" t="str">
            <v>B558375/A</v>
          </cell>
          <cell r="B4029" t="str">
            <v>RH899AM03</v>
          </cell>
          <cell r="C4029">
            <v>10</v>
          </cell>
          <cell r="D4029">
            <v>874.7</v>
          </cell>
          <cell r="E4029">
            <v>8747</v>
          </cell>
          <cell r="F4029" t="str">
            <v>A3-S4</v>
          </cell>
          <cell r="G4029" t="str">
            <v>Center rail - Đố giữa</v>
          </cell>
          <cell r="H4029" t="str">
            <v>Wood Acacia - Straight/Waving Edged - T30mm x W100mm Up x L1m Up</v>
          </cell>
          <cell r="I4029">
            <v>20</v>
          </cell>
        </row>
        <row r="4030">
          <cell r="A4030" t="str">
            <v>B558375/A</v>
          </cell>
          <cell r="B4030" t="str">
            <v>RH899AM03</v>
          </cell>
          <cell r="C4030">
            <v>10</v>
          </cell>
          <cell r="D4030">
            <v>874.7</v>
          </cell>
          <cell r="E4030">
            <v>8747</v>
          </cell>
          <cell r="F4030" t="str">
            <v>A3-S5</v>
          </cell>
          <cell r="G4030" t="str">
            <v xml:space="preserve">Side rail  - Đố hông </v>
          </cell>
          <cell r="H4030" t="str">
            <v>Wood Acacia - Straight/Waving Edged - T30mm x W100mm Up x L1m Up</v>
          </cell>
          <cell r="I4030">
            <v>20</v>
          </cell>
        </row>
        <row r="4031">
          <cell r="A4031" t="str">
            <v>B558375/A</v>
          </cell>
          <cell r="B4031" t="str">
            <v>RH899AM03</v>
          </cell>
          <cell r="C4031">
            <v>10</v>
          </cell>
          <cell r="D4031">
            <v>874.7</v>
          </cell>
          <cell r="E4031">
            <v>8747</v>
          </cell>
          <cell r="F4031" t="str">
            <v>A4-1</v>
          </cell>
          <cell r="G4031" t="str">
            <v>Bottom rail inside - Đố tiền đáy</v>
          </cell>
          <cell r="H4031" t="str">
            <v>Wood laminate</v>
          </cell>
          <cell r="I4031">
            <v>10</v>
          </cell>
        </row>
        <row r="4032">
          <cell r="A4032" t="str">
            <v>B558375/A</v>
          </cell>
          <cell r="B4032" t="str">
            <v>RH899AM03</v>
          </cell>
          <cell r="C4032">
            <v>10</v>
          </cell>
          <cell r="D4032">
            <v>874.7</v>
          </cell>
          <cell r="E4032">
            <v>8747</v>
          </cell>
          <cell r="F4032" t="str">
            <v>A4-S5</v>
          </cell>
          <cell r="G4032" t="str">
            <v>Corner moulding - Chỉ góc</v>
          </cell>
          <cell r="H4032" t="str">
            <v>TRAM OFF CUT</v>
          </cell>
          <cell r="I4032">
            <v>80</v>
          </cell>
        </row>
        <row r="4033">
          <cell r="A4033" t="str">
            <v>B558375/A</v>
          </cell>
          <cell r="B4033" t="str">
            <v>RH899AM03</v>
          </cell>
          <cell r="C4033">
            <v>10</v>
          </cell>
          <cell r="D4033">
            <v>874.7</v>
          </cell>
          <cell r="E4033">
            <v>8747</v>
          </cell>
          <cell r="F4033" t="str">
            <v>A4-S6</v>
          </cell>
          <cell r="G4033" t="str">
            <v>Corner moulding - Chỉ góc</v>
          </cell>
          <cell r="H4033" t="str">
            <v>TRAM OFF CUT</v>
          </cell>
          <cell r="I4033">
            <v>60</v>
          </cell>
        </row>
        <row r="4034">
          <cell r="A4034" t="str">
            <v>B558375/A</v>
          </cell>
          <cell r="B4034" t="str">
            <v>RH899AM03</v>
          </cell>
          <cell r="C4034">
            <v>10</v>
          </cell>
          <cell r="D4034">
            <v>874.7</v>
          </cell>
          <cell r="E4034">
            <v>8747</v>
          </cell>
          <cell r="F4034" t="str">
            <v>A5-S01</v>
          </cell>
          <cell r="G4034" t="str">
            <v>The leg  - Chân</v>
          </cell>
          <cell r="H4034" t="str">
            <v>Pre-Assembly</v>
          </cell>
          <cell r="I4034">
            <v>40</v>
          </cell>
        </row>
        <row r="4035">
          <cell r="A4035" t="str">
            <v>B558375/A</v>
          </cell>
          <cell r="B4035" t="str">
            <v>RH899AM03</v>
          </cell>
          <cell r="C4035">
            <v>10</v>
          </cell>
          <cell r="D4035">
            <v>874.7</v>
          </cell>
          <cell r="E4035">
            <v>8747</v>
          </cell>
          <cell r="F4035" t="str">
            <v>A5-S01-1</v>
          </cell>
          <cell r="G4035" t="str">
            <v>The leg  - Chân</v>
          </cell>
          <cell r="H4035" t="str">
            <v>Wood - Acacia</v>
          </cell>
          <cell r="I4035">
            <v>40</v>
          </cell>
        </row>
        <row r="4036">
          <cell r="A4036" t="str">
            <v>B558375/A</v>
          </cell>
          <cell r="B4036" t="str">
            <v>RH899AM03</v>
          </cell>
          <cell r="C4036">
            <v>10</v>
          </cell>
          <cell r="D4036">
            <v>874.7</v>
          </cell>
          <cell r="E4036">
            <v>8747</v>
          </cell>
          <cell r="F4036" t="str">
            <v>A5-S01-2</v>
          </cell>
          <cell r="G4036" t="str">
            <v>The leg  - Chân</v>
          </cell>
          <cell r="H4036" t="str">
            <v>TRAM OFF CUT</v>
          </cell>
          <cell r="I4036">
            <v>40</v>
          </cell>
        </row>
        <row r="4037">
          <cell r="A4037" t="str">
            <v>B558375/A</v>
          </cell>
          <cell r="B4037" t="str">
            <v>RH899AM03</v>
          </cell>
          <cell r="C4037">
            <v>10</v>
          </cell>
          <cell r="D4037">
            <v>874.7</v>
          </cell>
          <cell r="E4037">
            <v>8747</v>
          </cell>
          <cell r="F4037" t="str">
            <v>A5-S01-3</v>
          </cell>
          <cell r="G4037" t="str">
            <v>Tenon - Mộng cấy</v>
          </cell>
          <cell r="H4037" t="str">
            <v>TRAM OFF CUT</v>
          </cell>
          <cell r="I4037">
            <v>80</v>
          </cell>
        </row>
        <row r="4038">
          <cell r="A4038" t="str">
            <v>B558375/A</v>
          </cell>
          <cell r="B4038" t="str">
            <v>RH899AM03</v>
          </cell>
          <cell r="C4038">
            <v>10</v>
          </cell>
          <cell r="D4038">
            <v>874.7</v>
          </cell>
          <cell r="E4038">
            <v>8747</v>
          </cell>
          <cell r="F4038" t="str">
            <v>A5-S02</v>
          </cell>
          <cell r="G4038" t="str">
            <v>Side top rail - Đố hông trên</v>
          </cell>
          <cell r="H4038" t="str">
            <v>Wood Acacia - Straight/Waving Edged - T30mm x W100mm Up x L1m Up</v>
          </cell>
          <cell r="I4038">
            <v>20</v>
          </cell>
        </row>
        <row r="4039">
          <cell r="A4039" t="str">
            <v>B558375/A</v>
          </cell>
          <cell r="B4039" t="str">
            <v>RH899AM03</v>
          </cell>
          <cell r="C4039">
            <v>10</v>
          </cell>
          <cell r="D4039">
            <v>874.7</v>
          </cell>
          <cell r="E4039">
            <v>8747</v>
          </cell>
          <cell r="F4039" t="str">
            <v>A5-S03</v>
          </cell>
          <cell r="G4039" t="str">
            <v>Side moulding - Chỉ hông</v>
          </cell>
          <cell r="H4039" t="str">
            <v>Wood - Acacia</v>
          </cell>
          <cell r="I4039">
            <v>40</v>
          </cell>
        </row>
        <row r="4040">
          <cell r="A4040" t="str">
            <v>B558375/A</v>
          </cell>
          <cell r="B4040" t="str">
            <v>RH899AM03</v>
          </cell>
          <cell r="C4040">
            <v>10</v>
          </cell>
          <cell r="D4040">
            <v>874.7</v>
          </cell>
          <cell r="E4040">
            <v>8747</v>
          </cell>
          <cell r="F4040" t="str">
            <v>A5-S04</v>
          </cell>
          <cell r="G4040" t="str">
            <v>Front moulding  - Chỉ tiền</v>
          </cell>
          <cell r="H4040" t="str">
            <v>Wood - Acacia</v>
          </cell>
          <cell r="I4040">
            <v>20</v>
          </cell>
        </row>
        <row r="4041">
          <cell r="A4041" t="str">
            <v>B558375/A</v>
          </cell>
          <cell r="B4041" t="str">
            <v>RH899AM03</v>
          </cell>
          <cell r="C4041">
            <v>10</v>
          </cell>
          <cell r="D4041">
            <v>874.7</v>
          </cell>
          <cell r="E4041">
            <v>8747</v>
          </cell>
          <cell r="F4041" t="str">
            <v>A5-S05</v>
          </cell>
          <cell r="G4041" t="str">
            <v>Back moulding - Chỉ hậu</v>
          </cell>
          <cell r="H4041" t="str">
            <v>Wood - Acacia</v>
          </cell>
          <cell r="I4041">
            <v>40</v>
          </cell>
        </row>
        <row r="4042">
          <cell r="A4042" t="str">
            <v>B558375/A</v>
          </cell>
          <cell r="B4042" t="str">
            <v>RH899AM03</v>
          </cell>
          <cell r="C4042">
            <v>10</v>
          </cell>
          <cell r="D4042">
            <v>874.7</v>
          </cell>
          <cell r="E4042">
            <v>8747</v>
          </cell>
          <cell r="F4042" t="str">
            <v>A5-S06</v>
          </cell>
          <cell r="G4042" t="str">
            <v>Bottom panel - Ván đáy</v>
          </cell>
          <cell r="H4042" t="str">
            <v>Wood Acacia - Straight/Waving Edged - T25mm x W100mm Up x L1m Up</v>
          </cell>
          <cell r="I4042">
            <v>20</v>
          </cell>
        </row>
        <row r="4043">
          <cell r="A4043" t="str">
            <v>B558375/A</v>
          </cell>
          <cell r="B4043" t="str">
            <v>RH899AM03</v>
          </cell>
          <cell r="C4043">
            <v>10</v>
          </cell>
          <cell r="D4043">
            <v>874.7</v>
          </cell>
          <cell r="E4043">
            <v>8747</v>
          </cell>
          <cell r="F4043" t="str">
            <v>A5-S07</v>
          </cell>
          <cell r="G4043" t="str">
            <v>Front Bottom Rail  - Đố đáy trước</v>
          </cell>
          <cell r="H4043" t="str">
            <v>Wood Acacia - Straight/Waving Edged - T25mm x W100mm Up x L1m Up</v>
          </cell>
          <cell r="I4043">
            <v>20</v>
          </cell>
        </row>
        <row r="4044">
          <cell r="A4044" t="str">
            <v>B558375/A</v>
          </cell>
          <cell r="B4044" t="str">
            <v>RH899AM03</v>
          </cell>
          <cell r="C4044">
            <v>10</v>
          </cell>
          <cell r="D4044">
            <v>874.7</v>
          </cell>
          <cell r="E4044">
            <v>8747</v>
          </cell>
          <cell r="F4044" t="str">
            <v>A5-S08</v>
          </cell>
          <cell r="G4044" t="str">
            <v>Side moulding - Chỉ hông</v>
          </cell>
          <cell r="H4044" t="str">
            <v>Wood Acacia - Straight/Waving Edged - T25mm x W100mm Up x L1m Up</v>
          </cell>
          <cell r="I4044">
            <v>160</v>
          </cell>
        </row>
        <row r="4045">
          <cell r="A4045" t="str">
            <v>B558375/A</v>
          </cell>
          <cell r="B4045" t="str">
            <v>RH899AM03</v>
          </cell>
          <cell r="C4045">
            <v>10</v>
          </cell>
          <cell r="D4045">
            <v>874.7</v>
          </cell>
          <cell r="E4045">
            <v>8747</v>
          </cell>
          <cell r="F4045" t="str">
            <v>A5-S10</v>
          </cell>
          <cell r="G4045" t="str">
            <v>Patching wood - Gỗ đắp</v>
          </cell>
          <cell r="H4045" t="str">
            <v>TRAM OFF CUT</v>
          </cell>
          <cell r="I4045">
            <v>40</v>
          </cell>
        </row>
        <row r="4046">
          <cell r="A4046" t="str">
            <v>B558375/A</v>
          </cell>
          <cell r="B4046" t="str">
            <v>RH899AM03</v>
          </cell>
          <cell r="C4046">
            <v>10</v>
          </cell>
          <cell r="D4046">
            <v>874.7</v>
          </cell>
          <cell r="E4046">
            <v>8747</v>
          </cell>
          <cell r="F4046" t="str">
            <v>P1</v>
          </cell>
          <cell r="G4046" t="str">
            <v>Cleat - Bọ gỗ</v>
          </cell>
          <cell r="H4046" t="str">
            <v>TRAM OFF CUT</v>
          </cell>
          <cell r="I4046">
            <v>80</v>
          </cell>
        </row>
        <row r="4047">
          <cell r="A4047" t="str">
            <v>B558376/A</v>
          </cell>
          <cell r="B4047" t="str">
            <v>RH899AM03</v>
          </cell>
          <cell r="C4047">
            <v>4</v>
          </cell>
          <cell r="D4047">
            <v>874.7</v>
          </cell>
          <cell r="E4047">
            <v>3498.8</v>
          </cell>
          <cell r="F4047" t="str">
            <v>A1A</v>
          </cell>
          <cell r="G4047" t="str">
            <v>Top Frame - Khung nóc</v>
          </cell>
          <cell r="H4047" t="str">
            <v>Pre-Assembly</v>
          </cell>
          <cell r="I4047">
            <v>8</v>
          </cell>
        </row>
        <row r="4048">
          <cell r="A4048" t="str">
            <v>B558376/A</v>
          </cell>
          <cell r="B4048" t="str">
            <v>RH899AM03</v>
          </cell>
          <cell r="C4048">
            <v>4</v>
          </cell>
          <cell r="D4048">
            <v>874.7</v>
          </cell>
          <cell r="E4048">
            <v>3498.8</v>
          </cell>
          <cell r="F4048" t="str">
            <v>A1A-1</v>
          </cell>
          <cell r="G4048" t="str">
            <v xml:space="preserve">Top panel  - Ván nóc </v>
          </cell>
          <cell r="H4048" t="str">
            <v>Pre-Assembly</v>
          </cell>
          <cell r="I4048">
            <v>8</v>
          </cell>
        </row>
        <row r="4049">
          <cell r="A4049" t="str">
            <v>B558376/A</v>
          </cell>
          <cell r="B4049" t="str">
            <v>RH899AM03</v>
          </cell>
          <cell r="C4049">
            <v>4</v>
          </cell>
          <cell r="D4049">
            <v>874.7</v>
          </cell>
          <cell r="E4049">
            <v>3498.8</v>
          </cell>
          <cell r="F4049" t="str">
            <v>A1-S00</v>
          </cell>
          <cell r="G4049" t="str">
            <v>VN - Veneer</v>
          </cell>
          <cell r="H4049" t="str">
            <v>Veneer laminate</v>
          </cell>
          <cell r="I4049">
            <v>4</v>
          </cell>
        </row>
        <row r="4050">
          <cell r="A4050" t="str">
            <v>B558376/A</v>
          </cell>
          <cell r="B4050" t="str">
            <v>RH899AM03</v>
          </cell>
          <cell r="C4050">
            <v>4</v>
          </cell>
          <cell r="D4050">
            <v>874.7</v>
          </cell>
          <cell r="E4050">
            <v>3498.8</v>
          </cell>
          <cell r="F4050" t="str">
            <v>A1-S01</v>
          </cell>
          <cell r="G4050" t="str">
            <v xml:space="preserve">Top panel  - Ván nóc </v>
          </cell>
          <cell r="H4050" t="str">
            <v>MDF Veneer</v>
          </cell>
          <cell r="I4050">
            <v>8</v>
          </cell>
        </row>
        <row r="4051">
          <cell r="A4051" t="str">
            <v>B558376/A</v>
          </cell>
          <cell r="B4051" t="str">
            <v>RH899AM03</v>
          </cell>
          <cell r="C4051">
            <v>4</v>
          </cell>
          <cell r="D4051">
            <v>874.7</v>
          </cell>
          <cell r="E4051">
            <v>3498.8</v>
          </cell>
          <cell r="F4051" t="str">
            <v>A1-S02</v>
          </cell>
          <cell r="G4051" t="str">
            <v>Top moulding  - Chỉ nóc</v>
          </cell>
          <cell r="H4051" t="str">
            <v>Wood US Poplar - Straight Edged, 2 COM - T50mm x W100mm Up x L1.8m Up</v>
          </cell>
          <cell r="I4051">
            <v>8</v>
          </cell>
        </row>
        <row r="4052">
          <cell r="A4052" t="str">
            <v>B558376/A</v>
          </cell>
          <cell r="B4052" t="str">
            <v>RH899AM03</v>
          </cell>
          <cell r="C4052">
            <v>4</v>
          </cell>
          <cell r="D4052">
            <v>874.7</v>
          </cell>
          <cell r="E4052">
            <v>3498.8</v>
          </cell>
          <cell r="F4052" t="str">
            <v>A1-S03</v>
          </cell>
          <cell r="G4052" t="str">
            <v>Top moulding  - Chỉ nóc</v>
          </cell>
          <cell r="H4052" t="str">
            <v>Wood US Poplar - Straight Edged, 2 COM - T50mm x W100mm Up x L1.8m Up</v>
          </cell>
          <cell r="I4052">
            <v>16</v>
          </cell>
        </row>
        <row r="4053">
          <cell r="A4053" t="str">
            <v>B558376/A</v>
          </cell>
          <cell r="B4053" t="str">
            <v>RH899AM03</v>
          </cell>
          <cell r="C4053">
            <v>4</v>
          </cell>
          <cell r="D4053">
            <v>874.7</v>
          </cell>
          <cell r="E4053">
            <v>3498.8</v>
          </cell>
          <cell r="F4053" t="str">
            <v>A1-S06</v>
          </cell>
          <cell r="G4053" t="str">
            <v>Front top rail  - Đố tiền nóc</v>
          </cell>
          <cell r="H4053" t="str">
            <v>Wood Acacia - Straight/Waving Edged - T30mm x W100mm Up x L1.5m Up</v>
          </cell>
          <cell r="I4053">
            <v>16</v>
          </cell>
        </row>
        <row r="4054">
          <cell r="A4054" t="str">
            <v>B558376/A</v>
          </cell>
          <cell r="B4054" t="str">
            <v>RH899AM03</v>
          </cell>
          <cell r="C4054">
            <v>4</v>
          </cell>
          <cell r="D4054">
            <v>874.7</v>
          </cell>
          <cell r="E4054">
            <v>3498.8</v>
          </cell>
          <cell r="F4054" t="str">
            <v>A1-S07</v>
          </cell>
          <cell r="G4054" t="str">
            <v>Front top rail  - Đố tiền nóc</v>
          </cell>
          <cell r="H4054" t="str">
            <v>Wood Acacia - Straight/Waving Edged - T30mm x W100mm Up x L1m Up</v>
          </cell>
          <cell r="I4054">
            <v>8</v>
          </cell>
        </row>
        <row r="4055">
          <cell r="A4055" t="str">
            <v>B558376/A</v>
          </cell>
          <cell r="B4055" t="str">
            <v>RH899AM03</v>
          </cell>
          <cell r="C4055">
            <v>4</v>
          </cell>
          <cell r="D4055">
            <v>874.7</v>
          </cell>
          <cell r="E4055">
            <v>3498.8</v>
          </cell>
          <cell r="F4055" t="str">
            <v>A1-S08</v>
          </cell>
          <cell r="G4055" t="str">
            <v>Center rail - Đố giữa</v>
          </cell>
          <cell r="H4055" t="str">
            <v>Wood US Poplar - Straight Edged, 2 COM - T25mm x W100mm Up x L1.8m Up</v>
          </cell>
          <cell r="I4055">
            <v>24</v>
          </cell>
        </row>
        <row r="4056">
          <cell r="A4056" t="str">
            <v>B558376/A</v>
          </cell>
          <cell r="B4056" t="str">
            <v>RH899AM03</v>
          </cell>
          <cell r="C4056">
            <v>4</v>
          </cell>
          <cell r="D4056">
            <v>874.7</v>
          </cell>
          <cell r="E4056">
            <v>3498.8</v>
          </cell>
          <cell r="F4056" t="str">
            <v>A1-S09</v>
          </cell>
          <cell r="G4056" t="str">
            <v>Top moulding  - Chỉ nóc</v>
          </cell>
          <cell r="H4056" t="str">
            <v>Moulding Poplar wood (400-800mm - 40%)and (800mm up - 60%)</v>
          </cell>
          <cell r="I4056">
            <v>8</v>
          </cell>
        </row>
        <row r="4057">
          <cell r="A4057" t="str">
            <v>B558376/A</v>
          </cell>
          <cell r="B4057" t="str">
            <v>RH899AM03</v>
          </cell>
          <cell r="C4057">
            <v>4</v>
          </cell>
          <cell r="D4057">
            <v>874.7</v>
          </cell>
          <cell r="E4057">
            <v>3498.8</v>
          </cell>
          <cell r="F4057" t="str">
            <v>A1-S10</v>
          </cell>
          <cell r="G4057" t="str">
            <v>Top moulding  - Chỉ nóc</v>
          </cell>
          <cell r="H4057" t="str">
            <v>Moulding Poplar wood (400-800mm - 40%)and (800mm up - 60%)</v>
          </cell>
          <cell r="I4057">
            <v>16</v>
          </cell>
        </row>
        <row r="4058">
          <cell r="A4058" t="str">
            <v>B558376/A</v>
          </cell>
          <cell r="B4058" t="str">
            <v>RH899AM03</v>
          </cell>
          <cell r="C4058">
            <v>4</v>
          </cell>
          <cell r="D4058">
            <v>874.7</v>
          </cell>
          <cell r="E4058">
            <v>3498.8</v>
          </cell>
          <cell r="F4058" t="str">
            <v>A2A</v>
          </cell>
          <cell r="G4058" t="str">
            <v>Top Frame - Khung nóc</v>
          </cell>
          <cell r="H4058" t="str">
            <v>Pre-Assembly</v>
          </cell>
          <cell r="I4058">
            <v>8</v>
          </cell>
        </row>
        <row r="4059">
          <cell r="A4059" t="str">
            <v>B558376/A</v>
          </cell>
          <cell r="B4059" t="str">
            <v>RH899AM03</v>
          </cell>
          <cell r="C4059">
            <v>4</v>
          </cell>
          <cell r="D4059">
            <v>874.7</v>
          </cell>
          <cell r="E4059">
            <v>3498.8</v>
          </cell>
          <cell r="F4059" t="str">
            <v>A2A-1</v>
          </cell>
          <cell r="G4059" t="str">
            <v xml:space="preserve">Top panel  - Ván nóc </v>
          </cell>
          <cell r="H4059" t="str">
            <v>Pre-Assembly</v>
          </cell>
          <cell r="I4059">
            <v>8</v>
          </cell>
        </row>
        <row r="4060">
          <cell r="A4060" t="str">
            <v>B558376/A</v>
          </cell>
          <cell r="B4060" t="str">
            <v>RH899AM03</v>
          </cell>
          <cell r="C4060">
            <v>4</v>
          </cell>
          <cell r="D4060">
            <v>874.7</v>
          </cell>
          <cell r="E4060">
            <v>3498.8</v>
          </cell>
          <cell r="F4060" t="str">
            <v>A2-S1</v>
          </cell>
          <cell r="G4060" t="str">
            <v xml:space="preserve">Top panel  - Ván nóc </v>
          </cell>
          <cell r="H4060" t="str">
            <v>MDF Veneer</v>
          </cell>
          <cell r="I4060">
            <v>8</v>
          </cell>
        </row>
        <row r="4061">
          <cell r="A4061" t="str">
            <v>B558376/A</v>
          </cell>
          <cell r="B4061" t="str">
            <v>RH899AM03</v>
          </cell>
          <cell r="C4061">
            <v>4</v>
          </cell>
          <cell r="D4061">
            <v>874.7</v>
          </cell>
          <cell r="E4061">
            <v>3498.8</v>
          </cell>
          <cell r="F4061" t="str">
            <v>A2-S2</v>
          </cell>
          <cell r="G4061" t="str">
            <v>Front top rail  - Đố tiền nóc</v>
          </cell>
          <cell r="H4061" t="str">
            <v>Wood Acacia - Straight/Waving Edged - T30mm x W100mm Up x L1m Up</v>
          </cell>
          <cell r="I4061">
            <v>16</v>
          </cell>
        </row>
        <row r="4062">
          <cell r="A4062" t="str">
            <v>B558376/A</v>
          </cell>
          <cell r="B4062" t="str">
            <v>RH899AM03</v>
          </cell>
          <cell r="C4062">
            <v>4</v>
          </cell>
          <cell r="D4062">
            <v>874.7</v>
          </cell>
          <cell r="E4062">
            <v>3498.8</v>
          </cell>
          <cell r="F4062" t="str">
            <v>A2-S3</v>
          </cell>
          <cell r="G4062" t="str">
            <v>Top moulding  - Chỉ nóc</v>
          </cell>
          <cell r="H4062" t="str">
            <v>Wood US Poplar - Straight Edged, 2 COM - T50mm x W100mm Up x L1.8m Up</v>
          </cell>
          <cell r="I4062">
            <v>16</v>
          </cell>
        </row>
        <row r="4063">
          <cell r="A4063" t="str">
            <v>B558376/A</v>
          </cell>
          <cell r="B4063" t="str">
            <v>RH899AM03</v>
          </cell>
          <cell r="C4063">
            <v>4</v>
          </cell>
          <cell r="D4063">
            <v>874.7</v>
          </cell>
          <cell r="E4063">
            <v>3498.8</v>
          </cell>
          <cell r="F4063" t="str">
            <v>A2-S5</v>
          </cell>
          <cell r="G4063" t="str">
            <v>Top moulding  - Chỉ nóc</v>
          </cell>
          <cell r="H4063" t="str">
            <v>Moulding Poplar wood (400-800mm - 40%)and (800mm up - 60%)</v>
          </cell>
          <cell r="I4063">
            <v>16</v>
          </cell>
        </row>
        <row r="4064">
          <cell r="A4064" t="str">
            <v>B558376/A</v>
          </cell>
          <cell r="B4064" t="str">
            <v>RH899AM03</v>
          </cell>
          <cell r="C4064">
            <v>4</v>
          </cell>
          <cell r="D4064">
            <v>874.7</v>
          </cell>
          <cell r="E4064">
            <v>3498.8</v>
          </cell>
          <cell r="F4064" t="str">
            <v>A2-S7</v>
          </cell>
          <cell r="G4064" t="str">
            <v>Patching wood - Gỗ đắp</v>
          </cell>
          <cell r="H4064" t="str">
            <v>Wood Acacia - Straight/Waving Edged - T35mm x W100mm Up x L1m Up</v>
          </cell>
          <cell r="I4064">
            <v>16</v>
          </cell>
        </row>
        <row r="4065">
          <cell r="A4065" t="str">
            <v>B558376/A</v>
          </cell>
          <cell r="B4065" t="str">
            <v>RH899AM03</v>
          </cell>
          <cell r="C4065">
            <v>4</v>
          </cell>
          <cell r="D4065">
            <v>874.7</v>
          </cell>
          <cell r="E4065">
            <v>3498.8</v>
          </cell>
          <cell r="F4065" t="str">
            <v>A3-S1</v>
          </cell>
          <cell r="G4065" t="str">
            <v>Front Top rail 1 - Đố nóc trước 1</v>
          </cell>
          <cell r="H4065" t="str">
            <v>Wood US Poplar - Straight Edged, 2 COM - T32mm x W100mm Up x L1.8m Up</v>
          </cell>
          <cell r="I4065">
            <v>8</v>
          </cell>
        </row>
        <row r="4066">
          <cell r="A4066" t="str">
            <v>B558376/A</v>
          </cell>
          <cell r="B4066" t="str">
            <v>RH899AM03</v>
          </cell>
          <cell r="C4066">
            <v>4</v>
          </cell>
          <cell r="D4066">
            <v>874.7</v>
          </cell>
          <cell r="E4066">
            <v>3498.8</v>
          </cell>
          <cell r="F4066" t="str">
            <v>A3-S2</v>
          </cell>
          <cell r="G4066" t="str">
            <v xml:space="preserve">Side rail  - Đố hông </v>
          </cell>
          <cell r="H4066" t="str">
            <v>Wood Acacia - Straight/Waving Edged - T30mm x W100mm Up x L1m Up</v>
          </cell>
          <cell r="I4066">
            <v>8</v>
          </cell>
        </row>
        <row r="4067">
          <cell r="A4067" t="str">
            <v>B558376/A</v>
          </cell>
          <cell r="B4067" t="str">
            <v>RH899AM03</v>
          </cell>
          <cell r="C4067">
            <v>4</v>
          </cell>
          <cell r="D4067">
            <v>874.7</v>
          </cell>
          <cell r="E4067">
            <v>3498.8</v>
          </cell>
          <cell r="F4067" t="str">
            <v>A3-S4</v>
          </cell>
          <cell r="G4067" t="str">
            <v>Center rail - Đố giữa</v>
          </cell>
          <cell r="H4067" t="str">
            <v>Wood Acacia - Straight/Waving Edged - T30mm x W100mm Up x L1m Up</v>
          </cell>
          <cell r="I4067">
            <v>8</v>
          </cell>
        </row>
        <row r="4068">
          <cell r="A4068" t="str">
            <v>B558376/A</v>
          </cell>
          <cell r="B4068" t="str">
            <v>RH899AM03</v>
          </cell>
          <cell r="C4068">
            <v>4</v>
          </cell>
          <cell r="D4068">
            <v>874.7</v>
          </cell>
          <cell r="E4068">
            <v>3498.8</v>
          </cell>
          <cell r="F4068" t="str">
            <v>A3-S5</v>
          </cell>
          <cell r="G4068" t="str">
            <v xml:space="preserve">Side rail  - Đố hông </v>
          </cell>
          <cell r="H4068" t="str">
            <v>Wood Acacia - Straight/Waving Edged - T30mm x W100mm Up x L1m Up</v>
          </cell>
          <cell r="I4068">
            <v>8</v>
          </cell>
        </row>
        <row r="4069">
          <cell r="A4069" t="str">
            <v>B558376/A</v>
          </cell>
          <cell r="B4069" t="str">
            <v>RH899AM03</v>
          </cell>
          <cell r="C4069">
            <v>4</v>
          </cell>
          <cell r="D4069">
            <v>874.7</v>
          </cell>
          <cell r="E4069">
            <v>3498.8</v>
          </cell>
          <cell r="F4069" t="str">
            <v>A4-1</v>
          </cell>
          <cell r="G4069" t="str">
            <v>Bottom rail inside - Đố tiền đáy</v>
          </cell>
          <cell r="H4069" t="str">
            <v>Wood laminate</v>
          </cell>
          <cell r="I4069">
            <v>4</v>
          </cell>
        </row>
        <row r="4070">
          <cell r="A4070" t="str">
            <v>B558376/A</v>
          </cell>
          <cell r="B4070" t="str">
            <v>RH899AM03</v>
          </cell>
          <cell r="C4070">
            <v>4</v>
          </cell>
          <cell r="D4070">
            <v>874.7</v>
          </cell>
          <cell r="E4070">
            <v>3498.8</v>
          </cell>
          <cell r="F4070" t="str">
            <v>A4-S5</v>
          </cell>
          <cell r="G4070" t="str">
            <v>Corner moulding - Chỉ góc</v>
          </cell>
          <cell r="H4070" t="str">
            <v>TRAM OFF CUT</v>
          </cell>
          <cell r="I4070">
            <v>32</v>
          </cell>
        </row>
        <row r="4071">
          <cell r="A4071" t="str">
            <v>B558376/A</v>
          </cell>
          <cell r="B4071" t="str">
            <v>RH899AM03</v>
          </cell>
          <cell r="C4071">
            <v>4</v>
          </cell>
          <cell r="D4071">
            <v>874.7</v>
          </cell>
          <cell r="E4071">
            <v>3498.8</v>
          </cell>
          <cell r="F4071" t="str">
            <v>A4-S6</v>
          </cell>
          <cell r="G4071" t="str">
            <v>Corner moulding - Chỉ góc</v>
          </cell>
          <cell r="H4071" t="str">
            <v>TRAM OFF CUT</v>
          </cell>
          <cell r="I4071">
            <v>24</v>
          </cell>
        </row>
        <row r="4072">
          <cell r="A4072" t="str">
            <v>B558376/A</v>
          </cell>
          <cell r="B4072" t="str">
            <v>RH899AM03</v>
          </cell>
          <cell r="C4072">
            <v>4</v>
          </cell>
          <cell r="D4072">
            <v>874.7</v>
          </cell>
          <cell r="E4072">
            <v>3498.8</v>
          </cell>
          <cell r="F4072" t="str">
            <v>A5-S01</v>
          </cell>
          <cell r="G4072" t="str">
            <v>The leg  - Chân</v>
          </cell>
          <cell r="H4072" t="str">
            <v>Pre-Assembly</v>
          </cell>
          <cell r="I4072">
            <v>16</v>
          </cell>
        </row>
        <row r="4073">
          <cell r="A4073" t="str">
            <v>B558376/A</v>
          </cell>
          <cell r="B4073" t="str">
            <v>RH899AM03</v>
          </cell>
          <cell r="C4073">
            <v>4</v>
          </cell>
          <cell r="D4073">
            <v>874.7</v>
          </cell>
          <cell r="E4073">
            <v>3498.8</v>
          </cell>
          <cell r="F4073" t="str">
            <v>A5-S01-1</v>
          </cell>
          <cell r="G4073" t="str">
            <v>The leg  - Chân</v>
          </cell>
          <cell r="H4073" t="str">
            <v>Wood - Acacia</v>
          </cell>
          <cell r="I4073">
            <v>16</v>
          </cell>
        </row>
        <row r="4074">
          <cell r="A4074" t="str">
            <v>B558376/A</v>
          </cell>
          <cell r="B4074" t="str">
            <v>RH899AM03</v>
          </cell>
          <cell r="C4074">
            <v>4</v>
          </cell>
          <cell r="D4074">
            <v>874.7</v>
          </cell>
          <cell r="E4074">
            <v>3498.8</v>
          </cell>
          <cell r="F4074" t="str">
            <v>A5-S01-2</v>
          </cell>
          <cell r="G4074" t="str">
            <v>The leg  - Chân</v>
          </cell>
          <cell r="H4074" t="str">
            <v>TRAM OFF CUT</v>
          </cell>
          <cell r="I4074">
            <v>16</v>
          </cell>
        </row>
        <row r="4075">
          <cell r="A4075" t="str">
            <v>B558376/A</v>
          </cell>
          <cell r="B4075" t="str">
            <v>RH899AM03</v>
          </cell>
          <cell r="C4075">
            <v>4</v>
          </cell>
          <cell r="D4075">
            <v>874.7</v>
          </cell>
          <cell r="E4075">
            <v>3498.8</v>
          </cell>
          <cell r="F4075" t="str">
            <v>A5-S01-3</v>
          </cell>
          <cell r="G4075" t="str">
            <v>Tenon - Mộng cấy</v>
          </cell>
          <cell r="H4075" t="str">
            <v>TRAM OFF CUT</v>
          </cell>
          <cell r="I4075">
            <v>32</v>
          </cell>
        </row>
        <row r="4076">
          <cell r="A4076" t="str">
            <v>B558376/A</v>
          </cell>
          <cell r="B4076" t="str">
            <v>RH899AM03</v>
          </cell>
          <cell r="C4076">
            <v>4</v>
          </cell>
          <cell r="D4076">
            <v>874.7</v>
          </cell>
          <cell r="E4076">
            <v>3498.8</v>
          </cell>
          <cell r="F4076" t="str">
            <v>A5-S02</v>
          </cell>
          <cell r="G4076" t="str">
            <v>Side top rail - Đố hông trên</v>
          </cell>
          <cell r="H4076" t="str">
            <v>Wood Acacia - Straight/Waving Edged - T30mm x W100mm Up x L1m Up</v>
          </cell>
          <cell r="I4076">
            <v>8</v>
          </cell>
        </row>
        <row r="4077">
          <cell r="A4077" t="str">
            <v>B558376/A</v>
          </cell>
          <cell r="B4077" t="str">
            <v>RH899AM03</v>
          </cell>
          <cell r="C4077">
            <v>4</v>
          </cell>
          <cell r="D4077">
            <v>874.7</v>
          </cell>
          <cell r="E4077">
            <v>3498.8</v>
          </cell>
          <cell r="F4077" t="str">
            <v>A5-S03</v>
          </cell>
          <cell r="G4077" t="str">
            <v>Side moulding - Chỉ hông</v>
          </cell>
          <cell r="H4077" t="str">
            <v>Wood - Acacia</v>
          </cell>
          <cell r="I4077">
            <v>16</v>
          </cell>
        </row>
        <row r="4078">
          <cell r="A4078" t="str">
            <v>B558376/A</v>
          </cell>
          <cell r="B4078" t="str">
            <v>RH899AM03</v>
          </cell>
          <cell r="C4078">
            <v>4</v>
          </cell>
          <cell r="D4078">
            <v>874.7</v>
          </cell>
          <cell r="E4078">
            <v>3498.8</v>
          </cell>
          <cell r="F4078" t="str">
            <v>A5-S04</v>
          </cell>
          <cell r="G4078" t="str">
            <v>Front moulding  - Chỉ tiền</v>
          </cell>
          <cell r="H4078" t="str">
            <v>Wood - Acacia</v>
          </cell>
          <cell r="I4078">
            <v>8</v>
          </cell>
        </row>
        <row r="4079">
          <cell r="A4079" t="str">
            <v>B558376/A</v>
          </cell>
          <cell r="B4079" t="str">
            <v>RH899AM03</v>
          </cell>
          <cell r="C4079">
            <v>4</v>
          </cell>
          <cell r="D4079">
            <v>874.7</v>
          </cell>
          <cell r="E4079">
            <v>3498.8</v>
          </cell>
          <cell r="F4079" t="str">
            <v>A5-S05</v>
          </cell>
          <cell r="G4079" t="str">
            <v>Back moulding - Chỉ hậu</v>
          </cell>
          <cell r="H4079" t="str">
            <v>Wood - Acacia</v>
          </cell>
          <cell r="I4079">
            <v>16</v>
          </cell>
        </row>
        <row r="4080">
          <cell r="A4080" t="str">
            <v>B558376/A</v>
          </cell>
          <cell r="B4080" t="str">
            <v>RH899AM03</v>
          </cell>
          <cell r="C4080">
            <v>4</v>
          </cell>
          <cell r="D4080">
            <v>874.7</v>
          </cell>
          <cell r="E4080">
            <v>3498.8</v>
          </cell>
          <cell r="F4080" t="str">
            <v>A5-S06</v>
          </cell>
          <cell r="G4080" t="str">
            <v>Bottom panel - Ván đáy</v>
          </cell>
          <cell r="H4080" t="str">
            <v>Wood Acacia - Straight/Waving Edged - T25mm x W100mm Up x L1m Up</v>
          </cell>
          <cell r="I4080">
            <v>8</v>
          </cell>
        </row>
        <row r="4081">
          <cell r="A4081" t="str">
            <v>B558376/A</v>
          </cell>
          <cell r="B4081" t="str">
            <v>RH899AM03</v>
          </cell>
          <cell r="C4081">
            <v>4</v>
          </cell>
          <cell r="D4081">
            <v>874.7</v>
          </cell>
          <cell r="E4081">
            <v>3498.8</v>
          </cell>
          <cell r="F4081" t="str">
            <v>A5-S07</v>
          </cell>
          <cell r="G4081" t="str">
            <v>Front Bottom Rail  - Đố đáy trước</v>
          </cell>
          <cell r="H4081" t="str">
            <v>Wood Acacia - Straight/Waving Edged - T25mm x W100mm Up x L1m Up</v>
          </cell>
          <cell r="I4081">
            <v>8</v>
          </cell>
        </row>
        <row r="4082">
          <cell r="A4082" t="str">
            <v>B558376/A</v>
          </cell>
          <cell r="B4082" t="str">
            <v>RH899AM03</v>
          </cell>
          <cell r="C4082">
            <v>4</v>
          </cell>
          <cell r="D4082">
            <v>874.7</v>
          </cell>
          <cell r="E4082">
            <v>3498.8</v>
          </cell>
          <cell r="F4082" t="str">
            <v>A5-S08</v>
          </cell>
          <cell r="G4082" t="str">
            <v>Side moulding - Chỉ hông</v>
          </cell>
          <cell r="H4082" t="str">
            <v>Wood Acacia - Straight/Waving Edged - T25mm x W100mm Up x L1m Up</v>
          </cell>
          <cell r="I4082">
            <v>64</v>
          </cell>
        </row>
        <row r="4083">
          <cell r="A4083" t="str">
            <v>B558376/A</v>
          </cell>
          <cell r="B4083" t="str">
            <v>RH899AM03</v>
          </cell>
          <cell r="C4083">
            <v>4</v>
          </cell>
          <cell r="D4083">
            <v>874.7</v>
          </cell>
          <cell r="E4083">
            <v>3498.8</v>
          </cell>
          <cell r="F4083" t="str">
            <v>A5-S10</v>
          </cell>
          <cell r="G4083" t="str">
            <v>Patching wood - Gỗ đắp</v>
          </cell>
          <cell r="H4083" t="str">
            <v>TRAM OFF CUT</v>
          </cell>
          <cell r="I4083">
            <v>16</v>
          </cell>
        </row>
        <row r="4084">
          <cell r="A4084" t="str">
            <v>B558376/A</v>
          </cell>
          <cell r="B4084" t="str">
            <v>RH899AM03</v>
          </cell>
          <cell r="C4084">
            <v>4</v>
          </cell>
          <cell r="D4084">
            <v>874.7</v>
          </cell>
          <cell r="E4084">
            <v>3498.8</v>
          </cell>
          <cell r="F4084" t="str">
            <v>P1</v>
          </cell>
          <cell r="G4084" t="str">
            <v>Cleat - Bọ gỗ</v>
          </cell>
          <cell r="H4084" t="str">
            <v>TRAM OFF CUT</v>
          </cell>
          <cell r="I4084">
            <v>32</v>
          </cell>
        </row>
        <row r="4085">
          <cell r="A4085" t="str">
            <v>B557390/A</v>
          </cell>
          <cell r="B4085" t="str">
            <v>RH10033M423</v>
          </cell>
          <cell r="C4085">
            <v>10</v>
          </cell>
          <cell r="D4085">
            <v>1400</v>
          </cell>
          <cell r="E4085">
            <v>14000</v>
          </cell>
          <cell r="F4085" t="str">
            <v>A1-S01</v>
          </cell>
          <cell r="G4085" t="str">
            <v>vaccumn veneer kyoto - cảo bich veneer</v>
          </cell>
          <cell r="H4085" t="str">
            <v>Pre-Assembly</v>
          </cell>
          <cell r="I4085">
            <v>40</v>
          </cell>
        </row>
        <row r="4086">
          <cell r="A4086" t="str">
            <v>B557390/A</v>
          </cell>
          <cell r="B4086" t="str">
            <v>RH10033M423</v>
          </cell>
          <cell r="C4086">
            <v>10</v>
          </cell>
          <cell r="D4086">
            <v>1400</v>
          </cell>
          <cell r="E4086">
            <v>14000</v>
          </cell>
          <cell r="F4086" t="str">
            <v>A1-S01-1</v>
          </cell>
          <cell r="G4086" t="str">
            <v>Vertical rail 1 - Đố đứng 1</v>
          </cell>
          <cell r="H4086" t="str">
            <v>MDF laminate</v>
          </cell>
          <cell r="I4086">
            <v>80</v>
          </cell>
        </row>
        <row r="4087">
          <cell r="A4087" t="str">
            <v>B557390/A</v>
          </cell>
          <cell r="B4087" t="str">
            <v>RH10033M423</v>
          </cell>
          <cell r="C4087">
            <v>10</v>
          </cell>
          <cell r="D4087">
            <v>1400</v>
          </cell>
          <cell r="E4087">
            <v>14000</v>
          </cell>
          <cell r="F4087" t="str">
            <v>A1-S01-2</v>
          </cell>
          <cell r="G4087" t="str">
            <v>Vertical rail 1 - Đố đứng 1</v>
          </cell>
          <cell r="H4087" t="str">
            <v>MDF laminate</v>
          </cell>
          <cell r="I4087">
            <v>80</v>
          </cell>
        </row>
        <row r="4088">
          <cell r="A4088" t="str">
            <v>B557390/A</v>
          </cell>
          <cell r="B4088" t="str">
            <v>RH10033M423</v>
          </cell>
          <cell r="C4088">
            <v>10</v>
          </cell>
          <cell r="D4088">
            <v>1400</v>
          </cell>
          <cell r="E4088">
            <v>14000</v>
          </cell>
          <cell r="F4088" t="str">
            <v>A1-S01-5</v>
          </cell>
          <cell r="G4088" t="str">
            <v>Spline - Lưỡi gà</v>
          </cell>
          <cell r="H4088" t="str">
            <v>Plywood LVD - 09 x 1220 x 2440mm, Bleached Poplar Veneer Both Sides [CARB P2 Compliant]</v>
          </cell>
          <cell r="I4088">
            <v>120</v>
          </cell>
        </row>
        <row r="4089">
          <cell r="A4089" t="str">
            <v>B557390/A</v>
          </cell>
          <cell r="B4089" t="str">
            <v>RH10033M423</v>
          </cell>
          <cell r="C4089">
            <v>10</v>
          </cell>
          <cell r="D4089">
            <v>1400</v>
          </cell>
          <cell r="E4089">
            <v>14000</v>
          </cell>
          <cell r="F4089" t="str">
            <v>A1-S02</v>
          </cell>
          <cell r="G4089" t="str">
            <v>Cleat - Bọ gỗ</v>
          </cell>
          <cell r="H4089" t="str">
            <v>Plywood LVD - 18 x 1220 x 2440mm, Bleached Poplar Veneer Both Sides [CARB P2 Compliant]</v>
          </cell>
          <cell r="I4089">
            <v>10</v>
          </cell>
        </row>
        <row r="4090">
          <cell r="A4090" t="str">
            <v>B557390/A</v>
          </cell>
          <cell r="B4090" t="str">
            <v>RH10033M423</v>
          </cell>
          <cell r="C4090">
            <v>10</v>
          </cell>
          <cell r="D4090">
            <v>1400</v>
          </cell>
          <cell r="E4090">
            <v>14000</v>
          </cell>
          <cell r="F4090" t="str">
            <v>A1-S03</v>
          </cell>
          <cell r="G4090" t="str">
            <v>Bottom panel - Ván đáy</v>
          </cell>
          <cell r="H4090" t="str">
            <v>Plywood - 25 x 1220 x 2440mm, Okoume Veneer on Both Faces [CARB P2 Compliant]</v>
          </cell>
          <cell r="I4090">
            <v>10</v>
          </cell>
        </row>
        <row r="4091">
          <cell r="A4091" t="str">
            <v>B557390/A</v>
          </cell>
          <cell r="B4091" t="str">
            <v>RH10033M423</v>
          </cell>
          <cell r="C4091">
            <v>10</v>
          </cell>
          <cell r="D4091">
            <v>1400</v>
          </cell>
          <cell r="E4091">
            <v>14000</v>
          </cell>
          <cell r="F4091" t="str">
            <v>A1-S04</v>
          </cell>
          <cell r="G4091" t="str">
            <v>Spline - Lưỡi gà</v>
          </cell>
          <cell r="H4091" t="str">
            <v>Plywood LVD - 09 x 1220 x 2440mm, Bleached Poplar Veneer Both Sides [CARB P2 Compliant]</v>
          </cell>
          <cell r="I4091">
            <v>40</v>
          </cell>
        </row>
        <row r="4092">
          <cell r="A4092" t="str">
            <v>B557390/A</v>
          </cell>
          <cell r="B4092" t="str">
            <v>RH10033M423</v>
          </cell>
          <cell r="C4092">
            <v>10</v>
          </cell>
          <cell r="D4092">
            <v>1400</v>
          </cell>
          <cell r="E4092">
            <v>14000</v>
          </cell>
          <cell r="F4092" t="str">
            <v>A1-S05</v>
          </cell>
          <cell r="G4092" t="str">
            <v>Cleat - Bọ gỗ</v>
          </cell>
          <cell r="H4092" t="str">
            <v>Beech off cut</v>
          </cell>
          <cell r="I4092">
            <v>120</v>
          </cell>
        </row>
        <row r="4093">
          <cell r="A4093" t="str">
            <v>B557390/A</v>
          </cell>
          <cell r="B4093" t="str">
            <v>RH10033M423</v>
          </cell>
          <cell r="C4093">
            <v>10</v>
          </cell>
          <cell r="D4093">
            <v>1400</v>
          </cell>
          <cell r="E4093">
            <v>14000</v>
          </cell>
          <cell r="F4093" t="str">
            <v>A1-S07</v>
          </cell>
          <cell r="G4093" t="str">
            <v>Cleat - Bọ gỗ</v>
          </cell>
          <cell r="H4093" t="str">
            <v>Beech off cut</v>
          </cell>
          <cell r="I4093">
            <v>80</v>
          </cell>
        </row>
        <row r="4094">
          <cell r="A4094" t="str">
            <v>B558292/A</v>
          </cell>
          <cell r="B4094" t="str">
            <v>RH10033M423</v>
          </cell>
          <cell r="C4094">
            <v>1</v>
          </cell>
          <cell r="D4094">
            <v>1400</v>
          </cell>
          <cell r="E4094">
            <v>1400</v>
          </cell>
          <cell r="F4094" t="str">
            <v>A1-S01</v>
          </cell>
          <cell r="G4094" t="str">
            <v>vaccumn veneer kyoto - cảo bich veneer</v>
          </cell>
          <cell r="H4094" t="str">
            <v>Pre-Assembly</v>
          </cell>
          <cell r="I4094">
            <v>4</v>
          </cell>
        </row>
        <row r="4095">
          <cell r="A4095" t="str">
            <v>B558292/A</v>
          </cell>
          <cell r="B4095" t="str">
            <v>RH10033M423</v>
          </cell>
          <cell r="C4095">
            <v>1</v>
          </cell>
          <cell r="D4095">
            <v>1400</v>
          </cell>
          <cell r="E4095">
            <v>1400</v>
          </cell>
          <cell r="F4095" t="str">
            <v>A1-S01-1</v>
          </cell>
          <cell r="G4095" t="str">
            <v>Vertical rail 1 - Đố đứng 1</v>
          </cell>
          <cell r="H4095" t="str">
            <v>MDF laminate</v>
          </cell>
          <cell r="I4095">
            <v>8</v>
          </cell>
        </row>
        <row r="4096">
          <cell r="A4096" t="str">
            <v>B558292/A</v>
          </cell>
          <cell r="B4096" t="str">
            <v>RH10033M423</v>
          </cell>
          <cell r="C4096">
            <v>1</v>
          </cell>
          <cell r="D4096">
            <v>1400</v>
          </cell>
          <cell r="E4096">
            <v>1400</v>
          </cell>
          <cell r="F4096" t="str">
            <v>A1-S01-2</v>
          </cell>
          <cell r="G4096" t="str">
            <v>Vertical rail 1 - Đố đứng 1</v>
          </cell>
          <cell r="H4096" t="str">
            <v>MDF laminate</v>
          </cell>
          <cell r="I4096">
            <v>8</v>
          </cell>
        </row>
        <row r="4097">
          <cell r="A4097" t="str">
            <v>B558292/A</v>
          </cell>
          <cell r="B4097" t="str">
            <v>RH10033M423</v>
          </cell>
          <cell r="C4097">
            <v>1</v>
          </cell>
          <cell r="D4097">
            <v>1400</v>
          </cell>
          <cell r="E4097">
            <v>1400</v>
          </cell>
          <cell r="F4097" t="str">
            <v>A1-S01-5</v>
          </cell>
          <cell r="G4097" t="str">
            <v>Spline - Lưỡi gà</v>
          </cell>
          <cell r="H4097" t="str">
            <v>Plywood LVD - 09 x 1220 x 2440mm, Bleached Poplar Veneer Both Sides [CARB P2 Compliant]</v>
          </cell>
          <cell r="I4097">
            <v>12</v>
          </cell>
        </row>
        <row r="4098">
          <cell r="A4098" t="str">
            <v>B558292/A</v>
          </cell>
          <cell r="B4098" t="str">
            <v>RH10033M423</v>
          </cell>
          <cell r="C4098">
            <v>1</v>
          </cell>
          <cell r="D4098">
            <v>1400</v>
          </cell>
          <cell r="E4098">
            <v>1400</v>
          </cell>
          <cell r="F4098" t="str">
            <v>A1-S02</v>
          </cell>
          <cell r="G4098" t="str">
            <v>Cleat - Bọ gỗ</v>
          </cell>
          <cell r="H4098" t="str">
            <v>Plywood LVD - 18 x 1220 x 2440mm, Bleached Poplar Veneer Both Sides [CARB P2 Compliant]</v>
          </cell>
          <cell r="I4098">
            <v>1</v>
          </cell>
        </row>
        <row r="4099">
          <cell r="A4099" t="str">
            <v>B558292/A</v>
          </cell>
          <cell r="B4099" t="str">
            <v>RH10033M423</v>
          </cell>
          <cell r="C4099">
            <v>1</v>
          </cell>
          <cell r="D4099">
            <v>1400</v>
          </cell>
          <cell r="E4099">
            <v>1400</v>
          </cell>
          <cell r="F4099" t="str">
            <v>A1-S03</v>
          </cell>
          <cell r="G4099" t="str">
            <v>Bottom panel - Ván đáy</v>
          </cell>
          <cell r="H4099" t="str">
            <v>Plywood - 25 x 1220 x 2440mm, Okoume Veneer on Both Faces [CARB P2 Compliant]</v>
          </cell>
          <cell r="I4099">
            <v>1</v>
          </cell>
        </row>
        <row r="4100">
          <cell r="A4100" t="str">
            <v>B558292/A</v>
          </cell>
          <cell r="B4100" t="str">
            <v>RH10033M423</v>
          </cell>
          <cell r="C4100">
            <v>1</v>
          </cell>
          <cell r="D4100">
            <v>1400</v>
          </cell>
          <cell r="E4100">
            <v>1400</v>
          </cell>
          <cell r="F4100" t="str">
            <v>A1-S04</v>
          </cell>
          <cell r="G4100" t="str">
            <v>Spline - Lưỡi gà</v>
          </cell>
          <cell r="H4100" t="str">
            <v>Plywood LVD - 09 x 1220 x 2440mm, Bleached Poplar Veneer Both Sides [CARB P2 Compliant]</v>
          </cell>
          <cell r="I4100">
            <v>4</v>
          </cell>
        </row>
        <row r="4101">
          <cell r="A4101" t="str">
            <v>B558292/A</v>
          </cell>
          <cell r="B4101" t="str">
            <v>RH10033M423</v>
          </cell>
          <cell r="C4101">
            <v>1</v>
          </cell>
          <cell r="D4101">
            <v>1400</v>
          </cell>
          <cell r="E4101">
            <v>1400</v>
          </cell>
          <cell r="F4101" t="str">
            <v>A1-S05</v>
          </cell>
          <cell r="G4101" t="str">
            <v>Cleat - Bọ gỗ</v>
          </cell>
          <cell r="H4101" t="str">
            <v>Beech off cut</v>
          </cell>
          <cell r="I4101">
            <v>12</v>
          </cell>
        </row>
        <row r="4102">
          <cell r="A4102" t="str">
            <v>B558292/A</v>
          </cell>
          <cell r="B4102" t="str">
            <v>RH10033M423</v>
          </cell>
          <cell r="C4102">
            <v>1</v>
          </cell>
          <cell r="D4102">
            <v>1400</v>
          </cell>
          <cell r="E4102">
            <v>1400</v>
          </cell>
          <cell r="F4102" t="str">
            <v>A1-S07</v>
          </cell>
          <cell r="G4102" t="str">
            <v>Cleat - Bọ gỗ</v>
          </cell>
          <cell r="H4102" t="str">
            <v>Beech off cut</v>
          </cell>
          <cell r="I4102">
            <v>8</v>
          </cell>
        </row>
        <row r="4103">
          <cell r="A4103" t="str">
            <v>B558294/A</v>
          </cell>
          <cell r="B4103" t="str">
            <v>RH10275M342</v>
          </cell>
          <cell r="C4103">
            <v>16</v>
          </cell>
          <cell r="D4103">
            <v>745.68</v>
          </cell>
          <cell r="E4103">
            <v>11930.88</v>
          </cell>
          <cell r="F4103" t="str">
            <v>A1-S01</v>
          </cell>
          <cell r="G4103" t="str">
            <v xml:space="preserve">Drawer front - Mặt hộc kéo </v>
          </cell>
          <cell r="H4103" t="str">
            <v>MDF Veneer</v>
          </cell>
          <cell r="I4103">
            <v>32</v>
          </cell>
        </row>
        <row r="4104">
          <cell r="A4104" t="str">
            <v>B558294/A</v>
          </cell>
          <cell r="B4104" t="str">
            <v>RH10275M342</v>
          </cell>
          <cell r="C4104">
            <v>16</v>
          </cell>
          <cell r="D4104">
            <v>745.68</v>
          </cell>
          <cell r="E4104">
            <v>11930.88</v>
          </cell>
          <cell r="F4104" t="str">
            <v>A1-S02</v>
          </cell>
          <cell r="G4104" t="str">
            <v xml:space="preserve">Drawer front 1 - Mặt hộc kéo </v>
          </cell>
          <cell r="H4104" t="str">
            <v>MDF Veneer</v>
          </cell>
          <cell r="I4104">
            <v>32</v>
          </cell>
        </row>
        <row r="4105">
          <cell r="A4105" t="str">
            <v>B558294/A</v>
          </cell>
          <cell r="B4105" t="str">
            <v>RH10275M342</v>
          </cell>
          <cell r="C4105">
            <v>16</v>
          </cell>
          <cell r="D4105">
            <v>745.68</v>
          </cell>
          <cell r="E4105">
            <v>11930.88</v>
          </cell>
          <cell r="F4105" t="str">
            <v>A1-S03</v>
          </cell>
          <cell r="G4105" t="str">
            <v>Drawer side - Hông hộc kéo</v>
          </cell>
          <cell r="H4105" t="str">
            <v>MDF Veneer</v>
          </cell>
          <cell r="I4105">
            <v>64</v>
          </cell>
        </row>
        <row r="4106">
          <cell r="A4106" t="str">
            <v>B558294/A</v>
          </cell>
          <cell r="B4106" t="str">
            <v>RH10275M342</v>
          </cell>
          <cell r="C4106">
            <v>16</v>
          </cell>
          <cell r="D4106">
            <v>745.68</v>
          </cell>
          <cell r="E4106">
            <v>11930.88</v>
          </cell>
          <cell r="F4106" t="str">
            <v>A1-S04</v>
          </cell>
          <cell r="G4106" t="str">
            <v>Drawer back - Hậu hộc kéo</v>
          </cell>
          <cell r="H4106" t="str">
            <v>MDF Veneer</v>
          </cell>
          <cell r="I4106">
            <v>32</v>
          </cell>
        </row>
        <row r="4107">
          <cell r="A4107" t="str">
            <v>B558294/A</v>
          </cell>
          <cell r="B4107" t="str">
            <v>RH10275M342</v>
          </cell>
          <cell r="C4107">
            <v>16</v>
          </cell>
          <cell r="D4107">
            <v>745.68</v>
          </cell>
          <cell r="E4107">
            <v>11930.88</v>
          </cell>
          <cell r="F4107" t="str">
            <v>A1-S05</v>
          </cell>
          <cell r="G4107" t="str">
            <v>Drawer bottom  - Đáy hộc kéo</v>
          </cell>
          <cell r="H4107" t="str">
            <v>MDF Veneer</v>
          </cell>
          <cell r="I4107">
            <v>32</v>
          </cell>
        </row>
        <row r="4108">
          <cell r="A4108" t="str">
            <v>B558294/A</v>
          </cell>
          <cell r="B4108" t="str">
            <v>RH10275M342</v>
          </cell>
          <cell r="C4108">
            <v>16</v>
          </cell>
          <cell r="D4108">
            <v>745.68</v>
          </cell>
          <cell r="E4108">
            <v>11930.88</v>
          </cell>
          <cell r="F4108" t="str">
            <v>A2-S01</v>
          </cell>
          <cell r="G4108" t="str">
            <v xml:space="preserve">Side panel left  - Ván hông trái </v>
          </cell>
          <cell r="H4108" t="str">
            <v>MDF Veneer</v>
          </cell>
          <cell r="I4108">
            <v>16</v>
          </cell>
        </row>
        <row r="4109">
          <cell r="A4109" t="str">
            <v>B558294/A</v>
          </cell>
          <cell r="B4109" t="str">
            <v>RH10275M342</v>
          </cell>
          <cell r="C4109">
            <v>16</v>
          </cell>
          <cell r="D4109">
            <v>745.68</v>
          </cell>
          <cell r="E4109">
            <v>11930.88</v>
          </cell>
          <cell r="F4109" t="str">
            <v>A2-S01-1</v>
          </cell>
          <cell r="G4109" t="str">
            <v>Insert Wood - Gỗ chèn</v>
          </cell>
          <cell r="H4109" t="str">
            <v>Beech off cut</v>
          </cell>
          <cell r="I4109">
            <v>64</v>
          </cell>
        </row>
        <row r="4110">
          <cell r="A4110" t="str">
            <v>B558294/A</v>
          </cell>
          <cell r="B4110" t="str">
            <v>RH10275M342</v>
          </cell>
          <cell r="C4110">
            <v>16</v>
          </cell>
          <cell r="D4110">
            <v>745.68</v>
          </cell>
          <cell r="E4110">
            <v>11930.88</v>
          </cell>
          <cell r="F4110" t="str">
            <v>A2-S02</v>
          </cell>
          <cell r="G4110" t="str">
            <v xml:space="preserve">Side rail  - Đố hông </v>
          </cell>
          <cell r="H4110" t="str">
            <v>Plywood LVD - 18 x 1220 x 2440mm, Bleached Poplar Veneer Both Sides [CARB P2 Compliant]</v>
          </cell>
          <cell r="I4110">
            <v>64</v>
          </cell>
        </row>
        <row r="4111">
          <cell r="A4111" t="str">
            <v>B558294/A</v>
          </cell>
          <cell r="B4111" t="str">
            <v>RH10275M342</v>
          </cell>
          <cell r="C4111">
            <v>16</v>
          </cell>
          <cell r="D4111">
            <v>745.68</v>
          </cell>
          <cell r="E4111">
            <v>11930.88</v>
          </cell>
          <cell r="F4111" t="str">
            <v>A3-S01</v>
          </cell>
          <cell r="G4111" t="str">
            <v xml:space="preserve">Side panel right  - Ván hông phải </v>
          </cell>
          <cell r="H4111" t="str">
            <v>MDF Veneer</v>
          </cell>
          <cell r="I4111">
            <v>16</v>
          </cell>
        </row>
        <row r="4112">
          <cell r="A4112" t="str">
            <v>B558294/A</v>
          </cell>
          <cell r="B4112" t="str">
            <v>RH10275M342</v>
          </cell>
          <cell r="C4112">
            <v>16</v>
          </cell>
          <cell r="D4112">
            <v>745.68</v>
          </cell>
          <cell r="E4112">
            <v>11930.88</v>
          </cell>
          <cell r="F4112" t="str">
            <v>P0</v>
          </cell>
          <cell r="G4112" t="str">
            <v>VN - Veneer</v>
          </cell>
          <cell r="H4112" t="str">
            <v>Veneer laminate</v>
          </cell>
          <cell r="I4112">
            <v>16</v>
          </cell>
        </row>
        <row r="4113">
          <cell r="A4113" t="str">
            <v>B558294/A</v>
          </cell>
          <cell r="B4113" t="str">
            <v>RH10275M342</v>
          </cell>
          <cell r="C4113">
            <v>16</v>
          </cell>
          <cell r="D4113">
            <v>745.68</v>
          </cell>
          <cell r="E4113">
            <v>11930.88</v>
          </cell>
          <cell r="F4113" t="str">
            <v>P01</v>
          </cell>
          <cell r="G4113" t="str">
            <v xml:space="preserve">Top panel  - Ván nóc </v>
          </cell>
          <cell r="H4113" t="str">
            <v>MDF Veneer</v>
          </cell>
          <cell r="I4113">
            <v>16</v>
          </cell>
        </row>
        <row r="4114">
          <cell r="A4114" t="str">
            <v>B558294/A</v>
          </cell>
          <cell r="B4114" t="str">
            <v>RH10275M342</v>
          </cell>
          <cell r="C4114">
            <v>16</v>
          </cell>
          <cell r="D4114">
            <v>745.68</v>
          </cell>
          <cell r="E4114">
            <v>11930.88</v>
          </cell>
          <cell r="F4114" t="str">
            <v>P03</v>
          </cell>
          <cell r="G4114" t="str">
            <v>Back panel - Ván hậu</v>
          </cell>
          <cell r="H4114" t="str">
            <v>MDF - 06 x 1220 x 2440mm, Veneer Okoume 0.3mm Both Faces [CARB P2 Compliant]</v>
          </cell>
          <cell r="I4114">
            <v>16</v>
          </cell>
        </row>
        <row r="4115">
          <cell r="A4115" t="str">
            <v>B558294/A</v>
          </cell>
          <cell r="B4115" t="str">
            <v>RH10275M342</v>
          </cell>
          <cell r="C4115">
            <v>16</v>
          </cell>
          <cell r="D4115">
            <v>745.68</v>
          </cell>
          <cell r="E4115">
            <v>11930.88</v>
          </cell>
          <cell r="F4115" t="str">
            <v>P04</v>
          </cell>
          <cell r="G4115" t="str">
            <v>Center rail - Đố giữa</v>
          </cell>
          <cell r="H4115" t="str">
            <v>Wood Rubber Laminate Board - 20 x 1220 x 2440mm, Veneer Poplar both Faces</v>
          </cell>
          <cell r="I4115">
            <v>16</v>
          </cell>
        </row>
        <row r="4116">
          <cell r="A4116" t="str">
            <v>B558294/A</v>
          </cell>
          <cell r="B4116" t="str">
            <v>RH10275M342</v>
          </cell>
          <cell r="C4116">
            <v>16</v>
          </cell>
          <cell r="D4116">
            <v>745.68</v>
          </cell>
          <cell r="E4116">
            <v>11930.88</v>
          </cell>
          <cell r="F4116" t="str">
            <v>P05</v>
          </cell>
          <cell r="G4116" t="str">
            <v>back rail - Đố hậu</v>
          </cell>
          <cell r="H4116" t="str">
            <v>Wood Rubber Laminate Board - 20 x 1220 x 2440mm, Veneer Poplar both Faces</v>
          </cell>
          <cell r="I4116">
            <v>16</v>
          </cell>
        </row>
        <row r="4117">
          <cell r="A4117" t="str">
            <v>B558294/A</v>
          </cell>
          <cell r="B4117" t="str">
            <v>RH10275M342</v>
          </cell>
          <cell r="C4117">
            <v>16</v>
          </cell>
          <cell r="D4117">
            <v>745.68</v>
          </cell>
          <cell r="E4117">
            <v>11930.88</v>
          </cell>
          <cell r="F4117" t="str">
            <v>P06</v>
          </cell>
          <cell r="G4117" t="str">
            <v>Bottom panel - Ván đáy</v>
          </cell>
          <cell r="H4117" t="str">
            <v>MDF - 15 x 1220 x 2440mm, Veneer Okoume 0.3mm Both Faces [CARB P2 Compliant]</v>
          </cell>
          <cell r="I4117">
            <v>16</v>
          </cell>
        </row>
        <row r="4118">
          <cell r="A4118" t="str">
            <v>B558294/A</v>
          </cell>
          <cell r="B4118" t="str">
            <v>RH10275M342</v>
          </cell>
          <cell r="C4118">
            <v>16</v>
          </cell>
          <cell r="D4118">
            <v>745.68</v>
          </cell>
          <cell r="E4118">
            <v>11930.88</v>
          </cell>
          <cell r="F4118" t="str">
            <v>P07</v>
          </cell>
          <cell r="G4118" t="str">
            <v>Insert Wood - Gỗ chèn</v>
          </cell>
          <cell r="H4118" t="str">
            <v>Beech off cut</v>
          </cell>
          <cell r="I4118">
            <v>64</v>
          </cell>
        </row>
        <row r="4119">
          <cell r="A4119" t="str">
            <v>B558294/A</v>
          </cell>
          <cell r="B4119" t="str">
            <v>RH10275M342</v>
          </cell>
          <cell r="C4119">
            <v>16</v>
          </cell>
          <cell r="D4119">
            <v>745.68</v>
          </cell>
          <cell r="E4119">
            <v>11930.88</v>
          </cell>
          <cell r="F4119" t="str">
            <v>P08</v>
          </cell>
          <cell r="G4119" t="str">
            <v>Back bottom rail - Đố hậu đáy</v>
          </cell>
          <cell r="H4119" t="str">
            <v>Wood Rubber Laminate Board - 20 x 1220 x 2440mm, Veneer Poplar both Faces</v>
          </cell>
          <cell r="I4119">
            <v>16</v>
          </cell>
        </row>
        <row r="4120">
          <cell r="A4120" t="str">
            <v>B558294/A</v>
          </cell>
          <cell r="B4120" t="str">
            <v>RH10275M342</v>
          </cell>
          <cell r="C4120">
            <v>16</v>
          </cell>
          <cell r="D4120">
            <v>745.68</v>
          </cell>
          <cell r="E4120">
            <v>11930.88</v>
          </cell>
          <cell r="F4120" t="str">
            <v>P09</v>
          </cell>
          <cell r="G4120" t="str">
            <v>Top rail - Đố nóc</v>
          </cell>
          <cell r="H4120" t="str">
            <v>Wood Rubber Laminate Board - 20 x 1220 x 2440mm, Veneer Poplar both Faces</v>
          </cell>
          <cell r="I4120">
            <v>16</v>
          </cell>
        </row>
        <row r="4121">
          <cell r="A4121" t="str">
            <v>B558294/A</v>
          </cell>
          <cell r="B4121" t="str">
            <v>RH10275M342</v>
          </cell>
          <cell r="C4121">
            <v>16</v>
          </cell>
          <cell r="D4121">
            <v>745.68</v>
          </cell>
          <cell r="E4121">
            <v>11930.88</v>
          </cell>
          <cell r="F4121" t="str">
            <v>P11</v>
          </cell>
          <cell r="G4121" t="str">
            <v>Cleat - Bọ gỗ</v>
          </cell>
          <cell r="H4121" t="str">
            <v>Wood Rubber Laminate Board - 20 x 1220 x 2440mm, Veneer Poplar both Faces</v>
          </cell>
          <cell r="I4121">
            <v>32</v>
          </cell>
        </row>
        <row r="4122">
          <cell r="A4122" t="str">
            <v>B558294/A</v>
          </cell>
          <cell r="B4122" t="str">
            <v>RH10275M342</v>
          </cell>
          <cell r="C4122">
            <v>16</v>
          </cell>
          <cell r="D4122">
            <v>745.68</v>
          </cell>
          <cell r="E4122">
            <v>11930.88</v>
          </cell>
          <cell r="F4122" t="str">
            <v>P12</v>
          </cell>
          <cell r="G4122" t="str">
            <v>Cleat - Bọ gỗ</v>
          </cell>
          <cell r="H4122" t="str">
            <v>Rubber board off cut</v>
          </cell>
          <cell r="I4122">
            <v>64</v>
          </cell>
        </row>
        <row r="4123">
          <cell r="A4123" t="str">
            <v>B558296/A</v>
          </cell>
          <cell r="B4123" t="str">
            <v>RH10276M342</v>
          </cell>
          <cell r="C4123">
            <v>10</v>
          </cell>
          <cell r="D4123">
            <v>745.68</v>
          </cell>
          <cell r="E4123">
            <v>7456.7999999999993</v>
          </cell>
          <cell r="F4123" t="str">
            <v>A1-S01</v>
          </cell>
          <cell r="G4123" t="str">
            <v xml:space="preserve">Drawer front - Mặt hộc kéo </v>
          </cell>
          <cell r="H4123" t="str">
            <v>MDF Veneer</v>
          </cell>
          <cell r="I4123">
            <v>20</v>
          </cell>
        </row>
        <row r="4124">
          <cell r="A4124" t="str">
            <v>B558296/A</v>
          </cell>
          <cell r="B4124" t="str">
            <v>RH10276M342</v>
          </cell>
          <cell r="C4124">
            <v>10</v>
          </cell>
          <cell r="D4124">
            <v>745.68</v>
          </cell>
          <cell r="E4124">
            <v>7456.7999999999993</v>
          </cell>
          <cell r="F4124" t="str">
            <v>A1-S02</v>
          </cell>
          <cell r="G4124" t="str">
            <v xml:space="preserve">Drawer front 1 - Mặt hộc kéo </v>
          </cell>
          <cell r="H4124" t="str">
            <v>MDF Veneer</v>
          </cell>
          <cell r="I4124">
            <v>20</v>
          </cell>
        </row>
        <row r="4125">
          <cell r="A4125" t="str">
            <v>B558296/A</v>
          </cell>
          <cell r="B4125" t="str">
            <v>RH10276M342</v>
          </cell>
          <cell r="C4125">
            <v>10</v>
          </cell>
          <cell r="D4125">
            <v>745.68</v>
          </cell>
          <cell r="E4125">
            <v>7456.7999999999993</v>
          </cell>
          <cell r="F4125" t="str">
            <v>A1-S03</v>
          </cell>
          <cell r="G4125" t="str">
            <v>Drawer side - Hông hộc kéo</v>
          </cell>
          <cell r="H4125" t="str">
            <v>MDF Veneer</v>
          </cell>
          <cell r="I4125">
            <v>40</v>
          </cell>
        </row>
        <row r="4126">
          <cell r="A4126" t="str">
            <v>B558296/A</v>
          </cell>
          <cell r="B4126" t="str">
            <v>RH10276M342</v>
          </cell>
          <cell r="C4126">
            <v>10</v>
          </cell>
          <cell r="D4126">
            <v>745.68</v>
          </cell>
          <cell r="E4126">
            <v>7456.7999999999993</v>
          </cell>
          <cell r="F4126" t="str">
            <v>A1-S04</v>
          </cell>
          <cell r="G4126" t="str">
            <v>Drawer back - Hậu hộc kéo</v>
          </cell>
          <cell r="H4126" t="str">
            <v>MDF Veneer</v>
          </cell>
          <cell r="I4126">
            <v>20</v>
          </cell>
        </row>
        <row r="4127">
          <cell r="A4127" t="str">
            <v>B558296/A</v>
          </cell>
          <cell r="B4127" t="str">
            <v>RH10276M342</v>
          </cell>
          <cell r="C4127">
            <v>10</v>
          </cell>
          <cell r="D4127">
            <v>745.68</v>
          </cell>
          <cell r="E4127">
            <v>7456.7999999999993</v>
          </cell>
          <cell r="F4127" t="str">
            <v>A1-S05</v>
          </cell>
          <cell r="G4127" t="str">
            <v>Drawer bottom  - Đáy hộc kéo</v>
          </cell>
          <cell r="H4127" t="str">
            <v>MDF Veneer</v>
          </cell>
          <cell r="I4127">
            <v>20</v>
          </cell>
        </row>
        <row r="4128">
          <cell r="A4128" t="str">
            <v>B558296/A</v>
          </cell>
          <cell r="B4128" t="str">
            <v>RH10276M342</v>
          </cell>
          <cell r="C4128">
            <v>10</v>
          </cell>
          <cell r="D4128">
            <v>745.68</v>
          </cell>
          <cell r="E4128">
            <v>7456.7999999999993</v>
          </cell>
          <cell r="F4128" t="str">
            <v>A2-S01</v>
          </cell>
          <cell r="G4128" t="str">
            <v xml:space="preserve">Side panel left  - Ván hông trái </v>
          </cell>
          <cell r="H4128" t="str">
            <v>MDF Veneer</v>
          </cell>
          <cell r="I4128">
            <v>10</v>
          </cell>
        </row>
        <row r="4129">
          <cell r="A4129" t="str">
            <v>B558296/A</v>
          </cell>
          <cell r="B4129" t="str">
            <v>RH10276M342</v>
          </cell>
          <cell r="C4129">
            <v>10</v>
          </cell>
          <cell r="D4129">
            <v>745.68</v>
          </cell>
          <cell r="E4129">
            <v>7456.7999999999993</v>
          </cell>
          <cell r="F4129" t="str">
            <v>A2-S01-1</v>
          </cell>
          <cell r="G4129" t="str">
            <v>Insert Wood - Gỗ chèn</v>
          </cell>
          <cell r="H4129" t="str">
            <v>Beech off cut</v>
          </cell>
          <cell r="I4129">
            <v>40</v>
          </cell>
        </row>
        <row r="4130">
          <cell r="A4130" t="str">
            <v>B558296/A</v>
          </cell>
          <cell r="B4130" t="str">
            <v>RH10276M342</v>
          </cell>
          <cell r="C4130">
            <v>10</v>
          </cell>
          <cell r="D4130">
            <v>745.68</v>
          </cell>
          <cell r="E4130">
            <v>7456.7999999999993</v>
          </cell>
          <cell r="F4130" t="str">
            <v>A2-S02</v>
          </cell>
          <cell r="G4130" t="str">
            <v xml:space="preserve">Side rail  - Đố hông </v>
          </cell>
          <cell r="H4130" t="str">
            <v>Plywood LVD - 18 x 1220 x 2440mm, Bleached Poplar Veneer Both Sides [CARB P2 Compliant]</v>
          </cell>
          <cell r="I4130">
            <v>40</v>
          </cell>
        </row>
        <row r="4131">
          <cell r="A4131" t="str">
            <v>B558296/A</v>
          </cell>
          <cell r="B4131" t="str">
            <v>RH10276M342</v>
          </cell>
          <cell r="C4131">
            <v>10</v>
          </cell>
          <cell r="D4131">
            <v>745.68</v>
          </cell>
          <cell r="E4131">
            <v>7456.7999999999993</v>
          </cell>
          <cell r="F4131" t="str">
            <v>A3-S01</v>
          </cell>
          <cell r="G4131" t="str">
            <v xml:space="preserve">Side panel right  - Ván hông phải </v>
          </cell>
          <cell r="H4131" t="str">
            <v>MDF Veneer</v>
          </cell>
          <cell r="I4131">
            <v>10</v>
          </cell>
        </row>
        <row r="4132">
          <cell r="A4132" t="str">
            <v>B558296/A</v>
          </cell>
          <cell r="B4132" t="str">
            <v>RH10276M342</v>
          </cell>
          <cell r="C4132">
            <v>10</v>
          </cell>
          <cell r="D4132">
            <v>745.68</v>
          </cell>
          <cell r="E4132">
            <v>7456.7999999999993</v>
          </cell>
          <cell r="F4132" t="str">
            <v>P0</v>
          </cell>
          <cell r="G4132" t="str">
            <v>VN - Veneer</v>
          </cell>
          <cell r="H4132" t="str">
            <v>Veneer laminate</v>
          </cell>
          <cell r="I4132">
            <v>10</v>
          </cell>
        </row>
        <row r="4133">
          <cell r="A4133" t="str">
            <v>B558296/A</v>
          </cell>
          <cell r="B4133" t="str">
            <v>RH10276M342</v>
          </cell>
          <cell r="C4133">
            <v>10</v>
          </cell>
          <cell r="D4133">
            <v>745.68</v>
          </cell>
          <cell r="E4133">
            <v>7456.7999999999993</v>
          </cell>
          <cell r="F4133" t="str">
            <v>P01</v>
          </cell>
          <cell r="G4133" t="str">
            <v xml:space="preserve">Top panel  - Ván nóc </v>
          </cell>
          <cell r="H4133" t="str">
            <v>MDF Veneer</v>
          </cell>
          <cell r="I4133">
            <v>10</v>
          </cell>
        </row>
        <row r="4134">
          <cell r="A4134" t="str">
            <v>B558296/A</v>
          </cell>
          <cell r="B4134" t="str">
            <v>RH10276M342</v>
          </cell>
          <cell r="C4134">
            <v>10</v>
          </cell>
          <cell r="D4134">
            <v>745.68</v>
          </cell>
          <cell r="E4134">
            <v>7456.7999999999993</v>
          </cell>
          <cell r="F4134" t="str">
            <v>P03</v>
          </cell>
          <cell r="G4134" t="str">
            <v>Back panel - Ván hậu</v>
          </cell>
          <cell r="H4134" t="str">
            <v>MDF - 06 x 1220 x 2440mm, Veneer Okoume 0.3mm Both Faces [CARB P2 Compliant]</v>
          </cell>
          <cell r="I4134">
            <v>10</v>
          </cell>
        </row>
        <row r="4135">
          <cell r="A4135" t="str">
            <v>B558296/A</v>
          </cell>
          <cell r="B4135" t="str">
            <v>RH10276M342</v>
          </cell>
          <cell r="C4135">
            <v>10</v>
          </cell>
          <cell r="D4135">
            <v>745.68</v>
          </cell>
          <cell r="E4135">
            <v>7456.7999999999993</v>
          </cell>
          <cell r="F4135" t="str">
            <v>P04</v>
          </cell>
          <cell r="G4135" t="str">
            <v>Center rail - Đố giữa</v>
          </cell>
          <cell r="H4135" t="str">
            <v>Wood Rubber Laminate Board - 20 x 1220 x 2440mm, Veneer Poplar both Faces</v>
          </cell>
          <cell r="I4135">
            <v>10</v>
          </cell>
        </row>
        <row r="4136">
          <cell r="A4136" t="str">
            <v>B558296/A</v>
          </cell>
          <cell r="B4136" t="str">
            <v>RH10276M342</v>
          </cell>
          <cell r="C4136">
            <v>10</v>
          </cell>
          <cell r="D4136">
            <v>745.68</v>
          </cell>
          <cell r="E4136">
            <v>7456.7999999999993</v>
          </cell>
          <cell r="F4136" t="str">
            <v>P05</v>
          </cell>
          <cell r="G4136" t="str">
            <v>back rail - Đố hậu</v>
          </cell>
          <cell r="H4136" t="str">
            <v>Wood Rubber Laminate Board - 20 x 1220 x 2440mm, Veneer Poplar both Faces</v>
          </cell>
          <cell r="I4136">
            <v>10</v>
          </cell>
        </row>
        <row r="4137">
          <cell r="A4137" t="str">
            <v>B558296/A</v>
          </cell>
          <cell r="B4137" t="str">
            <v>RH10276M342</v>
          </cell>
          <cell r="C4137">
            <v>10</v>
          </cell>
          <cell r="D4137">
            <v>745.68</v>
          </cell>
          <cell r="E4137">
            <v>7456.7999999999993</v>
          </cell>
          <cell r="F4137" t="str">
            <v>P06</v>
          </cell>
          <cell r="G4137" t="str">
            <v>Bottom panel - Ván đáy</v>
          </cell>
          <cell r="H4137" t="str">
            <v>MDF - 15 x 1220 x 2440mm, Veneer Okoume 0.3mm Both Faces [CARB P2 Compliant]</v>
          </cell>
          <cell r="I4137">
            <v>10</v>
          </cell>
        </row>
        <row r="4138">
          <cell r="A4138" t="str">
            <v>B558296/A</v>
          </cell>
          <cell r="B4138" t="str">
            <v>RH10276M342</v>
          </cell>
          <cell r="C4138">
            <v>10</v>
          </cell>
          <cell r="D4138">
            <v>745.68</v>
          </cell>
          <cell r="E4138">
            <v>7456.7999999999993</v>
          </cell>
          <cell r="F4138" t="str">
            <v>P07</v>
          </cell>
          <cell r="G4138" t="str">
            <v>Insert Wood - Gỗ chèn</v>
          </cell>
          <cell r="H4138" t="str">
            <v>Beech off cut</v>
          </cell>
          <cell r="I4138">
            <v>40</v>
          </cell>
        </row>
        <row r="4139">
          <cell r="A4139" t="str">
            <v>B558296/A</v>
          </cell>
          <cell r="B4139" t="str">
            <v>RH10276M342</v>
          </cell>
          <cell r="C4139">
            <v>10</v>
          </cell>
          <cell r="D4139">
            <v>745.68</v>
          </cell>
          <cell r="E4139">
            <v>7456.7999999999993</v>
          </cell>
          <cell r="F4139" t="str">
            <v>P08</v>
          </cell>
          <cell r="G4139" t="str">
            <v>Back bottom rail - Đố hậu đáy</v>
          </cell>
          <cell r="H4139" t="str">
            <v>Wood Rubber Laminate Board - 20 x 1220 x 2440mm, Veneer Poplar both Faces</v>
          </cell>
          <cell r="I4139">
            <v>10</v>
          </cell>
        </row>
        <row r="4140">
          <cell r="A4140" t="str">
            <v>B558296/A</v>
          </cell>
          <cell r="B4140" t="str">
            <v>RH10276M342</v>
          </cell>
          <cell r="C4140">
            <v>10</v>
          </cell>
          <cell r="D4140">
            <v>745.68</v>
          </cell>
          <cell r="E4140">
            <v>7456.7999999999993</v>
          </cell>
          <cell r="F4140" t="str">
            <v>P09</v>
          </cell>
          <cell r="G4140" t="str">
            <v>Top rail - Đố nóc</v>
          </cell>
          <cell r="H4140" t="str">
            <v>Wood Rubber Laminate Board - 20 x 1220 x 2440mm, Veneer Poplar both Faces</v>
          </cell>
          <cell r="I4140">
            <v>10</v>
          </cell>
        </row>
        <row r="4141">
          <cell r="A4141" t="str">
            <v>B558296/A</v>
          </cell>
          <cell r="B4141" t="str">
            <v>RH10276M342</v>
          </cell>
          <cell r="C4141">
            <v>10</v>
          </cell>
          <cell r="D4141">
            <v>745.68</v>
          </cell>
          <cell r="E4141">
            <v>7456.7999999999993</v>
          </cell>
          <cell r="F4141" t="str">
            <v>P11</v>
          </cell>
          <cell r="G4141" t="str">
            <v>Cleat - Bọ gỗ</v>
          </cell>
          <cell r="H4141" t="str">
            <v>Wood Rubber Laminate Board - 20 x 1220 x 2440mm, Veneer Poplar both Faces</v>
          </cell>
          <cell r="I4141">
            <v>20</v>
          </cell>
        </row>
        <row r="4142">
          <cell r="A4142" t="str">
            <v>B558296/A</v>
          </cell>
          <cell r="B4142" t="str">
            <v>RH10276M342</v>
          </cell>
          <cell r="C4142">
            <v>10</v>
          </cell>
          <cell r="D4142">
            <v>745.68</v>
          </cell>
          <cell r="E4142">
            <v>7456.7999999999993</v>
          </cell>
          <cell r="F4142" t="str">
            <v>P12</v>
          </cell>
          <cell r="G4142" t="str">
            <v>Cleat - Bọ gỗ</v>
          </cell>
          <cell r="H4142" t="str">
            <v>Rubber board off cut</v>
          </cell>
          <cell r="I4142">
            <v>40</v>
          </cell>
        </row>
        <row r="4143">
          <cell r="A4143" t="str">
            <v>B558298/A</v>
          </cell>
          <cell r="B4143" t="str">
            <v>RH10277M342</v>
          </cell>
          <cell r="C4143">
            <v>11</v>
          </cell>
          <cell r="D4143">
            <v>773.53</v>
          </cell>
          <cell r="E4143">
            <v>8508.83</v>
          </cell>
          <cell r="F4143" t="str">
            <v>A1-S01</v>
          </cell>
          <cell r="G4143" t="str">
            <v xml:space="preserve">Drawer front - Mặt hộc kéo </v>
          </cell>
          <cell r="H4143" t="str">
            <v>MDF Veneer</v>
          </cell>
          <cell r="I4143">
            <v>22</v>
          </cell>
        </row>
        <row r="4144">
          <cell r="A4144" t="str">
            <v>B558298/A</v>
          </cell>
          <cell r="B4144" t="str">
            <v>RH10277M342</v>
          </cell>
          <cell r="C4144">
            <v>11</v>
          </cell>
          <cell r="D4144">
            <v>773.53</v>
          </cell>
          <cell r="E4144">
            <v>8508.83</v>
          </cell>
          <cell r="F4144" t="str">
            <v>A1-S02</v>
          </cell>
          <cell r="G4144" t="str">
            <v xml:space="preserve">Drawer front 1 - Mặt hộc kéo </v>
          </cell>
          <cell r="H4144" t="str">
            <v>MDF Veneer</v>
          </cell>
          <cell r="I4144">
            <v>22</v>
          </cell>
        </row>
        <row r="4145">
          <cell r="A4145" t="str">
            <v>B558298/A</v>
          </cell>
          <cell r="B4145" t="str">
            <v>RH10277M342</v>
          </cell>
          <cell r="C4145">
            <v>11</v>
          </cell>
          <cell r="D4145">
            <v>773.53</v>
          </cell>
          <cell r="E4145">
            <v>8508.83</v>
          </cell>
          <cell r="F4145" t="str">
            <v>A1-S03</v>
          </cell>
          <cell r="G4145" t="str">
            <v>Drawer side - Hông hộc kéo</v>
          </cell>
          <cell r="H4145" t="str">
            <v>MDF Veneer</v>
          </cell>
          <cell r="I4145">
            <v>44</v>
          </cell>
        </row>
        <row r="4146">
          <cell r="A4146" t="str">
            <v>B558298/A</v>
          </cell>
          <cell r="B4146" t="str">
            <v>RH10277M342</v>
          </cell>
          <cell r="C4146">
            <v>11</v>
          </cell>
          <cell r="D4146">
            <v>773.53</v>
          </cell>
          <cell r="E4146">
            <v>8508.83</v>
          </cell>
          <cell r="F4146" t="str">
            <v>A1-S04</v>
          </cell>
          <cell r="G4146" t="str">
            <v>Drawer back - Hậu hộc kéo</v>
          </cell>
          <cell r="H4146" t="str">
            <v>MDF Veneer</v>
          </cell>
          <cell r="I4146">
            <v>22</v>
          </cell>
        </row>
        <row r="4147">
          <cell r="A4147" t="str">
            <v>B558298/A</v>
          </cell>
          <cell r="B4147" t="str">
            <v>RH10277M342</v>
          </cell>
          <cell r="C4147">
            <v>11</v>
          </cell>
          <cell r="D4147">
            <v>773.53</v>
          </cell>
          <cell r="E4147">
            <v>8508.83</v>
          </cell>
          <cell r="F4147" t="str">
            <v>A1-S05</v>
          </cell>
          <cell r="G4147" t="str">
            <v>Drawer bottom  - Đáy hộc kéo</v>
          </cell>
          <cell r="H4147" t="str">
            <v>MDF Veneer</v>
          </cell>
          <cell r="I4147">
            <v>22</v>
          </cell>
        </row>
        <row r="4148">
          <cell r="A4148" t="str">
            <v>B558298/A</v>
          </cell>
          <cell r="B4148" t="str">
            <v>RH10277M342</v>
          </cell>
          <cell r="C4148">
            <v>11</v>
          </cell>
          <cell r="D4148">
            <v>773.53</v>
          </cell>
          <cell r="E4148">
            <v>8508.83</v>
          </cell>
          <cell r="F4148" t="str">
            <v>A2-S01</v>
          </cell>
          <cell r="G4148" t="str">
            <v xml:space="preserve">Side panel left  - Ván hông trái </v>
          </cell>
          <cell r="H4148" t="str">
            <v>MDF Veneer</v>
          </cell>
          <cell r="I4148">
            <v>11</v>
          </cell>
        </row>
        <row r="4149">
          <cell r="A4149" t="str">
            <v>B558298/A</v>
          </cell>
          <cell r="B4149" t="str">
            <v>RH10277M342</v>
          </cell>
          <cell r="C4149">
            <v>11</v>
          </cell>
          <cell r="D4149">
            <v>773.53</v>
          </cell>
          <cell r="E4149">
            <v>8508.83</v>
          </cell>
          <cell r="F4149" t="str">
            <v>A2-S01-1</v>
          </cell>
          <cell r="G4149" t="str">
            <v>Insert Wood - Gỗ chèn</v>
          </cell>
          <cell r="H4149" t="str">
            <v>Beech off cut</v>
          </cell>
          <cell r="I4149">
            <v>44</v>
          </cell>
        </row>
        <row r="4150">
          <cell r="A4150" t="str">
            <v>B558298/A</v>
          </cell>
          <cell r="B4150" t="str">
            <v>RH10277M342</v>
          </cell>
          <cell r="C4150">
            <v>11</v>
          </cell>
          <cell r="D4150">
            <v>773.53</v>
          </cell>
          <cell r="E4150">
            <v>8508.83</v>
          </cell>
          <cell r="F4150" t="str">
            <v>A2-S02</v>
          </cell>
          <cell r="G4150" t="str">
            <v xml:space="preserve">Side rail  - Đố hông </v>
          </cell>
          <cell r="H4150" t="str">
            <v>Plywood LVD - 18 x 1220 x 2440mm, Bleached Poplar Veneer Both Sides [CARB P2 Compliant]</v>
          </cell>
          <cell r="I4150">
            <v>44</v>
          </cell>
        </row>
        <row r="4151">
          <cell r="A4151" t="str">
            <v>B558298/A</v>
          </cell>
          <cell r="B4151" t="str">
            <v>RH10277M342</v>
          </cell>
          <cell r="C4151">
            <v>11</v>
          </cell>
          <cell r="D4151">
            <v>773.53</v>
          </cell>
          <cell r="E4151">
            <v>8508.83</v>
          </cell>
          <cell r="F4151" t="str">
            <v>A3-S01</v>
          </cell>
          <cell r="G4151" t="str">
            <v xml:space="preserve">Side panel right  - Ván hông phải </v>
          </cell>
          <cell r="H4151" t="str">
            <v>MDF Veneer</v>
          </cell>
          <cell r="I4151">
            <v>11</v>
          </cell>
        </row>
        <row r="4152">
          <cell r="A4152" t="str">
            <v>B558298/A</v>
          </cell>
          <cell r="B4152" t="str">
            <v>RH10277M342</v>
          </cell>
          <cell r="C4152">
            <v>11</v>
          </cell>
          <cell r="D4152">
            <v>773.53</v>
          </cell>
          <cell r="E4152">
            <v>8508.83</v>
          </cell>
          <cell r="F4152" t="str">
            <v>P0</v>
          </cell>
          <cell r="G4152" t="str">
            <v>VN - Veneer</v>
          </cell>
          <cell r="H4152" t="str">
            <v>Veneer laminate</v>
          </cell>
          <cell r="I4152">
            <v>11</v>
          </cell>
        </row>
        <row r="4153">
          <cell r="A4153" t="str">
            <v>B558298/A</v>
          </cell>
          <cell r="B4153" t="str">
            <v>RH10277M342</v>
          </cell>
          <cell r="C4153">
            <v>11</v>
          </cell>
          <cell r="D4153">
            <v>773.53</v>
          </cell>
          <cell r="E4153">
            <v>8508.83</v>
          </cell>
          <cell r="F4153" t="str">
            <v>P01</v>
          </cell>
          <cell r="G4153" t="str">
            <v xml:space="preserve">Top panel  - Ván nóc </v>
          </cell>
          <cell r="H4153" t="str">
            <v>MDF Veneer</v>
          </cell>
          <cell r="I4153">
            <v>11</v>
          </cell>
        </row>
        <row r="4154">
          <cell r="A4154" t="str">
            <v>B558298/A</v>
          </cell>
          <cell r="B4154" t="str">
            <v>RH10277M342</v>
          </cell>
          <cell r="C4154">
            <v>11</v>
          </cell>
          <cell r="D4154">
            <v>773.53</v>
          </cell>
          <cell r="E4154">
            <v>8508.83</v>
          </cell>
          <cell r="F4154" t="str">
            <v>P03</v>
          </cell>
          <cell r="G4154" t="str">
            <v>Back panel - Ván hậu</v>
          </cell>
          <cell r="H4154" t="str">
            <v>MDF - 06 x 1220 x 2440mm, Veneer Okoume 0.3mm Both Faces [CARB P2 Compliant]</v>
          </cell>
          <cell r="I4154">
            <v>11</v>
          </cell>
        </row>
        <row r="4155">
          <cell r="A4155" t="str">
            <v>B558298/A</v>
          </cell>
          <cell r="B4155" t="str">
            <v>RH10277M342</v>
          </cell>
          <cell r="C4155">
            <v>11</v>
          </cell>
          <cell r="D4155">
            <v>773.53</v>
          </cell>
          <cell r="E4155">
            <v>8508.83</v>
          </cell>
          <cell r="F4155" t="str">
            <v>P04</v>
          </cell>
          <cell r="G4155" t="str">
            <v>Center rail - Đố giữa</v>
          </cell>
          <cell r="H4155" t="str">
            <v>Wood Rubber Laminate Board - 20 x 1220 x 2440mm, Veneer Poplar both Faces</v>
          </cell>
          <cell r="I4155">
            <v>11</v>
          </cell>
        </row>
        <row r="4156">
          <cell r="A4156" t="str">
            <v>B558298/A</v>
          </cell>
          <cell r="B4156" t="str">
            <v>RH10277M342</v>
          </cell>
          <cell r="C4156">
            <v>11</v>
          </cell>
          <cell r="D4156">
            <v>773.53</v>
          </cell>
          <cell r="E4156">
            <v>8508.83</v>
          </cell>
          <cell r="F4156" t="str">
            <v>P05</v>
          </cell>
          <cell r="G4156" t="str">
            <v>back rail - Đố hậu</v>
          </cell>
          <cell r="H4156" t="str">
            <v>Wood Rubber Laminate Board - 20 x 1220 x 2440mm, Veneer Poplar both Faces</v>
          </cell>
          <cell r="I4156">
            <v>11</v>
          </cell>
        </row>
        <row r="4157">
          <cell r="A4157" t="str">
            <v>B558298/A</v>
          </cell>
          <cell r="B4157" t="str">
            <v>RH10277M342</v>
          </cell>
          <cell r="C4157">
            <v>11</v>
          </cell>
          <cell r="D4157">
            <v>773.53</v>
          </cell>
          <cell r="E4157">
            <v>8508.83</v>
          </cell>
          <cell r="F4157" t="str">
            <v>P06</v>
          </cell>
          <cell r="G4157" t="str">
            <v>Bottom panel - Ván đáy</v>
          </cell>
          <cell r="H4157" t="str">
            <v>MDF - 15 x 1220 x 2440mm, Veneer Okoume 0.3mm Both Faces [CARB P2 Compliant]</v>
          </cell>
          <cell r="I4157">
            <v>11</v>
          </cell>
        </row>
        <row r="4158">
          <cell r="A4158" t="str">
            <v>B558298/A</v>
          </cell>
          <cell r="B4158" t="str">
            <v>RH10277M342</v>
          </cell>
          <cell r="C4158">
            <v>11</v>
          </cell>
          <cell r="D4158">
            <v>773.53</v>
          </cell>
          <cell r="E4158">
            <v>8508.83</v>
          </cell>
          <cell r="F4158" t="str">
            <v>P07</v>
          </cell>
          <cell r="G4158" t="str">
            <v>Insert Wood - Gỗ chèn</v>
          </cell>
          <cell r="H4158" t="str">
            <v>Beech off cut</v>
          </cell>
          <cell r="I4158">
            <v>44</v>
          </cell>
        </row>
        <row r="4159">
          <cell r="A4159" t="str">
            <v>B558298/A</v>
          </cell>
          <cell r="B4159" t="str">
            <v>RH10277M342</v>
          </cell>
          <cell r="C4159">
            <v>11</v>
          </cell>
          <cell r="D4159">
            <v>773.53</v>
          </cell>
          <cell r="E4159">
            <v>8508.83</v>
          </cell>
          <cell r="F4159" t="str">
            <v>P08</v>
          </cell>
          <cell r="G4159" t="str">
            <v>Back bottom rail - Đố hậu đáy</v>
          </cell>
          <cell r="H4159" t="str">
            <v>Wood Rubber Laminate Board - 20 x 1220 x 2440mm, Veneer Poplar both Faces</v>
          </cell>
          <cell r="I4159">
            <v>11</v>
          </cell>
        </row>
        <row r="4160">
          <cell r="A4160" t="str">
            <v>B558298/A</v>
          </cell>
          <cell r="B4160" t="str">
            <v>RH10277M342</v>
          </cell>
          <cell r="C4160">
            <v>11</v>
          </cell>
          <cell r="D4160">
            <v>773.53</v>
          </cell>
          <cell r="E4160">
            <v>8508.83</v>
          </cell>
          <cell r="F4160" t="str">
            <v>P09</v>
          </cell>
          <cell r="G4160" t="str">
            <v>Top rail - Đố nóc</v>
          </cell>
          <cell r="H4160" t="str">
            <v>Wood Rubber Laminate Board - 20 x 1220 x 2440mm, Veneer Poplar both Faces</v>
          </cell>
          <cell r="I4160">
            <v>11</v>
          </cell>
        </row>
        <row r="4161">
          <cell r="A4161" t="str">
            <v>B558298/A</v>
          </cell>
          <cell r="B4161" t="str">
            <v>RH10277M342</v>
          </cell>
          <cell r="C4161">
            <v>11</v>
          </cell>
          <cell r="D4161">
            <v>773.53</v>
          </cell>
          <cell r="E4161">
            <v>8508.83</v>
          </cell>
          <cell r="F4161" t="str">
            <v>P11</v>
          </cell>
          <cell r="G4161" t="str">
            <v>Cleat - Bọ gỗ</v>
          </cell>
          <cell r="H4161" t="str">
            <v>Wood Rubber Laminate Board - 20 x 1220 x 2440mm, Veneer Poplar both Faces</v>
          </cell>
          <cell r="I4161">
            <v>22</v>
          </cell>
        </row>
        <row r="4162">
          <cell r="A4162" t="str">
            <v>B558298/A</v>
          </cell>
          <cell r="B4162" t="str">
            <v>RH10277M342</v>
          </cell>
          <cell r="C4162">
            <v>11</v>
          </cell>
          <cell r="D4162">
            <v>773.53</v>
          </cell>
          <cell r="E4162">
            <v>8508.83</v>
          </cell>
          <cell r="F4162" t="str">
            <v>P12</v>
          </cell>
          <cell r="G4162" t="str">
            <v>Cleat - Bọ gỗ</v>
          </cell>
          <cell r="H4162" t="str">
            <v>Rubber board off cut</v>
          </cell>
          <cell r="I4162">
            <v>44</v>
          </cell>
        </row>
        <row r="4163">
          <cell r="A4163" t="str">
            <v>B558300/A</v>
          </cell>
          <cell r="B4163" t="str">
            <v>RH10278M342</v>
          </cell>
          <cell r="C4163">
            <v>16</v>
          </cell>
          <cell r="D4163">
            <v>775.53</v>
          </cell>
          <cell r="E4163">
            <v>12408.48</v>
          </cell>
          <cell r="F4163" t="str">
            <v>A1-S01</v>
          </cell>
          <cell r="G4163" t="str">
            <v xml:space="preserve">Drawer front - Mặt hộc kéo </v>
          </cell>
          <cell r="H4163" t="str">
            <v>MDF Veneer</v>
          </cell>
          <cell r="I4163">
            <v>32</v>
          </cell>
        </row>
        <row r="4164">
          <cell r="A4164" t="str">
            <v>B558300/A</v>
          </cell>
          <cell r="B4164" t="str">
            <v>RH10278M342</v>
          </cell>
          <cell r="C4164">
            <v>16</v>
          </cell>
          <cell r="D4164">
            <v>775.53</v>
          </cell>
          <cell r="E4164">
            <v>12408.48</v>
          </cell>
          <cell r="F4164" t="str">
            <v>A1-S02</v>
          </cell>
          <cell r="G4164" t="str">
            <v xml:space="preserve">Drawer front 1 - Mặt hộc kéo </v>
          </cell>
          <cell r="H4164" t="str">
            <v>MDF Veneer</v>
          </cell>
          <cell r="I4164">
            <v>32</v>
          </cell>
        </row>
        <row r="4165">
          <cell r="A4165" t="str">
            <v>B558300/A</v>
          </cell>
          <cell r="B4165" t="str">
            <v>RH10278M342</v>
          </cell>
          <cell r="C4165">
            <v>16</v>
          </cell>
          <cell r="D4165">
            <v>775.53</v>
          </cell>
          <cell r="E4165">
            <v>12408.48</v>
          </cell>
          <cell r="F4165" t="str">
            <v>A1-S03</v>
          </cell>
          <cell r="G4165" t="str">
            <v>Drawer side - Hông hộc kéo</v>
          </cell>
          <cell r="H4165" t="str">
            <v>MDF Veneer</v>
          </cell>
          <cell r="I4165">
            <v>64</v>
          </cell>
        </row>
        <row r="4166">
          <cell r="A4166" t="str">
            <v>B558300/A</v>
          </cell>
          <cell r="B4166" t="str">
            <v>RH10278M342</v>
          </cell>
          <cell r="C4166">
            <v>16</v>
          </cell>
          <cell r="D4166">
            <v>775.53</v>
          </cell>
          <cell r="E4166">
            <v>12408.48</v>
          </cell>
          <cell r="F4166" t="str">
            <v>A1-S04</v>
          </cell>
          <cell r="G4166" t="str">
            <v>Drawer back - Hậu hộc kéo</v>
          </cell>
          <cell r="H4166" t="str">
            <v>MDF Veneer</v>
          </cell>
          <cell r="I4166">
            <v>32</v>
          </cell>
        </row>
        <row r="4167">
          <cell r="A4167" t="str">
            <v>B558300/A</v>
          </cell>
          <cell r="B4167" t="str">
            <v>RH10278M342</v>
          </cell>
          <cell r="C4167">
            <v>16</v>
          </cell>
          <cell r="D4167">
            <v>775.53</v>
          </cell>
          <cell r="E4167">
            <v>12408.48</v>
          </cell>
          <cell r="F4167" t="str">
            <v>A1-S05</v>
          </cell>
          <cell r="G4167" t="str">
            <v>Drawer bottom  - Đáy hộc kéo</v>
          </cell>
          <cell r="H4167" t="str">
            <v>MDF Veneer</v>
          </cell>
          <cell r="I4167">
            <v>32</v>
          </cell>
        </row>
        <row r="4168">
          <cell r="A4168" t="str">
            <v>B558300/A</v>
          </cell>
          <cell r="B4168" t="str">
            <v>RH10278M342</v>
          </cell>
          <cell r="C4168">
            <v>16</v>
          </cell>
          <cell r="D4168">
            <v>775.53</v>
          </cell>
          <cell r="E4168">
            <v>12408.48</v>
          </cell>
          <cell r="F4168" t="str">
            <v>A2-S01</v>
          </cell>
          <cell r="G4168" t="str">
            <v xml:space="preserve">Side panel left  - Ván hông trái </v>
          </cell>
          <cell r="H4168" t="str">
            <v>MDF Veneer</v>
          </cell>
          <cell r="I4168">
            <v>16</v>
          </cell>
        </row>
        <row r="4169">
          <cell r="A4169" t="str">
            <v>B558300/A</v>
          </cell>
          <cell r="B4169" t="str">
            <v>RH10278M342</v>
          </cell>
          <cell r="C4169">
            <v>16</v>
          </cell>
          <cell r="D4169">
            <v>775.53</v>
          </cell>
          <cell r="E4169">
            <v>12408.48</v>
          </cell>
          <cell r="F4169" t="str">
            <v>A2-S01-1</v>
          </cell>
          <cell r="G4169" t="str">
            <v>Insert Wood - Gỗ chèn</v>
          </cell>
          <cell r="H4169" t="str">
            <v>Beech off cut</v>
          </cell>
          <cell r="I4169">
            <v>64</v>
          </cell>
        </row>
        <row r="4170">
          <cell r="A4170" t="str">
            <v>B558300/A</v>
          </cell>
          <cell r="B4170" t="str">
            <v>RH10278M342</v>
          </cell>
          <cell r="C4170">
            <v>16</v>
          </cell>
          <cell r="D4170">
            <v>775.53</v>
          </cell>
          <cell r="E4170">
            <v>12408.48</v>
          </cell>
          <cell r="F4170" t="str">
            <v>A2-S02</v>
          </cell>
          <cell r="G4170" t="str">
            <v xml:space="preserve">Side rail  - Đố hông </v>
          </cell>
          <cell r="H4170" t="str">
            <v>Plywood LVD - 18 x 1220 x 2440mm, Bleached Poplar Veneer Both Sides [CARB P2 Compliant]</v>
          </cell>
          <cell r="I4170">
            <v>64</v>
          </cell>
        </row>
        <row r="4171">
          <cell r="A4171" t="str">
            <v>B558300/A</v>
          </cell>
          <cell r="B4171" t="str">
            <v>RH10278M342</v>
          </cell>
          <cell r="C4171">
            <v>16</v>
          </cell>
          <cell r="D4171">
            <v>775.53</v>
          </cell>
          <cell r="E4171">
            <v>12408.48</v>
          </cell>
          <cell r="F4171" t="str">
            <v>A3-S01</v>
          </cell>
          <cell r="G4171" t="str">
            <v xml:space="preserve">Side panel right  - Ván hông phải </v>
          </cell>
          <cell r="H4171" t="str">
            <v>MDF Veneer</v>
          </cell>
          <cell r="I4171">
            <v>16</v>
          </cell>
        </row>
        <row r="4172">
          <cell r="A4172" t="str">
            <v>B558300/A</v>
          </cell>
          <cell r="B4172" t="str">
            <v>RH10278M342</v>
          </cell>
          <cell r="C4172">
            <v>16</v>
          </cell>
          <cell r="D4172">
            <v>775.53</v>
          </cell>
          <cell r="E4172">
            <v>12408.48</v>
          </cell>
          <cell r="F4172" t="str">
            <v>P0</v>
          </cell>
          <cell r="G4172" t="str">
            <v>VN - Veneer</v>
          </cell>
          <cell r="H4172" t="str">
            <v>Veneer laminate</v>
          </cell>
          <cell r="I4172">
            <v>16</v>
          </cell>
        </row>
        <row r="4173">
          <cell r="A4173" t="str">
            <v>B558300/A</v>
          </cell>
          <cell r="B4173" t="str">
            <v>RH10278M342</v>
          </cell>
          <cell r="C4173">
            <v>16</v>
          </cell>
          <cell r="D4173">
            <v>775.53</v>
          </cell>
          <cell r="E4173">
            <v>12408.48</v>
          </cell>
          <cell r="F4173" t="str">
            <v>P01</v>
          </cell>
          <cell r="G4173" t="str">
            <v xml:space="preserve">Top panel  - Ván nóc </v>
          </cell>
          <cell r="H4173" t="str">
            <v>MDF Veneer</v>
          </cell>
          <cell r="I4173">
            <v>16</v>
          </cell>
        </row>
        <row r="4174">
          <cell r="A4174" t="str">
            <v>B558300/A</v>
          </cell>
          <cell r="B4174" t="str">
            <v>RH10278M342</v>
          </cell>
          <cell r="C4174">
            <v>16</v>
          </cell>
          <cell r="D4174">
            <v>775.53</v>
          </cell>
          <cell r="E4174">
            <v>12408.48</v>
          </cell>
          <cell r="F4174" t="str">
            <v>P03</v>
          </cell>
          <cell r="G4174" t="str">
            <v>Back panel - Ván hậu</v>
          </cell>
          <cell r="H4174" t="str">
            <v>MDF - 06 x 1220 x 2440mm, Veneer Okoume 0.3mm Both Faces [CARB P2 Compliant]</v>
          </cell>
          <cell r="I4174">
            <v>16</v>
          </cell>
        </row>
        <row r="4175">
          <cell r="A4175" t="str">
            <v>B558300/A</v>
          </cell>
          <cell r="B4175" t="str">
            <v>RH10278M342</v>
          </cell>
          <cell r="C4175">
            <v>16</v>
          </cell>
          <cell r="D4175">
            <v>775.53</v>
          </cell>
          <cell r="E4175">
            <v>12408.48</v>
          </cell>
          <cell r="F4175" t="str">
            <v>P04</v>
          </cell>
          <cell r="G4175" t="str">
            <v>Center rail - Đố giữa</v>
          </cell>
          <cell r="H4175" t="str">
            <v>Wood Rubber Laminate Board - 20 x 1220 x 2440mm, Veneer Poplar both Faces</v>
          </cell>
          <cell r="I4175">
            <v>16</v>
          </cell>
        </row>
        <row r="4176">
          <cell r="A4176" t="str">
            <v>B558300/A</v>
          </cell>
          <cell r="B4176" t="str">
            <v>RH10278M342</v>
          </cell>
          <cell r="C4176">
            <v>16</v>
          </cell>
          <cell r="D4176">
            <v>775.53</v>
          </cell>
          <cell r="E4176">
            <v>12408.48</v>
          </cell>
          <cell r="F4176" t="str">
            <v>P05</v>
          </cell>
          <cell r="G4176" t="str">
            <v>back rail - Đố hậu</v>
          </cell>
          <cell r="H4176" t="str">
            <v>Wood Rubber Laminate Board - 20 x 1220 x 2440mm, Veneer Poplar both Faces</v>
          </cell>
          <cell r="I4176">
            <v>16</v>
          </cell>
        </row>
        <row r="4177">
          <cell r="A4177" t="str">
            <v>B558300/A</v>
          </cell>
          <cell r="B4177" t="str">
            <v>RH10278M342</v>
          </cell>
          <cell r="C4177">
            <v>16</v>
          </cell>
          <cell r="D4177">
            <v>775.53</v>
          </cell>
          <cell r="E4177">
            <v>12408.48</v>
          </cell>
          <cell r="F4177" t="str">
            <v>P06</v>
          </cell>
          <cell r="G4177" t="str">
            <v>Bottom panel - Ván đáy</v>
          </cell>
          <cell r="H4177" t="str">
            <v>MDF - 15 x 1220 x 2440mm, Veneer Okoume 0.3mm Both Faces [CARB P2 Compliant]</v>
          </cell>
          <cell r="I4177">
            <v>16</v>
          </cell>
        </row>
        <row r="4178">
          <cell r="A4178" t="str">
            <v>B558300/A</v>
          </cell>
          <cell r="B4178" t="str">
            <v>RH10278M342</v>
          </cell>
          <cell r="C4178">
            <v>16</v>
          </cell>
          <cell r="D4178">
            <v>775.53</v>
          </cell>
          <cell r="E4178">
            <v>12408.48</v>
          </cell>
          <cell r="F4178" t="str">
            <v>P07</v>
          </cell>
          <cell r="G4178" t="str">
            <v>Insert Wood - Gỗ chèn</v>
          </cell>
          <cell r="H4178" t="str">
            <v>Beech off cut</v>
          </cell>
          <cell r="I4178">
            <v>64</v>
          </cell>
        </row>
        <row r="4179">
          <cell r="A4179" t="str">
            <v>B558300/A</v>
          </cell>
          <cell r="B4179" t="str">
            <v>RH10278M342</v>
          </cell>
          <cell r="C4179">
            <v>16</v>
          </cell>
          <cell r="D4179">
            <v>775.53</v>
          </cell>
          <cell r="E4179">
            <v>12408.48</v>
          </cell>
          <cell r="F4179" t="str">
            <v>P08</v>
          </cell>
          <cell r="G4179" t="str">
            <v>Back bottom rail - Đố hậu đáy</v>
          </cell>
          <cell r="H4179" t="str">
            <v>Wood Rubber Laminate Board - 20 x 1220 x 2440mm, Veneer Poplar both Faces</v>
          </cell>
          <cell r="I4179">
            <v>16</v>
          </cell>
        </row>
        <row r="4180">
          <cell r="A4180" t="str">
            <v>B558300/A</v>
          </cell>
          <cell r="B4180" t="str">
            <v>RH10278M342</v>
          </cell>
          <cell r="C4180">
            <v>16</v>
          </cell>
          <cell r="D4180">
            <v>775.53</v>
          </cell>
          <cell r="E4180">
            <v>12408.48</v>
          </cell>
          <cell r="F4180" t="str">
            <v>P09</v>
          </cell>
          <cell r="G4180" t="str">
            <v>Top rail - Đố nóc</v>
          </cell>
          <cell r="H4180" t="str">
            <v>Wood Rubber Laminate Board - 20 x 1220 x 2440mm, Veneer Poplar both Faces</v>
          </cell>
          <cell r="I4180">
            <v>16</v>
          </cell>
        </row>
        <row r="4181">
          <cell r="A4181" t="str">
            <v>B558300/A</v>
          </cell>
          <cell r="B4181" t="str">
            <v>RH10278M342</v>
          </cell>
          <cell r="C4181">
            <v>16</v>
          </cell>
          <cell r="D4181">
            <v>775.53</v>
          </cell>
          <cell r="E4181">
            <v>12408.48</v>
          </cell>
          <cell r="F4181" t="str">
            <v>P11</v>
          </cell>
          <cell r="G4181" t="str">
            <v>Cleat - Bọ gỗ</v>
          </cell>
          <cell r="H4181" t="str">
            <v>Wood Rubber Laminate Board - 20 x 1220 x 2440mm, Veneer Poplar both Faces</v>
          </cell>
          <cell r="I4181">
            <v>32</v>
          </cell>
        </row>
        <row r="4182">
          <cell r="A4182" t="str">
            <v>B558300/A</v>
          </cell>
          <cell r="B4182" t="str">
            <v>RH10278M342</v>
          </cell>
          <cell r="C4182">
            <v>16</v>
          </cell>
          <cell r="D4182">
            <v>775.53</v>
          </cell>
          <cell r="E4182">
            <v>12408.48</v>
          </cell>
          <cell r="F4182" t="str">
            <v>P12</v>
          </cell>
          <cell r="G4182" t="str">
            <v>Cleat - Bọ gỗ</v>
          </cell>
          <cell r="H4182" t="str">
            <v>Rubber board off cut</v>
          </cell>
          <cell r="I4182">
            <v>64</v>
          </cell>
        </row>
        <row r="4183">
          <cell r="A4183" t="str">
            <v>B558302/A</v>
          </cell>
          <cell r="B4183" t="str">
            <v>RH1157NM26</v>
          </cell>
          <cell r="C4183">
            <v>1</v>
          </cell>
          <cell r="D4183">
            <v>724.67</v>
          </cell>
          <cell r="E4183">
            <v>724.67</v>
          </cell>
          <cell r="F4183" t="str">
            <v>A1</v>
          </cell>
          <cell r="G4183" t="str">
            <v>Adjustable Shelf  - Kệ di động</v>
          </cell>
          <cell r="H4183" t="str">
            <v>Pre-Assembly</v>
          </cell>
          <cell r="I4183">
            <v>2</v>
          </cell>
        </row>
        <row r="4184">
          <cell r="A4184" t="str">
            <v>B558302/A</v>
          </cell>
          <cell r="B4184" t="str">
            <v>RH1157NM26</v>
          </cell>
          <cell r="C4184">
            <v>1</v>
          </cell>
          <cell r="D4184">
            <v>724.67</v>
          </cell>
          <cell r="E4184">
            <v>724.67</v>
          </cell>
          <cell r="F4184" t="str">
            <v>A1-S1</v>
          </cell>
          <cell r="G4184" t="str">
            <v>Shelf panel  - Ván kệ</v>
          </cell>
          <cell r="H4184" t="str">
            <v>MDF Veneer</v>
          </cell>
          <cell r="I4184">
            <v>2</v>
          </cell>
        </row>
        <row r="4185">
          <cell r="A4185" t="str">
            <v>B558302/A</v>
          </cell>
          <cell r="B4185" t="str">
            <v>RH1157NM26</v>
          </cell>
          <cell r="C4185">
            <v>1</v>
          </cell>
          <cell r="D4185">
            <v>724.67</v>
          </cell>
          <cell r="E4185">
            <v>724.67</v>
          </cell>
          <cell r="F4185" t="str">
            <v>A1-S2</v>
          </cell>
          <cell r="G4185" t="str">
            <v>Shelf moulding - Chỉ đắp kệ</v>
          </cell>
          <cell r="H4185" t="str">
            <v>Wood US Poplar - Straight Edged, 2 COM - T32mm x W100mm Up x L1.8m Up</v>
          </cell>
          <cell r="I4185">
            <v>4</v>
          </cell>
        </row>
        <row r="4186">
          <cell r="A4186" t="str">
            <v>B558302/A</v>
          </cell>
          <cell r="B4186" t="str">
            <v>RH1157NM26</v>
          </cell>
          <cell r="C4186">
            <v>1</v>
          </cell>
          <cell r="D4186">
            <v>724.67</v>
          </cell>
          <cell r="E4186">
            <v>724.67</v>
          </cell>
          <cell r="F4186" t="str">
            <v>A2</v>
          </cell>
          <cell r="G4186" t="str">
            <v>Door Frame - Khung cửa</v>
          </cell>
          <cell r="H4186" t="str">
            <v>Pre-Assembly</v>
          </cell>
          <cell r="I4186">
            <v>2</v>
          </cell>
        </row>
        <row r="4187">
          <cell r="A4187" t="str">
            <v>B558302/A</v>
          </cell>
          <cell r="B4187" t="str">
            <v>RH1157NM26</v>
          </cell>
          <cell r="C4187">
            <v>1</v>
          </cell>
          <cell r="D4187">
            <v>724.67</v>
          </cell>
          <cell r="E4187">
            <v>724.67</v>
          </cell>
          <cell r="F4187" t="str">
            <v>A2-S01</v>
          </cell>
          <cell r="G4187" t="str">
            <v>Door Horizontal rail  - Đố cửa ngang</v>
          </cell>
          <cell r="H4187" t="str">
            <v>Wood US Poplar - Straight Edged, 2 COM - T32mm x W100mm Up x L1.8m Up</v>
          </cell>
          <cell r="I4187">
            <v>2</v>
          </cell>
        </row>
        <row r="4188">
          <cell r="A4188" t="str">
            <v>B558302/A</v>
          </cell>
          <cell r="B4188" t="str">
            <v>RH1157NM26</v>
          </cell>
          <cell r="C4188">
            <v>1</v>
          </cell>
          <cell r="D4188">
            <v>724.67</v>
          </cell>
          <cell r="E4188">
            <v>724.67</v>
          </cell>
          <cell r="F4188" t="str">
            <v>A2-S01-1</v>
          </cell>
          <cell r="G4188" t="str">
            <v>Door center rail  - Đố cửa giữa</v>
          </cell>
          <cell r="H4188" t="str">
            <v>Wood US Poplar - Straight Edged, 2 COM - T32mm x W100mm Up x L1.8m Up</v>
          </cell>
          <cell r="I4188">
            <v>2</v>
          </cell>
        </row>
        <row r="4189">
          <cell r="A4189" t="str">
            <v>B558302/A</v>
          </cell>
          <cell r="B4189" t="str">
            <v>RH1157NM26</v>
          </cell>
          <cell r="C4189">
            <v>1</v>
          </cell>
          <cell r="D4189">
            <v>724.67</v>
          </cell>
          <cell r="E4189">
            <v>724.67</v>
          </cell>
          <cell r="F4189" t="str">
            <v>A2-S02</v>
          </cell>
          <cell r="G4189" t="str">
            <v>Door vertical rail  - Đố cửa đứng</v>
          </cell>
          <cell r="H4189" t="str">
            <v>Wood US Poplar - Straight Edged, 2 COM - T32mm x W100mm Up x L1.8m Up</v>
          </cell>
          <cell r="I4189">
            <v>2</v>
          </cell>
        </row>
        <row r="4190">
          <cell r="A4190" t="str">
            <v>B558302/A</v>
          </cell>
          <cell r="B4190" t="str">
            <v>RH1157NM26</v>
          </cell>
          <cell r="C4190">
            <v>1</v>
          </cell>
          <cell r="D4190">
            <v>724.67</v>
          </cell>
          <cell r="E4190">
            <v>724.67</v>
          </cell>
          <cell r="F4190" t="str">
            <v>A2-S03</v>
          </cell>
          <cell r="G4190" t="str">
            <v>Door vertical rail  - Đố cửa đứng</v>
          </cell>
          <cell r="H4190" t="str">
            <v>Wood US Poplar - Straight Edged, 2 COM - T32mm x W100mm Up x L1.8m Up</v>
          </cell>
          <cell r="I4190">
            <v>1</v>
          </cell>
        </row>
        <row r="4191">
          <cell r="A4191" t="str">
            <v>B558302/A</v>
          </cell>
          <cell r="B4191" t="str">
            <v>RH1157NM26</v>
          </cell>
          <cell r="C4191">
            <v>1</v>
          </cell>
          <cell r="D4191">
            <v>724.67</v>
          </cell>
          <cell r="E4191">
            <v>724.67</v>
          </cell>
          <cell r="F4191" t="str">
            <v>A2-S03-1</v>
          </cell>
          <cell r="G4191" t="str">
            <v>Vertical rail 1 - Đố đứng 1</v>
          </cell>
          <cell r="H4191" t="str">
            <v>Wood US Poplar - Straight Edged, 2 COM - T32mm x W100mm Up x L1.8m Up</v>
          </cell>
          <cell r="I4191">
            <v>1</v>
          </cell>
        </row>
        <row r="4192">
          <cell r="A4192" t="str">
            <v>B558302/A</v>
          </cell>
          <cell r="B4192" t="str">
            <v>RH1157NM26</v>
          </cell>
          <cell r="C4192">
            <v>1</v>
          </cell>
          <cell r="D4192">
            <v>724.67</v>
          </cell>
          <cell r="E4192">
            <v>724.67</v>
          </cell>
          <cell r="F4192" t="str">
            <v>A2-S04</v>
          </cell>
          <cell r="G4192" t="str">
            <v>Door panel  - Ván cửa</v>
          </cell>
          <cell r="H4192" t="str">
            <v>MDF Veneer</v>
          </cell>
          <cell r="I4192">
            <v>2</v>
          </cell>
        </row>
        <row r="4193">
          <cell r="A4193" t="str">
            <v>B558302/A</v>
          </cell>
          <cell r="B4193" t="str">
            <v>RH1157NM26</v>
          </cell>
          <cell r="C4193">
            <v>1</v>
          </cell>
          <cell r="D4193">
            <v>724.67</v>
          </cell>
          <cell r="E4193">
            <v>724.67</v>
          </cell>
          <cell r="F4193" t="str">
            <v>A2-S05</v>
          </cell>
          <cell r="G4193" t="str">
            <v>Panel outside - Ván phía ngoài</v>
          </cell>
          <cell r="H4193" t="str">
            <v>MDF Veneer</v>
          </cell>
          <cell r="I4193">
            <v>2</v>
          </cell>
        </row>
        <row r="4194">
          <cell r="A4194" t="str">
            <v>B558302/A</v>
          </cell>
          <cell r="B4194" t="str">
            <v>RH1157NM26</v>
          </cell>
          <cell r="C4194">
            <v>1</v>
          </cell>
          <cell r="D4194">
            <v>724.67</v>
          </cell>
          <cell r="E4194">
            <v>724.67</v>
          </cell>
          <cell r="F4194" t="str">
            <v>A2-S06</v>
          </cell>
          <cell r="G4194" t="str">
            <v>Panel outside - Ván phía ngoài</v>
          </cell>
          <cell r="H4194" t="str">
            <v>MDF Veneer</v>
          </cell>
          <cell r="I4194">
            <v>2</v>
          </cell>
        </row>
        <row r="4195">
          <cell r="A4195" t="str">
            <v>B558302/A</v>
          </cell>
          <cell r="B4195" t="str">
            <v>RH1157NM26</v>
          </cell>
          <cell r="C4195">
            <v>1</v>
          </cell>
          <cell r="D4195">
            <v>724.67</v>
          </cell>
          <cell r="E4195">
            <v>724.67</v>
          </cell>
          <cell r="F4195" t="str">
            <v>A2-S07</v>
          </cell>
          <cell r="G4195" t="str">
            <v>Patching wood - Gỗ đắp</v>
          </cell>
          <cell r="H4195" t="str">
            <v>Wood US Poplar - Straight Edged, 2 COM - T32mm x W100mm Up x L1.8m Up</v>
          </cell>
          <cell r="I4195">
            <v>2</v>
          </cell>
        </row>
        <row r="4196">
          <cell r="A4196" t="str">
            <v>B558302/A</v>
          </cell>
          <cell r="B4196" t="str">
            <v>RH1157NM26</v>
          </cell>
          <cell r="C4196">
            <v>1</v>
          </cell>
          <cell r="D4196">
            <v>724.67</v>
          </cell>
          <cell r="E4196">
            <v>724.67</v>
          </cell>
          <cell r="F4196" t="str">
            <v>A2-S08</v>
          </cell>
          <cell r="G4196" t="str">
            <v>Insert Wood - Gỗ chèn</v>
          </cell>
          <cell r="H4196" t="str">
            <v>Wood US Poplar - Straight Edged, 2 COM - T25mm x W100mm Up x L1.8m Up</v>
          </cell>
          <cell r="I4196">
            <v>2</v>
          </cell>
        </row>
        <row r="4197">
          <cell r="A4197" t="str">
            <v>B558302/A</v>
          </cell>
          <cell r="B4197" t="str">
            <v>RH1157NM26</v>
          </cell>
          <cell r="C4197">
            <v>1</v>
          </cell>
          <cell r="D4197">
            <v>724.67</v>
          </cell>
          <cell r="E4197">
            <v>724.67</v>
          </cell>
          <cell r="F4197" t="str">
            <v>A2-S09</v>
          </cell>
          <cell r="G4197" t="str">
            <v>Front moulding  - Chỉ tiền</v>
          </cell>
          <cell r="H4197" t="str">
            <v>Wood US Poplar - Straight Edged, 2 COM - T38mm x W100mm Up x L1.8m Up</v>
          </cell>
          <cell r="I4197">
            <v>2</v>
          </cell>
        </row>
        <row r="4198">
          <cell r="A4198" t="str">
            <v>B558302/A</v>
          </cell>
          <cell r="B4198" t="str">
            <v>RH1157NM26</v>
          </cell>
          <cell r="C4198">
            <v>1</v>
          </cell>
          <cell r="D4198">
            <v>724.67</v>
          </cell>
          <cell r="E4198">
            <v>724.67</v>
          </cell>
          <cell r="F4198" t="str">
            <v>A2-S10</v>
          </cell>
          <cell r="G4198" t="str">
            <v>Front moulding  - Chỉ tiền</v>
          </cell>
          <cell r="H4198" t="str">
            <v>TRAM OFF CUT</v>
          </cell>
          <cell r="I4198">
            <v>4</v>
          </cell>
        </row>
        <row r="4199">
          <cell r="A4199" t="str">
            <v>B558302/A</v>
          </cell>
          <cell r="B4199" t="str">
            <v>RH1157NM26</v>
          </cell>
          <cell r="C4199">
            <v>1</v>
          </cell>
          <cell r="D4199">
            <v>724.67</v>
          </cell>
          <cell r="E4199">
            <v>724.67</v>
          </cell>
          <cell r="F4199" t="str">
            <v>A2-S11</v>
          </cell>
          <cell r="G4199" t="str">
            <v>Front moulding  - Chỉ tiền</v>
          </cell>
          <cell r="H4199" t="str">
            <v>TRAM OFF CUT</v>
          </cell>
          <cell r="I4199">
            <v>4</v>
          </cell>
        </row>
        <row r="4200">
          <cell r="A4200" t="str">
            <v>B558302/A</v>
          </cell>
          <cell r="B4200" t="str">
            <v>RH1157NM26</v>
          </cell>
          <cell r="C4200">
            <v>1</v>
          </cell>
          <cell r="D4200">
            <v>724.67</v>
          </cell>
          <cell r="E4200">
            <v>724.67</v>
          </cell>
          <cell r="F4200" t="str">
            <v>A2-S12</v>
          </cell>
          <cell r="G4200" t="str">
            <v>Front moulding  - Chỉ tiền</v>
          </cell>
          <cell r="H4200" t="str">
            <v>Wood US Poplar - Straight Edged, 2 COM - T38mm x W100mm Up x L1.8m Up</v>
          </cell>
          <cell r="I4200">
            <v>4</v>
          </cell>
        </row>
        <row r="4201">
          <cell r="A4201" t="str">
            <v>B558302/A</v>
          </cell>
          <cell r="B4201" t="str">
            <v>RH1157NM26</v>
          </cell>
          <cell r="C4201">
            <v>1</v>
          </cell>
          <cell r="D4201">
            <v>724.67</v>
          </cell>
          <cell r="E4201">
            <v>724.67</v>
          </cell>
          <cell r="F4201" t="str">
            <v>A2-S13</v>
          </cell>
          <cell r="G4201" t="str">
            <v>Front moulding  - Chỉ tiền</v>
          </cell>
          <cell r="H4201" t="str">
            <v>TRAM OFF CUT</v>
          </cell>
          <cell r="I4201">
            <v>4</v>
          </cell>
        </row>
        <row r="4202">
          <cell r="A4202" t="str">
            <v>B558302/A</v>
          </cell>
          <cell r="B4202" t="str">
            <v>RH1157NM26</v>
          </cell>
          <cell r="C4202">
            <v>1</v>
          </cell>
          <cell r="D4202">
            <v>724.67</v>
          </cell>
          <cell r="E4202">
            <v>724.67</v>
          </cell>
          <cell r="F4202" t="str">
            <v>A2-S14</v>
          </cell>
          <cell r="G4202" t="str">
            <v>Front moulding  - Chỉ tiền</v>
          </cell>
          <cell r="H4202" t="str">
            <v>TRAM OFF CUT</v>
          </cell>
          <cell r="I4202">
            <v>4</v>
          </cell>
        </row>
        <row r="4203">
          <cell r="A4203" t="str">
            <v>B558302/A</v>
          </cell>
          <cell r="B4203" t="str">
            <v>RH1157NM26</v>
          </cell>
          <cell r="C4203">
            <v>1</v>
          </cell>
          <cell r="D4203">
            <v>724.67</v>
          </cell>
          <cell r="E4203">
            <v>724.67</v>
          </cell>
          <cell r="F4203" t="str">
            <v>A2-S15</v>
          </cell>
          <cell r="G4203" t="str">
            <v>Front moulding  - Chỉ tiền</v>
          </cell>
          <cell r="H4203" t="str">
            <v>TRAM OFF CUT</v>
          </cell>
          <cell r="I4203">
            <v>4</v>
          </cell>
        </row>
        <row r="4204">
          <cell r="A4204" t="str">
            <v>B558302/A</v>
          </cell>
          <cell r="B4204" t="str">
            <v>RH1157NM26</v>
          </cell>
          <cell r="C4204">
            <v>1</v>
          </cell>
          <cell r="D4204">
            <v>724.67</v>
          </cell>
          <cell r="E4204">
            <v>724.67</v>
          </cell>
          <cell r="F4204" t="str">
            <v>A2-S16</v>
          </cell>
          <cell r="G4204" t="str">
            <v>Front moulding  - Chỉ tiền</v>
          </cell>
          <cell r="H4204" t="str">
            <v>TRAM OFF CUT</v>
          </cell>
          <cell r="I4204">
            <v>4</v>
          </cell>
        </row>
        <row r="4205">
          <cell r="A4205" t="str">
            <v>B558302/A</v>
          </cell>
          <cell r="B4205" t="str">
            <v>RH1157NM26</v>
          </cell>
          <cell r="C4205">
            <v>1</v>
          </cell>
          <cell r="D4205">
            <v>724.67</v>
          </cell>
          <cell r="E4205">
            <v>724.67</v>
          </cell>
          <cell r="F4205" t="str">
            <v>A2-S17</v>
          </cell>
          <cell r="G4205" t="str">
            <v>Front moulding  - Chỉ tiền</v>
          </cell>
          <cell r="H4205" t="str">
            <v>Wood US Poplar - Straight Edged, 2 COM - T38mm x W100mm Up x L1.8m Up</v>
          </cell>
          <cell r="I4205">
            <v>4</v>
          </cell>
        </row>
        <row r="4206">
          <cell r="A4206" t="str">
            <v>B558302/A</v>
          </cell>
          <cell r="B4206" t="str">
            <v>RH1157NM26</v>
          </cell>
          <cell r="C4206">
            <v>1</v>
          </cell>
          <cell r="D4206">
            <v>724.67</v>
          </cell>
          <cell r="E4206">
            <v>724.67</v>
          </cell>
          <cell r="F4206" t="str">
            <v>A2-S18</v>
          </cell>
          <cell r="G4206" t="str">
            <v>Front moulding  - Chỉ tiền</v>
          </cell>
          <cell r="H4206" t="str">
            <v>TRAM OFF CUT</v>
          </cell>
          <cell r="I4206">
            <v>4</v>
          </cell>
        </row>
        <row r="4207">
          <cell r="A4207" t="str">
            <v>B558302/A</v>
          </cell>
          <cell r="B4207" t="str">
            <v>RH1157NM26</v>
          </cell>
          <cell r="C4207">
            <v>1</v>
          </cell>
          <cell r="D4207">
            <v>724.67</v>
          </cell>
          <cell r="E4207">
            <v>724.67</v>
          </cell>
          <cell r="F4207" t="str">
            <v>A2-S21</v>
          </cell>
          <cell r="G4207" t="str">
            <v>Front moulding  - Chỉ tiền</v>
          </cell>
          <cell r="H4207" t="str">
            <v>Wood US Poplar - Straight Edged, 2 COM - T38mm x W100mm Up x L1.8m Up</v>
          </cell>
          <cell r="I4207">
            <v>4</v>
          </cell>
        </row>
        <row r="4208">
          <cell r="A4208" t="str">
            <v>B558302/A</v>
          </cell>
          <cell r="B4208" t="str">
            <v>RH1157NM26</v>
          </cell>
          <cell r="C4208">
            <v>1</v>
          </cell>
          <cell r="D4208">
            <v>724.67</v>
          </cell>
          <cell r="E4208">
            <v>724.67</v>
          </cell>
          <cell r="F4208" t="str">
            <v>A2-S22</v>
          </cell>
          <cell r="G4208" t="str">
            <v>Patching wood - Gỗ đắp</v>
          </cell>
          <cell r="H4208" t="str">
            <v>Wood US Poplar - Straight Edged, 2 COM - T38mm x W100mm Up x L1.8m Up</v>
          </cell>
          <cell r="I4208">
            <v>2</v>
          </cell>
        </row>
        <row r="4209">
          <cell r="A4209" t="str">
            <v>B558302/A</v>
          </cell>
          <cell r="B4209" t="str">
            <v>RH1157NM26</v>
          </cell>
          <cell r="C4209">
            <v>1</v>
          </cell>
          <cell r="D4209">
            <v>724.67</v>
          </cell>
          <cell r="E4209">
            <v>724.67</v>
          </cell>
          <cell r="F4209" t="str">
            <v>A2-S22-1</v>
          </cell>
          <cell r="G4209" t="str">
            <v>Front moulding  - Chỉ tiền</v>
          </cell>
          <cell r="H4209" t="str">
            <v>Wood US Poplar - Straight Edged, 2 COM - T25mm x W100mm Up x L1.8m Up</v>
          </cell>
          <cell r="I4209">
            <v>8</v>
          </cell>
        </row>
        <row r="4210">
          <cell r="A4210" t="str">
            <v>B558302/A</v>
          </cell>
          <cell r="B4210" t="str">
            <v>RH1157NM26</v>
          </cell>
          <cell r="C4210">
            <v>1</v>
          </cell>
          <cell r="D4210">
            <v>724.67</v>
          </cell>
          <cell r="E4210">
            <v>724.67</v>
          </cell>
          <cell r="F4210" t="str">
            <v>A2-S23</v>
          </cell>
          <cell r="G4210" t="str">
            <v>Front moulding  - Chỉ tiền</v>
          </cell>
          <cell r="H4210" t="str">
            <v>Wood US Poplar - Straight Edged, 2 COM - T38mm x W100mm Up x L1.8m Up</v>
          </cell>
          <cell r="I4210">
            <v>2</v>
          </cell>
        </row>
        <row r="4211">
          <cell r="A4211" t="str">
            <v>B558302/A</v>
          </cell>
          <cell r="B4211" t="str">
            <v>RH1157NM26</v>
          </cell>
          <cell r="C4211">
            <v>1</v>
          </cell>
          <cell r="D4211">
            <v>724.67</v>
          </cell>
          <cell r="E4211">
            <v>724.67</v>
          </cell>
          <cell r="F4211" t="str">
            <v>A2-S24</v>
          </cell>
          <cell r="G4211" t="str">
            <v>Patching wood - Gỗ đắp</v>
          </cell>
          <cell r="H4211" t="str">
            <v>Wood US Poplar - Straight Edged, 2 COM - T38mm x W100mm Up x L1.8m Up</v>
          </cell>
          <cell r="I4211">
            <v>4</v>
          </cell>
        </row>
        <row r="4212">
          <cell r="A4212" t="str">
            <v>B558302/A</v>
          </cell>
          <cell r="B4212" t="str">
            <v>RH1157NM26</v>
          </cell>
          <cell r="C4212">
            <v>1</v>
          </cell>
          <cell r="D4212">
            <v>724.67</v>
          </cell>
          <cell r="E4212">
            <v>724.67</v>
          </cell>
          <cell r="F4212" t="str">
            <v>A2-S25</v>
          </cell>
          <cell r="G4212" t="str">
            <v>Patching wood - Gỗ đắp</v>
          </cell>
          <cell r="H4212" t="str">
            <v>Wood US Poplar - Straight Edged, 2 COM - T38mm x W100mm Up x L1.8m Up</v>
          </cell>
          <cell r="I4212">
            <v>4</v>
          </cell>
        </row>
        <row r="4213">
          <cell r="A4213" t="str">
            <v>B558302/A</v>
          </cell>
          <cell r="B4213" t="str">
            <v>RH1157NM26</v>
          </cell>
          <cell r="C4213">
            <v>1</v>
          </cell>
          <cell r="D4213">
            <v>724.67</v>
          </cell>
          <cell r="E4213">
            <v>724.67</v>
          </cell>
          <cell r="F4213" t="str">
            <v>A2-S26</v>
          </cell>
          <cell r="G4213" t="str">
            <v>Patching wood - Gỗ đắp</v>
          </cell>
          <cell r="H4213" t="str">
            <v>Wood US Poplar - Straight Edged, 2 COM - T38mm x W100mm Up x L1.8m Up</v>
          </cell>
          <cell r="I4213">
            <v>4</v>
          </cell>
        </row>
        <row r="4214">
          <cell r="A4214" t="str">
            <v>B558302/A</v>
          </cell>
          <cell r="B4214" t="str">
            <v>RH1157NM26</v>
          </cell>
          <cell r="C4214">
            <v>1</v>
          </cell>
          <cell r="D4214">
            <v>724.67</v>
          </cell>
          <cell r="E4214">
            <v>724.67</v>
          </cell>
          <cell r="F4214" t="str">
            <v>A2-S27</v>
          </cell>
          <cell r="G4214" t="str">
            <v>Patching wood - Gỗ đắp</v>
          </cell>
          <cell r="H4214" t="str">
            <v>Wood US Poplar - Straight Edged, 2 COM - T38mm x W100mm Up x L1.8m Up</v>
          </cell>
          <cell r="I4214">
            <v>4</v>
          </cell>
        </row>
        <row r="4215">
          <cell r="A4215" t="str">
            <v>B558302/A</v>
          </cell>
          <cell r="B4215" t="str">
            <v>RH1157NM26</v>
          </cell>
          <cell r="C4215">
            <v>1</v>
          </cell>
          <cell r="D4215">
            <v>724.67</v>
          </cell>
          <cell r="E4215">
            <v>724.67</v>
          </cell>
          <cell r="F4215" t="str">
            <v>A2-S28</v>
          </cell>
          <cell r="G4215" t="str">
            <v>Patching wood - Gỗ đắp</v>
          </cell>
          <cell r="H4215" t="str">
            <v>Wood US Poplar - Straight Edged, 2 COM - T38mm x W100mm Up x L1.8m Up</v>
          </cell>
          <cell r="I4215">
            <v>4</v>
          </cell>
        </row>
        <row r="4216">
          <cell r="A4216" t="str">
            <v>B558302/A</v>
          </cell>
          <cell r="B4216" t="str">
            <v>RH1157NM26</v>
          </cell>
          <cell r="C4216">
            <v>1</v>
          </cell>
          <cell r="D4216">
            <v>724.67</v>
          </cell>
          <cell r="E4216">
            <v>724.67</v>
          </cell>
          <cell r="F4216" t="str">
            <v>A2-S29</v>
          </cell>
          <cell r="G4216" t="str">
            <v>Front moulding  - Chỉ tiền</v>
          </cell>
          <cell r="H4216" t="str">
            <v>Wood US Poplar - Straight Edged, 2 COM - T25mm x W100mm Up x L1.8m Up</v>
          </cell>
          <cell r="I4216">
            <v>2</v>
          </cell>
        </row>
        <row r="4217">
          <cell r="A4217" t="str">
            <v>B558302/A</v>
          </cell>
          <cell r="B4217" t="str">
            <v>RH1157NM26</v>
          </cell>
          <cell r="C4217">
            <v>1</v>
          </cell>
          <cell r="D4217">
            <v>724.67</v>
          </cell>
          <cell r="E4217">
            <v>724.67</v>
          </cell>
          <cell r="F4217" t="str">
            <v>A3-S1</v>
          </cell>
          <cell r="G4217" t="str">
            <v>Front rail  - Đố tiền</v>
          </cell>
          <cell r="H4217" t="str">
            <v>Wood US Poplar - Straight Edged, 2 COM - T32mm x W100mm Up x L1.8m Up</v>
          </cell>
          <cell r="I4217">
            <v>1</v>
          </cell>
        </row>
        <row r="4218">
          <cell r="A4218" t="str">
            <v>B558302/A</v>
          </cell>
          <cell r="B4218" t="str">
            <v>RH1157NM26</v>
          </cell>
          <cell r="C4218">
            <v>1</v>
          </cell>
          <cell r="D4218">
            <v>724.67</v>
          </cell>
          <cell r="E4218">
            <v>724.67</v>
          </cell>
          <cell r="F4218" t="str">
            <v>A3-S2</v>
          </cell>
          <cell r="G4218" t="str">
            <v>Back rail - Đố hậu</v>
          </cell>
          <cell r="H4218" t="str">
            <v>Wood US Poplar - Straight Edged, 2 COM - T38mm x W100mm Up x L1.8m Up</v>
          </cell>
          <cell r="I4218">
            <v>1</v>
          </cell>
        </row>
        <row r="4219">
          <cell r="A4219" t="str">
            <v>B558302/A</v>
          </cell>
          <cell r="B4219" t="str">
            <v>RH1157NM26</v>
          </cell>
          <cell r="C4219">
            <v>1</v>
          </cell>
          <cell r="D4219">
            <v>724.67</v>
          </cell>
          <cell r="E4219">
            <v>724.67</v>
          </cell>
          <cell r="F4219" t="str">
            <v>A3-S3</v>
          </cell>
          <cell r="G4219" t="str">
            <v>Center rail - Đố giữa</v>
          </cell>
          <cell r="H4219" t="str">
            <v>Wood US Poplar - Straight Edged, 2 COM - T25mm x W100mm Up x L1.8m Up</v>
          </cell>
          <cell r="I4219">
            <v>4</v>
          </cell>
        </row>
        <row r="4220">
          <cell r="A4220" t="str">
            <v>B558302/A</v>
          </cell>
          <cell r="B4220" t="str">
            <v>RH1157NM26</v>
          </cell>
          <cell r="C4220">
            <v>1</v>
          </cell>
          <cell r="D4220">
            <v>724.67</v>
          </cell>
          <cell r="E4220">
            <v>724.67</v>
          </cell>
          <cell r="F4220" t="str">
            <v>A3-S4</v>
          </cell>
          <cell r="G4220" t="str">
            <v>Bottom panel - Ván đáy</v>
          </cell>
          <cell r="H4220" t="str">
            <v>MDF - 03 x 1220 x 2440mm [CARB P2 Compliant]</v>
          </cell>
          <cell r="I4220">
            <v>1</v>
          </cell>
        </row>
        <row r="4221">
          <cell r="A4221" t="str">
            <v>B558302/A</v>
          </cell>
          <cell r="B4221" t="str">
            <v>RH1157NM26</v>
          </cell>
          <cell r="C4221">
            <v>1</v>
          </cell>
          <cell r="D4221">
            <v>724.67</v>
          </cell>
          <cell r="E4221">
            <v>724.67</v>
          </cell>
          <cell r="F4221" t="str">
            <v>A4-S1</v>
          </cell>
          <cell r="G4221" t="str">
            <v xml:space="preserve">Drawer front - Mặt hộc kéo </v>
          </cell>
          <cell r="H4221" t="str">
            <v>Wood Acacia - Straight/Waving Edged - T25mm x W100mm Up x L1.5m Up</v>
          </cell>
          <cell r="I4221">
            <v>2</v>
          </cell>
        </row>
        <row r="4222">
          <cell r="A4222" t="str">
            <v>B558302/A</v>
          </cell>
          <cell r="B4222" t="str">
            <v>RH1157NM26</v>
          </cell>
          <cell r="C4222">
            <v>1</v>
          </cell>
          <cell r="D4222">
            <v>724.67</v>
          </cell>
          <cell r="E4222">
            <v>724.67</v>
          </cell>
          <cell r="F4222" t="str">
            <v>A4-S2</v>
          </cell>
          <cell r="G4222" t="str">
            <v>Drawer back - Hậu hộc kéo</v>
          </cell>
          <cell r="H4222" t="str">
            <v>MDF Veneer</v>
          </cell>
          <cell r="I4222">
            <v>2</v>
          </cell>
        </row>
        <row r="4223">
          <cell r="A4223" t="str">
            <v>B558302/A</v>
          </cell>
          <cell r="B4223" t="str">
            <v>RH1157NM26</v>
          </cell>
          <cell r="C4223">
            <v>1</v>
          </cell>
          <cell r="D4223">
            <v>724.67</v>
          </cell>
          <cell r="E4223">
            <v>724.67</v>
          </cell>
          <cell r="F4223" t="str">
            <v>A4-S3</v>
          </cell>
          <cell r="G4223" t="str">
            <v>Drawer side - Hông hộc kéo</v>
          </cell>
          <cell r="H4223" t="str">
            <v>MDF Veneer</v>
          </cell>
          <cell r="I4223">
            <v>4</v>
          </cell>
        </row>
        <row r="4224">
          <cell r="A4224" t="str">
            <v>B558302/A</v>
          </cell>
          <cell r="B4224" t="str">
            <v>RH1157NM26</v>
          </cell>
          <cell r="C4224">
            <v>1</v>
          </cell>
          <cell r="D4224">
            <v>724.67</v>
          </cell>
          <cell r="E4224">
            <v>724.67</v>
          </cell>
          <cell r="F4224" t="str">
            <v>A4-S4</v>
          </cell>
          <cell r="G4224" t="str">
            <v>Drawer bottom  - Đáy hộc kéo</v>
          </cell>
          <cell r="H4224" t="str">
            <v>MDF - 06 x 1220 x 2440mm, Veneer Tram 0.3mm + Veneer Engineering 0.3mm [CARB P2 Compliant]</v>
          </cell>
          <cell r="I4224">
            <v>2</v>
          </cell>
        </row>
        <row r="4225">
          <cell r="A4225" t="str">
            <v>B558302/A</v>
          </cell>
          <cell r="B4225" t="str">
            <v>RH1157NM26</v>
          </cell>
          <cell r="C4225">
            <v>1</v>
          </cell>
          <cell r="D4225">
            <v>724.67</v>
          </cell>
          <cell r="E4225">
            <v>724.67</v>
          </cell>
          <cell r="F4225" t="str">
            <v>A4-S5</v>
          </cell>
          <cell r="G4225" t="str">
            <v>Drawer runner - Ray trượt âm</v>
          </cell>
          <cell r="H4225" t="str">
            <v>Runner - Beech Wood - 15x22x410mm (guide) 15x49x400mm (runner)</v>
          </cell>
          <cell r="I4225">
            <v>4</v>
          </cell>
        </row>
        <row r="4226">
          <cell r="A4226" t="str">
            <v>B558302/A</v>
          </cell>
          <cell r="B4226" t="str">
            <v>RH1157NM26</v>
          </cell>
          <cell r="C4226">
            <v>1</v>
          </cell>
          <cell r="D4226">
            <v>724.67</v>
          </cell>
          <cell r="E4226">
            <v>724.67</v>
          </cell>
          <cell r="F4226" t="str">
            <v>A4-S6</v>
          </cell>
          <cell r="G4226" t="str">
            <v>Drawer guide - Ray trượt dương</v>
          </cell>
          <cell r="H4226" t="str">
            <v>Runner - Beech Wood - 15x22x410mm (guide) 15x49x400mm (runner)</v>
          </cell>
          <cell r="I4226">
            <v>4</v>
          </cell>
        </row>
        <row r="4227">
          <cell r="A4227" t="str">
            <v>B558302/A</v>
          </cell>
          <cell r="B4227" t="str">
            <v>RH1157NM26</v>
          </cell>
          <cell r="C4227">
            <v>1</v>
          </cell>
          <cell r="D4227">
            <v>724.67</v>
          </cell>
          <cell r="E4227">
            <v>724.67</v>
          </cell>
          <cell r="F4227" t="str">
            <v>A5-S1</v>
          </cell>
          <cell r="G4227" t="str">
            <v>Front rail  - Đố tiền</v>
          </cell>
          <cell r="H4227" t="str">
            <v>Wood US Poplar - Straight Edged, 2 COM - T32mm x W100mm Up x L1.8m Up</v>
          </cell>
          <cell r="I4227">
            <v>1</v>
          </cell>
        </row>
        <row r="4228">
          <cell r="A4228" t="str">
            <v>B558302/A</v>
          </cell>
          <cell r="B4228" t="str">
            <v>RH1157NM26</v>
          </cell>
          <cell r="C4228">
            <v>1</v>
          </cell>
          <cell r="D4228">
            <v>724.67</v>
          </cell>
          <cell r="E4228">
            <v>724.67</v>
          </cell>
          <cell r="F4228" t="str">
            <v>A5-S2</v>
          </cell>
          <cell r="G4228" t="str">
            <v>back rail - Đố hậu</v>
          </cell>
          <cell r="H4228" t="str">
            <v>Standard Wood - ALDER/ASPEN/LENGA/US POPLAR, 2 COM - T25 W120mm+ L2m+</v>
          </cell>
          <cell r="I4228">
            <v>1</v>
          </cell>
        </row>
        <row r="4229">
          <cell r="A4229" t="str">
            <v>B558302/A</v>
          </cell>
          <cell r="B4229" t="str">
            <v>RH1157NM26</v>
          </cell>
          <cell r="C4229">
            <v>1</v>
          </cell>
          <cell r="D4229">
            <v>724.67</v>
          </cell>
          <cell r="E4229">
            <v>724.67</v>
          </cell>
          <cell r="F4229" t="str">
            <v>A5-S3</v>
          </cell>
          <cell r="G4229" t="str">
            <v>Bottom panel - Ván đáy</v>
          </cell>
          <cell r="H4229" t="str">
            <v>MDF - 03 x 1220 x 2440mm [CARB P2 Compliant]</v>
          </cell>
          <cell r="I4229">
            <v>1</v>
          </cell>
        </row>
        <row r="4230">
          <cell r="A4230" t="str">
            <v>B558302/A</v>
          </cell>
          <cell r="B4230" t="str">
            <v>RH1157NM26</v>
          </cell>
          <cell r="C4230">
            <v>1</v>
          </cell>
          <cell r="D4230">
            <v>724.67</v>
          </cell>
          <cell r="E4230">
            <v>724.67</v>
          </cell>
          <cell r="F4230" t="str">
            <v>P01</v>
          </cell>
          <cell r="G4230" t="str">
            <v>Front top rail  - Đố tiền nóc</v>
          </cell>
          <cell r="H4230" t="str">
            <v>Poplar 2 COM</v>
          </cell>
          <cell r="I4230">
            <v>1</v>
          </cell>
        </row>
        <row r="4231">
          <cell r="A4231" t="str">
            <v>B558302/A</v>
          </cell>
          <cell r="B4231" t="str">
            <v>RH1157NM26</v>
          </cell>
          <cell r="C4231">
            <v>1</v>
          </cell>
          <cell r="D4231">
            <v>724.67</v>
          </cell>
          <cell r="E4231">
            <v>724.67</v>
          </cell>
          <cell r="F4231" t="str">
            <v>P02</v>
          </cell>
          <cell r="G4231" t="str">
            <v>Side moulding - Chỉ hông</v>
          </cell>
          <cell r="H4231" t="str">
            <v>Poplar 2 COM</v>
          </cell>
          <cell r="I4231">
            <v>2</v>
          </cell>
        </row>
        <row r="4232">
          <cell r="A4232" t="str">
            <v>B558302/A</v>
          </cell>
          <cell r="B4232" t="str">
            <v>RH1157NM26</v>
          </cell>
          <cell r="C4232">
            <v>1</v>
          </cell>
          <cell r="D4232">
            <v>724.67</v>
          </cell>
          <cell r="E4232">
            <v>724.67</v>
          </cell>
          <cell r="F4232" t="str">
            <v>P03</v>
          </cell>
          <cell r="G4232" t="str">
            <v xml:space="preserve">Top panel  - Ván nóc </v>
          </cell>
          <cell r="H4232" t="str">
            <v>MDF Veneer</v>
          </cell>
          <cell r="I4232">
            <v>1</v>
          </cell>
        </row>
        <row r="4233">
          <cell r="A4233" t="str">
            <v>B558302/A</v>
          </cell>
          <cell r="B4233" t="str">
            <v>RH1157NM26</v>
          </cell>
          <cell r="C4233">
            <v>1</v>
          </cell>
          <cell r="D4233">
            <v>724.67</v>
          </cell>
          <cell r="E4233">
            <v>724.67</v>
          </cell>
          <cell r="F4233" t="str">
            <v>P05</v>
          </cell>
          <cell r="G4233" t="str">
            <v xml:space="preserve">Side rail  - Đố hông </v>
          </cell>
          <cell r="H4233" t="str">
            <v>Wood US Poplar - Straight Edged, 2 COM - T25mm x W100mm Up x L1.8m Up</v>
          </cell>
          <cell r="I4233">
            <v>2</v>
          </cell>
        </row>
        <row r="4234">
          <cell r="A4234" t="str">
            <v>B558302/A</v>
          </cell>
          <cell r="B4234" t="str">
            <v>RH1157NM26</v>
          </cell>
          <cell r="C4234">
            <v>1</v>
          </cell>
          <cell r="D4234">
            <v>724.67</v>
          </cell>
          <cell r="E4234">
            <v>724.67</v>
          </cell>
          <cell r="F4234" t="str">
            <v>P07</v>
          </cell>
          <cell r="G4234" t="str">
            <v>Center panel - Ván giữa</v>
          </cell>
          <cell r="H4234" t="str">
            <v>Pre-Assembly</v>
          </cell>
          <cell r="I4234">
            <v>1</v>
          </cell>
        </row>
        <row r="4235">
          <cell r="A4235" t="str">
            <v>B558302/A</v>
          </cell>
          <cell r="B4235" t="str">
            <v>RH1157NM26</v>
          </cell>
          <cell r="C4235">
            <v>1</v>
          </cell>
          <cell r="D4235">
            <v>724.67</v>
          </cell>
          <cell r="E4235">
            <v>724.67</v>
          </cell>
          <cell r="F4235" t="str">
            <v>P07-1</v>
          </cell>
          <cell r="G4235" t="str">
            <v>Center panel - Ván giữa</v>
          </cell>
          <cell r="H4235" t="str">
            <v>MDF Veneer</v>
          </cell>
          <cell r="I4235">
            <v>1</v>
          </cell>
        </row>
        <row r="4236">
          <cell r="A4236" t="str">
            <v>B558302/A</v>
          </cell>
          <cell r="B4236" t="str">
            <v>RH1157NM26</v>
          </cell>
          <cell r="C4236">
            <v>1</v>
          </cell>
          <cell r="D4236">
            <v>724.67</v>
          </cell>
          <cell r="E4236">
            <v>724.67</v>
          </cell>
          <cell r="F4236" t="str">
            <v>P07-2</v>
          </cell>
          <cell r="G4236" t="str">
            <v>Front rail  - Đố tiền</v>
          </cell>
          <cell r="H4236" t="str">
            <v>Wood US Poplar - Straight Edged, 2 COM - T32mm x W100mm Up x L1.8m Up</v>
          </cell>
          <cell r="I4236">
            <v>1</v>
          </cell>
        </row>
        <row r="4237">
          <cell r="A4237" t="str">
            <v>B558302/A</v>
          </cell>
          <cell r="B4237" t="str">
            <v>RH1157NM26</v>
          </cell>
          <cell r="C4237">
            <v>1</v>
          </cell>
          <cell r="D4237">
            <v>724.67</v>
          </cell>
          <cell r="E4237">
            <v>724.67</v>
          </cell>
          <cell r="F4237" t="str">
            <v>P08</v>
          </cell>
          <cell r="G4237" t="str">
            <v>Back panel - Ván hậu</v>
          </cell>
          <cell r="H4237" t="str">
            <v>Pre-Assembly</v>
          </cell>
          <cell r="I4237">
            <v>1</v>
          </cell>
        </row>
        <row r="4238">
          <cell r="A4238" t="str">
            <v>B558302/A</v>
          </cell>
          <cell r="B4238" t="str">
            <v>RH1157NM26</v>
          </cell>
          <cell r="C4238">
            <v>1</v>
          </cell>
          <cell r="D4238">
            <v>724.67</v>
          </cell>
          <cell r="E4238">
            <v>724.67</v>
          </cell>
          <cell r="F4238" t="str">
            <v>P08-1</v>
          </cell>
          <cell r="G4238" t="str">
            <v>Back panel - Ván hậu</v>
          </cell>
          <cell r="H4238" t="str">
            <v>MDF Veneer</v>
          </cell>
          <cell r="I4238">
            <v>1</v>
          </cell>
        </row>
        <row r="4239">
          <cell r="A4239" t="str">
            <v>B558302/A</v>
          </cell>
          <cell r="B4239" t="str">
            <v>RH1157NM26</v>
          </cell>
          <cell r="C4239">
            <v>1</v>
          </cell>
          <cell r="D4239">
            <v>724.67</v>
          </cell>
          <cell r="E4239">
            <v>724.67</v>
          </cell>
          <cell r="F4239" t="str">
            <v>P08-2</v>
          </cell>
          <cell r="G4239" t="str">
            <v>Back moulding - Chỉ hậu</v>
          </cell>
          <cell r="H4239" t="str">
            <v>Wood US Poplar - Straight Edged, 2 COM - T25mm x W100mm Up x L1.8m Up</v>
          </cell>
          <cell r="I4239">
            <v>1</v>
          </cell>
        </row>
        <row r="4240">
          <cell r="A4240" t="str">
            <v>B558302/A</v>
          </cell>
          <cell r="B4240" t="str">
            <v>RH1157NM26</v>
          </cell>
          <cell r="C4240">
            <v>1</v>
          </cell>
          <cell r="D4240">
            <v>724.67</v>
          </cell>
          <cell r="E4240">
            <v>724.67</v>
          </cell>
          <cell r="F4240" t="str">
            <v>P08-3</v>
          </cell>
          <cell r="G4240" t="str">
            <v>Back moulding - Chỉ hậu</v>
          </cell>
          <cell r="H4240" t="str">
            <v>Wood US Poplar - Straight Edged, 2 COM - T25mm x W100mm Up x L1.8m Up</v>
          </cell>
          <cell r="I4240">
            <v>2</v>
          </cell>
        </row>
        <row r="4241">
          <cell r="A4241" t="str">
            <v>B558302/A</v>
          </cell>
          <cell r="B4241" t="str">
            <v>RH1157NM26</v>
          </cell>
          <cell r="C4241">
            <v>1</v>
          </cell>
          <cell r="D4241">
            <v>724.67</v>
          </cell>
          <cell r="E4241">
            <v>724.67</v>
          </cell>
          <cell r="F4241" t="str">
            <v>P08-4</v>
          </cell>
          <cell r="G4241" t="str">
            <v>Back panel - Ván hậu</v>
          </cell>
          <cell r="H4241" t="str">
            <v>MDF Veneer</v>
          </cell>
          <cell r="I4241">
            <v>1</v>
          </cell>
        </row>
        <row r="4242">
          <cell r="A4242" t="str">
            <v>B558302/A</v>
          </cell>
          <cell r="B4242" t="str">
            <v>RH1157NM26</v>
          </cell>
          <cell r="C4242">
            <v>1</v>
          </cell>
          <cell r="D4242">
            <v>724.67</v>
          </cell>
          <cell r="E4242">
            <v>724.67</v>
          </cell>
          <cell r="F4242" t="str">
            <v>P09</v>
          </cell>
          <cell r="G4242" t="str">
            <v>Front top rail  - Đố tiền nóc</v>
          </cell>
          <cell r="H4242" t="str">
            <v>Poplar 2 COM</v>
          </cell>
          <cell r="I4242">
            <v>1</v>
          </cell>
        </row>
        <row r="4243">
          <cell r="A4243" t="str">
            <v>B558302/A</v>
          </cell>
          <cell r="B4243" t="str">
            <v>RH1157NM26</v>
          </cell>
          <cell r="C4243">
            <v>1</v>
          </cell>
          <cell r="D4243">
            <v>724.67</v>
          </cell>
          <cell r="E4243">
            <v>724.67</v>
          </cell>
          <cell r="F4243" t="str">
            <v>P10</v>
          </cell>
          <cell r="G4243" t="str">
            <v>Back top rail - Đố hậu nóc</v>
          </cell>
          <cell r="H4243" t="str">
            <v>Wood US Poplar - Straight Edged, 2 COM - T25mm x W100mm Up x L1.8m Up</v>
          </cell>
          <cell r="I4243">
            <v>1</v>
          </cell>
        </row>
        <row r="4244">
          <cell r="A4244" t="str">
            <v>B558302/A</v>
          </cell>
          <cell r="B4244" t="str">
            <v>RH1157NM26</v>
          </cell>
          <cell r="C4244">
            <v>1</v>
          </cell>
          <cell r="D4244">
            <v>724.67</v>
          </cell>
          <cell r="E4244">
            <v>724.67</v>
          </cell>
          <cell r="F4244" t="str">
            <v>P11</v>
          </cell>
          <cell r="G4244" t="str">
            <v>Door stop - Dừng cửa</v>
          </cell>
          <cell r="H4244" t="str">
            <v>Wood EU Beech - Straight/Waving Edged ABC, 2 COM - T38mm x W100mm up x L1.8m up</v>
          </cell>
          <cell r="I4244">
            <v>1</v>
          </cell>
        </row>
        <row r="4245">
          <cell r="A4245" t="str">
            <v>B558302/A</v>
          </cell>
          <cell r="B4245" t="str">
            <v>RH1157NM26</v>
          </cell>
          <cell r="C4245">
            <v>1</v>
          </cell>
          <cell r="D4245">
            <v>724.67</v>
          </cell>
          <cell r="E4245">
            <v>724.67</v>
          </cell>
          <cell r="F4245" t="str">
            <v>P12</v>
          </cell>
          <cell r="G4245" t="str">
            <v>Center rail - Đố giữa</v>
          </cell>
          <cell r="H4245" t="str">
            <v>Standard Wood - ALDER/ASPEN/LENGA/US POPLAR, 2 COM - T25 W120mm+ L2m+</v>
          </cell>
          <cell r="I4245">
            <v>1</v>
          </cell>
        </row>
        <row r="4246">
          <cell r="A4246" t="str">
            <v>B558302/A</v>
          </cell>
          <cell r="B4246" t="str">
            <v>RH1157NM26</v>
          </cell>
          <cell r="C4246">
            <v>1</v>
          </cell>
          <cell r="D4246">
            <v>724.67</v>
          </cell>
          <cell r="E4246">
            <v>724.67</v>
          </cell>
          <cell r="F4246" t="str">
            <v>P13</v>
          </cell>
          <cell r="G4246" t="str">
            <v xml:space="preserve">Side rail  - Đố hông </v>
          </cell>
          <cell r="H4246" t="str">
            <v>Wood US Poplar - Straight Edged, 2 COM - T25mm x W100mm Up x L1.8m Up</v>
          </cell>
          <cell r="I4246">
            <v>2</v>
          </cell>
        </row>
        <row r="4247">
          <cell r="A4247" t="str">
            <v>B558302/A</v>
          </cell>
          <cell r="B4247" t="str">
            <v>RH1157NM26</v>
          </cell>
          <cell r="C4247">
            <v>1</v>
          </cell>
          <cell r="D4247">
            <v>724.67</v>
          </cell>
          <cell r="E4247">
            <v>724.67</v>
          </cell>
          <cell r="F4247" t="str">
            <v>P16</v>
          </cell>
          <cell r="G4247" t="str">
            <v>Front Bottom Rail  - Đố đáy trước</v>
          </cell>
          <cell r="H4247" t="str">
            <v>Poplar 2 COM</v>
          </cell>
          <cell r="I4247">
            <v>1</v>
          </cell>
        </row>
        <row r="4248">
          <cell r="A4248" t="str">
            <v>B558302/A</v>
          </cell>
          <cell r="B4248" t="str">
            <v>RH1157NM26</v>
          </cell>
          <cell r="C4248">
            <v>1</v>
          </cell>
          <cell r="D4248">
            <v>724.67</v>
          </cell>
          <cell r="E4248">
            <v>724.67</v>
          </cell>
          <cell r="F4248" t="str">
            <v>P18</v>
          </cell>
          <cell r="G4248" t="str">
            <v>Insert Wood - Gỗ chèn</v>
          </cell>
          <cell r="H4248" t="str">
            <v>Poplar off cut</v>
          </cell>
          <cell r="I4248">
            <v>4</v>
          </cell>
        </row>
        <row r="4249">
          <cell r="A4249" t="str">
            <v>B558302/A</v>
          </cell>
          <cell r="B4249" t="str">
            <v>RH1157NM26</v>
          </cell>
          <cell r="C4249">
            <v>1</v>
          </cell>
          <cell r="D4249">
            <v>724.67</v>
          </cell>
          <cell r="E4249">
            <v>724.67</v>
          </cell>
          <cell r="F4249" t="str">
            <v>P19</v>
          </cell>
          <cell r="G4249" t="str">
            <v xml:space="preserve">Side rail  - Đố hông </v>
          </cell>
          <cell r="H4249" t="str">
            <v>Wood US Poplar - Straight Edged, 2 COM - T25mm x W100mm Up x L1.8m Up</v>
          </cell>
          <cell r="I4249">
            <v>4</v>
          </cell>
        </row>
        <row r="4250">
          <cell r="A4250" t="str">
            <v>B558302/A</v>
          </cell>
          <cell r="B4250" t="str">
            <v>RH1157NM26</v>
          </cell>
          <cell r="C4250">
            <v>1</v>
          </cell>
          <cell r="D4250">
            <v>724.67</v>
          </cell>
          <cell r="E4250">
            <v>724.67</v>
          </cell>
          <cell r="F4250" t="str">
            <v>P20</v>
          </cell>
          <cell r="G4250" t="str">
            <v>Front Top rail 1 - Đố nóc trước 1</v>
          </cell>
          <cell r="H4250" t="str">
            <v>Wood EU Beech - Straight/Waving Edged ABC, 2 COM - T38mm x W100mm up x L1.8m up</v>
          </cell>
          <cell r="I4250">
            <v>1</v>
          </cell>
        </row>
        <row r="4251">
          <cell r="A4251" t="str">
            <v>B558302/A</v>
          </cell>
          <cell r="B4251" t="str">
            <v>RH1157NM26</v>
          </cell>
          <cell r="C4251">
            <v>1</v>
          </cell>
          <cell r="D4251">
            <v>724.67</v>
          </cell>
          <cell r="E4251">
            <v>724.67</v>
          </cell>
          <cell r="F4251" t="str">
            <v>P21</v>
          </cell>
          <cell r="G4251" t="str">
            <v xml:space="preserve">Side panel  - Ván hông </v>
          </cell>
          <cell r="H4251" t="str">
            <v>Pre-Assembly</v>
          </cell>
          <cell r="I4251">
            <v>2</v>
          </cell>
        </row>
        <row r="4252">
          <cell r="A4252" t="str">
            <v>B558302/A</v>
          </cell>
          <cell r="B4252" t="str">
            <v>RH1157NM26</v>
          </cell>
          <cell r="C4252">
            <v>1</v>
          </cell>
          <cell r="D4252">
            <v>724.67</v>
          </cell>
          <cell r="E4252">
            <v>724.67</v>
          </cell>
          <cell r="F4252" t="str">
            <v>P21-1</v>
          </cell>
          <cell r="G4252" t="str">
            <v>Patching wood - Gỗ đắp</v>
          </cell>
          <cell r="H4252" t="str">
            <v>Wood US Poplar - Straight Edged, 2 COM - T38mm x W100mm Up x L1.8m Up</v>
          </cell>
          <cell r="I4252">
            <v>2</v>
          </cell>
        </row>
        <row r="4253">
          <cell r="A4253" t="str">
            <v>B558302/A</v>
          </cell>
          <cell r="B4253" t="str">
            <v>RH1157NM26</v>
          </cell>
          <cell r="C4253">
            <v>1</v>
          </cell>
          <cell r="D4253">
            <v>724.67</v>
          </cell>
          <cell r="E4253">
            <v>724.67</v>
          </cell>
          <cell r="F4253" t="str">
            <v>P21-4</v>
          </cell>
          <cell r="G4253" t="str">
            <v xml:space="preserve">Side panel  - Ván hông </v>
          </cell>
          <cell r="H4253" t="str">
            <v>Pre-Assembly</v>
          </cell>
          <cell r="I4253">
            <v>2</v>
          </cell>
        </row>
        <row r="4254">
          <cell r="A4254" t="str">
            <v>B558302/A</v>
          </cell>
          <cell r="B4254" t="str">
            <v>RH1157NM26</v>
          </cell>
          <cell r="C4254">
            <v>1</v>
          </cell>
          <cell r="D4254">
            <v>724.67</v>
          </cell>
          <cell r="E4254">
            <v>724.67</v>
          </cell>
          <cell r="F4254" t="str">
            <v>P21-4A</v>
          </cell>
          <cell r="G4254" t="str">
            <v>MDF - MDF</v>
          </cell>
          <cell r="H4254" t="str">
            <v>MDF - 18 x 1830 x 2440mm [CARB P2 Compliant]</v>
          </cell>
          <cell r="I4254">
            <v>2</v>
          </cell>
        </row>
        <row r="4255">
          <cell r="A4255" t="str">
            <v>B558302/A</v>
          </cell>
          <cell r="B4255" t="str">
            <v>RH1157NM26</v>
          </cell>
          <cell r="C4255">
            <v>1</v>
          </cell>
          <cell r="D4255">
            <v>724.67</v>
          </cell>
          <cell r="E4255">
            <v>724.67</v>
          </cell>
          <cell r="F4255" t="str">
            <v>P21-4B</v>
          </cell>
          <cell r="G4255" t="str">
            <v>Insert Wood - Gỗ chèn</v>
          </cell>
          <cell r="H4255" t="str">
            <v>Wood US Poplar - Straight Edged, 2 COM - T25mm x W100mm Up x L1.8m Up</v>
          </cell>
          <cell r="I4255">
            <v>2</v>
          </cell>
        </row>
        <row r="4256">
          <cell r="A4256" t="str">
            <v>B558302/A</v>
          </cell>
          <cell r="B4256" t="str">
            <v>RH1157NM26</v>
          </cell>
          <cell r="C4256">
            <v>1</v>
          </cell>
          <cell r="D4256">
            <v>724.67</v>
          </cell>
          <cell r="E4256">
            <v>724.67</v>
          </cell>
          <cell r="F4256" t="str">
            <v>P21a</v>
          </cell>
          <cell r="G4256" t="str">
            <v>Patching wood - Gỗ đắp</v>
          </cell>
          <cell r="H4256" t="str">
            <v>Wood US Poplar - Straight Edged, 2 COM - T38mm x W100mm Up x L1.8m Up</v>
          </cell>
          <cell r="I4256">
            <v>2</v>
          </cell>
        </row>
        <row r="4257">
          <cell r="A4257" t="str">
            <v>B558302/A</v>
          </cell>
          <cell r="B4257" t="str">
            <v>RH1157NM26</v>
          </cell>
          <cell r="C4257">
            <v>1</v>
          </cell>
          <cell r="D4257">
            <v>724.67</v>
          </cell>
          <cell r="E4257">
            <v>724.67</v>
          </cell>
          <cell r="F4257" t="str">
            <v>P22</v>
          </cell>
          <cell r="G4257" t="str">
            <v xml:space="preserve">Side rail  - Đố hông </v>
          </cell>
          <cell r="H4257" t="str">
            <v>Wood US Poplar - Straight Edged, 2 COM - T50mm x W100mm Up x L1.8m Up</v>
          </cell>
          <cell r="I4257">
            <v>2</v>
          </cell>
        </row>
        <row r="4258">
          <cell r="A4258" t="str">
            <v>B558302/A</v>
          </cell>
          <cell r="B4258" t="str">
            <v>RH1157NM26</v>
          </cell>
          <cell r="C4258">
            <v>1</v>
          </cell>
          <cell r="D4258">
            <v>724.67</v>
          </cell>
          <cell r="E4258">
            <v>724.67</v>
          </cell>
          <cell r="F4258" t="str">
            <v>P23</v>
          </cell>
          <cell r="G4258" t="str">
            <v>Front Bottom Rail  - Đố đáy trước</v>
          </cell>
          <cell r="H4258" t="str">
            <v>Wood US Poplar - Straight Edged, 2 COM - T50mm x W100mm Up x L1.8m Up</v>
          </cell>
          <cell r="I4258">
            <v>1</v>
          </cell>
        </row>
        <row r="4259">
          <cell r="A4259" t="str">
            <v>B558302/A</v>
          </cell>
          <cell r="B4259" t="str">
            <v>RH1157NM26</v>
          </cell>
          <cell r="C4259">
            <v>1</v>
          </cell>
          <cell r="D4259">
            <v>724.67</v>
          </cell>
          <cell r="E4259">
            <v>724.67</v>
          </cell>
          <cell r="F4259" t="str">
            <v>P24</v>
          </cell>
          <cell r="G4259" t="str">
            <v>Drawer side - Hông hộc kéo</v>
          </cell>
          <cell r="H4259" t="str">
            <v>Wood US Poplar - Straight Edged, 2 COM - T25mm x W100mm Up x L1.8m Up</v>
          </cell>
          <cell r="I4259">
            <v>4</v>
          </cell>
        </row>
        <row r="4260">
          <cell r="A4260" t="str">
            <v>B558132/A</v>
          </cell>
          <cell r="B4260" t="str">
            <v>RH1922M26-STZ</v>
          </cell>
          <cell r="C4260">
            <v>2</v>
          </cell>
          <cell r="D4260">
            <v>14</v>
          </cell>
          <cell r="E4260">
            <v>28</v>
          </cell>
          <cell r="F4260" t="str">
            <v>p1</v>
          </cell>
          <cell r="G4260" t="str">
            <v>Slats  - Dạt giường</v>
          </cell>
          <cell r="H4260" t="str">
            <v>Wood EU Beech - Straight/Waving Edged ABC, 2 COM - T26mm x W100mm up x L1.8m up</v>
          </cell>
          <cell r="I4260">
            <v>2</v>
          </cell>
        </row>
        <row r="4261">
          <cell r="A4261" t="str">
            <v>B558305/A</v>
          </cell>
          <cell r="B4261" t="str">
            <v>RH2000AM13</v>
          </cell>
          <cell r="C4261">
            <v>13</v>
          </cell>
          <cell r="D4261">
            <v>924.2</v>
          </cell>
          <cell r="E4261">
            <v>12014.6</v>
          </cell>
          <cell r="F4261" t="str">
            <v>A1-S1</v>
          </cell>
          <cell r="G4261" t="str">
            <v>Vertical rail 1 - Đố đứng 1</v>
          </cell>
          <cell r="H4261" t="str">
            <v>Wood EU Beech - Straight/Waving Edged AB, 1 COM - T32mm x W100mm up x L1.8m up</v>
          </cell>
          <cell r="I4261">
            <v>26</v>
          </cell>
        </row>
        <row r="4262">
          <cell r="A4262" t="str">
            <v>B558305/A</v>
          </cell>
          <cell r="B4262" t="str">
            <v>RH2000AM13</v>
          </cell>
          <cell r="C4262">
            <v>13</v>
          </cell>
          <cell r="D4262">
            <v>924.2</v>
          </cell>
          <cell r="E4262">
            <v>12014.6</v>
          </cell>
          <cell r="F4262" t="str">
            <v>A1-S2</v>
          </cell>
          <cell r="G4262" t="str">
            <v>Horizontal rail 1 - Đố ngang 1</v>
          </cell>
          <cell r="H4262" t="str">
            <v>Wood EU Beech - Straight/Waving Edged ABC, 2 COM - T32mm x W100mm up x L1.8m up</v>
          </cell>
          <cell r="I4262">
            <v>65</v>
          </cell>
        </row>
        <row r="4263">
          <cell r="A4263" t="str">
            <v>B558305/A</v>
          </cell>
          <cell r="B4263" t="str">
            <v>RH2000AM13</v>
          </cell>
          <cell r="C4263">
            <v>13</v>
          </cell>
          <cell r="D4263">
            <v>924.2</v>
          </cell>
          <cell r="E4263">
            <v>12014.6</v>
          </cell>
          <cell r="F4263" t="str">
            <v>A2-S01</v>
          </cell>
          <cell r="G4263" t="str">
            <v>Horizontal rail 1 - Đố ngang 1</v>
          </cell>
          <cell r="H4263" t="str">
            <v>Wood US Poplar - Straight Edged, 2 COM - T38mm x W100mm Up x L1.8m Up</v>
          </cell>
          <cell r="I4263">
            <v>52</v>
          </cell>
        </row>
        <row r="4264">
          <cell r="A4264" t="str">
            <v>B558305/A</v>
          </cell>
          <cell r="B4264" t="str">
            <v>RH2000AM13</v>
          </cell>
          <cell r="C4264">
            <v>13</v>
          </cell>
          <cell r="D4264">
            <v>924.2</v>
          </cell>
          <cell r="E4264">
            <v>12014.6</v>
          </cell>
          <cell r="F4264" t="str">
            <v>A2-S02</v>
          </cell>
          <cell r="G4264" t="str">
            <v>Vertical rail 2 - Đố đứng 2</v>
          </cell>
          <cell r="H4264" t="str">
            <v>Pre-Assembly</v>
          </cell>
          <cell r="I4264">
            <v>52</v>
          </cell>
        </row>
        <row r="4265">
          <cell r="A4265" t="str">
            <v>B558305/A</v>
          </cell>
          <cell r="B4265" t="str">
            <v>RH2000AM13</v>
          </cell>
          <cell r="C4265">
            <v>13</v>
          </cell>
          <cell r="D4265">
            <v>924.2</v>
          </cell>
          <cell r="E4265">
            <v>12014.6</v>
          </cell>
          <cell r="F4265" t="str">
            <v>A2-S03</v>
          </cell>
          <cell r="G4265" t="str">
            <v>Center rail - Đố giữa</v>
          </cell>
          <cell r="H4265" t="str">
            <v>Wood US Poplar - Straight Edged, 2 COM - T38mm x W100mm Up x L1.8m Up</v>
          </cell>
          <cell r="I4265">
            <v>26</v>
          </cell>
        </row>
        <row r="4266">
          <cell r="A4266" t="str">
            <v>B558305/A</v>
          </cell>
          <cell r="B4266" t="str">
            <v>RH2000AM13</v>
          </cell>
          <cell r="C4266">
            <v>13</v>
          </cell>
          <cell r="D4266">
            <v>924.2</v>
          </cell>
          <cell r="E4266">
            <v>12014.6</v>
          </cell>
          <cell r="F4266" t="str">
            <v>A2-S04</v>
          </cell>
          <cell r="G4266" t="str">
            <v>Horizontal rail 2 - Đố ngang 2</v>
          </cell>
          <cell r="H4266" t="str">
            <v>Wood US Poplar - Straight Edged, 2 COM - T32mm x W100mm Up x L1.8m Up</v>
          </cell>
          <cell r="I4266">
            <v>52</v>
          </cell>
        </row>
        <row r="4267">
          <cell r="A4267" t="str">
            <v>B558305/A</v>
          </cell>
          <cell r="B4267" t="str">
            <v>RH2000AM13</v>
          </cell>
          <cell r="C4267">
            <v>13</v>
          </cell>
          <cell r="D4267">
            <v>924.2</v>
          </cell>
          <cell r="E4267">
            <v>12014.6</v>
          </cell>
          <cell r="F4267" t="str">
            <v>A2-S05</v>
          </cell>
          <cell r="G4267" t="str">
            <v>Slat Support  - Đỡ dạt giường</v>
          </cell>
          <cell r="H4267" t="str">
            <v>Wood US Poplar - Straight Edged, 1 COM - T38mm x W100mm Up x L1.8m Up</v>
          </cell>
          <cell r="I4267">
            <v>26</v>
          </cell>
        </row>
        <row r="4268">
          <cell r="A4268" t="str">
            <v>B558305/A</v>
          </cell>
          <cell r="B4268" t="str">
            <v>RH2000AM13</v>
          </cell>
          <cell r="C4268">
            <v>13</v>
          </cell>
          <cell r="D4268">
            <v>924.2</v>
          </cell>
          <cell r="E4268">
            <v>12014.6</v>
          </cell>
          <cell r="F4268" t="str">
            <v>A2-S07</v>
          </cell>
          <cell r="G4268" t="str">
            <v>Front Bottom Rail  - Đố đáy trước</v>
          </cell>
          <cell r="H4268" t="str">
            <v>Wood US Poplar - Straight Edged, 2 COM - T32mm x W100mm Up x L1.8m Up</v>
          </cell>
          <cell r="I4268">
            <v>26</v>
          </cell>
        </row>
        <row r="4269">
          <cell r="A4269" t="str">
            <v>B558305/A</v>
          </cell>
          <cell r="B4269" t="str">
            <v>RH2000AM13</v>
          </cell>
          <cell r="C4269">
            <v>13</v>
          </cell>
          <cell r="D4269">
            <v>924.2</v>
          </cell>
          <cell r="E4269">
            <v>12014.6</v>
          </cell>
          <cell r="F4269" t="str">
            <v>A2-S08</v>
          </cell>
          <cell r="G4269" t="str">
            <v>Cleat - Bọ gỗ</v>
          </cell>
          <cell r="H4269" t="str">
            <v>Poplar off cut</v>
          </cell>
          <cell r="I4269">
            <v>52</v>
          </cell>
        </row>
        <row r="4270">
          <cell r="A4270" t="str">
            <v>B558305/A</v>
          </cell>
          <cell r="B4270" t="str">
            <v>RH2000AM13</v>
          </cell>
          <cell r="C4270">
            <v>13</v>
          </cell>
          <cell r="D4270">
            <v>924.2</v>
          </cell>
          <cell r="E4270">
            <v>12014.6</v>
          </cell>
          <cell r="F4270" t="str">
            <v>A3-S1</v>
          </cell>
          <cell r="G4270" t="str">
            <v>Side top rail - Đố hông trên</v>
          </cell>
          <cell r="H4270" t="str">
            <v>Wood US Poplar - Straight Edged, 2 COM - T38mm x W100mm Up x L1.8m Up</v>
          </cell>
          <cell r="I4270">
            <v>13</v>
          </cell>
        </row>
        <row r="4271">
          <cell r="A4271" t="str">
            <v>B558305/A</v>
          </cell>
          <cell r="B4271" t="str">
            <v>RH2000AM13</v>
          </cell>
          <cell r="C4271">
            <v>13</v>
          </cell>
          <cell r="D4271">
            <v>924.2</v>
          </cell>
          <cell r="E4271">
            <v>12014.6</v>
          </cell>
          <cell r="F4271" t="str">
            <v>A3-S2</v>
          </cell>
          <cell r="G4271" t="str">
            <v>Side bottom rail - Đố hông dưới</v>
          </cell>
          <cell r="H4271" t="str">
            <v>Wood US Poplar - Straight Edged, 2 COM - T38mm x W100mm Up x L1.8m Up</v>
          </cell>
          <cell r="I4271">
            <v>39</v>
          </cell>
        </row>
        <row r="4272">
          <cell r="A4272" t="str">
            <v>B558305/A</v>
          </cell>
          <cell r="B4272" t="str">
            <v>RH2000AM13</v>
          </cell>
          <cell r="C4272">
            <v>13</v>
          </cell>
          <cell r="D4272">
            <v>924.2</v>
          </cell>
          <cell r="E4272">
            <v>12014.6</v>
          </cell>
          <cell r="F4272" t="str">
            <v>A3-S3</v>
          </cell>
          <cell r="G4272" t="str">
            <v>Vertical rail 1 - Đố đứng 1</v>
          </cell>
          <cell r="H4272" t="str">
            <v>Pre-Assembly</v>
          </cell>
          <cell r="I4272">
            <v>13</v>
          </cell>
        </row>
        <row r="4273">
          <cell r="A4273" t="str">
            <v>B558305/A</v>
          </cell>
          <cell r="B4273" t="str">
            <v>RH2000AM13</v>
          </cell>
          <cell r="C4273">
            <v>13</v>
          </cell>
          <cell r="D4273">
            <v>924.2</v>
          </cell>
          <cell r="E4273">
            <v>12014.6</v>
          </cell>
          <cell r="F4273" t="str">
            <v>A3-S4</v>
          </cell>
          <cell r="G4273" t="str">
            <v>Vertical rail 2 - Đố đứng 2</v>
          </cell>
          <cell r="H4273" t="str">
            <v>Pre-Assembly</v>
          </cell>
          <cell r="I4273">
            <v>13</v>
          </cell>
        </row>
        <row r="4274">
          <cell r="A4274" t="str">
            <v>B558305/A</v>
          </cell>
          <cell r="B4274" t="str">
            <v>RH2000AM13</v>
          </cell>
          <cell r="C4274">
            <v>13</v>
          </cell>
          <cell r="D4274">
            <v>924.2</v>
          </cell>
          <cell r="E4274">
            <v>12014.6</v>
          </cell>
          <cell r="F4274" t="str">
            <v>A3-S5</v>
          </cell>
          <cell r="G4274" t="str">
            <v>Center rail - Đố giữa</v>
          </cell>
          <cell r="H4274" t="str">
            <v>Wood US Poplar - Straight Edged, 2 COM - T38mm x W100mm Up x L1.8m Up</v>
          </cell>
          <cell r="I4274">
            <v>13</v>
          </cell>
        </row>
        <row r="4275">
          <cell r="A4275" t="str">
            <v>B558305/A</v>
          </cell>
          <cell r="B4275" t="str">
            <v>RH2000AM13</v>
          </cell>
          <cell r="C4275">
            <v>13</v>
          </cell>
          <cell r="D4275">
            <v>924.2</v>
          </cell>
          <cell r="E4275">
            <v>12014.6</v>
          </cell>
          <cell r="F4275" t="str">
            <v>A3-S6</v>
          </cell>
          <cell r="G4275" t="str">
            <v>Side bottom rail - Đố hông dưới</v>
          </cell>
          <cell r="H4275" t="str">
            <v>Wood US Poplar - Straight Edged, 2 COM - T32mm x W100mm Up x L1.8m Up</v>
          </cell>
          <cell r="I4275">
            <v>26</v>
          </cell>
        </row>
        <row r="4276">
          <cell r="A4276" t="str">
            <v>B558305/A</v>
          </cell>
          <cell r="B4276" t="str">
            <v>RH2000AM13</v>
          </cell>
          <cell r="C4276">
            <v>13</v>
          </cell>
          <cell r="D4276">
            <v>924.2</v>
          </cell>
          <cell r="E4276">
            <v>12014.6</v>
          </cell>
          <cell r="F4276" t="str">
            <v>A3-S7</v>
          </cell>
          <cell r="G4276" t="str">
            <v>Front rail  - Đố tiền</v>
          </cell>
          <cell r="H4276" t="str">
            <v>Wood US Poplar - Straight Edged, 2 COM - T38mm x W100mm Up x L1.8m Up</v>
          </cell>
          <cell r="I4276">
            <v>13</v>
          </cell>
        </row>
        <row r="4277">
          <cell r="A4277" t="str">
            <v>B558305/A</v>
          </cell>
          <cell r="B4277" t="str">
            <v>RH2000AM13</v>
          </cell>
          <cell r="C4277">
            <v>13</v>
          </cell>
          <cell r="D4277">
            <v>924.2</v>
          </cell>
          <cell r="E4277">
            <v>12014.6</v>
          </cell>
          <cell r="F4277" t="str">
            <v>A4-S1</v>
          </cell>
          <cell r="G4277" t="str">
            <v>Center rail - Đố giữa</v>
          </cell>
          <cell r="H4277" t="str">
            <v>Wood US Poplar - Straight Edged, 2 COM - T38mm x W100mm Up x L1.8m Up</v>
          </cell>
          <cell r="I4277">
            <v>13</v>
          </cell>
        </row>
        <row r="4278">
          <cell r="A4278" t="str">
            <v>B558305/A</v>
          </cell>
          <cell r="B4278" t="str">
            <v>RH2000AM13</v>
          </cell>
          <cell r="C4278">
            <v>13</v>
          </cell>
          <cell r="D4278">
            <v>924.2</v>
          </cell>
          <cell r="E4278">
            <v>12014.6</v>
          </cell>
          <cell r="F4278" t="str">
            <v>A4-S2</v>
          </cell>
          <cell r="G4278" t="str">
            <v>Vertical rail 1 - Đố đứng 1</v>
          </cell>
          <cell r="H4278" t="str">
            <v>Pre-Assembly</v>
          </cell>
          <cell r="I4278">
            <v>26</v>
          </cell>
        </row>
        <row r="4279">
          <cell r="A4279" t="str">
            <v>B558305/A</v>
          </cell>
          <cell r="B4279" t="str">
            <v>RH2000AM13</v>
          </cell>
          <cell r="C4279">
            <v>13</v>
          </cell>
          <cell r="D4279">
            <v>924.2</v>
          </cell>
          <cell r="E4279">
            <v>12014.6</v>
          </cell>
          <cell r="F4279" t="str">
            <v>A4-S2-1</v>
          </cell>
          <cell r="G4279" t="str">
            <v>VN outside - Veneer phía ngoài</v>
          </cell>
          <cell r="H4279" t="str">
            <v>Veneer laminate</v>
          </cell>
          <cell r="I4279">
            <v>104</v>
          </cell>
        </row>
        <row r="4280">
          <cell r="A4280" t="str">
            <v>B558305/A</v>
          </cell>
          <cell r="B4280" t="str">
            <v>RH2000AM13</v>
          </cell>
          <cell r="C4280">
            <v>13</v>
          </cell>
          <cell r="D4280">
            <v>924.2</v>
          </cell>
          <cell r="E4280">
            <v>12014.6</v>
          </cell>
          <cell r="F4280" t="str">
            <v>A4-S2-3</v>
          </cell>
          <cell r="G4280" t="str">
            <v>Wood laminater - Gỗ ghép 1</v>
          </cell>
          <cell r="H4280" t="str">
            <v>Wood laminate</v>
          </cell>
          <cell r="I4280">
            <v>104</v>
          </cell>
        </row>
        <row r="4281">
          <cell r="A4281" t="str">
            <v>B558305/A</v>
          </cell>
          <cell r="B4281" t="str">
            <v>RH2000AM13</v>
          </cell>
          <cell r="C4281">
            <v>13</v>
          </cell>
          <cell r="D4281">
            <v>924.2</v>
          </cell>
          <cell r="E4281">
            <v>12014.6</v>
          </cell>
          <cell r="F4281" t="str">
            <v>P01</v>
          </cell>
          <cell r="G4281" t="str">
            <v>slat buy - dạt mua từ nhà cung</v>
          </cell>
          <cell r="H4281" t="str">
            <v>Slat buy</v>
          </cell>
          <cell r="I4281">
            <v>169</v>
          </cell>
        </row>
        <row r="4282">
          <cell r="A4282" t="str">
            <v>B558305/A</v>
          </cell>
          <cell r="B4282" t="str">
            <v>RH2000AM13</v>
          </cell>
          <cell r="C4282">
            <v>13</v>
          </cell>
          <cell r="D4282">
            <v>924.2</v>
          </cell>
          <cell r="E4282">
            <v>12014.6</v>
          </cell>
          <cell r="F4282" t="str">
            <v>P02</v>
          </cell>
          <cell r="G4282" t="str">
            <v>slat buy - dạt mua từ nhà cung</v>
          </cell>
          <cell r="H4282" t="str">
            <v>Slat buy</v>
          </cell>
          <cell r="I4282">
            <v>65</v>
          </cell>
        </row>
        <row r="4283">
          <cell r="A4283" t="str">
            <v>B558305/A</v>
          </cell>
          <cell r="B4283" t="str">
            <v>RH2000AM13</v>
          </cell>
          <cell r="C4283">
            <v>13</v>
          </cell>
          <cell r="D4283">
            <v>924.2</v>
          </cell>
          <cell r="E4283">
            <v>12014.6</v>
          </cell>
          <cell r="F4283" t="str">
            <v>P03</v>
          </cell>
          <cell r="G4283" t="str">
            <v>panel platform - ván sàn giường</v>
          </cell>
          <cell r="H4283" t="str">
            <v>MDF Veneer</v>
          </cell>
          <cell r="I4283">
            <v>26</v>
          </cell>
        </row>
        <row r="4284">
          <cell r="A4284" t="str">
            <v>B558306/A</v>
          </cell>
          <cell r="B4284" t="str">
            <v>RH2000AM13</v>
          </cell>
          <cell r="C4284">
            <v>12</v>
          </cell>
          <cell r="D4284">
            <v>924.2</v>
          </cell>
          <cell r="E4284">
            <v>11090.400000000001</v>
          </cell>
          <cell r="F4284" t="str">
            <v>A1-S1</v>
          </cell>
          <cell r="G4284" t="str">
            <v>Vertical rail 1 - Đố đứng 1</v>
          </cell>
          <cell r="H4284" t="str">
            <v>Wood EU Beech - Straight/Waving Edged AB, 1 COM - T32mm x W100mm up x L1.8m up</v>
          </cell>
          <cell r="I4284">
            <v>24</v>
          </cell>
        </row>
        <row r="4285">
          <cell r="A4285" t="str">
            <v>B558306/A</v>
          </cell>
          <cell r="B4285" t="str">
            <v>RH2000AM13</v>
          </cell>
          <cell r="C4285">
            <v>12</v>
          </cell>
          <cell r="D4285">
            <v>924.2</v>
          </cell>
          <cell r="E4285">
            <v>11090.400000000001</v>
          </cell>
          <cell r="F4285" t="str">
            <v>A1-S2</v>
          </cell>
          <cell r="G4285" t="str">
            <v>Horizontal rail 1 - Đố ngang 1</v>
          </cell>
          <cell r="H4285" t="str">
            <v>Wood EU Beech - Straight/Waving Edged ABC, 2 COM - T32mm x W100mm up x L1.8m up</v>
          </cell>
          <cell r="I4285">
            <v>60</v>
          </cell>
        </row>
        <row r="4286">
          <cell r="A4286" t="str">
            <v>B558306/A</v>
          </cell>
          <cell r="B4286" t="str">
            <v>RH2000AM13</v>
          </cell>
          <cell r="C4286">
            <v>12</v>
          </cell>
          <cell r="D4286">
            <v>924.2</v>
          </cell>
          <cell r="E4286">
            <v>11090.400000000001</v>
          </cell>
          <cell r="F4286" t="str">
            <v>A2-S01</v>
          </cell>
          <cell r="G4286" t="str">
            <v>Horizontal rail 1 - Đố ngang 1</v>
          </cell>
          <cell r="H4286" t="str">
            <v>Wood US Poplar - Straight Edged, 2 COM - T38mm x W100mm Up x L1.8m Up</v>
          </cell>
          <cell r="I4286">
            <v>48</v>
          </cell>
        </row>
        <row r="4287">
          <cell r="A4287" t="str">
            <v>B558306/A</v>
          </cell>
          <cell r="B4287" t="str">
            <v>RH2000AM13</v>
          </cell>
          <cell r="C4287">
            <v>12</v>
          </cell>
          <cell r="D4287">
            <v>924.2</v>
          </cell>
          <cell r="E4287">
            <v>11090.400000000001</v>
          </cell>
          <cell r="F4287" t="str">
            <v>A2-S02</v>
          </cell>
          <cell r="G4287" t="str">
            <v>Vertical rail 2 - Đố đứng 2</v>
          </cell>
          <cell r="H4287" t="str">
            <v>Pre-Assembly</v>
          </cell>
          <cell r="I4287">
            <v>48</v>
          </cell>
        </row>
        <row r="4288">
          <cell r="A4288" t="str">
            <v>B558306/A</v>
          </cell>
          <cell r="B4288" t="str">
            <v>RH2000AM13</v>
          </cell>
          <cell r="C4288">
            <v>12</v>
          </cell>
          <cell r="D4288">
            <v>924.2</v>
          </cell>
          <cell r="E4288">
            <v>11090.400000000001</v>
          </cell>
          <cell r="F4288" t="str">
            <v>A2-S03</v>
          </cell>
          <cell r="G4288" t="str">
            <v>Center rail - Đố giữa</v>
          </cell>
          <cell r="H4288" t="str">
            <v>Wood US Poplar - Straight Edged, 2 COM - T38mm x W100mm Up x L1.8m Up</v>
          </cell>
          <cell r="I4288">
            <v>24</v>
          </cell>
        </row>
        <row r="4289">
          <cell r="A4289" t="str">
            <v>B558306/A</v>
          </cell>
          <cell r="B4289" t="str">
            <v>RH2000AM13</v>
          </cell>
          <cell r="C4289">
            <v>12</v>
          </cell>
          <cell r="D4289">
            <v>924.2</v>
          </cell>
          <cell r="E4289">
            <v>11090.400000000001</v>
          </cell>
          <cell r="F4289" t="str">
            <v>A2-S04</v>
          </cell>
          <cell r="G4289" t="str">
            <v>Horizontal rail 2 - Đố ngang 2</v>
          </cell>
          <cell r="H4289" t="str">
            <v>Wood US Poplar - Straight Edged, 2 COM - T32mm x W100mm Up x L1.8m Up</v>
          </cell>
          <cell r="I4289">
            <v>48</v>
          </cell>
        </row>
        <row r="4290">
          <cell r="A4290" t="str">
            <v>B558306/A</v>
          </cell>
          <cell r="B4290" t="str">
            <v>RH2000AM13</v>
          </cell>
          <cell r="C4290">
            <v>12</v>
          </cell>
          <cell r="D4290">
            <v>924.2</v>
          </cell>
          <cell r="E4290">
            <v>11090.400000000001</v>
          </cell>
          <cell r="F4290" t="str">
            <v>A2-S05</v>
          </cell>
          <cell r="G4290" t="str">
            <v>Slat Support  - Đỡ dạt giường</v>
          </cell>
          <cell r="H4290" t="str">
            <v>Wood US Poplar - Straight Edged, 1 COM - T38mm x W100mm Up x L1.8m Up</v>
          </cell>
          <cell r="I4290">
            <v>24</v>
          </cell>
        </row>
        <row r="4291">
          <cell r="A4291" t="str">
            <v>B558306/A</v>
          </cell>
          <cell r="B4291" t="str">
            <v>RH2000AM13</v>
          </cell>
          <cell r="C4291">
            <v>12</v>
          </cell>
          <cell r="D4291">
            <v>924.2</v>
          </cell>
          <cell r="E4291">
            <v>11090.400000000001</v>
          </cell>
          <cell r="F4291" t="str">
            <v>A2-S07</v>
          </cell>
          <cell r="G4291" t="str">
            <v>Front Bottom Rail  - Đố đáy trước</v>
          </cell>
          <cell r="H4291" t="str">
            <v>Wood US Poplar - Straight Edged, 2 COM - T32mm x W100mm Up x L1.8m Up</v>
          </cell>
          <cell r="I4291">
            <v>24</v>
          </cell>
        </row>
        <row r="4292">
          <cell r="A4292" t="str">
            <v>B558306/A</v>
          </cell>
          <cell r="B4292" t="str">
            <v>RH2000AM13</v>
          </cell>
          <cell r="C4292">
            <v>12</v>
          </cell>
          <cell r="D4292">
            <v>924.2</v>
          </cell>
          <cell r="E4292">
            <v>11090.400000000001</v>
          </cell>
          <cell r="F4292" t="str">
            <v>A2-S08</v>
          </cell>
          <cell r="G4292" t="str">
            <v>Cleat - Bọ gỗ</v>
          </cell>
          <cell r="H4292" t="str">
            <v>Poplar off cut</v>
          </cell>
          <cell r="I4292">
            <v>48</v>
          </cell>
        </row>
        <row r="4293">
          <cell r="A4293" t="str">
            <v>B558306/A</v>
          </cell>
          <cell r="B4293" t="str">
            <v>RH2000AM13</v>
          </cell>
          <cell r="C4293">
            <v>12</v>
          </cell>
          <cell r="D4293">
            <v>924.2</v>
          </cell>
          <cell r="E4293">
            <v>11090.400000000001</v>
          </cell>
          <cell r="F4293" t="str">
            <v>A3-S1</v>
          </cell>
          <cell r="G4293" t="str">
            <v>Side top rail - Đố hông trên</v>
          </cell>
          <cell r="H4293" t="str">
            <v>Wood US Poplar - Straight Edged, 2 COM - T38mm x W100mm Up x L1.8m Up</v>
          </cell>
          <cell r="I4293">
            <v>12</v>
          </cell>
        </row>
        <row r="4294">
          <cell r="A4294" t="str">
            <v>B558306/A</v>
          </cell>
          <cell r="B4294" t="str">
            <v>RH2000AM13</v>
          </cell>
          <cell r="C4294">
            <v>12</v>
          </cell>
          <cell r="D4294">
            <v>924.2</v>
          </cell>
          <cell r="E4294">
            <v>11090.400000000001</v>
          </cell>
          <cell r="F4294" t="str">
            <v>A3-S2</v>
          </cell>
          <cell r="G4294" t="str">
            <v>Side bottom rail - Đố hông dưới</v>
          </cell>
          <cell r="H4294" t="str">
            <v>Wood US Poplar - Straight Edged, 2 COM - T38mm x W100mm Up x L1.8m Up</v>
          </cell>
          <cell r="I4294">
            <v>36</v>
          </cell>
        </row>
        <row r="4295">
          <cell r="A4295" t="str">
            <v>B558306/A</v>
          </cell>
          <cell r="B4295" t="str">
            <v>RH2000AM13</v>
          </cell>
          <cell r="C4295">
            <v>12</v>
          </cell>
          <cell r="D4295">
            <v>924.2</v>
          </cell>
          <cell r="E4295">
            <v>11090.400000000001</v>
          </cell>
          <cell r="F4295" t="str">
            <v>A3-S3</v>
          </cell>
          <cell r="G4295" t="str">
            <v>Vertical rail 1 - Đố đứng 1</v>
          </cell>
          <cell r="H4295" t="str">
            <v>Pre-Assembly</v>
          </cell>
          <cell r="I4295">
            <v>12</v>
          </cell>
        </row>
        <row r="4296">
          <cell r="A4296" t="str">
            <v>B558306/A</v>
          </cell>
          <cell r="B4296" t="str">
            <v>RH2000AM13</v>
          </cell>
          <cell r="C4296">
            <v>12</v>
          </cell>
          <cell r="D4296">
            <v>924.2</v>
          </cell>
          <cell r="E4296">
            <v>11090.400000000001</v>
          </cell>
          <cell r="F4296" t="str">
            <v>A3-S4</v>
          </cell>
          <cell r="G4296" t="str">
            <v>Vertical rail 2 - Đố đứng 2</v>
          </cell>
          <cell r="H4296" t="str">
            <v>Pre-Assembly</v>
          </cell>
          <cell r="I4296">
            <v>12</v>
          </cell>
        </row>
        <row r="4297">
          <cell r="A4297" t="str">
            <v>B558306/A</v>
          </cell>
          <cell r="B4297" t="str">
            <v>RH2000AM13</v>
          </cell>
          <cell r="C4297">
            <v>12</v>
          </cell>
          <cell r="D4297">
            <v>924.2</v>
          </cell>
          <cell r="E4297">
            <v>11090.400000000001</v>
          </cell>
          <cell r="F4297" t="str">
            <v>A3-S5</v>
          </cell>
          <cell r="G4297" t="str">
            <v>Center rail - Đố giữa</v>
          </cell>
          <cell r="H4297" t="str">
            <v>Wood US Poplar - Straight Edged, 2 COM - T38mm x W100mm Up x L1.8m Up</v>
          </cell>
          <cell r="I4297">
            <v>12</v>
          </cell>
        </row>
        <row r="4298">
          <cell r="A4298" t="str">
            <v>B558306/A</v>
          </cell>
          <cell r="B4298" t="str">
            <v>RH2000AM13</v>
          </cell>
          <cell r="C4298">
            <v>12</v>
          </cell>
          <cell r="D4298">
            <v>924.2</v>
          </cell>
          <cell r="E4298">
            <v>11090.400000000001</v>
          </cell>
          <cell r="F4298" t="str">
            <v>A3-S6</v>
          </cell>
          <cell r="G4298" t="str">
            <v>Side bottom rail - Đố hông dưới</v>
          </cell>
          <cell r="H4298" t="str">
            <v>Wood US Poplar - Straight Edged, 2 COM - T32mm x W100mm Up x L1.8m Up</v>
          </cell>
          <cell r="I4298">
            <v>24</v>
          </cell>
        </row>
        <row r="4299">
          <cell r="A4299" t="str">
            <v>B558306/A</v>
          </cell>
          <cell r="B4299" t="str">
            <v>RH2000AM13</v>
          </cell>
          <cell r="C4299">
            <v>12</v>
          </cell>
          <cell r="D4299">
            <v>924.2</v>
          </cell>
          <cell r="E4299">
            <v>11090.400000000001</v>
          </cell>
          <cell r="F4299" t="str">
            <v>A3-S7</v>
          </cell>
          <cell r="G4299" t="str">
            <v>Front rail  - Đố tiền</v>
          </cell>
          <cell r="H4299" t="str">
            <v>Wood US Poplar - Straight Edged, 2 COM - T38mm x W100mm Up x L1.8m Up</v>
          </cell>
          <cell r="I4299">
            <v>12</v>
          </cell>
        </row>
        <row r="4300">
          <cell r="A4300" t="str">
            <v>B558306/A</v>
          </cell>
          <cell r="B4300" t="str">
            <v>RH2000AM13</v>
          </cell>
          <cell r="C4300">
            <v>12</v>
          </cell>
          <cell r="D4300">
            <v>924.2</v>
          </cell>
          <cell r="E4300">
            <v>11090.400000000001</v>
          </cell>
          <cell r="F4300" t="str">
            <v>A4-S1</v>
          </cell>
          <cell r="G4300" t="str">
            <v>Center rail - Đố giữa</v>
          </cell>
          <cell r="H4300" t="str">
            <v>Wood US Poplar - Straight Edged, 2 COM - T38mm x W100mm Up x L1.8m Up</v>
          </cell>
          <cell r="I4300">
            <v>12</v>
          </cell>
        </row>
        <row r="4301">
          <cell r="A4301" t="str">
            <v>B558306/A</v>
          </cell>
          <cell r="B4301" t="str">
            <v>RH2000AM13</v>
          </cell>
          <cell r="C4301">
            <v>12</v>
          </cell>
          <cell r="D4301">
            <v>924.2</v>
          </cell>
          <cell r="E4301">
            <v>11090.400000000001</v>
          </cell>
          <cell r="F4301" t="str">
            <v>A4-S2</v>
          </cell>
          <cell r="G4301" t="str">
            <v>Vertical rail 1 - Đố đứng 1</v>
          </cell>
          <cell r="H4301" t="str">
            <v>Pre-Assembly</v>
          </cell>
          <cell r="I4301">
            <v>24</v>
          </cell>
        </row>
        <row r="4302">
          <cell r="A4302" t="str">
            <v>B558306/A</v>
          </cell>
          <cell r="B4302" t="str">
            <v>RH2000AM13</v>
          </cell>
          <cell r="C4302">
            <v>12</v>
          </cell>
          <cell r="D4302">
            <v>924.2</v>
          </cell>
          <cell r="E4302">
            <v>11090.400000000001</v>
          </cell>
          <cell r="F4302" t="str">
            <v>A4-S2-1</v>
          </cell>
          <cell r="G4302" t="str">
            <v>VN outside - Veneer phía ngoài</v>
          </cell>
          <cell r="H4302" t="str">
            <v>Veneer laminate</v>
          </cell>
          <cell r="I4302">
            <v>96</v>
          </cell>
        </row>
        <row r="4303">
          <cell r="A4303" t="str">
            <v>B558306/A</v>
          </cell>
          <cell r="B4303" t="str">
            <v>RH2000AM13</v>
          </cell>
          <cell r="C4303">
            <v>12</v>
          </cell>
          <cell r="D4303">
            <v>924.2</v>
          </cell>
          <cell r="E4303">
            <v>11090.400000000001</v>
          </cell>
          <cell r="F4303" t="str">
            <v>A4-S2-3</v>
          </cell>
          <cell r="G4303" t="str">
            <v>Wood laminater - Gỗ ghép 1</v>
          </cell>
          <cell r="H4303" t="str">
            <v>Wood laminate</v>
          </cell>
          <cell r="I4303">
            <v>96</v>
          </cell>
        </row>
        <row r="4304">
          <cell r="A4304" t="str">
            <v>B558306/A</v>
          </cell>
          <cell r="B4304" t="str">
            <v>RH2000AM13</v>
          </cell>
          <cell r="C4304">
            <v>12</v>
          </cell>
          <cell r="D4304">
            <v>924.2</v>
          </cell>
          <cell r="E4304">
            <v>11090.400000000001</v>
          </cell>
          <cell r="F4304" t="str">
            <v>P01</v>
          </cell>
          <cell r="G4304" t="str">
            <v>slat buy - dạt mua từ nhà cung</v>
          </cell>
          <cell r="H4304" t="str">
            <v>Slat buy</v>
          </cell>
          <cell r="I4304">
            <v>156</v>
          </cell>
        </row>
        <row r="4305">
          <cell r="A4305" t="str">
            <v>B558306/A</v>
          </cell>
          <cell r="B4305" t="str">
            <v>RH2000AM13</v>
          </cell>
          <cell r="C4305">
            <v>12</v>
          </cell>
          <cell r="D4305">
            <v>924.2</v>
          </cell>
          <cell r="E4305">
            <v>11090.400000000001</v>
          </cell>
          <cell r="F4305" t="str">
            <v>P02</v>
          </cell>
          <cell r="G4305" t="str">
            <v>slat buy - dạt mua từ nhà cung</v>
          </cell>
          <cell r="H4305" t="str">
            <v>Slat buy</v>
          </cell>
          <cell r="I4305">
            <v>60</v>
          </cell>
        </row>
        <row r="4306">
          <cell r="A4306" t="str">
            <v>B558306/A</v>
          </cell>
          <cell r="B4306" t="str">
            <v>RH2000AM13</v>
          </cell>
          <cell r="C4306">
            <v>12</v>
          </cell>
          <cell r="D4306">
            <v>924.2</v>
          </cell>
          <cell r="E4306">
            <v>11090.400000000001</v>
          </cell>
          <cell r="F4306" t="str">
            <v>P03</v>
          </cell>
          <cell r="G4306" t="str">
            <v>panel platform - ván sàn giường</v>
          </cell>
          <cell r="H4306" t="str">
            <v>MDF Veneer</v>
          </cell>
          <cell r="I4306">
            <v>24</v>
          </cell>
        </row>
        <row r="4307">
          <cell r="A4307" t="str">
            <v>B558225/A</v>
          </cell>
          <cell r="B4307" t="str">
            <v>RH2021M95</v>
          </cell>
          <cell r="C4307">
            <v>18</v>
          </cell>
          <cell r="D4307">
            <v>975.62</v>
          </cell>
          <cell r="E4307">
            <v>17561.16</v>
          </cell>
          <cell r="F4307" t="str">
            <v>A1</v>
          </cell>
          <cell r="G4307" t="str">
            <v>Foot board  - Đuôi giường</v>
          </cell>
          <cell r="H4307" t="str">
            <v>Pre-Assembly</v>
          </cell>
          <cell r="I4307">
            <v>18</v>
          </cell>
        </row>
        <row r="4308">
          <cell r="A4308" t="str">
            <v>B558225/A</v>
          </cell>
          <cell r="B4308" t="str">
            <v>RH2021M95</v>
          </cell>
          <cell r="C4308">
            <v>18</v>
          </cell>
          <cell r="D4308">
            <v>975.62</v>
          </cell>
          <cell r="E4308">
            <v>17561.16</v>
          </cell>
          <cell r="F4308" t="str">
            <v>A1-S01</v>
          </cell>
          <cell r="G4308" t="str">
            <v>the post - trụ</v>
          </cell>
          <cell r="H4308" t="str">
            <v>Wood laminate</v>
          </cell>
          <cell r="I4308">
            <v>36</v>
          </cell>
        </row>
        <row r="4309">
          <cell r="A4309" t="str">
            <v>B558225/A</v>
          </cell>
          <cell r="B4309" t="str">
            <v>RH2021M95</v>
          </cell>
          <cell r="C4309">
            <v>18</v>
          </cell>
          <cell r="D4309">
            <v>975.62</v>
          </cell>
          <cell r="E4309">
            <v>17561.16</v>
          </cell>
          <cell r="F4309" t="str">
            <v>A1-S02</v>
          </cell>
          <cell r="G4309" t="str">
            <v xml:space="preserve">Side rail  - Đố hông </v>
          </cell>
          <cell r="H4309" t="str">
            <v>Wood EU Beech - Straight/Waving Edged ABC, 2 COM - T50mm x W100mm up x L1.8m up</v>
          </cell>
          <cell r="I4309">
            <v>36</v>
          </cell>
        </row>
        <row r="4310">
          <cell r="A4310" t="str">
            <v>B558225/A</v>
          </cell>
          <cell r="B4310" t="str">
            <v>RH2021M95</v>
          </cell>
          <cell r="C4310">
            <v>18</v>
          </cell>
          <cell r="D4310">
            <v>975.62</v>
          </cell>
          <cell r="E4310">
            <v>17561.16</v>
          </cell>
          <cell r="F4310" t="str">
            <v>A1-S03</v>
          </cell>
          <cell r="G4310" t="str">
            <v xml:space="preserve">Side rail  - Đố hông </v>
          </cell>
          <cell r="H4310" t="str">
            <v>Wood laminate</v>
          </cell>
          <cell r="I4310">
            <v>36</v>
          </cell>
        </row>
        <row r="4311">
          <cell r="A4311" t="str">
            <v>B558225/A</v>
          </cell>
          <cell r="B4311" t="str">
            <v>RH2021M95</v>
          </cell>
          <cell r="C4311">
            <v>18</v>
          </cell>
          <cell r="D4311">
            <v>975.62</v>
          </cell>
          <cell r="E4311">
            <v>17561.16</v>
          </cell>
          <cell r="F4311" t="str">
            <v>A1-S04</v>
          </cell>
          <cell r="G4311" t="str">
            <v>Head board  - Đầu giường</v>
          </cell>
          <cell r="H4311" t="str">
            <v>Pre-Assembly</v>
          </cell>
          <cell r="I4311">
            <v>36</v>
          </cell>
        </row>
        <row r="4312">
          <cell r="A4312" t="str">
            <v>B558225/A</v>
          </cell>
          <cell r="B4312" t="str">
            <v>RH2021M95</v>
          </cell>
          <cell r="C4312">
            <v>18</v>
          </cell>
          <cell r="D4312">
            <v>975.62</v>
          </cell>
          <cell r="E4312">
            <v>17561.16</v>
          </cell>
          <cell r="F4312" t="str">
            <v>A1-S04-1</v>
          </cell>
          <cell r="G4312" t="str">
            <v xml:space="preserve">Panel - Ván </v>
          </cell>
          <cell r="H4312" t="str">
            <v>MDF - 18 x 1830 x 2440mm [CARB P2 Compliant]</v>
          </cell>
          <cell r="I4312">
            <v>36</v>
          </cell>
        </row>
        <row r="4313">
          <cell r="A4313" t="str">
            <v>B558225/A</v>
          </cell>
          <cell r="B4313" t="str">
            <v>RH2021M95</v>
          </cell>
          <cell r="C4313">
            <v>18</v>
          </cell>
          <cell r="D4313">
            <v>975.62</v>
          </cell>
          <cell r="E4313">
            <v>17561.16</v>
          </cell>
          <cell r="F4313" t="str">
            <v>A1-S04-2</v>
          </cell>
          <cell r="G4313" t="str">
            <v xml:space="preserve">Panel - Ván </v>
          </cell>
          <cell r="H4313" t="str">
            <v>MDF Veneer</v>
          </cell>
          <cell r="I4313">
            <v>36</v>
          </cell>
        </row>
        <row r="4314">
          <cell r="A4314" t="str">
            <v>B558225/A</v>
          </cell>
          <cell r="B4314" t="str">
            <v>RH2021M95</v>
          </cell>
          <cell r="C4314">
            <v>18</v>
          </cell>
          <cell r="D4314">
            <v>975.62</v>
          </cell>
          <cell r="E4314">
            <v>17561.16</v>
          </cell>
          <cell r="F4314" t="str">
            <v>A1-S04-3</v>
          </cell>
          <cell r="G4314" t="str">
            <v>Insert Wood - Gỗ chèn</v>
          </cell>
          <cell r="H4314" t="str">
            <v>Wood US Poplar - Straight Edged, 2 COM - T25mm x W100mm Up x L1.8m Up</v>
          </cell>
          <cell r="I4314">
            <v>144</v>
          </cell>
        </row>
        <row r="4315">
          <cell r="A4315" t="str">
            <v>B558225/A</v>
          </cell>
          <cell r="B4315" t="str">
            <v>RH2021M95</v>
          </cell>
          <cell r="C4315">
            <v>18</v>
          </cell>
          <cell r="D4315">
            <v>975.62</v>
          </cell>
          <cell r="E4315">
            <v>17561.16</v>
          </cell>
          <cell r="F4315" t="str">
            <v>A1-S05</v>
          </cell>
          <cell r="G4315" t="str">
            <v>Back bottom rail - Đố hậu đáy</v>
          </cell>
          <cell r="H4315" t="str">
            <v>Wood EU Beech - Straight/Waving Edged ABC, 2 COM - T26mm x W100mm up x L1.8m up</v>
          </cell>
          <cell r="I4315">
            <v>18</v>
          </cell>
        </row>
        <row r="4316">
          <cell r="A4316" t="str">
            <v>B558225/A</v>
          </cell>
          <cell r="B4316" t="str">
            <v>RH2021M95</v>
          </cell>
          <cell r="C4316">
            <v>18</v>
          </cell>
          <cell r="D4316">
            <v>975.62</v>
          </cell>
          <cell r="E4316">
            <v>17561.16</v>
          </cell>
          <cell r="F4316" t="str">
            <v>A1-S06</v>
          </cell>
          <cell r="G4316" t="str">
            <v xml:space="preserve">Side rail  - Đố hông </v>
          </cell>
          <cell r="H4316" t="str">
            <v>Wood EU Beech - Straight/Waving Edged ABC, 2 COM - T32mm x W100mm up x L1.8m up</v>
          </cell>
          <cell r="I4316">
            <v>36</v>
          </cell>
        </row>
        <row r="4317">
          <cell r="A4317" t="str">
            <v>B558225/A</v>
          </cell>
          <cell r="B4317" t="str">
            <v>RH2021M95</v>
          </cell>
          <cell r="C4317">
            <v>18</v>
          </cell>
          <cell r="D4317">
            <v>975.62</v>
          </cell>
          <cell r="E4317">
            <v>17561.16</v>
          </cell>
          <cell r="F4317" t="str">
            <v>A1-S08</v>
          </cell>
          <cell r="G4317" t="str">
            <v xml:space="preserve">Side rail  - Đố hông </v>
          </cell>
          <cell r="H4317" t="str">
            <v>Wood EU Beech - Straight/Waving Edged ABC, 2 COM - T38mm x W100mm up x L1.8m up</v>
          </cell>
          <cell r="I4317">
            <v>18</v>
          </cell>
        </row>
        <row r="4318">
          <cell r="A4318" t="str">
            <v>B558225/A</v>
          </cell>
          <cell r="B4318" t="str">
            <v>RH2021M95</v>
          </cell>
          <cell r="C4318">
            <v>18</v>
          </cell>
          <cell r="D4318">
            <v>975.62</v>
          </cell>
          <cell r="E4318">
            <v>17561.16</v>
          </cell>
          <cell r="F4318" t="str">
            <v>A1-S09</v>
          </cell>
          <cell r="G4318" t="str">
            <v xml:space="preserve">Side rail  - Đố hông </v>
          </cell>
          <cell r="H4318" t="str">
            <v>Wood EU Beech - Straight/Waving Edged ABC, 2 COM - T38mm x W100mm up x L1.8m up</v>
          </cell>
          <cell r="I4318">
            <v>36</v>
          </cell>
        </row>
        <row r="4319">
          <cell r="A4319" t="str">
            <v>B558225/A</v>
          </cell>
          <cell r="B4319" t="str">
            <v>RH2021M95</v>
          </cell>
          <cell r="C4319">
            <v>18</v>
          </cell>
          <cell r="D4319">
            <v>975.62</v>
          </cell>
          <cell r="E4319">
            <v>17561.16</v>
          </cell>
          <cell r="F4319" t="str">
            <v>A2-S01</v>
          </cell>
          <cell r="G4319" t="str">
            <v xml:space="preserve">Side panel  - Ván hông </v>
          </cell>
          <cell r="H4319" t="str">
            <v>Pre-Assembly</v>
          </cell>
          <cell r="I4319">
            <v>18</v>
          </cell>
        </row>
        <row r="4320">
          <cell r="A4320" t="str">
            <v>B558225/A</v>
          </cell>
          <cell r="B4320" t="str">
            <v>RH2021M95</v>
          </cell>
          <cell r="C4320">
            <v>18</v>
          </cell>
          <cell r="D4320">
            <v>975.62</v>
          </cell>
          <cell r="E4320">
            <v>17561.16</v>
          </cell>
          <cell r="F4320" t="str">
            <v>A2-S01-1</v>
          </cell>
          <cell r="G4320" t="str">
            <v xml:space="preserve">Side panel  - Ván hông </v>
          </cell>
          <cell r="H4320" t="str">
            <v>MDF - 18 x 1830 x 2440mm [CARB P2 Compliant]</v>
          </cell>
          <cell r="I4320">
            <v>18</v>
          </cell>
        </row>
        <row r="4321">
          <cell r="A4321" t="str">
            <v>B558225/A</v>
          </cell>
          <cell r="B4321" t="str">
            <v>RH2021M95</v>
          </cell>
          <cell r="C4321">
            <v>18</v>
          </cell>
          <cell r="D4321">
            <v>975.62</v>
          </cell>
          <cell r="E4321">
            <v>17561.16</v>
          </cell>
          <cell r="F4321" t="str">
            <v>A2-S01-2</v>
          </cell>
          <cell r="G4321" t="str">
            <v>Patching wood - Gỗ đắp</v>
          </cell>
          <cell r="H4321" t="str">
            <v>MDF - 12 x 1830 x 2440mm [CARB P2 Compliant]</v>
          </cell>
          <cell r="I4321">
            <v>18</v>
          </cell>
        </row>
        <row r="4322">
          <cell r="A4322" t="str">
            <v>B558225/A</v>
          </cell>
          <cell r="B4322" t="str">
            <v>RH2021M95</v>
          </cell>
          <cell r="C4322">
            <v>18</v>
          </cell>
          <cell r="D4322">
            <v>975.62</v>
          </cell>
          <cell r="E4322">
            <v>17561.16</v>
          </cell>
          <cell r="F4322" t="str">
            <v>A2-S01-3</v>
          </cell>
          <cell r="G4322" t="str">
            <v>Patching wood - Gỗ đắp</v>
          </cell>
          <cell r="H4322" t="str">
            <v>MDF - 12 x 1830 x 2440mm [CARB P2 Compliant]</v>
          </cell>
          <cell r="I4322">
            <v>18</v>
          </cell>
        </row>
        <row r="4323">
          <cell r="A4323" t="str">
            <v>B558225/A</v>
          </cell>
          <cell r="B4323" t="str">
            <v>RH2021M95</v>
          </cell>
          <cell r="C4323">
            <v>18</v>
          </cell>
          <cell r="D4323">
            <v>975.62</v>
          </cell>
          <cell r="E4323">
            <v>17561.16</v>
          </cell>
          <cell r="F4323" t="str">
            <v>A2-S01-4</v>
          </cell>
          <cell r="G4323" t="str">
            <v>Patching wood - Gỗ đắp</v>
          </cell>
          <cell r="H4323" t="str">
            <v>MDF - 12 x 1830 x 2440mm [CARB P2 Compliant]</v>
          </cell>
          <cell r="I4323">
            <v>36</v>
          </cell>
        </row>
        <row r="4324">
          <cell r="A4324" t="str">
            <v>B558225/A</v>
          </cell>
          <cell r="B4324" t="str">
            <v>RH2021M95</v>
          </cell>
          <cell r="C4324">
            <v>18</v>
          </cell>
          <cell r="D4324">
            <v>975.62</v>
          </cell>
          <cell r="E4324">
            <v>17561.16</v>
          </cell>
          <cell r="F4324" t="str">
            <v>A2-S02</v>
          </cell>
          <cell r="G4324" t="str">
            <v xml:space="preserve">Side rail  - Đố hông </v>
          </cell>
          <cell r="H4324" t="str">
            <v>Wood EU Beech - Straight/Waving Edged ABC, 2 COM - T38mm x W100mm up x L1.8m up</v>
          </cell>
          <cell r="I4324">
            <v>36</v>
          </cell>
        </row>
        <row r="4325">
          <cell r="A4325" t="str">
            <v>B558225/A</v>
          </cell>
          <cell r="B4325" t="str">
            <v>RH2021M95</v>
          </cell>
          <cell r="C4325">
            <v>18</v>
          </cell>
          <cell r="D4325">
            <v>975.62</v>
          </cell>
          <cell r="E4325">
            <v>17561.16</v>
          </cell>
          <cell r="F4325" t="str">
            <v>A2-S03</v>
          </cell>
          <cell r="G4325" t="str">
            <v>Bottom rail inside - Đố tiền đáy</v>
          </cell>
          <cell r="H4325" t="str">
            <v>Wood EU Beech - Straight/Waving Edged ABC, 2 COM - T38mm x W100mm up x L1.8m up</v>
          </cell>
          <cell r="I4325">
            <v>18</v>
          </cell>
        </row>
        <row r="4326">
          <cell r="A4326" t="str">
            <v>B558225/A</v>
          </cell>
          <cell r="B4326" t="str">
            <v>RH2021M95</v>
          </cell>
          <cell r="C4326">
            <v>18</v>
          </cell>
          <cell r="D4326">
            <v>975.62</v>
          </cell>
          <cell r="E4326">
            <v>17561.16</v>
          </cell>
          <cell r="F4326" t="str">
            <v>A2-S4</v>
          </cell>
          <cell r="G4326" t="str">
            <v xml:space="preserve">Side rail  - Đố hông </v>
          </cell>
          <cell r="H4326" t="str">
            <v>Wood US Poplar - Straight Edged, 2 COM - T50mm x W100mm Up x L1.8m Up</v>
          </cell>
          <cell r="I4326">
            <v>18</v>
          </cell>
        </row>
        <row r="4327">
          <cell r="A4327" t="str">
            <v>B558225/A</v>
          </cell>
          <cell r="B4327" t="str">
            <v>RH2021M95</v>
          </cell>
          <cell r="C4327">
            <v>18</v>
          </cell>
          <cell r="D4327">
            <v>975.62</v>
          </cell>
          <cell r="E4327">
            <v>17561.16</v>
          </cell>
          <cell r="F4327" t="str">
            <v>A3-S01</v>
          </cell>
          <cell r="G4327" t="str">
            <v>Drawer stop - Dừng hộc</v>
          </cell>
          <cell r="H4327" t="str">
            <v>TRAM OFF CUT</v>
          </cell>
          <cell r="I4327">
            <v>108</v>
          </cell>
        </row>
        <row r="4328">
          <cell r="A4328" t="str">
            <v>B558225/A</v>
          </cell>
          <cell r="B4328" t="str">
            <v>RH2021M95</v>
          </cell>
          <cell r="C4328">
            <v>18</v>
          </cell>
          <cell r="D4328">
            <v>975.62</v>
          </cell>
          <cell r="E4328">
            <v>17561.16</v>
          </cell>
          <cell r="F4328" t="str">
            <v>A3-S02</v>
          </cell>
          <cell r="G4328" t="str">
            <v xml:space="preserve">Side panel  - Ván hông </v>
          </cell>
          <cell r="H4328" t="str">
            <v>MDF Veneer</v>
          </cell>
          <cell r="I4328">
            <v>18</v>
          </cell>
        </row>
        <row r="4329">
          <cell r="A4329" t="str">
            <v>B558225/A</v>
          </cell>
          <cell r="B4329" t="str">
            <v>RH2021M95</v>
          </cell>
          <cell r="C4329">
            <v>18</v>
          </cell>
          <cell r="D4329">
            <v>975.62</v>
          </cell>
          <cell r="E4329">
            <v>17561.16</v>
          </cell>
          <cell r="F4329" t="str">
            <v>A3-S03</v>
          </cell>
          <cell r="G4329" t="str">
            <v>Cleat - Bọ gỗ</v>
          </cell>
          <cell r="H4329" t="str">
            <v>TRAM OFF CUT</v>
          </cell>
          <cell r="I4329">
            <v>144</v>
          </cell>
        </row>
        <row r="4330">
          <cell r="A4330" t="str">
            <v>B558225/A</v>
          </cell>
          <cell r="B4330" t="str">
            <v>RH2021M95</v>
          </cell>
          <cell r="C4330">
            <v>18</v>
          </cell>
          <cell r="D4330">
            <v>975.62</v>
          </cell>
          <cell r="E4330">
            <v>17561.16</v>
          </cell>
          <cell r="F4330" t="str">
            <v>A3-S04</v>
          </cell>
          <cell r="G4330" t="str">
            <v>Front Bottom Rail  - Đố đáy trước</v>
          </cell>
          <cell r="H4330" t="str">
            <v>Wood EU Beech - Straight/Waving Edged ABC, 2 COM - T32mm x W100mm up x L1.8m up</v>
          </cell>
          <cell r="I4330">
            <v>18</v>
          </cell>
        </row>
        <row r="4331">
          <cell r="A4331" t="str">
            <v>B558225/A</v>
          </cell>
          <cell r="B4331" t="str">
            <v>RH2021M95</v>
          </cell>
          <cell r="C4331">
            <v>18</v>
          </cell>
          <cell r="D4331">
            <v>975.62</v>
          </cell>
          <cell r="E4331">
            <v>17561.16</v>
          </cell>
          <cell r="F4331" t="str">
            <v>A3-S07</v>
          </cell>
          <cell r="G4331" t="str">
            <v>Center rail - Đố giữa</v>
          </cell>
          <cell r="H4331" t="str">
            <v>Wood US Poplar - Straight Edged, 2 COM - T38mm x W100mm Up x L1.8m Up</v>
          </cell>
          <cell r="I4331">
            <v>36</v>
          </cell>
        </row>
        <row r="4332">
          <cell r="A4332" t="str">
            <v>B558225/A</v>
          </cell>
          <cell r="B4332" t="str">
            <v>RH2021M95</v>
          </cell>
          <cell r="C4332">
            <v>18</v>
          </cell>
          <cell r="D4332">
            <v>975.62</v>
          </cell>
          <cell r="E4332">
            <v>17561.16</v>
          </cell>
          <cell r="F4332" t="str">
            <v>A3-S08</v>
          </cell>
          <cell r="G4332" t="str">
            <v>Back rail with note finger - đố hậu</v>
          </cell>
          <cell r="H4332" t="str">
            <v>Wood US Poplar - Straight Edged, 2 COM - T25mm x W100mm Up x L1.8m Up</v>
          </cell>
          <cell r="I4332">
            <v>36</v>
          </cell>
        </row>
        <row r="4333">
          <cell r="A4333" t="str">
            <v>B558225/A</v>
          </cell>
          <cell r="B4333" t="str">
            <v>RH2021M95</v>
          </cell>
          <cell r="C4333">
            <v>18</v>
          </cell>
          <cell r="D4333">
            <v>975.62</v>
          </cell>
          <cell r="E4333">
            <v>17561.16</v>
          </cell>
          <cell r="F4333" t="str">
            <v>A3-S09</v>
          </cell>
          <cell r="G4333" t="str">
            <v>Center bottom rail - Đố đáy giữa</v>
          </cell>
          <cell r="H4333" t="str">
            <v>Wood US Poplar - Straight Edged, 2 COM - T25mm x W100mm Up x L1.8m Up</v>
          </cell>
          <cell r="I4333">
            <v>54</v>
          </cell>
        </row>
        <row r="4334">
          <cell r="A4334" t="str">
            <v>B558225/A</v>
          </cell>
          <cell r="B4334" t="str">
            <v>RH2021M95</v>
          </cell>
          <cell r="C4334">
            <v>18</v>
          </cell>
          <cell r="D4334">
            <v>975.62</v>
          </cell>
          <cell r="E4334">
            <v>17561.16</v>
          </cell>
          <cell r="F4334" t="str">
            <v>A3-S09A</v>
          </cell>
          <cell r="G4334" t="str">
            <v>center rail with note - đố giữa</v>
          </cell>
          <cell r="H4334" t="str">
            <v>MDF OFF CUT</v>
          </cell>
          <cell r="I4334">
            <v>36</v>
          </cell>
        </row>
        <row r="4335">
          <cell r="A4335" t="str">
            <v>B558225/A</v>
          </cell>
          <cell r="B4335" t="str">
            <v>RH2021M95</v>
          </cell>
          <cell r="C4335">
            <v>18</v>
          </cell>
          <cell r="D4335">
            <v>975.62</v>
          </cell>
          <cell r="E4335">
            <v>17561.16</v>
          </cell>
          <cell r="F4335" t="str">
            <v>A3-S10</v>
          </cell>
          <cell r="G4335" t="str">
            <v>Back bottom rail - Đố hậu đáy</v>
          </cell>
          <cell r="H4335" t="str">
            <v>Wood EU Beech - Straight/Waving Edged ABC, 2 COM - T26mm x W100mm up x L1.8m up</v>
          </cell>
          <cell r="I4335">
            <v>18</v>
          </cell>
        </row>
        <row r="4336">
          <cell r="A4336" t="str">
            <v>B558225/A</v>
          </cell>
          <cell r="B4336" t="str">
            <v>RH2021M95</v>
          </cell>
          <cell r="C4336">
            <v>18</v>
          </cell>
          <cell r="D4336">
            <v>975.62</v>
          </cell>
          <cell r="E4336">
            <v>17561.16</v>
          </cell>
          <cell r="F4336" t="str">
            <v>A3-S11</v>
          </cell>
          <cell r="G4336" t="str">
            <v>Back top rail - Đố hậu nóc</v>
          </cell>
          <cell r="H4336" t="str">
            <v>Wood EU Beech - Straight/Waving Edged ABC, 2 COM - T26mm x W100mm up x L1.8m up</v>
          </cell>
          <cell r="I4336">
            <v>18</v>
          </cell>
        </row>
        <row r="4337">
          <cell r="A4337" t="str">
            <v>B558225/A</v>
          </cell>
          <cell r="B4337" t="str">
            <v>RH2021M95</v>
          </cell>
          <cell r="C4337">
            <v>18</v>
          </cell>
          <cell r="D4337">
            <v>975.62</v>
          </cell>
          <cell r="E4337">
            <v>17561.16</v>
          </cell>
          <cell r="F4337" t="str">
            <v>A3-S12</v>
          </cell>
          <cell r="G4337" t="str">
            <v xml:space="preserve">Top panel  - Ván nóc </v>
          </cell>
          <cell r="H4337" t="str">
            <v>MDF Veneer</v>
          </cell>
          <cell r="I4337">
            <v>18</v>
          </cell>
        </row>
        <row r="4338">
          <cell r="A4338" t="str">
            <v>B558225/A</v>
          </cell>
          <cell r="B4338" t="str">
            <v>RH2021M95</v>
          </cell>
          <cell r="C4338">
            <v>18</v>
          </cell>
          <cell r="D4338">
            <v>975.62</v>
          </cell>
          <cell r="E4338">
            <v>17561.16</v>
          </cell>
          <cell r="F4338" t="str">
            <v>A3-S13</v>
          </cell>
          <cell r="G4338" t="str">
            <v>Bottom panel - Ván đáy</v>
          </cell>
          <cell r="H4338" t="str">
            <v>MDF - 06 x 1830 x 2440mm [CARB P2 Compliant]</v>
          </cell>
          <cell r="I4338">
            <v>18</v>
          </cell>
        </row>
        <row r="4339">
          <cell r="A4339" t="str">
            <v>B558225/A</v>
          </cell>
          <cell r="B4339" t="str">
            <v>RH2021M95</v>
          </cell>
          <cell r="C4339">
            <v>18</v>
          </cell>
          <cell r="D4339">
            <v>975.62</v>
          </cell>
          <cell r="E4339">
            <v>17561.16</v>
          </cell>
          <cell r="F4339" t="str">
            <v>A3-S14</v>
          </cell>
          <cell r="G4339" t="str">
            <v>Back panel - Ván hậu</v>
          </cell>
          <cell r="H4339" t="str">
            <v>MDF - 06 x 1220 x 2440mm, Veneer Okoume 0.3mm Both Faces [CARB P2 Compliant]</v>
          </cell>
          <cell r="I4339">
            <v>18</v>
          </cell>
        </row>
        <row r="4340">
          <cell r="A4340" t="str">
            <v>B558225/A</v>
          </cell>
          <cell r="B4340" t="str">
            <v>RH2021M95</v>
          </cell>
          <cell r="C4340">
            <v>18</v>
          </cell>
          <cell r="D4340">
            <v>975.62</v>
          </cell>
          <cell r="E4340">
            <v>17561.16</v>
          </cell>
          <cell r="F4340" t="str">
            <v>A3-S15</v>
          </cell>
          <cell r="G4340" t="str">
            <v xml:space="preserve">Side panel  - Ván hông </v>
          </cell>
          <cell r="H4340" t="str">
            <v>MDF Veneer</v>
          </cell>
          <cell r="I4340">
            <v>36</v>
          </cell>
        </row>
        <row r="4341">
          <cell r="A4341" t="str">
            <v>B558225/A</v>
          </cell>
          <cell r="B4341" t="str">
            <v>RH2021M95</v>
          </cell>
          <cell r="C4341">
            <v>18</v>
          </cell>
          <cell r="D4341">
            <v>975.62</v>
          </cell>
          <cell r="E4341">
            <v>17561.16</v>
          </cell>
          <cell r="F4341" t="str">
            <v>A3-S16A</v>
          </cell>
          <cell r="G4341" t="str">
            <v xml:space="preserve">Side rail  - Đố hông </v>
          </cell>
          <cell r="H4341" t="str">
            <v>Wood US Poplar - Straight Edged, 2 COM - T25mm x W100mm Up x L1.8m Up</v>
          </cell>
          <cell r="I4341">
            <v>36</v>
          </cell>
        </row>
        <row r="4342">
          <cell r="A4342" t="str">
            <v>B558225/A</v>
          </cell>
          <cell r="B4342" t="str">
            <v>RH2021M95</v>
          </cell>
          <cell r="C4342">
            <v>18</v>
          </cell>
          <cell r="D4342">
            <v>975.62</v>
          </cell>
          <cell r="E4342">
            <v>17561.16</v>
          </cell>
          <cell r="F4342" t="str">
            <v>A3-S18</v>
          </cell>
          <cell r="G4342" t="str">
            <v>Cleat - Bọ gỗ</v>
          </cell>
          <cell r="H4342" t="str">
            <v>Wood laminate</v>
          </cell>
          <cell r="I4342">
            <v>54</v>
          </cell>
        </row>
        <row r="4343">
          <cell r="A4343" t="str">
            <v>B558225/A</v>
          </cell>
          <cell r="B4343" t="str">
            <v>RH2021M95</v>
          </cell>
          <cell r="C4343">
            <v>18</v>
          </cell>
          <cell r="D4343">
            <v>975.62</v>
          </cell>
          <cell r="E4343">
            <v>17561.16</v>
          </cell>
          <cell r="F4343" t="str">
            <v>A3-S19</v>
          </cell>
          <cell r="G4343" t="str">
            <v xml:space="preserve">Side rail  - Đố hông </v>
          </cell>
          <cell r="H4343" t="str">
            <v>Wood US Poplar - Straight Edged, 2 COM - T50mm x W100mm Up x L1.8m Up</v>
          </cell>
          <cell r="I4343">
            <v>18</v>
          </cell>
        </row>
        <row r="4344">
          <cell r="A4344" t="str">
            <v>B558225/A</v>
          </cell>
          <cell r="B4344" t="str">
            <v>RH2021M95</v>
          </cell>
          <cell r="C4344">
            <v>18</v>
          </cell>
          <cell r="D4344">
            <v>975.62</v>
          </cell>
          <cell r="E4344">
            <v>17561.16</v>
          </cell>
          <cell r="F4344" t="str">
            <v>A3-S20</v>
          </cell>
          <cell r="G4344" t="str">
            <v>Cleat - Bọ gỗ</v>
          </cell>
          <cell r="H4344" t="str">
            <v>Poplar off cut</v>
          </cell>
          <cell r="I4344">
            <v>36</v>
          </cell>
        </row>
        <row r="4345">
          <cell r="A4345" t="str">
            <v>B558225/A</v>
          </cell>
          <cell r="B4345" t="str">
            <v>RH2021M95</v>
          </cell>
          <cell r="C4345">
            <v>18</v>
          </cell>
          <cell r="D4345">
            <v>975.62</v>
          </cell>
          <cell r="E4345">
            <v>17561.16</v>
          </cell>
          <cell r="F4345" t="str">
            <v>A4</v>
          </cell>
          <cell r="G4345" t="str">
            <v>Foot board  - Đuôi giường</v>
          </cell>
          <cell r="H4345" t="str">
            <v>Pre-Assembly</v>
          </cell>
          <cell r="I4345">
            <v>18</v>
          </cell>
        </row>
        <row r="4346">
          <cell r="A4346" t="str">
            <v>B558225/A</v>
          </cell>
          <cell r="B4346" t="str">
            <v>RH2021M95</v>
          </cell>
          <cell r="C4346">
            <v>18</v>
          </cell>
          <cell r="D4346">
            <v>975.62</v>
          </cell>
          <cell r="E4346">
            <v>17561.16</v>
          </cell>
          <cell r="F4346" t="str">
            <v>A4-S01</v>
          </cell>
          <cell r="G4346" t="str">
            <v>the post - trụ</v>
          </cell>
          <cell r="H4346" t="str">
            <v>Wood laminate</v>
          </cell>
          <cell r="I4346">
            <v>36</v>
          </cell>
        </row>
        <row r="4347">
          <cell r="A4347" t="str">
            <v>B558225/A</v>
          </cell>
          <cell r="B4347" t="str">
            <v>RH2021M95</v>
          </cell>
          <cell r="C4347">
            <v>18</v>
          </cell>
          <cell r="D4347">
            <v>975.62</v>
          </cell>
          <cell r="E4347">
            <v>17561.16</v>
          </cell>
          <cell r="F4347" t="str">
            <v>A4-S02</v>
          </cell>
          <cell r="G4347" t="str">
            <v>Side top rail - Đố hông trên</v>
          </cell>
          <cell r="H4347" t="str">
            <v>Wood EU Beech - Straight/Waving Edged ABC, 2 COM - T38mm x W100mm up x L1.8m up</v>
          </cell>
          <cell r="I4347">
            <v>18</v>
          </cell>
        </row>
        <row r="4348">
          <cell r="A4348" t="str">
            <v>B558225/A</v>
          </cell>
          <cell r="B4348" t="str">
            <v>RH2021M95</v>
          </cell>
          <cell r="C4348">
            <v>18</v>
          </cell>
          <cell r="D4348">
            <v>975.62</v>
          </cell>
          <cell r="E4348">
            <v>17561.16</v>
          </cell>
          <cell r="F4348" t="str">
            <v>A4-S04</v>
          </cell>
          <cell r="G4348" t="str">
            <v>Front Bottom Rail  - Đố đáy trước</v>
          </cell>
          <cell r="H4348" t="str">
            <v>Wood EU Beech - Straight/Waving Edged ABC, 2 COM - T26mm x W100mm up x L1.8m up</v>
          </cell>
          <cell r="I4348">
            <v>18</v>
          </cell>
        </row>
        <row r="4349">
          <cell r="A4349" t="str">
            <v>B558225/A</v>
          </cell>
          <cell r="B4349" t="str">
            <v>RH2021M95</v>
          </cell>
          <cell r="C4349">
            <v>18</v>
          </cell>
          <cell r="D4349">
            <v>975.62</v>
          </cell>
          <cell r="E4349">
            <v>17561.16</v>
          </cell>
          <cell r="F4349" t="str">
            <v>A5-S01</v>
          </cell>
          <cell r="G4349" t="str">
            <v>the post - trụ</v>
          </cell>
          <cell r="H4349" t="str">
            <v>Wood EU Beech - Straight/Waving Edged ABC, 2 COM - T50mm x W100mm up x L1.8m up</v>
          </cell>
          <cell r="I4349">
            <v>36</v>
          </cell>
        </row>
        <row r="4350">
          <cell r="A4350" t="str">
            <v>B558225/A</v>
          </cell>
          <cell r="B4350" t="str">
            <v>RH2021M95</v>
          </cell>
          <cell r="C4350">
            <v>18</v>
          </cell>
          <cell r="D4350">
            <v>975.62</v>
          </cell>
          <cell r="E4350">
            <v>17561.16</v>
          </cell>
          <cell r="F4350" t="str">
            <v>A5-S02</v>
          </cell>
          <cell r="G4350" t="str">
            <v xml:space="preserve">Side rail  - Đố hông </v>
          </cell>
          <cell r="H4350" t="str">
            <v>Wood EU Beech - Straight/Waving Edged ABC, 2 COM - T32mm x W100mm up x L1.8m up</v>
          </cell>
          <cell r="I4350">
            <v>36</v>
          </cell>
        </row>
        <row r="4351">
          <cell r="A4351" t="str">
            <v>B558225/A</v>
          </cell>
          <cell r="B4351" t="str">
            <v>RH2021M95</v>
          </cell>
          <cell r="C4351">
            <v>18</v>
          </cell>
          <cell r="D4351">
            <v>975.62</v>
          </cell>
          <cell r="E4351">
            <v>17561.16</v>
          </cell>
          <cell r="F4351" t="str">
            <v>A6-S01</v>
          </cell>
          <cell r="G4351" t="str">
            <v xml:space="preserve">Side rail  - Đố hông </v>
          </cell>
          <cell r="H4351" t="str">
            <v>Wood EU Beech - Straight/Waving Edged ABC, 2 COM - T38mm x W100mm up x L1.8m up</v>
          </cell>
          <cell r="I4351">
            <v>36</v>
          </cell>
        </row>
        <row r="4352">
          <cell r="A4352" t="str">
            <v>B558225/A</v>
          </cell>
          <cell r="B4352" t="str">
            <v>RH2021M95</v>
          </cell>
          <cell r="C4352">
            <v>18</v>
          </cell>
          <cell r="D4352">
            <v>975.62</v>
          </cell>
          <cell r="E4352">
            <v>17561.16</v>
          </cell>
          <cell r="F4352" t="str">
            <v>A6-S02</v>
          </cell>
          <cell r="G4352" t="str">
            <v>Slat Support  - Đỡ dạt giường</v>
          </cell>
          <cell r="H4352" t="str">
            <v>Wood US Poplar - Straight Edged, 1 COM - T38mm x W100mm Up x L1.8m Up</v>
          </cell>
          <cell r="I4352">
            <v>36</v>
          </cell>
        </row>
        <row r="4353">
          <cell r="A4353" t="str">
            <v>B558225/A</v>
          </cell>
          <cell r="B4353" t="str">
            <v>RH2021M95</v>
          </cell>
          <cell r="C4353">
            <v>18</v>
          </cell>
          <cell r="D4353">
            <v>975.62</v>
          </cell>
          <cell r="E4353">
            <v>17561.16</v>
          </cell>
          <cell r="F4353" t="str">
            <v>A6-S03</v>
          </cell>
          <cell r="G4353" t="str">
            <v>Side top rail - Đố hông trên</v>
          </cell>
          <cell r="H4353" t="str">
            <v>Wood EU Beech - Straight/Waving Edged ABC, 2 COM - T32mm x W100mm up x L1.8m up</v>
          </cell>
          <cell r="I4353">
            <v>36</v>
          </cell>
        </row>
        <row r="4354">
          <cell r="A4354" t="str">
            <v>B558225/A</v>
          </cell>
          <cell r="B4354" t="str">
            <v>RH2021M95</v>
          </cell>
          <cell r="C4354">
            <v>18</v>
          </cell>
          <cell r="D4354">
            <v>975.62</v>
          </cell>
          <cell r="E4354">
            <v>17561.16</v>
          </cell>
          <cell r="F4354" t="str">
            <v>A6-S04</v>
          </cell>
          <cell r="G4354" t="str">
            <v xml:space="preserve">Side rail  - Đố hông </v>
          </cell>
          <cell r="H4354" t="str">
            <v>Wood EU Beech - Straight/Waving Edged ABC, 2 COM - T32mm x W100mm up x L1.8m up</v>
          </cell>
          <cell r="I4354">
            <v>36</v>
          </cell>
        </row>
        <row r="4355">
          <cell r="A4355" t="str">
            <v>B558225/A</v>
          </cell>
          <cell r="B4355" t="str">
            <v>RH2021M95</v>
          </cell>
          <cell r="C4355">
            <v>18</v>
          </cell>
          <cell r="D4355">
            <v>975.62</v>
          </cell>
          <cell r="E4355">
            <v>17561.16</v>
          </cell>
          <cell r="F4355" t="str">
            <v>A6-S05</v>
          </cell>
          <cell r="G4355" t="str">
            <v>Vertical rail 1 - Đố đứng 1</v>
          </cell>
          <cell r="H4355" t="str">
            <v>Wood EU Beech - Straight/Waving Edged ABC, 2 COM - T32mm x W100mm up x L1.8m up</v>
          </cell>
          <cell r="I4355">
            <v>72</v>
          </cell>
        </row>
        <row r="4356">
          <cell r="A4356" t="str">
            <v>B558225/A</v>
          </cell>
          <cell r="B4356" t="str">
            <v>RH2021M95</v>
          </cell>
          <cell r="C4356">
            <v>18</v>
          </cell>
          <cell r="D4356">
            <v>975.62</v>
          </cell>
          <cell r="E4356">
            <v>17561.16</v>
          </cell>
          <cell r="F4356" t="str">
            <v>A6-S06</v>
          </cell>
          <cell r="G4356" t="str">
            <v>Cleat - Bọ gỗ</v>
          </cell>
          <cell r="H4356" t="str">
            <v>Wood EU Beech - Straight/Waving Edged ABC, 2 COM - T32mm x W100mm up x L1.8m up</v>
          </cell>
          <cell r="I4356">
            <v>72</v>
          </cell>
        </row>
        <row r="4357">
          <cell r="A4357" t="str">
            <v>B558225/A</v>
          </cell>
          <cell r="B4357" t="str">
            <v>RH2021M95</v>
          </cell>
          <cell r="C4357">
            <v>18</v>
          </cell>
          <cell r="D4357">
            <v>975.62</v>
          </cell>
          <cell r="E4357">
            <v>17561.16</v>
          </cell>
          <cell r="F4357" t="str">
            <v>A8-S01</v>
          </cell>
          <cell r="G4357" t="str">
            <v xml:space="preserve">Drawer front - Mặt hộc kéo </v>
          </cell>
          <cell r="H4357" t="str">
            <v>MDF Veneer</v>
          </cell>
          <cell r="I4357">
            <v>54</v>
          </cell>
        </row>
        <row r="4358">
          <cell r="A4358" t="str">
            <v>B558225/A</v>
          </cell>
          <cell r="B4358" t="str">
            <v>RH2021M95</v>
          </cell>
          <cell r="C4358">
            <v>18</v>
          </cell>
          <cell r="D4358">
            <v>975.62</v>
          </cell>
          <cell r="E4358">
            <v>17561.16</v>
          </cell>
          <cell r="F4358" t="str">
            <v>A8-S02</v>
          </cell>
          <cell r="G4358" t="str">
            <v>Drawer back - Hậu hộc kéo</v>
          </cell>
          <cell r="H4358" t="str">
            <v>MDF Veneer</v>
          </cell>
          <cell r="I4358">
            <v>54</v>
          </cell>
        </row>
        <row r="4359">
          <cell r="A4359" t="str">
            <v>B558225/A</v>
          </cell>
          <cell r="B4359" t="str">
            <v>RH2021M95</v>
          </cell>
          <cell r="C4359">
            <v>18</v>
          </cell>
          <cell r="D4359">
            <v>975.62</v>
          </cell>
          <cell r="E4359">
            <v>17561.16</v>
          </cell>
          <cell r="F4359" t="str">
            <v>A8-S03</v>
          </cell>
          <cell r="G4359" t="str">
            <v>Drawer side - Hông hộc kéo</v>
          </cell>
          <cell r="H4359" t="str">
            <v>MDF Veneer</v>
          </cell>
          <cell r="I4359">
            <v>108</v>
          </cell>
        </row>
        <row r="4360">
          <cell r="A4360" t="str">
            <v>B558225/A</v>
          </cell>
          <cell r="B4360" t="str">
            <v>RH2021M95</v>
          </cell>
          <cell r="C4360">
            <v>18</v>
          </cell>
          <cell r="D4360">
            <v>975.62</v>
          </cell>
          <cell r="E4360">
            <v>17561.16</v>
          </cell>
          <cell r="F4360" t="str">
            <v>A8-S04</v>
          </cell>
          <cell r="G4360" t="str">
            <v>Drawer bottom  - Đáy hộc kéo</v>
          </cell>
          <cell r="H4360" t="str">
            <v>MDF - 06 x 1830 x 2440mm [CARB P2 Compliant]</v>
          </cell>
          <cell r="I4360">
            <v>54</v>
          </cell>
        </row>
        <row r="4361">
          <cell r="A4361" t="str">
            <v>B558225/A</v>
          </cell>
          <cell r="B4361" t="str">
            <v>RH2021M95</v>
          </cell>
          <cell r="C4361">
            <v>18</v>
          </cell>
          <cell r="D4361">
            <v>975.62</v>
          </cell>
          <cell r="E4361">
            <v>17561.16</v>
          </cell>
          <cell r="F4361" t="str">
            <v>A9-S1</v>
          </cell>
          <cell r="G4361" t="str">
            <v>Vertical rail 1 - Đố đứng 1</v>
          </cell>
          <cell r="H4361" t="str">
            <v>Wood EU Beech - Straight/Waving Edged ABC, 2 COM - T32mm x W100mm up x L1.8m up</v>
          </cell>
          <cell r="I4361">
            <v>36</v>
          </cell>
        </row>
        <row r="4362">
          <cell r="A4362" t="str">
            <v>B558225/A</v>
          </cell>
          <cell r="B4362" t="str">
            <v>RH2021M95</v>
          </cell>
          <cell r="C4362">
            <v>18</v>
          </cell>
          <cell r="D4362">
            <v>975.62</v>
          </cell>
          <cell r="E4362">
            <v>17561.16</v>
          </cell>
          <cell r="F4362" t="str">
            <v>A9-S2</v>
          </cell>
          <cell r="G4362" t="str">
            <v>Horizontal rail 1 - Đố ngang 1</v>
          </cell>
          <cell r="H4362" t="str">
            <v>Wood EU Beech - Straight/Waving Edged ABC, 2 COM - T32mm x W100mm up x L1.8m up</v>
          </cell>
          <cell r="I4362">
            <v>90</v>
          </cell>
        </row>
        <row r="4363">
          <cell r="A4363" t="str">
            <v>B558225/A</v>
          </cell>
          <cell r="B4363" t="str">
            <v>RH2021M95</v>
          </cell>
          <cell r="C4363">
            <v>18</v>
          </cell>
          <cell r="D4363">
            <v>975.62</v>
          </cell>
          <cell r="E4363">
            <v>17561.16</v>
          </cell>
          <cell r="F4363" t="str">
            <v>A9-S3</v>
          </cell>
          <cell r="G4363" t="str">
            <v>Patching wood - Gỗ đắp</v>
          </cell>
          <cell r="H4363" t="str">
            <v>Wood EU Beech - Straight/Waving Edged ABC, 2 COM - T38mm x W100mm up x L1.8m up</v>
          </cell>
          <cell r="I4363">
            <v>36</v>
          </cell>
        </row>
        <row r="4364">
          <cell r="A4364" t="str">
            <v>B558225/A</v>
          </cell>
          <cell r="B4364" t="str">
            <v>RH2021M95</v>
          </cell>
          <cell r="C4364">
            <v>18</v>
          </cell>
          <cell r="D4364">
            <v>975.62</v>
          </cell>
          <cell r="E4364">
            <v>17561.16</v>
          </cell>
          <cell r="F4364" t="str">
            <v>A9-S4</v>
          </cell>
          <cell r="G4364" t="str">
            <v>Patching wood - Gỗ đắp</v>
          </cell>
          <cell r="H4364" t="str">
            <v>Beech off cut</v>
          </cell>
          <cell r="I4364">
            <v>36</v>
          </cell>
        </row>
        <row r="4365">
          <cell r="A4365" t="str">
            <v>B558225/A</v>
          </cell>
          <cell r="B4365" t="str">
            <v>RH2021M95</v>
          </cell>
          <cell r="C4365">
            <v>18</v>
          </cell>
          <cell r="D4365">
            <v>975.62</v>
          </cell>
          <cell r="E4365">
            <v>17561.16</v>
          </cell>
          <cell r="F4365" t="str">
            <v>P01</v>
          </cell>
          <cell r="G4365" t="str">
            <v>panel platform - ván sàn giường</v>
          </cell>
          <cell r="H4365" t="str">
            <v>MDF Veneer</v>
          </cell>
          <cell r="I4365">
            <v>36</v>
          </cell>
        </row>
        <row r="4366">
          <cell r="A4366" t="str">
            <v>B558225/A</v>
          </cell>
          <cell r="B4366" t="str">
            <v>RH2021M95</v>
          </cell>
          <cell r="C4366">
            <v>18</v>
          </cell>
          <cell r="D4366">
            <v>975.62</v>
          </cell>
          <cell r="E4366">
            <v>17561.16</v>
          </cell>
          <cell r="F4366" t="str">
            <v>P03</v>
          </cell>
          <cell r="G4366" t="str">
            <v>panel platform - ván sàn giường</v>
          </cell>
          <cell r="H4366" t="str">
            <v>MDF Veneer</v>
          </cell>
          <cell r="I4366">
            <v>18</v>
          </cell>
        </row>
        <row r="4367">
          <cell r="A4367" t="str">
            <v>B558225/A</v>
          </cell>
          <cell r="B4367" t="str">
            <v>RH2021M95</v>
          </cell>
          <cell r="C4367">
            <v>18</v>
          </cell>
          <cell r="D4367">
            <v>975.62</v>
          </cell>
          <cell r="E4367">
            <v>17561.16</v>
          </cell>
          <cell r="F4367" t="str">
            <v>P2</v>
          </cell>
          <cell r="G4367" t="str">
            <v>slat buy - dạt mua từ nhà cung</v>
          </cell>
          <cell r="H4367" t="str">
            <v>Slat buy</v>
          </cell>
          <cell r="I4367">
            <v>90</v>
          </cell>
        </row>
        <row r="4368">
          <cell r="A4368" t="str">
            <v>B558225/A</v>
          </cell>
          <cell r="B4368" t="str">
            <v>RH2021M95</v>
          </cell>
          <cell r="C4368">
            <v>18</v>
          </cell>
          <cell r="D4368">
            <v>975.62</v>
          </cell>
          <cell r="E4368">
            <v>17561.16</v>
          </cell>
          <cell r="F4368" t="str">
            <v>P4</v>
          </cell>
          <cell r="G4368" t="str">
            <v>slat buy - dạt mua từ nhà cung</v>
          </cell>
          <cell r="H4368" t="str">
            <v>Slat buy</v>
          </cell>
          <cell r="I4368">
            <v>54</v>
          </cell>
        </row>
        <row r="4369">
          <cell r="A4369" t="str">
            <v>B558226/A</v>
          </cell>
          <cell r="B4369" t="str">
            <v>RH2021M95</v>
          </cell>
          <cell r="C4369">
            <v>17</v>
          </cell>
          <cell r="D4369">
            <v>975.62</v>
          </cell>
          <cell r="E4369">
            <v>16585.54</v>
          </cell>
          <cell r="F4369" t="str">
            <v>A1</v>
          </cell>
          <cell r="G4369" t="str">
            <v>Foot board  - Đuôi giường</v>
          </cell>
          <cell r="H4369" t="str">
            <v>Pre-Assembly</v>
          </cell>
          <cell r="I4369">
            <v>17</v>
          </cell>
        </row>
        <row r="4370">
          <cell r="A4370" t="str">
            <v>B558226/A</v>
          </cell>
          <cell r="B4370" t="str">
            <v>RH2021M95</v>
          </cell>
          <cell r="C4370">
            <v>17</v>
          </cell>
          <cell r="D4370">
            <v>975.62</v>
          </cell>
          <cell r="E4370">
            <v>16585.54</v>
          </cell>
          <cell r="F4370" t="str">
            <v>A1-S01</v>
          </cell>
          <cell r="G4370" t="str">
            <v>the post - trụ</v>
          </cell>
          <cell r="H4370" t="str">
            <v>Wood laminate</v>
          </cell>
          <cell r="I4370">
            <v>34</v>
          </cell>
        </row>
        <row r="4371">
          <cell r="A4371" t="str">
            <v>B558226/A</v>
          </cell>
          <cell r="B4371" t="str">
            <v>RH2021M95</v>
          </cell>
          <cell r="C4371">
            <v>17</v>
          </cell>
          <cell r="D4371">
            <v>975.62</v>
          </cell>
          <cell r="E4371">
            <v>16585.54</v>
          </cell>
          <cell r="F4371" t="str">
            <v>A1-S02</v>
          </cell>
          <cell r="G4371" t="str">
            <v xml:space="preserve">Side rail  - Đố hông </v>
          </cell>
          <cell r="H4371" t="str">
            <v>Wood EU Beech - Straight/Waving Edged ABC, 2 COM - T50mm x W100mm up x L1.8m up</v>
          </cell>
          <cell r="I4371">
            <v>34</v>
          </cell>
        </row>
        <row r="4372">
          <cell r="A4372" t="str">
            <v>B558226/A</v>
          </cell>
          <cell r="B4372" t="str">
            <v>RH2021M95</v>
          </cell>
          <cell r="C4372">
            <v>17</v>
          </cell>
          <cell r="D4372">
            <v>975.62</v>
          </cell>
          <cell r="E4372">
            <v>16585.54</v>
          </cell>
          <cell r="F4372" t="str">
            <v>A1-S03</v>
          </cell>
          <cell r="G4372" t="str">
            <v xml:space="preserve">Side rail  - Đố hông </v>
          </cell>
          <cell r="H4372" t="str">
            <v>Wood laminate</v>
          </cell>
          <cell r="I4372">
            <v>34</v>
          </cell>
        </row>
        <row r="4373">
          <cell r="A4373" t="str">
            <v>B558226/A</v>
          </cell>
          <cell r="B4373" t="str">
            <v>RH2021M95</v>
          </cell>
          <cell r="C4373">
            <v>17</v>
          </cell>
          <cell r="D4373">
            <v>975.62</v>
          </cell>
          <cell r="E4373">
            <v>16585.54</v>
          </cell>
          <cell r="F4373" t="str">
            <v>A1-S04</v>
          </cell>
          <cell r="G4373" t="str">
            <v>Head board  - Đầu giường</v>
          </cell>
          <cell r="H4373" t="str">
            <v>Pre-Assembly</v>
          </cell>
          <cell r="I4373">
            <v>34</v>
          </cell>
        </row>
        <row r="4374">
          <cell r="A4374" t="str">
            <v>B558226/A</v>
          </cell>
          <cell r="B4374" t="str">
            <v>RH2021M95</v>
          </cell>
          <cell r="C4374">
            <v>17</v>
          </cell>
          <cell r="D4374">
            <v>975.62</v>
          </cell>
          <cell r="E4374">
            <v>16585.54</v>
          </cell>
          <cell r="F4374" t="str">
            <v>A1-S04-1</v>
          </cell>
          <cell r="G4374" t="str">
            <v xml:space="preserve">Panel - Ván </v>
          </cell>
          <cell r="H4374" t="str">
            <v>MDF - 18 x 1830 x 2440mm [CARB P2 Compliant]</v>
          </cell>
          <cell r="I4374">
            <v>34</v>
          </cell>
        </row>
        <row r="4375">
          <cell r="A4375" t="str">
            <v>B558226/A</v>
          </cell>
          <cell r="B4375" t="str">
            <v>RH2021M95</v>
          </cell>
          <cell r="C4375">
            <v>17</v>
          </cell>
          <cell r="D4375">
            <v>975.62</v>
          </cell>
          <cell r="E4375">
            <v>16585.54</v>
          </cell>
          <cell r="F4375" t="str">
            <v>A1-S04-2</v>
          </cell>
          <cell r="G4375" t="str">
            <v xml:space="preserve">Panel - Ván </v>
          </cell>
          <cell r="H4375" t="str">
            <v>MDF Veneer</v>
          </cell>
          <cell r="I4375">
            <v>34</v>
          </cell>
        </row>
        <row r="4376">
          <cell r="A4376" t="str">
            <v>B558226/A</v>
          </cell>
          <cell r="B4376" t="str">
            <v>RH2021M95</v>
          </cell>
          <cell r="C4376">
            <v>17</v>
          </cell>
          <cell r="D4376">
            <v>975.62</v>
          </cell>
          <cell r="E4376">
            <v>16585.54</v>
          </cell>
          <cell r="F4376" t="str">
            <v>A1-S04-3</v>
          </cell>
          <cell r="G4376" t="str">
            <v>Insert Wood - Gỗ chèn</v>
          </cell>
          <cell r="H4376" t="str">
            <v>Wood US Poplar - Straight Edged, 2 COM - T25mm x W100mm Up x L1.8m Up</v>
          </cell>
          <cell r="I4376">
            <v>136</v>
          </cell>
        </row>
        <row r="4377">
          <cell r="A4377" t="str">
            <v>B558226/A</v>
          </cell>
          <cell r="B4377" t="str">
            <v>RH2021M95</v>
          </cell>
          <cell r="C4377">
            <v>17</v>
          </cell>
          <cell r="D4377">
            <v>975.62</v>
          </cell>
          <cell r="E4377">
            <v>16585.54</v>
          </cell>
          <cell r="F4377" t="str">
            <v>A1-S05</v>
          </cell>
          <cell r="G4377" t="str">
            <v>Back bottom rail - Đố hậu đáy</v>
          </cell>
          <cell r="H4377" t="str">
            <v>Wood EU Beech - Straight/Waving Edged ABC, 2 COM - T26mm x W100mm up x L1.8m up</v>
          </cell>
          <cell r="I4377">
            <v>17</v>
          </cell>
        </row>
        <row r="4378">
          <cell r="A4378" t="str">
            <v>B558226/A</v>
          </cell>
          <cell r="B4378" t="str">
            <v>RH2021M95</v>
          </cell>
          <cell r="C4378">
            <v>17</v>
          </cell>
          <cell r="D4378">
            <v>975.62</v>
          </cell>
          <cell r="E4378">
            <v>16585.54</v>
          </cell>
          <cell r="F4378" t="str">
            <v>A1-S06</v>
          </cell>
          <cell r="G4378" t="str">
            <v xml:space="preserve">Side rail  - Đố hông </v>
          </cell>
          <cell r="H4378" t="str">
            <v>Wood EU Beech - Straight/Waving Edged ABC, 2 COM - T32mm x W100mm up x L1.8m up</v>
          </cell>
          <cell r="I4378">
            <v>34</v>
          </cell>
        </row>
        <row r="4379">
          <cell r="A4379" t="str">
            <v>B558226/A</v>
          </cell>
          <cell r="B4379" t="str">
            <v>RH2021M95</v>
          </cell>
          <cell r="C4379">
            <v>17</v>
          </cell>
          <cell r="D4379">
            <v>975.62</v>
          </cell>
          <cell r="E4379">
            <v>16585.54</v>
          </cell>
          <cell r="F4379" t="str">
            <v>A1-S08</v>
          </cell>
          <cell r="G4379" t="str">
            <v xml:space="preserve">Side rail  - Đố hông </v>
          </cell>
          <cell r="H4379" t="str">
            <v>Wood EU Beech - Straight/Waving Edged ABC, 2 COM - T38mm x W100mm up x L1.8m up</v>
          </cell>
          <cell r="I4379">
            <v>17</v>
          </cell>
        </row>
        <row r="4380">
          <cell r="A4380" t="str">
            <v>B558226/A</v>
          </cell>
          <cell r="B4380" t="str">
            <v>RH2021M95</v>
          </cell>
          <cell r="C4380">
            <v>17</v>
          </cell>
          <cell r="D4380">
            <v>975.62</v>
          </cell>
          <cell r="E4380">
            <v>16585.54</v>
          </cell>
          <cell r="F4380" t="str">
            <v>A1-S09</v>
          </cell>
          <cell r="G4380" t="str">
            <v xml:space="preserve">Side rail  - Đố hông </v>
          </cell>
          <cell r="H4380" t="str">
            <v>Wood EU Beech - Straight/Waving Edged ABC, 2 COM - T38mm x W100mm up x L1.8m up</v>
          </cell>
          <cell r="I4380">
            <v>34</v>
          </cell>
        </row>
        <row r="4381">
          <cell r="A4381" t="str">
            <v>B558226/A</v>
          </cell>
          <cell r="B4381" t="str">
            <v>RH2021M95</v>
          </cell>
          <cell r="C4381">
            <v>17</v>
          </cell>
          <cell r="D4381">
            <v>975.62</v>
          </cell>
          <cell r="E4381">
            <v>16585.54</v>
          </cell>
          <cell r="F4381" t="str">
            <v>A2-S01</v>
          </cell>
          <cell r="G4381" t="str">
            <v xml:space="preserve">Side panel  - Ván hông </v>
          </cell>
          <cell r="H4381" t="str">
            <v>Pre-Assembly</v>
          </cell>
          <cell r="I4381">
            <v>17</v>
          </cell>
        </row>
        <row r="4382">
          <cell r="A4382" t="str">
            <v>B558226/A</v>
          </cell>
          <cell r="B4382" t="str">
            <v>RH2021M95</v>
          </cell>
          <cell r="C4382">
            <v>17</v>
          </cell>
          <cell r="D4382">
            <v>975.62</v>
          </cell>
          <cell r="E4382">
            <v>16585.54</v>
          </cell>
          <cell r="F4382" t="str">
            <v>A2-S01-1</v>
          </cell>
          <cell r="G4382" t="str">
            <v xml:space="preserve">Side panel  - Ván hông </v>
          </cell>
          <cell r="H4382" t="str">
            <v>MDF - 18 x 1830 x 2440mm [CARB P2 Compliant]</v>
          </cell>
          <cell r="I4382">
            <v>17</v>
          </cell>
        </row>
        <row r="4383">
          <cell r="A4383" t="str">
            <v>B558226/A</v>
          </cell>
          <cell r="B4383" t="str">
            <v>RH2021M95</v>
          </cell>
          <cell r="C4383">
            <v>17</v>
          </cell>
          <cell r="D4383">
            <v>975.62</v>
          </cell>
          <cell r="E4383">
            <v>16585.54</v>
          </cell>
          <cell r="F4383" t="str">
            <v>A2-S01-2</v>
          </cell>
          <cell r="G4383" t="str">
            <v>Patching wood - Gỗ đắp</v>
          </cell>
          <cell r="H4383" t="str">
            <v>MDF - 12 x 1830 x 2440mm [CARB P2 Compliant]</v>
          </cell>
          <cell r="I4383">
            <v>17</v>
          </cell>
        </row>
        <row r="4384">
          <cell r="A4384" t="str">
            <v>B558226/A</v>
          </cell>
          <cell r="B4384" t="str">
            <v>RH2021M95</v>
          </cell>
          <cell r="C4384">
            <v>17</v>
          </cell>
          <cell r="D4384">
            <v>975.62</v>
          </cell>
          <cell r="E4384">
            <v>16585.54</v>
          </cell>
          <cell r="F4384" t="str">
            <v>A2-S01-3</v>
          </cell>
          <cell r="G4384" t="str">
            <v>Patching wood - Gỗ đắp</v>
          </cell>
          <cell r="H4384" t="str">
            <v>MDF - 12 x 1830 x 2440mm [CARB P2 Compliant]</v>
          </cell>
          <cell r="I4384">
            <v>17</v>
          </cell>
        </row>
        <row r="4385">
          <cell r="A4385" t="str">
            <v>B558226/A</v>
          </cell>
          <cell r="B4385" t="str">
            <v>RH2021M95</v>
          </cell>
          <cell r="C4385">
            <v>17</v>
          </cell>
          <cell r="D4385">
            <v>975.62</v>
          </cell>
          <cell r="E4385">
            <v>16585.54</v>
          </cell>
          <cell r="F4385" t="str">
            <v>A2-S01-4</v>
          </cell>
          <cell r="G4385" t="str">
            <v>Patching wood - Gỗ đắp</v>
          </cell>
          <cell r="H4385" t="str">
            <v>MDF - 12 x 1830 x 2440mm [CARB P2 Compliant]</v>
          </cell>
          <cell r="I4385">
            <v>34</v>
          </cell>
        </row>
        <row r="4386">
          <cell r="A4386" t="str">
            <v>B558226/A</v>
          </cell>
          <cell r="B4386" t="str">
            <v>RH2021M95</v>
          </cell>
          <cell r="C4386">
            <v>17</v>
          </cell>
          <cell r="D4386">
            <v>975.62</v>
          </cell>
          <cell r="E4386">
            <v>16585.54</v>
          </cell>
          <cell r="F4386" t="str">
            <v>A2-S02</v>
          </cell>
          <cell r="G4386" t="str">
            <v xml:space="preserve">Side rail  - Đố hông </v>
          </cell>
          <cell r="H4386" t="str">
            <v>Wood EU Beech - Straight/Waving Edged ABC, 2 COM - T38mm x W100mm up x L1.8m up</v>
          </cell>
          <cell r="I4386">
            <v>34</v>
          </cell>
        </row>
        <row r="4387">
          <cell r="A4387" t="str">
            <v>B558226/A</v>
          </cell>
          <cell r="B4387" t="str">
            <v>RH2021M95</v>
          </cell>
          <cell r="C4387">
            <v>17</v>
          </cell>
          <cell r="D4387">
            <v>975.62</v>
          </cell>
          <cell r="E4387">
            <v>16585.54</v>
          </cell>
          <cell r="F4387" t="str">
            <v>A2-S03</v>
          </cell>
          <cell r="G4387" t="str">
            <v>Bottom rail inside - Đố tiền đáy</v>
          </cell>
          <cell r="H4387" t="str">
            <v>Wood EU Beech - Straight/Waving Edged ABC, 2 COM - T38mm x W100mm up x L1.8m up</v>
          </cell>
          <cell r="I4387">
            <v>17</v>
          </cell>
        </row>
        <row r="4388">
          <cell r="A4388" t="str">
            <v>B558226/A</v>
          </cell>
          <cell r="B4388" t="str">
            <v>RH2021M95</v>
          </cell>
          <cell r="C4388">
            <v>17</v>
          </cell>
          <cell r="D4388">
            <v>975.62</v>
          </cell>
          <cell r="E4388">
            <v>16585.54</v>
          </cell>
          <cell r="F4388" t="str">
            <v>A2-S4</v>
          </cell>
          <cell r="G4388" t="str">
            <v xml:space="preserve">Side rail  - Đố hông </v>
          </cell>
          <cell r="H4388" t="str">
            <v>Wood US Poplar - Straight Edged, 2 COM - T50mm x W100mm Up x L1.8m Up</v>
          </cell>
          <cell r="I4388">
            <v>17</v>
          </cell>
        </row>
        <row r="4389">
          <cell r="A4389" t="str">
            <v>B558226/A</v>
          </cell>
          <cell r="B4389" t="str">
            <v>RH2021M95</v>
          </cell>
          <cell r="C4389">
            <v>17</v>
          </cell>
          <cell r="D4389">
            <v>975.62</v>
          </cell>
          <cell r="E4389">
            <v>16585.54</v>
          </cell>
          <cell r="F4389" t="str">
            <v>A3-S01</v>
          </cell>
          <cell r="G4389" t="str">
            <v>Drawer stop - Dừng hộc</v>
          </cell>
          <cell r="H4389" t="str">
            <v>TRAM OFF CUT</v>
          </cell>
          <cell r="I4389">
            <v>102</v>
          </cell>
        </row>
        <row r="4390">
          <cell r="A4390" t="str">
            <v>B558226/A</v>
          </cell>
          <cell r="B4390" t="str">
            <v>RH2021M95</v>
          </cell>
          <cell r="C4390">
            <v>17</v>
          </cell>
          <cell r="D4390">
            <v>975.62</v>
          </cell>
          <cell r="E4390">
            <v>16585.54</v>
          </cell>
          <cell r="F4390" t="str">
            <v>A3-S02</v>
          </cell>
          <cell r="G4390" t="str">
            <v xml:space="preserve">Side panel  - Ván hông </v>
          </cell>
          <cell r="H4390" t="str">
            <v>MDF Veneer</v>
          </cell>
          <cell r="I4390">
            <v>17</v>
          </cell>
        </row>
        <row r="4391">
          <cell r="A4391" t="str">
            <v>B558226/A</v>
          </cell>
          <cell r="B4391" t="str">
            <v>RH2021M95</v>
          </cell>
          <cell r="C4391">
            <v>17</v>
          </cell>
          <cell r="D4391">
            <v>975.62</v>
          </cell>
          <cell r="E4391">
            <v>16585.54</v>
          </cell>
          <cell r="F4391" t="str">
            <v>A3-S03</v>
          </cell>
          <cell r="G4391" t="str">
            <v>Cleat - Bọ gỗ</v>
          </cell>
          <cell r="H4391" t="str">
            <v>TRAM OFF CUT</v>
          </cell>
          <cell r="I4391">
            <v>136</v>
          </cell>
        </row>
        <row r="4392">
          <cell r="A4392" t="str">
            <v>B558226/A</v>
          </cell>
          <cell r="B4392" t="str">
            <v>RH2021M95</v>
          </cell>
          <cell r="C4392">
            <v>17</v>
          </cell>
          <cell r="D4392">
            <v>975.62</v>
          </cell>
          <cell r="E4392">
            <v>16585.54</v>
          </cell>
          <cell r="F4392" t="str">
            <v>A3-S04</v>
          </cell>
          <cell r="G4392" t="str">
            <v>Front Bottom Rail  - Đố đáy trước</v>
          </cell>
          <cell r="H4392" t="str">
            <v>Wood EU Beech - Straight/Waving Edged ABC, 2 COM - T32mm x W100mm up x L1.8m up</v>
          </cell>
          <cell r="I4392">
            <v>17</v>
          </cell>
        </row>
        <row r="4393">
          <cell r="A4393" t="str">
            <v>B558226/A</v>
          </cell>
          <cell r="B4393" t="str">
            <v>RH2021M95</v>
          </cell>
          <cell r="C4393">
            <v>17</v>
          </cell>
          <cell r="D4393">
            <v>975.62</v>
          </cell>
          <cell r="E4393">
            <v>16585.54</v>
          </cell>
          <cell r="F4393" t="str">
            <v>A3-S07</v>
          </cell>
          <cell r="G4393" t="str">
            <v>Center rail - Đố giữa</v>
          </cell>
          <cell r="H4393" t="str">
            <v>Wood US Poplar - Straight Edged, 2 COM - T38mm x W100mm Up x L1.8m Up</v>
          </cell>
          <cell r="I4393">
            <v>34</v>
          </cell>
        </row>
        <row r="4394">
          <cell r="A4394" t="str">
            <v>B558226/A</v>
          </cell>
          <cell r="B4394" t="str">
            <v>RH2021M95</v>
          </cell>
          <cell r="C4394">
            <v>17</v>
          </cell>
          <cell r="D4394">
            <v>975.62</v>
          </cell>
          <cell r="E4394">
            <v>16585.54</v>
          </cell>
          <cell r="F4394" t="str">
            <v>A3-S08</v>
          </cell>
          <cell r="G4394" t="str">
            <v>Back rail with note finger - đố hậu</v>
          </cell>
          <cell r="H4394" t="str">
            <v>Wood US Poplar - Straight Edged, 2 COM - T25mm x W100mm Up x L1.8m Up</v>
          </cell>
          <cell r="I4394">
            <v>34</v>
          </cell>
        </row>
        <row r="4395">
          <cell r="A4395" t="str">
            <v>B558226/A</v>
          </cell>
          <cell r="B4395" t="str">
            <v>RH2021M95</v>
          </cell>
          <cell r="C4395">
            <v>17</v>
          </cell>
          <cell r="D4395">
            <v>975.62</v>
          </cell>
          <cell r="E4395">
            <v>16585.54</v>
          </cell>
          <cell r="F4395" t="str">
            <v>A3-S09</v>
          </cell>
          <cell r="G4395" t="str">
            <v>Center bottom rail - Đố đáy giữa</v>
          </cell>
          <cell r="H4395" t="str">
            <v>Wood US Poplar - Straight Edged, 2 COM - T25mm x W100mm Up x L1.8m Up</v>
          </cell>
          <cell r="I4395">
            <v>51</v>
          </cell>
        </row>
        <row r="4396">
          <cell r="A4396" t="str">
            <v>B558226/A</v>
          </cell>
          <cell r="B4396" t="str">
            <v>RH2021M95</v>
          </cell>
          <cell r="C4396">
            <v>17</v>
          </cell>
          <cell r="D4396">
            <v>975.62</v>
          </cell>
          <cell r="E4396">
            <v>16585.54</v>
          </cell>
          <cell r="F4396" t="str">
            <v>A3-S09A</v>
          </cell>
          <cell r="G4396" t="str">
            <v>center rail with note - đố giữa</v>
          </cell>
          <cell r="H4396" t="str">
            <v>MDF OFF CUT</v>
          </cell>
          <cell r="I4396">
            <v>34</v>
          </cell>
        </row>
        <row r="4397">
          <cell r="A4397" t="str">
            <v>B558226/A</v>
          </cell>
          <cell r="B4397" t="str">
            <v>RH2021M95</v>
          </cell>
          <cell r="C4397">
            <v>17</v>
          </cell>
          <cell r="D4397">
            <v>975.62</v>
          </cell>
          <cell r="E4397">
            <v>16585.54</v>
          </cell>
          <cell r="F4397" t="str">
            <v>A3-S10</v>
          </cell>
          <cell r="G4397" t="str">
            <v>Back bottom rail - Đố hậu đáy</v>
          </cell>
          <cell r="H4397" t="str">
            <v>Wood EU Beech - Straight/Waving Edged ABC, 2 COM - T26mm x W100mm up x L1.8m up</v>
          </cell>
          <cell r="I4397">
            <v>17</v>
          </cell>
        </row>
        <row r="4398">
          <cell r="A4398" t="str">
            <v>B558226/A</v>
          </cell>
          <cell r="B4398" t="str">
            <v>RH2021M95</v>
          </cell>
          <cell r="C4398">
            <v>17</v>
          </cell>
          <cell r="D4398">
            <v>975.62</v>
          </cell>
          <cell r="E4398">
            <v>16585.54</v>
          </cell>
          <cell r="F4398" t="str">
            <v>A3-S11</v>
          </cell>
          <cell r="G4398" t="str">
            <v>Back top rail - Đố hậu nóc</v>
          </cell>
          <cell r="H4398" t="str">
            <v>Wood EU Beech - Straight/Waving Edged ABC, 2 COM - T26mm x W100mm up x L1.8m up</v>
          </cell>
          <cell r="I4398">
            <v>17</v>
          </cell>
        </row>
        <row r="4399">
          <cell r="A4399" t="str">
            <v>B558226/A</v>
          </cell>
          <cell r="B4399" t="str">
            <v>RH2021M95</v>
          </cell>
          <cell r="C4399">
            <v>17</v>
          </cell>
          <cell r="D4399">
            <v>975.62</v>
          </cell>
          <cell r="E4399">
            <v>16585.54</v>
          </cell>
          <cell r="F4399" t="str">
            <v>A3-S12</v>
          </cell>
          <cell r="G4399" t="str">
            <v xml:space="preserve">Top panel  - Ván nóc </v>
          </cell>
          <cell r="H4399" t="str">
            <v>MDF Veneer</v>
          </cell>
          <cell r="I4399">
            <v>17</v>
          </cell>
        </row>
        <row r="4400">
          <cell r="A4400" t="str">
            <v>B558226/A</v>
          </cell>
          <cell r="B4400" t="str">
            <v>RH2021M95</v>
          </cell>
          <cell r="C4400">
            <v>17</v>
          </cell>
          <cell r="D4400">
            <v>975.62</v>
          </cell>
          <cell r="E4400">
            <v>16585.54</v>
          </cell>
          <cell r="F4400" t="str">
            <v>A3-S13</v>
          </cell>
          <cell r="G4400" t="str">
            <v>Bottom panel - Ván đáy</v>
          </cell>
          <cell r="H4400" t="str">
            <v>MDF - 06 x 1830 x 2440mm [CARB P2 Compliant]</v>
          </cell>
          <cell r="I4400">
            <v>17</v>
          </cell>
        </row>
        <row r="4401">
          <cell r="A4401" t="str">
            <v>B558226/A</v>
          </cell>
          <cell r="B4401" t="str">
            <v>RH2021M95</v>
          </cell>
          <cell r="C4401">
            <v>17</v>
          </cell>
          <cell r="D4401">
            <v>975.62</v>
          </cell>
          <cell r="E4401">
            <v>16585.54</v>
          </cell>
          <cell r="F4401" t="str">
            <v>A3-S14</v>
          </cell>
          <cell r="G4401" t="str">
            <v>Back panel - Ván hậu</v>
          </cell>
          <cell r="H4401" t="str">
            <v>MDF - 06 x 1220 x 2440mm, Veneer Okoume 0.3mm Both Faces [CARB P2 Compliant]</v>
          </cell>
          <cell r="I4401">
            <v>17</v>
          </cell>
        </row>
        <row r="4402">
          <cell r="A4402" t="str">
            <v>B558226/A</v>
          </cell>
          <cell r="B4402" t="str">
            <v>RH2021M95</v>
          </cell>
          <cell r="C4402">
            <v>17</v>
          </cell>
          <cell r="D4402">
            <v>975.62</v>
          </cell>
          <cell r="E4402">
            <v>16585.54</v>
          </cell>
          <cell r="F4402" t="str">
            <v>A3-S15</v>
          </cell>
          <cell r="G4402" t="str">
            <v xml:space="preserve">Side panel  - Ván hông </v>
          </cell>
          <cell r="H4402" t="str">
            <v>MDF Veneer</v>
          </cell>
          <cell r="I4402">
            <v>34</v>
          </cell>
        </row>
        <row r="4403">
          <cell r="A4403" t="str">
            <v>B558226/A</v>
          </cell>
          <cell r="B4403" t="str">
            <v>RH2021M95</v>
          </cell>
          <cell r="C4403">
            <v>17</v>
          </cell>
          <cell r="D4403">
            <v>975.62</v>
          </cell>
          <cell r="E4403">
            <v>16585.54</v>
          </cell>
          <cell r="F4403" t="str">
            <v>A3-S16A</v>
          </cell>
          <cell r="G4403" t="str">
            <v xml:space="preserve">Side rail  - Đố hông </v>
          </cell>
          <cell r="H4403" t="str">
            <v>Wood US Poplar - Straight Edged, 2 COM - T25mm x W100mm Up x L1.8m Up</v>
          </cell>
          <cell r="I4403">
            <v>34</v>
          </cell>
        </row>
        <row r="4404">
          <cell r="A4404" t="str">
            <v>B558226/A</v>
          </cell>
          <cell r="B4404" t="str">
            <v>RH2021M95</v>
          </cell>
          <cell r="C4404">
            <v>17</v>
          </cell>
          <cell r="D4404">
            <v>975.62</v>
          </cell>
          <cell r="E4404">
            <v>16585.54</v>
          </cell>
          <cell r="F4404" t="str">
            <v>A3-S18</v>
          </cell>
          <cell r="G4404" t="str">
            <v>Cleat - Bọ gỗ</v>
          </cell>
          <cell r="H4404" t="str">
            <v>Wood laminate</v>
          </cell>
          <cell r="I4404">
            <v>51</v>
          </cell>
        </row>
        <row r="4405">
          <cell r="A4405" t="str">
            <v>B558226/A</v>
          </cell>
          <cell r="B4405" t="str">
            <v>RH2021M95</v>
          </cell>
          <cell r="C4405">
            <v>17</v>
          </cell>
          <cell r="D4405">
            <v>975.62</v>
          </cell>
          <cell r="E4405">
            <v>16585.54</v>
          </cell>
          <cell r="F4405" t="str">
            <v>A3-S19</v>
          </cell>
          <cell r="G4405" t="str">
            <v xml:space="preserve">Side rail  - Đố hông </v>
          </cell>
          <cell r="H4405" t="str">
            <v>Wood US Poplar - Straight Edged, 2 COM - T50mm x W100mm Up x L1.8m Up</v>
          </cell>
          <cell r="I4405">
            <v>17</v>
          </cell>
        </row>
        <row r="4406">
          <cell r="A4406" t="str">
            <v>B558226/A</v>
          </cell>
          <cell r="B4406" t="str">
            <v>RH2021M95</v>
          </cell>
          <cell r="C4406">
            <v>17</v>
          </cell>
          <cell r="D4406">
            <v>975.62</v>
          </cell>
          <cell r="E4406">
            <v>16585.54</v>
          </cell>
          <cell r="F4406" t="str">
            <v>A3-S20</v>
          </cell>
          <cell r="G4406" t="str">
            <v>Cleat - Bọ gỗ</v>
          </cell>
          <cell r="H4406" t="str">
            <v>Poplar off cut</v>
          </cell>
          <cell r="I4406">
            <v>34</v>
          </cell>
        </row>
        <row r="4407">
          <cell r="A4407" t="str">
            <v>B558226/A</v>
          </cell>
          <cell r="B4407" t="str">
            <v>RH2021M95</v>
          </cell>
          <cell r="C4407">
            <v>17</v>
          </cell>
          <cell r="D4407">
            <v>975.62</v>
          </cell>
          <cell r="E4407">
            <v>16585.54</v>
          </cell>
          <cell r="F4407" t="str">
            <v>A4</v>
          </cell>
          <cell r="G4407" t="str">
            <v>Foot board  - Đuôi giường</v>
          </cell>
          <cell r="H4407" t="str">
            <v>Pre-Assembly</v>
          </cell>
          <cell r="I4407">
            <v>17</v>
          </cell>
        </row>
        <row r="4408">
          <cell r="A4408" t="str">
            <v>B558226/A</v>
          </cell>
          <cell r="B4408" t="str">
            <v>RH2021M95</v>
          </cell>
          <cell r="C4408">
            <v>17</v>
          </cell>
          <cell r="D4408">
            <v>975.62</v>
          </cell>
          <cell r="E4408">
            <v>16585.54</v>
          </cell>
          <cell r="F4408" t="str">
            <v>A4-S01</v>
          </cell>
          <cell r="G4408" t="str">
            <v>the post - trụ</v>
          </cell>
          <cell r="H4408" t="str">
            <v>Wood laminate</v>
          </cell>
          <cell r="I4408">
            <v>34</v>
          </cell>
        </row>
        <row r="4409">
          <cell r="A4409" t="str">
            <v>B558226/A</v>
          </cell>
          <cell r="B4409" t="str">
            <v>RH2021M95</v>
          </cell>
          <cell r="C4409">
            <v>17</v>
          </cell>
          <cell r="D4409">
            <v>975.62</v>
          </cell>
          <cell r="E4409">
            <v>16585.54</v>
          </cell>
          <cell r="F4409" t="str">
            <v>A4-S02</v>
          </cell>
          <cell r="G4409" t="str">
            <v>Side top rail - Đố hông trên</v>
          </cell>
          <cell r="H4409" t="str">
            <v>Wood EU Beech - Straight/Waving Edged ABC, 2 COM - T38mm x W100mm up x L1.8m up</v>
          </cell>
          <cell r="I4409">
            <v>17</v>
          </cell>
        </row>
        <row r="4410">
          <cell r="A4410" t="str">
            <v>B558226/A</v>
          </cell>
          <cell r="B4410" t="str">
            <v>RH2021M95</v>
          </cell>
          <cell r="C4410">
            <v>17</v>
          </cell>
          <cell r="D4410">
            <v>975.62</v>
          </cell>
          <cell r="E4410">
            <v>16585.54</v>
          </cell>
          <cell r="F4410" t="str">
            <v>A4-S04</v>
          </cell>
          <cell r="G4410" t="str">
            <v>Front Bottom Rail  - Đố đáy trước</v>
          </cell>
          <cell r="H4410" t="str">
            <v>Wood EU Beech - Straight/Waving Edged ABC, 2 COM - T26mm x W100mm up x L1.8m up</v>
          </cell>
          <cell r="I4410">
            <v>17</v>
          </cell>
        </row>
        <row r="4411">
          <cell r="A4411" t="str">
            <v>B558226/A</v>
          </cell>
          <cell r="B4411" t="str">
            <v>RH2021M95</v>
          </cell>
          <cell r="C4411">
            <v>17</v>
          </cell>
          <cell r="D4411">
            <v>975.62</v>
          </cell>
          <cell r="E4411">
            <v>16585.54</v>
          </cell>
          <cell r="F4411" t="str">
            <v>A5-S01</v>
          </cell>
          <cell r="G4411" t="str">
            <v>the post - trụ</v>
          </cell>
          <cell r="H4411" t="str">
            <v>Wood EU Beech - Straight/Waving Edged ABC, 2 COM - T50mm x W100mm up x L1.8m up</v>
          </cell>
          <cell r="I4411">
            <v>34</v>
          </cell>
        </row>
        <row r="4412">
          <cell r="A4412" t="str">
            <v>B558226/A</v>
          </cell>
          <cell r="B4412" t="str">
            <v>RH2021M95</v>
          </cell>
          <cell r="C4412">
            <v>17</v>
          </cell>
          <cell r="D4412">
            <v>975.62</v>
          </cell>
          <cell r="E4412">
            <v>16585.54</v>
          </cell>
          <cell r="F4412" t="str">
            <v>A5-S02</v>
          </cell>
          <cell r="G4412" t="str">
            <v xml:space="preserve">Side rail  - Đố hông </v>
          </cell>
          <cell r="H4412" t="str">
            <v>Wood EU Beech - Straight/Waving Edged ABC, 2 COM - T32mm x W100mm up x L1.8m up</v>
          </cell>
          <cell r="I4412">
            <v>34</v>
          </cell>
        </row>
        <row r="4413">
          <cell r="A4413" t="str">
            <v>B558226/A</v>
          </cell>
          <cell r="B4413" t="str">
            <v>RH2021M95</v>
          </cell>
          <cell r="C4413">
            <v>17</v>
          </cell>
          <cell r="D4413">
            <v>975.62</v>
          </cell>
          <cell r="E4413">
            <v>16585.54</v>
          </cell>
          <cell r="F4413" t="str">
            <v>A6-S01</v>
          </cell>
          <cell r="G4413" t="str">
            <v xml:space="preserve">Side rail  - Đố hông </v>
          </cell>
          <cell r="H4413" t="str">
            <v>Wood EU Beech - Straight/Waving Edged ABC, 2 COM - T38mm x W100mm up x L1.8m up</v>
          </cell>
          <cell r="I4413">
            <v>34</v>
          </cell>
        </row>
        <row r="4414">
          <cell r="A4414" t="str">
            <v>B558226/A</v>
          </cell>
          <cell r="B4414" t="str">
            <v>RH2021M95</v>
          </cell>
          <cell r="C4414">
            <v>17</v>
          </cell>
          <cell r="D4414">
            <v>975.62</v>
          </cell>
          <cell r="E4414">
            <v>16585.54</v>
          </cell>
          <cell r="F4414" t="str">
            <v>A6-S02</v>
          </cell>
          <cell r="G4414" t="str">
            <v>Slat Support  - Đỡ dạt giường</v>
          </cell>
          <cell r="H4414" t="str">
            <v>Wood US Poplar - Straight Edged, 1 COM - T38mm x W100mm Up x L1.8m Up</v>
          </cell>
          <cell r="I4414">
            <v>34</v>
          </cell>
        </row>
        <row r="4415">
          <cell r="A4415" t="str">
            <v>B558226/A</v>
          </cell>
          <cell r="B4415" t="str">
            <v>RH2021M95</v>
          </cell>
          <cell r="C4415">
            <v>17</v>
          </cell>
          <cell r="D4415">
            <v>975.62</v>
          </cell>
          <cell r="E4415">
            <v>16585.54</v>
          </cell>
          <cell r="F4415" t="str">
            <v>A6-S03</v>
          </cell>
          <cell r="G4415" t="str">
            <v>Side top rail - Đố hông trên</v>
          </cell>
          <cell r="H4415" t="str">
            <v>Wood EU Beech - Straight/Waving Edged ABC, 2 COM - T32mm x W100mm up x L1.8m up</v>
          </cell>
          <cell r="I4415">
            <v>34</v>
          </cell>
        </row>
        <row r="4416">
          <cell r="A4416" t="str">
            <v>B558226/A</v>
          </cell>
          <cell r="B4416" t="str">
            <v>RH2021M95</v>
          </cell>
          <cell r="C4416">
            <v>17</v>
          </cell>
          <cell r="D4416">
            <v>975.62</v>
          </cell>
          <cell r="E4416">
            <v>16585.54</v>
          </cell>
          <cell r="F4416" t="str">
            <v>A6-S04</v>
          </cell>
          <cell r="G4416" t="str">
            <v xml:space="preserve">Side rail  - Đố hông </v>
          </cell>
          <cell r="H4416" t="str">
            <v>Wood EU Beech - Straight/Waving Edged ABC, 2 COM - T32mm x W100mm up x L1.8m up</v>
          </cell>
          <cell r="I4416">
            <v>34</v>
          </cell>
        </row>
        <row r="4417">
          <cell r="A4417" t="str">
            <v>B558226/A</v>
          </cell>
          <cell r="B4417" t="str">
            <v>RH2021M95</v>
          </cell>
          <cell r="C4417">
            <v>17</v>
          </cell>
          <cell r="D4417">
            <v>975.62</v>
          </cell>
          <cell r="E4417">
            <v>16585.54</v>
          </cell>
          <cell r="F4417" t="str">
            <v>A6-S05</v>
          </cell>
          <cell r="G4417" t="str">
            <v>Vertical rail 1 - Đố đứng 1</v>
          </cell>
          <cell r="H4417" t="str">
            <v>Wood EU Beech - Straight/Waving Edged ABC, 2 COM - T32mm x W100mm up x L1.8m up</v>
          </cell>
          <cell r="I4417">
            <v>68</v>
          </cell>
        </row>
        <row r="4418">
          <cell r="A4418" t="str">
            <v>B558226/A</v>
          </cell>
          <cell r="B4418" t="str">
            <v>RH2021M95</v>
          </cell>
          <cell r="C4418">
            <v>17</v>
          </cell>
          <cell r="D4418">
            <v>975.62</v>
          </cell>
          <cell r="E4418">
            <v>16585.54</v>
          </cell>
          <cell r="F4418" t="str">
            <v>A6-S06</v>
          </cell>
          <cell r="G4418" t="str">
            <v>Cleat - Bọ gỗ</v>
          </cell>
          <cell r="H4418" t="str">
            <v>Wood EU Beech - Straight/Waving Edged ABC, 2 COM - T32mm x W100mm up x L1.8m up</v>
          </cell>
          <cell r="I4418">
            <v>68</v>
          </cell>
        </row>
        <row r="4419">
          <cell r="A4419" t="str">
            <v>B558226/A</v>
          </cell>
          <cell r="B4419" t="str">
            <v>RH2021M95</v>
          </cell>
          <cell r="C4419">
            <v>17</v>
          </cell>
          <cell r="D4419">
            <v>975.62</v>
          </cell>
          <cell r="E4419">
            <v>16585.54</v>
          </cell>
          <cell r="F4419" t="str">
            <v>A8-S01</v>
          </cell>
          <cell r="G4419" t="str">
            <v xml:space="preserve">Drawer front - Mặt hộc kéo </v>
          </cell>
          <cell r="H4419" t="str">
            <v>MDF Veneer</v>
          </cell>
          <cell r="I4419">
            <v>51</v>
          </cell>
        </row>
        <row r="4420">
          <cell r="A4420" t="str">
            <v>B558226/A</v>
          </cell>
          <cell r="B4420" t="str">
            <v>RH2021M95</v>
          </cell>
          <cell r="C4420">
            <v>17</v>
          </cell>
          <cell r="D4420">
            <v>975.62</v>
          </cell>
          <cell r="E4420">
            <v>16585.54</v>
          </cell>
          <cell r="F4420" t="str">
            <v>A8-S02</v>
          </cell>
          <cell r="G4420" t="str">
            <v>Drawer back - Hậu hộc kéo</v>
          </cell>
          <cell r="H4420" t="str">
            <v>MDF Veneer</v>
          </cell>
          <cell r="I4420">
            <v>51</v>
          </cell>
        </row>
        <row r="4421">
          <cell r="A4421" t="str">
            <v>B558226/A</v>
          </cell>
          <cell r="B4421" t="str">
            <v>RH2021M95</v>
          </cell>
          <cell r="C4421">
            <v>17</v>
          </cell>
          <cell r="D4421">
            <v>975.62</v>
          </cell>
          <cell r="E4421">
            <v>16585.54</v>
          </cell>
          <cell r="F4421" t="str">
            <v>A8-S03</v>
          </cell>
          <cell r="G4421" t="str">
            <v>Drawer side - Hông hộc kéo</v>
          </cell>
          <cell r="H4421" t="str">
            <v>MDF Veneer</v>
          </cell>
          <cell r="I4421">
            <v>102</v>
          </cell>
        </row>
        <row r="4422">
          <cell r="A4422" t="str">
            <v>B558226/A</v>
          </cell>
          <cell r="B4422" t="str">
            <v>RH2021M95</v>
          </cell>
          <cell r="C4422">
            <v>17</v>
          </cell>
          <cell r="D4422">
            <v>975.62</v>
          </cell>
          <cell r="E4422">
            <v>16585.54</v>
          </cell>
          <cell r="F4422" t="str">
            <v>A8-S04</v>
          </cell>
          <cell r="G4422" t="str">
            <v>Drawer bottom  - Đáy hộc kéo</v>
          </cell>
          <cell r="H4422" t="str">
            <v>MDF - 06 x 1830 x 2440mm [CARB P2 Compliant]</v>
          </cell>
          <cell r="I4422">
            <v>51</v>
          </cell>
        </row>
        <row r="4423">
          <cell r="A4423" t="str">
            <v>B558226/A</v>
          </cell>
          <cell r="B4423" t="str">
            <v>RH2021M95</v>
          </cell>
          <cell r="C4423">
            <v>17</v>
          </cell>
          <cell r="D4423">
            <v>975.62</v>
          </cell>
          <cell r="E4423">
            <v>16585.54</v>
          </cell>
          <cell r="F4423" t="str">
            <v>A9-S1</v>
          </cell>
          <cell r="G4423" t="str">
            <v>Vertical rail 1 - Đố đứng 1</v>
          </cell>
          <cell r="H4423" t="str">
            <v>Wood EU Beech - Straight/Waving Edged ABC, 2 COM - T32mm x W100mm up x L1.8m up</v>
          </cell>
          <cell r="I4423">
            <v>34</v>
          </cell>
        </row>
        <row r="4424">
          <cell r="A4424" t="str">
            <v>B558226/A</v>
          </cell>
          <cell r="B4424" t="str">
            <v>RH2021M95</v>
          </cell>
          <cell r="C4424">
            <v>17</v>
          </cell>
          <cell r="D4424">
            <v>975.62</v>
          </cell>
          <cell r="E4424">
            <v>16585.54</v>
          </cell>
          <cell r="F4424" t="str">
            <v>A9-S2</v>
          </cell>
          <cell r="G4424" t="str">
            <v>Horizontal rail 1 - Đố ngang 1</v>
          </cell>
          <cell r="H4424" t="str">
            <v>Wood EU Beech - Straight/Waving Edged ABC, 2 COM - T32mm x W100mm up x L1.8m up</v>
          </cell>
          <cell r="I4424">
            <v>85</v>
          </cell>
        </row>
        <row r="4425">
          <cell r="A4425" t="str">
            <v>B558226/A</v>
          </cell>
          <cell r="B4425" t="str">
            <v>RH2021M95</v>
          </cell>
          <cell r="C4425">
            <v>17</v>
          </cell>
          <cell r="D4425">
            <v>975.62</v>
          </cell>
          <cell r="E4425">
            <v>16585.54</v>
          </cell>
          <cell r="F4425" t="str">
            <v>A9-S3</v>
          </cell>
          <cell r="G4425" t="str">
            <v>Patching wood - Gỗ đắp</v>
          </cell>
          <cell r="H4425" t="str">
            <v>Wood EU Beech - Straight/Waving Edged ABC, 2 COM - T38mm x W100mm up x L1.8m up</v>
          </cell>
          <cell r="I4425">
            <v>34</v>
          </cell>
        </row>
        <row r="4426">
          <cell r="A4426" t="str">
            <v>B558226/A</v>
          </cell>
          <cell r="B4426" t="str">
            <v>RH2021M95</v>
          </cell>
          <cell r="C4426">
            <v>17</v>
          </cell>
          <cell r="D4426">
            <v>975.62</v>
          </cell>
          <cell r="E4426">
            <v>16585.54</v>
          </cell>
          <cell r="F4426" t="str">
            <v>A9-S4</v>
          </cell>
          <cell r="G4426" t="str">
            <v>Patching wood - Gỗ đắp</v>
          </cell>
          <cell r="H4426" t="str">
            <v>Beech off cut</v>
          </cell>
          <cell r="I4426">
            <v>34</v>
          </cell>
        </row>
        <row r="4427">
          <cell r="A4427" t="str">
            <v>B558226/A</v>
          </cell>
          <cell r="B4427" t="str">
            <v>RH2021M95</v>
          </cell>
          <cell r="C4427">
            <v>17</v>
          </cell>
          <cell r="D4427">
            <v>975.62</v>
          </cell>
          <cell r="E4427">
            <v>16585.54</v>
          </cell>
          <cell r="F4427" t="str">
            <v>P01</v>
          </cell>
          <cell r="G4427" t="str">
            <v>panel platform - ván sàn giường</v>
          </cell>
          <cell r="H4427" t="str">
            <v>MDF Veneer</v>
          </cell>
          <cell r="I4427">
            <v>34</v>
          </cell>
        </row>
        <row r="4428">
          <cell r="A4428" t="str">
            <v>B558226/A</v>
          </cell>
          <cell r="B4428" t="str">
            <v>RH2021M95</v>
          </cell>
          <cell r="C4428">
            <v>17</v>
          </cell>
          <cell r="D4428">
            <v>975.62</v>
          </cell>
          <cell r="E4428">
            <v>16585.54</v>
          </cell>
          <cell r="F4428" t="str">
            <v>P03</v>
          </cell>
          <cell r="G4428" t="str">
            <v>panel platform - ván sàn giường</v>
          </cell>
          <cell r="H4428" t="str">
            <v>MDF Veneer</v>
          </cell>
          <cell r="I4428">
            <v>17</v>
          </cell>
        </row>
        <row r="4429">
          <cell r="A4429" t="str">
            <v>B558226/A</v>
          </cell>
          <cell r="B4429" t="str">
            <v>RH2021M95</v>
          </cell>
          <cell r="C4429">
            <v>17</v>
          </cell>
          <cell r="D4429">
            <v>975.62</v>
          </cell>
          <cell r="E4429">
            <v>16585.54</v>
          </cell>
          <cell r="F4429" t="str">
            <v>P2</v>
          </cell>
          <cell r="G4429" t="str">
            <v>slat buy - dạt mua từ nhà cung</v>
          </cell>
          <cell r="H4429" t="str">
            <v>Slat buy</v>
          </cell>
          <cell r="I4429">
            <v>85</v>
          </cell>
        </row>
        <row r="4430">
          <cell r="A4430" t="str">
            <v>B558226/A</v>
          </cell>
          <cell r="B4430" t="str">
            <v>RH2021M95</v>
          </cell>
          <cell r="C4430">
            <v>17</v>
          </cell>
          <cell r="D4430">
            <v>975.62</v>
          </cell>
          <cell r="E4430">
            <v>16585.54</v>
          </cell>
          <cell r="F4430" t="str">
            <v>P4</v>
          </cell>
          <cell r="G4430" t="str">
            <v>slat buy - dạt mua từ nhà cung</v>
          </cell>
          <cell r="H4430" t="str">
            <v>Slat buy</v>
          </cell>
          <cell r="I4430">
            <v>51</v>
          </cell>
        </row>
        <row r="4431">
          <cell r="A4431" t="str">
            <v>B558228/A</v>
          </cell>
          <cell r="B4431" t="str">
            <v>RH2670M398</v>
          </cell>
          <cell r="C4431">
            <v>5</v>
          </cell>
          <cell r="D4431">
            <v>355</v>
          </cell>
          <cell r="E4431">
            <v>1775</v>
          </cell>
          <cell r="F4431" t="str">
            <v>A1-S01</v>
          </cell>
          <cell r="G4431" t="str">
            <v>Side bottom rail - Đố hông dưới</v>
          </cell>
          <cell r="H4431" t="str">
            <v>Wood laminate</v>
          </cell>
          <cell r="I4431">
            <v>10</v>
          </cell>
        </row>
        <row r="4432">
          <cell r="A4432" t="str">
            <v>B558228/A</v>
          </cell>
          <cell r="B4432" t="str">
            <v>RH2670M398</v>
          </cell>
          <cell r="C4432">
            <v>5</v>
          </cell>
          <cell r="D4432">
            <v>355</v>
          </cell>
          <cell r="E4432">
            <v>1775</v>
          </cell>
          <cell r="F4432" t="str">
            <v>A1-S02</v>
          </cell>
          <cell r="G4432" t="str">
            <v>Front Bottom Rail  - Đố đáy trước</v>
          </cell>
          <cell r="H4432" t="str">
            <v>Wood laminate</v>
          </cell>
          <cell r="I4432">
            <v>10</v>
          </cell>
        </row>
        <row r="4433">
          <cell r="A4433" t="str">
            <v>B558228/A</v>
          </cell>
          <cell r="B4433" t="str">
            <v>RH2670M398</v>
          </cell>
          <cell r="C4433">
            <v>5</v>
          </cell>
          <cell r="D4433">
            <v>355</v>
          </cell>
          <cell r="E4433">
            <v>1775</v>
          </cell>
          <cell r="F4433" t="str">
            <v>A1-S03</v>
          </cell>
          <cell r="G4433" t="str">
            <v>Bottom panel - Ván đáy</v>
          </cell>
          <cell r="H4433" t="str">
            <v>MDF Veneer</v>
          </cell>
          <cell r="I4433">
            <v>5</v>
          </cell>
        </row>
        <row r="4434">
          <cell r="A4434" t="str">
            <v>B558228/A</v>
          </cell>
          <cell r="B4434" t="str">
            <v>RH2670M398</v>
          </cell>
          <cell r="C4434">
            <v>5</v>
          </cell>
          <cell r="D4434">
            <v>355</v>
          </cell>
          <cell r="E4434">
            <v>1775</v>
          </cell>
          <cell r="F4434" t="str">
            <v>P01</v>
          </cell>
          <cell r="G4434" t="str">
            <v>Top Frame - Khung nóc</v>
          </cell>
          <cell r="H4434" t="str">
            <v>Pre-Assembly</v>
          </cell>
          <cell r="I4434">
            <v>5</v>
          </cell>
        </row>
        <row r="4435">
          <cell r="A4435" t="str">
            <v>B558228/A</v>
          </cell>
          <cell r="B4435" t="str">
            <v>RH2670M398</v>
          </cell>
          <cell r="C4435">
            <v>5</v>
          </cell>
          <cell r="D4435">
            <v>355</v>
          </cell>
          <cell r="E4435">
            <v>1775</v>
          </cell>
          <cell r="F4435" t="str">
            <v>P01-1</v>
          </cell>
          <cell r="G4435" t="str">
            <v xml:space="preserve">Top panel  - Ván nóc </v>
          </cell>
          <cell r="H4435" t="str">
            <v>MDF Veneer</v>
          </cell>
          <cell r="I4435">
            <v>5</v>
          </cell>
        </row>
        <row r="4436">
          <cell r="A4436" t="str">
            <v>B558228/A</v>
          </cell>
          <cell r="B4436" t="str">
            <v>RH2670M398</v>
          </cell>
          <cell r="C4436">
            <v>5</v>
          </cell>
          <cell r="D4436">
            <v>355</v>
          </cell>
          <cell r="E4436">
            <v>1775</v>
          </cell>
          <cell r="F4436" t="str">
            <v>P01-2</v>
          </cell>
          <cell r="G4436" t="str">
            <v xml:space="preserve">Panel - Ván </v>
          </cell>
          <cell r="H4436" t="str">
            <v>MDF Veneer</v>
          </cell>
          <cell r="I4436">
            <v>10</v>
          </cell>
        </row>
        <row r="4437">
          <cell r="A4437" t="str">
            <v>B558228/A</v>
          </cell>
          <cell r="B4437" t="str">
            <v>RH2670M398</v>
          </cell>
          <cell r="C4437">
            <v>5</v>
          </cell>
          <cell r="D4437">
            <v>355</v>
          </cell>
          <cell r="E4437">
            <v>1775</v>
          </cell>
          <cell r="F4437" t="str">
            <v>P01-3</v>
          </cell>
          <cell r="G4437" t="str">
            <v xml:space="preserve">Panel - Ván </v>
          </cell>
          <cell r="H4437" t="str">
            <v>MDF Veneer</v>
          </cell>
          <cell r="I4437">
            <v>10</v>
          </cell>
        </row>
        <row r="4438">
          <cell r="A4438" t="str">
            <v>B558228/A</v>
          </cell>
          <cell r="B4438" t="str">
            <v>RH2670M398</v>
          </cell>
          <cell r="C4438">
            <v>5</v>
          </cell>
          <cell r="D4438">
            <v>355</v>
          </cell>
          <cell r="E4438">
            <v>1775</v>
          </cell>
          <cell r="F4438" t="str">
            <v>P01-4</v>
          </cell>
          <cell r="G4438" t="str">
            <v>Center top rail - Đố nóc giữa</v>
          </cell>
          <cell r="H4438" t="str">
            <v>Wood laminate</v>
          </cell>
          <cell r="I4438">
            <v>15</v>
          </cell>
        </row>
        <row r="4439">
          <cell r="A4439" t="str">
            <v>B558228/A</v>
          </cell>
          <cell r="B4439" t="str">
            <v>RH2670M398</v>
          </cell>
          <cell r="C4439">
            <v>5</v>
          </cell>
          <cell r="D4439">
            <v>355</v>
          </cell>
          <cell r="E4439">
            <v>1775</v>
          </cell>
          <cell r="F4439" t="str">
            <v>P01-5</v>
          </cell>
          <cell r="G4439" t="str">
            <v>Corner block - ke góc</v>
          </cell>
          <cell r="H4439" t="str">
            <v>Poplar off cut</v>
          </cell>
          <cell r="I4439">
            <v>30</v>
          </cell>
        </row>
        <row r="4440">
          <cell r="A4440" t="str">
            <v>B558228/A</v>
          </cell>
          <cell r="B4440" t="str">
            <v>RH2670M398</v>
          </cell>
          <cell r="C4440">
            <v>5</v>
          </cell>
          <cell r="D4440">
            <v>355</v>
          </cell>
          <cell r="E4440">
            <v>1775</v>
          </cell>
          <cell r="F4440" t="str">
            <v>P02</v>
          </cell>
          <cell r="G4440" t="str">
            <v>vaccumn veneer - cảo bich veneer</v>
          </cell>
          <cell r="H4440" t="str">
            <v>MDF Veneer</v>
          </cell>
          <cell r="I4440">
            <v>10</v>
          </cell>
        </row>
        <row r="4441">
          <cell r="A4441" t="str">
            <v>B558228/A</v>
          </cell>
          <cell r="B4441" t="str">
            <v>RH2670M398</v>
          </cell>
          <cell r="C4441">
            <v>5</v>
          </cell>
          <cell r="D4441">
            <v>355</v>
          </cell>
          <cell r="E4441">
            <v>1775</v>
          </cell>
          <cell r="F4441" t="str">
            <v>P02-1</v>
          </cell>
          <cell r="G4441" t="str">
            <v>Panel outside - Ván phía ngoài</v>
          </cell>
          <cell r="H4441" t="str">
            <v>MDF Veneer</v>
          </cell>
          <cell r="I4441">
            <v>10</v>
          </cell>
        </row>
        <row r="4442">
          <cell r="A4442" t="str">
            <v>B558228/A</v>
          </cell>
          <cell r="B4442" t="str">
            <v>RH2670M398</v>
          </cell>
          <cell r="C4442">
            <v>5</v>
          </cell>
          <cell r="D4442">
            <v>355</v>
          </cell>
          <cell r="E4442">
            <v>1775</v>
          </cell>
          <cell r="F4442" t="str">
            <v>P02-2</v>
          </cell>
          <cell r="G4442" t="str">
            <v>Panel outside - Ván phía ngoài</v>
          </cell>
          <cell r="H4442" t="str">
            <v>MDF - 12 x 1830 x 2440mm [CARB P2 Compliant]</v>
          </cell>
          <cell r="I4442">
            <v>10</v>
          </cell>
        </row>
        <row r="4443">
          <cell r="A4443" t="str">
            <v>B558228/A</v>
          </cell>
          <cell r="B4443" t="str">
            <v>RH2670M398</v>
          </cell>
          <cell r="C4443">
            <v>5</v>
          </cell>
          <cell r="D4443">
            <v>355</v>
          </cell>
          <cell r="E4443">
            <v>1775</v>
          </cell>
          <cell r="F4443" t="str">
            <v>P02-3</v>
          </cell>
          <cell r="G4443" t="str">
            <v>Panel outside - Ván phía ngoài</v>
          </cell>
          <cell r="H4443" t="str">
            <v>MDF - 18 x 1830 x 2440mm [CARB P2 Compliant]</v>
          </cell>
          <cell r="I4443">
            <v>20</v>
          </cell>
        </row>
        <row r="4444">
          <cell r="A4444" t="str">
            <v>B558228/A</v>
          </cell>
          <cell r="B4444" t="str">
            <v>RH2670M398</v>
          </cell>
          <cell r="C4444">
            <v>5</v>
          </cell>
          <cell r="D4444">
            <v>355</v>
          </cell>
          <cell r="E4444">
            <v>1775</v>
          </cell>
          <cell r="F4444" t="str">
            <v>P02-4</v>
          </cell>
          <cell r="G4444" t="str">
            <v>Panel inside - Ván hông</v>
          </cell>
          <cell r="H4444" t="str">
            <v>MDF laminate</v>
          </cell>
          <cell r="I4444">
            <v>30</v>
          </cell>
        </row>
        <row r="4445">
          <cell r="A4445" t="str">
            <v>B558228/A</v>
          </cell>
          <cell r="B4445" t="str">
            <v>RH2670M398</v>
          </cell>
          <cell r="C4445">
            <v>5</v>
          </cell>
          <cell r="D4445">
            <v>355</v>
          </cell>
          <cell r="E4445">
            <v>1775</v>
          </cell>
          <cell r="F4445" t="str">
            <v>P02-5</v>
          </cell>
          <cell r="G4445" t="str">
            <v>Panel inside - Ván hông</v>
          </cell>
          <cell r="H4445" t="str">
            <v>MDF laminate</v>
          </cell>
          <cell r="I4445">
            <v>20</v>
          </cell>
        </row>
        <row r="4446">
          <cell r="A4446" t="str">
            <v>B558228/A</v>
          </cell>
          <cell r="B4446" t="str">
            <v>RH2670M398</v>
          </cell>
          <cell r="C4446">
            <v>5</v>
          </cell>
          <cell r="D4446">
            <v>355</v>
          </cell>
          <cell r="E4446">
            <v>1775</v>
          </cell>
          <cell r="F4446" t="str">
            <v>P02-6</v>
          </cell>
          <cell r="G4446" t="str">
            <v>MDF - MDF</v>
          </cell>
          <cell r="H4446" t="str">
            <v>MDF OFF CUT</v>
          </cell>
          <cell r="I4446">
            <v>80</v>
          </cell>
        </row>
        <row r="4447">
          <cell r="A4447" t="str">
            <v>B558228/A</v>
          </cell>
          <cell r="B4447" t="str">
            <v>RH2670M398</v>
          </cell>
          <cell r="C4447">
            <v>5</v>
          </cell>
          <cell r="D4447">
            <v>355</v>
          </cell>
          <cell r="E4447">
            <v>1775</v>
          </cell>
          <cell r="F4447" t="str">
            <v>P03</v>
          </cell>
          <cell r="G4447" t="str">
            <v>Spline - Lưỡi gà</v>
          </cell>
          <cell r="H4447" t="str">
            <v>Plywood LVD - 09 x 1220 x 2440mm, Bleached Poplar Veneer Both Sides [CARB P2 Compliant]</v>
          </cell>
          <cell r="I4447">
            <v>40</v>
          </cell>
        </row>
        <row r="4448">
          <cell r="A4448" t="str">
            <v>B558230/A</v>
          </cell>
          <cell r="B4448" t="str">
            <v>RH2670M410</v>
          </cell>
          <cell r="C4448">
            <v>15</v>
          </cell>
          <cell r="D4448">
            <v>355</v>
          </cell>
          <cell r="E4448">
            <v>5325</v>
          </cell>
          <cell r="F4448" t="str">
            <v>A1-S01</v>
          </cell>
          <cell r="G4448" t="str">
            <v>Side bottom rail - Đố hông dưới</v>
          </cell>
          <cell r="H4448" t="str">
            <v>Wood laminate</v>
          </cell>
          <cell r="I4448">
            <v>30</v>
          </cell>
        </row>
        <row r="4449">
          <cell r="A4449" t="str">
            <v>B558230/A</v>
          </cell>
          <cell r="B4449" t="str">
            <v>RH2670M410</v>
          </cell>
          <cell r="C4449">
            <v>15</v>
          </cell>
          <cell r="D4449">
            <v>355</v>
          </cell>
          <cell r="E4449">
            <v>5325</v>
          </cell>
          <cell r="F4449" t="str">
            <v>A1-S02</v>
          </cell>
          <cell r="G4449" t="str">
            <v>Front Bottom Rail  - Đố đáy trước</v>
          </cell>
          <cell r="H4449" t="str">
            <v>Wood laminate</v>
          </cell>
          <cell r="I4449">
            <v>30</v>
          </cell>
        </row>
        <row r="4450">
          <cell r="A4450" t="str">
            <v>B558230/A</v>
          </cell>
          <cell r="B4450" t="str">
            <v>RH2670M410</v>
          </cell>
          <cell r="C4450">
            <v>15</v>
          </cell>
          <cell r="D4450">
            <v>355</v>
          </cell>
          <cell r="E4450">
            <v>5325</v>
          </cell>
          <cell r="F4450" t="str">
            <v>A1-S03</v>
          </cell>
          <cell r="G4450" t="str">
            <v>Bottom panel - Ván đáy</v>
          </cell>
          <cell r="H4450" t="str">
            <v>MDF Veneer</v>
          </cell>
          <cell r="I4450">
            <v>15</v>
          </cell>
        </row>
        <row r="4451">
          <cell r="A4451" t="str">
            <v>B558230/A</v>
          </cell>
          <cell r="B4451" t="str">
            <v>RH2670M410</v>
          </cell>
          <cell r="C4451">
            <v>15</v>
          </cell>
          <cell r="D4451">
            <v>355</v>
          </cell>
          <cell r="E4451">
            <v>5325</v>
          </cell>
          <cell r="F4451" t="str">
            <v>P01</v>
          </cell>
          <cell r="G4451" t="str">
            <v>Top Frame - Khung nóc</v>
          </cell>
          <cell r="H4451" t="str">
            <v>Pre-Assembly</v>
          </cell>
          <cell r="I4451">
            <v>15</v>
          </cell>
        </row>
        <row r="4452">
          <cell r="A4452" t="str">
            <v>B558230/A</v>
          </cell>
          <cell r="B4452" t="str">
            <v>RH2670M410</v>
          </cell>
          <cell r="C4452">
            <v>15</v>
          </cell>
          <cell r="D4452">
            <v>355</v>
          </cell>
          <cell r="E4452">
            <v>5325</v>
          </cell>
          <cell r="F4452" t="str">
            <v>P01-1</v>
          </cell>
          <cell r="G4452" t="str">
            <v xml:space="preserve">Top panel  - Ván nóc </v>
          </cell>
          <cell r="H4452" t="str">
            <v>MDF Veneer</v>
          </cell>
          <cell r="I4452">
            <v>15</v>
          </cell>
        </row>
        <row r="4453">
          <cell r="A4453" t="str">
            <v>B558230/A</v>
          </cell>
          <cell r="B4453" t="str">
            <v>RH2670M410</v>
          </cell>
          <cell r="C4453">
            <v>15</v>
          </cell>
          <cell r="D4453">
            <v>355</v>
          </cell>
          <cell r="E4453">
            <v>5325</v>
          </cell>
          <cell r="F4453" t="str">
            <v>P01-2</v>
          </cell>
          <cell r="G4453" t="str">
            <v xml:space="preserve">Panel - Ván </v>
          </cell>
          <cell r="H4453" t="str">
            <v>MDF Veneer</v>
          </cell>
          <cell r="I4453">
            <v>30</v>
          </cell>
        </row>
        <row r="4454">
          <cell r="A4454" t="str">
            <v>B558230/A</v>
          </cell>
          <cell r="B4454" t="str">
            <v>RH2670M410</v>
          </cell>
          <cell r="C4454">
            <v>15</v>
          </cell>
          <cell r="D4454">
            <v>355</v>
          </cell>
          <cell r="E4454">
            <v>5325</v>
          </cell>
          <cell r="F4454" t="str">
            <v>P01-3</v>
          </cell>
          <cell r="G4454" t="str">
            <v xml:space="preserve">Panel - Ván </v>
          </cell>
          <cell r="H4454" t="str">
            <v>MDF Veneer</v>
          </cell>
          <cell r="I4454">
            <v>30</v>
          </cell>
        </row>
        <row r="4455">
          <cell r="A4455" t="str">
            <v>B558230/A</v>
          </cell>
          <cell r="B4455" t="str">
            <v>RH2670M410</v>
          </cell>
          <cell r="C4455">
            <v>15</v>
          </cell>
          <cell r="D4455">
            <v>355</v>
          </cell>
          <cell r="E4455">
            <v>5325</v>
          </cell>
          <cell r="F4455" t="str">
            <v>P01-4</v>
          </cell>
          <cell r="G4455" t="str">
            <v>Center top rail - Đố nóc giữa</v>
          </cell>
          <cell r="H4455" t="str">
            <v>Wood laminate</v>
          </cell>
          <cell r="I4455">
            <v>45</v>
          </cell>
        </row>
        <row r="4456">
          <cell r="A4456" t="str">
            <v>B558230/A</v>
          </cell>
          <cell r="B4456" t="str">
            <v>RH2670M410</v>
          </cell>
          <cell r="C4456">
            <v>15</v>
          </cell>
          <cell r="D4456">
            <v>355</v>
          </cell>
          <cell r="E4456">
            <v>5325</v>
          </cell>
          <cell r="F4456" t="str">
            <v>P01-5</v>
          </cell>
          <cell r="G4456" t="str">
            <v>Corner block - ke góc</v>
          </cell>
          <cell r="H4456" t="str">
            <v>Poplar off cut</v>
          </cell>
          <cell r="I4456">
            <v>90</v>
          </cell>
        </row>
        <row r="4457">
          <cell r="A4457" t="str">
            <v>B558230/A</v>
          </cell>
          <cell r="B4457" t="str">
            <v>RH2670M410</v>
          </cell>
          <cell r="C4457">
            <v>15</v>
          </cell>
          <cell r="D4457">
            <v>355</v>
          </cell>
          <cell r="E4457">
            <v>5325</v>
          </cell>
          <cell r="F4457" t="str">
            <v>P02</v>
          </cell>
          <cell r="G4457" t="str">
            <v>vaccumn veneer - cảo bich veneer</v>
          </cell>
          <cell r="H4457" t="str">
            <v>MDF Veneer</v>
          </cell>
          <cell r="I4457">
            <v>30</v>
          </cell>
        </row>
        <row r="4458">
          <cell r="A4458" t="str">
            <v>B558230/A</v>
          </cell>
          <cell r="B4458" t="str">
            <v>RH2670M410</v>
          </cell>
          <cell r="C4458">
            <v>15</v>
          </cell>
          <cell r="D4458">
            <v>355</v>
          </cell>
          <cell r="E4458">
            <v>5325</v>
          </cell>
          <cell r="F4458" t="str">
            <v>P02-1</v>
          </cell>
          <cell r="G4458" t="str">
            <v>Panel outside - Ván phía ngoài</v>
          </cell>
          <cell r="H4458" t="str">
            <v>MDF Veneer</v>
          </cell>
          <cell r="I4458">
            <v>30</v>
          </cell>
        </row>
        <row r="4459">
          <cell r="A4459" t="str">
            <v>B558230/A</v>
          </cell>
          <cell r="B4459" t="str">
            <v>RH2670M410</v>
          </cell>
          <cell r="C4459">
            <v>15</v>
          </cell>
          <cell r="D4459">
            <v>355</v>
          </cell>
          <cell r="E4459">
            <v>5325</v>
          </cell>
          <cell r="F4459" t="str">
            <v>P02-2</v>
          </cell>
          <cell r="G4459" t="str">
            <v>Panel outside - Ván phía ngoài</v>
          </cell>
          <cell r="H4459" t="str">
            <v>MDF - 12 x 1830 x 2440mm [CARB P2 Compliant]</v>
          </cell>
          <cell r="I4459">
            <v>30</v>
          </cell>
        </row>
        <row r="4460">
          <cell r="A4460" t="str">
            <v>B558230/A</v>
          </cell>
          <cell r="B4460" t="str">
            <v>RH2670M410</v>
          </cell>
          <cell r="C4460">
            <v>15</v>
          </cell>
          <cell r="D4460">
            <v>355</v>
          </cell>
          <cell r="E4460">
            <v>5325</v>
          </cell>
          <cell r="F4460" t="str">
            <v>P02-3</v>
          </cell>
          <cell r="G4460" t="str">
            <v>Panel outside - Ván phía ngoài</v>
          </cell>
          <cell r="H4460" t="str">
            <v>MDF - 18 x 1830 x 2440mm [CARB P2 Compliant]</v>
          </cell>
          <cell r="I4460">
            <v>60</v>
          </cell>
        </row>
        <row r="4461">
          <cell r="A4461" t="str">
            <v>B558230/A</v>
          </cell>
          <cell r="B4461" t="str">
            <v>RH2670M410</v>
          </cell>
          <cell r="C4461">
            <v>15</v>
          </cell>
          <cell r="D4461">
            <v>355</v>
          </cell>
          <cell r="E4461">
            <v>5325</v>
          </cell>
          <cell r="F4461" t="str">
            <v>P02-4</v>
          </cell>
          <cell r="G4461" t="str">
            <v>Panel inside - Ván hông</v>
          </cell>
          <cell r="H4461" t="str">
            <v>MDF laminate</v>
          </cell>
          <cell r="I4461">
            <v>90</v>
          </cell>
        </row>
        <row r="4462">
          <cell r="A4462" t="str">
            <v>B558230/A</v>
          </cell>
          <cell r="B4462" t="str">
            <v>RH2670M410</v>
          </cell>
          <cell r="C4462">
            <v>15</v>
          </cell>
          <cell r="D4462">
            <v>355</v>
          </cell>
          <cell r="E4462">
            <v>5325</v>
          </cell>
          <cell r="F4462" t="str">
            <v>P02-5</v>
          </cell>
          <cell r="G4462" t="str">
            <v>Panel inside - Ván hông</v>
          </cell>
          <cell r="H4462" t="str">
            <v>MDF laminate</v>
          </cell>
          <cell r="I4462">
            <v>60</v>
          </cell>
        </row>
        <row r="4463">
          <cell r="A4463" t="str">
            <v>B558230/A</v>
          </cell>
          <cell r="B4463" t="str">
            <v>RH2670M410</v>
          </cell>
          <cell r="C4463">
            <v>15</v>
          </cell>
          <cell r="D4463">
            <v>355</v>
          </cell>
          <cell r="E4463">
            <v>5325</v>
          </cell>
          <cell r="F4463" t="str">
            <v>P02-6</v>
          </cell>
          <cell r="G4463" t="str">
            <v>MDF - MDF</v>
          </cell>
          <cell r="H4463" t="str">
            <v>MDF OFF CUT</v>
          </cell>
          <cell r="I4463">
            <v>240</v>
          </cell>
        </row>
        <row r="4464">
          <cell r="A4464" t="str">
            <v>B558230/A</v>
          </cell>
          <cell r="B4464" t="str">
            <v>RH2670M410</v>
          </cell>
          <cell r="C4464">
            <v>15</v>
          </cell>
          <cell r="D4464">
            <v>355</v>
          </cell>
          <cell r="E4464">
            <v>5325</v>
          </cell>
          <cell r="F4464" t="str">
            <v>P03</v>
          </cell>
          <cell r="G4464" t="str">
            <v>Spline - Lưỡi gà</v>
          </cell>
          <cell r="H4464" t="str">
            <v>Plywood LVD - 09 x 1220 x 2440mm, Bleached Poplar Veneer Both Sides [CARB P2 Compliant]</v>
          </cell>
          <cell r="I4464">
            <v>120</v>
          </cell>
        </row>
        <row r="4465">
          <cell r="A4465" t="str">
            <v>B558308/A</v>
          </cell>
          <cell r="B4465" t="str">
            <v>RH2684M398</v>
          </cell>
          <cell r="C4465">
            <v>5</v>
          </cell>
          <cell r="D4465">
            <v>425</v>
          </cell>
          <cell r="E4465">
            <v>2125</v>
          </cell>
          <cell r="F4465" t="str">
            <v>A1-S01</v>
          </cell>
          <cell r="G4465" t="str">
            <v>Side bottom rail - Đố hông dưới</v>
          </cell>
          <cell r="H4465" t="str">
            <v>Wood laminate</v>
          </cell>
          <cell r="I4465">
            <v>10</v>
          </cell>
        </row>
        <row r="4466">
          <cell r="A4466" t="str">
            <v>B558308/A</v>
          </cell>
          <cell r="B4466" t="str">
            <v>RH2684M398</v>
          </cell>
          <cell r="C4466">
            <v>5</v>
          </cell>
          <cell r="D4466">
            <v>425</v>
          </cell>
          <cell r="E4466">
            <v>2125</v>
          </cell>
          <cell r="F4466" t="str">
            <v>A1-S02</v>
          </cell>
          <cell r="G4466" t="str">
            <v>Front Bottom Rail  - Đố đáy trước</v>
          </cell>
          <cell r="H4466" t="str">
            <v>Wood laminate</v>
          </cell>
          <cell r="I4466">
            <v>10</v>
          </cell>
        </row>
        <row r="4467">
          <cell r="A4467" t="str">
            <v>B558308/A</v>
          </cell>
          <cell r="B4467" t="str">
            <v>RH2684M398</v>
          </cell>
          <cell r="C4467">
            <v>5</v>
          </cell>
          <cell r="D4467">
            <v>425</v>
          </cell>
          <cell r="E4467">
            <v>2125</v>
          </cell>
          <cell r="F4467" t="str">
            <v>A1-S03</v>
          </cell>
          <cell r="G4467" t="str">
            <v>Bottom panel - Ván đáy</v>
          </cell>
          <cell r="H4467" t="str">
            <v>MDF Veneer</v>
          </cell>
          <cell r="I4467">
            <v>5</v>
          </cell>
        </row>
        <row r="4468">
          <cell r="A4468" t="str">
            <v>B558308/A</v>
          </cell>
          <cell r="B4468" t="str">
            <v>RH2684M398</v>
          </cell>
          <cell r="C4468">
            <v>5</v>
          </cell>
          <cell r="D4468">
            <v>425</v>
          </cell>
          <cell r="E4468">
            <v>2125</v>
          </cell>
          <cell r="F4468" t="str">
            <v>P01</v>
          </cell>
          <cell r="G4468" t="str">
            <v>Top Frame - Khung nóc</v>
          </cell>
          <cell r="H4468" t="str">
            <v>Pre-Assembly</v>
          </cell>
          <cell r="I4468">
            <v>5</v>
          </cell>
        </row>
        <row r="4469">
          <cell r="A4469" t="str">
            <v>B558308/A</v>
          </cell>
          <cell r="B4469" t="str">
            <v>RH2684M398</v>
          </cell>
          <cell r="C4469">
            <v>5</v>
          </cell>
          <cell r="D4469">
            <v>425</v>
          </cell>
          <cell r="E4469">
            <v>2125</v>
          </cell>
          <cell r="F4469" t="str">
            <v>P01-1</v>
          </cell>
          <cell r="G4469" t="str">
            <v xml:space="preserve">Top panel  - Ván nóc </v>
          </cell>
          <cell r="H4469" t="str">
            <v>MDF Veneer</v>
          </cell>
          <cell r="I4469">
            <v>5</v>
          </cell>
        </row>
        <row r="4470">
          <cell r="A4470" t="str">
            <v>B558308/A</v>
          </cell>
          <cell r="B4470" t="str">
            <v>RH2684M398</v>
          </cell>
          <cell r="C4470">
            <v>5</v>
          </cell>
          <cell r="D4470">
            <v>425</v>
          </cell>
          <cell r="E4470">
            <v>2125</v>
          </cell>
          <cell r="F4470" t="str">
            <v>P01-2</v>
          </cell>
          <cell r="G4470" t="str">
            <v xml:space="preserve">Panel - Ván </v>
          </cell>
          <cell r="H4470" t="str">
            <v>MDF Veneer</v>
          </cell>
          <cell r="I4470">
            <v>10</v>
          </cell>
        </row>
        <row r="4471">
          <cell r="A4471" t="str">
            <v>B558308/A</v>
          </cell>
          <cell r="B4471" t="str">
            <v>RH2684M398</v>
          </cell>
          <cell r="C4471">
            <v>5</v>
          </cell>
          <cell r="D4471">
            <v>425</v>
          </cell>
          <cell r="E4471">
            <v>2125</v>
          </cell>
          <cell r="F4471" t="str">
            <v>P01-3</v>
          </cell>
          <cell r="G4471" t="str">
            <v xml:space="preserve">Panel - Ván </v>
          </cell>
          <cell r="H4471" t="str">
            <v>MDF Veneer</v>
          </cell>
          <cell r="I4471">
            <v>10</v>
          </cell>
        </row>
        <row r="4472">
          <cell r="A4472" t="str">
            <v>B558308/A</v>
          </cell>
          <cell r="B4472" t="str">
            <v>RH2684M398</v>
          </cell>
          <cell r="C4472">
            <v>5</v>
          </cell>
          <cell r="D4472">
            <v>425</v>
          </cell>
          <cell r="E4472">
            <v>2125</v>
          </cell>
          <cell r="F4472" t="str">
            <v>P01-4</v>
          </cell>
          <cell r="G4472" t="str">
            <v>Center top rail - Đố nóc giữa</v>
          </cell>
          <cell r="H4472" t="str">
            <v>Wood laminate</v>
          </cell>
          <cell r="I4472">
            <v>15</v>
          </cell>
        </row>
        <row r="4473">
          <cell r="A4473" t="str">
            <v>B558308/A</v>
          </cell>
          <cell r="B4473" t="str">
            <v>RH2684M398</v>
          </cell>
          <cell r="C4473">
            <v>5</v>
          </cell>
          <cell r="D4473">
            <v>425</v>
          </cell>
          <cell r="E4473">
            <v>2125</v>
          </cell>
          <cell r="F4473" t="str">
            <v>P01-5</v>
          </cell>
          <cell r="G4473" t="str">
            <v>Corner block - ke góc</v>
          </cell>
          <cell r="H4473" t="str">
            <v>Poplar off cut</v>
          </cell>
          <cell r="I4473">
            <v>30</v>
          </cell>
        </row>
        <row r="4474">
          <cell r="A4474" t="str">
            <v>B558308/A</v>
          </cell>
          <cell r="B4474" t="str">
            <v>RH2684M398</v>
          </cell>
          <cell r="C4474">
            <v>5</v>
          </cell>
          <cell r="D4474">
            <v>425</v>
          </cell>
          <cell r="E4474">
            <v>2125</v>
          </cell>
          <cell r="F4474" t="str">
            <v>P02</v>
          </cell>
          <cell r="G4474" t="str">
            <v>vaccumn veneer - cảo bich veneer</v>
          </cell>
          <cell r="H4474" t="str">
            <v>MDF Veneer</v>
          </cell>
          <cell r="I4474">
            <v>10</v>
          </cell>
        </row>
        <row r="4475">
          <cell r="A4475" t="str">
            <v>B558308/A</v>
          </cell>
          <cell r="B4475" t="str">
            <v>RH2684M398</v>
          </cell>
          <cell r="C4475">
            <v>5</v>
          </cell>
          <cell r="D4475">
            <v>425</v>
          </cell>
          <cell r="E4475">
            <v>2125</v>
          </cell>
          <cell r="F4475" t="str">
            <v>P02-1</v>
          </cell>
          <cell r="G4475" t="str">
            <v>Panel outside - Ván phía ngoài</v>
          </cell>
          <cell r="H4475" t="str">
            <v>MDF Veneer</v>
          </cell>
          <cell r="I4475">
            <v>10</v>
          </cell>
        </row>
        <row r="4476">
          <cell r="A4476" t="str">
            <v>B558308/A</v>
          </cell>
          <cell r="B4476" t="str">
            <v>RH2684M398</v>
          </cell>
          <cell r="C4476">
            <v>5</v>
          </cell>
          <cell r="D4476">
            <v>425</v>
          </cell>
          <cell r="E4476">
            <v>2125</v>
          </cell>
          <cell r="F4476" t="str">
            <v>P02-2</v>
          </cell>
          <cell r="G4476" t="str">
            <v>Panel outside - Ván phía ngoài</v>
          </cell>
          <cell r="H4476" t="str">
            <v>MDF - 12 x 1830 x 2440mm [CARB P2 Compliant]</v>
          </cell>
          <cell r="I4476">
            <v>10</v>
          </cell>
        </row>
        <row r="4477">
          <cell r="A4477" t="str">
            <v>B558308/A</v>
          </cell>
          <cell r="B4477" t="str">
            <v>RH2684M398</v>
          </cell>
          <cell r="C4477">
            <v>5</v>
          </cell>
          <cell r="D4477">
            <v>425</v>
          </cell>
          <cell r="E4477">
            <v>2125</v>
          </cell>
          <cell r="F4477" t="str">
            <v>P02-3</v>
          </cell>
          <cell r="G4477" t="str">
            <v>Panel outside - Ván phía ngoài</v>
          </cell>
          <cell r="H4477" t="str">
            <v>MDF - 18 x 1830 x 2440mm [CARB P2 Compliant]</v>
          </cell>
          <cell r="I4477">
            <v>20</v>
          </cell>
        </row>
        <row r="4478">
          <cell r="A4478" t="str">
            <v>B558308/A</v>
          </cell>
          <cell r="B4478" t="str">
            <v>RH2684M398</v>
          </cell>
          <cell r="C4478">
            <v>5</v>
          </cell>
          <cell r="D4478">
            <v>425</v>
          </cell>
          <cell r="E4478">
            <v>2125</v>
          </cell>
          <cell r="F4478" t="str">
            <v>P02-4</v>
          </cell>
          <cell r="G4478" t="str">
            <v>Panel inside - Ván hông</v>
          </cell>
          <cell r="H4478" t="str">
            <v>MDF laminate</v>
          </cell>
          <cell r="I4478">
            <v>30</v>
          </cell>
        </row>
        <row r="4479">
          <cell r="A4479" t="str">
            <v>B558308/A</v>
          </cell>
          <cell r="B4479" t="str">
            <v>RH2684M398</v>
          </cell>
          <cell r="C4479">
            <v>5</v>
          </cell>
          <cell r="D4479">
            <v>425</v>
          </cell>
          <cell r="E4479">
            <v>2125</v>
          </cell>
          <cell r="F4479" t="str">
            <v>P02-5</v>
          </cell>
          <cell r="G4479" t="str">
            <v>Panel inside - Ván hông</v>
          </cell>
          <cell r="H4479" t="str">
            <v>MDF laminate</v>
          </cell>
          <cell r="I4479">
            <v>20</v>
          </cell>
        </row>
        <row r="4480">
          <cell r="A4480" t="str">
            <v>B558308/A</v>
          </cell>
          <cell r="B4480" t="str">
            <v>RH2684M398</v>
          </cell>
          <cell r="C4480">
            <v>5</v>
          </cell>
          <cell r="D4480">
            <v>425</v>
          </cell>
          <cell r="E4480">
            <v>2125</v>
          </cell>
          <cell r="F4480" t="str">
            <v>P02-6</v>
          </cell>
          <cell r="G4480" t="str">
            <v>MDF - MDF</v>
          </cell>
          <cell r="H4480" t="str">
            <v>MDF OFF CUT</v>
          </cell>
          <cell r="I4480">
            <v>80</v>
          </cell>
        </row>
        <row r="4481">
          <cell r="A4481" t="str">
            <v>B558308/A</v>
          </cell>
          <cell r="B4481" t="str">
            <v>RH2684M398</v>
          </cell>
          <cell r="C4481">
            <v>5</v>
          </cell>
          <cell r="D4481">
            <v>425</v>
          </cell>
          <cell r="E4481">
            <v>2125</v>
          </cell>
          <cell r="F4481" t="str">
            <v>P03</v>
          </cell>
          <cell r="G4481" t="str">
            <v>Spline - Lưỡi gà</v>
          </cell>
          <cell r="H4481" t="str">
            <v>Plywood LVD - 09 x 1220 x 2440mm, Bleached Poplar Veneer Both Sides [CARB P2 Compliant]</v>
          </cell>
          <cell r="I4481">
            <v>40</v>
          </cell>
        </row>
        <row r="4482">
          <cell r="A4482" t="str">
            <v>B558311/A</v>
          </cell>
          <cell r="B4482" t="str">
            <v>RH2684M410</v>
          </cell>
          <cell r="C4482">
            <v>9</v>
          </cell>
          <cell r="D4482">
            <v>425</v>
          </cell>
          <cell r="E4482">
            <v>3825</v>
          </cell>
          <cell r="F4482" t="str">
            <v>A1-S01</v>
          </cell>
          <cell r="G4482" t="str">
            <v>Side bottom rail - Đố hông dưới</v>
          </cell>
          <cell r="H4482" t="str">
            <v>Wood laminate</v>
          </cell>
          <cell r="I4482">
            <v>18</v>
          </cell>
        </row>
        <row r="4483">
          <cell r="A4483" t="str">
            <v>B558311/A</v>
          </cell>
          <cell r="B4483" t="str">
            <v>RH2684M410</v>
          </cell>
          <cell r="C4483">
            <v>9</v>
          </cell>
          <cell r="D4483">
            <v>425</v>
          </cell>
          <cell r="E4483">
            <v>3825</v>
          </cell>
          <cell r="F4483" t="str">
            <v>A1-S02</v>
          </cell>
          <cell r="G4483" t="str">
            <v>Front Bottom Rail  - Đố đáy trước</v>
          </cell>
          <cell r="H4483" t="str">
            <v>Wood laminate</v>
          </cell>
          <cell r="I4483">
            <v>18</v>
          </cell>
        </row>
        <row r="4484">
          <cell r="A4484" t="str">
            <v>B558311/A</v>
          </cell>
          <cell r="B4484" t="str">
            <v>RH2684M410</v>
          </cell>
          <cell r="C4484">
            <v>9</v>
          </cell>
          <cell r="D4484">
            <v>425</v>
          </cell>
          <cell r="E4484">
            <v>3825</v>
          </cell>
          <cell r="F4484" t="str">
            <v>A1-S03</v>
          </cell>
          <cell r="G4484" t="str">
            <v>Bottom panel - Ván đáy</v>
          </cell>
          <cell r="H4484" t="str">
            <v>MDF Veneer</v>
          </cell>
          <cell r="I4484">
            <v>9</v>
          </cell>
        </row>
        <row r="4485">
          <cell r="A4485" t="str">
            <v>B558311/A</v>
          </cell>
          <cell r="B4485" t="str">
            <v>RH2684M410</v>
          </cell>
          <cell r="C4485">
            <v>9</v>
          </cell>
          <cell r="D4485">
            <v>425</v>
          </cell>
          <cell r="E4485">
            <v>3825</v>
          </cell>
          <cell r="F4485" t="str">
            <v>P01</v>
          </cell>
          <cell r="G4485" t="str">
            <v>Top Frame - Khung nóc</v>
          </cell>
          <cell r="H4485" t="str">
            <v>Pre-Assembly</v>
          </cell>
          <cell r="I4485">
            <v>9</v>
          </cell>
        </row>
        <row r="4486">
          <cell r="A4486" t="str">
            <v>B558311/A</v>
          </cell>
          <cell r="B4486" t="str">
            <v>RH2684M410</v>
          </cell>
          <cell r="C4486">
            <v>9</v>
          </cell>
          <cell r="D4486">
            <v>425</v>
          </cell>
          <cell r="E4486">
            <v>3825</v>
          </cell>
          <cell r="F4486" t="str">
            <v>P01-1</v>
          </cell>
          <cell r="G4486" t="str">
            <v xml:space="preserve">Top panel  - Ván nóc </v>
          </cell>
          <cell r="H4486" t="str">
            <v>MDF Veneer</v>
          </cell>
          <cell r="I4486">
            <v>9</v>
          </cell>
        </row>
        <row r="4487">
          <cell r="A4487" t="str">
            <v>B558311/A</v>
          </cell>
          <cell r="B4487" t="str">
            <v>RH2684M410</v>
          </cell>
          <cell r="C4487">
            <v>9</v>
          </cell>
          <cell r="D4487">
            <v>425</v>
          </cell>
          <cell r="E4487">
            <v>3825</v>
          </cell>
          <cell r="F4487" t="str">
            <v>P01-2</v>
          </cell>
          <cell r="G4487" t="str">
            <v xml:space="preserve">Panel - Ván </v>
          </cell>
          <cell r="H4487" t="str">
            <v>MDF Veneer</v>
          </cell>
          <cell r="I4487">
            <v>18</v>
          </cell>
        </row>
        <row r="4488">
          <cell r="A4488" t="str">
            <v>B558311/A</v>
          </cell>
          <cell r="B4488" t="str">
            <v>RH2684M410</v>
          </cell>
          <cell r="C4488">
            <v>9</v>
          </cell>
          <cell r="D4488">
            <v>425</v>
          </cell>
          <cell r="E4488">
            <v>3825</v>
          </cell>
          <cell r="F4488" t="str">
            <v>P01-3</v>
          </cell>
          <cell r="G4488" t="str">
            <v xml:space="preserve">Panel - Ván </v>
          </cell>
          <cell r="H4488" t="str">
            <v>MDF Veneer</v>
          </cell>
          <cell r="I4488">
            <v>18</v>
          </cell>
        </row>
        <row r="4489">
          <cell r="A4489" t="str">
            <v>B558311/A</v>
          </cell>
          <cell r="B4489" t="str">
            <v>RH2684M410</v>
          </cell>
          <cell r="C4489">
            <v>9</v>
          </cell>
          <cell r="D4489">
            <v>425</v>
          </cell>
          <cell r="E4489">
            <v>3825</v>
          </cell>
          <cell r="F4489" t="str">
            <v>P01-4</v>
          </cell>
          <cell r="G4489" t="str">
            <v>Center top rail - Đố nóc giữa</v>
          </cell>
          <cell r="H4489" t="str">
            <v>Wood laminate</v>
          </cell>
          <cell r="I4489">
            <v>27</v>
          </cell>
        </row>
        <row r="4490">
          <cell r="A4490" t="str">
            <v>B558311/A</v>
          </cell>
          <cell r="B4490" t="str">
            <v>RH2684M410</v>
          </cell>
          <cell r="C4490">
            <v>9</v>
          </cell>
          <cell r="D4490">
            <v>425</v>
          </cell>
          <cell r="E4490">
            <v>3825</v>
          </cell>
          <cell r="F4490" t="str">
            <v>P01-5</v>
          </cell>
          <cell r="G4490" t="str">
            <v>Corner block - ke góc</v>
          </cell>
          <cell r="H4490" t="str">
            <v>Poplar off cut</v>
          </cell>
          <cell r="I4490">
            <v>54</v>
          </cell>
        </row>
        <row r="4491">
          <cell r="A4491" t="str">
            <v>B558311/A</v>
          </cell>
          <cell r="B4491" t="str">
            <v>RH2684M410</v>
          </cell>
          <cell r="C4491">
            <v>9</v>
          </cell>
          <cell r="D4491">
            <v>425</v>
          </cell>
          <cell r="E4491">
            <v>3825</v>
          </cell>
          <cell r="F4491" t="str">
            <v>P02</v>
          </cell>
          <cell r="G4491" t="str">
            <v>vaccumn veneer - cảo bich veneer</v>
          </cell>
          <cell r="H4491" t="str">
            <v>MDF Veneer</v>
          </cell>
          <cell r="I4491">
            <v>18</v>
          </cell>
        </row>
        <row r="4492">
          <cell r="A4492" t="str">
            <v>B558311/A</v>
          </cell>
          <cell r="B4492" t="str">
            <v>RH2684M410</v>
          </cell>
          <cell r="C4492">
            <v>9</v>
          </cell>
          <cell r="D4492">
            <v>425</v>
          </cell>
          <cell r="E4492">
            <v>3825</v>
          </cell>
          <cell r="F4492" t="str">
            <v>P02-1</v>
          </cell>
          <cell r="G4492" t="str">
            <v>Panel outside - Ván phía ngoài</v>
          </cell>
          <cell r="H4492" t="str">
            <v>MDF Veneer</v>
          </cell>
          <cell r="I4492">
            <v>18</v>
          </cell>
        </row>
        <row r="4493">
          <cell r="A4493" t="str">
            <v>B558311/A</v>
          </cell>
          <cell r="B4493" t="str">
            <v>RH2684M410</v>
          </cell>
          <cell r="C4493">
            <v>9</v>
          </cell>
          <cell r="D4493">
            <v>425</v>
          </cell>
          <cell r="E4493">
            <v>3825</v>
          </cell>
          <cell r="F4493" t="str">
            <v>P02-2</v>
          </cell>
          <cell r="G4493" t="str">
            <v>Panel outside - Ván phía ngoài</v>
          </cell>
          <cell r="H4493" t="str">
            <v>MDF - 12 x 1830 x 2440mm [CARB P2 Compliant]</v>
          </cell>
          <cell r="I4493">
            <v>18</v>
          </cell>
        </row>
        <row r="4494">
          <cell r="A4494" t="str">
            <v>B558311/A</v>
          </cell>
          <cell r="B4494" t="str">
            <v>RH2684M410</v>
          </cell>
          <cell r="C4494">
            <v>9</v>
          </cell>
          <cell r="D4494">
            <v>425</v>
          </cell>
          <cell r="E4494">
            <v>3825</v>
          </cell>
          <cell r="F4494" t="str">
            <v>P02-3</v>
          </cell>
          <cell r="G4494" t="str">
            <v>Panel outside - Ván phía ngoài</v>
          </cell>
          <cell r="H4494" t="str">
            <v>MDF - 18 x 1830 x 2440mm [CARB P2 Compliant]</v>
          </cell>
          <cell r="I4494">
            <v>36</v>
          </cell>
        </row>
        <row r="4495">
          <cell r="A4495" t="str">
            <v>B558311/A</v>
          </cell>
          <cell r="B4495" t="str">
            <v>RH2684M410</v>
          </cell>
          <cell r="C4495">
            <v>9</v>
          </cell>
          <cell r="D4495">
            <v>425</v>
          </cell>
          <cell r="E4495">
            <v>3825</v>
          </cell>
          <cell r="F4495" t="str">
            <v>P02-4</v>
          </cell>
          <cell r="G4495" t="str">
            <v>Panel inside - Ván hông</v>
          </cell>
          <cell r="H4495" t="str">
            <v>MDF laminate</v>
          </cell>
          <cell r="I4495">
            <v>54</v>
          </cell>
        </row>
        <row r="4496">
          <cell r="A4496" t="str">
            <v>B558311/A</v>
          </cell>
          <cell r="B4496" t="str">
            <v>RH2684M410</v>
          </cell>
          <cell r="C4496">
            <v>9</v>
          </cell>
          <cell r="D4496">
            <v>425</v>
          </cell>
          <cell r="E4496">
            <v>3825</v>
          </cell>
          <cell r="F4496" t="str">
            <v>P02-5</v>
          </cell>
          <cell r="G4496" t="str">
            <v>Panel inside - Ván hông</v>
          </cell>
          <cell r="H4496" t="str">
            <v>MDF laminate</v>
          </cell>
          <cell r="I4496">
            <v>36</v>
          </cell>
        </row>
        <row r="4497">
          <cell r="A4497" t="str">
            <v>B558311/A</v>
          </cell>
          <cell r="B4497" t="str">
            <v>RH2684M410</v>
          </cell>
          <cell r="C4497">
            <v>9</v>
          </cell>
          <cell r="D4497">
            <v>425</v>
          </cell>
          <cell r="E4497">
            <v>3825</v>
          </cell>
          <cell r="F4497" t="str">
            <v>P02-6</v>
          </cell>
          <cell r="G4497" t="str">
            <v>MDF - MDF</v>
          </cell>
          <cell r="H4497" t="str">
            <v>MDF OFF CUT</v>
          </cell>
          <cell r="I4497">
            <v>144</v>
          </cell>
        </row>
        <row r="4498">
          <cell r="A4498" t="str">
            <v>B558311/A</v>
          </cell>
          <cell r="B4498" t="str">
            <v>RH2684M410</v>
          </cell>
          <cell r="C4498">
            <v>9</v>
          </cell>
          <cell r="D4498">
            <v>425</v>
          </cell>
          <cell r="E4498">
            <v>3825</v>
          </cell>
          <cell r="F4498" t="str">
            <v>P03</v>
          </cell>
          <cell r="G4498" t="str">
            <v>Spline - Lưỡi gà</v>
          </cell>
          <cell r="H4498" t="str">
            <v>Plywood LVD - 09 x 1220 x 2440mm, Bleached Poplar Veneer Both Sides [CARB P2 Compliant]</v>
          </cell>
          <cell r="I4498">
            <v>72</v>
          </cell>
        </row>
        <row r="4499">
          <cell r="A4499" t="str">
            <v>B558312/A</v>
          </cell>
          <cell r="B4499" t="str">
            <v>RH2684M410</v>
          </cell>
          <cell r="C4499">
            <v>15</v>
          </cell>
          <cell r="D4499">
            <v>425</v>
          </cell>
          <cell r="E4499">
            <v>6375</v>
          </cell>
          <cell r="F4499" t="str">
            <v>A1-S01</v>
          </cell>
          <cell r="G4499" t="str">
            <v>Side bottom rail - Đố hông dưới</v>
          </cell>
          <cell r="H4499" t="str">
            <v>Wood laminate</v>
          </cell>
          <cell r="I4499">
            <v>30</v>
          </cell>
        </row>
        <row r="4500">
          <cell r="A4500" t="str">
            <v>B558312/A</v>
          </cell>
          <cell r="B4500" t="str">
            <v>RH2684M410</v>
          </cell>
          <cell r="C4500">
            <v>15</v>
          </cell>
          <cell r="D4500">
            <v>425</v>
          </cell>
          <cell r="E4500">
            <v>6375</v>
          </cell>
          <cell r="F4500" t="str">
            <v>A1-S02</v>
          </cell>
          <cell r="G4500" t="str">
            <v>Front Bottom Rail  - Đố đáy trước</v>
          </cell>
          <cell r="H4500" t="str">
            <v>Wood laminate</v>
          </cell>
          <cell r="I4500">
            <v>30</v>
          </cell>
        </row>
        <row r="4501">
          <cell r="A4501" t="str">
            <v>B558312/A</v>
          </cell>
          <cell r="B4501" t="str">
            <v>RH2684M410</v>
          </cell>
          <cell r="C4501">
            <v>15</v>
          </cell>
          <cell r="D4501">
            <v>425</v>
          </cell>
          <cell r="E4501">
            <v>6375</v>
          </cell>
          <cell r="F4501" t="str">
            <v>A1-S03</v>
          </cell>
          <cell r="G4501" t="str">
            <v>Bottom panel - Ván đáy</v>
          </cell>
          <cell r="H4501" t="str">
            <v>MDF Veneer</v>
          </cell>
          <cell r="I4501">
            <v>15</v>
          </cell>
        </row>
        <row r="4502">
          <cell r="A4502" t="str">
            <v>B558312/A</v>
          </cell>
          <cell r="B4502" t="str">
            <v>RH2684M410</v>
          </cell>
          <cell r="C4502">
            <v>15</v>
          </cell>
          <cell r="D4502">
            <v>425</v>
          </cell>
          <cell r="E4502">
            <v>6375</v>
          </cell>
          <cell r="F4502" t="str">
            <v>P01</v>
          </cell>
          <cell r="G4502" t="str">
            <v>Top Frame - Khung nóc</v>
          </cell>
          <cell r="H4502" t="str">
            <v>Pre-Assembly</v>
          </cell>
          <cell r="I4502">
            <v>15</v>
          </cell>
        </row>
        <row r="4503">
          <cell r="A4503" t="str">
            <v>B558312/A</v>
          </cell>
          <cell r="B4503" t="str">
            <v>RH2684M410</v>
          </cell>
          <cell r="C4503">
            <v>15</v>
          </cell>
          <cell r="D4503">
            <v>425</v>
          </cell>
          <cell r="E4503">
            <v>6375</v>
          </cell>
          <cell r="F4503" t="str">
            <v>P01-1</v>
          </cell>
          <cell r="G4503" t="str">
            <v xml:space="preserve">Top panel  - Ván nóc </v>
          </cell>
          <cell r="H4503" t="str">
            <v>MDF Veneer</v>
          </cell>
          <cell r="I4503">
            <v>15</v>
          </cell>
        </row>
        <row r="4504">
          <cell r="A4504" t="str">
            <v>B558312/A</v>
          </cell>
          <cell r="B4504" t="str">
            <v>RH2684M410</v>
          </cell>
          <cell r="C4504">
            <v>15</v>
          </cell>
          <cell r="D4504">
            <v>425</v>
          </cell>
          <cell r="E4504">
            <v>6375</v>
          </cell>
          <cell r="F4504" t="str">
            <v>P01-2</v>
          </cell>
          <cell r="G4504" t="str">
            <v xml:space="preserve">Panel - Ván </v>
          </cell>
          <cell r="H4504" t="str">
            <v>MDF Veneer</v>
          </cell>
          <cell r="I4504">
            <v>30</v>
          </cell>
        </row>
        <row r="4505">
          <cell r="A4505" t="str">
            <v>B558312/A</v>
          </cell>
          <cell r="B4505" t="str">
            <v>RH2684M410</v>
          </cell>
          <cell r="C4505">
            <v>15</v>
          </cell>
          <cell r="D4505">
            <v>425</v>
          </cell>
          <cell r="E4505">
            <v>6375</v>
          </cell>
          <cell r="F4505" t="str">
            <v>P01-3</v>
          </cell>
          <cell r="G4505" t="str">
            <v xml:space="preserve">Panel - Ván </v>
          </cell>
          <cell r="H4505" t="str">
            <v>MDF Veneer</v>
          </cell>
          <cell r="I4505">
            <v>30</v>
          </cell>
        </row>
        <row r="4506">
          <cell r="A4506" t="str">
            <v>B558312/A</v>
          </cell>
          <cell r="B4506" t="str">
            <v>RH2684M410</v>
          </cell>
          <cell r="C4506">
            <v>15</v>
          </cell>
          <cell r="D4506">
            <v>425</v>
          </cell>
          <cell r="E4506">
            <v>6375</v>
          </cell>
          <cell r="F4506" t="str">
            <v>P01-4</v>
          </cell>
          <cell r="G4506" t="str">
            <v>Center top rail - Đố nóc giữa</v>
          </cell>
          <cell r="H4506" t="str">
            <v>Wood laminate</v>
          </cell>
          <cell r="I4506">
            <v>45</v>
          </cell>
        </row>
        <row r="4507">
          <cell r="A4507" t="str">
            <v>B558312/A</v>
          </cell>
          <cell r="B4507" t="str">
            <v>RH2684M410</v>
          </cell>
          <cell r="C4507">
            <v>15</v>
          </cell>
          <cell r="D4507">
            <v>425</v>
          </cell>
          <cell r="E4507">
            <v>6375</v>
          </cell>
          <cell r="F4507" t="str">
            <v>P01-5</v>
          </cell>
          <cell r="G4507" t="str">
            <v>Corner block - ke góc</v>
          </cell>
          <cell r="H4507" t="str">
            <v>Poplar off cut</v>
          </cell>
          <cell r="I4507">
            <v>90</v>
          </cell>
        </row>
        <row r="4508">
          <cell r="A4508" t="str">
            <v>B558312/A</v>
          </cell>
          <cell r="B4508" t="str">
            <v>RH2684M410</v>
          </cell>
          <cell r="C4508">
            <v>15</v>
          </cell>
          <cell r="D4508">
            <v>425</v>
          </cell>
          <cell r="E4508">
            <v>6375</v>
          </cell>
          <cell r="F4508" t="str">
            <v>P02</v>
          </cell>
          <cell r="G4508" t="str">
            <v>vaccumn veneer - cảo bich veneer</v>
          </cell>
          <cell r="H4508" t="str">
            <v>MDF Veneer</v>
          </cell>
          <cell r="I4508">
            <v>30</v>
          </cell>
        </row>
        <row r="4509">
          <cell r="A4509" t="str">
            <v>B558312/A</v>
          </cell>
          <cell r="B4509" t="str">
            <v>RH2684M410</v>
          </cell>
          <cell r="C4509">
            <v>15</v>
          </cell>
          <cell r="D4509">
            <v>425</v>
          </cell>
          <cell r="E4509">
            <v>6375</v>
          </cell>
          <cell r="F4509" t="str">
            <v>P02-1</v>
          </cell>
          <cell r="G4509" t="str">
            <v>Panel outside - Ván phía ngoài</v>
          </cell>
          <cell r="H4509" t="str">
            <v>MDF Veneer</v>
          </cell>
          <cell r="I4509">
            <v>30</v>
          </cell>
        </row>
        <row r="4510">
          <cell r="A4510" t="str">
            <v>B558312/A</v>
          </cell>
          <cell r="B4510" t="str">
            <v>RH2684M410</v>
          </cell>
          <cell r="C4510">
            <v>15</v>
          </cell>
          <cell r="D4510">
            <v>425</v>
          </cell>
          <cell r="E4510">
            <v>6375</v>
          </cell>
          <cell r="F4510" t="str">
            <v>P02-2</v>
          </cell>
          <cell r="G4510" t="str">
            <v>Panel outside - Ván phía ngoài</v>
          </cell>
          <cell r="H4510" t="str">
            <v>MDF - 12 x 1830 x 2440mm [CARB P2 Compliant]</v>
          </cell>
          <cell r="I4510">
            <v>30</v>
          </cell>
        </row>
        <row r="4511">
          <cell r="A4511" t="str">
            <v>B558312/A</v>
          </cell>
          <cell r="B4511" t="str">
            <v>RH2684M410</v>
          </cell>
          <cell r="C4511">
            <v>15</v>
          </cell>
          <cell r="D4511">
            <v>425</v>
          </cell>
          <cell r="E4511">
            <v>6375</v>
          </cell>
          <cell r="F4511" t="str">
            <v>P02-3</v>
          </cell>
          <cell r="G4511" t="str">
            <v>Panel outside - Ván phía ngoài</v>
          </cell>
          <cell r="H4511" t="str">
            <v>MDF - 18 x 1830 x 2440mm [CARB P2 Compliant]</v>
          </cell>
          <cell r="I4511">
            <v>60</v>
          </cell>
        </row>
        <row r="4512">
          <cell r="A4512" t="str">
            <v>B558312/A</v>
          </cell>
          <cell r="B4512" t="str">
            <v>RH2684M410</v>
          </cell>
          <cell r="C4512">
            <v>15</v>
          </cell>
          <cell r="D4512">
            <v>425</v>
          </cell>
          <cell r="E4512">
            <v>6375</v>
          </cell>
          <cell r="F4512" t="str">
            <v>P02-4</v>
          </cell>
          <cell r="G4512" t="str">
            <v>Panel inside - Ván hông</v>
          </cell>
          <cell r="H4512" t="str">
            <v>MDF laminate</v>
          </cell>
          <cell r="I4512">
            <v>90</v>
          </cell>
        </row>
        <row r="4513">
          <cell r="A4513" t="str">
            <v>B558312/A</v>
          </cell>
          <cell r="B4513" t="str">
            <v>RH2684M410</v>
          </cell>
          <cell r="C4513">
            <v>15</v>
          </cell>
          <cell r="D4513">
            <v>425</v>
          </cell>
          <cell r="E4513">
            <v>6375</v>
          </cell>
          <cell r="F4513" t="str">
            <v>P02-5</v>
          </cell>
          <cell r="G4513" t="str">
            <v>Panel inside - Ván hông</v>
          </cell>
          <cell r="H4513" t="str">
            <v>MDF laminate</v>
          </cell>
          <cell r="I4513">
            <v>60</v>
          </cell>
        </row>
        <row r="4514">
          <cell r="A4514" t="str">
            <v>B558312/A</v>
          </cell>
          <cell r="B4514" t="str">
            <v>RH2684M410</v>
          </cell>
          <cell r="C4514">
            <v>15</v>
          </cell>
          <cell r="D4514">
            <v>425</v>
          </cell>
          <cell r="E4514">
            <v>6375</v>
          </cell>
          <cell r="F4514" t="str">
            <v>P02-6</v>
          </cell>
          <cell r="G4514" t="str">
            <v>MDF - MDF</v>
          </cell>
          <cell r="H4514" t="str">
            <v>MDF OFF CUT</v>
          </cell>
          <cell r="I4514">
            <v>240</v>
          </cell>
        </row>
        <row r="4515">
          <cell r="A4515" t="str">
            <v>B558312/A</v>
          </cell>
          <cell r="B4515" t="str">
            <v>RH2684M410</v>
          </cell>
          <cell r="C4515">
            <v>15</v>
          </cell>
          <cell r="D4515">
            <v>425</v>
          </cell>
          <cell r="E4515">
            <v>6375</v>
          </cell>
          <cell r="F4515" t="str">
            <v>P03</v>
          </cell>
          <cell r="G4515" t="str">
            <v>Spline - Lưỡi gà</v>
          </cell>
          <cell r="H4515" t="str">
            <v>Plywood LVD - 09 x 1220 x 2440mm, Bleached Poplar Veneer Both Sides [CARB P2 Compliant]</v>
          </cell>
          <cell r="I4515">
            <v>120</v>
          </cell>
        </row>
        <row r="4516">
          <cell r="A4516" t="str">
            <v>B558134/A</v>
          </cell>
          <cell r="B4516" t="str">
            <v>RH2690M08CZ</v>
          </cell>
          <cell r="C4516">
            <v>13</v>
          </cell>
          <cell r="D4516">
            <v>271</v>
          </cell>
          <cell r="E4516">
            <v>3523</v>
          </cell>
          <cell r="F4516" t="str">
            <v>P01</v>
          </cell>
          <cell r="G4516" t="str">
            <v xml:space="preserve">Top panel  - Ván nóc </v>
          </cell>
          <cell r="H4516" t="str">
            <v>MDF - 18 x 1830 x 2440mm [CARB P2 Compliant]</v>
          </cell>
          <cell r="I4516">
            <v>13</v>
          </cell>
        </row>
        <row r="4517">
          <cell r="A4517" t="str">
            <v>B558134/A</v>
          </cell>
          <cell r="B4517" t="str">
            <v>RH2690M08CZ</v>
          </cell>
          <cell r="C4517">
            <v>13</v>
          </cell>
          <cell r="D4517">
            <v>271</v>
          </cell>
          <cell r="E4517">
            <v>3523</v>
          </cell>
          <cell r="F4517" t="str">
            <v>P01-A</v>
          </cell>
          <cell r="G4517" t="str">
            <v>Bottom panel - Ván đáy</v>
          </cell>
          <cell r="H4517" t="str">
            <v>MDF - 18 x 1830 x 2440mm [CARB P2 Compliant]</v>
          </cell>
          <cell r="I4517">
            <v>13</v>
          </cell>
        </row>
        <row r="4518">
          <cell r="A4518" t="str">
            <v>B558134/A</v>
          </cell>
          <cell r="B4518" t="str">
            <v>RH2690M08CZ</v>
          </cell>
          <cell r="C4518">
            <v>13</v>
          </cell>
          <cell r="D4518">
            <v>271</v>
          </cell>
          <cell r="E4518">
            <v>3523</v>
          </cell>
          <cell r="F4518" t="str">
            <v>P02</v>
          </cell>
          <cell r="G4518" t="str">
            <v xml:space="preserve">Front panel  - Ván tiền </v>
          </cell>
          <cell r="H4518" t="str">
            <v>MDF Veneer</v>
          </cell>
          <cell r="I4518">
            <v>39</v>
          </cell>
        </row>
        <row r="4519">
          <cell r="A4519" t="str">
            <v>B558134/A</v>
          </cell>
          <cell r="B4519" t="str">
            <v>RH2690M08CZ</v>
          </cell>
          <cell r="C4519">
            <v>13</v>
          </cell>
          <cell r="D4519">
            <v>271</v>
          </cell>
          <cell r="E4519">
            <v>3523</v>
          </cell>
          <cell r="F4519" t="str">
            <v>P03</v>
          </cell>
          <cell r="G4519" t="str">
            <v>Cleat - Bọ gỗ</v>
          </cell>
          <cell r="H4519" t="str">
            <v>TRAM OFF CUT</v>
          </cell>
          <cell r="I4519">
            <v>130</v>
          </cell>
        </row>
        <row r="4520">
          <cell r="A4520" t="str">
            <v>B558134/A</v>
          </cell>
          <cell r="B4520" t="str">
            <v>RH2690M08CZ</v>
          </cell>
          <cell r="C4520">
            <v>13</v>
          </cell>
          <cell r="D4520">
            <v>271</v>
          </cell>
          <cell r="E4520">
            <v>3523</v>
          </cell>
          <cell r="F4520" t="str">
            <v>P03-A</v>
          </cell>
          <cell r="G4520" t="str">
            <v>Cleat - Bọ gỗ</v>
          </cell>
          <cell r="H4520" t="str">
            <v>TRAM OFF CUT</v>
          </cell>
          <cell r="I4520">
            <v>78</v>
          </cell>
        </row>
        <row r="4521">
          <cell r="A4521" t="str">
            <v>B558134/A</v>
          </cell>
          <cell r="B4521" t="str">
            <v>RH2690M08CZ</v>
          </cell>
          <cell r="C4521">
            <v>13</v>
          </cell>
          <cell r="D4521">
            <v>271</v>
          </cell>
          <cell r="E4521">
            <v>3523</v>
          </cell>
          <cell r="F4521" t="str">
            <v>P04</v>
          </cell>
          <cell r="G4521" t="str">
            <v>Spline - Lưỡi gà</v>
          </cell>
          <cell r="H4521" t="str">
            <v>Plywood LVD - 06 x 1220 x 2440mm, Bleached Poplar Veneer Both Sides [CARB P2 Compliant]</v>
          </cell>
          <cell r="I4521">
            <v>39</v>
          </cell>
        </row>
        <row r="4522">
          <cell r="A4522" t="str">
            <v>B558134/A</v>
          </cell>
          <cell r="B4522" t="str">
            <v>RH2690M08CZ</v>
          </cell>
          <cell r="C4522">
            <v>13</v>
          </cell>
          <cell r="D4522">
            <v>271</v>
          </cell>
          <cell r="E4522">
            <v>3523</v>
          </cell>
          <cell r="F4522" t="str">
            <v>P05</v>
          </cell>
          <cell r="G4522" t="str">
            <v>Center panel - Ván giữa</v>
          </cell>
          <cell r="H4522" t="str">
            <v>MDF - 18 x 1830 x 2440mm [CARB P2 Compliant]</v>
          </cell>
          <cell r="I4522">
            <v>26</v>
          </cell>
        </row>
        <row r="4523">
          <cell r="A4523" t="str">
            <v>B558137/A</v>
          </cell>
          <cell r="B4523" t="str">
            <v>RH2690M09CZ</v>
          </cell>
          <cell r="C4523">
            <v>9</v>
          </cell>
          <cell r="D4523">
            <v>271</v>
          </cell>
          <cell r="E4523">
            <v>2439</v>
          </cell>
          <cell r="F4523" t="str">
            <v>P01</v>
          </cell>
          <cell r="G4523" t="str">
            <v xml:space="preserve">Top panel  - Ván nóc </v>
          </cell>
          <cell r="H4523" t="str">
            <v>MDF - 18 x 1830 x 2440mm [CARB P2 Compliant]</v>
          </cell>
          <cell r="I4523">
            <v>9</v>
          </cell>
        </row>
        <row r="4524">
          <cell r="A4524" t="str">
            <v>B558137/A</v>
          </cell>
          <cell r="B4524" t="str">
            <v>RH2690M09CZ</v>
          </cell>
          <cell r="C4524">
            <v>9</v>
          </cell>
          <cell r="D4524">
            <v>271</v>
          </cell>
          <cell r="E4524">
            <v>2439</v>
          </cell>
          <cell r="F4524" t="str">
            <v>P01-A</v>
          </cell>
          <cell r="G4524" t="str">
            <v>Bottom panel - Ván đáy</v>
          </cell>
          <cell r="H4524" t="str">
            <v>MDF - 18 x 1830 x 2440mm [CARB P2 Compliant]</v>
          </cell>
          <cell r="I4524">
            <v>9</v>
          </cell>
        </row>
        <row r="4525">
          <cell r="A4525" t="str">
            <v>B558137/A</v>
          </cell>
          <cell r="B4525" t="str">
            <v>RH2690M09CZ</v>
          </cell>
          <cell r="C4525">
            <v>9</v>
          </cell>
          <cell r="D4525">
            <v>271</v>
          </cell>
          <cell r="E4525">
            <v>2439</v>
          </cell>
          <cell r="F4525" t="str">
            <v>P02</v>
          </cell>
          <cell r="G4525" t="str">
            <v xml:space="preserve">Front panel  - Ván tiền </v>
          </cell>
          <cell r="H4525" t="str">
            <v>MDF Veneer</v>
          </cell>
          <cell r="I4525">
            <v>27</v>
          </cell>
        </row>
        <row r="4526">
          <cell r="A4526" t="str">
            <v>B558137/A</v>
          </cell>
          <cell r="B4526" t="str">
            <v>RH2690M09CZ</v>
          </cell>
          <cell r="C4526">
            <v>9</v>
          </cell>
          <cell r="D4526">
            <v>271</v>
          </cell>
          <cell r="E4526">
            <v>2439</v>
          </cell>
          <cell r="F4526" t="str">
            <v>P03</v>
          </cell>
          <cell r="G4526" t="str">
            <v>Cleat - Bọ gỗ</v>
          </cell>
          <cell r="H4526" t="str">
            <v>TRAM OFF CUT</v>
          </cell>
          <cell r="I4526">
            <v>90</v>
          </cell>
        </row>
        <row r="4527">
          <cell r="A4527" t="str">
            <v>B558137/A</v>
          </cell>
          <cell r="B4527" t="str">
            <v>RH2690M09CZ</v>
          </cell>
          <cell r="C4527">
            <v>9</v>
          </cell>
          <cell r="D4527">
            <v>271</v>
          </cell>
          <cell r="E4527">
            <v>2439</v>
          </cell>
          <cell r="F4527" t="str">
            <v>P03-A</v>
          </cell>
          <cell r="G4527" t="str">
            <v>Cleat - Bọ gỗ</v>
          </cell>
          <cell r="H4527" t="str">
            <v>TRAM OFF CUT</v>
          </cell>
          <cell r="I4527">
            <v>54</v>
          </cell>
        </row>
        <row r="4528">
          <cell r="A4528" t="str">
            <v>B558137/A</v>
          </cell>
          <cell r="B4528" t="str">
            <v>RH2690M09CZ</v>
          </cell>
          <cell r="C4528">
            <v>9</v>
          </cell>
          <cell r="D4528">
            <v>271</v>
          </cell>
          <cell r="E4528">
            <v>2439</v>
          </cell>
          <cell r="F4528" t="str">
            <v>P04</v>
          </cell>
          <cell r="G4528" t="str">
            <v>Spline - Lưỡi gà</v>
          </cell>
          <cell r="H4528" t="str">
            <v>Plywood LVD - 06 x 1220 x 2440mm, Bleached Poplar Veneer Both Sides [CARB P2 Compliant]</v>
          </cell>
          <cell r="I4528">
            <v>27</v>
          </cell>
        </row>
        <row r="4529">
          <cell r="A4529" t="str">
            <v>B558137/A</v>
          </cell>
          <cell r="B4529" t="str">
            <v>RH2690M09CZ</v>
          </cell>
          <cell r="C4529">
            <v>9</v>
          </cell>
          <cell r="D4529">
            <v>271</v>
          </cell>
          <cell r="E4529">
            <v>2439</v>
          </cell>
          <cell r="F4529" t="str">
            <v>P05</v>
          </cell>
          <cell r="G4529" t="str">
            <v>Center panel - Ván giữa</v>
          </cell>
          <cell r="H4529" t="str">
            <v>MDF - 18 x 1830 x 2440mm [CARB P2 Compliant]</v>
          </cell>
          <cell r="I4529">
            <v>18</v>
          </cell>
        </row>
        <row r="4530">
          <cell r="A4530" t="str">
            <v>B558138/A</v>
          </cell>
          <cell r="B4530" t="str">
            <v>RH2690M09CZ</v>
          </cell>
          <cell r="C4530">
            <v>9</v>
          </cell>
          <cell r="D4530">
            <v>271</v>
          </cell>
          <cell r="E4530">
            <v>2439</v>
          </cell>
          <cell r="F4530" t="str">
            <v>P01</v>
          </cell>
          <cell r="G4530" t="str">
            <v xml:space="preserve">Top panel  - Ván nóc </v>
          </cell>
          <cell r="H4530" t="str">
            <v>MDF - 18 x 1830 x 2440mm [CARB P2 Compliant]</v>
          </cell>
          <cell r="I4530">
            <v>9</v>
          </cell>
        </row>
        <row r="4531">
          <cell r="A4531" t="str">
            <v>B558138/A</v>
          </cell>
          <cell r="B4531" t="str">
            <v>RH2690M09CZ</v>
          </cell>
          <cell r="C4531">
            <v>9</v>
          </cell>
          <cell r="D4531">
            <v>271</v>
          </cell>
          <cell r="E4531">
            <v>2439</v>
          </cell>
          <cell r="F4531" t="str">
            <v>P01-A</v>
          </cell>
          <cell r="G4531" t="str">
            <v>Bottom panel - Ván đáy</v>
          </cell>
          <cell r="H4531" t="str">
            <v>MDF - 18 x 1830 x 2440mm [CARB P2 Compliant]</v>
          </cell>
          <cell r="I4531">
            <v>9</v>
          </cell>
        </row>
        <row r="4532">
          <cell r="A4532" t="str">
            <v>B558138/A</v>
          </cell>
          <cell r="B4532" t="str">
            <v>RH2690M09CZ</v>
          </cell>
          <cell r="C4532">
            <v>9</v>
          </cell>
          <cell r="D4532">
            <v>271</v>
          </cell>
          <cell r="E4532">
            <v>2439</v>
          </cell>
          <cell r="F4532" t="str">
            <v>P02</v>
          </cell>
          <cell r="G4532" t="str">
            <v xml:space="preserve">Front panel  - Ván tiền </v>
          </cell>
          <cell r="H4532" t="str">
            <v>MDF Veneer</v>
          </cell>
          <cell r="I4532">
            <v>27</v>
          </cell>
        </row>
        <row r="4533">
          <cell r="A4533" t="str">
            <v>B558138/A</v>
          </cell>
          <cell r="B4533" t="str">
            <v>RH2690M09CZ</v>
          </cell>
          <cell r="C4533">
            <v>9</v>
          </cell>
          <cell r="D4533">
            <v>271</v>
          </cell>
          <cell r="E4533">
            <v>2439</v>
          </cell>
          <cell r="F4533" t="str">
            <v>P03</v>
          </cell>
          <cell r="G4533" t="str">
            <v>Cleat - Bọ gỗ</v>
          </cell>
          <cell r="H4533" t="str">
            <v>TRAM OFF CUT</v>
          </cell>
          <cell r="I4533">
            <v>90</v>
          </cell>
        </row>
        <row r="4534">
          <cell r="A4534" t="str">
            <v>B558138/A</v>
          </cell>
          <cell r="B4534" t="str">
            <v>RH2690M09CZ</v>
          </cell>
          <cell r="C4534">
            <v>9</v>
          </cell>
          <cell r="D4534">
            <v>271</v>
          </cell>
          <cell r="E4534">
            <v>2439</v>
          </cell>
          <cell r="F4534" t="str">
            <v>P03-A</v>
          </cell>
          <cell r="G4534" t="str">
            <v>Cleat - Bọ gỗ</v>
          </cell>
          <cell r="H4534" t="str">
            <v>TRAM OFF CUT</v>
          </cell>
          <cell r="I4534">
            <v>54</v>
          </cell>
        </row>
        <row r="4535">
          <cell r="A4535" t="str">
            <v>B558138/A</v>
          </cell>
          <cell r="B4535" t="str">
            <v>RH2690M09CZ</v>
          </cell>
          <cell r="C4535">
            <v>9</v>
          </cell>
          <cell r="D4535">
            <v>271</v>
          </cell>
          <cell r="E4535">
            <v>2439</v>
          </cell>
          <cell r="F4535" t="str">
            <v>P04</v>
          </cell>
          <cell r="G4535" t="str">
            <v>Spline - Lưỡi gà</v>
          </cell>
          <cell r="H4535" t="str">
            <v>Plywood LVD - 06 x 1220 x 2440mm, Bleached Poplar Veneer Both Sides [CARB P2 Compliant]</v>
          </cell>
          <cell r="I4535">
            <v>27</v>
          </cell>
        </row>
        <row r="4536">
          <cell r="A4536" t="str">
            <v>B558138/A</v>
          </cell>
          <cell r="B4536" t="str">
            <v>RH2690M09CZ</v>
          </cell>
          <cell r="C4536">
            <v>9</v>
          </cell>
          <cell r="D4536">
            <v>271</v>
          </cell>
          <cell r="E4536">
            <v>2439</v>
          </cell>
          <cell r="F4536" t="str">
            <v>P05</v>
          </cell>
          <cell r="G4536" t="str">
            <v>Center panel - Ván giữa</v>
          </cell>
          <cell r="H4536" t="str">
            <v>MDF - 18 x 1830 x 2440mm [CARB P2 Compliant]</v>
          </cell>
          <cell r="I4536">
            <v>18</v>
          </cell>
        </row>
        <row r="4537">
          <cell r="A4537" t="str">
            <v>B558141/A</v>
          </cell>
          <cell r="B4537" t="str">
            <v>RH2690M191</v>
          </cell>
          <cell r="C4537">
            <v>5</v>
          </cell>
          <cell r="D4537">
            <v>271</v>
          </cell>
          <cell r="E4537">
            <v>1355</v>
          </cell>
          <cell r="F4537" t="str">
            <v>P01</v>
          </cell>
          <cell r="G4537" t="str">
            <v xml:space="preserve">Top panel  - Ván nóc </v>
          </cell>
          <cell r="H4537" t="str">
            <v>MDF - 18 x 1830 x 2440mm [CARB P2 Compliant]</v>
          </cell>
          <cell r="I4537">
            <v>5</v>
          </cell>
        </row>
        <row r="4538">
          <cell r="A4538" t="str">
            <v>B558141/A</v>
          </cell>
          <cell r="B4538" t="str">
            <v>RH2690M191</v>
          </cell>
          <cell r="C4538">
            <v>5</v>
          </cell>
          <cell r="D4538">
            <v>271</v>
          </cell>
          <cell r="E4538">
            <v>1355</v>
          </cell>
          <cell r="F4538" t="str">
            <v>P01-A</v>
          </cell>
          <cell r="G4538" t="str">
            <v>Bottom panel - Ván đáy</v>
          </cell>
          <cell r="H4538" t="str">
            <v>MDF - 18 x 1830 x 2440mm [CARB P2 Compliant]</v>
          </cell>
          <cell r="I4538">
            <v>5</v>
          </cell>
        </row>
        <row r="4539">
          <cell r="A4539" t="str">
            <v>B558141/A</v>
          </cell>
          <cell r="B4539" t="str">
            <v>RH2690M191</v>
          </cell>
          <cell r="C4539">
            <v>5</v>
          </cell>
          <cell r="D4539">
            <v>271</v>
          </cell>
          <cell r="E4539">
            <v>1355</v>
          </cell>
          <cell r="F4539" t="str">
            <v>P02</v>
          </cell>
          <cell r="G4539" t="str">
            <v xml:space="preserve">Front panel  - Ván tiền </v>
          </cell>
          <cell r="H4539" t="str">
            <v>MDF Veneer</v>
          </cell>
          <cell r="I4539">
            <v>15</v>
          </cell>
        </row>
        <row r="4540">
          <cell r="A4540" t="str">
            <v>B558141/A</v>
          </cell>
          <cell r="B4540" t="str">
            <v>RH2690M191</v>
          </cell>
          <cell r="C4540">
            <v>5</v>
          </cell>
          <cell r="D4540">
            <v>271</v>
          </cell>
          <cell r="E4540">
            <v>1355</v>
          </cell>
          <cell r="F4540" t="str">
            <v>P03</v>
          </cell>
          <cell r="G4540" t="str">
            <v>Cleat - Bọ gỗ</v>
          </cell>
          <cell r="H4540" t="str">
            <v>TRAM OFF CUT</v>
          </cell>
          <cell r="I4540">
            <v>50</v>
          </cell>
        </row>
        <row r="4541">
          <cell r="A4541" t="str">
            <v>B558141/A</v>
          </cell>
          <cell r="B4541" t="str">
            <v>RH2690M191</v>
          </cell>
          <cell r="C4541">
            <v>5</v>
          </cell>
          <cell r="D4541">
            <v>271</v>
          </cell>
          <cell r="E4541">
            <v>1355</v>
          </cell>
          <cell r="F4541" t="str">
            <v>P03-A</v>
          </cell>
          <cell r="G4541" t="str">
            <v>Cleat - Bọ gỗ</v>
          </cell>
          <cell r="H4541" t="str">
            <v>TRAM OFF CUT</v>
          </cell>
          <cell r="I4541">
            <v>30</v>
          </cell>
        </row>
        <row r="4542">
          <cell r="A4542" t="str">
            <v>B558141/A</v>
          </cell>
          <cell r="B4542" t="str">
            <v>RH2690M191</v>
          </cell>
          <cell r="C4542">
            <v>5</v>
          </cell>
          <cell r="D4542">
            <v>271</v>
          </cell>
          <cell r="E4542">
            <v>1355</v>
          </cell>
          <cell r="F4542" t="str">
            <v>P04</v>
          </cell>
          <cell r="G4542" t="str">
            <v>Spline - Lưỡi gà</v>
          </cell>
          <cell r="H4542" t="str">
            <v>Plywood LVD - 06 x 1220 x 2440mm, Bleached Poplar Veneer Both Sides [CARB P2 Compliant]</v>
          </cell>
          <cell r="I4542">
            <v>15</v>
          </cell>
        </row>
        <row r="4543">
          <cell r="A4543" t="str">
            <v>B558141/A</v>
          </cell>
          <cell r="B4543" t="str">
            <v>RH2690M191</v>
          </cell>
          <cell r="C4543">
            <v>5</v>
          </cell>
          <cell r="D4543">
            <v>271</v>
          </cell>
          <cell r="E4543">
            <v>1355</v>
          </cell>
          <cell r="F4543" t="str">
            <v>P05</v>
          </cell>
          <cell r="G4543" t="str">
            <v>Center panel - Ván giữa</v>
          </cell>
          <cell r="H4543" t="str">
            <v>MDF - 18 x 1830 x 2440mm [CARB P2 Compliant]</v>
          </cell>
          <cell r="I4543">
            <v>10</v>
          </cell>
        </row>
        <row r="4544">
          <cell r="A4544" t="str">
            <v>B558142/A</v>
          </cell>
          <cell r="B4544" t="str">
            <v>RH2690M191</v>
          </cell>
          <cell r="C4544">
            <v>6</v>
          </cell>
          <cell r="D4544">
            <v>271</v>
          </cell>
          <cell r="E4544">
            <v>1626</v>
          </cell>
          <cell r="F4544" t="str">
            <v>P01</v>
          </cell>
          <cell r="G4544" t="str">
            <v xml:space="preserve">Top panel  - Ván nóc </v>
          </cell>
          <cell r="H4544" t="str">
            <v>MDF - 18 x 1830 x 2440mm [CARB P2 Compliant]</v>
          </cell>
          <cell r="I4544">
            <v>6</v>
          </cell>
        </row>
        <row r="4545">
          <cell r="A4545" t="str">
            <v>B558142/A</v>
          </cell>
          <cell r="B4545" t="str">
            <v>RH2690M191</v>
          </cell>
          <cell r="C4545">
            <v>6</v>
          </cell>
          <cell r="D4545">
            <v>271</v>
          </cell>
          <cell r="E4545">
            <v>1626</v>
          </cell>
          <cell r="F4545" t="str">
            <v>P01-A</v>
          </cell>
          <cell r="G4545" t="str">
            <v>Bottom panel - Ván đáy</v>
          </cell>
          <cell r="H4545" t="str">
            <v>MDF - 18 x 1830 x 2440mm [CARB P2 Compliant]</v>
          </cell>
          <cell r="I4545">
            <v>6</v>
          </cell>
        </row>
        <row r="4546">
          <cell r="A4546" t="str">
            <v>B558142/A</v>
          </cell>
          <cell r="B4546" t="str">
            <v>RH2690M191</v>
          </cell>
          <cell r="C4546">
            <v>6</v>
          </cell>
          <cell r="D4546">
            <v>271</v>
          </cell>
          <cell r="E4546">
            <v>1626</v>
          </cell>
          <cell r="F4546" t="str">
            <v>P02</v>
          </cell>
          <cell r="G4546" t="str">
            <v xml:space="preserve">Front panel  - Ván tiền </v>
          </cell>
          <cell r="H4546" t="str">
            <v>MDF Veneer</v>
          </cell>
          <cell r="I4546">
            <v>18</v>
          </cell>
        </row>
        <row r="4547">
          <cell r="A4547" t="str">
            <v>B558142/A</v>
          </cell>
          <cell r="B4547" t="str">
            <v>RH2690M191</v>
          </cell>
          <cell r="C4547">
            <v>6</v>
          </cell>
          <cell r="D4547">
            <v>271</v>
          </cell>
          <cell r="E4547">
            <v>1626</v>
          </cell>
          <cell r="F4547" t="str">
            <v>P03</v>
          </cell>
          <cell r="G4547" t="str">
            <v>Cleat - Bọ gỗ</v>
          </cell>
          <cell r="H4547" t="str">
            <v>TRAM OFF CUT</v>
          </cell>
          <cell r="I4547">
            <v>60</v>
          </cell>
        </row>
        <row r="4548">
          <cell r="A4548" t="str">
            <v>B558142/A</v>
          </cell>
          <cell r="B4548" t="str">
            <v>RH2690M191</v>
          </cell>
          <cell r="C4548">
            <v>6</v>
          </cell>
          <cell r="D4548">
            <v>271</v>
          </cell>
          <cell r="E4548">
            <v>1626</v>
          </cell>
          <cell r="F4548" t="str">
            <v>P03-A</v>
          </cell>
          <cell r="G4548" t="str">
            <v>Cleat - Bọ gỗ</v>
          </cell>
          <cell r="H4548" t="str">
            <v>TRAM OFF CUT</v>
          </cell>
          <cell r="I4548">
            <v>36</v>
          </cell>
        </row>
        <row r="4549">
          <cell r="A4549" t="str">
            <v>B558142/A</v>
          </cell>
          <cell r="B4549" t="str">
            <v>RH2690M191</v>
          </cell>
          <cell r="C4549">
            <v>6</v>
          </cell>
          <cell r="D4549">
            <v>271</v>
          </cell>
          <cell r="E4549">
            <v>1626</v>
          </cell>
          <cell r="F4549" t="str">
            <v>P04</v>
          </cell>
          <cell r="G4549" t="str">
            <v>Spline - Lưỡi gà</v>
          </cell>
          <cell r="H4549" t="str">
            <v>Plywood LVD - 06 x 1220 x 2440mm, Bleached Poplar Veneer Both Sides [CARB P2 Compliant]</v>
          </cell>
          <cell r="I4549">
            <v>18</v>
          </cell>
        </row>
        <row r="4550">
          <cell r="A4550" t="str">
            <v>B558142/A</v>
          </cell>
          <cell r="B4550" t="str">
            <v>RH2690M191</v>
          </cell>
          <cell r="C4550">
            <v>6</v>
          </cell>
          <cell r="D4550">
            <v>271</v>
          </cell>
          <cell r="E4550">
            <v>1626</v>
          </cell>
          <cell r="F4550" t="str">
            <v>P05</v>
          </cell>
          <cell r="G4550" t="str">
            <v>Center panel - Ván giữa</v>
          </cell>
          <cell r="H4550" t="str">
            <v>MDF - 18 x 1830 x 2440mm [CARB P2 Compliant]</v>
          </cell>
          <cell r="I4550">
            <v>12</v>
          </cell>
        </row>
        <row r="4551">
          <cell r="A4551" t="str">
            <v>B558315/A</v>
          </cell>
          <cell r="B4551" t="str">
            <v>RH2751M18</v>
          </cell>
          <cell r="C4551">
            <v>23</v>
          </cell>
          <cell r="D4551">
            <v>381.43</v>
          </cell>
          <cell r="E4551">
            <v>8772.89</v>
          </cell>
          <cell r="F4551" t="str">
            <v>A1</v>
          </cell>
          <cell r="G4551" t="str">
            <v>Top Frame - Khung nóc</v>
          </cell>
          <cell r="H4551" t="str">
            <v>Assembly</v>
          </cell>
          <cell r="I4551">
            <v>23</v>
          </cell>
        </row>
        <row r="4552">
          <cell r="A4552" t="str">
            <v>B558315/A</v>
          </cell>
          <cell r="B4552" t="str">
            <v>RH2751M18</v>
          </cell>
          <cell r="C4552">
            <v>23</v>
          </cell>
          <cell r="D4552">
            <v>381.43</v>
          </cell>
          <cell r="E4552">
            <v>8772.89</v>
          </cell>
          <cell r="F4552" t="str">
            <v>A1-S1</v>
          </cell>
          <cell r="G4552" t="str">
            <v>Top Frame - Khung nóc</v>
          </cell>
          <cell r="H4552" t="str">
            <v>Pre-Assembly</v>
          </cell>
          <cell r="I4552">
            <v>23</v>
          </cell>
        </row>
        <row r="4553">
          <cell r="A4553" t="str">
            <v>B558315/A</v>
          </cell>
          <cell r="B4553" t="str">
            <v>RH2751M18</v>
          </cell>
          <cell r="C4553">
            <v>23</v>
          </cell>
          <cell r="D4553">
            <v>381.43</v>
          </cell>
          <cell r="E4553">
            <v>8772.89</v>
          </cell>
          <cell r="F4553" t="str">
            <v>A1-S1-1</v>
          </cell>
          <cell r="G4553" t="str">
            <v xml:space="preserve">Top panel  - Ván nóc </v>
          </cell>
          <cell r="H4553" t="str">
            <v>MDF Veneer</v>
          </cell>
          <cell r="I4553">
            <v>23</v>
          </cell>
        </row>
        <row r="4554">
          <cell r="A4554" t="str">
            <v>B558315/A</v>
          </cell>
          <cell r="B4554" t="str">
            <v>RH2751M18</v>
          </cell>
          <cell r="C4554">
            <v>23</v>
          </cell>
          <cell r="D4554">
            <v>381.43</v>
          </cell>
          <cell r="E4554">
            <v>8772.89</v>
          </cell>
          <cell r="F4554" t="str">
            <v>A1-S1-1-A</v>
          </cell>
          <cell r="G4554" t="str">
            <v>VN - Veneer</v>
          </cell>
          <cell r="H4554" t="str">
            <v>Veneer laminate</v>
          </cell>
          <cell r="I4554">
            <v>23</v>
          </cell>
        </row>
        <row r="4555">
          <cell r="A4555" t="str">
            <v>B558315/A</v>
          </cell>
          <cell r="B4555" t="str">
            <v>RH2751M18</v>
          </cell>
          <cell r="C4555">
            <v>23</v>
          </cell>
          <cell r="D4555">
            <v>381.43</v>
          </cell>
          <cell r="E4555">
            <v>8772.89</v>
          </cell>
          <cell r="F4555" t="str">
            <v>A1-S1-2</v>
          </cell>
          <cell r="G4555" t="str">
            <v>Front top rail  - Đố tiền nóc</v>
          </cell>
          <cell r="H4555" t="str">
            <v>Wood US Poplar - Straight Edged, 2 COM - T25mm x W100mm Up x L1.8m Up</v>
          </cell>
          <cell r="I4555">
            <v>46</v>
          </cell>
        </row>
        <row r="4556">
          <cell r="A4556" t="str">
            <v>B558315/A</v>
          </cell>
          <cell r="B4556" t="str">
            <v>RH2751M18</v>
          </cell>
          <cell r="C4556">
            <v>23</v>
          </cell>
          <cell r="D4556">
            <v>381.43</v>
          </cell>
          <cell r="E4556">
            <v>8772.89</v>
          </cell>
          <cell r="F4556" t="str">
            <v>A1-S1-3</v>
          </cell>
          <cell r="G4556" t="str">
            <v>Side top rail - Đố hông trên</v>
          </cell>
          <cell r="H4556" t="str">
            <v>Wood US Poplar - Straight Edged, 2 COM - T25mm x W100mm Up x L1.8m Up</v>
          </cell>
          <cell r="I4556">
            <v>46</v>
          </cell>
        </row>
        <row r="4557">
          <cell r="A4557" t="str">
            <v>B558315/A</v>
          </cell>
          <cell r="B4557" t="str">
            <v>RH2751M18</v>
          </cell>
          <cell r="C4557">
            <v>23</v>
          </cell>
          <cell r="D4557">
            <v>381.43</v>
          </cell>
          <cell r="E4557">
            <v>8772.89</v>
          </cell>
          <cell r="F4557" t="str">
            <v>A1-S2</v>
          </cell>
          <cell r="G4557" t="str">
            <v>Top moulding  - Chỉ nóc</v>
          </cell>
          <cell r="H4557" t="str">
            <v>Wood US Poplar - Straight Edged, 1 COM - T32mm x W100mm Up x L1.8m Up</v>
          </cell>
          <cell r="I4557">
            <v>46</v>
          </cell>
        </row>
        <row r="4558">
          <cell r="A4558" t="str">
            <v>B558315/A</v>
          </cell>
          <cell r="B4558" t="str">
            <v>RH2751M18</v>
          </cell>
          <cell r="C4558">
            <v>23</v>
          </cell>
          <cell r="D4558">
            <v>381.43</v>
          </cell>
          <cell r="E4558">
            <v>8772.89</v>
          </cell>
          <cell r="F4558" t="str">
            <v>A1-S3</v>
          </cell>
          <cell r="G4558" t="str">
            <v>Top moulding  - Chỉ nóc</v>
          </cell>
          <cell r="H4558" t="str">
            <v>Wood US Poplar - Straight Edged, 1 COM - T32mm x W100mm Up x L1.8m Up</v>
          </cell>
          <cell r="I4558">
            <v>46</v>
          </cell>
        </row>
        <row r="4559">
          <cell r="A4559" t="str">
            <v>B558315/A</v>
          </cell>
          <cell r="B4559" t="str">
            <v>RH2751M18</v>
          </cell>
          <cell r="C4559">
            <v>23</v>
          </cell>
          <cell r="D4559">
            <v>381.43</v>
          </cell>
          <cell r="E4559">
            <v>8772.89</v>
          </cell>
          <cell r="F4559" t="str">
            <v>A2-S1</v>
          </cell>
          <cell r="G4559" t="str">
            <v>Front leg  - Chần tiền</v>
          </cell>
          <cell r="H4559" t="str">
            <v>Poplar 1 COM</v>
          </cell>
          <cell r="I4559">
            <v>46</v>
          </cell>
        </row>
        <row r="4560">
          <cell r="A4560" t="str">
            <v>B558315/A</v>
          </cell>
          <cell r="B4560" t="str">
            <v>RH2751M18</v>
          </cell>
          <cell r="C4560">
            <v>23</v>
          </cell>
          <cell r="D4560">
            <v>381.43</v>
          </cell>
          <cell r="E4560">
            <v>8772.89</v>
          </cell>
          <cell r="F4560" t="str">
            <v>A2-S2</v>
          </cell>
          <cell r="G4560" t="str">
            <v>Back leg - Chân hậu</v>
          </cell>
          <cell r="H4560" t="str">
            <v>Poplar 1 COM</v>
          </cell>
          <cell r="I4560">
            <v>46</v>
          </cell>
        </row>
        <row r="4561">
          <cell r="A4561" t="str">
            <v>B558315/A</v>
          </cell>
          <cell r="B4561" t="str">
            <v>RH2751M18</v>
          </cell>
          <cell r="C4561">
            <v>23</v>
          </cell>
          <cell r="D4561">
            <v>381.43</v>
          </cell>
          <cell r="E4561">
            <v>8772.89</v>
          </cell>
          <cell r="F4561" t="str">
            <v>A2-S3</v>
          </cell>
          <cell r="G4561" t="str">
            <v xml:space="preserve">Side panel  - Ván hông </v>
          </cell>
          <cell r="H4561" t="str">
            <v>Wood US Poplar - Straight Edged, 1 COM - T25mm x W100mm Up x L1.8m Up</v>
          </cell>
          <cell r="I4561">
            <v>46</v>
          </cell>
        </row>
        <row r="4562">
          <cell r="A4562" t="str">
            <v>B558315/A</v>
          </cell>
          <cell r="B4562" t="str">
            <v>RH2751M18</v>
          </cell>
          <cell r="C4562">
            <v>23</v>
          </cell>
          <cell r="D4562">
            <v>381.43</v>
          </cell>
          <cell r="E4562">
            <v>8772.89</v>
          </cell>
          <cell r="F4562" t="str">
            <v>A2-S5</v>
          </cell>
          <cell r="G4562" t="str">
            <v>The leg  - Chân</v>
          </cell>
          <cell r="H4562" t="str">
            <v>Poplar 1 COM</v>
          </cell>
          <cell r="I4562">
            <v>92</v>
          </cell>
        </row>
        <row r="4563">
          <cell r="A4563" t="str">
            <v>B558315/A</v>
          </cell>
          <cell r="B4563" t="str">
            <v>RH2751M18</v>
          </cell>
          <cell r="C4563">
            <v>23</v>
          </cell>
          <cell r="D4563">
            <v>381.43</v>
          </cell>
          <cell r="E4563">
            <v>8772.89</v>
          </cell>
          <cell r="F4563" t="str">
            <v>A2-S6</v>
          </cell>
          <cell r="G4563" t="str">
            <v>Side bottom rail - Đố hông dưới</v>
          </cell>
          <cell r="H4563" t="str">
            <v>Wood US Poplar - Straight Edged, 2 COM - T32mm x W100mm Up x L1.8m Up</v>
          </cell>
          <cell r="I4563">
            <v>46</v>
          </cell>
        </row>
        <row r="4564">
          <cell r="A4564" t="str">
            <v>B558315/A</v>
          </cell>
          <cell r="B4564" t="str">
            <v>RH2751M18</v>
          </cell>
          <cell r="C4564">
            <v>23</v>
          </cell>
          <cell r="D4564">
            <v>381.43</v>
          </cell>
          <cell r="E4564">
            <v>8772.89</v>
          </cell>
          <cell r="F4564" t="str">
            <v>A3A</v>
          </cell>
          <cell r="G4564" t="str">
            <v xml:space="preserve">Drawer front - Mặt hộc kéo </v>
          </cell>
          <cell r="H4564" t="str">
            <v>Assembly</v>
          </cell>
          <cell r="I4564">
            <v>23</v>
          </cell>
        </row>
        <row r="4565">
          <cell r="A4565" t="str">
            <v>B558315/A</v>
          </cell>
          <cell r="B4565" t="str">
            <v>RH2751M18</v>
          </cell>
          <cell r="C4565">
            <v>23</v>
          </cell>
          <cell r="D4565">
            <v>381.43</v>
          </cell>
          <cell r="E4565">
            <v>8772.89</v>
          </cell>
          <cell r="F4565" t="str">
            <v>A3-S01</v>
          </cell>
          <cell r="G4565" t="str">
            <v xml:space="preserve">Drawer front - Mặt hộc kéo </v>
          </cell>
          <cell r="H4565" t="str">
            <v>Wood US Poplar - Straight Edged, 1 COM - T25mm x W100mm Up x L1.8m Up</v>
          </cell>
          <cell r="I4565">
            <v>23</v>
          </cell>
        </row>
        <row r="4566">
          <cell r="A4566" t="str">
            <v>B558315/A</v>
          </cell>
          <cell r="B4566" t="str">
            <v>RH2751M18</v>
          </cell>
          <cell r="C4566">
            <v>23</v>
          </cell>
          <cell r="D4566">
            <v>381.43</v>
          </cell>
          <cell r="E4566">
            <v>8772.89</v>
          </cell>
          <cell r="F4566" t="str">
            <v>A3-S02</v>
          </cell>
          <cell r="G4566" t="str">
            <v xml:space="preserve">Drawer front - Mặt hộc kéo </v>
          </cell>
          <cell r="H4566" t="str">
            <v>Wood US Poplar - Straight Edged, 2 COM - T25mm x W100mm Up x L1.8m Up</v>
          </cell>
          <cell r="I4566">
            <v>23</v>
          </cell>
        </row>
        <row r="4567">
          <cell r="A4567" t="str">
            <v>B558315/A</v>
          </cell>
          <cell r="B4567" t="str">
            <v>RH2751M18</v>
          </cell>
          <cell r="C4567">
            <v>23</v>
          </cell>
          <cell r="D4567">
            <v>381.43</v>
          </cell>
          <cell r="E4567">
            <v>8772.89</v>
          </cell>
          <cell r="F4567" t="str">
            <v>A3-S03</v>
          </cell>
          <cell r="G4567" t="str">
            <v>Drawer side - Hông hộc kéo</v>
          </cell>
          <cell r="H4567" t="str">
            <v>Wood US Poplar - Straight Edged, 2 COM - T25mm x W100mm Up x L1.8m Up</v>
          </cell>
          <cell r="I4567">
            <v>46</v>
          </cell>
        </row>
        <row r="4568">
          <cell r="A4568" t="str">
            <v>B558315/A</v>
          </cell>
          <cell r="B4568" t="str">
            <v>RH2751M18</v>
          </cell>
          <cell r="C4568">
            <v>23</v>
          </cell>
          <cell r="D4568">
            <v>381.43</v>
          </cell>
          <cell r="E4568">
            <v>8772.89</v>
          </cell>
          <cell r="F4568" t="str">
            <v>A3-S04</v>
          </cell>
          <cell r="G4568" t="str">
            <v>Drawer back - Hậu hộc kéo</v>
          </cell>
          <cell r="H4568" t="str">
            <v>Wood US Poplar - Straight Edged, 2 COM - T38mm x W100mm Up x L1.8m Up</v>
          </cell>
          <cell r="I4568">
            <v>23</v>
          </cell>
        </row>
        <row r="4569">
          <cell r="A4569" t="str">
            <v>B558315/A</v>
          </cell>
          <cell r="B4569" t="str">
            <v>RH2751M18</v>
          </cell>
          <cell r="C4569">
            <v>23</v>
          </cell>
          <cell r="D4569">
            <v>381.43</v>
          </cell>
          <cell r="E4569">
            <v>8772.89</v>
          </cell>
          <cell r="F4569" t="str">
            <v>A3-S05</v>
          </cell>
          <cell r="G4569" t="str">
            <v>Drawer bottom  - Đáy hộc kéo</v>
          </cell>
          <cell r="H4569" t="str">
            <v>MDF - 06 x 1220 x 2440mm, Veneer Poplar 0.42mm + Veneer Engineering 0.3mm [CARB P2 Compliant]</v>
          </cell>
          <cell r="I4569">
            <v>23</v>
          </cell>
        </row>
        <row r="4570">
          <cell r="A4570" t="str">
            <v>B558315/A</v>
          </cell>
          <cell r="B4570" t="str">
            <v>RH2751M18</v>
          </cell>
          <cell r="C4570">
            <v>23</v>
          </cell>
          <cell r="D4570">
            <v>381.43</v>
          </cell>
          <cell r="E4570">
            <v>8772.89</v>
          </cell>
          <cell r="F4570" t="str">
            <v>A3-S06</v>
          </cell>
          <cell r="G4570" t="str">
            <v>Front moulding  - Chỉ tiền</v>
          </cell>
          <cell r="H4570" t="str">
            <v>Wood US Poplar - Straight Edged, 1 COM - T38mm x W100mm Up x L1.8m Up</v>
          </cell>
          <cell r="I4570">
            <v>46</v>
          </cell>
        </row>
        <row r="4571">
          <cell r="A4571" t="str">
            <v>B558315/A</v>
          </cell>
          <cell r="B4571" t="str">
            <v>RH2751M18</v>
          </cell>
          <cell r="C4571">
            <v>23</v>
          </cell>
          <cell r="D4571">
            <v>381.43</v>
          </cell>
          <cell r="E4571">
            <v>8772.89</v>
          </cell>
          <cell r="F4571" t="str">
            <v>A3-S07</v>
          </cell>
          <cell r="G4571" t="str">
            <v>Side moulding - Chỉ hông</v>
          </cell>
          <cell r="H4571" t="str">
            <v>Wood US Poplar - Straight Edged, 1 COM - T38mm x W100mm Up x L1.8m Up</v>
          </cell>
          <cell r="I4571">
            <v>46</v>
          </cell>
        </row>
        <row r="4572">
          <cell r="A4572" t="str">
            <v>B558315/A</v>
          </cell>
          <cell r="B4572" t="str">
            <v>RH2751M18</v>
          </cell>
          <cell r="C4572">
            <v>23</v>
          </cell>
          <cell r="D4572">
            <v>381.43</v>
          </cell>
          <cell r="E4572">
            <v>8772.89</v>
          </cell>
          <cell r="F4572" t="str">
            <v>A3-S09</v>
          </cell>
          <cell r="G4572" t="str">
            <v>Insert Wood - Gỗ chèn</v>
          </cell>
          <cell r="H4572" t="str">
            <v>Wood US Poplar - Straight Edged, 2 COM - T38mm x W100mm Up x L1.8m Up</v>
          </cell>
          <cell r="I4572">
            <v>46</v>
          </cell>
        </row>
        <row r="4573">
          <cell r="A4573" t="str">
            <v>B558315/A</v>
          </cell>
          <cell r="B4573" t="str">
            <v>RH2751M18</v>
          </cell>
          <cell r="C4573">
            <v>23</v>
          </cell>
          <cell r="D4573">
            <v>381.43</v>
          </cell>
          <cell r="E4573">
            <v>8772.89</v>
          </cell>
          <cell r="F4573" t="str">
            <v>P01</v>
          </cell>
          <cell r="G4573" t="str">
            <v>back rail - Đố hậu</v>
          </cell>
          <cell r="H4573" t="str">
            <v>Wood US Poplar - Straight Edged, 1 COM - T38mm x W100mm Up x L1.8m Up</v>
          </cell>
          <cell r="I4573">
            <v>23</v>
          </cell>
        </row>
        <row r="4574">
          <cell r="A4574" t="str">
            <v>B558315/A</v>
          </cell>
          <cell r="B4574" t="str">
            <v>RH2751M18</v>
          </cell>
          <cell r="C4574">
            <v>23</v>
          </cell>
          <cell r="D4574">
            <v>381.43</v>
          </cell>
          <cell r="E4574">
            <v>8772.89</v>
          </cell>
          <cell r="F4574" t="str">
            <v>P02</v>
          </cell>
          <cell r="G4574" t="str">
            <v>Bottom panel - Ván đáy</v>
          </cell>
          <cell r="H4574" t="str">
            <v>MDF Veneer</v>
          </cell>
          <cell r="I4574">
            <v>23</v>
          </cell>
        </row>
        <row r="4575">
          <cell r="A4575" t="str">
            <v>B558315/A</v>
          </cell>
          <cell r="B4575" t="str">
            <v>RH2751M18</v>
          </cell>
          <cell r="C4575">
            <v>23</v>
          </cell>
          <cell r="D4575">
            <v>381.43</v>
          </cell>
          <cell r="E4575">
            <v>8772.89</v>
          </cell>
          <cell r="F4575" t="str">
            <v>P03</v>
          </cell>
          <cell r="G4575" t="str">
            <v>Back top rail - Đố hậu nóc</v>
          </cell>
          <cell r="H4575" t="str">
            <v>Wood US Poplar - Straight Edged, 2 COM - T25mm x W100mm Up x L1.8m Up</v>
          </cell>
          <cell r="I4575">
            <v>23</v>
          </cell>
        </row>
        <row r="4576">
          <cell r="A4576" t="str">
            <v>B558316/A</v>
          </cell>
          <cell r="B4576" t="str">
            <v>RH2751M18</v>
          </cell>
          <cell r="C4576">
            <v>22</v>
          </cell>
          <cell r="D4576">
            <v>381.43</v>
          </cell>
          <cell r="E4576">
            <v>8391.4600000000009</v>
          </cell>
          <cell r="F4576" t="str">
            <v>A1</v>
          </cell>
          <cell r="G4576" t="str">
            <v>Top Frame - Khung nóc</v>
          </cell>
          <cell r="H4576" t="str">
            <v>Assembly</v>
          </cell>
          <cell r="I4576">
            <v>22</v>
          </cell>
        </row>
        <row r="4577">
          <cell r="A4577" t="str">
            <v>B558316/A</v>
          </cell>
          <cell r="B4577" t="str">
            <v>RH2751M18</v>
          </cell>
          <cell r="C4577">
            <v>22</v>
          </cell>
          <cell r="D4577">
            <v>381.43</v>
          </cell>
          <cell r="E4577">
            <v>8391.4600000000009</v>
          </cell>
          <cell r="F4577" t="str">
            <v>A1-S1</v>
          </cell>
          <cell r="G4577" t="str">
            <v>Top Frame - Khung nóc</v>
          </cell>
          <cell r="H4577" t="str">
            <v>Pre-Assembly</v>
          </cell>
          <cell r="I4577">
            <v>22</v>
          </cell>
        </row>
        <row r="4578">
          <cell r="A4578" t="str">
            <v>B558316/A</v>
          </cell>
          <cell r="B4578" t="str">
            <v>RH2751M18</v>
          </cell>
          <cell r="C4578">
            <v>22</v>
          </cell>
          <cell r="D4578">
            <v>381.43</v>
          </cell>
          <cell r="E4578">
            <v>8391.4600000000009</v>
          </cell>
          <cell r="F4578" t="str">
            <v>A1-S1-1</v>
          </cell>
          <cell r="G4578" t="str">
            <v xml:space="preserve">Top panel  - Ván nóc </v>
          </cell>
          <cell r="H4578" t="str">
            <v>MDF Veneer</v>
          </cell>
          <cell r="I4578">
            <v>22</v>
          </cell>
        </row>
        <row r="4579">
          <cell r="A4579" t="str">
            <v>B558316/A</v>
          </cell>
          <cell r="B4579" t="str">
            <v>RH2751M18</v>
          </cell>
          <cell r="C4579">
            <v>22</v>
          </cell>
          <cell r="D4579">
            <v>381.43</v>
          </cell>
          <cell r="E4579">
            <v>8391.4600000000009</v>
          </cell>
          <cell r="F4579" t="str">
            <v>A1-S1-1-A</v>
          </cell>
          <cell r="G4579" t="str">
            <v>VN - Veneer</v>
          </cell>
          <cell r="H4579" t="str">
            <v>Veneer laminate</v>
          </cell>
          <cell r="I4579">
            <v>22</v>
          </cell>
        </row>
        <row r="4580">
          <cell r="A4580" t="str">
            <v>B558316/A</v>
          </cell>
          <cell r="B4580" t="str">
            <v>RH2751M18</v>
          </cell>
          <cell r="C4580">
            <v>22</v>
          </cell>
          <cell r="D4580">
            <v>381.43</v>
          </cell>
          <cell r="E4580">
            <v>8391.4600000000009</v>
          </cell>
          <cell r="F4580" t="str">
            <v>A1-S1-2</v>
          </cell>
          <cell r="G4580" t="str">
            <v>Front top rail  - Đố tiền nóc</v>
          </cell>
          <cell r="H4580" t="str">
            <v>Wood US Poplar - Straight Edged, 2 COM - T25mm x W100mm Up x L1.8m Up</v>
          </cell>
          <cell r="I4580">
            <v>44</v>
          </cell>
        </row>
        <row r="4581">
          <cell r="A4581" t="str">
            <v>B558316/A</v>
          </cell>
          <cell r="B4581" t="str">
            <v>RH2751M18</v>
          </cell>
          <cell r="C4581">
            <v>22</v>
          </cell>
          <cell r="D4581">
            <v>381.43</v>
          </cell>
          <cell r="E4581">
            <v>8391.4600000000009</v>
          </cell>
          <cell r="F4581" t="str">
            <v>A1-S1-3</v>
          </cell>
          <cell r="G4581" t="str">
            <v>Side top rail - Đố hông trên</v>
          </cell>
          <cell r="H4581" t="str">
            <v>Wood US Poplar - Straight Edged, 2 COM - T25mm x W100mm Up x L1.8m Up</v>
          </cell>
          <cell r="I4581">
            <v>44</v>
          </cell>
        </row>
        <row r="4582">
          <cell r="A4582" t="str">
            <v>B558316/A</v>
          </cell>
          <cell r="B4582" t="str">
            <v>RH2751M18</v>
          </cell>
          <cell r="C4582">
            <v>22</v>
          </cell>
          <cell r="D4582">
            <v>381.43</v>
          </cell>
          <cell r="E4582">
            <v>8391.4600000000009</v>
          </cell>
          <cell r="F4582" t="str">
            <v>A1-S2</v>
          </cell>
          <cell r="G4582" t="str">
            <v>Top moulding  - Chỉ nóc</v>
          </cell>
          <cell r="H4582" t="str">
            <v>Wood US Poplar - Straight Edged, 1 COM - T32mm x W100mm Up x L1.8m Up</v>
          </cell>
          <cell r="I4582">
            <v>44</v>
          </cell>
        </row>
        <row r="4583">
          <cell r="A4583" t="str">
            <v>B558316/A</v>
          </cell>
          <cell r="B4583" t="str">
            <v>RH2751M18</v>
          </cell>
          <cell r="C4583">
            <v>22</v>
          </cell>
          <cell r="D4583">
            <v>381.43</v>
          </cell>
          <cell r="E4583">
            <v>8391.4600000000009</v>
          </cell>
          <cell r="F4583" t="str">
            <v>A1-S3</v>
          </cell>
          <cell r="G4583" t="str">
            <v>Top moulding  - Chỉ nóc</v>
          </cell>
          <cell r="H4583" t="str">
            <v>Wood US Poplar - Straight Edged, 1 COM - T32mm x W100mm Up x L1.8m Up</v>
          </cell>
          <cell r="I4583">
            <v>44</v>
          </cell>
        </row>
        <row r="4584">
          <cell r="A4584" t="str">
            <v>B558316/A</v>
          </cell>
          <cell r="B4584" t="str">
            <v>RH2751M18</v>
          </cell>
          <cell r="C4584">
            <v>22</v>
          </cell>
          <cell r="D4584">
            <v>381.43</v>
          </cell>
          <cell r="E4584">
            <v>8391.4600000000009</v>
          </cell>
          <cell r="F4584" t="str">
            <v>A2-S1</v>
          </cell>
          <cell r="G4584" t="str">
            <v>Front leg  - Chần tiền</v>
          </cell>
          <cell r="H4584" t="str">
            <v>Poplar 1 COM</v>
          </cell>
          <cell r="I4584">
            <v>44</v>
          </cell>
        </row>
        <row r="4585">
          <cell r="A4585" t="str">
            <v>B558316/A</v>
          </cell>
          <cell r="B4585" t="str">
            <v>RH2751M18</v>
          </cell>
          <cell r="C4585">
            <v>22</v>
          </cell>
          <cell r="D4585">
            <v>381.43</v>
          </cell>
          <cell r="E4585">
            <v>8391.4600000000009</v>
          </cell>
          <cell r="F4585" t="str">
            <v>A2-S2</v>
          </cell>
          <cell r="G4585" t="str">
            <v>Back leg - Chân hậu</v>
          </cell>
          <cell r="H4585" t="str">
            <v>Poplar 1 COM</v>
          </cell>
          <cell r="I4585">
            <v>44</v>
          </cell>
        </row>
        <row r="4586">
          <cell r="A4586" t="str">
            <v>B558316/A</v>
          </cell>
          <cell r="B4586" t="str">
            <v>RH2751M18</v>
          </cell>
          <cell r="C4586">
            <v>22</v>
          </cell>
          <cell r="D4586">
            <v>381.43</v>
          </cell>
          <cell r="E4586">
            <v>8391.4600000000009</v>
          </cell>
          <cell r="F4586" t="str">
            <v>A2-S3</v>
          </cell>
          <cell r="G4586" t="str">
            <v xml:space="preserve">Side panel  - Ván hông </v>
          </cell>
          <cell r="H4586" t="str">
            <v>Wood US Poplar - Straight Edged, 1 COM - T25mm x W100mm Up x L1.8m Up</v>
          </cell>
          <cell r="I4586">
            <v>44</v>
          </cell>
        </row>
        <row r="4587">
          <cell r="A4587" t="str">
            <v>B558316/A</v>
          </cell>
          <cell r="B4587" t="str">
            <v>RH2751M18</v>
          </cell>
          <cell r="C4587">
            <v>22</v>
          </cell>
          <cell r="D4587">
            <v>381.43</v>
          </cell>
          <cell r="E4587">
            <v>8391.4600000000009</v>
          </cell>
          <cell r="F4587" t="str">
            <v>A2-S5</v>
          </cell>
          <cell r="G4587" t="str">
            <v>The leg  - Chân</v>
          </cell>
          <cell r="H4587" t="str">
            <v>Poplar 1 COM</v>
          </cell>
          <cell r="I4587">
            <v>88</v>
          </cell>
        </row>
        <row r="4588">
          <cell r="A4588" t="str">
            <v>B558316/A</v>
          </cell>
          <cell r="B4588" t="str">
            <v>RH2751M18</v>
          </cell>
          <cell r="C4588">
            <v>22</v>
          </cell>
          <cell r="D4588">
            <v>381.43</v>
          </cell>
          <cell r="E4588">
            <v>8391.4600000000009</v>
          </cell>
          <cell r="F4588" t="str">
            <v>A2-S6</v>
          </cell>
          <cell r="G4588" t="str">
            <v>Side bottom rail - Đố hông dưới</v>
          </cell>
          <cell r="H4588" t="str">
            <v>Wood US Poplar - Straight Edged, 2 COM - T32mm x W100mm Up x L1.8m Up</v>
          </cell>
          <cell r="I4588">
            <v>44</v>
          </cell>
        </row>
        <row r="4589">
          <cell r="A4589" t="str">
            <v>B558316/A</v>
          </cell>
          <cell r="B4589" t="str">
            <v>RH2751M18</v>
          </cell>
          <cell r="C4589">
            <v>22</v>
          </cell>
          <cell r="D4589">
            <v>381.43</v>
          </cell>
          <cell r="E4589">
            <v>8391.4600000000009</v>
          </cell>
          <cell r="F4589" t="str">
            <v>A3A</v>
          </cell>
          <cell r="G4589" t="str">
            <v xml:space="preserve">Drawer front - Mặt hộc kéo </v>
          </cell>
          <cell r="H4589" t="str">
            <v>Assembly</v>
          </cell>
          <cell r="I4589">
            <v>22</v>
          </cell>
        </row>
        <row r="4590">
          <cell r="A4590" t="str">
            <v>B558316/A</v>
          </cell>
          <cell r="B4590" t="str">
            <v>RH2751M18</v>
          </cell>
          <cell r="C4590">
            <v>22</v>
          </cell>
          <cell r="D4590">
            <v>381.43</v>
          </cell>
          <cell r="E4590">
            <v>8391.4600000000009</v>
          </cell>
          <cell r="F4590" t="str">
            <v>A3-S01</v>
          </cell>
          <cell r="G4590" t="str">
            <v xml:space="preserve">Drawer front - Mặt hộc kéo </v>
          </cell>
          <cell r="H4590" t="str">
            <v>Wood US Poplar - Straight Edged, 1 COM - T25mm x W100mm Up x L1.8m Up</v>
          </cell>
          <cell r="I4590">
            <v>22</v>
          </cell>
        </row>
        <row r="4591">
          <cell r="A4591" t="str">
            <v>B558316/A</v>
          </cell>
          <cell r="B4591" t="str">
            <v>RH2751M18</v>
          </cell>
          <cell r="C4591">
            <v>22</v>
          </cell>
          <cell r="D4591">
            <v>381.43</v>
          </cell>
          <cell r="E4591">
            <v>8391.4600000000009</v>
          </cell>
          <cell r="F4591" t="str">
            <v>A3-S02</v>
          </cell>
          <cell r="G4591" t="str">
            <v xml:space="preserve">Drawer front - Mặt hộc kéo </v>
          </cell>
          <cell r="H4591" t="str">
            <v>Wood US Poplar - Straight Edged, 2 COM - T25mm x W100mm Up x L1.8m Up</v>
          </cell>
          <cell r="I4591">
            <v>22</v>
          </cell>
        </row>
        <row r="4592">
          <cell r="A4592" t="str">
            <v>B558316/A</v>
          </cell>
          <cell r="B4592" t="str">
            <v>RH2751M18</v>
          </cell>
          <cell r="C4592">
            <v>22</v>
          </cell>
          <cell r="D4592">
            <v>381.43</v>
          </cell>
          <cell r="E4592">
            <v>8391.4600000000009</v>
          </cell>
          <cell r="F4592" t="str">
            <v>A3-S03</v>
          </cell>
          <cell r="G4592" t="str">
            <v>Drawer side - Hông hộc kéo</v>
          </cell>
          <cell r="H4592" t="str">
            <v>Wood US Poplar - Straight Edged, 2 COM - T25mm x W100mm Up x L1.8m Up</v>
          </cell>
          <cell r="I4592">
            <v>44</v>
          </cell>
        </row>
        <row r="4593">
          <cell r="A4593" t="str">
            <v>B558316/A</v>
          </cell>
          <cell r="B4593" t="str">
            <v>RH2751M18</v>
          </cell>
          <cell r="C4593">
            <v>22</v>
          </cell>
          <cell r="D4593">
            <v>381.43</v>
          </cell>
          <cell r="E4593">
            <v>8391.4600000000009</v>
          </cell>
          <cell r="F4593" t="str">
            <v>A3-S04</v>
          </cell>
          <cell r="G4593" t="str">
            <v>Drawer back - Hậu hộc kéo</v>
          </cell>
          <cell r="H4593" t="str">
            <v>Wood US Poplar - Straight Edged, 2 COM - T38mm x W100mm Up x L1.8m Up</v>
          </cell>
          <cell r="I4593">
            <v>22</v>
          </cell>
        </row>
        <row r="4594">
          <cell r="A4594" t="str">
            <v>B558316/A</v>
          </cell>
          <cell r="B4594" t="str">
            <v>RH2751M18</v>
          </cell>
          <cell r="C4594">
            <v>22</v>
          </cell>
          <cell r="D4594">
            <v>381.43</v>
          </cell>
          <cell r="E4594">
            <v>8391.4600000000009</v>
          </cell>
          <cell r="F4594" t="str">
            <v>A3-S05</v>
          </cell>
          <cell r="G4594" t="str">
            <v>Drawer bottom  - Đáy hộc kéo</v>
          </cell>
          <cell r="H4594" t="str">
            <v>MDF - 06 x 1220 x 2440mm, Veneer Poplar 0.42mm + Veneer Engineering 0.3mm [CARB P2 Compliant]</v>
          </cell>
          <cell r="I4594">
            <v>22</v>
          </cell>
        </row>
        <row r="4595">
          <cell r="A4595" t="str">
            <v>B558316/A</v>
          </cell>
          <cell r="B4595" t="str">
            <v>RH2751M18</v>
          </cell>
          <cell r="C4595">
            <v>22</v>
          </cell>
          <cell r="D4595">
            <v>381.43</v>
          </cell>
          <cell r="E4595">
            <v>8391.4600000000009</v>
          </cell>
          <cell r="F4595" t="str">
            <v>A3-S06</v>
          </cell>
          <cell r="G4595" t="str">
            <v>Front moulding  - Chỉ tiền</v>
          </cell>
          <cell r="H4595" t="str">
            <v>Wood US Poplar - Straight Edged, 1 COM - T38mm x W100mm Up x L1.8m Up</v>
          </cell>
          <cell r="I4595">
            <v>44</v>
          </cell>
        </row>
        <row r="4596">
          <cell r="A4596" t="str">
            <v>B558316/A</v>
          </cell>
          <cell r="B4596" t="str">
            <v>RH2751M18</v>
          </cell>
          <cell r="C4596">
            <v>22</v>
          </cell>
          <cell r="D4596">
            <v>381.43</v>
          </cell>
          <cell r="E4596">
            <v>8391.4600000000009</v>
          </cell>
          <cell r="F4596" t="str">
            <v>A3-S07</v>
          </cell>
          <cell r="G4596" t="str">
            <v>Side moulding - Chỉ hông</v>
          </cell>
          <cell r="H4596" t="str">
            <v>Wood US Poplar - Straight Edged, 1 COM - T38mm x W100mm Up x L1.8m Up</v>
          </cell>
          <cell r="I4596">
            <v>44</v>
          </cell>
        </row>
        <row r="4597">
          <cell r="A4597" t="str">
            <v>B558316/A</v>
          </cell>
          <cell r="B4597" t="str">
            <v>RH2751M18</v>
          </cell>
          <cell r="C4597">
            <v>22</v>
          </cell>
          <cell r="D4597">
            <v>381.43</v>
          </cell>
          <cell r="E4597">
            <v>8391.4600000000009</v>
          </cell>
          <cell r="F4597" t="str">
            <v>A3-S09</v>
          </cell>
          <cell r="G4597" t="str">
            <v>Insert Wood - Gỗ chèn</v>
          </cell>
          <cell r="H4597" t="str">
            <v>Wood US Poplar - Straight Edged, 2 COM - T38mm x W100mm Up x L1.8m Up</v>
          </cell>
          <cell r="I4597">
            <v>44</v>
          </cell>
        </row>
        <row r="4598">
          <cell r="A4598" t="str">
            <v>B558316/A</v>
          </cell>
          <cell r="B4598" t="str">
            <v>RH2751M18</v>
          </cell>
          <cell r="C4598">
            <v>22</v>
          </cell>
          <cell r="D4598">
            <v>381.43</v>
          </cell>
          <cell r="E4598">
            <v>8391.4600000000009</v>
          </cell>
          <cell r="F4598" t="str">
            <v>P01</v>
          </cell>
          <cell r="G4598" t="str">
            <v>back rail - Đố hậu</v>
          </cell>
          <cell r="H4598" t="str">
            <v>Wood US Poplar - Straight Edged, 1 COM - T38mm x W100mm Up x L1.8m Up</v>
          </cell>
          <cell r="I4598">
            <v>22</v>
          </cell>
        </row>
        <row r="4599">
          <cell r="A4599" t="str">
            <v>B558316/A</v>
          </cell>
          <cell r="B4599" t="str">
            <v>RH2751M18</v>
          </cell>
          <cell r="C4599">
            <v>22</v>
          </cell>
          <cell r="D4599">
            <v>381.43</v>
          </cell>
          <cell r="E4599">
            <v>8391.4600000000009</v>
          </cell>
          <cell r="F4599" t="str">
            <v>P02</v>
          </cell>
          <cell r="G4599" t="str">
            <v>Bottom panel - Ván đáy</v>
          </cell>
          <cell r="H4599" t="str">
            <v>MDF Veneer</v>
          </cell>
          <cell r="I4599">
            <v>22</v>
          </cell>
        </row>
        <row r="4600">
          <cell r="A4600" t="str">
            <v>B558316/A</v>
          </cell>
          <cell r="B4600" t="str">
            <v>RH2751M18</v>
          </cell>
          <cell r="C4600">
            <v>22</v>
          </cell>
          <cell r="D4600">
            <v>381.43</v>
          </cell>
          <cell r="E4600">
            <v>8391.4600000000009</v>
          </cell>
          <cell r="F4600" t="str">
            <v>P03</v>
          </cell>
          <cell r="G4600" t="str">
            <v>Back top rail - Đố hậu nóc</v>
          </cell>
          <cell r="H4600" t="str">
            <v>Wood US Poplar - Straight Edged, 2 COM - T25mm x W100mm Up x L1.8m Up</v>
          </cell>
          <cell r="I4600">
            <v>22</v>
          </cell>
        </row>
        <row r="4601">
          <cell r="A4601" t="str">
            <v>B558232/A</v>
          </cell>
          <cell r="B4601" t="str">
            <v>RH2772M396</v>
          </cell>
          <cell r="C4601">
            <v>1</v>
          </cell>
          <cell r="D4601">
            <v>315</v>
          </cell>
          <cell r="E4601">
            <v>315</v>
          </cell>
          <cell r="F4601" t="str">
            <v>A1-S0</v>
          </cell>
          <cell r="G4601" t="str">
            <v>vaccumn veneer - cảo bich veneer</v>
          </cell>
          <cell r="H4601" t="str">
            <v>Pre-Assembly</v>
          </cell>
          <cell r="I4601">
            <v>1</v>
          </cell>
        </row>
        <row r="4602">
          <cell r="A4602" t="str">
            <v>B558232/A</v>
          </cell>
          <cell r="B4602" t="str">
            <v>RH2772M396</v>
          </cell>
          <cell r="C4602">
            <v>1</v>
          </cell>
          <cell r="D4602">
            <v>315</v>
          </cell>
          <cell r="E4602">
            <v>315</v>
          </cell>
          <cell r="F4602" t="str">
            <v>A1-S01</v>
          </cell>
          <cell r="G4602" t="str">
            <v xml:space="preserve">Drawer front 1 - Mặt hộc kéo </v>
          </cell>
          <cell r="H4602" t="str">
            <v>Wd+MDF+VN</v>
          </cell>
          <cell r="I4602">
            <v>1</v>
          </cell>
        </row>
        <row r="4603">
          <cell r="A4603" t="str">
            <v>B558232/A</v>
          </cell>
          <cell r="B4603" t="str">
            <v>RH2772M396</v>
          </cell>
          <cell r="C4603">
            <v>1</v>
          </cell>
          <cell r="D4603">
            <v>315</v>
          </cell>
          <cell r="E4603">
            <v>315</v>
          </cell>
          <cell r="F4603" t="str">
            <v>A1-S01-1</v>
          </cell>
          <cell r="G4603" t="str">
            <v>Vertical rail 1 - Đố đứng 1</v>
          </cell>
          <cell r="H4603" t="str">
            <v>MDF laminate</v>
          </cell>
          <cell r="I4603">
            <v>2</v>
          </cell>
        </row>
        <row r="4604">
          <cell r="A4604" t="str">
            <v>B558232/A</v>
          </cell>
          <cell r="B4604" t="str">
            <v>RH2772M396</v>
          </cell>
          <cell r="C4604">
            <v>1</v>
          </cell>
          <cell r="D4604">
            <v>315</v>
          </cell>
          <cell r="E4604">
            <v>315</v>
          </cell>
          <cell r="F4604" t="str">
            <v>A1-S01-2</v>
          </cell>
          <cell r="G4604" t="str">
            <v>MDF - MDF</v>
          </cell>
          <cell r="H4604" t="str">
            <v>MDF - 25 x 1830 x 2440mm [CARB P2 Compliant]</v>
          </cell>
          <cell r="I4604">
            <v>1</v>
          </cell>
        </row>
        <row r="4605">
          <cell r="A4605" t="str">
            <v>B558232/A</v>
          </cell>
          <cell r="B4605" t="str">
            <v>RH2772M396</v>
          </cell>
          <cell r="C4605">
            <v>1</v>
          </cell>
          <cell r="D4605">
            <v>315</v>
          </cell>
          <cell r="E4605">
            <v>315</v>
          </cell>
          <cell r="F4605" t="str">
            <v>A1-S01-3</v>
          </cell>
          <cell r="G4605" t="str">
            <v>Insert Wood - Gỗ chèn</v>
          </cell>
          <cell r="H4605" t="str">
            <v>Wood White Oak - Straight/Waving Edged, 2 COM - T25mm x W100mm Up x L1.5m Up</v>
          </cell>
          <cell r="I4605">
            <v>1</v>
          </cell>
        </row>
        <row r="4606">
          <cell r="A4606" t="str">
            <v>B558232/A</v>
          </cell>
          <cell r="B4606" t="str">
            <v>RH2772M396</v>
          </cell>
          <cell r="C4606">
            <v>1</v>
          </cell>
          <cell r="D4606">
            <v>315</v>
          </cell>
          <cell r="E4606">
            <v>315</v>
          </cell>
          <cell r="F4606" t="str">
            <v>A1-S02</v>
          </cell>
          <cell r="G4606" t="str">
            <v>Drawer side - Hông hộc kéo</v>
          </cell>
          <cell r="H4606" t="str">
            <v>MDF-N - 12 x 1220 x 2440mm, Veneer Ash Straigh Grain 0.45mm Both Faces [CARB P2 Compliant]</v>
          </cell>
          <cell r="I4606">
            <v>2</v>
          </cell>
        </row>
        <row r="4607">
          <cell r="A4607" t="str">
            <v>B558232/A</v>
          </cell>
          <cell r="B4607" t="str">
            <v>RH2772M396</v>
          </cell>
          <cell r="C4607">
            <v>1</v>
          </cell>
          <cell r="D4607">
            <v>315</v>
          </cell>
          <cell r="E4607">
            <v>315</v>
          </cell>
          <cell r="F4607" t="str">
            <v>A1-S03</v>
          </cell>
          <cell r="G4607" t="str">
            <v>Drawer back - Hậu hộc kéo</v>
          </cell>
          <cell r="H4607" t="str">
            <v>MDF-N - 12 x 1220 x 2440mm, Veneer Ash Straigh Grain 0.45mm Both Faces [CARB P2 Compliant]</v>
          </cell>
          <cell r="I4607">
            <v>1</v>
          </cell>
        </row>
        <row r="4608">
          <cell r="A4608" t="str">
            <v>B558232/A</v>
          </cell>
          <cell r="B4608" t="str">
            <v>RH2772M396</v>
          </cell>
          <cell r="C4608">
            <v>1</v>
          </cell>
          <cell r="D4608">
            <v>315</v>
          </cell>
          <cell r="E4608">
            <v>315</v>
          </cell>
          <cell r="F4608" t="str">
            <v>A1-S04</v>
          </cell>
          <cell r="G4608" t="str">
            <v>Drawer bottom  - Đáy hộc kéo</v>
          </cell>
          <cell r="H4608" t="str">
            <v>MDF Veneer</v>
          </cell>
          <cell r="I4608">
            <v>1</v>
          </cell>
        </row>
        <row r="4609">
          <cell r="A4609" t="str">
            <v>B558232/A</v>
          </cell>
          <cell r="B4609" t="str">
            <v>RH2772M396</v>
          </cell>
          <cell r="C4609">
            <v>1</v>
          </cell>
          <cell r="D4609">
            <v>315</v>
          </cell>
          <cell r="E4609">
            <v>315</v>
          </cell>
          <cell r="F4609" t="str">
            <v>A1-S05</v>
          </cell>
          <cell r="G4609" t="str">
            <v>Patching wood - Gỗ đắp</v>
          </cell>
          <cell r="H4609" t="str">
            <v>Standard Wood - ALDER/ASPEN/LENGA/US POPLAR, 2 COM - T38 W120mm+ L2m+</v>
          </cell>
          <cell r="I4609">
            <v>1</v>
          </cell>
        </row>
        <row r="4610">
          <cell r="A4610" t="str">
            <v>B558232/A</v>
          </cell>
          <cell r="B4610" t="str">
            <v>RH2772M396</v>
          </cell>
          <cell r="C4610">
            <v>1</v>
          </cell>
          <cell r="D4610">
            <v>315</v>
          </cell>
          <cell r="E4610">
            <v>315</v>
          </cell>
          <cell r="F4610" t="str">
            <v>A1-S06</v>
          </cell>
          <cell r="G4610" t="str">
            <v>Patching wood - Gỗ đắp</v>
          </cell>
          <cell r="H4610" t="str">
            <v>Beech off cut</v>
          </cell>
          <cell r="I4610">
            <v>2</v>
          </cell>
        </row>
        <row r="4611">
          <cell r="A4611" t="str">
            <v>B558232/A</v>
          </cell>
          <cell r="B4611" t="str">
            <v>RH2772M396</v>
          </cell>
          <cell r="C4611">
            <v>1</v>
          </cell>
          <cell r="D4611">
            <v>315</v>
          </cell>
          <cell r="E4611">
            <v>315</v>
          </cell>
          <cell r="F4611" t="str">
            <v>A2-S01</v>
          </cell>
          <cell r="G4611" t="str">
            <v>Bottom frame - Khung dưới</v>
          </cell>
          <cell r="H4611" t="str">
            <v>Pre-Assembly</v>
          </cell>
          <cell r="I4611">
            <v>1</v>
          </cell>
        </row>
        <row r="4612">
          <cell r="A4612" t="str">
            <v>B558232/A</v>
          </cell>
          <cell r="B4612" t="str">
            <v>RH2772M396</v>
          </cell>
          <cell r="C4612">
            <v>1</v>
          </cell>
          <cell r="D4612">
            <v>315</v>
          </cell>
          <cell r="E4612">
            <v>315</v>
          </cell>
          <cell r="F4612" t="str">
            <v>A2-S01-1</v>
          </cell>
          <cell r="G4612" t="str">
            <v>Front Bottom Rail  - Đố đáy trước</v>
          </cell>
          <cell r="H4612" t="str">
            <v>Wood laminate</v>
          </cell>
          <cell r="I4612">
            <v>1</v>
          </cell>
        </row>
        <row r="4613">
          <cell r="A4613" t="str">
            <v>B558232/A</v>
          </cell>
          <cell r="B4613" t="str">
            <v>RH2772M396</v>
          </cell>
          <cell r="C4613">
            <v>1</v>
          </cell>
          <cell r="D4613">
            <v>315</v>
          </cell>
          <cell r="E4613">
            <v>315</v>
          </cell>
          <cell r="F4613" t="str">
            <v>A2-S01-2</v>
          </cell>
          <cell r="G4613" t="str">
            <v>Side bottom rail - Đố hông dưới</v>
          </cell>
          <cell r="H4613" t="str">
            <v>Wood laminate</v>
          </cell>
          <cell r="I4613">
            <v>2</v>
          </cell>
        </row>
        <row r="4614">
          <cell r="A4614" t="str">
            <v>B558232/A</v>
          </cell>
          <cell r="B4614" t="str">
            <v>RH2772M396</v>
          </cell>
          <cell r="C4614">
            <v>1</v>
          </cell>
          <cell r="D4614">
            <v>315</v>
          </cell>
          <cell r="E4614">
            <v>315</v>
          </cell>
          <cell r="F4614" t="str">
            <v>A2-S01-3</v>
          </cell>
          <cell r="G4614" t="str">
            <v>Back bottom rail - Đố hậu đáy</v>
          </cell>
          <cell r="H4614" t="str">
            <v>Wood laminate</v>
          </cell>
          <cell r="I4614">
            <v>1</v>
          </cell>
        </row>
        <row r="4615">
          <cell r="A4615" t="str">
            <v>B558232/A</v>
          </cell>
          <cell r="B4615" t="str">
            <v>RH2772M396</v>
          </cell>
          <cell r="C4615">
            <v>1</v>
          </cell>
          <cell r="D4615">
            <v>315</v>
          </cell>
          <cell r="E4615">
            <v>315</v>
          </cell>
          <cell r="F4615" t="str">
            <v>A2-S03</v>
          </cell>
          <cell r="G4615" t="str">
            <v>Bottom panel - Ván đáy</v>
          </cell>
          <cell r="H4615" t="str">
            <v>MDF Veneer</v>
          </cell>
          <cell r="I4615">
            <v>1</v>
          </cell>
        </row>
        <row r="4616">
          <cell r="A4616" t="str">
            <v>B558232/A</v>
          </cell>
          <cell r="B4616" t="str">
            <v>RH2772M396</v>
          </cell>
          <cell r="C4616">
            <v>1</v>
          </cell>
          <cell r="D4616">
            <v>315</v>
          </cell>
          <cell r="E4616">
            <v>315</v>
          </cell>
          <cell r="F4616" t="str">
            <v>P01</v>
          </cell>
          <cell r="G4616" t="str">
            <v xml:space="preserve">Top panel  - Ván nóc </v>
          </cell>
          <cell r="H4616" t="str">
            <v>MDF Veneer</v>
          </cell>
          <cell r="I4616">
            <v>1</v>
          </cell>
        </row>
        <row r="4617">
          <cell r="A4617" t="str">
            <v>B558232/A</v>
          </cell>
          <cell r="B4617" t="str">
            <v>RH2772M396</v>
          </cell>
          <cell r="C4617">
            <v>1</v>
          </cell>
          <cell r="D4617">
            <v>315</v>
          </cell>
          <cell r="E4617">
            <v>315</v>
          </cell>
          <cell r="F4617" t="str">
            <v>P02</v>
          </cell>
          <cell r="G4617" t="str">
            <v>vaccumn veneer - cảo bich veneer</v>
          </cell>
          <cell r="H4617" t="str">
            <v>Wd+VN</v>
          </cell>
          <cell r="I4617">
            <v>2</v>
          </cell>
        </row>
        <row r="4618">
          <cell r="A4618" t="str">
            <v>B558232/A</v>
          </cell>
          <cell r="B4618" t="str">
            <v>RH2772M396</v>
          </cell>
          <cell r="C4618">
            <v>1</v>
          </cell>
          <cell r="D4618">
            <v>315</v>
          </cell>
          <cell r="E4618">
            <v>315</v>
          </cell>
          <cell r="F4618" t="str">
            <v>P02-1</v>
          </cell>
          <cell r="G4618" t="str">
            <v>MDF - MDF</v>
          </cell>
          <cell r="H4618" t="str">
            <v>MDF laminate</v>
          </cell>
          <cell r="I4618">
            <v>2</v>
          </cell>
        </row>
        <row r="4619">
          <cell r="A4619" t="str">
            <v>B558232/A</v>
          </cell>
          <cell r="B4619" t="str">
            <v>RH2772M396</v>
          </cell>
          <cell r="C4619">
            <v>1</v>
          </cell>
          <cell r="D4619">
            <v>315</v>
          </cell>
          <cell r="E4619">
            <v>315</v>
          </cell>
          <cell r="F4619" t="str">
            <v>P02-2</v>
          </cell>
          <cell r="G4619" t="str">
            <v>Insert Wood - Gỗ chèn</v>
          </cell>
          <cell r="H4619" t="str">
            <v>Wood EU Beech - Straight/Waving Edged ABC, 2 COM - T50mm x W100mm up x L1.8m up</v>
          </cell>
          <cell r="I4619">
            <v>2</v>
          </cell>
        </row>
        <row r="4620">
          <cell r="A4620" t="str">
            <v>B558232/A</v>
          </cell>
          <cell r="B4620" t="str">
            <v>RH2772M396</v>
          </cell>
          <cell r="C4620">
            <v>1</v>
          </cell>
          <cell r="D4620">
            <v>315</v>
          </cell>
          <cell r="E4620">
            <v>315</v>
          </cell>
          <cell r="F4620" t="str">
            <v>P02-3</v>
          </cell>
          <cell r="G4620" t="str">
            <v>Insert Wood - Gỗ chèn</v>
          </cell>
          <cell r="H4620" t="str">
            <v>Wood EU Beech - Straight/Waving Edged ABC, 2 COM - T50mm x W100mm up x L1.8m up</v>
          </cell>
          <cell r="I4620">
            <v>2</v>
          </cell>
        </row>
        <row r="4621">
          <cell r="A4621" t="str">
            <v>B558232/A</v>
          </cell>
          <cell r="B4621" t="str">
            <v>RH2772M396</v>
          </cell>
          <cell r="C4621">
            <v>1</v>
          </cell>
          <cell r="D4621">
            <v>315</v>
          </cell>
          <cell r="E4621">
            <v>315</v>
          </cell>
          <cell r="F4621" t="str">
            <v>P04</v>
          </cell>
          <cell r="G4621" t="str">
            <v>Top rail - Đố nóc</v>
          </cell>
          <cell r="H4621" t="str">
            <v>Wood EU Beech - Straight/Waving Edged ABC, 2 COM - T26mm x W100mm up x L1.8m up</v>
          </cell>
          <cell r="I4621">
            <v>1</v>
          </cell>
        </row>
        <row r="4622">
          <cell r="A4622" t="str">
            <v>B558232/A</v>
          </cell>
          <cell r="B4622" t="str">
            <v>RH2772M396</v>
          </cell>
          <cell r="C4622">
            <v>1</v>
          </cell>
          <cell r="D4622">
            <v>315</v>
          </cell>
          <cell r="E4622">
            <v>315</v>
          </cell>
          <cell r="F4622" t="str">
            <v>P05</v>
          </cell>
          <cell r="G4622" t="str">
            <v>back rail - Đố hậu</v>
          </cell>
          <cell r="H4622" t="str">
            <v>Standard Wood - ALDER/ASPEN/LENGA/US POPLAR, 2 COM - T25 W120mm+ L2m+</v>
          </cell>
          <cell r="I4622">
            <v>1</v>
          </cell>
        </row>
        <row r="4623">
          <cell r="A4623" t="str">
            <v>B558232/A</v>
          </cell>
          <cell r="B4623" t="str">
            <v>RH2772M396</v>
          </cell>
          <cell r="C4623">
            <v>1</v>
          </cell>
          <cell r="D4623">
            <v>315</v>
          </cell>
          <cell r="E4623">
            <v>315</v>
          </cell>
          <cell r="F4623" t="str">
            <v>P06</v>
          </cell>
          <cell r="G4623" t="str">
            <v>Back panel - Ván hậu</v>
          </cell>
          <cell r="H4623" t="str">
            <v>MDF Veneer</v>
          </cell>
          <cell r="I4623">
            <v>1</v>
          </cell>
        </row>
        <row r="4624">
          <cell r="A4624" t="str">
            <v>B558232/A</v>
          </cell>
          <cell r="B4624" t="str">
            <v>RH2772M396</v>
          </cell>
          <cell r="C4624">
            <v>1</v>
          </cell>
          <cell r="D4624">
            <v>315</v>
          </cell>
          <cell r="E4624">
            <v>315</v>
          </cell>
          <cell r="F4624" t="str">
            <v>P07</v>
          </cell>
          <cell r="G4624" t="str">
            <v>Drawer stop - Dừng hộc</v>
          </cell>
          <cell r="H4624" t="str">
            <v>Poplar off cut</v>
          </cell>
          <cell r="I4624">
            <v>2</v>
          </cell>
        </row>
        <row r="4625">
          <cell r="A4625" t="str">
            <v>B558232/A</v>
          </cell>
          <cell r="B4625" t="str">
            <v>RH2772M396</v>
          </cell>
          <cell r="C4625">
            <v>1</v>
          </cell>
          <cell r="D4625">
            <v>315</v>
          </cell>
          <cell r="E4625">
            <v>315</v>
          </cell>
          <cell r="F4625" t="str">
            <v>P08</v>
          </cell>
          <cell r="G4625" t="str">
            <v>support Top - đỡ nóc</v>
          </cell>
          <cell r="H4625" t="str">
            <v>Beech off cut</v>
          </cell>
          <cell r="I4625">
            <v>2</v>
          </cell>
        </row>
        <row r="4626">
          <cell r="A4626" t="str">
            <v>B558232/A</v>
          </cell>
          <cell r="B4626" t="str">
            <v>RH2772M396</v>
          </cell>
          <cell r="C4626">
            <v>1</v>
          </cell>
          <cell r="D4626">
            <v>315</v>
          </cell>
          <cell r="E4626">
            <v>315</v>
          </cell>
          <cell r="F4626" t="str">
            <v>P09</v>
          </cell>
          <cell r="G4626" t="str">
            <v>Center panel - Ván giữa</v>
          </cell>
          <cell r="H4626" t="str">
            <v>MDF Veneer</v>
          </cell>
          <cell r="I4626">
            <v>1</v>
          </cell>
        </row>
        <row r="4627">
          <cell r="A4627" t="str">
            <v>B558234/A</v>
          </cell>
          <cell r="B4627" t="str">
            <v>RH2772M398</v>
          </cell>
          <cell r="C4627">
            <v>10</v>
          </cell>
          <cell r="D4627">
            <v>315</v>
          </cell>
          <cell r="E4627">
            <v>3150</v>
          </cell>
          <cell r="F4627" t="str">
            <v>A1-S0</v>
          </cell>
          <cell r="G4627" t="str">
            <v>vaccumn veneer - cảo bich veneer</v>
          </cell>
          <cell r="H4627" t="str">
            <v>Pre-Assembly</v>
          </cell>
          <cell r="I4627">
            <v>10</v>
          </cell>
        </row>
        <row r="4628">
          <cell r="A4628" t="str">
            <v>B558234/A</v>
          </cell>
          <cell r="B4628" t="str">
            <v>RH2772M398</v>
          </cell>
          <cell r="C4628">
            <v>10</v>
          </cell>
          <cell r="D4628">
            <v>315</v>
          </cell>
          <cell r="E4628">
            <v>3150</v>
          </cell>
          <cell r="F4628" t="str">
            <v>A1-S01</v>
          </cell>
          <cell r="G4628" t="str">
            <v xml:space="preserve">Drawer front 1 - Mặt hộc kéo </v>
          </cell>
          <cell r="H4628" t="str">
            <v>Wd+MDF+VN</v>
          </cell>
          <cell r="I4628">
            <v>10</v>
          </cell>
        </row>
        <row r="4629">
          <cell r="A4629" t="str">
            <v>B558234/A</v>
          </cell>
          <cell r="B4629" t="str">
            <v>RH2772M398</v>
          </cell>
          <cell r="C4629">
            <v>10</v>
          </cell>
          <cell r="D4629">
            <v>315</v>
          </cell>
          <cell r="E4629">
            <v>3150</v>
          </cell>
          <cell r="F4629" t="str">
            <v>A1-S01-1</v>
          </cell>
          <cell r="G4629" t="str">
            <v>Vertical rail 1 - Đố đứng 1</v>
          </cell>
          <cell r="H4629" t="str">
            <v>MDF laminate</v>
          </cell>
          <cell r="I4629">
            <v>20</v>
          </cell>
        </row>
        <row r="4630">
          <cell r="A4630" t="str">
            <v>B558234/A</v>
          </cell>
          <cell r="B4630" t="str">
            <v>RH2772M398</v>
          </cell>
          <cell r="C4630">
            <v>10</v>
          </cell>
          <cell r="D4630">
            <v>315</v>
          </cell>
          <cell r="E4630">
            <v>3150</v>
          </cell>
          <cell r="F4630" t="str">
            <v>A1-S01-2</v>
          </cell>
          <cell r="G4630" t="str">
            <v>MDF - MDF</v>
          </cell>
          <cell r="H4630" t="str">
            <v>MDF - 25 x 1830 x 2440mm [CARB P2 Compliant]</v>
          </cell>
          <cell r="I4630">
            <v>10</v>
          </cell>
        </row>
        <row r="4631">
          <cell r="A4631" t="str">
            <v>B558234/A</v>
          </cell>
          <cell r="B4631" t="str">
            <v>RH2772M398</v>
          </cell>
          <cell r="C4631">
            <v>10</v>
          </cell>
          <cell r="D4631">
            <v>315</v>
          </cell>
          <cell r="E4631">
            <v>3150</v>
          </cell>
          <cell r="F4631" t="str">
            <v>A1-S01-3</v>
          </cell>
          <cell r="G4631" t="str">
            <v>Insert Wood - Gỗ chèn</v>
          </cell>
          <cell r="H4631" t="str">
            <v>Wood White Oak - Straight/Waving Edged, 2 COM - T25mm x W100mm Up x L1.5m Up</v>
          </cell>
          <cell r="I4631">
            <v>10</v>
          </cell>
        </row>
        <row r="4632">
          <cell r="A4632" t="str">
            <v>B558234/A</v>
          </cell>
          <cell r="B4632" t="str">
            <v>RH2772M398</v>
          </cell>
          <cell r="C4632">
            <v>10</v>
          </cell>
          <cell r="D4632">
            <v>315</v>
          </cell>
          <cell r="E4632">
            <v>3150</v>
          </cell>
          <cell r="F4632" t="str">
            <v>A1-S02</v>
          </cell>
          <cell r="G4632" t="str">
            <v>Drawer side - Hông hộc kéo</v>
          </cell>
          <cell r="H4632" t="str">
            <v>MDF-N - 12 x 1220 x 2440mm, Veneer Ash Straigh Grain 0.45mm Both Faces [CARB P2 Compliant]</v>
          </cell>
          <cell r="I4632">
            <v>20</v>
          </cell>
        </row>
        <row r="4633">
          <cell r="A4633" t="str">
            <v>B558234/A</v>
          </cell>
          <cell r="B4633" t="str">
            <v>RH2772M398</v>
          </cell>
          <cell r="C4633">
            <v>10</v>
          </cell>
          <cell r="D4633">
            <v>315</v>
          </cell>
          <cell r="E4633">
            <v>3150</v>
          </cell>
          <cell r="F4633" t="str">
            <v>A1-S03</v>
          </cell>
          <cell r="G4633" t="str">
            <v>Drawer back - Hậu hộc kéo</v>
          </cell>
          <cell r="H4633" t="str">
            <v>MDF-N - 12 x 1220 x 2440mm, Veneer Ash Straigh Grain 0.45mm Both Faces [CARB P2 Compliant]</v>
          </cell>
          <cell r="I4633">
            <v>10</v>
          </cell>
        </row>
        <row r="4634">
          <cell r="A4634" t="str">
            <v>B558234/A</v>
          </cell>
          <cell r="B4634" t="str">
            <v>RH2772M398</v>
          </cell>
          <cell r="C4634">
            <v>10</v>
          </cell>
          <cell r="D4634">
            <v>315</v>
          </cell>
          <cell r="E4634">
            <v>3150</v>
          </cell>
          <cell r="F4634" t="str">
            <v>A1-S04</v>
          </cell>
          <cell r="G4634" t="str">
            <v>Drawer bottom  - Đáy hộc kéo</v>
          </cell>
          <cell r="H4634" t="str">
            <v>MDF Veneer</v>
          </cell>
          <cell r="I4634">
            <v>10</v>
          </cell>
        </row>
        <row r="4635">
          <cell r="A4635" t="str">
            <v>B558234/A</v>
          </cell>
          <cell r="B4635" t="str">
            <v>RH2772M398</v>
          </cell>
          <cell r="C4635">
            <v>10</v>
          </cell>
          <cell r="D4635">
            <v>315</v>
          </cell>
          <cell r="E4635">
            <v>3150</v>
          </cell>
          <cell r="F4635" t="str">
            <v>A1-S05</v>
          </cell>
          <cell r="G4635" t="str">
            <v>Patching wood - Gỗ đắp</v>
          </cell>
          <cell r="H4635" t="str">
            <v>Standard Wood - ALDER/ASPEN/LENGA/US POPLAR, 2 COM - T38 W120mm+ L2m+</v>
          </cell>
          <cell r="I4635">
            <v>10</v>
          </cell>
        </row>
        <row r="4636">
          <cell r="A4636" t="str">
            <v>B558234/A</v>
          </cell>
          <cell r="B4636" t="str">
            <v>RH2772M398</v>
          </cell>
          <cell r="C4636">
            <v>10</v>
          </cell>
          <cell r="D4636">
            <v>315</v>
          </cell>
          <cell r="E4636">
            <v>3150</v>
          </cell>
          <cell r="F4636" t="str">
            <v>A1-S06</v>
          </cell>
          <cell r="G4636" t="str">
            <v>Patching wood - Gỗ đắp</v>
          </cell>
          <cell r="H4636" t="str">
            <v>Beech off cut</v>
          </cell>
          <cell r="I4636">
            <v>20</v>
          </cell>
        </row>
        <row r="4637">
          <cell r="A4637" t="str">
            <v>B558234/A</v>
          </cell>
          <cell r="B4637" t="str">
            <v>RH2772M398</v>
          </cell>
          <cell r="C4637">
            <v>10</v>
          </cell>
          <cell r="D4637">
            <v>315</v>
          </cell>
          <cell r="E4637">
            <v>3150</v>
          </cell>
          <cell r="F4637" t="str">
            <v>A2-S01</v>
          </cell>
          <cell r="G4637" t="str">
            <v>Bottom frame - Khung dưới</v>
          </cell>
          <cell r="H4637" t="str">
            <v>Pre-Assembly</v>
          </cell>
          <cell r="I4637">
            <v>10</v>
          </cell>
        </row>
        <row r="4638">
          <cell r="A4638" t="str">
            <v>B558234/A</v>
          </cell>
          <cell r="B4638" t="str">
            <v>RH2772M398</v>
          </cell>
          <cell r="C4638">
            <v>10</v>
          </cell>
          <cell r="D4638">
            <v>315</v>
          </cell>
          <cell r="E4638">
            <v>3150</v>
          </cell>
          <cell r="F4638" t="str">
            <v>A2-S01-1</v>
          </cell>
          <cell r="G4638" t="str">
            <v>Front Bottom Rail  - Đố đáy trước</v>
          </cell>
          <cell r="H4638" t="str">
            <v>Wood laminate</v>
          </cell>
          <cell r="I4638">
            <v>10</v>
          </cell>
        </row>
        <row r="4639">
          <cell r="A4639" t="str">
            <v>B558234/A</v>
          </cell>
          <cell r="B4639" t="str">
            <v>RH2772M398</v>
          </cell>
          <cell r="C4639">
            <v>10</v>
          </cell>
          <cell r="D4639">
            <v>315</v>
          </cell>
          <cell r="E4639">
            <v>3150</v>
          </cell>
          <cell r="F4639" t="str">
            <v>A2-S01-2</v>
          </cell>
          <cell r="G4639" t="str">
            <v>Side bottom rail - Đố hông dưới</v>
          </cell>
          <cell r="H4639" t="str">
            <v>Wood laminate</v>
          </cell>
          <cell r="I4639">
            <v>20</v>
          </cell>
        </row>
        <row r="4640">
          <cell r="A4640" t="str">
            <v>B558234/A</v>
          </cell>
          <cell r="B4640" t="str">
            <v>RH2772M398</v>
          </cell>
          <cell r="C4640">
            <v>10</v>
          </cell>
          <cell r="D4640">
            <v>315</v>
          </cell>
          <cell r="E4640">
            <v>3150</v>
          </cell>
          <cell r="F4640" t="str">
            <v>A2-S01-3</v>
          </cell>
          <cell r="G4640" t="str">
            <v>Back bottom rail - Đố hậu đáy</v>
          </cell>
          <cell r="H4640" t="str">
            <v>Wood laminate</v>
          </cell>
          <cell r="I4640">
            <v>10</v>
          </cell>
        </row>
        <row r="4641">
          <cell r="A4641" t="str">
            <v>B558234/A</v>
          </cell>
          <cell r="B4641" t="str">
            <v>RH2772M398</v>
          </cell>
          <cell r="C4641">
            <v>10</v>
          </cell>
          <cell r="D4641">
            <v>315</v>
          </cell>
          <cell r="E4641">
            <v>3150</v>
          </cell>
          <cell r="F4641" t="str">
            <v>A2-S03</v>
          </cell>
          <cell r="G4641" t="str">
            <v>Bottom panel - Ván đáy</v>
          </cell>
          <cell r="H4641" t="str">
            <v>MDF Veneer</v>
          </cell>
          <cell r="I4641">
            <v>10</v>
          </cell>
        </row>
        <row r="4642">
          <cell r="A4642" t="str">
            <v>B558234/A</v>
          </cell>
          <cell r="B4642" t="str">
            <v>RH2772M398</v>
          </cell>
          <cell r="C4642">
            <v>10</v>
          </cell>
          <cell r="D4642">
            <v>315</v>
          </cell>
          <cell r="E4642">
            <v>3150</v>
          </cell>
          <cell r="F4642" t="str">
            <v>P01</v>
          </cell>
          <cell r="G4642" t="str">
            <v xml:space="preserve">Top panel  - Ván nóc </v>
          </cell>
          <cell r="H4642" t="str">
            <v>MDF Veneer</v>
          </cell>
          <cell r="I4642">
            <v>10</v>
          </cell>
        </row>
        <row r="4643">
          <cell r="A4643" t="str">
            <v>B558234/A</v>
          </cell>
          <cell r="B4643" t="str">
            <v>RH2772M398</v>
          </cell>
          <cell r="C4643">
            <v>10</v>
          </cell>
          <cell r="D4643">
            <v>315</v>
          </cell>
          <cell r="E4643">
            <v>3150</v>
          </cell>
          <cell r="F4643" t="str">
            <v>P02</v>
          </cell>
          <cell r="G4643" t="str">
            <v>vaccumn veneer - cảo bich veneer</v>
          </cell>
          <cell r="H4643" t="str">
            <v>Wd+VN</v>
          </cell>
          <cell r="I4643">
            <v>20</v>
          </cell>
        </row>
        <row r="4644">
          <cell r="A4644" t="str">
            <v>B558234/A</v>
          </cell>
          <cell r="B4644" t="str">
            <v>RH2772M398</v>
          </cell>
          <cell r="C4644">
            <v>10</v>
          </cell>
          <cell r="D4644">
            <v>315</v>
          </cell>
          <cell r="E4644">
            <v>3150</v>
          </cell>
          <cell r="F4644" t="str">
            <v>P02-1</v>
          </cell>
          <cell r="G4644" t="str">
            <v>MDF - MDF</v>
          </cell>
          <cell r="H4644" t="str">
            <v>MDF laminate</v>
          </cell>
          <cell r="I4644">
            <v>20</v>
          </cell>
        </row>
        <row r="4645">
          <cell r="A4645" t="str">
            <v>B558234/A</v>
          </cell>
          <cell r="B4645" t="str">
            <v>RH2772M398</v>
          </cell>
          <cell r="C4645">
            <v>10</v>
          </cell>
          <cell r="D4645">
            <v>315</v>
          </cell>
          <cell r="E4645">
            <v>3150</v>
          </cell>
          <cell r="F4645" t="str">
            <v>P02-2</v>
          </cell>
          <cell r="G4645" t="str">
            <v>Insert Wood - Gỗ chèn</v>
          </cell>
          <cell r="H4645" t="str">
            <v>Wood EU Beech - Straight/Waving Edged ABC, 2 COM - T50mm x W100mm up x L1.8m up</v>
          </cell>
          <cell r="I4645">
            <v>20</v>
          </cell>
        </row>
        <row r="4646">
          <cell r="A4646" t="str">
            <v>B558234/A</v>
          </cell>
          <cell r="B4646" t="str">
            <v>RH2772M398</v>
          </cell>
          <cell r="C4646">
            <v>10</v>
          </cell>
          <cell r="D4646">
            <v>315</v>
          </cell>
          <cell r="E4646">
            <v>3150</v>
          </cell>
          <cell r="F4646" t="str">
            <v>P02-3</v>
          </cell>
          <cell r="G4646" t="str">
            <v>Insert Wood - Gỗ chèn</v>
          </cell>
          <cell r="H4646" t="str">
            <v>Wood EU Beech - Straight/Waving Edged ABC, 2 COM - T50mm x W100mm up x L1.8m up</v>
          </cell>
          <cell r="I4646">
            <v>20</v>
          </cell>
        </row>
        <row r="4647">
          <cell r="A4647" t="str">
            <v>B558234/A</v>
          </cell>
          <cell r="B4647" t="str">
            <v>RH2772M398</v>
          </cell>
          <cell r="C4647">
            <v>10</v>
          </cell>
          <cell r="D4647">
            <v>315</v>
          </cell>
          <cell r="E4647">
            <v>3150</v>
          </cell>
          <cell r="F4647" t="str">
            <v>P04</v>
          </cell>
          <cell r="G4647" t="str">
            <v>Top rail - Đố nóc</v>
          </cell>
          <cell r="H4647" t="str">
            <v>Wood EU Beech - Straight/Waving Edged ABC, 2 COM - T26mm x W100mm up x L1.8m up</v>
          </cell>
          <cell r="I4647">
            <v>10</v>
          </cell>
        </row>
        <row r="4648">
          <cell r="A4648" t="str">
            <v>B558234/A</v>
          </cell>
          <cell r="B4648" t="str">
            <v>RH2772M398</v>
          </cell>
          <cell r="C4648">
            <v>10</v>
          </cell>
          <cell r="D4648">
            <v>315</v>
          </cell>
          <cell r="E4648">
            <v>3150</v>
          </cell>
          <cell r="F4648" t="str">
            <v>P05</v>
          </cell>
          <cell r="G4648" t="str">
            <v>back rail - Đố hậu</v>
          </cell>
          <cell r="H4648" t="str">
            <v>Standard Wood - ALDER/ASPEN/LENGA/US POPLAR, 2 COM - T25 W120mm+ L2m+</v>
          </cell>
          <cell r="I4648">
            <v>10</v>
          </cell>
        </row>
        <row r="4649">
          <cell r="A4649" t="str">
            <v>B558234/A</v>
          </cell>
          <cell r="B4649" t="str">
            <v>RH2772M398</v>
          </cell>
          <cell r="C4649">
            <v>10</v>
          </cell>
          <cell r="D4649">
            <v>315</v>
          </cell>
          <cell r="E4649">
            <v>3150</v>
          </cell>
          <cell r="F4649" t="str">
            <v>P06</v>
          </cell>
          <cell r="G4649" t="str">
            <v>Back panel - Ván hậu</v>
          </cell>
          <cell r="H4649" t="str">
            <v>MDF Veneer</v>
          </cell>
          <cell r="I4649">
            <v>10</v>
          </cell>
        </row>
        <row r="4650">
          <cell r="A4650" t="str">
            <v>B558234/A</v>
          </cell>
          <cell r="B4650" t="str">
            <v>RH2772M398</v>
          </cell>
          <cell r="C4650">
            <v>10</v>
          </cell>
          <cell r="D4650">
            <v>315</v>
          </cell>
          <cell r="E4650">
            <v>3150</v>
          </cell>
          <cell r="F4650" t="str">
            <v>P07</v>
          </cell>
          <cell r="G4650" t="str">
            <v>Drawer stop - Dừng hộc</v>
          </cell>
          <cell r="H4650" t="str">
            <v>Poplar off cut</v>
          </cell>
          <cell r="I4650">
            <v>20</v>
          </cell>
        </row>
        <row r="4651">
          <cell r="A4651" t="str">
            <v>B558234/A</v>
          </cell>
          <cell r="B4651" t="str">
            <v>RH2772M398</v>
          </cell>
          <cell r="C4651">
            <v>10</v>
          </cell>
          <cell r="D4651">
            <v>315</v>
          </cell>
          <cell r="E4651">
            <v>3150</v>
          </cell>
          <cell r="F4651" t="str">
            <v>P08</v>
          </cell>
          <cell r="G4651" t="str">
            <v>support Top - đỡ nóc</v>
          </cell>
          <cell r="H4651" t="str">
            <v>Beech off cut</v>
          </cell>
          <cell r="I4651">
            <v>20</v>
          </cell>
        </row>
        <row r="4652">
          <cell r="A4652" t="str">
            <v>B558234/A</v>
          </cell>
          <cell r="B4652" t="str">
            <v>RH2772M398</v>
          </cell>
          <cell r="C4652">
            <v>10</v>
          </cell>
          <cell r="D4652">
            <v>315</v>
          </cell>
          <cell r="E4652">
            <v>3150</v>
          </cell>
          <cell r="F4652" t="str">
            <v>P09</v>
          </cell>
          <cell r="G4652" t="str">
            <v>Center panel - Ván giữa</v>
          </cell>
          <cell r="H4652" t="str">
            <v>MDF Veneer</v>
          </cell>
          <cell r="I4652">
            <v>10</v>
          </cell>
        </row>
        <row r="4653">
          <cell r="A4653" t="str">
            <v>B558236/A</v>
          </cell>
          <cell r="B4653" t="str">
            <v>RH2772M410</v>
          </cell>
          <cell r="C4653">
            <v>14</v>
          </cell>
          <cell r="D4653">
            <v>315</v>
          </cell>
          <cell r="E4653">
            <v>4410</v>
          </cell>
          <cell r="F4653" t="str">
            <v>A1-S0</v>
          </cell>
          <cell r="G4653" t="str">
            <v>vaccumn veneer - cảo bich veneer</v>
          </cell>
          <cell r="H4653" t="str">
            <v>Pre-Assembly</v>
          </cell>
          <cell r="I4653">
            <v>14</v>
          </cell>
        </row>
        <row r="4654">
          <cell r="A4654" t="str">
            <v>B558236/A</v>
          </cell>
          <cell r="B4654" t="str">
            <v>RH2772M410</v>
          </cell>
          <cell r="C4654">
            <v>14</v>
          </cell>
          <cell r="D4654">
            <v>315</v>
          </cell>
          <cell r="E4654">
            <v>4410</v>
          </cell>
          <cell r="F4654" t="str">
            <v>A1-S01</v>
          </cell>
          <cell r="G4654" t="str">
            <v xml:space="preserve">Drawer front 1 - Mặt hộc kéo </v>
          </cell>
          <cell r="H4654" t="str">
            <v>Wd+MDF+VN</v>
          </cell>
          <cell r="I4654">
            <v>14</v>
          </cell>
        </row>
        <row r="4655">
          <cell r="A4655" t="str">
            <v>B558236/A</v>
          </cell>
          <cell r="B4655" t="str">
            <v>RH2772M410</v>
          </cell>
          <cell r="C4655">
            <v>14</v>
          </cell>
          <cell r="D4655">
            <v>315</v>
          </cell>
          <cell r="E4655">
            <v>4410</v>
          </cell>
          <cell r="F4655" t="str">
            <v>A1-S01-1</v>
          </cell>
          <cell r="G4655" t="str">
            <v>Vertical rail 1 - Đố đứng 1</v>
          </cell>
          <cell r="H4655" t="str">
            <v>MDF laminate</v>
          </cell>
          <cell r="I4655">
            <v>28</v>
          </cell>
        </row>
        <row r="4656">
          <cell r="A4656" t="str">
            <v>B558236/A</v>
          </cell>
          <cell r="B4656" t="str">
            <v>RH2772M410</v>
          </cell>
          <cell r="C4656">
            <v>14</v>
          </cell>
          <cell r="D4656">
            <v>315</v>
          </cell>
          <cell r="E4656">
            <v>4410</v>
          </cell>
          <cell r="F4656" t="str">
            <v>A1-S01-2</v>
          </cell>
          <cell r="G4656" t="str">
            <v>MDF - MDF</v>
          </cell>
          <cell r="H4656" t="str">
            <v>MDF - 25 x 1830 x 2440mm [CARB P2 Compliant]</v>
          </cell>
          <cell r="I4656">
            <v>14</v>
          </cell>
        </row>
        <row r="4657">
          <cell r="A4657" t="str">
            <v>B558236/A</v>
          </cell>
          <cell r="B4657" t="str">
            <v>RH2772M410</v>
          </cell>
          <cell r="C4657">
            <v>14</v>
          </cell>
          <cell r="D4657">
            <v>315</v>
          </cell>
          <cell r="E4657">
            <v>4410</v>
          </cell>
          <cell r="F4657" t="str">
            <v>A1-S01-3</v>
          </cell>
          <cell r="G4657" t="str">
            <v>Insert Wood - Gỗ chèn</v>
          </cell>
          <cell r="H4657" t="str">
            <v>Wood White Oak - Straight/Waving Edged, 2 COM - T25mm x W100mm Up x L1.5m Up</v>
          </cell>
          <cell r="I4657">
            <v>14</v>
          </cell>
        </row>
        <row r="4658">
          <cell r="A4658" t="str">
            <v>B558236/A</v>
          </cell>
          <cell r="B4658" t="str">
            <v>RH2772M410</v>
          </cell>
          <cell r="C4658">
            <v>14</v>
          </cell>
          <cell r="D4658">
            <v>315</v>
          </cell>
          <cell r="E4658">
            <v>4410</v>
          </cell>
          <cell r="F4658" t="str">
            <v>A1-S02</v>
          </cell>
          <cell r="G4658" t="str">
            <v>Drawer side - Hông hộc kéo</v>
          </cell>
          <cell r="H4658" t="str">
            <v>MDF-N - 12 x 1220 x 2440mm, Veneer Ash Straigh Grain 0.45mm Both Faces [CARB P2 Compliant]</v>
          </cell>
          <cell r="I4658">
            <v>28</v>
          </cell>
        </row>
        <row r="4659">
          <cell r="A4659" t="str">
            <v>B558236/A</v>
          </cell>
          <cell r="B4659" t="str">
            <v>RH2772M410</v>
          </cell>
          <cell r="C4659">
            <v>14</v>
          </cell>
          <cell r="D4659">
            <v>315</v>
          </cell>
          <cell r="E4659">
            <v>4410</v>
          </cell>
          <cell r="F4659" t="str">
            <v>A1-S03</v>
          </cell>
          <cell r="G4659" t="str">
            <v>Drawer back - Hậu hộc kéo</v>
          </cell>
          <cell r="H4659" t="str">
            <v>MDF-N - 12 x 1220 x 2440mm, Veneer Ash Straigh Grain 0.45mm Both Faces [CARB P2 Compliant]</v>
          </cell>
          <cell r="I4659">
            <v>14</v>
          </cell>
        </row>
        <row r="4660">
          <cell r="A4660" t="str">
            <v>B558236/A</v>
          </cell>
          <cell r="B4660" t="str">
            <v>RH2772M410</v>
          </cell>
          <cell r="C4660">
            <v>14</v>
          </cell>
          <cell r="D4660">
            <v>315</v>
          </cell>
          <cell r="E4660">
            <v>4410</v>
          </cell>
          <cell r="F4660" t="str">
            <v>A1-S04</v>
          </cell>
          <cell r="G4660" t="str">
            <v>Drawer bottom  - Đáy hộc kéo</v>
          </cell>
          <cell r="H4660" t="str">
            <v>MDF Veneer</v>
          </cell>
          <cell r="I4660">
            <v>14</v>
          </cell>
        </row>
        <row r="4661">
          <cell r="A4661" t="str">
            <v>B558236/A</v>
          </cell>
          <cell r="B4661" t="str">
            <v>RH2772M410</v>
          </cell>
          <cell r="C4661">
            <v>14</v>
          </cell>
          <cell r="D4661">
            <v>315</v>
          </cell>
          <cell r="E4661">
            <v>4410</v>
          </cell>
          <cell r="F4661" t="str">
            <v>A1-S05</v>
          </cell>
          <cell r="G4661" t="str">
            <v>Patching wood - Gỗ đắp</v>
          </cell>
          <cell r="H4661" t="str">
            <v>Standard Wood - ALDER/ASPEN/LENGA/US POPLAR, 2 COM - T38 W120mm+ L2m+</v>
          </cell>
          <cell r="I4661">
            <v>14</v>
          </cell>
        </row>
        <row r="4662">
          <cell r="A4662" t="str">
            <v>B558236/A</v>
          </cell>
          <cell r="B4662" t="str">
            <v>RH2772M410</v>
          </cell>
          <cell r="C4662">
            <v>14</v>
          </cell>
          <cell r="D4662">
            <v>315</v>
          </cell>
          <cell r="E4662">
            <v>4410</v>
          </cell>
          <cell r="F4662" t="str">
            <v>A1-S06</v>
          </cell>
          <cell r="G4662" t="str">
            <v>Patching wood - Gỗ đắp</v>
          </cell>
          <cell r="H4662" t="str">
            <v>Beech off cut</v>
          </cell>
          <cell r="I4662">
            <v>28</v>
          </cell>
        </row>
        <row r="4663">
          <cell r="A4663" t="str">
            <v>B558236/A</v>
          </cell>
          <cell r="B4663" t="str">
            <v>RH2772M410</v>
          </cell>
          <cell r="C4663">
            <v>14</v>
          </cell>
          <cell r="D4663">
            <v>315</v>
          </cell>
          <cell r="E4663">
            <v>4410</v>
          </cell>
          <cell r="F4663" t="str">
            <v>A2-S01</v>
          </cell>
          <cell r="G4663" t="str">
            <v>Bottom frame - Khung dưới</v>
          </cell>
          <cell r="H4663" t="str">
            <v>Pre-Assembly</v>
          </cell>
          <cell r="I4663">
            <v>14</v>
          </cell>
        </row>
        <row r="4664">
          <cell r="A4664" t="str">
            <v>B558236/A</v>
          </cell>
          <cell r="B4664" t="str">
            <v>RH2772M410</v>
          </cell>
          <cell r="C4664">
            <v>14</v>
          </cell>
          <cell r="D4664">
            <v>315</v>
          </cell>
          <cell r="E4664">
            <v>4410</v>
          </cell>
          <cell r="F4664" t="str">
            <v>A2-S01-1</v>
          </cell>
          <cell r="G4664" t="str">
            <v>Front Bottom Rail  - Đố đáy trước</v>
          </cell>
          <cell r="H4664" t="str">
            <v>Wood laminate</v>
          </cell>
          <cell r="I4664">
            <v>14</v>
          </cell>
        </row>
        <row r="4665">
          <cell r="A4665" t="str">
            <v>B558236/A</v>
          </cell>
          <cell r="B4665" t="str">
            <v>RH2772M410</v>
          </cell>
          <cell r="C4665">
            <v>14</v>
          </cell>
          <cell r="D4665">
            <v>315</v>
          </cell>
          <cell r="E4665">
            <v>4410</v>
          </cell>
          <cell r="F4665" t="str">
            <v>A2-S01-2</v>
          </cell>
          <cell r="G4665" t="str">
            <v>Side bottom rail - Đố hông dưới</v>
          </cell>
          <cell r="H4665" t="str">
            <v>Wood laminate</v>
          </cell>
          <cell r="I4665">
            <v>28</v>
          </cell>
        </row>
        <row r="4666">
          <cell r="A4666" t="str">
            <v>B558236/A</v>
          </cell>
          <cell r="B4666" t="str">
            <v>RH2772M410</v>
          </cell>
          <cell r="C4666">
            <v>14</v>
          </cell>
          <cell r="D4666">
            <v>315</v>
          </cell>
          <cell r="E4666">
            <v>4410</v>
          </cell>
          <cell r="F4666" t="str">
            <v>A2-S01-3</v>
          </cell>
          <cell r="G4666" t="str">
            <v>Back bottom rail - Đố hậu đáy</v>
          </cell>
          <cell r="H4666" t="str">
            <v>Wood laminate</v>
          </cell>
          <cell r="I4666">
            <v>14</v>
          </cell>
        </row>
        <row r="4667">
          <cell r="A4667" t="str">
            <v>B558236/A</v>
          </cell>
          <cell r="B4667" t="str">
            <v>RH2772M410</v>
          </cell>
          <cell r="C4667">
            <v>14</v>
          </cell>
          <cell r="D4667">
            <v>315</v>
          </cell>
          <cell r="E4667">
            <v>4410</v>
          </cell>
          <cell r="F4667" t="str">
            <v>A2-S03</v>
          </cell>
          <cell r="G4667" t="str">
            <v>Bottom panel - Ván đáy</v>
          </cell>
          <cell r="H4667" t="str">
            <v>MDF Veneer</v>
          </cell>
          <cell r="I4667">
            <v>14</v>
          </cell>
        </row>
        <row r="4668">
          <cell r="A4668" t="str">
            <v>B558236/A</v>
          </cell>
          <cell r="B4668" t="str">
            <v>RH2772M410</v>
          </cell>
          <cell r="C4668">
            <v>14</v>
          </cell>
          <cell r="D4668">
            <v>315</v>
          </cell>
          <cell r="E4668">
            <v>4410</v>
          </cell>
          <cell r="F4668" t="str">
            <v>P01</v>
          </cell>
          <cell r="G4668" t="str">
            <v xml:space="preserve">Top panel  - Ván nóc </v>
          </cell>
          <cell r="H4668" t="str">
            <v>MDF Veneer</v>
          </cell>
          <cell r="I4668">
            <v>14</v>
          </cell>
        </row>
        <row r="4669">
          <cell r="A4669" t="str">
            <v>B558236/A</v>
          </cell>
          <cell r="B4669" t="str">
            <v>RH2772M410</v>
          </cell>
          <cell r="C4669">
            <v>14</v>
          </cell>
          <cell r="D4669">
            <v>315</v>
          </cell>
          <cell r="E4669">
            <v>4410</v>
          </cell>
          <cell r="F4669" t="str">
            <v>P02</v>
          </cell>
          <cell r="G4669" t="str">
            <v>vaccumn veneer - cảo bich veneer</v>
          </cell>
          <cell r="H4669" t="str">
            <v>Wd+VN</v>
          </cell>
          <cell r="I4669">
            <v>28</v>
          </cell>
        </row>
        <row r="4670">
          <cell r="A4670" t="str">
            <v>B558236/A</v>
          </cell>
          <cell r="B4670" t="str">
            <v>RH2772M410</v>
          </cell>
          <cell r="C4670">
            <v>14</v>
          </cell>
          <cell r="D4670">
            <v>315</v>
          </cell>
          <cell r="E4670">
            <v>4410</v>
          </cell>
          <cell r="F4670" t="str">
            <v>P02-1</v>
          </cell>
          <cell r="G4670" t="str">
            <v>MDF - MDF</v>
          </cell>
          <cell r="H4670" t="str">
            <v>MDF laminate</v>
          </cell>
          <cell r="I4670">
            <v>28</v>
          </cell>
        </row>
        <row r="4671">
          <cell r="A4671" t="str">
            <v>B558236/A</v>
          </cell>
          <cell r="B4671" t="str">
            <v>RH2772M410</v>
          </cell>
          <cell r="C4671">
            <v>14</v>
          </cell>
          <cell r="D4671">
            <v>315</v>
          </cell>
          <cell r="E4671">
            <v>4410</v>
          </cell>
          <cell r="F4671" t="str">
            <v>P02-2</v>
          </cell>
          <cell r="G4671" t="str">
            <v>Insert Wood - Gỗ chèn</v>
          </cell>
          <cell r="H4671" t="str">
            <v>Wood EU Beech - Straight/Waving Edged ABC, 2 COM - T50mm x W100mm up x L1.8m up</v>
          </cell>
          <cell r="I4671">
            <v>28</v>
          </cell>
        </row>
        <row r="4672">
          <cell r="A4672" t="str">
            <v>B558236/A</v>
          </cell>
          <cell r="B4672" t="str">
            <v>RH2772M410</v>
          </cell>
          <cell r="C4672">
            <v>14</v>
          </cell>
          <cell r="D4672">
            <v>315</v>
          </cell>
          <cell r="E4672">
            <v>4410</v>
          </cell>
          <cell r="F4672" t="str">
            <v>P02-3</v>
          </cell>
          <cell r="G4672" t="str">
            <v>Insert Wood - Gỗ chèn</v>
          </cell>
          <cell r="H4672" t="str">
            <v>Wood EU Beech - Straight/Waving Edged ABC, 2 COM - T50mm x W100mm up x L1.8m up</v>
          </cell>
          <cell r="I4672">
            <v>28</v>
          </cell>
        </row>
        <row r="4673">
          <cell r="A4673" t="str">
            <v>B558236/A</v>
          </cell>
          <cell r="B4673" t="str">
            <v>RH2772M410</v>
          </cell>
          <cell r="C4673">
            <v>14</v>
          </cell>
          <cell r="D4673">
            <v>315</v>
          </cell>
          <cell r="E4673">
            <v>4410</v>
          </cell>
          <cell r="F4673" t="str">
            <v>P04</v>
          </cell>
          <cell r="G4673" t="str">
            <v>Top rail - Đố nóc</v>
          </cell>
          <cell r="H4673" t="str">
            <v>Wood EU Beech - Straight/Waving Edged ABC, 2 COM - T26mm x W100mm up x L1.8m up</v>
          </cell>
          <cell r="I4673">
            <v>14</v>
          </cell>
        </row>
        <row r="4674">
          <cell r="A4674" t="str">
            <v>B558236/A</v>
          </cell>
          <cell r="B4674" t="str">
            <v>RH2772M410</v>
          </cell>
          <cell r="C4674">
            <v>14</v>
          </cell>
          <cell r="D4674">
            <v>315</v>
          </cell>
          <cell r="E4674">
            <v>4410</v>
          </cell>
          <cell r="F4674" t="str">
            <v>P05</v>
          </cell>
          <cell r="G4674" t="str">
            <v>back rail - Đố hậu</v>
          </cell>
          <cell r="H4674" t="str">
            <v>Standard Wood - ALDER/ASPEN/LENGA/US POPLAR, 2 COM - T25 W120mm+ L2m+</v>
          </cell>
          <cell r="I4674">
            <v>14</v>
          </cell>
        </row>
        <row r="4675">
          <cell r="A4675" t="str">
            <v>B558236/A</v>
          </cell>
          <cell r="B4675" t="str">
            <v>RH2772M410</v>
          </cell>
          <cell r="C4675">
            <v>14</v>
          </cell>
          <cell r="D4675">
            <v>315</v>
          </cell>
          <cell r="E4675">
            <v>4410</v>
          </cell>
          <cell r="F4675" t="str">
            <v>P06</v>
          </cell>
          <cell r="G4675" t="str">
            <v>Back panel - Ván hậu</v>
          </cell>
          <cell r="H4675" t="str">
            <v>MDF Veneer</v>
          </cell>
          <cell r="I4675">
            <v>14</v>
          </cell>
        </row>
        <row r="4676">
          <cell r="A4676" t="str">
            <v>B558236/A</v>
          </cell>
          <cell r="B4676" t="str">
            <v>RH2772M410</v>
          </cell>
          <cell r="C4676">
            <v>14</v>
          </cell>
          <cell r="D4676">
            <v>315</v>
          </cell>
          <cell r="E4676">
            <v>4410</v>
          </cell>
          <cell r="F4676" t="str">
            <v>P07</v>
          </cell>
          <cell r="G4676" t="str">
            <v>Drawer stop - Dừng hộc</v>
          </cell>
          <cell r="H4676" t="str">
            <v>Poplar off cut</v>
          </cell>
          <cell r="I4676">
            <v>28</v>
          </cell>
        </row>
        <row r="4677">
          <cell r="A4677" t="str">
            <v>B558236/A</v>
          </cell>
          <cell r="B4677" t="str">
            <v>RH2772M410</v>
          </cell>
          <cell r="C4677">
            <v>14</v>
          </cell>
          <cell r="D4677">
            <v>315</v>
          </cell>
          <cell r="E4677">
            <v>4410</v>
          </cell>
          <cell r="F4677" t="str">
            <v>P08</v>
          </cell>
          <cell r="G4677" t="str">
            <v>support Top - đỡ nóc</v>
          </cell>
          <cell r="H4677" t="str">
            <v>Beech off cut</v>
          </cell>
          <cell r="I4677">
            <v>28</v>
          </cell>
        </row>
        <row r="4678">
          <cell r="A4678" t="str">
            <v>B558236/A</v>
          </cell>
          <cell r="B4678" t="str">
            <v>RH2772M410</v>
          </cell>
          <cell r="C4678">
            <v>14</v>
          </cell>
          <cell r="D4678">
            <v>315</v>
          </cell>
          <cell r="E4678">
            <v>4410</v>
          </cell>
          <cell r="F4678" t="str">
            <v>P09</v>
          </cell>
          <cell r="G4678" t="str">
            <v>Center panel - Ván giữa</v>
          </cell>
          <cell r="H4678" t="str">
            <v>MDF Veneer</v>
          </cell>
          <cell r="I4678">
            <v>14</v>
          </cell>
        </row>
        <row r="4679">
          <cell r="A4679" t="str">
            <v>B558239/A</v>
          </cell>
          <cell r="B4679" t="str">
            <v>RH2802M373</v>
          </cell>
          <cell r="C4679">
            <v>8</v>
          </cell>
          <cell r="D4679">
            <v>360</v>
          </cell>
          <cell r="E4679">
            <v>2880</v>
          </cell>
          <cell r="F4679" t="str">
            <v>A1</v>
          </cell>
          <cell r="G4679" t="str">
            <v>The leg  - Chân</v>
          </cell>
          <cell r="H4679" t="str">
            <v>Pre-Assembly</v>
          </cell>
          <cell r="I4679">
            <v>16</v>
          </cell>
        </row>
        <row r="4680">
          <cell r="A4680" t="str">
            <v>B558239/A</v>
          </cell>
          <cell r="B4680" t="str">
            <v>RH2802M373</v>
          </cell>
          <cell r="C4680">
            <v>8</v>
          </cell>
          <cell r="D4680">
            <v>360</v>
          </cell>
          <cell r="E4680">
            <v>2880</v>
          </cell>
          <cell r="F4680" t="str">
            <v>A1-S00</v>
          </cell>
          <cell r="G4680" t="str">
            <v xml:space="preserve">Curve part hot press  - chi tiết cảo cong </v>
          </cell>
          <cell r="H4680" t="str">
            <v>MDF Veneer</v>
          </cell>
          <cell r="I4680">
            <v>16</v>
          </cell>
        </row>
        <row r="4681">
          <cell r="A4681" t="str">
            <v>B558239/A</v>
          </cell>
          <cell r="B4681" t="str">
            <v>RH2802M373</v>
          </cell>
          <cell r="C4681">
            <v>8</v>
          </cell>
          <cell r="D4681">
            <v>360</v>
          </cell>
          <cell r="E4681">
            <v>2880</v>
          </cell>
          <cell r="F4681" t="str">
            <v>A1-S00-1</v>
          </cell>
          <cell r="G4681" t="str">
            <v>Panel outside - Ván phía ngoài</v>
          </cell>
          <cell r="H4681" t="str">
            <v>MDF Veneer</v>
          </cell>
          <cell r="I4681">
            <v>16</v>
          </cell>
        </row>
        <row r="4682">
          <cell r="A4682" t="str">
            <v>B558239/A</v>
          </cell>
          <cell r="B4682" t="str">
            <v>RH2802M373</v>
          </cell>
          <cell r="C4682">
            <v>8</v>
          </cell>
          <cell r="D4682">
            <v>360</v>
          </cell>
          <cell r="E4682">
            <v>2880</v>
          </cell>
          <cell r="F4682" t="str">
            <v>A1-S01</v>
          </cell>
          <cell r="G4682" t="str">
            <v xml:space="preserve">Side panel  - Ván hông </v>
          </cell>
          <cell r="H4682" t="str">
            <v>MDF Veneer</v>
          </cell>
          <cell r="I4682">
            <v>16</v>
          </cell>
        </row>
        <row r="4683">
          <cell r="A4683" t="str">
            <v>B558239/A</v>
          </cell>
          <cell r="B4683" t="str">
            <v>RH2802M373</v>
          </cell>
          <cell r="C4683">
            <v>8</v>
          </cell>
          <cell r="D4683">
            <v>360</v>
          </cell>
          <cell r="E4683">
            <v>2880</v>
          </cell>
          <cell r="F4683" t="str">
            <v>A1-S03</v>
          </cell>
          <cell r="G4683" t="str">
            <v xml:space="preserve">Top panel  - Ván nóc </v>
          </cell>
          <cell r="H4683" t="str">
            <v>Plywood LVD - 25 x 1220 x 2440mm, Bleached Poplar Veneer Both Sides [CARB P2 Compliant]</v>
          </cell>
          <cell r="I4683">
            <v>16</v>
          </cell>
        </row>
        <row r="4684">
          <cell r="A4684" t="str">
            <v>B558239/A</v>
          </cell>
          <cell r="B4684" t="str">
            <v>RH2802M373</v>
          </cell>
          <cell r="C4684">
            <v>8</v>
          </cell>
          <cell r="D4684">
            <v>360</v>
          </cell>
          <cell r="E4684">
            <v>2880</v>
          </cell>
          <cell r="F4684" t="str">
            <v>A1-S04</v>
          </cell>
          <cell r="G4684" t="str">
            <v>Bottom panel - Ván đáy</v>
          </cell>
          <cell r="H4684" t="str">
            <v>Plywood LVD - 25 x 1220 x 2440mm, Bleached Poplar Veneer Both Sides [CARB P2 Compliant]</v>
          </cell>
          <cell r="I4684">
            <v>16</v>
          </cell>
        </row>
        <row r="4685">
          <cell r="A4685" t="str">
            <v>B558239/A</v>
          </cell>
          <cell r="B4685" t="str">
            <v>RH2802M373</v>
          </cell>
          <cell r="C4685">
            <v>8</v>
          </cell>
          <cell r="D4685">
            <v>360</v>
          </cell>
          <cell r="E4685">
            <v>2880</v>
          </cell>
          <cell r="F4685" t="str">
            <v>A1-S09</v>
          </cell>
          <cell r="G4685" t="str">
            <v>Spline - Lưỡi gà</v>
          </cell>
          <cell r="H4685" t="str">
            <v>Plywood LVD - 06 x 1220 x 2440mm, Bleached Poplar Veneer Both Sides [CARB P2 Compliant]</v>
          </cell>
          <cell r="I4685">
            <v>32</v>
          </cell>
        </row>
        <row r="4686">
          <cell r="A4686" t="str">
            <v>B558239/A</v>
          </cell>
          <cell r="B4686" t="str">
            <v>RH2802M373</v>
          </cell>
          <cell r="C4686">
            <v>8</v>
          </cell>
          <cell r="D4686">
            <v>360</v>
          </cell>
          <cell r="E4686">
            <v>2880</v>
          </cell>
          <cell r="F4686" t="str">
            <v>P01</v>
          </cell>
          <cell r="G4686" t="str">
            <v>Top Frame - Khung nóc</v>
          </cell>
          <cell r="H4686" t="str">
            <v>Plywood VN</v>
          </cell>
          <cell r="I4686">
            <v>8</v>
          </cell>
        </row>
        <row r="4687">
          <cell r="A4687" t="str">
            <v>B558239/A</v>
          </cell>
          <cell r="B4687" t="str">
            <v>RH2802M373</v>
          </cell>
          <cell r="C4687">
            <v>8</v>
          </cell>
          <cell r="D4687">
            <v>360</v>
          </cell>
          <cell r="E4687">
            <v>2880</v>
          </cell>
          <cell r="F4687" t="str">
            <v>P03</v>
          </cell>
          <cell r="G4687" t="str">
            <v>Bottom rail inside - Đố tiền đáy</v>
          </cell>
          <cell r="H4687" t="str">
            <v>MDF - 18 x 1830 x 2440mm [CARB P2 Compliant]</v>
          </cell>
          <cell r="I4687">
            <v>16</v>
          </cell>
        </row>
        <row r="4688">
          <cell r="A4688" t="str">
            <v>B558241/A</v>
          </cell>
          <cell r="B4688" t="str">
            <v>RH2802M373</v>
          </cell>
          <cell r="C4688">
            <v>11</v>
          </cell>
          <cell r="D4688">
            <v>360</v>
          </cell>
          <cell r="E4688">
            <v>3960</v>
          </cell>
          <cell r="F4688" t="str">
            <v>A1</v>
          </cell>
          <cell r="G4688" t="str">
            <v>The leg  - Chân</v>
          </cell>
          <cell r="H4688" t="str">
            <v>Pre-Assembly</v>
          </cell>
          <cell r="I4688">
            <v>22</v>
          </cell>
        </row>
        <row r="4689">
          <cell r="A4689" t="str">
            <v>B558241/A</v>
          </cell>
          <cell r="B4689" t="str">
            <v>RH2802M373</v>
          </cell>
          <cell r="C4689">
            <v>11</v>
          </cell>
          <cell r="D4689">
            <v>360</v>
          </cell>
          <cell r="E4689">
            <v>3960</v>
          </cell>
          <cell r="F4689" t="str">
            <v>A1-S00</v>
          </cell>
          <cell r="G4689" t="str">
            <v xml:space="preserve">Curve part hot press  - chi tiết cảo cong </v>
          </cell>
          <cell r="H4689" t="str">
            <v>MDF Veneer</v>
          </cell>
          <cell r="I4689">
            <v>22</v>
          </cell>
        </row>
        <row r="4690">
          <cell r="A4690" t="str">
            <v>B558241/A</v>
          </cell>
          <cell r="B4690" t="str">
            <v>RH2802M373</v>
          </cell>
          <cell r="C4690">
            <v>11</v>
          </cell>
          <cell r="D4690">
            <v>360</v>
          </cell>
          <cell r="E4690">
            <v>3960</v>
          </cell>
          <cell r="F4690" t="str">
            <v>A1-S00-1</v>
          </cell>
          <cell r="G4690" t="str">
            <v>Panel outside - Ván phía ngoài</v>
          </cell>
          <cell r="H4690" t="str">
            <v>MDF Veneer</v>
          </cell>
          <cell r="I4690">
            <v>22</v>
          </cell>
        </row>
        <row r="4691">
          <cell r="A4691" t="str">
            <v>B558241/A</v>
          </cell>
          <cell r="B4691" t="str">
            <v>RH2802M373</v>
          </cell>
          <cell r="C4691">
            <v>11</v>
          </cell>
          <cell r="D4691">
            <v>360</v>
          </cell>
          <cell r="E4691">
            <v>3960</v>
          </cell>
          <cell r="F4691" t="str">
            <v>A1-S01</v>
          </cell>
          <cell r="G4691" t="str">
            <v xml:space="preserve">Side panel  - Ván hông </v>
          </cell>
          <cell r="H4691" t="str">
            <v>MDF Veneer</v>
          </cell>
          <cell r="I4691">
            <v>22</v>
          </cell>
        </row>
        <row r="4692">
          <cell r="A4692" t="str">
            <v>B558241/A</v>
          </cell>
          <cell r="B4692" t="str">
            <v>RH2802M373</v>
          </cell>
          <cell r="C4692">
            <v>11</v>
          </cell>
          <cell r="D4692">
            <v>360</v>
          </cell>
          <cell r="E4692">
            <v>3960</v>
          </cell>
          <cell r="F4692" t="str">
            <v>A1-S03</v>
          </cell>
          <cell r="G4692" t="str">
            <v xml:space="preserve">Top panel  - Ván nóc </v>
          </cell>
          <cell r="H4692" t="str">
            <v>Plywood LVD - 25 x 1220 x 2440mm, Bleached Poplar Veneer Both Sides [CARB P2 Compliant]</v>
          </cell>
          <cell r="I4692">
            <v>22</v>
          </cell>
        </row>
        <row r="4693">
          <cell r="A4693" t="str">
            <v>B558241/A</v>
          </cell>
          <cell r="B4693" t="str">
            <v>RH2802M373</v>
          </cell>
          <cell r="C4693">
            <v>11</v>
          </cell>
          <cell r="D4693">
            <v>360</v>
          </cell>
          <cell r="E4693">
            <v>3960</v>
          </cell>
          <cell r="F4693" t="str">
            <v>A1-S04</v>
          </cell>
          <cell r="G4693" t="str">
            <v>Bottom panel - Ván đáy</v>
          </cell>
          <cell r="H4693" t="str">
            <v>Plywood LVD - 25 x 1220 x 2440mm, Bleached Poplar Veneer Both Sides [CARB P2 Compliant]</v>
          </cell>
          <cell r="I4693">
            <v>22</v>
          </cell>
        </row>
        <row r="4694">
          <cell r="A4694" t="str">
            <v>B558241/A</v>
          </cell>
          <cell r="B4694" t="str">
            <v>RH2802M373</v>
          </cell>
          <cell r="C4694">
            <v>11</v>
          </cell>
          <cell r="D4694">
            <v>360</v>
          </cell>
          <cell r="E4694">
            <v>3960</v>
          </cell>
          <cell r="F4694" t="str">
            <v>A1-S09</v>
          </cell>
          <cell r="G4694" t="str">
            <v>Spline - Lưỡi gà</v>
          </cell>
          <cell r="H4694" t="str">
            <v>Plywood LVD - 06 x 1220 x 2440mm, Bleached Poplar Veneer Both Sides [CARB P2 Compliant]</v>
          </cell>
          <cell r="I4694">
            <v>44</v>
          </cell>
        </row>
        <row r="4695">
          <cell r="A4695" t="str">
            <v>B558241/A</v>
          </cell>
          <cell r="B4695" t="str">
            <v>RH2802M373</v>
          </cell>
          <cell r="C4695">
            <v>11</v>
          </cell>
          <cell r="D4695">
            <v>360</v>
          </cell>
          <cell r="E4695">
            <v>3960</v>
          </cell>
          <cell r="F4695" t="str">
            <v>P01</v>
          </cell>
          <cell r="G4695" t="str">
            <v>Top Frame - Khung nóc</v>
          </cell>
          <cell r="H4695" t="str">
            <v>Plywood VN</v>
          </cell>
          <cell r="I4695">
            <v>11</v>
          </cell>
        </row>
        <row r="4696">
          <cell r="A4696" t="str">
            <v>B558241/A</v>
          </cell>
          <cell r="B4696" t="str">
            <v>RH2802M373</v>
          </cell>
          <cell r="C4696">
            <v>11</v>
          </cell>
          <cell r="D4696">
            <v>360</v>
          </cell>
          <cell r="E4696">
            <v>3960</v>
          </cell>
          <cell r="F4696" t="str">
            <v>P03</v>
          </cell>
          <cell r="G4696" t="str">
            <v>Bottom rail inside - Đố tiền đáy</v>
          </cell>
          <cell r="H4696" t="str">
            <v>MDF - 18 x 1830 x 2440mm [CARB P2 Compliant]</v>
          </cell>
          <cell r="I4696">
            <v>22</v>
          </cell>
        </row>
        <row r="4697">
          <cell r="A4697" t="str">
            <v>B558244/A</v>
          </cell>
          <cell r="B4697" t="str">
            <v>RH2802M374</v>
          </cell>
          <cell r="C4697">
            <v>3</v>
          </cell>
          <cell r="D4697">
            <v>360</v>
          </cell>
          <cell r="E4697">
            <v>1080</v>
          </cell>
          <cell r="F4697" t="str">
            <v>A1</v>
          </cell>
          <cell r="G4697" t="str">
            <v>The leg  - Chân</v>
          </cell>
          <cell r="H4697" t="str">
            <v>Pre-Assembly</v>
          </cell>
          <cell r="I4697">
            <v>6</v>
          </cell>
        </row>
        <row r="4698">
          <cell r="A4698" t="str">
            <v>B558244/A</v>
          </cell>
          <cell r="B4698" t="str">
            <v>RH2802M374</v>
          </cell>
          <cell r="C4698">
            <v>3</v>
          </cell>
          <cell r="D4698">
            <v>360</v>
          </cell>
          <cell r="E4698">
            <v>1080</v>
          </cell>
          <cell r="F4698" t="str">
            <v>A1-S00</v>
          </cell>
          <cell r="G4698" t="str">
            <v xml:space="preserve">Curve part hot press  - chi tiết cảo cong </v>
          </cell>
          <cell r="H4698" t="str">
            <v>MDF Veneer</v>
          </cell>
          <cell r="I4698">
            <v>6</v>
          </cell>
        </row>
        <row r="4699">
          <cell r="A4699" t="str">
            <v>B558244/A</v>
          </cell>
          <cell r="B4699" t="str">
            <v>RH2802M374</v>
          </cell>
          <cell r="C4699">
            <v>3</v>
          </cell>
          <cell r="D4699">
            <v>360</v>
          </cell>
          <cell r="E4699">
            <v>1080</v>
          </cell>
          <cell r="F4699" t="str">
            <v>A1-S00-1</v>
          </cell>
          <cell r="G4699" t="str">
            <v>Panel outside - Ván phía ngoài</v>
          </cell>
          <cell r="H4699" t="str">
            <v>MDF Veneer</v>
          </cell>
          <cell r="I4699">
            <v>6</v>
          </cell>
        </row>
        <row r="4700">
          <cell r="A4700" t="str">
            <v>B558244/A</v>
          </cell>
          <cell r="B4700" t="str">
            <v>RH2802M374</v>
          </cell>
          <cell r="C4700">
            <v>3</v>
          </cell>
          <cell r="D4700">
            <v>360</v>
          </cell>
          <cell r="E4700">
            <v>1080</v>
          </cell>
          <cell r="F4700" t="str">
            <v>A1-S01</v>
          </cell>
          <cell r="G4700" t="str">
            <v xml:space="preserve">Side panel  - Ván hông </v>
          </cell>
          <cell r="H4700" t="str">
            <v>MDF Veneer</v>
          </cell>
          <cell r="I4700">
            <v>6</v>
          </cell>
        </row>
        <row r="4701">
          <cell r="A4701" t="str">
            <v>B558244/A</v>
          </cell>
          <cell r="B4701" t="str">
            <v>RH2802M374</v>
          </cell>
          <cell r="C4701">
            <v>3</v>
          </cell>
          <cell r="D4701">
            <v>360</v>
          </cell>
          <cell r="E4701">
            <v>1080</v>
          </cell>
          <cell r="F4701" t="str">
            <v>A1-S03</v>
          </cell>
          <cell r="G4701" t="str">
            <v xml:space="preserve">Top panel  - Ván nóc </v>
          </cell>
          <cell r="H4701" t="str">
            <v>Plywood LVD - 25 x 1220 x 2440mm, Bleached Poplar Veneer Both Sides [CARB P2 Compliant]</v>
          </cell>
          <cell r="I4701">
            <v>6</v>
          </cell>
        </row>
        <row r="4702">
          <cell r="A4702" t="str">
            <v>B558244/A</v>
          </cell>
          <cell r="B4702" t="str">
            <v>RH2802M374</v>
          </cell>
          <cell r="C4702">
            <v>3</v>
          </cell>
          <cell r="D4702">
            <v>360</v>
          </cell>
          <cell r="E4702">
            <v>1080</v>
          </cell>
          <cell r="F4702" t="str">
            <v>A1-S04</v>
          </cell>
          <cell r="G4702" t="str">
            <v>Bottom panel - Ván đáy</v>
          </cell>
          <cell r="H4702" t="str">
            <v>Plywood LVD - 25 x 1220 x 2440mm, Bleached Poplar Veneer Both Sides [CARB P2 Compliant]</v>
          </cell>
          <cell r="I4702">
            <v>6</v>
          </cell>
        </row>
        <row r="4703">
          <cell r="A4703" t="str">
            <v>B558244/A</v>
          </cell>
          <cell r="B4703" t="str">
            <v>RH2802M374</v>
          </cell>
          <cell r="C4703">
            <v>3</v>
          </cell>
          <cell r="D4703">
            <v>360</v>
          </cell>
          <cell r="E4703">
            <v>1080</v>
          </cell>
          <cell r="F4703" t="str">
            <v>A1-S09</v>
          </cell>
          <cell r="G4703" t="str">
            <v>Spline - Lưỡi gà</v>
          </cell>
          <cell r="H4703" t="str">
            <v>Plywood LVD - 06 x 1220 x 2440mm, Bleached Poplar Veneer Both Sides [CARB P2 Compliant]</v>
          </cell>
          <cell r="I4703">
            <v>12</v>
          </cell>
        </row>
        <row r="4704">
          <cell r="A4704" t="str">
            <v>B558244/A</v>
          </cell>
          <cell r="B4704" t="str">
            <v>RH2802M374</v>
          </cell>
          <cell r="C4704">
            <v>3</v>
          </cell>
          <cell r="D4704">
            <v>360</v>
          </cell>
          <cell r="E4704">
            <v>1080</v>
          </cell>
          <cell r="F4704" t="str">
            <v>P01</v>
          </cell>
          <cell r="G4704" t="str">
            <v>Top Frame - Khung nóc</v>
          </cell>
          <cell r="H4704" t="str">
            <v>Plywood VN</v>
          </cell>
          <cell r="I4704">
            <v>3</v>
          </cell>
        </row>
        <row r="4705">
          <cell r="A4705" t="str">
            <v>B558244/A</v>
          </cell>
          <cell r="B4705" t="str">
            <v>RH2802M374</v>
          </cell>
          <cell r="C4705">
            <v>3</v>
          </cell>
          <cell r="D4705">
            <v>360</v>
          </cell>
          <cell r="E4705">
            <v>1080</v>
          </cell>
          <cell r="F4705" t="str">
            <v>P03</v>
          </cell>
          <cell r="G4705" t="str">
            <v>Bottom rail inside - Đố tiền đáy</v>
          </cell>
          <cell r="H4705" t="str">
            <v>MDF - 18 x 1830 x 2440mm [CARB P2 Compliant]</v>
          </cell>
          <cell r="I4705">
            <v>6</v>
          </cell>
        </row>
        <row r="4706">
          <cell r="A4706" t="str">
            <v>B558245/A</v>
          </cell>
          <cell r="B4706" t="str">
            <v>RH2802M374</v>
          </cell>
          <cell r="C4706">
            <v>3</v>
          </cell>
          <cell r="D4706">
            <v>360</v>
          </cell>
          <cell r="E4706">
            <v>1080</v>
          </cell>
          <cell r="F4706" t="str">
            <v>A1</v>
          </cell>
          <cell r="G4706" t="str">
            <v>The leg  - Chân</v>
          </cell>
          <cell r="H4706" t="str">
            <v>Pre-Assembly</v>
          </cell>
          <cell r="I4706">
            <v>6</v>
          </cell>
        </row>
        <row r="4707">
          <cell r="A4707" t="str">
            <v>B558245/A</v>
          </cell>
          <cell r="B4707" t="str">
            <v>RH2802M374</v>
          </cell>
          <cell r="C4707">
            <v>3</v>
          </cell>
          <cell r="D4707">
            <v>360</v>
          </cell>
          <cell r="E4707">
            <v>1080</v>
          </cell>
          <cell r="F4707" t="str">
            <v>A1-S00</v>
          </cell>
          <cell r="G4707" t="str">
            <v xml:space="preserve">Curve part hot press  - chi tiết cảo cong </v>
          </cell>
          <cell r="H4707" t="str">
            <v>MDF Veneer</v>
          </cell>
          <cell r="I4707">
            <v>6</v>
          </cell>
        </row>
        <row r="4708">
          <cell r="A4708" t="str">
            <v>B558245/A</v>
          </cell>
          <cell r="B4708" t="str">
            <v>RH2802M374</v>
          </cell>
          <cell r="C4708">
            <v>3</v>
          </cell>
          <cell r="D4708">
            <v>360</v>
          </cell>
          <cell r="E4708">
            <v>1080</v>
          </cell>
          <cell r="F4708" t="str">
            <v>A1-S00-1</v>
          </cell>
          <cell r="G4708" t="str">
            <v>Panel outside - Ván phía ngoài</v>
          </cell>
          <cell r="H4708" t="str">
            <v>MDF Veneer</v>
          </cell>
          <cell r="I4708">
            <v>6</v>
          </cell>
        </row>
        <row r="4709">
          <cell r="A4709" t="str">
            <v>B558245/A</v>
          </cell>
          <cell r="B4709" t="str">
            <v>RH2802M374</v>
          </cell>
          <cell r="C4709">
            <v>3</v>
          </cell>
          <cell r="D4709">
            <v>360</v>
          </cell>
          <cell r="E4709">
            <v>1080</v>
          </cell>
          <cell r="F4709" t="str">
            <v>A1-S01</v>
          </cell>
          <cell r="G4709" t="str">
            <v xml:space="preserve">Side panel  - Ván hông </v>
          </cell>
          <cell r="H4709" t="str">
            <v>MDF Veneer</v>
          </cell>
          <cell r="I4709">
            <v>6</v>
          </cell>
        </row>
        <row r="4710">
          <cell r="A4710" t="str">
            <v>B558245/A</v>
          </cell>
          <cell r="B4710" t="str">
            <v>RH2802M374</v>
          </cell>
          <cell r="C4710">
            <v>3</v>
          </cell>
          <cell r="D4710">
            <v>360</v>
          </cell>
          <cell r="E4710">
            <v>1080</v>
          </cell>
          <cell r="F4710" t="str">
            <v>A1-S03</v>
          </cell>
          <cell r="G4710" t="str">
            <v xml:space="preserve">Top panel  - Ván nóc </v>
          </cell>
          <cell r="H4710" t="str">
            <v>Plywood LVD - 25 x 1220 x 2440mm, Bleached Poplar Veneer Both Sides [CARB P2 Compliant]</v>
          </cell>
          <cell r="I4710">
            <v>6</v>
          </cell>
        </row>
        <row r="4711">
          <cell r="A4711" t="str">
            <v>B558245/A</v>
          </cell>
          <cell r="B4711" t="str">
            <v>RH2802M374</v>
          </cell>
          <cell r="C4711">
            <v>3</v>
          </cell>
          <cell r="D4711">
            <v>360</v>
          </cell>
          <cell r="E4711">
            <v>1080</v>
          </cell>
          <cell r="F4711" t="str">
            <v>A1-S04</v>
          </cell>
          <cell r="G4711" t="str">
            <v>Bottom panel - Ván đáy</v>
          </cell>
          <cell r="H4711" t="str">
            <v>Plywood LVD - 25 x 1220 x 2440mm, Bleached Poplar Veneer Both Sides [CARB P2 Compliant]</v>
          </cell>
          <cell r="I4711">
            <v>6</v>
          </cell>
        </row>
        <row r="4712">
          <cell r="A4712" t="str">
            <v>B558245/A</v>
          </cell>
          <cell r="B4712" t="str">
            <v>RH2802M374</v>
          </cell>
          <cell r="C4712">
            <v>3</v>
          </cell>
          <cell r="D4712">
            <v>360</v>
          </cell>
          <cell r="E4712">
            <v>1080</v>
          </cell>
          <cell r="F4712" t="str">
            <v>A1-S09</v>
          </cell>
          <cell r="G4712" t="str">
            <v>Spline - Lưỡi gà</v>
          </cell>
          <cell r="H4712" t="str">
            <v>Plywood LVD - 06 x 1220 x 2440mm, Bleached Poplar Veneer Both Sides [CARB P2 Compliant]</v>
          </cell>
          <cell r="I4712">
            <v>12</v>
          </cell>
        </row>
        <row r="4713">
          <cell r="A4713" t="str">
            <v>B558245/A</v>
          </cell>
          <cell r="B4713" t="str">
            <v>RH2802M374</v>
          </cell>
          <cell r="C4713">
            <v>3</v>
          </cell>
          <cell r="D4713">
            <v>360</v>
          </cell>
          <cell r="E4713">
            <v>1080</v>
          </cell>
          <cell r="F4713" t="str">
            <v>P01</v>
          </cell>
          <cell r="G4713" t="str">
            <v>Top Frame - Khung nóc</v>
          </cell>
          <cell r="H4713" t="str">
            <v>Plywood VN</v>
          </cell>
          <cell r="I4713">
            <v>3</v>
          </cell>
        </row>
        <row r="4714">
          <cell r="A4714" t="str">
            <v>B558245/A</v>
          </cell>
          <cell r="B4714" t="str">
            <v>RH2802M374</v>
          </cell>
          <cell r="C4714">
            <v>3</v>
          </cell>
          <cell r="D4714">
            <v>360</v>
          </cell>
          <cell r="E4714">
            <v>1080</v>
          </cell>
          <cell r="F4714" t="str">
            <v>P03</v>
          </cell>
          <cell r="G4714" t="str">
            <v>Bottom rail inside - Đố tiền đáy</v>
          </cell>
          <cell r="H4714" t="str">
            <v>MDF - 18 x 1830 x 2440mm [CARB P2 Compliant]</v>
          </cell>
          <cell r="I4714">
            <v>6</v>
          </cell>
        </row>
        <row r="4715">
          <cell r="A4715" t="str">
            <v>B558145/A</v>
          </cell>
          <cell r="B4715" t="str">
            <v>RH3451M112</v>
          </cell>
          <cell r="C4715">
            <v>10</v>
          </cell>
          <cell r="D4715">
            <v>268.24</v>
          </cell>
          <cell r="E4715">
            <v>2682.4</v>
          </cell>
          <cell r="F4715" t="str">
            <v>A1-S01</v>
          </cell>
          <cell r="G4715" t="str">
            <v xml:space="preserve">Drawer front - Mặt hộc kéo </v>
          </cell>
          <cell r="H4715" t="str">
            <v>MDF laminate</v>
          </cell>
          <cell r="I4715">
            <v>30</v>
          </cell>
        </row>
        <row r="4716">
          <cell r="A4716" t="str">
            <v>B558145/A</v>
          </cell>
          <cell r="B4716" t="str">
            <v>RH3451M112</v>
          </cell>
          <cell r="C4716">
            <v>10</v>
          </cell>
          <cell r="D4716">
            <v>268.24</v>
          </cell>
          <cell r="E4716">
            <v>2682.4</v>
          </cell>
          <cell r="F4716" t="str">
            <v>A1-S02</v>
          </cell>
          <cell r="G4716" t="str">
            <v>Drawer side - Hông hộc kéo</v>
          </cell>
          <cell r="H4716" t="str">
            <v>MDF Veneer</v>
          </cell>
          <cell r="I4716">
            <v>60</v>
          </cell>
        </row>
        <row r="4717">
          <cell r="A4717" t="str">
            <v>B558145/A</v>
          </cell>
          <cell r="B4717" t="str">
            <v>RH3451M112</v>
          </cell>
          <cell r="C4717">
            <v>10</v>
          </cell>
          <cell r="D4717">
            <v>268.24</v>
          </cell>
          <cell r="E4717">
            <v>2682.4</v>
          </cell>
          <cell r="F4717" t="str">
            <v>A1-S03</v>
          </cell>
          <cell r="G4717" t="str">
            <v>Drawer back - Hậu hộc kéo</v>
          </cell>
          <cell r="H4717" t="str">
            <v>MDF Veneer</v>
          </cell>
          <cell r="I4717">
            <v>30</v>
          </cell>
        </row>
        <row r="4718">
          <cell r="A4718" t="str">
            <v>B558145/A</v>
          </cell>
          <cell r="B4718" t="str">
            <v>RH3451M112</v>
          </cell>
          <cell r="C4718">
            <v>10</v>
          </cell>
          <cell r="D4718">
            <v>268.24</v>
          </cell>
          <cell r="E4718">
            <v>2682.4</v>
          </cell>
          <cell r="F4718" t="str">
            <v>A1-S04</v>
          </cell>
          <cell r="G4718" t="str">
            <v>Drawer bottom  - Đáy hộc kéo</v>
          </cell>
          <cell r="H4718" t="str">
            <v>MDF - 06 x 1220 x 2440mm, Veneer Poplar 0.42mm + Veneer Engineering 0.3mm [CARB P2 Compliant]</v>
          </cell>
          <cell r="I4718">
            <v>30</v>
          </cell>
        </row>
        <row r="4719">
          <cell r="A4719" t="str">
            <v>B558145/A</v>
          </cell>
          <cell r="B4719" t="str">
            <v>RH3451M112</v>
          </cell>
          <cell r="C4719">
            <v>10</v>
          </cell>
          <cell r="D4719">
            <v>268.24</v>
          </cell>
          <cell r="E4719">
            <v>2682.4</v>
          </cell>
          <cell r="F4719" t="str">
            <v>A1-S06</v>
          </cell>
          <cell r="G4719" t="str">
            <v>Patching wood - Gỗ đắp</v>
          </cell>
          <cell r="H4719" t="str">
            <v>Poplar off cut</v>
          </cell>
          <cell r="I4719">
            <v>30</v>
          </cell>
        </row>
        <row r="4720">
          <cell r="A4720" t="str">
            <v>B558145/A</v>
          </cell>
          <cell r="B4720" t="str">
            <v>RH3451M112</v>
          </cell>
          <cell r="C4720">
            <v>10</v>
          </cell>
          <cell r="D4720">
            <v>268.24</v>
          </cell>
          <cell r="E4720">
            <v>2682.4</v>
          </cell>
          <cell r="F4720" t="str">
            <v>A1-S07</v>
          </cell>
          <cell r="G4720" t="str">
            <v>Patching wood - Gỗ đắp</v>
          </cell>
          <cell r="H4720" t="str">
            <v>Poplar off cut</v>
          </cell>
          <cell r="I4720">
            <v>60</v>
          </cell>
        </row>
        <row r="4721">
          <cell r="A4721" t="str">
            <v>B558145/A</v>
          </cell>
          <cell r="B4721" t="str">
            <v>RH3451M112</v>
          </cell>
          <cell r="C4721">
            <v>10</v>
          </cell>
          <cell r="D4721">
            <v>268.24</v>
          </cell>
          <cell r="E4721">
            <v>2682.4</v>
          </cell>
          <cell r="F4721" t="str">
            <v>P01</v>
          </cell>
          <cell r="G4721" t="str">
            <v xml:space="preserve">Top panel  - Ván nóc </v>
          </cell>
          <cell r="H4721" t="str">
            <v>MDF laminate</v>
          </cell>
          <cell r="I4721">
            <v>20</v>
          </cell>
        </row>
        <row r="4722">
          <cell r="A4722" t="str">
            <v>B558145/A</v>
          </cell>
          <cell r="B4722" t="str">
            <v>RH3451M112</v>
          </cell>
          <cell r="C4722">
            <v>10</v>
          </cell>
          <cell r="D4722">
            <v>268.24</v>
          </cell>
          <cell r="E4722">
            <v>2682.4</v>
          </cell>
          <cell r="F4722" t="str">
            <v>P02</v>
          </cell>
          <cell r="G4722" t="str">
            <v xml:space="preserve">Side panel  - Ván hông </v>
          </cell>
          <cell r="H4722" t="str">
            <v>MDF laminate</v>
          </cell>
          <cell r="I4722">
            <v>20</v>
          </cell>
        </row>
        <row r="4723">
          <cell r="A4723" t="str">
            <v>B558145/A</v>
          </cell>
          <cell r="B4723" t="str">
            <v>RH3451M112</v>
          </cell>
          <cell r="C4723">
            <v>10</v>
          </cell>
          <cell r="D4723">
            <v>268.24</v>
          </cell>
          <cell r="E4723">
            <v>2682.4</v>
          </cell>
          <cell r="F4723" t="str">
            <v>P03</v>
          </cell>
          <cell r="G4723" t="str">
            <v xml:space="preserve">Side panel  - Ván hông </v>
          </cell>
          <cell r="H4723" t="str">
            <v>MDF - 15 x 1830 x 2440mm [CARB P2 Compliant]</v>
          </cell>
          <cell r="I4723">
            <v>20</v>
          </cell>
        </row>
        <row r="4724">
          <cell r="A4724" t="str">
            <v>B558145/A</v>
          </cell>
          <cell r="B4724" t="str">
            <v>RH3451M112</v>
          </cell>
          <cell r="C4724">
            <v>10</v>
          </cell>
          <cell r="D4724">
            <v>268.24</v>
          </cell>
          <cell r="E4724">
            <v>2682.4</v>
          </cell>
          <cell r="F4724" t="str">
            <v>P06</v>
          </cell>
          <cell r="G4724" t="str">
            <v>Cleat - Bọ gỗ</v>
          </cell>
          <cell r="H4724" t="str">
            <v>Wood Acacia - Straight/Waving Edged - T25mm x W100mm Up x L1m Up</v>
          </cell>
          <cell r="I4724">
            <v>20</v>
          </cell>
        </row>
        <row r="4725">
          <cell r="A4725" t="str">
            <v>B558145/A</v>
          </cell>
          <cell r="B4725" t="str">
            <v>RH3451M112</v>
          </cell>
          <cell r="C4725">
            <v>10</v>
          </cell>
          <cell r="D4725">
            <v>268.24</v>
          </cell>
          <cell r="E4725">
            <v>2682.4</v>
          </cell>
          <cell r="F4725" t="str">
            <v>P08</v>
          </cell>
          <cell r="G4725" t="str">
            <v>Cleat - Bọ gỗ</v>
          </cell>
          <cell r="H4725" t="str">
            <v>Poplar off cut</v>
          </cell>
          <cell r="I4725">
            <v>20</v>
          </cell>
        </row>
        <row r="4726">
          <cell r="A4726" t="str">
            <v>B558145/A</v>
          </cell>
          <cell r="B4726" t="str">
            <v>RH3451M112</v>
          </cell>
          <cell r="C4726">
            <v>10</v>
          </cell>
          <cell r="D4726">
            <v>268.24</v>
          </cell>
          <cell r="E4726">
            <v>2682.4</v>
          </cell>
          <cell r="F4726" t="str">
            <v>P08-1</v>
          </cell>
          <cell r="G4726" t="str">
            <v>Cleat - Bọ gỗ</v>
          </cell>
          <cell r="H4726" t="str">
            <v>Poplar off cut</v>
          </cell>
          <cell r="I4726">
            <v>20</v>
          </cell>
        </row>
        <row r="4727">
          <cell r="A4727" t="str">
            <v>B558145/A</v>
          </cell>
          <cell r="B4727" t="str">
            <v>RH3451M112</v>
          </cell>
          <cell r="C4727">
            <v>10</v>
          </cell>
          <cell r="D4727">
            <v>268.24</v>
          </cell>
          <cell r="E4727">
            <v>2682.4</v>
          </cell>
          <cell r="F4727" t="str">
            <v>P11</v>
          </cell>
          <cell r="G4727" t="str">
            <v>Spline - Lưỡi gà</v>
          </cell>
          <cell r="H4727" t="str">
            <v>Plywood LVD - 06 x 1220 x 2440mm, Bleached Poplar Veneer Both Sides [CARB P2 Compliant]</v>
          </cell>
          <cell r="I4727">
            <v>10</v>
          </cell>
        </row>
        <row r="4728">
          <cell r="A4728" t="str">
            <v>B558145/A</v>
          </cell>
          <cell r="B4728" t="str">
            <v>RH3451M112</v>
          </cell>
          <cell r="C4728">
            <v>10</v>
          </cell>
          <cell r="D4728">
            <v>268.24</v>
          </cell>
          <cell r="E4728">
            <v>2682.4</v>
          </cell>
          <cell r="F4728" t="str">
            <v>P12</v>
          </cell>
          <cell r="G4728" t="str">
            <v>Bottom panel - Ván đáy</v>
          </cell>
          <cell r="H4728" t="str">
            <v>MDF laminate</v>
          </cell>
          <cell r="I4728">
            <v>10</v>
          </cell>
        </row>
        <row r="4729">
          <cell r="A4729" t="str">
            <v>B558145/A</v>
          </cell>
          <cell r="B4729" t="str">
            <v>RH3451M112</v>
          </cell>
          <cell r="C4729">
            <v>10</v>
          </cell>
          <cell r="D4729">
            <v>268.24</v>
          </cell>
          <cell r="E4729">
            <v>2682.4</v>
          </cell>
          <cell r="F4729" t="str">
            <v>P13</v>
          </cell>
          <cell r="G4729" t="str">
            <v>Drawer stop - Dừng hộc</v>
          </cell>
          <cell r="H4729" t="str">
            <v>Poplar off cut</v>
          </cell>
          <cell r="I4729">
            <v>60</v>
          </cell>
        </row>
        <row r="4730">
          <cell r="A4730" t="str">
            <v>B558146/A</v>
          </cell>
          <cell r="B4730" t="str">
            <v>RH3451M112</v>
          </cell>
          <cell r="C4730">
            <v>10</v>
          </cell>
          <cell r="D4730">
            <v>268.24</v>
          </cell>
          <cell r="E4730">
            <v>2682.4</v>
          </cell>
          <cell r="F4730" t="str">
            <v>A1-S01</v>
          </cell>
          <cell r="G4730" t="str">
            <v xml:space="preserve">Drawer front - Mặt hộc kéo </v>
          </cell>
          <cell r="H4730" t="str">
            <v>MDF laminate</v>
          </cell>
          <cell r="I4730">
            <v>30</v>
          </cell>
        </row>
        <row r="4731">
          <cell r="A4731" t="str">
            <v>B558146/A</v>
          </cell>
          <cell r="B4731" t="str">
            <v>RH3451M112</v>
          </cell>
          <cell r="C4731">
            <v>10</v>
          </cell>
          <cell r="D4731">
            <v>268.24</v>
          </cell>
          <cell r="E4731">
            <v>2682.4</v>
          </cell>
          <cell r="F4731" t="str">
            <v>A1-S02</v>
          </cell>
          <cell r="G4731" t="str">
            <v>Drawer side - Hông hộc kéo</v>
          </cell>
          <cell r="H4731" t="str">
            <v>MDF Veneer</v>
          </cell>
          <cell r="I4731">
            <v>60</v>
          </cell>
        </row>
        <row r="4732">
          <cell r="A4732" t="str">
            <v>B558146/A</v>
          </cell>
          <cell r="B4732" t="str">
            <v>RH3451M112</v>
          </cell>
          <cell r="C4732">
            <v>10</v>
          </cell>
          <cell r="D4732">
            <v>268.24</v>
          </cell>
          <cell r="E4732">
            <v>2682.4</v>
          </cell>
          <cell r="F4732" t="str">
            <v>A1-S03</v>
          </cell>
          <cell r="G4732" t="str">
            <v>Drawer back - Hậu hộc kéo</v>
          </cell>
          <cell r="H4732" t="str">
            <v>MDF Veneer</v>
          </cell>
          <cell r="I4732">
            <v>30</v>
          </cell>
        </row>
        <row r="4733">
          <cell r="A4733" t="str">
            <v>B558146/A</v>
          </cell>
          <cell r="B4733" t="str">
            <v>RH3451M112</v>
          </cell>
          <cell r="C4733">
            <v>10</v>
          </cell>
          <cell r="D4733">
            <v>268.24</v>
          </cell>
          <cell r="E4733">
            <v>2682.4</v>
          </cell>
          <cell r="F4733" t="str">
            <v>A1-S04</v>
          </cell>
          <cell r="G4733" t="str">
            <v>Drawer bottom  - Đáy hộc kéo</v>
          </cell>
          <cell r="H4733" t="str">
            <v>MDF - 06 x 1220 x 2440mm, Veneer Poplar 0.42mm + Veneer Engineering 0.3mm [CARB P2 Compliant]</v>
          </cell>
          <cell r="I4733">
            <v>30</v>
          </cell>
        </row>
        <row r="4734">
          <cell r="A4734" t="str">
            <v>B558146/A</v>
          </cell>
          <cell r="B4734" t="str">
            <v>RH3451M112</v>
          </cell>
          <cell r="C4734">
            <v>10</v>
          </cell>
          <cell r="D4734">
            <v>268.24</v>
          </cell>
          <cell r="E4734">
            <v>2682.4</v>
          </cell>
          <cell r="F4734" t="str">
            <v>A1-S06</v>
          </cell>
          <cell r="G4734" t="str">
            <v>Patching wood - Gỗ đắp</v>
          </cell>
          <cell r="H4734" t="str">
            <v>Poplar off cut</v>
          </cell>
          <cell r="I4734">
            <v>30</v>
          </cell>
        </row>
        <row r="4735">
          <cell r="A4735" t="str">
            <v>B558146/A</v>
          </cell>
          <cell r="B4735" t="str">
            <v>RH3451M112</v>
          </cell>
          <cell r="C4735">
            <v>10</v>
          </cell>
          <cell r="D4735">
            <v>268.24</v>
          </cell>
          <cell r="E4735">
            <v>2682.4</v>
          </cell>
          <cell r="F4735" t="str">
            <v>A1-S07</v>
          </cell>
          <cell r="G4735" t="str">
            <v>Patching wood - Gỗ đắp</v>
          </cell>
          <cell r="H4735" t="str">
            <v>Poplar off cut</v>
          </cell>
          <cell r="I4735">
            <v>60</v>
          </cell>
        </row>
        <row r="4736">
          <cell r="A4736" t="str">
            <v>B558146/A</v>
          </cell>
          <cell r="B4736" t="str">
            <v>RH3451M112</v>
          </cell>
          <cell r="C4736">
            <v>10</v>
          </cell>
          <cell r="D4736">
            <v>268.24</v>
          </cell>
          <cell r="E4736">
            <v>2682.4</v>
          </cell>
          <cell r="F4736" t="str">
            <v>P01</v>
          </cell>
          <cell r="G4736" t="str">
            <v xml:space="preserve">Top panel  - Ván nóc </v>
          </cell>
          <cell r="H4736" t="str">
            <v>MDF laminate</v>
          </cell>
          <cell r="I4736">
            <v>20</v>
          </cell>
        </row>
        <row r="4737">
          <cell r="A4737" t="str">
            <v>B558146/A</v>
          </cell>
          <cell r="B4737" t="str">
            <v>RH3451M112</v>
          </cell>
          <cell r="C4737">
            <v>10</v>
          </cell>
          <cell r="D4737">
            <v>268.24</v>
          </cell>
          <cell r="E4737">
            <v>2682.4</v>
          </cell>
          <cell r="F4737" t="str">
            <v>P02</v>
          </cell>
          <cell r="G4737" t="str">
            <v xml:space="preserve">Side panel  - Ván hông </v>
          </cell>
          <cell r="H4737" t="str">
            <v>MDF laminate</v>
          </cell>
          <cell r="I4737">
            <v>20</v>
          </cell>
        </row>
        <row r="4738">
          <cell r="A4738" t="str">
            <v>B558146/A</v>
          </cell>
          <cell r="B4738" t="str">
            <v>RH3451M112</v>
          </cell>
          <cell r="C4738">
            <v>10</v>
          </cell>
          <cell r="D4738">
            <v>268.24</v>
          </cell>
          <cell r="E4738">
            <v>2682.4</v>
          </cell>
          <cell r="F4738" t="str">
            <v>P03</v>
          </cell>
          <cell r="G4738" t="str">
            <v xml:space="preserve">Side panel  - Ván hông </v>
          </cell>
          <cell r="H4738" t="str">
            <v>MDF - 15 x 1830 x 2440mm [CARB P2 Compliant]</v>
          </cell>
          <cell r="I4738">
            <v>20</v>
          </cell>
        </row>
        <row r="4739">
          <cell r="A4739" t="str">
            <v>B558146/A</v>
          </cell>
          <cell r="B4739" t="str">
            <v>RH3451M112</v>
          </cell>
          <cell r="C4739">
            <v>10</v>
          </cell>
          <cell r="D4739">
            <v>268.24</v>
          </cell>
          <cell r="E4739">
            <v>2682.4</v>
          </cell>
          <cell r="F4739" t="str">
            <v>P06</v>
          </cell>
          <cell r="G4739" t="str">
            <v>Cleat - Bọ gỗ</v>
          </cell>
          <cell r="H4739" t="str">
            <v>Wood Acacia - Straight/Waving Edged - T25mm x W100mm Up x L1m Up</v>
          </cell>
          <cell r="I4739">
            <v>20</v>
          </cell>
        </row>
        <row r="4740">
          <cell r="A4740" t="str">
            <v>B558146/A</v>
          </cell>
          <cell r="B4740" t="str">
            <v>RH3451M112</v>
          </cell>
          <cell r="C4740">
            <v>10</v>
          </cell>
          <cell r="D4740">
            <v>268.24</v>
          </cell>
          <cell r="E4740">
            <v>2682.4</v>
          </cell>
          <cell r="F4740" t="str">
            <v>P08</v>
          </cell>
          <cell r="G4740" t="str">
            <v>Cleat - Bọ gỗ</v>
          </cell>
          <cell r="H4740" t="str">
            <v>Poplar off cut</v>
          </cell>
          <cell r="I4740">
            <v>20</v>
          </cell>
        </row>
        <row r="4741">
          <cell r="A4741" t="str">
            <v>B558146/A</v>
          </cell>
          <cell r="B4741" t="str">
            <v>RH3451M112</v>
          </cell>
          <cell r="C4741">
            <v>10</v>
          </cell>
          <cell r="D4741">
            <v>268.24</v>
          </cell>
          <cell r="E4741">
            <v>2682.4</v>
          </cell>
          <cell r="F4741" t="str">
            <v>P08-1</v>
          </cell>
          <cell r="G4741" t="str">
            <v>Cleat - Bọ gỗ</v>
          </cell>
          <cell r="H4741" t="str">
            <v>Poplar off cut</v>
          </cell>
          <cell r="I4741">
            <v>20</v>
          </cell>
        </row>
        <row r="4742">
          <cell r="A4742" t="str">
            <v>B558146/A</v>
          </cell>
          <cell r="B4742" t="str">
            <v>RH3451M112</v>
          </cell>
          <cell r="C4742">
            <v>10</v>
          </cell>
          <cell r="D4742">
            <v>268.24</v>
          </cell>
          <cell r="E4742">
            <v>2682.4</v>
          </cell>
          <cell r="F4742" t="str">
            <v>P11</v>
          </cell>
          <cell r="G4742" t="str">
            <v>Spline - Lưỡi gà</v>
          </cell>
          <cell r="H4742" t="str">
            <v>Plywood LVD - 06 x 1220 x 2440mm, Bleached Poplar Veneer Both Sides [CARB P2 Compliant]</v>
          </cell>
          <cell r="I4742">
            <v>10</v>
          </cell>
        </row>
        <row r="4743">
          <cell r="A4743" t="str">
            <v>B558146/A</v>
          </cell>
          <cell r="B4743" t="str">
            <v>RH3451M112</v>
          </cell>
          <cell r="C4743">
            <v>10</v>
          </cell>
          <cell r="D4743">
            <v>268.24</v>
          </cell>
          <cell r="E4743">
            <v>2682.4</v>
          </cell>
          <cell r="F4743" t="str">
            <v>P12</v>
          </cell>
          <cell r="G4743" t="str">
            <v>Bottom panel - Ván đáy</v>
          </cell>
          <cell r="H4743" t="str">
            <v>MDF laminate</v>
          </cell>
          <cell r="I4743">
            <v>10</v>
          </cell>
        </row>
        <row r="4744">
          <cell r="A4744" t="str">
            <v>B558146/A</v>
          </cell>
          <cell r="B4744" t="str">
            <v>RH3451M112</v>
          </cell>
          <cell r="C4744">
            <v>10</v>
          </cell>
          <cell r="D4744">
            <v>268.24</v>
          </cell>
          <cell r="E4744">
            <v>2682.4</v>
          </cell>
          <cell r="F4744" t="str">
            <v>P13</v>
          </cell>
          <cell r="G4744" t="str">
            <v>Drawer stop - Dừng hộc</v>
          </cell>
          <cell r="H4744" t="str">
            <v>Poplar off cut</v>
          </cell>
          <cell r="I4744">
            <v>60</v>
          </cell>
        </row>
        <row r="4745">
          <cell r="A4745" t="str">
            <v>B558149/A</v>
          </cell>
          <cell r="B4745" t="str">
            <v>RH3451M113</v>
          </cell>
          <cell r="C4745">
            <v>10</v>
          </cell>
          <cell r="D4745">
            <v>268.24</v>
          </cell>
          <cell r="E4745">
            <v>2682.4</v>
          </cell>
          <cell r="F4745" t="str">
            <v>A1-S01</v>
          </cell>
          <cell r="G4745" t="str">
            <v xml:space="preserve">Drawer front - Mặt hộc kéo </v>
          </cell>
          <cell r="H4745" t="str">
            <v>MDF laminate</v>
          </cell>
          <cell r="I4745">
            <v>30</v>
          </cell>
        </row>
        <row r="4746">
          <cell r="A4746" t="str">
            <v>B558149/A</v>
          </cell>
          <cell r="B4746" t="str">
            <v>RH3451M113</v>
          </cell>
          <cell r="C4746">
            <v>10</v>
          </cell>
          <cell r="D4746">
            <v>268.24</v>
          </cell>
          <cell r="E4746">
            <v>2682.4</v>
          </cell>
          <cell r="F4746" t="str">
            <v>A1-S02</v>
          </cell>
          <cell r="G4746" t="str">
            <v>Drawer side - Hông hộc kéo</v>
          </cell>
          <cell r="H4746" t="str">
            <v>MDF Veneer</v>
          </cell>
          <cell r="I4746">
            <v>60</v>
          </cell>
        </row>
        <row r="4747">
          <cell r="A4747" t="str">
            <v>B558149/A</v>
          </cell>
          <cell r="B4747" t="str">
            <v>RH3451M113</v>
          </cell>
          <cell r="C4747">
            <v>10</v>
          </cell>
          <cell r="D4747">
            <v>268.24</v>
          </cell>
          <cell r="E4747">
            <v>2682.4</v>
          </cell>
          <cell r="F4747" t="str">
            <v>A1-S03</v>
          </cell>
          <cell r="G4747" t="str">
            <v>Drawer back - Hậu hộc kéo</v>
          </cell>
          <cell r="H4747" t="str">
            <v>MDF Veneer</v>
          </cell>
          <cell r="I4747">
            <v>30</v>
          </cell>
        </row>
        <row r="4748">
          <cell r="A4748" t="str">
            <v>B558149/A</v>
          </cell>
          <cell r="B4748" t="str">
            <v>RH3451M113</v>
          </cell>
          <cell r="C4748">
            <v>10</v>
          </cell>
          <cell r="D4748">
            <v>268.24</v>
          </cell>
          <cell r="E4748">
            <v>2682.4</v>
          </cell>
          <cell r="F4748" t="str">
            <v>A1-S04</v>
          </cell>
          <cell r="G4748" t="str">
            <v>Drawer bottom  - Đáy hộc kéo</v>
          </cell>
          <cell r="H4748" t="str">
            <v>MDF - 06 x 1220 x 2440mm, Veneer Poplar 0.42mm + Veneer Engineering 0.3mm [CARB P2 Compliant]</v>
          </cell>
          <cell r="I4748">
            <v>30</v>
          </cell>
        </row>
        <row r="4749">
          <cell r="A4749" t="str">
            <v>B558149/A</v>
          </cell>
          <cell r="B4749" t="str">
            <v>RH3451M113</v>
          </cell>
          <cell r="C4749">
            <v>10</v>
          </cell>
          <cell r="D4749">
            <v>268.24</v>
          </cell>
          <cell r="E4749">
            <v>2682.4</v>
          </cell>
          <cell r="F4749" t="str">
            <v>A1-S06</v>
          </cell>
          <cell r="G4749" t="str">
            <v>Patching wood - Gỗ đắp</v>
          </cell>
          <cell r="H4749" t="str">
            <v>Poplar off cut</v>
          </cell>
          <cell r="I4749">
            <v>30</v>
          </cell>
        </row>
        <row r="4750">
          <cell r="A4750" t="str">
            <v>B558149/A</v>
          </cell>
          <cell r="B4750" t="str">
            <v>RH3451M113</v>
          </cell>
          <cell r="C4750">
            <v>10</v>
          </cell>
          <cell r="D4750">
            <v>268.24</v>
          </cell>
          <cell r="E4750">
            <v>2682.4</v>
          </cell>
          <cell r="F4750" t="str">
            <v>A1-S07</v>
          </cell>
          <cell r="G4750" t="str">
            <v>Patching wood - Gỗ đắp</v>
          </cell>
          <cell r="H4750" t="str">
            <v>Poplar off cut</v>
          </cell>
          <cell r="I4750">
            <v>60</v>
          </cell>
        </row>
        <row r="4751">
          <cell r="A4751" t="str">
            <v>B558149/A</v>
          </cell>
          <cell r="B4751" t="str">
            <v>RH3451M113</v>
          </cell>
          <cell r="C4751">
            <v>10</v>
          </cell>
          <cell r="D4751">
            <v>268.24</v>
          </cell>
          <cell r="E4751">
            <v>2682.4</v>
          </cell>
          <cell r="F4751" t="str">
            <v>P01</v>
          </cell>
          <cell r="G4751" t="str">
            <v xml:space="preserve">Top panel  - Ván nóc </v>
          </cell>
          <cell r="H4751" t="str">
            <v>MDF laminate</v>
          </cell>
          <cell r="I4751">
            <v>20</v>
          </cell>
        </row>
        <row r="4752">
          <cell r="A4752" t="str">
            <v>B558149/A</v>
          </cell>
          <cell r="B4752" t="str">
            <v>RH3451M113</v>
          </cell>
          <cell r="C4752">
            <v>10</v>
          </cell>
          <cell r="D4752">
            <v>268.24</v>
          </cell>
          <cell r="E4752">
            <v>2682.4</v>
          </cell>
          <cell r="F4752" t="str">
            <v>P02</v>
          </cell>
          <cell r="G4752" t="str">
            <v xml:space="preserve">Side panel  - Ván hông </v>
          </cell>
          <cell r="H4752" t="str">
            <v>MDF laminate</v>
          </cell>
          <cell r="I4752">
            <v>20</v>
          </cell>
        </row>
        <row r="4753">
          <cell r="A4753" t="str">
            <v>B558149/A</v>
          </cell>
          <cell r="B4753" t="str">
            <v>RH3451M113</v>
          </cell>
          <cell r="C4753">
            <v>10</v>
          </cell>
          <cell r="D4753">
            <v>268.24</v>
          </cell>
          <cell r="E4753">
            <v>2682.4</v>
          </cell>
          <cell r="F4753" t="str">
            <v>P03</v>
          </cell>
          <cell r="G4753" t="str">
            <v xml:space="preserve">Side panel  - Ván hông </v>
          </cell>
          <cell r="H4753" t="str">
            <v>MDF - 15 x 1830 x 2440mm [CARB P2 Compliant]</v>
          </cell>
          <cell r="I4753">
            <v>20</v>
          </cell>
        </row>
        <row r="4754">
          <cell r="A4754" t="str">
            <v>B558149/A</v>
          </cell>
          <cell r="B4754" t="str">
            <v>RH3451M113</v>
          </cell>
          <cell r="C4754">
            <v>10</v>
          </cell>
          <cell r="D4754">
            <v>268.24</v>
          </cell>
          <cell r="E4754">
            <v>2682.4</v>
          </cell>
          <cell r="F4754" t="str">
            <v>P06</v>
          </cell>
          <cell r="G4754" t="str">
            <v>Cleat - Bọ gỗ</v>
          </cell>
          <cell r="H4754" t="str">
            <v>Wood Acacia - Straight/Waving Edged - T25mm x W100mm Up x L1m Up</v>
          </cell>
          <cell r="I4754">
            <v>20</v>
          </cell>
        </row>
        <row r="4755">
          <cell r="A4755" t="str">
            <v>B558149/A</v>
          </cell>
          <cell r="B4755" t="str">
            <v>RH3451M113</v>
          </cell>
          <cell r="C4755">
            <v>10</v>
          </cell>
          <cell r="D4755">
            <v>268.24</v>
          </cell>
          <cell r="E4755">
            <v>2682.4</v>
          </cell>
          <cell r="F4755" t="str">
            <v>P08</v>
          </cell>
          <cell r="G4755" t="str">
            <v>Cleat - Bọ gỗ</v>
          </cell>
          <cell r="H4755" t="str">
            <v>Poplar off cut</v>
          </cell>
          <cell r="I4755">
            <v>20</v>
          </cell>
        </row>
        <row r="4756">
          <cell r="A4756" t="str">
            <v>B558149/A</v>
          </cell>
          <cell r="B4756" t="str">
            <v>RH3451M113</v>
          </cell>
          <cell r="C4756">
            <v>10</v>
          </cell>
          <cell r="D4756">
            <v>268.24</v>
          </cell>
          <cell r="E4756">
            <v>2682.4</v>
          </cell>
          <cell r="F4756" t="str">
            <v>P08-1</v>
          </cell>
          <cell r="G4756" t="str">
            <v>Cleat - Bọ gỗ</v>
          </cell>
          <cell r="H4756" t="str">
            <v>Poplar off cut</v>
          </cell>
          <cell r="I4756">
            <v>20</v>
          </cell>
        </row>
        <row r="4757">
          <cell r="A4757" t="str">
            <v>B558149/A</v>
          </cell>
          <cell r="B4757" t="str">
            <v>RH3451M113</v>
          </cell>
          <cell r="C4757">
            <v>10</v>
          </cell>
          <cell r="D4757">
            <v>268.24</v>
          </cell>
          <cell r="E4757">
            <v>2682.4</v>
          </cell>
          <cell r="F4757" t="str">
            <v>P11</v>
          </cell>
          <cell r="G4757" t="str">
            <v>Spline - Lưỡi gà</v>
          </cell>
          <cell r="H4757" t="str">
            <v>Plywood LVD - 06 x 1220 x 2440mm, Bleached Poplar Veneer Both Sides [CARB P2 Compliant]</v>
          </cell>
          <cell r="I4757">
            <v>10</v>
          </cell>
        </row>
        <row r="4758">
          <cell r="A4758" t="str">
            <v>B558149/A</v>
          </cell>
          <cell r="B4758" t="str">
            <v>RH3451M113</v>
          </cell>
          <cell r="C4758">
            <v>10</v>
          </cell>
          <cell r="D4758">
            <v>268.24</v>
          </cell>
          <cell r="E4758">
            <v>2682.4</v>
          </cell>
          <cell r="F4758" t="str">
            <v>P12</v>
          </cell>
          <cell r="G4758" t="str">
            <v>Bottom panel - Ván đáy</v>
          </cell>
          <cell r="H4758" t="str">
            <v>MDF laminate</v>
          </cell>
          <cell r="I4758">
            <v>10</v>
          </cell>
        </row>
        <row r="4759">
          <cell r="A4759" t="str">
            <v>B558149/A</v>
          </cell>
          <cell r="B4759" t="str">
            <v>RH3451M113</v>
          </cell>
          <cell r="C4759">
            <v>10</v>
          </cell>
          <cell r="D4759">
            <v>268.24</v>
          </cell>
          <cell r="E4759">
            <v>2682.4</v>
          </cell>
          <cell r="F4759" t="str">
            <v>P13</v>
          </cell>
          <cell r="G4759" t="str">
            <v>Drawer stop - Dừng hộc</v>
          </cell>
          <cell r="H4759" t="str">
            <v>Poplar off cut</v>
          </cell>
          <cell r="I4759">
            <v>60</v>
          </cell>
        </row>
        <row r="4760">
          <cell r="A4760" t="str">
            <v>B558150/A</v>
          </cell>
          <cell r="B4760" t="str">
            <v>RH3451M113</v>
          </cell>
          <cell r="C4760">
            <v>10</v>
          </cell>
          <cell r="D4760">
            <v>268.24</v>
          </cell>
          <cell r="E4760">
            <v>2682.4</v>
          </cell>
          <cell r="F4760" t="str">
            <v>A1-S01</v>
          </cell>
          <cell r="G4760" t="str">
            <v xml:space="preserve">Drawer front - Mặt hộc kéo </v>
          </cell>
          <cell r="H4760" t="str">
            <v>MDF laminate</v>
          </cell>
          <cell r="I4760">
            <v>30</v>
          </cell>
        </row>
        <row r="4761">
          <cell r="A4761" t="str">
            <v>B558150/A</v>
          </cell>
          <cell r="B4761" t="str">
            <v>RH3451M113</v>
          </cell>
          <cell r="C4761">
            <v>10</v>
          </cell>
          <cell r="D4761">
            <v>268.24</v>
          </cell>
          <cell r="E4761">
            <v>2682.4</v>
          </cell>
          <cell r="F4761" t="str">
            <v>A1-S02</v>
          </cell>
          <cell r="G4761" t="str">
            <v>Drawer side - Hông hộc kéo</v>
          </cell>
          <cell r="H4761" t="str">
            <v>MDF Veneer</v>
          </cell>
          <cell r="I4761">
            <v>60</v>
          </cell>
        </row>
        <row r="4762">
          <cell r="A4762" t="str">
            <v>B558150/A</v>
          </cell>
          <cell r="B4762" t="str">
            <v>RH3451M113</v>
          </cell>
          <cell r="C4762">
            <v>10</v>
          </cell>
          <cell r="D4762">
            <v>268.24</v>
          </cell>
          <cell r="E4762">
            <v>2682.4</v>
          </cell>
          <cell r="F4762" t="str">
            <v>A1-S03</v>
          </cell>
          <cell r="G4762" t="str">
            <v>Drawer back - Hậu hộc kéo</v>
          </cell>
          <cell r="H4762" t="str">
            <v>MDF Veneer</v>
          </cell>
          <cell r="I4762">
            <v>30</v>
          </cell>
        </row>
        <row r="4763">
          <cell r="A4763" t="str">
            <v>B558150/A</v>
          </cell>
          <cell r="B4763" t="str">
            <v>RH3451M113</v>
          </cell>
          <cell r="C4763">
            <v>10</v>
          </cell>
          <cell r="D4763">
            <v>268.24</v>
          </cell>
          <cell r="E4763">
            <v>2682.4</v>
          </cell>
          <cell r="F4763" t="str">
            <v>A1-S04</v>
          </cell>
          <cell r="G4763" t="str">
            <v>Drawer bottom  - Đáy hộc kéo</v>
          </cell>
          <cell r="H4763" t="str">
            <v>MDF - 06 x 1220 x 2440mm, Veneer Poplar 0.42mm + Veneer Engineering 0.3mm [CARB P2 Compliant]</v>
          </cell>
          <cell r="I4763">
            <v>30</v>
          </cell>
        </row>
        <row r="4764">
          <cell r="A4764" t="str">
            <v>B558150/A</v>
          </cell>
          <cell r="B4764" t="str">
            <v>RH3451M113</v>
          </cell>
          <cell r="C4764">
            <v>10</v>
          </cell>
          <cell r="D4764">
            <v>268.24</v>
          </cell>
          <cell r="E4764">
            <v>2682.4</v>
          </cell>
          <cell r="F4764" t="str">
            <v>A1-S06</v>
          </cell>
          <cell r="G4764" t="str">
            <v>Patching wood - Gỗ đắp</v>
          </cell>
          <cell r="H4764" t="str">
            <v>Poplar off cut</v>
          </cell>
          <cell r="I4764">
            <v>30</v>
          </cell>
        </row>
        <row r="4765">
          <cell r="A4765" t="str">
            <v>B558150/A</v>
          </cell>
          <cell r="B4765" t="str">
            <v>RH3451M113</v>
          </cell>
          <cell r="C4765">
            <v>10</v>
          </cell>
          <cell r="D4765">
            <v>268.24</v>
          </cell>
          <cell r="E4765">
            <v>2682.4</v>
          </cell>
          <cell r="F4765" t="str">
            <v>A1-S07</v>
          </cell>
          <cell r="G4765" t="str">
            <v>Patching wood - Gỗ đắp</v>
          </cell>
          <cell r="H4765" t="str">
            <v>Poplar off cut</v>
          </cell>
          <cell r="I4765">
            <v>60</v>
          </cell>
        </row>
        <row r="4766">
          <cell r="A4766" t="str">
            <v>B558150/A</v>
          </cell>
          <cell r="B4766" t="str">
            <v>RH3451M113</v>
          </cell>
          <cell r="C4766">
            <v>10</v>
          </cell>
          <cell r="D4766">
            <v>268.24</v>
          </cell>
          <cell r="E4766">
            <v>2682.4</v>
          </cell>
          <cell r="F4766" t="str">
            <v>P01</v>
          </cell>
          <cell r="G4766" t="str">
            <v xml:space="preserve">Top panel  - Ván nóc </v>
          </cell>
          <cell r="H4766" t="str">
            <v>MDF laminate</v>
          </cell>
          <cell r="I4766">
            <v>20</v>
          </cell>
        </row>
        <row r="4767">
          <cell r="A4767" t="str">
            <v>B558150/A</v>
          </cell>
          <cell r="B4767" t="str">
            <v>RH3451M113</v>
          </cell>
          <cell r="C4767">
            <v>10</v>
          </cell>
          <cell r="D4767">
            <v>268.24</v>
          </cell>
          <cell r="E4767">
            <v>2682.4</v>
          </cell>
          <cell r="F4767" t="str">
            <v>P02</v>
          </cell>
          <cell r="G4767" t="str">
            <v xml:space="preserve">Side panel  - Ván hông </v>
          </cell>
          <cell r="H4767" t="str">
            <v>MDF laminate</v>
          </cell>
          <cell r="I4767">
            <v>20</v>
          </cell>
        </row>
        <row r="4768">
          <cell r="A4768" t="str">
            <v>B558150/A</v>
          </cell>
          <cell r="B4768" t="str">
            <v>RH3451M113</v>
          </cell>
          <cell r="C4768">
            <v>10</v>
          </cell>
          <cell r="D4768">
            <v>268.24</v>
          </cell>
          <cell r="E4768">
            <v>2682.4</v>
          </cell>
          <cell r="F4768" t="str">
            <v>P03</v>
          </cell>
          <cell r="G4768" t="str">
            <v xml:space="preserve">Side panel  - Ván hông </v>
          </cell>
          <cell r="H4768" t="str">
            <v>MDF - 15 x 1830 x 2440mm [CARB P2 Compliant]</v>
          </cell>
          <cell r="I4768">
            <v>20</v>
          </cell>
        </row>
        <row r="4769">
          <cell r="A4769" t="str">
            <v>B558150/A</v>
          </cell>
          <cell r="B4769" t="str">
            <v>RH3451M113</v>
          </cell>
          <cell r="C4769">
            <v>10</v>
          </cell>
          <cell r="D4769">
            <v>268.24</v>
          </cell>
          <cell r="E4769">
            <v>2682.4</v>
          </cell>
          <cell r="F4769" t="str">
            <v>P06</v>
          </cell>
          <cell r="G4769" t="str">
            <v>Cleat - Bọ gỗ</v>
          </cell>
          <cell r="H4769" t="str">
            <v>Wood Acacia - Straight/Waving Edged - T25mm x W100mm Up x L1m Up</v>
          </cell>
          <cell r="I4769">
            <v>20</v>
          </cell>
        </row>
        <row r="4770">
          <cell r="A4770" t="str">
            <v>B558150/A</v>
          </cell>
          <cell r="B4770" t="str">
            <v>RH3451M113</v>
          </cell>
          <cell r="C4770">
            <v>10</v>
          </cell>
          <cell r="D4770">
            <v>268.24</v>
          </cell>
          <cell r="E4770">
            <v>2682.4</v>
          </cell>
          <cell r="F4770" t="str">
            <v>P08</v>
          </cell>
          <cell r="G4770" t="str">
            <v>Cleat - Bọ gỗ</v>
          </cell>
          <cell r="H4770" t="str">
            <v>Poplar off cut</v>
          </cell>
          <cell r="I4770">
            <v>20</v>
          </cell>
        </row>
        <row r="4771">
          <cell r="A4771" t="str">
            <v>B558150/A</v>
          </cell>
          <cell r="B4771" t="str">
            <v>RH3451M113</v>
          </cell>
          <cell r="C4771">
            <v>10</v>
          </cell>
          <cell r="D4771">
            <v>268.24</v>
          </cell>
          <cell r="E4771">
            <v>2682.4</v>
          </cell>
          <cell r="F4771" t="str">
            <v>P08-1</v>
          </cell>
          <cell r="G4771" t="str">
            <v>Cleat - Bọ gỗ</v>
          </cell>
          <cell r="H4771" t="str">
            <v>Poplar off cut</v>
          </cell>
          <cell r="I4771">
            <v>20</v>
          </cell>
        </row>
        <row r="4772">
          <cell r="A4772" t="str">
            <v>B558150/A</v>
          </cell>
          <cell r="B4772" t="str">
            <v>RH3451M113</v>
          </cell>
          <cell r="C4772">
            <v>10</v>
          </cell>
          <cell r="D4772">
            <v>268.24</v>
          </cell>
          <cell r="E4772">
            <v>2682.4</v>
          </cell>
          <cell r="F4772" t="str">
            <v>P11</v>
          </cell>
          <cell r="G4772" t="str">
            <v>Spline - Lưỡi gà</v>
          </cell>
          <cell r="H4772" t="str">
            <v>Plywood LVD - 06 x 1220 x 2440mm, Bleached Poplar Veneer Both Sides [CARB P2 Compliant]</v>
          </cell>
          <cell r="I4772">
            <v>10</v>
          </cell>
        </row>
        <row r="4773">
          <cell r="A4773" t="str">
            <v>B558150/A</v>
          </cell>
          <cell r="B4773" t="str">
            <v>RH3451M113</v>
          </cell>
          <cell r="C4773">
            <v>10</v>
          </cell>
          <cell r="D4773">
            <v>268.24</v>
          </cell>
          <cell r="E4773">
            <v>2682.4</v>
          </cell>
          <cell r="F4773" t="str">
            <v>P12</v>
          </cell>
          <cell r="G4773" t="str">
            <v>Bottom panel - Ván đáy</v>
          </cell>
          <cell r="H4773" t="str">
            <v>MDF laminate</v>
          </cell>
          <cell r="I4773">
            <v>10</v>
          </cell>
        </row>
        <row r="4774">
          <cell r="A4774" t="str">
            <v>B558150/A</v>
          </cell>
          <cell r="B4774" t="str">
            <v>RH3451M113</v>
          </cell>
          <cell r="C4774">
            <v>10</v>
          </cell>
          <cell r="D4774">
            <v>268.24</v>
          </cell>
          <cell r="E4774">
            <v>2682.4</v>
          </cell>
          <cell r="F4774" t="str">
            <v>P13</v>
          </cell>
          <cell r="G4774" t="str">
            <v>Drawer stop - Dừng hộc</v>
          </cell>
          <cell r="H4774" t="str">
            <v>Poplar off cut</v>
          </cell>
          <cell r="I4774">
            <v>60</v>
          </cell>
        </row>
        <row r="4775">
          <cell r="A4775" t="str">
            <v>B558153/A</v>
          </cell>
          <cell r="B4775" t="str">
            <v>RH3451M152</v>
          </cell>
          <cell r="C4775">
            <v>20</v>
          </cell>
          <cell r="D4775">
            <v>268.24</v>
          </cell>
          <cell r="E4775">
            <v>5364.8</v>
          </cell>
          <cell r="F4775" t="str">
            <v>A1-S01</v>
          </cell>
          <cell r="G4775" t="str">
            <v xml:space="preserve">Drawer front - Mặt hộc kéo </v>
          </cell>
          <cell r="H4775" t="str">
            <v>MDF laminate</v>
          </cell>
          <cell r="I4775">
            <v>60</v>
          </cell>
        </row>
        <row r="4776">
          <cell r="A4776" t="str">
            <v>B558153/A</v>
          </cell>
          <cell r="B4776" t="str">
            <v>RH3451M152</v>
          </cell>
          <cell r="C4776">
            <v>20</v>
          </cell>
          <cell r="D4776">
            <v>268.24</v>
          </cell>
          <cell r="E4776">
            <v>5364.8</v>
          </cell>
          <cell r="F4776" t="str">
            <v>A1-S02</v>
          </cell>
          <cell r="G4776" t="str">
            <v>Drawer side - Hông hộc kéo</v>
          </cell>
          <cell r="H4776" t="str">
            <v>MDF Veneer</v>
          </cell>
          <cell r="I4776">
            <v>120</v>
          </cell>
        </row>
        <row r="4777">
          <cell r="A4777" t="str">
            <v>B558153/A</v>
          </cell>
          <cell r="B4777" t="str">
            <v>RH3451M152</v>
          </cell>
          <cell r="C4777">
            <v>20</v>
          </cell>
          <cell r="D4777">
            <v>268.24</v>
          </cell>
          <cell r="E4777">
            <v>5364.8</v>
          </cell>
          <cell r="F4777" t="str">
            <v>A1-S03</v>
          </cell>
          <cell r="G4777" t="str">
            <v>Drawer back - Hậu hộc kéo</v>
          </cell>
          <cell r="H4777" t="str">
            <v>MDF Veneer</v>
          </cell>
          <cell r="I4777">
            <v>60</v>
          </cell>
        </row>
        <row r="4778">
          <cell r="A4778" t="str">
            <v>B558153/A</v>
          </cell>
          <cell r="B4778" t="str">
            <v>RH3451M152</v>
          </cell>
          <cell r="C4778">
            <v>20</v>
          </cell>
          <cell r="D4778">
            <v>268.24</v>
          </cell>
          <cell r="E4778">
            <v>5364.8</v>
          </cell>
          <cell r="F4778" t="str">
            <v>A1-S04</v>
          </cell>
          <cell r="G4778" t="str">
            <v>Drawer bottom  - Đáy hộc kéo</v>
          </cell>
          <cell r="H4778" t="str">
            <v>MDF - 06 x 1220 x 2440mm, Veneer Poplar 0.42mm + Veneer Engineering 0.3mm [CARB P2 Compliant]</v>
          </cell>
          <cell r="I4778">
            <v>60</v>
          </cell>
        </row>
        <row r="4779">
          <cell r="A4779" t="str">
            <v>B558153/A</v>
          </cell>
          <cell r="B4779" t="str">
            <v>RH3451M152</v>
          </cell>
          <cell r="C4779">
            <v>20</v>
          </cell>
          <cell r="D4779">
            <v>268.24</v>
          </cell>
          <cell r="E4779">
            <v>5364.8</v>
          </cell>
          <cell r="F4779" t="str">
            <v>A1-S06</v>
          </cell>
          <cell r="G4779" t="str">
            <v>Patching wood - Gỗ đắp</v>
          </cell>
          <cell r="H4779" t="str">
            <v>Poplar off cut</v>
          </cell>
          <cell r="I4779">
            <v>60</v>
          </cell>
        </row>
        <row r="4780">
          <cell r="A4780" t="str">
            <v>B558153/A</v>
          </cell>
          <cell r="B4780" t="str">
            <v>RH3451M152</v>
          </cell>
          <cell r="C4780">
            <v>20</v>
          </cell>
          <cell r="D4780">
            <v>268.24</v>
          </cell>
          <cell r="E4780">
            <v>5364.8</v>
          </cell>
          <cell r="F4780" t="str">
            <v>A1-S07</v>
          </cell>
          <cell r="G4780" t="str">
            <v>Patching wood - Gỗ đắp</v>
          </cell>
          <cell r="H4780" t="str">
            <v>Poplar off cut</v>
          </cell>
          <cell r="I4780">
            <v>120</v>
          </cell>
        </row>
        <row r="4781">
          <cell r="A4781" t="str">
            <v>B558153/A</v>
          </cell>
          <cell r="B4781" t="str">
            <v>RH3451M152</v>
          </cell>
          <cell r="C4781">
            <v>20</v>
          </cell>
          <cell r="D4781">
            <v>268.24</v>
          </cell>
          <cell r="E4781">
            <v>5364.8</v>
          </cell>
          <cell r="F4781" t="str">
            <v>P01</v>
          </cell>
          <cell r="G4781" t="str">
            <v xml:space="preserve">Top panel  - Ván nóc </v>
          </cell>
          <cell r="H4781" t="str">
            <v>MDF laminate</v>
          </cell>
          <cell r="I4781">
            <v>40</v>
          </cell>
        </row>
        <row r="4782">
          <cell r="A4782" t="str">
            <v>B558153/A</v>
          </cell>
          <cell r="B4782" t="str">
            <v>RH3451M152</v>
          </cell>
          <cell r="C4782">
            <v>20</v>
          </cell>
          <cell r="D4782">
            <v>268.24</v>
          </cell>
          <cell r="E4782">
            <v>5364.8</v>
          </cell>
          <cell r="F4782" t="str">
            <v>P02</v>
          </cell>
          <cell r="G4782" t="str">
            <v xml:space="preserve">Side panel  - Ván hông </v>
          </cell>
          <cell r="H4782" t="str">
            <v>MDF laminate</v>
          </cell>
          <cell r="I4782">
            <v>40</v>
          </cell>
        </row>
        <row r="4783">
          <cell r="A4783" t="str">
            <v>B558153/A</v>
          </cell>
          <cell r="B4783" t="str">
            <v>RH3451M152</v>
          </cell>
          <cell r="C4783">
            <v>20</v>
          </cell>
          <cell r="D4783">
            <v>268.24</v>
          </cell>
          <cell r="E4783">
            <v>5364.8</v>
          </cell>
          <cell r="F4783" t="str">
            <v>P03</v>
          </cell>
          <cell r="G4783" t="str">
            <v xml:space="preserve">Side panel  - Ván hông </v>
          </cell>
          <cell r="H4783" t="str">
            <v>MDF - 15 x 1830 x 2440mm [CARB P2 Compliant]</v>
          </cell>
          <cell r="I4783">
            <v>40</v>
          </cell>
        </row>
        <row r="4784">
          <cell r="A4784" t="str">
            <v>B558153/A</v>
          </cell>
          <cell r="B4784" t="str">
            <v>RH3451M152</v>
          </cell>
          <cell r="C4784">
            <v>20</v>
          </cell>
          <cell r="D4784">
            <v>268.24</v>
          </cell>
          <cell r="E4784">
            <v>5364.8</v>
          </cell>
          <cell r="F4784" t="str">
            <v>P06</v>
          </cell>
          <cell r="G4784" t="str">
            <v>Cleat - Bọ gỗ</v>
          </cell>
          <cell r="H4784" t="str">
            <v>Wood Acacia - Straight/Waving Edged - T25mm x W100mm Up x L1m Up</v>
          </cell>
          <cell r="I4784">
            <v>40</v>
          </cell>
        </row>
        <row r="4785">
          <cell r="A4785" t="str">
            <v>B558153/A</v>
          </cell>
          <cell r="B4785" t="str">
            <v>RH3451M152</v>
          </cell>
          <cell r="C4785">
            <v>20</v>
          </cell>
          <cell r="D4785">
            <v>268.24</v>
          </cell>
          <cell r="E4785">
            <v>5364.8</v>
          </cell>
          <cell r="F4785" t="str">
            <v>P08</v>
          </cell>
          <cell r="G4785" t="str">
            <v>Cleat - Bọ gỗ</v>
          </cell>
          <cell r="H4785" t="str">
            <v>Poplar off cut</v>
          </cell>
          <cell r="I4785">
            <v>40</v>
          </cell>
        </row>
        <row r="4786">
          <cell r="A4786" t="str">
            <v>B558153/A</v>
          </cell>
          <cell r="B4786" t="str">
            <v>RH3451M152</v>
          </cell>
          <cell r="C4786">
            <v>20</v>
          </cell>
          <cell r="D4786">
            <v>268.24</v>
          </cell>
          <cell r="E4786">
            <v>5364.8</v>
          </cell>
          <cell r="F4786" t="str">
            <v>P08-1</v>
          </cell>
          <cell r="G4786" t="str">
            <v>Cleat - Bọ gỗ</v>
          </cell>
          <cell r="H4786" t="str">
            <v>Poplar off cut</v>
          </cell>
          <cell r="I4786">
            <v>40</v>
          </cell>
        </row>
        <row r="4787">
          <cell r="A4787" t="str">
            <v>B558153/A</v>
          </cell>
          <cell r="B4787" t="str">
            <v>RH3451M152</v>
          </cell>
          <cell r="C4787">
            <v>20</v>
          </cell>
          <cell r="D4787">
            <v>268.24</v>
          </cell>
          <cell r="E4787">
            <v>5364.8</v>
          </cell>
          <cell r="F4787" t="str">
            <v>P11</v>
          </cell>
          <cell r="G4787" t="str">
            <v>Spline - Lưỡi gà</v>
          </cell>
          <cell r="H4787" t="str">
            <v>Plywood LVD - 06 x 1220 x 2440mm, Bleached Poplar Veneer Both Sides [CARB P2 Compliant]</v>
          </cell>
          <cell r="I4787">
            <v>20</v>
          </cell>
        </row>
        <row r="4788">
          <cell r="A4788" t="str">
            <v>B558153/A</v>
          </cell>
          <cell r="B4788" t="str">
            <v>RH3451M152</v>
          </cell>
          <cell r="C4788">
            <v>20</v>
          </cell>
          <cell r="D4788">
            <v>268.24</v>
          </cell>
          <cell r="E4788">
            <v>5364.8</v>
          </cell>
          <cell r="F4788" t="str">
            <v>P12</v>
          </cell>
          <cell r="G4788" t="str">
            <v>Bottom panel - Ván đáy</v>
          </cell>
          <cell r="H4788" t="str">
            <v>MDF laminate</v>
          </cell>
          <cell r="I4788">
            <v>20</v>
          </cell>
        </row>
        <row r="4789">
          <cell r="A4789" t="str">
            <v>B558153/A</v>
          </cell>
          <cell r="B4789" t="str">
            <v>RH3451M152</v>
          </cell>
          <cell r="C4789">
            <v>20</v>
          </cell>
          <cell r="D4789">
            <v>268.24</v>
          </cell>
          <cell r="E4789">
            <v>5364.8</v>
          </cell>
          <cell r="F4789" t="str">
            <v>P13</v>
          </cell>
          <cell r="G4789" t="str">
            <v>Drawer stop - Dừng hộc</v>
          </cell>
          <cell r="H4789" t="str">
            <v>Poplar off cut</v>
          </cell>
          <cell r="I4789">
            <v>120</v>
          </cell>
        </row>
        <row r="4790">
          <cell r="A4790" t="str">
            <v>B558154/A</v>
          </cell>
          <cell r="B4790" t="str">
            <v>RH3451M152</v>
          </cell>
          <cell r="C4790">
            <v>20</v>
          </cell>
          <cell r="D4790">
            <v>268.24</v>
          </cell>
          <cell r="E4790">
            <v>5364.8</v>
          </cell>
          <cell r="F4790" t="str">
            <v>A1-S01</v>
          </cell>
          <cell r="G4790" t="str">
            <v xml:space="preserve">Drawer front - Mặt hộc kéo </v>
          </cell>
          <cell r="H4790" t="str">
            <v>MDF laminate</v>
          </cell>
          <cell r="I4790">
            <v>60</v>
          </cell>
        </row>
        <row r="4791">
          <cell r="A4791" t="str">
            <v>B558154/A</v>
          </cell>
          <cell r="B4791" t="str">
            <v>RH3451M152</v>
          </cell>
          <cell r="C4791">
            <v>20</v>
          </cell>
          <cell r="D4791">
            <v>268.24</v>
          </cell>
          <cell r="E4791">
            <v>5364.8</v>
          </cell>
          <cell r="F4791" t="str">
            <v>A1-S02</v>
          </cell>
          <cell r="G4791" t="str">
            <v>Drawer side - Hông hộc kéo</v>
          </cell>
          <cell r="H4791" t="str">
            <v>MDF Veneer</v>
          </cell>
          <cell r="I4791">
            <v>120</v>
          </cell>
        </row>
        <row r="4792">
          <cell r="A4792" t="str">
            <v>B558154/A</v>
          </cell>
          <cell r="B4792" t="str">
            <v>RH3451M152</v>
          </cell>
          <cell r="C4792">
            <v>20</v>
          </cell>
          <cell r="D4792">
            <v>268.24</v>
          </cell>
          <cell r="E4792">
            <v>5364.8</v>
          </cell>
          <cell r="F4792" t="str">
            <v>A1-S03</v>
          </cell>
          <cell r="G4792" t="str">
            <v>Drawer back - Hậu hộc kéo</v>
          </cell>
          <cell r="H4792" t="str">
            <v>MDF Veneer</v>
          </cell>
          <cell r="I4792">
            <v>60</v>
          </cell>
        </row>
        <row r="4793">
          <cell r="A4793" t="str">
            <v>B558154/A</v>
          </cell>
          <cell r="B4793" t="str">
            <v>RH3451M152</v>
          </cell>
          <cell r="C4793">
            <v>20</v>
          </cell>
          <cell r="D4793">
            <v>268.24</v>
          </cell>
          <cell r="E4793">
            <v>5364.8</v>
          </cell>
          <cell r="F4793" t="str">
            <v>A1-S04</v>
          </cell>
          <cell r="G4793" t="str">
            <v>Drawer bottom  - Đáy hộc kéo</v>
          </cell>
          <cell r="H4793" t="str">
            <v>MDF - 06 x 1220 x 2440mm, Veneer Poplar 0.42mm + Veneer Engineering 0.3mm [CARB P2 Compliant]</v>
          </cell>
          <cell r="I4793">
            <v>60</v>
          </cell>
        </row>
        <row r="4794">
          <cell r="A4794" t="str">
            <v>B558154/A</v>
          </cell>
          <cell r="B4794" t="str">
            <v>RH3451M152</v>
          </cell>
          <cell r="C4794">
            <v>20</v>
          </cell>
          <cell r="D4794">
            <v>268.24</v>
          </cell>
          <cell r="E4794">
            <v>5364.8</v>
          </cell>
          <cell r="F4794" t="str">
            <v>A1-S06</v>
          </cell>
          <cell r="G4794" t="str">
            <v>Patching wood - Gỗ đắp</v>
          </cell>
          <cell r="H4794" t="str">
            <v>Poplar off cut</v>
          </cell>
          <cell r="I4794">
            <v>60</v>
          </cell>
        </row>
        <row r="4795">
          <cell r="A4795" t="str">
            <v>B558154/A</v>
          </cell>
          <cell r="B4795" t="str">
            <v>RH3451M152</v>
          </cell>
          <cell r="C4795">
            <v>20</v>
          </cell>
          <cell r="D4795">
            <v>268.24</v>
          </cell>
          <cell r="E4795">
            <v>5364.8</v>
          </cell>
          <cell r="F4795" t="str">
            <v>A1-S07</v>
          </cell>
          <cell r="G4795" t="str">
            <v>Patching wood - Gỗ đắp</v>
          </cell>
          <cell r="H4795" t="str">
            <v>Poplar off cut</v>
          </cell>
          <cell r="I4795">
            <v>120</v>
          </cell>
        </row>
        <row r="4796">
          <cell r="A4796" t="str">
            <v>B558154/A</v>
          </cell>
          <cell r="B4796" t="str">
            <v>RH3451M152</v>
          </cell>
          <cell r="C4796">
            <v>20</v>
          </cell>
          <cell r="D4796">
            <v>268.24</v>
          </cell>
          <cell r="E4796">
            <v>5364.8</v>
          </cell>
          <cell r="F4796" t="str">
            <v>P01</v>
          </cell>
          <cell r="G4796" t="str">
            <v xml:space="preserve">Top panel  - Ván nóc </v>
          </cell>
          <cell r="H4796" t="str">
            <v>MDF laminate</v>
          </cell>
          <cell r="I4796">
            <v>40</v>
          </cell>
        </row>
        <row r="4797">
          <cell r="A4797" t="str">
            <v>B558154/A</v>
          </cell>
          <cell r="B4797" t="str">
            <v>RH3451M152</v>
          </cell>
          <cell r="C4797">
            <v>20</v>
          </cell>
          <cell r="D4797">
            <v>268.24</v>
          </cell>
          <cell r="E4797">
            <v>5364.8</v>
          </cell>
          <cell r="F4797" t="str">
            <v>P02</v>
          </cell>
          <cell r="G4797" t="str">
            <v xml:space="preserve">Side panel  - Ván hông </v>
          </cell>
          <cell r="H4797" t="str">
            <v>MDF laminate</v>
          </cell>
          <cell r="I4797">
            <v>40</v>
          </cell>
        </row>
        <row r="4798">
          <cell r="A4798" t="str">
            <v>B558154/A</v>
          </cell>
          <cell r="B4798" t="str">
            <v>RH3451M152</v>
          </cell>
          <cell r="C4798">
            <v>20</v>
          </cell>
          <cell r="D4798">
            <v>268.24</v>
          </cell>
          <cell r="E4798">
            <v>5364.8</v>
          </cell>
          <cell r="F4798" t="str">
            <v>P03</v>
          </cell>
          <cell r="G4798" t="str">
            <v xml:space="preserve">Side panel  - Ván hông </v>
          </cell>
          <cell r="H4798" t="str">
            <v>MDF - 15 x 1830 x 2440mm [CARB P2 Compliant]</v>
          </cell>
          <cell r="I4798">
            <v>40</v>
          </cell>
        </row>
        <row r="4799">
          <cell r="A4799" t="str">
            <v>B558154/A</v>
          </cell>
          <cell r="B4799" t="str">
            <v>RH3451M152</v>
          </cell>
          <cell r="C4799">
            <v>20</v>
          </cell>
          <cell r="D4799">
            <v>268.24</v>
          </cell>
          <cell r="E4799">
            <v>5364.8</v>
          </cell>
          <cell r="F4799" t="str">
            <v>P06</v>
          </cell>
          <cell r="G4799" t="str">
            <v>Cleat - Bọ gỗ</v>
          </cell>
          <cell r="H4799" t="str">
            <v>Wood Acacia - Straight/Waving Edged - T25mm x W100mm Up x L1m Up</v>
          </cell>
          <cell r="I4799">
            <v>40</v>
          </cell>
        </row>
        <row r="4800">
          <cell r="A4800" t="str">
            <v>B558154/A</v>
          </cell>
          <cell r="B4800" t="str">
            <v>RH3451M152</v>
          </cell>
          <cell r="C4800">
            <v>20</v>
          </cell>
          <cell r="D4800">
            <v>268.24</v>
          </cell>
          <cell r="E4800">
            <v>5364.8</v>
          </cell>
          <cell r="F4800" t="str">
            <v>P08</v>
          </cell>
          <cell r="G4800" t="str">
            <v>Cleat - Bọ gỗ</v>
          </cell>
          <cell r="H4800" t="str">
            <v>Poplar off cut</v>
          </cell>
          <cell r="I4800">
            <v>40</v>
          </cell>
        </row>
        <row r="4801">
          <cell r="A4801" t="str">
            <v>B558154/A</v>
          </cell>
          <cell r="B4801" t="str">
            <v>RH3451M152</v>
          </cell>
          <cell r="C4801">
            <v>20</v>
          </cell>
          <cell r="D4801">
            <v>268.24</v>
          </cell>
          <cell r="E4801">
            <v>5364.8</v>
          </cell>
          <cell r="F4801" t="str">
            <v>P08-1</v>
          </cell>
          <cell r="G4801" t="str">
            <v>Cleat - Bọ gỗ</v>
          </cell>
          <cell r="H4801" t="str">
            <v>Poplar off cut</v>
          </cell>
          <cell r="I4801">
            <v>40</v>
          </cell>
        </row>
        <row r="4802">
          <cell r="A4802" t="str">
            <v>B558154/A</v>
          </cell>
          <cell r="B4802" t="str">
            <v>RH3451M152</v>
          </cell>
          <cell r="C4802">
            <v>20</v>
          </cell>
          <cell r="D4802">
            <v>268.24</v>
          </cell>
          <cell r="E4802">
            <v>5364.8</v>
          </cell>
          <cell r="F4802" t="str">
            <v>P11</v>
          </cell>
          <cell r="G4802" t="str">
            <v>Spline - Lưỡi gà</v>
          </cell>
          <cell r="H4802" t="str">
            <v>Plywood LVD - 06 x 1220 x 2440mm, Bleached Poplar Veneer Both Sides [CARB P2 Compliant]</v>
          </cell>
          <cell r="I4802">
            <v>20</v>
          </cell>
        </row>
        <row r="4803">
          <cell r="A4803" t="str">
            <v>B558154/A</v>
          </cell>
          <cell r="B4803" t="str">
            <v>RH3451M152</v>
          </cell>
          <cell r="C4803">
            <v>20</v>
          </cell>
          <cell r="D4803">
            <v>268.24</v>
          </cell>
          <cell r="E4803">
            <v>5364.8</v>
          </cell>
          <cell r="F4803" t="str">
            <v>P12</v>
          </cell>
          <cell r="G4803" t="str">
            <v>Bottom panel - Ván đáy</v>
          </cell>
          <cell r="H4803" t="str">
            <v>MDF laminate</v>
          </cell>
          <cell r="I4803">
            <v>20</v>
          </cell>
        </row>
        <row r="4804">
          <cell r="A4804" t="str">
            <v>B558154/A</v>
          </cell>
          <cell r="B4804" t="str">
            <v>RH3451M152</v>
          </cell>
          <cell r="C4804">
            <v>20</v>
          </cell>
          <cell r="D4804">
            <v>268.24</v>
          </cell>
          <cell r="E4804">
            <v>5364.8</v>
          </cell>
          <cell r="F4804" t="str">
            <v>P13</v>
          </cell>
          <cell r="G4804" t="str">
            <v>Drawer stop - Dừng hộc</v>
          </cell>
          <cell r="H4804" t="str">
            <v>Poplar off cut</v>
          </cell>
          <cell r="I4804">
            <v>120</v>
          </cell>
        </row>
        <row r="4805">
          <cell r="A4805" t="str">
            <v>B558157/A</v>
          </cell>
          <cell r="B4805" t="str">
            <v>RH3451M153</v>
          </cell>
          <cell r="C4805">
            <v>5</v>
          </cell>
          <cell r="D4805">
            <v>268.24</v>
          </cell>
          <cell r="E4805">
            <v>1341.2</v>
          </cell>
          <cell r="F4805" t="str">
            <v>A1-S01</v>
          </cell>
          <cell r="G4805" t="str">
            <v xml:space="preserve">Drawer front - Mặt hộc kéo </v>
          </cell>
          <cell r="H4805" t="str">
            <v>MDF laminate</v>
          </cell>
          <cell r="I4805">
            <v>15</v>
          </cell>
        </row>
        <row r="4806">
          <cell r="A4806" t="str">
            <v>B558157/A</v>
          </cell>
          <cell r="B4806" t="str">
            <v>RH3451M153</v>
          </cell>
          <cell r="C4806">
            <v>5</v>
          </cell>
          <cell r="D4806">
            <v>268.24</v>
          </cell>
          <cell r="E4806">
            <v>1341.2</v>
          </cell>
          <cell r="F4806" t="str">
            <v>A1-S02</v>
          </cell>
          <cell r="G4806" t="str">
            <v>Drawer side - Hông hộc kéo</v>
          </cell>
          <cell r="H4806" t="str">
            <v>MDF Veneer</v>
          </cell>
          <cell r="I4806">
            <v>30</v>
          </cell>
        </row>
        <row r="4807">
          <cell r="A4807" t="str">
            <v>B558157/A</v>
          </cell>
          <cell r="B4807" t="str">
            <v>RH3451M153</v>
          </cell>
          <cell r="C4807">
            <v>5</v>
          </cell>
          <cell r="D4807">
            <v>268.24</v>
          </cell>
          <cell r="E4807">
            <v>1341.2</v>
          </cell>
          <cell r="F4807" t="str">
            <v>A1-S03</v>
          </cell>
          <cell r="G4807" t="str">
            <v>Drawer back - Hậu hộc kéo</v>
          </cell>
          <cell r="H4807" t="str">
            <v>MDF Veneer</v>
          </cell>
          <cell r="I4807">
            <v>15</v>
          </cell>
        </row>
        <row r="4808">
          <cell r="A4808" t="str">
            <v>B558157/A</v>
          </cell>
          <cell r="B4808" t="str">
            <v>RH3451M153</v>
          </cell>
          <cell r="C4808">
            <v>5</v>
          </cell>
          <cell r="D4808">
            <v>268.24</v>
          </cell>
          <cell r="E4808">
            <v>1341.2</v>
          </cell>
          <cell r="F4808" t="str">
            <v>A1-S04</v>
          </cell>
          <cell r="G4808" t="str">
            <v>Drawer bottom  - Đáy hộc kéo</v>
          </cell>
          <cell r="H4808" t="str">
            <v>MDF - 06 x 1220 x 2440mm, Veneer Poplar 0.42mm + Veneer Engineering 0.3mm [CARB P2 Compliant]</v>
          </cell>
          <cell r="I4808">
            <v>15</v>
          </cell>
        </row>
        <row r="4809">
          <cell r="A4809" t="str">
            <v>B558157/A</v>
          </cell>
          <cell r="B4809" t="str">
            <v>RH3451M153</v>
          </cell>
          <cell r="C4809">
            <v>5</v>
          </cell>
          <cell r="D4809">
            <v>268.24</v>
          </cell>
          <cell r="E4809">
            <v>1341.2</v>
          </cell>
          <cell r="F4809" t="str">
            <v>A1-S06</v>
          </cell>
          <cell r="G4809" t="str">
            <v>Patching wood - Gỗ đắp</v>
          </cell>
          <cell r="H4809" t="str">
            <v>Poplar off cut</v>
          </cell>
          <cell r="I4809">
            <v>15</v>
          </cell>
        </row>
        <row r="4810">
          <cell r="A4810" t="str">
            <v>B558157/A</v>
          </cell>
          <cell r="B4810" t="str">
            <v>RH3451M153</v>
          </cell>
          <cell r="C4810">
            <v>5</v>
          </cell>
          <cell r="D4810">
            <v>268.24</v>
          </cell>
          <cell r="E4810">
            <v>1341.2</v>
          </cell>
          <cell r="F4810" t="str">
            <v>A1-S07</v>
          </cell>
          <cell r="G4810" t="str">
            <v>Patching wood - Gỗ đắp</v>
          </cell>
          <cell r="H4810" t="str">
            <v>Poplar off cut</v>
          </cell>
          <cell r="I4810">
            <v>30</v>
          </cell>
        </row>
        <row r="4811">
          <cell r="A4811" t="str">
            <v>B558157/A</v>
          </cell>
          <cell r="B4811" t="str">
            <v>RH3451M153</v>
          </cell>
          <cell r="C4811">
            <v>5</v>
          </cell>
          <cell r="D4811">
            <v>268.24</v>
          </cell>
          <cell r="E4811">
            <v>1341.2</v>
          </cell>
          <cell r="F4811" t="str">
            <v>P01</v>
          </cell>
          <cell r="G4811" t="str">
            <v xml:space="preserve">Top panel  - Ván nóc </v>
          </cell>
          <cell r="H4811" t="str">
            <v>MDF laminate</v>
          </cell>
          <cell r="I4811">
            <v>10</v>
          </cell>
        </row>
        <row r="4812">
          <cell r="A4812" t="str">
            <v>B558157/A</v>
          </cell>
          <cell r="B4812" t="str">
            <v>RH3451M153</v>
          </cell>
          <cell r="C4812">
            <v>5</v>
          </cell>
          <cell r="D4812">
            <v>268.24</v>
          </cell>
          <cell r="E4812">
            <v>1341.2</v>
          </cell>
          <cell r="F4812" t="str">
            <v>P02</v>
          </cell>
          <cell r="G4812" t="str">
            <v xml:space="preserve">Side panel  - Ván hông </v>
          </cell>
          <cell r="H4812" t="str">
            <v>MDF laminate</v>
          </cell>
          <cell r="I4812">
            <v>10</v>
          </cell>
        </row>
        <row r="4813">
          <cell r="A4813" t="str">
            <v>B558157/A</v>
          </cell>
          <cell r="B4813" t="str">
            <v>RH3451M153</v>
          </cell>
          <cell r="C4813">
            <v>5</v>
          </cell>
          <cell r="D4813">
            <v>268.24</v>
          </cell>
          <cell r="E4813">
            <v>1341.2</v>
          </cell>
          <cell r="F4813" t="str">
            <v>P03</v>
          </cell>
          <cell r="G4813" t="str">
            <v xml:space="preserve">Side panel  - Ván hông </v>
          </cell>
          <cell r="H4813" t="str">
            <v>MDF - 15 x 1830 x 2440mm [CARB P2 Compliant]</v>
          </cell>
          <cell r="I4813">
            <v>10</v>
          </cell>
        </row>
        <row r="4814">
          <cell r="A4814" t="str">
            <v>B558157/A</v>
          </cell>
          <cell r="B4814" t="str">
            <v>RH3451M153</v>
          </cell>
          <cell r="C4814">
            <v>5</v>
          </cell>
          <cell r="D4814">
            <v>268.24</v>
          </cell>
          <cell r="E4814">
            <v>1341.2</v>
          </cell>
          <cell r="F4814" t="str">
            <v>P06</v>
          </cell>
          <cell r="G4814" t="str">
            <v>Cleat - Bọ gỗ</v>
          </cell>
          <cell r="H4814" t="str">
            <v>Wood Acacia - Straight/Waving Edged - T25mm x W100mm Up x L1m Up</v>
          </cell>
          <cell r="I4814">
            <v>10</v>
          </cell>
        </row>
        <row r="4815">
          <cell r="A4815" t="str">
            <v>B558157/A</v>
          </cell>
          <cell r="B4815" t="str">
            <v>RH3451M153</v>
          </cell>
          <cell r="C4815">
            <v>5</v>
          </cell>
          <cell r="D4815">
            <v>268.24</v>
          </cell>
          <cell r="E4815">
            <v>1341.2</v>
          </cell>
          <cell r="F4815" t="str">
            <v>P08</v>
          </cell>
          <cell r="G4815" t="str">
            <v>Cleat - Bọ gỗ</v>
          </cell>
          <cell r="H4815" t="str">
            <v>Poplar off cut</v>
          </cell>
          <cell r="I4815">
            <v>10</v>
          </cell>
        </row>
        <row r="4816">
          <cell r="A4816" t="str">
            <v>B558157/A</v>
          </cell>
          <cell r="B4816" t="str">
            <v>RH3451M153</v>
          </cell>
          <cell r="C4816">
            <v>5</v>
          </cell>
          <cell r="D4816">
            <v>268.24</v>
          </cell>
          <cell r="E4816">
            <v>1341.2</v>
          </cell>
          <cell r="F4816" t="str">
            <v>P08-1</v>
          </cell>
          <cell r="G4816" t="str">
            <v>Cleat - Bọ gỗ</v>
          </cell>
          <cell r="H4816" t="str">
            <v>Poplar off cut</v>
          </cell>
          <cell r="I4816">
            <v>10</v>
          </cell>
        </row>
        <row r="4817">
          <cell r="A4817" t="str">
            <v>B558157/A</v>
          </cell>
          <cell r="B4817" t="str">
            <v>RH3451M153</v>
          </cell>
          <cell r="C4817">
            <v>5</v>
          </cell>
          <cell r="D4817">
            <v>268.24</v>
          </cell>
          <cell r="E4817">
            <v>1341.2</v>
          </cell>
          <cell r="F4817" t="str">
            <v>P11</v>
          </cell>
          <cell r="G4817" t="str">
            <v>Spline - Lưỡi gà</v>
          </cell>
          <cell r="H4817" t="str">
            <v>Plywood LVD - 06 x 1220 x 2440mm, Bleached Poplar Veneer Both Sides [CARB P2 Compliant]</v>
          </cell>
          <cell r="I4817">
            <v>5</v>
          </cell>
        </row>
        <row r="4818">
          <cell r="A4818" t="str">
            <v>B558157/A</v>
          </cell>
          <cell r="B4818" t="str">
            <v>RH3451M153</v>
          </cell>
          <cell r="C4818">
            <v>5</v>
          </cell>
          <cell r="D4818">
            <v>268.24</v>
          </cell>
          <cell r="E4818">
            <v>1341.2</v>
          </cell>
          <cell r="F4818" t="str">
            <v>P12</v>
          </cell>
          <cell r="G4818" t="str">
            <v>Bottom panel - Ván đáy</v>
          </cell>
          <cell r="H4818" t="str">
            <v>MDF laminate</v>
          </cell>
          <cell r="I4818">
            <v>5</v>
          </cell>
        </row>
        <row r="4819">
          <cell r="A4819" t="str">
            <v>B558157/A</v>
          </cell>
          <cell r="B4819" t="str">
            <v>RH3451M153</v>
          </cell>
          <cell r="C4819">
            <v>5</v>
          </cell>
          <cell r="D4819">
            <v>268.24</v>
          </cell>
          <cell r="E4819">
            <v>1341.2</v>
          </cell>
          <cell r="F4819" t="str">
            <v>P13</v>
          </cell>
          <cell r="G4819" t="str">
            <v>Drawer stop - Dừng hộc</v>
          </cell>
          <cell r="H4819" t="str">
            <v>Poplar off cut</v>
          </cell>
          <cell r="I4819">
            <v>30</v>
          </cell>
        </row>
        <row r="4820">
          <cell r="A4820" t="str">
            <v>B558158/A</v>
          </cell>
          <cell r="B4820" t="str">
            <v>RH3451M153</v>
          </cell>
          <cell r="C4820">
            <v>5</v>
          </cell>
          <cell r="D4820">
            <v>268.24</v>
          </cell>
          <cell r="E4820">
            <v>1341.2</v>
          </cell>
          <cell r="F4820" t="str">
            <v>A1-S01</v>
          </cell>
          <cell r="G4820" t="str">
            <v xml:space="preserve">Drawer front - Mặt hộc kéo </v>
          </cell>
          <cell r="H4820" t="str">
            <v>MDF laminate</v>
          </cell>
          <cell r="I4820">
            <v>15</v>
          </cell>
        </row>
        <row r="4821">
          <cell r="A4821" t="str">
            <v>B558158/A</v>
          </cell>
          <cell r="B4821" t="str">
            <v>RH3451M153</v>
          </cell>
          <cell r="C4821">
            <v>5</v>
          </cell>
          <cell r="D4821">
            <v>268.24</v>
          </cell>
          <cell r="E4821">
            <v>1341.2</v>
          </cell>
          <cell r="F4821" t="str">
            <v>A1-S02</v>
          </cell>
          <cell r="G4821" t="str">
            <v>Drawer side - Hông hộc kéo</v>
          </cell>
          <cell r="H4821" t="str">
            <v>MDF Veneer</v>
          </cell>
          <cell r="I4821">
            <v>30</v>
          </cell>
        </row>
        <row r="4822">
          <cell r="A4822" t="str">
            <v>B558158/A</v>
          </cell>
          <cell r="B4822" t="str">
            <v>RH3451M153</v>
          </cell>
          <cell r="C4822">
            <v>5</v>
          </cell>
          <cell r="D4822">
            <v>268.24</v>
          </cell>
          <cell r="E4822">
            <v>1341.2</v>
          </cell>
          <cell r="F4822" t="str">
            <v>A1-S03</v>
          </cell>
          <cell r="G4822" t="str">
            <v>Drawer back - Hậu hộc kéo</v>
          </cell>
          <cell r="H4822" t="str">
            <v>MDF Veneer</v>
          </cell>
          <cell r="I4822">
            <v>15</v>
          </cell>
        </row>
        <row r="4823">
          <cell r="A4823" t="str">
            <v>B558158/A</v>
          </cell>
          <cell r="B4823" t="str">
            <v>RH3451M153</v>
          </cell>
          <cell r="C4823">
            <v>5</v>
          </cell>
          <cell r="D4823">
            <v>268.24</v>
          </cell>
          <cell r="E4823">
            <v>1341.2</v>
          </cell>
          <cell r="F4823" t="str">
            <v>A1-S04</v>
          </cell>
          <cell r="G4823" t="str">
            <v>Drawer bottom  - Đáy hộc kéo</v>
          </cell>
          <cell r="H4823" t="str">
            <v>MDF - 06 x 1220 x 2440mm, Veneer Poplar 0.42mm + Veneer Engineering 0.3mm [CARB P2 Compliant]</v>
          </cell>
          <cell r="I4823">
            <v>15</v>
          </cell>
        </row>
        <row r="4824">
          <cell r="A4824" t="str">
            <v>B558158/A</v>
          </cell>
          <cell r="B4824" t="str">
            <v>RH3451M153</v>
          </cell>
          <cell r="C4824">
            <v>5</v>
          </cell>
          <cell r="D4824">
            <v>268.24</v>
          </cell>
          <cell r="E4824">
            <v>1341.2</v>
          </cell>
          <cell r="F4824" t="str">
            <v>A1-S06</v>
          </cell>
          <cell r="G4824" t="str">
            <v>Patching wood - Gỗ đắp</v>
          </cell>
          <cell r="H4824" t="str">
            <v>Poplar off cut</v>
          </cell>
          <cell r="I4824">
            <v>15</v>
          </cell>
        </row>
        <row r="4825">
          <cell r="A4825" t="str">
            <v>B558158/A</v>
          </cell>
          <cell r="B4825" t="str">
            <v>RH3451M153</v>
          </cell>
          <cell r="C4825">
            <v>5</v>
          </cell>
          <cell r="D4825">
            <v>268.24</v>
          </cell>
          <cell r="E4825">
            <v>1341.2</v>
          </cell>
          <cell r="F4825" t="str">
            <v>A1-S07</v>
          </cell>
          <cell r="G4825" t="str">
            <v>Patching wood - Gỗ đắp</v>
          </cell>
          <cell r="H4825" t="str">
            <v>Poplar off cut</v>
          </cell>
          <cell r="I4825">
            <v>30</v>
          </cell>
        </row>
        <row r="4826">
          <cell r="A4826" t="str">
            <v>B558158/A</v>
          </cell>
          <cell r="B4826" t="str">
            <v>RH3451M153</v>
          </cell>
          <cell r="C4826">
            <v>5</v>
          </cell>
          <cell r="D4826">
            <v>268.24</v>
          </cell>
          <cell r="E4826">
            <v>1341.2</v>
          </cell>
          <cell r="F4826" t="str">
            <v>P01</v>
          </cell>
          <cell r="G4826" t="str">
            <v xml:space="preserve">Top panel  - Ván nóc </v>
          </cell>
          <cell r="H4826" t="str">
            <v>MDF laminate</v>
          </cell>
          <cell r="I4826">
            <v>10</v>
          </cell>
        </row>
        <row r="4827">
          <cell r="A4827" t="str">
            <v>B558158/A</v>
          </cell>
          <cell r="B4827" t="str">
            <v>RH3451M153</v>
          </cell>
          <cell r="C4827">
            <v>5</v>
          </cell>
          <cell r="D4827">
            <v>268.24</v>
          </cell>
          <cell r="E4827">
            <v>1341.2</v>
          </cell>
          <cell r="F4827" t="str">
            <v>P02</v>
          </cell>
          <cell r="G4827" t="str">
            <v xml:space="preserve">Side panel  - Ván hông </v>
          </cell>
          <cell r="H4827" t="str">
            <v>MDF laminate</v>
          </cell>
          <cell r="I4827">
            <v>10</v>
          </cell>
        </row>
        <row r="4828">
          <cell r="A4828" t="str">
            <v>B558158/A</v>
          </cell>
          <cell r="B4828" t="str">
            <v>RH3451M153</v>
          </cell>
          <cell r="C4828">
            <v>5</v>
          </cell>
          <cell r="D4828">
            <v>268.24</v>
          </cell>
          <cell r="E4828">
            <v>1341.2</v>
          </cell>
          <cell r="F4828" t="str">
            <v>P03</v>
          </cell>
          <cell r="G4828" t="str">
            <v xml:space="preserve">Side panel  - Ván hông </v>
          </cell>
          <cell r="H4828" t="str">
            <v>MDF - 15 x 1830 x 2440mm [CARB P2 Compliant]</v>
          </cell>
          <cell r="I4828">
            <v>10</v>
          </cell>
        </row>
        <row r="4829">
          <cell r="A4829" t="str">
            <v>B558158/A</v>
          </cell>
          <cell r="B4829" t="str">
            <v>RH3451M153</v>
          </cell>
          <cell r="C4829">
            <v>5</v>
          </cell>
          <cell r="D4829">
            <v>268.24</v>
          </cell>
          <cell r="E4829">
            <v>1341.2</v>
          </cell>
          <cell r="F4829" t="str">
            <v>P06</v>
          </cell>
          <cell r="G4829" t="str">
            <v>Cleat - Bọ gỗ</v>
          </cell>
          <cell r="H4829" t="str">
            <v>Wood Acacia - Straight/Waving Edged - T25mm x W100mm Up x L1m Up</v>
          </cell>
          <cell r="I4829">
            <v>10</v>
          </cell>
        </row>
        <row r="4830">
          <cell r="A4830" t="str">
            <v>B558158/A</v>
          </cell>
          <cell r="B4830" t="str">
            <v>RH3451M153</v>
          </cell>
          <cell r="C4830">
            <v>5</v>
          </cell>
          <cell r="D4830">
            <v>268.24</v>
          </cell>
          <cell r="E4830">
            <v>1341.2</v>
          </cell>
          <cell r="F4830" t="str">
            <v>P08</v>
          </cell>
          <cell r="G4830" t="str">
            <v>Cleat - Bọ gỗ</v>
          </cell>
          <cell r="H4830" t="str">
            <v>Poplar off cut</v>
          </cell>
          <cell r="I4830">
            <v>10</v>
          </cell>
        </row>
        <row r="4831">
          <cell r="A4831" t="str">
            <v>B558158/A</v>
          </cell>
          <cell r="B4831" t="str">
            <v>RH3451M153</v>
          </cell>
          <cell r="C4831">
            <v>5</v>
          </cell>
          <cell r="D4831">
            <v>268.24</v>
          </cell>
          <cell r="E4831">
            <v>1341.2</v>
          </cell>
          <cell r="F4831" t="str">
            <v>P08-1</v>
          </cell>
          <cell r="G4831" t="str">
            <v>Cleat - Bọ gỗ</v>
          </cell>
          <cell r="H4831" t="str">
            <v>Poplar off cut</v>
          </cell>
          <cell r="I4831">
            <v>10</v>
          </cell>
        </row>
        <row r="4832">
          <cell r="A4832" t="str">
            <v>B558158/A</v>
          </cell>
          <cell r="B4832" t="str">
            <v>RH3451M153</v>
          </cell>
          <cell r="C4832">
            <v>5</v>
          </cell>
          <cell r="D4832">
            <v>268.24</v>
          </cell>
          <cell r="E4832">
            <v>1341.2</v>
          </cell>
          <cell r="F4832" t="str">
            <v>P11</v>
          </cell>
          <cell r="G4832" t="str">
            <v>Spline - Lưỡi gà</v>
          </cell>
          <cell r="H4832" t="str">
            <v>Plywood LVD - 06 x 1220 x 2440mm, Bleached Poplar Veneer Both Sides [CARB P2 Compliant]</v>
          </cell>
          <cell r="I4832">
            <v>5</v>
          </cell>
        </row>
        <row r="4833">
          <cell r="A4833" t="str">
            <v>B558158/A</v>
          </cell>
          <cell r="B4833" t="str">
            <v>RH3451M153</v>
          </cell>
          <cell r="C4833">
            <v>5</v>
          </cell>
          <cell r="D4833">
            <v>268.24</v>
          </cell>
          <cell r="E4833">
            <v>1341.2</v>
          </cell>
          <cell r="F4833" t="str">
            <v>P12</v>
          </cell>
          <cell r="G4833" t="str">
            <v>Bottom panel - Ván đáy</v>
          </cell>
          <cell r="H4833" t="str">
            <v>MDF laminate</v>
          </cell>
          <cell r="I4833">
            <v>5</v>
          </cell>
        </row>
        <row r="4834">
          <cell r="A4834" t="str">
            <v>B558158/A</v>
          </cell>
          <cell r="B4834" t="str">
            <v>RH3451M153</v>
          </cell>
          <cell r="C4834">
            <v>5</v>
          </cell>
          <cell r="D4834">
            <v>268.24</v>
          </cell>
          <cell r="E4834">
            <v>1341.2</v>
          </cell>
          <cell r="F4834" t="str">
            <v>P13</v>
          </cell>
          <cell r="G4834" t="str">
            <v>Drawer stop - Dừng hộc</v>
          </cell>
          <cell r="H4834" t="str">
            <v>Poplar off cut</v>
          </cell>
          <cell r="I4834">
            <v>30</v>
          </cell>
        </row>
        <row r="4835">
          <cell r="A4835" t="str">
            <v>B558318/A</v>
          </cell>
          <cell r="B4835" t="str">
            <v>RH3490M29</v>
          </cell>
          <cell r="C4835">
            <v>20</v>
          </cell>
          <cell r="D4835">
            <v>717.76</v>
          </cell>
          <cell r="E4835">
            <v>14355.2</v>
          </cell>
          <cell r="F4835" t="str">
            <v>A1-S01</v>
          </cell>
          <cell r="G4835" t="str">
            <v>Top rail - Đố nóc</v>
          </cell>
          <cell r="H4835" t="str">
            <v>Wood laminate</v>
          </cell>
          <cell r="I4835">
            <v>40</v>
          </cell>
        </row>
        <row r="4836">
          <cell r="A4836" t="str">
            <v>B558318/A</v>
          </cell>
          <cell r="B4836" t="str">
            <v>RH3490M29</v>
          </cell>
          <cell r="C4836">
            <v>20</v>
          </cell>
          <cell r="D4836">
            <v>717.76</v>
          </cell>
          <cell r="E4836">
            <v>14355.2</v>
          </cell>
          <cell r="F4836" t="str">
            <v>A1-S02</v>
          </cell>
          <cell r="G4836" t="str">
            <v xml:space="preserve">Side rail  - Đố hông </v>
          </cell>
          <cell r="H4836" t="str">
            <v>Wood laminate</v>
          </cell>
          <cell r="I4836">
            <v>80</v>
          </cell>
        </row>
        <row r="4837">
          <cell r="A4837" t="str">
            <v>B558318/A</v>
          </cell>
          <cell r="B4837" t="str">
            <v>RH3490M29</v>
          </cell>
          <cell r="C4837">
            <v>20</v>
          </cell>
          <cell r="D4837">
            <v>717.76</v>
          </cell>
          <cell r="E4837">
            <v>14355.2</v>
          </cell>
          <cell r="F4837" t="str">
            <v>A1-S03</v>
          </cell>
          <cell r="G4837" t="str">
            <v>Vertical rail 1 - Đố đứng 1</v>
          </cell>
          <cell r="H4837" t="str">
            <v>Pre-Assembly</v>
          </cell>
          <cell r="I4837">
            <v>80</v>
          </cell>
        </row>
        <row r="4838">
          <cell r="A4838" t="str">
            <v>B558318/A</v>
          </cell>
          <cell r="B4838" t="str">
            <v>RH3490M29</v>
          </cell>
          <cell r="C4838">
            <v>20</v>
          </cell>
          <cell r="D4838">
            <v>717.76</v>
          </cell>
          <cell r="E4838">
            <v>14355.2</v>
          </cell>
          <cell r="F4838" t="str">
            <v>A1-S03-1</v>
          </cell>
          <cell r="G4838" t="str">
            <v>Vertical rail 1 - Đố đứng 1</v>
          </cell>
          <cell r="H4838" t="str">
            <v>Wood EU Beech - Straight/Waving Edged ABC, 2 COM - T50mm x W100mm up x L1.8m up</v>
          </cell>
          <cell r="I4838">
            <v>80</v>
          </cell>
        </row>
        <row r="4839">
          <cell r="A4839" t="str">
            <v>B558318/A</v>
          </cell>
          <cell r="B4839" t="str">
            <v>RH3490M29</v>
          </cell>
          <cell r="C4839">
            <v>20</v>
          </cell>
          <cell r="D4839">
            <v>717.76</v>
          </cell>
          <cell r="E4839">
            <v>14355.2</v>
          </cell>
          <cell r="F4839" t="str">
            <v>A1-S03-2</v>
          </cell>
          <cell r="G4839" t="str">
            <v>Carving Part - Gỗ chạm</v>
          </cell>
          <cell r="H4839" t="str">
            <v>Beech off cut</v>
          </cell>
          <cell r="I4839">
            <v>320</v>
          </cell>
        </row>
        <row r="4840">
          <cell r="A4840" t="str">
            <v>B558318/A</v>
          </cell>
          <cell r="B4840" t="str">
            <v>RH3490M29</v>
          </cell>
          <cell r="C4840">
            <v>20</v>
          </cell>
          <cell r="D4840">
            <v>717.76</v>
          </cell>
          <cell r="E4840">
            <v>14355.2</v>
          </cell>
          <cell r="F4840" t="str">
            <v>A1-S04</v>
          </cell>
          <cell r="G4840" t="str">
            <v>Side bottom rail - Đố hông dưới</v>
          </cell>
          <cell r="H4840" t="str">
            <v>Wood laminate</v>
          </cell>
          <cell r="I4840">
            <v>80</v>
          </cell>
        </row>
        <row r="4841">
          <cell r="A4841" t="str">
            <v>B558318/A</v>
          </cell>
          <cell r="B4841" t="str">
            <v>RH3490M29</v>
          </cell>
          <cell r="C4841">
            <v>20</v>
          </cell>
          <cell r="D4841">
            <v>717.76</v>
          </cell>
          <cell r="E4841">
            <v>14355.2</v>
          </cell>
          <cell r="F4841" t="str">
            <v>A1-S05</v>
          </cell>
          <cell r="G4841" t="str">
            <v>Bottom rail inside - Đố tiền đáy</v>
          </cell>
          <cell r="H4841" t="str">
            <v>Wood EU Beech - Straight/Waving Edged ABC, 2 COM - T50mm x W100mm up x L1.8m up</v>
          </cell>
          <cell r="I4841">
            <v>40</v>
          </cell>
        </row>
        <row r="4842">
          <cell r="A4842" t="str">
            <v>B558318/A</v>
          </cell>
          <cell r="B4842" t="str">
            <v>RH3490M29</v>
          </cell>
          <cell r="C4842">
            <v>20</v>
          </cell>
          <cell r="D4842">
            <v>717.76</v>
          </cell>
          <cell r="E4842">
            <v>14355.2</v>
          </cell>
          <cell r="F4842" t="str">
            <v>A1-S06</v>
          </cell>
          <cell r="G4842" t="str">
            <v>Slat Support  - Đỡ dạt giường</v>
          </cell>
          <cell r="H4842" t="str">
            <v>Wood EU Beech - Straight/Waving Edged ABC, 2 COM - T32mm x W100mm up x L1.8m up</v>
          </cell>
          <cell r="I4842">
            <v>40</v>
          </cell>
        </row>
        <row r="4843">
          <cell r="A4843" t="str">
            <v>B558318/A</v>
          </cell>
          <cell r="B4843" t="str">
            <v>RH3490M29</v>
          </cell>
          <cell r="C4843">
            <v>20</v>
          </cell>
          <cell r="D4843">
            <v>717.76</v>
          </cell>
          <cell r="E4843">
            <v>14355.2</v>
          </cell>
          <cell r="F4843" t="str">
            <v>A1-S07</v>
          </cell>
          <cell r="G4843" t="str">
            <v xml:space="preserve">Side rail  - Đố hông </v>
          </cell>
          <cell r="H4843" t="str">
            <v>Wood EU Beech - Straight/Waving Edged ABC, 2 COM - T50mm x W100mm up x L1.8m up</v>
          </cell>
          <cell r="I4843">
            <v>80</v>
          </cell>
        </row>
        <row r="4844">
          <cell r="A4844" t="str">
            <v>B558318/A</v>
          </cell>
          <cell r="B4844" t="str">
            <v>RH3490M29</v>
          </cell>
          <cell r="C4844">
            <v>20</v>
          </cell>
          <cell r="D4844">
            <v>717.76</v>
          </cell>
          <cell r="E4844">
            <v>14355.2</v>
          </cell>
          <cell r="F4844" t="str">
            <v>A1-S08</v>
          </cell>
          <cell r="G4844" t="str">
            <v>Vertical rail 2 - Đố đứng 2</v>
          </cell>
          <cell r="H4844" t="str">
            <v>Wood EU Beech - Straight/Waving Edged ABC, 2 COM - T50mm x W100mm up x L1.8m up</v>
          </cell>
          <cell r="I4844">
            <v>80</v>
          </cell>
        </row>
        <row r="4845">
          <cell r="A4845" t="str">
            <v>B558318/A</v>
          </cell>
          <cell r="B4845" t="str">
            <v>RH3490M29</v>
          </cell>
          <cell r="C4845">
            <v>20</v>
          </cell>
          <cell r="D4845">
            <v>717.76</v>
          </cell>
          <cell r="E4845">
            <v>14355.2</v>
          </cell>
          <cell r="F4845" t="str">
            <v>A1-S10</v>
          </cell>
          <cell r="G4845" t="str">
            <v>Head board panel  - Ván đầu giường</v>
          </cell>
          <cell r="H4845" t="str">
            <v>Plywood lamilated</v>
          </cell>
          <cell r="I4845">
            <v>40</v>
          </cell>
        </row>
        <row r="4846">
          <cell r="A4846" t="str">
            <v>B558318/A</v>
          </cell>
          <cell r="B4846" t="str">
            <v>RH3490M29</v>
          </cell>
          <cell r="C4846">
            <v>20</v>
          </cell>
          <cell r="D4846">
            <v>717.76</v>
          </cell>
          <cell r="E4846">
            <v>14355.2</v>
          </cell>
          <cell r="F4846" t="str">
            <v>A1-S14</v>
          </cell>
          <cell r="G4846" t="str">
            <v>The leg  - Chân</v>
          </cell>
          <cell r="H4846" t="str">
            <v>Wood laminate</v>
          </cell>
          <cell r="I4846">
            <v>80</v>
          </cell>
        </row>
        <row r="4847">
          <cell r="A4847" t="str">
            <v>B558318/A</v>
          </cell>
          <cell r="B4847" t="str">
            <v>RH3490M29</v>
          </cell>
          <cell r="C4847">
            <v>20</v>
          </cell>
          <cell r="D4847">
            <v>717.76</v>
          </cell>
          <cell r="E4847">
            <v>14355.2</v>
          </cell>
          <cell r="F4847" t="str">
            <v>A1-S15</v>
          </cell>
          <cell r="G4847" t="str">
            <v>Tenon - Mộng cấy</v>
          </cell>
          <cell r="H4847" t="str">
            <v>Beech off cut</v>
          </cell>
          <cell r="I4847">
            <v>160</v>
          </cell>
        </row>
        <row r="4848">
          <cell r="A4848" t="str">
            <v>B558318/A</v>
          </cell>
          <cell r="B4848" t="str">
            <v>RH3490M29</v>
          </cell>
          <cell r="C4848">
            <v>20</v>
          </cell>
          <cell r="D4848">
            <v>717.76</v>
          </cell>
          <cell r="E4848">
            <v>14355.2</v>
          </cell>
          <cell r="F4848" t="str">
            <v>A1-S16</v>
          </cell>
          <cell r="G4848" t="str">
            <v>Cleat - Bọ gỗ</v>
          </cell>
          <cell r="H4848" t="str">
            <v>Beech off cut</v>
          </cell>
          <cell r="I4848">
            <v>80</v>
          </cell>
        </row>
        <row r="4849">
          <cell r="A4849" t="str">
            <v>B558318/A</v>
          </cell>
          <cell r="B4849" t="str">
            <v>RH3490M29</v>
          </cell>
          <cell r="C4849">
            <v>20</v>
          </cell>
          <cell r="D4849">
            <v>717.76</v>
          </cell>
          <cell r="E4849">
            <v>14355.2</v>
          </cell>
          <cell r="F4849" t="str">
            <v>A1-S17</v>
          </cell>
          <cell r="G4849" t="str">
            <v>Spline - Lưỡi gà</v>
          </cell>
          <cell r="H4849" t="str">
            <v>Plywood</v>
          </cell>
          <cell r="I4849">
            <v>80</v>
          </cell>
        </row>
        <row r="4850">
          <cell r="A4850" t="str">
            <v>B558318/A</v>
          </cell>
          <cell r="B4850" t="str">
            <v>RH3490M29</v>
          </cell>
          <cell r="C4850">
            <v>20</v>
          </cell>
          <cell r="D4850">
            <v>717.76</v>
          </cell>
          <cell r="E4850">
            <v>14355.2</v>
          </cell>
          <cell r="F4850" t="str">
            <v>A2-S01</v>
          </cell>
          <cell r="G4850" t="str">
            <v>Top rail - Đố nóc</v>
          </cell>
          <cell r="H4850" t="str">
            <v>Wood EU Beech - Straight/Waving Edged ABC, 2 COM - T50mm x W100mm up x L1.8m up</v>
          </cell>
          <cell r="I4850">
            <v>40</v>
          </cell>
        </row>
        <row r="4851">
          <cell r="A4851" t="str">
            <v>B558318/A</v>
          </cell>
          <cell r="B4851" t="str">
            <v>RH3490M29</v>
          </cell>
          <cell r="C4851">
            <v>20</v>
          </cell>
          <cell r="D4851">
            <v>717.76</v>
          </cell>
          <cell r="E4851">
            <v>14355.2</v>
          </cell>
          <cell r="F4851" t="str">
            <v>A2-S02</v>
          </cell>
          <cell r="G4851" t="str">
            <v>Top rail - Đố nóc</v>
          </cell>
          <cell r="H4851" t="str">
            <v>Wood EU Beech - Straight/Waving Edged ABC, 2 COM - T50mm x W100mm up x L1.8m up</v>
          </cell>
          <cell r="I4851">
            <v>40</v>
          </cell>
        </row>
        <row r="4852">
          <cell r="A4852" t="str">
            <v>B558318/A</v>
          </cell>
          <cell r="B4852" t="str">
            <v>RH3490M29</v>
          </cell>
          <cell r="C4852">
            <v>20</v>
          </cell>
          <cell r="D4852">
            <v>717.76</v>
          </cell>
          <cell r="E4852">
            <v>14355.2</v>
          </cell>
          <cell r="F4852" t="str">
            <v>A2-S03</v>
          </cell>
          <cell r="G4852" t="str">
            <v>Vertical rail 1 - Đố đứng 1</v>
          </cell>
          <cell r="H4852" t="str">
            <v>Wood EU Beech - Straight/Waving Edged AB, 1 COM - T38mm x W100mm up x L1.8m up</v>
          </cell>
          <cell r="I4852">
            <v>80</v>
          </cell>
        </row>
        <row r="4853">
          <cell r="A4853" t="str">
            <v>B558318/A</v>
          </cell>
          <cell r="B4853" t="str">
            <v>RH3490M29</v>
          </cell>
          <cell r="C4853">
            <v>20</v>
          </cell>
          <cell r="D4853">
            <v>717.76</v>
          </cell>
          <cell r="E4853">
            <v>14355.2</v>
          </cell>
          <cell r="F4853" t="str">
            <v>A2-S04</v>
          </cell>
          <cell r="G4853" t="str">
            <v>Vertical rail 2 - Đố đứng 2</v>
          </cell>
          <cell r="H4853" t="str">
            <v>Wood EU Beech - Straight/Waving Edged AB, 1 COM - T50mm x W100mm up x L1.8m up</v>
          </cell>
          <cell r="I4853">
            <v>520</v>
          </cell>
        </row>
        <row r="4854">
          <cell r="A4854" t="str">
            <v>B558318/A</v>
          </cell>
          <cell r="B4854" t="str">
            <v>RH3490M29</v>
          </cell>
          <cell r="C4854">
            <v>20</v>
          </cell>
          <cell r="D4854">
            <v>717.76</v>
          </cell>
          <cell r="E4854">
            <v>14355.2</v>
          </cell>
          <cell r="F4854" t="str">
            <v>P01</v>
          </cell>
          <cell r="G4854" t="str">
            <v>Slat Support  - Đỡ dạt giường</v>
          </cell>
          <cell r="H4854" t="str">
            <v>Wood EU Beech - Straight/Waving Edged AB, 1 COM - T32mm x W100mm up x L1.8m up</v>
          </cell>
          <cell r="I4854">
            <v>40</v>
          </cell>
        </row>
        <row r="4855">
          <cell r="A4855" t="str">
            <v>B558321/A</v>
          </cell>
          <cell r="B4855" t="str">
            <v>RH3494M29</v>
          </cell>
          <cell r="C4855">
            <v>10</v>
          </cell>
          <cell r="D4855">
            <v>726.71</v>
          </cell>
          <cell r="E4855">
            <v>7267.1</v>
          </cell>
          <cell r="F4855" t="str">
            <v>A1-S01</v>
          </cell>
          <cell r="G4855" t="str">
            <v>Top rail - Đố nóc</v>
          </cell>
          <cell r="H4855" t="str">
            <v>Wood laminate</v>
          </cell>
          <cell r="I4855">
            <v>10</v>
          </cell>
        </row>
        <row r="4856">
          <cell r="A4856" t="str">
            <v>B558321/A</v>
          </cell>
          <cell r="B4856" t="str">
            <v>RH3494M29</v>
          </cell>
          <cell r="C4856">
            <v>10</v>
          </cell>
          <cell r="D4856">
            <v>726.71</v>
          </cell>
          <cell r="E4856">
            <v>7267.1</v>
          </cell>
          <cell r="F4856" t="str">
            <v>A1-S02</v>
          </cell>
          <cell r="G4856" t="str">
            <v xml:space="preserve">Side rail  - Đố hông </v>
          </cell>
          <cell r="H4856" t="str">
            <v>Wood laminate</v>
          </cell>
          <cell r="I4856">
            <v>20</v>
          </cell>
        </row>
        <row r="4857">
          <cell r="A4857" t="str">
            <v>B558321/A</v>
          </cell>
          <cell r="B4857" t="str">
            <v>RH3494M29</v>
          </cell>
          <cell r="C4857">
            <v>10</v>
          </cell>
          <cell r="D4857">
            <v>726.71</v>
          </cell>
          <cell r="E4857">
            <v>7267.1</v>
          </cell>
          <cell r="F4857" t="str">
            <v>A1-S03</v>
          </cell>
          <cell r="G4857" t="str">
            <v>Vertical rail 1 - Đố đứng 1</v>
          </cell>
          <cell r="H4857" t="str">
            <v>Pre-Assembly</v>
          </cell>
          <cell r="I4857">
            <v>20</v>
          </cell>
        </row>
        <row r="4858">
          <cell r="A4858" t="str">
            <v>B558321/A</v>
          </cell>
          <cell r="B4858" t="str">
            <v>RH3494M29</v>
          </cell>
          <cell r="C4858">
            <v>10</v>
          </cell>
          <cell r="D4858">
            <v>726.71</v>
          </cell>
          <cell r="E4858">
            <v>7267.1</v>
          </cell>
          <cell r="F4858" t="str">
            <v>A1-S03-1</v>
          </cell>
          <cell r="G4858" t="str">
            <v>Vertical rail 1 - Đố đứng 1</v>
          </cell>
          <cell r="H4858" t="str">
            <v>Wood EU Beech - Straight/Waving Edged ABC, 2 COM - T50mm x W100mm up x L1.8m up</v>
          </cell>
          <cell r="I4858">
            <v>20</v>
          </cell>
        </row>
        <row r="4859">
          <cell r="A4859" t="str">
            <v>B558321/A</v>
          </cell>
          <cell r="B4859" t="str">
            <v>RH3494M29</v>
          </cell>
          <cell r="C4859">
            <v>10</v>
          </cell>
          <cell r="D4859">
            <v>726.71</v>
          </cell>
          <cell r="E4859">
            <v>7267.1</v>
          </cell>
          <cell r="F4859" t="str">
            <v>A1-S03-2</v>
          </cell>
          <cell r="G4859" t="str">
            <v>Carving Part - Gỗ chạm</v>
          </cell>
          <cell r="H4859" t="str">
            <v>Beech off cut</v>
          </cell>
          <cell r="I4859">
            <v>80</v>
          </cell>
        </row>
        <row r="4860">
          <cell r="A4860" t="str">
            <v>B558321/A</v>
          </cell>
          <cell r="B4860" t="str">
            <v>RH3494M29</v>
          </cell>
          <cell r="C4860">
            <v>10</v>
          </cell>
          <cell r="D4860">
            <v>726.71</v>
          </cell>
          <cell r="E4860">
            <v>7267.1</v>
          </cell>
          <cell r="F4860" t="str">
            <v>A1-S04</v>
          </cell>
          <cell r="G4860" t="str">
            <v>Side bottom rail - Đố hông dưới</v>
          </cell>
          <cell r="H4860" t="str">
            <v>Wood laminate</v>
          </cell>
          <cell r="I4860">
            <v>40</v>
          </cell>
        </row>
        <row r="4861">
          <cell r="A4861" t="str">
            <v>B558321/A</v>
          </cell>
          <cell r="B4861" t="str">
            <v>RH3494M29</v>
          </cell>
          <cell r="C4861">
            <v>10</v>
          </cell>
          <cell r="D4861">
            <v>726.71</v>
          </cell>
          <cell r="E4861">
            <v>7267.1</v>
          </cell>
          <cell r="F4861" t="str">
            <v>A1-S05</v>
          </cell>
          <cell r="G4861" t="str">
            <v>Bottom rail inside - Đố tiền đáy</v>
          </cell>
          <cell r="H4861" t="str">
            <v>Wood EU Beech - Straight/Waving Edged ABC, 2 COM - T50mm x W100mm up x L1.8m up</v>
          </cell>
          <cell r="I4861">
            <v>10</v>
          </cell>
        </row>
        <row r="4862">
          <cell r="A4862" t="str">
            <v>B558321/A</v>
          </cell>
          <cell r="B4862" t="str">
            <v>RH3494M29</v>
          </cell>
          <cell r="C4862">
            <v>10</v>
          </cell>
          <cell r="D4862">
            <v>726.71</v>
          </cell>
          <cell r="E4862">
            <v>7267.1</v>
          </cell>
          <cell r="F4862" t="str">
            <v>A1-S06</v>
          </cell>
          <cell r="G4862" t="str">
            <v>Vertical rail 2 - Đố đứng 2</v>
          </cell>
          <cell r="H4862" t="str">
            <v>Pre-Assembly</v>
          </cell>
          <cell r="I4862">
            <v>20</v>
          </cell>
        </row>
        <row r="4863">
          <cell r="A4863" t="str">
            <v>B558321/A</v>
          </cell>
          <cell r="B4863" t="str">
            <v>RH3494M29</v>
          </cell>
          <cell r="C4863">
            <v>10</v>
          </cell>
          <cell r="D4863">
            <v>726.71</v>
          </cell>
          <cell r="E4863">
            <v>7267.1</v>
          </cell>
          <cell r="F4863" t="str">
            <v>A1-S06-1</v>
          </cell>
          <cell r="G4863" t="str">
            <v>Vertical rail 2 - Đố đứng 2</v>
          </cell>
          <cell r="H4863" t="str">
            <v>Wood EU Beech - Straight/Waving Edged ABC, 2 COM - T50mm x W100mm up x L1.8m up</v>
          </cell>
          <cell r="I4863">
            <v>20</v>
          </cell>
        </row>
        <row r="4864">
          <cell r="A4864" t="str">
            <v>B558321/A</v>
          </cell>
          <cell r="B4864" t="str">
            <v>RH3494M29</v>
          </cell>
          <cell r="C4864">
            <v>10</v>
          </cell>
          <cell r="D4864">
            <v>726.71</v>
          </cell>
          <cell r="E4864">
            <v>7267.1</v>
          </cell>
          <cell r="F4864" t="str">
            <v>A1-S06-2</v>
          </cell>
          <cell r="G4864" t="str">
            <v>Carving Part - Gỗ chạm</v>
          </cell>
          <cell r="H4864" t="str">
            <v>Beech off cut</v>
          </cell>
          <cell r="I4864">
            <v>80</v>
          </cell>
        </row>
        <row r="4865">
          <cell r="A4865" t="str">
            <v>B558321/A</v>
          </cell>
          <cell r="B4865" t="str">
            <v>RH3494M29</v>
          </cell>
          <cell r="C4865">
            <v>10</v>
          </cell>
          <cell r="D4865">
            <v>726.71</v>
          </cell>
          <cell r="E4865">
            <v>7267.1</v>
          </cell>
          <cell r="F4865" t="str">
            <v>A1-S07</v>
          </cell>
          <cell r="G4865" t="str">
            <v>Vertical rail 2 - Đố đứng 2</v>
          </cell>
          <cell r="H4865" t="str">
            <v>Wood EU Beech - Straight/Waving Edged ABC, 2 COM - T26mm x W100mm up x L1.8m up</v>
          </cell>
          <cell r="I4865">
            <v>20</v>
          </cell>
        </row>
        <row r="4866">
          <cell r="A4866" t="str">
            <v>B558321/A</v>
          </cell>
          <cell r="B4866" t="str">
            <v>RH3494M29</v>
          </cell>
          <cell r="C4866">
            <v>10</v>
          </cell>
          <cell r="D4866">
            <v>726.71</v>
          </cell>
          <cell r="E4866">
            <v>7267.1</v>
          </cell>
          <cell r="F4866" t="str">
            <v>A1-S08</v>
          </cell>
          <cell r="G4866" t="str">
            <v>Horizontal rail 1 - Đố ngang 1</v>
          </cell>
          <cell r="H4866" t="str">
            <v>Beech off cut</v>
          </cell>
          <cell r="I4866">
            <v>20</v>
          </cell>
        </row>
        <row r="4867">
          <cell r="A4867" t="str">
            <v>B558321/A</v>
          </cell>
          <cell r="B4867" t="str">
            <v>RH3494M29</v>
          </cell>
          <cell r="C4867">
            <v>10</v>
          </cell>
          <cell r="D4867">
            <v>726.71</v>
          </cell>
          <cell r="E4867">
            <v>7267.1</v>
          </cell>
          <cell r="F4867" t="str">
            <v>A1-S09</v>
          </cell>
          <cell r="G4867" t="str">
            <v>Vertical rail 2 - Đố đứng 2</v>
          </cell>
          <cell r="H4867" t="str">
            <v>Wood EU Beech - Straight/Waving Edged ABC, 2 COM - T32mm x W100mm up x L1.8m up</v>
          </cell>
          <cell r="I4867">
            <v>10</v>
          </cell>
        </row>
        <row r="4868">
          <cell r="A4868" t="str">
            <v>B558321/A</v>
          </cell>
          <cell r="B4868" t="str">
            <v>RH3494M29</v>
          </cell>
          <cell r="C4868">
            <v>10</v>
          </cell>
          <cell r="D4868">
            <v>726.71</v>
          </cell>
          <cell r="E4868">
            <v>7267.1</v>
          </cell>
          <cell r="F4868" t="str">
            <v>A1-S09-1</v>
          </cell>
          <cell r="G4868" t="str">
            <v>Vertical rail 2 - Đố đứng 2</v>
          </cell>
          <cell r="H4868" t="str">
            <v>Beech off cut</v>
          </cell>
          <cell r="I4868">
            <v>10</v>
          </cell>
        </row>
        <row r="4869">
          <cell r="A4869" t="str">
            <v>B558321/A</v>
          </cell>
          <cell r="B4869" t="str">
            <v>RH3494M29</v>
          </cell>
          <cell r="C4869">
            <v>10</v>
          </cell>
          <cell r="D4869">
            <v>726.71</v>
          </cell>
          <cell r="E4869">
            <v>7267.1</v>
          </cell>
          <cell r="F4869" t="str">
            <v>A1-S11</v>
          </cell>
          <cell r="G4869" t="str">
            <v>Corner block - ke góc</v>
          </cell>
          <cell r="H4869" t="str">
            <v>Beech off cut</v>
          </cell>
          <cell r="I4869">
            <v>20</v>
          </cell>
        </row>
        <row r="4870">
          <cell r="A4870" t="str">
            <v>B558321/A</v>
          </cell>
          <cell r="B4870" t="str">
            <v>RH3494M29</v>
          </cell>
          <cell r="C4870">
            <v>10</v>
          </cell>
          <cell r="D4870">
            <v>726.71</v>
          </cell>
          <cell r="E4870">
            <v>7267.1</v>
          </cell>
          <cell r="F4870" t="str">
            <v>A1-S12</v>
          </cell>
          <cell r="G4870" t="str">
            <v xml:space="preserve">Side panel  - Ván hông </v>
          </cell>
          <cell r="H4870" t="str">
            <v>Veneer laminate</v>
          </cell>
          <cell r="I4870">
            <v>20</v>
          </cell>
        </row>
        <row r="4871">
          <cell r="A4871" t="str">
            <v>B558321/A</v>
          </cell>
          <cell r="B4871" t="str">
            <v>RH3494M29</v>
          </cell>
          <cell r="C4871">
            <v>10</v>
          </cell>
          <cell r="D4871">
            <v>726.71</v>
          </cell>
          <cell r="E4871">
            <v>7267.1</v>
          </cell>
          <cell r="F4871" t="str">
            <v>A1-S12-1</v>
          </cell>
          <cell r="G4871" t="str">
            <v xml:space="preserve">Side panel  - Ván hông </v>
          </cell>
          <cell r="H4871" t="str">
            <v>Veneer laminate</v>
          </cell>
          <cell r="I4871">
            <v>20</v>
          </cell>
        </row>
        <row r="4872">
          <cell r="A4872" t="str">
            <v>B558321/A</v>
          </cell>
          <cell r="B4872" t="str">
            <v>RH3494M29</v>
          </cell>
          <cell r="C4872">
            <v>10</v>
          </cell>
          <cell r="D4872">
            <v>726.71</v>
          </cell>
          <cell r="E4872">
            <v>7267.1</v>
          </cell>
          <cell r="F4872" t="str">
            <v>A1-S13</v>
          </cell>
          <cell r="G4872" t="str">
            <v>Back panel - Ván hậu</v>
          </cell>
          <cell r="H4872" t="str">
            <v>MDF - 06 x 1220 x 2440mm, Veneer Okoume 0.3mm Both Faces [CARB P2 Compliant]</v>
          </cell>
          <cell r="I4872">
            <v>20</v>
          </cell>
        </row>
        <row r="4873">
          <cell r="A4873" t="str">
            <v>B558321/A</v>
          </cell>
          <cell r="B4873" t="str">
            <v>RH3494M29</v>
          </cell>
          <cell r="C4873">
            <v>10</v>
          </cell>
          <cell r="D4873">
            <v>726.71</v>
          </cell>
          <cell r="E4873">
            <v>7267.1</v>
          </cell>
          <cell r="F4873" t="str">
            <v>A1-S13-1</v>
          </cell>
          <cell r="G4873" t="str">
            <v>Back panel - Ván hậu</v>
          </cell>
          <cell r="H4873" t="str">
            <v>MDF - 06 x 1220 x 2440mm, Veneer Okoume 0.3mm Both Faces [CARB P2 Compliant]</v>
          </cell>
          <cell r="I4873">
            <v>20</v>
          </cell>
        </row>
        <row r="4874">
          <cell r="A4874" t="str">
            <v>B558321/A</v>
          </cell>
          <cell r="B4874" t="str">
            <v>RH3494M29</v>
          </cell>
          <cell r="C4874">
            <v>10</v>
          </cell>
          <cell r="D4874">
            <v>726.71</v>
          </cell>
          <cell r="E4874">
            <v>7267.1</v>
          </cell>
          <cell r="F4874" t="str">
            <v>A1-S15</v>
          </cell>
          <cell r="G4874" t="str">
            <v>Cleat - Bọ gỗ</v>
          </cell>
          <cell r="H4874" t="str">
            <v>Wood EU Beech - Straight/Waving Edged ABC, 2 COM - T38mm x W100mm up x L1.8m up</v>
          </cell>
          <cell r="I4874">
            <v>40</v>
          </cell>
        </row>
        <row r="4875">
          <cell r="A4875" t="str">
            <v>B558321/A</v>
          </cell>
          <cell r="B4875" t="str">
            <v>RH3494M29</v>
          </cell>
          <cell r="C4875">
            <v>10</v>
          </cell>
          <cell r="D4875">
            <v>726.71</v>
          </cell>
          <cell r="E4875">
            <v>7267.1</v>
          </cell>
          <cell r="F4875" t="str">
            <v>A1-S16</v>
          </cell>
          <cell r="G4875" t="str">
            <v>The leg  - Chân</v>
          </cell>
          <cell r="H4875" t="str">
            <v>Wood laminate</v>
          </cell>
          <cell r="I4875">
            <v>80</v>
          </cell>
        </row>
        <row r="4876">
          <cell r="A4876" t="str">
            <v>B558321/A</v>
          </cell>
          <cell r="B4876" t="str">
            <v>RH3494M29</v>
          </cell>
          <cell r="C4876">
            <v>10</v>
          </cell>
          <cell r="D4876">
            <v>726.71</v>
          </cell>
          <cell r="E4876">
            <v>7267.1</v>
          </cell>
          <cell r="F4876" t="str">
            <v>A1-S18</v>
          </cell>
          <cell r="G4876" t="str">
            <v>Tenon - Mộng cấy</v>
          </cell>
          <cell r="H4876" t="str">
            <v>Beech off cut</v>
          </cell>
          <cell r="I4876">
            <v>80</v>
          </cell>
        </row>
        <row r="4877">
          <cell r="A4877" t="str">
            <v>B558321/A</v>
          </cell>
          <cell r="B4877" t="str">
            <v>RH3494M29</v>
          </cell>
          <cell r="C4877">
            <v>10</v>
          </cell>
          <cell r="D4877">
            <v>726.71</v>
          </cell>
          <cell r="E4877">
            <v>7267.1</v>
          </cell>
          <cell r="F4877" t="str">
            <v>A1-S20</v>
          </cell>
          <cell r="G4877" t="str">
            <v>Cleat - Bọ gỗ</v>
          </cell>
          <cell r="H4877" t="str">
            <v>Beech off cut</v>
          </cell>
          <cell r="I4877">
            <v>40</v>
          </cell>
        </row>
        <row r="4878">
          <cell r="A4878" t="str">
            <v>B558321/A</v>
          </cell>
          <cell r="B4878" t="str">
            <v>RH3494M29</v>
          </cell>
          <cell r="C4878">
            <v>10</v>
          </cell>
          <cell r="D4878">
            <v>726.71</v>
          </cell>
          <cell r="E4878">
            <v>7267.1</v>
          </cell>
          <cell r="F4878" t="str">
            <v>A1-S21</v>
          </cell>
          <cell r="G4878" t="str">
            <v>Bottom rail inside - Đố tiền đáy</v>
          </cell>
          <cell r="H4878" t="str">
            <v>Wood EU Beech - Straight/Waving Edged ABC, 2 COM - T38mm x W100mm up x L1.8m up</v>
          </cell>
          <cell r="I4878">
            <v>20</v>
          </cell>
        </row>
        <row r="4879">
          <cell r="A4879" t="str">
            <v>B558321/A</v>
          </cell>
          <cell r="B4879" t="str">
            <v>RH3494M29</v>
          </cell>
          <cell r="C4879">
            <v>10</v>
          </cell>
          <cell r="D4879">
            <v>726.71</v>
          </cell>
          <cell r="E4879">
            <v>7267.1</v>
          </cell>
          <cell r="F4879" t="str">
            <v>A1-S22</v>
          </cell>
          <cell r="G4879" t="str">
            <v>Bottom rail inside - Đố tiền đáy</v>
          </cell>
          <cell r="H4879" t="str">
            <v>Wood EU Beech - Straight/Waving Edged ABC, 2 COM - T38mm x W100mm up x L1.8m up</v>
          </cell>
          <cell r="I4879">
            <v>40</v>
          </cell>
        </row>
        <row r="4880">
          <cell r="A4880" t="str">
            <v>B558321/A</v>
          </cell>
          <cell r="B4880" t="str">
            <v>RH3494M29</v>
          </cell>
          <cell r="C4880">
            <v>10</v>
          </cell>
          <cell r="D4880">
            <v>726.71</v>
          </cell>
          <cell r="E4880">
            <v>7267.1</v>
          </cell>
          <cell r="F4880" t="str">
            <v>A1-S23</v>
          </cell>
          <cell r="G4880" t="str">
            <v>Center rail - Đố giữa</v>
          </cell>
          <cell r="H4880" t="str">
            <v>Wood EU Beech - Straight/Waving Edged ABC, 2 COM - T26mm x W100mm up x L1.8m up</v>
          </cell>
          <cell r="I4880">
            <v>10</v>
          </cell>
        </row>
        <row r="4881">
          <cell r="A4881" t="str">
            <v>B558321/A</v>
          </cell>
          <cell r="B4881" t="str">
            <v>RH3494M29</v>
          </cell>
          <cell r="C4881">
            <v>10</v>
          </cell>
          <cell r="D4881">
            <v>726.71</v>
          </cell>
          <cell r="E4881">
            <v>7267.1</v>
          </cell>
          <cell r="F4881" t="str">
            <v>A1-S24</v>
          </cell>
          <cell r="G4881" t="str">
            <v xml:space="preserve">Panel - Ván </v>
          </cell>
          <cell r="H4881" t="str">
            <v>Honeycomb laminate</v>
          </cell>
          <cell r="I4881">
            <v>20</v>
          </cell>
        </row>
        <row r="4882">
          <cell r="A4882" t="str">
            <v>B558321/A</v>
          </cell>
          <cell r="B4882" t="str">
            <v>RH3494M29</v>
          </cell>
          <cell r="C4882">
            <v>10</v>
          </cell>
          <cell r="D4882">
            <v>726.71</v>
          </cell>
          <cell r="E4882">
            <v>7267.1</v>
          </cell>
          <cell r="F4882" t="str">
            <v>A1-S25</v>
          </cell>
          <cell r="G4882" t="str">
            <v xml:space="preserve">Panel - Ván </v>
          </cell>
          <cell r="H4882" t="str">
            <v>Honeycomb laminate</v>
          </cell>
          <cell r="I4882">
            <v>20</v>
          </cell>
        </row>
        <row r="4883">
          <cell r="A4883" t="str">
            <v>B558321/A</v>
          </cell>
          <cell r="B4883" t="str">
            <v>RH3494M29</v>
          </cell>
          <cell r="C4883">
            <v>10</v>
          </cell>
          <cell r="D4883">
            <v>726.71</v>
          </cell>
          <cell r="E4883">
            <v>7267.1</v>
          </cell>
          <cell r="F4883" t="str">
            <v>A2-S01</v>
          </cell>
          <cell r="G4883" t="str">
            <v>Top rail - Đố nóc</v>
          </cell>
          <cell r="H4883" t="str">
            <v>Wood EU Beech - Straight/Waving Edged ABC, 2 COM - T50mm x W100mm up x L1.8m up</v>
          </cell>
          <cell r="I4883">
            <v>10</v>
          </cell>
        </row>
        <row r="4884">
          <cell r="A4884" t="str">
            <v>B558321/A</v>
          </cell>
          <cell r="B4884" t="str">
            <v>RH3494M29</v>
          </cell>
          <cell r="C4884">
            <v>10</v>
          </cell>
          <cell r="D4884">
            <v>726.71</v>
          </cell>
          <cell r="E4884">
            <v>7267.1</v>
          </cell>
          <cell r="F4884" t="str">
            <v>A2-S02</v>
          </cell>
          <cell r="G4884" t="str">
            <v xml:space="preserve">Side rail  - Đố hông </v>
          </cell>
          <cell r="H4884" t="str">
            <v>Wood laminate</v>
          </cell>
          <cell r="I4884">
            <v>20</v>
          </cell>
        </row>
        <row r="4885">
          <cell r="A4885" t="str">
            <v>B558321/A</v>
          </cell>
          <cell r="B4885" t="str">
            <v>RH3494M29</v>
          </cell>
          <cell r="C4885">
            <v>10</v>
          </cell>
          <cell r="D4885">
            <v>726.71</v>
          </cell>
          <cell r="E4885">
            <v>7267.1</v>
          </cell>
          <cell r="F4885" t="str">
            <v>A2-S03</v>
          </cell>
          <cell r="G4885" t="str">
            <v>Front vertical center  - Trụ tiền giữa</v>
          </cell>
          <cell r="H4885" t="str">
            <v>Pre-Assembly</v>
          </cell>
          <cell r="I4885">
            <v>20</v>
          </cell>
        </row>
        <row r="4886">
          <cell r="A4886" t="str">
            <v>B558321/A</v>
          </cell>
          <cell r="B4886" t="str">
            <v>RH3494M29</v>
          </cell>
          <cell r="C4886">
            <v>10</v>
          </cell>
          <cell r="D4886">
            <v>726.71</v>
          </cell>
          <cell r="E4886">
            <v>7267.1</v>
          </cell>
          <cell r="F4886" t="str">
            <v>A2-S03-1</v>
          </cell>
          <cell r="G4886" t="str">
            <v>Front vertical center  - Trụ tiền giữa</v>
          </cell>
          <cell r="H4886" t="str">
            <v>Wood EU Beech - Straight/Waving Edged ABC, 2 COM - T50mm x W100mm up x L1.8m up</v>
          </cell>
          <cell r="I4886">
            <v>20</v>
          </cell>
        </row>
        <row r="4887">
          <cell r="A4887" t="str">
            <v>B558321/A</v>
          </cell>
          <cell r="B4887" t="str">
            <v>RH3494M29</v>
          </cell>
          <cell r="C4887">
            <v>10</v>
          </cell>
          <cell r="D4887">
            <v>726.71</v>
          </cell>
          <cell r="E4887">
            <v>7267.1</v>
          </cell>
          <cell r="F4887" t="str">
            <v>A2-S04</v>
          </cell>
          <cell r="G4887" t="str">
            <v>Vertical rail 1 - Đố đứng 1</v>
          </cell>
          <cell r="H4887" t="str">
            <v>Pre-Assembly</v>
          </cell>
          <cell r="I4887">
            <v>20</v>
          </cell>
        </row>
        <row r="4888">
          <cell r="A4888" t="str">
            <v>B558321/A</v>
          </cell>
          <cell r="B4888" t="str">
            <v>RH3494M29</v>
          </cell>
          <cell r="C4888">
            <v>10</v>
          </cell>
          <cell r="D4888">
            <v>726.71</v>
          </cell>
          <cell r="E4888">
            <v>7267.1</v>
          </cell>
          <cell r="F4888" t="str">
            <v>A2-S04-1</v>
          </cell>
          <cell r="G4888" t="str">
            <v>Vertical rail 1 - Đố đứng 1</v>
          </cell>
          <cell r="H4888" t="str">
            <v>Wood EU Beech - Straight/Waving Edged ABC, 2 COM - T50mm x W100mm up x L1.8m up</v>
          </cell>
          <cell r="I4888">
            <v>20</v>
          </cell>
        </row>
        <row r="4889">
          <cell r="A4889" t="str">
            <v>B558321/A</v>
          </cell>
          <cell r="B4889" t="str">
            <v>RH3494M29</v>
          </cell>
          <cell r="C4889">
            <v>10</v>
          </cell>
          <cell r="D4889">
            <v>726.71</v>
          </cell>
          <cell r="E4889">
            <v>7267.1</v>
          </cell>
          <cell r="F4889" t="str">
            <v>A2-S05</v>
          </cell>
          <cell r="G4889" t="str">
            <v>Vertical rail 2 - Đố đứng 2</v>
          </cell>
          <cell r="H4889" t="str">
            <v>Wood EU Beech - Straight/Waving Edged ABC, 2 COM - T26mm x W100mm up x L1.8m up</v>
          </cell>
          <cell r="I4889">
            <v>20</v>
          </cell>
        </row>
        <row r="4890">
          <cell r="A4890" t="str">
            <v>B558321/A</v>
          </cell>
          <cell r="B4890" t="str">
            <v>RH3494M29</v>
          </cell>
          <cell r="C4890">
            <v>10</v>
          </cell>
          <cell r="D4890">
            <v>726.71</v>
          </cell>
          <cell r="E4890">
            <v>7267.1</v>
          </cell>
          <cell r="F4890" t="str">
            <v>A2-S07</v>
          </cell>
          <cell r="G4890" t="str">
            <v xml:space="preserve">Side panel  - Ván hông </v>
          </cell>
          <cell r="H4890" t="str">
            <v>Veneer laminate</v>
          </cell>
          <cell r="I4890">
            <v>20</v>
          </cell>
        </row>
        <row r="4891">
          <cell r="A4891" t="str">
            <v>B558321/A</v>
          </cell>
          <cell r="B4891" t="str">
            <v>RH3494M29</v>
          </cell>
          <cell r="C4891">
            <v>10</v>
          </cell>
          <cell r="D4891">
            <v>726.71</v>
          </cell>
          <cell r="E4891">
            <v>7267.1</v>
          </cell>
          <cell r="F4891" t="str">
            <v>A2-S07-1</v>
          </cell>
          <cell r="G4891" t="str">
            <v xml:space="preserve">Side panel  - Ván hông </v>
          </cell>
          <cell r="H4891" t="str">
            <v>Veneer laminate</v>
          </cell>
          <cell r="I4891">
            <v>20</v>
          </cell>
        </row>
        <row r="4892">
          <cell r="A4892" t="str">
            <v>B558321/A</v>
          </cell>
          <cell r="B4892" t="str">
            <v>RH3494M29</v>
          </cell>
          <cell r="C4892">
            <v>10</v>
          </cell>
          <cell r="D4892">
            <v>726.71</v>
          </cell>
          <cell r="E4892">
            <v>7267.1</v>
          </cell>
          <cell r="F4892" t="str">
            <v>A2-S08</v>
          </cell>
          <cell r="G4892" t="str">
            <v>Back panel - Ván hậu</v>
          </cell>
          <cell r="H4892" t="str">
            <v>MDF - 06 x 1220 x 2440mm, Veneer Okoume 0.3mm Both Faces [CARB P2 Compliant]</v>
          </cell>
          <cell r="I4892">
            <v>20</v>
          </cell>
        </row>
        <row r="4893">
          <cell r="A4893" t="str">
            <v>B558321/A</v>
          </cell>
          <cell r="B4893" t="str">
            <v>RH3494M29</v>
          </cell>
          <cell r="C4893">
            <v>10</v>
          </cell>
          <cell r="D4893">
            <v>726.71</v>
          </cell>
          <cell r="E4893">
            <v>7267.1</v>
          </cell>
          <cell r="F4893" t="str">
            <v>A2-S09</v>
          </cell>
          <cell r="G4893" t="str">
            <v>Bottom rail inside - Đố tiền đáy</v>
          </cell>
          <cell r="H4893" t="str">
            <v>Wood EU Beech - Straight/Waving Edged ABC, 2 COM - T50mm x W100mm up x L1.8m up</v>
          </cell>
          <cell r="I4893">
            <v>10</v>
          </cell>
        </row>
        <row r="4894">
          <cell r="A4894" t="str">
            <v>B558321/A</v>
          </cell>
          <cell r="B4894" t="str">
            <v>RH3494M29</v>
          </cell>
          <cell r="C4894">
            <v>10</v>
          </cell>
          <cell r="D4894">
            <v>726.71</v>
          </cell>
          <cell r="E4894">
            <v>7267.1</v>
          </cell>
          <cell r="F4894" t="str">
            <v>A2-S10</v>
          </cell>
          <cell r="G4894" t="str">
            <v>Vertical rail 1 - Đố đứng 1</v>
          </cell>
          <cell r="H4894" t="str">
            <v>Beech off cut</v>
          </cell>
          <cell r="I4894">
            <v>10</v>
          </cell>
        </row>
        <row r="4895">
          <cell r="A4895" t="str">
            <v>B558321/A</v>
          </cell>
          <cell r="B4895" t="str">
            <v>RH3494M29</v>
          </cell>
          <cell r="C4895">
            <v>10</v>
          </cell>
          <cell r="D4895">
            <v>726.71</v>
          </cell>
          <cell r="E4895">
            <v>7267.1</v>
          </cell>
          <cell r="F4895" t="str">
            <v>A2-S11</v>
          </cell>
          <cell r="G4895" t="str">
            <v xml:space="preserve">Panel - Ván </v>
          </cell>
          <cell r="H4895" t="str">
            <v>Honeycomb laminate</v>
          </cell>
          <cell r="I4895">
            <v>20</v>
          </cell>
        </row>
        <row r="4896">
          <cell r="A4896" t="str">
            <v>B558321/A</v>
          </cell>
          <cell r="B4896" t="str">
            <v>RH3494M29</v>
          </cell>
          <cell r="C4896">
            <v>10</v>
          </cell>
          <cell r="D4896">
            <v>726.71</v>
          </cell>
          <cell r="E4896">
            <v>7267.1</v>
          </cell>
          <cell r="F4896" t="str">
            <v>A3-S01</v>
          </cell>
          <cell r="G4896" t="str">
            <v>Side bed - Hông giường</v>
          </cell>
          <cell r="H4896" t="str">
            <v>Wood EU Beech - Straight/Waving Edged ABC, 2 COM - T50mm x W100mm up x L1.8m up</v>
          </cell>
          <cell r="I4896">
            <v>20</v>
          </cell>
        </row>
        <row r="4897">
          <cell r="A4897" t="str">
            <v>B558321/A</v>
          </cell>
          <cell r="B4897" t="str">
            <v>RH3494M29</v>
          </cell>
          <cell r="C4897">
            <v>10</v>
          </cell>
          <cell r="D4897">
            <v>726.71</v>
          </cell>
          <cell r="E4897">
            <v>7267.1</v>
          </cell>
          <cell r="F4897" t="str">
            <v>A3-S02</v>
          </cell>
          <cell r="G4897" t="str">
            <v xml:space="preserve">Side rail  - Đố hông </v>
          </cell>
          <cell r="H4897" t="str">
            <v>Wood EU Beech - Straight/Waving Edged ABC, 2 COM - T38mm x W100mm up x L1.8m up</v>
          </cell>
          <cell r="I4897">
            <v>20</v>
          </cell>
        </row>
        <row r="4898">
          <cell r="A4898" t="str">
            <v>B558321/A</v>
          </cell>
          <cell r="B4898" t="str">
            <v>RH3494M29</v>
          </cell>
          <cell r="C4898">
            <v>10</v>
          </cell>
          <cell r="D4898">
            <v>726.71</v>
          </cell>
          <cell r="E4898">
            <v>7267.1</v>
          </cell>
          <cell r="F4898" t="str">
            <v>A3-S03</v>
          </cell>
          <cell r="G4898" t="str">
            <v xml:space="preserve">Side rail  - Đố hông </v>
          </cell>
          <cell r="H4898" t="str">
            <v>Beech off cut</v>
          </cell>
          <cell r="I4898">
            <v>40</v>
          </cell>
        </row>
        <row r="4899">
          <cell r="A4899" t="str">
            <v>B558321/A</v>
          </cell>
          <cell r="B4899" t="str">
            <v>RH3494M29</v>
          </cell>
          <cell r="C4899">
            <v>10</v>
          </cell>
          <cell r="D4899">
            <v>726.71</v>
          </cell>
          <cell r="E4899">
            <v>7267.1</v>
          </cell>
          <cell r="F4899" t="str">
            <v>P01</v>
          </cell>
          <cell r="G4899" t="str">
            <v>slat buy - dạt mua từ nhà cung</v>
          </cell>
          <cell r="H4899" t="str">
            <v>Slat buy</v>
          </cell>
          <cell r="I4899">
            <v>130</v>
          </cell>
        </row>
        <row r="4900">
          <cell r="A4900" t="str">
            <v>B558322/A</v>
          </cell>
          <cell r="B4900" t="str">
            <v>RH3494M29</v>
          </cell>
          <cell r="C4900">
            <v>10</v>
          </cell>
          <cell r="D4900">
            <v>726.71</v>
          </cell>
          <cell r="E4900">
            <v>7267.1</v>
          </cell>
          <cell r="F4900" t="str">
            <v>A1-S01</v>
          </cell>
          <cell r="G4900" t="str">
            <v>Top rail - Đố nóc</v>
          </cell>
          <cell r="H4900" t="str">
            <v>Wood laminate</v>
          </cell>
          <cell r="I4900">
            <v>10</v>
          </cell>
        </row>
        <row r="4901">
          <cell r="A4901" t="str">
            <v>B558322/A</v>
          </cell>
          <cell r="B4901" t="str">
            <v>RH3494M29</v>
          </cell>
          <cell r="C4901">
            <v>10</v>
          </cell>
          <cell r="D4901">
            <v>726.71</v>
          </cell>
          <cell r="E4901">
            <v>7267.1</v>
          </cell>
          <cell r="F4901" t="str">
            <v>A1-S02</v>
          </cell>
          <cell r="G4901" t="str">
            <v xml:space="preserve">Side rail  - Đố hông </v>
          </cell>
          <cell r="H4901" t="str">
            <v>Wood laminate</v>
          </cell>
          <cell r="I4901">
            <v>20</v>
          </cell>
        </row>
        <row r="4902">
          <cell r="A4902" t="str">
            <v>B558322/A</v>
          </cell>
          <cell r="B4902" t="str">
            <v>RH3494M29</v>
          </cell>
          <cell r="C4902">
            <v>10</v>
          </cell>
          <cell r="D4902">
            <v>726.71</v>
          </cell>
          <cell r="E4902">
            <v>7267.1</v>
          </cell>
          <cell r="F4902" t="str">
            <v>A1-S03</v>
          </cell>
          <cell r="G4902" t="str">
            <v>Vertical rail 1 - Đố đứng 1</v>
          </cell>
          <cell r="H4902" t="str">
            <v>Pre-Assembly</v>
          </cell>
          <cell r="I4902">
            <v>20</v>
          </cell>
        </row>
        <row r="4903">
          <cell r="A4903" t="str">
            <v>B558322/A</v>
          </cell>
          <cell r="B4903" t="str">
            <v>RH3494M29</v>
          </cell>
          <cell r="C4903">
            <v>10</v>
          </cell>
          <cell r="D4903">
            <v>726.71</v>
          </cell>
          <cell r="E4903">
            <v>7267.1</v>
          </cell>
          <cell r="F4903" t="str">
            <v>A1-S03-1</v>
          </cell>
          <cell r="G4903" t="str">
            <v>Vertical rail 1 - Đố đứng 1</v>
          </cell>
          <cell r="H4903" t="str">
            <v>Wood EU Beech - Straight/Waving Edged ABC, 2 COM - T50mm x W100mm up x L1.8m up</v>
          </cell>
          <cell r="I4903">
            <v>20</v>
          </cell>
        </row>
        <row r="4904">
          <cell r="A4904" t="str">
            <v>B558322/A</v>
          </cell>
          <cell r="B4904" t="str">
            <v>RH3494M29</v>
          </cell>
          <cell r="C4904">
            <v>10</v>
          </cell>
          <cell r="D4904">
            <v>726.71</v>
          </cell>
          <cell r="E4904">
            <v>7267.1</v>
          </cell>
          <cell r="F4904" t="str">
            <v>A1-S03-2</v>
          </cell>
          <cell r="G4904" t="str">
            <v>Carving Part - Gỗ chạm</v>
          </cell>
          <cell r="H4904" t="str">
            <v>Beech off cut</v>
          </cell>
          <cell r="I4904">
            <v>80</v>
          </cell>
        </row>
        <row r="4905">
          <cell r="A4905" t="str">
            <v>B558322/A</v>
          </cell>
          <cell r="B4905" t="str">
            <v>RH3494M29</v>
          </cell>
          <cell r="C4905">
            <v>10</v>
          </cell>
          <cell r="D4905">
            <v>726.71</v>
          </cell>
          <cell r="E4905">
            <v>7267.1</v>
          </cell>
          <cell r="F4905" t="str">
            <v>A1-S04</v>
          </cell>
          <cell r="G4905" t="str">
            <v>Side bottom rail - Đố hông dưới</v>
          </cell>
          <cell r="H4905" t="str">
            <v>Wood laminate</v>
          </cell>
          <cell r="I4905">
            <v>40</v>
          </cell>
        </row>
        <row r="4906">
          <cell r="A4906" t="str">
            <v>B558322/A</v>
          </cell>
          <cell r="B4906" t="str">
            <v>RH3494M29</v>
          </cell>
          <cell r="C4906">
            <v>10</v>
          </cell>
          <cell r="D4906">
            <v>726.71</v>
          </cell>
          <cell r="E4906">
            <v>7267.1</v>
          </cell>
          <cell r="F4906" t="str">
            <v>A1-S05</v>
          </cell>
          <cell r="G4906" t="str">
            <v>Bottom rail inside - Đố tiền đáy</v>
          </cell>
          <cell r="H4906" t="str">
            <v>Wood EU Beech - Straight/Waving Edged ABC, 2 COM - T50mm x W100mm up x L1.8m up</v>
          </cell>
          <cell r="I4906">
            <v>10</v>
          </cell>
        </row>
        <row r="4907">
          <cell r="A4907" t="str">
            <v>B558322/A</v>
          </cell>
          <cell r="B4907" t="str">
            <v>RH3494M29</v>
          </cell>
          <cell r="C4907">
            <v>10</v>
          </cell>
          <cell r="D4907">
            <v>726.71</v>
          </cell>
          <cell r="E4907">
            <v>7267.1</v>
          </cell>
          <cell r="F4907" t="str">
            <v>A1-S06</v>
          </cell>
          <cell r="G4907" t="str">
            <v>Vertical rail 2 - Đố đứng 2</v>
          </cell>
          <cell r="H4907" t="str">
            <v>Pre-Assembly</v>
          </cell>
          <cell r="I4907">
            <v>20</v>
          </cell>
        </row>
        <row r="4908">
          <cell r="A4908" t="str">
            <v>B558322/A</v>
          </cell>
          <cell r="B4908" t="str">
            <v>RH3494M29</v>
          </cell>
          <cell r="C4908">
            <v>10</v>
          </cell>
          <cell r="D4908">
            <v>726.71</v>
          </cell>
          <cell r="E4908">
            <v>7267.1</v>
          </cell>
          <cell r="F4908" t="str">
            <v>A1-S06-1</v>
          </cell>
          <cell r="G4908" t="str">
            <v>Vertical rail 2 - Đố đứng 2</v>
          </cell>
          <cell r="H4908" t="str">
            <v>Wood EU Beech - Straight/Waving Edged ABC, 2 COM - T50mm x W100mm up x L1.8m up</v>
          </cell>
          <cell r="I4908">
            <v>20</v>
          </cell>
        </row>
        <row r="4909">
          <cell r="A4909" t="str">
            <v>B558322/A</v>
          </cell>
          <cell r="B4909" t="str">
            <v>RH3494M29</v>
          </cell>
          <cell r="C4909">
            <v>10</v>
          </cell>
          <cell r="D4909">
            <v>726.71</v>
          </cell>
          <cell r="E4909">
            <v>7267.1</v>
          </cell>
          <cell r="F4909" t="str">
            <v>A1-S06-2</v>
          </cell>
          <cell r="G4909" t="str">
            <v>Carving Part - Gỗ chạm</v>
          </cell>
          <cell r="H4909" t="str">
            <v>Beech off cut</v>
          </cell>
          <cell r="I4909">
            <v>80</v>
          </cell>
        </row>
        <row r="4910">
          <cell r="A4910" t="str">
            <v>B558322/A</v>
          </cell>
          <cell r="B4910" t="str">
            <v>RH3494M29</v>
          </cell>
          <cell r="C4910">
            <v>10</v>
          </cell>
          <cell r="D4910">
            <v>726.71</v>
          </cell>
          <cell r="E4910">
            <v>7267.1</v>
          </cell>
          <cell r="F4910" t="str">
            <v>A1-S07</v>
          </cell>
          <cell r="G4910" t="str">
            <v>Vertical rail 2 - Đố đứng 2</v>
          </cell>
          <cell r="H4910" t="str">
            <v>Wood EU Beech - Straight/Waving Edged ABC, 2 COM - T26mm x W100mm up x L1.8m up</v>
          </cell>
          <cell r="I4910">
            <v>20</v>
          </cell>
        </row>
        <row r="4911">
          <cell r="A4911" t="str">
            <v>B558322/A</v>
          </cell>
          <cell r="B4911" t="str">
            <v>RH3494M29</v>
          </cell>
          <cell r="C4911">
            <v>10</v>
          </cell>
          <cell r="D4911">
            <v>726.71</v>
          </cell>
          <cell r="E4911">
            <v>7267.1</v>
          </cell>
          <cell r="F4911" t="str">
            <v>A1-S08</v>
          </cell>
          <cell r="G4911" t="str">
            <v>Horizontal rail 1 - Đố ngang 1</v>
          </cell>
          <cell r="H4911" t="str">
            <v>Beech off cut</v>
          </cell>
          <cell r="I4911">
            <v>20</v>
          </cell>
        </row>
        <row r="4912">
          <cell r="A4912" t="str">
            <v>B558322/A</v>
          </cell>
          <cell r="B4912" t="str">
            <v>RH3494M29</v>
          </cell>
          <cell r="C4912">
            <v>10</v>
          </cell>
          <cell r="D4912">
            <v>726.71</v>
          </cell>
          <cell r="E4912">
            <v>7267.1</v>
          </cell>
          <cell r="F4912" t="str">
            <v>A1-S09</v>
          </cell>
          <cell r="G4912" t="str">
            <v>Vertical rail 2 - Đố đứng 2</v>
          </cell>
          <cell r="H4912" t="str">
            <v>Wood EU Beech - Straight/Waving Edged ABC, 2 COM - T32mm x W100mm up x L1.8m up</v>
          </cell>
          <cell r="I4912">
            <v>10</v>
          </cell>
        </row>
        <row r="4913">
          <cell r="A4913" t="str">
            <v>B558322/A</v>
          </cell>
          <cell r="B4913" t="str">
            <v>RH3494M29</v>
          </cell>
          <cell r="C4913">
            <v>10</v>
          </cell>
          <cell r="D4913">
            <v>726.71</v>
          </cell>
          <cell r="E4913">
            <v>7267.1</v>
          </cell>
          <cell r="F4913" t="str">
            <v>A1-S09-1</v>
          </cell>
          <cell r="G4913" t="str">
            <v>Vertical rail 2 - Đố đứng 2</v>
          </cell>
          <cell r="H4913" t="str">
            <v>Beech off cut</v>
          </cell>
          <cell r="I4913">
            <v>10</v>
          </cell>
        </row>
        <row r="4914">
          <cell r="A4914" t="str">
            <v>B558322/A</v>
          </cell>
          <cell r="B4914" t="str">
            <v>RH3494M29</v>
          </cell>
          <cell r="C4914">
            <v>10</v>
          </cell>
          <cell r="D4914">
            <v>726.71</v>
          </cell>
          <cell r="E4914">
            <v>7267.1</v>
          </cell>
          <cell r="F4914" t="str">
            <v>A1-S11</v>
          </cell>
          <cell r="G4914" t="str">
            <v>Corner block - ke góc</v>
          </cell>
          <cell r="H4914" t="str">
            <v>Beech off cut</v>
          </cell>
          <cell r="I4914">
            <v>20</v>
          </cell>
        </row>
        <row r="4915">
          <cell r="A4915" t="str">
            <v>B558322/A</v>
          </cell>
          <cell r="B4915" t="str">
            <v>RH3494M29</v>
          </cell>
          <cell r="C4915">
            <v>10</v>
          </cell>
          <cell r="D4915">
            <v>726.71</v>
          </cell>
          <cell r="E4915">
            <v>7267.1</v>
          </cell>
          <cell r="F4915" t="str">
            <v>A1-S12</v>
          </cell>
          <cell r="G4915" t="str">
            <v xml:space="preserve">Side panel  - Ván hông </v>
          </cell>
          <cell r="H4915" t="str">
            <v>Veneer laminate</v>
          </cell>
          <cell r="I4915">
            <v>20</v>
          </cell>
        </row>
        <row r="4916">
          <cell r="A4916" t="str">
            <v>B558322/A</v>
          </cell>
          <cell r="B4916" t="str">
            <v>RH3494M29</v>
          </cell>
          <cell r="C4916">
            <v>10</v>
          </cell>
          <cell r="D4916">
            <v>726.71</v>
          </cell>
          <cell r="E4916">
            <v>7267.1</v>
          </cell>
          <cell r="F4916" t="str">
            <v>A1-S12-1</v>
          </cell>
          <cell r="G4916" t="str">
            <v xml:space="preserve">Side panel  - Ván hông </v>
          </cell>
          <cell r="H4916" t="str">
            <v>Veneer laminate</v>
          </cell>
          <cell r="I4916">
            <v>20</v>
          </cell>
        </row>
        <row r="4917">
          <cell r="A4917" t="str">
            <v>B558322/A</v>
          </cell>
          <cell r="B4917" t="str">
            <v>RH3494M29</v>
          </cell>
          <cell r="C4917">
            <v>10</v>
          </cell>
          <cell r="D4917">
            <v>726.71</v>
          </cell>
          <cell r="E4917">
            <v>7267.1</v>
          </cell>
          <cell r="F4917" t="str">
            <v>A1-S13</v>
          </cell>
          <cell r="G4917" t="str">
            <v>Back panel - Ván hậu</v>
          </cell>
          <cell r="H4917" t="str">
            <v>MDF - 06 x 1220 x 2440mm, Veneer Okoume 0.3mm Both Faces [CARB P2 Compliant]</v>
          </cell>
          <cell r="I4917">
            <v>20</v>
          </cell>
        </row>
        <row r="4918">
          <cell r="A4918" t="str">
            <v>B558322/A</v>
          </cell>
          <cell r="B4918" t="str">
            <v>RH3494M29</v>
          </cell>
          <cell r="C4918">
            <v>10</v>
          </cell>
          <cell r="D4918">
            <v>726.71</v>
          </cell>
          <cell r="E4918">
            <v>7267.1</v>
          </cell>
          <cell r="F4918" t="str">
            <v>A1-S13-1</v>
          </cell>
          <cell r="G4918" t="str">
            <v>Back panel - Ván hậu</v>
          </cell>
          <cell r="H4918" t="str">
            <v>MDF - 06 x 1220 x 2440mm, Veneer Okoume 0.3mm Both Faces [CARB P2 Compliant]</v>
          </cell>
          <cell r="I4918">
            <v>20</v>
          </cell>
        </row>
        <row r="4919">
          <cell r="A4919" t="str">
            <v>B558322/A</v>
          </cell>
          <cell r="B4919" t="str">
            <v>RH3494M29</v>
          </cell>
          <cell r="C4919">
            <v>10</v>
          </cell>
          <cell r="D4919">
            <v>726.71</v>
          </cell>
          <cell r="E4919">
            <v>7267.1</v>
          </cell>
          <cell r="F4919" t="str">
            <v>A1-S15</v>
          </cell>
          <cell r="G4919" t="str">
            <v>Cleat - Bọ gỗ</v>
          </cell>
          <cell r="H4919" t="str">
            <v>Wood EU Beech - Straight/Waving Edged ABC, 2 COM - T38mm x W100mm up x L1.8m up</v>
          </cell>
          <cell r="I4919">
            <v>40</v>
          </cell>
        </row>
        <row r="4920">
          <cell r="A4920" t="str">
            <v>B558322/A</v>
          </cell>
          <cell r="B4920" t="str">
            <v>RH3494M29</v>
          </cell>
          <cell r="C4920">
            <v>10</v>
          </cell>
          <cell r="D4920">
            <v>726.71</v>
          </cell>
          <cell r="E4920">
            <v>7267.1</v>
          </cell>
          <cell r="F4920" t="str">
            <v>A1-S16</v>
          </cell>
          <cell r="G4920" t="str">
            <v>The leg  - Chân</v>
          </cell>
          <cell r="H4920" t="str">
            <v>Wood laminate</v>
          </cell>
          <cell r="I4920">
            <v>80</v>
          </cell>
        </row>
        <row r="4921">
          <cell r="A4921" t="str">
            <v>B558322/A</v>
          </cell>
          <cell r="B4921" t="str">
            <v>RH3494M29</v>
          </cell>
          <cell r="C4921">
            <v>10</v>
          </cell>
          <cell r="D4921">
            <v>726.71</v>
          </cell>
          <cell r="E4921">
            <v>7267.1</v>
          </cell>
          <cell r="F4921" t="str">
            <v>A1-S18</v>
          </cell>
          <cell r="G4921" t="str">
            <v>Tenon - Mộng cấy</v>
          </cell>
          <cell r="H4921" t="str">
            <v>Beech off cut</v>
          </cell>
          <cell r="I4921">
            <v>80</v>
          </cell>
        </row>
        <row r="4922">
          <cell r="A4922" t="str">
            <v>B558322/A</v>
          </cell>
          <cell r="B4922" t="str">
            <v>RH3494M29</v>
          </cell>
          <cell r="C4922">
            <v>10</v>
          </cell>
          <cell r="D4922">
            <v>726.71</v>
          </cell>
          <cell r="E4922">
            <v>7267.1</v>
          </cell>
          <cell r="F4922" t="str">
            <v>A1-S20</v>
          </cell>
          <cell r="G4922" t="str">
            <v>Cleat - Bọ gỗ</v>
          </cell>
          <cell r="H4922" t="str">
            <v>Beech off cut</v>
          </cell>
          <cell r="I4922">
            <v>40</v>
          </cell>
        </row>
        <row r="4923">
          <cell r="A4923" t="str">
            <v>B558322/A</v>
          </cell>
          <cell r="B4923" t="str">
            <v>RH3494M29</v>
          </cell>
          <cell r="C4923">
            <v>10</v>
          </cell>
          <cell r="D4923">
            <v>726.71</v>
          </cell>
          <cell r="E4923">
            <v>7267.1</v>
          </cell>
          <cell r="F4923" t="str">
            <v>A1-S21</v>
          </cell>
          <cell r="G4923" t="str">
            <v>Bottom rail inside - Đố tiền đáy</v>
          </cell>
          <cell r="H4923" t="str">
            <v>Wood EU Beech - Straight/Waving Edged ABC, 2 COM - T38mm x W100mm up x L1.8m up</v>
          </cell>
          <cell r="I4923">
            <v>20</v>
          </cell>
        </row>
        <row r="4924">
          <cell r="A4924" t="str">
            <v>B558322/A</v>
          </cell>
          <cell r="B4924" t="str">
            <v>RH3494M29</v>
          </cell>
          <cell r="C4924">
            <v>10</v>
          </cell>
          <cell r="D4924">
            <v>726.71</v>
          </cell>
          <cell r="E4924">
            <v>7267.1</v>
          </cell>
          <cell r="F4924" t="str">
            <v>A1-S22</v>
          </cell>
          <cell r="G4924" t="str">
            <v>Bottom rail inside - Đố tiền đáy</v>
          </cell>
          <cell r="H4924" t="str">
            <v>Wood EU Beech - Straight/Waving Edged ABC, 2 COM - T38mm x W100mm up x L1.8m up</v>
          </cell>
          <cell r="I4924">
            <v>40</v>
          </cell>
        </row>
        <row r="4925">
          <cell r="A4925" t="str">
            <v>B558322/A</v>
          </cell>
          <cell r="B4925" t="str">
            <v>RH3494M29</v>
          </cell>
          <cell r="C4925">
            <v>10</v>
          </cell>
          <cell r="D4925">
            <v>726.71</v>
          </cell>
          <cell r="E4925">
            <v>7267.1</v>
          </cell>
          <cell r="F4925" t="str">
            <v>A1-S23</v>
          </cell>
          <cell r="G4925" t="str">
            <v>Center rail - Đố giữa</v>
          </cell>
          <cell r="H4925" t="str">
            <v>Wood EU Beech - Straight/Waving Edged ABC, 2 COM - T26mm x W100mm up x L1.8m up</v>
          </cell>
          <cell r="I4925">
            <v>10</v>
          </cell>
        </row>
        <row r="4926">
          <cell r="A4926" t="str">
            <v>B558322/A</v>
          </cell>
          <cell r="B4926" t="str">
            <v>RH3494M29</v>
          </cell>
          <cell r="C4926">
            <v>10</v>
          </cell>
          <cell r="D4926">
            <v>726.71</v>
          </cell>
          <cell r="E4926">
            <v>7267.1</v>
          </cell>
          <cell r="F4926" t="str">
            <v>A1-S24</v>
          </cell>
          <cell r="G4926" t="str">
            <v xml:space="preserve">Panel - Ván </v>
          </cell>
          <cell r="H4926" t="str">
            <v>Honeycomb laminate</v>
          </cell>
          <cell r="I4926">
            <v>20</v>
          </cell>
        </row>
        <row r="4927">
          <cell r="A4927" t="str">
            <v>B558322/A</v>
          </cell>
          <cell r="B4927" t="str">
            <v>RH3494M29</v>
          </cell>
          <cell r="C4927">
            <v>10</v>
          </cell>
          <cell r="D4927">
            <v>726.71</v>
          </cell>
          <cell r="E4927">
            <v>7267.1</v>
          </cell>
          <cell r="F4927" t="str">
            <v>A1-S25</v>
          </cell>
          <cell r="G4927" t="str">
            <v xml:space="preserve">Panel - Ván </v>
          </cell>
          <cell r="H4927" t="str">
            <v>Honeycomb laminate</v>
          </cell>
          <cell r="I4927">
            <v>20</v>
          </cell>
        </row>
        <row r="4928">
          <cell r="A4928" t="str">
            <v>B558322/A</v>
          </cell>
          <cell r="B4928" t="str">
            <v>RH3494M29</v>
          </cell>
          <cell r="C4928">
            <v>10</v>
          </cell>
          <cell r="D4928">
            <v>726.71</v>
          </cell>
          <cell r="E4928">
            <v>7267.1</v>
          </cell>
          <cell r="F4928" t="str">
            <v>A2-S01</v>
          </cell>
          <cell r="G4928" t="str">
            <v>Top rail - Đố nóc</v>
          </cell>
          <cell r="H4928" t="str">
            <v>Wood EU Beech - Straight/Waving Edged ABC, 2 COM - T50mm x W100mm up x L1.8m up</v>
          </cell>
          <cell r="I4928">
            <v>10</v>
          </cell>
        </row>
        <row r="4929">
          <cell r="A4929" t="str">
            <v>B558322/A</v>
          </cell>
          <cell r="B4929" t="str">
            <v>RH3494M29</v>
          </cell>
          <cell r="C4929">
            <v>10</v>
          </cell>
          <cell r="D4929">
            <v>726.71</v>
          </cell>
          <cell r="E4929">
            <v>7267.1</v>
          </cell>
          <cell r="F4929" t="str">
            <v>A2-S02</v>
          </cell>
          <cell r="G4929" t="str">
            <v xml:space="preserve">Side rail  - Đố hông </v>
          </cell>
          <cell r="H4929" t="str">
            <v>Wood laminate</v>
          </cell>
          <cell r="I4929">
            <v>20</v>
          </cell>
        </row>
        <row r="4930">
          <cell r="A4930" t="str">
            <v>B558322/A</v>
          </cell>
          <cell r="B4930" t="str">
            <v>RH3494M29</v>
          </cell>
          <cell r="C4930">
            <v>10</v>
          </cell>
          <cell r="D4930">
            <v>726.71</v>
          </cell>
          <cell r="E4930">
            <v>7267.1</v>
          </cell>
          <cell r="F4930" t="str">
            <v>A2-S03</v>
          </cell>
          <cell r="G4930" t="str">
            <v>Front vertical center  - Trụ tiền giữa</v>
          </cell>
          <cell r="H4930" t="str">
            <v>Pre-Assembly</v>
          </cell>
          <cell r="I4930">
            <v>20</v>
          </cell>
        </row>
        <row r="4931">
          <cell r="A4931" t="str">
            <v>B558322/A</v>
          </cell>
          <cell r="B4931" t="str">
            <v>RH3494M29</v>
          </cell>
          <cell r="C4931">
            <v>10</v>
          </cell>
          <cell r="D4931">
            <v>726.71</v>
          </cell>
          <cell r="E4931">
            <v>7267.1</v>
          </cell>
          <cell r="F4931" t="str">
            <v>A2-S03-1</v>
          </cell>
          <cell r="G4931" t="str">
            <v>Front vertical center  - Trụ tiền giữa</v>
          </cell>
          <cell r="H4931" t="str">
            <v>Wood EU Beech - Straight/Waving Edged ABC, 2 COM - T50mm x W100mm up x L1.8m up</v>
          </cell>
          <cell r="I4931">
            <v>20</v>
          </cell>
        </row>
        <row r="4932">
          <cell r="A4932" t="str">
            <v>B558322/A</v>
          </cell>
          <cell r="B4932" t="str">
            <v>RH3494M29</v>
          </cell>
          <cell r="C4932">
            <v>10</v>
          </cell>
          <cell r="D4932">
            <v>726.71</v>
          </cell>
          <cell r="E4932">
            <v>7267.1</v>
          </cell>
          <cell r="F4932" t="str">
            <v>A2-S04</v>
          </cell>
          <cell r="G4932" t="str">
            <v>Vertical rail 1 - Đố đứng 1</v>
          </cell>
          <cell r="H4932" t="str">
            <v>Pre-Assembly</v>
          </cell>
          <cell r="I4932">
            <v>20</v>
          </cell>
        </row>
        <row r="4933">
          <cell r="A4933" t="str">
            <v>B558322/A</v>
          </cell>
          <cell r="B4933" t="str">
            <v>RH3494M29</v>
          </cell>
          <cell r="C4933">
            <v>10</v>
          </cell>
          <cell r="D4933">
            <v>726.71</v>
          </cell>
          <cell r="E4933">
            <v>7267.1</v>
          </cell>
          <cell r="F4933" t="str">
            <v>A2-S04-1</v>
          </cell>
          <cell r="G4933" t="str">
            <v>Vertical rail 1 - Đố đứng 1</v>
          </cell>
          <cell r="H4933" t="str">
            <v>Wood EU Beech - Straight/Waving Edged ABC, 2 COM - T50mm x W100mm up x L1.8m up</v>
          </cell>
          <cell r="I4933">
            <v>20</v>
          </cell>
        </row>
        <row r="4934">
          <cell r="A4934" t="str">
            <v>B558322/A</v>
          </cell>
          <cell r="B4934" t="str">
            <v>RH3494M29</v>
          </cell>
          <cell r="C4934">
            <v>10</v>
          </cell>
          <cell r="D4934">
            <v>726.71</v>
          </cell>
          <cell r="E4934">
            <v>7267.1</v>
          </cell>
          <cell r="F4934" t="str">
            <v>A2-S05</v>
          </cell>
          <cell r="G4934" t="str">
            <v>Vertical rail 2 - Đố đứng 2</v>
          </cell>
          <cell r="H4934" t="str">
            <v>Wood EU Beech - Straight/Waving Edged ABC, 2 COM - T26mm x W100mm up x L1.8m up</v>
          </cell>
          <cell r="I4934">
            <v>20</v>
          </cell>
        </row>
        <row r="4935">
          <cell r="A4935" t="str">
            <v>B558322/A</v>
          </cell>
          <cell r="B4935" t="str">
            <v>RH3494M29</v>
          </cell>
          <cell r="C4935">
            <v>10</v>
          </cell>
          <cell r="D4935">
            <v>726.71</v>
          </cell>
          <cell r="E4935">
            <v>7267.1</v>
          </cell>
          <cell r="F4935" t="str">
            <v>A2-S07</v>
          </cell>
          <cell r="G4935" t="str">
            <v xml:space="preserve">Side panel  - Ván hông </v>
          </cell>
          <cell r="H4935" t="str">
            <v>Veneer laminate</v>
          </cell>
          <cell r="I4935">
            <v>20</v>
          </cell>
        </row>
        <row r="4936">
          <cell r="A4936" t="str">
            <v>B558322/A</v>
          </cell>
          <cell r="B4936" t="str">
            <v>RH3494M29</v>
          </cell>
          <cell r="C4936">
            <v>10</v>
          </cell>
          <cell r="D4936">
            <v>726.71</v>
          </cell>
          <cell r="E4936">
            <v>7267.1</v>
          </cell>
          <cell r="F4936" t="str">
            <v>A2-S07-1</v>
          </cell>
          <cell r="G4936" t="str">
            <v xml:space="preserve">Side panel  - Ván hông </v>
          </cell>
          <cell r="H4936" t="str">
            <v>Veneer laminate</v>
          </cell>
          <cell r="I4936">
            <v>20</v>
          </cell>
        </row>
        <row r="4937">
          <cell r="A4937" t="str">
            <v>B558322/A</v>
          </cell>
          <cell r="B4937" t="str">
            <v>RH3494M29</v>
          </cell>
          <cell r="C4937">
            <v>10</v>
          </cell>
          <cell r="D4937">
            <v>726.71</v>
          </cell>
          <cell r="E4937">
            <v>7267.1</v>
          </cell>
          <cell r="F4937" t="str">
            <v>A2-S08</v>
          </cell>
          <cell r="G4937" t="str">
            <v>Back panel - Ván hậu</v>
          </cell>
          <cell r="H4937" t="str">
            <v>MDF - 06 x 1220 x 2440mm, Veneer Okoume 0.3mm Both Faces [CARB P2 Compliant]</v>
          </cell>
          <cell r="I4937">
            <v>20</v>
          </cell>
        </row>
        <row r="4938">
          <cell r="A4938" t="str">
            <v>B558322/A</v>
          </cell>
          <cell r="B4938" t="str">
            <v>RH3494M29</v>
          </cell>
          <cell r="C4938">
            <v>10</v>
          </cell>
          <cell r="D4938">
            <v>726.71</v>
          </cell>
          <cell r="E4938">
            <v>7267.1</v>
          </cell>
          <cell r="F4938" t="str">
            <v>A2-S09</v>
          </cell>
          <cell r="G4938" t="str">
            <v>Bottom rail inside - Đố tiền đáy</v>
          </cell>
          <cell r="H4938" t="str">
            <v>Wood EU Beech - Straight/Waving Edged ABC, 2 COM - T50mm x W100mm up x L1.8m up</v>
          </cell>
          <cell r="I4938">
            <v>10</v>
          </cell>
        </row>
        <row r="4939">
          <cell r="A4939" t="str">
            <v>B558322/A</v>
          </cell>
          <cell r="B4939" t="str">
            <v>RH3494M29</v>
          </cell>
          <cell r="C4939">
            <v>10</v>
          </cell>
          <cell r="D4939">
            <v>726.71</v>
          </cell>
          <cell r="E4939">
            <v>7267.1</v>
          </cell>
          <cell r="F4939" t="str">
            <v>A2-S10</v>
          </cell>
          <cell r="G4939" t="str">
            <v>Vertical rail 1 - Đố đứng 1</v>
          </cell>
          <cell r="H4939" t="str">
            <v>Beech off cut</v>
          </cell>
          <cell r="I4939">
            <v>10</v>
          </cell>
        </row>
        <row r="4940">
          <cell r="A4940" t="str">
            <v>B558322/A</v>
          </cell>
          <cell r="B4940" t="str">
            <v>RH3494M29</v>
          </cell>
          <cell r="C4940">
            <v>10</v>
          </cell>
          <cell r="D4940">
            <v>726.71</v>
          </cell>
          <cell r="E4940">
            <v>7267.1</v>
          </cell>
          <cell r="F4940" t="str">
            <v>A2-S11</v>
          </cell>
          <cell r="G4940" t="str">
            <v xml:space="preserve">Panel - Ván </v>
          </cell>
          <cell r="H4940" t="str">
            <v>Honeycomb laminate</v>
          </cell>
          <cell r="I4940">
            <v>20</v>
          </cell>
        </row>
        <row r="4941">
          <cell r="A4941" t="str">
            <v>B558322/A</v>
          </cell>
          <cell r="B4941" t="str">
            <v>RH3494M29</v>
          </cell>
          <cell r="C4941">
            <v>10</v>
          </cell>
          <cell r="D4941">
            <v>726.71</v>
          </cell>
          <cell r="E4941">
            <v>7267.1</v>
          </cell>
          <cell r="F4941" t="str">
            <v>A3-S01</v>
          </cell>
          <cell r="G4941" t="str">
            <v>Side bed - Hông giường</v>
          </cell>
          <cell r="H4941" t="str">
            <v>Wood EU Beech - Straight/Waving Edged ABC, 2 COM - T50mm x W100mm up x L1.8m up</v>
          </cell>
          <cell r="I4941">
            <v>20</v>
          </cell>
        </row>
        <row r="4942">
          <cell r="A4942" t="str">
            <v>B558322/A</v>
          </cell>
          <cell r="B4942" t="str">
            <v>RH3494M29</v>
          </cell>
          <cell r="C4942">
            <v>10</v>
          </cell>
          <cell r="D4942">
            <v>726.71</v>
          </cell>
          <cell r="E4942">
            <v>7267.1</v>
          </cell>
          <cell r="F4942" t="str">
            <v>A3-S02</v>
          </cell>
          <cell r="G4942" t="str">
            <v xml:space="preserve">Side rail  - Đố hông </v>
          </cell>
          <cell r="H4942" t="str">
            <v>Wood EU Beech - Straight/Waving Edged ABC, 2 COM - T38mm x W100mm up x L1.8m up</v>
          </cell>
          <cell r="I4942">
            <v>20</v>
          </cell>
        </row>
        <row r="4943">
          <cell r="A4943" t="str">
            <v>B558322/A</v>
          </cell>
          <cell r="B4943" t="str">
            <v>RH3494M29</v>
          </cell>
          <cell r="C4943">
            <v>10</v>
          </cell>
          <cell r="D4943">
            <v>726.71</v>
          </cell>
          <cell r="E4943">
            <v>7267.1</v>
          </cell>
          <cell r="F4943" t="str">
            <v>A3-S03</v>
          </cell>
          <cell r="G4943" t="str">
            <v xml:space="preserve">Side rail  - Đố hông </v>
          </cell>
          <cell r="H4943" t="str">
            <v>Beech off cut</v>
          </cell>
          <cell r="I4943">
            <v>40</v>
          </cell>
        </row>
        <row r="4944">
          <cell r="A4944" t="str">
            <v>B558322/A</v>
          </cell>
          <cell r="B4944" t="str">
            <v>RH3494M29</v>
          </cell>
          <cell r="C4944">
            <v>10</v>
          </cell>
          <cell r="D4944">
            <v>726.71</v>
          </cell>
          <cell r="E4944">
            <v>7267.1</v>
          </cell>
          <cell r="F4944" t="str">
            <v>P01</v>
          </cell>
          <cell r="G4944" t="str">
            <v>slat buy - dạt mua từ nhà cung</v>
          </cell>
          <cell r="H4944" t="str">
            <v>Slat buy</v>
          </cell>
          <cell r="I4944">
            <v>130</v>
          </cell>
        </row>
        <row r="4945">
          <cell r="A4945" t="str">
            <v>B558248/A</v>
          </cell>
          <cell r="B4945" t="str">
            <v>RH3541M40</v>
          </cell>
          <cell r="C4945">
            <v>35</v>
          </cell>
          <cell r="D4945">
            <v>524.59</v>
          </cell>
          <cell r="E4945">
            <v>18360.650000000001</v>
          </cell>
          <cell r="F4945" t="str">
            <v>A2-S1</v>
          </cell>
          <cell r="G4945" t="str">
            <v>Front Top rail 1 - Đố nóc trước 1</v>
          </cell>
          <cell r="H4945" t="str">
            <v>Wood laminate</v>
          </cell>
          <cell r="I4945">
            <v>70</v>
          </cell>
        </row>
        <row r="4946">
          <cell r="A4946" t="str">
            <v>B558248/A</v>
          </cell>
          <cell r="B4946" t="str">
            <v>RH3541M40</v>
          </cell>
          <cell r="C4946">
            <v>35</v>
          </cell>
          <cell r="D4946">
            <v>524.59</v>
          </cell>
          <cell r="E4946">
            <v>18360.650000000001</v>
          </cell>
          <cell r="F4946" t="str">
            <v>A2-S2</v>
          </cell>
          <cell r="G4946" t="str">
            <v>the post - trụ</v>
          </cell>
          <cell r="H4946" t="str">
            <v>Wood laminate</v>
          </cell>
          <cell r="I4946">
            <v>70</v>
          </cell>
        </row>
        <row r="4947">
          <cell r="A4947" t="str">
            <v>B558248/A</v>
          </cell>
          <cell r="B4947" t="str">
            <v>RH3541M40</v>
          </cell>
          <cell r="C4947">
            <v>35</v>
          </cell>
          <cell r="D4947">
            <v>524.59</v>
          </cell>
          <cell r="E4947">
            <v>18360.650000000001</v>
          </cell>
          <cell r="F4947" t="str">
            <v>A2-S3</v>
          </cell>
          <cell r="G4947" t="str">
            <v>Front Bottom Rail  - Đố đáy trước</v>
          </cell>
          <cell r="H4947" t="str">
            <v>Wood laminate</v>
          </cell>
          <cell r="I4947">
            <v>35</v>
          </cell>
        </row>
        <row r="4948">
          <cell r="A4948" t="str">
            <v>B558248/A</v>
          </cell>
          <cell r="B4948" t="str">
            <v>RH3541M40</v>
          </cell>
          <cell r="C4948">
            <v>35</v>
          </cell>
          <cell r="D4948">
            <v>524.59</v>
          </cell>
          <cell r="E4948">
            <v>18360.650000000001</v>
          </cell>
          <cell r="F4948" t="str">
            <v>A2-S4</v>
          </cell>
          <cell r="G4948" t="str">
            <v>Center rail - Đố giữa</v>
          </cell>
          <cell r="H4948" t="str">
            <v>Wood US Poplar - Straight Edged, 2 COM - T32mm x W100mm Up x L1.8m Up</v>
          </cell>
          <cell r="I4948">
            <v>70</v>
          </cell>
        </row>
        <row r="4949">
          <cell r="A4949" t="str">
            <v>B558248/A</v>
          </cell>
          <cell r="B4949" t="str">
            <v>RH3541M40</v>
          </cell>
          <cell r="C4949">
            <v>35</v>
          </cell>
          <cell r="D4949">
            <v>524.59</v>
          </cell>
          <cell r="E4949">
            <v>18360.650000000001</v>
          </cell>
          <cell r="F4949" t="str">
            <v>A2-S5</v>
          </cell>
          <cell r="G4949" t="str">
            <v>Center panel - Ván giữa</v>
          </cell>
          <cell r="H4949" t="str">
            <v>MDF Veneer</v>
          </cell>
          <cell r="I4949">
            <v>35</v>
          </cell>
        </row>
        <row r="4950">
          <cell r="A4950" t="str">
            <v>B558248/A</v>
          </cell>
          <cell r="B4950" t="str">
            <v>RH3541M40</v>
          </cell>
          <cell r="C4950">
            <v>35</v>
          </cell>
          <cell r="D4950">
            <v>524.59</v>
          </cell>
          <cell r="E4950">
            <v>18360.650000000001</v>
          </cell>
          <cell r="F4950" t="str">
            <v>A2-S6</v>
          </cell>
          <cell r="G4950" t="str">
            <v>Center panel - Ván giữa</v>
          </cell>
          <cell r="H4950" t="str">
            <v>MDF Veneer</v>
          </cell>
          <cell r="I4950">
            <v>35</v>
          </cell>
        </row>
        <row r="4951">
          <cell r="A4951" t="str">
            <v>B558248/A</v>
          </cell>
          <cell r="B4951" t="str">
            <v>RH3541M40</v>
          </cell>
          <cell r="C4951">
            <v>35</v>
          </cell>
          <cell r="D4951">
            <v>524.59</v>
          </cell>
          <cell r="E4951">
            <v>18360.650000000001</v>
          </cell>
          <cell r="F4951" t="str">
            <v>A2-S7</v>
          </cell>
          <cell r="G4951" t="str">
            <v>Cleat - Bọ gỗ</v>
          </cell>
          <cell r="H4951" t="str">
            <v>Wood US Poplar - Straight Edged, 2 COM - T38mm x W100mm Up x L1.8m Up</v>
          </cell>
          <cell r="I4951">
            <v>70</v>
          </cell>
        </row>
        <row r="4952">
          <cell r="A4952" t="str">
            <v>B558248/A</v>
          </cell>
          <cell r="B4952" t="str">
            <v>RH3541M40</v>
          </cell>
          <cell r="C4952">
            <v>35</v>
          </cell>
          <cell r="D4952">
            <v>524.59</v>
          </cell>
          <cell r="E4952">
            <v>18360.650000000001</v>
          </cell>
          <cell r="F4952" t="str">
            <v>A5-S1</v>
          </cell>
          <cell r="G4952" t="str">
            <v>the post - trụ</v>
          </cell>
          <cell r="H4952" t="str">
            <v>Wood laminate</v>
          </cell>
          <cell r="I4952">
            <v>70</v>
          </cell>
        </row>
        <row r="4953">
          <cell r="A4953" t="str">
            <v>B558248/A</v>
          </cell>
          <cell r="B4953" t="str">
            <v>RH3541M40</v>
          </cell>
          <cell r="C4953">
            <v>35</v>
          </cell>
          <cell r="D4953">
            <v>524.59</v>
          </cell>
          <cell r="E4953">
            <v>18360.650000000001</v>
          </cell>
          <cell r="F4953" t="str">
            <v>A5-S2</v>
          </cell>
          <cell r="G4953" t="str">
            <v>Center rail - Đố giữa</v>
          </cell>
          <cell r="H4953" t="str">
            <v>Wood US Poplar - Straight Edged, 2 COM - T32mm x W100mm Up x L1.8m Up</v>
          </cell>
          <cell r="I4953">
            <v>70</v>
          </cell>
        </row>
        <row r="4954">
          <cell r="A4954" t="str">
            <v>B558248/A</v>
          </cell>
          <cell r="B4954" t="str">
            <v>RH3541M40</v>
          </cell>
          <cell r="C4954">
            <v>35</v>
          </cell>
          <cell r="D4954">
            <v>524.59</v>
          </cell>
          <cell r="E4954">
            <v>18360.650000000001</v>
          </cell>
          <cell r="F4954" t="str">
            <v>A5-S3</v>
          </cell>
          <cell r="G4954" t="str">
            <v>Center panel - Ván giữa</v>
          </cell>
          <cell r="H4954" t="str">
            <v>MDF Veneer</v>
          </cell>
          <cell r="I4954">
            <v>35</v>
          </cell>
        </row>
        <row r="4955">
          <cell r="A4955" t="str">
            <v>B558248/A</v>
          </cell>
          <cell r="B4955" t="str">
            <v>RH3541M40</v>
          </cell>
          <cell r="C4955">
            <v>35</v>
          </cell>
          <cell r="D4955">
            <v>524.59</v>
          </cell>
          <cell r="E4955">
            <v>18360.650000000001</v>
          </cell>
          <cell r="F4955" t="str">
            <v>A5-S4</v>
          </cell>
          <cell r="G4955" t="str">
            <v>Center panel - Ván giữa</v>
          </cell>
          <cell r="H4955" t="str">
            <v>MDF Veneer</v>
          </cell>
          <cell r="I4955">
            <v>35</v>
          </cell>
        </row>
        <row r="4956">
          <cell r="A4956" t="str">
            <v>B558248/A</v>
          </cell>
          <cell r="B4956" t="str">
            <v>RH3541M40</v>
          </cell>
          <cell r="C4956">
            <v>35</v>
          </cell>
          <cell r="D4956">
            <v>524.59</v>
          </cell>
          <cell r="E4956">
            <v>18360.650000000001</v>
          </cell>
          <cell r="F4956" t="str">
            <v>A5-S5</v>
          </cell>
          <cell r="G4956" t="str">
            <v>Front Bottom Rail  - Đố đáy trước</v>
          </cell>
          <cell r="H4956" t="str">
            <v>Wood laminate</v>
          </cell>
          <cell r="I4956">
            <v>35</v>
          </cell>
        </row>
        <row r="4957">
          <cell r="A4957" t="str">
            <v>B558248/A</v>
          </cell>
          <cell r="B4957" t="str">
            <v>RH3541M40</v>
          </cell>
          <cell r="C4957">
            <v>35</v>
          </cell>
          <cell r="D4957">
            <v>524.59</v>
          </cell>
          <cell r="E4957">
            <v>18360.650000000001</v>
          </cell>
          <cell r="F4957" t="str">
            <v>A6</v>
          </cell>
          <cell r="G4957" t="str">
            <v>Side bed - Hông giường</v>
          </cell>
          <cell r="H4957" t="str">
            <v>Pre-Assembly</v>
          </cell>
          <cell r="I4957">
            <v>70</v>
          </cell>
        </row>
        <row r="4958">
          <cell r="A4958" t="str">
            <v>B558248/A</v>
          </cell>
          <cell r="B4958" t="str">
            <v>RH3541M40</v>
          </cell>
          <cell r="C4958">
            <v>35</v>
          </cell>
          <cell r="D4958">
            <v>524.59</v>
          </cell>
          <cell r="E4958">
            <v>18360.650000000001</v>
          </cell>
          <cell r="F4958" t="str">
            <v>A6-S01</v>
          </cell>
          <cell r="G4958" t="str">
            <v xml:space="preserve">Side rail  - Đố hông </v>
          </cell>
          <cell r="H4958" t="str">
            <v>Wood laminate</v>
          </cell>
          <cell r="I4958">
            <v>140</v>
          </cell>
        </row>
        <row r="4959">
          <cell r="A4959" t="str">
            <v>B558248/A</v>
          </cell>
          <cell r="B4959" t="str">
            <v>RH3541M40</v>
          </cell>
          <cell r="C4959">
            <v>35</v>
          </cell>
          <cell r="D4959">
            <v>524.59</v>
          </cell>
          <cell r="E4959">
            <v>18360.650000000001</v>
          </cell>
          <cell r="F4959" t="str">
            <v>A6-S02</v>
          </cell>
          <cell r="G4959" t="str">
            <v>Vertical rail 1 - Đố đứng 1</v>
          </cell>
          <cell r="H4959" t="str">
            <v>Wood US Poplar - Straight Edged, 2 COM - T32mm x W100mm Up x L1.8m Up</v>
          </cell>
          <cell r="I4959">
            <v>140</v>
          </cell>
        </row>
        <row r="4960">
          <cell r="A4960" t="str">
            <v>B558248/A</v>
          </cell>
          <cell r="B4960" t="str">
            <v>RH3541M40</v>
          </cell>
          <cell r="C4960">
            <v>35</v>
          </cell>
          <cell r="D4960">
            <v>524.59</v>
          </cell>
          <cell r="E4960">
            <v>18360.650000000001</v>
          </cell>
          <cell r="F4960" t="str">
            <v>A6-S03</v>
          </cell>
          <cell r="G4960" t="str">
            <v>Vertical rail 1 - Đố đứng 1</v>
          </cell>
          <cell r="H4960" t="str">
            <v>Wood US Poplar - Straight Edged, 2 COM - T32mm x W100mm Up x L1.8m Up</v>
          </cell>
          <cell r="I4960">
            <v>210</v>
          </cell>
        </row>
        <row r="4961">
          <cell r="A4961" t="str">
            <v>B558248/A</v>
          </cell>
          <cell r="B4961" t="str">
            <v>RH3541M40</v>
          </cell>
          <cell r="C4961">
            <v>35</v>
          </cell>
          <cell r="D4961">
            <v>524.59</v>
          </cell>
          <cell r="E4961">
            <v>18360.650000000001</v>
          </cell>
          <cell r="F4961" t="str">
            <v>A6-S04</v>
          </cell>
          <cell r="G4961" t="str">
            <v>Side bed panel - Ván hông giường</v>
          </cell>
          <cell r="H4961" t="str">
            <v>MDF Veneer</v>
          </cell>
          <cell r="I4961">
            <v>70</v>
          </cell>
        </row>
        <row r="4962">
          <cell r="A4962" t="str">
            <v>B558248/A</v>
          </cell>
          <cell r="B4962" t="str">
            <v>RH3541M40</v>
          </cell>
          <cell r="C4962">
            <v>35</v>
          </cell>
          <cell r="D4962">
            <v>524.59</v>
          </cell>
          <cell r="E4962">
            <v>18360.650000000001</v>
          </cell>
          <cell r="F4962" t="str">
            <v>A6-S05</v>
          </cell>
          <cell r="G4962" t="str">
            <v>Side bed panel - Ván hông giường</v>
          </cell>
          <cell r="H4962" t="str">
            <v>MDF Veneer</v>
          </cell>
          <cell r="I4962">
            <v>70</v>
          </cell>
        </row>
        <row r="4963">
          <cell r="A4963" t="str">
            <v>B558248/A</v>
          </cell>
          <cell r="B4963" t="str">
            <v>RH3541M40</v>
          </cell>
          <cell r="C4963">
            <v>35</v>
          </cell>
          <cell r="D4963">
            <v>524.59</v>
          </cell>
          <cell r="E4963">
            <v>18360.650000000001</v>
          </cell>
          <cell r="F4963" t="str">
            <v>A6-S07</v>
          </cell>
          <cell r="G4963" t="str">
            <v>Slat Support  - Đỡ dạt giường</v>
          </cell>
          <cell r="H4963" t="str">
            <v>Wood US Poplar - Straight Edged, 1 COM - T38mm x W100mm Up x L1.8m Up</v>
          </cell>
          <cell r="I4963">
            <v>70</v>
          </cell>
        </row>
        <row r="4964">
          <cell r="A4964" t="str">
            <v>B558248/A</v>
          </cell>
          <cell r="B4964" t="str">
            <v>RH3541M40</v>
          </cell>
          <cell r="C4964">
            <v>35</v>
          </cell>
          <cell r="D4964">
            <v>524.59</v>
          </cell>
          <cell r="E4964">
            <v>18360.650000000001</v>
          </cell>
          <cell r="F4964" t="str">
            <v>P03</v>
          </cell>
          <cell r="G4964" t="str">
            <v>panel platform - ván sàn giường</v>
          </cell>
          <cell r="H4964" t="str">
            <v>MDF Veneer</v>
          </cell>
          <cell r="I4964">
            <v>70</v>
          </cell>
        </row>
        <row r="4965">
          <cell r="A4965" t="str">
            <v>B558248/A</v>
          </cell>
          <cell r="B4965" t="str">
            <v>RH3541M40</v>
          </cell>
          <cell r="C4965">
            <v>35</v>
          </cell>
          <cell r="D4965">
            <v>524.59</v>
          </cell>
          <cell r="E4965">
            <v>18360.650000000001</v>
          </cell>
          <cell r="F4965" t="str">
            <v>P04</v>
          </cell>
          <cell r="G4965" t="str">
            <v>slat buy - dạt mua từ nhà cung</v>
          </cell>
          <cell r="H4965" t="str">
            <v>Slat buy</v>
          </cell>
          <cell r="I4965">
            <v>105</v>
          </cell>
        </row>
        <row r="4966">
          <cell r="A4966" t="str">
            <v>B558248/A</v>
          </cell>
          <cell r="B4966" t="str">
            <v>RH3541M40</v>
          </cell>
          <cell r="C4966">
            <v>35</v>
          </cell>
          <cell r="D4966">
            <v>524.59</v>
          </cell>
          <cell r="E4966">
            <v>18360.650000000001</v>
          </cell>
          <cell r="F4966" t="str">
            <v>P05</v>
          </cell>
          <cell r="G4966" t="str">
            <v>Center leg - Chân giữa</v>
          </cell>
          <cell r="H4966" t="str">
            <v>Poplar 2 COM</v>
          </cell>
          <cell r="I4966">
            <v>105</v>
          </cell>
        </row>
        <row r="4967">
          <cell r="A4967" t="str">
            <v>B558249/A</v>
          </cell>
          <cell r="B4967" t="str">
            <v>RH3541M40</v>
          </cell>
          <cell r="C4967">
            <v>35</v>
          </cell>
          <cell r="D4967">
            <v>524.59</v>
          </cell>
          <cell r="E4967">
            <v>18360.650000000001</v>
          </cell>
          <cell r="F4967" t="str">
            <v>A2-S1</v>
          </cell>
          <cell r="G4967" t="str">
            <v>Front Top rail 1 - Đố nóc trước 1</v>
          </cell>
          <cell r="H4967" t="str">
            <v>Wood laminate</v>
          </cell>
          <cell r="I4967">
            <v>70</v>
          </cell>
        </row>
        <row r="4968">
          <cell r="A4968" t="str">
            <v>B558249/A</v>
          </cell>
          <cell r="B4968" t="str">
            <v>RH3541M40</v>
          </cell>
          <cell r="C4968">
            <v>35</v>
          </cell>
          <cell r="D4968">
            <v>524.59</v>
          </cell>
          <cell r="E4968">
            <v>18360.650000000001</v>
          </cell>
          <cell r="F4968" t="str">
            <v>A2-S2</v>
          </cell>
          <cell r="G4968" t="str">
            <v>the post - trụ</v>
          </cell>
          <cell r="H4968" t="str">
            <v>Wood laminate</v>
          </cell>
          <cell r="I4968">
            <v>70</v>
          </cell>
        </row>
        <row r="4969">
          <cell r="A4969" t="str">
            <v>B558249/A</v>
          </cell>
          <cell r="B4969" t="str">
            <v>RH3541M40</v>
          </cell>
          <cell r="C4969">
            <v>35</v>
          </cell>
          <cell r="D4969">
            <v>524.59</v>
          </cell>
          <cell r="E4969">
            <v>18360.650000000001</v>
          </cell>
          <cell r="F4969" t="str">
            <v>A2-S3</v>
          </cell>
          <cell r="G4969" t="str">
            <v>Front Bottom Rail  - Đố đáy trước</v>
          </cell>
          <cell r="H4969" t="str">
            <v>Wood laminate</v>
          </cell>
          <cell r="I4969">
            <v>35</v>
          </cell>
        </row>
        <row r="4970">
          <cell r="A4970" t="str">
            <v>B558249/A</v>
          </cell>
          <cell r="B4970" t="str">
            <v>RH3541M40</v>
          </cell>
          <cell r="C4970">
            <v>35</v>
          </cell>
          <cell r="D4970">
            <v>524.59</v>
          </cell>
          <cell r="E4970">
            <v>18360.650000000001</v>
          </cell>
          <cell r="F4970" t="str">
            <v>A2-S4</v>
          </cell>
          <cell r="G4970" t="str">
            <v>Center rail - Đố giữa</v>
          </cell>
          <cell r="H4970" t="str">
            <v>Wood US Poplar - Straight Edged, 2 COM - T32mm x W100mm Up x L1.8m Up</v>
          </cell>
          <cell r="I4970">
            <v>70</v>
          </cell>
        </row>
        <row r="4971">
          <cell r="A4971" t="str">
            <v>B558249/A</v>
          </cell>
          <cell r="B4971" t="str">
            <v>RH3541M40</v>
          </cell>
          <cell r="C4971">
            <v>35</v>
          </cell>
          <cell r="D4971">
            <v>524.59</v>
          </cell>
          <cell r="E4971">
            <v>18360.650000000001</v>
          </cell>
          <cell r="F4971" t="str">
            <v>A2-S5</v>
          </cell>
          <cell r="G4971" t="str">
            <v>Center panel - Ván giữa</v>
          </cell>
          <cell r="H4971" t="str">
            <v>MDF Veneer</v>
          </cell>
          <cell r="I4971">
            <v>35</v>
          </cell>
        </row>
        <row r="4972">
          <cell r="A4972" t="str">
            <v>B558249/A</v>
          </cell>
          <cell r="B4972" t="str">
            <v>RH3541M40</v>
          </cell>
          <cell r="C4972">
            <v>35</v>
          </cell>
          <cell r="D4972">
            <v>524.59</v>
          </cell>
          <cell r="E4972">
            <v>18360.650000000001</v>
          </cell>
          <cell r="F4972" t="str">
            <v>A2-S6</v>
          </cell>
          <cell r="G4972" t="str">
            <v>Center panel - Ván giữa</v>
          </cell>
          <cell r="H4972" t="str">
            <v>MDF Veneer</v>
          </cell>
          <cell r="I4972">
            <v>35</v>
          </cell>
        </row>
        <row r="4973">
          <cell r="A4973" t="str">
            <v>B558249/A</v>
          </cell>
          <cell r="B4973" t="str">
            <v>RH3541M40</v>
          </cell>
          <cell r="C4973">
            <v>35</v>
          </cell>
          <cell r="D4973">
            <v>524.59</v>
          </cell>
          <cell r="E4973">
            <v>18360.650000000001</v>
          </cell>
          <cell r="F4973" t="str">
            <v>A2-S7</v>
          </cell>
          <cell r="G4973" t="str">
            <v>Cleat - Bọ gỗ</v>
          </cell>
          <cell r="H4973" t="str">
            <v>Wood US Poplar - Straight Edged, 2 COM - T38mm x W100mm Up x L1.8m Up</v>
          </cell>
          <cell r="I4973">
            <v>70</v>
          </cell>
        </row>
        <row r="4974">
          <cell r="A4974" t="str">
            <v>B558249/A</v>
          </cell>
          <cell r="B4974" t="str">
            <v>RH3541M40</v>
          </cell>
          <cell r="C4974">
            <v>35</v>
          </cell>
          <cell r="D4974">
            <v>524.59</v>
          </cell>
          <cell r="E4974">
            <v>18360.650000000001</v>
          </cell>
          <cell r="F4974" t="str">
            <v>A5-S1</v>
          </cell>
          <cell r="G4974" t="str">
            <v>the post - trụ</v>
          </cell>
          <cell r="H4974" t="str">
            <v>Wood laminate</v>
          </cell>
          <cell r="I4974">
            <v>70</v>
          </cell>
        </row>
        <row r="4975">
          <cell r="A4975" t="str">
            <v>B558249/A</v>
          </cell>
          <cell r="B4975" t="str">
            <v>RH3541M40</v>
          </cell>
          <cell r="C4975">
            <v>35</v>
          </cell>
          <cell r="D4975">
            <v>524.59</v>
          </cell>
          <cell r="E4975">
            <v>18360.650000000001</v>
          </cell>
          <cell r="F4975" t="str">
            <v>A5-S2</v>
          </cell>
          <cell r="G4975" t="str">
            <v>Center rail - Đố giữa</v>
          </cell>
          <cell r="H4975" t="str">
            <v>Wood US Poplar - Straight Edged, 2 COM - T32mm x W100mm Up x L1.8m Up</v>
          </cell>
          <cell r="I4975">
            <v>70</v>
          </cell>
        </row>
        <row r="4976">
          <cell r="A4976" t="str">
            <v>B558249/A</v>
          </cell>
          <cell r="B4976" t="str">
            <v>RH3541M40</v>
          </cell>
          <cell r="C4976">
            <v>35</v>
          </cell>
          <cell r="D4976">
            <v>524.59</v>
          </cell>
          <cell r="E4976">
            <v>18360.650000000001</v>
          </cell>
          <cell r="F4976" t="str">
            <v>A5-S3</v>
          </cell>
          <cell r="G4976" t="str">
            <v>Center panel - Ván giữa</v>
          </cell>
          <cell r="H4976" t="str">
            <v>MDF Veneer</v>
          </cell>
          <cell r="I4976">
            <v>35</v>
          </cell>
        </row>
        <row r="4977">
          <cell r="A4977" t="str">
            <v>B558249/A</v>
          </cell>
          <cell r="B4977" t="str">
            <v>RH3541M40</v>
          </cell>
          <cell r="C4977">
            <v>35</v>
          </cell>
          <cell r="D4977">
            <v>524.59</v>
          </cell>
          <cell r="E4977">
            <v>18360.650000000001</v>
          </cell>
          <cell r="F4977" t="str">
            <v>A5-S4</v>
          </cell>
          <cell r="G4977" t="str">
            <v>Center panel - Ván giữa</v>
          </cell>
          <cell r="H4977" t="str">
            <v>MDF Veneer</v>
          </cell>
          <cell r="I4977">
            <v>35</v>
          </cell>
        </row>
        <row r="4978">
          <cell r="A4978" t="str">
            <v>B558249/A</v>
          </cell>
          <cell r="B4978" t="str">
            <v>RH3541M40</v>
          </cell>
          <cell r="C4978">
            <v>35</v>
          </cell>
          <cell r="D4978">
            <v>524.59</v>
          </cell>
          <cell r="E4978">
            <v>18360.650000000001</v>
          </cell>
          <cell r="F4978" t="str">
            <v>A5-S5</v>
          </cell>
          <cell r="G4978" t="str">
            <v>Front Bottom Rail  - Đố đáy trước</v>
          </cell>
          <cell r="H4978" t="str">
            <v>Wood laminate</v>
          </cell>
          <cell r="I4978">
            <v>35</v>
          </cell>
        </row>
        <row r="4979">
          <cell r="A4979" t="str">
            <v>B558249/A</v>
          </cell>
          <cell r="B4979" t="str">
            <v>RH3541M40</v>
          </cell>
          <cell r="C4979">
            <v>35</v>
          </cell>
          <cell r="D4979">
            <v>524.59</v>
          </cell>
          <cell r="E4979">
            <v>18360.650000000001</v>
          </cell>
          <cell r="F4979" t="str">
            <v>A6</v>
          </cell>
          <cell r="G4979" t="str">
            <v>Side bed - Hông giường</v>
          </cell>
          <cell r="H4979" t="str">
            <v>Pre-Assembly</v>
          </cell>
          <cell r="I4979">
            <v>70</v>
          </cell>
        </row>
        <row r="4980">
          <cell r="A4980" t="str">
            <v>B558249/A</v>
          </cell>
          <cell r="B4980" t="str">
            <v>RH3541M40</v>
          </cell>
          <cell r="C4980">
            <v>35</v>
          </cell>
          <cell r="D4980">
            <v>524.59</v>
          </cell>
          <cell r="E4980">
            <v>18360.650000000001</v>
          </cell>
          <cell r="F4980" t="str">
            <v>A6-S01</v>
          </cell>
          <cell r="G4980" t="str">
            <v xml:space="preserve">Side rail  - Đố hông </v>
          </cell>
          <cell r="H4980" t="str">
            <v>Wood laminate</v>
          </cell>
          <cell r="I4980">
            <v>140</v>
          </cell>
        </row>
        <row r="4981">
          <cell r="A4981" t="str">
            <v>B558249/A</v>
          </cell>
          <cell r="B4981" t="str">
            <v>RH3541M40</v>
          </cell>
          <cell r="C4981">
            <v>35</v>
          </cell>
          <cell r="D4981">
            <v>524.59</v>
          </cell>
          <cell r="E4981">
            <v>18360.650000000001</v>
          </cell>
          <cell r="F4981" t="str">
            <v>A6-S02</v>
          </cell>
          <cell r="G4981" t="str">
            <v>Vertical rail 1 - Đố đứng 1</v>
          </cell>
          <cell r="H4981" t="str">
            <v>Wood US Poplar - Straight Edged, 2 COM - T32mm x W100mm Up x L1.8m Up</v>
          </cell>
          <cell r="I4981">
            <v>140</v>
          </cell>
        </row>
        <row r="4982">
          <cell r="A4982" t="str">
            <v>B558249/A</v>
          </cell>
          <cell r="B4982" t="str">
            <v>RH3541M40</v>
          </cell>
          <cell r="C4982">
            <v>35</v>
          </cell>
          <cell r="D4982">
            <v>524.59</v>
          </cell>
          <cell r="E4982">
            <v>18360.650000000001</v>
          </cell>
          <cell r="F4982" t="str">
            <v>A6-S03</v>
          </cell>
          <cell r="G4982" t="str">
            <v>Vertical rail 1 - Đố đứng 1</v>
          </cell>
          <cell r="H4982" t="str">
            <v>Wood US Poplar - Straight Edged, 2 COM - T32mm x W100mm Up x L1.8m Up</v>
          </cell>
          <cell r="I4982">
            <v>210</v>
          </cell>
        </row>
        <row r="4983">
          <cell r="A4983" t="str">
            <v>B558249/A</v>
          </cell>
          <cell r="B4983" t="str">
            <v>RH3541M40</v>
          </cell>
          <cell r="C4983">
            <v>35</v>
          </cell>
          <cell r="D4983">
            <v>524.59</v>
          </cell>
          <cell r="E4983">
            <v>18360.650000000001</v>
          </cell>
          <cell r="F4983" t="str">
            <v>A6-S04</v>
          </cell>
          <cell r="G4983" t="str">
            <v>Side bed panel - Ván hông giường</v>
          </cell>
          <cell r="H4983" t="str">
            <v>MDF Veneer</v>
          </cell>
          <cell r="I4983">
            <v>70</v>
          </cell>
        </row>
        <row r="4984">
          <cell r="A4984" t="str">
            <v>B558249/A</v>
          </cell>
          <cell r="B4984" t="str">
            <v>RH3541M40</v>
          </cell>
          <cell r="C4984">
            <v>35</v>
          </cell>
          <cell r="D4984">
            <v>524.59</v>
          </cell>
          <cell r="E4984">
            <v>18360.650000000001</v>
          </cell>
          <cell r="F4984" t="str">
            <v>A6-S05</v>
          </cell>
          <cell r="G4984" t="str">
            <v>Side bed panel - Ván hông giường</v>
          </cell>
          <cell r="H4984" t="str">
            <v>MDF Veneer</v>
          </cell>
          <cell r="I4984">
            <v>70</v>
          </cell>
        </row>
        <row r="4985">
          <cell r="A4985" t="str">
            <v>B558249/A</v>
          </cell>
          <cell r="B4985" t="str">
            <v>RH3541M40</v>
          </cell>
          <cell r="C4985">
            <v>35</v>
          </cell>
          <cell r="D4985">
            <v>524.59</v>
          </cell>
          <cell r="E4985">
            <v>18360.650000000001</v>
          </cell>
          <cell r="F4985" t="str">
            <v>A6-S07</v>
          </cell>
          <cell r="G4985" t="str">
            <v>Slat Support  - Đỡ dạt giường</v>
          </cell>
          <cell r="H4985" t="str">
            <v>Wood US Poplar - Straight Edged, 1 COM - T38mm x W100mm Up x L1.8m Up</v>
          </cell>
          <cell r="I4985">
            <v>70</v>
          </cell>
        </row>
        <row r="4986">
          <cell r="A4986" t="str">
            <v>B558249/A</v>
          </cell>
          <cell r="B4986" t="str">
            <v>RH3541M40</v>
          </cell>
          <cell r="C4986">
            <v>35</v>
          </cell>
          <cell r="D4986">
            <v>524.59</v>
          </cell>
          <cell r="E4986">
            <v>18360.650000000001</v>
          </cell>
          <cell r="F4986" t="str">
            <v>P03</v>
          </cell>
          <cell r="G4986" t="str">
            <v>panel platform - ván sàn giường</v>
          </cell>
          <cell r="H4986" t="str">
            <v>MDF Veneer</v>
          </cell>
          <cell r="I4986">
            <v>70</v>
          </cell>
        </row>
        <row r="4987">
          <cell r="A4987" t="str">
            <v>B558249/A</v>
          </cell>
          <cell r="B4987" t="str">
            <v>RH3541M40</v>
          </cell>
          <cell r="C4987">
            <v>35</v>
          </cell>
          <cell r="D4987">
            <v>524.59</v>
          </cell>
          <cell r="E4987">
            <v>18360.650000000001</v>
          </cell>
          <cell r="F4987" t="str">
            <v>P04</v>
          </cell>
          <cell r="G4987" t="str">
            <v>slat buy - dạt mua từ nhà cung</v>
          </cell>
          <cell r="H4987" t="str">
            <v>Slat buy</v>
          </cell>
          <cell r="I4987">
            <v>105</v>
          </cell>
        </row>
        <row r="4988">
          <cell r="A4988" t="str">
            <v>B558249/A</v>
          </cell>
          <cell r="B4988" t="str">
            <v>RH3541M40</v>
          </cell>
          <cell r="C4988">
            <v>35</v>
          </cell>
          <cell r="D4988">
            <v>524.59</v>
          </cell>
          <cell r="E4988">
            <v>18360.650000000001</v>
          </cell>
          <cell r="F4988" t="str">
            <v>P05</v>
          </cell>
          <cell r="G4988" t="str">
            <v>Center leg - Chân giữa</v>
          </cell>
          <cell r="H4988" t="str">
            <v>Poplar 2 COM</v>
          </cell>
          <cell r="I4988">
            <v>105</v>
          </cell>
        </row>
        <row r="4989">
          <cell r="A4989" t="str">
            <v>B558160/A</v>
          </cell>
          <cell r="B4989" t="str">
            <v>RH4095M112</v>
          </cell>
          <cell r="C4989">
            <v>10</v>
          </cell>
          <cell r="D4989">
            <v>631.91999999999996</v>
          </cell>
          <cell r="E4989">
            <v>6319.2</v>
          </cell>
          <cell r="F4989" t="str">
            <v>A2-S1</v>
          </cell>
          <cell r="G4989" t="str">
            <v xml:space="preserve">Side rail  - Đố hông </v>
          </cell>
          <cell r="H4989" t="str">
            <v>Wood US Poplar - Straight Edged, 2 COM - T25mm x W100mm Up x L1.8m Up</v>
          </cell>
          <cell r="I4989">
            <v>20</v>
          </cell>
        </row>
        <row r="4990">
          <cell r="A4990" t="str">
            <v>B558160/A</v>
          </cell>
          <cell r="B4990" t="str">
            <v>RH4095M112</v>
          </cell>
          <cell r="C4990">
            <v>10</v>
          </cell>
          <cell r="D4990">
            <v>631.91999999999996</v>
          </cell>
          <cell r="E4990">
            <v>6319.2</v>
          </cell>
          <cell r="F4990" t="str">
            <v>A2-S2</v>
          </cell>
          <cell r="G4990" t="str">
            <v xml:space="preserve">Side panel  - Ván hông </v>
          </cell>
          <cell r="H4990" t="str">
            <v>MDF - 18 x 1830 x 2440mm [CARB P2 Compliant]</v>
          </cell>
          <cell r="I4990">
            <v>20</v>
          </cell>
        </row>
        <row r="4991">
          <cell r="A4991" t="str">
            <v>B558160/A</v>
          </cell>
          <cell r="B4991" t="str">
            <v>RH4095M112</v>
          </cell>
          <cell r="C4991">
            <v>10</v>
          </cell>
          <cell r="D4991">
            <v>631.91999999999996</v>
          </cell>
          <cell r="E4991">
            <v>6319.2</v>
          </cell>
          <cell r="F4991" t="str">
            <v>A3.1A</v>
          </cell>
          <cell r="G4991" t="str">
            <v xml:space="preserve">Side panel right  - Ván hông phải </v>
          </cell>
          <cell r="H4991" t="str">
            <v>MDF - 18 x 1830 x 2440mm [CARB P2 Compliant]</v>
          </cell>
          <cell r="I4991">
            <v>10</v>
          </cell>
        </row>
        <row r="4992">
          <cell r="A4992" t="str">
            <v>B558160/A</v>
          </cell>
          <cell r="B4992" t="str">
            <v>RH4095M112</v>
          </cell>
          <cell r="C4992">
            <v>10</v>
          </cell>
          <cell r="D4992">
            <v>631.91999999999996</v>
          </cell>
          <cell r="E4992">
            <v>6319.2</v>
          </cell>
          <cell r="F4992" t="str">
            <v>A3-S1</v>
          </cell>
          <cell r="G4992" t="str">
            <v>Center rail - Đố giữa</v>
          </cell>
          <cell r="H4992" t="str">
            <v>Wood US Poplar - Straight Edged, 2 COM - T25mm x W100mm Up x L1.8m Up</v>
          </cell>
          <cell r="I4992">
            <v>20</v>
          </cell>
        </row>
        <row r="4993">
          <cell r="A4993" t="str">
            <v>B558160/A</v>
          </cell>
          <cell r="B4993" t="str">
            <v>RH4095M112</v>
          </cell>
          <cell r="C4993">
            <v>10</v>
          </cell>
          <cell r="D4993">
            <v>631.91999999999996</v>
          </cell>
          <cell r="E4993">
            <v>6319.2</v>
          </cell>
          <cell r="F4993" t="str">
            <v>A3-S2</v>
          </cell>
          <cell r="G4993" t="str">
            <v xml:space="preserve">Side panel left  - Ván hông trái </v>
          </cell>
          <cell r="H4993" t="str">
            <v>MDF - 18 x 1830 x 2440mm [CARB P2 Compliant]</v>
          </cell>
          <cell r="I4993">
            <v>10</v>
          </cell>
        </row>
        <row r="4994">
          <cell r="A4994" t="str">
            <v>B558160/A</v>
          </cell>
          <cell r="B4994" t="str">
            <v>RH4095M112</v>
          </cell>
          <cell r="C4994">
            <v>10</v>
          </cell>
          <cell r="D4994">
            <v>631.91999999999996</v>
          </cell>
          <cell r="E4994">
            <v>6319.2</v>
          </cell>
          <cell r="F4994" t="str">
            <v>A4-S1</v>
          </cell>
          <cell r="G4994" t="str">
            <v>Front Bottom Rail  - Đố đáy trước</v>
          </cell>
          <cell r="H4994" t="str">
            <v>Wood US Poplar - Straight Edged, 2 COM - T50mm x W100mm Up x L1.8m Up</v>
          </cell>
          <cell r="I4994">
            <v>20</v>
          </cell>
        </row>
        <row r="4995">
          <cell r="A4995" t="str">
            <v>B558160/A</v>
          </cell>
          <cell r="B4995" t="str">
            <v>RH4095M112</v>
          </cell>
          <cell r="C4995">
            <v>10</v>
          </cell>
          <cell r="D4995">
            <v>631.91999999999996</v>
          </cell>
          <cell r="E4995">
            <v>6319.2</v>
          </cell>
          <cell r="F4995" t="str">
            <v>A4-S2</v>
          </cell>
          <cell r="G4995" t="str">
            <v>Center rail - Đố giữa</v>
          </cell>
          <cell r="H4995" t="str">
            <v>Wood US Poplar - Straight Edged, 2 COM - T25mm x W100mm Up x L1.8m Up</v>
          </cell>
          <cell r="I4995">
            <v>40</v>
          </cell>
        </row>
        <row r="4996">
          <cell r="A4996" t="str">
            <v>B558160/A</v>
          </cell>
          <cell r="B4996" t="str">
            <v>RH4095M112</v>
          </cell>
          <cell r="C4996">
            <v>10</v>
          </cell>
          <cell r="D4996">
            <v>631.91999999999996</v>
          </cell>
          <cell r="E4996">
            <v>6319.2</v>
          </cell>
          <cell r="F4996" t="str">
            <v>A4-S3</v>
          </cell>
          <cell r="G4996" t="str">
            <v>Dust board Panel  - Ván quét bụi</v>
          </cell>
          <cell r="H4996" t="str">
            <v>MDF - 06 x 1830 x 2440mm [CARB P2 Compliant]</v>
          </cell>
          <cell r="I4996">
            <v>10</v>
          </cell>
        </row>
        <row r="4997">
          <cell r="A4997" t="str">
            <v>B558160/A</v>
          </cell>
          <cell r="B4997" t="str">
            <v>RH4095M112</v>
          </cell>
          <cell r="C4997">
            <v>10</v>
          </cell>
          <cell r="D4997">
            <v>631.91999999999996</v>
          </cell>
          <cell r="E4997">
            <v>6319.2</v>
          </cell>
          <cell r="F4997" t="str">
            <v>A4-S3-1</v>
          </cell>
          <cell r="G4997" t="str">
            <v>Dust board Panel  - Ván quét bụi</v>
          </cell>
          <cell r="H4997" t="str">
            <v>MDF - 06 x 1830 x 2440mm [CARB P2 Compliant]</v>
          </cell>
          <cell r="I4997">
            <v>10</v>
          </cell>
        </row>
        <row r="4998">
          <cell r="A4998" t="str">
            <v>B558160/A</v>
          </cell>
          <cell r="B4998" t="str">
            <v>RH4095M112</v>
          </cell>
          <cell r="C4998">
            <v>10</v>
          </cell>
          <cell r="D4998">
            <v>631.91999999999996</v>
          </cell>
          <cell r="E4998">
            <v>6319.2</v>
          </cell>
          <cell r="F4998" t="str">
            <v>A4-S4</v>
          </cell>
          <cell r="G4998" t="str">
            <v>Front Bottom Rail  - Đố đáy trước</v>
          </cell>
          <cell r="H4998" t="str">
            <v>Wood US Poplar - Straight Edged, 2 COM - T50mm x W100mm Up x L1.8m Up</v>
          </cell>
          <cell r="I4998">
            <v>20</v>
          </cell>
        </row>
        <row r="4999">
          <cell r="A4999" t="str">
            <v>B558160/A</v>
          </cell>
          <cell r="B4999" t="str">
            <v>RH4095M112</v>
          </cell>
          <cell r="C4999">
            <v>10</v>
          </cell>
          <cell r="D4999">
            <v>631.91999999999996</v>
          </cell>
          <cell r="E4999">
            <v>6319.2</v>
          </cell>
          <cell r="F4999" t="str">
            <v>A5-S1</v>
          </cell>
          <cell r="G4999" t="str">
            <v>Horizontal rail 1 - Đố ngang 1</v>
          </cell>
          <cell r="H4999" t="str">
            <v>Wood US Poplar - Straight Edged, 2 COM - T25mm x W100mm Up x L1.8m Up</v>
          </cell>
          <cell r="I4999">
            <v>80</v>
          </cell>
        </row>
        <row r="5000">
          <cell r="A5000" t="str">
            <v>B558160/A</v>
          </cell>
          <cell r="B5000" t="str">
            <v>RH4095M112</v>
          </cell>
          <cell r="C5000">
            <v>10</v>
          </cell>
          <cell r="D5000">
            <v>631.91999999999996</v>
          </cell>
          <cell r="E5000">
            <v>6319.2</v>
          </cell>
          <cell r="F5000" t="str">
            <v>A6.A-S1</v>
          </cell>
          <cell r="G5000" t="str">
            <v xml:space="preserve">Side rail  - Đố hông </v>
          </cell>
          <cell r="H5000" t="str">
            <v>Wood US Poplar - Straight Edged, 2 COM - T32mm x W100mm Up x L1.8m Up</v>
          </cell>
          <cell r="I5000">
            <v>10</v>
          </cell>
        </row>
        <row r="5001">
          <cell r="A5001" t="str">
            <v>B558160/A</v>
          </cell>
          <cell r="B5001" t="str">
            <v>RH4095M112</v>
          </cell>
          <cell r="C5001">
            <v>10</v>
          </cell>
          <cell r="D5001">
            <v>631.91999999999996</v>
          </cell>
          <cell r="E5001">
            <v>6319.2</v>
          </cell>
          <cell r="F5001" t="str">
            <v>A6-S1</v>
          </cell>
          <cell r="G5001" t="str">
            <v>Bottom rail inside - Đố tiền đáy</v>
          </cell>
          <cell r="H5001" t="str">
            <v>Wood US Poplar - Straight Edged, 2 COM - T32mm x W100mm Up x L1.8m Up</v>
          </cell>
          <cell r="I5001">
            <v>30</v>
          </cell>
        </row>
        <row r="5002">
          <cell r="A5002" t="str">
            <v>B558160/A</v>
          </cell>
          <cell r="B5002" t="str">
            <v>RH4095M112</v>
          </cell>
          <cell r="C5002">
            <v>10</v>
          </cell>
          <cell r="D5002">
            <v>631.91999999999996</v>
          </cell>
          <cell r="E5002">
            <v>6319.2</v>
          </cell>
          <cell r="F5002" t="str">
            <v>A6-S2</v>
          </cell>
          <cell r="G5002" t="str">
            <v xml:space="preserve">Side rail  - Đố hông </v>
          </cell>
          <cell r="H5002" t="str">
            <v>Wood US Poplar - Straight Edged, 2 COM - T32mm x W100mm Up x L1.8m Up</v>
          </cell>
          <cell r="I5002">
            <v>40</v>
          </cell>
        </row>
        <row r="5003">
          <cell r="A5003" t="str">
            <v>B558160/A</v>
          </cell>
          <cell r="B5003" t="str">
            <v>RH4095M112</v>
          </cell>
          <cell r="C5003">
            <v>10</v>
          </cell>
          <cell r="D5003">
            <v>631.91999999999996</v>
          </cell>
          <cell r="E5003">
            <v>6319.2</v>
          </cell>
          <cell r="F5003" t="str">
            <v>A7-S1</v>
          </cell>
          <cell r="G5003" t="str">
            <v xml:space="preserve">Front panel  - Ván tiền </v>
          </cell>
          <cell r="H5003" t="str">
            <v>MDF Veneer</v>
          </cell>
          <cell r="I5003">
            <v>10</v>
          </cell>
        </row>
        <row r="5004">
          <cell r="A5004" t="str">
            <v>B558160/A</v>
          </cell>
          <cell r="B5004" t="str">
            <v>RH4095M112</v>
          </cell>
          <cell r="C5004">
            <v>10</v>
          </cell>
          <cell r="D5004">
            <v>631.91999999999996</v>
          </cell>
          <cell r="E5004">
            <v>6319.2</v>
          </cell>
          <cell r="F5004" t="str">
            <v>A7-S2</v>
          </cell>
          <cell r="G5004" t="str">
            <v>Back panel - Ván hậu</v>
          </cell>
          <cell r="H5004" t="str">
            <v>Wood US Poplar - Straight Edged, 2 COM - T25mm x W100mm Up x L1.8m Up</v>
          </cell>
          <cell r="I5004">
            <v>10</v>
          </cell>
        </row>
        <row r="5005">
          <cell r="A5005" t="str">
            <v>B558160/A</v>
          </cell>
          <cell r="B5005" t="str">
            <v>RH4095M112</v>
          </cell>
          <cell r="C5005">
            <v>10</v>
          </cell>
          <cell r="D5005">
            <v>631.91999999999996</v>
          </cell>
          <cell r="E5005">
            <v>6319.2</v>
          </cell>
          <cell r="F5005" t="str">
            <v>A7-S3</v>
          </cell>
          <cell r="G5005" t="str">
            <v>Center panel - Ván giữa</v>
          </cell>
          <cell r="H5005" t="str">
            <v>MDF Veneer</v>
          </cell>
          <cell r="I5005">
            <v>10</v>
          </cell>
        </row>
        <row r="5006">
          <cell r="A5006" t="str">
            <v>B558160/A</v>
          </cell>
          <cell r="B5006" t="str">
            <v>RH4095M112</v>
          </cell>
          <cell r="C5006">
            <v>10</v>
          </cell>
          <cell r="D5006">
            <v>631.91999999999996</v>
          </cell>
          <cell r="E5006">
            <v>6319.2</v>
          </cell>
          <cell r="F5006" t="str">
            <v>A7-S5</v>
          </cell>
          <cell r="G5006" t="str">
            <v>Bottom panel - Ván đáy</v>
          </cell>
          <cell r="H5006" t="str">
            <v>MDF - 06 x 1220 x 2440mm, Veneer Okoume 0.3mm Both Faces [CARB P2 Compliant]</v>
          </cell>
          <cell r="I5006">
            <v>10</v>
          </cell>
        </row>
        <row r="5007">
          <cell r="A5007" t="str">
            <v>B558160/A</v>
          </cell>
          <cell r="B5007" t="str">
            <v>RH4095M112</v>
          </cell>
          <cell r="C5007">
            <v>10</v>
          </cell>
          <cell r="D5007">
            <v>631.91999999999996</v>
          </cell>
          <cell r="E5007">
            <v>6319.2</v>
          </cell>
          <cell r="F5007" t="str">
            <v>A7-S6</v>
          </cell>
          <cell r="G5007" t="str">
            <v xml:space="preserve">Side rail  - Đố hông </v>
          </cell>
          <cell r="H5007" t="str">
            <v>Wood US Poplar - Straight Edged, 2 COM - T25mm x W100mm Up x L1.8m Up</v>
          </cell>
          <cell r="I5007">
            <v>10</v>
          </cell>
        </row>
        <row r="5008">
          <cell r="A5008" t="str">
            <v>B558160/A</v>
          </cell>
          <cell r="B5008" t="str">
            <v>RH4095M112</v>
          </cell>
          <cell r="C5008">
            <v>10</v>
          </cell>
          <cell r="D5008">
            <v>631.91999999999996</v>
          </cell>
          <cell r="E5008">
            <v>6319.2</v>
          </cell>
          <cell r="F5008" t="str">
            <v>A7-S6-1</v>
          </cell>
          <cell r="G5008" t="str">
            <v xml:space="preserve">Side rail  - Đố hông </v>
          </cell>
          <cell r="H5008" t="str">
            <v>Wood US Poplar - Straight Edged, 2 COM - T25mm x W100mm Up x L1.8m Up</v>
          </cell>
          <cell r="I5008">
            <v>10</v>
          </cell>
        </row>
        <row r="5009">
          <cell r="A5009" t="str">
            <v>B558160/A</v>
          </cell>
          <cell r="B5009" t="str">
            <v>RH4095M112</v>
          </cell>
          <cell r="C5009">
            <v>10</v>
          </cell>
          <cell r="D5009">
            <v>631.91999999999996</v>
          </cell>
          <cell r="E5009">
            <v>6319.2</v>
          </cell>
          <cell r="F5009" t="str">
            <v>A8-S1</v>
          </cell>
          <cell r="G5009" t="str">
            <v xml:space="preserve">Drawer front - Mặt hộc kéo </v>
          </cell>
          <cell r="H5009" t="str">
            <v>MDF Veneer</v>
          </cell>
          <cell r="I5009">
            <v>20</v>
          </cell>
        </row>
        <row r="5010">
          <cell r="A5010" t="str">
            <v>B558160/A</v>
          </cell>
          <cell r="B5010" t="str">
            <v>RH4095M112</v>
          </cell>
          <cell r="C5010">
            <v>10</v>
          </cell>
          <cell r="D5010">
            <v>631.91999999999996</v>
          </cell>
          <cell r="E5010">
            <v>6319.2</v>
          </cell>
          <cell r="F5010" t="str">
            <v>A8-S2</v>
          </cell>
          <cell r="G5010" t="str">
            <v>Drawer side - Hông hộc kéo</v>
          </cell>
          <cell r="H5010" t="str">
            <v>MDF-N - 12 x 1220 x 2440mm, Veneer Poplar Rotary 0.45mm Both Faces [CARB P2 Compliant]</v>
          </cell>
          <cell r="I5010">
            <v>40</v>
          </cell>
        </row>
        <row r="5011">
          <cell r="A5011" t="str">
            <v>B558160/A</v>
          </cell>
          <cell r="B5011" t="str">
            <v>RH4095M112</v>
          </cell>
          <cell r="C5011">
            <v>10</v>
          </cell>
          <cell r="D5011">
            <v>631.91999999999996</v>
          </cell>
          <cell r="E5011">
            <v>6319.2</v>
          </cell>
          <cell r="F5011" t="str">
            <v>A8-S3</v>
          </cell>
          <cell r="G5011" t="str">
            <v xml:space="preserve">Drawer front 1 - Mặt hộc kéo </v>
          </cell>
          <cell r="H5011" t="str">
            <v>MDF-N - 12 x 1220 x 2440mm, Veneer Poplar Rotary 0.45mm Both Faces [CARB P2 Compliant]</v>
          </cell>
          <cell r="I5011">
            <v>20</v>
          </cell>
        </row>
        <row r="5012">
          <cell r="A5012" t="str">
            <v>B558160/A</v>
          </cell>
          <cell r="B5012" t="str">
            <v>RH4095M112</v>
          </cell>
          <cell r="C5012">
            <v>10</v>
          </cell>
          <cell r="D5012">
            <v>631.91999999999996</v>
          </cell>
          <cell r="E5012">
            <v>6319.2</v>
          </cell>
          <cell r="F5012" t="str">
            <v>A8-S4</v>
          </cell>
          <cell r="G5012" t="str">
            <v>Drawer back - Hậu hộc kéo</v>
          </cell>
          <cell r="H5012" t="str">
            <v>MDF-N - 12 x 1220 x 2440mm, Veneer Poplar Rotary 0.45mm Both Faces [CARB P2 Compliant]</v>
          </cell>
          <cell r="I5012">
            <v>20</v>
          </cell>
        </row>
        <row r="5013">
          <cell r="A5013" t="str">
            <v>B558160/A</v>
          </cell>
          <cell r="B5013" t="str">
            <v>RH4095M112</v>
          </cell>
          <cell r="C5013">
            <v>10</v>
          </cell>
          <cell r="D5013">
            <v>631.91999999999996</v>
          </cell>
          <cell r="E5013">
            <v>6319.2</v>
          </cell>
          <cell r="F5013" t="str">
            <v>A8-S5</v>
          </cell>
          <cell r="G5013" t="str">
            <v>Drawer bottom  - Đáy hộc kéo</v>
          </cell>
          <cell r="H5013" t="str">
            <v>MDF - 06 x 1220 x 2440mm, Veneer Poplar 0.42mm + Veneer Engineering 0.3mm [CARB P2 Compliant]</v>
          </cell>
          <cell r="I5013">
            <v>60</v>
          </cell>
        </row>
        <row r="5014">
          <cell r="A5014" t="str">
            <v>B558160/A</v>
          </cell>
          <cell r="B5014" t="str">
            <v>RH4095M112</v>
          </cell>
          <cell r="C5014">
            <v>10</v>
          </cell>
          <cell r="D5014">
            <v>631.91999999999996</v>
          </cell>
          <cell r="E5014">
            <v>6319.2</v>
          </cell>
          <cell r="F5014" t="str">
            <v>A8-S6</v>
          </cell>
          <cell r="G5014" t="str">
            <v>Corner block - ke góc</v>
          </cell>
          <cell r="H5014" t="str">
            <v>Poplar off cut</v>
          </cell>
          <cell r="I5014">
            <v>120</v>
          </cell>
        </row>
        <row r="5015">
          <cell r="A5015" t="str">
            <v>B558160/A</v>
          </cell>
          <cell r="B5015" t="str">
            <v>RH4095M112</v>
          </cell>
          <cell r="C5015">
            <v>10</v>
          </cell>
          <cell r="D5015">
            <v>631.91999999999996</v>
          </cell>
          <cell r="E5015">
            <v>6319.2</v>
          </cell>
          <cell r="F5015" t="str">
            <v>A8-S7</v>
          </cell>
          <cell r="G5015" t="str">
            <v>Patching wood - Gỗ đắp</v>
          </cell>
          <cell r="H5015" t="str">
            <v>Poplar off cut</v>
          </cell>
          <cell r="I5015">
            <v>120</v>
          </cell>
        </row>
        <row r="5016">
          <cell r="A5016" t="str">
            <v>B558160/A</v>
          </cell>
          <cell r="B5016" t="str">
            <v>RH4095M112</v>
          </cell>
          <cell r="C5016">
            <v>10</v>
          </cell>
          <cell r="D5016">
            <v>631.91999999999996</v>
          </cell>
          <cell r="E5016">
            <v>6319.2</v>
          </cell>
          <cell r="F5016" t="str">
            <v>A9-S1</v>
          </cell>
          <cell r="G5016" t="str">
            <v xml:space="preserve">Drawer front - Mặt hộc kéo </v>
          </cell>
          <cell r="H5016" t="str">
            <v>MDF Veneer</v>
          </cell>
          <cell r="I5016">
            <v>40</v>
          </cell>
        </row>
        <row r="5017">
          <cell r="A5017" t="str">
            <v>B558160/A</v>
          </cell>
          <cell r="B5017" t="str">
            <v>RH4095M112</v>
          </cell>
          <cell r="C5017">
            <v>10</v>
          </cell>
          <cell r="D5017">
            <v>631.91999999999996</v>
          </cell>
          <cell r="E5017">
            <v>6319.2</v>
          </cell>
          <cell r="F5017" t="str">
            <v>A9-S2</v>
          </cell>
          <cell r="G5017" t="str">
            <v>Drawer side - Hông hộc kéo</v>
          </cell>
          <cell r="H5017" t="str">
            <v>MDF-N - 12 x 1220 x 2440mm, Veneer Poplar Rotary 0.45mm Both Faces [CARB P2 Compliant]</v>
          </cell>
          <cell r="I5017">
            <v>80</v>
          </cell>
        </row>
        <row r="5018">
          <cell r="A5018" t="str">
            <v>B558160/A</v>
          </cell>
          <cell r="B5018" t="str">
            <v>RH4095M112</v>
          </cell>
          <cell r="C5018">
            <v>10</v>
          </cell>
          <cell r="D5018">
            <v>631.91999999999996</v>
          </cell>
          <cell r="E5018">
            <v>6319.2</v>
          </cell>
          <cell r="F5018" t="str">
            <v>A9-S3</v>
          </cell>
          <cell r="G5018" t="str">
            <v xml:space="preserve">Drawer front 1 - Mặt hộc kéo </v>
          </cell>
          <cell r="H5018" t="str">
            <v>MDF-N - 12 x 1220 x 2440mm, Veneer Poplar Rotary 0.45mm Both Faces [CARB P2 Compliant]</v>
          </cell>
          <cell r="I5018">
            <v>40</v>
          </cell>
        </row>
        <row r="5019">
          <cell r="A5019" t="str">
            <v>B558160/A</v>
          </cell>
          <cell r="B5019" t="str">
            <v>RH4095M112</v>
          </cell>
          <cell r="C5019">
            <v>10</v>
          </cell>
          <cell r="D5019">
            <v>631.91999999999996</v>
          </cell>
          <cell r="E5019">
            <v>6319.2</v>
          </cell>
          <cell r="F5019" t="str">
            <v>A9-S4</v>
          </cell>
          <cell r="G5019" t="str">
            <v>Drawer back - Hậu hộc kéo</v>
          </cell>
          <cell r="H5019" t="str">
            <v>MDF-N - 12 x 1220 x 2440mm, Veneer Poplar Rotary 0.45mm Both Faces [CARB P2 Compliant]</v>
          </cell>
          <cell r="I5019">
            <v>40</v>
          </cell>
        </row>
        <row r="5020">
          <cell r="A5020" t="str">
            <v>B558160/A</v>
          </cell>
          <cell r="B5020" t="str">
            <v>RH4095M112</v>
          </cell>
          <cell r="C5020">
            <v>10</v>
          </cell>
          <cell r="D5020">
            <v>631.91999999999996</v>
          </cell>
          <cell r="E5020">
            <v>6319.2</v>
          </cell>
          <cell r="F5020" t="str">
            <v>P01</v>
          </cell>
          <cell r="G5020" t="str">
            <v>Back panel - Ván hậu</v>
          </cell>
          <cell r="H5020" t="str">
            <v>MDF - 18 x 1830 x 2440mm [CARB P2 Compliant]</v>
          </cell>
          <cell r="I5020">
            <v>20</v>
          </cell>
        </row>
        <row r="5021">
          <cell r="A5021" t="str">
            <v>B558160/A</v>
          </cell>
          <cell r="B5021" t="str">
            <v>RH4095M112</v>
          </cell>
          <cell r="C5021">
            <v>10</v>
          </cell>
          <cell r="D5021">
            <v>631.91999999999996</v>
          </cell>
          <cell r="E5021">
            <v>6319.2</v>
          </cell>
          <cell r="F5021" t="str">
            <v>P02</v>
          </cell>
          <cell r="G5021" t="str">
            <v>Cleat - Bọ gỗ</v>
          </cell>
          <cell r="H5021" t="str">
            <v>Wood US Poplar - Straight Edged, 2 COM - T25mm x W100mm Up x L1.8m Up</v>
          </cell>
          <cell r="I5021">
            <v>40</v>
          </cell>
        </row>
        <row r="5022">
          <cell r="A5022" t="str">
            <v>B558160/A</v>
          </cell>
          <cell r="B5022" t="str">
            <v>RH4095M112</v>
          </cell>
          <cell r="C5022">
            <v>10</v>
          </cell>
          <cell r="D5022">
            <v>631.91999999999996</v>
          </cell>
          <cell r="E5022">
            <v>6319.2</v>
          </cell>
          <cell r="F5022" t="str">
            <v>P03</v>
          </cell>
          <cell r="G5022" t="str">
            <v>Cleat - Bọ gỗ</v>
          </cell>
          <cell r="H5022" t="str">
            <v>Wood US Poplar - Straight Edged, 2 COM - T25mm x W100mm Up x L1.8m Up</v>
          </cell>
          <cell r="I5022">
            <v>40</v>
          </cell>
        </row>
        <row r="5023">
          <cell r="A5023" t="str">
            <v>B558160/A</v>
          </cell>
          <cell r="B5023" t="str">
            <v>RH4095M112</v>
          </cell>
          <cell r="C5023">
            <v>10</v>
          </cell>
          <cell r="D5023">
            <v>631.91999999999996</v>
          </cell>
          <cell r="E5023">
            <v>6319.2</v>
          </cell>
          <cell r="F5023" t="str">
            <v>P03-1</v>
          </cell>
          <cell r="G5023" t="str">
            <v>Cleat - Bọ gỗ</v>
          </cell>
          <cell r="H5023" t="str">
            <v>Wood US Poplar - Straight Edged, 2 COM - T25mm x W100mm Up x L1.8m Up</v>
          </cell>
          <cell r="I5023">
            <v>40</v>
          </cell>
        </row>
        <row r="5024">
          <cell r="A5024" t="str">
            <v>B558160/A</v>
          </cell>
          <cell r="B5024" t="str">
            <v>RH4095M112</v>
          </cell>
          <cell r="C5024">
            <v>10</v>
          </cell>
          <cell r="D5024">
            <v>631.91999999999996</v>
          </cell>
          <cell r="E5024">
            <v>6319.2</v>
          </cell>
          <cell r="F5024" t="str">
            <v>P05</v>
          </cell>
          <cell r="G5024" t="str">
            <v>Patching wood - Gỗ đắp</v>
          </cell>
          <cell r="H5024" t="str">
            <v>Wood US Poplar - Straight Edged, 2 COM - T32mm x W100mm Up x L1.8m Up</v>
          </cell>
          <cell r="I5024">
            <v>110</v>
          </cell>
        </row>
        <row r="5025">
          <cell r="A5025" t="str">
            <v>B558160/A</v>
          </cell>
          <cell r="B5025" t="str">
            <v>RH4095M112</v>
          </cell>
          <cell r="C5025">
            <v>10</v>
          </cell>
          <cell r="D5025">
            <v>631.91999999999996</v>
          </cell>
          <cell r="E5025">
            <v>6319.2</v>
          </cell>
          <cell r="F5025" t="str">
            <v>P05-1</v>
          </cell>
          <cell r="G5025" t="str">
            <v>Patching wood - Gỗ đắp</v>
          </cell>
          <cell r="H5025" t="str">
            <v>Wood US Poplar - Straight Edged, 2 COM - T32mm x W100mm Up x L1.8m Up</v>
          </cell>
          <cell r="I5025">
            <v>10</v>
          </cell>
        </row>
        <row r="5026">
          <cell r="A5026" t="str">
            <v>B558160/A</v>
          </cell>
          <cell r="B5026" t="str">
            <v>RH4095M112</v>
          </cell>
          <cell r="C5026">
            <v>10</v>
          </cell>
          <cell r="D5026">
            <v>631.91999999999996</v>
          </cell>
          <cell r="E5026">
            <v>6319.2</v>
          </cell>
          <cell r="F5026" t="str">
            <v>P06</v>
          </cell>
          <cell r="G5026" t="str">
            <v>Corner block - ke góc</v>
          </cell>
          <cell r="H5026" t="str">
            <v>Poplar off cut</v>
          </cell>
          <cell r="I5026">
            <v>240</v>
          </cell>
        </row>
        <row r="5027">
          <cell r="A5027" t="str">
            <v>B558160/A</v>
          </cell>
          <cell r="B5027" t="str">
            <v>RH4095M112</v>
          </cell>
          <cell r="C5027">
            <v>10</v>
          </cell>
          <cell r="D5027">
            <v>631.91999999999996</v>
          </cell>
          <cell r="E5027">
            <v>6319.2</v>
          </cell>
          <cell r="F5027" t="str">
            <v>P07</v>
          </cell>
          <cell r="G5027" t="str">
            <v xml:space="preserve">Top panel  - Ván nóc </v>
          </cell>
          <cell r="H5027" t="str">
            <v>MDF - 18 x 1830 x 2440mm [CARB P2 Compliant]</v>
          </cell>
          <cell r="I5027">
            <v>10</v>
          </cell>
        </row>
        <row r="5028">
          <cell r="A5028" t="str">
            <v>B558160/A</v>
          </cell>
          <cell r="B5028" t="str">
            <v>RH4095M112</v>
          </cell>
          <cell r="C5028">
            <v>10</v>
          </cell>
          <cell r="D5028">
            <v>631.91999999999996</v>
          </cell>
          <cell r="E5028">
            <v>6319.2</v>
          </cell>
          <cell r="F5028" t="str">
            <v>P07-1</v>
          </cell>
          <cell r="G5028" t="str">
            <v>Tenon - Mộng cấy</v>
          </cell>
          <cell r="H5028" t="str">
            <v>Beech off cut</v>
          </cell>
          <cell r="I5028">
            <v>20</v>
          </cell>
        </row>
        <row r="5029">
          <cell r="A5029" t="str">
            <v>B558160/A</v>
          </cell>
          <cell r="B5029" t="str">
            <v>RH4095M112</v>
          </cell>
          <cell r="C5029">
            <v>10</v>
          </cell>
          <cell r="D5029">
            <v>631.91999999999996</v>
          </cell>
          <cell r="E5029">
            <v>6319.2</v>
          </cell>
          <cell r="F5029" t="str">
            <v>P08</v>
          </cell>
          <cell r="G5029" t="str">
            <v>Front top rail  - Đố tiền nóc</v>
          </cell>
          <cell r="H5029" t="str">
            <v>Wood US Poplar - Straight Edged, 2 COM - T32mm x W100mm Up x L1.8m Up</v>
          </cell>
          <cell r="I5029">
            <v>10</v>
          </cell>
        </row>
        <row r="5030">
          <cell r="A5030" t="str">
            <v>B558160/A</v>
          </cell>
          <cell r="B5030" t="str">
            <v>RH4095M112</v>
          </cell>
          <cell r="C5030">
            <v>10</v>
          </cell>
          <cell r="D5030">
            <v>631.91999999999996</v>
          </cell>
          <cell r="E5030">
            <v>6319.2</v>
          </cell>
          <cell r="F5030" t="str">
            <v>P09</v>
          </cell>
          <cell r="G5030" t="str">
            <v>Back top rail - Đố hậu nóc</v>
          </cell>
          <cell r="H5030" t="str">
            <v>Wood US Poplar - Straight Edged, 2 COM - T25mm x W100mm Up x L1.8m Up</v>
          </cell>
          <cell r="I5030">
            <v>20</v>
          </cell>
        </row>
        <row r="5031">
          <cell r="A5031" t="str">
            <v>B558160/A</v>
          </cell>
          <cell r="B5031" t="str">
            <v>RH4095M112</v>
          </cell>
          <cell r="C5031">
            <v>10</v>
          </cell>
          <cell r="D5031">
            <v>631.91999999999996</v>
          </cell>
          <cell r="E5031">
            <v>6319.2</v>
          </cell>
          <cell r="F5031" t="str">
            <v>P12</v>
          </cell>
          <cell r="G5031" t="str">
            <v xml:space="preserve">Top panel  - Ván nóc </v>
          </cell>
          <cell r="H5031" t="str">
            <v>Wood US Poplar - Straight Edged, 2 COM - T25mm x W100mm Up x L1.8m Up</v>
          </cell>
          <cell r="I5031">
            <v>10</v>
          </cell>
        </row>
        <row r="5032">
          <cell r="A5032" t="str">
            <v>B558160/A</v>
          </cell>
          <cell r="B5032" t="str">
            <v>RH4095M112</v>
          </cell>
          <cell r="C5032">
            <v>10</v>
          </cell>
          <cell r="D5032">
            <v>631.91999999999996</v>
          </cell>
          <cell r="E5032">
            <v>6319.2</v>
          </cell>
          <cell r="F5032" t="str">
            <v>P13</v>
          </cell>
          <cell r="G5032" t="str">
            <v>Drawer stop - Dừng hộc</v>
          </cell>
          <cell r="H5032" t="str">
            <v>Poplar off cut</v>
          </cell>
          <cell r="I5032">
            <v>120</v>
          </cell>
        </row>
        <row r="5033">
          <cell r="A5033" t="str">
            <v>B558163/A</v>
          </cell>
          <cell r="B5033" t="str">
            <v>RH4095M152</v>
          </cell>
          <cell r="C5033">
            <v>5</v>
          </cell>
          <cell r="D5033">
            <v>631.91999999999996</v>
          </cell>
          <cell r="E5033">
            <v>3159.6</v>
          </cell>
          <cell r="F5033" t="str">
            <v>A2-S1</v>
          </cell>
          <cell r="G5033" t="str">
            <v xml:space="preserve">Side rail  - Đố hông </v>
          </cell>
          <cell r="H5033" t="str">
            <v>Wood US Poplar - Straight Edged, 2 COM - T25mm x W100mm Up x L1.8m Up</v>
          </cell>
          <cell r="I5033">
            <v>10</v>
          </cell>
        </row>
        <row r="5034">
          <cell r="A5034" t="str">
            <v>B558163/A</v>
          </cell>
          <cell r="B5034" t="str">
            <v>RH4095M152</v>
          </cell>
          <cell r="C5034">
            <v>5</v>
          </cell>
          <cell r="D5034">
            <v>631.91999999999996</v>
          </cell>
          <cell r="E5034">
            <v>3159.6</v>
          </cell>
          <cell r="F5034" t="str">
            <v>A2-S2</v>
          </cell>
          <cell r="G5034" t="str">
            <v xml:space="preserve">Side panel  - Ván hông </v>
          </cell>
          <cell r="H5034" t="str">
            <v>MDF - 18 x 1830 x 2440mm [CARB P2 Compliant]</v>
          </cell>
          <cell r="I5034">
            <v>10</v>
          </cell>
        </row>
        <row r="5035">
          <cell r="A5035" t="str">
            <v>B558163/A</v>
          </cell>
          <cell r="B5035" t="str">
            <v>RH4095M152</v>
          </cell>
          <cell r="C5035">
            <v>5</v>
          </cell>
          <cell r="D5035">
            <v>631.91999999999996</v>
          </cell>
          <cell r="E5035">
            <v>3159.6</v>
          </cell>
          <cell r="F5035" t="str">
            <v>A3.1A</v>
          </cell>
          <cell r="G5035" t="str">
            <v xml:space="preserve">Side panel right  - Ván hông phải </v>
          </cell>
          <cell r="H5035" t="str">
            <v>MDF - 18 x 1830 x 2440mm [CARB P2 Compliant]</v>
          </cell>
          <cell r="I5035">
            <v>5</v>
          </cell>
        </row>
        <row r="5036">
          <cell r="A5036" t="str">
            <v>B558163/A</v>
          </cell>
          <cell r="B5036" t="str">
            <v>RH4095M152</v>
          </cell>
          <cell r="C5036">
            <v>5</v>
          </cell>
          <cell r="D5036">
            <v>631.91999999999996</v>
          </cell>
          <cell r="E5036">
            <v>3159.6</v>
          </cell>
          <cell r="F5036" t="str">
            <v>A3-S1</v>
          </cell>
          <cell r="G5036" t="str">
            <v>Center rail - Đố giữa</v>
          </cell>
          <cell r="H5036" t="str">
            <v>Wood US Poplar - Straight Edged, 2 COM - T25mm x W100mm Up x L1.8m Up</v>
          </cell>
          <cell r="I5036">
            <v>10</v>
          </cell>
        </row>
        <row r="5037">
          <cell r="A5037" t="str">
            <v>B558163/A</v>
          </cell>
          <cell r="B5037" t="str">
            <v>RH4095M152</v>
          </cell>
          <cell r="C5037">
            <v>5</v>
          </cell>
          <cell r="D5037">
            <v>631.91999999999996</v>
          </cell>
          <cell r="E5037">
            <v>3159.6</v>
          </cell>
          <cell r="F5037" t="str">
            <v>A3-S2</v>
          </cell>
          <cell r="G5037" t="str">
            <v xml:space="preserve">Side panel left  - Ván hông trái </v>
          </cell>
          <cell r="H5037" t="str">
            <v>MDF - 18 x 1830 x 2440mm [CARB P2 Compliant]</v>
          </cell>
          <cell r="I5037">
            <v>5</v>
          </cell>
        </row>
        <row r="5038">
          <cell r="A5038" t="str">
            <v>B558163/A</v>
          </cell>
          <cell r="B5038" t="str">
            <v>RH4095M152</v>
          </cell>
          <cell r="C5038">
            <v>5</v>
          </cell>
          <cell r="D5038">
            <v>631.91999999999996</v>
          </cell>
          <cell r="E5038">
            <v>3159.6</v>
          </cell>
          <cell r="F5038" t="str">
            <v>A4-S1</v>
          </cell>
          <cell r="G5038" t="str">
            <v>Front Bottom Rail  - Đố đáy trước</v>
          </cell>
          <cell r="H5038" t="str">
            <v>Wood US Poplar - Straight Edged, 2 COM - T50mm x W100mm Up x L1.8m Up</v>
          </cell>
          <cell r="I5038">
            <v>10</v>
          </cell>
        </row>
        <row r="5039">
          <cell r="A5039" t="str">
            <v>B558163/A</v>
          </cell>
          <cell r="B5039" t="str">
            <v>RH4095M152</v>
          </cell>
          <cell r="C5039">
            <v>5</v>
          </cell>
          <cell r="D5039">
            <v>631.91999999999996</v>
          </cell>
          <cell r="E5039">
            <v>3159.6</v>
          </cell>
          <cell r="F5039" t="str">
            <v>A4-S2</v>
          </cell>
          <cell r="G5039" t="str">
            <v>Center rail - Đố giữa</v>
          </cell>
          <cell r="H5039" t="str">
            <v>Wood US Poplar - Straight Edged, 2 COM - T25mm x W100mm Up x L1.8m Up</v>
          </cell>
          <cell r="I5039">
            <v>20</v>
          </cell>
        </row>
        <row r="5040">
          <cell r="A5040" t="str">
            <v>B558163/A</v>
          </cell>
          <cell r="B5040" t="str">
            <v>RH4095M152</v>
          </cell>
          <cell r="C5040">
            <v>5</v>
          </cell>
          <cell r="D5040">
            <v>631.91999999999996</v>
          </cell>
          <cell r="E5040">
            <v>3159.6</v>
          </cell>
          <cell r="F5040" t="str">
            <v>A4-S3</v>
          </cell>
          <cell r="G5040" t="str">
            <v>Dust board Panel  - Ván quét bụi</v>
          </cell>
          <cell r="H5040" t="str">
            <v>MDF - 06 x 1830 x 2440mm [CARB P2 Compliant]</v>
          </cell>
          <cell r="I5040">
            <v>5</v>
          </cell>
        </row>
        <row r="5041">
          <cell r="A5041" t="str">
            <v>B558163/A</v>
          </cell>
          <cell r="B5041" t="str">
            <v>RH4095M152</v>
          </cell>
          <cell r="C5041">
            <v>5</v>
          </cell>
          <cell r="D5041">
            <v>631.91999999999996</v>
          </cell>
          <cell r="E5041">
            <v>3159.6</v>
          </cell>
          <cell r="F5041" t="str">
            <v>A4-S3-1</v>
          </cell>
          <cell r="G5041" t="str">
            <v>Dust board Panel  - Ván quét bụi</v>
          </cell>
          <cell r="H5041" t="str">
            <v>MDF - 06 x 1830 x 2440mm [CARB P2 Compliant]</v>
          </cell>
          <cell r="I5041">
            <v>5</v>
          </cell>
        </row>
        <row r="5042">
          <cell r="A5042" t="str">
            <v>B558163/A</v>
          </cell>
          <cell r="B5042" t="str">
            <v>RH4095M152</v>
          </cell>
          <cell r="C5042">
            <v>5</v>
          </cell>
          <cell r="D5042">
            <v>631.91999999999996</v>
          </cell>
          <cell r="E5042">
            <v>3159.6</v>
          </cell>
          <cell r="F5042" t="str">
            <v>A4-S4</v>
          </cell>
          <cell r="G5042" t="str">
            <v>Front Bottom Rail  - Đố đáy trước</v>
          </cell>
          <cell r="H5042" t="str">
            <v>Wood US Poplar - Straight Edged, 2 COM - T50mm x W100mm Up x L1.8m Up</v>
          </cell>
          <cell r="I5042">
            <v>10</v>
          </cell>
        </row>
        <row r="5043">
          <cell r="A5043" t="str">
            <v>B558163/A</v>
          </cell>
          <cell r="B5043" t="str">
            <v>RH4095M152</v>
          </cell>
          <cell r="C5043">
            <v>5</v>
          </cell>
          <cell r="D5043">
            <v>631.91999999999996</v>
          </cell>
          <cell r="E5043">
            <v>3159.6</v>
          </cell>
          <cell r="F5043" t="str">
            <v>A5-S1</v>
          </cell>
          <cell r="G5043" t="str">
            <v>Horizontal rail 1 - Đố ngang 1</v>
          </cell>
          <cell r="H5043" t="str">
            <v>Wood US Poplar - Straight Edged, 2 COM - T25mm x W100mm Up x L1.8m Up</v>
          </cell>
          <cell r="I5043">
            <v>40</v>
          </cell>
        </row>
        <row r="5044">
          <cell r="A5044" t="str">
            <v>B558163/A</v>
          </cell>
          <cell r="B5044" t="str">
            <v>RH4095M152</v>
          </cell>
          <cell r="C5044">
            <v>5</v>
          </cell>
          <cell r="D5044">
            <v>631.91999999999996</v>
          </cell>
          <cell r="E5044">
            <v>3159.6</v>
          </cell>
          <cell r="F5044" t="str">
            <v>A6.A-S1</v>
          </cell>
          <cell r="G5044" t="str">
            <v xml:space="preserve">Side rail  - Đố hông </v>
          </cell>
          <cell r="H5044" t="str">
            <v>Wood US Poplar - Straight Edged, 2 COM - T32mm x W100mm Up x L1.8m Up</v>
          </cell>
          <cell r="I5044">
            <v>5</v>
          </cell>
        </row>
        <row r="5045">
          <cell r="A5045" t="str">
            <v>B558163/A</v>
          </cell>
          <cell r="B5045" t="str">
            <v>RH4095M152</v>
          </cell>
          <cell r="C5045">
            <v>5</v>
          </cell>
          <cell r="D5045">
            <v>631.91999999999996</v>
          </cell>
          <cell r="E5045">
            <v>3159.6</v>
          </cell>
          <cell r="F5045" t="str">
            <v>A6-S1</v>
          </cell>
          <cell r="G5045" t="str">
            <v>Bottom rail inside - Đố tiền đáy</v>
          </cell>
          <cell r="H5045" t="str">
            <v>Wood US Poplar - Straight Edged, 2 COM - T32mm x W100mm Up x L1.8m Up</v>
          </cell>
          <cell r="I5045">
            <v>15</v>
          </cell>
        </row>
        <row r="5046">
          <cell r="A5046" t="str">
            <v>B558163/A</v>
          </cell>
          <cell r="B5046" t="str">
            <v>RH4095M152</v>
          </cell>
          <cell r="C5046">
            <v>5</v>
          </cell>
          <cell r="D5046">
            <v>631.91999999999996</v>
          </cell>
          <cell r="E5046">
            <v>3159.6</v>
          </cell>
          <cell r="F5046" t="str">
            <v>A6-S2</v>
          </cell>
          <cell r="G5046" t="str">
            <v xml:space="preserve">Side rail  - Đố hông </v>
          </cell>
          <cell r="H5046" t="str">
            <v>Wood US Poplar - Straight Edged, 2 COM - T32mm x W100mm Up x L1.8m Up</v>
          </cell>
          <cell r="I5046">
            <v>20</v>
          </cell>
        </row>
        <row r="5047">
          <cell r="A5047" t="str">
            <v>B558163/A</v>
          </cell>
          <cell r="B5047" t="str">
            <v>RH4095M152</v>
          </cell>
          <cell r="C5047">
            <v>5</v>
          </cell>
          <cell r="D5047">
            <v>631.91999999999996</v>
          </cell>
          <cell r="E5047">
            <v>3159.6</v>
          </cell>
          <cell r="F5047" t="str">
            <v>A7-S1</v>
          </cell>
          <cell r="G5047" t="str">
            <v xml:space="preserve">Front panel  - Ván tiền </v>
          </cell>
          <cell r="H5047" t="str">
            <v>MDF Veneer</v>
          </cell>
          <cell r="I5047">
            <v>5</v>
          </cell>
        </row>
        <row r="5048">
          <cell r="A5048" t="str">
            <v>B558163/A</v>
          </cell>
          <cell r="B5048" t="str">
            <v>RH4095M152</v>
          </cell>
          <cell r="C5048">
            <v>5</v>
          </cell>
          <cell r="D5048">
            <v>631.91999999999996</v>
          </cell>
          <cell r="E5048">
            <v>3159.6</v>
          </cell>
          <cell r="F5048" t="str">
            <v>A7-S2</v>
          </cell>
          <cell r="G5048" t="str">
            <v>Back panel - Ván hậu</v>
          </cell>
          <cell r="H5048" t="str">
            <v>Wood US Poplar - Straight Edged, 2 COM - T25mm x W100mm Up x L1.8m Up</v>
          </cell>
          <cell r="I5048">
            <v>5</v>
          </cell>
        </row>
        <row r="5049">
          <cell r="A5049" t="str">
            <v>B558163/A</v>
          </cell>
          <cell r="B5049" t="str">
            <v>RH4095M152</v>
          </cell>
          <cell r="C5049">
            <v>5</v>
          </cell>
          <cell r="D5049">
            <v>631.91999999999996</v>
          </cell>
          <cell r="E5049">
            <v>3159.6</v>
          </cell>
          <cell r="F5049" t="str">
            <v>A7-S3</v>
          </cell>
          <cell r="G5049" t="str">
            <v>Center panel - Ván giữa</v>
          </cell>
          <cell r="H5049" t="str">
            <v>MDF Veneer</v>
          </cell>
          <cell r="I5049">
            <v>5</v>
          </cell>
        </row>
        <row r="5050">
          <cell r="A5050" t="str">
            <v>B558163/A</v>
          </cell>
          <cell r="B5050" t="str">
            <v>RH4095M152</v>
          </cell>
          <cell r="C5050">
            <v>5</v>
          </cell>
          <cell r="D5050">
            <v>631.91999999999996</v>
          </cell>
          <cell r="E5050">
            <v>3159.6</v>
          </cell>
          <cell r="F5050" t="str">
            <v>A7-S5</v>
          </cell>
          <cell r="G5050" t="str">
            <v>Bottom panel - Ván đáy</v>
          </cell>
          <cell r="H5050" t="str">
            <v>MDF - 06 x 1220 x 2440mm, Veneer Okoume 0.3mm Both Faces [CARB P2 Compliant]</v>
          </cell>
          <cell r="I5050">
            <v>5</v>
          </cell>
        </row>
        <row r="5051">
          <cell r="A5051" t="str">
            <v>B558163/A</v>
          </cell>
          <cell r="B5051" t="str">
            <v>RH4095M152</v>
          </cell>
          <cell r="C5051">
            <v>5</v>
          </cell>
          <cell r="D5051">
            <v>631.91999999999996</v>
          </cell>
          <cell r="E5051">
            <v>3159.6</v>
          </cell>
          <cell r="F5051" t="str">
            <v>A7-S6</v>
          </cell>
          <cell r="G5051" t="str">
            <v xml:space="preserve">Side rail  - Đố hông </v>
          </cell>
          <cell r="H5051" t="str">
            <v>Wood US Poplar - Straight Edged, 2 COM - T25mm x W100mm Up x L1.8m Up</v>
          </cell>
          <cell r="I5051">
            <v>5</v>
          </cell>
        </row>
        <row r="5052">
          <cell r="A5052" t="str">
            <v>B558163/A</v>
          </cell>
          <cell r="B5052" t="str">
            <v>RH4095M152</v>
          </cell>
          <cell r="C5052">
            <v>5</v>
          </cell>
          <cell r="D5052">
            <v>631.91999999999996</v>
          </cell>
          <cell r="E5052">
            <v>3159.6</v>
          </cell>
          <cell r="F5052" t="str">
            <v>A7-S6-1</v>
          </cell>
          <cell r="G5052" t="str">
            <v xml:space="preserve">Side rail  - Đố hông </v>
          </cell>
          <cell r="H5052" t="str">
            <v>Wood US Poplar - Straight Edged, 2 COM - T25mm x W100mm Up x L1.8m Up</v>
          </cell>
          <cell r="I5052">
            <v>5</v>
          </cell>
        </row>
        <row r="5053">
          <cell r="A5053" t="str">
            <v>B558163/A</v>
          </cell>
          <cell r="B5053" t="str">
            <v>RH4095M152</v>
          </cell>
          <cell r="C5053">
            <v>5</v>
          </cell>
          <cell r="D5053">
            <v>631.91999999999996</v>
          </cell>
          <cell r="E5053">
            <v>3159.6</v>
          </cell>
          <cell r="F5053" t="str">
            <v>A8-S1</v>
          </cell>
          <cell r="G5053" t="str">
            <v xml:space="preserve">Drawer front - Mặt hộc kéo </v>
          </cell>
          <cell r="H5053" t="str">
            <v>MDF Veneer</v>
          </cell>
          <cell r="I5053">
            <v>10</v>
          </cell>
        </row>
        <row r="5054">
          <cell r="A5054" t="str">
            <v>B558163/A</v>
          </cell>
          <cell r="B5054" t="str">
            <v>RH4095M152</v>
          </cell>
          <cell r="C5054">
            <v>5</v>
          </cell>
          <cell r="D5054">
            <v>631.91999999999996</v>
          </cell>
          <cell r="E5054">
            <v>3159.6</v>
          </cell>
          <cell r="F5054" t="str">
            <v>A8-S2</v>
          </cell>
          <cell r="G5054" t="str">
            <v>Drawer side - Hông hộc kéo</v>
          </cell>
          <cell r="H5054" t="str">
            <v>MDF-N - 12 x 1220 x 2440mm, Veneer Poplar Rotary 0.45mm Both Faces [CARB P2 Compliant]</v>
          </cell>
          <cell r="I5054">
            <v>20</v>
          </cell>
        </row>
        <row r="5055">
          <cell r="A5055" t="str">
            <v>B558163/A</v>
          </cell>
          <cell r="B5055" t="str">
            <v>RH4095M152</v>
          </cell>
          <cell r="C5055">
            <v>5</v>
          </cell>
          <cell r="D5055">
            <v>631.91999999999996</v>
          </cell>
          <cell r="E5055">
            <v>3159.6</v>
          </cell>
          <cell r="F5055" t="str">
            <v>A8-S3</v>
          </cell>
          <cell r="G5055" t="str">
            <v xml:space="preserve">Drawer front 1 - Mặt hộc kéo </v>
          </cell>
          <cell r="H5055" t="str">
            <v>MDF-N - 12 x 1220 x 2440mm, Veneer Poplar Rotary 0.45mm Both Faces [CARB P2 Compliant]</v>
          </cell>
          <cell r="I5055">
            <v>10</v>
          </cell>
        </row>
        <row r="5056">
          <cell r="A5056" t="str">
            <v>B558163/A</v>
          </cell>
          <cell r="B5056" t="str">
            <v>RH4095M152</v>
          </cell>
          <cell r="C5056">
            <v>5</v>
          </cell>
          <cell r="D5056">
            <v>631.91999999999996</v>
          </cell>
          <cell r="E5056">
            <v>3159.6</v>
          </cell>
          <cell r="F5056" t="str">
            <v>A8-S4</v>
          </cell>
          <cell r="G5056" t="str">
            <v>Drawer back - Hậu hộc kéo</v>
          </cell>
          <cell r="H5056" t="str">
            <v>MDF-N - 12 x 1220 x 2440mm, Veneer Poplar Rotary 0.45mm Both Faces [CARB P2 Compliant]</v>
          </cell>
          <cell r="I5056">
            <v>10</v>
          </cell>
        </row>
        <row r="5057">
          <cell r="A5057" t="str">
            <v>B558163/A</v>
          </cell>
          <cell r="B5057" t="str">
            <v>RH4095M152</v>
          </cell>
          <cell r="C5057">
            <v>5</v>
          </cell>
          <cell r="D5057">
            <v>631.91999999999996</v>
          </cell>
          <cell r="E5057">
            <v>3159.6</v>
          </cell>
          <cell r="F5057" t="str">
            <v>A8-S5</v>
          </cell>
          <cell r="G5057" t="str">
            <v>Drawer bottom  - Đáy hộc kéo</v>
          </cell>
          <cell r="H5057" t="str">
            <v>MDF - 06 x 1220 x 2440mm, Veneer Poplar 0.42mm + Veneer Engineering 0.3mm [CARB P2 Compliant]</v>
          </cell>
          <cell r="I5057">
            <v>30</v>
          </cell>
        </row>
        <row r="5058">
          <cell r="A5058" t="str">
            <v>B558163/A</v>
          </cell>
          <cell r="B5058" t="str">
            <v>RH4095M152</v>
          </cell>
          <cell r="C5058">
            <v>5</v>
          </cell>
          <cell r="D5058">
            <v>631.91999999999996</v>
          </cell>
          <cell r="E5058">
            <v>3159.6</v>
          </cell>
          <cell r="F5058" t="str">
            <v>A8-S6</v>
          </cell>
          <cell r="G5058" t="str">
            <v>Corner block - ke góc</v>
          </cell>
          <cell r="H5058" t="str">
            <v>Poplar off cut</v>
          </cell>
          <cell r="I5058">
            <v>60</v>
          </cell>
        </row>
        <row r="5059">
          <cell r="A5059" t="str">
            <v>B558163/A</v>
          </cell>
          <cell r="B5059" t="str">
            <v>RH4095M152</v>
          </cell>
          <cell r="C5059">
            <v>5</v>
          </cell>
          <cell r="D5059">
            <v>631.91999999999996</v>
          </cell>
          <cell r="E5059">
            <v>3159.6</v>
          </cell>
          <cell r="F5059" t="str">
            <v>A8-S7</v>
          </cell>
          <cell r="G5059" t="str">
            <v>Patching wood - Gỗ đắp</v>
          </cell>
          <cell r="H5059" t="str">
            <v>Poplar off cut</v>
          </cell>
          <cell r="I5059">
            <v>60</v>
          </cell>
        </row>
        <row r="5060">
          <cell r="A5060" t="str">
            <v>B558163/A</v>
          </cell>
          <cell r="B5060" t="str">
            <v>RH4095M152</v>
          </cell>
          <cell r="C5060">
            <v>5</v>
          </cell>
          <cell r="D5060">
            <v>631.91999999999996</v>
          </cell>
          <cell r="E5060">
            <v>3159.6</v>
          </cell>
          <cell r="F5060" t="str">
            <v>A9-S1</v>
          </cell>
          <cell r="G5060" t="str">
            <v xml:space="preserve">Drawer front - Mặt hộc kéo </v>
          </cell>
          <cell r="H5060" t="str">
            <v>MDF Veneer</v>
          </cell>
          <cell r="I5060">
            <v>20</v>
          </cell>
        </row>
        <row r="5061">
          <cell r="A5061" t="str">
            <v>B558163/A</v>
          </cell>
          <cell r="B5061" t="str">
            <v>RH4095M152</v>
          </cell>
          <cell r="C5061">
            <v>5</v>
          </cell>
          <cell r="D5061">
            <v>631.91999999999996</v>
          </cell>
          <cell r="E5061">
            <v>3159.6</v>
          </cell>
          <cell r="F5061" t="str">
            <v>A9-S2</v>
          </cell>
          <cell r="G5061" t="str">
            <v>Drawer side - Hông hộc kéo</v>
          </cell>
          <cell r="H5061" t="str">
            <v>MDF-N - 12 x 1220 x 2440mm, Veneer Poplar Rotary 0.45mm Both Faces [CARB P2 Compliant]</v>
          </cell>
          <cell r="I5061">
            <v>40</v>
          </cell>
        </row>
        <row r="5062">
          <cell r="A5062" t="str">
            <v>B558163/A</v>
          </cell>
          <cell r="B5062" t="str">
            <v>RH4095M152</v>
          </cell>
          <cell r="C5062">
            <v>5</v>
          </cell>
          <cell r="D5062">
            <v>631.91999999999996</v>
          </cell>
          <cell r="E5062">
            <v>3159.6</v>
          </cell>
          <cell r="F5062" t="str">
            <v>A9-S3</v>
          </cell>
          <cell r="G5062" t="str">
            <v xml:space="preserve">Drawer front 1 - Mặt hộc kéo </v>
          </cell>
          <cell r="H5062" t="str">
            <v>MDF-N - 12 x 1220 x 2440mm, Veneer Poplar Rotary 0.45mm Both Faces [CARB P2 Compliant]</v>
          </cell>
          <cell r="I5062">
            <v>20</v>
          </cell>
        </row>
        <row r="5063">
          <cell r="A5063" t="str">
            <v>B558163/A</v>
          </cell>
          <cell r="B5063" t="str">
            <v>RH4095M152</v>
          </cell>
          <cell r="C5063">
            <v>5</v>
          </cell>
          <cell r="D5063">
            <v>631.91999999999996</v>
          </cell>
          <cell r="E5063">
            <v>3159.6</v>
          </cell>
          <cell r="F5063" t="str">
            <v>A9-S4</v>
          </cell>
          <cell r="G5063" t="str">
            <v>Drawer back - Hậu hộc kéo</v>
          </cell>
          <cell r="H5063" t="str">
            <v>MDF-N - 12 x 1220 x 2440mm, Veneer Poplar Rotary 0.45mm Both Faces [CARB P2 Compliant]</v>
          </cell>
          <cell r="I5063">
            <v>20</v>
          </cell>
        </row>
        <row r="5064">
          <cell r="A5064" t="str">
            <v>B558163/A</v>
          </cell>
          <cell r="B5064" t="str">
            <v>RH4095M152</v>
          </cell>
          <cell r="C5064">
            <v>5</v>
          </cell>
          <cell r="D5064">
            <v>631.91999999999996</v>
          </cell>
          <cell r="E5064">
            <v>3159.6</v>
          </cell>
          <cell r="F5064" t="str">
            <v>P01</v>
          </cell>
          <cell r="G5064" t="str">
            <v>Back panel - Ván hậu</v>
          </cell>
          <cell r="H5064" t="str">
            <v>MDF - 18 x 1830 x 2440mm [CARB P2 Compliant]</v>
          </cell>
          <cell r="I5064">
            <v>10</v>
          </cell>
        </row>
        <row r="5065">
          <cell r="A5065" t="str">
            <v>B558163/A</v>
          </cell>
          <cell r="B5065" t="str">
            <v>RH4095M152</v>
          </cell>
          <cell r="C5065">
            <v>5</v>
          </cell>
          <cell r="D5065">
            <v>631.91999999999996</v>
          </cell>
          <cell r="E5065">
            <v>3159.6</v>
          </cell>
          <cell r="F5065" t="str">
            <v>P02</v>
          </cell>
          <cell r="G5065" t="str">
            <v>Cleat - Bọ gỗ</v>
          </cell>
          <cell r="H5065" t="str">
            <v>Wood US Poplar - Straight Edged, 2 COM - T25mm x W100mm Up x L1.8m Up</v>
          </cell>
          <cell r="I5065">
            <v>20</v>
          </cell>
        </row>
        <row r="5066">
          <cell r="A5066" t="str">
            <v>B558163/A</v>
          </cell>
          <cell r="B5066" t="str">
            <v>RH4095M152</v>
          </cell>
          <cell r="C5066">
            <v>5</v>
          </cell>
          <cell r="D5066">
            <v>631.91999999999996</v>
          </cell>
          <cell r="E5066">
            <v>3159.6</v>
          </cell>
          <cell r="F5066" t="str">
            <v>P03</v>
          </cell>
          <cell r="G5066" t="str">
            <v>Cleat - Bọ gỗ</v>
          </cell>
          <cell r="H5066" t="str">
            <v>Wood US Poplar - Straight Edged, 2 COM - T25mm x W100mm Up x L1.8m Up</v>
          </cell>
          <cell r="I5066">
            <v>20</v>
          </cell>
        </row>
        <row r="5067">
          <cell r="A5067" t="str">
            <v>B558163/A</v>
          </cell>
          <cell r="B5067" t="str">
            <v>RH4095M152</v>
          </cell>
          <cell r="C5067">
            <v>5</v>
          </cell>
          <cell r="D5067">
            <v>631.91999999999996</v>
          </cell>
          <cell r="E5067">
            <v>3159.6</v>
          </cell>
          <cell r="F5067" t="str">
            <v>P03-1</v>
          </cell>
          <cell r="G5067" t="str">
            <v>Cleat - Bọ gỗ</v>
          </cell>
          <cell r="H5067" t="str">
            <v>Wood US Poplar - Straight Edged, 2 COM - T25mm x W100mm Up x L1.8m Up</v>
          </cell>
          <cell r="I5067">
            <v>20</v>
          </cell>
        </row>
        <row r="5068">
          <cell r="A5068" t="str">
            <v>B558163/A</v>
          </cell>
          <cell r="B5068" t="str">
            <v>RH4095M152</v>
          </cell>
          <cell r="C5068">
            <v>5</v>
          </cell>
          <cell r="D5068">
            <v>631.91999999999996</v>
          </cell>
          <cell r="E5068">
            <v>3159.6</v>
          </cell>
          <cell r="F5068" t="str">
            <v>P05</v>
          </cell>
          <cell r="G5068" t="str">
            <v>Patching wood - Gỗ đắp</v>
          </cell>
          <cell r="H5068" t="str">
            <v>Wood US Poplar - Straight Edged, 2 COM - T32mm x W100mm Up x L1.8m Up</v>
          </cell>
          <cell r="I5068">
            <v>55</v>
          </cell>
        </row>
        <row r="5069">
          <cell r="A5069" t="str">
            <v>B558163/A</v>
          </cell>
          <cell r="B5069" t="str">
            <v>RH4095M152</v>
          </cell>
          <cell r="C5069">
            <v>5</v>
          </cell>
          <cell r="D5069">
            <v>631.91999999999996</v>
          </cell>
          <cell r="E5069">
            <v>3159.6</v>
          </cell>
          <cell r="F5069" t="str">
            <v>P05-1</v>
          </cell>
          <cell r="G5069" t="str">
            <v>Patching wood - Gỗ đắp</v>
          </cell>
          <cell r="H5069" t="str">
            <v>Wood US Poplar - Straight Edged, 2 COM - T32mm x W100mm Up x L1.8m Up</v>
          </cell>
          <cell r="I5069">
            <v>5</v>
          </cell>
        </row>
        <row r="5070">
          <cell r="A5070" t="str">
            <v>B558163/A</v>
          </cell>
          <cell r="B5070" t="str">
            <v>RH4095M152</v>
          </cell>
          <cell r="C5070">
            <v>5</v>
          </cell>
          <cell r="D5070">
            <v>631.91999999999996</v>
          </cell>
          <cell r="E5070">
            <v>3159.6</v>
          </cell>
          <cell r="F5070" t="str">
            <v>P06</v>
          </cell>
          <cell r="G5070" t="str">
            <v>Corner block - ke góc</v>
          </cell>
          <cell r="H5070" t="str">
            <v>Poplar off cut</v>
          </cell>
          <cell r="I5070">
            <v>120</v>
          </cell>
        </row>
        <row r="5071">
          <cell r="A5071" t="str">
            <v>B558163/A</v>
          </cell>
          <cell r="B5071" t="str">
            <v>RH4095M152</v>
          </cell>
          <cell r="C5071">
            <v>5</v>
          </cell>
          <cell r="D5071">
            <v>631.91999999999996</v>
          </cell>
          <cell r="E5071">
            <v>3159.6</v>
          </cell>
          <cell r="F5071" t="str">
            <v>P07</v>
          </cell>
          <cell r="G5071" t="str">
            <v xml:space="preserve">Top panel  - Ván nóc </v>
          </cell>
          <cell r="H5071" t="str">
            <v>MDF - 18 x 1830 x 2440mm [CARB P2 Compliant]</v>
          </cell>
          <cell r="I5071">
            <v>5</v>
          </cell>
        </row>
        <row r="5072">
          <cell r="A5072" t="str">
            <v>B558163/A</v>
          </cell>
          <cell r="B5072" t="str">
            <v>RH4095M152</v>
          </cell>
          <cell r="C5072">
            <v>5</v>
          </cell>
          <cell r="D5072">
            <v>631.91999999999996</v>
          </cell>
          <cell r="E5072">
            <v>3159.6</v>
          </cell>
          <cell r="F5072" t="str">
            <v>P07-1</v>
          </cell>
          <cell r="G5072" t="str">
            <v>Tenon - Mộng cấy</v>
          </cell>
          <cell r="H5072" t="str">
            <v>Beech off cut</v>
          </cell>
          <cell r="I5072">
            <v>10</v>
          </cell>
        </row>
        <row r="5073">
          <cell r="A5073" t="str">
            <v>B558163/A</v>
          </cell>
          <cell r="B5073" t="str">
            <v>RH4095M152</v>
          </cell>
          <cell r="C5073">
            <v>5</v>
          </cell>
          <cell r="D5073">
            <v>631.91999999999996</v>
          </cell>
          <cell r="E5073">
            <v>3159.6</v>
          </cell>
          <cell r="F5073" t="str">
            <v>P08</v>
          </cell>
          <cell r="G5073" t="str">
            <v>Front top rail  - Đố tiền nóc</v>
          </cell>
          <cell r="H5073" t="str">
            <v>Wood US Poplar - Straight Edged, 2 COM - T32mm x W100mm Up x L1.8m Up</v>
          </cell>
          <cell r="I5073">
            <v>5</v>
          </cell>
        </row>
        <row r="5074">
          <cell r="A5074" t="str">
            <v>B558163/A</v>
          </cell>
          <cell r="B5074" t="str">
            <v>RH4095M152</v>
          </cell>
          <cell r="C5074">
            <v>5</v>
          </cell>
          <cell r="D5074">
            <v>631.91999999999996</v>
          </cell>
          <cell r="E5074">
            <v>3159.6</v>
          </cell>
          <cell r="F5074" t="str">
            <v>P09</v>
          </cell>
          <cell r="G5074" t="str">
            <v>Back top rail - Đố hậu nóc</v>
          </cell>
          <cell r="H5074" t="str">
            <v>Wood US Poplar - Straight Edged, 2 COM - T25mm x W100mm Up x L1.8m Up</v>
          </cell>
          <cell r="I5074">
            <v>10</v>
          </cell>
        </row>
        <row r="5075">
          <cell r="A5075" t="str">
            <v>B558163/A</v>
          </cell>
          <cell r="B5075" t="str">
            <v>RH4095M152</v>
          </cell>
          <cell r="C5075">
            <v>5</v>
          </cell>
          <cell r="D5075">
            <v>631.91999999999996</v>
          </cell>
          <cell r="E5075">
            <v>3159.6</v>
          </cell>
          <cell r="F5075" t="str">
            <v>P12</v>
          </cell>
          <cell r="G5075" t="str">
            <v xml:space="preserve">Top panel  - Ván nóc </v>
          </cell>
          <cell r="H5075" t="str">
            <v>Wood US Poplar - Straight Edged, 2 COM - T25mm x W100mm Up x L1.8m Up</v>
          </cell>
          <cell r="I5075">
            <v>5</v>
          </cell>
        </row>
        <row r="5076">
          <cell r="A5076" t="str">
            <v>B558163/A</v>
          </cell>
          <cell r="B5076" t="str">
            <v>RH4095M152</v>
          </cell>
          <cell r="C5076">
            <v>5</v>
          </cell>
          <cell r="D5076">
            <v>631.91999999999996</v>
          </cell>
          <cell r="E5076">
            <v>3159.6</v>
          </cell>
          <cell r="F5076" t="str">
            <v>P13</v>
          </cell>
          <cell r="G5076" t="str">
            <v>Drawer stop - Dừng hộc</v>
          </cell>
          <cell r="H5076" t="str">
            <v>Poplar off cut</v>
          </cell>
          <cell r="I5076">
            <v>60</v>
          </cell>
        </row>
        <row r="5077">
          <cell r="A5077" t="str">
            <v>B558164/A</v>
          </cell>
          <cell r="B5077" t="str">
            <v>RH4095M152</v>
          </cell>
          <cell r="C5077">
            <v>5</v>
          </cell>
          <cell r="D5077">
            <v>631.91999999999996</v>
          </cell>
          <cell r="E5077">
            <v>3159.6</v>
          </cell>
          <cell r="F5077" t="str">
            <v>A2-S1</v>
          </cell>
          <cell r="G5077" t="str">
            <v xml:space="preserve">Side rail  - Đố hông </v>
          </cell>
          <cell r="H5077" t="str">
            <v>Wood US Poplar - Straight Edged, 2 COM - T25mm x W100mm Up x L1.8m Up</v>
          </cell>
          <cell r="I5077">
            <v>10</v>
          </cell>
        </row>
        <row r="5078">
          <cell r="A5078" t="str">
            <v>B558164/A</v>
          </cell>
          <cell r="B5078" t="str">
            <v>RH4095M152</v>
          </cell>
          <cell r="C5078">
            <v>5</v>
          </cell>
          <cell r="D5078">
            <v>631.91999999999996</v>
          </cell>
          <cell r="E5078">
            <v>3159.6</v>
          </cell>
          <cell r="F5078" t="str">
            <v>A2-S2</v>
          </cell>
          <cell r="G5078" t="str">
            <v xml:space="preserve">Side panel  - Ván hông </v>
          </cell>
          <cell r="H5078" t="str">
            <v>MDF - 18 x 1830 x 2440mm [CARB P2 Compliant]</v>
          </cell>
          <cell r="I5078">
            <v>10</v>
          </cell>
        </row>
        <row r="5079">
          <cell r="A5079" t="str">
            <v>B558164/A</v>
          </cell>
          <cell r="B5079" t="str">
            <v>RH4095M152</v>
          </cell>
          <cell r="C5079">
            <v>5</v>
          </cell>
          <cell r="D5079">
            <v>631.91999999999996</v>
          </cell>
          <cell r="E5079">
            <v>3159.6</v>
          </cell>
          <cell r="F5079" t="str">
            <v>A3.1A</v>
          </cell>
          <cell r="G5079" t="str">
            <v xml:space="preserve">Side panel right  - Ván hông phải </v>
          </cell>
          <cell r="H5079" t="str">
            <v>MDF - 18 x 1830 x 2440mm [CARB P2 Compliant]</v>
          </cell>
          <cell r="I5079">
            <v>5</v>
          </cell>
        </row>
        <row r="5080">
          <cell r="A5080" t="str">
            <v>B558164/A</v>
          </cell>
          <cell r="B5080" t="str">
            <v>RH4095M152</v>
          </cell>
          <cell r="C5080">
            <v>5</v>
          </cell>
          <cell r="D5080">
            <v>631.91999999999996</v>
          </cell>
          <cell r="E5080">
            <v>3159.6</v>
          </cell>
          <cell r="F5080" t="str">
            <v>A3-S1</v>
          </cell>
          <cell r="G5080" t="str">
            <v>Center rail - Đố giữa</v>
          </cell>
          <cell r="H5080" t="str">
            <v>Wood US Poplar - Straight Edged, 2 COM - T25mm x W100mm Up x L1.8m Up</v>
          </cell>
          <cell r="I5080">
            <v>10</v>
          </cell>
        </row>
        <row r="5081">
          <cell r="A5081" t="str">
            <v>B558164/A</v>
          </cell>
          <cell r="B5081" t="str">
            <v>RH4095M152</v>
          </cell>
          <cell r="C5081">
            <v>5</v>
          </cell>
          <cell r="D5081">
            <v>631.91999999999996</v>
          </cell>
          <cell r="E5081">
            <v>3159.6</v>
          </cell>
          <cell r="F5081" t="str">
            <v>A3-S2</v>
          </cell>
          <cell r="G5081" t="str">
            <v xml:space="preserve">Side panel left  - Ván hông trái </v>
          </cell>
          <cell r="H5081" t="str">
            <v>MDF - 18 x 1830 x 2440mm [CARB P2 Compliant]</v>
          </cell>
          <cell r="I5081">
            <v>5</v>
          </cell>
        </row>
        <row r="5082">
          <cell r="A5082" t="str">
            <v>B558164/A</v>
          </cell>
          <cell r="B5082" t="str">
            <v>RH4095M152</v>
          </cell>
          <cell r="C5082">
            <v>5</v>
          </cell>
          <cell r="D5082">
            <v>631.91999999999996</v>
          </cell>
          <cell r="E5082">
            <v>3159.6</v>
          </cell>
          <cell r="F5082" t="str">
            <v>A4-S1</v>
          </cell>
          <cell r="G5082" t="str">
            <v>Front Bottom Rail  - Đố đáy trước</v>
          </cell>
          <cell r="H5082" t="str">
            <v>Wood US Poplar - Straight Edged, 2 COM - T50mm x W100mm Up x L1.8m Up</v>
          </cell>
          <cell r="I5082">
            <v>10</v>
          </cell>
        </row>
        <row r="5083">
          <cell r="A5083" t="str">
            <v>B558164/A</v>
          </cell>
          <cell r="B5083" t="str">
            <v>RH4095M152</v>
          </cell>
          <cell r="C5083">
            <v>5</v>
          </cell>
          <cell r="D5083">
            <v>631.91999999999996</v>
          </cell>
          <cell r="E5083">
            <v>3159.6</v>
          </cell>
          <cell r="F5083" t="str">
            <v>A4-S2</v>
          </cell>
          <cell r="G5083" t="str">
            <v>Center rail - Đố giữa</v>
          </cell>
          <cell r="H5083" t="str">
            <v>Wood US Poplar - Straight Edged, 2 COM - T25mm x W100mm Up x L1.8m Up</v>
          </cell>
          <cell r="I5083">
            <v>20</v>
          </cell>
        </row>
        <row r="5084">
          <cell r="A5084" t="str">
            <v>B558164/A</v>
          </cell>
          <cell r="B5084" t="str">
            <v>RH4095M152</v>
          </cell>
          <cell r="C5084">
            <v>5</v>
          </cell>
          <cell r="D5084">
            <v>631.91999999999996</v>
          </cell>
          <cell r="E5084">
            <v>3159.6</v>
          </cell>
          <cell r="F5084" t="str">
            <v>A4-S3</v>
          </cell>
          <cell r="G5084" t="str">
            <v>Dust board Panel  - Ván quét bụi</v>
          </cell>
          <cell r="H5084" t="str">
            <v>MDF - 06 x 1830 x 2440mm [CARB P2 Compliant]</v>
          </cell>
          <cell r="I5084">
            <v>5</v>
          </cell>
        </row>
        <row r="5085">
          <cell r="A5085" t="str">
            <v>B558164/A</v>
          </cell>
          <cell r="B5085" t="str">
            <v>RH4095M152</v>
          </cell>
          <cell r="C5085">
            <v>5</v>
          </cell>
          <cell r="D5085">
            <v>631.91999999999996</v>
          </cell>
          <cell r="E5085">
            <v>3159.6</v>
          </cell>
          <cell r="F5085" t="str">
            <v>A4-S3-1</v>
          </cell>
          <cell r="G5085" t="str">
            <v>Dust board Panel  - Ván quét bụi</v>
          </cell>
          <cell r="H5085" t="str">
            <v>MDF - 06 x 1830 x 2440mm [CARB P2 Compliant]</v>
          </cell>
          <cell r="I5085">
            <v>5</v>
          </cell>
        </row>
        <row r="5086">
          <cell r="A5086" t="str">
            <v>B558164/A</v>
          </cell>
          <cell r="B5086" t="str">
            <v>RH4095M152</v>
          </cell>
          <cell r="C5086">
            <v>5</v>
          </cell>
          <cell r="D5086">
            <v>631.91999999999996</v>
          </cell>
          <cell r="E5086">
            <v>3159.6</v>
          </cell>
          <cell r="F5086" t="str">
            <v>A4-S4</v>
          </cell>
          <cell r="G5086" t="str">
            <v>Front Bottom Rail  - Đố đáy trước</v>
          </cell>
          <cell r="H5086" t="str">
            <v>Wood US Poplar - Straight Edged, 2 COM - T50mm x W100mm Up x L1.8m Up</v>
          </cell>
          <cell r="I5086">
            <v>10</v>
          </cell>
        </row>
        <row r="5087">
          <cell r="A5087" t="str">
            <v>B558164/A</v>
          </cell>
          <cell r="B5087" t="str">
            <v>RH4095M152</v>
          </cell>
          <cell r="C5087">
            <v>5</v>
          </cell>
          <cell r="D5087">
            <v>631.91999999999996</v>
          </cell>
          <cell r="E5087">
            <v>3159.6</v>
          </cell>
          <cell r="F5087" t="str">
            <v>A5-S1</v>
          </cell>
          <cell r="G5087" t="str">
            <v>Horizontal rail 1 - Đố ngang 1</v>
          </cell>
          <cell r="H5087" t="str">
            <v>Wood US Poplar - Straight Edged, 2 COM - T25mm x W100mm Up x L1.8m Up</v>
          </cell>
          <cell r="I5087">
            <v>40</v>
          </cell>
        </row>
        <row r="5088">
          <cell r="A5088" t="str">
            <v>B558164/A</v>
          </cell>
          <cell r="B5088" t="str">
            <v>RH4095M152</v>
          </cell>
          <cell r="C5088">
            <v>5</v>
          </cell>
          <cell r="D5088">
            <v>631.91999999999996</v>
          </cell>
          <cell r="E5088">
            <v>3159.6</v>
          </cell>
          <cell r="F5088" t="str">
            <v>A6.A-S1</v>
          </cell>
          <cell r="G5088" t="str">
            <v xml:space="preserve">Side rail  - Đố hông </v>
          </cell>
          <cell r="H5088" t="str">
            <v>Wood US Poplar - Straight Edged, 2 COM - T32mm x W100mm Up x L1.8m Up</v>
          </cell>
          <cell r="I5088">
            <v>5</v>
          </cell>
        </row>
        <row r="5089">
          <cell r="A5089" t="str">
            <v>B558164/A</v>
          </cell>
          <cell r="B5089" t="str">
            <v>RH4095M152</v>
          </cell>
          <cell r="C5089">
            <v>5</v>
          </cell>
          <cell r="D5089">
            <v>631.91999999999996</v>
          </cell>
          <cell r="E5089">
            <v>3159.6</v>
          </cell>
          <cell r="F5089" t="str">
            <v>A6-S1</v>
          </cell>
          <cell r="G5089" t="str">
            <v>Bottom rail inside - Đố tiền đáy</v>
          </cell>
          <cell r="H5089" t="str">
            <v>Wood US Poplar - Straight Edged, 2 COM - T32mm x W100mm Up x L1.8m Up</v>
          </cell>
          <cell r="I5089">
            <v>15</v>
          </cell>
        </row>
        <row r="5090">
          <cell r="A5090" t="str">
            <v>B558164/A</v>
          </cell>
          <cell r="B5090" t="str">
            <v>RH4095M152</v>
          </cell>
          <cell r="C5090">
            <v>5</v>
          </cell>
          <cell r="D5090">
            <v>631.91999999999996</v>
          </cell>
          <cell r="E5090">
            <v>3159.6</v>
          </cell>
          <cell r="F5090" t="str">
            <v>A6-S2</v>
          </cell>
          <cell r="G5090" t="str">
            <v xml:space="preserve">Side rail  - Đố hông </v>
          </cell>
          <cell r="H5090" t="str">
            <v>Wood US Poplar - Straight Edged, 2 COM - T32mm x W100mm Up x L1.8m Up</v>
          </cell>
          <cell r="I5090">
            <v>20</v>
          </cell>
        </row>
        <row r="5091">
          <cell r="A5091" t="str">
            <v>B558164/A</v>
          </cell>
          <cell r="B5091" t="str">
            <v>RH4095M152</v>
          </cell>
          <cell r="C5091">
            <v>5</v>
          </cell>
          <cell r="D5091">
            <v>631.91999999999996</v>
          </cell>
          <cell r="E5091">
            <v>3159.6</v>
          </cell>
          <cell r="F5091" t="str">
            <v>A7-S1</v>
          </cell>
          <cell r="G5091" t="str">
            <v xml:space="preserve">Front panel  - Ván tiền </v>
          </cell>
          <cell r="H5091" t="str">
            <v>MDF Veneer</v>
          </cell>
          <cell r="I5091">
            <v>5</v>
          </cell>
        </row>
        <row r="5092">
          <cell r="A5092" t="str">
            <v>B558164/A</v>
          </cell>
          <cell r="B5092" t="str">
            <v>RH4095M152</v>
          </cell>
          <cell r="C5092">
            <v>5</v>
          </cell>
          <cell r="D5092">
            <v>631.91999999999996</v>
          </cell>
          <cell r="E5092">
            <v>3159.6</v>
          </cell>
          <cell r="F5092" t="str">
            <v>A7-S2</v>
          </cell>
          <cell r="G5092" t="str">
            <v>Back panel - Ván hậu</v>
          </cell>
          <cell r="H5092" t="str">
            <v>Wood US Poplar - Straight Edged, 2 COM - T25mm x W100mm Up x L1.8m Up</v>
          </cell>
          <cell r="I5092">
            <v>5</v>
          </cell>
        </row>
        <row r="5093">
          <cell r="A5093" t="str">
            <v>B558164/A</v>
          </cell>
          <cell r="B5093" t="str">
            <v>RH4095M152</v>
          </cell>
          <cell r="C5093">
            <v>5</v>
          </cell>
          <cell r="D5093">
            <v>631.91999999999996</v>
          </cell>
          <cell r="E5093">
            <v>3159.6</v>
          </cell>
          <cell r="F5093" t="str">
            <v>A7-S3</v>
          </cell>
          <cell r="G5093" t="str">
            <v>Center panel - Ván giữa</v>
          </cell>
          <cell r="H5093" t="str">
            <v>MDF Veneer</v>
          </cell>
          <cell r="I5093">
            <v>5</v>
          </cell>
        </row>
        <row r="5094">
          <cell r="A5094" t="str">
            <v>B558164/A</v>
          </cell>
          <cell r="B5094" t="str">
            <v>RH4095M152</v>
          </cell>
          <cell r="C5094">
            <v>5</v>
          </cell>
          <cell r="D5094">
            <v>631.91999999999996</v>
          </cell>
          <cell r="E5094">
            <v>3159.6</v>
          </cell>
          <cell r="F5094" t="str">
            <v>A7-S5</v>
          </cell>
          <cell r="G5094" t="str">
            <v>Bottom panel - Ván đáy</v>
          </cell>
          <cell r="H5094" t="str">
            <v>MDF - 06 x 1220 x 2440mm, Veneer Okoume 0.3mm Both Faces [CARB P2 Compliant]</v>
          </cell>
          <cell r="I5094">
            <v>5</v>
          </cell>
        </row>
        <row r="5095">
          <cell r="A5095" t="str">
            <v>B558164/A</v>
          </cell>
          <cell r="B5095" t="str">
            <v>RH4095M152</v>
          </cell>
          <cell r="C5095">
            <v>5</v>
          </cell>
          <cell r="D5095">
            <v>631.91999999999996</v>
          </cell>
          <cell r="E5095">
            <v>3159.6</v>
          </cell>
          <cell r="F5095" t="str">
            <v>A7-S6</v>
          </cell>
          <cell r="G5095" t="str">
            <v xml:space="preserve">Side rail  - Đố hông </v>
          </cell>
          <cell r="H5095" t="str">
            <v>Wood US Poplar - Straight Edged, 2 COM - T25mm x W100mm Up x L1.8m Up</v>
          </cell>
          <cell r="I5095">
            <v>5</v>
          </cell>
        </row>
        <row r="5096">
          <cell r="A5096" t="str">
            <v>B558164/A</v>
          </cell>
          <cell r="B5096" t="str">
            <v>RH4095M152</v>
          </cell>
          <cell r="C5096">
            <v>5</v>
          </cell>
          <cell r="D5096">
            <v>631.91999999999996</v>
          </cell>
          <cell r="E5096">
            <v>3159.6</v>
          </cell>
          <cell r="F5096" t="str">
            <v>A7-S6-1</v>
          </cell>
          <cell r="G5096" t="str">
            <v xml:space="preserve">Side rail  - Đố hông </v>
          </cell>
          <cell r="H5096" t="str">
            <v>Wood US Poplar - Straight Edged, 2 COM - T25mm x W100mm Up x L1.8m Up</v>
          </cell>
          <cell r="I5096">
            <v>5</v>
          </cell>
        </row>
        <row r="5097">
          <cell r="A5097" t="str">
            <v>B558164/A</v>
          </cell>
          <cell r="B5097" t="str">
            <v>RH4095M152</v>
          </cell>
          <cell r="C5097">
            <v>5</v>
          </cell>
          <cell r="D5097">
            <v>631.91999999999996</v>
          </cell>
          <cell r="E5097">
            <v>3159.6</v>
          </cell>
          <cell r="F5097" t="str">
            <v>A8-S1</v>
          </cell>
          <cell r="G5097" t="str">
            <v xml:space="preserve">Drawer front - Mặt hộc kéo </v>
          </cell>
          <cell r="H5097" t="str">
            <v>MDF Veneer</v>
          </cell>
          <cell r="I5097">
            <v>10</v>
          </cell>
        </row>
        <row r="5098">
          <cell r="A5098" t="str">
            <v>B558164/A</v>
          </cell>
          <cell r="B5098" t="str">
            <v>RH4095M152</v>
          </cell>
          <cell r="C5098">
            <v>5</v>
          </cell>
          <cell r="D5098">
            <v>631.91999999999996</v>
          </cell>
          <cell r="E5098">
            <v>3159.6</v>
          </cell>
          <cell r="F5098" t="str">
            <v>A8-S2</v>
          </cell>
          <cell r="G5098" t="str">
            <v>Drawer side - Hông hộc kéo</v>
          </cell>
          <cell r="H5098" t="str">
            <v>MDF-N - 12 x 1220 x 2440mm, Veneer Poplar Rotary 0.45mm Both Faces [CARB P2 Compliant]</v>
          </cell>
          <cell r="I5098">
            <v>20</v>
          </cell>
        </row>
        <row r="5099">
          <cell r="A5099" t="str">
            <v>B558164/A</v>
          </cell>
          <cell r="B5099" t="str">
            <v>RH4095M152</v>
          </cell>
          <cell r="C5099">
            <v>5</v>
          </cell>
          <cell r="D5099">
            <v>631.91999999999996</v>
          </cell>
          <cell r="E5099">
            <v>3159.6</v>
          </cell>
          <cell r="F5099" t="str">
            <v>A8-S3</v>
          </cell>
          <cell r="G5099" t="str">
            <v xml:space="preserve">Drawer front 1 - Mặt hộc kéo </v>
          </cell>
          <cell r="H5099" t="str">
            <v>MDF-N - 12 x 1220 x 2440mm, Veneer Poplar Rotary 0.45mm Both Faces [CARB P2 Compliant]</v>
          </cell>
          <cell r="I5099">
            <v>10</v>
          </cell>
        </row>
        <row r="5100">
          <cell r="A5100" t="str">
            <v>B558164/A</v>
          </cell>
          <cell r="B5100" t="str">
            <v>RH4095M152</v>
          </cell>
          <cell r="C5100">
            <v>5</v>
          </cell>
          <cell r="D5100">
            <v>631.91999999999996</v>
          </cell>
          <cell r="E5100">
            <v>3159.6</v>
          </cell>
          <cell r="F5100" t="str">
            <v>A8-S4</v>
          </cell>
          <cell r="G5100" t="str">
            <v>Drawer back - Hậu hộc kéo</v>
          </cell>
          <cell r="H5100" t="str">
            <v>MDF-N - 12 x 1220 x 2440mm, Veneer Poplar Rotary 0.45mm Both Faces [CARB P2 Compliant]</v>
          </cell>
          <cell r="I5100">
            <v>10</v>
          </cell>
        </row>
        <row r="5101">
          <cell r="A5101" t="str">
            <v>B558164/A</v>
          </cell>
          <cell r="B5101" t="str">
            <v>RH4095M152</v>
          </cell>
          <cell r="C5101">
            <v>5</v>
          </cell>
          <cell r="D5101">
            <v>631.91999999999996</v>
          </cell>
          <cell r="E5101">
            <v>3159.6</v>
          </cell>
          <cell r="F5101" t="str">
            <v>A8-S5</v>
          </cell>
          <cell r="G5101" t="str">
            <v>Drawer bottom  - Đáy hộc kéo</v>
          </cell>
          <cell r="H5101" t="str">
            <v>MDF - 06 x 1220 x 2440mm, Veneer Poplar 0.42mm + Veneer Engineering 0.3mm [CARB P2 Compliant]</v>
          </cell>
          <cell r="I5101">
            <v>30</v>
          </cell>
        </row>
        <row r="5102">
          <cell r="A5102" t="str">
            <v>B558164/A</v>
          </cell>
          <cell r="B5102" t="str">
            <v>RH4095M152</v>
          </cell>
          <cell r="C5102">
            <v>5</v>
          </cell>
          <cell r="D5102">
            <v>631.91999999999996</v>
          </cell>
          <cell r="E5102">
            <v>3159.6</v>
          </cell>
          <cell r="F5102" t="str">
            <v>A8-S6</v>
          </cell>
          <cell r="G5102" t="str">
            <v>Corner block - ke góc</v>
          </cell>
          <cell r="H5102" t="str">
            <v>Poplar off cut</v>
          </cell>
          <cell r="I5102">
            <v>60</v>
          </cell>
        </row>
        <row r="5103">
          <cell r="A5103" t="str">
            <v>B558164/A</v>
          </cell>
          <cell r="B5103" t="str">
            <v>RH4095M152</v>
          </cell>
          <cell r="C5103">
            <v>5</v>
          </cell>
          <cell r="D5103">
            <v>631.91999999999996</v>
          </cell>
          <cell r="E5103">
            <v>3159.6</v>
          </cell>
          <cell r="F5103" t="str">
            <v>A8-S7</v>
          </cell>
          <cell r="G5103" t="str">
            <v>Patching wood - Gỗ đắp</v>
          </cell>
          <cell r="H5103" t="str">
            <v>Poplar off cut</v>
          </cell>
          <cell r="I5103">
            <v>60</v>
          </cell>
        </row>
        <row r="5104">
          <cell r="A5104" t="str">
            <v>B558164/A</v>
          </cell>
          <cell r="B5104" t="str">
            <v>RH4095M152</v>
          </cell>
          <cell r="C5104">
            <v>5</v>
          </cell>
          <cell r="D5104">
            <v>631.91999999999996</v>
          </cell>
          <cell r="E5104">
            <v>3159.6</v>
          </cell>
          <cell r="F5104" t="str">
            <v>A9-S1</v>
          </cell>
          <cell r="G5104" t="str">
            <v xml:space="preserve">Drawer front - Mặt hộc kéo </v>
          </cell>
          <cell r="H5104" t="str">
            <v>MDF Veneer</v>
          </cell>
          <cell r="I5104">
            <v>20</v>
          </cell>
        </row>
        <row r="5105">
          <cell r="A5105" t="str">
            <v>B558164/A</v>
          </cell>
          <cell r="B5105" t="str">
            <v>RH4095M152</v>
          </cell>
          <cell r="C5105">
            <v>5</v>
          </cell>
          <cell r="D5105">
            <v>631.91999999999996</v>
          </cell>
          <cell r="E5105">
            <v>3159.6</v>
          </cell>
          <cell r="F5105" t="str">
            <v>A9-S2</v>
          </cell>
          <cell r="G5105" t="str">
            <v>Drawer side - Hông hộc kéo</v>
          </cell>
          <cell r="H5105" t="str">
            <v>MDF-N - 12 x 1220 x 2440mm, Veneer Poplar Rotary 0.45mm Both Faces [CARB P2 Compliant]</v>
          </cell>
          <cell r="I5105">
            <v>40</v>
          </cell>
        </row>
        <row r="5106">
          <cell r="A5106" t="str">
            <v>B558164/A</v>
          </cell>
          <cell r="B5106" t="str">
            <v>RH4095M152</v>
          </cell>
          <cell r="C5106">
            <v>5</v>
          </cell>
          <cell r="D5106">
            <v>631.91999999999996</v>
          </cell>
          <cell r="E5106">
            <v>3159.6</v>
          </cell>
          <cell r="F5106" t="str">
            <v>A9-S3</v>
          </cell>
          <cell r="G5106" t="str">
            <v xml:space="preserve">Drawer front 1 - Mặt hộc kéo </v>
          </cell>
          <cell r="H5106" t="str">
            <v>MDF-N - 12 x 1220 x 2440mm, Veneer Poplar Rotary 0.45mm Both Faces [CARB P2 Compliant]</v>
          </cell>
          <cell r="I5106">
            <v>20</v>
          </cell>
        </row>
        <row r="5107">
          <cell r="A5107" t="str">
            <v>B558164/A</v>
          </cell>
          <cell r="B5107" t="str">
            <v>RH4095M152</v>
          </cell>
          <cell r="C5107">
            <v>5</v>
          </cell>
          <cell r="D5107">
            <v>631.91999999999996</v>
          </cell>
          <cell r="E5107">
            <v>3159.6</v>
          </cell>
          <cell r="F5107" t="str">
            <v>A9-S4</v>
          </cell>
          <cell r="G5107" t="str">
            <v>Drawer back - Hậu hộc kéo</v>
          </cell>
          <cell r="H5107" t="str">
            <v>MDF-N - 12 x 1220 x 2440mm, Veneer Poplar Rotary 0.45mm Both Faces [CARB P2 Compliant]</v>
          </cell>
          <cell r="I5107">
            <v>20</v>
          </cell>
        </row>
        <row r="5108">
          <cell r="A5108" t="str">
            <v>B558164/A</v>
          </cell>
          <cell r="B5108" t="str">
            <v>RH4095M152</v>
          </cell>
          <cell r="C5108">
            <v>5</v>
          </cell>
          <cell r="D5108">
            <v>631.91999999999996</v>
          </cell>
          <cell r="E5108">
            <v>3159.6</v>
          </cell>
          <cell r="F5108" t="str">
            <v>P01</v>
          </cell>
          <cell r="G5108" t="str">
            <v>Back panel - Ván hậu</v>
          </cell>
          <cell r="H5108" t="str">
            <v>MDF - 18 x 1830 x 2440mm [CARB P2 Compliant]</v>
          </cell>
          <cell r="I5108">
            <v>10</v>
          </cell>
        </row>
        <row r="5109">
          <cell r="A5109" t="str">
            <v>B558164/A</v>
          </cell>
          <cell r="B5109" t="str">
            <v>RH4095M152</v>
          </cell>
          <cell r="C5109">
            <v>5</v>
          </cell>
          <cell r="D5109">
            <v>631.91999999999996</v>
          </cell>
          <cell r="E5109">
            <v>3159.6</v>
          </cell>
          <cell r="F5109" t="str">
            <v>P02</v>
          </cell>
          <cell r="G5109" t="str">
            <v>Cleat - Bọ gỗ</v>
          </cell>
          <cell r="H5109" t="str">
            <v>Wood US Poplar - Straight Edged, 2 COM - T25mm x W100mm Up x L1.8m Up</v>
          </cell>
          <cell r="I5109">
            <v>20</v>
          </cell>
        </row>
        <row r="5110">
          <cell r="A5110" t="str">
            <v>B558164/A</v>
          </cell>
          <cell r="B5110" t="str">
            <v>RH4095M152</v>
          </cell>
          <cell r="C5110">
            <v>5</v>
          </cell>
          <cell r="D5110">
            <v>631.91999999999996</v>
          </cell>
          <cell r="E5110">
            <v>3159.6</v>
          </cell>
          <cell r="F5110" t="str">
            <v>P03</v>
          </cell>
          <cell r="G5110" t="str">
            <v>Cleat - Bọ gỗ</v>
          </cell>
          <cell r="H5110" t="str">
            <v>Wood US Poplar - Straight Edged, 2 COM - T25mm x W100mm Up x L1.8m Up</v>
          </cell>
          <cell r="I5110">
            <v>20</v>
          </cell>
        </row>
        <row r="5111">
          <cell r="A5111" t="str">
            <v>B558164/A</v>
          </cell>
          <cell r="B5111" t="str">
            <v>RH4095M152</v>
          </cell>
          <cell r="C5111">
            <v>5</v>
          </cell>
          <cell r="D5111">
            <v>631.91999999999996</v>
          </cell>
          <cell r="E5111">
            <v>3159.6</v>
          </cell>
          <cell r="F5111" t="str">
            <v>P03-1</v>
          </cell>
          <cell r="G5111" t="str">
            <v>Cleat - Bọ gỗ</v>
          </cell>
          <cell r="H5111" t="str">
            <v>Wood US Poplar - Straight Edged, 2 COM - T25mm x W100mm Up x L1.8m Up</v>
          </cell>
          <cell r="I5111">
            <v>20</v>
          </cell>
        </row>
        <row r="5112">
          <cell r="A5112" t="str">
            <v>B558164/A</v>
          </cell>
          <cell r="B5112" t="str">
            <v>RH4095M152</v>
          </cell>
          <cell r="C5112">
            <v>5</v>
          </cell>
          <cell r="D5112">
            <v>631.91999999999996</v>
          </cell>
          <cell r="E5112">
            <v>3159.6</v>
          </cell>
          <cell r="F5112" t="str">
            <v>P05</v>
          </cell>
          <cell r="G5112" t="str">
            <v>Patching wood - Gỗ đắp</v>
          </cell>
          <cell r="H5112" t="str">
            <v>Wood US Poplar - Straight Edged, 2 COM - T32mm x W100mm Up x L1.8m Up</v>
          </cell>
          <cell r="I5112">
            <v>55</v>
          </cell>
        </row>
        <row r="5113">
          <cell r="A5113" t="str">
            <v>B558164/A</v>
          </cell>
          <cell r="B5113" t="str">
            <v>RH4095M152</v>
          </cell>
          <cell r="C5113">
            <v>5</v>
          </cell>
          <cell r="D5113">
            <v>631.91999999999996</v>
          </cell>
          <cell r="E5113">
            <v>3159.6</v>
          </cell>
          <cell r="F5113" t="str">
            <v>P05-1</v>
          </cell>
          <cell r="G5113" t="str">
            <v>Patching wood - Gỗ đắp</v>
          </cell>
          <cell r="H5113" t="str">
            <v>Wood US Poplar - Straight Edged, 2 COM - T32mm x W100mm Up x L1.8m Up</v>
          </cell>
          <cell r="I5113">
            <v>5</v>
          </cell>
        </row>
        <row r="5114">
          <cell r="A5114" t="str">
            <v>B558164/A</v>
          </cell>
          <cell r="B5114" t="str">
            <v>RH4095M152</v>
          </cell>
          <cell r="C5114">
            <v>5</v>
          </cell>
          <cell r="D5114">
            <v>631.91999999999996</v>
          </cell>
          <cell r="E5114">
            <v>3159.6</v>
          </cell>
          <cell r="F5114" t="str">
            <v>P06</v>
          </cell>
          <cell r="G5114" t="str">
            <v>Corner block - ke góc</v>
          </cell>
          <cell r="H5114" t="str">
            <v>Poplar off cut</v>
          </cell>
          <cell r="I5114">
            <v>120</v>
          </cell>
        </row>
        <row r="5115">
          <cell r="A5115" t="str">
            <v>B558164/A</v>
          </cell>
          <cell r="B5115" t="str">
            <v>RH4095M152</v>
          </cell>
          <cell r="C5115">
            <v>5</v>
          </cell>
          <cell r="D5115">
            <v>631.91999999999996</v>
          </cell>
          <cell r="E5115">
            <v>3159.6</v>
          </cell>
          <cell r="F5115" t="str">
            <v>P07</v>
          </cell>
          <cell r="G5115" t="str">
            <v xml:space="preserve">Top panel  - Ván nóc </v>
          </cell>
          <cell r="H5115" t="str">
            <v>MDF - 18 x 1830 x 2440mm [CARB P2 Compliant]</v>
          </cell>
          <cell r="I5115">
            <v>5</v>
          </cell>
        </row>
        <row r="5116">
          <cell r="A5116" t="str">
            <v>B558164/A</v>
          </cell>
          <cell r="B5116" t="str">
            <v>RH4095M152</v>
          </cell>
          <cell r="C5116">
            <v>5</v>
          </cell>
          <cell r="D5116">
            <v>631.91999999999996</v>
          </cell>
          <cell r="E5116">
            <v>3159.6</v>
          </cell>
          <cell r="F5116" t="str">
            <v>P07-1</v>
          </cell>
          <cell r="G5116" t="str">
            <v>Tenon - Mộng cấy</v>
          </cell>
          <cell r="H5116" t="str">
            <v>Beech off cut</v>
          </cell>
          <cell r="I5116">
            <v>10</v>
          </cell>
        </row>
        <row r="5117">
          <cell r="A5117" t="str">
            <v>B558164/A</v>
          </cell>
          <cell r="B5117" t="str">
            <v>RH4095M152</v>
          </cell>
          <cell r="C5117">
            <v>5</v>
          </cell>
          <cell r="D5117">
            <v>631.91999999999996</v>
          </cell>
          <cell r="E5117">
            <v>3159.6</v>
          </cell>
          <cell r="F5117" t="str">
            <v>P08</v>
          </cell>
          <cell r="G5117" t="str">
            <v>Front top rail  - Đố tiền nóc</v>
          </cell>
          <cell r="H5117" t="str">
            <v>Wood US Poplar - Straight Edged, 2 COM - T32mm x W100mm Up x L1.8m Up</v>
          </cell>
          <cell r="I5117">
            <v>5</v>
          </cell>
        </row>
        <row r="5118">
          <cell r="A5118" t="str">
            <v>B558164/A</v>
          </cell>
          <cell r="B5118" t="str">
            <v>RH4095M152</v>
          </cell>
          <cell r="C5118">
            <v>5</v>
          </cell>
          <cell r="D5118">
            <v>631.91999999999996</v>
          </cell>
          <cell r="E5118">
            <v>3159.6</v>
          </cell>
          <cell r="F5118" t="str">
            <v>P09</v>
          </cell>
          <cell r="G5118" t="str">
            <v>Back top rail - Đố hậu nóc</v>
          </cell>
          <cell r="H5118" t="str">
            <v>Wood US Poplar - Straight Edged, 2 COM - T25mm x W100mm Up x L1.8m Up</v>
          </cell>
          <cell r="I5118">
            <v>10</v>
          </cell>
        </row>
        <row r="5119">
          <cell r="A5119" t="str">
            <v>B558164/A</v>
          </cell>
          <cell r="B5119" t="str">
            <v>RH4095M152</v>
          </cell>
          <cell r="C5119">
            <v>5</v>
          </cell>
          <cell r="D5119">
            <v>631.91999999999996</v>
          </cell>
          <cell r="E5119">
            <v>3159.6</v>
          </cell>
          <cell r="F5119" t="str">
            <v>P12</v>
          </cell>
          <cell r="G5119" t="str">
            <v xml:space="preserve">Top panel  - Ván nóc </v>
          </cell>
          <cell r="H5119" t="str">
            <v>Wood US Poplar - Straight Edged, 2 COM - T25mm x W100mm Up x L1.8m Up</v>
          </cell>
          <cell r="I5119">
            <v>5</v>
          </cell>
        </row>
        <row r="5120">
          <cell r="A5120" t="str">
            <v>B558164/A</v>
          </cell>
          <cell r="B5120" t="str">
            <v>RH4095M152</v>
          </cell>
          <cell r="C5120">
            <v>5</v>
          </cell>
          <cell r="D5120">
            <v>631.91999999999996</v>
          </cell>
          <cell r="E5120">
            <v>3159.6</v>
          </cell>
          <cell r="F5120" t="str">
            <v>P13</v>
          </cell>
          <cell r="G5120" t="str">
            <v>Drawer stop - Dừng hộc</v>
          </cell>
          <cell r="H5120" t="str">
            <v>Poplar off cut</v>
          </cell>
          <cell r="I5120">
            <v>60</v>
          </cell>
        </row>
        <row r="5121">
          <cell r="A5121" t="str">
            <v>B558324/A</v>
          </cell>
          <cell r="B5121" t="str">
            <v>RH4511M381</v>
          </cell>
          <cell r="C5121">
            <v>12</v>
          </cell>
          <cell r="D5121">
            <v>550</v>
          </cell>
          <cell r="E5121">
            <v>6600</v>
          </cell>
          <cell r="F5121" t="str">
            <v>A1-S01</v>
          </cell>
          <cell r="G5121" t="str">
            <v>Vertical rail 1 - Đố đứng 1</v>
          </cell>
          <cell r="H5121" t="str">
            <v>Wood laminate</v>
          </cell>
          <cell r="I5121">
            <v>48</v>
          </cell>
        </row>
        <row r="5122">
          <cell r="A5122" t="str">
            <v>B558324/A</v>
          </cell>
          <cell r="B5122" t="str">
            <v>RH4511M381</v>
          </cell>
          <cell r="C5122">
            <v>12</v>
          </cell>
          <cell r="D5122">
            <v>550</v>
          </cell>
          <cell r="E5122">
            <v>6600</v>
          </cell>
          <cell r="F5122" t="str">
            <v>A1-S02</v>
          </cell>
          <cell r="G5122" t="str">
            <v>Side top rail - Đố hông trên</v>
          </cell>
          <cell r="H5122" t="str">
            <v>Wood White Oak - Straight/Waving Edged, 1 COM - T32mm x W100mm Up x L1.8m Up</v>
          </cell>
          <cell r="I5122">
            <v>24</v>
          </cell>
        </row>
        <row r="5123">
          <cell r="A5123" t="str">
            <v>B558324/A</v>
          </cell>
          <cell r="B5123" t="str">
            <v>RH4511M381</v>
          </cell>
          <cell r="C5123">
            <v>12</v>
          </cell>
          <cell r="D5123">
            <v>550</v>
          </cell>
          <cell r="E5123">
            <v>6600</v>
          </cell>
          <cell r="F5123" t="str">
            <v>A1-S03</v>
          </cell>
          <cell r="G5123" t="str">
            <v>Side bottom rail - Đố hông dưới</v>
          </cell>
          <cell r="H5123" t="str">
            <v>Wood White Oak - Straight/Waving Edged, 1 COM - T32mm x W100mm Up x L1.8m Up</v>
          </cell>
          <cell r="I5123">
            <v>24</v>
          </cell>
        </row>
        <row r="5124">
          <cell r="A5124" t="str">
            <v>B558324/A</v>
          </cell>
          <cell r="B5124" t="str">
            <v>RH4511M381</v>
          </cell>
          <cell r="C5124">
            <v>12</v>
          </cell>
          <cell r="D5124">
            <v>550</v>
          </cell>
          <cell r="E5124">
            <v>6600</v>
          </cell>
          <cell r="F5124" t="str">
            <v>P01</v>
          </cell>
          <cell r="G5124" t="str">
            <v xml:space="preserve">Top panel  - Ván nóc </v>
          </cell>
          <cell r="H5124" t="str">
            <v>MDF Veneer</v>
          </cell>
          <cell r="I5124">
            <v>12</v>
          </cell>
        </row>
        <row r="5125">
          <cell r="A5125" t="str">
            <v>B558324/A</v>
          </cell>
          <cell r="B5125" t="str">
            <v>RH4511M381</v>
          </cell>
          <cell r="C5125">
            <v>12</v>
          </cell>
          <cell r="D5125">
            <v>550</v>
          </cell>
          <cell r="E5125">
            <v>6600</v>
          </cell>
          <cell r="F5125" t="str">
            <v>P02</v>
          </cell>
          <cell r="G5125" t="str">
            <v>Top rail - Đố nóc</v>
          </cell>
          <cell r="H5125" t="str">
            <v>Wood White Oak - Straight/Waving Edged, 1 COM - T32mm x W100mm Up x L1.8m Up</v>
          </cell>
          <cell r="I5125">
            <v>24</v>
          </cell>
        </row>
        <row r="5126">
          <cell r="A5126" t="str">
            <v>B558324/A</v>
          </cell>
          <cell r="B5126" t="str">
            <v>RH4511M381</v>
          </cell>
          <cell r="C5126">
            <v>12</v>
          </cell>
          <cell r="D5126">
            <v>550</v>
          </cell>
          <cell r="E5126">
            <v>6600</v>
          </cell>
          <cell r="F5126" t="str">
            <v>P03</v>
          </cell>
          <cell r="G5126" t="str">
            <v>Bottom panel - Ván đáy</v>
          </cell>
          <cell r="H5126" t="str">
            <v>MDF Veneer</v>
          </cell>
          <cell r="I5126">
            <v>12</v>
          </cell>
        </row>
        <row r="5127">
          <cell r="A5127" t="str">
            <v>B558324/A</v>
          </cell>
          <cell r="B5127" t="str">
            <v>RH4511M381</v>
          </cell>
          <cell r="C5127">
            <v>12</v>
          </cell>
          <cell r="D5127">
            <v>550</v>
          </cell>
          <cell r="E5127">
            <v>6600</v>
          </cell>
          <cell r="F5127" t="str">
            <v>P04</v>
          </cell>
          <cell r="G5127" t="str">
            <v>Front Bottom Rail  - Đố đáy trước</v>
          </cell>
          <cell r="H5127" t="str">
            <v>Wood White Oak - Straight/Waving Edged, 1 COM - T32mm x W100mm Up x L1.8m Up</v>
          </cell>
          <cell r="I5127">
            <v>24</v>
          </cell>
        </row>
        <row r="5128">
          <cell r="A5128" t="str">
            <v>B558324/A</v>
          </cell>
          <cell r="B5128" t="str">
            <v>RH4511M381</v>
          </cell>
          <cell r="C5128">
            <v>12</v>
          </cell>
          <cell r="D5128">
            <v>550</v>
          </cell>
          <cell r="E5128">
            <v>6600</v>
          </cell>
          <cell r="F5128" t="str">
            <v>P05</v>
          </cell>
          <cell r="G5128" t="str">
            <v>Fixed Shelf  - Kệ bắt chết</v>
          </cell>
          <cell r="H5128" t="str">
            <v>MDF Veneer</v>
          </cell>
          <cell r="I5128">
            <v>48</v>
          </cell>
        </row>
        <row r="5129">
          <cell r="A5129" t="str">
            <v>B558326/A</v>
          </cell>
          <cell r="B5129" t="str">
            <v>RH4511M383</v>
          </cell>
          <cell r="C5129">
            <v>10</v>
          </cell>
          <cell r="D5129">
            <v>550</v>
          </cell>
          <cell r="E5129">
            <v>5500</v>
          </cell>
          <cell r="F5129" t="str">
            <v>A1-S01</v>
          </cell>
          <cell r="G5129" t="str">
            <v>Vertical rail 1 - Đố đứng 1</v>
          </cell>
          <cell r="H5129" t="str">
            <v>Wood laminate</v>
          </cell>
          <cell r="I5129">
            <v>40</v>
          </cell>
        </row>
        <row r="5130">
          <cell r="A5130" t="str">
            <v>B558326/A</v>
          </cell>
          <cell r="B5130" t="str">
            <v>RH4511M383</v>
          </cell>
          <cell r="C5130">
            <v>10</v>
          </cell>
          <cell r="D5130">
            <v>550</v>
          </cell>
          <cell r="E5130">
            <v>5500</v>
          </cell>
          <cell r="F5130" t="str">
            <v>A1-S02</v>
          </cell>
          <cell r="G5130" t="str">
            <v>Side top rail - Đố hông trên</v>
          </cell>
          <cell r="H5130" t="str">
            <v>Wood White Oak - Straight/Waving Edged, 1 COM - T32mm x W100mm Up x L1.8m Up</v>
          </cell>
          <cell r="I5130">
            <v>20</v>
          </cell>
        </row>
        <row r="5131">
          <cell r="A5131" t="str">
            <v>B558326/A</v>
          </cell>
          <cell r="B5131" t="str">
            <v>RH4511M383</v>
          </cell>
          <cell r="C5131">
            <v>10</v>
          </cell>
          <cell r="D5131">
            <v>550</v>
          </cell>
          <cell r="E5131">
            <v>5500</v>
          </cell>
          <cell r="F5131" t="str">
            <v>A1-S03</v>
          </cell>
          <cell r="G5131" t="str">
            <v>Side bottom rail - Đố hông dưới</v>
          </cell>
          <cell r="H5131" t="str">
            <v>Wood White Oak - Straight/Waving Edged, 1 COM - T32mm x W100mm Up x L1.8m Up</v>
          </cell>
          <cell r="I5131">
            <v>20</v>
          </cell>
        </row>
        <row r="5132">
          <cell r="A5132" t="str">
            <v>B558326/A</v>
          </cell>
          <cell r="B5132" t="str">
            <v>RH4511M383</v>
          </cell>
          <cell r="C5132">
            <v>10</v>
          </cell>
          <cell r="D5132">
            <v>550</v>
          </cell>
          <cell r="E5132">
            <v>5500</v>
          </cell>
          <cell r="F5132" t="str">
            <v>P01</v>
          </cell>
          <cell r="G5132" t="str">
            <v xml:space="preserve">Top panel  - Ván nóc </v>
          </cell>
          <cell r="H5132" t="str">
            <v>MDF Veneer</v>
          </cell>
          <cell r="I5132">
            <v>10</v>
          </cell>
        </row>
        <row r="5133">
          <cell r="A5133" t="str">
            <v>B558326/A</v>
          </cell>
          <cell r="B5133" t="str">
            <v>RH4511M383</v>
          </cell>
          <cell r="C5133">
            <v>10</v>
          </cell>
          <cell r="D5133">
            <v>550</v>
          </cell>
          <cell r="E5133">
            <v>5500</v>
          </cell>
          <cell r="F5133" t="str">
            <v>P02</v>
          </cell>
          <cell r="G5133" t="str">
            <v>Top rail - Đố nóc</v>
          </cell>
          <cell r="H5133" t="str">
            <v>Wood White Oak - Straight/Waving Edged, 1 COM - T32mm x W100mm Up x L1.8m Up</v>
          </cell>
          <cell r="I5133">
            <v>20</v>
          </cell>
        </row>
        <row r="5134">
          <cell r="A5134" t="str">
            <v>B558326/A</v>
          </cell>
          <cell r="B5134" t="str">
            <v>RH4511M383</v>
          </cell>
          <cell r="C5134">
            <v>10</v>
          </cell>
          <cell r="D5134">
            <v>550</v>
          </cell>
          <cell r="E5134">
            <v>5500</v>
          </cell>
          <cell r="F5134" t="str">
            <v>P03</v>
          </cell>
          <cell r="G5134" t="str">
            <v>Bottom panel - Ván đáy</v>
          </cell>
          <cell r="H5134" t="str">
            <v>MDF Veneer</v>
          </cell>
          <cell r="I5134">
            <v>10</v>
          </cell>
        </row>
        <row r="5135">
          <cell r="A5135" t="str">
            <v>B558326/A</v>
          </cell>
          <cell r="B5135" t="str">
            <v>RH4511M383</v>
          </cell>
          <cell r="C5135">
            <v>10</v>
          </cell>
          <cell r="D5135">
            <v>550</v>
          </cell>
          <cell r="E5135">
            <v>5500</v>
          </cell>
          <cell r="F5135" t="str">
            <v>P04</v>
          </cell>
          <cell r="G5135" t="str">
            <v>Front Bottom Rail  - Đố đáy trước</v>
          </cell>
          <cell r="H5135" t="str">
            <v>Wood White Oak - Straight/Waving Edged, 1 COM - T32mm x W100mm Up x L1.8m Up</v>
          </cell>
          <cell r="I5135">
            <v>20</v>
          </cell>
        </row>
        <row r="5136">
          <cell r="A5136" t="str">
            <v>B558326/A</v>
          </cell>
          <cell r="B5136" t="str">
            <v>RH4511M383</v>
          </cell>
          <cell r="C5136">
            <v>10</v>
          </cell>
          <cell r="D5136">
            <v>550</v>
          </cell>
          <cell r="E5136">
            <v>5500</v>
          </cell>
          <cell r="F5136" t="str">
            <v>P05</v>
          </cell>
          <cell r="G5136" t="str">
            <v>Fixed Shelf  - Kệ bắt chết</v>
          </cell>
          <cell r="H5136" t="str">
            <v>MDF Veneer</v>
          </cell>
          <cell r="I5136">
            <v>40</v>
          </cell>
        </row>
        <row r="5137">
          <cell r="A5137" t="str">
            <v>B558328/A</v>
          </cell>
          <cell r="B5137" t="str">
            <v>RH4511M409</v>
          </cell>
          <cell r="C5137">
            <v>7</v>
          </cell>
          <cell r="D5137">
            <v>550</v>
          </cell>
          <cell r="E5137">
            <v>3850</v>
          </cell>
          <cell r="F5137" t="str">
            <v>A1-S01</v>
          </cell>
          <cell r="G5137" t="str">
            <v>Vertical rail 1 - Đố đứng 1</v>
          </cell>
          <cell r="H5137" t="str">
            <v>Wood laminate</v>
          </cell>
          <cell r="I5137">
            <v>28</v>
          </cell>
        </row>
        <row r="5138">
          <cell r="A5138" t="str">
            <v>B558328/A</v>
          </cell>
          <cell r="B5138" t="str">
            <v>RH4511M409</v>
          </cell>
          <cell r="C5138">
            <v>7</v>
          </cell>
          <cell r="D5138">
            <v>550</v>
          </cell>
          <cell r="E5138">
            <v>3850</v>
          </cell>
          <cell r="F5138" t="str">
            <v>A1-S02</v>
          </cell>
          <cell r="G5138" t="str">
            <v>Side top rail - Đố hông trên</v>
          </cell>
          <cell r="H5138" t="str">
            <v>Wood White Oak - Straight/Waving Edged, 1 COM - T32mm x W100mm Up x L1.8m Up</v>
          </cell>
          <cell r="I5138">
            <v>14</v>
          </cell>
        </row>
        <row r="5139">
          <cell r="A5139" t="str">
            <v>B558328/A</v>
          </cell>
          <cell r="B5139" t="str">
            <v>RH4511M409</v>
          </cell>
          <cell r="C5139">
            <v>7</v>
          </cell>
          <cell r="D5139">
            <v>550</v>
          </cell>
          <cell r="E5139">
            <v>3850</v>
          </cell>
          <cell r="F5139" t="str">
            <v>A1-S03</v>
          </cell>
          <cell r="G5139" t="str">
            <v>Side bottom rail - Đố hông dưới</v>
          </cell>
          <cell r="H5139" t="str">
            <v>Wood White Oak - Straight/Waving Edged, 1 COM - T32mm x W100mm Up x L1.8m Up</v>
          </cell>
          <cell r="I5139">
            <v>14</v>
          </cell>
        </row>
        <row r="5140">
          <cell r="A5140" t="str">
            <v>B558328/A</v>
          </cell>
          <cell r="B5140" t="str">
            <v>RH4511M409</v>
          </cell>
          <cell r="C5140">
            <v>7</v>
          </cell>
          <cell r="D5140">
            <v>550</v>
          </cell>
          <cell r="E5140">
            <v>3850</v>
          </cell>
          <cell r="F5140" t="str">
            <v>P01</v>
          </cell>
          <cell r="G5140" t="str">
            <v xml:space="preserve">Top panel  - Ván nóc </v>
          </cell>
          <cell r="H5140" t="str">
            <v>MDF Veneer</v>
          </cell>
          <cell r="I5140">
            <v>7</v>
          </cell>
        </row>
        <row r="5141">
          <cell r="A5141" t="str">
            <v>B558328/A</v>
          </cell>
          <cell r="B5141" t="str">
            <v>RH4511M409</v>
          </cell>
          <cell r="C5141">
            <v>7</v>
          </cell>
          <cell r="D5141">
            <v>550</v>
          </cell>
          <cell r="E5141">
            <v>3850</v>
          </cell>
          <cell r="F5141" t="str">
            <v>P02</v>
          </cell>
          <cell r="G5141" t="str">
            <v>Top rail - Đố nóc</v>
          </cell>
          <cell r="H5141" t="str">
            <v>Wood White Oak - Straight/Waving Edged, 1 COM - T32mm x W100mm Up x L1.8m Up</v>
          </cell>
          <cell r="I5141">
            <v>14</v>
          </cell>
        </row>
        <row r="5142">
          <cell r="A5142" t="str">
            <v>B558328/A</v>
          </cell>
          <cell r="B5142" t="str">
            <v>RH4511M409</v>
          </cell>
          <cell r="C5142">
            <v>7</v>
          </cell>
          <cell r="D5142">
            <v>550</v>
          </cell>
          <cell r="E5142">
            <v>3850</v>
          </cell>
          <cell r="F5142" t="str">
            <v>P03</v>
          </cell>
          <cell r="G5142" t="str">
            <v>Bottom panel - Ván đáy</v>
          </cell>
          <cell r="H5142" t="str">
            <v>MDF Veneer</v>
          </cell>
          <cell r="I5142">
            <v>7</v>
          </cell>
        </row>
        <row r="5143">
          <cell r="A5143" t="str">
            <v>B558328/A</v>
          </cell>
          <cell r="B5143" t="str">
            <v>RH4511M409</v>
          </cell>
          <cell r="C5143">
            <v>7</v>
          </cell>
          <cell r="D5143">
            <v>550</v>
          </cell>
          <cell r="E5143">
            <v>3850</v>
          </cell>
          <cell r="F5143" t="str">
            <v>P04</v>
          </cell>
          <cell r="G5143" t="str">
            <v>Front Bottom Rail  - Đố đáy trước</v>
          </cell>
          <cell r="H5143" t="str">
            <v>Wood White Oak - Straight/Waving Edged, 1 COM - T32mm x W100mm Up x L1.8m Up</v>
          </cell>
          <cell r="I5143">
            <v>14</v>
          </cell>
        </row>
        <row r="5144">
          <cell r="A5144" t="str">
            <v>B558328/A</v>
          </cell>
          <cell r="B5144" t="str">
            <v>RH4511M409</v>
          </cell>
          <cell r="C5144">
            <v>7</v>
          </cell>
          <cell r="D5144">
            <v>550</v>
          </cell>
          <cell r="E5144">
            <v>3850</v>
          </cell>
          <cell r="F5144" t="str">
            <v>P05</v>
          </cell>
          <cell r="G5144" t="str">
            <v>Fixed Shelf  - Kệ bắt chết</v>
          </cell>
          <cell r="H5144" t="str">
            <v>MDF Veneer</v>
          </cell>
          <cell r="I5144">
            <v>28</v>
          </cell>
        </row>
        <row r="5145">
          <cell r="A5145" t="str">
            <v>B558331/A</v>
          </cell>
          <cell r="B5145" t="str">
            <v>RH5194M29</v>
          </cell>
          <cell r="C5145">
            <v>10</v>
          </cell>
          <cell r="D5145">
            <v>165.49</v>
          </cell>
          <cell r="E5145">
            <v>1654.9</v>
          </cell>
          <cell r="F5145" t="str">
            <v>P01</v>
          </cell>
          <cell r="G5145" t="str">
            <v xml:space="preserve">Top panel  - Ván nóc </v>
          </cell>
          <cell r="H5145" t="str">
            <v>MDF Veneer</v>
          </cell>
          <cell r="I5145">
            <v>10</v>
          </cell>
        </row>
        <row r="5146">
          <cell r="A5146" t="str">
            <v>B558331/A</v>
          </cell>
          <cell r="B5146" t="str">
            <v>RH5194M29</v>
          </cell>
          <cell r="C5146">
            <v>10</v>
          </cell>
          <cell r="D5146">
            <v>165.49</v>
          </cell>
          <cell r="E5146">
            <v>1654.9</v>
          </cell>
          <cell r="F5146" t="str">
            <v>P02</v>
          </cell>
          <cell r="G5146" t="str">
            <v>Patching wood - Gỗ đắp</v>
          </cell>
          <cell r="H5146" t="str">
            <v>Wood laminate</v>
          </cell>
          <cell r="I5146">
            <v>20</v>
          </cell>
        </row>
        <row r="5147">
          <cell r="A5147" t="str">
            <v>B558331/A</v>
          </cell>
          <cell r="B5147" t="str">
            <v>RH5194M29</v>
          </cell>
          <cell r="C5147">
            <v>10</v>
          </cell>
          <cell r="D5147">
            <v>165.49</v>
          </cell>
          <cell r="E5147">
            <v>1654.9</v>
          </cell>
          <cell r="F5147" t="str">
            <v>P03</v>
          </cell>
          <cell r="G5147" t="str">
            <v>Patching wood - Gỗ đắp</v>
          </cell>
          <cell r="H5147" t="str">
            <v>Wood laminate</v>
          </cell>
          <cell r="I5147">
            <v>20</v>
          </cell>
        </row>
        <row r="5148">
          <cell r="A5148" t="str">
            <v>B558331/A</v>
          </cell>
          <cell r="B5148" t="str">
            <v>RH5194M29</v>
          </cell>
          <cell r="C5148">
            <v>10</v>
          </cell>
          <cell r="D5148">
            <v>165.49</v>
          </cell>
          <cell r="E5148">
            <v>1654.9</v>
          </cell>
          <cell r="F5148" t="str">
            <v>P06</v>
          </cell>
          <cell r="G5148" t="str">
            <v>The leg  - Chân</v>
          </cell>
          <cell r="H5148" t="str">
            <v>Wood EU Beech - Straight/Waving Edged ABC, 2 COM - T50mm x W100mm up x L1.8m up</v>
          </cell>
          <cell r="I5148">
            <v>40</v>
          </cell>
        </row>
        <row r="5149">
          <cell r="A5149" t="str">
            <v>B558331/A</v>
          </cell>
          <cell r="B5149" t="str">
            <v>RH5194M29</v>
          </cell>
          <cell r="C5149">
            <v>10</v>
          </cell>
          <cell r="D5149">
            <v>165.49</v>
          </cell>
          <cell r="E5149">
            <v>1654.9</v>
          </cell>
          <cell r="F5149" t="str">
            <v>P07</v>
          </cell>
          <cell r="G5149" t="str">
            <v>Shelf panel  - Ván kệ</v>
          </cell>
          <cell r="H5149" t="str">
            <v>Wood EU Beech - Straight/Waving Edged ABC, 2 COM - T32mm x W100mm up x L1.8m up</v>
          </cell>
          <cell r="I5149">
            <v>10</v>
          </cell>
        </row>
        <row r="5150">
          <cell r="A5150" t="str">
            <v>B558332/A</v>
          </cell>
          <cell r="B5150" t="str">
            <v>RH5194M29</v>
          </cell>
          <cell r="C5150">
            <v>10</v>
          </cell>
          <cell r="D5150">
            <v>165.49</v>
          </cell>
          <cell r="E5150">
            <v>1654.9</v>
          </cell>
          <cell r="F5150" t="str">
            <v>P01</v>
          </cell>
          <cell r="G5150" t="str">
            <v xml:space="preserve">Top panel  - Ván nóc </v>
          </cell>
          <cell r="H5150" t="str">
            <v>MDF Veneer</v>
          </cell>
          <cell r="I5150">
            <v>10</v>
          </cell>
        </row>
        <row r="5151">
          <cell r="A5151" t="str">
            <v>B558332/A</v>
          </cell>
          <cell r="B5151" t="str">
            <v>RH5194M29</v>
          </cell>
          <cell r="C5151">
            <v>10</v>
          </cell>
          <cell r="D5151">
            <v>165.49</v>
          </cell>
          <cell r="E5151">
            <v>1654.9</v>
          </cell>
          <cell r="F5151" t="str">
            <v>P02</v>
          </cell>
          <cell r="G5151" t="str">
            <v>Patching wood - Gỗ đắp</v>
          </cell>
          <cell r="H5151" t="str">
            <v>Wood laminate</v>
          </cell>
          <cell r="I5151">
            <v>20</v>
          </cell>
        </row>
        <row r="5152">
          <cell r="A5152" t="str">
            <v>B558332/A</v>
          </cell>
          <cell r="B5152" t="str">
            <v>RH5194M29</v>
          </cell>
          <cell r="C5152">
            <v>10</v>
          </cell>
          <cell r="D5152">
            <v>165.49</v>
          </cell>
          <cell r="E5152">
            <v>1654.9</v>
          </cell>
          <cell r="F5152" t="str">
            <v>P03</v>
          </cell>
          <cell r="G5152" t="str">
            <v>Patching wood - Gỗ đắp</v>
          </cell>
          <cell r="H5152" t="str">
            <v>Wood laminate</v>
          </cell>
          <cell r="I5152">
            <v>20</v>
          </cell>
        </row>
        <row r="5153">
          <cell r="A5153" t="str">
            <v>B558332/A</v>
          </cell>
          <cell r="B5153" t="str">
            <v>RH5194M29</v>
          </cell>
          <cell r="C5153">
            <v>10</v>
          </cell>
          <cell r="D5153">
            <v>165.49</v>
          </cell>
          <cell r="E5153">
            <v>1654.9</v>
          </cell>
          <cell r="F5153" t="str">
            <v>P06</v>
          </cell>
          <cell r="G5153" t="str">
            <v>The leg  - Chân</v>
          </cell>
          <cell r="H5153" t="str">
            <v>Wood EU Beech - Straight/Waving Edged ABC, 2 COM - T50mm x W100mm up x L1.8m up</v>
          </cell>
          <cell r="I5153">
            <v>40</v>
          </cell>
        </row>
        <row r="5154">
          <cell r="A5154" t="str">
            <v>B558332/A</v>
          </cell>
          <cell r="B5154" t="str">
            <v>RH5194M29</v>
          </cell>
          <cell r="C5154">
            <v>10</v>
          </cell>
          <cell r="D5154">
            <v>165.49</v>
          </cell>
          <cell r="E5154">
            <v>1654.9</v>
          </cell>
          <cell r="F5154" t="str">
            <v>P07</v>
          </cell>
          <cell r="G5154" t="str">
            <v>Shelf panel  - Ván kệ</v>
          </cell>
          <cell r="H5154" t="str">
            <v>Wood EU Beech - Straight/Waving Edged ABC, 2 COM - T32mm x W100mm up x L1.8m up</v>
          </cell>
          <cell r="I5154">
            <v>10</v>
          </cell>
        </row>
        <row r="5155">
          <cell r="A5155" t="str">
            <v>B558167/A</v>
          </cell>
          <cell r="B5155" t="str">
            <v>RH5574M112</v>
          </cell>
          <cell r="C5155">
            <v>5</v>
          </cell>
          <cell r="D5155">
            <v>489</v>
          </cell>
          <cell r="E5155">
            <v>2445</v>
          </cell>
          <cell r="F5155" t="str">
            <v>A1</v>
          </cell>
          <cell r="G5155" t="str">
            <v>Top Frame - Khung nóc</v>
          </cell>
          <cell r="H5155" t="str">
            <v>Pre-Assembly</v>
          </cell>
          <cell r="I5155">
            <v>5</v>
          </cell>
        </row>
        <row r="5156">
          <cell r="A5156" t="str">
            <v>B558167/A</v>
          </cell>
          <cell r="B5156" t="str">
            <v>RH5574M112</v>
          </cell>
          <cell r="C5156">
            <v>5</v>
          </cell>
          <cell r="D5156">
            <v>489</v>
          </cell>
          <cell r="E5156">
            <v>2445</v>
          </cell>
          <cell r="F5156" t="str">
            <v>A1-S01</v>
          </cell>
          <cell r="G5156" t="str">
            <v xml:space="preserve">Panel - Ván </v>
          </cell>
          <cell r="H5156" t="str">
            <v>MDF - 12 x 1830 x 2440mm [CARB P2 Compliant]</v>
          </cell>
          <cell r="I5156">
            <v>10</v>
          </cell>
        </row>
        <row r="5157">
          <cell r="A5157" t="str">
            <v>B558167/A</v>
          </cell>
          <cell r="B5157" t="str">
            <v>RH5574M112</v>
          </cell>
          <cell r="C5157">
            <v>5</v>
          </cell>
          <cell r="D5157">
            <v>489</v>
          </cell>
          <cell r="E5157">
            <v>2445</v>
          </cell>
          <cell r="F5157" t="str">
            <v>A1-S02</v>
          </cell>
          <cell r="G5157" t="str">
            <v xml:space="preserve">Side rail  - Đố hông </v>
          </cell>
          <cell r="H5157" t="str">
            <v>MDF - 18 x 1830 x 2440mm [CARB P2 Compliant]</v>
          </cell>
          <cell r="I5157">
            <v>10</v>
          </cell>
        </row>
        <row r="5158">
          <cell r="A5158" t="str">
            <v>B558167/A</v>
          </cell>
          <cell r="B5158" t="str">
            <v>RH5574M112</v>
          </cell>
          <cell r="C5158">
            <v>5</v>
          </cell>
          <cell r="D5158">
            <v>489</v>
          </cell>
          <cell r="E5158">
            <v>2445</v>
          </cell>
          <cell r="F5158" t="str">
            <v>A1-S03</v>
          </cell>
          <cell r="G5158" t="str">
            <v>Center rail - Đố giữa</v>
          </cell>
          <cell r="H5158" t="str">
            <v>MDF - 18 x 1830 x 2440mm [CARB P2 Compliant]</v>
          </cell>
          <cell r="I5158">
            <v>75</v>
          </cell>
        </row>
        <row r="5159">
          <cell r="A5159" t="str">
            <v>B558167/A</v>
          </cell>
          <cell r="B5159" t="str">
            <v>RH5574M112</v>
          </cell>
          <cell r="C5159">
            <v>5</v>
          </cell>
          <cell r="D5159">
            <v>489</v>
          </cell>
          <cell r="E5159">
            <v>2445</v>
          </cell>
          <cell r="F5159" t="str">
            <v>A2</v>
          </cell>
          <cell r="G5159" t="str">
            <v>Side Frame - Khung hông</v>
          </cell>
          <cell r="H5159" t="str">
            <v>Pre-Assembly</v>
          </cell>
          <cell r="I5159">
            <v>10</v>
          </cell>
        </row>
        <row r="5160">
          <cell r="A5160" t="str">
            <v>B558167/A</v>
          </cell>
          <cell r="B5160" t="str">
            <v>RH5574M112</v>
          </cell>
          <cell r="C5160">
            <v>5</v>
          </cell>
          <cell r="D5160">
            <v>489</v>
          </cell>
          <cell r="E5160">
            <v>2445</v>
          </cell>
          <cell r="F5160" t="str">
            <v>A2-S01</v>
          </cell>
          <cell r="G5160" t="str">
            <v xml:space="preserve">Side panel  - Ván hông </v>
          </cell>
          <cell r="H5160" t="str">
            <v>MDF - 12 x 1830 x 2440mm [CARB P2 Compliant]</v>
          </cell>
          <cell r="I5160">
            <v>20</v>
          </cell>
        </row>
        <row r="5161">
          <cell r="A5161" t="str">
            <v>B558167/A</v>
          </cell>
          <cell r="B5161" t="str">
            <v>RH5574M112</v>
          </cell>
          <cell r="C5161">
            <v>5</v>
          </cell>
          <cell r="D5161">
            <v>489</v>
          </cell>
          <cell r="E5161">
            <v>2445</v>
          </cell>
          <cell r="F5161" t="str">
            <v>A2-S02</v>
          </cell>
          <cell r="G5161" t="str">
            <v xml:space="preserve">Side rail  - Đố hông </v>
          </cell>
          <cell r="H5161" t="str">
            <v>MDF - 18 x 1830 x 2440mm [CARB P2 Compliant]</v>
          </cell>
          <cell r="I5161">
            <v>20</v>
          </cell>
        </row>
        <row r="5162">
          <cell r="A5162" t="str">
            <v>B558167/A</v>
          </cell>
          <cell r="B5162" t="str">
            <v>RH5574M112</v>
          </cell>
          <cell r="C5162">
            <v>5</v>
          </cell>
          <cell r="D5162">
            <v>489</v>
          </cell>
          <cell r="E5162">
            <v>2445</v>
          </cell>
          <cell r="F5162" t="str">
            <v>A3-S01</v>
          </cell>
          <cell r="G5162" t="str">
            <v>Front Bottom Rail  - Đố đáy trước</v>
          </cell>
          <cell r="H5162" t="str">
            <v>Wood EU Beech - Straight/Waving Edged ABC, 2 COM - T32mm x W100mm up x L1.8m up</v>
          </cell>
          <cell r="I5162">
            <v>10</v>
          </cell>
        </row>
        <row r="5163">
          <cell r="A5163" t="str">
            <v>B558167/A</v>
          </cell>
          <cell r="B5163" t="str">
            <v>RH5574M112</v>
          </cell>
          <cell r="C5163">
            <v>5</v>
          </cell>
          <cell r="D5163">
            <v>489</v>
          </cell>
          <cell r="E5163">
            <v>2445</v>
          </cell>
          <cell r="F5163" t="str">
            <v>A3-S02</v>
          </cell>
          <cell r="G5163" t="str">
            <v>Side bottom rail - Đố hông dưới</v>
          </cell>
          <cell r="H5163" t="str">
            <v>Wood EU Beech - Straight/Waving Edged ABC, 2 COM - T32mm x W100mm up x L1.8m up</v>
          </cell>
          <cell r="I5163">
            <v>10</v>
          </cell>
        </row>
        <row r="5164">
          <cell r="A5164" t="str">
            <v>B558167/A</v>
          </cell>
          <cell r="B5164" t="str">
            <v>RH5574M112</v>
          </cell>
          <cell r="C5164">
            <v>5</v>
          </cell>
          <cell r="D5164">
            <v>489</v>
          </cell>
          <cell r="E5164">
            <v>2445</v>
          </cell>
          <cell r="F5164" t="str">
            <v>A4-S01</v>
          </cell>
          <cell r="G5164" t="str">
            <v xml:space="preserve">Drawer front - Mặt hộc kéo </v>
          </cell>
          <cell r="H5164" t="str">
            <v>MDF Veneer</v>
          </cell>
          <cell r="I5164">
            <v>5</v>
          </cell>
        </row>
        <row r="5165">
          <cell r="A5165" t="str">
            <v>B558167/A</v>
          </cell>
          <cell r="B5165" t="str">
            <v>RH5574M112</v>
          </cell>
          <cell r="C5165">
            <v>5</v>
          </cell>
          <cell r="D5165">
            <v>489</v>
          </cell>
          <cell r="E5165">
            <v>2445</v>
          </cell>
          <cell r="F5165" t="str">
            <v>A4-S02</v>
          </cell>
          <cell r="G5165" t="str">
            <v xml:space="preserve">Drawer front 1 - Mặt hộc kéo </v>
          </cell>
          <cell r="H5165" t="str">
            <v>MDF-N - 12 x 1220 x 2440mm, Veneer Poplar Rotary 0.45mm Both Faces [CARB P2 Compliant]</v>
          </cell>
          <cell r="I5165">
            <v>5</v>
          </cell>
        </row>
        <row r="5166">
          <cell r="A5166" t="str">
            <v>B558167/A</v>
          </cell>
          <cell r="B5166" t="str">
            <v>RH5574M112</v>
          </cell>
          <cell r="C5166">
            <v>5</v>
          </cell>
          <cell r="D5166">
            <v>489</v>
          </cell>
          <cell r="E5166">
            <v>2445</v>
          </cell>
          <cell r="F5166" t="str">
            <v>A4-S03</v>
          </cell>
          <cell r="G5166" t="str">
            <v>Drawer back - Hậu hộc kéo</v>
          </cell>
          <cell r="H5166" t="str">
            <v>MDF-N - 12 x 1220 x 2440mm, Veneer Poplar Rotary 0.45mm Both Faces [CARB P2 Compliant]</v>
          </cell>
          <cell r="I5166">
            <v>5</v>
          </cell>
        </row>
        <row r="5167">
          <cell r="A5167" t="str">
            <v>B558167/A</v>
          </cell>
          <cell r="B5167" t="str">
            <v>RH5574M112</v>
          </cell>
          <cell r="C5167">
            <v>5</v>
          </cell>
          <cell r="D5167">
            <v>489</v>
          </cell>
          <cell r="E5167">
            <v>2445</v>
          </cell>
          <cell r="F5167" t="str">
            <v>A4-S04</v>
          </cell>
          <cell r="G5167" t="str">
            <v>Drawer side - Hông hộc kéo</v>
          </cell>
          <cell r="H5167" t="str">
            <v>MDF-N - 12 x 1220 x 2440mm, Veneer Poplar Rotary 0.45mm Both Faces [CARB P2 Compliant]</v>
          </cell>
          <cell r="I5167">
            <v>10</v>
          </cell>
        </row>
        <row r="5168">
          <cell r="A5168" t="str">
            <v>B558167/A</v>
          </cell>
          <cell r="B5168" t="str">
            <v>RH5574M112</v>
          </cell>
          <cell r="C5168">
            <v>5</v>
          </cell>
          <cell r="D5168">
            <v>489</v>
          </cell>
          <cell r="E5168">
            <v>2445</v>
          </cell>
          <cell r="F5168" t="str">
            <v>A4-S05</v>
          </cell>
          <cell r="G5168" t="str">
            <v>Drawer bottom  - Đáy hộc kéo</v>
          </cell>
          <cell r="H5168" t="str">
            <v>MDF - 06 x 1220 x 2440mm, Veneer Poplar 0.42mm + Veneer Engineering 0.3mm [CARB P2 Compliant]</v>
          </cell>
          <cell r="I5168">
            <v>15</v>
          </cell>
        </row>
        <row r="5169">
          <cell r="A5169" t="str">
            <v>B558167/A</v>
          </cell>
          <cell r="B5169" t="str">
            <v>RH5574M112</v>
          </cell>
          <cell r="C5169">
            <v>5</v>
          </cell>
          <cell r="D5169">
            <v>489</v>
          </cell>
          <cell r="E5169">
            <v>2445</v>
          </cell>
          <cell r="F5169" t="str">
            <v>A4-S06</v>
          </cell>
          <cell r="G5169" t="str">
            <v>Patching moulding - Chỉ đắp</v>
          </cell>
          <cell r="H5169" t="str">
            <v>Beech off cut</v>
          </cell>
          <cell r="I5169">
            <v>30</v>
          </cell>
        </row>
        <row r="5170">
          <cell r="A5170" t="str">
            <v>B558167/A</v>
          </cell>
          <cell r="B5170" t="str">
            <v>RH5574M112</v>
          </cell>
          <cell r="C5170">
            <v>5</v>
          </cell>
          <cell r="D5170">
            <v>489</v>
          </cell>
          <cell r="E5170">
            <v>2445</v>
          </cell>
          <cell r="F5170" t="str">
            <v>A5-S01</v>
          </cell>
          <cell r="G5170" t="str">
            <v xml:space="preserve">Drawer front - Mặt hộc kéo </v>
          </cell>
          <cell r="H5170" t="str">
            <v>MDF Veneer</v>
          </cell>
          <cell r="I5170">
            <v>10</v>
          </cell>
        </row>
        <row r="5171">
          <cell r="A5171" t="str">
            <v>B558167/A</v>
          </cell>
          <cell r="B5171" t="str">
            <v>RH5574M112</v>
          </cell>
          <cell r="C5171">
            <v>5</v>
          </cell>
          <cell r="D5171">
            <v>489</v>
          </cell>
          <cell r="E5171">
            <v>2445</v>
          </cell>
          <cell r="F5171" t="str">
            <v>A5-S02</v>
          </cell>
          <cell r="G5171" t="str">
            <v xml:space="preserve">Drawer front 1 - Mặt hộc kéo </v>
          </cell>
          <cell r="H5171" t="str">
            <v>MDF-N - 12 x 1220 x 2440mm, Veneer Poplar Rotary 0.45mm Both Faces [CARB P2 Compliant]</v>
          </cell>
          <cell r="I5171">
            <v>10</v>
          </cell>
        </row>
        <row r="5172">
          <cell r="A5172" t="str">
            <v>B558167/A</v>
          </cell>
          <cell r="B5172" t="str">
            <v>RH5574M112</v>
          </cell>
          <cell r="C5172">
            <v>5</v>
          </cell>
          <cell r="D5172">
            <v>489</v>
          </cell>
          <cell r="E5172">
            <v>2445</v>
          </cell>
          <cell r="F5172" t="str">
            <v>A5-S03</v>
          </cell>
          <cell r="G5172" t="str">
            <v>Drawer back - Hậu hộc kéo</v>
          </cell>
          <cell r="H5172" t="str">
            <v>MDF-N - 12 x 1220 x 2440mm, Veneer Poplar Rotary 0.45mm Both Faces [CARB P2 Compliant]</v>
          </cell>
          <cell r="I5172">
            <v>10</v>
          </cell>
        </row>
        <row r="5173">
          <cell r="A5173" t="str">
            <v>B558167/A</v>
          </cell>
          <cell r="B5173" t="str">
            <v>RH5574M112</v>
          </cell>
          <cell r="C5173">
            <v>5</v>
          </cell>
          <cell r="D5173">
            <v>489</v>
          </cell>
          <cell r="E5173">
            <v>2445</v>
          </cell>
          <cell r="F5173" t="str">
            <v>A5-S04</v>
          </cell>
          <cell r="G5173" t="str">
            <v>Drawer side - Hông hộc kéo</v>
          </cell>
          <cell r="H5173" t="str">
            <v>MDF-N - 12 x 1220 x 2440mm, Veneer Poplar Rotary 0.45mm Both Faces [CARB P2 Compliant]</v>
          </cell>
          <cell r="I5173">
            <v>20</v>
          </cell>
        </row>
        <row r="5174">
          <cell r="A5174" t="str">
            <v>B558167/A</v>
          </cell>
          <cell r="B5174" t="str">
            <v>RH5574M112</v>
          </cell>
          <cell r="C5174">
            <v>5</v>
          </cell>
          <cell r="D5174">
            <v>489</v>
          </cell>
          <cell r="E5174">
            <v>2445</v>
          </cell>
          <cell r="F5174" t="str">
            <v>P01</v>
          </cell>
          <cell r="G5174" t="str">
            <v>Front rail  - Đố tiền</v>
          </cell>
          <cell r="H5174" t="str">
            <v>Wood EU Beech - Straight/Waving Edged ABC, 2 COM - T32mm x W100mm up x L1.8m up</v>
          </cell>
          <cell r="I5174">
            <v>10</v>
          </cell>
        </row>
        <row r="5175">
          <cell r="A5175" t="str">
            <v>B558167/A</v>
          </cell>
          <cell r="B5175" t="str">
            <v>RH5574M112</v>
          </cell>
          <cell r="C5175">
            <v>5</v>
          </cell>
          <cell r="D5175">
            <v>489</v>
          </cell>
          <cell r="E5175">
            <v>2445</v>
          </cell>
          <cell r="F5175" t="str">
            <v>P02</v>
          </cell>
          <cell r="G5175" t="str">
            <v>Bottom panel - Ván đáy</v>
          </cell>
          <cell r="H5175" t="str">
            <v>MDF - 18 x 1830 x 2440mm [CARB P2 Compliant]</v>
          </cell>
          <cell r="I5175">
            <v>5</v>
          </cell>
        </row>
        <row r="5176">
          <cell r="A5176" t="str">
            <v>B558167/A</v>
          </cell>
          <cell r="B5176" t="str">
            <v>RH5574M112</v>
          </cell>
          <cell r="C5176">
            <v>5</v>
          </cell>
          <cell r="D5176">
            <v>489</v>
          </cell>
          <cell r="E5176">
            <v>2445</v>
          </cell>
          <cell r="F5176" t="str">
            <v>P03</v>
          </cell>
          <cell r="G5176" t="str">
            <v>Fixed Shelf  - Kệ bắt chết</v>
          </cell>
          <cell r="H5176" t="str">
            <v>MDF - 18 x 1830 x 2440mm [CARB P2 Compliant]</v>
          </cell>
          <cell r="I5176">
            <v>5</v>
          </cell>
        </row>
        <row r="5177">
          <cell r="A5177" t="str">
            <v>B558167/A</v>
          </cell>
          <cell r="B5177" t="str">
            <v>RH5574M112</v>
          </cell>
          <cell r="C5177">
            <v>5</v>
          </cell>
          <cell r="D5177">
            <v>489</v>
          </cell>
          <cell r="E5177">
            <v>2445</v>
          </cell>
          <cell r="F5177" t="str">
            <v>P04</v>
          </cell>
          <cell r="G5177" t="str">
            <v>back rail - Đố hậu</v>
          </cell>
          <cell r="H5177" t="str">
            <v>Standard Wood - ALDER/ASPEN/LENGA/US POPLAR, 2 COM - T25 W120mm+ L2m+</v>
          </cell>
          <cell r="I5177">
            <v>5</v>
          </cell>
        </row>
        <row r="5178">
          <cell r="A5178" t="str">
            <v>B558167/A</v>
          </cell>
          <cell r="B5178" t="str">
            <v>RH5574M112</v>
          </cell>
          <cell r="C5178">
            <v>5</v>
          </cell>
          <cell r="D5178">
            <v>489</v>
          </cell>
          <cell r="E5178">
            <v>2445</v>
          </cell>
          <cell r="F5178" t="str">
            <v>P05</v>
          </cell>
          <cell r="G5178" t="str">
            <v>Back bottom rail - Đố hậu đáy</v>
          </cell>
          <cell r="H5178" t="str">
            <v>Standard Wood - ALDER/ASPEN/LENGA/US POPLAR, 2 COM - T25 W120mm+ L2m+</v>
          </cell>
          <cell r="I5178">
            <v>5</v>
          </cell>
        </row>
        <row r="5179">
          <cell r="A5179" t="str">
            <v>B558167/A</v>
          </cell>
          <cell r="B5179" t="str">
            <v>RH5574M112</v>
          </cell>
          <cell r="C5179">
            <v>5</v>
          </cell>
          <cell r="D5179">
            <v>489</v>
          </cell>
          <cell r="E5179">
            <v>2445</v>
          </cell>
          <cell r="F5179" t="str">
            <v>P06</v>
          </cell>
          <cell r="G5179" t="str">
            <v>Adjustable Shelf  - Kệ di động</v>
          </cell>
          <cell r="H5179" t="str">
            <v>MDF - 25 x 1830 x 2440mm [CARB P2 Compliant]</v>
          </cell>
          <cell r="I5179">
            <v>10</v>
          </cell>
        </row>
        <row r="5180">
          <cell r="A5180" t="str">
            <v>B558167/A</v>
          </cell>
          <cell r="B5180" t="str">
            <v>RH5574M112</v>
          </cell>
          <cell r="C5180">
            <v>5</v>
          </cell>
          <cell r="D5180">
            <v>489</v>
          </cell>
          <cell r="E5180">
            <v>2445</v>
          </cell>
          <cell r="F5180" t="str">
            <v>P07</v>
          </cell>
          <cell r="G5180" t="str">
            <v>Spline - Lưỡi gà</v>
          </cell>
          <cell r="H5180" t="str">
            <v>Plywood LVD - 09 x 1220 x 2440mm, Bleached Poplar Veneer Both Sides [CARB P2 Compliant]</v>
          </cell>
          <cell r="I5180">
            <v>10</v>
          </cell>
        </row>
        <row r="5181">
          <cell r="A5181" t="str">
            <v>B558167/A</v>
          </cell>
          <cell r="B5181" t="str">
            <v>RH5574M112</v>
          </cell>
          <cell r="C5181">
            <v>5</v>
          </cell>
          <cell r="D5181">
            <v>489</v>
          </cell>
          <cell r="E5181">
            <v>2445</v>
          </cell>
          <cell r="F5181" t="str">
            <v>P08</v>
          </cell>
          <cell r="G5181" t="str">
            <v>Back panel - Ván hậu</v>
          </cell>
          <cell r="H5181" t="str">
            <v>MDF Veneer</v>
          </cell>
          <cell r="I5181">
            <v>5</v>
          </cell>
        </row>
        <row r="5182">
          <cell r="A5182" t="str">
            <v>B558167/A</v>
          </cell>
          <cell r="B5182" t="str">
            <v>RH5574M112</v>
          </cell>
          <cell r="C5182">
            <v>5</v>
          </cell>
          <cell r="D5182">
            <v>489</v>
          </cell>
          <cell r="E5182">
            <v>2445</v>
          </cell>
          <cell r="F5182" t="str">
            <v>P09</v>
          </cell>
          <cell r="G5182" t="str">
            <v>Cleat - Bọ gỗ</v>
          </cell>
          <cell r="H5182" t="str">
            <v>Poplar off cut</v>
          </cell>
          <cell r="I5182">
            <v>10</v>
          </cell>
        </row>
        <row r="5183">
          <cell r="A5183" t="str">
            <v>B558167/A</v>
          </cell>
          <cell r="B5183" t="str">
            <v>RH5574M112</v>
          </cell>
          <cell r="C5183">
            <v>5</v>
          </cell>
          <cell r="D5183">
            <v>489</v>
          </cell>
          <cell r="E5183">
            <v>2445</v>
          </cell>
          <cell r="F5183" t="str">
            <v>P09-1</v>
          </cell>
          <cell r="G5183" t="str">
            <v>Cleat - Bọ gỗ</v>
          </cell>
          <cell r="H5183" t="str">
            <v>Wood US Poplar - Straight Edged, 2 COM - T25mm x W100mm Up x L1.8m Up</v>
          </cell>
          <cell r="I5183">
            <v>10</v>
          </cell>
        </row>
        <row r="5184">
          <cell r="A5184" t="str">
            <v>B558167/A</v>
          </cell>
          <cell r="B5184" t="str">
            <v>RH5574M112</v>
          </cell>
          <cell r="C5184">
            <v>5</v>
          </cell>
          <cell r="D5184">
            <v>489</v>
          </cell>
          <cell r="E5184">
            <v>2445</v>
          </cell>
          <cell r="F5184" t="str">
            <v>P10</v>
          </cell>
          <cell r="G5184" t="str">
            <v>Front rail  - Đố tiền</v>
          </cell>
          <cell r="H5184" t="str">
            <v>Wood EU Beech - Straight/Waving Edged ABC, 2 COM - T32mm x W100mm up x L1.8m up</v>
          </cell>
          <cell r="I5184">
            <v>10</v>
          </cell>
        </row>
        <row r="5185">
          <cell r="A5185" t="str">
            <v>B558167/A</v>
          </cell>
          <cell r="B5185" t="str">
            <v>RH5574M112</v>
          </cell>
          <cell r="C5185">
            <v>5</v>
          </cell>
          <cell r="D5185">
            <v>489</v>
          </cell>
          <cell r="E5185">
            <v>2445</v>
          </cell>
          <cell r="F5185" t="str">
            <v>P11</v>
          </cell>
          <cell r="G5185" t="str">
            <v>back rail - Đố hậu</v>
          </cell>
          <cell r="H5185" t="str">
            <v>Standard Wood - ALDER/ASPEN/LENGA/US POPLAR, 2 COM - T25 W120mm+ L2m+</v>
          </cell>
          <cell r="I5185">
            <v>5</v>
          </cell>
        </row>
        <row r="5186">
          <cell r="A5186" t="str">
            <v>B558167/A</v>
          </cell>
          <cell r="B5186" t="str">
            <v>RH5574M112</v>
          </cell>
          <cell r="C5186">
            <v>5</v>
          </cell>
          <cell r="D5186">
            <v>489</v>
          </cell>
          <cell r="E5186">
            <v>2445</v>
          </cell>
          <cell r="F5186" t="str">
            <v>P12</v>
          </cell>
          <cell r="G5186" t="str">
            <v>Drawer stop - Dừng hộc</v>
          </cell>
          <cell r="H5186" t="str">
            <v>Poplar off cut</v>
          </cell>
          <cell r="I5186">
            <v>30</v>
          </cell>
        </row>
        <row r="5187">
          <cell r="A5187" t="str">
            <v>B558168/A</v>
          </cell>
          <cell r="B5187" t="str">
            <v>RH5574M112</v>
          </cell>
          <cell r="C5187">
            <v>5</v>
          </cell>
          <cell r="D5187">
            <v>489</v>
          </cell>
          <cell r="E5187">
            <v>2445</v>
          </cell>
          <cell r="F5187" t="str">
            <v>A1</v>
          </cell>
          <cell r="G5187" t="str">
            <v>Top Frame - Khung nóc</v>
          </cell>
          <cell r="H5187" t="str">
            <v>Pre-Assembly</v>
          </cell>
          <cell r="I5187">
            <v>5</v>
          </cell>
        </row>
        <row r="5188">
          <cell r="A5188" t="str">
            <v>B558168/A</v>
          </cell>
          <cell r="B5188" t="str">
            <v>RH5574M112</v>
          </cell>
          <cell r="C5188">
            <v>5</v>
          </cell>
          <cell r="D5188">
            <v>489</v>
          </cell>
          <cell r="E5188">
            <v>2445</v>
          </cell>
          <cell r="F5188" t="str">
            <v>A1-S01</v>
          </cell>
          <cell r="G5188" t="str">
            <v xml:space="preserve">Panel - Ván </v>
          </cell>
          <cell r="H5188" t="str">
            <v>MDF - 12 x 1830 x 2440mm [CARB P2 Compliant]</v>
          </cell>
          <cell r="I5188">
            <v>10</v>
          </cell>
        </row>
        <row r="5189">
          <cell r="A5189" t="str">
            <v>B558168/A</v>
          </cell>
          <cell r="B5189" t="str">
            <v>RH5574M112</v>
          </cell>
          <cell r="C5189">
            <v>5</v>
          </cell>
          <cell r="D5189">
            <v>489</v>
          </cell>
          <cell r="E5189">
            <v>2445</v>
          </cell>
          <cell r="F5189" t="str">
            <v>A1-S02</v>
          </cell>
          <cell r="G5189" t="str">
            <v xml:space="preserve">Side rail  - Đố hông </v>
          </cell>
          <cell r="H5189" t="str">
            <v>MDF - 18 x 1830 x 2440mm [CARB P2 Compliant]</v>
          </cell>
          <cell r="I5189">
            <v>10</v>
          </cell>
        </row>
        <row r="5190">
          <cell r="A5190" t="str">
            <v>B558168/A</v>
          </cell>
          <cell r="B5190" t="str">
            <v>RH5574M112</v>
          </cell>
          <cell r="C5190">
            <v>5</v>
          </cell>
          <cell r="D5190">
            <v>489</v>
          </cell>
          <cell r="E5190">
            <v>2445</v>
          </cell>
          <cell r="F5190" t="str">
            <v>A1-S03</v>
          </cell>
          <cell r="G5190" t="str">
            <v>Center rail - Đố giữa</v>
          </cell>
          <cell r="H5190" t="str">
            <v>MDF - 18 x 1830 x 2440mm [CARB P2 Compliant]</v>
          </cell>
          <cell r="I5190">
            <v>75</v>
          </cell>
        </row>
        <row r="5191">
          <cell r="A5191" t="str">
            <v>B558168/A</v>
          </cell>
          <cell r="B5191" t="str">
            <v>RH5574M112</v>
          </cell>
          <cell r="C5191">
            <v>5</v>
          </cell>
          <cell r="D5191">
            <v>489</v>
          </cell>
          <cell r="E5191">
            <v>2445</v>
          </cell>
          <cell r="F5191" t="str">
            <v>A2</v>
          </cell>
          <cell r="G5191" t="str">
            <v>Side Frame - Khung hông</v>
          </cell>
          <cell r="H5191" t="str">
            <v>Pre-Assembly</v>
          </cell>
          <cell r="I5191">
            <v>10</v>
          </cell>
        </row>
        <row r="5192">
          <cell r="A5192" t="str">
            <v>B558168/A</v>
          </cell>
          <cell r="B5192" t="str">
            <v>RH5574M112</v>
          </cell>
          <cell r="C5192">
            <v>5</v>
          </cell>
          <cell r="D5192">
            <v>489</v>
          </cell>
          <cell r="E5192">
            <v>2445</v>
          </cell>
          <cell r="F5192" t="str">
            <v>A2-S01</v>
          </cell>
          <cell r="G5192" t="str">
            <v xml:space="preserve">Side panel  - Ván hông </v>
          </cell>
          <cell r="H5192" t="str">
            <v>MDF - 12 x 1830 x 2440mm [CARB P2 Compliant]</v>
          </cell>
          <cell r="I5192">
            <v>20</v>
          </cell>
        </row>
        <row r="5193">
          <cell r="A5193" t="str">
            <v>B558168/A</v>
          </cell>
          <cell r="B5193" t="str">
            <v>RH5574M112</v>
          </cell>
          <cell r="C5193">
            <v>5</v>
          </cell>
          <cell r="D5193">
            <v>489</v>
          </cell>
          <cell r="E5193">
            <v>2445</v>
          </cell>
          <cell r="F5193" t="str">
            <v>A2-S02</v>
          </cell>
          <cell r="G5193" t="str">
            <v xml:space="preserve">Side rail  - Đố hông </v>
          </cell>
          <cell r="H5193" t="str">
            <v>MDF - 18 x 1830 x 2440mm [CARB P2 Compliant]</v>
          </cell>
          <cell r="I5193">
            <v>20</v>
          </cell>
        </row>
        <row r="5194">
          <cell r="A5194" t="str">
            <v>B558168/A</v>
          </cell>
          <cell r="B5194" t="str">
            <v>RH5574M112</v>
          </cell>
          <cell r="C5194">
            <v>5</v>
          </cell>
          <cell r="D5194">
            <v>489</v>
          </cell>
          <cell r="E5194">
            <v>2445</v>
          </cell>
          <cell r="F5194" t="str">
            <v>A3-S01</v>
          </cell>
          <cell r="G5194" t="str">
            <v>Front Bottom Rail  - Đố đáy trước</v>
          </cell>
          <cell r="H5194" t="str">
            <v>Wood EU Beech - Straight/Waving Edged ABC, 2 COM - T32mm x W100mm up x L1.8m up</v>
          </cell>
          <cell r="I5194">
            <v>10</v>
          </cell>
        </row>
        <row r="5195">
          <cell r="A5195" t="str">
            <v>B558168/A</v>
          </cell>
          <cell r="B5195" t="str">
            <v>RH5574M112</v>
          </cell>
          <cell r="C5195">
            <v>5</v>
          </cell>
          <cell r="D5195">
            <v>489</v>
          </cell>
          <cell r="E5195">
            <v>2445</v>
          </cell>
          <cell r="F5195" t="str">
            <v>A3-S02</v>
          </cell>
          <cell r="G5195" t="str">
            <v>Side bottom rail - Đố hông dưới</v>
          </cell>
          <cell r="H5195" t="str">
            <v>Wood EU Beech - Straight/Waving Edged ABC, 2 COM - T32mm x W100mm up x L1.8m up</v>
          </cell>
          <cell r="I5195">
            <v>10</v>
          </cell>
        </row>
        <row r="5196">
          <cell r="A5196" t="str">
            <v>B558168/A</v>
          </cell>
          <cell r="B5196" t="str">
            <v>RH5574M112</v>
          </cell>
          <cell r="C5196">
            <v>5</v>
          </cell>
          <cell r="D5196">
            <v>489</v>
          </cell>
          <cell r="E5196">
            <v>2445</v>
          </cell>
          <cell r="F5196" t="str">
            <v>A4-S01</v>
          </cell>
          <cell r="G5196" t="str">
            <v xml:space="preserve">Drawer front - Mặt hộc kéo </v>
          </cell>
          <cell r="H5196" t="str">
            <v>MDF Veneer</v>
          </cell>
          <cell r="I5196">
            <v>5</v>
          </cell>
        </row>
        <row r="5197">
          <cell r="A5197" t="str">
            <v>B558168/A</v>
          </cell>
          <cell r="B5197" t="str">
            <v>RH5574M112</v>
          </cell>
          <cell r="C5197">
            <v>5</v>
          </cell>
          <cell r="D5197">
            <v>489</v>
          </cell>
          <cell r="E5197">
            <v>2445</v>
          </cell>
          <cell r="F5197" t="str">
            <v>A4-S02</v>
          </cell>
          <cell r="G5197" t="str">
            <v xml:space="preserve">Drawer front 1 - Mặt hộc kéo </v>
          </cell>
          <cell r="H5197" t="str">
            <v>MDF-N - 12 x 1220 x 2440mm, Veneer Poplar Rotary 0.45mm Both Faces [CARB P2 Compliant]</v>
          </cell>
          <cell r="I5197">
            <v>5</v>
          </cell>
        </row>
        <row r="5198">
          <cell r="A5198" t="str">
            <v>B558168/A</v>
          </cell>
          <cell r="B5198" t="str">
            <v>RH5574M112</v>
          </cell>
          <cell r="C5198">
            <v>5</v>
          </cell>
          <cell r="D5198">
            <v>489</v>
          </cell>
          <cell r="E5198">
            <v>2445</v>
          </cell>
          <cell r="F5198" t="str">
            <v>A4-S03</v>
          </cell>
          <cell r="G5198" t="str">
            <v>Drawer back - Hậu hộc kéo</v>
          </cell>
          <cell r="H5198" t="str">
            <v>MDF-N - 12 x 1220 x 2440mm, Veneer Poplar Rotary 0.45mm Both Faces [CARB P2 Compliant]</v>
          </cell>
          <cell r="I5198">
            <v>5</v>
          </cell>
        </row>
        <row r="5199">
          <cell r="A5199" t="str">
            <v>B558168/A</v>
          </cell>
          <cell r="B5199" t="str">
            <v>RH5574M112</v>
          </cell>
          <cell r="C5199">
            <v>5</v>
          </cell>
          <cell r="D5199">
            <v>489</v>
          </cell>
          <cell r="E5199">
            <v>2445</v>
          </cell>
          <cell r="F5199" t="str">
            <v>A4-S04</v>
          </cell>
          <cell r="G5199" t="str">
            <v>Drawer side - Hông hộc kéo</v>
          </cell>
          <cell r="H5199" t="str">
            <v>MDF-N - 12 x 1220 x 2440mm, Veneer Poplar Rotary 0.45mm Both Faces [CARB P2 Compliant]</v>
          </cell>
          <cell r="I5199">
            <v>10</v>
          </cell>
        </row>
        <row r="5200">
          <cell r="A5200" t="str">
            <v>B558168/A</v>
          </cell>
          <cell r="B5200" t="str">
            <v>RH5574M112</v>
          </cell>
          <cell r="C5200">
            <v>5</v>
          </cell>
          <cell r="D5200">
            <v>489</v>
          </cell>
          <cell r="E5200">
            <v>2445</v>
          </cell>
          <cell r="F5200" t="str">
            <v>A4-S05</v>
          </cell>
          <cell r="G5200" t="str">
            <v>Drawer bottom  - Đáy hộc kéo</v>
          </cell>
          <cell r="H5200" t="str">
            <v>MDF - 06 x 1220 x 2440mm, Veneer Poplar 0.42mm + Veneer Engineering 0.3mm [CARB P2 Compliant]</v>
          </cell>
          <cell r="I5200">
            <v>15</v>
          </cell>
        </row>
        <row r="5201">
          <cell r="A5201" t="str">
            <v>B558168/A</v>
          </cell>
          <cell r="B5201" t="str">
            <v>RH5574M112</v>
          </cell>
          <cell r="C5201">
            <v>5</v>
          </cell>
          <cell r="D5201">
            <v>489</v>
          </cell>
          <cell r="E5201">
            <v>2445</v>
          </cell>
          <cell r="F5201" t="str">
            <v>A4-S06</v>
          </cell>
          <cell r="G5201" t="str">
            <v>Patching moulding - Chỉ đắp</v>
          </cell>
          <cell r="H5201" t="str">
            <v>Beech off cut</v>
          </cell>
          <cell r="I5201">
            <v>30</v>
          </cell>
        </row>
        <row r="5202">
          <cell r="A5202" t="str">
            <v>B558168/A</v>
          </cell>
          <cell r="B5202" t="str">
            <v>RH5574M112</v>
          </cell>
          <cell r="C5202">
            <v>5</v>
          </cell>
          <cell r="D5202">
            <v>489</v>
          </cell>
          <cell r="E5202">
            <v>2445</v>
          </cell>
          <cell r="F5202" t="str">
            <v>A5-S01</v>
          </cell>
          <cell r="G5202" t="str">
            <v xml:space="preserve">Drawer front - Mặt hộc kéo </v>
          </cell>
          <cell r="H5202" t="str">
            <v>MDF Veneer</v>
          </cell>
          <cell r="I5202">
            <v>10</v>
          </cell>
        </row>
        <row r="5203">
          <cell r="A5203" t="str">
            <v>B558168/A</v>
          </cell>
          <cell r="B5203" t="str">
            <v>RH5574M112</v>
          </cell>
          <cell r="C5203">
            <v>5</v>
          </cell>
          <cell r="D5203">
            <v>489</v>
          </cell>
          <cell r="E5203">
            <v>2445</v>
          </cell>
          <cell r="F5203" t="str">
            <v>A5-S02</v>
          </cell>
          <cell r="G5203" t="str">
            <v xml:space="preserve">Drawer front 1 - Mặt hộc kéo </v>
          </cell>
          <cell r="H5203" t="str">
            <v>MDF-N - 12 x 1220 x 2440mm, Veneer Poplar Rotary 0.45mm Both Faces [CARB P2 Compliant]</v>
          </cell>
          <cell r="I5203">
            <v>10</v>
          </cell>
        </row>
        <row r="5204">
          <cell r="A5204" t="str">
            <v>B558168/A</v>
          </cell>
          <cell r="B5204" t="str">
            <v>RH5574M112</v>
          </cell>
          <cell r="C5204">
            <v>5</v>
          </cell>
          <cell r="D5204">
            <v>489</v>
          </cell>
          <cell r="E5204">
            <v>2445</v>
          </cell>
          <cell r="F5204" t="str">
            <v>A5-S03</v>
          </cell>
          <cell r="G5204" t="str">
            <v>Drawer back - Hậu hộc kéo</v>
          </cell>
          <cell r="H5204" t="str">
            <v>MDF-N - 12 x 1220 x 2440mm, Veneer Poplar Rotary 0.45mm Both Faces [CARB P2 Compliant]</v>
          </cell>
          <cell r="I5204">
            <v>10</v>
          </cell>
        </row>
        <row r="5205">
          <cell r="A5205" t="str">
            <v>B558168/A</v>
          </cell>
          <cell r="B5205" t="str">
            <v>RH5574M112</v>
          </cell>
          <cell r="C5205">
            <v>5</v>
          </cell>
          <cell r="D5205">
            <v>489</v>
          </cell>
          <cell r="E5205">
            <v>2445</v>
          </cell>
          <cell r="F5205" t="str">
            <v>A5-S04</v>
          </cell>
          <cell r="G5205" t="str">
            <v>Drawer side - Hông hộc kéo</v>
          </cell>
          <cell r="H5205" t="str">
            <v>MDF-N - 12 x 1220 x 2440mm, Veneer Poplar Rotary 0.45mm Both Faces [CARB P2 Compliant]</v>
          </cell>
          <cell r="I5205">
            <v>20</v>
          </cell>
        </row>
        <row r="5206">
          <cell r="A5206" t="str">
            <v>B558168/A</v>
          </cell>
          <cell r="B5206" t="str">
            <v>RH5574M112</v>
          </cell>
          <cell r="C5206">
            <v>5</v>
          </cell>
          <cell r="D5206">
            <v>489</v>
          </cell>
          <cell r="E5206">
            <v>2445</v>
          </cell>
          <cell r="F5206" t="str">
            <v>P01</v>
          </cell>
          <cell r="G5206" t="str">
            <v>Front rail  - Đố tiền</v>
          </cell>
          <cell r="H5206" t="str">
            <v>Wood EU Beech - Straight/Waving Edged ABC, 2 COM - T32mm x W100mm up x L1.8m up</v>
          </cell>
          <cell r="I5206">
            <v>10</v>
          </cell>
        </row>
        <row r="5207">
          <cell r="A5207" t="str">
            <v>B558168/A</v>
          </cell>
          <cell r="B5207" t="str">
            <v>RH5574M112</v>
          </cell>
          <cell r="C5207">
            <v>5</v>
          </cell>
          <cell r="D5207">
            <v>489</v>
          </cell>
          <cell r="E5207">
            <v>2445</v>
          </cell>
          <cell r="F5207" t="str">
            <v>P02</v>
          </cell>
          <cell r="G5207" t="str">
            <v>Bottom panel - Ván đáy</v>
          </cell>
          <cell r="H5207" t="str">
            <v>MDF - 18 x 1830 x 2440mm [CARB P2 Compliant]</v>
          </cell>
          <cell r="I5207">
            <v>5</v>
          </cell>
        </row>
        <row r="5208">
          <cell r="A5208" t="str">
            <v>B558168/A</v>
          </cell>
          <cell r="B5208" t="str">
            <v>RH5574M112</v>
          </cell>
          <cell r="C5208">
            <v>5</v>
          </cell>
          <cell r="D5208">
            <v>489</v>
          </cell>
          <cell r="E5208">
            <v>2445</v>
          </cell>
          <cell r="F5208" t="str">
            <v>P03</v>
          </cell>
          <cell r="G5208" t="str">
            <v>Fixed Shelf  - Kệ bắt chết</v>
          </cell>
          <cell r="H5208" t="str">
            <v>MDF - 18 x 1830 x 2440mm [CARB P2 Compliant]</v>
          </cell>
          <cell r="I5208">
            <v>5</v>
          </cell>
        </row>
        <row r="5209">
          <cell r="A5209" t="str">
            <v>B558168/A</v>
          </cell>
          <cell r="B5209" t="str">
            <v>RH5574M112</v>
          </cell>
          <cell r="C5209">
            <v>5</v>
          </cell>
          <cell r="D5209">
            <v>489</v>
          </cell>
          <cell r="E5209">
            <v>2445</v>
          </cell>
          <cell r="F5209" t="str">
            <v>P04</v>
          </cell>
          <cell r="G5209" t="str">
            <v>back rail - Đố hậu</v>
          </cell>
          <cell r="H5209" t="str">
            <v>Standard Wood - ALDER/ASPEN/LENGA/US POPLAR, 2 COM - T25 W120mm+ L2m+</v>
          </cell>
          <cell r="I5209">
            <v>5</v>
          </cell>
        </row>
        <row r="5210">
          <cell r="A5210" t="str">
            <v>B558168/A</v>
          </cell>
          <cell r="B5210" t="str">
            <v>RH5574M112</v>
          </cell>
          <cell r="C5210">
            <v>5</v>
          </cell>
          <cell r="D5210">
            <v>489</v>
          </cell>
          <cell r="E5210">
            <v>2445</v>
          </cell>
          <cell r="F5210" t="str">
            <v>P05</v>
          </cell>
          <cell r="G5210" t="str">
            <v>Back bottom rail - Đố hậu đáy</v>
          </cell>
          <cell r="H5210" t="str">
            <v>Standard Wood - ALDER/ASPEN/LENGA/US POPLAR, 2 COM - T25 W120mm+ L2m+</v>
          </cell>
          <cell r="I5210">
            <v>5</v>
          </cell>
        </row>
        <row r="5211">
          <cell r="A5211" t="str">
            <v>B558168/A</v>
          </cell>
          <cell r="B5211" t="str">
            <v>RH5574M112</v>
          </cell>
          <cell r="C5211">
            <v>5</v>
          </cell>
          <cell r="D5211">
            <v>489</v>
          </cell>
          <cell r="E5211">
            <v>2445</v>
          </cell>
          <cell r="F5211" t="str">
            <v>P06</v>
          </cell>
          <cell r="G5211" t="str">
            <v>Adjustable Shelf  - Kệ di động</v>
          </cell>
          <cell r="H5211" t="str">
            <v>MDF - 25 x 1830 x 2440mm [CARB P2 Compliant]</v>
          </cell>
          <cell r="I5211">
            <v>10</v>
          </cell>
        </row>
        <row r="5212">
          <cell r="A5212" t="str">
            <v>B558168/A</v>
          </cell>
          <cell r="B5212" t="str">
            <v>RH5574M112</v>
          </cell>
          <cell r="C5212">
            <v>5</v>
          </cell>
          <cell r="D5212">
            <v>489</v>
          </cell>
          <cell r="E5212">
            <v>2445</v>
          </cell>
          <cell r="F5212" t="str">
            <v>P07</v>
          </cell>
          <cell r="G5212" t="str">
            <v>Spline - Lưỡi gà</v>
          </cell>
          <cell r="H5212" t="str">
            <v>Plywood LVD - 09 x 1220 x 2440mm, Bleached Poplar Veneer Both Sides [CARB P2 Compliant]</v>
          </cell>
          <cell r="I5212">
            <v>10</v>
          </cell>
        </row>
        <row r="5213">
          <cell r="A5213" t="str">
            <v>B558168/A</v>
          </cell>
          <cell r="B5213" t="str">
            <v>RH5574M112</v>
          </cell>
          <cell r="C5213">
            <v>5</v>
          </cell>
          <cell r="D5213">
            <v>489</v>
          </cell>
          <cell r="E5213">
            <v>2445</v>
          </cell>
          <cell r="F5213" t="str">
            <v>P08</v>
          </cell>
          <cell r="G5213" t="str">
            <v>Back panel - Ván hậu</v>
          </cell>
          <cell r="H5213" t="str">
            <v>MDF Veneer</v>
          </cell>
          <cell r="I5213">
            <v>5</v>
          </cell>
        </row>
        <row r="5214">
          <cell r="A5214" t="str">
            <v>B558168/A</v>
          </cell>
          <cell r="B5214" t="str">
            <v>RH5574M112</v>
          </cell>
          <cell r="C5214">
            <v>5</v>
          </cell>
          <cell r="D5214">
            <v>489</v>
          </cell>
          <cell r="E5214">
            <v>2445</v>
          </cell>
          <cell r="F5214" t="str">
            <v>P09</v>
          </cell>
          <cell r="G5214" t="str">
            <v>Cleat - Bọ gỗ</v>
          </cell>
          <cell r="H5214" t="str">
            <v>Poplar off cut</v>
          </cell>
          <cell r="I5214">
            <v>10</v>
          </cell>
        </row>
        <row r="5215">
          <cell r="A5215" t="str">
            <v>B558168/A</v>
          </cell>
          <cell r="B5215" t="str">
            <v>RH5574M112</v>
          </cell>
          <cell r="C5215">
            <v>5</v>
          </cell>
          <cell r="D5215">
            <v>489</v>
          </cell>
          <cell r="E5215">
            <v>2445</v>
          </cell>
          <cell r="F5215" t="str">
            <v>P09-1</v>
          </cell>
          <cell r="G5215" t="str">
            <v>Cleat - Bọ gỗ</v>
          </cell>
          <cell r="H5215" t="str">
            <v>Wood US Poplar - Straight Edged, 2 COM - T25mm x W100mm Up x L1.8m Up</v>
          </cell>
          <cell r="I5215">
            <v>10</v>
          </cell>
        </row>
        <row r="5216">
          <cell r="A5216" t="str">
            <v>B558168/A</v>
          </cell>
          <cell r="B5216" t="str">
            <v>RH5574M112</v>
          </cell>
          <cell r="C5216">
            <v>5</v>
          </cell>
          <cell r="D5216">
            <v>489</v>
          </cell>
          <cell r="E5216">
            <v>2445</v>
          </cell>
          <cell r="F5216" t="str">
            <v>P10</v>
          </cell>
          <cell r="G5216" t="str">
            <v>Front rail  - Đố tiền</v>
          </cell>
          <cell r="H5216" t="str">
            <v>Wood EU Beech - Straight/Waving Edged ABC, 2 COM - T32mm x W100mm up x L1.8m up</v>
          </cell>
          <cell r="I5216">
            <v>10</v>
          </cell>
        </row>
        <row r="5217">
          <cell r="A5217" t="str">
            <v>B558168/A</v>
          </cell>
          <cell r="B5217" t="str">
            <v>RH5574M112</v>
          </cell>
          <cell r="C5217">
            <v>5</v>
          </cell>
          <cell r="D5217">
            <v>489</v>
          </cell>
          <cell r="E5217">
            <v>2445</v>
          </cell>
          <cell r="F5217" t="str">
            <v>P11</v>
          </cell>
          <cell r="G5217" t="str">
            <v>back rail - Đố hậu</v>
          </cell>
          <cell r="H5217" t="str">
            <v>Standard Wood - ALDER/ASPEN/LENGA/US POPLAR, 2 COM - T25 W120mm+ L2m+</v>
          </cell>
          <cell r="I5217">
            <v>5</v>
          </cell>
        </row>
        <row r="5218">
          <cell r="A5218" t="str">
            <v>B558168/A</v>
          </cell>
          <cell r="B5218" t="str">
            <v>RH5574M112</v>
          </cell>
          <cell r="C5218">
            <v>5</v>
          </cell>
          <cell r="D5218">
            <v>489</v>
          </cell>
          <cell r="E5218">
            <v>2445</v>
          </cell>
          <cell r="F5218" t="str">
            <v>P12</v>
          </cell>
          <cell r="G5218" t="str">
            <v>Drawer stop - Dừng hộc</v>
          </cell>
          <cell r="H5218" t="str">
            <v>Poplar off cut</v>
          </cell>
          <cell r="I5218">
            <v>30</v>
          </cell>
        </row>
        <row r="5219">
          <cell r="A5219" t="str">
            <v>B558170/A</v>
          </cell>
          <cell r="B5219" t="str">
            <v>RH5574M113</v>
          </cell>
          <cell r="C5219">
            <v>10</v>
          </cell>
          <cell r="D5219">
            <v>489</v>
          </cell>
          <cell r="E5219">
            <v>4890</v>
          </cell>
          <cell r="F5219" t="str">
            <v>A1</v>
          </cell>
          <cell r="G5219" t="str">
            <v>Top Frame - Khung nóc</v>
          </cell>
          <cell r="H5219" t="str">
            <v>Pre-Assembly</v>
          </cell>
          <cell r="I5219">
            <v>10</v>
          </cell>
        </row>
        <row r="5220">
          <cell r="A5220" t="str">
            <v>B558170/A</v>
          </cell>
          <cell r="B5220" t="str">
            <v>RH5574M113</v>
          </cell>
          <cell r="C5220">
            <v>10</v>
          </cell>
          <cell r="D5220">
            <v>489</v>
          </cell>
          <cell r="E5220">
            <v>4890</v>
          </cell>
          <cell r="F5220" t="str">
            <v>A1-S01</v>
          </cell>
          <cell r="G5220" t="str">
            <v xml:space="preserve">Panel - Ván </v>
          </cell>
          <cell r="H5220" t="str">
            <v>MDF - 12 x 1830 x 2440mm [CARB P2 Compliant]</v>
          </cell>
          <cell r="I5220">
            <v>20</v>
          </cell>
        </row>
        <row r="5221">
          <cell r="A5221" t="str">
            <v>B558170/A</v>
          </cell>
          <cell r="B5221" t="str">
            <v>RH5574M113</v>
          </cell>
          <cell r="C5221">
            <v>10</v>
          </cell>
          <cell r="D5221">
            <v>489</v>
          </cell>
          <cell r="E5221">
            <v>4890</v>
          </cell>
          <cell r="F5221" t="str">
            <v>A1-S02</v>
          </cell>
          <cell r="G5221" t="str">
            <v xml:space="preserve">Side rail  - Đố hông </v>
          </cell>
          <cell r="H5221" t="str">
            <v>MDF - 18 x 1830 x 2440mm [CARB P2 Compliant]</v>
          </cell>
          <cell r="I5221">
            <v>20</v>
          </cell>
        </row>
        <row r="5222">
          <cell r="A5222" t="str">
            <v>B558170/A</v>
          </cell>
          <cell r="B5222" t="str">
            <v>RH5574M113</v>
          </cell>
          <cell r="C5222">
            <v>10</v>
          </cell>
          <cell r="D5222">
            <v>489</v>
          </cell>
          <cell r="E5222">
            <v>4890</v>
          </cell>
          <cell r="F5222" t="str">
            <v>A1-S03</v>
          </cell>
          <cell r="G5222" t="str">
            <v>Center rail - Đố giữa</v>
          </cell>
          <cell r="H5222" t="str">
            <v>MDF - 18 x 1830 x 2440mm [CARB P2 Compliant]</v>
          </cell>
          <cell r="I5222">
            <v>150</v>
          </cell>
        </row>
        <row r="5223">
          <cell r="A5223" t="str">
            <v>B558170/A</v>
          </cell>
          <cell r="B5223" t="str">
            <v>RH5574M113</v>
          </cell>
          <cell r="C5223">
            <v>10</v>
          </cell>
          <cell r="D5223">
            <v>489</v>
          </cell>
          <cell r="E5223">
            <v>4890</v>
          </cell>
          <cell r="F5223" t="str">
            <v>A2</v>
          </cell>
          <cell r="G5223" t="str">
            <v>Side Frame - Khung hông</v>
          </cell>
          <cell r="H5223" t="str">
            <v>Pre-Assembly</v>
          </cell>
          <cell r="I5223">
            <v>20</v>
          </cell>
        </row>
        <row r="5224">
          <cell r="A5224" t="str">
            <v>B558170/A</v>
          </cell>
          <cell r="B5224" t="str">
            <v>RH5574M113</v>
          </cell>
          <cell r="C5224">
            <v>10</v>
          </cell>
          <cell r="D5224">
            <v>489</v>
          </cell>
          <cell r="E5224">
            <v>4890</v>
          </cell>
          <cell r="F5224" t="str">
            <v>A2-S01</v>
          </cell>
          <cell r="G5224" t="str">
            <v xml:space="preserve">Side panel  - Ván hông </v>
          </cell>
          <cell r="H5224" t="str">
            <v>MDF - 12 x 1830 x 2440mm [CARB P2 Compliant]</v>
          </cell>
          <cell r="I5224">
            <v>40</v>
          </cell>
        </row>
        <row r="5225">
          <cell r="A5225" t="str">
            <v>B558170/A</v>
          </cell>
          <cell r="B5225" t="str">
            <v>RH5574M113</v>
          </cell>
          <cell r="C5225">
            <v>10</v>
          </cell>
          <cell r="D5225">
            <v>489</v>
          </cell>
          <cell r="E5225">
            <v>4890</v>
          </cell>
          <cell r="F5225" t="str">
            <v>A2-S02</v>
          </cell>
          <cell r="G5225" t="str">
            <v xml:space="preserve">Side rail  - Đố hông </v>
          </cell>
          <cell r="H5225" t="str">
            <v>MDF - 18 x 1830 x 2440mm [CARB P2 Compliant]</v>
          </cell>
          <cell r="I5225">
            <v>40</v>
          </cell>
        </row>
        <row r="5226">
          <cell r="A5226" t="str">
            <v>B558170/A</v>
          </cell>
          <cell r="B5226" t="str">
            <v>RH5574M113</v>
          </cell>
          <cell r="C5226">
            <v>10</v>
          </cell>
          <cell r="D5226">
            <v>489</v>
          </cell>
          <cell r="E5226">
            <v>4890</v>
          </cell>
          <cell r="F5226" t="str">
            <v>A3-S01</v>
          </cell>
          <cell r="G5226" t="str">
            <v>Front Bottom Rail  - Đố đáy trước</v>
          </cell>
          <cell r="H5226" t="str">
            <v>Wood EU Beech - Straight/Waving Edged ABC, 2 COM - T32mm x W100mm up x L1.8m up</v>
          </cell>
          <cell r="I5226">
            <v>20</v>
          </cell>
        </row>
        <row r="5227">
          <cell r="A5227" t="str">
            <v>B558170/A</v>
          </cell>
          <cell r="B5227" t="str">
            <v>RH5574M113</v>
          </cell>
          <cell r="C5227">
            <v>10</v>
          </cell>
          <cell r="D5227">
            <v>489</v>
          </cell>
          <cell r="E5227">
            <v>4890</v>
          </cell>
          <cell r="F5227" t="str">
            <v>A3-S02</v>
          </cell>
          <cell r="G5227" t="str">
            <v>Side bottom rail - Đố hông dưới</v>
          </cell>
          <cell r="H5227" t="str">
            <v>Wood EU Beech - Straight/Waving Edged ABC, 2 COM - T32mm x W100mm up x L1.8m up</v>
          </cell>
          <cell r="I5227">
            <v>20</v>
          </cell>
        </row>
        <row r="5228">
          <cell r="A5228" t="str">
            <v>B558170/A</v>
          </cell>
          <cell r="B5228" t="str">
            <v>RH5574M113</v>
          </cell>
          <cell r="C5228">
            <v>10</v>
          </cell>
          <cell r="D5228">
            <v>489</v>
          </cell>
          <cell r="E5228">
            <v>4890</v>
          </cell>
          <cell r="F5228" t="str">
            <v>A4-S01</v>
          </cell>
          <cell r="G5228" t="str">
            <v xml:space="preserve">Drawer front - Mặt hộc kéo </v>
          </cell>
          <cell r="H5228" t="str">
            <v>MDF Veneer</v>
          </cell>
          <cell r="I5228">
            <v>10</v>
          </cell>
        </row>
        <row r="5229">
          <cell r="A5229" t="str">
            <v>B558170/A</v>
          </cell>
          <cell r="B5229" t="str">
            <v>RH5574M113</v>
          </cell>
          <cell r="C5229">
            <v>10</v>
          </cell>
          <cell r="D5229">
            <v>489</v>
          </cell>
          <cell r="E5229">
            <v>4890</v>
          </cell>
          <cell r="F5229" t="str">
            <v>A4-S02</v>
          </cell>
          <cell r="G5229" t="str">
            <v xml:space="preserve">Drawer front 1 - Mặt hộc kéo </v>
          </cell>
          <cell r="H5229" t="str">
            <v>MDF-N - 12 x 1220 x 2440mm, Veneer Poplar Rotary 0.45mm Both Faces [CARB P2 Compliant]</v>
          </cell>
          <cell r="I5229">
            <v>10</v>
          </cell>
        </row>
        <row r="5230">
          <cell r="A5230" t="str">
            <v>B558170/A</v>
          </cell>
          <cell r="B5230" t="str">
            <v>RH5574M113</v>
          </cell>
          <cell r="C5230">
            <v>10</v>
          </cell>
          <cell r="D5230">
            <v>489</v>
          </cell>
          <cell r="E5230">
            <v>4890</v>
          </cell>
          <cell r="F5230" t="str">
            <v>A4-S03</v>
          </cell>
          <cell r="G5230" t="str">
            <v>Drawer back - Hậu hộc kéo</v>
          </cell>
          <cell r="H5230" t="str">
            <v>MDF-N - 12 x 1220 x 2440mm, Veneer Poplar Rotary 0.45mm Both Faces [CARB P2 Compliant]</v>
          </cell>
          <cell r="I5230">
            <v>10</v>
          </cell>
        </row>
        <row r="5231">
          <cell r="A5231" t="str">
            <v>B558170/A</v>
          </cell>
          <cell r="B5231" t="str">
            <v>RH5574M113</v>
          </cell>
          <cell r="C5231">
            <v>10</v>
          </cell>
          <cell r="D5231">
            <v>489</v>
          </cell>
          <cell r="E5231">
            <v>4890</v>
          </cell>
          <cell r="F5231" t="str">
            <v>A4-S04</v>
          </cell>
          <cell r="G5231" t="str">
            <v>Drawer side - Hông hộc kéo</v>
          </cell>
          <cell r="H5231" t="str">
            <v>MDF-N - 12 x 1220 x 2440mm, Veneer Poplar Rotary 0.45mm Both Faces [CARB P2 Compliant]</v>
          </cell>
          <cell r="I5231">
            <v>20</v>
          </cell>
        </row>
        <row r="5232">
          <cell r="A5232" t="str">
            <v>B558170/A</v>
          </cell>
          <cell r="B5232" t="str">
            <v>RH5574M113</v>
          </cell>
          <cell r="C5232">
            <v>10</v>
          </cell>
          <cell r="D5232">
            <v>489</v>
          </cell>
          <cell r="E5232">
            <v>4890</v>
          </cell>
          <cell r="F5232" t="str">
            <v>A4-S05</v>
          </cell>
          <cell r="G5232" t="str">
            <v>Drawer bottom  - Đáy hộc kéo</v>
          </cell>
          <cell r="H5232" t="str">
            <v>MDF - 06 x 1220 x 2440mm, Veneer Poplar 0.42mm + Veneer Engineering 0.3mm [CARB P2 Compliant]</v>
          </cell>
          <cell r="I5232">
            <v>30</v>
          </cell>
        </row>
        <row r="5233">
          <cell r="A5233" t="str">
            <v>B558170/A</v>
          </cell>
          <cell r="B5233" t="str">
            <v>RH5574M113</v>
          </cell>
          <cell r="C5233">
            <v>10</v>
          </cell>
          <cell r="D5233">
            <v>489</v>
          </cell>
          <cell r="E5233">
            <v>4890</v>
          </cell>
          <cell r="F5233" t="str">
            <v>A4-S06</v>
          </cell>
          <cell r="G5233" t="str">
            <v>Patching moulding - Chỉ đắp</v>
          </cell>
          <cell r="H5233" t="str">
            <v>Beech off cut</v>
          </cell>
          <cell r="I5233">
            <v>60</v>
          </cell>
        </row>
        <row r="5234">
          <cell r="A5234" t="str">
            <v>B558170/A</v>
          </cell>
          <cell r="B5234" t="str">
            <v>RH5574M113</v>
          </cell>
          <cell r="C5234">
            <v>10</v>
          </cell>
          <cell r="D5234">
            <v>489</v>
          </cell>
          <cell r="E5234">
            <v>4890</v>
          </cell>
          <cell r="F5234" t="str">
            <v>A5-S01</v>
          </cell>
          <cell r="G5234" t="str">
            <v xml:space="preserve">Drawer front - Mặt hộc kéo </v>
          </cell>
          <cell r="H5234" t="str">
            <v>MDF Veneer</v>
          </cell>
          <cell r="I5234">
            <v>20</v>
          </cell>
        </row>
        <row r="5235">
          <cell r="A5235" t="str">
            <v>B558170/A</v>
          </cell>
          <cell r="B5235" t="str">
            <v>RH5574M113</v>
          </cell>
          <cell r="C5235">
            <v>10</v>
          </cell>
          <cell r="D5235">
            <v>489</v>
          </cell>
          <cell r="E5235">
            <v>4890</v>
          </cell>
          <cell r="F5235" t="str">
            <v>A5-S02</v>
          </cell>
          <cell r="G5235" t="str">
            <v xml:space="preserve">Drawer front 1 - Mặt hộc kéo </v>
          </cell>
          <cell r="H5235" t="str">
            <v>MDF-N - 12 x 1220 x 2440mm, Veneer Poplar Rotary 0.45mm Both Faces [CARB P2 Compliant]</v>
          </cell>
          <cell r="I5235">
            <v>20</v>
          </cell>
        </row>
        <row r="5236">
          <cell r="A5236" t="str">
            <v>B558170/A</v>
          </cell>
          <cell r="B5236" t="str">
            <v>RH5574M113</v>
          </cell>
          <cell r="C5236">
            <v>10</v>
          </cell>
          <cell r="D5236">
            <v>489</v>
          </cell>
          <cell r="E5236">
            <v>4890</v>
          </cell>
          <cell r="F5236" t="str">
            <v>A5-S03</v>
          </cell>
          <cell r="G5236" t="str">
            <v>Drawer back - Hậu hộc kéo</v>
          </cell>
          <cell r="H5236" t="str">
            <v>MDF-N - 12 x 1220 x 2440mm, Veneer Poplar Rotary 0.45mm Both Faces [CARB P2 Compliant]</v>
          </cell>
          <cell r="I5236">
            <v>20</v>
          </cell>
        </row>
        <row r="5237">
          <cell r="A5237" t="str">
            <v>B558170/A</v>
          </cell>
          <cell r="B5237" t="str">
            <v>RH5574M113</v>
          </cell>
          <cell r="C5237">
            <v>10</v>
          </cell>
          <cell r="D5237">
            <v>489</v>
          </cell>
          <cell r="E5237">
            <v>4890</v>
          </cell>
          <cell r="F5237" t="str">
            <v>A5-S04</v>
          </cell>
          <cell r="G5237" t="str">
            <v>Drawer side - Hông hộc kéo</v>
          </cell>
          <cell r="H5237" t="str">
            <v>MDF-N - 12 x 1220 x 2440mm, Veneer Poplar Rotary 0.45mm Both Faces [CARB P2 Compliant]</v>
          </cell>
          <cell r="I5237">
            <v>40</v>
          </cell>
        </row>
        <row r="5238">
          <cell r="A5238" t="str">
            <v>B558170/A</v>
          </cell>
          <cell r="B5238" t="str">
            <v>RH5574M113</v>
          </cell>
          <cell r="C5238">
            <v>10</v>
          </cell>
          <cell r="D5238">
            <v>489</v>
          </cell>
          <cell r="E5238">
            <v>4890</v>
          </cell>
          <cell r="F5238" t="str">
            <v>P01</v>
          </cell>
          <cell r="G5238" t="str">
            <v>Front rail  - Đố tiền</v>
          </cell>
          <cell r="H5238" t="str">
            <v>Wood EU Beech - Straight/Waving Edged ABC, 2 COM - T32mm x W100mm up x L1.8m up</v>
          </cell>
          <cell r="I5238">
            <v>20</v>
          </cell>
        </row>
        <row r="5239">
          <cell r="A5239" t="str">
            <v>B558170/A</v>
          </cell>
          <cell r="B5239" t="str">
            <v>RH5574M113</v>
          </cell>
          <cell r="C5239">
            <v>10</v>
          </cell>
          <cell r="D5239">
            <v>489</v>
          </cell>
          <cell r="E5239">
            <v>4890</v>
          </cell>
          <cell r="F5239" t="str">
            <v>P02</v>
          </cell>
          <cell r="G5239" t="str">
            <v>Bottom panel - Ván đáy</v>
          </cell>
          <cell r="H5239" t="str">
            <v>MDF - 18 x 1830 x 2440mm [CARB P2 Compliant]</v>
          </cell>
          <cell r="I5239">
            <v>10</v>
          </cell>
        </row>
        <row r="5240">
          <cell r="A5240" t="str">
            <v>B558170/A</v>
          </cell>
          <cell r="B5240" t="str">
            <v>RH5574M113</v>
          </cell>
          <cell r="C5240">
            <v>10</v>
          </cell>
          <cell r="D5240">
            <v>489</v>
          </cell>
          <cell r="E5240">
            <v>4890</v>
          </cell>
          <cell r="F5240" t="str">
            <v>P03</v>
          </cell>
          <cell r="G5240" t="str">
            <v>Fixed Shelf  - Kệ bắt chết</v>
          </cell>
          <cell r="H5240" t="str">
            <v>MDF - 18 x 1830 x 2440mm [CARB P2 Compliant]</v>
          </cell>
          <cell r="I5240">
            <v>10</v>
          </cell>
        </row>
        <row r="5241">
          <cell r="A5241" t="str">
            <v>B558170/A</v>
          </cell>
          <cell r="B5241" t="str">
            <v>RH5574M113</v>
          </cell>
          <cell r="C5241">
            <v>10</v>
          </cell>
          <cell r="D5241">
            <v>489</v>
          </cell>
          <cell r="E5241">
            <v>4890</v>
          </cell>
          <cell r="F5241" t="str">
            <v>P04</v>
          </cell>
          <cell r="G5241" t="str">
            <v>back rail - Đố hậu</v>
          </cell>
          <cell r="H5241" t="str">
            <v>Standard Wood - ALDER/ASPEN/LENGA/US POPLAR, 2 COM - T25 W120mm+ L2m+</v>
          </cell>
          <cell r="I5241">
            <v>10</v>
          </cell>
        </row>
        <row r="5242">
          <cell r="A5242" t="str">
            <v>B558170/A</v>
          </cell>
          <cell r="B5242" t="str">
            <v>RH5574M113</v>
          </cell>
          <cell r="C5242">
            <v>10</v>
          </cell>
          <cell r="D5242">
            <v>489</v>
          </cell>
          <cell r="E5242">
            <v>4890</v>
          </cell>
          <cell r="F5242" t="str">
            <v>P05</v>
          </cell>
          <cell r="G5242" t="str">
            <v>Back bottom rail - Đố hậu đáy</v>
          </cell>
          <cell r="H5242" t="str">
            <v>Standard Wood - ALDER/ASPEN/LENGA/US POPLAR, 2 COM - T25 W120mm+ L2m+</v>
          </cell>
          <cell r="I5242">
            <v>10</v>
          </cell>
        </row>
        <row r="5243">
          <cell r="A5243" t="str">
            <v>B558170/A</v>
          </cell>
          <cell r="B5243" t="str">
            <v>RH5574M113</v>
          </cell>
          <cell r="C5243">
            <v>10</v>
          </cell>
          <cell r="D5243">
            <v>489</v>
          </cell>
          <cell r="E5243">
            <v>4890</v>
          </cell>
          <cell r="F5243" t="str">
            <v>P06</v>
          </cell>
          <cell r="G5243" t="str">
            <v>Adjustable Shelf  - Kệ di động</v>
          </cell>
          <cell r="H5243" t="str">
            <v>MDF - 25 x 1830 x 2440mm [CARB P2 Compliant]</v>
          </cell>
          <cell r="I5243">
            <v>20</v>
          </cell>
        </row>
        <row r="5244">
          <cell r="A5244" t="str">
            <v>B558170/A</v>
          </cell>
          <cell r="B5244" t="str">
            <v>RH5574M113</v>
          </cell>
          <cell r="C5244">
            <v>10</v>
          </cell>
          <cell r="D5244">
            <v>489</v>
          </cell>
          <cell r="E5244">
            <v>4890</v>
          </cell>
          <cell r="F5244" t="str">
            <v>P07</v>
          </cell>
          <cell r="G5244" t="str">
            <v>Spline - Lưỡi gà</v>
          </cell>
          <cell r="H5244" t="str">
            <v>Plywood LVD - 09 x 1220 x 2440mm, Bleached Poplar Veneer Both Sides [CARB P2 Compliant]</v>
          </cell>
          <cell r="I5244">
            <v>20</v>
          </cell>
        </row>
        <row r="5245">
          <cell r="A5245" t="str">
            <v>B558170/A</v>
          </cell>
          <cell r="B5245" t="str">
            <v>RH5574M113</v>
          </cell>
          <cell r="C5245">
            <v>10</v>
          </cell>
          <cell r="D5245">
            <v>489</v>
          </cell>
          <cell r="E5245">
            <v>4890</v>
          </cell>
          <cell r="F5245" t="str">
            <v>P08</v>
          </cell>
          <cell r="G5245" t="str">
            <v>Back panel - Ván hậu</v>
          </cell>
          <cell r="H5245" t="str">
            <v>MDF Veneer</v>
          </cell>
          <cell r="I5245">
            <v>10</v>
          </cell>
        </row>
        <row r="5246">
          <cell r="A5246" t="str">
            <v>B558170/A</v>
          </cell>
          <cell r="B5246" t="str">
            <v>RH5574M113</v>
          </cell>
          <cell r="C5246">
            <v>10</v>
          </cell>
          <cell r="D5246">
            <v>489</v>
          </cell>
          <cell r="E5246">
            <v>4890</v>
          </cell>
          <cell r="F5246" t="str">
            <v>P09</v>
          </cell>
          <cell r="G5246" t="str">
            <v>Cleat - Bọ gỗ</v>
          </cell>
          <cell r="H5246" t="str">
            <v>Poplar off cut</v>
          </cell>
          <cell r="I5246">
            <v>20</v>
          </cell>
        </row>
        <row r="5247">
          <cell r="A5247" t="str">
            <v>B558170/A</v>
          </cell>
          <cell r="B5247" t="str">
            <v>RH5574M113</v>
          </cell>
          <cell r="C5247">
            <v>10</v>
          </cell>
          <cell r="D5247">
            <v>489</v>
          </cell>
          <cell r="E5247">
            <v>4890</v>
          </cell>
          <cell r="F5247" t="str">
            <v>P09-1</v>
          </cell>
          <cell r="G5247" t="str">
            <v>Cleat - Bọ gỗ</v>
          </cell>
          <cell r="H5247" t="str">
            <v>Wood US Poplar - Straight Edged, 2 COM - T25mm x W100mm Up x L1.8m Up</v>
          </cell>
          <cell r="I5247">
            <v>20</v>
          </cell>
        </row>
        <row r="5248">
          <cell r="A5248" t="str">
            <v>B558170/A</v>
          </cell>
          <cell r="B5248" t="str">
            <v>RH5574M113</v>
          </cell>
          <cell r="C5248">
            <v>10</v>
          </cell>
          <cell r="D5248">
            <v>489</v>
          </cell>
          <cell r="E5248">
            <v>4890</v>
          </cell>
          <cell r="F5248" t="str">
            <v>P10</v>
          </cell>
          <cell r="G5248" t="str">
            <v>Front rail  - Đố tiền</v>
          </cell>
          <cell r="H5248" t="str">
            <v>Wood EU Beech - Straight/Waving Edged ABC, 2 COM - T32mm x W100mm up x L1.8m up</v>
          </cell>
          <cell r="I5248">
            <v>20</v>
          </cell>
        </row>
        <row r="5249">
          <cell r="A5249" t="str">
            <v>B558170/A</v>
          </cell>
          <cell r="B5249" t="str">
            <v>RH5574M113</v>
          </cell>
          <cell r="C5249">
            <v>10</v>
          </cell>
          <cell r="D5249">
            <v>489</v>
          </cell>
          <cell r="E5249">
            <v>4890</v>
          </cell>
          <cell r="F5249" t="str">
            <v>P11</v>
          </cell>
          <cell r="G5249" t="str">
            <v>back rail - Đố hậu</v>
          </cell>
          <cell r="H5249" t="str">
            <v>Standard Wood - ALDER/ASPEN/LENGA/US POPLAR, 2 COM - T25 W120mm+ L2m+</v>
          </cell>
          <cell r="I5249">
            <v>10</v>
          </cell>
        </row>
        <row r="5250">
          <cell r="A5250" t="str">
            <v>B558170/A</v>
          </cell>
          <cell r="B5250" t="str">
            <v>RH5574M113</v>
          </cell>
          <cell r="C5250">
            <v>10</v>
          </cell>
          <cell r="D5250">
            <v>489</v>
          </cell>
          <cell r="E5250">
            <v>4890</v>
          </cell>
          <cell r="F5250" t="str">
            <v>P12</v>
          </cell>
          <cell r="G5250" t="str">
            <v>Drawer stop - Dừng hộc</v>
          </cell>
          <cell r="H5250" t="str">
            <v>Poplar off cut</v>
          </cell>
          <cell r="I5250">
            <v>60</v>
          </cell>
        </row>
        <row r="5251">
          <cell r="A5251" t="str">
            <v>B558173/A</v>
          </cell>
          <cell r="B5251" t="str">
            <v>RH5574M152</v>
          </cell>
          <cell r="C5251">
            <v>5</v>
          </cell>
          <cell r="D5251">
            <v>489</v>
          </cell>
          <cell r="E5251">
            <v>2445</v>
          </cell>
          <cell r="F5251" t="str">
            <v>A1</v>
          </cell>
          <cell r="G5251" t="str">
            <v>Top Frame - Khung nóc</v>
          </cell>
          <cell r="H5251" t="str">
            <v>Pre-Assembly</v>
          </cell>
          <cell r="I5251">
            <v>5</v>
          </cell>
        </row>
        <row r="5252">
          <cell r="A5252" t="str">
            <v>B558173/A</v>
          </cell>
          <cell r="B5252" t="str">
            <v>RH5574M152</v>
          </cell>
          <cell r="C5252">
            <v>5</v>
          </cell>
          <cell r="D5252">
            <v>489</v>
          </cell>
          <cell r="E5252">
            <v>2445</v>
          </cell>
          <cell r="F5252" t="str">
            <v>A1-S01</v>
          </cell>
          <cell r="G5252" t="str">
            <v xml:space="preserve">Panel - Ván </v>
          </cell>
          <cell r="H5252" t="str">
            <v>MDF - 12 x 1830 x 2440mm [CARB P2 Compliant]</v>
          </cell>
          <cell r="I5252">
            <v>10</v>
          </cell>
        </row>
        <row r="5253">
          <cell r="A5253" t="str">
            <v>B558173/A</v>
          </cell>
          <cell r="B5253" t="str">
            <v>RH5574M152</v>
          </cell>
          <cell r="C5253">
            <v>5</v>
          </cell>
          <cell r="D5253">
            <v>489</v>
          </cell>
          <cell r="E5253">
            <v>2445</v>
          </cell>
          <cell r="F5253" t="str">
            <v>A1-S02</v>
          </cell>
          <cell r="G5253" t="str">
            <v xml:space="preserve">Side rail  - Đố hông </v>
          </cell>
          <cell r="H5253" t="str">
            <v>MDF - 18 x 1830 x 2440mm [CARB P2 Compliant]</v>
          </cell>
          <cell r="I5253">
            <v>10</v>
          </cell>
        </row>
        <row r="5254">
          <cell r="A5254" t="str">
            <v>B558173/A</v>
          </cell>
          <cell r="B5254" t="str">
            <v>RH5574M152</v>
          </cell>
          <cell r="C5254">
            <v>5</v>
          </cell>
          <cell r="D5254">
            <v>489</v>
          </cell>
          <cell r="E5254">
            <v>2445</v>
          </cell>
          <cell r="F5254" t="str">
            <v>A1-S03</v>
          </cell>
          <cell r="G5254" t="str">
            <v>Center rail - Đố giữa</v>
          </cell>
          <cell r="H5254" t="str">
            <v>MDF - 18 x 1830 x 2440mm [CARB P2 Compliant]</v>
          </cell>
          <cell r="I5254">
            <v>75</v>
          </cell>
        </row>
        <row r="5255">
          <cell r="A5255" t="str">
            <v>B558173/A</v>
          </cell>
          <cell r="B5255" t="str">
            <v>RH5574M152</v>
          </cell>
          <cell r="C5255">
            <v>5</v>
          </cell>
          <cell r="D5255">
            <v>489</v>
          </cell>
          <cell r="E5255">
            <v>2445</v>
          </cell>
          <cell r="F5255" t="str">
            <v>A2</v>
          </cell>
          <cell r="G5255" t="str">
            <v>Side Frame - Khung hông</v>
          </cell>
          <cell r="H5255" t="str">
            <v>Pre-Assembly</v>
          </cell>
          <cell r="I5255">
            <v>10</v>
          </cell>
        </row>
        <row r="5256">
          <cell r="A5256" t="str">
            <v>B558173/A</v>
          </cell>
          <cell r="B5256" t="str">
            <v>RH5574M152</v>
          </cell>
          <cell r="C5256">
            <v>5</v>
          </cell>
          <cell r="D5256">
            <v>489</v>
          </cell>
          <cell r="E5256">
            <v>2445</v>
          </cell>
          <cell r="F5256" t="str">
            <v>A2-S01</v>
          </cell>
          <cell r="G5256" t="str">
            <v xml:space="preserve">Side panel  - Ván hông </v>
          </cell>
          <cell r="H5256" t="str">
            <v>MDF - 12 x 1830 x 2440mm [CARB P2 Compliant]</v>
          </cell>
          <cell r="I5256">
            <v>20</v>
          </cell>
        </row>
        <row r="5257">
          <cell r="A5257" t="str">
            <v>B558173/A</v>
          </cell>
          <cell r="B5257" t="str">
            <v>RH5574M152</v>
          </cell>
          <cell r="C5257">
            <v>5</v>
          </cell>
          <cell r="D5257">
            <v>489</v>
          </cell>
          <cell r="E5257">
            <v>2445</v>
          </cell>
          <cell r="F5257" t="str">
            <v>A2-S02</v>
          </cell>
          <cell r="G5257" t="str">
            <v xml:space="preserve">Side rail  - Đố hông </v>
          </cell>
          <cell r="H5257" t="str">
            <v>MDF - 18 x 1830 x 2440mm [CARB P2 Compliant]</v>
          </cell>
          <cell r="I5257">
            <v>20</v>
          </cell>
        </row>
        <row r="5258">
          <cell r="A5258" t="str">
            <v>B558173/A</v>
          </cell>
          <cell r="B5258" t="str">
            <v>RH5574M152</v>
          </cell>
          <cell r="C5258">
            <v>5</v>
          </cell>
          <cell r="D5258">
            <v>489</v>
          </cell>
          <cell r="E5258">
            <v>2445</v>
          </cell>
          <cell r="F5258" t="str">
            <v>A3-S01</v>
          </cell>
          <cell r="G5258" t="str">
            <v>Front Bottom Rail  - Đố đáy trước</v>
          </cell>
          <cell r="H5258" t="str">
            <v>Wood EU Beech - Straight/Waving Edged ABC, 2 COM - T32mm x W100mm up x L1.8m up</v>
          </cell>
          <cell r="I5258">
            <v>10</v>
          </cell>
        </row>
        <row r="5259">
          <cell r="A5259" t="str">
            <v>B558173/A</v>
          </cell>
          <cell r="B5259" t="str">
            <v>RH5574M152</v>
          </cell>
          <cell r="C5259">
            <v>5</v>
          </cell>
          <cell r="D5259">
            <v>489</v>
          </cell>
          <cell r="E5259">
            <v>2445</v>
          </cell>
          <cell r="F5259" t="str">
            <v>A3-S02</v>
          </cell>
          <cell r="G5259" t="str">
            <v>Side bottom rail - Đố hông dưới</v>
          </cell>
          <cell r="H5259" t="str">
            <v>Wood EU Beech - Straight/Waving Edged ABC, 2 COM - T32mm x W100mm up x L1.8m up</v>
          </cell>
          <cell r="I5259">
            <v>10</v>
          </cell>
        </row>
        <row r="5260">
          <cell r="A5260" t="str">
            <v>B558173/A</v>
          </cell>
          <cell r="B5260" t="str">
            <v>RH5574M152</v>
          </cell>
          <cell r="C5260">
            <v>5</v>
          </cell>
          <cell r="D5260">
            <v>489</v>
          </cell>
          <cell r="E5260">
            <v>2445</v>
          </cell>
          <cell r="F5260" t="str">
            <v>A4-S01</v>
          </cell>
          <cell r="G5260" t="str">
            <v xml:space="preserve">Drawer front - Mặt hộc kéo </v>
          </cell>
          <cell r="H5260" t="str">
            <v>MDF Veneer</v>
          </cell>
          <cell r="I5260">
            <v>5</v>
          </cell>
        </row>
        <row r="5261">
          <cell r="A5261" t="str">
            <v>B558173/A</v>
          </cell>
          <cell r="B5261" t="str">
            <v>RH5574M152</v>
          </cell>
          <cell r="C5261">
            <v>5</v>
          </cell>
          <cell r="D5261">
            <v>489</v>
          </cell>
          <cell r="E5261">
            <v>2445</v>
          </cell>
          <cell r="F5261" t="str">
            <v>A4-S02</v>
          </cell>
          <cell r="G5261" t="str">
            <v xml:space="preserve">Drawer front 1 - Mặt hộc kéo </v>
          </cell>
          <cell r="H5261" t="str">
            <v>MDF-N - 12 x 1220 x 2440mm, Veneer Poplar Rotary 0.45mm Both Faces [CARB P2 Compliant]</v>
          </cell>
          <cell r="I5261">
            <v>5</v>
          </cell>
        </row>
        <row r="5262">
          <cell r="A5262" t="str">
            <v>B558173/A</v>
          </cell>
          <cell r="B5262" t="str">
            <v>RH5574M152</v>
          </cell>
          <cell r="C5262">
            <v>5</v>
          </cell>
          <cell r="D5262">
            <v>489</v>
          </cell>
          <cell r="E5262">
            <v>2445</v>
          </cell>
          <cell r="F5262" t="str">
            <v>A4-S03</v>
          </cell>
          <cell r="G5262" t="str">
            <v>Drawer back - Hậu hộc kéo</v>
          </cell>
          <cell r="H5262" t="str">
            <v>MDF-N - 12 x 1220 x 2440mm, Veneer Poplar Rotary 0.45mm Both Faces [CARB P2 Compliant]</v>
          </cell>
          <cell r="I5262">
            <v>5</v>
          </cell>
        </row>
        <row r="5263">
          <cell r="A5263" t="str">
            <v>B558173/A</v>
          </cell>
          <cell r="B5263" t="str">
            <v>RH5574M152</v>
          </cell>
          <cell r="C5263">
            <v>5</v>
          </cell>
          <cell r="D5263">
            <v>489</v>
          </cell>
          <cell r="E5263">
            <v>2445</v>
          </cell>
          <cell r="F5263" t="str">
            <v>A4-S04</v>
          </cell>
          <cell r="G5263" t="str">
            <v>Drawer side - Hông hộc kéo</v>
          </cell>
          <cell r="H5263" t="str">
            <v>MDF-N - 12 x 1220 x 2440mm, Veneer Poplar Rotary 0.45mm Both Faces [CARB P2 Compliant]</v>
          </cell>
          <cell r="I5263">
            <v>10</v>
          </cell>
        </row>
        <row r="5264">
          <cell r="A5264" t="str">
            <v>B558173/A</v>
          </cell>
          <cell r="B5264" t="str">
            <v>RH5574M152</v>
          </cell>
          <cell r="C5264">
            <v>5</v>
          </cell>
          <cell r="D5264">
            <v>489</v>
          </cell>
          <cell r="E5264">
            <v>2445</v>
          </cell>
          <cell r="F5264" t="str">
            <v>A4-S05</v>
          </cell>
          <cell r="G5264" t="str">
            <v>Drawer bottom  - Đáy hộc kéo</v>
          </cell>
          <cell r="H5264" t="str">
            <v>MDF - 06 x 1220 x 2440mm, Veneer Poplar 0.42mm + Veneer Engineering 0.3mm [CARB P2 Compliant]</v>
          </cell>
          <cell r="I5264">
            <v>15</v>
          </cell>
        </row>
        <row r="5265">
          <cell r="A5265" t="str">
            <v>B558173/A</v>
          </cell>
          <cell r="B5265" t="str">
            <v>RH5574M152</v>
          </cell>
          <cell r="C5265">
            <v>5</v>
          </cell>
          <cell r="D5265">
            <v>489</v>
          </cell>
          <cell r="E5265">
            <v>2445</v>
          </cell>
          <cell r="F5265" t="str">
            <v>A4-S06</v>
          </cell>
          <cell r="G5265" t="str">
            <v>Patching moulding - Chỉ đắp</v>
          </cell>
          <cell r="H5265" t="str">
            <v>Beech off cut</v>
          </cell>
          <cell r="I5265">
            <v>30</v>
          </cell>
        </row>
        <row r="5266">
          <cell r="A5266" t="str">
            <v>B558173/A</v>
          </cell>
          <cell r="B5266" t="str">
            <v>RH5574M152</v>
          </cell>
          <cell r="C5266">
            <v>5</v>
          </cell>
          <cell r="D5266">
            <v>489</v>
          </cell>
          <cell r="E5266">
            <v>2445</v>
          </cell>
          <cell r="F5266" t="str">
            <v>A5-S01</v>
          </cell>
          <cell r="G5266" t="str">
            <v xml:space="preserve">Drawer front - Mặt hộc kéo </v>
          </cell>
          <cell r="H5266" t="str">
            <v>MDF Veneer</v>
          </cell>
          <cell r="I5266">
            <v>10</v>
          </cell>
        </row>
        <row r="5267">
          <cell r="A5267" t="str">
            <v>B558173/A</v>
          </cell>
          <cell r="B5267" t="str">
            <v>RH5574M152</v>
          </cell>
          <cell r="C5267">
            <v>5</v>
          </cell>
          <cell r="D5267">
            <v>489</v>
          </cell>
          <cell r="E5267">
            <v>2445</v>
          </cell>
          <cell r="F5267" t="str">
            <v>A5-S02</v>
          </cell>
          <cell r="G5267" t="str">
            <v xml:space="preserve">Drawer front 1 - Mặt hộc kéo </v>
          </cell>
          <cell r="H5267" t="str">
            <v>MDF-N - 12 x 1220 x 2440mm, Veneer Poplar Rotary 0.45mm Both Faces [CARB P2 Compliant]</v>
          </cell>
          <cell r="I5267">
            <v>10</v>
          </cell>
        </row>
        <row r="5268">
          <cell r="A5268" t="str">
            <v>B558173/A</v>
          </cell>
          <cell r="B5268" t="str">
            <v>RH5574M152</v>
          </cell>
          <cell r="C5268">
            <v>5</v>
          </cell>
          <cell r="D5268">
            <v>489</v>
          </cell>
          <cell r="E5268">
            <v>2445</v>
          </cell>
          <cell r="F5268" t="str">
            <v>A5-S03</v>
          </cell>
          <cell r="G5268" t="str">
            <v>Drawer back - Hậu hộc kéo</v>
          </cell>
          <cell r="H5268" t="str">
            <v>MDF-N - 12 x 1220 x 2440mm, Veneer Poplar Rotary 0.45mm Both Faces [CARB P2 Compliant]</v>
          </cell>
          <cell r="I5268">
            <v>10</v>
          </cell>
        </row>
        <row r="5269">
          <cell r="A5269" t="str">
            <v>B558173/A</v>
          </cell>
          <cell r="B5269" t="str">
            <v>RH5574M152</v>
          </cell>
          <cell r="C5269">
            <v>5</v>
          </cell>
          <cell r="D5269">
            <v>489</v>
          </cell>
          <cell r="E5269">
            <v>2445</v>
          </cell>
          <cell r="F5269" t="str">
            <v>A5-S04</v>
          </cell>
          <cell r="G5269" t="str">
            <v>Drawer side - Hông hộc kéo</v>
          </cell>
          <cell r="H5269" t="str">
            <v>MDF-N - 12 x 1220 x 2440mm, Veneer Poplar Rotary 0.45mm Both Faces [CARB P2 Compliant]</v>
          </cell>
          <cell r="I5269">
            <v>20</v>
          </cell>
        </row>
        <row r="5270">
          <cell r="A5270" t="str">
            <v>B558173/A</v>
          </cell>
          <cell r="B5270" t="str">
            <v>RH5574M152</v>
          </cell>
          <cell r="C5270">
            <v>5</v>
          </cell>
          <cell r="D5270">
            <v>489</v>
          </cell>
          <cell r="E5270">
            <v>2445</v>
          </cell>
          <cell r="F5270" t="str">
            <v>P01</v>
          </cell>
          <cell r="G5270" t="str">
            <v>Front rail  - Đố tiền</v>
          </cell>
          <cell r="H5270" t="str">
            <v>Wood EU Beech - Straight/Waving Edged ABC, 2 COM - T32mm x W100mm up x L1.8m up</v>
          </cell>
          <cell r="I5270">
            <v>10</v>
          </cell>
        </row>
        <row r="5271">
          <cell r="A5271" t="str">
            <v>B558173/A</v>
          </cell>
          <cell r="B5271" t="str">
            <v>RH5574M152</v>
          </cell>
          <cell r="C5271">
            <v>5</v>
          </cell>
          <cell r="D5271">
            <v>489</v>
          </cell>
          <cell r="E5271">
            <v>2445</v>
          </cell>
          <cell r="F5271" t="str">
            <v>P02</v>
          </cell>
          <cell r="G5271" t="str">
            <v>Bottom panel - Ván đáy</v>
          </cell>
          <cell r="H5271" t="str">
            <v>MDF - 18 x 1830 x 2440mm [CARB P2 Compliant]</v>
          </cell>
          <cell r="I5271">
            <v>5</v>
          </cell>
        </row>
        <row r="5272">
          <cell r="A5272" t="str">
            <v>B558173/A</v>
          </cell>
          <cell r="B5272" t="str">
            <v>RH5574M152</v>
          </cell>
          <cell r="C5272">
            <v>5</v>
          </cell>
          <cell r="D5272">
            <v>489</v>
          </cell>
          <cell r="E5272">
            <v>2445</v>
          </cell>
          <cell r="F5272" t="str">
            <v>P03</v>
          </cell>
          <cell r="G5272" t="str">
            <v>Fixed Shelf  - Kệ bắt chết</v>
          </cell>
          <cell r="H5272" t="str">
            <v>MDF - 18 x 1830 x 2440mm [CARB P2 Compliant]</v>
          </cell>
          <cell r="I5272">
            <v>5</v>
          </cell>
        </row>
        <row r="5273">
          <cell r="A5273" t="str">
            <v>B558173/A</v>
          </cell>
          <cell r="B5273" t="str">
            <v>RH5574M152</v>
          </cell>
          <cell r="C5273">
            <v>5</v>
          </cell>
          <cell r="D5273">
            <v>489</v>
          </cell>
          <cell r="E5273">
            <v>2445</v>
          </cell>
          <cell r="F5273" t="str">
            <v>P04</v>
          </cell>
          <cell r="G5273" t="str">
            <v>back rail - Đố hậu</v>
          </cell>
          <cell r="H5273" t="str">
            <v>Standard Wood - ALDER/ASPEN/LENGA/US POPLAR, 2 COM - T25 W120mm+ L2m+</v>
          </cell>
          <cell r="I5273">
            <v>5</v>
          </cell>
        </row>
        <row r="5274">
          <cell r="A5274" t="str">
            <v>B558173/A</v>
          </cell>
          <cell r="B5274" t="str">
            <v>RH5574M152</v>
          </cell>
          <cell r="C5274">
            <v>5</v>
          </cell>
          <cell r="D5274">
            <v>489</v>
          </cell>
          <cell r="E5274">
            <v>2445</v>
          </cell>
          <cell r="F5274" t="str">
            <v>P05</v>
          </cell>
          <cell r="G5274" t="str">
            <v>Back bottom rail - Đố hậu đáy</v>
          </cell>
          <cell r="H5274" t="str">
            <v>Standard Wood - ALDER/ASPEN/LENGA/US POPLAR, 2 COM - T25 W120mm+ L2m+</v>
          </cell>
          <cell r="I5274">
            <v>5</v>
          </cell>
        </row>
        <row r="5275">
          <cell r="A5275" t="str">
            <v>B558173/A</v>
          </cell>
          <cell r="B5275" t="str">
            <v>RH5574M152</v>
          </cell>
          <cell r="C5275">
            <v>5</v>
          </cell>
          <cell r="D5275">
            <v>489</v>
          </cell>
          <cell r="E5275">
            <v>2445</v>
          </cell>
          <cell r="F5275" t="str">
            <v>P06</v>
          </cell>
          <cell r="G5275" t="str">
            <v>Adjustable Shelf  - Kệ di động</v>
          </cell>
          <cell r="H5275" t="str">
            <v>MDF - 25 x 1830 x 2440mm [CARB P2 Compliant]</v>
          </cell>
          <cell r="I5275">
            <v>10</v>
          </cell>
        </row>
        <row r="5276">
          <cell r="A5276" t="str">
            <v>B558173/A</v>
          </cell>
          <cell r="B5276" t="str">
            <v>RH5574M152</v>
          </cell>
          <cell r="C5276">
            <v>5</v>
          </cell>
          <cell r="D5276">
            <v>489</v>
          </cell>
          <cell r="E5276">
            <v>2445</v>
          </cell>
          <cell r="F5276" t="str">
            <v>P07</v>
          </cell>
          <cell r="G5276" t="str">
            <v>Spline - Lưỡi gà</v>
          </cell>
          <cell r="H5276" t="str">
            <v>Plywood LVD - 09 x 1220 x 2440mm, Bleached Poplar Veneer Both Sides [CARB P2 Compliant]</v>
          </cell>
          <cell r="I5276">
            <v>10</v>
          </cell>
        </row>
        <row r="5277">
          <cell r="A5277" t="str">
            <v>B558173/A</v>
          </cell>
          <cell r="B5277" t="str">
            <v>RH5574M152</v>
          </cell>
          <cell r="C5277">
            <v>5</v>
          </cell>
          <cell r="D5277">
            <v>489</v>
          </cell>
          <cell r="E5277">
            <v>2445</v>
          </cell>
          <cell r="F5277" t="str">
            <v>P08</v>
          </cell>
          <cell r="G5277" t="str">
            <v>Back panel - Ván hậu</v>
          </cell>
          <cell r="H5277" t="str">
            <v>MDF Veneer</v>
          </cell>
          <cell r="I5277">
            <v>5</v>
          </cell>
        </row>
        <row r="5278">
          <cell r="A5278" t="str">
            <v>B558173/A</v>
          </cell>
          <cell r="B5278" t="str">
            <v>RH5574M152</v>
          </cell>
          <cell r="C5278">
            <v>5</v>
          </cell>
          <cell r="D5278">
            <v>489</v>
          </cell>
          <cell r="E5278">
            <v>2445</v>
          </cell>
          <cell r="F5278" t="str">
            <v>P09</v>
          </cell>
          <cell r="G5278" t="str">
            <v>Cleat - Bọ gỗ</v>
          </cell>
          <cell r="H5278" t="str">
            <v>Poplar off cut</v>
          </cell>
          <cell r="I5278">
            <v>10</v>
          </cell>
        </row>
        <row r="5279">
          <cell r="A5279" t="str">
            <v>B558173/A</v>
          </cell>
          <cell r="B5279" t="str">
            <v>RH5574M152</v>
          </cell>
          <cell r="C5279">
            <v>5</v>
          </cell>
          <cell r="D5279">
            <v>489</v>
          </cell>
          <cell r="E5279">
            <v>2445</v>
          </cell>
          <cell r="F5279" t="str">
            <v>P09-1</v>
          </cell>
          <cell r="G5279" t="str">
            <v>Cleat - Bọ gỗ</v>
          </cell>
          <cell r="H5279" t="str">
            <v>Wood US Poplar - Straight Edged, 2 COM - T25mm x W100mm Up x L1.8m Up</v>
          </cell>
          <cell r="I5279">
            <v>10</v>
          </cell>
        </row>
        <row r="5280">
          <cell r="A5280" t="str">
            <v>B558173/A</v>
          </cell>
          <cell r="B5280" t="str">
            <v>RH5574M152</v>
          </cell>
          <cell r="C5280">
            <v>5</v>
          </cell>
          <cell r="D5280">
            <v>489</v>
          </cell>
          <cell r="E5280">
            <v>2445</v>
          </cell>
          <cell r="F5280" t="str">
            <v>P10</v>
          </cell>
          <cell r="G5280" t="str">
            <v>Front rail  - Đố tiền</v>
          </cell>
          <cell r="H5280" t="str">
            <v>Wood EU Beech - Straight/Waving Edged ABC, 2 COM - T32mm x W100mm up x L1.8m up</v>
          </cell>
          <cell r="I5280">
            <v>10</v>
          </cell>
        </row>
        <row r="5281">
          <cell r="A5281" t="str">
            <v>B558173/A</v>
          </cell>
          <cell r="B5281" t="str">
            <v>RH5574M152</v>
          </cell>
          <cell r="C5281">
            <v>5</v>
          </cell>
          <cell r="D5281">
            <v>489</v>
          </cell>
          <cell r="E5281">
            <v>2445</v>
          </cell>
          <cell r="F5281" t="str">
            <v>P11</v>
          </cell>
          <cell r="G5281" t="str">
            <v>back rail - Đố hậu</v>
          </cell>
          <cell r="H5281" t="str">
            <v>Standard Wood - ALDER/ASPEN/LENGA/US POPLAR, 2 COM - T25 W120mm+ L2m+</v>
          </cell>
          <cell r="I5281">
            <v>5</v>
          </cell>
        </row>
        <row r="5282">
          <cell r="A5282" t="str">
            <v>B558173/A</v>
          </cell>
          <cell r="B5282" t="str">
            <v>RH5574M152</v>
          </cell>
          <cell r="C5282">
            <v>5</v>
          </cell>
          <cell r="D5282">
            <v>489</v>
          </cell>
          <cell r="E5282">
            <v>2445</v>
          </cell>
          <cell r="F5282" t="str">
            <v>P12</v>
          </cell>
          <cell r="G5282" t="str">
            <v>Drawer stop - Dừng hộc</v>
          </cell>
          <cell r="H5282" t="str">
            <v>Poplar off cut</v>
          </cell>
          <cell r="I5282">
            <v>30</v>
          </cell>
        </row>
        <row r="5283">
          <cell r="A5283" t="str">
            <v>B558174/A</v>
          </cell>
          <cell r="B5283" t="str">
            <v>RH5574M152</v>
          </cell>
          <cell r="C5283">
            <v>5</v>
          </cell>
          <cell r="D5283">
            <v>489</v>
          </cell>
          <cell r="E5283">
            <v>2445</v>
          </cell>
          <cell r="F5283" t="str">
            <v>A1</v>
          </cell>
          <cell r="G5283" t="str">
            <v>Top Frame - Khung nóc</v>
          </cell>
          <cell r="H5283" t="str">
            <v>Pre-Assembly</v>
          </cell>
          <cell r="I5283">
            <v>5</v>
          </cell>
        </row>
        <row r="5284">
          <cell r="A5284" t="str">
            <v>B558174/A</v>
          </cell>
          <cell r="B5284" t="str">
            <v>RH5574M152</v>
          </cell>
          <cell r="C5284">
            <v>5</v>
          </cell>
          <cell r="D5284">
            <v>489</v>
          </cell>
          <cell r="E5284">
            <v>2445</v>
          </cell>
          <cell r="F5284" t="str">
            <v>A1-S01</v>
          </cell>
          <cell r="G5284" t="str">
            <v xml:space="preserve">Panel - Ván </v>
          </cell>
          <cell r="H5284" t="str">
            <v>MDF - 12 x 1830 x 2440mm [CARB P2 Compliant]</v>
          </cell>
          <cell r="I5284">
            <v>10</v>
          </cell>
        </row>
        <row r="5285">
          <cell r="A5285" t="str">
            <v>B558174/A</v>
          </cell>
          <cell r="B5285" t="str">
            <v>RH5574M152</v>
          </cell>
          <cell r="C5285">
            <v>5</v>
          </cell>
          <cell r="D5285">
            <v>489</v>
          </cell>
          <cell r="E5285">
            <v>2445</v>
          </cell>
          <cell r="F5285" t="str">
            <v>A1-S02</v>
          </cell>
          <cell r="G5285" t="str">
            <v xml:space="preserve">Side rail  - Đố hông </v>
          </cell>
          <cell r="H5285" t="str">
            <v>MDF - 18 x 1830 x 2440mm [CARB P2 Compliant]</v>
          </cell>
          <cell r="I5285">
            <v>10</v>
          </cell>
        </row>
        <row r="5286">
          <cell r="A5286" t="str">
            <v>B558174/A</v>
          </cell>
          <cell r="B5286" t="str">
            <v>RH5574M152</v>
          </cell>
          <cell r="C5286">
            <v>5</v>
          </cell>
          <cell r="D5286">
            <v>489</v>
          </cell>
          <cell r="E5286">
            <v>2445</v>
          </cell>
          <cell r="F5286" t="str">
            <v>A1-S03</v>
          </cell>
          <cell r="G5286" t="str">
            <v>Center rail - Đố giữa</v>
          </cell>
          <cell r="H5286" t="str">
            <v>MDF - 18 x 1830 x 2440mm [CARB P2 Compliant]</v>
          </cell>
          <cell r="I5286">
            <v>75</v>
          </cell>
        </row>
        <row r="5287">
          <cell r="A5287" t="str">
            <v>B558174/A</v>
          </cell>
          <cell r="B5287" t="str">
            <v>RH5574M152</v>
          </cell>
          <cell r="C5287">
            <v>5</v>
          </cell>
          <cell r="D5287">
            <v>489</v>
          </cell>
          <cell r="E5287">
            <v>2445</v>
          </cell>
          <cell r="F5287" t="str">
            <v>A2</v>
          </cell>
          <cell r="G5287" t="str">
            <v>Side Frame - Khung hông</v>
          </cell>
          <cell r="H5287" t="str">
            <v>Pre-Assembly</v>
          </cell>
          <cell r="I5287">
            <v>10</v>
          </cell>
        </row>
        <row r="5288">
          <cell r="A5288" t="str">
            <v>B558174/A</v>
          </cell>
          <cell r="B5288" t="str">
            <v>RH5574M152</v>
          </cell>
          <cell r="C5288">
            <v>5</v>
          </cell>
          <cell r="D5288">
            <v>489</v>
          </cell>
          <cell r="E5288">
            <v>2445</v>
          </cell>
          <cell r="F5288" t="str">
            <v>A2-S01</v>
          </cell>
          <cell r="G5288" t="str">
            <v xml:space="preserve">Side panel  - Ván hông </v>
          </cell>
          <cell r="H5288" t="str">
            <v>MDF - 12 x 1830 x 2440mm [CARB P2 Compliant]</v>
          </cell>
          <cell r="I5288">
            <v>20</v>
          </cell>
        </row>
        <row r="5289">
          <cell r="A5289" t="str">
            <v>B558174/A</v>
          </cell>
          <cell r="B5289" t="str">
            <v>RH5574M152</v>
          </cell>
          <cell r="C5289">
            <v>5</v>
          </cell>
          <cell r="D5289">
            <v>489</v>
          </cell>
          <cell r="E5289">
            <v>2445</v>
          </cell>
          <cell r="F5289" t="str">
            <v>A2-S02</v>
          </cell>
          <cell r="G5289" t="str">
            <v xml:space="preserve">Side rail  - Đố hông </v>
          </cell>
          <cell r="H5289" t="str">
            <v>MDF - 18 x 1830 x 2440mm [CARB P2 Compliant]</v>
          </cell>
          <cell r="I5289">
            <v>20</v>
          </cell>
        </row>
        <row r="5290">
          <cell r="A5290" t="str">
            <v>B558174/A</v>
          </cell>
          <cell r="B5290" t="str">
            <v>RH5574M152</v>
          </cell>
          <cell r="C5290">
            <v>5</v>
          </cell>
          <cell r="D5290">
            <v>489</v>
          </cell>
          <cell r="E5290">
            <v>2445</v>
          </cell>
          <cell r="F5290" t="str">
            <v>A3-S01</v>
          </cell>
          <cell r="G5290" t="str">
            <v>Front Bottom Rail  - Đố đáy trước</v>
          </cell>
          <cell r="H5290" t="str">
            <v>Wood EU Beech - Straight/Waving Edged ABC, 2 COM - T32mm x W100mm up x L1.8m up</v>
          </cell>
          <cell r="I5290">
            <v>10</v>
          </cell>
        </row>
        <row r="5291">
          <cell r="A5291" t="str">
            <v>B558174/A</v>
          </cell>
          <cell r="B5291" t="str">
            <v>RH5574M152</v>
          </cell>
          <cell r="C5291">
            <v>5</v>
          </cell>
          <cell r="D5291">
            <v>489</v>
          </cell>
          <cell r="E5291">
            <v>2445</v>
          </cell>
          <cell r="F5291" t="str">
            <v>A3-S02</v>
          </cell>
          <cell r="G5291" t="str">
            <v>Side bottom rail - Đố hông dưới</v>
          </cell>
          <cell r="H5291" t="str">
            <v>Wood EU Beech - Straight/Waving Edged ABC, 2 COM - T32mm x W100mm up x L1.8m up</v>
          </cell>
          <cell r="I5291">
            <v>10</v>
          </cell>
        </row>
        <row r="5292">
          <cell r="A5292" t="str">
            <v>B558174/A</v>
          </cell>
          <cell r="B5292" t="str">
            <v>RH5574M152</v>
          </cell>
          <cell r="C5292">
            <v>5</v>
          </cell>
          <cell r="D5292">
            <v>489</v>
          </cell>
          <cell r="E5292">
            <v>2445</v>
          </cell>
          <cell r="F5292" t="str">
            <v>A4-S01</v>
          </cell>
          <cell r="G5292" t="str">
            <v xml:space="preserve">Drawer front - Mặt hộc kéo </v>
          </cell>
          <cell r="H5292" t="str">
            <v>MDF Veneer</v>
          </cell>
          <cell r="I5292">
            <v>5</v>
          </cell>
        </row>
        <row r="5293">
          <cell r="A5293" t="str">
            <v>B558174/A</v>
          </cell>
          <cell r="B5293" t="str">
            <v>RH5574M152</v>
          </cell>
          <cell r="C5293">
            <v>5</v>
          </cell>
          <cell r="D5293">
            <v>489</v>
          </cell>
          <cell r="E5293">
            <v>2445</v>
          </cell>
          <cell r="F5293" t="str">
            <v>A4-S02</v>
          </cell>
          <cell r="G5293" t="str">
            <v xml:space="preserve">Drawer front 1 - Mặt hộc kéo </v>
          </cell>
          <cell r="H5293" t="str">
            <v>MDF-N - 12 x 1220 x 2440mm, Veneer Poplar Rotary 0.45mm Both Faces [CARB P2 Compliant]</v>
          </cell>
          <cell r="I5293">
            <v>5</v>
          </cell>
        </row>
        <row r="5294">
          <cell r="A5294" t="str">
            <v>B558174/A</v>
          </cell>
          <cell r="B5294" t="str">
            <v>RH5574M152</v>
          </cell>
          <cell r="C5294">
            <v>5</v>
          </cell>
          <cell r="D5294">
            <v>489</v>
          </cell>
          <cell r="E5294">
            <v>2445</v>
          </cell>
          <cell r="F5294" t="str">
            <v>A4-S03</v>
          </cell>
          <cell r="G5294" t="str">
            <v>Drawer back - Hậu hộc kéo</v>
          </cell>
          <cell r="H5294" t="str">
            <v>MDF-N - 12 x 1220 x 2440mm, Veneer Poplar Rotary 0.45mm Both Faces [CARB P2 Compliant]</v>
          </cell>
          <cell r="I5294">
            <v>5</v>
          </cell>
        </row>
        <row r="5295">
          <cell r="A5295" t="str">
            <v>B558174/A</v>
          </cell>
          <cell r="B5295" t="str">
            <v>RH5574M152</v>
          </cell>
          <cell r="C5295">
            <v>5</v>
          </cell>
          <cell r="D5295">
            <v>489</v>
          </cell>
          <cell r="E5295">
            <v>2445</v>
          </cell>
          <cell r="F5295" t="str">
            <v>A4-S04</v>
          </cell>
          <cell r="G5295" t="str">
            <v>Drawer side - Hông hộc kéo</v>
          </cell>
          <cell r="H5295" t="str">
            <v>MDF-N - 12 x 1220 x 2440mm, Veneer Poplar Rotary 0.45mm Both Faces [CARB P2 Compliant]</v>
          </cell>
          <cell r="I5295">
            <v>10</v>
          </cell>
        </row>
        <row r="5296">
          <cell r="A5296" t="str">
            <v>B558174/A</v>
          </cell>
          <cell r="B5296" t="str">
            <v>RH5574M152</v>
          </cell>
          <cell r="C5296">
            <v>5</v>
          </cell>
          <cell r="D5296">
            <v>489</v>
          </cell>
          <cell r="E5296">
            <v>2445</v>
          </cell>
          <cell r="F5296" t="str">
            <v>A4-S05</v>
          </cell>
          <cell r="G5296" t="str">
            <v>Drawer bottom  - Đáy hộc kéo</v>
          </cell>
          <cell r="H5296" t="str">
            <v>MDF - 06 x 1220 x 2440mm, Veneer Poplar 0.42mm + Veneer Engineering 0.3mm [CARB P2 Compliant]</v>
          </cell>
          <cell r="I5296">
            <v>15</v>
          </cell>
        </row>
        <row r="5297">
          <cell r="A5297" t="str">
            <v>B558174/A</v>
          </cell>
          <cell r="B5297" t="str">
            <v>RH5574M152</v>
          </cell>
          <cell r="C5297">
            <v>5</v>
          </cell>
          <cell r="D5297">
            <v>489</v>
          </cell>
          <cell r="E5297">
            <v>2445</v>
          </cell>
          <cell r="F5297" t="str">
            <v>A4-S06</v>
          </cell>
          <cell r="G5297" t="str">
            <v>Patching moulding - Chỉ đắp</v>
          </cell>
          <cell r="H5297" t="str">
            <v>Beech off cut</v>
          </cell>
          <cell r="I5297">
            <v>30</v>
          </cell>
        </row>
        <row r="5298">
          <cell r="A5298" t="str">
            <v>B558174/A</v>
          </cell>
          <cell r="B5298" t="str">
            <v>RH5574M152</v>
          </cell>
          <cell r="C5298">
            <v>5</v>
          </cell>
          <cell r="D5298">
            <v>489</v>
          </cell>
          <cell r="E5298">
            <v>2445</v>
          </cell>
          <cell r="F5298" t="str">
            <v>A5-S01</v>
          </cell>
          <cell r="G5298" t="str">
            <v xml:space="preserve">Drawer front - Mặt hộc kéo </v>
          </cell>
          <cell r="H5298" t="str">
            <v>MDF Veneer</v>
          </cell>
          <cell r="I5298">
            <v>10</v>
          </cell>
        </row>
        <row r="5299">
          <cell r="A5299" t="str">
            <v>B558174/A</v>
          </cell>
          <cell r="B5299" t="str">
            <v>RH5574M152</v>
          </cell>
          <cell r="C5299">
            <v>5</v>
          </cell>
          <cell r="D5299">
            <v>489</v>
          </cell>
          <cell r="E5299">
            <v>2445</v>
          </cell>
          <cell r="F5299" t="str">
            <v>A5-S02</v>
          </cell>
          <cell r="G5299" t="str">
            <v xml:space="preserve">Drawer front 1 - Mặt hộc kéo </v>
          </cell>
          <cell r="H5299" t="str">
            <v>MDF-N - 12 x 1220 x 2440mm, Veneer Poplar Rotary 0.45mm Both Faces [CARB P2 Compliant]</v>
          </cell>
          <cell r="I5299">
            <v>10</v>
          </cell>
        </row>
        <row r="5300">
          <cell r="A5300" t="str">
            <v>B558174/A</v>
          </cell>
          <cell r="B5300" t="str">
            <v>RH5574M152</v>
          </cell>
          <cell r="C5300">
            <v>5</v>
          </cell>
          <cell r="D5300">
            <v>489</v>
          </cell>
          <cell r="E5300">
            <v>2445</v>
          </cell>
          <cell r="F5300" t="str">
            <v>A5-S03</v>
          </cell>
          <cell r="G5300" t="str">
            <v>Drawer back - Hậu hộc kéo</v>
          </cell>
          <cell r="H5300" t="str">
            <v>MDF-N - 12 x 1220 x 2440mm, Veneer Poplar Rotary 0.45mm Both Faces [CARB P2 Compliant]</v>
          </cell>
          <cell r="I5300">
            <v>10</v>
          </cell>
        </row>
        <row r="5301">
          <cell r="A5301" t="str">
            <v>B558174/A</v>
          </cell>
          <cell r="B5301" t="str">
            <v>RH5574M152</v>
          </cell>
          <cell r="C5301">
            <v>5</v>
          </cell>
          <cell r="D5301">
            <v>489</v>
          </cell>
          <cell r="E5301">
            <v>2445</v>
          </cell>
          <cell r="F5301" t="str">
            <v>A5-S04</v>
          </cell>
          <cell r="G5301" t="str">
            <v>Drawer side - Hông hộc kéo</v>
          </cell>
          <cell r="H5301" t="str">
            <v>MDF-N - 12 x 1220 x 2440mm, Veneer Poplar Rotary 0.45mm Both Faces [CARB P2 Compliant]</v>
          </cell>
          <cell r="I5301">
            <v>20</v>
          </cell>
        </row>
        <row r="5302">
          <cell r="A5302" t="str">
            <v>B558174/A</v>
          </cell>
          <cell r="B5302" t="str">
            <v>RH5574M152</v>
          </cell>
          <cell r="C5302">
            <v>5</v>
          </cell>
          <cell r="D5302">
            <v>489</v>
          </cell>
          <cell r="E5302">
            <v>2445</v>
          </cell>
          <cell r="F5302" t="str">
            <v>P01</v>
          </cell>
          <cell r="G5302" t="str">
            <v>Front rail  - Đố tiền</v>
          </cell>
          <cell r="H5302" t="str">
            <v>Wood EU Beech - Straight/Waving Edged ABC, 2 COM - T32mm x W100mm up x L1.8m up</v>
          </cell>
          <cell r="I5302">
            <v>10</v>
          </cell>
        </row>
        <row r="5303">
          <cell r="A5303" t="str">
            <v>B558174/A</v>
          </cell>
          <cell r="B5303" t="str">
            <v>RH5574M152</v>
          </cell>
          <cell r="C5303">
            <v>5</v>
          </cell>
          <cell r="D5303">
            <v>489</v>
          </cell>
          <cell r="E5303">
            <v>2445</v>
          </cell>
          <cell r="F5303" t="str">
            <v>P02</v>
          </cell>
          <cell r="G5303" t="str">
            <v>Bottom panel - Ván đáy</v>
          </cell>
          <cell r="H5303" t="str">
            <v>MDF - 18 x 1830 x 2440mm [CARB P2 Compliant]</v>
          </cell>
          <cell r="I5303">
            <v>5</v>
          </cell>
        </row>
        <row r="5304">
          <cell r="A5304" t="str">
            <v>B558174/A</v>
          </cell>
          <cell r="B5304" t="str">
            <v>RH5574M152</v>
          </cell>
          <cell r="C5304">
            <v>5</v>
          </cell>
          <cell r="D5304">
            <v>489</v>
          </cell>
          <cell r="E5304">
            <v>2445</v>
          </cell>
          <cell r="F5304" t="str">
            <v>P03</v>
          </cell>
          <cell r="G5304" t="str">
            <v>Fixed Shelf  - Kệ bắt chết</v>
          </cell>
          <cell r="H5304" t="str">
            <v>MDF - 18 x 1830 x 2440mm [CARB P2 Compliant]</v>
          </cell>
          <cell r="I5304">
            <v>5</v>
          </cell>
        </row>
        <row r="5305">
          <cell r="A5305" t="str">
            <v>B558174/A</v>
          </cell>
          <cell r="B5305" t="str">
            <v>RH5574M152</v>
          </cell>
          <cell r="C5305">
            <v>5</v>
          </cell>
          <cell r="D5305">
            <v>489</v>
          </cell>
          <cell r="E5305">
            <v>2445</v>
          </cell>
          <cell r="F5305" t="str">
            <v>P04</v>
          </cell>
          <cell r="G5305" t="str">
            <v>back rail - Đố hậu</v>
          </cell>
          <cell r="H5305" t="str">
            <v>Standard Wood - ALDER/ASPEN/LENGA/US POPLAR, 2 COM - T25 W120mm+ L2m+</v>
          </cell>
          <cell r="I5305">
            <v>5</v>
          </cell>
        </row>
        <row r="5306">
          <cell r="A5306" t="str">
            <v>B558174/A</v>
          </cell>
          <cell r="B5306" t="str">
            <v>RH5574M152</v>
          </cell>
          <cell r="C5306">
            <v>5</v>
          </cell>
          <cell r="D5306">
            <v>489</v>
          </cell>
          <cell r="E5306">
            <v>2445</v>
          </cell>
          <cell r="F5306" t="str">
            <v>P05</v>
          </cell>
          <cell r="G5306" t="str">
            <v>Back bottom rail - Đố hậu đáy</v>
          </cell>
          <cell r="H5306" t="str">
            <v>Standard Wood - ALDER/ASPEN/LENGA/US POPLAR, 2 COM - T25 W120mm+ L2m+</v>
          </cell>
          <cell r="I5306">
            <v>5</v>
          </cell>
        </row>
        <row r="5307">
          <cell r="A5307" t="str">
            <v>B558174/A</v>
          </cell>
          <cell r="B5307" t="str">
            <v>RH5574M152</v>
          </cell>
          <cell r="C5307">
            <v>5</v>
          </cell>
          <cell r="D5307">
            <v>489</v>
          </cell>
          <cell r="E5307">
            <v>2445</v>
          </cell>
          <cell r="F5307" t="str">
            <v>P06</v>
          </cell>
          <cell r="G5307" t="str">
            <v>Adjustable Shelf  - Kệ di động</v>
          </cell>
          <cell r="H5307" t="str">
            <v>MDF - 25 x 1830 x 2440mm [CARB P2 Compliant]</v>
          </cell>
          <cell r="I5307">
            <v>10</v>
          </cell>
        </row>
        <row r="5308">
          <cell r="A5308" t="str">
            <v>B558174/A</v>
          </cell>
          <cell r="B5308" t="str">
            <v>RH5574M152</v>
          </cell>
          <cell r="C5308">
            <v>5</v>
          </cell>
          <cell r="D5308">
            <v>489</v>
          </cell>
          <cell r="E5308">
            <v>2445</v>
          </cell>
          <cell r="F5308" t="str">
            <v>P07</v>
          </cell>
          <cell r="G5308" t="str">
            <v>Spline - Lưỡi gà</v>
          </cell>
          <cell r="H5308" t="str">
            <v>Plywood LVD - 09 x 1220 x 2440mm, Bleached Poplar Veneer Both Sides [CARB P2 Compliant]</v>
          </cell>
          <cell r="I5308">
            <v>10</v>
          </cell>
        </row>
        <row r="5309">
          <cell r="A5309" t="str">
            <v>B558174/A</v>
          </cell>
          <cell r="B5309" t="str">
            <v>RH5574M152</v>
          </cell>
          <cell r="C5309">
            <v>5</v>
          </cell>
          <cell r="D5309">
            <v>489</v>
          </cell>
          <cell r="E5309">
            <v>2445</v>
          </cell>
          <cell r="F5309" t="str">
            <v>P08</v>
          </cell>
          <cell r="G5309" t="str">
            <v>Back panel - Ván hậu</v>
          </cell>
          <cell r="H5309" t="str">
            <v>MDF Veneer</v>
          </cell>
          <cell r="I5309">
            <v>5</v>
          </cell>
        </row>
        <row r="5310">
          <cell r="A5310" t="str">
            <v>B558174/A</v>
          </cell>
          <cell r="B5310" t="str">
            <v>RH5574M152</v>
          </cell>
          <cell r="C5310">
            <v>5</v>
          </cell>
          <cell r="D5310">
            <v>489</v>
          </cell>
          <cell r="E5310">
            <v>2445</v>
          </cell>
          <cell r="F5310" t="str">
            <v>P09</v>
          </cell>
          <cell r="G5310" t="str">
            <v>Cleat - Bọ gỗ</v>
          </cell>
          <cell r="H5310" t="str">
            <v>Poplar off cut</v>
          </cell>
          <cell r="I5310">
            <v>10</v>
          </cell>
        </row>
        <row r="5311">
          <cell r="A5311" t="str">
            <v>B558174/A</v>
          </cell>
          <cell r="B5311" t="str">
            <v>RH5574M152</v>
          </cell>
          <cell r="C5311">
            <v>5</v>
          </cell>
          <cell r="D5311">
            <v>489</v>
          </cell>
          <cell r="E5311">
            <v>2445</v>
          </cell>
          <cell r="F5311" t="str">
            <v>P09-1</v>
          </cell>
          <cell r="G5311" t="str">
            <v>Cleat - Bọ gỗ</v>
          </cell>
          <cell r="H5311" t="str">
            <v>Wood US Poplar - Straight Edged, 2 COM - T25mm x W100mm Up x L1.8m Up</v>
          </cell>
          <cell r="I5311">
            <v>10</v>
          </cell>
        </row>
        <row r="5312">
          <cell r="A5312" t="str">
            <v>B558174/A</v>
          </cell>
          <cell r="B5312" t="str">
            <v>RH5574M152</v>
          </cell>
          <cell r="C5312">
            <v>5</v>
          </cell>
          <cell r="D5312">
            <v>489</v>
          </cell>
          <cell r="E5312">
            <v>2445</v>
          </cell>
          <cell r="F5312" t="str">
            <v>P10</v>
          </cell>
          <cell r="G5312" t="str">
            <v>Front rail  - Đố tiền</v>
          </cell>
          <cell r="H5312" t="str">
            <v>Wood EU Beech - Straight/Waving Edged ABC, 2 COM - T32mm x W100mm up x L1.8m up</v>
          </cell>
          <cell r="I5312">
            <v>10</v>
          </cell>
        </row>
        <row r="5313">
          <cell r="A5313" t="str">
            <v>B558174/A</v>
          </cell>
          <cell r="B5313" t="str">
            <v>RH5574M152</v>
          </cell>
          <cell r="C5313">
            <v>5</v>
          </cell>
          <cell r="D5313">
            <v>489</v>
          </cell>
          <cell r="E5313">
            <v>2445</v>
          </cell>
          <cell r="F5313" t="str">
            <v>P11</v>
          </cell>
          <cell r="G5313" t="str">
            <v>back rail - Đố hậu</v>
          </cell>
          <cell r="H5313" t="str">
            <v>Standard Wood - ALDER/ASPEN/LENGA/US POPLAR, 2 COM - T25 W120mm+ L2m+</v>
          </cell>
          <cell r="I5313">
            <v>5</v>
          </cell>
        </row>
        <row r="5314">
          <cell r="A5314" t="str">
            <v>B558174/A</v>
          </cell>
          <cell r="B5314" t="str">
            <v>RH5574M152</v>
          </cell>
          <cell r="C5314">
            <v>5</v>
          </cell>
          <cell r="D5314">
            <v>489</v>
          </cell>
          <cell r="E5314">
            <v>2445</v>
          </cell>
          <cell r="F5314" t="str">
            <v>P12</v>
          </cell>
          <cell r="G5314" t="str">
            <v>Drawer stop - Dừng hộc</v>
          </cell>
          <cell r="H5314" t="str">
            <v>Poplar off cut</v>
          </cell>
          <cell r="I5314">
            <v>30</v>
          </cell>
        </row>
        <row r="5315">
          <cell r="A5315" t="str">
            <v>B558337/A</v>
          </cell>
          <cell r="B5315" t="str">
            <v>RH6352M29</v>
          </cell>
          <cell r="C5315">
            <v>21</v>
          </cell>
          <cell r="D5315">
            <v>412.1</v>
          </cell>
          <cell r="E5315">
            <v>8654.1</v>
          </cell>
          <cell r="F5315" t="str">
            <v>A02-S1</v>
          </cell>
          <cell r="G5315" t="str">
            <v xml:space="preserve">Drawer front - Mặt hộc kéo </v>
          </cell>
          <cell r="H5315" t="str">
            <v>Wood Acacia - Straight/Waving Edged - T30mm x W100mm Up x L1m Up</v>
          </cell>
          <cell r="I5315">
            <v>42</v>
          </cell>
        </row>
        <row r="5316">
          <cell r="A5316" t="str">
            <v>B558337/A</v>
          </cell>
          <cell r="B5316" t="str">
            <v>RH6352M29</v>
          </cell>
          <cell r="C5316">
            <v>21</v>
          </cell>
          <cell r="D5316">
            <v>412.1</v>
          </cell>
          <cell r="E5316">
            <v>8654.1</v>
          </cell>
          <cell r="F5316" t="str">
            <v>A02-S2</v>
          </cell>
          <cell r="G5316" t="str">
            <v>Drawer side - Hông hộc kéo</v>
          </cell>
          <cell r="H5316" t="str">
            <v>MDF-N - 12 x 1220 x 2440mm, Veneer Poplar Rotary 0.45mm Both Faces [CARB P2 Compliant]</v>
          </cell>
          <cell r="I5316">
            <v>84</v>
          </cell>
        </row>
        <row r="5317">
          <cell r="A5317" t="str">
            <v>B558337/A</v>
          </cell>
          <cell r="B5317" t="str">
            <v>RH6352M29</v>
          </cell>
          <cell r="C5317">
            <v>21</v>
          </cell>
          <cell r="D5317">
            <v>412.1</v>
          </cell>
          <cell r="E5317">
            <v>8654.1</v>
          </cell>
          <cell r="F5317" t="str">
            <v>A02-S3</v>
          </cell>
          <cell r="G5317" t="str">
            <v>Drawer back - Hậu hộc kéo</v>
          </cell>
          <cell r="H5317" t="str">
            <v>MDF-N - 12 x 1220 x 2440mm, Veneer Poplar Rotary 0.45mm Both Faces [CARB P2 Compliant]</v>
          </cell>
          <cell r="I5317">
            <v>21</v>
          </cell>
        </row>
        <row r="5318">
          <cell r="A5318" t="str">
            <v>B558337/A</v>
          </cell>
          <cell r="B5318" t="str">
            <v>RH6352M29</v>
          </cell>
          <cell r="C5318">
            <v>21</v>
          </cell>
          <cell r="D5318">
            <v>412.1</v>
          </cell>
          <cell r="E5318">
            <v>8654.1</v>
          </cell>
          <cell r="F5318" t="str">
            <v>A02-S3-1</v>
          </cell>
          <cell r="G5318" t="str">
            <v>Drawer back - Hậu hộc kéo</v>
          </cell>
          <cell r="H5318" t="str">
            <v>MDF-N - 12 x 1220 x 2440mm, Veneer Poplar Rotary 0.45mm Both Faces [CARB P2 Compliant]</v>
          </cell>
          <cell r="I5318">
            <v>21</v>
          </cell>
        </row>
        <row r="5319">
          <cell r="A5319" t="str">
            <v>B558337/A</v>
          </cell>
          <cell r="B5319" t="str">
            <v>RH6352M29</v>
          </cell>
          <cell r="C5319">
            <v>21</v>
          </cell>
          <cell r="D5319">
            <v>412.1</v>
          </cell>
          <cell r="E5319">
            <v>8654.1</v>
          </cell>
          <cell r="F5319" t="str">
            <v>A02-S4</v>
          </cell>
          <cell r="G5319" t="str">
            <v>Drawer bottom  - Đáy hộc kéo</v>
          </cell>
          <cell r="H5319" t="str">
            <v>MDF - 06 x 1220 x 2440mm, Veneer Poplar 0.42mm + Veneer Engineering 0.3mm [CARB P2 Compliant]</v>
          </cell>
          <cell r="I5319">
            <v>126</v>
          </cell>
        </row>
        <row r="5320">
          <cell r="A5320" t="str">
            <v>B558337/A</v>
          </cell>
          <cell r="B5320" t="str">
            <v>RH6352M29</v>
          </cell>
          <cell r="C5320">
            <v>21</v>
          </cell>
          <cell r="D5320">
            <v>412.1</v>
          </cell>
          <cell r="E5320">
            <v>8654.1</v>
          </cell>
          <cell r="F5320" t="str">
            <v>A02-S8</v>
          </cell>
          <cell r="G5320" t="str">
            <v>Patching wood - Gỗ đắp</v>
          </cell>
          <cell r="H5320" t="str">
            <v>TRAM OFF CUT</v>
          </cell>
          <cell r="I5320">
            <v>21</v>
          </cell>
        </row>
        <row r="5321">
          <cell r="A5321" t="str">
            <v>B558337/A</v>
          </cell>
          <cell r="B5321" t="str">
            <v>RH6352M29</v>
          </cell>
          <cell r="C5321">
            <v>21</v>
          </cell>
          <cell r="D5321">
            <v>412.1</v>
          </cell>
          <cell r="E5321">
            <v>8654.1</v>
          </cell>
          <cell r="F5321" t="str">
            <v>a03-s1</v>
          </cell>
          <cell r="G5321" t="str">
            <v xml:space="preserve">Drawer front - Mặt hộc kéo </v>
          </cell>
          <cell r="H5321" t="str">
            <v>Wood Acacia - Straight/Waving Edged - T30mm x W100mm Up x L1m Up</v>
          </cell>
          <cell r="I5321">
            <v>84</v>
          </cell>
        </row>
        <row r="5322">
          <cell r="A5322" t="str">
            <v>B558337/A</v>
          </cell>
          <cell r="B5322" t="str">
            <v>RH6352M29</v>
          </cell>
          <cell r="C5322">
            <v>21</v>
          </cell>
          <cell r="D5322">
            <v>412.1</v>
          </cell>
          <cell r="E5322">
            <v>8654.1</v>
          </cell>
          <cell r="F5322" t="str">
            <v>A03-S2</v>
          </cell>
          <cell r="G5322" t="str">
            <v>Drawer side - Hông hộc kéo</v>
          </cell>
          <cell r="H5322" t="str">
            <v>MDF-N - 12 x 1220 x 2440mm, Veneer Poplar Rotary 0.45mm Both Faces [CARB P2 Compliant]</v>
          </cell>
          <cell r="I5322">
            <v>168</v>
          </cell>
        </row>
        <row r="5323">
          <cell r="A5323" t="str">
            <v>B558337/A</v>
          </cell>
          <cell r="B5323" t="str">
            <v>RH6352M29</v>
          </cell>
          <cell r="C5323">
            <v>21</v>
          </cell>
          <cell r="D5323">
            <v>412.1</v>
          </cell>
          <cell r="E5323">
            <v>8654.1</v>
          </cell>
          <cell r="F5323" t="str">
            <v>A03-S3</v>
          </cell>
          <cell r="G5323" t="str">
            <v>Drawer back - Hậu hộc kéo</v>
          </cell>
          <cell r="H5323" t="str">
            <v>MDF-N - 12 x 1220 x 2440mm, Veneer Poplar Rotary 0.45mm Both Faces [CARB P2 Compliant]</v>
          </cell>
          <cell r="I5323">
            <v>84</v>
          </cell>
        </row>
        <row r="5324">
          <cell r="A5324" t="str">
            <v>B558337/A</v>
          </cell>
          <cell r="B5324" t="str">
            <v>RH6352M29</v>
          </cell>
          <cell r="C5324">
            <v>21</v>
          </cell>
          <cell r="D5324">
            <v>412.1</v>
          </cell>
          <cell r="E5324">
            <v>8654.1</v>
          </cell>
          <cell r="F5324" t="str">
            <v>a05-s1</v>
          </cell>
          <cell r="G5324" t="str">
            <v xml:space="preserve">Drawer front - Mặt hộc kéo </v>
          </cell>
          <cell r="H5324" t="str">
            <v>Wood Acacia - Straight/Waving Edged - T30mm x W100mm Up x L1m Up</v>
          </cell>
          <cell r="I5324">
            <v>21</v>
          </cell>
        </row>
        <row r="5325">
          <cell r="A5325" t="str">
            <v>B558337/A</v>
          </cell>
          <cell r="B5325" t="str">
            <v>RH6352M29</v>
          </cell>
          <cell r="C5325">
            <v>21</v>
          </cell>
          <cell r="D5325">
            <v>412.1</v>
          </cell>
          <cell r="E5325">
            <v>8654.1</v>
          </cell>
          <cell r="F5325" t="str">
            <v>A05-S2</v>
          </cell>
          <cell r="G5325" t="str">
            <v>Drawer back - Hậu hộc kéo</v>
          </cell>
          <cell r="H5325" t="str">
            <v>MDF-N - 12 x 1220 x 2440mm, Veneer Poplar Rotary 0.45mm Both Faces [CARB P2 Compliant]</v>
          </cell>
          <cell r="I5325">
            <v>21</v>
          </cell>
        </row>
        <row r="5326">
          <cell r="A5326" t="str">
            <v>B558337/A</v>
          </cell>
          <cell r="B5326" t="str">
            <v>RH6352M29</v>
          </cell>
          <cell r="C5326">
            <v>21</v>
          </cell>
          <cell r="D5326">
            <v>412.1</v>
          </cell>
          <cell r="E5326">
            <v>8654.1</v>
          </cell>
          <cell r="F5326" t="str">
            <v>A05-S3</v>
          </cell>
          <cell r="G5326" t="str">
            <v>Drawer bottom  - Đáy hộc kéo</v>
          </cell>
          <cell r="H5326" t="str">
            <v>MDF - 06 x 1220 x 2440mm, Veneer Poplar 0.42mm + Veneer Engineering 0.3mm [CARB P2 Compliant]</v>
          </cell>
          <cell r="I5326">
            <v>21</v>
          </cell>
        </row>
        <row r="5327">
          <cell r="A5327" t="str">
            <v>B558337/A</v>
          </cell>
          <cell r="B5327" t="str">
            <v>RH6352M29</v>
          </cell>
          <cell r="C5327">
            <v>21</v>
          </cell>
          <cell r="D5327">
            <v>412.1</v>
          </cell>
          <cell r="E5327">
            <v>8654.1</v>
          </cell>
          <cell r="F5327" t="str">
            <v>A05-S4</v>
          </cell>
          <cell r="G5327" t="str">
            <v>Drawer side - Hông hộc kéo</v>
          </cell>
          <cell r="H5327" t="str">
            <v>MDF-N - 12 x 1220 x 2440mm, Veneer Poplar Rotary 0.45mm Both Faces [CARB P2 Compliant]</v>
          </cell>
          <cell r="I5327">
            <v>42</v>
          </cell>
        </row>
        <row r="5328">
          <cell r="A5328" t="str">
            <v>B558337/A</v>
          </cell>
          <cell r="B5328" t="str">
            <v>RH6352M29</v>
          </cell>
          <cell r="C5328">
            <v>21</v>
          </cell>
          <cell r="D5328">
            <v>412.1</v>
          </cell>
          <cell r="E5328">
            <v>8654.1</v>
          </cell>
          <cell r="F5328" t="str">
            <v>a06-s1</v>
          </cell>
          <cell r="G5328" t="str">
            <v xml:space="preserve">Side panel  - Ván hông </v>
          </cell>
          <cell r="H5328" t="str">
            <v>MDF Veneer</v>
          </cell>
          <cell r="I5328">
            <v>42</v>
          </cell>
        </row>
        <row r="5329">
          <cell r="A5329" t="str">
            <v>B558337/A</v>
          </cell>
          <cell r="B5329" t="str">
            <v>RH6352M29</v>
          </cell>
          <cell r="C5329">
            <v>21</v>
          </cell>
          <cell r="D5329">
            <v>412.1</v>
          </cell>
          <cell r="E5329">
            <v>8654.1</v>
          </cell>
          <cell r="F5329" t="str">
            <v>a06-s2</v>
          </cell>
          <cell r="G5329" t="str">
            <v>Front leg  - Chần tiền</v>
          </cell>
          <cell r="H5329" t="str">
            <v>Wood US Poplar - Straight Edged, 2 COM - T50mm x W100mm Up x L1.8m Up</v>
          </cell>
          <cell r="I5329">
            <v>42</v>
          </cell>
        </row>
        <row r="5330">
          <cell r="A5330" t="str">
            <v>B558337/A</v>
          </cell>
          <cell r="B5330" t="str">
            <v>RH6352M29</v>
          </cell>
          <cell r="C5330">
            <v>21</v>
          </cell>
          <cell r="D5330">
            <v>412.1</v>
          </cell>
          <cell r="E5330">
            <v>8654.1</v>
          </cell>
          <cell r="F5330" t="str">
            <v>a06-s3</v>
          </cell>
          <cell r="G5330" t="str">
            <v>Back leg - Chân hậu</v>
          </cell>
          <cell r="H5330" t="str">
            <v>Wood US Poplar - Straight Edged, 2 COM - T50mm x W100mm Up x L1.8m Up</v>
          </cell>
          <cell r="I5330">
            <v>42</v>
          </cell>
        </row>
        <row r="5331">
          <cell r="A5331" t="str">
            <v>B558337/A</v>
          </cell>
          <cell r="B5331" t="str">
            <v>RH6352M29</v>
          </cell>
          <cell r="C5331">
            <v>21</v>
          </cell>
          <cell r="D5331">
            <v>412.1</v>
          </cell>
          <cell r="E5331">
            <v>8654.1</v>
          </cell>
          <cell r="F5331" t="str">
            <v>a06-s3-1</v>
          </cell>
          <cell r="G5331" t="str">
            <v>Patching wood - Gỗ đắp</v>
          </cell>
          <cell r="H5331" t="str">
            <v>Wood Acacia - Straight/Waving Edged - T35mm x W100mm Up x L1m Up</v>
          </cell>
          <cell r="I5331">
            <v>168</v>
          </cell>
        </row>
        <row r="5332">
          <cell r="A5332" t="str">
            <v>B558337/A</v>
          </cell>
          <cell r="B5332" t="str">
            <v>RH6352M29</v>
          </cell>
          <cell r="C5332">
            <v>21</v>
          </cell>
          <cell r="D5332">
            <v>412.1</v>
          </cell>
          <cell r="E5332">
            <v>8654.1</v>
          </cell>
          <cell r="F5332" t="str">
            <v>a06-s3-1a</v>
          </cell>
          <cell r="G5332" t="str">
            <v>Patching wood - Gỗ đắp</v>
          </cell>
          <cell r="H5332" t="str">
            <v>Wood Acacia - Straight/Waving Edged - T35mm x W100mm Up x L1m Up</v>
          </cell>
          <cell r="I5332">
            <v>84</v>
          </cell>
        </row>
        <row r="5333">
          <cell r="A5333" t="str">
            <v>B558337/A</v>
          </cell>
          <cell r="B5333" t="str">
            <v>RH6352M29</v>
          </cell>
          <cell r="C5333">
            <v>21</v>
          </cell>
          <cell r="D5333">
            <v>412.1</v>
          </cell>
          <cell r="E5333">
            <v>8654.1</v>
          </cell>
          <cell r="F5333" t="str">
            <v>A06-S5</v>
          </cell>
          <cell r="G5333" t="str">
            <v xml:space="preserve">Side rail  - Đố hông </v>
          </cell>
          <cell r="H5333" t="str">
            <v>Wood Acacia - Straight/Waving Edged - T25mm x W100mm Up x L1m Up</v>
          </cell>
          <cell r="I5333">
            <v>84</v>
          </cell>
        </row>
        <row r="5334">
          <cell r="A5334" t="str">
            <v>B558337/A</v>
          </cell>
          <cell r="B5334" t="str">
            <v>RH6352M29</v>
          </cell>
          <cell r="C5334">
            <v>21</v>
          </cell>
          <cell r="D5334">
            <v>412.1</v>
          </cell>
          <cell r="E5334">
            <v>8654.1</v>
          </cell>
          <cell r="F5334" t="str">
            <v>a06-s6</v>
          </cell>
          <cell r="G5334" t="str">
            <v xml:space="preserve">Side rail  - Đố hông </v>
          </cell>
          <cell r="H5334" t="str">
            <v>Wood Acacia - Straight/Waving Edged - T30mm x W100mm Up x L1m Up</v>
          </cell>
          <cell r="I5334">
            <v>252</v>
          </cell>
        </row>
        <row r="5335">
          <cell r="A5335" t="str">
            <v>B558337/A</v>
          </cell>
          <cell r="B5335" t="str">
            <v>RH6352M29</v>
          </cell>
          <cell r="C5335">
            <v>21</v>
          </cell>
          <cell r="D5335">
            <v>412.1</v>
          </cell>
          <cell r="E5335">
            <v>8654.1</v>
          </cell>
          <cell r="F5335" t="str">
            <v>a07-s1</v>
          </cell>
          <cell r="G5335" t="str">
            <v>Vertical Panel inside  - Ván đứng trong</v>
          </cell>
          <cell r="H5335" t="str">
            <v>MDF Veneer</v>
          </cell>
          <cell r="I5335">
            <v>42</v>
          </cell>
        </row>
        <row r="5336">
          <cell r="A5336" t="str">
            <v>B558337/A</v>
          </cell>
          <cell r="B5336" t="str">
            <v>RH6352M29</v>
          </cell>
          <cell r="C5336">
            <v>21</v>
          </cell>
          <cell r="D5336">
            <v>412.1</v>
          </cell>
          <cell r="E5336">
            <v>8654.1</v>
          </cell>
          <cell r="F5336" t="str">
            <v>a07-s2</v>
          </cell>
          <cell r="G5336" t="str">
            <v>Vertical rail 1 - Đố đứng 1</v>
          </cell>
          <cell r="H5336" t="str">
            <v>Wood US Poplar - Straight Edged, 2 COM - T50mm x W100mm Up x L1.8m Up</v>
          </cell>
          <cell r="I5336">
            <v>42</v>
          </cell>
        </row>
        <row r="5337">
          <cell r="A5337" t="str">
            <v>B558337/A</v>
          </cell>
          <cell r="B5337" t="str">
            <v>RH6352M29</v>
          </cell>
          <cell r="C5337">
            <v>21</v>
          </cell>
          <cell r="D5337">
            <v>412.1</v>
          </cell>
          <cell r="E5337">
            <v>8654.1</v>
          </cell>
          <cell r="F5337" t="str">
            <v>a07-s3</v>
          </cell>
          <cell r="G5337" t="str">
            <v>Vertical rail 1 - Đố đứng 1</v>
          </cell>
          <cell r="H5337" t="str">
            <v>Wood US Poplar - Straight Edged, 2 COM - T50mm x W100mm Up x L1.8m Up</v>
          </cell>
          <cell r="I5337">
            <v>42</v>
          </cell>
        </row>
        <row r="5338">
          <cell r="A5338" t="str">
            <v>B558337/A</v>
          </cell>
          <cell r="B5338" t="str">
            <v>RH6352M29</v>
          </cell>
          <cell r="C5338">
            <v>21</v>
          </cell>
          <cell r="D5338">
            <v>412.1</v>
          </cell>
          <cell r="E5338">
            <v>8654.1</v>
          </cell>
          <cell r="F5338" t="str">
            <v>a07-s4</v>
          </cell>
          <cell r="G5338" t="str">
            <v>Patching wood - Gỗ đắp</v>
          </cell>
          <cell r="H5338" t="str">
            <v>Wood Acacia - Straight/Waving Edged - T35mm x W100mm Up x L1m Up</v>
          </cell>
          <cell r="I5338">
            <v>42</v>
          </cell>
        </row>
        <row r="5339">
          <cell r="A5339" t="str">
            <v>B558337/A</v>
          </cell>
          <cell r="B5339" t="str">
            <v>RH6352M29</v>
          </cell>
          <cell r="C5339">
            <v>21</v>
          </cell>
          <cell r="D5339">
            <v>412.1</v>
          </cell>
          <cell r="E5339">
            <v>8654.1</v>
          </cell>
          <cell r="F5339" t="str">
            <v>a10-s1</v>
          </cell>
          <cell r="G5339" t="str">
            <v>Bottom rail inside - Đố tiền đáy</v>
          </cell>
          <cell r="H5339" t="str">
            <v>Wood US Poplar - Straight Edged, 2 COM - T38mm x W100mm Up x L1.8m Up</v>
          </cell>
          <cell r="I5339">
            <v>42</v>
          </cell>
        </row>
        <row r="5340">
          <cell r="A5340" t="str">
            <v>B558337/A</v>
          </cell>
          <cell r="B5340" t="str">
            <v>RH6352M29</v>
          </cell>
          <cell r="C5340">
            <v>21</v>
          </cell>
          <cell r="D5340">
            <v>412.1</v>
          </cell>
          <cell r="E5340">
            <v>8654.1</v>
          </cell>
          <cell r="F5340" t="str">
            <v>a10-s2</v>
          </cell>
          <cell r="G5340" t="str">
            <v>Back bottom rail - Đố hậu đáy</v>
          </cell>
          <cell r="H5340" t="str">
            <v>Wood US Poplar - Straight Edged, 2 COM - T38mm x W100mm Up x L1.8m Up</v>
          </cell>
          <cell r="I5340">
            <v>42</v>
          </cell>
        </row>
        <row r="5341">
          <cell r="A5341" t="str">
            <v>B558337/A</v>
          </cell>
          <cell r="B5341" t="str">
            <v>RH6352M29</v>
          </cell>
          <cell r="C5341">
            <v>21</v>
          </cell>
          <cell r="D5341">
            <v>412.1</v>
          </cell>
          <cell r="E5341">
            <v>8654.1</v>
          </cell>
          <cell r="F5341" t="str">
            <v>A10-S3</v>
          </cell>
          <cell r="G5341" t="str">
            <v>Dust board Panel  - Ván quét bụi</v>
          </cell>
          <cell r="H5341" t="str">
            <v>MDF - 06 x 1830 x 2440mm [CARB P2 Compliant]</v>
          </cell>
          <cell r="I5341">
            <v>42</v>
          </cell>
        </row>
        <row r="5342">
          <cell r="A5342" t="str">
            <v>B558337/A</v>
          </cell>
          <cell r="B5342" t="str">
            <v>RH6352M29</v>
          </cell>
          <cell r="C5342">
            <v>21</v>
          </cell>
          <cell r="D5342">
            <v>412.1</v>
          </cell>
          <cell r="E5342">
            <v>8654.1</v>
          </cell>
          <cell r="F5342" t="str">
            <v>p01</v>
          </cell>
          <cell r="G5342" t="str">
            <v>Front top rail  - Đố tiền nóc</v>
          </cell>
          <cell r="H5342" t="str">
            <v>Wood Acacia - Straight/Waving Edged - T30mm x W100mm Up x L1m Up</v>
          </cell>
          <cell r="I5342">
            <v>42</v>
          </cell>
        </row>
        <row r="5343">
          <cell r="A5343" t="str">
            <v>B558337/A</v>
          </cell>
          <cell r="B5343" t="str">
            <v>RH6352M29</v>
          </cell>
          <cell r="C5343">
            <v>21</v>
          </cell>
          <cell r="D5343">
            <v>412.1</v>
          </cell>
          <cell r="E5343">
            <v>8654.1</v>
          </cell>
          <cell r="F5343" t="str">
            <v>p02</v>
          </cell>
          <cell r="G5343" t="str">
            <v>Front top rail  - Đố tiền nóc</v>
          </cell>
          <cell r="H5343" t="str">
            <v>Wood Acacia - Straight/Waving Edged - T30mm x W100mm Up x L1m Up</v>
          </cell>
          <cell r="I5343">
            <v>21</v>
          </cell>
        </row>
        <row r="5344">
          <cell r="A5344" t="str">
            <v>B558337/A</v>
          </cell>
          <cell r="B5344" t="str">
            <v>RH6352M29</v>
          </cell>
          <cell r="C5344">
            <v>21</v>
          </cell>
          <cell r="D5344">
            <v>412.1</v>
          </cell>
          <cell r="E5344">
            <v>8654.1</v>
          </cell>
          <cell r="F5344" t="str">
            <v>p03</v>
          </cell>
          <cell r="G5344" t="str">
            <v>Back panel - Ván hậu</v>
          </cell>
          <cell r="H5344" t="str">
            <v>MDF - 06 x 1220 x 2440mm, Veneer Okoume 0.3mm Both Faces [CARB P2 Compliant]</v>
          </cell>
          <cell r="I5344">
            <v>21</v>
          </cell>
        </row>
        <row r="5345">
          <cell r="A5345" t="str">
            <v>B558337/A</v>
          </cell>
          <cell r="B5345" t="str">
            <v>RH6352M29</v>
          </cell>
          <cell r="C5345">
            <v>21</v>
          </cell>
          <cell r="D5345">
            <v>412.1</v>
          </cell>
          <cell r="E5345">
            <v>8654.1</v>
          </cell>
          <cell r="F5345" t="str">
            <v>p03-1</v>
          </cell>
          <cell r="G5345" t="str">
            <v>Back panel - Ván hậu</v>
          </cell>
          <cell r="H5345" t="str">
            <v>MDF - 06 x 1220 x 2440mm, Veneer Okoume 0.3mm Both Faces [CARB P2 Compliant]</v>
          </cell>
          <cell r="I5345">
            <v>21</v>
          </cell>
        </row>
        <row r="5346">
          <cell r="A5346" t="str">
            <v>B558337/A</v>
          </cell>
          <cell r="B5346" t="str">
            <v>RH6352M29</v>
          </cell>
          <cell r="C5346">
            <v>21</v>
          </cell>
          <cell r="D5346">
            <v>412.1</v>
          </cell>
          <cell r="E5346">
            <v>8654.1</v>
          </cell>
          <cell r="F5346" t="str">
            <v>p04</v>
          </cell>
          <cell r="G5346" t="str">
            <v>Back panel - Ván hậu</v>
          </cell>
          <cell r="H5346" t="str">
            <v>MDF - 06 x 1220 x 2440mm, Veneer Okoume 0.3mm Both Faces [CARB P2 Compliant]</v>
          </cell>
          <cell r="I5346">
            <v>21</v>
          </cell>
        </row>
        <row r="5347">
          <cell r="A5347" t="str">
            <v>B558337/A</v>
          </cell>
          <cell r="B5347" t="str">
            <v>RH6352M29</v>
          </cell>
          <cell r="C5347">
            <v>21</v>
          </cell>
          <cell r="D5347">
            <v>412.1</v>
          </cell>
          <cell r="E5347">
            <v>8654.1</v>
          </cell>
          <cell r="F5347" t="str">
            <v>p05</v>
          </cell>
          <cell r="G5347" t="str">
            <v>Back top rail - Đố hậu nóc</v>
          </cell>
          <cell r="H5347" t="str">
            <v>Wood Acacia - Straight/Waving Edged - T25mm x W100mm Up x L1m Up</v>
          </cell>
          <cell r="I5347">
            <v>42</v>
          </cell>
        </row>
        <row r="5348">
          <cell r="A5348" t="str">
            <v>B558337/A</v>
          </cell>
          <cell r="B5348" t="str">
            <v>RH6352M29</v>
          </cell>
          <cell r="C5348">
            <v>21</v>
          </cell>
          <cell r="D5348">
            <v>412.1</v>
          </cell>
          <cell r="E5348">
            <v>8654.1</v>
          </cell>
          <cell r="F5348" t="str">
            <v>p06</v>
          </cell>
          <cell r="G5348" t="str">
            <v>Back top rail - Đố hậu nóc</v>
          </cell>
          <cell r="H5348" t="str">
            <v>Wood Acacia - Straight/Waving Edged - T25mm x W100mm Up x L1m Up</v>
          </cell>
          <cell r="I5348">
            <v>21</v>
          </cell>
        </row>
        <row r="5349">
          <cell r="A5349" t="str">
            <v>B558337/A</v>
          </cell>
          <cell r="B5349" t="str">
            <v>RH6352M29</v>
          </cell>
          <cell r="C5349">
            <v>21</v>
          </cell>
          <cell r="D5349">
            <v>412.1</v>
          </cell>
          <cell r="E5349">
            <v>8654.1</v>
          </cell>
          <cell r="F5349" t="str">
            <v>p07</v>
          </cell>
          <cell r="G5349" t="str">
            <v>Corner block - ke góc</v>
          </cell>
          <cell r="H5349" t="str">
            <v>Wood Acacia - Straight/Waving Edged - T25mm x W100mm Up x L1m Up</v>
          </cell>
          <cell r="I5349">
            <v>42</v>
          </cell>
        </row>
        <row r="5350">
          <cell r="A5350" t="str">
            <v>B558337/A</v>
          </cell>
          <cell r="B5350" t="str">
            <v>RH6352M29</v>
          </cell>
          <cell r="C5350">
            <v>21</v>
          </cell>
          <cell r="D5350">
            <v>412.1</v>
          </cell>
          <cell r="E5350">
            <v>8654.1</v>
          </cell>
          <cell r="F5350" t="str">
            <v>p10</v>
          </cell>
          <cell r="G5350" t="str">
            <v>Front leg  - Chần tiền</v>
          </cell>
          <cell r="H5350" t="str">
            <v>Wood EU Beech - Straight/Waving Edged ABC, 2 COM - T50mm x W100mm up x L1.8m up</v>
          </cell>
          <cell r="I5350">
            <v>168</v>
          </cell>
        </row>
        <row r="5351">
          <cell r="A5351" t="str">
            <v>B558337/A</v>
          </cell>
          <cell r="B5351" t="str">
            <v>RH6352M29</v>
          </cell>
          <cell r="C5351">
            <v>21</v>
          </cell>
          <cell r="D5351">
            <v>412.1</v>
          </cell>
          <cell r="E5351">
            <v>8654.1</v>
          </cell>
          <cell r="F5351" t="str">
            <v>p11</v>
          </cell>
          <cell r="G5351" t="str">
            <v>Drawer stop - Dừng hộc</v>
          </cell>
          <cell r="H5351" t="str">
            <v>Wood Acacia - Straight/Waving Edged - T25mm x W100mm Up x L1m Up</v>
          </cell>
          <cell r="I5351">
            <v>294</v>
          </cell>
        </row>
        <row r="5352">
          <cell r="A5352" t="str">
            <v>B558337/A</v>
          </cell>
          <cell r="B5352" t="str">
            <v>RH6352M29</v>
          </cell>
          <cell r="C5352">
            <v>21</v>
          </cell>
          <cell r="D5352">
            <v>412.1</v>
          </cell>
          <cell r="E5352">
            <v>8654.1</v>
          </cell>
          <cell r="F5352" t="str">
            <v>p13</v>
          </cell>
          <cell r="G5352" t="str">
            <v>Bottom panel - Ván đáy</v>
          </cell>
          <cell r="H5352" t="str">
            <v>MDF Veneer</v>
          </cell>
          <cell r="I5352">
            <v>21</v>
          </cell>
        </row>
        <row r="5353">
          <cell r="A5353" t="str">
            <v>B558337/A</v>
          </cell>
          <cell r="B5353" t="str">
            <v>RH6352M29</v>
          </cell>
          <cell r="C5353">
            <v>21</v>
          </cell>
          <cell r="D5353">
            <v>412.1</v>
          </cell>
          <cell r="E5353">
            <v>8654.1</v>
          </cell>
          <cell r="F5353" t="str">
            <v>P14</v>
          </cell>
          <cell r="G5353" t="str">
            <v xml:space="preserve">Top panel  - Ván nóc </v>
          </cell>
          <cell r="H5353" t="str">
            <v>MDF Veneer</v>
          </cell>
          <cell r="I5353">
            <v>21</v>
          </cell>
        </row>
        <row r="5354">
          <cell r="A5354" t="str">
            <v>B558337/A</v>
          </cell>
          <cell r="B5354" t="str">
            <v>RH6352M29</v>
          </cell>
          <cell r="C5354">
            <v>21</v>
          </cell>
          <cell r="D5354">
            <v>412.1</v>
          </cell>
          <cell r="E5354">
            <v>8654.1</v>
          </cell>
          <cell r="F5354" t="str">
            <v>P15</v>
          </cell>
          <cell r="G5354" t="str">
            <v>Corner block - ke góc</v>
          </cell>
          <cell r="H5354" t="str">
            <v>Poplar off cut</v>
          </cell>
          <cell r="I5354">
            <v>168</v>
          </cell>
        </row>
        <row r="5355">
          <cell r="A5355" t="str">
            <v>B558337/A</v>
          </cell>
          <cell r="B5355" t="str">
            <v>RH6352M29</v>
          </cell>
          <cell r="C5355">
            <v>21</v>
          </cell>
          <cell r="D5355">
            <v>412.1</v>
          </cell>
          <cell r="E5355">
            <v>8654.1</v>
          </cell>
          <cell r="F5355" t="str">
            <v>P16</v>
          </cell>
          <cell r="G5355" t="str">
            <v>Front rail  - Đố tiền</v>
          </cell>
          <cell r="H5355" t="str">
            <v>Wood Acacia - Straight/Waving Edged - T25mm x W100mm Up x L1m Up</v>
          </cell>
          <cell r="I5355">
            <v>84</v>
          </cell>
        </row>
        <row r="5356">
          <cell r="A5356" t="str">
            <v>B558337/A</v>
          </cell>
          <cell r="B5356" t="str">
            <v>RH6352M29</v>
          </cell>
          <cell r="C5356">
            <v>21</v>
          </cell>
          <cell r="D5356">
            <v>412.1</v>
          </cell>
          <cell r="E5356">
            <v>8654.1</v>
          </cell>
          <cell r="F5356" t="str">
            <v>P17</v>
          </cell>
          <cell r="G5356" t="str">
            <v>back rail - Đố hậu</v>
          </cell>
          <cell r="H5356" t="str">
            <v>Wood Acacia - Straight/Waving Edged - T25mm x W100mm Up x L1m Up</v>
          </cell>
          <cell r="I5356">
            <v>42</v>
          </cell>
        </row>
        <row r="5357">
          <cell r="A5357" t="str">
            <v>B558338/A</v>
          </cell>
          <cell r="B5357" t="str">
            <v>RH6352M29</v>
          </cell>
          <cell r="C5357">
            <v>44</v>
          </cell>
          <cell r="D5357">
            <v>412.1</v>
          </cell>
          <cell r="E5357">
            <v>18132.400000000001</v>
          </cell>
          <cell r="F5357" t="str">
            <v>A02-S1</v>
          </cell>
          <cell r="G5357" t="str">
            <v xml:space="preserve">Drawer front - Mặt hộc kéo </v>
          </cell>
          <cell r="H5357" t="str">
            <v>Wood Acacia - Straight/Waving Edged - T30mm x W100mm Up x L1m Up</v>
          </cell>
          <cell r="I5357">
            <v>88</v>
          </cell>
        </row>
        <row r="5358">
          <cell r="A5358" t="str">
            <v>B558338/A</v>
          </cell>
          <cell r="B5358" t="str">
            <v>RH6352M29</v>
          </cell>
          <cell r="C5358">
            <v>44</v>
          </cell>
          <cell r="D5358">
            <v>412.1</v>
          </cell>
          <cell r="E5358">
            <v>18132.400000000001</v>
          </cell>
          <cell r="F5358" t="str">
            <v>A02-S2</v>
          </cell>
          <cell r="G5358" t="str">
            <v>Drawer side - Hông hộc kéo</v>
          </cell>
          <cell r="H5358" t="str">
            <v>MDF-N - 12 x 1220 x 2440mm, Veneer Poplar Rotary 0.45mm Both Faces [CARB P2 Compliant]</v>
          </cell>
          <cell r="I5358">
            <v>176</v>
          </cell>
        </row>
        <row r="5359">
          <cell r="A5359" t="str">
            <v>B558338/A</v>
          </cell>
          <cell r="B5359" t="str">
            <v>RH6352M29</v>
          </cell>
          <cell r="C5359">
            <v>44</v>
          </cell>
          <cell r="D5359">
            <v>412.1</v>
          </cell>
          <cell r="E5359">
            <v>18132.400000000001</v>
          </cell>
          <cell r="F5359" t="str">
            <v>A02-S3</v>
          </cell>
          <cell r="G5359" t="str">
            <v>Drawer back - Hậu hộc kéo</v>
          </cell>
          <cell r="H5359" t="str">
            <v>MDF-N - 12 x 1220 x 2440mm, Veneer Poplar Rotary 0.45mm Both Faces [CARB P2 Compliant]</v>
          </cell>
          <cell r="I5359">
            <v>44</v>
          </cell>
        </row>
        <row r="5360">
          <cell r="A5360" t="str">
            <v>B558338/A</v>
          </cell>
          <cell r="B5360" t="str">
            <v>RH6352M29</v>
          </cell>
          <cell r="C5360">
            <v>44</v>
          </cell>
          <cell r="D5360">
            <v>412.1</v>
          </cell>
          <cell r="E5360">
            <v>18132.400000000001</v>
          </cell>
          <cell r="F5360" t="str">
            <v>A02-S3-1</v>
          </cell>
          <cell r="G5360" t="str">
            <v>Drawer back - Hậu hộc kéo</v>
          </cell>
          <cell r="H5360" t="str">
            <v>MDF-N - 12 x 1220 x 2440mm, Veneer Poplar Rotary 0.45mm Both Faces [CARB P2 Compliant]</v>
          </cell>
          <cell r="I5360">
            <v>44</v>
          </cell>
        </row>
        <row r="5361">
          <cell r="A5361" t="str">
            <v>B558338/A</v>
          </cell>
          <cell r="B5361" t="str">
            <v>RH6352M29</v>
          </cell>
          <cell r="C5361">
            <v>44</v>
          </cell>
          <cell r="D5361">
            <v>412.1</v>
          </cell>
          <cell r="E5361">
            <v>18132.400000000001</v>
          </cell>
          <cell r="F5361" t="str">
            <v>A02-S4</v>
          </cell>
          <cell r="G5361" t="str">
            <v>Drawer bottom  - Đáy hộc kéo</v>
          </cell>
          <cell r="H5361" t="str">
            <v>MDF - 06 x 1220 x 2440mm, Veneer Poplar 0.42mm + Veneer Engineering 0.3mm [CARB P2 Compliant]</v>
          </cell>
          <cell r="I5361">
            <v>264</v>
          </cell>
        </row>
        <row r="5362">
          <cell r="A5362" t="str">
            <v>B558338/A</v>
          </cell>
          <cell r="B5362" t="str">
            <v>RH6352M29</v>
          </cell>
          <cell r="C5362">
            <v>44</v>
          </cell>
          <cell r="D5362">
            <v>412.1</v>
          </cell>
          <cell r="E5362">
            <v>18132.400000000001</v>
          </cell>
          <cell r="F5362" t="str">
            <v>A02-S8</v>
          </cell>
          <cell r="G5362" t="str">
            <v>Patching wood - Gỗ đắp</v>
          </cell>
          <cell r="H5362" t="str">
            <v>TRAM OFF CUT</v>
          </cell>
          <cell r="I5362">
            <v>44</v>
          </cell>
        </row>
        <row r="5363">
          <cell r="A5363" t="str">
            <v>B558338/A</v>
          </cell>
          <cell r="B5363" t="str">
            <v>RH6352M29</v>
          </cell>
          <cell r="C5363">
            <v>44</v>
          </cell>
          <cell r="D5363">
            <v>412.1</v>
          </cell>
          <cell r="E5363">
            <v>18132.400000000001</v>
          </cell>
          <cell r="F5363" t="str">
            <v>a03-s1</v>
          </cell>
          <cell r="G5363" t="str">
            <v xml:space="preserve">Drawer front - Mặt hộc kéo </v>
          </cell>
          <cell r="H5363" t="str">
            <v>Wood Acacia - Straight/Waving Edged - T30mm x W100mm Up x L1m Up</v>
          </cell>
          <cell r="I5363">
            <v>176</v>
          </cell>
        </row>
        <row r="5364">
          <cell r="A5364" t="str">
            <v>B558338/A</v>
          </cell>
          <cell r="B5364" t="str">
            <v>RH6352M29</v>
          </cell>
          <cell r="C5364">
            <v>44</v>
          </cell>
          <cell r="D5364">
            <v>412.1</v>
          </cell>
          <cell r="E5364">
            <v>18132.400000000001</v>
          </cell>
          <cell r="F5364" t="str">
            <v>A03-S2</v>
          </cell>
          <cell r="G5364" t="str">
            <v>Drawer side - Hông hộc kéo</v>
          </cell>
          <cell r="H5364" t="str">
            <v>MDF-N - 12 x 1220 x 2440mm, Veneer Poplar Rotary 0.45mm Both Faces [CARB P2 Compliant]</v>
          </cell>
          <cell r="I5364">
            <v>352</v>
          </cell>
        </row>
        <row r="5365">
          <cell r="A5365" t="str">
            <v>B558338/A</v>
          </cell>
          <cell r="B5365" t="str">
            <v>RH6352M29</v>
          </cell>
          <cell r="C5365">
            <v>44</v>
          </cell>
          <cell r="D5365">
            <v>412.1</v>
          </cell>
          <cell r="E5365">
            <v>18132.400000000001</v>
          </cell>
          <cell r="F5365" t="str">
            <v>A03-S3</v>
          </cell>
          <cell r="G5365" t="str">
            <v>Drawer back - Hậu hộc kéo</v>
          </cell>
          <cell r="H5365" t="str">
            <v>MDF-N - 12 x 1220 x 2440mm, Veneer Poplar Rotary 0.45mm Both Faces [CARB P2 Compliant]</v>
          </cell>
          <cell r="I5365">
            <v>176</v>
          </cell>
        </row>
        <row r="5366">
          <cell r="A5366" t="str">
            <v>B558338/A</v>
          </cell>
          <cell r="B5366" t="str">
            <v>RH6352M29</v>
          </cell>
          <cell r="C5366">
            <v>44</v>
          </cell>
          <cell r="D5366">
            <v>412.1</v>
          </cell>
          <cell r="E5366">
            <v>18132.400000000001</v>
          </cell>
          <cell r="F5366" t="str">
            <v>a05-s1</v>
          </cell>
          <cell r="G5366" t="str">
            <v xml:space="preserve">Drawer front - Mặt hộc kéo </v>
          </cell>
          <cell r="H5366" t="str">
            <v>Wood Acacia - Straight/Waving Edged - T30mm x W100mm Up x L1m Up</v>
          </cell>
          <cell r="I5366">
            <v>44</v>
          </cell>
        </row>
        <row r="5367">
          <cell r="A5367" t="str">
            <v>B558338/A</v>
          </cell>
          <cell r="B5367" t="str">
            <v>RH6352M29</v>
          </cell>
          <cell r="C5367">
            <v>44</v>
          </cell>
          <cell r="D5367">
            <v>412.1</v>
          </cell>
          <cell r="E5367">
            <v>18132.400000000001</v>
          </cell>
          <cell r="F5367" t="str">
            <v>A05-S2</v>
          </cell>
          <cell r="G5367" t="str">
            <v>Drawer back - Hậu hộc kéo</v>
          </cell>
          <cell r="H5367" t="str">
            <v>MDF-N - 12 x 1220 x 2440mm, Veneer Poplar Rotary 0.45mm Both Faces [CARB P2 Compliant]</v>
          </cell>
          <cell r="I5367">
            <v>44</v>
          </cell>
        </row>
        <row r="5368">
          <cell r="A5368" t="str">
            <v>B558338/A</v>
          </cell>
          <cell r="B5368" t="str">
            <v>RH6352M29</v>
          </cell>
          <cell r="C5368">
            <v>44</v>
          </cell>
          <cell r="D5368">
            <v>412.1</v>
          </cell>
          <cell r="E5368">
            <v>18132.400000000001</v>
          </cell>
          <cell r="F5368" t="str">
            <v>A05-S3</v>
          </cell>
          <cell r="G5368" t="str">
            <v>Drawer bottom  - Đáy hộc kéo</v>
          </cell>
          <cell r="H5368" t="str">
            <v>MDF - 06 x 1220 x 2440mm, Veneer Poplar 0.42mm + Veneer Engineering 0.3mm [CARB P2 Compliant]</v>
          </cell>
          <cell r="I5368">
            <v>44</v>
          </cell>
        </row>
        <row r="5369">
          <cell r="A5369" t="str">
            <v>B558338/A</v>
          </cell>
          <cell r="B5369" t="str">
            <v>RH6352M29</v>
          </cell>
          <cell r="C5369">
            <v>44</v>
          </cell>
          <cell r="D5369">
            <v>412.1</v>
          </cell>
          <cell r="E5369">
            <v>18132.400000000001</v>
          </cell>
          <cell r="F5369" t="str">
            <v>A05-S4</v>
          </cell>
          <cell r="G5369" t="str">
            <v>Drawer side - Hông hộc kéo</v>
          </cell>
          <cell r="H5369" t="str">
            <v>MDF-N - 12 x 1220 x 2440mm, Veneer Poplar Rotary 0.45mm Both Faces [CARB P2 Compliant]</v>
          </cell>
          <cell r="I5369">
            <v>88</v>
          </cell>
        </row>
        <row r="5370">
          <cell r="A5370" t="str">
            <v>B558338/A</v>
          </cell>
          <cell r="B5370" t="str">
            <v>RH6352M29</v>
          </cell>
          <cell r="C5370">
            <v>44</v>
          </cell>
          <cell r="D5370">
            <v>412.1</v>
          </cell>
          <cell r="E5370">
            <v>18132.400000000001</v>
          </cell>
          <cell r="F5370" t="str">
            <v>a06-s1</v>
          </cell>
          <cell r="G5370" t="str">
            <v xml:space="preserve">Side panel  - Ván hông </v>
          </cell>
          <cell r="H5370" t="str">
            <v>MDF Veneer</v>
          </cell>
          <cell r="I5370">
            <v>88</v>
          </cell>
        </row>
        <row r="5371">
          <cell r="A5371" t="str">
            <v>B558338/A</v>
          </cell>
          <cell r="B5371" t="str">
            <v>RH6352M29</v>
          </cell>
          <cell r="C5371">
            <v>44</v>
          </cell>
          <cell r="D5371">
            <v>412.1</v>
          </cell>
          <cell r="E5371">
            <v>18132.400000000001</v>
          </cell>
          <cell r="F5371" t="str">
            <v>a06-s2</v>
          </cell>
          <cell r="G5371" t="str">
            <v>Front leg  - Chần tiền</v>
          </cell>
          <cell r="H5371" t="str">
            <v>Wood US Poplar - Straight Edged, 2 COM - T50mm x W100mm Up x L1.8m Up</v>
          </cell>
          <cell r="I5371">
            <v>88</v>
          </cell>
        </row>
        <row r="5372">
          <cell r="A5372" t="str">
            <v>B558338/A</v>
          </cell>
          <cell r="B5372" t="str">
            <v>RH6352M29</v>
          </cell>
          <cell r="C5372">
            <v>44</v>
          </cell>
          <cell r="D5372">
            <v>412.1</v>
          </cell>
          <cell r="E5372">
            <v>18132.400000000001</v>
          </cell>
          <cell r="F5372" t="str">
            <v>a06-s3</v>
          </cell>
          <cell r="G5372" t="str">
            <v>Back leg - Chân hậu</v>
          </cell>
          <cell r="H5372" t="str">
            <v>Wood US Poplar - Straight Edged, 2 COM - T50mm x W100mm Up x L1.8m Up</v>
          </cell>
          <cell r="I5372">
            <v>88</v>
          </cell>
        </row>
        <row r="5373">
          <cell r="A5373" t="str">
            <v>B558338/A</v>
          </cell>
          <cell r="B5373" t="str">
            <v>RH6352M29</v>
          </cell>
          <cell r="C5373">
            <v>44</v>
          </cell>
          <cell r="D5373">
            <v>412.1</v>
          </cell>
          <cell r="E5373">
            <v>18132.400000000001</v>
          </cell>
          <cell r="F5373" t="str">
            <v>a06-s3-1</v>
          </cell>
          <cell r="G5373" t="str">
            <v>Patching wood - Gỗ đắp</v>
          </cell>
          <cell r="H5373" t="str">
            <v>Wood Acacia - Straight/Waving Edged - T35mm x W100mm Up x L1m Up</v>
          </cell>
          <cell r="I5373">
            <v>352</v>
          </cell>
        </row>
        <row r="5374">
          <cell r="A5374" t="str">
            <v>B558338/A</v>
          </cell>
          <cell r="B5374" t="str">
            <v>RH6352M29</v>
          </cell>
          <cell r="C5374">
            <v>44</v>
          </cell>
          <cell r="D5374">
            <v>412.1</v>
          </cell>
          <cell r="E5374">
            <v>18132.400000000001</v>
          </cell>
          <cell r="F5374" t="str">
            <v>a06-s3-1a</v>
          </cell>
          <cell r="G5374" t="str">
            <v>Patching wood - Gỗ đắp</v>
          </cell>
          <cell r="H5374" t="str">
            <v>Wood Acacia - Straight/Waving Edged - T35mm x W100mm Up x L1m Up</v>
          </cell>
          <cell r="I5374">
            <v>176</v>
          </cell>
        </row>
        <row r="5375">
          <cell r="A5375" t="str">
            <v>B558338/A</v>
          </cell>
          <cell r="B5375" t="str">
            <v>RH6352M29</v>
          </cell>
          <cell r="C5375">
            <v>44</v>
          </cell>
          <cell r="D5375">
            <v>412.1</v>
          </cell>
          <cell r="E5375">
            <v>18132.400000000001</v>
          </cell>
          <cell r="F5375" t="str">
            <v>A06-S5</v>
          </cell>
          <cell r="G5375" t="str">
            <v xml:space="preserve">Side rail  - Đố hông </v>
          </cell>
          <cell r="H5375" t="str">
            <v>Wood Acacia - Straight/Waving Edged - T25mm x W100mm Up x L1m Up</v>
          </cell>
          <cell r="I5375">
            <v>176</v>
          </cell>
        </row>
        <row r="5376">
          <cell r="A5376" t="str">
            <v>B558338/A</v>
          </cell>
          <cell r="B5376" t="str">
            <v>RH6352M29</v>
          </cell>
          <cell r="C5376">
            <v>44</v>
          </cell>
          <cell r="D5376">
            <v>412.1</v>
          </cell>
          <cell r="E5376">
            <v>18132.400000000001</v>
          </cell>
          <cell r="F5376" t="str">
            <v>a06-s6</v>
          </cell>
          <cell r="G5376" t="str">
            <v xml:space="preserve">Side rail  - Đố hông </v>
          </cell>
          <cell r="H5376" t="str">
            <v>Wood Acacia - Straight/Waving Edged - T30mm x W100mm Up x L1m Up</v>
          </cell>
          <cell r="I5376">
            <v>528</v>
          </cell>
        </row>
        <row r="5377">
          <cell r="A5377" t="str">
            <v>B558338/A</v>
          </cell>
          <cell r="B5377" t="str">
            <v>RH6352M29</v>
          </cell>
          <cell r="C5377">
            <v>44</v>
          </cell>
          <cell r="D5377">
            <v>412.1</v>
          </cell>
          <cell r="E5377">
            <v>18132.400000000001</v>
          </cell>
          <cell r="F5377" t="str">
            <v>a07-s1</v>
          </cell>
          <cell r="G5377" t="str">
            <v>Vertical Panel inside  - Ván đứng trong</v>
          </cell>
          <cell r="H5377" t="str">
            <v>MDF Veneer</v>
          </cell>
          <cell r="I5377">
            <v>88</v>
          </cell>
        </row>
        <row r="5378">
          <cell r="A5378" t="str">
            <v>B558338/A</v>
          </cell>
          <cell r="B5378" t="str">
            <v>RH6352M29</v>
          </cell>
          <cell r="C5378">
            <v>44</v>
          </cell>
          <cell r="D5378">
            <v>412.1</v>
          </cell>
          <cell r="E5378">
            <v>18132.400000000001</v>
          </cell>
          <cell r="F5378" t="str">
            <v>a07-s2</v>
          </cell>
          <cell r="G5378" t="str">
            <v>Vertical rail 1 - Đố đứng 1</v>
          </cell>
          <cell r="H5378" t="str">
            <v>Wood US Poplar - Straight Edged, 2 COM - T50mm x W100mm Up x L1.8m Up</v>
          </cell>
          <cell r="I5378">
            <v>88</v>
          </cell>
        </row>
        <row r="5379">
          <cell r="A5379" t="str">
            <v>B558338/A</v>
          </cell>
          <cell r="B5379" t="str">
            <v>RH6352M29</v>
          </cell>
          <cell r="C5379">
            <v>44</v>
          </cell>
          <cell r="D5379">
            <v>412.1</v>
          </cell>
          <cell r="E5379">
            <v>18132.400000000001</v>
          </cell>
          <cell r="F5379" t="str">
            <v>a07-s3</v>
          </cell>
          <cell r="G5379" t="str">
            <v>Vertical rail 1 - Đố đứng 1</v>
          </cell>
          <cell r="H5379" t="str">
            <v>Wood US Poplar - Straight Edged, 2 COM - T50mm x W100mm Up x L1.8m Up</v>
          </cell>
          <cell r="I5379">
            <v>88</v>
          </cell>
        </row>
        <row r="5380">
          <cell r="A5380" t="str">
            <v>B558338/A</v>
          </cell>
          <cell r="B5380" t="str">
            <v>RH6352M29</v>
          </cell>
          <cell r="C5380">
            <v>44</v>
          </cell>
          <cell r="D5380">
            <v>412.1</v>
          </cell>
          <cell r="E5380">
            <v>18132.400000000001</v>
          </cell>
          <cell r="F5380" t="str">
            <v>a07-s4</v>
          </cell>
          <cell r="G5380" t="str">
            <v>Patching wood - Gỗ đắp</v>
          </cell>
          <cell r="H5380" t="str">
            <v>Wood Acacia - Straight/Waving Edged - T35mm x W100mm Up x L1m Up</v>
          </cell>
          <cell r="I5380">
            <v>88</v>
          </cell>
        </row>
        <row r="5381">
          <cell r="A5381" t="str">
            <v>B558338/A</v>
          </cell>
          <cell r="B5381" t="str">
            <v>RH6352M29</v>
          </cell>
          <cell r="C5381">
            <v>44</v>
          </cell>
          <cell r="D5381">
            <v>412.1</v>
          </cell>
          <cell r="E5381">
            <v>18132.400000000001</v>
          </cell>
          <cell r="F5381" t="str">
            <v>a10-s1</v>
          </cell>
          <cell r="G5381" t="str">
            <v>Bottom rail inside - Đố tiền đáy</v>
          </cell>
          <cell r="H5381" t="str">
            <v>Wood US Poplar - Straight Edged, 2 COM - T38mm x W100mm Up x L1.8m Up</v>
          </cell>
          <cell r="I5381">
            <v>88</v>
          </cell>
        </row>
        <row r="5382">
          <cell r="A5382" t="str">
            <v>B558338/A</v>
          </cell>
          <cell r="B5382" t="str">
            <v>RH6352M29</v>
          </cell>
          <cell r="C5382">
            <v>44</v>
          </cell>
          <cell r="D5382">
            <v>412.1</v>
          </cell>
          <cell r="E5382">
            <v>18132.400000000001</v>
          </cell>
          <cell r="F5382" t="str">
            <v>a10-s2</v>
          </cell>
          <cell r="G5382" t="str">
            <v>Back bottom rail - Đố hậu đáy</v>
          </cell>
          <cell r="H5382" t="str">
            <v>Wood US Poplar - Straight Edged, 2 COM - T38mm x W100mm Up x L1.8m Up</v>
          </cell>
          <cell r="I5382">
            <v>88</v>
          </cell>
        </row>
        <row r="5383">
          <cell r="A5383" t="str">
            <v>B558338/A</v>
          </cell>
          <cell r="B5383" t="str">
            <v>RH6352M29</v>
          </cell>
          <cell r="C5383">
            <v>44</v>
          </cell>
          <cell r="D5383">
            <v>412.1</v>
          </cell>
          <cell r="E5383">
            <v>18132.400000000001</v>
          </cell>
          <cell r="F5383" t="str">
            <v>A10-S3</v>
          </cell>
          <cell r="G5383" t="str">
            <v>Dust board Panel  - Ván quét bụi</v>
          </cell>
          <cell r="H5383" t="str">
            <v>MDF - 06 x 1830 x 2440mm [CARB P2 Compliant]</v>
          </cell>
          <cell r="I5383">
            <v>88</v>
          </cell>
        </row>
        <row r="5384">
          <cell r="A5384" t="str">
            <v>B558338/A</v>
          </cell>
          <cell r="B5384" t="str">
            <v>RH6352M29</v>
          </cell>
          <cell r="C5384">
            <v>44</v>
          </cell>
          <cell r="D5384">
            <v>412.1</v>
          </cell>
          <cell r="E5384">
            <v>18132.400000000001</v>
          </cell>
          <cell r="F5384" t="str">
            <v>p01</v>
          </cell>
          <cell r="G5384" t="str">
            <v>Front top rail  - Đố tiền nóc</v>
          </cell>
          <cell r="H5384" t="str">
            <v>Wood Acacia - Straight/Waving Edged - T30mm x W100mm Up x L1m Up</v>
          </cell>
          <cell r="I5384">
            <v>88</v>
          </cell>
        </row>
        <row r="5385">
          <cell r="A5385" t="str">
            <v>B558338/A</v>
          </cell>
          <cell r="B5385" t="str">
            <v>RH6352M29</v>
          </cell>
          <cell r="C5385">
            <v>44</v>
          </cell>
          <cell r="D5385">
            <v>412.1</v>
          </cell>
          <cell r="E5385">
            <v>18132.400000000001</v>
          </cell>
          <cell r="F5385" t="str">
            <v>p02</v>
          </cell>
          <cell r="G5385" t="str">
            <v>Front top rail  - Đố tiền nóc</v>
          </cell>
          <cell r="H5385" t="str">
            <v>Wood Acacia - Straight/Waving Edged - T30mm x W100mm Up x L1m Up</v>
          </cell>
          <cell r="I5385">
            <v>44</v>
          </cell>
        </row>
        <row r="5386">
          <cell r="A5386" t="str">
            <v>B558338/A</v>
          </cell>
          <cell r="B5386" t="str">
            <v>RH6352M29</v>
          </cell>
          <cell r="C5386">
            <v>44</v>
          </cell>
          <cell r="D5386">
            <v>412.1</v>
          </cell>
          <cell r="E5386">
            <v>18132.400000000001</v>
          </cell>
          <cell r="F5386" t="str">
            <v>p03</v>
          </cell>
          <cell r="G5386" t="str">
            <v>Back panel - Ván hậu</v>
          </cell>
          <cell r="H5386" t="str">
            <v>MDF - 06 x 1220 x 2440mm, Veneer Okoume 0.3mm Both Faces [CARB P2 Compliant]</v>
          </cell>
          <cell r="I5386">
            <v>44</v>
          </cell>
        </row>
        <row r="5387">
          <cell r="A5387" t="str">
            <v>B558338/A</v>
          </cell>
          <cell r="B5387" t="str">
            <v>RH6352M29</v>
          </cell>
          <cell r="C5387">
            <v>44</v>
          </cell>
          <cell r="D5387">
            <v>412.1</v>
          </cell>
          <cell r="E5387">
            <v>18132.400000000001</v>
          </cell>
          <cell r="F5387" t="str">
            <v>p03-1</v>
          </cell>
          <cell r="G5387" t="str">
            <v>Back panel - Ván hậu</v>
          </cell>
          <cell r="H5387" t="str">
            <v>MDF - 06 x 1220 x 2440mm, Veneer Okoume 0.3mm Both Faces [CARB P2 Compliant]</v>
          </cell>
          <cell r="I5387">
            <v>44</v>
          </cell>
        </row>
        <row r="5388">
          <cell r="A5388" t="str">
            <v>B558338/A</v>
          </cell>
          <cell r="B5388" t="str">
            <v>RH6352M29</v>
          </cell>
          <cell r="C5388">
            <v>44</v>
          </cell>
          <cell r="D5388">
            <v>412.1</v>
          </cell>
          <cell r="E5388">
            <v>18132.400000000001</v>
          </cell>
          <cell r="F5388" t="str">
            <v>p04</v>
          </cell>
          <cell r="G5388" t="str">
            <v>Back panel - Ván hậu</v>
          </cell>
          <cell r="H5388" t="str">
            <v>MDF - 06 x 1220 x 2440mm, Veneer Okoume 0.3mm Both Faces [CARB P2 Compliant]</v>
          </cell>
          <cell r="I5388">
            <v>44</v>
          </cell>
        </row>
        <row r="5389">
          <cell r="A5389" t="str">
            <v>B558338/A</v>
          </cell>
          <cell r="B5389" t="str">
            <v>RH6352M29</v>
          </cell>
          <cell r="C5389">
            <v>44</v>
          </cell>
          <cell r="D5389">
            <v>412.1</v>
          </cell>
          <cell r="E5389">
            <v>18132.400000000001</v>
          </cell>
          <cell r="F5389" t="str">
            <v>p05</v>
          </cell>
          <cell r="G5389" t="str">
            <v>Back top rail - Đố hậu nóc</v>
          </cell>
          <cell r="H5389" t="str">
            <v>Wood Acacia - Straight/Waving Edged - T25mm x W100mm Up x L1m Up</v>
          </cell>
          <cell r="I5389">
            <v>88</v>
          </cell>
        </row>
        <row r="5390">
          <cell r="A5390" t="str">
            <v>B558338/A</v>
          </cell>
          <cell r="B5390" t="str">
            <v>RH6352M29</v>
          </cell>
          <cell r="C5390">
            <v>44</v>
          </cell>
          <cell r="D5390">
            <v>412.1</v>
          </cell>
          <cell r="E5390">
            <v>18132.400000000001</v>
          </cell>
          <cell r="F5390" t="str">
            <v>p06</v>
          </cell>
          <cell r="G5390" t="str">
            <v>Back top rail - Đố hậu nóc</v>
          </cell>
          <cell r="H5390" t="str">
            <v>Wood Acacia - Straight/Waving Edged - T25mm x W100mm Up x L1m Up</v>
          </cell>
          <cell r="I5390">
            <v>44</v>
          </cell>
        </row>
        <row r="5391">
          <cell r="A5391" t="str">
            <v>B558338/A</v>
          </cell>
          <cell r="B5391" t="str">
            <v>RH6352M29</v>
          </cell>
          <cell r="C5391">
            <v>44</v>
          </cell>
          <cell r="D5391">
            <v>412.1</v>
          </cell>
          <cell r="E5391">
            <v>18132.400000000001</v>
          </cell>
          <cell r="F5391" t="str">
            <v>p07</v>
          </cell>
          <cell r="G5391" t="str">
            <v>Corner block - ke góc</v>
          </cell>
          <cell r="H5391" t="str">
            <v>Wood Acacia - Straight/Waving Edged - T25mm x W100mm Up x L1m Up</v>
          </cell>
          <cell r="I5391">
            <v>88</v>
          </cell>
        </row>
        <row r="5392">
          <cell r="A5392" t="str">
            <v>B558338/A</v>
          </cell>
          <cell r="B5392" t="str">
            <v>RH6352M29</v>
          </cell>
          <cell r="C5392">
            <v>44</v>
          </cell>
          <cell r="D5392">
            <v>412.1</v>
          </cell>
          <cell r="E5392">
            <v>18132.400000000001</v>
          </cell>
          <cell r="F5392" t="str">
            <v>p10</v>
          </cell>
          <cell r="G5392" t="str">
            <v>Front leg  - Chần tiền</v>
          </cell>
          <cell r="H5392" t="str">
            <v>Wood EU Beech - Straight/Waving Edged ABC, 2 COM - T50mm x W100mm up x L1.8m up</v>
          </cell>
          <cell r="I5392">
            <v>352</v>
          </cell>
        </row>
        <row r="5393">
          <cell r="A5393" t="str">
            <v>B558338/A</v>
          </cell>
          <cell r="B5393" t="str">
            <v>RH6352M29</v>
          </cell>
          <cell r="C5393">
            <v>44</v>
          </cell>
          <cell r="D5393">
            <v>412.1</v>
          </cell>
          <cell r="E5393">
            <v>18132.400000000001</v>
          </cell>
          <cell r="F5393" t="str">
            <v>p11</v>
          </cell>
          <cell r="G5393" t="str">
            <v>Drawer stop - Dừng hộc</v>
          </cell>
          <cell r="H5393" t="str">
            <v>Wood Acacia - Straight/Waving Edged - T25mm x W100mm Up x L1m Up</v>
          </cell>
          <cell r="I5393">
            <v>616</v>
          </cell>
        </row>
        <row r="5394">
          <cell r="A5394" t="str">
            <v>B558338/A</v>
          </cell>
          <cell r="B5394" t="str">
            <v>RH6352M29</v>
          </cell>
          <cell r="C5394">
            <v>44</v>
          </cell>
          <cell r="D5394">
            <v>412.1</v>
          </cell>
          <cell r="E5394">
            <v>18132.400000000001</v>
          </cell>
          <cell r="F5394" t="str">
            <v>p13</v>
          </cell>
          <cell r="G5394" t="str">
            <v>Bottom panel - Ván đáy</v>
          </cell>
          <cell r="H5394" t="str">
            <v>MDF Veneer</v>
          </cell>
          <cell r="I5394">
            <v>44</v>
          </cell>
        </row>
        <row r="5395">
          <cell r="A5395" t="str">
            <v>B558338/A</v>
          </cell>
          <cell r="B5395" t="str">
            <v>RH6352M29</v>
          </cell>
          <cell r="C5395">
            <v>44</v>
          </cell>
          <cell r="D5395">
            <v>412.1</v>
          </cell>
          <cell r="E5395">
            <v>18132.400000000001</v>
          </cell>
          <cell r="F5395" t="str">
            <v>P14</v>
          </cell>
          <cell r="G5395" t="str">
            <v xml:space="preserve">Top panel  - Ván nóc </v>
          </cell>
          <cell r="H5395" t="str">
            <v>MDF Veneer</v>
          </cell>
          <cell r="I5395">
            <v>44</v>
          </cell>
        </row>
        <row r="5396">
          <cell r="A5396" t="str">
            <v>B558338/A</v>
          </cell>
          <cell r="B5396" t="str">
            <v>RH6352M29</v>
          </cell>
          <cell r="C5396">
            <v>44</v>
          </cell>
          <cell r="D5396">
            <v>412.1</v>
          </cell>
          <cell r="E5396">
            <v>18132.400000000001</v>
          </cell>
          <cell r="F5396" t="str">
            <v>P15</v>
          </cell>
          <cell r="G5396" t="str">
            <v>Corner block - ke góc</v>
          </cell>
          <cell r="H5396" t="str">
            <v>Poplar off cut</v>
          </cell>
          <cell r="I5396">
            <v>352</v>
          </cell>
        </row>
        <row r="5397">
          <cell r="A5397" t="str">
            <v>B558338/A</v>
          </cell>
          <cell r="B5397" t="str">
            <v>RH6352M29</v>
          </cell>
          <cell r="C5397">
            <v>44</v>
          </cell>
          <cell r="D5397">
            <v>412.1</v>
          </cell>
          <cell r="E5397">
            <v>18132.400000000001</v>
          </cell>
          <cell r="F5397" t="str">
            <v>P16</v>
          </cell>
          <cell r="G5397" t="str">
            <v>Front rail  - Đố tiền</v>
          </cell>
          <cell r="H5397" t="str">
            <v>Wood Acacia - Straight/Waving Edged - T25mm x W100mm Up x L1m Up</v>
          </cell>
          <cell r="I5397">
            <v>176</v>
          </cell>
        </row>
        <row r="5398">
          <cell r="A5398" t="str">
            <v>B558338/A</v>
          </cell>
          <cell r="B5398" t="str">
            <v>RH6352M29</v>
          </cell>
          <cell r="C5398">
            <v>44</v>
          </cell>
          <cell r="D5398">
            <v>412.1</v>
          </cell>
          <cell r="E5398">
            <v>18132.400000000001</v>
          </cell>
          <cell r="F5398" t="str">
            <v>P17</v>
          </cell>
          <cell r="G5398" t="str">
            <v>back rail - Đố hậu</v>
          </cell>
          <cell r="H5398" t="str">
            <v>Wood Acacia - Straight/Waving Edged - T25mm x W100mm Up x L1m Up</v>
          </cell>
          <cell r="I5398">
            <v>88</v>
          </cell>
        </row>
        <row r="5399">
          <cell r="A5399" t="str">
            <v>B558340/A</v>
          </cell>
          <cell r="B5399" t="str">
            <v>RH6680M40</v>
          </cell>
          <cell r="C5399">
            <v>20</v>
          </cell>
          <cell r="D5399">
            <v>580</v>
          </cell>
          <cell r="E5399">
            <v>11600</v>
          </cell>
          <cell r="F5399" t="str">
            <v>A1-S01</v>
          </cell>
          <cell r="G5399" t="str">
            <v>Front top rail  - Đố tiền nóc</v>
          </cell>
          <cell r="H5399" t="str">
            <v>Wood - Hem Fir 2 COM</v>
          </cell>
          <cell r="I5399">
            <v>20</v>
          </cell>
        </row>
        <row r="5400">
          <cell r="A5400" t="str">
            <v>B558340/A</v>
          </cell>
          <cell r="B5400" t="str">
            <v>RH6680M40</v>
          </cell>
          <cell r="C5400">
            <v>20</v>
          </cell>
          <cell r="D5400">
            <v>580</v>
          </cell>
          <cell r="E5400">
            <v>11600</v>
          </cell>
          <cell r="F5400" t="str">
            <v>A1-S02</v>
          </cell>
          <cell r="G5400" t="str">
            <v xml:space="preserve">Side rail  - Đố hông </v>
          </cell>
          <cell r="H5400" t="str">
            <v>Wood - Hem Fir 2 COM</v>
          </cell>
          <cell r="I5400">
            <v>40</v>
          </cell>
        </row>
        <row r="5401">
          <cell r="A5401" t="str">
            <v>B558340/A</v>
          </cell>
          <cell r="B5401" t="str">
            <v>RH6680M40</v>
          </cell>
          <cell r="C5401">
            <v>20</v>
          </cell>
          <cell r="D5401">
            <v>580</v>
          </cell>
          <cell r="E5401">
            <v>11600</v>
          </cell>
          <cell r="F5401" t="str">
            <v>A1-S03</v>
          </cell>
          <cell r="G5401" t="str">
            <v>back rail - Đố hậu</v>
          </cell>
          <cell r="H5401" t="str">
            <v>Wood White Spruce - Straight Edged, 1-5 grade - T32mm x W125mm Up x L2m Up</v>
          </cell>
          <cell r="I5401">
            <v>20</v>
          </cell>
        </row>
        <row r="5402">
          <cell r="A5402" t="str">
            <v>B558340/A</v>
          </cell>
          <cell r="B5402" t="str">
            <v>RH6680M40</v>
          </cell>
          <cell r="C5402">
            <v>20</v>
          </cell>
          <cell r="D5402">
            <v>580</v>
          </cell>
          <cell r="E5402">
            <v>11600</v>
          </cell>
          <cell r="F5402" t="str">
            <v>A1-S04</v>
          </cell>
          <cell r="G5402" t="str">
            <v xml:space="preserve">Top panel  - Ván nóc </v>
          </cell>
          <cell r="H5402" t="str">
            <v>MDF Veneer</v>
          </cell>
          <cell r="I5402">
            <v>20</v>
          </cell>
        </row>
        <row r="5403">
          <cell r="A5403" t="str">
            <v>B558340/A</v>
          </cell>
          <cell r="B5403" t="str">
            <v>RH6680M40</v>
          </cell>
          <cell r="C5403">
            <v>20</v>
          </cell>
          <cell r="D5403">
            <v>580</v>
          </cell>
          <cell r="E5403">
            <v>11600</v>
          </cell>
          <cell r="F5403" t="str">
            <v>A1-S05</v>
          </cell>
          <cell r="G5403" t="str">
            <v>Back rail 1 - đố sau 1</v>
          </cell>
          <cell r="H5403" t="str">
            <v>Wood White Spruce - Straight Edged, 1-5 grade - T32mm x W125mm Up x L2m Up</v>
          </cell>
          <cell r="I5403">
            <v>20</v>
          </cell>
        </row>
        <row r="5404">
          <cell r="A5404" t="str">
            <v>B558340/A</v>
          </cell>
          <cell r="B5404" t="str">
            <v>RH6680M40</v>
          </cell>
          <cell r="C5404">
            <v>20</v>
          </cell>
          <cell r="D5404">
            <v>580</v>
          </cell>
          <cell r="E5404">
            <v>11600</v>
          </cell>
          <cell r="F5404" t="str">
            <v>A2-S01</v>
          </cell>
          <cell r="G5404" t="str">
            <v>Bottom rail inside - Đố tiền đáy</v>
          </cell>
          <cell r="H5404" t="str">
            <v>Wood White Spruce - Straight Edged, 1-5 grade - T32mm x W125mm Up x L2m Up</v>
          </cell>
          <cell r="I5404">
            <v>20</v>
          </cell>
        </row>
        <row r="5405">
          <cell r="A5405" t="str">
            <v>B558340/A</v>
          </cell>
          <cell r="B5405" t="str">
            <v>RH6680M40</v>
          </cell>
          <cell r="C5405">
            <v>20</v>
          </cell>
          <cell r="D5405">
            <v>580</v>
          </cell>
          <cell r="E5405">
            <v>11600</v>
          </cell>
          <cell r="F5405" t="str">
            <v>A2-S02</v>
          </cell>
          <cell r="G5405" t="str">
            <v>Back rail with note finger - đố hậu</v>
          </cell>
          <cell r="H5405" t="str">
            <v>Wood EU Beech - Straight/Waving Edged ABC, 2 COM - T26mm x W100mm up x L1.8m up</v>
          </cell>
          <cell r="I5405">
            <v>20</v>
          </cell>
        </row>
        <row r="5406">
          <cell r="A5406" t="str">
            <v>B558340/A</v>
          </cell>
          <cell r="B5406" t="str">
            <v>RH6680M40</v>
          </cell>
          <cell r="C5406">
            <v>20</v>
          </cell>
          <cell r="D5406">
            <v>580</v>
          </cell>
          <cell r="E5406">
            <v>11600</v>
          </cell>
          <cell r="F5406" t="str">
            <v>A2-S04</v>
          </cell>
          <cell r="G5406" t="str">
            <v>Bottom panel - Ván đáy</v>
          </cell>
          <cell r="H5406" t="str">
            <v>MDF Veneer</v>
          </cell>
          <cell r="I5406">
            <v>20</v>
          </cell>
        </row>
        <row r="5407">
          <cell r="A5407" t="str">
            <v>B558340/A</v>
          </cell>
          <cell r="B5407" t="str">
            <v>RH6680M40</v>
          </cell>
          <cell r="C5407">
            <v>20</v>
          </cell>
          <cell r="D5407">
            <v>580</v>
          </cell>
          <cell r="E5407">
            <v>11600</v>
          </cell>
          <cell r="F5407" t="str">
            <v>A3-S01</v>
          </cell>
          <cell r="G5407" t="str">
            <v>Front Vertical rail  - Trụ tiền</v>
          </cell>
          <cell r="H5407" t="str">
            <v>Wood - Hem Fir 2 COM</v>
          </cell>
          <cell r="I5407">
            <v>40</v>
          </cell>
        </row>
        <row r="5408">
          <cell r="A5408" t="str">
            <v>B558340/A</v>
          </cell>
          <cell r="B5408" t="str">
            <v>RH6680M40</v>
          </cell>
          <cell r="C5408">
            <v>20</v>
          </cell>
          <cell r="D5408">
            <v>580</v>
          </cell>
          <cell r="E5408">
            <v>11600</v>
          </cell>
          <cell r="F5408" t="str">
            <v>A3-S02</v>
          </cell>
          <cell r="G5408" t="str">
            <v>Back Vertical rail - Trụ hậu</v>
          </cell>
          <cell r="H5408" t="str">
            <v>Wood White Spruce - Straight Edged, 1-5 grade - T32mm x W125mm Up x L2m Up</v>
          </cell>
          <cell r="I5408">
            <v>40</v>
          </cell>
        </row>
        <row r="5409">
          <cell r="A5409" t="str">
            <v>B558340/A</v>
          </cell>
          <cell r="B5409" t="str">
            <v>RH6680M40</v>
          </cell>
          <cell r="C5409">
            <v>20</v>
          </cell>
          <cell r="D5409">
            <v>580</v>
          </cell>
          <cell r="E5409">
            <v>11600</v>
          </cell>
          <cell r="F5409" t="str">
            <v>A3-S03</v>
          </cell>
          <cell r="G5409" t="str">
            <v xml:space="preserve">Side panel  - Ván hông </v>
          </cell>
          <cell r="H5409" t="str">
            <v>MDF Veneer</v>
          </cell>
          <cell r="I5409">
            <v>40</v>
          </cell>
        </row>
        <row r="5410">
          <cell r="A5410" t="str">
            <v>B558340/A</v>
          </cell>
          <cell r="B5410" t="str">
            <v>RH6680M40</v>
          </cell>
          <cell r="C5410">
            <v>20</v>
          </cell>
          <cell r="D5410">
            <v>580</v>
          </cell>
          <cell r="E5410">
            <v>11600</v>
          </cell>
          <cell r="F5410" t="str">
            <v>A3-S04</v>
          </cell>
          <cell r="G5410" t="str">
            <v>Bottom rail inside - Đố tiền đáy</v>
          </cell>
          <cell r="H5410" t="str">
            <v>Wood White Spruce - Straight Edged, 1-5 grade - T32mm x W125mm Up x L2m Up</v>
          </cell>
          <cell r="I5410">
            <v>40</v>
          </cell>
        </row>
        <row r="5411">
          <cell r="A5411" t="str">
            <v>B558340/A</v>
          </cell>
          <cell r="B5411" t="str">
            <v>RH6680M40</v>
          </cell>
          <cell r="C5411">
            <v>20</v>
          </cell>
          <cell r="D5411">
            <v>580</v>
          </cell>
          <cell r="E5411">
            <v>11600</v>
          </cell>
          <cell r="F5411" t="str">
            <v>A3-S05</v>
          </cell>
          <cell r="G5411" t="str">
            <v>Front rail 1 - đố trước 1</v>
          </cell>
          <cell r="H5411" t="str">
            <v>Wood White Spruce - PICEA ABIES, 1-5 grade - T38mm x W125mm up x Length 2m up</v>
          </cell>
          <cell r="I5411">
            <v>40</v>
          </cell>
        </row>
        <row r="5412">
          <cell r="A5412" t="str">
            <v>B558340/A</v>
          </cell>
          <cell r="B5412" t="str">
            <v>RH6680M40</v>
          </cell>
          <cell r="C5412">
            <v>20</v>
          </cell>
          <cell r="D5412">
            <v>580</v>
          </cell>
          <cell r="E5412">
            <v>11600</v>
          </cell>
          <cell r="F5412" t="str">
            <v>A3-S06</v>
          </cell>
          <cell r="G5412" t="str">
            <v>Cleat - Bọ gỗ</v>
          </cell>
          <cell r="H5412" t="str">
            <v>Wood White Spruce - Straight Edged, 1-5 grade - T32mm x W125mm Up x L2m Up</v>
          </cell>
          <cell r="I5412">
            <v>40</v>
          </cell>
        </row>
        <row r="5413">
          <cell r="A5413" t="str">
            <v>B558340/A</v>
          </cell>
          <cell r="B5413" t="str">
            <v>RH6680M40</v>
          </cell>
          <cell r="C5413">
            <v>20</v>
          </cell>
          <cell r="D5413">
            <v>580</v>
          </cell>
          <cell r="E5413">
            <v>11600</v>
          </cell>
          <cell r="F5413" t="str">
            <v>P01</v>
          </cell>
          <cell r="G5413" t="str">
            <v>Adjustable Shelf  - Kệ di động</v>
          </cell>
          <cell r="H5413" t="str">
            <v>Pre-Assembly</v>
          </cell>
          <cell r="I5413">
            <v>20</v>
          </cell>
        </row>
        <row r="5414">
          <cell r="A5414" t="str">
            <v>B558340/A</v>
          </cell>
          <cell r="B5414" t="str">
            <v>RH6680M40</v>
          </cell>
          <cell r="C5414">
            <v>20</v>
          </cell>
          <cell r="D5414">
            <v>580</v>
          </cell>
          <cell r="E5414">
            <v>11600</v>
          </cell>
          <cell r="F5414" t="str">
            <v>P01-1</v>
          </cell>
          <cell r="G5414" t="str">
            <v>Adjustable Shelf  - Kệ di động</v>
          </cell>
          <cell r="H5414" t="str">
            <v>Wood White Spruce - Straight Edged, 1-5 grade - T32mm x W125mm Up x L2m Up</v>
          </cell>
          <cell r="I5414">
            <v>80</v>
          </cell>
        </row>
        <row r="5415">
          <cell r="A5415" t="str">
            <v>B558340/A</v>
          </cell>
          <cell r="B5415" t="str">
            <v>RH6680M40</v>
          </cell>
          <cell r="C5415">
            <v>20</v>
          </cell>
          <cell r="D5415">
            <v>580</v>
          </cell>
          <cell r="E5415">
            <v>11600</v>
          </cell>
          <cell r="F5415" t="str">
            <v>P01-2</v>
          </cell>
          <cell r="G5415" t="str">
            <v>Adjustable Shelf  - Kệ di động</v>
          </cell>
          <cell r="H5415" t="str">
            <v>MDF Veneer</v>
          </cell>
          <cell r="I5415">
            <v>20</v>
          </cell>
        </row>
        <row r="5416">
          <cell r="A5416" t="str">
            <v>B558340/A</v>
          </cell>
          <cell r="B5416" t="str">
            <v>RH6680M40</v>
          </cell>
          <cell r="C5416">
            <v>20</v>
          </cell>
          <cell r="D5416">
            <v>580</v>
          </cell>
          <cell r="E5416">
            <v>11600</v>
          </cell>
          <cell r="F5416" t="str">
            <v>P02</v>
          </cell>
          <cell r="G5416" t="str">
            <v>Adjustable Shelf  - Kệ di động</v>
          </cell>
          <cell r="H5416" t="str">
            <v>Pre-Assembly</v>
          </cell>
          <cell r="I5416">
            <v>60</v>
          </cell>
        </row>
        <row r="5417">
          <cell r="A5417" t="str">
            <v>B558340/A</v>
          </cell>
          <cell r="B5417" t="str">
            <v>RH6680M40</v>
          </cell>
          <cell r="C5417">
            <v>20</v>
          </cell>
          <cell r="D5417">
            <v>580</v>
          </cell>
          <cell r="E5417">
            <v>11600</v>
          </cell>
          <cell r="F5417" t="str">
            <v>P02-2</v>
          </cell>
          <cell r="G5417" t="str">
            <v>Adjustable Shelf  - Kệ di động</v>
          </cell>
          <cell r="H5417" t="str">
            <v>MDF Veneer</v>
          </cell>
          <cell r="I5417">
            <v>60</v>
          </cell>
        </row>
        <row r="5418">
          <cell r="A5418" t="str">
            <v>B558340/A</v>
          </cell>
          <cell r="B5418" t="str">
            <v>RH6680M40</v>
          </cell>
          <cell r="C5418">
            <v>20</v>
          </cell>
          <cell r="D5418">
            <v>580</v>
          </cell>
          <cell r="E5418">
            <v>11600</v>
          </cell>
          <cell r="F5418" t="str">
            <v>P03</v>
          </cell>
          <cell r="G5418" t="str">
            <v>Front rail 1 - đố trước 1</v>
          </cell>
          <cell r="H5418" t="str">
            <v>Wood - Hem Fir 2 COM</v>
          </cell>
          <cell r="I5418">
            <v>20</v>
          </cell>
        </row>
        <row r="5419">
          <cell r="A5419" t="str">
            <v>B558340/A</v>
          </cell>
          <cell r="B5419" t="str">
            <v>RH6680M40</v>
          </cell>
          <cell r="C5419">
            <v>20</v>
          </cell>
          <cell r="D5419">
            <v>580</v>
          </cell>
          <cell r="E5419">
            <v>11600</v>
          </cell>
          <cell r="F5419" t="str">
            <v>P04</v>
          </cell>
          <cell r="G5419" t="str">
            <v>Center panel - Ván giữa</v>
          </cell>
          <cell r="H5419" t="str">
            <v>MDF Veneer</v>
          </cell>
          <cell r="I5419">
            <v>20</v>
          </cell>
        </row>
        <row r="5420">
          <cell r="A5420" t="str">
            <v>B558340/A</v>
          </cell>
          <cell r="B5420" t="str">
            <v>RH6680M40</v>
          </cell>
          <cell r="C5420">
            <v>20</v>
          </cell>
          <cell r="D5420">
            <v>580</v>
          </cell>
          <cell r="E5420">
            <v>11600</v>
          </cell>
          <cell r="F5420" t="str">
            <v>P06</v>
          </cell>
          <cell r="G5420" t="str">
            <v>Back panel - Ván hậu</v>
          </cell>
          <cell r="H5420" t="str">
            <v>MDF Veneer</v>
          </cell>
          <cell r="I5420">
            <v>20</v>
          </cell>
        </row>
        <row r="5421">
          <cell r="A5421" t="str">
            <v>B558340/A</v>
          </cell>
          <cell r="B5421" t="str">
            <v>RH6680M40</v>
          </cell>
          <cell r="C5421">
            <v>20</v>
          </cell>
          <cell r="D5421">
            <v>580</v>
          </cell>
          <cell r="E5421">
            <v>11600</v>
          </cell>
          <cell r="F5421" t="str">
            <v>P07</v>
          </cell>
          <cell r="G5421" t="str">
            <v>Front rail 1 - đố trước 1</v>
          </cell>
          <cell r="H5421" t="str">
            <v>Wood White Spruce - Straight Edged, 1-5 grade - T32mm x W125mm Up x L2m Up</v>
          </cell>
          <cell r="I5421">
            <v>20</v>
          </cell>
        </row>
        <row r="5422">
          <cell r="A5422" t="str">
            <v>B558340/A</v>
          </cell>
          <cell r="B5422" t="str">
            <v>RH6680M40</v>
          </cell>
          <cell r="C5422">
            <v>20</v>
          </cell>
          <cell r="D5422">
            <v>580</v>
          </cell>
          <cell r="E5422">
            <v>11600</v>
          </cell>
          <cell r="F5422" t="str">
            <v>P08</v>
          </cell>
          <cell r="G5422" t="str">
            <v>back rail - Đố hậu</v>
          </cell>
          <cell r="H5422" t="str">
            <v>Wood White Spruce - Straight Edged, 1-5 grade - T32mm x W125mm Up x L2m Up</v>
          </cell>
          <cell r="I5422">
            <v>20</v>
          </cell>
        </row>
        <row r="5423">
          <cell r="A5423" t="str">
            <v>B558340/A</v>
          </cell>
          <cell r="B5423" t="str">
            <v>RH6680M40</v>
          </cell>
          <cell r="C5423">
            <v>20</v>
          </cell>
          <cell r="D5423">
            <v>580</v>
          </cell>
          <cell r="E5423">
            <v>11600</v>
          </cell>
          <cell r="F5423" t="str">
            <v>P09</v>
          </cell>
          <cell r="G5423" t="str">
            <v>Insert Wood - Gỗ chèn</v>
          </cell>
          <cell r="H5423" t="str">
            <v>Beech off cut</v>
          </cell>
          <cell r="I5423">
            <v>80</v>
          </cell>
        </row>
        <row r="5424">
          <cell r="A5424" t="str">
            <v>B558340/A</v>
          </cell>
          <cell r="B5424" t="str">
            <v>RH6680M40</v>
          </cell>
          <cell r="C5424">
            <v>20</v>
          </cell>
          <cell r="D5424">
            <v>580</v>
          </cell>
          <cell r="E5424">
            <v>11600</v>
          </cell>
          <cell r="F5424" t="str">
            <v>P10</v>
          </cell>
          <cell r="G5424" t="str">
            <v>Door panel  - Ván cửa</v>
          </cell>
          <cell r="H5424" t="str">
            <v>MDF Veneer</v>
          </cell>
          <cell r="I5424">
            <v>40</v>
          </cell>
        </row>
        <row r="5425">
          <cell r="A5425" t="str">
            <v>B558340/A</v>
          </cell>
          <cell r="B5425" t="str">
            <v>RH6680M40</v>
          </cell>
          <cell r="C5425">
            <v>20</v>
          </cell>
          <cell r="D5425">
            <v>580</v>
          </cell>
          <cell r="E5425">
            <v>11600</v>
          </cell>
          <cell r="F5425" t="str">
            <v>P11</v>
          </cell>
          <cell r="G5425" t="str">
            <v>Cleat - Bọ gỗ</v>
          </cell>
          <cell r="H5425" t="str">
            <v>Beech off cut</v>
          </cell>
          <cell r="I5425">
            <v>40</v>
          </cell>
        </row>
        <row r="5426">
          <cell r="A5426" t="str">
            <v>B558340/A</v>
          </cell>
          <cell r="B5426" t="str">
            <v>RH6680M40</v>
          </cell>
          <cell r="C5426">
            <v>20</v>
          </cell>
          <cell r="D5426">
            <v>580</v>
          </cell>
          <cell r="E5426">
            <v>11600</v>
          </cell>
          <cell r="F5426" t="str">
            <v>P12</v>
          </cell>
          <cell r="G5426" t="str">
            <v>Tenon - Mộng cấy</v>
          </cell>
          <cell r="H5426" t="str">
            <v>Beech off cut</v>
          </cell>
          <cell r="I5426">
            <v>40</v>
          </cell>
        </row>
        <row r="5427">
          <cell r="A5427" t="str">
            <v>B558340/A</v>
          </cell>
          <cell r="B5427" t="str">
            <v>RH6680M40</v>
          </cell>
          <cell r="C5427">
            <v>20</v>
          </cell>
          <cell r="D5427">
            <v>580</v>
          </cell>
          <cell r="E5427">
            <v>11600</v>
          </cell>
          <cell r="F5427" t="str">
            <v>P13</v>
          </cell>
          <cell r="G5427" t="str">
            <v>Corner block - ke góc</v>
          </cell>
          <cell r="H5427" t="str">
            <v>Beech off cut</v>
          </cell>
          <cell r="I5427">
            <v>40</v>
          </cell>
        </row>
        <row r="5428">
          <cell r="A5428" t="str">
            <v>B558252/A</v>
          </cell>
          <cell r="B5428" t="str">
            <v>RH6918M370</v>
          </cell>
          <cell r="C5428">
            <v>11</v>
          </cell>
          <cell r="D5428">
            <v>410</v>
          </cell>
          <cell r="E5428">
            <v>4510</v>
          </cell>
          <cell r="F5428" t="str">
            <v>A1-S01</v>
          </cell>
          <cell r="G5428" t="str">
            <v xml:space="preserve">Curve part hot press  - chi tiết cảo cong </v>
          </cell>
          <cell r="H5428" t="str">
            <v>Wd+MDF+VN</v>
          </cell>
          <cell r="I5428">
            <v>33</v>
          </cell>
        </row>
        <row r="5429">
          <cell r="A5429" t="str">
            <v>B558252/A</v>
          </cell>
          <cell r="B5429" t="str">
            <v>RH6918M370</v>
          </cell>
          <cell r="C5429">
            <v>11</v>
          </cell>
          <cell r="D5429">
            <v>410</v>
          </cell>
          <cell r="E5429">
            <v>4510</v>
          </cell>
          <cell r="F5429" t="str">
            <v>A1-S01-1</v>
          </cell>
          <cell r="G5429" t="str">
            <v xml:space="preserve">Curve part hot press  - chi tiết cảo cong </v>
          </cell>
          <cell r="H5429" t="str">
            <v>MDF Veneer</v>
          </cell>
          <cell r="I5429">
            <v>11</v>
          </cell>
        </row>
        <row r="5430">
          <cell r="A5430" t="str">
            <v>B558252/A</v>
          </cell>
          <cell r="B5430" t="str">
            <v>RH6918M370</v>
          </cell>
          <cell r="C5430">
            <v>11</v>
          </cell>
          <cell r="D5430">
            <v>410</v>
          </cell>
          <cell r="E5430">
            <v>4510</v>
          </cell>
          <cell r="F5430" t="str">
            <v>A1-S01-1a</v>
          </cell>
          <cell r="G5430" t="str">
            <v>Panel outside - Ván phía ngoài</v>
          </cell>
          <cell r="H5430" t="str">
            <v>MDF Veneer</v>
          </cell>
          <cell r="I5430">
            <v>11</v>
          </cell>
        </row>
        <row r="5431">
          <cell r="A5431" t="str">
            <v>B558252/A</v>
          </cell>
          <cell r="B5431" t="str">
            <v>RH6918M370</v>
          </cell>
          <cell r="C5431">
            <v>11</v>
          </cell>
          <cell r="D5431">
            <v>410</v>
          </cell>
          <cell r="E5431">
            <v>4510</v>
          </cell>
          <cell r="F5431" t="str">
            <v>A1-S01-2</v>
          </cell>
          <cell r="G5431" t="str">
            <v>Insert Wood - Gỗ chèn</v>
          </cell>
          <cell r="H5431" t="str">
            <v>Wood White Oak - Straight/Waving Edged, 1 COM - T25mm x W100mm Up x L1.8m Up</v>
          </cell>
          <cell r="I5431">
            <v>33</v>
          </cell>
        </row>
        <row r="5432">
          <cell r="A5432" t="str">
            <v>B558252/A</v>
          </cell>
          <cell r="B5432" t="str">
            <v>RH6918M370</v>
          </cell>
          <cell r="C5432">
            <v>11</v>
          </cell>
          <cell r="D5432">
            <v>410</v>
          </cell>
          <cell r="E5432">
            <v>4510</v>
          </cell>
          <cell r="F5432" t="str">
            <v>A1-S02</v>
          </cell>
          <cell r="G5432" t="str">
            <v>Drawer side - Hông hộc kéo</v>
          </cell>
          <cell r="H5432" t="str">
            <v>MDF Veneer</v>
          </cell>
          <cell r="I5432">
            <v>66</v>
          </cell>
        </row>
        <row r="5433">
          <cell r="A5433" t="str">
            <v>B558252/A</v>
          </cell>
          <cell r="B5433" t="str">
            <v>RH6918M370</v>
          </cell>
          <cell r="C5433">
            <v>11</v>
          </cell>
          <cell r="D5433">
            <v>410</v>
          </cell>
          <cell r="E5433">
            <v>4510</v>
          </cell>
          <cell r="F5433" t="str">
            <v>A1-S03</v>
          </cell>
          <cell r="G5433" t="str">
            <v>Drawer back - Hậu hộc kéo</v>
          </cell>
          <cell r="H5433" t="str">
            <v>MDF Veneer</v>
          </cell>
          <cell r="I5433">
            <v>33</v>
          </cell>
        </row>
        <row r="5434">
          <cell r="A5434" t="str">
            <v>B558252/A</v>
          </cell>
          <cell r="B5434" t="str">
            <v>RH6918M370</v>
          </cell>
          <cell r="C5434">
            <v>11</v>
          </cell>
          <cell r="D5434">
            <v>410</v>
          </cell>
          <cell r="E5434">
            <v>4510</v>
          </cell>
          <cell r="F5434" t="str">
            <v>A1-S04</v>
          </cell>
          <cell r="G5434" t="str">
            <v>Drawer bottom  - Đáy hộc kéo</v>
          </cell>
          <cell r="H5434" t="str">
            <v>MDF Veneer</v>
          </cell>
          <cell r="I5434">
            <v>33</v>
          </cell>
        </row>
        <row r="5435">
          <cell r="A5435" t="str">
            <v>B558252/A</v>
          </cell>
          <cell r="B5435" t="str">
            <v>RH6918M370</v>
          </cell>
          <cell r="C5435">
            <v>11</v>
          </cell>
          <cell r="D5435">
            <v>410</v>
          </cell>
          <cell r="E5435">
            <v>4510</v>
          </cell>
          <cell r="F5435" t="str">
            <v>A1-S06</v>
          </cell>
          <cell r="G5435" t="str">
            <v>Patching wood - Gỗ đắp</v>
          </cell>
          <cell r="H5435" t="str">
            <v>Beech off cut</v>
          </cell>
          <cell r="I5435">
            <v>66</v>
          </cell>
        </row>
        <row r="5436">
          <cell r="A5436" t="str">
            <v>B558252/A</v>
          </cell>
          <cell r="B5436" t="str">
            <v>RH6918M370</v>
          </cell>
          <cell r="C5436">
            <v>11</v>
          </cell>
          <cell r="D5436">
            <v>410</v>
          </cell>
          <cell r="E5436">
            <v>4510</v>
          </cell>
          <cell r="F5436" t="str">
            <v>A2-S01</v>
          </cell>
          <cell r="G5436" t="str">
            <v>Insert Wood - Gỗ chèn</v>
          </cell>
          <cell r="H5436" t="str">
            <v>Beech off cut</v>
          </cell>
          <cell r="I5436">
            <v>66</v>
          </cell>
        </row>
        <row r="5437">
          <cell r="A5437" t="str">
            <v>B558252/A</v>
          </cell>
          <cell r="B5437" t="str">
            <v>RH6918M370</v>
          </cell>
          <cell r="C5437">
            <v>11</v>
          </cell>
          <cell r="D5437">
            <v>410</v>
          </cell>
          <cell r="E5437">
            <v>4510</v>
          </cell>
          <cell r="F5437" t="str">
            <v>A2-S03</v>
          </cell>
          <cell r="G5437" t="str">
            <v>Bottom rail inside - Đố tiền đáy</v>
          </cell>
          <cell r="H5437" t="str">
            <v>Wd+VN</v>
          </cell>
          <cell r="I5437">
            <v>22</v>
          </cell>
        </row>
        <row r="5438">
          <cell r="A5438" t="str">
            <v>B558252/A</v>
          </cell>
          <cell r="B5438" t="str">
            <v>RH6918M370</v>
          </cell>
          <cell r="C5438">
            <v>11</v>
          </cell>
          <cell r="D5438">
            <v>410</v>
          </cell>
          <cell r="E5438">
            <v>4510</v>
          </cell>
          <cell r="F5438" t="str">
            <v>A2-S03-1</v>
          </cell>
          <cell r="G5438" t="str">
            <v>Wood laminater - Gỗ ghép 1</v>
          </cell>
          <cell r="H5438" t="str">
            <v>Wood laminate</v>
          </cell>
          <cell r="I5438">
            <v>44</v>
          </cell>
        </row>
        <row r="5439">
          <cell r="A5439" t="str">
            <v>B558252/A</v>
          </cell>
          <cell r="B5439" t="str">
            <v>RH6918M370</v>
          </cell>
          <cell r="C5439">
            <v>11</v>
          </cell>
          <cell r="D5439">
            <v>410</v>
          </cell>
          <cell r="E5439">
            <v>4510</v>
          </cell>
          <cell r="F5439" t="str">
            <v>A2-S03-2</v>
          </cell>
          <cell r="G5439" t="str">
            <v>Wood laminater - Gỗ ghép 1</v>
          </cell>
          <cell r="H5439" t="str">
            <v>Wood US Poplar - Straight Edged, 2 COM - T38mm x W100mm Up x L1.8m Up</v>
          </cell>
          <cell r="I5439">
            <v>22</v>
          </cell>
        </row>
        <row r="5440">
          <cell r="A5440" t="str">
            <v>B558252/A</v>
          </cell>
          <cell r="B5440" t="str">
            <v>RH6918M370</v>
          </cell>
          <cell r="C5440">
            <v>11</v>
          </cell>
          <cell r="D5440">
            <v>410</v>
          </cell>
          <cell r="E5440">
            <v>4510</v>
          </cell>
          <cell r="F5440" t="str">
            <v>P01</v>
          </cell>
          <cell r="G5440" t="str">
            <v xml:space="preserve">Top panel  - Ván nóc </v>
          </cell>
          <cell r="H5440" t="str">
            <v>MDF Veneer</v>
          </cell>
          <cell r="I5440">
            <v>11</v>
          </cell>
        </row>
        <row r="5441">
          <cell r="A5441" t="str">
            <v>B558252/A</v>
          </cell>
          <cell r="B5441" t="str">
            <v>RH6918M370</v>
          </cell>
          <cell r="C5441">
            <v>11</v>
          </cell>
          <cell r="D5441">
            <v>410</v>
          </cell>
          <cell r="E5441">
            <v>4510</v>
          </cell>
          <cell r="F5441" t="str">
            <v>P02</v>
          </cell>
          <cell r="G5441" t="str">
            <v xml:space="preserve">Curve part hot press  - chi tiết cảo cong </v>
          </cell>
          <cell r="H5441" t="str">
            <v>MDF Veneer</v>
          </cell>
          <cell r="I5441">
            <v>22</v>
          </cell>
        </row>
        <row r="5442">
          <cell r="A5442" t="str">
            <v>B558252/A</v>
          </cell>
          <cell r="B5442" t="str">
            <v>RH6918M370</v>
          </cell>
          <cell r="C5442">
            <v>11</v>
          </cell>
          <cell r="D5442">
            <v>410</v>
          </cell>
          <cell r="E5442">
            <v>4510</v>
          </cell>
          <cell r="F5442" t="str">
            <v>P02a</v>
          </cell>
          <cell r="G5442" t="str">
            <v>Panel outside - Ván phía ngoài</v>
          </cell>
          <cell r="H5442" t="str">
            <v>MDF Veneer</v>
          </cell>
          <cell r="I5442">
            <v>22</v>
          </cell>
        </row>
        <row r="5443">
          <cell r="A5443" t="str">
            <v>B558252/A</v>
          </cell>
          <cell r="B5443" t="str">
            <v>RH6918M370</v>
          </cell>
          <cell r="C5443">
            <v>11</v>
          </cell>
          <cell r="D5443">
            <v>410</v>
          </cell>
          <cell r="E5443">
            <v>4510</v>
          </cell>
          <cell r="F5443" t="str">
            <v>P03</v>
          </cell>
          <cell r="G5443" t="str">
            <v>Back panel - Ván hậu</v>
          </cell>
          <cell r="H5443" t="str">
            <v>MDF Veneer</v>
          </cell>
          <cell r="I5443">
            <v>11</v>
          </cell>
        </row>
        <row r="5444">
          <cell r="A5444" t="str">
            <v>B558252/A</v>
          </cell>
          <cell r="B5444" t="str">
            <v>RH6918M370</v>
          </cell>
          <cell r="C5444">
            <v>11</v>
          </cell>
          <cell r="D5444">
            <v>410</v>
          </cell>
          <cell r="E5444">
            <v>4510</v>
          </cell>
          <cell r="F5444" t="str">
            <v>P05</v>
          </cell>
          <cell r="G5444" t="str">
            <v>Bottom panel - Ván đáy</v>
          </cell>
          <cell r="H5444" t="str">
            <v>MDF Veneer</v>
          </cell>
          <cell r="I5444">
            <v>11</v>
          </cell>
        </row>
        <row r="5445">
          <cell r="A5445" t="str">
            <v>B558252/A</v>
          </cell>
          <cell r="B5445" t="str">
            <v>RH6918M370</v>
          </cell>
          <cell r="C5445">
            <v>11</v>
          </cell>
          <cell r="D5445">
            <v>410</v>
          </cell>
          <cell r="E5445">
            <v>4510</v>
          </cell>
          <cell r="F5445" t="str">
            <v>P06</v>
          </cell>
          <cell r="G5445" t="str">
            <v xml:space="preserve">Side panel  - Ván hông </v>
          </cell>
          <cell r="H5445" t="str">
            <v>MDF Veneer</v>
          </cell>
          <cell r="I5445">
            <v>22</v>
          </cell>
        </row>
        <row r="5446">
          <cell r="A5446" t="str">
            <v>B558252/A</v>
          </cell>
          <cell r="B5446" t="str">
            <v>RH6918M370</v>
          </cell>
          <cell r="C5446">
            <v>11</v>
          </cell>
          <cell r="D5446">
            <v>410</v>
          </cell>
          <cell r="E5446">
            <v>4510</v>
          </cell>
          <cell r="F5446" t="str">
            <v>P07</v>
          </cell>
          <cell r="G5446" t="str">
            <v>Front rail  - Đố tiền</v>
          </cell>
          <cell r="H5446" t="str">
            <v>Wood EU Beech - Straight/Waving Edged AB, 1 COM - T26mm x W100mm up x L1.8m up</v>
          </cell>
          <cell r="I5446">
            <v>11</v>
          </cell>
        </row>
        <row r="5447">
          <cell r="A5447" t="str">
            <v>B558252/A</v>
          </cell>
          <cell r="B5447" t="str">
            <v>RH6918M370</v>
          </cell>
          <cell r="C5447">
            <v>11</v>
          </cell>
          <cell r="D5447">
            <v>410</v>
          </cell>
          <cell r="E5447">
            <v>4510</v>
          </cell>
          <cell r="F5447" t="str">
            <v>P08</v>
          </cell>
          <cell r="G5447" t="str">
            <v>Drawer stop - Dừng hộc</v>
          </cell>
          <cell r="H5447" t="str">
            <v>Beech off cut</v>
          </cell>
          <cell r="I5447">
            <v>66</v>
          </cell>
        </row>
        <row r="5448">
          <cell r="A5448" t="str">
            <v>B558253/A</v>
          </cell>
          <cell r="B5448" t="str">
            <v>RH6918M370</v>
          </cell>
          <cell r="C5448">
            <v>12</v>
          </cell>
          <cell r="D5448">
            <v>410</v>
          </cell>
          <cell r="E5448">
            <v>4920</v>
          </cell>
          <cell r="F5448" t="str">
            <v>A1-S01</v>
          </cell>
          <cell r="G5448" t="str">
            <v xml:space="preserve">Curve part hot press  - chi tiết cảo cong </v>
          </cell>
          <cell r="H5448" t="str">
            <v>Wd+MDF+VN</v>
          </cell>
          <cell r="I5448">
            <v>36</v>
          </cell>
        </row>
        <row r="5449">
          <cell r="A5449" t="str">
            <v>B558253/A</v>
          </cell>
          <cell r="B5449" t="str">
            <v>RH6918M370</v>
          </cell>
          <cell r="C5449">
            <v>12</v>
          </cell>
          <cell r="D5449">
            <v>410</v>
          </cell>
          <cell r="E5449">
            <v>4920</v>
          </cell>
          <cell r="F5449" t="str">
            <v>A1-S01-1</v>
          </cell>
          <cell r="G5449" t="str">
            <v xml:space="preserve">Curve part hot press  - chi tiết cảo cong </v>
          </cell>
          <cell r="H5449" t="str">
            <v>MDF Veneer</v>
          </cell>
          <cell r="I5449">
            <v>12</v>
          </cell>
        </row>
        <row r="5450">
          <cell r="A5450" t="str">
            <v>B558253/A</v>
          </cell>
          <cell r="B5450" t="str">
            <v>RH6918M370</v>
          </cell>
          <cell r="C5450">
            <v>12</v>
          </cell>
          <cell r="D5450">
            <v>410</v>
          </cell>
          <cell r="E5450">
            <v>4920</v>
          </cell>
          <cell r="F5450" t="str">
            <v>A1-S01-1a</v>
          </cell>
          <cell r="G5450" t="str">
            <v>Panel outside - Ván phía ngoài</v>
          </cell>
          <cell r="H5450" t="str">
            <v>MDF Veneer</v>
          </cell>
          <cell r="I5450">
            <v>12</v>
          </cell>
        </row>
        <row r="5451">
          <cell r="A5451" t="str">
            <v>B558253/A</v>
          </cell>
          <cell r="B5451" t="str">
            <v>RH6918M370</v>
          </cell>
          <cell r="C5451">
            <v>12</v>
          </cell>
          <cell r="D5451">
            <v>410</v>
          </cell>
          <cell r="E5451">
            <v>4920</v>
          </cell>
          <cell r="F5451" t="str">
            <v>A1-S01-2</v>
          </cell>
          <cell r="G5451" t="str">
            <v>Insert Wood - Gỗ chèn</v>
          </cell>
          <cell r="H5451" t="str">
            <v>Wood White Oak - Straight/Waving Edged, 1 COM - T25mm x W100mm Up x L1.8m Up</v>
          </cell>
          <cell r="I5451">
            <v>36</v>
          </cell>
        </row>
        <row r="5452">
          <cell r="A5452" t="str">
            <v>B558253/A</v>
          </cell>
          <cell r="B5452" t="str">
            <v>RH6918M370</v>
          </cell>
          <cell r="C5452">
            <v>12</v>
          </cell>
          <cell r="D5452">
            <v>410</v>
          </cell>
          <cell r="E5452">
            <v>4920</v>
          </cell>
          <cell r="F5452" t="str">
            <v>A1-S02</v>
          </cell>
          <cell r="G5452" t="str">
            <v>Drawer side - Hông hộc kéo</v>
          </cell>
          <cell r="H5452" t="str">
            <v>MDF Veneer</v>
          </cell>
          <cell r="I5452">
            <v>72</v>
          </cell>
        </row>
        <row r="5453">
          <cell r="A5453" t="str">
            <v>B558253/A</v>
          </cell>
          <cell r="B5453" t="str">
            <v>RH6918M370</v>
          </cell>
          <cell r="C5453">
            <v>12</v>
          </cell>
          <cell r="D5453">
            <v>410</v>
          </cell>
          <cell r="E5453">
            <v>4920</v>
          </cell>
          <cell r="F5453" t="str">
            <v>A1-S03</v>
          </cell>
          <cell r="G5453" t="str">
            <v>Drawer back - Hậu hộc kéo</v>
          </cell>
          <cell r="H5453" t="str">
            <v>MDF Veneer</v>
          </cell>
          <cell r="I5453">
            <v>36</v>
          </cell>
        </row>
        <row r="5454">
          <cell r="A5454" t="str">
            <v>B558253/A</v>
          </cell>
          <cell r="B5454" t="str">
            <v>RH6918M370</v>
          </cell>
          <cell r="C5454">
            <v>12</v>
          </cell>
          <cell r="D5454">
            <v>410</v>
          </cell>
          <cell r="E5454">
            <v>4920</v>
          </cell>
          <cell r="F5454" t="str">
            <v>A1-S04</v>
          </cell>
          <cell r="G5454" t="str">
            <v>Drawer bottom  - Đáy hộc kéo</v>
          </cell>
          <cell r="H5454" t="str">
            <v>MDF Veneer</v>
          </cell>
          <cell r="I5454">
            <v>36</v>
          </cell>
        </row>
        <row r="5455">
          <cell r="A5455" t="str">
            <v>B558253/A</v>
          </cell>
          <cell r="B5455" t="str">
            <v>RH6918M370</v>
          </cell>
          <cell r="C5455">
            <v>12</v>
          </cell>
          <cell r="D5455">
            <v>410</v>
          </cell>
          <cell r="E5455">
            <v>4920</v>
          </cell>
          <cell r="F5455" t="str">
            <v>A1-S06</v>
          </cell>
          <cell r="G5455" t="str">
            <v>Patching wood - Gỗ đắp</v>
          </cell>
          <cell r="H5455" t="str">
            <v>Beech off cut</v>
          </cell>
          <cell r="I5455">
            <v>72</v>
          </cell>
        </row>
        <row r="5456">
          <cell r="A5456" t="str">
            <v>B558253/A</v>
          </cell>
          <cell r="B5456" t="str">
            <v>RH6918M370</v>
          </cell>
          <cell r="C5456">
            <v>12</v>
          </cell>
          <cell r="D5456">
            <v>410</v>
          </cell>
          <cell r="E5456">
            <v>4920</v>
          </cell>
          <cell r="F5456" t="str">
            <v>A2-S01</v>
          </cell>
          <cell r="G5456" t="str">
            <v>Insert Wood - Gỗ chèn</v>
          </cell>
          <cell r="H5456" t="str">
            <v>Beech off cut</v>
          </cell>
          <cell r="I5456">
            <v>72</v>
          </cell>
        </row>
        <row r="5457">
          <cell r="A5457" t="str">
            <v>B558253/A</v>
          </cell>
          <cell r="B5457" t="str">
            <v>RH6918M370</v>
          </cell>
          <cell r="C5457">
            <v>12</v>
          </cell>
          <cell r="D5457">
            <v>410</v>
          </cell>
          <cell r="E5457">
            <v>4920</v>
          </cell>
          <cell r="F5457" t="str">
            <v>A2-S03</v>
          </cell>
          <cell r="G5457" t="str">
            <v>Bottom rail inside - Đố tiền đáy</v>
          </cell>
          <cell r="H5457" t="str">
            <v>Wd+VN</v>
          </cell>
          <cell r="I5457">
            <v>24</v>
          </cell>
        </row>
        <row r="5458">
          <cell r="A5458" t="str">
            <v>B558253/A</v>
          </cell>
          <cell r="B5458" t="str">
            <v>RH6918M370</v>
          </cell>
          <cell r="C5458">
            <v>12</v>
          </cell>
          <cell r="D5458">
            <v>410</v>
          </cell>
          <cell r="E5458">
            <v>4920</v>
          </cell>
          <cell r="F5458" t="str">
            <v>A2-S03-1</v>
          </cell>
          <cell r="G5458" t="str">
            <v>Wood laminater - Gỗ ghép 1</v>
          </cell>
          <cell r="H5458" t="str">
            <v>Wood laminate</v>
          </cell>
          <cell r="I5458">
            <v>48</v>
          </cell>
        </row>
        <row r="5459">
          <cell r="A5459" t="str">
            <v>B558253/A</v>
          </cell>
          <cell r="B5459" t="str">
            <v>RH6918M370</v>
          </cell>
          <cell r="C5459">
            <v>12</v>
          </cell>
          <cell r="D5459">
            <v>410</v>
          </cell>
          <cell r="E5459">
            <v>4920</v>
          </cell>
          <cell r="F5459" t="str">
            <v>A2-S03-2</v>
          </cell>
          <cell r="G5459" t="str">
            <v>Wood laminater - Gỗ ghép 1</v>
          </cell>
          <cell r="H5459" t="str">
            <v>Wood US Poplar - Straight Edged, 2 COM - T38mm x W100mm Up x L1.8m Up</v>
          </cell>
          <cell r="I5459">
            <v>24</v>
          </cell>
        </row>
        <row r="5460">
          <cell r="A5460" t="str">
            <v>B558253/A</v>
          </cell>
          <cell r="B5460" t="str">
            <v>RH6918M370</v>
          </cell>
          <cell r="C5460">
            <v>12</v>
          </cell>
          <cell r="D5460">
            <v>410</v>
          </cell>
          <cell r="E5460">
            <v>4920</v>
          </cell>
          <cell r="F5460" t="str">
            <v>P01</v>
          </cell>
          <cell r="G5460" t="str">
            <v xml:space="preserve">Top panel  - Ván nóc </v>
          </cell>
          <cell r="H5460" t="str">
            <v>MDF Veneer</v>
          </cell>
          <cell r="I5460">
            <v>12</v>
          </cell>
        </row>
        <row r="5461">
          <cell r="A5461" t="str">
            <v>B558253/A</v>
          </cell>
          <cell r="B5461" t="str">
            <v>RH6918M370</v>
          </cell>
          <cell r="C5461">
            <v>12</v>
          </cell>
          <cell r="D5461">
            <v>410</v>
          </cell>
          <cell r="E5461">
            <v>4920</v>
          </cell>
          <cell r="F5461" t="str">
            <v>P02</v>
          </cell>
          <cell r="G5461" t="str">
            <v xml:space="preserve">Curve part hot press  - chi tiết cảo cong </v>
          </cell>
          <cell r="H5461" t="str">
            <v>MDF Veneer</v>
          </cell>
          <cell r="I5461">
            <v>24</v>
          </cell>
        </row>
        <row r="5462">
          <cell r="A5462" t="str">
            <v>B558253/A</v>
          </cell>
          <cell r="B5462" t="str">
            <v>RH6918M370</v>
          </cell>
          <cell r="C5462">
            <v>12</v>
          </cell>
          <cell r="D5462">
            <v>410</v>
          </cell>
          <cell r="E5462">
            <v>4920</v>
          </cell>
          <cell r="F5462" t="str">
            <v>P02a</v>
          </cell>
          <cell r="G5462" t="str">
            <v>Panel outside - Ván phía ngoài</v>
          </cell>
          <cell r="H5462" t="str">
            <v>MDF Veneer</v>
          </cell>
          <cell r="I5462">
            <v>24</v>
          </cell>
        </row>
        <row r="5463">
          <cell r="A5463" t="str">
            <v>B558253/A</v>
          </cell>
          <cell r="B5463" t="str">
            <v>RH6918M370</v>
          </cell>
          <cell r="C5463">
            <v>12</v>
          </cell>
          <cell r="D5463">
            <v>410</v>
          </cell>
          <cell r="E5463">
            <v>4920</v>
          </cell>
          <cell r="F5463" t="str">
            <v>P03</v>
          </cell>
          <cell r="G5463" t="str">
            <v>Back panel - Ván hậu</v>
          </cell>
          <cell r="H5463" t="str">
            <v>MDF Veneer</v>
          </cell>
          <cell r="I5463">
            <v>12</v>
          </cell>
        </row>
        <row r="5464">
          <cell r="A5464" t="str">
            <v>B558253/A</v>
          </cell>
          <cell r="B5464" t="str">
            <v>RH6918M370</v>
          </cell>
          <cell r="C5464">
            <v>12</v>
          </cell>
          <cell r="D5464">
            <v>410</v>
          </cell>
          <cell r="E5464">
            <v>4920</v>
          </cell>
          <cell r="F5464" t="str">
            <v>P05</v>
          </cell>
          <cell r="G5464" t="str">
            <v>Bottom panel - Ván đáy</v>
          </cell>
          <cell r="H5464" t="str">
            <v>MDF Veneer</v>
          </cell>
          <cell r="I5464">
            <v>12</v>
          </cell>
        </row>
        <row r="5465">
          <cell r="A5465" t="str">
            <v>B558253/A</v>
          </cell>
          <cell r="B5465" t="str">
            <v>RH6918M370</v>
          </cell>
          <cell r="C5465">
            <v>12</v>
          </cell>
          <cell r="D5465">
            <v>410</v>
          </cell>
          <cell r="E5465">
            <v>4920</v>
          </cell>
          <cell r="F5465" t="str">
            <v>P06</v>
          </cell>
          <cell r="G5465" t="str">
            <v xml:space="preserve">Side panel  - Ván hông </v>
          </cell>
          <cell r="H5465" t="str">
            <v>MDF Veneer</v>
          </cell>
          <cell r="I5465">
            <v>24</v>
          </cell>
        </row>
        <row r="5466">
          <cell r="A5466" t="str">
            <v>B558253/A</v>
          </cell>
          <cell r="B5466" t="str">
            <v>RH6918M370</v>
          </cell>
          <cell r="C5466">
            <v>12</v>
          </cell>
          <cell r="D5466">
            <v>410</v>
          </cell>
          <cell r="E5466">
            <v>4920</v>
          </cell>
          <cell r="F5466" t="str">
            <v>P07</v>
          </cell>
          <cell r="G5466" t="str">
            <v>Front rail  - Đố tiền</v>
          </cell>
          <cell r="H5466" t="str">
            <v>Wood EU Beech - Straight/Waving Edged AB, 1 COM - T26mm x W100mm up x L1.8m up</v>
          </cell>
          <cell r="I5466">
            <v>12</v>
          </cell>
        </row>
        <row r="5467">
          <cell r="A5467" t="str">
            <v>B558253/A</v>
          </cell>
          <cell r="B5467" t="str">
            <v>RH6918M370</v>
          </cell>
          <cell r="C5467">
            <v>12</v>
          </cell>
          <cell r="D5467">
            <v>410</v>
          </cell>
          <cell r="E5467">
            <v>4920</v>
          </cell>
          <cell r="F5467" t="str">
            <v>P08</v>
          </cell>
          <cell r="G5467" t="str">
            <v>Drawer stop - Dừng hộc</v>
          </cell>
          <cell r="H5467" t="str">
            <v>Beech off cut</v>
          </cell>
          <cell r="I5467">
            <v>72</v>
          </cell>
        </row>
        <row r="5468">
          <cell r="A5468" t="str">
            <v>B558256/A</v>
          </cell>
          <cell r="B5468" t="str">
            <v>RH6918M373</v>
          </cell>
          <cell r="C5468">
            <v>5</v>
          </cell>
          <cell r="D5468">
            <v>410</v>
          </cell>
          <cell r="E5468">
            <v>2050</v>
          </cell>
          <cell r="F5468" t="str">
            <v>A1-S01</v>
          </cell>
          <cell r="G5468" t="str">
            <v xml:space="preserve">Curve part hot press  - chi tiết cảo cong </v>
          </cell>
          <cell r="H5468" t="str">
            <v>Wd+MDF+VN</v>
          </cell>
          <cell r="I5468">
            <v>15</v>
          </cell>
        </row>
        <row r="5469">
          <cell r="A5469" t="str">
            <v>B558256/A</v>
          </cell>
          <cell r="B5469" t="str">
            <v>RH6918M373</v>
          </cell>
          <cell r="C5469">
            <v>5</v>
          </cell>
          <cell r="D5469">
            <v>410</v>
          </cell>
          <cell r="E5469">
            <v>2050</v>
          </cell>
          <cell r="F5469" t="str">
            <v>A1-S01-1</v>
          </cell>
          <cell r="G5469" t="str">
            <v xml:space="preserve">Curve part hot press  - chi tiết cảo cong </v>
          </cell>
          <cell r="H5469" t="str">
            <v>MDF Veneer</v>
          </cell>
          <cell r="I5469">
            <v>5</v>
          </cell>
        </row>
        <row r="5470">
          <cell r="A5470" t="str">
            <v>B558256/A</v>
          </cell>
          <cell r="B5470" t="str">
            <v>RH6918M373</v>
          </cell>
          <cell r="C5470">
            <v>5</v>
          </cell>
          <cell r="D5470">
            <v>410</v>
          </cell>
          <cell r="E5470">
            <v>2050</v>
          </cell>
          <cell r="F5470" t="str">
            <v>A1-S01-1a</v>
          </cell>
          <cell r="G5470" t="str">
            <v>Panel outside - Ván phía ngoài</v>
          </cell>
          <cell r="H5470" t="str">
            <v>MDF Veneer</v>
          </cell>
          <cell r="I5470">
            <v>5</v>
          </cell>
        </row>
        <row r="5471">
          <cell r="A5471" t="str">
            <v>B558256/A</v>
          </cell>
          <cell r="B5471" t="str">
            <v>RH6918M373</v>
          </cell>
          <cell r="C5471">
            <v>5</v>
          </cell>
          <cell r="D5471">
            <v>410</v>
          </cell>
          <cell r="E5471">
            <v>2050</v>
          </cell>
          <cell r="F5471" t="str">
            <v>A1-S01-2</v>
          </cell>
          <cell r="G5471" t="str">
            <v>Insert Wood - Gỗ chèn</v>
          </cell>
          <cell r="H5471" t="str">
            <v>Wood White Oak - Straight/Waving Edged, 1 COM - T25mm x W100mm Up x L1.8m Up</v>
          </cell>
          <cell r="I5471">
            <v>15</v>
          </cell>
        </row>
        <row r="5472">
          <cell r="A5472" t="str">
            <v>B558256/A</v>
          </cell>
          <cell r="B5472" t="str">
            <v>RH6918M373</v>
          </cell>
          <cell r="C5472">
            <v>5</v>
          </cell>
          <cell r="D5472">
            <v>410</v>
          </cell>
          <cell r="E5472">
            <v>2050</v>
          </cell>
          <cell r="F5472" t="str">
            <v>A1-S02</v>
          </cell>
          <cell r="G5472" t="str">
            <v>Drawer side - Hông hộc kéo</v>
          </cell>
          <cell r="H5472" t="str">
            <v>MDF Veneer</v>
          </cell>
          <cell r="I5472">
            <v>30</v>
          </cell>
        </row>
        <row r="5473">
          <cell r="A5473" t="str">
            <v>B558256/A</v>
          </cell>
          <cell r="B5473" t="str">
            <v>RH6918M373</v>
          </cell>
          <cell r="C5473">
            <v>5</v>
          </cell>
          <cell r="D5473">
            <v>410</v>
          </cell>
          <cell r="E5473">
            <v>2050</v>
          </cell>
          <cell r="F5473" t="str">
            <v>A1-S03</v>
          </cell>
          <cell r="G5473" t="str">
            <v>Drawer back - Hậu hộc kéo</v>
          </cell>
          <cell r="H5473" t="str">
            <v>MDF Veneer</v>
          </cell>
          <cell r="I5473">
            <v>15</v>
          </cell>
        </row>
        <row r="5474">
          <cell r="A5474" t="str">
            <v>B558256/A</v>
          </cell>
          <cell r="B5474" t="str">
            <v>RH6918M373</v>
          </cell>
          <cell r="C5474">
            <v>5</v>
          </cell>
          <cell r="D5474">
            <v>410</v>
          </cell>
          <cell r="E5474">
            <v>2050</v>
          </cell>
          <cell r="F5474" t="str">
            <v>A1-S04</v>
          </cell>
          <cell r="G5474" t="str">
            <v>Drawer bottom  - Đáy hộc kéo</v>
          </cell>
          <cell r="H5474" t="str">
            <v>MDF Veneer</v>
          </cell>
          <cell r="I5474">
            <v>15</v>
          </cell>
        </row>
        <row r="5475">
          <cell r="A5475" t="str">
            <v>B558256/A</v>
          </cell>
          <cell r="B5475" t="str">
            <v>RH6918M373</v>
          </cell>
          <cell r="C5475">
            <v>5</v>
          </cell>
          <cell r="D5475">
            <v>410</v>
          </cell>
          <cell r="E5475">
            <v>2050</v>
          </cell>
          <cell r="F5475" t="str">
            <v>A1-S06</v>
          </cell>
          <cell r="G5475" t="str">
            <v>Patching wood - Gỗ đắp</v>
          </cell>
          <cell r="H5475" t="str">
            <v>Beech off cut</v>
          </cell>
          <cell r="I5475">
            <v>30</v>
          </cell>
        </row>
        <row r="5476">
          <cell r="A5476" t="str">
            <v>B558256/A</v>
          </cell>
          <cell r="B5476" t="str">
            <v>RH6918M373</v>
          </cell>
          <cell r="C5476">
            <v>5</v>
          </cell>
          <cell r="D5476">
            <v>410</v>
          </cell>
          <cell r="E5476">
            <v>2050</v>
          </cell>
          <cell r="F5476" t="str">
            <v>A2-S01</v>
          </cell>
          <cell r="G5476" t="str">
            <v>Insert Wood - Gỗ chèn</v>
          </cell>
          <cell r="H5476" t="str">
            <v>Beech off cut</v>
          </cell>
          <cell r="I5476">
            <v>30</v>
          </cell>
        </row>
        <row r="5477">
          <cell r="A5477" t="str">
            <v>B558256/A</v>
          </cell>
          <cell r="B5477" t="str">
            <v>RH6918M373</v>
          </cell>
          <cell r="C5477">
            <v>5</v>
          </cell>
          <cell r="D5477">
            <v>410</v>
          </cell>
          <cell r="E5477">
            <v>2050</v>
          </cell>
          <cell r="F5477" t="str">
            <v>A2-S03</v>
          </cell>
          <cell r="G5477" t="str">
            <v>Bottom rail inside - Đố tiền đáy</v>
          </cell>
          <cell r="H5477" t="str">
            <v>Wd+VN</v>
          </cell>
          <cell r="I5477">
            <v>10</v>
          </cell>
        </row>
        <row r="5478">
          <cell r="A5478" t="str">
            <v>B558256/A</v>
          </cell>
          <cell r="B5478" t="str">
            <v>RH6918M373</v>
          </cell>
          <cell r="C5478">
            <v>5</v>
          </cell>
          <cell r="D5478">
            <v>410</v>
          </cell>
          <cell r="E5478">
            <v>2050</v>
          </cell>
          <cell r="F5478" t="str">
            <v>A2-S03-1</v>
          </cell>
          <cell r="G5478" t="str">
            <v>Wood laminater - Gỗ ghép 1</v>
          </cell>
          <cell r="H5478" t="str">
            <v>Wood laminate</v>
          </cell>
          <cell r="I5478">
            <v>20</v>
          </cell>
        </row>
        <row r="5479">
          <cell r="A5479" t="str">
            <v>B558256/A</v>
          </cell>
          <cell r="B5479" t="str">
            <v>RH6918M373</v>
          </cell>
          <cell r="C5479">
            <v>5</v>
          </cell>
          <cell r="D5479">
            <v>410</v>
          </cell>
          <cell r="E5479">
            <v>2050</v>
          </cell>
          <cell r="F5479" t="str">
            <v>A2-S03-2</v>
          </cell>
          <cell r="G5479" t="str">
            <v>Wood laminater - Gỗ ghép 1</v>
          </cell>
          <cell r="H5479" t="str">
            <v>Wood US Poplar - Straight Edged, 2 COM - T38mm x W100mm Up x L1.8m Up</v>
          </cell>
          <cell r="I5479">
            <v>10</v>
          </cell>
        </row>
        <row r="5480">
          <cell r="A5480" t="str">
            <v>B558256/A</v>
          </cell>
          <cell r="B5480" t="str">
            <v>RH6918M373</v>
          </cell>
          <cell r="C5480">
            <v>5</v>
          </cell>
          <cell r="D5480">
            <v>410</v>
          </cell>
          <cell r="E5480">
            <v>2050</v>
          </cell>
          <cell r="F5480" t="str">
            <v>P01</v>
          </cell>
          <cell r="G5480" t="str">
            <v xml:space="preserve">Top panel  - Ván nóc </v>
          </cell>
          <cell r="H5480" t="str">
            <v>MDF Veneer</v>
          </cell>
          <cell r="I5480">
            <v>5</v>
          </cell>
        </row>
        <row r="5481">
          <cell r="A5481" t="str">
            <v>B558256/A</v>
          </cell>
          <cell r="B5481" t="str">
            <v>RH6918M373</v>
          </cell>
          <cell r="C5481">
            <v>5</v>
          </cell>
          <cell r="D5481">
            <v>410</v>
          </cell>
          <cell r="E5481">
            <v>2050</v>
          </cell>
          <cell r="F5481" t="str">
            <v>P02</v>
          </cell>
          <cell r="G5481" t="str">
            <v xml:space="preserve">Curve part hot press  - chi tiết cảo cong </v>
          </cell>
          <cell r="H5481" t="str">
            <v>MDF Veneer</v>
          </cell>
          <cell r="I5481">
            <v>10</v>
          </cell>
        </row>
        <row r="5482">
          <cell r="A5482" t="str">
            <v>B558256/A</v>
          </cell>
          <cell r="B5482" t="str">
            <v>RH6918M373</v>
          </cell>
          <cell r="C5482">
            <v>5</v>
          </cell>
          <cell r="D5482">
            <v>410</v>
          </cell>
          <cell r="E5482">
            <v>2050</v>
          </cell>
          <cell r="F5482" t="str">
            <v>P02a</v>
          </cell>
          <cell r="G5482" t="str">
            <v>Panel outside - Ván phía ngoài</v>
          </cell>
          <cell r="H5482" t="str">
            <v>MDF Veneer</v>
          </cell>
          <cell r="I5482">
            <v>10</v>
          </cell>
        </row>
        <row r="5483">
          <cell r="A5483" t="str">
            <v>B558256/A</v>
          </cell>
          <cell r="B5483" t="str">
            <v>RH6918M373</v>
          </cell>
          <cell r="C5483">
            <v>5</v>
          </cell>
          <cell r="D5483">
            <v>410</v>
          </cell>
          <cell r="E5483">
            <v>2050</v>
          </cell>
          <cell r="F5483" t="str">
            <v>P03</v>
          </cell>
          <cell r="G5483" t="str">
            <v>Back panel - Ván hậu</v>
          </cell>
          <cell r="H5483" t="str">
            <v>MDF Veneer</v>
          </cell>
          <cell r="I5483">
            <v>5</v>
          </cell>
        </row>
        <row r="5484">
          <cell r="A5484" t="str">
            <v>B558256/A</v>
          </cell>
          <cell r="B5484" t="str">
            <v>RH6918M373</v>
          </cell>
          <cell r="C5484">
            <v>5</v>
          </cell>
          <cell r="D5484">
            <v>410</v>
          </cell>
          <cell r="E5484">
            <v>2050</v>
          </cell>
          <cell r="F5484" t="str">
            <v>P05</v>
          </cell>
          <cell r="G5484" t="str">
            <v>Bottom panel - Ván đáy</v>
          </cell>
          <cell r="H5484" t="str">
            <v>MDF Veneer</v>
          </cell>
          <cell r="I5484">
            <v>5</v>
          </cell>
        </row>
        <row r="5485">
          <cell r="A5485" t="str">
            <v>B558256/A</v>
          </cell>
          <cell r="B5485" t="str">
            <v>RH6918M373</v>
          </cell>
          <cell r="C5485">
            <v>5</v>
          </cell>
          <cell r="D5485">
            <v>410</v>
          </cell>
          <cell r="E5485">
            <v>2050</v>
          </cell>
          <cell r="F5485" t="str">
            <v>P06</v>
          </cell>
          <cell r="G5485" t="str">
            <v xml:space="preserve">Side panel  - Ván hông </v>
          </cell>
          <cell r="H5485" t="str">
            <v>MDF Veneer</v>
          </cell>
          <cell r="I5485">
            <v>10</v>
          </cell>
        </row>
        <row r="5486">
          <cell r="A5486" t="str">
            <v>B558256/A</v>
          </cell>
          <cell r="B5486" t="str">
            <v>RH6918M373</v>
          </cell>
          <cell r="C5486">
            <v>5</v>
          </cell>
          <cell r="D5486">
            <v>410</v>
          </cell>
          <cell r="E5486">
            <v>2050</v>
          </cell>
          <cell r="F5486" t="str">
            <v>P07</v>
          </cell>
          <cell r="G5486" t="str">
            <v>Front rail  - Đố tiền</v>
          </cell>
          <cell r="H5486" t="str">
            <v>Wood EU Beech - Straight/Waving Edged AB, 1 COM - T26mm x W100mm up x L1.8m up</v>
          </cell>
          <cell r="I5486">
            <v>5</v>
          </cell>
        </row>
        <row r="5487">
          <cell r="A5487" t="str">
            <v>B558256/A</v>
          </cell>
          <cell r="B5487" t="str">
            <v>RH6918M373</v>
          </cell>
          <cell r="C5487">
            <v>5</v>
          </cell>
          <cell r="D5487">
            <v>410</v>
          </cell>
          <cell r="E5487">
            <v>2050</v>
          </cell>
          <cell r="F5487" t="str">
            <v>P08</v>
          </cell>
          <cell r="G5487" t="str">
            <v>Drawer stop - Dừng hộc</v>
          </cell>
          <cell r="H5487" t="str">
            <v>Beech off cut</v>
          </cell>
          <cell r="I5487">
            <v>30</v>
          </cell>
        </row>
        <row r="5488">
          <cell r="A5488" t="str">
            <v>B558257/A</v>
          </cell>
          <cell r="B5488" t="str">
            <v>RH6918M373</v>
          </cell>
          <cell r="C5488">
            <v>6</v>
          </cell>
          <cell r="D5488">
            <v>410</v>
          </cell>
          <cell r="E5488">
            <v>2460</v>
          </cell>
          <cell r="F5488" t="str">
            <v>A1-S01</v>
          </cell>
          <cell r="G5488" t="str">
            <v xml:space="preserve">Curve part hot press  - chi tiết cảo cong </v>
          </cell>
          <cell r="H5488" t="str">
            <v>Wd+MDF+VN</v>
          </cell>
          <cell r="I5488">
            <v>18</v>
          </cell>
        </row>
        <row r="5489">
          <cell r="A5489" t="str">
            <v>B558257/A</v>
          </cell>
          <cell r="B5489" t="str">
            <v>RH6918M373</v>
          </cell>
          <cell r="C5489">
            <v>6</v>
          </cell>
          <cell r="D5489">
            <v>410</v>
          </cell>
          <cell r="E5489">
            <v>2460</v>
          </cell>
          <cell r="F5489" t="str">
            <v>A1-S01-1</v>
          </cell>
          <cell r="G5489" t="str">
            <v xml:space="preserve">Curve part hot press  - chi tiết cảo cong </v>
          </cell>
          <cell r="H5489" t="str">
            <v>MDF Veneer</v>
          </cell>
          <cell r="I5489">
            <v>6</v>
          </cell>
        </row>
        <row r="5490">
          <cell r="A5490" t="str">
            <v>B558257/A</v>
          </cell>
          <cell r="B5490" t="str">
            <v>RH6918M373</v>
          </cell>
          <cell r="C5490">
            <v>6</v>
          </cell>
          <cell r="D5490">
            <v>410</v>
          </cell>
          <cell r="E5490">
            <v>2460</v>
          </cell>
          <cell r="F5490" t="str">
            <v>A1-S01-1a</v>
          </cell>
          <cell r="G5490" t="str">
            <v>Panel outside - Ván phía ngoài</v>
          </cell>
          <cell r="H5490" t="str">
            <v>MDF Veneer</v>
          </cell>
          <cell r="I5490">
            <v>6</v>
          </cell>
        </row>
        <row r="5491">
          <cell r="A5491" t="str">
            <v>B558257/A</v>
          </cell>
          <cell r="B5491" t="str">
            <v>RH6918M373</v>
          </cell>
          <cell r="C5491">
            <v>6</v>
          </cell>
          <cell r="D5491">
            <v>410</v>
          </cell>
          <cell r="E5491">
            <v>2460</v>
          </cell>
          <cell r="F5491" t="str">
            <v>A1-S01-2</v>
          </cell>
          <cell r="G5491" t="str">
            <v>Insert Wood - Gỗ chèn</v>
          </cell>
          <cell r="H5491" t="str">
            <v>Wood White Oak - Straight/Waving Edged, 1 COM - T25mm x W100mm Up x L1.8m Up</v>
          </cell>
          <cell r="I5491">
            <v>18</v>
          </cell>
        </row>
        <row r="5492">
          <cell r="A5492" t="str">
            <v>B558257/A</v>
          </cell>
          <cell r="B5492" t="str">
            <v>RH6918M373</v>
          </cell>
          <cell r="C5492">
            <v>6</v>
          </cell>
          <cell r="D5492">
            <v>410</v>
          </cell>
          <cell r="E5492">
            <v>2460</v>
          </cell>
          <cell r="F5492" t="str">
            <v>A1-S02</v>
          </cell>
          <cell r="G5492" t="str">
            <v>Drawer side - Hông hộc kéo</v>
          </cell>
          <cell r="H5492" t="str">
            <v>MDF Veneer</v>
          </cell>
          <cell r="I5492">
            <v>36</v>
          </cell>
        </row>
        <row r="5493">
          <cell r="A5493" t="str">
            <v>B558257/A</v>
          </cell>
          <cell r="B5493" t="str">
            <v>RH6918M373</v>
          </cell>
          <cell r="C5493">
            <v>6</v>
          </cell>
          <cell r="D5493">
            <v>410</v>
          </cell>
          <cell r="E5493">
            <v>2460</v>
          </cell>
          <cell r="F5493" t="str">
            <v>A1-S03</v>
          </cell>
          <cell r="G5493" t="str">
            <v>Drawer back - Hậu hộc kéo</v>
          </cell>
          <cell r="H5493" t="str">
            <v>MDF Veneer</v>
          </cell>
          <cell r="I5493">
            <v>18</v>
          </cell>
        </row>
        <row r="5494">
          <cell r="A5494" t="str">
            <v>B558257/A</v>
          </cell>
          <cell r="B5494" t="str">
            <v>RH6918M373</v>
          </cell>
          <cell r="C5494">
            <v>6</v>
          </cell>
          <cell r="D5494">
            <v>410</v>
          </cell>
          <cell r="E5494">
            <v>2460</v>
          </cell>
          <cell r="F5494" t="str">
            <v>A1-S04</v>
          </cell>
          <cell r="G5494" t="str">
            <v>Drawer bottom  - Đáy hộc kéo</v>
          </cell>
          <cell r="H5494" t="str">
            <v>MDF Veneer</v>
          </cell>
          <cell r="I5494">
            <v>18</v>
          </cell>
        </row>
        <row r="5495">
          <cell r="A5495" t="str">
            <v>B558257/A</v>
          </cell>
          <cell r="B5495" t="str">
            <v>RH6918M373</v>
          </cell>
          <cell r="C5495">
            <v>6</v>
          </cell>
          <cell r="D5495">
            <v>410</v>
          </cell>
          <cell r="E5495">
            <v>2460</v>
          </cell>
          <cell r="F5495" t="str">
            <v>A1-S06</v>
          </cell>
          <cell r="G5495" t="str">
            <v>Patching wood - Gỗ đắp</v>
          </cell>
          <cell r="H5495" t="str">
            <v>Beech off cut</v>
          </cell>
          <cell r="I5495">
            <v>36</v>
          </cell>
        </row>
        <row r="5496">
          <cell r="A5496" t="str">
            <v>B558257/A</v>
          </cell>
          <cell r="B5496" t="str">
            <v>RH6918M373</v>
          </cell>
          <cell r="C5496">
            <v>6</v>
          </cell>
          <cell r="D5496">
            <v>410</v>
          </cell>
          <cell r="E5496">
            <v>2460</v>
          </cell>
          <cell r="F5496" t="str">
            <v>A2-S01</v>
          </cell>
          <cell r="G5496" t="str">
            <v>Insert Wood - Gỗ chèn</v>
          </cell>
          <cell r="H5496" t="str">
            <v>Beech off cut</v>
          </cell>
          <cell r="I5496">
            <v>36</v>
          </cell>
        </row>
        <row r="5497">
          <cell r="A5497" t="str">
            <v>B558257/A</v>
          </cell>
          <cell r="B5497" t="str">
            <v>RH6918M373</v>
          </cell>
          <cell r="C5497">
            <v>6</v>
          </cell>
          <cell r="D5497">
            <v>410</v>
          </cell>
          <cell r="E5497">
            <v>2460</v>
          </cell>
          <cell r="F5497" t="str">
            <v>A2-S03</v>
          </cell>
          <cell r="G5497" t="str">
            <v>Bottom rail inside - Đố tiền đáy</v>
          </cell>
          <cell r="H5497" t="str">
            <v>Wd+VN</v>
          </cell>
          <cell r="I5497">
            <v>12</v>
          </cell>
        </row>
        <row r="5498">
          <cell r="A5498" t="str">
            <v>B558257/A</v>
          </cell>
          <cell r="B5498" t="str">
            <v>RH6918M373</v>
          </cell>
          <cell r="C5498">
            <v>6</v>
          </cell>
          <cell r="D5498">
            <v>410</v>
          </cell>
          <cell r="E5498">
            <v>2460</v>
          </cell>
          <cell r="F5498" t="str">
            <v>A2-S03-1</v>
          </cell>
          <cell r="G5498" t="str">
            <v>Wood laminater - Gỗ ghép 1</v>
          </cell>
          <cell r="H5498" t="str">
            <v>Wood laminate</v>
          </cell>
          <cell r="I5498">
            <v>24</v>
          </cell>
        </row>
        <row r="5499">
          <cell r="A5499" t="str">
            <v>B558257/A</v>
          </cell>
          <cell r="B5499" t="str">
            <v>RH6918M373</v>
          </cell>
          <cell r="C5499">
            <v>6</v>
          </cell>
          <cell r="D5499">
            <v>410</v>
          </cell>
          <cell r="E5499">
            <v>2460</v>
          </cell>
          <cell r="F5499" t="str">
            <v>A2-S03-2</v>
          </cell>
          <cell r="G5499" t="str">
            <v>Wood laminater - Gỗ ghép 1</v>
          </cell>
          <cell r="H5499" t="str">
            <v>Wood US Poplar - Straight Edged, 2 COM - T38mm x W100mm Up x L1.8m Up</v>
          </cell>
          <cell r="I5499">
            <v>12</v>
          </cell>
        </row>
        <row r="5500">
          <cell r="A5500" t="str">
            <v>B558257/A</v>
          </cell>
          <cell r="B5500" t="str">
            <v>RH6918M373</v>
          </cell>
          <cell r="C5500">
            <v>6</v>
          </cell>
          <cell r="D5500">
            <v>410</v>
          </cell>
          <cell r="E5500">
            <v>2460</v>
          </cell>
          <cell r="F5500" t="str">
            <v>P01</v>
          </cell>
          <cell r="G5500" t="str">
            <v xml:space="preserve">Top panel  - Ván nóc </v>
          </cell>
          <cell r="H5500" t="str">
            <v>MDF Veneer</v>
          </cell>
          <cell r="I5500">
            <v>6</v>
          </cell>
        </row>
        <row r="5501">
          <cell r="A5501" t="str">
            <v>B558257/A</v>
          </cell>
          <cell r="B5501" t="str">
            <v>RH6918M373</v>
          </cell>
          <cell r="C5501">
            <v>6</v>
          </cell>
          <cell r="D5501">
            <v>410</v>
          </cell>
          <cell r="E5501">
            <v>2460</v>
          </cell>
          <cell r="F5501" t="str">
            <v>P02</v>
          </cell>
          <cell r="G5501" t="str">
            <v xml:space="preserve">Curve part hot press  - chi tiết cảo cong </v>
          </cell>
          <cell r="H5501" t="str">
            <v>MDF Veneer</v>
          </cell>
          <cell r="I5501">
            <v>12</v>
          </cell>
        </row>
        <row r="5502">
          <cell r="A5502" t="str">
            <v>B558257/A</v>
          </cell>
          <cell r="B5502" t="str">
            <v>RH6918M373</v>
          </cell>
          <cell r="C5502">
            <v>6</v>
          </cell>
          <cell r="D5502">
            <v>410</v>
          </cell>
          <cell r="E5502">
            <v>2460</v>
          </cell>
          <cell r="F5502" t="str">
            <v>P02a</v>
          </cell>
          <cell r="G5502" t="str">
            <v>Panel outside - Ván phía ngoài</v>
          </cell>
          <cell r="H5502" t="str">
            <v>MDF Veneer</v>
          </cell>
          <cell r="I5502">
            <v>12</v>
          </cell>
        </row>
        <row r="5503">
          <cell r="A5503" t="str">
            <v>B558257/A</v>
          </cell>
          <cell r="B5503" t="str">
            <v>RH6918M373</v>
          </cell>
          <cell r="C5503">
            <v>6</v>
          </cell>
          <cell r="D5503">
            <v>410</v>
          </cell>
          <cell r="E5503">
            <v>2460</v>
          </cell>
          <cell r="F5503" t="str">
            <v>P03</v>
          </cell>
          <cell r="G5503" t="str">
            <v>Back panel - Ván hậu</v>
          </cell>
          <cell r="H5503" t="str">
            <v>MDF Veneer</v>
          </cell>
          <cell r="I5503">
            <v>6</v>
          </cell>
        </row>
        <row r="5504">
          <cell r="A5504" t="str">
            <v>B558257/A</v>
          </cell>
          <cell r="B5504" t="str">
            <v>RH6918M373</v>
          </cell>
          <cell r="C5504">
            <v>6</v>
          </cell>
          <cell r="D5504">
            <v>410</v>
          </cell>
          <cell r="E5504">
            <v>2460</v>
          </cell>
          <cell r="F5504" t="str">
            <v>P05</v>
          </cell>
          <cell r="G5504" t="str">
            <v>Bottom panel - Ván đáy</v>
          </cell>
          <cell r="H5504" t="str">
            <v>MDF Veneer</v>
          </cell>
          <cell r="I5504">
            <v>6</v>
          </cell>
        </row>
        <row r="5505">
          <cell r="A5505" t="str">
            <v>B558257/A</v>
          </cell>
          <cell r="B5505" t="str">
            <v>RH6918M373</v>
          </cell>
          <cell r="C5505">
            <v>6</v>
          </cell>
          <cell r="D5505">
            <v>410</v>
          </cell>
          <cell r="E5505">
            <v>2460</v>
          </cell>
          <cell r="F5505" t="str">
            <v>P06</v>
          </cell>
          <cell r="G5505" t="str">
            <v xml:space="preserve">Side panel  - Ván hông </v>
          </cell>
          <cell r="H5505" t="str">
            <v>MDF Veneer</v>
          </cell>
          <cell r="I5505">
            <v>12</v>
          </cell>
        </row>
        <row r="5506">
          <cell r="A5506" t="str">
            <v>B558257/A</v>
          </cell>
          <cell r="B5506" t="str">
            <v>RH6918M373</v>
          </cell>
          <cell r="C5506">
            <v>6</v>
          </cell>
          <cell r="D5506">
            <v>410</v>
          </cell>
          <cell r="E5506">
            <v>2460</v>
          </cell>
          <cell r="F5506" t="str">
            <v>P07</v>
          </cell>
          <cell r="G5506" t="str">
            <v>Front rail  - Đố tiền</v>
          </cell>
          <cell r="H5506" t="str">
            <v>Wood EU Beech - Straight/Waving Edged AB, 1 COM - T26mm x W100mm up x L1.8m up</v>
          </cell>
          <cell r="I5506">
            <v>6</v>
          </cell>
        </row>
        <row r="5507">
          <cell r="A5507" t="str">
            <v>B558257/A</v>
          </cell>
          <cell r="B5507" t="str">
            <v>RH6918M373</v>
          </cell>
          <cell r="C5507">
            <v>6</v>
          </cell>
          <cell r="D5507">
            <v>410</v>
          </cell>
          <cell r="E5507">
            <v>2460</v>
          </cell>
          <cell r="F5507" t="str">
            <v>P08</v>
          </cell>
          <cell r="G5507" t="str">
            <v>Drawer stop - Dừng hộc</v>
          </cell>
          <cell r="H5507" t="str">
            <v>Beech off cut</v>
          </cell>
          <cell r="I5507">
            <v>36</v>
          </cell>
        </row>
        <row r="5508">
          <cell r="A5508" t="str">
            <v>B558343/A</v>
          </cell>
          <cell r="B5508" t="str">
            <v>RH7270M373</v>
          </cell>
          <cell r="C5508">
            <v>2</v>
          </cell>
          <cell r="D5508">
            <v>735</v>
          </cell>
          <cell r="E5508">
            <v>1470</v>
          </cell>
          <cell r="F5508" t="str">
            <v>A1</v>
          </cell>
          <cell r="G5508" t="str">
            <v>Side Frame - Khung hông</v>
          </cell>
          <cell r="H5508" t="str">
            <v>Pre-Assembly</v>
          </cell>
          <cell r="I5508">
            <v>4</v>
          </cell>
        </row>
        <row r="5509">
          <cell r="A5509" t="str">
            <v>B558343/A</v>
          </cell>
          <cell r="B5509" t="str">
            <v>RH7270M373</v>
          </cell>
          <cell r="C5509">
            <v>2</v>
          </cell>
          <cell r="D5509">
            <v>735</v>
          </cell>
          <cell r="E5509">
            <v>1470</v>
          </cell>
          <cell r="F5509" t="str">
            <v>A1-S0</v>
          </cell>
          <cell r="G5509" t="str">
            <v xml:space="preserve">Panel - Ván </v>
          </cell>
          <cell r="H5509" t="str">
            <v>MDF Veneer</v>
          </cell>
          <cell r="I5509">
            <v>4</v>
          </cell>
        </row>
        <row r="5510">
          <cell r="A5510" t="str">
            <v>B558343/A</v>
          </cell>
          <cell r="B5510" t="str">
            <v>RH7270M373</v>
          </cell>
          <cell r="C5510">
            <v>2</v>
          </cell>
          <cell r="D5510">
            <v>735</v>
          </cell>
          <cell r="E5510">
            <v>1470</v>
          </cell>
          <cell r="F5510" t="str">
            <v>A1-S01</v>
          </cell>
          <cell r="G5510" t="str">
            <v xml:space="preserve">Curve part hot press  - chi tiết cảo cong </v>
          </cell>
          <cell r="H5510" t="str">
            <v>Pre-Assembly</v>
          </cell>
          <cell r="I5510">
            <v>4</v>
          </cell>
        </row>
        <row r="5511">
          <cell r="A5511" t="str">
            <v>B558343/A</v>
          </cell>
          <cell r="B5511" t="str">
            <v>RH7270M373</v>
          </cell>
          <cell r="C5511">
            <v>2</v>
          </cell>
          <cell r="D5511">
            <v>735</v>
          </cell>
          <cell r="E5511">
            <v>1470</v>
          </cell>
          <cell r="F5511" t="str">
            <v>A1-S05</v>
          </cell>
          <cell r="G5511" t="str">
            <v>Patching wood - Gỗ đắp</v>
          </cell>
          <cell r="H5511" t="str">
            <v>Wood White Oak - Straight/Waving Edged, 1 COM - T32mm x W100mm Up x L1.8m Up</v>
          </cell>
          <cell r="I5511">
            <v>4</v>
          </cell>
        </row>
        <row r="5512">
          <cell r="A5512" t="str">
            <v>B558343/A</v>
          </cell>
          <cell r="B5512" t="str">
            <v>RH7270M373</v>
          </cell>
          <cell r="C5512">
            <v>2</v>
          </cell>
          <cell r="D5512">
            <v>735</v>
          </cell>
          <cell r="E5512">
            <v>1470</v>
          </cell>
          <cell r="F5512" t="str">
            <v>A2-S01</v>
          </cell>
          <cell r="G5512" t="str">
            <v xml:space="preserve">Top panel  - Ván nóc </v>
          </cell>
          <cell r="H5512" t="str">
            <v>MDF Veneer</v>
          </cell>
          <cell r="I5512">
            <v>2</v>
          </cell>
        </row>
        <row r="5513">
          <cell r="A5513" t="str">
            <v>B558343/A</v>
          </cell>
          <cell r="B5513" t="str">
            <v>RH7270M373</v>
          </cell>
          <cell r="C5513">
            <v>2</v>
          </cell>
          <cell r="D5513">
            <v>735</v>
          </cell>
          <cell r="E5513">
            <v>1470</v>
          </cell>
          <cell r="F5513" t="str">
            <v>A2-S02</v>
          </cell>
          <cell r="G5513" t="str">
            <v>Top rail - Đố nóc</v>
          </cell>
          <cell r="H5513" t="str">
            <v>Wood laminate</v>
          </cell>
          <cell r="I5513">
            <v>2</v>
          </cell>
        </row>
        <row r="5514">
          <cell r="A5514" t="str">
            <v>B558343/A</v>
          </cell>
          <cell r="B5514" t="str">
            <v>RH7270M373</v>
          </cell>
          <cell r="C5514">
            <v>2</v>
          </cell>
          <cell r="D5514">
            <v>735</v>
          </cell>
          <cell r="E5514">
            <v>1470</v>
          </cell>
          <cell r="F5514" t="str">
            <v>A2-S03</v>
          </cell>
          <cell r="G5514" t="str">
            <v>Top rail - Đố nóc</v>
          </cell>
          <cell r="H5514" t="str">
            <v>Wood laminate</v>
          </cell>
          <cell r="I5514">
            <v>4</v>
          </cell>
        </row>
        <row r="5515">
          <cell r="A5515" t="str">
            <v>B558343/A</v>
          </cell>
          <cell r="B5515" t="str">
            <v>RH7270M373</v>
          </cell>
          <cell r="C5515">
            <v>2</v>
          </cell>
          <cell r="D5515">
            <v>735</v>
          </cell>
          <cell r="E5515">
            <v>1470</v>
          </cell>
          <cell r="F5515" t="str">
            <v>A2-S04</v>
          </cell>
          <cell r="G5515" t="str">
            <v>Front rail  - Đố tiền</v>
          </cell>
          <cell r="H5515" t="str">
            <v>Wood laminate</v>
          </cell>
          <cell r="I5515">
            <v>2</v>
          </cell>
        </row>
        <row r="5516">
          <cell r="A5516" t="str">
            <v>B558343/A</v>
          </cell>
          <cell r="B5516" t="str">
            <v>RH7270M373</v>
          </cell>
          <cell r="C5516">
            <v>2</v>
          </cell>
          <cell r="D5516">
            <v>735</v>
          </cell>
          <cell r="E5516">
            <v>1470</v>
          </cell>
          <cell r="F5516" t="str">
            <v>A2-S05</v>
          </cell>
          <cell r="G5516" t="str">
            <v>Top rail - Đố nóc</v>
          </cell>
          <cell r="H5516" t="str">
            <v>Wood laminate</v>
          </cell>
          <cell r="I5516">
            <v>4</v>
          </cell>
        </row>
        <row r="5517">
          <cell r="A5517" t="str">
            <v>B558343/A</v>
          </cell>
          <cell r="B5517" t="str">
            <v>RH7270M373</v>
          </cell>
          <cell r="C5517">
            <v>2</v>
          </cell>
          <cell r="D5517">
            <v>735</v>
          </cell>
          <cell r="E5517">
            <v>1470</v>
          </cell>
          <cell r="F5517" t="str">
            <v>A2-S06</v>
          </cell>
          <cell r="G5517" t="str">
            <v>support Top - đỡ nóc</v>
          </cell>
          <cell r="H5517" t="str">
            <v>Beech off cut</v>
          </cell>
          <cell r="I5517">
            <v>8</v>
          </cell>
        </row>
        <row r="5518">
          <cell r="A5518" t="str">
            <v>B558343/A</v>
          </cell>
          <cell r="B5518" t="str">
            <v>RH7270M373</v>
          </cell>
          <cell r="C5518">
            <v>2</v>
          </cell>
          <cell r="D5518">
            <v>735</v>
          </cell>
          <cell r="E5518">
            <v>1470</v>
          </cell>
          <cell r="F5518" t="str">
            <v>A2-S07</v>
          </cell>
          <cell r="G5518" t="str">
            <v>support Top - đỡ nóc</v>
          </cell>
          <cell r="H5518" t="str">
            <v>Wood laminate</v>
          </cell>
          <cell r="I5518">
            <v>2</v>
          </cell>
        </row>
        <row r="5519">
          <cell r="A5519" t="str">
            <v>B558343/A</v>
          </cell>
          <cell r="B5519" t="str">
            <v>RH7270M373</v>
          </cell>
          <cell r="C5519">
            <v>2</v>
          </cell>
          <cell r="D5519">
            <v>735</v>
          </cell>
          <cell r="E5519">
            <v>1470</v>
          </cell>
          <cell r="F5519" t="str">
            <v>A3-S0</v>
          </cell>
          <cell r="G5519" t="str">
            <v xml:space="preserve">Panel - Ván </v>
          </cell>
          <cell r="H5519" t="str">
            <v>MDF Veneer</v>
          </cell>
          <cell r="I5519">
            <v>2</v>
          </cell>
        </row>
        <row r="5520">
          <cell r="A5520" t="str">
            <v>B558343/A</v>
          </cell>
          <cell r="B5520" t="str">
            <v>RH7270M373</v>
          </cell>
          <cell r="C5520">
            <v>2</v>
          </cell>
          <cell r="D5520">
            <v>735</v>
          </cell>
          <cell r="E5520">
            <v>1470</v>
          </cell>
          <cell r="F5520" t="str">
            <v>A3-S01</v>
          </cell>
          <cell r="G5520" t="str">
            <v xml:space="preserve">Curve part hot press  - chi tiết cảo cong </v>
          </cell>
          <cell r="H5520" t="str">
            <v>MDF laminate</v>
          </cell>
          <cell r="I5520">
            <v>12</v>
          </cell>
        </row>
        <row r="5521">
          <cell r="A5521" t="str">
            <v>B558343/A</v>
          </cell>
          <cell r="B5521" t="str">
            <v>RH7270M373</v>
          </cell>
          <cell r="C5521">
            <v>2</v>
          </cell>
          <cell r="D5521">
            <v>735</v>
          </cell>
          <cell r="E5521">
            <v>1470</v>
          </cell>
          <cell r="F5521" t="str">
            <v>A3-S02</v>
          </cell>
          <cell r="G5521" t="str">
            <v>Bottom panel - Ván đáy</v>
          </cell>
          <cell r="H5521" t="str">
            <v>MDF Veneer</v>
          </cell>
          <cell r="I5521">
            <v>4</v>
          </cell>
        </row>
        <row r="5522">
          <cell r="A5522" t="str">
            <v>B558343/A</v>
          </cell>
          <cell r="B5522" t="str">
            <v>RH7270M373</v>
          </cell>
          <cell r="C5522">
            <v>2</v>
          </cell>
          <cell r="D5522">
            <v>735</v>
          </cell>
          <cell r="E5522">
            <v>1470</v>
          </cell>
          <cell r="F5522" t="str">
            <v>A3-S03</v>
          </cell>
          <cell r="G5522" t="str">
            <v>Patching wood - Gỗ đắp</v>
          </cell>
          <cell r="H5522" t="str">
            <v>Beech off cut</v>
          </cell>
          <cell r="I5522">
            <v>12</v>
          </cell>
        </row>
        <row r="5523">
          <cell r="A5523" t="str">
            <v>B558343/A</v>
          </cell>
          <cell r="B5523" t="str">
            <v>RH7270M373</v>
          </cell>
          <cell r="C5523">
            <v>2</v>
          </cell>
          <cell r="D5523">
            <v>735</v>
          </cell>
          <cell r="E5523">
            <v>1470</v>
          </cell>
          <cell r="F5523" t="str">
            <v>A4</v>
          </cell>
          <cell r="G5523" t="str">
            <v>Door panel  - Ván cửa</v>
          </cell>
          <cell r="H5523" t="str">
            <v>Pre-Assembly</v>
          </cell>
          <cell r="I5523">
            <v>4</v>
          </cell>
        </row>
        <row r="5524">
          <cell r="A5524" t="str">
            <v>B558343/A</v>
          </cell>
          <cell r="B5524" t="str">
            <v>RH7270M373</v>
          </cell>
          <cell r="C5524">
            <v>2</v>
          </cell>
          <cell r="D5524">
            <v>735</v>
          </cell>
          <cell r="E5524">
            <v>1470</v>
          </cell>
          <cell r="F5524" t="str">
            <v>A4-S0</v>
          </cell>
          <cell r="G5524" t="str">
            <v xml:space="preserve">Panel - Ván </v>
          </cell>
          <cell r="H5524" t="str">
            <v>MDF Veneer</v>
          </cell>
          <cell r="I5524">
            <v>2</v>
          </cell>
        </row>
        <row r="5525">
          <cell r="A5525" t="str">
            <v>B558343/A</v>
          </cell>
          <cell r="B5525" t="str">
            <v>RH7270M373</v>
          </cell>
          <cell r="C5525">
            <v>2</v>
          </cell>
          <cell r="D5525">
            <v>735</v>
          </cell>
          <cell r="E5525">
            <v>1470</v>
          </cell>
          <cell r="F5525" t="str">
            <v>A4-S00</v>
          </cell>
          <cell r="G5525" t="str">
            <v xml:space="preserve">Curve part hot press  - chi tiết cảo cong </v>
          </cell>
          <cell r="H5525" t="str">
            <v>MDF Veneer</v>
          </cell>
          <cell r="I5525">
            <v>2</v>
          </cell>
        </row>
        <row r="5526">
          <cell r="A5526" t="str">
            <v>B558343/A</v>
          </cell>
          <cell r="B5526" t="str">
            <v>RH7270M373</v>
          </cell>
          <cell r="C5526">
            <v>2</v>
          </cell>
          <cell r="D5526">
            <v>735</v>
          </cell>
          <cell r="E5526">
            <v>1470</v>
          </cell>
          <cell r="F5526" t="str">
            <v>A4-S01</v>
          </cell>
          <cell r="G5526" t="str">
            <v>Door panel  - Ván cửa</v>
          </cell>
          <cell r="H5526" t="str">
            <v>MDF Veneer</v>
          </cell>
          <cell r="I5526">
            <v>4</v>
          </cell>
        </row>
        <row r="5527">
          <cell r="A5527" t="str">
            <v>B558343/A</v>
          </cell>
          <cell r="B5527" t="str">
            <v>RH7270M373</v>
          </cell>
          <cell r="C5527">
            <v>2</v>
          </cell>
          <cell r="D5527">
            <v>735</v>
          </cell>
          <cell r="E5527">
            <v>1470</v>
          </cell>
          <cell r="F5527" t="str">
            <v>A4-S02</v>
          </cell>
          <cell r="G5527" t="str">
            <v>Patching wood - Gỗ đắp</v>
          </cell>
          <cell r="H5527" t="str">
            <v>Wood White Oak - Straight/Waving Edged, 1 COM - T32mm x W100mm Up x L1.8m Up</v>
          </cell>
          <cell r="I5527">
            <v>4</v>
          </cell>
        </row>
        <row r="5528">
          <cell r="A5528" t="str">
            <v>B558343/A</v>
          </cell>
          <cell r="B5528" t="str">
            <v>RH7270M373</v>
          </cell>
          <cell r="C5528">
            <v>2</v>
          </cell>
          <cell r="D5528">
            <v>735</v>
          </cell>
          <cell r="E5528">
            <v>1470</v>
          </cell>
          <cell r="F5528" t="str">
            <v>P04</v>
          </cell>
          <cell r="G5528" t="str">
            <v>Door panel  - Ván cửa</v>
          </cell>
          <cell r="H5528" t="str">
            <v>MDF Veneer</v>
          </cell>
          <cell r="I5528">
            <v>8</v>
          </cell>
        </row>
        <row r="5529">
          <cell r="A5529" t="str">
            <v>B558343/A</v>
          </cell>
          <cell r="B5529" t="str">
            <v>RH7270M373</v>
          </cell>
          <cell r="C5529">
            <v>2</v>
          </cell>
          <cell r="D5529">
            <v>735</v>
          </cell>
          <cell r="E5529">
            <v>1470</v>
          </cell>
          <cell r="F5529" t="str">
            <v>P04-1</v>
          </cell>
          <cell r="G5529" t="str">
            <v>Insert Wood - Gỗ chèn</v>
          </cell>
          <cell r="H5529" t="str">
            <v>Beech off cut</v>
          </cell>
          <cell r="I5529">
            <v>24</v>
          </cell>
        </row>
        <row r="5530">
          <cell r="A5530" t="str">
            <v>B558343/A</v>
          </cell>
          <cell r="B5530" t="str">
            <v>RH7270M373</v>
          </cell>
          <cell r="C5530">
            <v>2</v>
          </cell>
          <cell r="D5530">
            <v>735</v>
          </cell>
          <cell r="E5530">
            <v>1470</v>
          </cell>
          <cell r="F5530" t="str">
            <v>P04-2</v>
          </cell>
          <cell r="G5530" t="str">
            <v>Insert Wood - Gỗ chèn</v>
          </cell>
          <cell r="H5530" t="str">
            <v>Wood White Oak - Straight/Waving Edged, 2 COM - T25mm x W100mm Up x L1.5m Up</v>
          </cell>
          <cell r="I5530">
            <v>12</v>
          </cell>
        </row>
        <row r="5531">
          <cell r="A5531" t="str">
            <v>B558343/A</v>
          </cell>
          <cell r="B5531" t="str">
            <v>RH7270M373</v>
          </cell>
          <cell r="C5531">
            <v>2</v>
          </cell>
          <cell r="D5531">
            <v>735</v>
          </cell>
          <cell r="E5531">
            <v>1470</v>
          </cell>
          <cell r="F5531" t="str">
            <v>P06</v>
          </cell>
          <cell r="G5531" t="str">
            <v>Cleat - Bọ gỗ</v>
          </cell>
          <cell r="H5531" t="str">
            <v>Beech off cut</v>
          </cell>
          <cell r="I5531">
            <v>8</v>
          </cell>
        </row>
        <row r="5532">
          <cell r="A5532" t="str">
            <v>B558343/A</v>
          </cell>
          <cell r="B5532" t="str">
            <v>RH7270M373</v>
          </cell>
          <cell r="C5532">
            <v>2</v>
          </cell>
          <cell r="D5532">
            <v>735</v>
          </cell>
          <cell r="E5532">
            <v>1470</v>
          </cell>
          <cell r="F5532" t="str">
            <v>P07</v>
          </cell>
          <cell r="G5532" t="str">
            <v>Bottom panel - Ván đáy</v>
          </cell>
          <cell r="H5532" t="str">
            <v>Plywood VN</v>
          </cell>
          <cell r="I5532">
            <v>2</v>
          </cell>
        </row>
        <row r="5533">
          <cell r="A5533" t="str">
            <v>B558343/A</v>
          </cell>
          <cell r="B5533" t="str">
            <v>RH7270M373</v>
          </cell>
          <cell r="C5533">
            <v>2</v>
          </cell>
          <cell r="D5533">
            <v>735</v>
          </cell>
          <cell r="E5533">
            <v>1470</v>
          </cell>
          <cell r="F5533" t="str">
            <v>P08</v>
          </cell>
          <cell r="G5533" t="str">
            <v>Back panel - Ván hậu</v>
          </cell>
          <cell r="H5533" t="str">
            <v>MDF Veneer</v>
          </cell>
          <cell r="I5533">
            <v>2</v>
          </cell>
        </row>
        <row r="5534">
          <cell r="A5534" t="str">
            <v>B558343/A</v>
          </cell>
          <cell r="B5534" t="str">
            <v>RH7270M373</v>
          </cell>
          <cell r="C5534">
            <v>2</v>
          </cell>
          <cell r="D5534">
            <v>735</v>
          </cell>
          <cell r="E5534">
            <v>1470</v>
          </cell>
          <cell r="F5534" t="str">
            <v>P08-1</v>
          </cell>
          <cell r="G5534" t="str">
            <v>Insert Wood - Gỗ chèn</v>
          </cell>
          <cell r="H5534" t="str">
            <v>oak off cut</v>
          </cell>
          <cell r="I5534">
            <v>6</v>
          </cell>
        </row>
        <row r="5535">
          <cell r="A5535" t="str">
            <v>B558343/A</v>
          </cell>
          <cell r="B5535" t="str">
            <v>RH7270M373</v>
          </cell>
          <cell r="C5535">
            <v>2</v>
          </cell>
          <cell r="D5535">
            <v>735</v>
          </cell>
          <cell r="E5535">
            <v>1470</v>
          </cell>
          <cell r="F5535" t="str">
            <v>P09</v>
          </cell>
          <cell r="G5535" t="str">
            <v>Partition panel - Vách ngăn</v>
          </cell>
          <cell r="H5535" t="str">
            <v>MDF Veneer</v>
          </cell>
          <cell r="I5535">
            <v>4</v>
          </cell>
        </row>
        <row r="5536">
          <cell r="A5536" t="str">
            <v>B558343/A</v>
          </cell>
          <cell r="B5536" t="str">
            <v>RH7270M373</v>
          </cell>
          <cell r="C5536">
            <v>2</v>
          </cell>
          <cell r="D5536">
            <v>735</v>
          </cell>
          <cell r="E5536">
            <v>1470</v>
          </cell>
          <cell r="F5536" t="str">
            <v>P12</v>
          </cell>
          <cell r="G5536" t="str">
            <v>Patching wood - Gỗ đắp</v>
          </cell>
          <cell r="H5536" t="str">
            <v>Wood White Oak - Straight/Waving Edged, 1 COM - T25mm x W100mm Up x L1.8m Up</v>
          </cell>
          <cell r="I5536">
            <v>6</v>
          </cell>
        </row>
        <row r="5537">
          <cell r="A5537" t="str">
            <v>B558343/A</v>
          </cell>
          <cell r="B5537" t="str">
            <v>RH7270M373</v>
          </cell>
          <cell r="C5537">
            <v>2</v>
          </cell>
          <cell r="D5537">
            <v>735</v>
          </cell>
          <cell r="E5537">
            <v>1470</v>
          </cell>
          <cell r="F5537" t="str">
            <v>P13</v>
          </cell>
          <cell r="G5537" t="str">
            <v>Center leg - Chân giữa</v>
          </cell>
          <cell r="H5537" t="str">
            <v>Wood White Oak - Straight/Waving Edged, 1 COM - T38mm x W100mm Up x L1.8m Up</v>
          </cell>
          <cell r="I5537">
            <v>2</v>
          </cell>
        </row>
        <row r="5538">
          <cell r="A5538" t="str">
            <v>B558343/A</v>
          </cell>
          <cell r="B5538" t="str">
            <v>RH7270M373</v>
          </cell>
          <cell r="C5538">
            <v>2</v>
          </cell>
          <cell r="D5538">
            <v>735</v>
          </cell>
          <cell r="E5538">
            <v>1470</v>
          </cell>
          <cell r="F5538" t="str">
            <v>P14</v>
          </cell>
          <cell r="G5538" t="str">
            <v>Fixed Shelf  - Kệ bắt chết</v>
          </cell>
          <cell r="H5538" t="str">
            <v>MDF Veneer</v>
          </cell>
          <cell r="I5538">
            <v>2</v>
          </cell>
        </row>
        <row r="5539">
          <cell r="A5539" t="str">
            <v>B558343/A</v>
          </cell>
          <cell r="B5539" t="str">
            <v>RH7270M373</v>
          </cell>
          <cell r="C5539">
            <v>2</v>
          </cell>
          <cell r="D5539">
            <v>735</v>
          </cell>
          <cell r="E5539">
            <v>1470</v>
          </cell>
          <cell r="F5539" t="str">
            <v>P15</v>
          </cell>
          <cell r="G5539" t="str">
            <v>Fixed Shelf  - Kệ bắt chết</v>
          </cell>
          <cell r="H5539" t="str">
            <v>MDF Veneer</v>
          </cell>
          <cell r="I5539">
            <v>4</v>
          </cell>
        </row>
        <row r="5540">
          <cell r="A5540" t="str">
            <v>B558344/A</v>
          </cell>
          <cell r="B5540" t="str">
            <v>RH7270M373</v>
          </cell>
          <cell r="C5540">
            <v>1</v>
          </cell>
          <cell r="D5540">
            <v>735</v>
          </cell>
          <cell r="E5540">
            <v>735</v>
          </cell>
          <cell r="F5540" t="str">
            <v>A1</v>
          </cell>
          <cell r="G5540" t="str">
            <v>Side Frame - Khung hông</v>
          </cell>
          <cell r="H5540" t="str">
            <v>Pre-Assembly</v>
          </cell>
          <cell r="I5540">
            <v>2</v>
          </cell>
        </row>
        <row r="5541">
          <cell r="A5541" t="str">
            <v>B558344/A</v>
          </cell>
          <cell r="B5541" t="str">
            <v>RH7270M373</v>
          </cell>
          <cell r="C5541">
            <v>1</v>
          </cell>
          <cell r="D5541">
            <v>735</v>
          </cell>
          <cell r="E5541">
            <v>735</v>
          </cell>
          <cell r="F5541" t="str">
            <v>A1-S0</v>
          </cell>
          <cell r="G5541" t="str">
            <v xml:space="preserve">Panel - Ván </v>
          </cell>
          <cell r="H5541" t="str">
            <v>MDF Veneer</v>
          </cell>
          <cell r="I5541">
            <v>2</v>
          </cell>
        </row>
        <row r="5542">
          <cell r="A5542" t="str">
            <v>B558344/A</v>
          </cell>
          <cell r="B5542" t="str">
            <v>RH7270M373</v>
          </cell>
          <cell r="C5542">
            <v>1</v>
          </cell>
          <cell r="D5542">
            <v>735</v>
          </cell>
          <cell r="E5542">
            <v>735</v>
          </cell>
          <cell r="F5542" t="str">
            <v>A1-S01</v>
          </cell>
          <cell r="G5542" t="str">
            <v xml:space="preserve">Curve part hot press  - chi tiết cảo cong </v>
          </cell>
          <cell r="H5542" t="str">
            <v>Pre-Assembly</v>
          </cell>
          <cell r="I5542">
            <v>2</v>
          </cell>
        </row>
        <row r="5543">
          <cell r="A5543" t="str">
            <v>B558344/A</v>
          </cell>
          <cell r="B5543" t="str">
            <v>RH7270M373</v>
          </cell>
          <cell r="C5543">
            <v>1</v>
          </cell>
          <cell r="D5543">
            <v>735</v>
          </cell>
          <cell r="E5543">
            <v>735</v>
          </cell>
          <cell r="F5543" t="str">
            <v>A1-S05</v>
          </cell>
          <cell r="G5543" t="str">
            <v>Patching wood - Gỗ đắp</v>
          </cell>
          <cell r="H5543" t="str">
            <v>Wood White Oak - Straight/Waving Edged, 1 COM - T32mm x W100mm Up x L1.8m Up</v>
          </cell>
          <cell r="I5543">
            <v>2</v>
          </cell>
        </row>
        <row r="5544">
          <cell r="A5544" t="str">
            <v>B558344/A</v>
          </cell>
          <cell r="B5544" t="str">
            <v>RH7270M373</v>
          </cell>
          <cell r="C5544">
            <v>1</v>
          </cell>
          <cell r="D5544">
            <v>735</v>
          </cell>
          <cell r="E5544">
            <v>735</v>
          </cell>
          <cell r="F5544" t="str">
            <v>A2-S01</v>
          </cell>
          <cell r="G5544" t="str">
            <v xml:space="preserve">Top panel  - Ván nóc </v>
          </cell>
          <cell r="H5544" t="str">
            <v>MDF Veneer</v>
          </cell>
          <cell r="I5544">
            <v>1</v>
          </cell>
        </row>
        <row r="5545">
          <cell r="A5545" t="str">
            <v>B558344/A</v>
          </cell>
          <cell r="B5545" t="str">
            <v>RH7270M373</v>
          </cell>
          <cell r="C5545">
            <v>1</v>
          </cell>
          <cell r="D5545">
            <v>735</v>
          </cell>
          <cell r="E5545">
            <v>735</v>
          </cell>
          <cell r="F5545" t="str">
            <v>A2-S02</v>
          </cell>
          <cell r="G5545" t="str">
            <v>Top rail - Đố nóc</v>
          </cell>
          <cell r="H5545" t="str">
            <v>Wood laminate</v>
          </cell>
          <cell r="I5545">
            <v>1</v>
          </cell>
        </row>
        <row r="5546">
          <cell r="A5546" t="str">
            <v>B558344/A</v>
          </cell>
          <cell r="B5546" t="str">
            <v>RH7270M373</v>
          </cell>
          <cell r="C5546">
            <v>1</v>
          </cell>
          <cell r="D5546">
            <v>735</v>
          </cell>
          <cell r="E5546">
            <v>735</v>
          </cell>
          <cell r="F5546" t="str">
            <v>A2-S03</v>
          </cell>
          <cell r="G5546" t="str">
            <v>Top rail - Đố nóc</v>
          </cell>
          <cell r="H5546" t="str">
            <v>Wood laminate</v>
          </cell>
          <cell r="I5546">
            <v>2</v>
          </cell>
        </row>
        <row r="5547">
          <cell r="A5547" t="str">
            <v>B558344/A</v>
          </cell>
          <cell r="B5547" t="str">
            <v>RH7270M373</v>
          </cell>
          <cell r="C5547">
            <v>1</v>
          </cell>
          <cell r="D5547">
            <v>735</v>
          </cell>
          <cell r="E5547">
            <v>735</v>
          </cell>
          <cell r="F5547" t="str">
            <v>A2-S04</v>
          </cell>
          <cell r="G5547" t="str">
            <v>Front rail  - Đố tiền</v>
          </cell>
          <cell r="H5547" t="str">
            <v>Wood laminate</v>
          </cell>
          <cell r="I5547">
            <v>1</v>
          </cell>
        </row>
        <row r="5548">
          <cell r="A5548" t="str">
            <v>B558344/A</v>
          </cell>
          <cell r="B5548" t="str">
            <v>RH7270M373</v>
          </cell>
          <cell r="C5548">
            <v>1</v>
          </cell>
          <cell r="D5548">
            <v>735</v>
          </cell>
          <cell r="E5548">
            <v>735</v>
          </cell>
          <cell r="F5548" t="str">
            <v>A2-S05</v>
          </cell>
          <cell r="G5548" t="str">
            <v>Top rail - Đố nóc</v>
          </cell>
          <cell r="H5548" t="str">
            <v>Wood laminate</v>
          </cell>
          <cell r="I5548">
            <v>2</v>
          </cell>
        </row>
        <row r="5549">
          <cell r="A5549" t="str">
            <v>B558344/A</v>
          </cell>
          <cell r="B5549" t="str">
            <v>RH7270M373</v>
          </cell>
          <cell r="C5549">
            <v>1</v>
          </cell>
          <cell r="D5549">
            <v>735</v>
          </cell>
          <cell r="E5549">
            <v>735</v>
          </cell>
          <cell r="F5549" t="str">
            <v>A2-S06</v>
          </cell>
          <cell r="G5549" t="str">
            <v>support Top - đỡ nóc</v>
          </cell>
          <cell r="H5549" t="str">
            <v>Beech off cut</v>
          </cell>
          <cell r="I5549">
            <v>4</v>
          </cell>
        </row>
        <row r="5550">
          <cell r="A5550" t="str">
            <v>B558344/A</v>
          </cell>
          <cell r="B5550" t="str">
            <v>RH7270M373</v>
          </cell>
          <cell r="C5550">
            <v>1</v>
          </cell>
          <cell r="D5550">
            <v>735</v>
          </cell>
          <cell r="E5550">
            <v>735</v>
          </cell>
          <cell r="F5550" t="str">
            <v>A2-S07</v>
          </cell>
          <cell r="G5550" t="str">
            <v>support Top - đỡ nóc</v>
          </cell>
          <cell r="H5550" t="str">
            <v>Wood laminate</v>
          </cell>
          <cell r="I5550">
            <v>1</v>
          </cell>
        </row>
        <row r="5551">
          <cell r="A5551" t="str">
            <v>B558344/A</v>
          </cell>
          <cell r="B5551" t="str">
            <v>RH7270M373</v>
          </cell>
          <cell r="C5551">
            <v>1</v>
          </cell>
          <cell r="D5551">
            <v>735</v>
          </cell>
          <cell r="E5551">
            <v>735</v>
          </cell>
          <cell r="F5551" t="str">
            <v>A3-S0</v>
          </cell>
          <cell r="G5551" t="str">
            <v xml:space="preserve">Panel - Ván </v>
          </cell>
          <cell r="H5551" t="str">
            <v>MDF Veneer</v>
          </cell>
          <cell r="I5551">
            <v>1</v>
          </cell>
        </row>
        <row r="5552">
          <cell r="A5552" t="str">
            <v>B558344/A</v>
          </cell>
          <cell r="B5552" t="str">
            <v>RH7270M373</v>
          </cell>
          <cell r="C5552">
            <v>1</v>
          </cell>
          <cell r="D5552">
            <v>735</v>
          </cell>
          <cell r="E5552">
            <v>735</v>
          </cell>
          <cell r="F5552" t="str">
            <v>A3-S01</v>
          </cell>
          <cell r="G5552" t="str">
            <v xml:space="preserve">Curve part hot press  - chi tiết cảo cong </v>
          </cell>
          <cell r="H5552" t="str">
            <v>MDF laminate</v>
          </cell>
          <cell r="I5552">
            <v>6</v>
          </cell>
        </row>
        <row r="5553">
          <cell r="A5553" t="str">
            <v>B558344/A</v>
          </cell>
          <cell r="B5553" t="str">
            <v>RH7270M373</v>
          </cell>
          <cell r="C5553">
            <v>1</v>
          </cell>
          <cell r="D5553">
            <v>735</v>
          </cell>
          <cell r="E5553">
            <v>735</v>
          </cell>
          <cell r="F5553" t="str">
            <v>A3-S02</v>
          </cell>
          <cell r="G5553" t="str">
            <v>Bottom panel - Ván đáy</v>
          </cell>
          <cell r="H5553" t="str">
            <v>MDF Veneer</v>
          </cell>
          <cell r="I5553">
            <v>2</v>
          </cell>
        </row>
        <row r="5554">
          <cell r="A5554" t="str">
            <v>B558344/A</v>
          </cell>
          <cell r="B5554" t="str">
            <v>RH7270M373</v>
          </cell>
          <cell r="C5554">
            <v>1</v>
          </cell>
          <cell r="D5554">
            <v>735</v>
          </cell>
          <cell r="E5554">
            <v>735</v>
          </cell>
          <cell r="F5554" t="str">
            <v>A3-S03</v>
          </cell>
          <cell r="G5554" t="str">
            <v>Patching wood - Gỗ đắp</v>
          </cell>
          <cell r="H5554" t="str">
            <v>Beech off cut</v>
          </cell>
          <cell r="I5554">
            <v>6</v>
          </cell>
        </row>
        <row r="5555">
          <cell r="A5555" t="str">
            <v>B558344/A</v>
          </cell>
          <cell r="B5555" t="str">
            <v>RH7270M373</v>
          </cell>
          <cell r="C5555">
            <v>1</v>
          </cell>
          <cell r="D5555">
            <v>735</v>
          </cell>
          <cell r="E5555">
            <v>735</v>
          </cell>
          <cell r="F5555" t="str">
            <v>A4</v>
          </cell>
          <cell r="G5555" t="str">
            <v>Door panel  - Ván cửa</v>
          </cell>
          <cell r="H5555" t="str">
            <v>Pre-Assembly</v>
          </cell>
          <cell r="I5555">
            <v>2</v>
          </cell>
        </row>
        <row r="5556">
          <cell r="A5556" t="str">
            <v>B558344/A</v>
          </cell>
          <cell r="B5556" t="str">
            <v>RH7270M373</v>
          </cell>
          <cell r="C5556">
            <v>1</v>
          </cell>
          <cell r="D5556">
            <v>735</v>
          </cell>
          <cell r="E5556">
            <v>735</v>
          </cell>
          <cell r="F5556" t="str">
            <v>A4-S0</v>
          </cell>
          <cell r="G5556" t="str">
            <v xml:space="preserve">Panel - Ván </v>
          </cell>
          <cell r="H5556" t="str">
            <v>MDF Veneer</v>
          </cell>
          <cell r="I5556">
            <v>1</v>
          </cell>
        </row>
        <row r="5557">
          <cell r="A5557" t="str">
            <v>B558344/A</v>
          </cell>
          <cell r="B5557" t="str">
            <v>RH7270M373</v>
          </cell>
          <cell r="C5557">
            <v>1</v>
          </cell>
          <cell r="D5557">
            <v>735</v>
          </cell>
          <cell r="E5557">
            <v>735</v>
          </cell>
          <cell r="F5557" t="str">
            <v>A4-S00</v>
          </cell>
          <cell r="G5557" t="str">
            <v xml:space="preserve">Curve part hot press  - chi tiết cảo cong </v>
          </cell>
          <cell r="H5557" t="str">
            <v>MDF Veneer</v>
          </cell>
          <cell r="I5557">
            <v>1</v>
          </cell>
        </row>
        <row r="5558">
          <cell r="A5558" t="str">
            <v>B558344/A</v>
          </cell>
          <cell r="B5558" t="str">
            <v>RH7270M373</v>
          </cell>
          <cell r="C5558">
            <v>1</v>
          </cell>
          <cell r="D5558">
            <v>735</v>
          </cell>
          <cell r="E5558">
            <v>735</v>
          </cell>
          <cell r="F5558" t="str">
            <v>A4-S01</v>
          </cell>
          <cell r="G5558" t="str">
            <v>Door panel  - Ván cửa</v>
          </cell>
          <cell r="H5558" t="str">
            <v>MDF Veneer</v>
          </cell>
          <cell r="I5558">
            <v>2</v>
          </cell>
        </row>
        <row r="5559">
          <cell r="A5559" t="str">
            <v>B558344/A</v>
          </cell>
          <cell r="B5559" t="str">
            <v>RH7270M373</v>
          </cell>
          <cell r="C5559">
            <v>1</v>
          </cell>
          <cell r="D5559">
            <v>735</v>
          </cell>
          <cell r="E5559">
            <v>735</v>
          </cell>
          <cell r="F5559" t="str">
            <v>A4-S02</v>
          </cell>
          <cell r="G5559" t="str">
            <v>Patching wood - Gỗ đắp</v>
          </cell>
          <cell r="H5559" t="str">
            <v>Wood White Oak - Straight/Waving Edged, 1 COM - T32mm x W100mm Up x L1.8m Up</v>
          </cell>
          <cell r="I5559">
            <v>2</v>
          </cell>
        </row>
        <row r="5560">
          <cell r="A5560" t="str">
            <v>B558344/A</v>
          </cell>
          <cell r="B5560" t="str">
            <v>RH7270M373</v>
          </cell>
          <cell r="C5560">
            <v>1</v>
          </cell>
          <cell r="D5560">
            <v>735</v>
          </cell>
          <cell r="E5560">
            <v>735</v>
          </cell>
          <cell r="F5560" t="str">
            <v>P04</v>
          </cell>
          <cell r="G5560" t="str">
            <v>Door panel  - Ván cửa</v>
          </cell>
          <cell r="H5560" t="str">
            <v>MDF Veneer</v>
          </cell>
          <cell r="I5560">
            <v>4</v>
          </cell>
        </row>
        <row r="5561">
          <cell r="A5561" t="str">
            <v>B558344/A</v>
          </cell>
          <cell r="B5561" t="str">
            <v>RH7270M373</v>
          </cell>
          <cell r="C5561">
            <v>1</v>
          </cell>
          <cell r="D5561">
            <v>735</v>
          </cell>
          <cell r="E5561">
            <v>735</v>
          </cell>
          <cell r="F5561" t="str">
            <v>P04-1</v>
          </cell>
          <cell r="G5561" t="str">
            <v>Insert Wood - Gỗ chèn</v>
          </cell>
          <cell r="H5561" t="str">
            <v>Beech off cut</v>
          </cell>
          <cell r="I5561">
            <v>12</v>
          </cell>
        </row>
        <row r="5562">
          <cell r="A5562" t="str">
            <v>B558344/A</v>
          </cell>
          <cell r="B5562" t="str">
            <v>RH7270M373</v>
          </cell>
          <cell r="C5562">
            <v>1</v>
          </cell>
          <cell r="D5562">
            <v>735</v>
          </cell>
          <cell r="E5562">
            <v>735</v>
          </cell>
          <cell r="F5562" t="str">
            <v>P04-2</v>
          </cell>
          <cell r="G5562" t="str">
            <v>Insert Wood - Gỗ chèn</v>
          </cell>
          <cell r="H5562" t="str">
            <v>Wood White Oak - Straight/Waving Edged, 2 COM - T25mm x W100mm Up x L1.5m Up</v>
          </cell>
          <cell r="I5562">
            <v>6</v>
          </cell>
        </row>
        <row r="5563">
          <cell r="A5563" t="str">
            <v>B558344/A</v>
          </cell>
          <cell r="B5563" t="str">
            <v>RH7270M373</v>
          </cell>
          <cell r="C5563">
            <v>1</v>
          </cell>
          <cell r="D5563">
            <v>735</v>
          </cell>
          <cell r="E5563">
            <v>735</v>
          </cell>
          <cell r="F5563" t="str">
            <v>P06</v>
          </cell>
          <cell r="G5563" t="str">
            <v>Cleat - Bọ gỗ</v>
          </cell>
          <cell r="H5563" t="str">
            <v>Beech off cut</v>
          </cell>
          <cell r="I5563">
            <v>4</v>
          </cell>
        </row>
        <row r="5564">
          <cell r="A5564" t="str">
            <v>B558344/A</v>
          </cell>
          <cell r="B5564" t="str">
            <v>RH7270M373</v>
          </cell>
          <cell r="C5564">
            <v>1</v>
          </cell>
          <cell r="D5564">
            <v>735</v>
          </cell>
          <cell r="E5564">
            <v>735</v>
          </cell>
          <cell r="F5564" t="str">
            <v>P07</v>
          </cell>
          <cell r="G5564" t="str">
            <v>Bottom panel - Ván đáy</v>
          </cell>
          <cell r="H5564" t="str">
            <v>Plywood VN</v>
          </cell>
          <cell r="I5564">
            <v>1</v>
          </cell>
        </row>
        <row r="5565">
          <cell r="A5565" t="str">
            <v>B558344/A</v>
          </cell>
          <cell r="B5565" t="str">
            <v>RH7270M373</v>
          </cell>
          <cell r="C5565">
            <v>1</v>
          </cell>
          <cell r="D5565">
            <v>735</v>
          </cell>
          <cell r="E5565">
            <v>735</v>
          </cell>
          <cell r="F5565" t="str">
            <v>P08</v>
          </cell>
          <cell r="G5565" t="str">
            <v>Back panel - Ván hậu</v>
          </cell>
          <cell r="H5565" t="str">
            <v>MDF Veneer</v>
          </cell>
          <cell r="I5565">
            <v>1</v>
          </cell>
        </row>
        <row r="5566">
          <cell r="A5566" t="str">
            <v>B558344/A</v>
          </cell>
          <cell r="B5566" t="str">
            <v>RH7270M373</v>
          </cell>
          <cell r="C5566">
            <v>1</v>
          </cell>
          <cell r="D5566">
            <v>735</v>
          </cell>
          <cell r="E5566">
            <v>735</v>
          </cell>
          <cell r="F5566" t="str">
            <v>P08-1</v>
          </cell>
          <cell r="G5566" t="str">
            <v>Insert Wood - Gỗ chèn</v>
          </cell>
          <cell r="H5566" t="str">
            <v>oak off cut</v>
          </cell>
          <cell r="I5566">
            <v>3</v>
          </cell>
        </row>
        <row r="5567">
          <cell r="A5567" t="str">
            <v>B558344/A</v>
          </cell>
          <cell r="B5567" t="str">
            <v>RH7270M373</v>
          </cell>
          <cell r="C5567">
            <v>1</v>
          </cell>
          <cell r="D5567">
            <v>735</v>
          </cell>
          <cell r="E5567">
            <v>735</v>
          </cell>
          <cell r="F5567" t="str">
            <v>P09</v>
          </cell>
          <cell r="G5567" t="str">
            <v>Partition panel - Vách ngăn</v>
          </cell>
          <cell r="H5567" t="str">
            <v>MDF Veneer</v>
          </cell>
          <cell r="I5567">
            <v>2</v>
          </cell>
        </row>
        <row r="5568">
          <cell r="A5568" t="str">
            <v>B558344/A</v>
          </cell>
          <cell r="B5568" t="str">
            <v>RH7270M373</v>
          </cell>
          <cell r="C5568">
            <v>1</v>
          </cell>
          <cell r="D5568">
            <v>735</v>
          </cell>
          <cell r="E5568">
            <v>735</v>
          </cell>
          <cell r="F5568" t="str">
            <v>P12</v>
          </cell>
          <cell r="G5568" t="str">
            <v>Patching wood - Gỗ đắp</v>
          </cell>
          <cell r="H5568" t="str">
            <v>Wood White Oak - Straight/Waving Edged, 1 COM - T25mm x W100mm Up x L1.8m Up</v>
          </cell>
          <cell r="I5568">
            <v>3</v>
          </cell>
        </row>
        <row r="5569">
          <cell r="A5569" t="str">
            <v>B558344/A</v>
          </cell>
          <cell r="B5569" t="str">
            <v>RH7270M373</v>
          </cell>
          <cell r="C5569">
            <v>1</v>
          </cell>
          <cell r="D5569">
            <v>735</v>
          </cell>
          <cell r="E5569">
            <v>735</v>
          </cell>
          <cell r="F5569" t="str">
            <v>P13</v>
          </cell>
          <cell r="G5569" t="str">
            <v>Center leg - Chân giữa</v>
          </cell>
          <cell r="H5569" t="str">
            <v>Wood White Oak - Straight/Waving Edged, 1 COM - T38mm x W100mm Up x L1.8m Up</v>
          </cell>
          <cell r="I5569">
            <v>1</v>
          </cell>
        </row>
        <row r="5570">
          <cell r="A5570" t="str">
            <v>B558344/A</v>
          </cell>
          <cell r="B5570" t="str">
            <v>RH7270M373</v>
          </cell>
          <cell r="C5570">
            <v>1</v>
          </cell>
          <cell r="D5570">
            <v>735</v>
          </cell>
          <cell r="E5570">
            <v>735</v>
          </cell>
          <cell r="F5570" t="str">
            <v>P14</v>
          </cell>
          <cell r="G5570" t="str">
            <v>Fixed Shelf  - Kệ bắt chết</v>
          </cell>
          <cell r="H5570" t="str">
            <v>MDF Veneer</v>
          </cell>
          <cell r="I5570">
            <v>1</v>
          </cell>
        </row>
        <row r="5571">
          <cell r="A5571" t="str">
            <v>B558344/A</v>
          </cell>
          <cell r="B5571" t="str">
            <v>RH7270M373</v>
          </cell>
          <cell r="C5571">
            <v>1</v>
          </cell>
          <cell r="D5571">
            <v>735</v>
          </cell>
          <cell r="E5571">
            <v>735</v>
          </cell>
          <cell r="F5571" t="str">
            <v>P15</v>
          </cell>
          <cell r="G5571" t="str">
            <v>Fixed Shelf  - Kệ bắt chết</v>
          </cell>
          <cell r="H5571" t="str">
            <v>MDF Veneer</v>
          </cell>
          <cell r="I5571">
            <v>2</v>
          </cell>
        </row>
        <row r="5572">
          <cell r="A5572" t="str">
            <v>B558347/A</v>
          </cell>
          <cell r="B5572" t="str">
            <v>RH7270M374</v>
          </cell>
          <cell r="C5572">
            <v>6</v>
          </cell>
          <cell r="D5572">
            <v>735</v>
          </cell>
          <cell r="E5572">
            <v>4410</v>
          </cell>
          <cell r="F5572" t="str">
            <v>A1</v>
          </cell>
          <cell r="G5572" t="str">
            <v>Side Frame - Khung hông</v>
          </cell>
          <cell r="H5572" t="str">
            <v>Pre-Assembly</v>
          </cell>
          <cell r="I5572">
            <v>12</v>
          </cell>
        </row>
        <row r="5573">
          <cell r="A5573" t="str">
            <v>B558347/A</v>
          </cell>
          <cell r="B5573" t="str">
            <v>RH7270M374</v>
          </cell>
          <cell r="C5573">
            <v>6</v>
          </cell>
          <cell r="D5573">
            <v>735</v>
          </cell>
          <cell r="E5573">
            <v>4410</v>
          </cell>
          <cell r="F5573" t="str">
            <v>A1-S0</v>
          </cell>
          <cell r="G5573" t="str">
            <v xml:space="preserve">Panel - Ván </v>
          </cell>
          <cell r="H5573" t="str">
            <v>MDF Veneer</v>
          </cell>
          <cell r="I5573">
            <v>12</v>
          </cell>
        </row>
        <row r="5574">
          <cell r="A5574" t="str">
            <v>B558347/A</v>
          </cell>
          <cell r="B5574" t="str">
            <v>RH7270M374</v>
          </cell>
          <cell r="C5574">
            <v>6</v>
          </cell>
          <cell r="D5574">
            <v>735</v>
          </cell>
          <cell r="E5574">
            <v>4410</v>
          </cell>
          <cell r="F5574" t="str">
            <v>A1-S01</v>
          </cell>
          <cell r="G5574" t="str">
            <v xml:space="preserve">Curve part hot press  - chi tiết cảo cong </v>
          </cell>
          <cell r="H5574" t="str">
            <v>Pre-Assembly</v>
          </cell>
          <cell r="I5574">
            <v>12</v>
          </cell>
        </row>
        <row r="5575">
          <cell r="A5575" t="str">
            <v>B558347/A</v>
          </cell>
          <cell r="B5575" t="str">
            <v>RH7270M374</v>
          </cell>
          <cell r="C5575">
            <v>6</v>
          </cell>
          <cell r="D5575">
            <v>735</v>
          </cell>
          <cell r="E5575">
            <v>4410</v>
          </cell>
          <cell r="F5575" t="str">
            <v>A1-S05</v>
          </cell>
          <cell r="G5575" t="str">
            <v>Patching wood - Gỗ đắp</v>
          </cell>
          <cell r="H5575" t="str">
            <v>Wood White Oak - Straight/Waving Edged, 1 COM - T32mm x W100mm Up x L1.8m Up</v>
          </cell>
          <cell r="I5575">
            <v>12</v>
          </cell>
        </row>
        <row r="5576">
          <cell r="A5576" t="str">
            <v>B558347/A</v>
          </cell>
          <cell r="B5576" t="str">
            <v>RH7270M374</v>
          </cell>
          <cell r="C5576">
            <v>6</v>
          </cell>
          <cell r="D5576">
            <v>735</v>
          </cell>
          <cell r="E5576">
            <v>4410</v>
          </cell>
          <cell r="F5576" t="str">
            <v>A2-S01</v>
          </cell>
          <cell r="G5576" t="str">
            <v xml:space="preserve">Top panel  - Ván nóc </v>
          </cell>
          <cell r="H5576" t="str">
            <v>MDF Veneer</v>
          </cell>
          <cell r="I5576">
            <v>6</v>
          </cell>
        </row>
        <row r="5577">
          <cell r="A5577" t="str">
            <v>B558347/A</v>
          </cell>
          <cell r="B5577" t="str">
            <v>RH7270M374</v>
          </cell>
          <cell r="C5577">
            <v>6</v>
          </cell>
          <cell r="D5577">
            <v>735</v>
          </cell>
          <cell r="E5577">
            <v>4410</v>
          </cell>
          <cell r="F5577" t="str">
            <v>A2-S02</v>
          </cell>
          <cell r="G5577" t="str">
            <v>Top rail - Đố nóc</v>
          </cell>
          <cell r="H5577" t="str">
            <v>Wood laminate</v>
          </cell>
          <cell r="I5577">
            <v>6</v>
          </cell>
        </row>
        <row r="5578">
          <cell r="A5578" t="str">
            <v>B558347/A</v>
          </cell>
          <cell r="B5578" t="str">
            <v>RH7270M374</v>
          </cell>
          <cell r="C5578">
            <v>6</v>
          </cell>
          <cell r="D5578">
            <v>735</v>
          </cell>
          <cell r="E5578">
            <v>4410</v>
          </cell>
          <cell r="F5578" t="str">
            <v>A2-S03</v>
          </cell>
          <cell r="G5578" t="str">
            <v>Top rail - Đố nóc</v>
          </cell>
          <cell r="H5578" t="str">
            <v>Wood laminate</v>
          </cell>
          <cell r="I5578">
            <v>12</v>
          </cell>
        </row>
        <row r="5579">
          <cell r="A5579" t="str">
            <v>B558347/A</v>
          </cell>
          <cell r="B5579" t="str">
            <v>RH7270M374</v>
          </cell>
          <cell r="C5579">
            <v>6</v>
          </cell>
          <cell r="D5579">
            <v>735</v>
          </cell>
          <cell r="E5579">
            <v>4410</v>
          </cell>
          <cell r="F5579" t="str">
            <v>A2-S04</v>
          </cell>
          <cell r="G5579" t="str">
            <v>Front rail  - Đố tiền</v>
          </cell>
          <cell r="H5579" t="str">
            <v>Wood laminate</v>
          </cell>
          <cell r="I5579">
            <v>6</v>
          </cell>
        </row>
        <row r="5580">
          <cell r="A5580" t="str">
            <v>B558347/A</v>
          </cell>
          <cell r="B5580" t="str">
            <v>RH7270M374</v>
          </cell>
          <cell r="C5580">
            <v>6</v>
          </cell>
          <cell r="D5580">
            <v>735</v>
          </cell>
          <cell r="E5580">
            <v>4410</v>
          </cell>
          <cell r="F5580" t="str">
            <v>A2-S05</v>
          </cell>
          <cell r="G5580" t="str">
            <v>Top rail - Đố nóc</v>
          </cell>
          <cell r="H5580" t="str">
            <v>Wood laminate</v>
          </cell>
          <cell r="I5580">
            <v>12</v>
          </cell>
        </row>
        <row r="5581">
          <cell r="A5581" t="str">
            <v>B558347/A</v>
          </cell>
          <cell r="B5581" t="str">
            <v>RH7270M374</v>
          </cell>
          <cell r="C5581">
            <v>6</v>
          </cell>
          <cell r="D5581">
            <v>735</v>
          </cell>
          <cell r="E5581">
            <v>4410</v>
          </cell>
          <cell r="F5581" t="str">
            <v>A2-S06</v>
          </cell>
          <cell r="G5581" t="str">
            <v>support Top - đỡ nóc</v>
          </cell>
          <cell r="H5581" t="str">
            <v>Beech off cut</v>
          </cell>
          <cell r="I5581">
            <v>24</v>
          </cell>
        </row>
        <row r="5582">
          <cell r="A5582" t="str">
            <v>B558347/A</v>
          </cell>
          <cell r="B5582" t="str">
            <v>RH7270M374</v>
          </cell>
          <cell r="C5582">
            <v>6</v>
          </cell>
          <cell r="D5582">
            <v>735</v>
          </cell>
          <cell r="E5582">
            <v>4410</v>
          </cell>
          <cell r="F5582" t="str">
            <v>A2-S07</v>
          </cell>
          <cell r="G5582" t="str">
            <v>support Top - đỡ nóc</v>
          </cell>
          <cell r="H5582" t="str">
            <v>Wood laminate</v>
          </cell>
          <cell r="I5582">
            <v>6</v>
          </cell>
        </row>
        <row r="5583">
          <cell r="A5583" t="str">
            <v>B558347/A</v>
          </cell>
          <cell r="B5583" t="str">
            <v>RH7270M374</v>
          </cell>
          <cell r="C5583">
            <v>6</v>
          </cell>
          <cell r="D5583">
            <v>735</v>
          </cell>
          <cell r="E5583">
            <v>4410</v>
          </cell>
          <cell r="F5583" t="str">
            <v>A3-S0</v>
          </cell>
          <cell r="G5583" t="str">
            <v xml:space="preserve">Panel - Ván </v>
          </cell>
          <cell r="H5583" t="str">
            <v>MDF Veneer</v>
          </cell>
          <cell r="I5583">
            <v>6</v>
          </cell>
        </row>
        <row r="5584">
          <cell r="A5584" t="str">
            <v>B558347/A</v>
          </cell>
          <cell r="B5584" t="str">
            <v>RH7270M374</v>
          </cell>
          <cell r="C5584">
            <v>6</v>
          </cell>
          <cell r="D5584">
            <v>735</v>
          </cell>
          <cell r="E5584">
            <v>4410</v>
          </cell>
          <cell r="F5584" t="str">
            <v>A3-S01</v>
          </cell>
          <cell r="G5584" t="str">
            <v xml:space="preserve">Curve part hot press  - chi tiết cảo cong </v>
          </cell>
          <cell r="H5584" t="str">
            <v>MDF laminate</v>
          </cell>
          <cell r="I5584">
            <v>36</v>
          </cell>
        </row>
        <row r="5585">
          <cell r="A5585" t="str">
            <v>B558347/A</v>
          </cell>
          <cell r="B5585" t="str">
            <v>RH7270M374</v>
          </cell>
          <cell r="C5585">
            <v>6</v>
          </cell>
          <cell r="D5585">
            <v>735</v>
          </cell>
          <cell r="E5585">
            <v>4410</v>
          </cell>
          <cell r="F5585" t="str">
            <v>A3-S02</v>
          </cell>
          <cell r="G5585" t="str">
            <v>Bottom panel - Ván đáy</v>
          </cell>
          <cell r="H5585" t="str">
            <v>MDF Veneer</v>
          </cell>
          <cell r="I5585">
            <v>12</v>
          </cell>
        </row>
        <row r="5586">
          <cell r="A5586" t="str">
            <v>B558347/A</v>
          </cell>
          <cell r="B5586" t="str">
            <v>RH7270M374</v>
          </cell>
          <cell r="C5586">
            <v>6</v>
          </cell>
          <cell r="D5586">
            <v>735</v>
          </cell>
          <cell r="E5586">
            <v>4410</v>
          </cell>
          <cell r="F5586" t="str">
            <v>A3-S03</v>
          </cell>
          <cell r="G5586" t="str">
            <v>Patching wood - Gỗ đắp</v>
          </cell>
          <cell r="H5586" t="str">
            <v>Beech off cut</v>
          </cell>
          <cell r="I5586">
            <v>36</v>
          </cell>
        </row>
        <row r="5587">
          <cell r="A5587" t="str">
            <v>B558347/A</v>
          </cell>
          <cell r="B5587" t="str">
            <v>RH7270M374</v>
          </cell>
          <cell r="C5587">
            <v>6</v>
          </cell>
          <cell r="D5587">
            <v>735</v>
          </cell>
          <cell r="E5587">
            <v>4410</v>
          </cell>
          <cell r="F5587" t="str">
            <v>A4</v>
          </cell>
          <cell r="G5587" t="str">
            <v>Door panel  - Ván cửa</v>
          </cell>
          <cell r="H5587" t="str">
            <v>Pre-Assembly</v>
          </cell>
          <cell r="I5587">
            <v>12</v>
          </cell>
        </row>
        <row r="5588">
          <cell r="A5588" t="str">
            <v>B558347/A</v>
          </cell>
          <cell r="B5588" t="str">
            <v>RH7270M374</v>
          </cell>
          <cell r="C5588">
            <v>6</v>
          </cell>
          <cell r="D5588">
            <v>735</v>
          </cell>
          <cell r="E5588">
            <v>4410</v>
          </cell>
          <cell r="F5588" t="str">
            <v>A4-S0</v>
          </cell>
          <cell r="G5588" t="str">
            <v xml:space="preserve">Panel - Ván </v>
          </cell>
          <cell r="H5588" t="str">
            <v>MDF Veneer</v>
          </cell>
          <cell r="I5588">
            <v>6</v>
          </cell>
        </row>
        <row r="5589">
          <cell r="A5589" t="str">
            <v>B558347/A</v>
          </cell>
          <cell r="B5589" t="str">
            <v>RH7270M374</v>
          </cell>
          <cell r="C5589">
            <v>6</v>
          </cell>
          <cell r="D5589">
            <v>735</v>
          </cell>
          <cell r="E5589">
            <v>4410</v>
          </cell>
          <cell r="F5589" t="str">
            <v>A4-S00</v>
          </cell>
          <cell r="G5589" t="str">
            <v xml:space="preserve">Curve part hot press  - chi tiết cảo cong </v>
          </cell>
          <cell r="H5589" t="str">
            <v>MDF Veneer</v>
          </cell>
          <cell r="I5589">
            <v>6</v>
          </cell>
        </row>
        <row r="5590">
          <cell r="A5590" t="str">
            <v>B558347/A</v>
          </cell>
          <cell r="B5590" t="str">
            <v>RH7270M374</v>
          </cell>
          <cell r="C5590">
            <v>6</v>
          </cell>
          <cell r="D5590">
            <v>735</v>
          </cell>
          <cell r="E5590">
            <v>4410</v>
          </cell>
          <cell r="F5590" t="str">
            <v>A4-S01</v>
          </cell>
          <cell r="G5590" t="str">
            <v>Door panel  - Ván cửa</v>
          </cell>
          <cell r="H5590" t="str">
            <v>MDF Veneer</v>
          </cell>
          <cell r="I5590">
            <v>12</v>
          </cell>
        </row>
        <row r="5591">
          <cell r="A5591" t="str">
            <v>B558347/A</v>
          </cell>
          <cell r="B5591" t="str">
            <v>RH7270M374</v>
          </cell>
          <cell r="C5591">
            <v>6</v>
          </cell>
          <cell r="D5591">
            <v>735</v>
          </cell>
          <cell r="E5591">
            <v>4410</v>
          </cell>
          <cell r="F5591" t="str">
            <v>A4-S02</v>
          </cell>
          <cell r="G5591" t="str">
            <v>Patching wood - Gỗ đắp</v>
          </cell>
          <cell r="H5591" t="str">
            <v>Wood White Oak - Straight/Waving Edged, 1 COM - T32mm x W100mm Up x L1.8m Up</v>
          </cell>
          <cell r="I5591">
            <v>12</v>
          </cell>
        </row>
        <row r="5592">
          <cell r="A5592" t="str">
            <v>B558347/A</v>
          </cell>
          <cell r="B5592" t="str">
            <v>RH7270M374</v>
          </cell>
          <cell r="C5592">
            <v>6</v>
          </cell>
          <cell r="D5592">
            <v>735</v>
          </cell>
          <cell r="E5592">
            <v>4410</v>
          </cell>
          <cell r="F5592" t="str">
            <v>P04</v>
          </cell>
          <cell r="G5592" t="str">
            <v>Door panel  - Ván cửa</v>
          </cell>
          <cell r="H5592" t="str">
            <v>MDF Veneer</v>
          </cell>
          <cell r="I5592">
            <v>24</v>
          </cell>
        </row>
        <row r="5593">
          <cell r="A5593" t="str">
            <v>B558347/A</v>
          </cell>
          <cell r="B5593" t="str">
            <v>RH7270M374</v>
          </cell>
          <cell r="C5593">
            <v>6</v>
          </cell>
          <cell r="D5593">
            <v>735</v>
          </cell>
          <cell r="E5593">
            <v>4410</v>
          </cell>
          <cell r="F5593" t="str">
            <v>P04-1</v>
          </cell>
          <cell r="G5593" t="str">
            <v>Insert Wood - Gỗ chèn</v>
          </cell>
          <cell r="H5593" t="str">
            <v>Beech off cut</v>
          </cell>
          <cell r="I5593">
            <v>72</v>
          </cell>
        </row>
        <row r="5594">
          <cell r="A5594" t="str">
            <v>B558347/A</v>
          </cell>
          <cell r="B5594" t="str">
            <v>RH7270M374</v>
          </cell>
          <cell r="C5594">
            <v>6</v>
          </cell>
          <cell r="D5594">
            <v>735</v>
          </cell>
          <cell r="E5594">
            <v>4410</v>
          </cell>
          <cell r="F5594" t="str">
            <v>P04-2</v>
          </cell>
          <cell r="G5594" t="str">
            <v>Insert Wood - Gỗ chèn</v>
          </cell>
          <cell r="H5594" t="str">
            <v>Wood White Oak - Straight/Waving Edged, 2 COM - T25mm x W100mm Up x L1.5m Up</v>
          </cell>
          <cell r="I5594">
            <v>36</v>
          </cell>
        </row>
        <row r="5595">
          <cell r="A5595" t="str">
            <v>B558347/A</v>
          </cell>
          <cell r="B5595" t="str">
            <v>RH7270M374</v>
          </cell>
          <cell r="C5595">
            <v>6</v>
          </cell>
          <cell r="D5595">
            <v>735</v>
          </cell>
          <cell r="E5595">
            <v>4410</v>
          </cell>
          <cell r="F5595" t="str">
            <v>P06</v>
          </cell>
          <cell r="G5595" t="str">
            <v>Cleat - Bọ gỗ</v>
          </cell>
          <cell r="H5595" t="str">
            <v>Beech off cut</v>
          </cell>
          <cell r="I5595">
            <v>24</v>
          </cell>
        </row>
        <row r="5596">
          <cell r="A5596" t="str">
            <v>B558347/A</v>
          </cell>
          <cell r="B5596" t="str">
            <v>RH7270M374</v>
          </cell>
          <cell r="C5596">
            <v>6</v>
          </cell>
          <cell r="D5596">
            <v>735</v>
          </cell>
          <cell r="E5596">
            <v>4410</v>
          </cell>
          <cell r="F5596" t="str">
            <v>P07</v>
          </cell>
          <cell r="G5596" t="str">
            <v>Bottom panel - Ván đáy</v>
          </cell>
          <cell r="H5596" t="str">
            <v>Plywood VN</v>
          </cell>
          <cell r="I5596">
            <v>6</v>
          </cell>
        </row>
        <row r="5597">
          <cell r="A5597" t="str">
            <v>B558347/A</v>
          </cell>
          <cell r="B5597" t="str">
            <v>RH7270M374</v>
          </cell>
          <cell r="C5597">
            <v>6</v>
          </cell>
          <cell r="D5597">
            <v>735</v>
          </cell>
          <cell r="E5597">
            <v>4410</v>
          </cell>
          <cell r="F5597" t="str">
            <v>P08</v>
          </cell>
          <cell r="G5597" t="str">
            <v>Back panel - Ván hậu</v>
          </cell>
          <cell r="H5597" t="str">
            <v>MDF Veneer</v>
          </cell>
          <cell r="I5597">
            <v>6</v>
          </cell>
        </row>
        <row r="5598">
          <cell r="A5598" t="str">
            <v>B558347/A</v>
          </cell>
          <cell r="B5598" t="str">
            <v>RH7270M374</v>
          </cell>
          <cell r="C5598">
            <v>6</v>
          </cell>
          <cell r="D5598">
            <v>735</v>
          </cell>
          <cell r="E5598">
            <v>4410</v>
          </cell>
          <cell r="F5598" t="str">
            <v>P08-1</v>
          </cell>
          <cell r="G5598" t="str">
            <v>Insert Wood - Gỗ chèn</v>
          </cell>
          <cell r="H5598" t="str">
            <v>oak off cut</v>
          </cell>
          <cell r="I5598">
            <v>18</v>
          </cell>
        </row>
        <row r="5599">
          <cell r="A5599" t="str">
            <v>B558347/A</v>
          </cell>
          <cell r="B5599" t="str">
            <v>RH7270M374</v>
          </cell>
          <cell r="C5599">
            <v>6</v>
          </cell>
          <cell r="D5599">
            <v>735</v>
          </cell>
          <cell r="E5599">
            <v>4410</v>
          </cell>
          <cell r="F5599" t="str">
            <v>P09</v>
          </cell>
          <cell r="G5599" t="str">
            <v>Partition panel - Vách ngăn</v>
          </cell>
          <cell r="H5599" t="str">
            <v>MDF Veneer</v>
          </cell>
          <cell r="I5599">
            <v>12</v>
          </cell>
        </row>
        <row r="5600">
          <cell r="A5600" t="str">
            <v>B558347/A</v>
          </cell>
          <cell r="B5600" t="str">
            <v>RH7270M374</v>
          </cell>
          <cell r="C5600">
            <v>6</v>
          </cell>
          <cell r="D5600">
            <v>735</v>
          </cell>
          <cell r="E5600">
            <v>4410</v>
          </cell>
          <cell r="F5600" t="str">
            <v>P12</v>
          </cell>
          <cell r="G5600" t="str">
            <v>Patching wood - Gỗ đắp</v>
          </cell>
          <cell r="H5600" t="str">
            <v>Wood White Oak - Straight/Waving Edged, 1 COM - T25mm x W100mm Up x L1.8m Up</v>
          </cell>
          <cell r="I5600">
            <v>18</v>
          </cell>
        </row>
        <row r="5601">
          <cell r="A5601" t="str">
            <v>B558347/A</v>
          </cell>
          <cell r="B5601" t="str">
            <v>RH7270M374</v>
          </cell>
          <cell r="C5601">
            <v>6</v>
          </cell>
          <cell r="D5601">
            <v>735</v>
          </cell>
          <cell r="E5601">
            <v>4410</v>
          </cell>
          <cell r="F5601" t="str">
            <v>P13</v>
          </cell>
          <cell r="G5601" t="str">
            <v>Center leg - Chân giữa</v>
          </cell>
          <cell r="H5601" t="str">
            <v>Wood White Oak - Straight/Waving Edged, 1 COM - T38mm x W100mm Up x L1.8m Up</v>
          </cell>
          <cell r="I5601">
            <v>6</v>
          </cell>
        </row>
        <row r="5602">
          <cell r="A5602" t="str">
            <v>B558347/A</v>
          </cell>
          <cell r="B5602" t="str">
            <v>RH7270M374</v>
          </cell>
          <cell r="C5602">
            <v>6</v>
          </cell>
          <cell r="D5602">
            <v>735</v>
          </cell>
          <cell r="E5602">
            <v>4410</v>
          </cell>
          <cell r="F5602" t="str">
            <v>P14</v>
          </cell>
          <cell r="G5602" t="str">
            <v>Fixed Shelf  - Kệ bắt chết</v>
          </cell>
          <cell r="H5602" t="str">
            <v>MDF Veneer</v>
          </cell>
          <cell r="I5602">
            <v>6</v>
          </cell>
        </row>
        <row r="5603">
          <cell r="A5603" t="str">
            <v>B558347/A</v>
          </cell>
          <cell r="B5603" t="str">
            <v>RH7270M374</v>
          </cell>
          <cell r="C5603">
            <v>6</v>
          </cell>
          <cell r="D5603">
            <v>735</v>
          </cell>
          <cell r="E5603">
            <v>4410</v>
          </cell>
          <cell r="F5603" t="str">
            <v>P15</v>
          </cell>
          <cell r="G5603" t="str">
            <v>Fixed Shelf  - Kệ bắt chết</v>
          </cell>
          <cell r="H5603" t="str">
            <v>MDF Veneer</v>
          </cell>
          <cell r="I5603">
            <v>12</v>
          </cell>
        </row>
        <row r="5604">
          <cell r="A5604" t="str">
            <v>B558348/A</v>
          </cell>
          <cell r="B5604" t="str">
            <v>RH7270M374</v>
          </cell>
          <cell r="C5604">
            <v>11</v>
          </cell>
          <cell r="D5604">
            <v>735</v>
          </cell>
          <cell r="E5604">
            <v>8085</v>
          </cell>
          <cell r="F5604" t="str">
            <v>A1</v>
          </cell>
          <cell r="G5604" t="str">
            <v>Side Frame - Khung hông</v>
          </cell>
          <cell r="H5604" t="str">
            <v>Pre-Assembly</v>
          </cell>
          <cell r="I5604">
            <v>22</v>
          </cell>
        </row>
        <row r="5605">
          <cell r="A5605" t="str">
            <v>B558348/A</v>
          </cell>
          <cell r="B5605" t="str">
            <v>RH7270M374</v>
          </cell>
          <cell r="C5605">
            <v>11</v>
          </cell>
          <cell r="D5605">
            <v>735</v>
          </cell>
          <cell r="E5605">
            <v>8085</v>
          </cell>
          <cell r="F5605" t="str">
            <v>A1-S0</v>
          </cell>
          <cell r="G5605" t="str">
            <v xml:space="preserve">Panel - Ván </v>
          </cell>
          <cell r="H5605" t="str">
            <v>MDF Veneer</v>
          </cell>
          <cell r="I5605">
            <v>22</v>
          </cell>
        </row>
        <row r="5606">
          <cell r="A5606" t="str">
            <v>B558348/A</v>
          </cell>
          <cell r="B5606" t="str">
            <v>RH7270M374</v>
          </cell>
          <cell r="C5606">
            <v>11</v>
          </cell>
          <cell r="D5606">
            <v>735</v>
          </cell>
          <cell r="E5606">
            <v>8085</v>
          </cell>
          <cell r="F5606" t="str">
            <v>A1-S01</v>
          </cell>
          <cell r="G5606" t="str">
            <v xml:space="preserve">Curve part hot press  - chi tiết cảo cong </v>
          </cell>
          <cell r="H5606" t="str">
            <v>Pre-Assembly</v>
          </cell>
          <cell r="I5606">
            <v>22</v>
          </cell>
        </row>
        <row r="5607">
          <cell r="A5607" t="str">
            <v>B558348/A</v>
          </cell>
          <cell r="B5607" t="str">
            <v>RH7270M374</v>
          </cell>
          <cell r="C5607">
            <v>11</v>
          </cell>
          <cell r="D5607">
            <v>735</v>
          </cell>
          <cell r="E5607">
            <v>8085</v>
          </cell>
          <cell r="F5607" t="str">
            <v>A1-S05</v>
          </cell>
          <cell r="G5607" t="str">
            <v>Patching wood - Gỗ đắp</v>
          </cell>
          <cell r="H5607" t="str">
            <v>Wood White Oak - Straight/Waving Edged, 1 COM - T32mm x W100mm Up x L1.8m Up</v>
          </cell>
          <cell r="I5607">
            <v>22</v>
          </cell>
        </row>
        <row r="5608">
          <cell r="A5608" t="str">
            <v>B558348/A</v>
          </cell>
          <cell r="B5608" t="str">
            <v>RH7270M374</v>
          </cell>
          <cell r="C5608">
            <v>11</v>
          </cell>
          <cell r="D5608">
            <v>735</v>
          </cell>
          <cell r="E5608">
            <v>8085</v>
          </cell>
          <cell r="F5608" t="str">
            <v>A2-S01</v>
          </cell>
          <cell r="G5608" t="str">
            <v xml:space="preserve">Top panel  - Ván nóc </v>
          </cell>
          <cell r="H5608" t="str">
            <v>MDF Veneer</v>
          </cell>
          <cell r="I5608">
            <v>11</v>
          </cell>
        </row>
        <row r="5609">
          <cell r="A5609" t="str">
            <v>B558348/A</v>
          </cell>
          <cell r="B5609" t="str">
            <v>RH7270M374</v>
          </cell>
          <cell r="C5609">
            <v>11</v>
          </cell>
          <cell r="D5609">
            <v>735</v>
          </cell>
          <cell r="E5609">
            <v>8085</v>
          </cell>
          <cell r="F5609" t="str">
            <v>A2-S02</v>
          </cell>
          <cell r="G5609" t="str">
            <v>Top rail - Đố nóc</v>
          </cell>
          <cell r="H5609" t="str">
            <v>Wood laminate</v>
          </cell>
          <cell r="I5609">
            <v>11</v>
          </cell>
        </row>
        <row r="5610">
          <cell r="A5610" t="str">
            <v>B558348/A</v>
          </cell>
          <cell r="B5610" t="str">
            <v>RH7270M374</v>
          </cell>
          <cell r="C5610">
            <v>11</v>
          </cell>
          <cell r="D5610">
            <v>735</v>
          </cell>
          <cell r="E5610">
            <v>8085</v>
          </cell>
          <cell r="F5610" t="str">
            <v>A2-S03</v>
          </cell>
          <cell r="G5610" t="str">
            <v>Top rail - Đố nóc</v>
          </cell>
          <cell r="H5610" t="str">
            <v>Wood laminate</v>
          </cell>
          <cell r="I5610">
            <v>22</v>
          </cell>
        </row>
        <row r="5611">
          <cell r="A5611" t="str">
            <v>B558348/A</v>
          </cell>
          <cell r="B5611" t="str">
            <v>RH7270M374</v>
          </cell>
          <cell r="C5611">
            <v>11</v>
          </cell>
          <cell r="D5611">
            <v>735</v>
          </cell>
          <cell r="E5611">
            <v>8085</v>
          </cell>
          <cell r="F5611" t="str">
            <v>A2-S04</v>
          </cell>
          <cell r="G5611" t="str">
            <v>Front rail  - Đố tiền</v>
          </cell>
          <cell r="H5611" t="str">
            <v>Wood laminate</v>
          </cell>
          <cell r="I5611">
            <v>11</v>
          </cell>
        </row>
        <row r="5612">
          <cell r="A5612" t="str">
            <v>B558348/A</v>
          </cell>
          <cell r="B5612" t="str">
            <v>RH7270M374</v>
          </cell>
          <cell r="C5612">
            <v>11</v>
          </cell>
          <cell r="D5612">
            <v>735</v>
          </cell>
          <cell r="E5612">
            <v>8085</v>
          </cell>
          <cell r="F5612" t="str">
            <v>A2-S05</v>
          </cell>
          <cell r="G5612" t="str">
            <v>Top rail - Đố nóc</v>
          </cell>
          <cell r="H5612" t="str">
            <v>Wood laminate</v>
          </cell>
          <cell r="I5612">
            <v>22</v>
          </cell>
        </row>
        <row r="5613">
          <cell r="A5613" t="str">
            <v>B558348/A</v>
          </cell>
          <cell r="B5613" t="str">
            <v>RH7270M374</v>
          </cell>
          <cell r="C5613">
            <v>11</v>
          </cell>
          <cell r="D5613">
            <v>735</v>
          </cell>
          <cell r="E5613">
            <v>8085</v>
          </cell>
          <cell r="F5613" t="str">
            <v>A2-S06</v>
          </cell>
          <cell r="G5613" t="str">
            <v>support Top - đỡ nóc</v>
          </cell>
          <cell r="H5613" t="str">
            <v>Beech off cut</v>
          </cell>
          <cell r="I5613">
            <v>44</v>
          </cell>
        </row>
        <row r="5614">
          <cell r="A5614" t="str">
            <v>B558348/A</v>
          </cell>
          <cell r="B5614" t="str">
            <v>RH7270M374</v>
          </cell>
          <cell r="C5614">
            <v>11</v>
          </cell>
          <cell r="D5614">
            <v>735</v>
          </cell>
          <cell r="E5614">
            <v>8085</v>
          </cell>
          <cell r="F5614" t="str">
            <v>A2-S07</v>
          </cell>
          <cell r="G5614" t="str">
            <v>support Top - đỡ nóc</v>
          </cell>
          <cell r="H5614" t="str">
            <v>Wood laminate</v>
          </cell>
          <cell r="I5614">
            <v>11</v>
          </cell>
        </row>
        <row r="5615">
          <cell r="A5615" t="str">
            <v>B558348/A</v>
          </cell>
          <cell r="B5615" t="str">
            <v>RH7270M374</v>
          </cell>
          <cell r="C5615">
            <v>11</v>
          </cell>
          <cell r="D5615">
            <v>735</v>
          </cell>
          <cell r="E5615">
            <v>8085</v>
          </cell>
          <cell r="F5615" t="str">
            <v>A3-S0</v>
          </cell>
          <cell r="G5615" t="str">
            <v xml:space="preserve">Panel - Ván </v>
          </cell>
          <cell r="H5615" t="str">
            <v>MDF Veneer</v>
          </cell>
          <cell r="I5615">
            <v>11</v>
          </cell>
        </row>
        <row r="5616">
          <cell r="A5616" t="str">
            <v>B558348/A</v>
          </cell>
          <cell r="B5616" t="str">
            <v>RH7270M374</v>
          </cell>
          <cell r="C5616">
            <v>11</v>
          </cell>
          <cell r="D5616">
            <v>735</v>
          </cell>
          <cell r="E5616">
            <v>8085</v>
          </cell>
          <cell r="F5616" t="str">
            <v>A3-S01</v>
          </cell>
          <cell r="G5616" t="str">
            <v xml:space="preserve">Curve part hot press  - chi tiết cảo cong </v>
          </cell>
          <cell r="H5616" t="str">
            <v>MDF laminate</v>
          </cell>
          <cell r="I5616">
            <v>66</v>
          </cell>
        </row>
        <row r="5617">
          <cell r="A5617" t="str">
            <v>B558348/A</v>
          </cell>
          <cell r="B5617" t="str">
            <v>RH7270M374</v>
          </cell>
          <cell r="C5617">
            <v>11</v>
          </cell>
          <cell r="D5617">
            <v>735</v>
          </cell>
          <cell r="E5617">
            <v>8085</v>
          </cell>
          <cell r="F5617" t="str">
            <v>A3-S02</v>
          </cell>
          <cell r="G5617" t="str">
            <v>Bottom panel - Ván đáy</v>
          </cell>
          <cell r="H5617" t="str">
            <v>MDF Veneer</v>
          </cell>
          <cell r="I5617">
            <v>22</v>
          </cell>
        </row>
        <row r="5618">
          <cell r="A5618" t="str">
            <v>B558348/A</v>
          </cell>
          <cell r="B5618" t="str">
            <v>RH7270M374</v>
          </cell>
          <cell r="C5618">
            <v>11</v>
          </cell>
          <cell r="D5618">
            <v>735</v>
          </cell>
          <cell r="E5618">
            <v>8085</v>
          </cell>
          <cell r="F5618" t="str">
            <v>A3-S03</v>
          </cell>
          <cell r="G5618" t="str">
            <v>Patching wood - Gỗ đắp</v>
          </cell>
          <cell r="H5618" t="str">
            <v>Beech off cut</v>
          </cell>
          <cell r="I5618">
            <v>66</v>
          </cell>
        </row>
        <row r="5619">
          <cell r="A5619" t="str">
            <v>B558348/A</v>
          </cell>
          <cell r="B5619" t="str">
            <v>RH7270M374</v>
          </cell>
          <cell r="C5619">
            <v>11</v>
          </cell>
          <cell r="D5619">
            <v>735</v>
          </cell>
          <cell r="E5619">
            <v>8085</v>
          </cell>
          <cell r="F5619" t="str">
            <v>A4</v>
          </cell>
          <cell r="G5619" t="str">
            <v>Door panel  - Ván cửa</v>
          </cell>
          <cell r="H5619" t="str">
            <v>Pre-Assembly</v>
          </cell>
          <cell r="I5619">
            <v>22</v>
          </cell>
        </row>
        <row r="5620">
          <cell r="A5620" t="str">
            <v>B558348/A</v>
          </cell>
          <cell r="B5620" t="str">
            <v>RH7270M374</v>
          </cell>
          <cell r="C5620">
            <v>11</v>
          </cell>
          <cell r="D5620">
            <v>735</v>
          </cell>
          <cell r="E5620">
            <v>8085</v>
          </cell>
          <cell r="F5620" t="str">
            <v>A4-S0</v>
          </cell>
          <cell r="G5620" t="str">
            <v xml:space="preserve">Panel - Ván </v>
          </cell>
          <cell r="H5620" t="str">
            <v>MDF Veneer</v>
          </cell>
          <cell r="I5620">
            <v>11</v>
          </cell>
        </row>
        <row r="5621">
          <cell r="A5621" t="str">
            <v>B558348/A</v>
          </cell>
          <cell r="B5621" t="str">
            <v>RH7270M374</v>
          </cell>
          <cell r="C5621">
            <v>11</v>
          </cell>
          <cell r="D5621">
            <v>735</v>
          </cell>
          <cell r="E5621">
            <v>8085</v>
          </cell>
          <cell r="F5621" t="str">
            <v>A4-S00</v>
          </cell>
          <cell r="G5621" t="str">
            <v xml:space="preserve">Curve part hot press  - chi tiết cảo cong </v>
          </cell>
          <cell r="H5621" t="str">
            <v>MDF Veneer</v>
          </cell>
          <cell r="I5621">
            <v>11</v>
          </cell>
        </row>
        <row r="5622">
          <cell r="A5622" t="str">
            <v>B558348/A</v>
          </cell>
          <cell r="B5622" t="str">
            <v>RH7270M374</v>
          </cell>
          <cell r="C5622">
            <v>11</v>
          </cell>
          <cell r="D5622">
            <v>735</v>
          </cell>
          <cell r="E5622">
            <v>8085</v>
          </cell>
          <cell r="F5622" t="str">
            <v>A4-S01</v>
          </cell>
          <cell r="G5622" t="str">
            <v>Door panel  - Ván cửa</v>
          </cell>
          <cell r="H5622" t="str">
            <v>MDF Veneer</v>
          </cell>
          <cell r="I5622">
            <v>22</v>
          </cell>
        </row>
        <row r="5623">
          <cell r="A5623" t="str">
            <v>B558348/A</v>
          </cell>
          <cell r="B5623" t="str">
            <v>RH7270M374</v>
          </cell>
          <cell r="C5623">
            <v>11</v>
          </cell>
          <cell r="D5623">
            <v>735</v>
          </cell>
          <cell r="E5623">
            <v>8085</v>
          </cell>
          <cell r="F5623" t="str">
            <v>A4-S02</v>
          </cell>
          <cell r="G5623" t="str">
            <v>Patching wood - Gỗ đắp</v>
          </cell>
          <cell r="H5623" t="str">
            <v>Wood White Oak - Straight/Waving Edged, 1 COM - T32mm x W100mm Up x L1.8m Up</v>
          </cell>
          <cell r="I5623">
            <v>22</v>
          </cell>
        </row>
        <row r="5624">
          <cell r="A5624" t="str">
            <v>B558348/A</v>
          </cell>
          <cell r="B5624" t="str">
            <v>RH7270M374</v>
          </cell>
          <cell r="C5624">
            <v>11</v>
          </cell>
          <cell r="D5624">
            <v>735</v>
          </cell>
          <cell r="E5624">
            <v>8085</v>
          </cell>
          <cell r="F5624" t="str">
            <v>P04</v>
          </cell>
          <cell r="G5624" t="str">
            <v>Door panel  - Ván cửa</v>
          </cell>
          <cell r="H5624" t="str">
            <v>MDF Veneer</v>
          </cell>
          <cell r="I5624">
            <v>44</v>
          </cell>
        </row>
        <row r="5625">
          <cell r="A5625" t="str">
            <v>B558348/A</v>
          </cell>
          <cell r="B5625" t="str">
            <v>RH7270M374</v>
          </cell>
          <cell r="C5625">
            <v>11</v>
          </cell>
          <cell r="D5625">
            <v>735</v>
          </cell>
          <cell r="E5625">
            <v>8085</v>
          </cell>
          <cell r="F5625" t="str">
            <v>P04-1</v>
          </cell>
          <cell r="G5625" t="str">
            <v>Insert Wood - Gỗ chèn</v>
          </cell>
          <cell r="H5625" t="str">
            <v>Beech off cut</v>
          </cell>
          <cell r="I5625">
            <v>132</v>
          </cell>
        </row>
        <row r="5626">
          <cell r="A5626" t="str">
            <v>B558348/A</v>
          </cell>
          <cell r="B5626" t="str">
            <v>RH7270M374</v>
          </cell>
          <cell r="C5626">
            <v>11</v>
          </cell>
          <cell r="D5626">
            <v>735</v>
          </cell>
          <cell r="E5626">
            <v>8085</v>
          </cell>
          <cell r="F5626" t="str">
            <v>P04-2</v>
          </cell>
          <cell r="G5626" t="str">
            <v>Insert Wood - Gỗ chèn</v>
          </cell>
          <cell r="H5626" t="str">
            <v>Wood White Oak - Straight/Waving Edged, 2 COM - T25mm x W100mm Up x L1.5m Up</v>
          </cell>
          <cell r="I5626">
            <v>66</v>
          </cell>
        </row>
        <row r="5627">
          <cell r="A5627" t="str">
            <v>B558348/A</v>
          </cell>
          <cell r="B5627" t="str">
            <v>RH7270M374</v>
          </cell>
          <cell r="C5627">
            <v>11</v>
          </cell>
          <cell r="D5627">
            <v>735</v>
          </cell>
          <cell r="E5627">
            <v>8085</v>
          </cell>
          <cell r="F5627" t="str">
            <v>P06</v>
          </cell>
          <cell r="G5627" t="str">
            <v>Cleat - Bọ gỗ</v>
          </cell>
          <cell r="H5627" t="str">
            <v>Beech off cut</v>
          </cell>
          <cell r="I5627">
            <v>44</v>
          </cell>
        </row>
        <row r="5628">
          <cell r="A5628" t="str">
            <v>B558348/A</v>
          </cell>
          <cell r="B5628" t="str">
            <v>RH7270M374</v>
          </cell>
          <cell r="C5628">
            <v>11</v>
          </cell>
          <cell r="D5628">
            <v>735</v>
          </cell>
          <cell r="E5628">
            <v>8085</v>
          </cell>
          <cell r="F5628" t="str">
            <v>P07</v>
          </cell>
          <cell r="G5628" t="str">
            <v>Bottom panel - Ván đáy</v>
          </cell>
          <cell r="H5628" t="str">
            <v>Plywood VN</v>
          </cell>
          <cell r="I5628">
            <v>11</v>
          </cell>
        </row>
        <row r="5629">
          <cell r="A5629" t="str">
            <v>B558348/A</v>
          </cell>
          <cell r="B5629" t="str">
            <v>RH7270M374</v>
          </cell>
          <cell r="C5629">
            <v>11</v>
          </cell>
          <cell r="D5629">
            <v>735</v>
          </cell>
          <cell r="E5629">
            <v>8085</v>
          </cell>
          <cell r="F5629" t="str">
            <v>P08</v>
          </cell>
          <cell r="G5629" t="str">
            <v>Back panel - Ván hậu</v>
          </cell>
          <cell r="H5629" t="str">
            <v>MDF Veneer</v>
          </cell>
          <cell r="I5629">
            <v>11</v>
          </cell>
        </row>
        <row r="5630">
          <cell r="A5630" t="str">
            <v>B558348/A</v>
          </cell>
          <cell r="B5630" t="str">
            <v>RH7270M374</v>
          </cell>
          <cell r="C5630">
            <v>11</v>
          </cell>
          <cell r="D5630">
            <v>735</v>
          </cell>
          <cell r="E5630">
            <v>8085</v>
          </cell>
          <cell r="F5630" t="str">
            <v>P08-1</v>
          </cell>
          <cell r="G5630" t="str">
            <v>Insert Wood - Gỗ chèn</v>
          </cell>
          <cell r="H5630" t="str">
            <v>oak off cut</v>
          </cell>
          <cell r="I5630">
            <v>33</v>
          </cell>
        </row>
        <row r="5631">
          <cell r="A5631" t="str">
            <v>B558348/A</v>
          </cell>
          <cell r="B5631" t="str">
            <v>RH7270M374</v>
          </cell>
          <cell r="C5631">
            <v>11</v>
          </cell>
          <cell r="D5631">
            <v>735</v>
          </cell>
          <cell r="E5631">
            <v>8085</v>
          </cell>
          <cell r="F5631" t="str">
            <v>P09</v>
          </cell>
          <cell r="G5631" t="str">
            <v>Partition panel - Vách ngăn</v>
          </cell>
          <cell r="H5631" t="str">
            <v>MDF Veneer</v>
          </cell>
          <cell r="I5631">
            <v>22</v>
          </cell>
        </row>
        <row r="5632">
          <cell r="A5632" t="str">
            <v>B558348/A</v>
          </cell>
          <cell r="B5632" t="str">
            <v>RH7270M374</v>
          </cell>
          <cell r="C5632">
            <v>11</v>
          </cell>
          <cell r="D5632">
            <v>735</v>
          </cell>
          <cell r="E5632">
            <v>8085</v>
          </cell>
          <cell r="F5632" t="str">
            <v>P12</v>
          </cell>
          <cell r="G5632" t="str">
            <v>Patching wood - Gỗ đắp</v>
          </cell>
          <cell r="H5632" t="str">
            <v>Wood White Oak - Straight/Waving Edged, 1 COM - T25mm x W100mm Up x L1.8m Up</v>
          </cell>
          <cell r="I5632">
            <v>33</v>
          </cell>
        </row>
        <row r="5633">
          <cell r="A5633" t="str">
            <v>B558348/A</v>
          </cell>
          <cell r="B5633" t="str">
            <v>RH7270M374</v>
          </cell>
          <cell r="C5633">
            <v>11</v>
          </cell>
          <cell r="D5633">
            <v>735</v>
          </cell>
          <cell r="E5633">
            <v>8085</v>
          </cell>
          <cell r="F5633" t="str">
            <v>P13</v>
          </cell>
          <cell r="G5633" t="str">
            <v>Center leg - Chân giữa</v>
          </cell>
          <cell r="H5633" t="str">
            <v>Wood White Oak - Straight/Waving Edged, 1 COM - T38mm x W100mm Up x L1.8m Up</v>
          </cell>
          <cell r="I5633">
            <v>11</v>
          </cell>
        </row>
        <row r="5634">
          <cell r="A5634" t="str">
            <v>B558348/A</v>
          </cell>
          <cell r="B5634" t="str">
            <v>RH7270M374</v>
          </cell>
          <cell r="C5634">
            <v>11</v>
          </cell>
          <cell r="D5634">
            <v>735</v>
          </cell>
          <cell r="E5634">
            <v>8085</v>
          </cell>
          <cell r="F5634" t="str">
            <v>P14</v>
          </cell>
          <cell r="G5634" t="str">
            <v>Fixed Shelf  - Kệ bắt chết</v>
          </cell>
          <cell r="H5634" t="str">
            <v>MDF Veneer</v>
          </cell>
          <cell r="I5634">
            <v>11</v>
          </cell>
        </row>
        <row r="5635">
          <cell r="A5635" t="str">
            <v>B558348/A</v>
          </cell>
          <cell r="B5635" t="str">
            <v>RH7270M374</v>
          </cell>
          <cell r="C5635">
            <v>11</v>
          </cell>
          <cell r="D5635">
            <v>735</v>
          </cell>
          <cell r="E5635">
            <v>8085</v>
          </cell>
          <cell r="F5635" t="str">
            <v>P15</v>
          </cell>
          <cell r="G5635" t="str">
            <v>Fixed Shelf  - Kệ bắt chết</v>
          </cell>
          <cell r="H5635" t="str">
            <v>MDF Veneer</v>
          </cell>
          <cell r="I5635">
            <v>22</v>
          </cell>
        </row>
        <row r="5636">
          <cell r="A5636" t="str">
            <v>B558350/A</v>
          </cell>
          <cell r="B5636" t="str">
            <v>RH7349M382</v>
          </cell>
          <cell r="C5636">
            <v>24</v>
          </cell>
          <cell r="D5636">
            <v>475</v>
          </cell>
          <cell r="E5636">
            <v>11400</v>
          </cell>
          <cell r="F5636" t="str">
            <v>A1-S01</v>
          </cell>
          <cell r="G5636" t="str">
            <v xml:space="preserve">Top panel  - Ván nóc </v>
          </cell>
          <cell r="H5636" t="str">
            <v>MDF Veneer</v>
          </cell>
          <cell r="I5636">
            <v>24</v>
          </cell>
        </row>
        <row r="5637">
          <cell r="A5637" t="str">
            <v>B558350/A</v>
          </cell>
          <cell r="B5637" t="str">
            <v>RH7349M382</v>
          </cell>
          <cell r="C5637">
            <v>24</v>
          </cell>
          <cell r="D5637">
            <v>475</v>
          </cell>
          <cell r="E5637">
            <v>11400</v>
          </cell>
          <cell r="F5637" t="str">
            <v>A1-S02</v>
          </cell>
          <cell r="G5637" t="str">
            <v>support Top - đỡ nóc</v>
          </cell>
          <cell r="H5637" t="str">
            <v>Wood US Poplar - Straight Edged, 2 COM - T25mm x W100mm Up x L1.8m Up</v>
          </cell>
          <cell r="I5637">
            <v>48</v>
          </cell>
        </row>
        <row r="5638">
          <cell r="A5638" t="str">
            <v>B558350/A</v>
          </cell>
          <cell r="B5638" t="str">
            <v>RH7349M382</v>
          </cell>
          <cell r="C5638">
            <v>24</v>
          </cell>
          <cell r="D5638">
            <v>475</v>
          </cell>
          <cell r="E5638">
            <v>11400</v>
          </cell>
          <cell r="F5638" t="str">
            <v>A1-S03</v>
          </cell>
          <cell r="G5638" t="str">
            <v>support Top - đỡ nóc</v>
          </cell>
          <cell r="H5638" t="str">
            <v>Wood US Poplar - Straight Edged, 2 COM - T25mm x W100mm Up x L1.8m Up</v>
          </cell>
          <cell r="I5638">
            <v>48</v>
          </cell>
        </row>
        <row r="5639">
          <cell r="A5639" t="str">
            <v>B558350/A</v>
          </cell>
          <cell r="B5639" t="str">
            <v>RH7349M382</v>
          </cell>
          <cell r="C5639">
            <v>24</v>
          </cell>
          <cell r="D5639">
            <v>475</v>
          </cell>
          <cell r="E5639">
            <v>11400</v>
          </cell>
          <cell r="F5639" t="str">
            <v>A1-S04</v>
          </cell>
          <cell r="G5639" t="str">
            <v xml:space="preserve">Side rail  - Đố hông </v>
          </cell>
          <cell r="H5639" t="str">
            <v>Wood laminate</v>
          </cell>
          <cell r="I5639">
            <v>96</v>
          </cell>
        </row>
        <row r="5640">
          <cell r="A5640" t="str">
            <v>B558350/A</v>
          </cell>
          <cell r="B5640" t="str">
            <v>RH7349M382</v>
          </cell>
          <cell r="C5640">
            <v>24</v>
          </cell>
          <cell r="D5640">
            <v>475</v>
          </cell>
          <cell r="E5640">
            <v>11400</v>
          </cell>
          <cell r="F5640" t="str">
            <v>A1-S05</v>
          </cell>
          <cell r="G5640" t="str">
            <v>Cleat - Bọ gỗ</v>
          </cell>
          <cell r="H5640" t="str">
            <v>Standard Wood - ALDER/ASPEN/LENGA/US POPLAR, 2 COM - T25 W120mm+ L2m+</v>
          </cell>
          <cell r="I5640">
            <v>192</v>
          </cell>
        </row>
        <row r="5641">
          <cell r="A5641" t="str">
            <v>B558350/A</v>
          </cell>
          <cell r="B5641" t="str">
            <v>RH7349M382</v>
          </cell>
          <cell r="C5641">
            <v>24</v>
          </cell>
          <cell r="D5641">
            <v>475</v>
          </cell>
          <cell r="E5641">
            <v>11400</v>
          </cell>
          <cell r="F5641" t="str">
            <v>A2-S01</v>
          </cell>
          <cell r="G5641" t="str">
            <v>Bottom panel - Ván đáy</v>
          </cell>
          <cell r="H5641" t="str">
            <v>MDF Veneer</v>
          </cell>
          <cell r="I5641">
            <v>24</v>
          </cell>
        </row>
        <row r="5642">
          <cell r="A5642" t="str">
            <v>B558350/A</v>
          </cell>
          <cell r="B5642" t="str">
            <v>RH7349M382</v>
          </cell>
          <cell r="C5642">
            <v>24</v>
          </cell>
          <cell r="D5642">
            <v>475</v>
          </cell>
          <cell r="E5642">
            <v>11400</v>
          </cell>
          <cell r="F5642" t="str">
            <v>A2-S02</v>
          </cell>
          <cell r="G5642" t="str">
            <v>Bottom rail inside - Đố tiền đáy</v>
          </cell>
          <cell r="H5642" t="str">
            <v>Wood laminate</v>
          </cell>
          <cell r="I5642">
            <v>48</v>
          </cell>
        </row>
        <row r="5643">
          <cell r="A5643" t="str">
            <v>B558350/A</v>
          </cell>
          <cell r="B5643" t="str">
            <v>RH7349M382</v>
          </cell>
          <cell r="C5643">
            <v>24</v>
          </cell>
          <cell r="D5643">
            <v>475</v>
          </cell>
          <cell r="E5643">
            <v>11400</v>
          </cell>
          <cell r="F5643" t="str">
            <v>A2-S03</v>
          </cell>
          <cell r="G5643" t="str">
            <v>side rail 1 - đố hông 1</v>
          </cell>
          <cell r="H5643" t="str">
            <v>Wood laminate</v>
          </cell>
          <cell r="I5643">
            <v>48</v>
          </cell>
        </row>
        <row r="5644">
          <cell r="A5644" t="str">
            <v>B558350/A</v>
          </cell>
          <cell r="B5644" t="str">
            <v>RH7349M382</v>
          </cell>
          <cell r="C5644">
            <v>24</v>
          </cell>
          <cell r="D5644">
            <v>475</v>
          </cell>
          <cell r="E5644">
            <v>11400</v>
          </cell>
          <cell r="F5644" t="str">
            <v>P01</v>
          </cell>
          <cell r="G5644" t="str">
            <v>The leg  - Chân</v>
          </cell>
          <cell r="H5644" t="str">
            <v>Wood laminate</v>
          </cell>
          <cell r="I5644">
            <v>96</v>
          </cell>
        </row>
        <row r="5645">
          <cell r="A5645" t="str">
            <v>B558352/A</v>
          </cell>
          <cell r="B5645" t="str">
            <v>RH7349M409</v>
          </cell>
          <cell r="C5645">
            <v>2</v>
          </cell>
          <cell r="D5645">
            <v>475</v>
          </cell>
          <cell r="E5645">
            <v>950</v>
          </cell>
          <cell r="F5645" t="str">
            <v>A1-S01</v>
          </cell>
          <cell r="G5645" t="str">
            <v xml:space="preserve">Top panel  - Ván nóc </v>
          </cell>
          <cell r="H5645" t="str">
            <v>MDF Veneer</v>
          </cell>
          <cell r="I5645">
            <v>2</v>
          </cell>
        </row>
        <row r="5646">
          <cell r="A5646" t="str">
            <v>B558352/A</v>
          </cell>
          <cell r="B5646" t="str">
            <v>RH7349M409</v>
          </cell>
          <cell r="C5646">
            <v>2</v>
          </cell>
          <cell r="D5646">
            <v>475</v>
          </cell>
          <cell r="E5646">
            <v>950</v>
          </cell>
          <cell r="F5646" t="str">
            <v>A1-S02</v>
          </cell>
          <cell r="G5646" t="str">
            <v>support Top - đỡ nóc</v>
          </cell>
          <cell r="H5646" t="str">
            <v>Wood US Poplar - Straight Edged, 2 COM - T25mm x W100mm Up x L1.8m Up</v>
          </cell>
          <cell r="I5646">
            <v>4</v>
          </cell>
        </row>
        <row r="5647">
          <cell r="A5647" t="str">
            <v>B558352/A</v>
          </cell>
          <cell r="B5647" t="str">
            <v>RH7349M409</v>
          </cell>
          <cell r="C5647">
            <v>2</v>
          </cell>
          <cell r="D5647">
            <v>475</v>
          </cell>
          <cell r="E5647">
            <v>950</v>
          </cell>
          <cell r="F5647" t="str">
            <v>A1-S03</v>
          </cell>
          <cell r="G5647" t="str">
            <v>support Top - đỡ nóc</v>
          </cell>
          <cell r="H5647" t="str">
            <v>Wood US Poplar - Straight Edged, 2 COM - T25mm x W100mm Up x L1.8m Up</v>
          </cell>
          <cell r="I5647">
            <v>4</v>
          </cell>
        </row>
        <row r="5648">
          <cell r="A5648" t="str">
            <v>B558352/A</v>
          </cell>
          <cell r="B5648" t="str">
            <v>RH7349M409</v>
          </cell>
          <cell r="C5648">
            <v>2</v>
          </cell>
          <cell r="D5648">
            <v>475</v>
          </cell>
          <cell r="E5648">
            <v>950</v>
          </cell>
          <cell r="F5648" t="str">
            <v>A1-S04</v>
          </cell>
          <cell r="G5648" t="str">
            <v xml:space="preserve">Side rail  - Đố hông </v>
          </cell>
          <cell r="H5648" t="str">
            <v>Wood laminate</v>
          </cell>
          <cell r="I5648">
            <v>8</v>
          </cell>
        </row>
        <row r="5649">
          <cell r="A5649" t="str">
            <v>B558352/A</v>
          </cell>
          <cell r="B5649" t="str">
            <v>RH7349M409</v>
          </cell>
          <cell r="C5649">
            <v>2</v>
          </cell>
          <cell r="D5649">
            <v>475</v>
          </cell>
          <cell r="E5649">
            <v>950</v>
          </cell>
          <cell r="F5649" t="str">
            <v>A1-S05</v>
          </cell>
          <cell r="G5649" t="str">
            <v>Cleat - Bọ gỗ</v>
          </cell>
          <cell r="H5649" t="str">
            <v>Standard Wood - ALDER/ASPEN/LENGA/US POPLAR, 2 COM - T25 W120mm+ L2m+</v>
          </cell>
          <cell r="I5649">
            <v>16</v>
          </cell>
        </row>
        <row r="5650">
          <cell r="A5650" t="str">
            <v>B558352/A</v>
          </cell>
          <cell r="B5650" t="str">
            <v>RH7349M409</v>
          </cell>
          <cell r="C5650">
            <v>2</v>
          </cell>
          <cell r="D5650">
            <v>475</v>
          </cell>
          <cell r="E5650">
            <v>950</v>
          </cell>
          <cell r="F5650" t="str">
            <v>A2-S01</v>
          </cell>
          <cell r="G5650" t="str">
            <v>Bottom panel - Ván đáy</v>
          </cell>
          <cell r="H5650" t="str">
            <v>MDF Veneer</v>
          </cell>
          <cell r="I5650">
            <v>2</v>
          </cell>
        </row>
        <row r="5651">
          <cell r="A5651" t="str">
            <v>B558352/A</v>
          </cell>
          <cell r="B5651" t="str">
            <v>RH7349M409</v>
          </cell>
          <cell r="C5651">
            <v>2</v>
          </cell>
          <cell r="D5651">
            <v>475</v>
          </cell>
          <cell r="E5651">
            <v>950</v>
          </cell>
          <cell r="F5651" t="str">
            <v>A2-S02</v>
          </cell>
          <cell r="G5651" t="str">
            <v>Bottom rail inside - Đố tiền đáy</v>
          </cell>
          <cell r="H5651" t="str">
            <v>Wood laminate</v>
          </cell>
          <cell r="I5651">
            <v>4</v>
          </cell>
        </row>
        <row r="5652">
          <cell r="A5652" t="str">
            <v>B558352/A</v>
          </cell>
          <cell r="B5652" t="str">
            <v>RH7349M409</v>
          </cell>
          <cell r="C5652">
            <v>2</v>
          </cell>
          <cell r="D5652">
            <v>475</v>
          </cell>
          <cell r="E5652">
            <v>950</v>
          </cell>
          <cell r="F5652" t="str">
            <v>A2-S03</v>
          </cell>
          <cell r="G5652" t="str">
            <v>side rail 1 - đố hông 1</v>
          </cell>
          <cell r="H5652" t="str">
            <v>Wood laminate</v>
          </cell>
          <cell r="I5652">
            <v>4</v>
          </cell>
        </row>
        <row r="5653">
          <cell r="A5653" t="str">
            <v>B558352/A</v>
          </cell>
          <cell r="B5653" t="str">
            <v>RH7349M409</v>
          </cell>
          <cell r="C5653">
            <v>2</v>
          </cell>
          <cell r="D5653">
            <v>475</v>
          </cell>
          <cell r="E5653">
            <v>950</v>
          </cell>
          <cell r="F5653" t="str">
            <v>P01</v>
          </cell>
          <cell r="G5653" t="str">
            <v>The leg  - Chân</v>
          </cell>
          <cell r="H5653" t="str">
            <v>Wood laminate</v>
          </cell>
          <cell r="I5653">
            <v>8</v>
          </cell>
        </row>
        <row r="5654">
          <cell r="A5654" t="str">
            <v>B558355/A</v>
          </cell>
          <cell r="B5654" t="str">
            <v>RH7553M372</v>
          </cell>
          <cell r="C5654">
            <v>8</v>
          </cell>
          <cell r="D5654">
            <v>675</v>
          </cell>
          <cell r="E5654">
            <v>5400</v>
          </cell>
          <cell r="F5654" t="str">
            <v>A1</v>
          </cell>
          <cell r="G5654" t="str">
            <v>Side Frame - Khung hông</v>
          </cell>
          <cell r="H5654" t="str">
            <v>Pre-Assembly</v>
          </cell>
          <cell r="I5654">
            <v>16</v>
          </cell>
        </row>
        <row r="5655">
          <cell r="A5655" t="str">
            <v>B558355/A</v>
          </cell>
          <cell r="B5655" t="str">
            <v>RH7553M372</v>
          </cell>
          <cell r="C5655">
            <v>8</v>
          </cell>
          <cell r="D5655">
            <v>675</v>
          </cell>
          <cell r="E5655">
            <v>5400</v>
          </cell>
          <cell r="F5655" t="str">
            <v>A1-S0</v>
          </cell>
          <cell r="G5655" t="str">
            <v xml:space="preserve">Panel - Ván </v>
          </cell>
          <cell r="H5655" t="str">
            <v>MDF Veneer</v>
          </cell>
          <cell r="I5655">
            <v>16</v>
          </cell>
        </row>
        <row r="5656">
          <cell r="A5656" t="str">
            <v>B558355/A</v>
          </cell>
          <cell r="B5656" t="str">
            <v>RH7553M372</v>
          </cell>
          <cell r="C5656">
            <v>8</v>
          </cell>
          <cell r="D5656">
            <v>675</v>
          </cell>
          <cell r="E5656">
            <v>5400</v>
          </cell>
          <cell r="F5656" t="str">
            <v>A1-S01</v>
          </cell>
          <cell r="G5656" t="str">
            <v xml:space="preserve">Curve part hot press  - chi tiết cảo cong </v>
          </cell>
          <cell r="H5656" t="str">
            <v>Pre-Assembly</v>
          </cell>
          <cell r="I5656">
            <v>16</v>
          </cell>
        </row>
        <row r="5657">
          <cell r="A5657" t="str">
            <v>B558355/A</v>
          </cell>
          <cell r="B5657" t="str">
            <v>RH7553M372</v>
          </cell>
          <cell r="C5657">
            <v>8</v>
          </cell>
          <cell r="D5657">
            <v>675</v>
          </cell>
          <cell r="E5657">
            <v>5400</v>
          </cell>
          <cell r="F5657" t="str">
            <v>A1-S05</v>
          </cell>
          <cell r="G5657" t="str">
            <v>Patching wood - Gỗ đắp</v>
          </cell>
          <cell r="H5657" t="str">
            <v>Wood White Oak - Straight/Waving Edged, 1 COM - T32mm x W100mm Up x L1.8m Up</v>
          </cell>
          <cell r="I5657">
            <v>16</v>
          </cell>
        </row>
        <row r="5658">
          <cell r="A5658" t="str">
            <v>B558355/A</v>
          </cell>
          <cell r="B5658" t="str">
            <v>RH7553M372</v>
          </cell>
          <cell r="C5658">
            <v>8</v>
          </cell>
          <cell r="D5658">
            <v>675</v>
          </cell>
          <cell r="E5658">
            <v>5400</v>
          </cell>
          <cell r="F5658" t="str">
            <v>A2-S01</v>
          </cell>
          <cell r="G5658" t="str">
            <v xml:space="preserve">Top panel  - Ván nóc </v>
          </cell>
          <cell r="H5658" t="str">
            <v>MDF Veneer</v>
          </cell>
          <cell r="I5658">
            <v>8</v>
          </cell>
        </row>
        <row r="5659">
          <cell r="A5659" t="str">
            <v>B558355/A</v>
          </cell>
          <cell r="B5659" t="str">
            <v>RH7553M372</v>
          </cell>
          <cell r="C5659">
            <v>8</v>
          </cell>
          <cell r="D5659">
            <v>675</v>
          </cell>
          <cell r="E5659">
            <v>5400</v>
          </cell>
          <cell r="F5659" t="str">
            <v>A2-S02</v>
          </cell>
          <cell r="G5659" t="str">
            <v>Top rail - Đố nóc</v>
          </cell>
          <cell r="H5659" t="str">
            <v>Wood laminate</v>
          </cell>
          <cell r="I5659">
            <v>8</v>
          </cell>
        </row>
        <row r="5660">
          <cell r="A5660" t="str">
            <v>B558355/A</v>
          </cell>
          <cell r="B5660" t="str">
            <v>RH7553M372</v>
          </cell>
          <cell r="C5660">
            <v>8</v>
          </cell>
          <cell r="D5660">
            <v>675</v>
          </cell>
          <cell r="E5660">
            <v>5400</v>
          </cell>
          <cell r="F5660" t="str">
            <v>A2-S03</v>
          </cell>
          <cell r="G5660" t="str">
            <v>Top rail - Đố nóc</v>
          </cell>
          <cell r="H5660" t="str">
            <v>Wd+VN</v>
          </cell>
          <cell r="I5660">
            <v>16</v>
          </cell>
        </row>
        <row r="5661">
          <cell r="A5661" t="str">
            <v>B558355/A</v>
          </cell>
          <cell r="B5661" t="str">
            <v>RH7553M372</v>
          </cell>
          <cell r="C5661">
            <v>8</v>
          </cell>
          <cell r="D5661">
            <v>675</v>
          </cell>
          <cell r="E5661">
            <v>5400</v>
          </cell>
          <cell r="F5661" t="str">
            <v>A2-S04</v>
          </cell>
          <cell r="G5661" t="str">
            <v>Front rail  - Đố tiền</v>
          </cell>
          <cell r="H5661" t="str">
            <v>Wood laminate</v>
          </cell>
          <cell r="I5661">
            <v>8</v>
          </cell>
        </row>
        <row r="5662">
          <cell r="A5662" t="str">
            <v>B558355/A</v>
          </cell>
          <cell r="B5662" t="str">
            <v>RH7553M372</v>
          </cell>
          <cell r="C5662">
            <v>8</v>
          </cell>
          <cell r="D5662">
            <v>675</v>
          </cell>
          <cell r="E5662">
            <v>5400</v>
          </cell>
          <cell r="F5662" t="str">
            <v>A2-S05</v>
          </cell>
          <cell r="G5662" t="str">
            <v>Top rail - Đố nóc</v>
          </cell>
          <cell r="H5662" t="str">
            <v>Wood laminate</v>
          </cell>
          <cell r="I5662">
            <v>16</v>
          </cell>
        </row>
        <row r="5663">
          <cell r="A5663" t="str">
            <v>B558355/A</v>
          </cell>
          <cell r="B5663" t="str">
            <v>RH7553M372</v>
          </cell>
          <cell r="C5663">
            <v>8</v>
          </cell>
          <cell r="D5663">
            <v>675</v>
          </cell>
          <cell r="E5663">
            <v>5400</v>
          </cell>
          <cell r="F5663" t="str">
            <v>A2-S06</v>
          </cell>
          <cell r="G5663" t="str">
            <v>support Top - đỡ nóc</v>
          </cell>
          <cell r="H5663" t="str">
            <v>Beech off cut</v>
          </cell>
          <cell r="I5663">
            <v>32</v>
          </cell>
        </row>
        <row r="5664">
          <cell r="A5664" t="str">
            <v>B558355/A</v>
          </cell>
          <cell r="B5664" t="str">
            <v>RH7553M372</v>
          </cell>
          <cell r="C5664">
            <v>8</v>
          </cell>
          <cell r="D5664">
            <v>675</v>
          </cell>
          <cell r="E5664">
            <v>5400</v>
          </cell>
          <cell r="F5664" t="str">
            <v>A2-S07</v>
          </cell>
          <cell r="G5664" t="str">
            <v>support Top - đỡ nóc</v>
          </cell>
          <cell r="H5664" t="str">
            <v>Wood laminate</v>
          </cell>
          <cell r="I5664">
            <v>8</v>
          </cell>
        </row>
        <row r="5665">
          <cell r="A5665" t="str">
            <v>B558355/A</v>
          </cell>
          <cell r="B5665" t="str">
            <v>RH7553M372</v>
          </cell>
          <cell r="C5665">
            <v>8</v>
          </cell>
          <cell r="D5665">
            <v>675</v>
          </cell>
          <cell r="E5665">
            <v>5400</v>
          </cell>
          <cell r="F5665" t="str">
            <v>A3-S0</v>
          </cell>
          <cell r="G5665" t="str">
            <v xml:space="preserve">Panel - Ván </v>
          </cell>
          <cell r="H5665" t="str">
            <v>MDF Veneer</v>
          </cell>
          <cell r="I5665">
            <v>8</v>
          </cell>
        </row>
        <row r="5666">
          <cell r="A5666" t="str">
            <v>B558355/A</v>
          </cell>
          <cell r="B5666" t="str">
            <v>RH7553M372</v>
          </cell>
          <cell r="C5666">
            <v>8</v>
          </cell>
          <cell r="D5666">
            <v>675</v>
          </cell>
          <cell r="E5666">
            <v>5400</v>
          </cell>
          <cell r="F5666" t="str">
            <v>A3-S01</v>
          </cell>
          <cell r="G5666" t="str">
            <v xml:space="preserve">Curve part hot press  - chi tiết cảo cong </v>
          </cell>
          <cell r="H5666" t="str">
            <v>MDF laminate</v>
          </cell>
          <cell r="I5666">
            <v>48</v>
          </cell>
        </row>
        <row r="5667">
          <cell r="A5667" t="str">
            <v>B558355/A</v>
          </cell>
          <cell r="B5667" t="str">
            <v>RH7553M372</v>
          </cell>
          <cell r="C5667">
            <v>8</v>
          </cell>
          <cell r="D5667">
            <v>675</v>
          </cell>
          <cell r="E5667">
            <v>5400</v>
          </cell>
          <cell r="F5667" t="str">
            <v>A3-S02</v>
          </cell>
          <cell r="G5667" t="str">
            <v>Bottom panel - Ván đáy</v>
          </cell>
          <cell r="H5667" t="str">
            <v>MDF Veneer</v>
          </cell>
          <cell r="I5667">
            <v>16</v>
          </cell>
        </row>
        <row r="5668">
          <cell r="A5668" t="str">
            <v>B558355/A</v>
          </cell>
          <cell r="B5668" t="str">
            <v>RH7553M372</v>
          </cell>
          <cell r="C5668">
            <v>8</v>
          </cell>
          <cell r="D5668">
            <v>675</v>
          </cell>
          <cell r="E5668">
            <v>5400</v>
          </cell>
          <cell r="F5668" t="str">
            <v>A3-S03</v>
          </cell>
          <cell r="G5668" t="str">
            <v>Patching wood - Gỗ đắp</v>
          </cell>
          <cell r="H5668" t="str">
            <v>Beech off cut</v>
          </cell>
          <cell r="I5668">
            <v>48</v>
          </cell>
        </row>
        <row r="5669">
          <cell r="A5669" t="str">
            <v>B558355/A</v>
          </cell>
          <cell r="B5669" t="str">
            <v>RH7553M372</v>
          </cell>
          <cell r="C5669">
            <v>8</v>
          </cell>
          <cell r="D5669">
            <v>675</v>
          </cell>
          <cell r="E5669">
            <v>5400</v>
          </cell>
          <cell r="F5669" t="str">
            <v>A4</v>
          </cell>
          <cell r="G5669" t="str">
            <v>Door panel  - Ván cửa</v>
          </cell>
          <cell r="H5669" t="str">
            <v>Pre-Assembly</v>
          </cell>
          <cell r="I5669">
            <v>16</v>
          </cell>
        </row>
        <row r="5670">
          <cell r="A5670" t="str">
            <v>B558355/A</v>
          </cell>
          <cell r="B5670" t="str">
            <v>RH7553M372</v>
          </cell>
          <cell r="C5670">
            <v>8</v>
          </cell>
          <cell r="D5670">
            <v>675</v>
          </cell>
          <cell r="E5670">
            <v>5400</v>
          </cell>
          <cell r="F5670" t="str">
            <v>A4-S0</v>
          </cell>
          <cell r="G5670" t="str">
            <v xml:space="preserve">Panel - Ván </v>
          </cell>
          <cell r="H5670" t="str">
            <v>MDF Veneer</v>
          </cell>
          <cell r="I5670">
            <v>16</v>
          </cell>
        </row>
        <row r="5671">
          <cell r="A5671" t="str">
            <v>B558355/A</v>
          </cell>
          <cell r="B5671" t="str">
            <v>RH7553M372</v>
          </cell>
          <cell r="C5671">
            <v>8</v>
          </cell>
          <cell r="D5671">
            <v>675</v>
          </cell>
          <cell r="E5671">
            <v>5400</v>
          </cell>
          <cell r="F5671" t="str">
            <v>A4-S00</v>
          </cell>
          <cell r="G5671" t="str">
            <v xml:space="preserve">Curve part hot press  - chi tiết cảo cong </v>
          </cell>
          <cell r="H5671" t="str">
            <v>Pre-Assembly</v>
          </cell>
          <cell r="I5671">
            <v>8</v>
          </cell>
        </row>
        <row r="5672">
          <cell r="A5672" t="str">
            <v>B558355/A</v>
          </cell>
          <cell r="B5672" t="str">
            <v>RH7553M372</v>
          </cell>
          <cell r="C5672">
            <v>8</v>
          </cell>
          <cell r="D5672">
            <v>675</v>
          </cell>
          <cell r="E5672">
            <v>5400</v>
          </cell>
          <cell r="F5672" t="str">
            <v>A4-S01</v>
          </cell>
          <cell r="G5672" t="str">
            <v xml:space="preserve">Curve part hot press  - chi tiết cảo cong </v>
          </cell>
          <cell r="H5672" t="str">
            <v>MDF Veneer</v>
          </cell>
          <cell r="I5672">
            <v>16</v>
          </cell>
        </row>
        <row r="5673">
          <cell r="A5673" t="str">
            <v>B558355/A</v>
          </cell>
          <cell r="B5673" t="str">
            <v>RH7553M372</v>
          </cell>
          <cell r="C5673">
            <v>8</v>
          </cell>
          <cell r="D5673">
            <v>675</v>
          </cell>
          <cell r="E5673">
            <v>5400</v>
          </cell>
          <cell r="F5673" t="str">
            <v>A4-S02</v>
          </cell>
          <cell r="G5673" t="str">
            <v>Patching wood - Gỗ đắp</v>
          </cell>
          <cell r="H5673" t="str">
            <v>Wood White Oak - Straight/Waving Edged, 1 COM - T32mm x W100mm Up x L1.8m Up</v>
          </cell>
          <cell r="I5673">
            <v>16</v>
          </cell>
        </row>
        <row r="5674">
          <cell r="A5674" t="str">
            <v>B558355/A</v>
          </cell>
          <cell r="B5674" t="str">
            <v>RH7553M372</v>
          </cell>
          <cell r="C5674">
            <v>8</v>
          </cell>
          <cell r="D5674">
            <v>675</v>
          </cell>
          <cell r="E5674">
            <v>5400</v>
          </cell>
          <cell r="F5674" t="str">
            <v>P04</v>
          </cell>
          <cell r="G5674" t="str">
            <v>Door panel  - Ván cửa</v>
          </cell>
          <cell r="H5674" t="str">
            <v>MDF Veneer</v>
          </cell>
          <cell r="I5674">
            <v>16</v>
          </cell>
        </row>
        <row r="5675">
          <cell r="A5675" t="str">
            <v>B558355/A</v>
          </cell>
          <cell r="B5675" t="str">
            <v>RH7553M372</v>
          </cell>
          <cell r="C5675">
            <v>8</v>
          </cell>
          <cell r="D5675">
            <v>675</v>
          </cell>
          <cell r="E5675">
            <v>5400</v>
          </cell>
          <cell r="F5675" t="str">
            <v>P04-1</v>
          </cell>
          <cell r="G5675" t="str">
            <v>Insert Wood - Gỗ chèn</v>
          </cell>
          <cell r="H5675" t="str">
            <v>Beech off cut</v>
          </cell>
          <cell r="I5675">
            <v>48</v>
          </cell>
        </row>
        <row r="5676">
          <cell r="A5676" t="str">
            <v>B558355/A</v>
          </cell>
          <cell r="B5676" t="str">
            <v>RH7553M372</v>
          </cell>
          <cell r="C5676">
            <v>8</v>
          </cell>
          <cell r="D5676">
            <v>675</v>
          </cell>
          <cell r="E5676">
            <v>5400</v>
          </cell>
          <cell r="F5676" t="str">
            <v>P04-2</v>
          </cell>
          <cell r="G5676" t="str">
            <v>Insert Wood - Gỗ chèn</v>
          </cell>
          <cell r="H5676" t="str">
            <v>Wood White Oak - Straight/Waving Edged, 2 COM - T25mm x W100mm Up x L1.5m Up</v>
          </cell>
          <cell r="I5676">
            <v>32</v>
          </cell>
        </row>
        <row r="5677">
          <cell r="A5677" t="str">
            <v>B558355/A</v>
          </cell>
          <cell r="B5677" t="str">
            <v>RH7553M372</v>
          </cell>
          <cell r="C5677">
            <v>8</v>
          </cell>
          <cell r="D5677">
            <v>675</v>
          </cell>
          <cell r="E5677">
            <v>5400</v>
          </cell>
          <cell r="F5677" t="str">
            <v>P06</v>
          </cell>
          <cell r="G5677" t="str">
            <v>Cleat - Bọ gỗ</v>
          </cell>
          <cell r="H5677" t="str">
            <v>Beech off cut</v>
          </cell>
          <cell r="I5677">
            <v>16</v>
          </cell>
        </row>
        <row r="5678">
          <cell r="A5678" t="str">
            <v>B558355/A</v>
          </cell>
          <cell r="B5678" t="str">
            <v>RH7553M372</v>
          </cell>
          <cell r="C5678">
            <v>8</v>
          </cell>
          <cell r="D5678">
            <v>675</v>
          </cell>
          <cell r="E5678">
            <v>5400</v>
          </cell>
          <cell r="F5678" t="str">
            <v>P07</v>
          </cell>
          <cell r="G5678" t="str">
            <v>Bottom panel - Ván đáy</v>
          </cell>
          <cell r="H5678" t="str">
            <v>Plywood VN</v>
          </cell>
          <cell r="I5678">
            <v>8</v>
          </cell>
        </row>
        <row r="5679">
          <cell r="A5679" t="str">
            <v>B558355/A</v>
          </cell>
          <cell r="B5679" t="str">
            <v>RH7553M372</v>
          </cell>
          <cell r="C5679">
            <v>8</v>
          </cell>
          <cell r="D5679">
            <v>675</v>
          </cell>
          <cell r="E5679">
            <v>5400</v>
          </cell>
          <cell r="F5679" t="str">
            <v>P08</v>
          </cell>
          <cell r="G5679" t="str">
            <v>Back panel - Ván hậu</v>
          </cell>
          <cell r="H5679" t="str">
            <v>MDF Veneer</v>
          </cell>
          <cell r="I5679">
            <v>8</v>
          </cell>
        </row>
        <row r="5680">
          <cell r="A5680" t="str">
            <v>B558355/A</v>
          </cell>
          <cell r="B5680" t="str">
            <v>RH7553M372</v>
          </cell>
          <cell r="C5680">
            <v>8</v>
          </cell>
          <cell r="D5680">
            <v>675</v>
          </cell>
          <cell r="E5680">
            <v>5400</v>
          </cell>
          <cell r="F5680" t="str">
            <v>P08-1</v>
          </cell>
          <cell r="G5680" t="str">
            <v>Insert Wood - Gỗ chèn</v>
          </cell>
          <cell r="H5680" t="str">
            <v>oak off cut</v>
          </cell>
          <cell r="I5680">
            <v>16</v>
          </cell>
        </row>
        <row r="5681">
          <cell r="A5681" t="str">
            <v>B558355/A</v>
          </cell>
          <cell r="B5681" t="str">
            <v>RH7553M372</v>
          </cell>
          <cell r="C5681">
            <v>8</v>
          </cell>
          <cell r="D5681">
            <v>675</v>
          </cell>
          <cell r="E5681">
            <v>5400</v>
          </cell>
          <cell r="F5681" t="str">
            <v>P09</v>
          </cell>
          <cell r="G5681" t="str">
            <v>Partition panel - Vách ngăn</v>
          </cell>
          <cell r="H5681" t="str">
            <v>MDF Veneer</v>
          </cell>
          <cell r="I5681">
            <v>8</v>
          </cell>
        </row>
        <row r="5682">
          <cell r="A5682" t="str">
            <v>B558355/A</v>
          </cell>
          <cell r="B5682" t="str">
            <v>RH7553M372</v>
          </cell>
          <cell r="C5682">
            <v>8</v>
          </cell>
          <cell r="D5682">
            <v>675</v>
          </cell>
          <cell r="E5682">
            <v>5400</v>
          </cell>
          <cell r="F5682" t="str">
            <v>P12</v>
          </cell>
          <cell r="G5682" t="str">
            <v>Patching wood - Gỗ đắp</v>
          </cell>
          <cell r="H5682" t="str">
            <v>Wood White Oak - Straight/Waving Edged, 1 COM - T25mm x W100mm Up x L1.8m Up</v>
          </cell>
          <cell r="I5682">
            <v>16</v>
          </cell>
        </row>
        <row r="5683">
          <cell r="A5683" t="str">
            <v>B558355/A</v>
          </cell>
          <cell r="B5683" t="str">
            <v>RH7553M372</v>
          </cell>
          <cell r="C5683">
            <v>8</v>
          </cell>
          <cell r="D5683">
            <v>675</v>
          </cell>
          <cell r="E5683">
            <v>5400</v>
          </cell>
          <cell r="F5683" t="str">
            <v>P15</v>
          </cell>
          <cell r="G5683" t="str">
            <v>Shelf panel  - Ván kệ</v>
          </cell>
          <cell r="H5683" t="str">
            <v>MDF Veneer</v>
          </cell>
          <cell r="I5683">
            <v>16</v>
          </cell>
        </row>
        <row r="5684">
          <cell r="A5684" t="str">
            <v>B558356/A</v>
          </cell>
          <cell r="B5684" t="str">
            <v>RH7553M372</v>
          </cell>
          <cell r="C5684">
            <v>7</v>
          </cell>
          <cell r="D5684">
            <v>675</v>
          </cell>
          <cell r="E5684">
            <v>4725</v>
          </cell>
          <cell r="F5684" t="str">
            <v>A1</v>
          </cell>
          <cell r="G5684" t="str">
            <v>Side Frame - Khung hông</v>
          </cell>
          <cell r="H5684" t="str">
            <v>Pre-Assembly</v>
          </cell>
          <cell r="I5684">
            <v>14</v>
          </cell>
        </row>
        <row r="5685">
          <cell r="A5685" t="str">
            <v>B558356/A</v>
          </cell>
          <cell r="B5685" t="str">
            <v>RH7553M372</v>
          </cell>
          <cell r="C5685">
            <v>7</v>
          </cell>
          <cell r="D5685">
            <v>675</v>
          </cell>
          <cell r="E5685">
            <v>4725</v>
          </cell>
          <cell r="F5685" t="str">
            <v>A1-S0</v>
          </cell>
          <cell r="G5685" t="str">
            <v xml:space="preserve">Panel - Ván </v>
          </cell>
          <cell r="H5685" t="str">
            <v>MDF Veneer</v>
          </cell>
          <cell r="I5685">
            <v>14</v>
          </cell>
        </row>
        <row r="5686">
          <cell r="A5686" t="str">
            <v>B558356/A</v>
          </cell>
          <cell r="B5686" t="str">
            <v>RH7553M372</v>
          </cell>
          <cell r="C5686">
            <v>7</v>
          </cell>
          <cell r="D5686">
            <v>675</v>
          </cell>
          <cell r="E5686">
            <v>4725</v>
          </cell>
          <cell r="F5686" t="str">
            <v>A1-S01</v>
          </cell>
          <cell r="G5686" t="str">
            <v xml:space="preserve">Curve part hot press  - chi tiết cảo cong </v>
          </cell>
          <cell r="H5686" t="str">
            <v>Pre-Assembly</v>
          </cell>
          <cell r="I5686">
            <v>14</v>
          </cell>
        </row>
        <row r="5687">
          <cell r="A5687" t="str">
            <v>B558356/A</v>
          </cell>
          <cell r="B5687" t="str">
            <v>RH7553M372</v>
          </cell>
          <cell r="C5687">
            <v>7</v>
          </cell>
          <cell r="D5687">
            <v>675</v>
          </cell>
          <cell r="E5687">
            <v>4725</v>
          </cell>
          <cell r="F5687" t="str">
            <v>A1-S05</v>
          </cell>
          <cell r="G5687" t="str">
            <v>Patching wood - Gỗ đắp</v>
          </cell>
          <cell r="H5687" t="str">
            <v>Wood White Oak - Straight/Waving Edged, 1 COM - T32mm x W100mm Up x L1.8m Up</v>
          </cell>
          <cell r="I5687">
            <v>14</v>
          </cell>
        </row>
        <row r="5688">
          <cell r="A5688" t="str">
            <v>B558356/A</v>
          </cell>
          <cell r="B5688" t="str">
            <v>RH7553M372</v>
          </cell>
          <cell r="C5688">
            <v>7</v>
          </cell>
          <cell r="D5688">
            <v>675</v>
          </cell>
          <cell r="E5688">
            <v>4725</v>
          </cell>
          <cell r="F5688" t="str">
            <v>A2-S01</v>
          </cell>
          <cell r="G5688" t="str">
            <v xml:space="preserve">Top panel  - Ván nóc </v>
          </cell>
          <cell r="H5688" t="str">
            <v>MDF Veneer</v>
          </cell>
          <cell r="I5688">
            <v>7</v>
          </cell>
        </row>
        <row r="5689">
          <cell r="A5689" t="str">
            <v>B558356/A</v>
          </cell>
          <cell r="B5689" t="str">
            <v>RH7553M372</v>
          </cell>
          <cell r="C5689">
            <v>7</v>
          </cell>
          <cell r="D5689">
            <v>675</v>
          </cell>
          <cell r="E5689">
            <v>4725</v>
          </cell>
          <cell r="F5689" t="str">
            <v>A2-S02</v>
          </cell>
          <cell r="G5689" t="str">
            <v>Top rail - Đố nóc</v>
          </cell>
          <cell r="H5689" t="str">
            <v>Wood laminate</v>
          </cell>
          <cell r="I5689">
            <v>7</v>
          </cell>
        </row>
        <row r="5690">
          <cell r="A5690" t="str">
            <v>B558356/A</v>
          </cell>
          <cell r="B5690" t="str">
            <v>RH7553M372</v>
          </cell>
          <cell r="C5690">
            <v>7</v>
          </cell>
          <cell r="D5690">
            <v>675</v>
          </cell>
          <cell r="E5690">
            <v>4725</v>
          </cell>
          <cell r="F5690" t="str">
            <v>A2-S03</v>
          </cell>
          <cell r="G5690" t="str">
            <v>Top rail - Đố nóc</v>
          </cell>
          <cell r="H5690" t="str">
            <v>Wd+VN</v>
          </cell>
          <cell r="I5690">
            <v>14</v>
          </cell>
        </row>
        <row r="5691">
          <cell r="A5691" t="str">
            <v>B558356/A</v>
          </cell>
          <cell r="B5691" t="str">
            <v>RH7553M372</v>
          </cell>
          <cell r="C5691">
            <v>7</v>
          </cell>
          <cell r="D5691">
            <v>675</v>
          </cell>
          <cell r="E5691">
            <v>4725</v>
          </cell>
          <cell r="F5691" t="str">
            <v>A2-S04</v>
          </cell>
          <cell r="G5691" t="str">
            <v>Front rail  - Đố tiền</v>
          </cell>
          <cell r="H5691" t="str">
            <v>Wood laminate</v>
          </cell>
          <cell r="I5691">
            <v>7</v>
          </cell>
        </row>
        <row r="5692">
          <cell r="A5692" t="str">
            <v>B558356/A</v>
          </cell>
          <cell r="B5692" t="str">
            <v>RH7553M372</v>
          </cell>
          <cell r="C5692">
            <v>7</v>
          </cell>
          <cell r="D5692">
            <v>675</v>
          </cell>
          <cell r="E5692">
            <v>4725</v>
          </cell>
          <cell r="F5692" t="str">
            <v>A2-S05</v>
          </cell>
          <cell r="G5692" t="str">
            <v>Top rail - Đố nóc</v>
          </cell>
          <cell r="H5692" t="str">
            <v>Wood laminate</v>
          </cell>
          <cell r="I5692">
            <v>14</v>
          </cell>
        </row>
        <row r="5693">
          <cell r="A5693" t="str">
            <v>B558356/A</v>
          </cell>
          <cell r="B5693" t="str">
            <v>RH7553M372</v>
          </cell>
          <cell r="C5693">
            <v>7</v>
          </cell>
          <cell r="D5693">
            <v>675</v>
          </cell>
          <cell r="E5693">
            <v>4725</v>
          </cell>
          <cell r="F5693" t="str">
            <v>A2-S06</v>
          </cell>
          <cell r="G5693" t="str">
            <v>support Top - đỡ nóc</v>
          </cell>
          <cell r="H5693" t="str">
            <v>Beech off cut</v>
          </cell>
          <cell r="I5693">
            <v>28</v>
          </cell>
        </row>
        <row r="5694">
          <cell r="A5694" t="str">
            <v>B558356/A</v>
          </cell>
          <cell r="B5694" t="str">
            <v>RH7553M372</v>
          </cell>
          <cell r="C5694">
            <v>7</v>
          </cell>
          <cell r="D5694">
            <v>675</v>
          </cell>
          <cell r="E5694">
            <v>4725</v>
          </cell>
          <cell r="F5694" t="str">
            <v>A2-S07</v>
          </cell>
          <cell r="G5694" t="str">
            <v>support Top - đỡ nóc</v>
          </cell>
          <cell r="H5694" t="str">
            <v>Wood laminate</v>
          </cell>
          <cell r="I5694">
            <v>7</v>
          </cell>
        </row>
        <row r="5695">
          <cell r="A5695" t="str">
            <v>B558356/A</v>
          </cell>
          <cell r="B5695" t="str">
            <v>RH7553M372</v>
          </cell>
          <cell r="C5695">
            <v>7</v>
          </cell>
          <cell r="D5695">
            <v>675</v>
          </cell>
          <cell r="E5695">
            <v>4725</v>
          </cell>
          <cell r="F5695" t="str">
            <v>A3-S0</v>
          </cell>
          <cell r="G5695" t="str">
            <v xml:space="preserve">Panel - Ván </v>
          </cell>
          <cell r="H5695" t="str">
            <v>MDF Veneer</v>
          </cell>
          <cell r="I5695">
            <v>7</v>
          </cell>
        </row>
        <row r="5696">
          <cell r="A5696" t="str">
            <v>B558356/A</v>
          </cell>
          <cell r="B5696" t="str">
            <v>RH7553M372</v>
          </cell>
          <cell r="C5696">
            <v>7</v>
          </cell>
          <cell r="D5696">
            <v>675</v>
          </cell>
          <cell r="E5696">
            <v>4725</v>
          </cell>
          <cell r="F5696" t="str">
            <v>A3-S01</v>
          </cell>
          <cell r="G5696" t="str">
            <v xml:space="preserve">Curve part hot press  - chi tiết cảo cong </v>
          </cell>
          <cell r="H5696" t="str">
            <v>MDF laminate</v>
          </cell>
          <cell r="I5696">
            <v>42</v>
          </cell>
        </row>
        <row r="5697">
          <cell r="A5697" t="str">
            <v>B558356/A</v>
          </cell>
          <cell r="B5697" t="str">
            <v>RH7553M372</v>
          </cell>
          <cell r="C5697">
            <v>7</v>
          </cell>
          <cell r="D5697">
            <v>675</v>
          </cell>
          <cell r="E5697">
            <v>4725</v>
          </cell>
          <cell r="F5697" t="str">
            <v>A3-S02</v>
          </cell>
          <cell r="G5697" t="str">
            <v>Bottom panel - Ván đáy</v>
          </cell>
          <cell r="H5697" t="str">
            <v>MDF Veneer</v>
          </cell>
          <cell r="I5697">
            <v>14</v>
          </cell>
        </row>
        <row r="5698">
          <cell r="A5698" t="str">
            <v>B558356/A</v>
          </cell>
          <cell r="B5698" t="str">
            <v>RH7553M372</v>
          </cell>
          <cell r="C5698">
            <v>7</v>
          </cell>
          <cell r="D5698">
            <v>675</v>
          </cell>
          <cell r="E5698">
            <v>4725</v>
          </cell>
          <cell r="F5698" t="str">
            <v>A3-S03</v>
          </cell>
          <cell r="G5698" t="str">
            <v>Patching wood - Gỗ đắp</v>
          </cell>
          <cell r="H5698" t="str">
            <v>Beech off cut</v>
          </cell>
          <cell r="I5698">
            <v>42</v>
          </cell>
        </row>
        <row r="5699">
          <cell r="A5699" t="str">
            <v>B558356/A</v>
          </cell>
          <cell r="B5699" t="str">
            <v>RH7553M372</v>
          </cell>
          <cell r="C5699">
            <v>7</v>
          </cell>
          <cell r="D5699">
            <v>675</v>
          </cell>
          <cell r="E5699">
            <v>4725</v>
          </cell>
          <cell r="F5699" t="str">
            <v>A4</v>
          </cell>
          <cell r="G5699" t="str">
            <v>Door panel  - Ván cửa</v>
          </cell>
          <cell r="H5699" t="str">
            <v>Pre-Assembly</v>
          </cell>
          <cell r="I5699">
            <v>14</v>
          </cell>
        </row>
        <row r="5700">
          <cell r="A5700" t="str">
            <v>B558356/A</v>
          </cell>
          <cell r="B5700" t="str">
            <v>RH7553M372</v>
          </cell>
          <cell r="C5700">
            <v>7</v>
          </cell>
          <cell r="D5700">
            <v>675</v>
          </cell>
          <cell r="E5700">
            <v>4725</v>
          </cell>
          <cell r="F5700" t="str">
            <v>A4-S0</v>
          </cell>
          <cell r="G5700" t="str">
            <v xml:space="preserve">Panel - Ván </v>
          </cell>
          <cell r="H5700" t="str">
            <v>MDF Veneer</v>
          </cell>
          <cell r="I5700">
            <v>14</v>
          </cell>
        </row>
        <row r="5701">
          <cell r="A5701" t="str">
            <v>B558356/A</v>
          </cell>
          <cell r="B5701" t="str">
            <v>RH7553M372</v>
          </cell>
          <cell r="C5701">
            <v>7</v>
          </cell>
          <cell r="D5701">
            <v>675</v>
          </cell>
          <cell r="E5701">
            <v>4725</v>
          </cell>
          <cell r="F5701" t="str">
            <v>A4-S00</v>
          </cell>
          <cell r="G5701" t="str">
            <v xml:space="preserve">Curve part hot press  - chi tiết cảo cong </v>
          </cell>
          <cell r="H5701" t="str">
            <v>Pre-Assembly</v>
          </cell>
          <cell r="I5701">
            <v>7</v>
          </cell>
        </row>
        <row r="5702">
          <cell r="A5702" t="str">
            <v>B558356/A</v>
          </cell>
          <cell r="B5702" t="str">
            <v>RH7553M372</v>
          </cell>
          <cell r="C5702">
            <v>7</v>
          </cell>
          <cell r="D5702">
            <v>675</v>
          </cell>
          <cell r="E5702">
            <v>4725</v>
          </cell>
          <cell r="F5702" t="str">
            <v>A4-S01</v>
          </cell>
          <cell r="G5702" t="str">
            <v xml:space="preserve">Curve part hot press  - chi tiết cảo cong </v>
          </cell>
          <cell r="H5702" t="str">
            <v>MDF Veneer</v>
          </cell>
          <cell r="I5702">
            <v>14</v>
          </cell>
        </row>
        <row r="5703">
          <cell r="A5703" t="str">
            <v>B558356/A</v>
          </cell>
          <cell r="B5703" t="str">
            <v>RH7553M372</v>
          </cell>
          <cell r="C5703">
            <v>7</v>
          </cell>
          <cell r="D5703">
            <v>675</v>
          </cell>
          <cell r="E5703">
            <v>4725</v>
          </cell>
          <cell r="F5703" t="str">
            <v>A4-S02</v>
          </cell>
          <cell r="G5703" t="str">
            <v>Patching wood - Gỗ đắp</v>
          </cell>
          <cell r="H5703" t="str">
            <v>Wood White Oak - Straight/Waving Edged, 1 COM - T32mm x W100mm Up x L1.8m Up</v>
          </cell>
          <cell r="I5703">
            <v>14</v>
          </cell>
        </row>
        <row r="5704">
          <cell r="A5704" t="str">
            <v>B558356/A</v>
          </cell>
          <cell r="B5704" t="str">
            <v>RH7553M372</v>
          </cell>
          <cell r="C5704">
            <v>7</v>
          </cell>
          <cell r="D5704">
            <v>675</v>
          </cell>
          <cell r="E5704">
            <v>4725</v>
          </cell>
          <cell r="F5704" t="str">
            <v>P04</v>
          </cell>
          <cell r="G5704" t="str">
            <v>Door panel  - Ván cửa</v>
          </cell>
          <cell r="H5704" t="str">
            <v>MDF Veneer</v>
          </cell>
          <cell r="I5704">
            <v>14</v>
          </cell>
        </row>
        <row r="5705">
          <cell r="A5705" t="str">
            <v>B558356/A</v>
          </cell>
          <cell r="B5705" t="str">
            <v>RH7553M372</v>
          </cell>
          <cell r="C5705">
            <v>7</v>
          </cell>
          <cell r="D5705">
            <v>675</v>
          </cell>
          <cell r="E5705">
            <v>4725</v>
          </cell>
          <cell r="F5705" t="str">
            <v>P04-1</v>
          </cell>
          <cell r="G5705" t="str">
            <v>Insert Wood - Gỗ chèn</v>
          </cell>
          <cell r="H5705" t="str">
            <v>Beech off cut</v>
          </cell>
          <cell r="I5705">
            <v>42</v>
          </cell>
        </row>
        <row r="5706">
          <cell r="A5706" t="str">
            <v>B558356/A</v>
          </cell>
          <cell r="B5706" t="str">
            <v>RH7553M372</v>
          </cell>
          <cell r="C5706">
            <v>7</v>
          </cell>
          <cell r="D5706">
            <v>675</v>
          </cell>
          <cell r="E5706">
            <v>4725</v>
          </cell>
          <cell r="F5706" t="str">
            <v>P04-2</v>
          </cell>
          <cell r="G5706" t="str">
            <v>Insert Wood - Gỗ chèn</v>
          </cell>
          <cell r="H5706" t="str">
            <v>Wood White Oak - Straight/Waving Edged, 2 COM - T25mm x W100mm Up x L1.5m Up</v>
          </cell>
          <cell r="I5706">
            <v>28</v>
          </cell>
        </row>
        <row r="5707">
          <cell r="A5707" t="str">
            <v>B558356/A</v>
          </cell>
          <cell r="B5707" t="str">
            <v>RH7553M372</v>
          </cell>
          <cell r="C5707">
            <v>7</v>
          </cell>
          <cell r="D5707">
            <v>675</v>
          </cell>
          <cell r="E5707">
            <v>4725</v>
          </cell>
          <cell r="F5707" t="str">
            <v>P06</v>
          </cell>
          <cell r="G5707" t="str">
            <v>Cleat - Bọ gỗ</v>
          </cell>
          <cell r="H5707" t="str">
            <v>Beech off cut</v>
          </cell>
          <cell r="I5707">
            <v>14</v>
          </cell>
        </row>
        <row r="5708">
          <cell r="A5708" t="str">
            <v>B558356/A</v>
          </cell>
          <cell r="B5708" t="str">
            <v>RH7553M372</v>
          </cell>
          <cell r="C5708">
            <v>7</v>
          </cell>
          <cell r="D5708">
            <v>675</v>
          </cell>
          <cell r="E5708">
            <v>4725</v>
          </cell>
          <cell r="F5708" t="str">
            <v>P07</v>
          </cell>
          <cell r="G5708" t="str">
            <v>Bottom panel - Ván đáy</v>
          </cell>
          <cell r="H5708" t="str">
            <v>Plywood VN</v>
          </cell>
          <cell r="I5708">
            <v>7</v>
          </cell>
        </row>
        <row r="5709">
          <cell r="A5709" t="str">
            <v>B558356/A</v>
          </cell>
          <cell r="B5709" t="str">
            <v>RH7553M372</v>
          </cell>
          <cell r="C5709">
            <v>7</v>
          </cell>
          <cell r="D5709">
            <v>675</v>
          </cell>
          <cell r="E5709">
            <v>4725</v>
          </cell>
          <cell r="F5709" t="str">
            <v>P08</v>
          </cell>
          <cell r="G5709" t="str">
            <v>Back panel - Ván hậu</v>
          </cell>
          <cell r="H5709" t="str">
            <v>MDF Veneer</v>
          </cell>
          <cell r="I5709">
            <v>7</v>
          </cell>
        </row>
        <row r="5710">
          <cell r="A5710" t="str">
            <v>B558356/A</v>
          </cell>
          <cell r="B5710" t="str">
            <v>RH7553M372</v>
          </cell>
          <cell r="C5710">
            <v>7</v>
          </cell>
          <cell r="D5710">
            <v>675</v>
          </cell>
          <cell r="E5710">
            <v>4725</v>
          </cell>
          <cell r="F5710" t="str">
            <v>P08-1</v>
          </cell>
          <cell r="G5710" t="str">
            <v>Insert Wood - Gỗ chèn</v>
          </cell>
          <cell r="H5710" t="str">
            <v>oak off cut</v>
          </cell>
          <cell r="I5710">
            <v>14</v>
          </cell>
        </row>
        <row r="5711">
          <cell r="A5711" t="str">
            <v>B558356/A</v>
          </cell>
          <cell r="B5711" t="str">
            <v>RH7553M372</v>
          </cell>
          <cell r="C5711">
            <v>7</v>
          </cell>
          <cell r="D5711">
            <v>675</v>
          </cell>
          <cell r="E5711">
            <v>4725</v>
          </cell>
          <cell r="F5711" t="str">
            <v>P09</v>
          </cell>
          <cell r="G5711" t="str">
            <v>Partition panel - Vách ngăn</v>
          </cell>
          <cell r="H5711" t="str">
            <v>MDF Veneer</v>
          </cell>
          <cell r="I5711">
            <v>7</v>
          </cell>
        </row>
        <row r="5712">
          <cell r="A5712" t="str">
            <v>B558356/A</v>
          </cell>
          <cell r="B5712" t="str">
            <v>RH7553M372</v>
          </cell>
          <cell r="C5712">
            <v>7</v>
          </cell>
          <cell r="D5712">
            <v>675</v>
          </cell>
          <cell r="E5712">
            <v>4725</v>
          </cell>
          <cell r="F5712" t="str">
            <v>P12</v>
          </cell>
          <cell r="G5712" t="str">
            <v>Patching wood - Gỗ đắp</v>
          </cell>
          <cell r="H5712" t="str">
            <v>Wood White Oak - Straight/Waving Edged, 1 COM - T25mm x W100mm Up x L1.8m Up</v>
          </cell>
          <cell r="I5712">
            <v>14</v>
          </cell>
        </row>
        <row r="5713">
          <cell r="A5713" t="str">
            <v>B558356/A</v>
          </cell>
          <cell r="B5713" t="str">
            <v>RH7553M372</v>
          </cell>
          <cell r="C5713">
            <v>7</v>
          </cell>
          <cell r="D5713">
            <v>675</v>
          </cell>
          <cell r="E5713">
            <v>4725</v>
          </cell>
          <cell r="F5713" t="str">
            <v>P15</v>
          </cell>
          <cell r="G5713" t="str">
            <v>Shelf panel  - Ván kệ</v>
          </cell>
          <cell r="H5713" t="str">
            <v>MDF Veneer</v>
          </cell>
          <cell r="I5713">
            <v>14</v>
          </cell>
        </row>
        <row r="5714">
          <cell r="A5714" t="str">
            <v>B558359/A</v>
          </cell>
          <cell r="B5714" t="str">
            <v>RH7553M373</v>
          </cell>
          <cell r="C5714">
            <v>3</v>
          </cell>
          <cell r="D5714">
            <v>675</v>
          </cell>
          <cell r="E5714">
            <v>2025</v>
          </cell>
          <cell r="F5714" t="str">
            <v>A1</v>
          </cell>
          <cell r="G5714" t="str">
            <v>Side Frame - Khung hông</v>
          </cell>
          <cell r="H5714" t="str">
            <v>Pre-Assembly</v>
          </cell>
          <cell r="I5714">
            <v>6</v>
          </cell>
        </row>
        <row r="5715">
          <cell r="A5715" t="str">
            <v>B558359/A</v>
          </cell>
          <cell r="B5715" t="str">
            <v>RH7553M373</v>
          </cell>
          <cell r="C5715">
            <v>3</v>
          </cell>
          <cell r="D5715">
            <v>675</v>
          </cell>
          <cell r="E5715">
            <v>2025</v>
          </cell>
          <cell r="F5715" t="str">
            <v>A1-S0</v>
          </cell>
          <cell r="G5715" t="str">
            <v xml:space="preserve">Panel - Ván </v>
          </cell>
          <cell r="H5715" t="str">
            <v>MDF Veneer</v>
          </cell>
          <cell r="I5715">
            <v>6</v>
          </cell>
        </row>
        <row r="5716">
          <cell r="A5716" t="str">
            <v>B558359/A</v>
          </cell>
          <cell r="B5716" t="str">
            <v>RH7553M373</v>
          </cell>
          <cell r="C5716">
            <v>3</v>
          </cell>
          <cell r="D5716">
            <v>675</v>
          </cell>
          <cell r="E5716">
            <v>2025</v>
          </cell>
          <cell r="F5716" t="str">
            <v>A1-S01</v>
          </cell>
          <cell r="G5716" t="str">
            <v xml:space="preserve">Curve part hot press  - chi tiết cảo cong </v>
          </cell>
          <cell r="H5716" t="str">
            <v>Pre-Assembly</v>
          </cell>
          <cell r="I5716">
            <v>6</v>
          </cell>
        </row>
        <row r="5717">
          <cell r="A5717" t="str">
            <v>B558359/A</v>
          </cell>
          <cell r="B5717" t="str">
            <v>RH7553M373</v>
          </cell>
          <cell r="C5717">
            <v>3</v>
          </cell>
          <cell r="D5717">
            <v>675</v>
          </cell>
          <cell r="E5717">
            <v>2025</v>
          </cell>
          <cell r="F5717" t="str">
            <v>A1-S05</v>
          </cell>
          <cell r="G5717" t="str">
            <v>Patching wood - Gỗ đắp</v>
          </cell>
          <cell r="H5717" t="str">
            <v>Wood White Oak - Straight/Waving Edged, 1 COM - T32mm x W100mm Up x L1.8m Up</v>
          </cell>
          <cell r="I5717">
            <v>6</v>
          </cell>
        </row>
        <row r="5718">
          <cell r="A5718" t="str">
            <v>B558359/A</v>
          </cell>
          <cell r="B5718" t="str">
            <v>RH7553M373</v>
          </cell>
          <cell r="C5718">
            <v>3</v>
          </cell>
          <cell r="D5718">
            <v>675</v>
          </cell>
          <cell r="E5718">
            <v>2025</v>
          </cell>
          <cell r="F5718" t="str">
            <v>A2-S01</v>
          </cell>
          <cell r="G5718" t="str">
            <v xml:space="preserve">Top panel  - Ván nóc </v>
          </cell>
          <cell r="H5718" t="str">
            <v>MDF Veneer</v>
          </cell>
          <cell r="I5718">
            <v>3</v>
          </cell>
        </row>
        <row r="5719">
          <cell r="A5719" t="str">
            <v>B558359/A</v>
          </cell>
          <cell r="B5719" t="str">
            <v>RH7553M373</v>
          </cell>
          <cell r="C5719">
            <v>3</v>
          </cell>
          <cell r="D5719">
            <v>675</v>
          </cell>
          <cell r="E5719">
            <v>2025</v>
          </cell>
          <cell r="F5719" t="str">
            <v>A2-S02</v>
          </cell>
          <cell r="G5719" t="str">
            <v>Top rail - Đố nóc</v>
          </cell>
          <cell r="H5719" t="str">
            <v>Wood laminate</v>
          </cell>
          <cell r="I5719">
            <v>3</v>
          </cell>
        </row>
        <row r="5720">
          <cell r="A5720" t="str">
            <v>B558359/A</v>
          </cell>
          <cell r="B5720" t="str">
            <v>RH7553M373</v>
          </cell>
          <cell r="C5720">
            <v>3</v>
          </cell>
          <cell r="D5720">
            <v>675</v>
          </cell>
          <cell r="E5720">
            <v>2025</v>
          </cell>
          <cell r="F5720" t="str">
            <v>A2-S03</v>
          </cell>
          <cell r="G5720" t="str">
            <v>Top rail - Đố nóc</v>
          </cell>
          <cell r="H5720" t="str">
            <v>Wd+VN</v>
          </cell>
          <cell r="I5720">
            <v>6</v>
          </cell>
        </row>
        <row r="5721">
          <cell r="A5721" t="str">
            <v>B558359/A</v>
          </cell>
          <cell r="B5721" t="str">
            <v>RH7553M373</v>
          </cell>
          <cell r="C5721">
            <v>3</v>
          </cell>
          <cell r="D5721">
            <v>675</v>
          </cell>
          <cell r="E5721">
            <v>2025</v>
          </cell>
          <cell r="F5721" t="str">
            <v>A2-S04</v>
          </cell>
          <cell r="G5721" t="str">
            <v>Front rail  - Đố tiền</v>
          </cell>
          <cell r="H5721" t="str">
            <v>Wood laminate</v>
          </cell>
          <cell r="I5721">
            <v>3</v>
          </cell>
        </row>
        <row r="5722">
          <cell r="A5722" t="str">
            <v>B558359/A</v>
          </cell>
          <cell r="B5722" t="str">
            <v>RH7553M373</v>
          </cell>
          <cell r="C5722">
            <v>3</v>
          </cell>
          <cell r="D5722">
            <v>675</v>
          </cell>
          <cell r="E5722">
            <v>2025</v>
          </cell>
          <cell r="F5722" t="str">
            <v>A2-S05</v>
          </cell>
          <cell r="G5722" t="str">
            <v>Top rail - Đố nóc</v>
          </cell>
          <cell r="H5722" t="str">
            <v>Wood laminate</v>
          </cell>
          <cell r="I5722">
            <v>6</v>
          </cell>
        </row>
        <row r="5723">
          <cell r="A5723" t="str">
            <v>B558359/A</v>
          </cell>
          <cell r="B5723" t="str">
            <v>RH7553M373</v>
          </cell>
          <cell r="C5723">
            <v>3</v>
          </cell>
          <cell r="D5723">
            <v>675</v>
          </cell>
          <cell r="E5723">
            <v>2025</v>
          </cell>
          <cell r="F5723" t="str">
            <v>A2-S06</v>
          </cell>
          <cell r="G5723" t="str">
            <v>support Top - đỡ nóc</v>
          </cell>
          <cell r="H5723" t="str">
            <v>Beech off cut</v>
          </cell>
          <cell r="I5723">
            <v>12</v>
          </cell>
        </row>
        <row r="5724">
          <cell r="A5724" t="str">
            <v>B558359/A</v>
          </cell>
          <cell r="B5724" t="str">
            <v>RH7553M373</v>
          </cell>
          <cell r="C5724">
            <v>3</v>
          </cell>
          <cell r="D5724">
            <v>675</v>
          </cell>
          <cell r="E5724">
            <v>2025</v>
          </cell>
          <cell r="F5724" t="str">
            <v>A2-S07</v>
          </cell>
          <cell r="G5724" t="str">
            <v>support Top - đỡ nóc</v>
          </cell>
          <cell r="H5724" t="str">
            <v>Wood laminate</v>
          </cell>
          <cell r="I5724">
            <v>3</v>
          </cell>
        </row>
        <row r="5725">
          <cell r="A5725" t="str">
            <v>B558359/A</v>
          </cell>
          <cell r="B5725" t="str">
            <v>RH7553M373</v>
          </cell>
          <cell r="C5725">
            <v>3</v>
          </cell>
          <cell r="D5725">
            <v>675</v>
          </cell>
          <cell r="E5725">
            <v>2025</v>
          </cell>
          <cell r="F5725" t="str">
            <v>A3-S0</v>
          </cell>
          <cell r="G5725" t="str">
            <v xml:space="preserve">Panel - Ván </v>
          </cell>
          <cell r="H5725" t="str">
            <v>MDF Veneer</v>
          </cell>
          <cell r="I5725">
            <v>3</v>
          </cell>
        </row>
        <row r="5726">
          <cell r="A5726" t="str">
            <v>B558359/A</v>
          </cell>
          <cell r="B5726" t="str">
            <v>RH7553M373</v>
          </cell>
          <cell r="C5726">
            <v>3</v>
          </cell>
          <cell r="D5726">
            <v>675</v>
          </cell>
          <cell r="E5726">
            <v>2025</v>
          </cell>
          <cell r="F5726" t="str">
            <v>A3-S01</v>
          </cell>
          <cell r="G5726" t="str">
            <v xml:space="preserve">Curve part hot press  - chi tiết cảo cong </v>
          </cell>
          <cell r="H5726" t="str">
            <v>MDF laminate</v>
          </cell>
          <cell r="I5726">
            <v>18</v>
          </cell>
        </row>
        <row r="5727">
          <cell r="A5727" t="str">
            <v>B558359/A</v>
          </cell>
          <cell r="B5727" t="str">
            <v>RH7553M373</v>
          </cell>
          <cell r="C5727">
            <v>3</v>
          </cell>
          <cell r="D5727">
            <v>675</v>
          </cell>
          <cell r="E5727">
            <v>2025</v>
          </cell>
          <cell r="F5727" t="str">
            <v>A3-S02</v>
          </cell>
          <cell r="G5727" t="str">
            <v>Bottom panel - Ván đáy</v>
          </cell>
          <cell r="H5727" t="str">
            <v>MDF Veneer</v>
          </cell>
          <cell r="I5727">
            <v>6</v>
          </cell>
        </row>
        <row r="5728">
          <cell r="A5728" t="str">
            <v>B558359/A</v>
          </cell>
          <cell r="B5728" t="str">
            <v>RH7553M373</v>
          </cell>
          <cell r="C5728">
            <v>3</v>
          </cell>
          <cell r="D5728">
            <v>675</v>
          </cell>
          <cell r="E5728">
            <v>2025</v>
          </cell>
          <cell r="F5728" t="str">
            <v>A3-S03</v>
          </cell>
          <cell r="G5728" t="str">
            <v>Patching wood - Gỗ đắp</v>
          </cell>
          <cell r="H5728" t="str">
            <v>Beech off cut</v>
          </cell>
          <cell r="I5728">
            <v>18</v>
          </cell>
        </row>
        <row r="5729">
          <cell r="A5729" t="str">
            <v>B558359/A</v>
          </cell>
          <cell r="B5729" t="str">
            <v>RH7553M373</v>
          </cell>
          <cell r="C5729">
            <v>3</v>
          </cell>
          <cell r="D5729">
            <v>675</v>
          </cell>
          <cell r="E5729">
            <v>2025</v>
          </cell>
          <cell r="F5729" t="str">
            <v>A4</v>
          </cell>
          <cell r="G5729" t="str">
            <v>Door panel  - Ván cửa</v>
          </cell>
          <cell r="H5729" t="str">
            <v>Pre-Assembly</v>
          </cell>
          <cell r="I5729">
            <v>6</v>
          </cell>
        </row>
        <row r="5730">
          <cell r="A5730" t="str">
            <v>B558359/A</v>
          </cell>
          <cell r="B5730" t="str">
            <v>RH7553M373</v>
          </cell>
          <cell r="C5730">
            <v>3</v>
          </cell>
          <cell r="D5730">
            <v>675</v>
          </cell>
          <cell r="E5730">
            <v>2025</v>
          </cell>
          <cell r="F5730" t="str">
            <v>A4-S0</v>
          </cell>
          <cell r="G5730" t="str">
            <v xml:space="preserve">Panel - Ván </v>
          </cell>
          <cell r="H5730" t="str">
            <v>MDF Veneer</v>
          </cell>
          <cell r="I5730">
            <v>6</v>
          </cell>
        </row>
        <row r="5731">
          <cell r="A5731" t="str">
            <v>B558359/A</v>
          </cell>
          <cell r="B5731" t="str">
            <v>RH7553M373</v>
          </cell>
          <cell r="C5731">
            <v>3</v>
          </cell>
          <cell r="D5731">
            <v>675</v>
          </cell>
          <cell r="E5731">
            <v>2025</v>
          </cell>
          <cell r="F5731" t="str">
            <v>A4-S00</v>
          </cell>
          <cell r="G5731" t="str">
            <v xml:space="preserve">Curve part hot press  - chi tiết cảo cong </v>
          </cell>
          <cell r="H5731" t="str">
            <v>Pre-Assembly</v>
          </cell>
          <cell r="I5731">
            <v>3</v>
          </cell>
        </row>
        <row r="5732">
          <cell r="A5732" t="str">
            <v>B558359/A</v>
          </cell>
          <cell r="B5732" t="str">
            <v>RH7553M373</v>
          </cell>
          <cell r="C5732">
            <v>3</v>
          </cell>
          <cell r="D5732">
            <v>675</v>
          </cell>
          <cell r="E5732">
            <v>2025</v>
          </cell>
          <cell r="F5732" t="str">
            <v>A4-S01</v>
          </cell>
          <cell r="G5732" t="str">
            <v xml:space="preserve">Curve part hot press  - chi tiết cảo cong </v>
          </cell>
          <cell r="H5732" t="str">
            <v>MDF Veneer</v>
          </cell>
          <cell r="I5732">
            <v>6</v>
          </cell>
        </row>
        <row r="5733">
          <cell r="A5733" t="str">
            <v>B558359/A</v>
          </cell>
          <cell r="B5733" t="str">
            <v>RH7553M373</v>
          </cell>
          <cell r="C5733">
            <v>3</v>
          </cell>
          <cell r="D5733">
            <v>675</v>
          </cell>
          <cell r="E5733">
            <v>2025</v>
          </cell>
          <cell r="F5733" t="str">
            <v>A4-S02</v>
          </cell>
          <cell r="G5733" t="str">
            <v>Patching wood - Gỗ đắp</v>
          </cell>
          <cell r="H5733" t="str">
            <v>Wood White Oak - Straight/Waving Edged, 1 COM - T32mm x W100mm Up x L1.8m Up</v>
          </cell>
          <cell r="I5733">
            <v>6</v>
          </cell>
        </row>
        <row r="5734">
          <cell r="A5734" t="str">
            <v>B558359/A</v>
          </cell>
          <cell r="B5734" t="str">
            <v>RH7553M373</v>
          </cell>
          <cell r="C5734">
            <v>3</v>
          </cell>
          <cell r="D5734">
            <v>675</v>
          </cell>
          <cell r="E5734">
            <v>2025</v>
          </cell>
          <cell r="F5734" t="str">
            <v>P04</v>
          </cell>
          <cell r="G5734" t="str">
            <v>Door panel  - Ván cửa</v>
          </cell>
          <cell r="H5734" t="str">
            <v>MDF Veneer</v>
          </cell>
          <cell r="I5734">
            <v>6</v>
          </cell>
        </row>
        <row r="5735">
          <cell r="A5735" t="str">
            <v>B558359/A</v>
          </cell>
          <cell r="B5735" t="str">
            <v>RH7553M373</v>
          </cell>
          <cell r="C5735">
            <v>3</v>
          </cell>
          <cell r="D5735">
            <v>675</v>
          </cell>
          <cell r="E5735">
            <v>2025</v>
          </cell>
          <cell r="F5735" t="str">
            <v>P04-1</v>
          </cell>
          <cell r="G5735" t="str">
            <v>Insert Wood - Gỗ chèn</v>
          </cell>
          <cell r="H5735" t="str">
            <v>Beech off cut</v>
          </cell>
          <cell r="I5735">
            <v>18</v>
          </cell>
        </row>
        <row r="5736">
          <cell r="A5736" t="str">
            <v>B558359/A</v>
          </cell>
          <cell r="B5736" t="str">
            <v>RH7553M373</v>
          </cell>
          <cell r="C5736">
            <v>3</v>
          </cell>
          <cell r="D5736">
            <v>675</v>
          </cell>
          <cell r="E5736">
            <v>2025</v>
          </cell>
          <cell r="F5736" t="str">
            <v>P04-2</v>
          </cell>
          <cell r="G5736" t="str">
            <v>Insert Wood - Gỗ chèn</v>
          </cell>
          <cell r="H5736" t="str">
            <v>Wood White Oak - Straight/Waving Edged, 2 COM - T25mm x W100mm Up x L1.5m Up</v>
          </cell>
          <cell r="I5736">
            <v>12</v>
          </cell>
        </row>
        <row r="5737">
          <cell r="A5737" t="str">
            <v>B558359/A</v>
          </cell>
          <cell r="B5737" t="str">
            <v>RH7553M373</v>
          </cell>
          <cell r="C5737">
            <v>3</v>
          </cell>
          <cell r="D5737">
            <v>675</v>
          </cell>
          <cell r="E5737">
            <v>2025</v>
          </cell>
          <cell r="F5737" t="str">
            <v>P06</v>
          </cell>
          <cell r="G5737" t="str">
            <v>Cleat - Bọ gỗ</v>
          </cell>
          <cell r="H5737" t="str">
            <v>Beech off cut</v>
          </cell>
          <cell r="I5737">
            <v>6</v>
          </cell>
        </row>
        <row r="5738">
          <cell r="A5738" t="str">
            <v>B558359/A</v>
          </cell>
          <cell r="B5738" t="str">
            <v>RH7553M373</v>
          </cell>
          <cell r="C5738">
            <v>3</v>
          </cell>
          <cell r="D5738">
            <v>675</v>
          </cell>
          <cell r="E5738">
            <v>2025</v>
          </cell>
          <cell r="F5738" t="str">
            <v>P07</v>
          </cell>
          <cell r="G5738" t="str">
            <v>Bottom panel - Ván đáy</v>
          </cell>
          <cell r="H5738" t="str">
            <v>Plywood VN</v>
          </cell>
          <cell r="I5738">
            <v>3</v>
          </cell>
        </row>
        <row r="5739">
          <cell r="A5739" t="str">
            <v>B558359/A</v>
          </cell>
          <cell r="B5739" t="str">
            <v>RH7553M373</v>
          </cell>
          <cell r="C5739">
            <v>3</v>
          </cell>
          <cell r="D5739">
            <v>675</v>
          </cell>
          <cell r="E5739">
            <v>2025</v>
          </cell>
          <cell r="F5739" t="str">
            <v>P08</v>
          </cell>
          <cell r="G5739" t="str">
            <v>Back panel - Ván hậu</v>
          </cell>
          <cell r="H5739" t="str">
            <v>MDF Veneer</v>
          </cell>
          <cell r="I5739">
            <v>3</v>
          </cell>
        </row>
        <row r="5740">
          <cell r="A5740" t="str">
            <v>B558359/A</v>
          </cell>
          <cell r="B5740" t="str">
            <v>RH7553M373</v>
          </cell>
          <cell r="C5740">
            <v>3</v>
          </cell>
          <cell r="D5740">
            <v>675</v>
          </cell>
          <cell r="E5740">
            <v>2025</v>
          </cell>
          <cell r="F5740" t="str">
            <v>P08-1</v>
          </cell>
          <cell r="G5740" t="str">
            <v>Insert Wood - Gỗ chèn</v>
          </cell>
          <cell r="H5740" t="str">
            <v>oak off cut</v>
          </cell>
          <cell r="I5740">
            <v>6</v>
          </cell>
        </row>
        <row r="5741">
          <cell r="A5741" t="str">
            <v>B558359/A</v>
          </cell>
          <cell r="B5741" t="str">
            <v>RH7553M373</v>
          </cell>
          <cell r="C5741">
            <v>3</v>
          </cell>
          <cell r="D5741">
            <v>675</v>
          </cell>
          <cell r="E5741">
            <v>2025</v>
          </cell>
          <cell r="F5741" t="str">
            <v>P09</v>
          </cell>
          <cell r="G5741" t="str">
            <v>Partition panel - Vách ngăn</v>
          </cell>
          <cell r="H5741" t="str">
            <v>MDF Veneer</v>
          </cell>
          <cell r="I5741">
            <v>3</v>
          </cell>
        </row>
        <row r="5742">
          <cell r="A5742" t="str">
            <v>B558359/A</v>
          </cell>
          <cell r="B5742" t="str">
            <v>RH7553M373</v>
          </cell>
          <cell r="C5742">
            <v>3</v>
          </cell>
          <cell r="D5742">
            <v>675</v>
          </cell>
          <cell r="E5742">
            <v>2025</v>
          </cell>
          <cell r="F5742" t="str">
            <v>P12</v>
          </cell>
          <cell r="G5742" t="str">
            <v>Patching wood - Gỗ đắp</v>
          </cell>
          <cell r="H5742" t="str">
            <v>Wood White Oak - Straight/Waving Edged, 1 COM - T25mm x W100mm Up x L1.8m Up</v>
          </cell>
          <cell r="I5742">
            <v>6</v>
          </cell>
        </row>
        <row r="5743">
          <cell r="A5743" t="str">
            <v>B558359/A</v>
          </cell>
          <cell r="B5743" t="str">
            <v>RH7553M373</v>
          </cell>
          <cell r="C5743">
            <v>3</v>
          </cell>
          <cell r="D5743">
            <v>675</v>
          </cell>
          <cell r="E5743">
            <v>2025</v>
          </cell>
          <cell r="F5743" t="str">
            <v>P15</v>
          </cell>
          <cell r="G5743" t="str">
            <v>Shelf panel  - Ván kệ</v>
          </cell>
          <cell r="H5743" t="str">
            <v>MDF Veneer</v>
          </cell>
          <cell r="I5743">
            <v>6</v>
          </cell>
        </row>
        <row r="5744">
          <cell r="A5744" t="str">
            <v>B558360/A</v>
          </cell>
          <cell r="B5744" t="str">
            <v>RH7553M373</v>
          </cell>
          <cell r="C5744">
            <v>2</v>
          </cell>
          <cell r="D5744">
            <v>675</v>
          </cell>
          <cell r="E5744">
            <v>1350</v>
          </cell>
          <cell r="F5744" t="str">
            <v>A1</v>
          </cell>
          <cell r="G5744" t="str">
            <v>Side Frame - Khung hông</v>
          </cell>
          <cell r="H5744" t="str">
            <v>Pre-Assembly</v>
          </cell>
          <cell r="I5744">
            <v>4</v>
          </cell>
        </row>
        <row r="5745">
          <cell r="A5745" t="str">
            <v>B558360/A</v>
          </cell>
          <cell r="B5745" t="str">
            <v>RH7553M373</v>
          </cell>
          <cell r="C5745">
            <v>2</v>
          </cell>
          <cell r="D5745">
            <v>675</v>
          </cell>
          <cell r="E5745">
            <v>1350</v>
          </cell>
          <cell r="F5745" t="str">
            <v>A1-S0</v>
          </cell>
          <cell r="G5745" t="str">
            <v xml:space="preserve">Panel - Ván </v>
          </cell>
          <cell r="H5745" t="str">
            <v>MDF Veneer</v>
          </cell>
          <cell r="I5745">
            <v>4</v>
          </cell>
        </row>
        <row r="5746">
          <cell r="A5746" t="str">
            <v>B558360/A</v>
          </cell>
          <cell r="B5746" t="str">
            <v>RH7553M373</v>
          </cell>
          <cell r="C5746">
            <v>2</v>
          </cell>
          <cell r="D5746">
            <v>675</v>
          </cell>
          <cell r="E5746">
            <v>1350</v>
          </cell>
          <cell r="F5746" t="str">
            <v>A1-S01</v>
          </cell>
          <cell r="G5746" t="str">
            <v xml:space="preserve">Curve part hot press  - chi tiết cảo cong </v>
          </cell>
          <cell r="H5746" t="str">
            <v>Pre-Assembly</v>
          </cell>
          <cell r="I5746">
            <v>4</v>
          </cell>
        </row>
        <row r="5747">
          <cell r="A5747" t="str">
            <v>B558360/A</v>
          </cell>
          <cell r="B5747" t="str">
            <v>RH7553M373</v>
          </cell>
          <cell r="C5747">
            <v>2</v>
          </cell>
          <cell r="D5747">
            <v>675</v>
          </cell>
          <cell r="E5747">
            <v>1350</v>
          </cell>
          <cell r="F5747" t="str">
            <v>A1-S05</v>
          </cell>
          <cell r="G5747" t="str">
            <v>Patching wood - Gỗ đắp</v>
          </cell>
          <cell r="H5747" t="str">
            <v>Wood White Oak - Straight/Waving Edged, 1 COM - T32mm x W100mm Up x L1.8m Up</v>
          </cell>
          <cell r="I5747">
            <v>4</v>
          </cell>
        </row>
        <row r="5748">
          <cell r="A5748" t="str">
            <v>B558360/A</v>
          </cell>
          <cell r="B5748" t="str">
            <v>RH7553M373</v>
          </cell>
          <cell r="C5748">
            <v>2</v>
          </cell>
          <cell r="D5748">
            <v>675</v>
          </cell>
          <cell r="E5748">
            <v>1350</v>
          </cell>
          <cell r="F5748" t="str">
            <v>A2-S01</v>
          </cell>
          <cell r="G5748" t="str">
            <v xml:space="preserve">Top panel  - Ván nóc </v>
          </cell>
          <cell r="H5748" t="str">
            <v>MDF Veneer</v>
          </cell>
          <cell r="I5748">
            <v>2</v>
          </cell>
        </row>
        <row r="5749">
          <cell r="A5749" t="str">
            <v>B558360/A</v>
          </cell>
          <cell r="B5749" t="str">
            <v>RH7553M373</v>
          </cell>
          <cell r="C5749">
            <v>2</v>
          </cell>
          <cell r="D5749">
            <v>675</v>
          </cell>
          <cell r="E5749">
            <v>1350</v>
          </cell>
          <cell r="F5749" t="str">
            <v>A2-S02</v>
          </cell>
          <cell r="G5749" t="str">
            <v>Top rail - Đố nóc</v>
          </cell>
          <cell r="H5749" t="str">
            <v>Wood laminate</v>
          </cell>
          <cell r="I5749">
            <v>2</v>
          </cell>
        </row>
        <row r="5750">
          <cell r="A5750" t="str">
            <v>B558360/A</v>
          </cell>
          <cell r="B5750" t="str">
            <v>RH7553M373</v>
          </cell>
          <cell r="C5750">
            <v>2</v>
          </cell>
          <cell r="D5750">
            <v>675</v>
          </cell>
          <cell r="E5750">
            <v>1350</v>
          </cell>
          <cell r="F5750" t="str">
            <v>A2-S03</v>
          </cell>
          <cell r="G5750" t="str">
            <v>Top rail - Đố nóc</v>
          </cell>
          <cell r="H5750" t="str">
            <v>Wd+VN</v>
          </cell>
          <cell r="I5750">
            <v>4</v>
          </cell>
        </row>
        <row r="5751">
          <cell r="A5751" t="str">
            <v>B558360/A</v>
          </cell>
          <cell r="B5751" t="str">
            <v>RH7553M373</v>
          </cell>
          <cell r="C5751">
            <v>2</v>
          </cell>
          <cell r="D5751">
            <v>675</v>
          </cell>
          <cell r="E5751">
            <v>1350</v>
          </cell>
          <cell r="F5751" t="str">
            <v>A2-S04</v>
          </cell>
          <cell r="G5751" t="str">
            <v>Front rail  - Đố tiền</v>
          </cell>
          <cell r="H5751" t="str">
            <v>Wood laminate</v>
          </cell>
          <cell r="I5751">
            <v>2</v>
          </cell>
        </row>
        <row r="5752">
          <cell r="A5752" t="str">
            <v>B558360/A</v>
          </cell>
          <cell r="B5752" t="str">
            <v>RH7553M373</v>
          </cell>
          <cell r="C5752">
            <v>2</v>
          </cell>
          <cell r="D5752">
            <v>675</v>
          </cell>
          <cell r="E5752">
            <v>1350</v>
          </cell>
          <cell r="F5752" t="str">
            <v>A2-S05</v>
          </cell>
          <cell r="G5752" t="str">
            <v>Top rail - Đố nóc</v>
          </cell>
          <cell r="H5752" t="str">
            <v>Wood laminate</v>
          </cell>
          <cell r="I5752">
            <v>4</v>
          </cell>
        </row>
        <row r="5753">
          <cell r="A5753" t="str">
            <v>B558360/A</v>
          </cell>
          <cell r="B5753" t="str">
            <v>RH7553M373</v>
          </cell>
          <cell r="C5753">
            <v>2</v>
          </cell>
          <cell r="D5753">
            <v>675</v>
          </cell>
          <cell r="E5753">
            <v>1350</v>
          </cell>
          <cell r="F5753" t="str">
            <v>A2-S06</v>
          </cell>
          <cell r="G5753" t="str">
            <v>support Top - đỡ nóc</v>
          </cell>
          <cell r="H5753" t="str">
            <v>Beech off cut</v>
          </cell>
          <cell r="I5753">
            <v>8</v>
          </cell>
        </row>
        <row r="5754">
          <cell r="A5754" t="str">
            <v>B558360/A</v>
          </cell>
          <cell r="B5754" t="str">
            <v>RH7553M373</v>
          </cell>
          <cell r="C5754">
            <v>2</v>
          </cell>
          <cell r="D5754">
            <v>675</v>
          </cell>
          <cell r="E5754">
            <v>1350</v>
          </cell>
          <cell r="F5754" t="str">
            <v>A2-S07</v>
          </cell>
          <cell r="G5754" t="str">
            <v>support Top - đỡ nóc</v>
          </cell>
          <cell r="H5754" t="str">
            <v>Wood laminate</v>
          </cell>
          <cell r="I5754">
            <v>2</v>
          </cell>
        </row>
        <row r="5755">
          <cell r="A5755" t="str">
            <v>B558360/A</v>
          </cell>
          <cell r="B5755" t="str">
            <v>RH7553M373</v>
          </cell>
          <cell r="C5755">
            <v>2</v>
          </cell>
          <cell r="D5755">
            <v>675</v>
          </cell>
          <cell r="E5755">
            <v>1350</v>
          </cell>
          <cell r="F5755" t="str">
            <v>A3-S0</v>
          </cell>
          <cell r="G5755" t="str">
            <v xml:space="preserve">Panel - Ván </v>
          </cell>
          <cell r="H5755" t="str">
            <v>MDF Veneer</v>
          </cell>
          <cell r="I5755">
            <v>2</v>
          </cell>
        </row>
        <row r="5756">
          <cell r="A5756" t="str">
            <v>B558360/A</v>
          </cell>
          <cell r="B5756" t="str">
            <v>RH7553M373</v>
          </cell>
          <cell r="C5756">
            <v>2</v>
          </cell>
          <cell r="D5756">
            <v>675</v>
          </cell>
          <cell r="E5756">
            <v>1350</v>
          </cell>
          <cell r="F5756" t="str">
            <v>A3-S01</v>
          </cell>
          <cell r="G5756" t="str">
            <v xml:space="preserve">Curve part hot press  - chi tiết cảo cong </v>
          </cell>
          <cell r="H5756" t="str">
            <v>MDF laminate</v>
          </cell>
          <cell r="I5756">
            <v>12</v>
          </cell>
        </row>
        <row r="5757">
          <cell r="A5757" t="str">
            <v>B558360/A</v>
          </cell>
          <cell r="B5757" t="str">
            <v>RH7553M373</v>
          </cell>
          <cell r="C5757">
            <v>2</v>
          </cell>
          <cell r="D5757">
            <v>675</v>
          </cell>
          <cell r="E5757">
            <v>1350</v>
          </cell>
          <cell r="F5757" t="str">
            <v>A3-S02</v>
          </cell>
          <cell r="G5757" t="str">
            <v>Bottom panel - Ván đáy</v>
          </cell>
          <cell r="H5757" t="str">
            <v>MDF Veneer</v>
          </cell>
          <cell r="I5757">
            <v>4</v>
          </cell>
        </row>
        <row r="5758">
          <cell r="A5758" t="str">
            <v>B558360/A</v>
          </cell>
          <cell r="B5758" t="str">
            <v>RH7553M373</v>
          </cell>
          <cell r="C5758">
            <v>2</v>
          </cell>
          <cell r="D5758">
            <v>675</v>
          </cell>
          <cell r="E5758">
            <v>1350</v>
          </cell>
          <cell r="F5758" t="str">
            <v>A3-S03</v>
          </cell>
          <cell r="G5758" t="str">
            <v>Patching wood - Gỗ đắp</v>
          </cell>
          <cell r="H5758" t="str">
            <v>Beech off cut</v>
          </cell>
          <cell r="I5758">
            <v>12</v>
          </cell>
        </row>
        <row r="5759">
          <cell r="A5759" t="str">
            <v>B558360/A</v>
          </cell>
          <cell r="B5759" t="str">
            <v>RH7553M373</v>
          </cell>
          <cell r="C5759">
            <v>2</v>
          </cell>
          <cell r="D5759">
            <v>675</v>
          </cell>
          <cell r="E5759">
            <v>1350</v>
          </cell>
          <cell r="F5759" t="str">
            <v>A4</v>
          </cell>
          <cell r="G5759" t="str">
            <v>Door panel  - Ván cửa</v>
          </cell>
          <cell r="H5759" t="str">
            <v>Pre-Assembly</v>
          </cell>
          <cell r="I5759">
            <v>4</v>
          </cell>
        </row>
        <row r="5760">
          <cell r="A5760" t="str">
            <v>B558360/A</v>
          </cell>
          <cell r="B5760" t="str">
            <v>RH7553M373</v>
          </cell>
          <cell r="C5760">
            <v>2</v>
          </cell>
          <cell r="D5760">
            <v>675</v>
          </cell>
          <cell r="E5760">
            <v>1350</v>
          </cell>
          <cell r="F5760" t="str">
            <v>A4-S0</v>
          </cell>
          <cell r="G5760" t="str">
            <v xml:space="preserve">Panel - Ván </v>
          </cell>
          <cell r="H5760" t="str">
            <v>MDF Veneer</v>
          </cell>
          <cell r="I5760">
            <v>4</v>
          </cell>
        </row>
        <row r="5761">
          <cell r="A5761" t="str">
            <v>B558360/A</v>
          </cell>
          <cell r="B5761" t="str">
            <v>RH7553M373</v>
          </cell>
          <cell r="C5761">
            <v>2</v>
          </cell>
          <cell r="D5761">
            <v>675</v>
          </cell>
          <cell r="E5761">
            <v>1350</v>
          </cell>
          <cell r="F5761" t="str">
            <v>A4-S00</v>
          </cell>
          <cell r="G5761" t="str">
            <v xml:space="preserve">Curve part hot press  - chi tiết cảo cong </v>
          </cell>
          <cell r="H5761" t="str">
            <v>Pre-Assembly</v>
          </cell>
          <cell r="I5761">
            <v>2</v>
          </cell>
        </row>
        <row r="5762">
          <cell r="A5762" t="str">
            <v>B558360/A</v>
          </cell>
          <cell r="B5762" t="str">
            <v>RH7553M373</v>
          </cell>
          <cell r="C5762">
            <v>2</v>
          </cell>
          <cell r="D5762">
            <v>675</v>
          </cell>
          <cell r="E5762">
            <v>1350</v>
          </cell>
          <cell r="F5762" t="str">
            <v>A4-S01</v>
          </cell>
          <cell r="G5762" t="str">
            <v xml:space="preserve">Curve part hot press  - chi tiết cảo cong </v>
          </cell>
          <cell r="H5762" t="str">
            <v>MDF Veneer</v>
          </cell>
          <cell r="I5762">
            <v>4</v>
          </cell>
        </row>
        <row r="5763">
          <cell r="A5763" t="str">
            <v>B558360/A</v>
          </cell>
          <cell r="B5763" t="str">
            <v>RH7553M373</v>
          </cell>
          <cell r="C5763">
            <v>2</v>
          </cell>
          <cell r="D5763">
            <v>675</v>
          </cell>
          <cell r="E5763">
            <v>1350</v>
          </cell>
          <cell r="F5763" t="str">
            <v>A4-S02</v>
          </cell>
          <cell r="G5763" t="str">
            <v>Patching wood - Gỗ đắp</v>
          </cell>
          <cell r="H5763" t="str">
            <v>Wood White Oak - Straight/Waving Edged, 1 COM - T32mm x W100mm Up x L1.8m Up</v>
          </cell>
          <cell r="I5763">
            <v>4</v>
          </cell>
        </row>
        <row r="5764">
          <cell r="A5764" t="str">
            <v>B558360/A</v>
          </cell>
          <cell r="B5764" t="str">
            <v>RH7553M373</v>
          </cell>
          <cell r="C5764">
            <v>2</v>
          </cell>
          <cell r="D5764">
            <v>675</v>
          </cell>
          <cell r="E5764">
            <v>1350</v>
          </cell>
          <cell r="F5764" t="str">
            <v>P04</v>
          </cell>
          <cell r="G5764" t="str">
            <v>Door panel  - Ván cửa</v>
          </cell>
          <cell r="H5764" t="str">
            <v>MDF Veneer</v>
          </cell>
          <cell r="I5764">
            <v>4</v>
          </cell>
        </row>
        <row r="5765">
          <cell r="A5765" t="str">
            <v>B558360/A</v>
          </cell>
          <cell r="B5765" t="str">
            <v>RH7553M373</v>
          </cell>
          <cell r="C5765">
            <v>2</v>
          </cell>
          <cell r="D5765">
            <v>675</v>
          </cell>
          <cell r="E5765">
            <v>1350</v>
          </cell>
          <cell r="F5765" t="str">
            <v>P04-1</v>
          </cell>
          <cell r="G5765" t="str">
            <v>Insert Wood - Gỗ chèn</v>
          </cell>
          <cell r="H5765" t="str">
            <v>Beech off cut</v>
          </cell>
          <cell r="I5765">
            <v>12</v>
          </cell>
        </row>
        <row r="5766">
          <cell r="A5766" t="str">
            <v>B558360/A</v>
          </cell>
          <cell r="B5766" t="str">
            <v>RH7553M373</v>
          </cell>
          <cell r="C5766">
            <v>2</v>
          </cell>
          <cell r="D5766">
            <v>675</v>
          </cell>
          <cell r="E5766">
            <v>1350</v>
          </cell>
          <cell r="F5766" t="str">
            <v>P04-2</v>
          </cell>
          <cell r="G5766" t="str">
            <v>Insert Wood - Gỗ chèn</v>
          </cell>
          <cell r="H5766" t="str">
            <v>Wood White Oak - Straight/Waving Edged, 2 COM - T25mm x W100mm Up x L1.5m Up</v>
          </cell>
          <cell r="I5766">
            <v>8</v>
          </cell>
        </row>
        <row r="5767">
          <cell r="A5767" t="str">
            <v>B558360/A</v>
          </cell>
          <cell r="B5767" t="str">
            <v>RH7553M373</v>
          </cell>
          <cell r="C5767">
            <v>2</v>
          </cell>
          <cell r="D5767">
            <v>675</v>
          </cell>
          <cell r="E5767">
            <v>1350</v>
          </cell>
          <cell r="F5767" t="str">
            <v>P06</v>
          </cell>
          <cell r="G5767" t="str">
            <v>Cleat - Bọ gỗ</v>
          </cell>
          <cell r="H5767" t="str">
            <v>Beech off cut</v>
          </cell>
          <cell r="I5767">
            <v>4</v>
          </cell>
        </row>
        <row r="5768">
          <cell r="A5768" t="str">
            <v>B558360/A</v>
          </cell>
          <cell r="B5768" t="str">
            <v>RH7553M373</v>
          </cell>
          <cell r="C5768">
            <v>2</v>
          </cell>
          <cell r="D5768">
            <v>675</v>
          </cell>
          <cell r="E5768">
            <v>1350</v>
          </cell>
          <cell r="F5768" t="str">
            <v>P07</v>
          </cell>
          <cell r="G5768" t="str">
            <v>Bottom panel - Ván đáy</v>
          </cell>
          <cell r="H5768" t="str">
            <v>Plywood VN</v>
          </cell>
          <cell r="I5768">
            <v>2</v>
          </cell>
        </row>
        <row r="5769">
          <cell r="A5769" t="str">
            <v>B558360/A</v>
          </cell>
          <cell r="B5769" t="str">
            <v>RH7553M373</v>
          </cell>
          <cell r="C5769">
            <v>2</v>
          </cell>
          <cell r="D5769">
            <v>675</v>
          </cell>
          <cell r="E5769">
            <v>1350</v>
          </cell>
          <cell r="F5769" t="str">
            <v>P08</v>
          </cell>
          <cell r="G5769" t="str">
            <v>Back panel - Ván hậu</v>
          </cell>
          <cell r="H5769" t="str">
            <v>MDF Veneer</v>
          </cell>
          <cell r="I5769">
            <v>2</v>
          </cell>
        </row>
        <row r="5770">
          <cell r="A5770" t="str">
            <v>B558360/A</v>
          </cell>
          <cell r="B5770" t="str">
            <v>RH7553M373</v>
          </cell>
          <cell r="C5770">
            <v>2</v>
          </cell>
          <cell r="D5770">
            <v>675</v>
          </cell>
          <cell r="E5770">
            <v>1350</v>
          </cell>
          <cell r="F5770" t="str">
            <v>P08-1</v>
          </cell>
          <cell r="G5770" t="str">
            <v>Insert Wood - Gỗ chèn</v>
          </cell>
          <cell r="H5770" t="str">
            <v>oak off cut</v>
          </cell>
          <cell r="I5770">
            <v>4</v>
          </cell>
        </row>
        <row r="5771">
          <cell r="A5771" t="str">
            <v>B558360/A</v>
          </cell>
          <cell r="B5771" t="str">
            <v>RH7553M373</v>
          </cell>
          <cell r="C5771">
            <v>2</v>
          </cell>
          <cell r="D5771">
            <v>675</v>
          </cell>
          <cell r="E5771">
            <v>1350</v>
          </cell>
          <cell r="F5771" t="str">
            <v>P09</v>
          </cell>
          <cell r="G5771" t="str">
            <v>Partition panel - Vách ngăn</v>
          </cell>
          <cell r="H5771" t="str">
            <v>MDF Veneer</v>
          </cell>
          <cell r="I5771">
            <v>2</v>
          </cell>
        </row>
        <row r="5772">
          <cell r="A5772" t="str">
            <v>B558360/A</v>
          </cell>
          <cell r="B5772" t="str">
            <v>RH7553M373</v>
          </cell>
          <cell r="C5772">
            <v>2</v>
          </cell>
          <cell r="D5772">
            <v>675</v>
          </cell>
          <cell r="E5772">
            <v>1350</v>
          </cell>
          <cell r="F5772" t="str">
            <v>P12</v>
          </cell>
          <cell r="G5772" t="str">
            <v>Patching wood - Gỗ đắp</v>
          </cell>
          <cell r="H5772" t="str">
            <v>Wood White Oak - Straight/Waving Edged, 1 COM - T25mm x W100mm Up x L1.8m Up</v>
          </cell>
          <cell r="I5772">
            <v>4</v>
          </cell>
        </row>
        <row r="5773">
          <cell r="A5773" t="str">
            <v>B558360/A</v>
          </cell>
          <cell r="B5773" t="str">
            <v>RH7553M373</v>
          </cell>
          <cell r="C5773">
            <v>2</v>
          </cell>
          <cell r="D5773">
            <v>675</v>
          </cell>
          <cell r="E5773">
            <v>1350</v>
          </cell>
          <cell r="F5773" t="str">
            <v>P15</v>
          </cell>
          <cell r="G5773" t="str">
            <v>Shelf panel  - Ván kệ</v>
          </cell>
          <cell r="H5773" t="str">
            <v>MDF Veneer</v>
          </cell>
          <cell r="I5773">
            <v>4</v>
          </cell>
        </row>
        <row r="5774">
          <cell r="A5774" t="str">
            <v>B558363/A</v>
          </cell>
          <cell r="B5774" t="str">
            <v>RH7637M372</v>
          </cell>
          <cell r="C5774">
            <v>1</v>
          </cell>
          <cell r="D5774">
            <v>250</v>
          </cell>
          <cell r="E5774">
            <v>250</v>
          </cell>
          <cell r="F5774" t="str">
            <v>A1</v>
          </cell>
          <cell r="G5774" t="str">
            <v>The leg  - Chân</v>
          </cell>
          <cell r="H5774" t="str">
            <v>Pre-Assembly</v>
          </cell>
          <cell r="I5774">
            <v>2</v>
          </cell>
        </row>
        <row r="5775">
          <cell r="A5775" t="str">
            <v>B558363/A</v>
          </cell>
          <cell r="B5775" t="str">
            <v>RH7637M372</v>
          </cell>
          <cell r="C5775">
            <v>1</v>
          </cell>
          <cell r="D5775">
            <v>250</v>
          </cell>
          <cell r="E5775">
            <v>250</v>
          </cell>
          <cell r="F5775" t="str">
            <v>A1-S00</v>
          </cell>
          <cell r="G5775" t="str">
            <v xml:space="preserve">Curve part hot press  - chi tiết cảo cong </v>
          </cell>
          <cell r="H5775" t="str">
            <v>MDF Veneer</v>
          </cell>
          <cell r="I5775">
            <v>2</v>
          </cell>
        </row>
        <row r="5776">
          <cell r="A5776" t="str">
            <v>B558363/A</v>
          </cell>
          <cell r="B5776" t="str">
            <v>RH7637M372</v>
          </cell>
          <cell r="C5776">
            <v>1</v>
          </cell>
          <cell r="D5776">
            <v>250</v>
          </cell>
          <cell r="E5776">
            <v>250</v>
          </cell>
          <cell r="F5776" t="str">
            <v>A1-S00-1</v>
          </cell>
          <cell r="G5776" t="str">
            <v>Panel outside - Ván phía ngoài</v>
          </cell>
          <cell r="H5776" t="str">
            <v>MDF Veneer</v>
          </cell>
          <cell r="I5776">
            <v>2</v>
          </cell>
        </row>
        <row r="5777">
          <cell r="A5777" t="str">
            <v>B558363/A</v>
          </cell>
          <cell r="B5777" t="str">
            <v>RH7637M372</v>
          </cell>
          <cell r="C5777">
            <v>1</v>
          </cell>
          <cell r="D5777">
            <v>250</v>
          </cell>
          <cell r="E5777">
            <v>250</v>
          </cell>
          <cell r="F5777" t="str">
            <v>A1-S01</v>
          </cell>
          <cell r="G5777" t="str">
            <v xml:space="preserve">Side panel  - Ván hông </v>
          </cell>
          <cell r="H5777" t="str">
            <v>MDF Veneer</v>
          </cell>
          <cell r="I5777">
            <v>2</v>
          </cell>
        </row>
        <row r="5778">
          <cell r="A5778" t="str">
            <v>B558363/A</v>
          </cell>
          <cell r="B5778" t="str">
            <v>RH7637M372</v>
          </cell>
          <cell r="C5778">
            <v>1</v>
          </cell>
          <cell r="D5778">
            <v>250</v>
          </cell>
          <cell r="E5778">
            <v>250</v>
          </cell>
          <cell r="F5778" t="str">
            <v>A1-S03</v>
          </cell>
          <cell r="G5778" t="str">
            <v xml:space="preserve">Top panel  - Ván nóc </v>
          </cell>
          <cell r="H5778" t="str">
            <v>Plywood LVD - 25 x 1220 x 2440mm, Bleached Poplar Veneer Both Sides [CARB P2 Compliant]</v>
          </cell>
          <cell r="I5778">
            <v>2</v>
          </cell>
        </row>
        <row r="5779">
          <cell r="A5779" t="str">
            <v>B558363/A</v>
          </cell>
          <cell r="B5779" t="str">
            <v>RH7637M372</v>
          </cell>
          <cell r="C5779">
            <v>1</v>
          </cell>
          <cell r="D5779">
            <v>250</v>
          </cell>
          <cell r="E5779">
            <v>250</v>
          </cell>
          <cell r="F5779" t="str">
            <v>A1-S04</v>
          </cell>
          <cell r="G5779" t="str">
            <v>Bottom panel - Ván đáy</v>
          </cell>
          <cell r="H5779" t="str">
            <v>Plywood LVD - 25 x 1220 x 2440mm, Bleached Poplar Veneer Both Sides [CARB P2 Compliant]</v>
          </cell>
          <cell r="I5779">
            <v>2</v>
          </cell>
        </row>
        <row r="5780">
          <cell r="A5780" t="str">
            <v>B558363/A</v>
          </cell>
          <cell r="B5780" t="str">
            <v>RH7637M372</v>
          </cell>
          <cell r="C5780">
            <v>1</v>
          </cell>
          <cell r="D5780">
            <v>250</v>
          </cell>
          <cell r="E5780">
            <v>250</v>
          </cell>
          <cell r="F5780" t="str">
            <v>A1-S09</v>
          </cell>
          <cell r="G5780" t="str">
            <v>Spline - Lưỡi gà</v>
          </cell>
          <cell r="H5780" t="str">
            <v>Plywood LVD - 06 x 1220 x 2440mm, Bleached Poplar Veneer Both Sides [CARB P2 Compliant]</v>
          </cell>
          <cell r="I5780">
            <v>4</v>
          </cell>
        </row>
        <row r="5781">
          <cell r="A5781" t="str">
            <v>B558363/A</v>
          </cell>
          <cell r="B5781" t="str">
            <v>RH7637M372</v>
          </cell>
          <cell r="C5781">
            <v>1</v>
          </cell>
          <cell r="D5781">
            <v>250</v>
          </cell>
          <cell r="E5781">
            <v>250</v>
          </cell>
          <cell r="F5781" t="str">
            <v>P01</v>
          </cell>
          <cell r="G5781" t="str">
            <v>Top Frame - Khung nóc</v>
          </cell>
          <cell r="H5781" t="str">
            <v>Pre-Assembly</v>
          </cell>
          <cell r="I5781">
            <v>1</v>
          </cell>
        </row>
        <row r="5782">
          <cell r="A5782" t="str">
            <v>B558363/A</v>
          </cell>
          <cell r="B5782" t="str">
            <v>RH7637M372</v>
          </cell>
          <cell r="C5782">
            <v>1</v>
          </cell>
          <cell r="D5782">
            <v>250</v>
          </cell>
          <cell r="E5782">
            <v>250</v>
          </cell>
          <cell r="F5782" t="str">
            <v>P03</v>
          </cell>
          <cell r="G5782" t="str">
            <v>Bottom rail inside - Đố tiền đáy</v>
          </cell>
          <cell r="H5782" t="str">
            <v>MDF - 18 x 1830 x 2440mm [CARB P2 Compliant]</v>
          </cell>
          <cell r="I5782">
            <v>2</v>
          </cell>
        </row>
        <row r="5783">
          <cell r="A5783" t="str">
            <v>B558364/A</v>
          </cell>
          <cell r="B5783" t="str">
            <v>RH7637M372</v>
          </cell>
          <cell r="C5783">
            <v>1</v>
          </cell>
          <cell r="D5783">
            <v>250</v>
          </cell>
          <cell r="E5783">
            <v>250</v>
          </cell>
          <cell r="F5783" t="str">
            <v>A1</v>
          </cell>
          <cell r="G5783" t="str">
            <v>The leg  - Chân</v>
          </cell>
          <cell r="H5783" t="str">
            <v>Pre-Assembly</v>
          </cell>
          <cell r="I5783">
            <v>2</v>
          </cell>
        </row>
        <row r="5784">
          <cell r="A5784" t="str">
            <v>B558364/A</v>
          </cell>
          <cell r="B5784" t="str">
            <v>RH7637M372</v>
          </cell>
          <cell r="C5784">
            <v>1</v>
          </cell>
          <cell r="D5784">
            <v>250</v>
          </cell>
          <cell r="E5784">
            <v>250</v>
          </cell>
          <cell r="F5784" t="str">
            <v>A1-S00</v>
          </cell>
          <cell r="G5784" t="str">
            <v xml:space="preserve">Curve part hot press  - chi tiết cảo cong </v>
          </cell>
          <cell r="H5784" t="str">
            <v>MDF Veneer</v>
          </cell>
          <cell r="I5784">
            <v>2</v>
          </cell>
        </row>
        <row r="5785">
          <cell r="A5785" t="str">
            <v>B558364/A</v>
          </cell>
          <cell r="B5785" t="str">
            <v>RH7637M372</v>
          </cell>
          <cell r="C5785">
            <v>1</v>
          </cell>
          <cell r="D5785">
            <v>250</v>
          </cell>
          <cell r="E5785">
            <v>250</v>
          </cell>
          <cell r="F5785" t="str">
            <v>A1-S00-1</v>
          </cell>
          <cell r="G5785" t="str">
            <v>Panel outside - Ván phía ngoài</v>
          </cell>
          <cell r="H5785" t="str">
            <v>MDF Veneer</v>
          </cell>
          <cell r="I5785">
            <v>2</v>
          </cell>
        </row>
        <row r="5786">
          <cell r="A5786" t="str">
            <v>B558364/A</v>
          </cell>
          <cell r="B5786" t="str">
            <v>RH7637M372</v>
          </cell>
          <cell r="C5786">
            <v>1</v>
          </cell>
          <cell r="D5786">
            <v>250</v>
          </cell>
          <cell r="E5786">
            <v>250</v>
          </cell>
          <cell r="F5786" t="str">
            <v>A1-S01</v>
          </cell>
          <cell r="G5786" t="str">
            <v xml:space="preserve">Side panel  - Ván hông </v>
          </cell>
          <cell r="H5786" t="str">
            <v>MDF Veneer</v>
          </cell>
          <cell r="I5786">
            <v>2</v>
          </cell>
        </row>
        <row r="5787">
          <cell r="A5787" t="str">
            <v>B558364/A</v>
          </cell>
          <cell r="B5787" t="str">
            <v>RH7637M372</v>
          </cell>
          <cell r="C5787">
            <v>1</v>
          </cell>
          <cell r="D5787">
            <v>250</v>
          </cell>
          <cell r="E5787">
            <v>250</v>
          </cell>
          <cell r="F5787" t="str">
            <v>A1-S03</v>
          </cell>
          <cell r="G5787" t="str">
            <v xml:space="preserve">Top panel  - Ván nóc </v>
          </cell>
          <cell r="H5787" t="str">
            <v>Plywood LVD - 25 x 1220 x 2440mm, Bleached Poplar Veneer Both Sides [CARB P2 Compliant]</v>
          </cell>
          <cell r="I5787">
            <v>2</v>
          </cell>
        </row>
        <row r="5788">
          <cell r="A5788" t="str">
            <v>B558364/A</v>
          </cell>
          <cell r="B5788" t="str">
            <v>RH7637M372</v>
          </cell>
          <cell r="C5788">
            <v>1</v>
          </cell>
          <cell r="D5788">
            <v>250</v>
          </cell>
          <cell r="E5788">
            <v>250</v>
          </cell>
          <cell r="F5788" t="str">
            <v>A1-S04</v>
          </cell>
          <cell r="G5788" t="str">
            <v>Bottom panel - Ván đáy</v>
          </cell>
          <cell r="H5788" t="str">
            <v>Plywood LVD - 25 x 1220 x 2440mm, Bleached Poplar Veneer Both Sides [CARB P2 Compliant]</v>
          </cell>
          <cell r="I5788">
            <v>2</v>
          </cell>
        </row>
        <row r="5789">
          <cell r="A5789" t="str">
            <v>B558364/A</v>
          </cell>
          <cell r="B5789" t="str">
            <v>RH7637M372</v>
          </cell>
          <cell r="C5789">
            <v>1</v>
          </cell>
          <cell r="D5789">
            <v>250</v>
          </cell>
          <cell r="E5789">
            <v>250</v>
          </cell>
          <cell r="F5789" t="str">
            <v>A1-S09</v>
          </cell>
          <cell r="G5789" t="str">
            <v>Spline - Lưỡi gà</v>
          </cell>
          <cell r="H5789" t="str">
            <v>Plywood LVD - 06 x 1220 x 2440mm, Bleached Poplar Veneer Both Sides [CARB P2 Compliant]</v>
          </cell>
          <cell r="I5789">
            <v>4</v>
          </cell>
        </row>
        <row r="5790">
          <cell r="A5790" t="str">
            <v>B558364/A</v>
          </cell>
          <cell r="B5790" t="str">
            <v>RH7637M372</v>
          </cell>
          <cell r="C5790">
            <v>1</v>
          </cell>
          <cell r="D5790">
            <v>250</v>
          </cell>
          <cell r="E5790">
            <v>250</v>
          </cell>
          <cell r="F5790" t="str">
            <v>P01</v>
          </cell>
          <cell r="G5790" t="str">
            <v>Top Frame - Khung nóc</v>
          </cell>
          <cell r="H5790" t="str">
            <v>Pre-Assembly</v>
          </cell>
          <cell r="I5790">
            <v>1</v>
          </cell>
        </row>
        <row r="5791">
          <cell r="A5791" t="str">
            <v>B558364/A</v>
          </cell>
          <cell r="B5791" t="str">
            <v>RH7637M372</v>
          </cell>
          <cell r="C5791">
            <v>1</v>
          </cell>
          <cell r="D5791">
            <v>250</v>
          </cell>
          <cell r="E5791">
            <v>250</v>
          </cell>
          <cell r="F5791" t="str">
            <v>P03</v>
          </cell>
          <cell r="G5791" t="str">
            <v>Bottom rail inside - Đố tiền đáy</v>
          </cell>
          <cell r="H5791" t="str">
            <v>MDF - 18 x 1830 x 2440mm [CARB P2 Compliant]</v>
          </cell>
          <cell r="I5791">
            <v>2</v>
          </cell>
        </row>
        <row r="5792">
          <cell r="A5792" t="str">
            <v>B558366/A</v>
          </cell>
          <cell r="B5792" t="str">
            <v>RH7637M373</v>
          </cell>
          <cell r="C5792">
            <v>3</v>
          </cell>
          <cell r="D5792">
            <v>250</v>
          </cell>
          <cell r="E5792">
            <v>750</v>
          </cell>
          <cell r="F5792" t="str">
            <v>A1</v>
          </cell>
          <cell r="G5792" t="str">
            <v>The leg  - Chân</v>
          </cell>
          <cell r="H5792" t="str">
            <v>Pre-Assembly</v>
          </cell>
          <cell r="I5792">
            <v>6</v>
          </cell>
        </row>
        <row r="5793">
          <cell r="A5793" t="str">
            <v>B558366/A</v>
          </cell>
          <cell r="B5793" t="str">
            <v>RH7637M373</v>
          </cell>
          <cell r="C5793">
            <v>3</v>
          </cell>
          <cell r="D5793">
            <v>250</v>
          </cell>
          <cell r="E5793">
            <v>750</v>
          </cell>
          <cell r="F5793" t="str">
            <v>A1-S00</v>
          </cell>
          <cell r="G5793" t="str">
            <v xml:space="preserve">Curve part hot press  - chi tiết cảo cong </v>
          </cell>
          <cell r="H5793" t="str">
            <v>MDF Veneer</v>
          </cell>
          <cell r="I5793">
            <v>6</v>
          </cell>
        </row>
        <row r="5794">
          <cell r="A5794" t="str">
            <v>B558366/A</v>
          </cell>
          <cell r="B5794" t="str">
            <v>RH7637M373</v>
          </cell>
          <cell r="C5794">
            <v>3</v>
          </cell>
          <cell r="D5794">
            <v>250</v>
          </cell>
          <cell r="E5794">
            <v>750</v>
          </cell>
          <cell r="F5794" t="str">
            <v>A1-S00-1</v>
          </cell>
          <cell r="G5794" t="str">
            <v>Panel outside - Ván phía ngoài</v>
          </cell>
          <cell r="H5794" t="str">
            <v>MDF Veneer</v>
          </cell>
          <cell r="I5794">
            <v>6</v>
          </cell>
        </row>
        <row r="5795">
          <cell r="A5795" t="str">
            <v>B558366/A</v>
          </cell>
          <cell r="B5795" t="str">
            <v>RH7637M373</v>
          </cell>
          <cell r="C5795">
            <v>3</v>
          </cell>
          <cell r="D5795">
            <v>250</v>
          </cell>
          <cell r="E5795">
            <v>750</v>
          </cell>
          <cell r="F5795" t="str">
            <v>A1-S01</v>
          </cell>
          <cell r="G5795" t="str">
            <v xml:space="preserve">Side panel  - Ván hông </v>
          </cell>
          <cell r="H5795" t="str">
            <v>MDF Veneer</v>
          </cell>
          <cell r="I5795">
            <v>6</v>
          </cell>
        </row>
        <row r="5796">
          <cell r="A5796" t="str">
            <v>B558366/A</v>
          </cell>
          <cell r="B5796" t="str">
            <v>RH7637M373</v>
          </cell>
          <cell r="C5796">
            <v>3</v>
          </cell>
          <cell r="D5796">
            <v>250</v>
          </cell>
          <cell r="E5796">
            <v>750</v>
          </cell>
          <cell r="F5796" t="str">
            <v>A1-S03</v>
          </cell>
          <cell r="G5796" t="str">
            <v xml:space="preserve">Top panel  - Ván nóc </v>
          </cell>
          <cell r="H5796" t="str">
            <v>Plywood LVD - 25 x 1220 x 2440mm, Bleached Poplar Veneer Both Sides [CARB P2 Compliant]</v>
          </cell>
          <cell r="I5796">
            <v>6</v>
          </cell>
        </row>
        <row r="5797">
          <cell r="A5797" t="str">
            <v>B558366/A</v>
          </cell>
          <cell r="B5797" t="str">
            <v>RH7637M373</v>
          </cell>
          <cell r="C5797">
            <v>3</v>
          </cell>
          <cell r="D5797">
            <v>250</v>
          </cell>
          <cell r="E5797">
            <v>750</v>
          </cell>
          <cell r="F5797" t="str">
            <v>A1-S04</v>
          </cell>
          <cell r="G5797" t="str">
            <v>Bottom panel - Ván đáy</v>
          </cell>
          <cell r="H5797" t="str">
            <v>Plywood LVD - 25 x 1220 x 2440mm, Bleached Poplar Veneer Both Sides [CARB P2 Compliant]</v>
          </cell>
          <cell r="I5797">
            <v>6</v>
          </cell>
        </row>
        <row r="5798">
          <cell r="A5798" t="str">
            <v>B558366/A</v>
          </cell>
          <cell r="B5798" t="str">
            <v>RH7637M373</v>
          </cell>
          <cell r="C5798">
            <v>3</v>
          </cell>
          <cell r="D5798">
            <v>250</v>
          </cell>
          <cell r="E5798">
            <v>750</v>
          </cell>
          <cell r="F5798" t="str">
            <v>A1-S09</v>
          </cell>
          <cell r="G5798" t="str">
            <v>Spline - Lưỡi gà</v>
          </cell>
          <cell r="H5798" t="str">
            <v>Plywood LVD - 06 x 1220 x 2440mm, Bleached Poplar Veneer Both Sides [CARB P2 Compliant]</v>
          </cell>
          <cell r="I5798">
            <v>12</v>
          </cell>
        </row>
        <row r="5799">
          <cell r="A5799" t="str">
            <v>B558366/A</v>
          </cell>
          <cell r="B5799" t="str">
            <v>RH7637M373</v>
          </cell>
          <cell r="C5799">
            <v>3</v>
          </cell>
          <cell r="D5799">
            <v>250</v>
          </cell>
          <cell r="E5799">
            <v>750</v>
          </cell>
          <cell r="F5799" t="str">
            <v>P01</v>
          </cell>
          <cell r="G5799" t="str">
            <v>Top Frame - Khung nóc</v>
          </cell>
          <cell r="H5799" t="str">
            <v>Pre-Assembly</v>
          </cell>
          <cell r="I5799">
            <v>3</v>
          </cell>
        </row>
        <row r="5800">
          <cell r="A5800" t="str">
            <v>B558366/A</v>
          </cell>
          <cell r="B5800" t="str">
            <v>RH7637M373</v>
          </cell>
          <cell r="C5800">
            <v>3</v>
          </cell>
          <cell r="D5800">
            <v>250</v>
          </cell>
          <cell r="E5800">
            <v>750</v>
          </cell>
          <cell r="F5800" t="str">
            <v>P03</v>
          </cell>
          <cell r="G5800" t="str">
            <v>Bottom rail inside - Đố tiền đáy</v>
          </cell>
          <cell r="H5800" t="str">
            <v>MDF - 18 x 1830 x 2440mm [CARB P2 Compliant]</v>
          </cell>
          <cell r="I5800">
            <v>6</v>
          </cell>
        </row>
        <row r="5801">
          <cell r="A5801" t="str">
            <v>B558369/A</v>
          </cell>
          <cell r="B5801" t="str">
            <v>RH7637M374</v>
          </cell>
          <cell r="C5801">
            <v>4</v>
          </cell>
          <cell r="D5801">
            <v>250</v>
          </cell>
          <cell r="E5801">
            <v>1000</v>
          </cell>
          <cell r="F5801" t="str">
            <v>A1</v>
          </cell>
          <cell r="G5801" t="str">
            <v>The leg  - Chân</v>
          </cell>
          <cell r="H5801" t="str">
            <v>Pre-Assembly</v>
          </cell>
          <cell r="I5801">
            <v>8</v>
          </cell>
        </row>
        <row r="5802">
          <cell r="A5802" t="str">
            <v>B558369/A</v>
          </cell>
          <cell r="B5802" t="str">
            <v>RH7637M374</v>
          </cell>
          <cell r="C5802">
            <v>4</v>
          </cell>
          <cell r="D5802">
            <v>250</v>
          </cell>
          <cell r="E5802">
            <v>1000</v>
          </cell>
          <cell r="F5802" t="str">
            <v>A1-S00</v>
          </cell>
          <cell r="G5802" t="str">
            <v xml:space="preserve">Curve part hot press  - chi tiết cảo cong </v>
          </cell>
          <cell r="H5802" t="str">
            <v>MDF Veneer</v>
          </cell>
          <cell r="I5802">
            <v>8</v>
          </cell>
        </row>
        <row r="5803">
          <cell r="A5803" t="str">
            <v>B558369/A</v>
          </cell>
          <cell r="B5803" t="str">
            <v>RH7637M374</v>
          </cell>
          <cell r="C5803">
            <v>4</v>
          </cell>
          <cell r="D5803">
            <v>250</v>
          </cell>
          <cell r="E5803">
            <v>1000</v>
          </cell>
          <cell r="F5803" t="str">
            <v>A1-S00-1</v>
          </cell>
          <cell r="G5803" t="str">
            <v>Panel outside - Ván phía ngoài</v>
          </cell>
          <cell r="H5803" t="str">
            <v>MDF Veneer</v>
          </cell>
          <cell r="I5803">
            <v>8</v>
          </cell>
        </row>
        <row r="5804">
          <cell r="A5804" t="str">
            <v>B558369/A</v>
          </cell>
          <cell r="B5804" t="str">
            <v>RH7637M374</v>
          </cell>
          <cell r="C5804">
            <v>4</v>
          </cell>
          <cell r="D5804">
            <v>250</v>
          </cell>
          <cell r="E5804">
            <v>1000</v>
          </cell>
          <cell r="F5804" t="str">
            <v>A1-S01</v>
          </cell>
          <cell r="G5804" t="str">
            <v xml:space="preserve">Side panel  - Ván hông </v>
          </cell>
          <cell r="H5804" t="str">
            <v>MDF Veneer</v>
          </cell>
          <cell r="I5804">
            <v>8</v>
          </cell>
        </row>
        <row r="5805">
          <cell r="A5805" t="str">
            <v>B558369/A</v>
          </cell>
          <cell r="B5805" t="str">
            <v>RH7637M374</v>
          </cell>
          <cell r="C5805">
            <v>4</v>
          </cell>
          <cell r="D5805">
            <v>250</v>
          </cell>
          <cell r="E5805">
            <v>1000</v>
          </cell>
          <cell r="F5805" t="str">
            <v>A1-S03</v>
          </cell>
          <cell r="G5805" t="str">
            <v xml:space="preserve">Top panel  - Ván nóc </v>
          </cell>
          <cell r="H5805" t="str">
            <v>Plywood LVD - 25 x 1220 x 2440mm, Bleached Poplar Veneer Both Sides [CARB P2 Compliant]</v>
          </cell>
          <cell r="I5805">
            <v>8</v>
          </cell>
        </row>
        <row r="5806">
          <cell r="A5806" t="str">
            <v>B558369/A</v>
          </cell>
          <cell r="B5806" t="str">
            <v>RH7637M374</v>
          </cell>
          <cell r="C5806">
            <v>4</v>
          </cell>
          <cell r="D5806">
            <v>250</v>
          </cell>
          <cell r="E5806">
            <v>1000</v>
          </cell>
          <cell r="F5806" t="str">
            <v>A1-S04</v>
          </cell>
          <cell r="G5806" t="str">
            <v>Bottom panel - Ván đáy</v>
          </cell>
          <cell r="H5806" t="str">
            <v>Plywood LVD - 25 x 1220 x 2440mm, Bleached Poplar Veneer Both Sides [CARB P2 Compliant]</v>
          </cell>
          <cell r="I5806">
            <v>8</v>
          </cell>
        </row>
        <row r="5807">
          <cell r="A5807" t="str">
            <v>B558369/A</v>
          </cell>
          <cell r="B5807" t="str">
            <v>RH7637M374</v>
          </cell>
          <cell r="C5807">
            <v>4</v>
          </cell>
          <cell r="D5807">
            <v>250</v>
          </cell>
          <cell r="E5807">
            <v>1000</v>
          </cell>
          <cell r="F5807" t="str">
            <v>A1-S09</v>
          </cell>
          <cell r="G5807" t="str">
            <v>Spline - Lưỡi gà</v>
          </cell>
          <cell r="H5807" t="str">
            <v>Plywood LVD - 06 x 1220 x 2440mm, Bleached Poplar Veneer Both Sides [CARB P2 Compliant]</v>
          </cell>
          <cell r="I5807">
            <v>16</v>
          </cell>
        </row>
        <row r="5808">
          <cell r="A5808" t="str">
            <v>B558369/A</v>
          </cell>
          <cell r="B5808" t="str">
            <v>RH7637M374</v>
          </cell>
          <cell r="C5808">
            <v>4</v>
          </cell>
          <cell r="D5808">
            <v>250</v>
          </cell>
          <cell r="E5808">
            <v>1000</v>
          </cell>
          <cell r="F5808" t="str">
            <v>P01</v>
          </cell>
          <cell r="G5808" t="str">
            <v>Top Frame - Khung nóc</v>
          </cell>
          <cell r="H5808" t="str">
            <v>Pre-Assembly</v>
          </cell>
          <cell r="I5808">
            <v>4</v>
          </cell>
        </row>
        <row r="5809">
          <cell r="A5809" t="str">
            <v>B558369/A</v>
          </cell>
          <cell r="B5809" t="str">
            <v>RH7637M374</v>
          </cell>
          <cell r="C5809">
            <v>4</v>
          </cell>
          <cell r="D5809">
            <v>250</v>
          </cell>
          <cell r="E5809">
            <v>1000</v>
          </cell>
          <cell r="F5809" t="str">
            <v>P03</v>
          </cell>
          <cell r="G5809" t="str">
            <v>Bottom rail inside - Đố tiền đáy</v>
          </cell>
          <cell r="H5809" t="str">
            <v>MDF - 18 x 1830 x 2440mm [CARB P2 Compliant]</v>
          </cell>
          <cell r="I5809">
            <v>8</v>
          </cell>
        </row>
        <row r="5810">
          <cell r="A5810" t="str">
            <v>B558370/A</v>
          </cell>
          <cell r="B5810" t="str">
            <v>RH7637M374</v>
          </cell>
          <cell r="C5810">
            <v>11</v>
          </cell>
          <cell r="D5810">
            <v>250</v>
          </cell>
          <cell r="E5810">
            <v>2750</v>
          </cell>
          <cell r="F5810" t="str">
            <v>A1</v>
          </cell>
          <cell r="G5810" t="str">
            <v>The leg  - Chân</v>
          </cell>
          <cell r="H5810" t="str">
            <v>Pre-Assembly</v>
          </cell>
          <cell r="I5810">
            <v>22</v>
          </cell>
        </row>
        <row r="5811">
          <cell r="A5811" t="str">
            <v>B558370/A</v>
          </cell>
          <cell r="B5811" t="str">
            <v>RH7637M374</v>
          </cell>
          <cell r="C5811">
            <v>11</v>
          </cell>
          <cell r="D5811">
            <v>250</v>
          </cell>
          <cell r="E5811">
            <v>2750</v>
          </cell>
          <cell r="F5811" t="str">
            <v>A1-S00</v>
          </cell>
          <cell r="G5811" t="str">
            <v xml:space="preserve">Curve part hot press  - chi tiết cảo cong </v>
          </cell>
          <cell r="H5811" t="str">
            <v>MDF Veneer</v>
          </cell>
          <cell r="I5811">
            <v>22</v>
          </cell>
        </row>
        <row r="5812">
          <cell r="A5812" t="str">
            <v>B558370/A</v>
          </cell>
          <cell r="B5812" t="str">
            <v>RH7637M374</v>
          </cell>
          <cell r="C5812">
            <v>11</v>
          </cell>
          <cell r="D5812">
            <v>250</v>
          </cell>
          <cell r="E5812">
            <v>2750</v>
          </cell>
          <cell r="F5812" t="str">
            <v>A1-S00-1</v>
          </cell>
          <cell r="G5812" t="str">
            <v>Panel outside - Ván phía ngoài</v>
          </cell>
          <cell r="H5812" t="str">
            <v>MDF Veneer</v>
          </cell>
          <cell r="I5812">
            <v>22</v>
          </cell>
        </row>
        <row r="5813">
          <cell r="A5813" t="str">
            <v>B558370/A</v>
          </cell>
          <cell r="B5813" t="str">
            <v>RH7637M374</v>
          </cell>
          <cell r="C5813">
            <v>11</v>
          </cell>
          <cell r="D5813">
            <v>250</v>
          </cell>
          <cell r="E5813">
            <v>2750</v>
          </cell>
          <cell r="F5813" t="str">
            <v>A1-S01</v>
          </cell>
          <cell r="G5813" t="str">
            <v xml:space="preserve">Side panel  - Ván hông </v>
          </cell>
          <cell r="H5813" t="str">
            <v>MDF Veneer</v>
          </cell>
          <cell r="I5813">
            <v>22</v>
          </cell>
        </row>
        <row r="5814">
          <cell r="A5814" t="str">
            <v>B558370/A</v>
          </cell>
          <cell r="B5814" t="str">
            <v>RH7637M374</v>
          </cell>
          <cell r="C5814">
            <v>11</v>
          </cell>
          <cell r="D5814">
            <v>250</v>
          </cell>
          <cell r="E5814">
            <v>2750</v>
          </cell>
          <cell r="F5814" t="str">
            <v>A1-S03</v>
          </cell>
          <cell r="G5814" t="str">
            <v xml:space="preserve">Top panel  - Ván nóc </v>
          </cell>
          <cell r="H5814" t="str">
            <v>Plywood LVD - 25 x 1220 x 2440mm, Bleached Poplar Veneer Both Sides [CARB P2 Compliant]</v>
          </cell>
          <cell r="I5814">
            <v>22</v>
          </cell>
        </row>
        <row r="5815">
          <cell r="A5815" t="str">
            <v>B558370/A</v>
          </cell>
          <cell r="B5815" t="str">
            <v>RH7637M374</v>
          </cell>
          <cell r="C5815">
            <v>11</v>
          </cell>
          <cell r="D5815">
            <v>250</v>
          </cell>
          <cell r="E5815">
            <v>2750</v>
          </cell>
          <cell r="F5815" t="str">
            <v>A1-S04</v>
          </cell>
          <cell r="G5815" t="str">
            <v>Bottom panel - Ván đáy</v>
          </cell>
          <cell r="H5815" t="str">
            <v>Plywood LVD - 25 x 1220 x 2440mm, Bleached Poplar Veneer Both Sides [CARB P2 Compliant]</v>
          </cell>
          <cell r="I5815">
            <v>22</v>
          </cell>
        </row>
        <row r="5816">
          <cell r="A5816" t="str">
            <v>B558370/A</v>
          </cell>
          <cell r="B5816" t="str">
            <v>RH7637M374</v>
          </cell>
          <cell r="C5816">
            <v>11</v>
          </cell>
          <cell r="D5816">
            <v>250</v>
          </cell>
          <cell r="E5816">
            <v>2750</v>
          </cell>
          <cell r="F5816" t="str">
            <v>A1-S09</v>
          </cell>
          <cell r="G5816" t="str">
            <v>Spline - Lưỡi gà</v>
          </cell>
          <cell r="H5816" t="str">
            <v>Plywood LVD - 06 x 1220 x 2440mm, Bleached Poplar Veneer Both Sides [CARB P2 Compliant]</v>
          </cell>
          <cell r="I5816">
            <v>44</v>
          </cell>
        </row>
        <row r="5817">
          <cell r="A5817" t="str">
            <v>B558370/A</v>
          </cell>
          <cell r="B5817" t="str">
            <v>RH7637M374</v>
          </cell>
          <cell r="C5817">
            <v>11</v>
          </cell>
          <cell r="D5817">
            <v>250</v>
          </cell>
          <cell r="E5817">
            <v>2750</v>
          </cell>
          <cell r="F5817" t="str">
            <v>P01</v>
          </cell>
          <cell r="G5817" t="str">
            <v>Top Frame - Khung nóc</v>
          </cell>
          <cell r="H5817" t="str">
            <v>Pre-Assembly</v>
          </cell>
          <cell r="I5817">
            <v>11</v>
          </cell>
        </row>
        <row r="5818">
          <cell r="A5818" t="str">
            <v>B558370/A</v>
          </cell>
          <cell r="B5818" t="str">
            <v>RH7637M374</v>
          </cell>
          <cell r="C5818">
            <v>11</v>
          </cell>
          <cell r="D5818">
            <v>250</v>
          </cell>
          <cell r="E5818">
            <v>2750</v>
          </cell>
          <cell r="F5818" t="str">
            <v>P03</v>
          </cell>
          <cell r="G5818" t="str">
            <v>Bottom rail inside - Đố tiền đáy</v>
          </cell>
          <cell r="H5818" t="str">
            <v>MDF - 18 x 1830 x 2440mm [CARB P2 Compliant]</v>
          </cell>
          <cell r="I5818">
            <v>22</v>
          </cell>
        </row>
        <row r="5819">
          <cell r="A5819" t="str">
            <v>B558378/A</v>
          </cell>
          <cell r="B5819" t="str">
            <v>RH9046M398</v>
          </cell>
          <cell r="C5819">
            <v>12</v>
          </cell>
          <cell r="D5819">
            <v>1089</v>
          </cell>
          <cell r="E5819">
            <v>13068</v>
          </cell>
          <cell r="F5819" t="str">
            <v>A2-S01</v>
          </cell>
          <cell r="G5819" t="str">
            <v>Bottom panel - Ván đáy</v>
          </cell>
          <cell r="H5819" t="str">
            <v>MDF Veneer</v>
          </cell>
          <cell r="I5819">
            <v>12</v>
          </cell>
        </row>
        <row r="5820">
          <cell r="A5820" t="str">
            <v>B558378/A</v>
          </cell>
          <cell r="B5820" t="str">
            <v>RH9046M398</v>
          </cell>
          <cell r="C5820">
            <v>12</v>
          </cell>
          <cell r="D5820">
            <v>1089</v>
          </cell>
          <cell r="E5820">
            <v>13068</v>
          </cell>
          <cell r="F5820" t="str">
            <v>A2-S02</v>
          </cell>
          <cell r="G5820" t="str">
            <v>Side bottom rail - Đố hông dưới</v>
          </cell>
          <cell r="H5820" t="str">
            <v>Wood laminate</v>
          </cell>
          <cell r="I5820">
            <v>24</v>
          </cell>
        </row>
        <row r="5821">
          <cell r="A5821" t="str">
            <v>B558378/A</v>
          </cell>
          <cell r="B5821" t="str">
            <v>RH9046M398</v>
          </cell>
          <cell r="C5821">
            <v>12</v>
          </cell>
          <cell r="D5821">
            <v>1089</v>
          </cell>
          <cell r="E5821">
            <v>13068</v>
          </cell>
          <cell r="F5821" t="str">
            <v>A2-S03</v>
          </cell>
          <cell r="G5821" t="str">
            <v>Front Bottom Rail  - Đố đáy trước</v>
          </cell>
          <cell r="H5821" t="str">
            <v>Wood laminate</v>
          </cell>
          <cell r="I5821">
            <v>24</v>
          </cell>
        </row>
        <row r="5822">
          <cell r="A5822" t="str">
            <v>B558378/A</v>
          </cell>
          <cell r="B5822" t="str">
            <v>RH9046M398</v>
          </cell>
          <cell r="C5822">
            <v>12</v>
          </cell>
          <cell r="D5822">
            <v>1089</v>
          </cell>
          <cell r="E5822">
            <v>13068</v>
          </cell>
          <cell r="F5822" t="str">
            <v>A2-S04</v>
          </cell>
          <cell r="G5822" t="str">
            <v>Center bottom rail - Đố đáy giữa</v>
          </cell>
          <cell r="H5822" t="str">
            <v>Standard Wood - ALDER/ASPEN/LENGA/US POPLAR, 2 COM - T25 W120mm+ L2m+</v>
          </cell>
          <cell r="I5822">
            <v>24</v>
          </cell>
        </row>
        <row r="5823">
          <cell r="A5823" t="str">
            <v>B558378/A</v>
          </cell>
          <cell r="B5823" t="str">
            <v>RH9046M398</v>
          </cell>
          <cell r="C5823">
            <v>12</v>
          </cell>
          <cell r="D5823">
            <v>1089</v>
          </cell>
          <cell r="E5823">
            <v>13068</v>
          </cell>
          <cell r="F5823" t="str">
            <v>A3-S01</v>
          </cell>
          <cell r="G5823" t="str">
            <v xml:space="preserve">Top panel  - Ván nóc </v>
          </cell>
          <cell r="H5823" t="str">
            <v>MDF Veneer</v>
          </cell>
          <cell r="I5823">
            <v>12</v>
          </cell>
        </row>
        <row r="5824">
          <cell r="A5824" t="str">
            <v>B558378/A</v>
          </cell>
          <cell r="B5824" t="str">
            <v>RH9046M398</v>
          </cell>
          <cell r="C5824">
            <v>12</v>
          </cell>
          <cell r="D5824">
            <v>1089</v>
          </cell>
          <cell r="E5824">
            <v>13068</v>
          </cell>
          <cell r="F5824" t="str">
            <v>A3-S01-1</v>
          </cell>
          <cell r="G5824" t="str">
            <v>Insert Wood - Gỗ chèn</v>
          </cell>
          <cell r="H5824" t="str">
            <v>Beech off cut</v>
          </cell>
          <cell r="I5824">
            <v>120</v>
          </cell>
        </row>
        <row r="5825">
          <cell r="A5825" t="str">
            <v>B558378/A</v>
          </cell>
          <cell r="B5825" t="str">
            <v>RH9046M398</v>
          </cell>
          <cell r="C5825">
            <v>12</v>
          </cell>
          <cell r="D5825">
            <v>1089</v>
          </cell>
          <cell r="E5825">
            <v>13068</v>
          </cell>
          <cell r="F5825" t="str">
            <v>A3-S02</v>
          </cell>
          <cell r="G5825" t="str">
            <v>Front top rail  - Đố tiền nóc</v>
          </cell>
          <cell r="H5825" t="str">
            <v>Wood laminate</v>
          </cell>
          <cell r="I5825">
            <v>24</v>
          </cell>
        </row>
        <row r="5826">
          <cell r="A5826" t="str">
            <v>B558378/A</v>
          </cell>
          <cell r="B5826" t="str">
            <v>RH9046M398</v>
          </cell>
          <cell r="C5826">
            <v>12</v>
          </cell>
          <cell r="D5826">
            <v>1089</v>
          </cell>
          <cell r="E5826">
            <v>13068</v>
          </cell>
          <cell r="F5826" t="str">
            <v>A3-S02-1</v>
          </cell>
          <cell r="G5826" t="str">
            <v>Insert Wood - Gỗ chèn</v>
          </cell>
          <cell r="H5826" t="str">
            <v>oak off cut</v>
          </cell>
          <cell r="I5826">
            <v>48</v>
          </cell>
        </row>
        <row r="5827">
          <cell r="A5827" t="str">
            <v>B558378/A</v>
          </cell>
          <cell r="B5827" t="str">
            <v>RH9046M398</v>
          </cell>
          <cell r="C5827">
            <v>12</v>
          </cell>
          <cell r="D5827">
            <v>1089</v>
          </cell>
          <cell r="E5827">
            <v>13068</v>
          </cell>
          <cell r="F5827" t="str">
            <v>A3-S03</v>
          </cell>
          <cell r="G5827" t="str">
            <v>Side top rail - Đố hông trên</v>
          </cell>
          <cell r="H5827" t="str">
            <v>Wood laminate</v>
          </cell>
          <cell r="I5827">
            <v>24</v>
          </cell>
        </row>
        <row r="5828">
          <cell r="A5828" t="str">
            <v>B558378/A</v>
          </cell>
          <cell r="B5828" t="str">
            <v>RH9046M398</v>
          </cell>
          <cell r="C5828">
            <v>12</v>
          </cell>
          <cell r="D5828">
            <v>1089</v>
          </cell>
          <cell r="E5828">
            <v>13068</v>
          </cell>
          <cell r="F5828" t="str">
            <v>A3-S04</v>
          </cell>
          <cell r="G5828" t="str">
            <v>Spline - Lưỡi gà</v>
          </cell>
          <cell r="H5828" t="str">
            <v>Plywood LVD - 06 x 1220 x 2440mm, Bleached Poplar Veneer Both Sides [CARB P2 Compliant]</v>
          </cell>
          <cell r="I5828">
            <v>48</v>
          </cell>
        </row>
        <row r="5829">
          <cell r="A5829" t="str">
            <v>B558378/A</v>
          </cell>
          <cell r="B5829" t="str">
            <v>RH9046M398</v>
          </cell>
          <cell r="C5829">
            <v>12</v>
          </cell>
          <cell r="D5829">
            <v>1089</v>
          </cell>
          <cell r="E5829">
            <v>13068</v>
          </cell>
          <cell r="F5829" t="str">
            <v>A3-S05</v>
          </cell>
          <cell r="G5829" t="str">
            <v>Spline - Lưỡi gà</v>
          </cell>
          <cell r="H5829" t="str">
            <v>Plywood LVD - 06 x 1220 x 2440mm, Bleached Poplar Veneer Both Sides [CARB P2 Compliant]</v>
          </cell>
          <cell r="I5829">
            <v>24</v>
          </cell>
        </row>
        <row r="5830">
          <cell r="A5830" t="str">
            <v>B558378/A</v>
          </cell>
          <cell r="B5830" t="str">
            <v>RH9046M398</v>
          </cell>
          <cell r="C5830">
            <v>12</v>
          </cell>
          <cell r="D5830">
            <v>1089</v>
          </cell>
          <cell r="E5830">
            <v>13068</v>
          </cell>
          <cell r="F5830" t="str">
            <v>A3-S07</v>
          </cell>
          <cell r="G5830" t="str">
            <v>Center top rail - Đố nóc giữa</v>
          </cell>
          <cell r="H5830" t="str">
            <v>Wood laminate</v>
          </cell>
          <cell r="I5830">
            <v>24</v>
          </cell>
        </row>
        <row r="5831">
          <cell r="A5831" t="str">
            <v>B558378/A</v>
          </cell>
          <cell r="B5831" t="str">
            <v>RH9046M398</v>
          </cell>
          <cell r="C5831">
            <v>12</v>
          </cell>
          <cell r="D5831">
            <v>1089</v>
          </cell>
          <cell r="E5831">
            <v>13068</v>
          </cell>
          <cell r="F5831" t="str">
            <v>A3-S08</v>
          </cell>
          <cell r="G5831" t="str">
            <v>Center top rail - Đố nóc giữa</v>
          </cell>
          <cell r="H5831" t="str">
            <v>Wood laminate</v>
          </cell>
          <cell r="I5831">
            <v>24</v>
          </cell>
        </row>
        <row r="5832">
          <cell r="A5832" t="str">
            <v>B558378/A</v>
          </cell>
          <cell r="B5832" t="str">
            <v>RH9046M398</v>
          </cell>
          <cell r="C5832">
            <v>12</v>
          </cell>
          <cell r="D5832">
            <v>1089</v>
          </cell>
          <cell r="E5832">
            <v>13068</v>
          </cell>
          <cell r="F5832" t="str">
            <v>A3-S09</v>
          </cell>
          <cell r="G5832" t="str">
            <v>Corner block - ke góc</v>
          </cell>
          <cell r="H5832" t="str">
            <v>Poplar off cut</v>
          </cell>
          <cell r="I5832">
            <v>48</v>
          </cell>
        </row>
        <row r="5833">
          <cell r="A5833" t="str">
            <v>B558378/A</v>
          </cell>
          <cell r="B5833" t="str">
            <v>RH9046M398</v>
          </cell>
          <cell r="C5833">
            <v>12</v>
          </cell>
          <cell r="D5833">
            <v>1089</v>
          </cell>
          <cell r="E5833">
            <v>13068</v>
          </cell>
          <cell r="F5833" t="str">
            <v>A3-S10</v>
          </cell>
          <cell r="G5833" t="str">
            <v xml:space="preserve">Side rail  - Đố hông </v>
          </cell>
          <cell r="H5833" t="str">
            <v>Wood Rubber Laminate Board - 20 x 1220 x 2440mm, Veneer Poplar both Faces</v>
          </cell>
          <cell r="I5833">
            <v>72</v>
          </cell>
        </row>
        <row r="5834">
          <cell r="A5834" t="str">
            <v>B558378/A</v>
          </cell>
          <cell r="B5834" t="str">
            <v>RH9046M398</v>
          </cell>
          <cell r="C5834">
            <v>12</v>
          </cell>
          <cell r="D5834">
            <v>1089</v>
          </cell>
          <cell r="E5834">
            <v>13068</v>
          </cell>
          <cell r="F5834" t="str">
            <v>A3-S11</v>
          </cell>
          <cell r="G5834" t="str">
            <v>Bottom panel - Ván đáy</v>
          </cell>
          <cell r="H5834" t="str">
            <v>MDF - 06 x 1220 x 2440mm, Veneer Okoume 0.3mm Both Faces [CARB P2 Compliant]</v>
          </cell>
          <cell r="I5834">
            <v>48</v>
          </cell>
        </row>
        <row r="5835">
          <cell r="A5835" t="str">
            <v>B558378/A</v>
          </cell>
          <cell r="B5835" t="str">
            <v>RH9046M398</v>
          </cell>
          <cell r="C5835">
            <v>12</v>
          </cell>
          <cell r="D5835">
            <v>1089</v>
          </cell>
          <cell r="E5835">
            <v>13068</v>
          </cell>
          <cell r="F5835" t="str">
            <v>A4</v>
          </cell>
          <cell r="G5835" t="str">
            <v>support Top - đỡ nóc</v>
          </cell>
          <cell r="H5835" t="str">
            <v>Pre-Assembly</v>
          </cell>
          <cell r="I5835">
            <v>12</v>
          </cell>
        </row>
        <row r="5836">
          <cell r="A5836" t="str">
            <v>B558378/A</v>
          </cell>
          <cell r="B5836" t="str">
            <v>RH9046M398</v>
          </cell>
          <cell r="C5836">
            <v>12</v>
          </cell>
          <cell r="D5836">
            <v>1089</v>
          </cell>
          <cell r="E5836">
            <v>13068</v>
          </cell>
          <cell r="F5836" t="str">
            <v>A4-S01</v>
          </cell>
          <cell r="G5836" t="str">
            <v xml:space="preserve">Panel - Ván </v>
          </cell>
          <cell r="H5836" t="str">
            <v>MDF Veneer</v>
          </cell>
          <cell r="I5836">
            <v>24</v>
          </cell>
        </row>
        <row r="5837">
          <cell r="A5837" t="str">
            <v>B558378/A</v>
          </cell>
          <cell r="B5837" t="str">
            <v>RH9046M398</v>
          </cell>
          <cell r="C5837">
            <v>12</v>
          </cell>
          <cell r="D5837">
            <v>1089</v>
          </cell>
          <cell r="E5837">
            <v>13068</v>
          </cell>
          <cell r="F5837" t="str">
            <v>A4-S02</v>
          </cell>
          <cell r="G5837" t="str">
            <v xml:space="preserve">Panel - Ván </v>
          </cell>
          <cell r="H5837" t="str">
            <v>Cement Board - 18 x 1220 x 2440mm, Dark Grey</v>
          </cell>
          <cell r="I5837">
            <v>12</v>
          </cell>
        </row>
        <row r="5838">
          <cell r="A5838" t="str">
            <v>B558378/A</v>
          </cell>
          <cell r="B5838" t="str">
            <v>RH9046M398</v>
          </cell>
          <cell r="C5838">
            <v>12</v>
          </cell>
          <cell r="D5838">
            <v>1089</v>
          </cell>
          <cell r="E5838">
            <v>13068</v>
          </cell>
          <cell r="F5838" t="str">
            <v>A4-S03</v>
          </cell>
          <cell r="G5838" t="str">
            <v>inside rail - do trong</v>
          </cell>
          <cell r="H5838" t="str">
            <v>MDF - 18 x 1830 x 2440mm [CARB P2 Compliant]</v>
          </cell>
          <cell r="I5838">
            <v>24</v>
          </cell>
        </row>
        <row r="5839">
          <cell r="A5839" t="str">
            <v>B558378/A</v>
          </cell>
          <cell r="B5839" t="str">
            <v>RH9046M398</v>
          </cell>
          <cell r="C5839">
            <v>12</v>
          </cell>
          <cell r="D5839">
            <v>1089</v>
          </cell>
          <cell r="E5839">
            <v>13068</v>
          </cell>
          <cell r="F5839" t="str">
            <v>A4-S04</v>
          </cell>
          <cell r="G5839" t="str">
            <v>inside rail - do trong</v>
          </cell>
          <cell r="H5839" t="str">
            <v>MDF - 18 x 1830 x 2440mm [CARB P2 Compliant]</v>
          </cell>
          <cell r="I5839">
            <v>24</v>
          </cell>
        </row>
        <row r="5840">
          <cell r="A5840" t="str">
            <v>B558378/A</v>
          </cell>
          <cell r="B5840" t="str">
            <v>RH9046M398</v>
          </cell>
          <cell r="C5840">
            <v>12</v>
          </cell>
          <cell r="D5840">
            <v>1089</v>
          </cell>
          <cell r="E5840">
            <v>13068</v>
          </cell>
          <cell r="F5840" t="str">
            <v>P02</v>
          </cell>
          <cell r="G5840" t="str">
            <v>vaccumn veneer - cảo bich veneer</v>
          </cell>
          <cell r="H5840" t="str">
            <v>MDF Veneer</v>
          </cell>
          <cell r="I5840">
            <v>24</v>
          </cell>
        </row>
        <row r="5841">
          <cell r="A5841" t="str">
            <v>B558378/A</v>
          </cell>
          <cell r="B5841" t="str">
            <v>RH9046M398</v>
          </cell>
          <cell r="C5841">
            <v>12</v>
          </cell>
          <cell r="D5841">
            <v>1089</v>
          </cell>
          <cell r="E5841">
            <v>13068</v>
          </cell>
          <cell r="F5841" t="str">
            <v>P02-1</v>
          </cell>
          <cell r="G5841" t="str">
            <v xml:space="preserve">Panel - Ván </v>
          </cell>
          <cell r="H5841" t="str">
            <v>MDF Veneer</v>
          </cell>
          <cell r="I5841">
            <v>24</v>
          </cell>
        </row>
        <row r="5842">
          <cell r="A5842" t="str">
            <v>B558378/A</v>
          </cell>
          <cell r="B5842" t="str">
            <v>RH9046M398</v>
          </cell>
          <cell r="C5842">
            <v>12</v>
          </cell>
          <cell r="D5842">
            <v>1089</v>
          </cell>
          <cell r="E5842">
            <v>13068</v>
          </cell>
          <cell r="F5842" t="str">
            <v>P02-2</v>
          </cell>
          <cell r="G5842" t="str">
            <v>MDF - MDF</v>
          </cell>
          <cell r="H5842" t="str">
            <v>MDF - 09 x 1830 x 2440mm [CARB P2 Compliant]</v>
          </cell>
          <cell r="I5842">
            <v>24</v>
          </cell>
        </row>
        <row r="5843">
          <cell r="A5843" t="str">
            <v>B558378/A</v>
          </cell>
          <cell r="B5843" t="str">
            <v>RH9046M398</v>
          </cell>
          <cell r="C5843">
            <v>12</v>
          </cell>
          <cell r="D5843">
            <v>1089</v>
          </cell>
          <cell r="E5843">
            <v>13068</v>
          </cell>
          <cell r="F5843" t="str">
            <v>P02-3</v>
          </cell>
          <cell r="G5843" t="str">
            <v xml:space="preserve">Panel - Ván </v>
          </cell>
          <cell r="H5843" t="str">
            <v>MDF - 25 x 1830 x 2440mm [CARB P2 Compliant]</v>
          </cell>
          <cell r="I5843">
            <v>48</v>
          </cell>
        </row>
        <row r="5844">
          <cell r="A5844" t="str">
            <v>B558378/A</v>
          </cell>
          <cell r="B5844" t="str">
            <v>RH9046M398</v>
          </cell>
          <cell r="C5844">
            <v>12</v>
          </cell>
          <cell r="D5844">
            <v>1089</v>
          </cell>
          <cell r="E5844">
            <v>13068</v>
          </cell>
          <cell r="F5844" t="str">
            <v>P02-4</v>
          </cell>
          <cell r="G5844" t="str">
            <v xml:space="preserve">Panel - Ván </v>
          </cell>
          <cell r="H5844" t="str">
            <v>MDF laminate</v>
          </cell>
          <cell r="I5844">
            <v>48</v>
          </cell>
        </row>
        <row r="5845">
          <cell r="A5845" t="str">
            <v>B558378/A</v>
          </cell>
          <cell r="B5845" t="str">
            <v>RH9046M398</v>
          </cell>
          <cell r="C5845">
            <v>12</v>
          </cell>
          <cell r="D5845">
            <v>1089</v>
          </cell>
          <cell r="E5845">
            <v>13068</v>
          </cell>
          <cell r="F5845" t="str">
            <v>P02-5</v>
          </cell>
          <cell r="G5845" t="str">
            <v xml:space="preserve">Panel - Ván </v>
          </cell>
          <cell r="H5845" t="str">
            <v>Cement lamilated</v>
          </cell>
          <cell r="I5845">
            <v>24</v>
          </cell>
        </row>
        <row r="5846">
          <cell r="A5846" t="str">
            <v>B558378/A</v>
          </cell>
          <cell r="B5846" t="str">
            <v>RH9046M398</v>
          </cell>
          <cell r="C5846">
            <v>12</v>
          </cell>
          <cell r="D5846">
            <v>1089</v>
          </cell>
          <cell r="E5846">
            <v>13068</v>
          </cell>
          <cell r="F5846" t="str">
            <v>P03</v>
          </cell>
          <cell r="G5846" t="str">
            <v>Spline - Lưỡi gà</v>
          </cell>
          <cell r="H5846" t="str">
            <v>Plywood LVD - 09 x 1220 x 2440mm, Bleached Poplar Veneer Both Sides [CARB P2 Compliant]</v>
          </cell>
          <cell r="I5846">
            <v>48</v>
          </cell>
        </row>
        <row r="5847">
          <cell r="A5847" t="str">
            <v>B558380/A</v>
          </cell>
          <cell r="B5847" t="str">
            <v>RH9046M410</v>
          </cell>
          <cell r="C5847">
            <v>3</v>
          </cell>
          <cell r="D5847">
            <v>1089</v>
          </cell>
          <cell r="E5847">
            <v>3267</v>
          </cell>
          <cell r="F5847" t="str">
            <v>A2-S01</v>
          </cell>
          <cell r="G5847" t="str">
            <v>Bottom panel - Ván đáy</v>
          </cell>
          <cell r="H5847" t="str">
            <v>MDF Veneer</v>
          </cell>
          <cell r="I5847">
            <v>3</v>
          </cell>
        </row>
        <row r="5848">
          <cell r="A5848" t="str">
            <v>B558380/A</v>
          </cell>
          <cell r="B5848" t="str">
            <v>RH9046M410</v>
          </cell>
          <cell r="C5848">
            <v>3</v>
          </cell>
          <cell r="D5848">
            <v>1089</v>
          </cell>
          <cell r="E5848">
            <v>3267</v>
          </cell>
          <cell r="F5848" t="str">
            <v>A2-S02</v>
          </cell>
          <cell r="G5848" t="str">
            <v>Side bottom rail - Đố hông dưới</v>
          </cell>
          <cell r="H5848" t="str">
            <v>Wood laminate</v>
          </cell>
          <cell r="I5848">
            <v>6</v>
          </cell>
        </row>
        <row r="5849">
          <cell r="A5849" t="str">
            <v>B558380/A</v>
          </cell>
          <cell r="B5849" t="str">
            <v>RH9046M410</v>
          </cell>
          <cell r="C5849">
            <v>3</v>
          </cell>
          <cell r="D5849">
            <v>1089</v>
          </cell>
          <cell r="E5849">
            <v>3267</v>
          </cell>
          <cell r="F5849" t="str">
            <v>A2-S03</v>
          </cell>
          <cell r="G5849" t="str">
            <v>Front Bottom Rail  - Đố đáy trước</v>
          </cell>
          <cell r="H5849" t="str">
            <v>Wood laminate</v>
          </cell>
          <cell r="I5849">
            <v>6</v>
          </cell>
        </row>
        <row r="5850">
          <cell r="A5850" t="str">
            <v>B558380/A</v>
          </cell>
          <cell r="B5850" t="str">
            <v>RH9046M410</v>
          </cell>
          <cell r="C5850">
            <v>3</v>
          </cell>
          <cell r="D5850">
            <v>1089</v>
          </cell>
          <cell r="E5850">
            <v>3267</v>
          </cell>
          <cell r="F5850" t="str">
            <v>A2-S04</v>
          </cell>
          <cell r="G5850" t="str">
            <v>Center bottom rail - Đố đáy giữa</v>
          </cell>
          <cell r="H5850" t="str">
            <v>Standard Wood - ALDER/ASPEN/LENGA/US POPLAR, 2 COM - T25 W120mm+ L2m+</v>
          </cell>
          <cell r="I5850">
            <v>6</v>
          </cell>
        </row>
        <row r="5851">
          <cell r="A5851" t="str">
            <v>B558380/A</v>
          </cell>
          <cell r="B5851" t="str">
            <v>RH9046M410</v>
          </cell>
          <cell r="C5851">
            <v>3</v>
          </cell>
          <cell r="D5851">
            <v>1089</v>
          </cell>
          <cell r="E5851">
            <v>3267</v>
          </cell>
          <cell r="F5851" t="str">
            <v>A3-S01</v>
          </cell>
          <cell r="G5851" t="str">
            <v xml:space="preserve">Top panel  - Ván nóc </v>
          </cell>
          <cell r="H5851" t="str">
            <v>MDF Veneer</v>
          </cell>
          <cell r="I5851">
            <v>3</v>
          </cell>
        </row>
        <row r="5852">
          <cell r="A5852" t="str">
            <v>B558380/A</v>
          </cell>
          <cell r="B5852" t="str">
            <v>RH9046M410</v>
          </cell>
          <cell r="C5852">
            <v>3</v>
          </cell>
          <cell r="D5852">
            <v>1089</v>
          </cell>
          <cell r="E5852">
            <v>3267</v>
          </cell>
          <cell r="F5852" t="str">
            <v>A3-S01-1</v>
          </cell>
          <cell r="G5852" t="str">
            <v>Insert Wood - Gỗ chèn</v>
          </cell>
          <cell r="H5852" t="str">
            <v>Beech off cut</v>
          </cell>
          <cell r="I5852">
            <v>30</v>
          </cell>
        </row>
        <row r="5853">
          <cell r="A5853" t="str">
            <v>B558380/A</v>
          </cell>
          <cell r="B5853" t="str">
            <v>RH9046M410</v>
          </cell>
          <cell r="C5853">
            <v>3</v>
          </cell>
          <cell r="D5853">
            <v>1089</v>
          </cell>
          <cell r="E5853">
            <v>3267</v>
          </cell>
          <cell r="F5853" t="str">
            <v>A3-S02</v>
          </cell>
          <cell r="G5853" t="str">
            <v>Front top rail  - Đố tiền nóc</v>
          </cell>
          <cell r="H5853" t="str">
            <v>Wood laminate</v>
          </cell>
          <cell r="I5853">
            <v>6</v>
          </cell>
        </row>
        <row r="5854">
          <cell r="A5854" t="str">
            <v>B558380/A</v>
          </cell>
          <cell r="B5854" t="str">
            <v>RH9046M410</v>
          </cell>
          <cell r="C5854">
            <v>3</v>
          </cell>
          <cell r="D5854">
            <v>1089</v>
          </cell>
          <cell r="E5854">
            <v>3267</v>
          </cell>
          <cell r="F5854" t="str">
            <v>A3-S02-1</v>
          </cell>
          <cell r="G5854" t="str">
            <v>Insert Wood - Gỗ chèn</v>
          </cell>
          <cell r="H5854" t="str">
            <v>oak off cut</v>
          </cell>
          <cell r="I5854">
            <v>12</v>
          </cell>
        </row>
        <row r="5855">
          <cell r="A5855" t="str">
            <v>B558380/A</v>
          </cell>
          <cell r="B5855" t="str">
            <v>RH9046M410</v>
          </cell>
          <cell r="C5855">
            <v>3</v>
          </cell>
          <cell r="D5855">
            <v>1089</v>
          </cell>
          <cell r="E5855">
            <v>3267</v>
          </cell>
          <cell r="F5855" t="str">
            <v>A3-S03</v>
          </cell>
          <cell r="G5855" t="str">
            <v>Side top rail - Đố hông trên</v>
          </cell>
          <cell r="H5855" t="str">
            <v>Wood laminate</v>
          </cell>
          <cell r="I5855">
            <v>6</v>
          </cell>
        </row>
        <row r="5856">
          <cell r="A5856" t="str">
            <v>B558380/A</v>
          </cell>
          <cell r="B5856" t="str">
            <v>RH9046M410</v>
          </cell>
          <cell r="C5856">
            <v>3</v>
          </cell>
          <cell r="D5856">
            <v>1089</v>
          </cell>
          <cell r="E5856">
            <v>3267</v>
          </cell>
          <cell r="F5856" t="str">
            <v>A3-S04</v>
          </cell>
          <cell r="G5856" t="str">
            <v>Spline - Lưỡi gà</v>
          </cell>
          <cell r="H5856" t="str">
            <v>Plywood LVD - 06 x 1220 x 2440mm, Bleached Poplar Veneer Both Sides [CARB P2 Compliant]</v>
          </cell>
          <cell r="I5856">
            <v>12</v>
          </cell>
        </row>
        <row r="5857">
          <cell r="A5857" t="str">
            <v>B558380/A</v>
          </cell>
          <cell r="B5857" t="str">
            <v>RH9046M410</v>
          </cell>
          <cell r="C5857">
            <v>3</v>
          </cell>
          <cell r="D5857">
            <v>1089</v>
          </cell>
          <cell r="E5857">
            <v>3267</v>
          </cell>
          <cell r="F5857" t="str">
            <v>A3-S05</v>
          </cell>
          <cell r="G5857" t="str">
            <v>Spline - Lưỡi gà</v>
          </cell>
          <cell r="H5857" t="str">
            <v>Plywood LVD - 06 x 1220 x 2440mm, Bleached Poplar Veneer Both Sides [CARB P2 Compliant]</v>
          </cell>
          <cell r="I5857">
            <v>6</v>
          </cell>
        </row>
        <row r="5858">
          <cell r="A5858" t="str">
            <v>B558380/A</v>
          </cell>
          <cell r="B5858" t="str">
            <v>RH9046M410</v>
          </cell>
          <cell r="C5858">
            <v>3</v>
          </cell>
          <cell r="D5858">
            <v>1089</v>
          </cell>
          <cell r="E5858">
            <v>3267</v>
          </cell>
          <cell r="F5858" t="str">
            <v>A3-S07</v>
          </cell>
          <cell r="G5858" t="str">
            <v>Center top rail - Đố nóc giữa</v>
          </cell>
          <cell r="H5858" t="str">
            <v>Wood laminate</v>
          </cell>
          <cell r="I5858">
            <v>6</v>
          </cell>
        </row>
        <row r="5859">
          <cell r="A5859" t="str">
            <v>B558380/A</v>
          </cell>
          <cell r="B5859" t="str">
            <v>RH9046M410</v>
          </cell>
          <cell r="C5859">
            <v>3</v>
          </cell>
          <cell r="D5859">
            <v>1089</v>
          </cell>
          <cell r="E5859">
            <v>3267</v>
          </cell>
          <cell r="F5859" t="str">
            <v>A3-S08</v>
          </cell>
          <cell r="G5859" t="str">
            <v>Center top rail - Đố nóc giữa</v>
          </cell>
          <cell r="H5859" t="str">
            <v>Wood laminate</v>
          </cell>
          <cell r="I5859">
            <v>6</v>
          </cell>
        </row>
        <row r="5860">
          <cell r="A5860" t="str">
            <v>B558380/A</v>
          </cell>
          <cell r="B5860" t="str">
            <v>RH9046M410</v>
          </cell>
          <cell r="C5860">
            <v>3</v>
          </cell>
          <cell r="D5860">
            <v>1089</v>
          </cell>
          <cell r="E5860">
            <v>3267</v>
          </cell>
          <cell r="F5860" t="str">
            <v>A3-S09</v>
          </cell>
          <cell r="G5860" t="str">
            <v>Corner block - ke góc</v>
          </cell>
          <cell r="H5860" t="str">
            <v>Poplar off cut</v>
          </cell>
          <cell r="I5860">
            <v>12</v>
          </cell>
        </row>
        <row r="5861">
          <cell r="A5861" t="str">
            <v>B558380/A</v>
          </cell>
          <cell r="B5861" t="str">
            <v>RH9046M410</v>
          </cell>
          <cell r="C5861">
            <v>3</v>
          </cell>
          <cell r="D5861">
            <v>1089</v>
          </cell>
          <cell r="E5861">
            <v>3267</v>
          </cell>
          <cell r="F5861" t="str">
            <v>A3-S10</v>
          </cell>
          <cell r="G5861" t="str">
            <v xml:space="preserve">Side rail  - Đố hông </v>
          </cell>
          <cell r="H5861" t="str">
            <v>Wood Rubber Laminate Board - 20 x 1220 x 2440mm, Veneer Poplar both Faces</v>
          </cell>
          <cell r="I5861">
            <v>18</v>
          </cell>
        </row>
        <row r="5862">
          <cell r="A5862" t="str">
            <v>B558380/A</v>
          </cell>
          <cell r="B5862" t="str">
            <v>RH9046M410</v>
          </cell>
          <cell r="C5862">
            <v>3</v>
          </cell>
          <cell r="D5862">
            <v>1089</v>
          </cell>
          <cell r="E5862">
            <v>3267</v>
          </cell>
          <cell r="F5862" t="str">
            <v>A3-S11</v>
          </cell>
          <cell r="G5862" t="str">
            <v>Bottom panel - Ván đáy</v>
          </cell>
          <cell r="H5862" t="str">
            <v>MDF - 06 x 1220 x 2440mm, Veneer Okoume 0.3mm Both Faces [CARB P2 Compliant]</v>
          </cell>
          <cell r="I5862">
            <v>12</v>
          </cell>
        </row>
        <row r="5863">
          <cell r="A5863" t="str">
            <v>B558380/A</v>
          </cell>
          <cell r="B5863" t="str">
            <v>RH9046M410</v>
          </cell>
          <cell r="C5863">
            <v>3</v>
          </cell>
          <cell r="D5863">
            <v>1089</v>
          </cell>
          <cell r="E5863">
            <v>3267</v>
          </cell>
          <cell r="F5863" t="str">
            <v>A4</v>
          </cell>
          <cell r="G5863" t="str">
            <v>support Top - đỡ nóc</v>
          </cell>
          <cell r="H5863" t="str">
            <v>Pre-Assembly</v>
          </cell>
          <cell r="I5863">
            <v>3</v>
          </cell>
        </row>
        <row r="5864">
          <cell r="A5864" t="str">
            <v>B558380/A</v>
          </cell>
          <cell r="B5864" t="str">
            <v>RH9046M410</v>
          </cell>
          <cell r="C5864">
            <v>3</v>
          </cell>
          <cell r="D5864">
            <v>1089</v>
          </cell>
          <cell r="E5864">
            <v>3267</v>
          </cell>
          <cell r="F5864" t="str">
            <v>A4-S01</v>
          </cell>
          <cell r="G5864" t="str">
            <v xml:space="preserve">Panel - Ván </v>
          </cell>
          <cell r="H5864" t="str">
            <v>MDF Veneer</v>
          </cell>
          <cell r="I5864">
            <v>6</v>
          </cell>
        </row>
        <row r="5865">
          <cell r="A5865" t="str">
            <v>B558380/A</v>
          </cell>
          <cell r="B5865" t="str">
            <v>RH9046M410</v>
          </cell>
          <cell r="C5865">
            <v>3</v>
          </cell>
          <cell r="D5865">
            <v>1089</v>
          </cell>
          <cell r="E5865">
            <v>3267</v>
          </cell>
          <cell r="F5865" t="str">
            <v>A4-S02</v>
          </cell>
          <cell r="G5865" t="str">
            <v xml:space="preserve">Panel - Ván </v>
          </cell>
          <cell r="H5865" t="str">
            <v>Cement Board - 18 x 1220 x 2440mm, Dark Grey</v>
          </cell>
          <cell r="I5865">
            <v>3</v>
          </cell>
        </row>
        <row r="5866">
          <cell r="A5866" t="str">
            <v>B558380/A</v>
          </cell>
          <cell r="B5866" t="str">
            <v>RH9046M410</v>
          </cell>
          <cell r="C5866">
            <v>3</v>
          </cell>
          <cell r="D5866">
            <v>1089</v>
          </cell>
          <cell r="E5866">
            <v>3267</v>
          </cell>
          <cell r="F5866" t="str">
            <v>A4-S03</v>
          </cell>
          <cell r="G5866" t="str">
            <v>inside rail - do trong</v>
          </cell>
          <cell r="H5866" t="str">
            <v>MDF - 18 x 1830 x 2440mm [CARB P2 Compliant]</v>
          </cell>
          <cell r="I5866">
            <v>6</v>
          </cell>
        </row>
        <row r="5867">
          <cell r="A5867" t="str">
            <v>B558380/A</v>
          </cell>
          <cell r="B5867" t="str">
            <v>RH9046M410</v>
          </cell>
          <cell r="C5867">
            <v>3</v>
          </cell>
          <cell r="D5867">
            <v>1089</v>
          </cell>
          <cell r="E5867">
            <v>3267</v>
          </cell>
          <cell r="F5867" t="str">
            <v>A4-S04</v>
          </cell>
          <cell r="G5867" t="str">
            <v>inside rail - do trong</v>
          </cell>
          <cell r="H5867" t="str">
            <v>MDF - 18 x 1830 x 2440mm [CARB P2 Compliant]</v>
          </cell>
          <cell r="I5867">
            <v>6</v>
          </cell>
        </row>
        <row r="5868">
          <cell r="A5868" t="str">
            <v>B558380/A</v>
          </cell>
          <cell r="B5868" t="str">
            <v>RH9046M410</v>
          </cell>
          <cell r="C5868">
            <v>3</v>
          </cell>
          <cell r="D5868">
            <v>1089</v>
          </cell>
          <cell r="E5868">
            <v>3267</v>
          </cell>
          <cell r="F5868" t="str">
            <v>P02</v>
          </cell>
          <cell r="G5868" t="str">
            <v>vaccumn veneer - cảo bich veneer</v>
          </cell>
          <cell r="H5868" t="str">
            <v>MDF Veneer</v>
          </cell>
          <cell r="I5868">
            <v>6</v>
          </cell>
        </row>
        <row r="5869">
          <cell r="A5869" t="str">
            <v>B558380/A</v>
          </cell>
          <cell r="B5869" t="str">
            <v>RH9046M410</v>
          </cell>
          <cell r="C5869">
            <v>3</v>
          </cell>
          <cell r="D5869">
            <v>1089</v>
          </cell>
          <cell r="E5869">
            <v>3267</v>
          </cell>
          <cell r="F5869" t="str">
            <v>P02-1</v>
          </cell>
          <cell r="G5869" t="str">
            <v xml:space="preserve">Panel - Ván </v>
          </cell>
          <cell r="H5869" t="str">
            <v>MDF Veneer</v>
          </cell>
          <cell r="I5869">
            <v>6</v>
          </cell>
        </row>
        <row r="5870">
          <cell r="A5870" t="str">
            <v>B558380/A</v>
          </cell>
          <cell r="B5870" t="str">
            <v>RH9046M410</v>
          </cell>
          <cell r="C5870">
            <v>3</v>
          </cell>
          <cell r="D5870">
            <v>1089</v>
          </cell>
          <cell r="E5870">
            <v>3267</v>
          </cell>
          <cell r="F5870" t="str">
            <v>P02-2</v>
          </cell>
          <cell r="G5870" t="str">
            <v>MDF - MDF</v>
          </cell>
          <cell r="H5870" t="str">
            <v>MDF - 09 x 1830 x 2440mm [CARB P2 Compliant]</v>
          </cell>
          <cell r="I5870">
            <v>6</v>
          </cell>
        </row>
        <row r="5871">
          <cell r="A5871" t="str">
            <v>B558380/A</v>
          </cell>
          <cell r="B5871" t="str">
            <v>RH9046M410</v>
          </cell>
          <cell r="C5871">
            <v>3</v>
          </cell>
          <cell r="D5871">
            <v>1089</v>
          </cell>
          <cell r="E5871">
            <v>3267</v>
          </cell>
          <cell r="F5871" t="str">
            <v>P02-3</v>
          </cell>
          <cell r="G5871" t="str">
            <v xml:space="preserve">Panel - Ván </v>
          </cell>
          <cell r="H5871" t="str">
            <v>MDF - 25 x 1830 x 2440mm [CARB P2 Compliant]</v>
          </cell>
          <cell r="I5871">
            <v>12</v>
          </cell>
        </row>
        <row r="5872">
          <cell r="A5872" t="str">
            <v>B558380/A</v>
          </cell>
          <cell r="B5872" t="str">
            <v>RH9046M410</v>
          </cell>
          <cell r="C5872">
            <v>3</v>
          </cell>
          <cell r="D5872">
            <v>1089</v>
          </cell>
          <cell r="E5872">
            <v>3267</v>
          </cell>
          <cell r="F5872" t="str">
            <v>P02-4</v>
          </cell>
          <cell r="G5872" t="str">
            <v xml:space="preserve">Panel - Ván </v>
          </cell>
          <cell r="H5872" t="str">
            <v>MDF laminate</v>
          </cell>
          <cell r="I5872">
            <v>12</v>
          </cell>
        </row>
        <row r="5873">
          <cell r="A5873" t="str">
            <v>B558380/A</v>
          </cell>
          <cell r="B5873" t="str">
            <v>RH9046M410</v>
          </cell>
          <cell r="C5873">
            <v>3</v>
          </cell>
          <cell r="D5873">
            <v>1089</v>
          </cell>
          <cell r="E5873">
            <v>3267</v>
          </cell>
          <cell r="F5873" t="str">
            <v>P02-5</v>
          </cell>
          <cell r="G5873" t="str">
            <v xml:space="preserve">Panel - Ván </v>
          </cell>
          <cell r="H5873" t="str">
            <v>Cement lamilated</v>
          </cell>
          <cell r="I5873">
            <v>6</v>
          </cell>
        </row>
        <row r="5874">
          <cell r="A5874" t="str">
            <v>B558380/A</v>
          </cell>
          <cell r="B5874" t="str">
            <v>RH9046M410</v>
          </cell>
          <cell r="C5874">
            <v>3</v>
          </cell>
          <cell r="D5874">
            <v>1089</v>
          </cell>
          <cell r="E5874">
            <v>3267</v>
          </cell>
          <cell r="F5874" t="str">
            <v>P03</v>
          </cell>
          <cell r="G5874" t="str">
            <v>Spline - Lưỡi gà</v>
          </cell>
          <cell r="H5874" t="str">
            <v>Plywood LVD - 09 x 1220 x 2440mm, Bleached Poplar Veneer Both Sides [CARB P2 Compliant]</v>
          </cell>
          <cell r="I5874">
            <v>12</v>
          </cell>
        </row>
        <row r="5875">
          <cell r="A5875" t="str">
            <v>B558382/A</v>
          </cell>
          <cell r="B5875" t="str">
            <v>RH9049M396</v>
          </cell>
          <cell r="C5875">
            <v>16</v>
          </cell>
          <cell r="D5875">
            <v>535</v>
          </cell>
          <cell r="E5875">
            <v>8560</v>
          </cell>
          <cell r="F5875" t="str">
            <v>A1-S00</v>
          </cell>
          <cell r="G5875" t="str">
            <v>vaccumn veneer - cảo bich veneer</v>
          </cell>
          <cell r="H5875" t="str">
            <v>MDF Veneer</v>
          </cell>
          <cell r="I5875">
            <v>32</v>
          </cell>
        </row>
        <row r="5876">
          <cell r="A5876" t="str">
            <v>B558382/A</v>
          </cell>
          <cell r="B5876" t="str">
            <v>RH9049M396</v>
          </cell>
          <cell r="C5876">
            <v>16</v>
          </cell>
          <cell r="D5876">
            <v>535</v>
          </cell>
          <cell r="E5876">
            <v>8560</v>
          </cell>
          <cell r="F5876" t="str">
            <v>A1-S00-1</v>
          </cell>
          <cell r="G5876" t="str">
            <v>MDF - MDF</v>
          </cell>
          <cell r="H5876" t="str">
            <v>MDF laminate</v>
          </cell>
          <cell r="I5876">
            <v>128</v>
          </cell>
        </row>
        <row r="5877">
          <cell r="A5877" t="str">
            <v>B558382/A</v>
          </cell>
          <cell r="B5877" t="str">
            <v>RH9049M396</v>
          </cell>
          <cell r="C5877">
            <v>16</v>
          </cell>
          <cell r="D5877">
            <v>535</v>
          </cell>
          <cell r="E5877">
            <v>8560</v>
          </cell>
          <cell r="F5877" t="str">
            <v>A1-S00-2</v>
          </cell>
          <cell r="G5877" t="str">
            <v>MDF - MDF</v>
          </cell>
          <cell r="H5877" t="str">
            <v>MDF laminate</v>
          </cell>
          <cell r="I5877">
            <v>32</v>
          </cell>
        </row>
        <row r="5878">
          <cell r="A5878" t="str">
            <v>B558382/A</v>
          </cell>
          <cell r="B5878" t="str">
            <v>RH9049M396</v>
          </cell>
          <cell r="C5878">
            <v>16</v>
          </cell>
          <cell r="D5878">
            <v>535</v>
          </cell>
          <cell r="E5878">
            <v>8560</v>
          </cell>
          <cell r="F5878" t="str">
            <v>A1-S00-3</v>
          </cell>
          <cell r="G5878" t="str">
            <v>MDF - MDF</v>
          </cell>
          <cell r="H5878" t="str">
            <v>MDF laminate</v>
          </cell>
          <cell r="I5878">
            <v>32</v>
          </cell>
        </row>
        <row r="5879">
          <cell r="A5879" t="str">
            <v>B558382/A</v>
          </cell>
          <cell r="B5879" t="str">
            <v>RH9049M396</v>
          </cell>
          <cell r="C5879">
            <v>16</v>
          </cell>
          <cell r="D5879">
            <v>535</v>
          </cell>
          <cell r="E5879">
            <v>8560</v>
          </cell>
          <cell r="F5879" t="str">
            <v>A1-S01</v>
          </cell>
          <cell r="G5879" t="str">
            <v xml:space="preserve">Side panel  - Ván hông </v>
          </cell>
          <cell r="H5879" t="str">
            <v>MDF Veneer</v>
          </cell>
          <cell r="I5879">
            <v>32</v>
          </cell>
        </row>
        <row r="5880">
          <cell r="A5880" t="str">
            <v>B558382/A</v>
          </cell>
          <cell r="B5880" t="str">
            <v>RH9049M396</v>
          </cell>
          <cell r="C5880">
            <v>16</v>
          </cell>
          <cell r="D5880">
            <v>535</v>
          </cell>
          <cell r="E5880">
            <v>8560</v>
          </cell>
          <cell r="F5880" t="str">
            <v>A1-S02</v>
          </cell>
          <cell r="G5880" t="str">
            <v xml:space="preserve">Side panel  - Ván hông </v>
          </cell>
          <cell r="H5880" t="str">
            <v>MDF Veneer</v>
          </cell>
          <cell r="I5880">
            <v>32</v>
          </cell>
        </row>
        <row r="5881">
          <cell r="A5881" t="str">
            <v>B558382/A</v>
          </cell>
          <cell r="B5881" t="str">
            <v>RH9049M396</v>
          </cell>
          <cell r="C5881">
            <v>16</v>
          </cell>
          <cell r="D5881">
            <v>535</v>
          </cell>
          <cell r="E5881">
            <v>8560</v>
          </cell>
          <cell r="F5881" t="str">
            <v>A1-S03</v>
          </cell>
          <cell r="G5881" t="str">
            <v>Cleat - Bọ gỗ</v>
          </cell>
          <cell r="H5881" t="str">
            <v>Poplar off cut</v>
          </cell>
          <cell r="I5881">
            <v>64</v>
          </cell>
        </row>
        <row r="5882">
          <cell r="A5882" t="str">
            <v>B558382/A</v>
          </cell>
          <cell r="B5882" t="str">
            <v>RH9049M396</v>
          </cell>
          <cell r="C5882">
            <v>16</v>
          </cell>
          <cell r="D5882">
            <v>535</v>
          </cell>
          <cell r="E5882">
            <v>8560</v>
          </cell>
          <cell r="F5882" t="str">
            <v>A1-S04</v>
          </cell>
          <cell r="G5882" t="str">
            <v>Insert Wood - Gỗ chèn</v>
          </cell>
          <cell r="H5882" t="str">
            <v>Standard Wood - ALDER/ASPEN/LENGA/US POPLAR, 2 COM - T25 W120mm+ L2m+</v>
          </cell>
          <cell r="I5882">
            <v>64</v>
          </cell>
        </row>
        <row r="5883">
          <cell r="A5883" t="str">
            <v>B558382/A</v>
          </cell>
          <cell r="B5883" t="str">
            <v>RH9049M396</v>
          </cell>
          <cell r="C5883">
            <v>16</v>
          </cell>
          <cell r="D5883">
            <v>535</v>
          </cell>
          <cell r="E5883">
            <v>8560</v>
          </cell>
          <cell r="F5883" t="str">
            <v>A1-S05</v>
          </cell>
          <cell r="G5883" t="str">
            <v xml:space="preserve">Top panel  - Ván nóc </v>
          </cell>
          <cell r="H5883" t="str">
            <v>Plywood LVD - 18 x 1220 x 2440mm, Bleached Poplar Veneer Both Sides [CARB P2 Compliant]</v>
          </cell>
          <cell r="I5883">
            <v>32</v>
          </cell>
        </row>
        <row r="5884">
          <cell r="A5884" t="str">
            <v>B558382/A</v>
          </cell>
          <cell r="B5884" t="str">
            <v>RH9049M396</v>
          </cell>
          <cell r="C5884">
            <v>16</v>
          </cell>
          <cell r="D5884">
            <v>535</v>
          </cell>
          <cell r="E5884">
            <v>8560</v>
          </cell>
          <cell r="F5884" t="str">
            <v>A1-S07</v>
          </cell>
          <cell r="G5884" t="str">
            <v>Cleat - Bọ gỗ</v>
          </cell>
          <cell r="H5884" t="str">
            <v>Standard Wood - ALDER/ASPEN/LENGA/US POPLAR, 2 COM - T25 W120mm+ L2m+</v>
          </cell>
          <cell r="I5884">
            <v>64</v>
          </cell>
        </row>
        <row r="5885">
          <cell r="A5885" t="str">
            <v>B558382/A</v>
          </cell>
          <cell r="B5885" t="str">
            <v>RH9049M396</v>
          </cell>
          <cell r="C5885">
            <v>16</v>
          </cell>
          <cell r="D5885">
            <v>535</v>
          </cell>
          <cell r="E5885">
            <v>8560</v>
          </cell>
          <cell r="F5885" t="str">
            <v>A1-S08</v>
          </cell>
          <cell r="G5885" t="str">
            <v xml:space="preserve">Panel - Ván </v>
          </cell>
          <cell r="H5885" t="str">
            <v>Cement lamilated</v>
          </cell>
          <cell r="I5885">
            <v>32</v>
          </cell>
        </row>
        <row r="5886">
          <cell r="A5886" t="str">
            <v>B558382/A</v>
          </cell>
          <cell r="B5886" t="str">
            <v>RH9049M396</v>
          </cell>
          <cell r="C5886">
            <v>16</v>
          </cell>
          <cell r="D5886">
            <v>535</v>
          </cell>
          <cell r="E5886">
            <v>8560</v>
          </cell>
          <cell r="F5886" t="str">
            <v>A1-S08-1</v>
          </cell>
          <cell r="G5886" t="str">
            <v xml:space="preserve">Panel - Ván </v>
          </cell>
          <cell r="H5886" t="str">
            <v>Cement Board - 18 x 1220 x 2440mm, Dark Grey</v>
          </cell>
          <cell r="I5886">
            <v>32</v>
          </cell>
        </row>
        <row r="5887">
          <cell r="A5887" t="str">
            <v>B558382/A</v>
          </cell>
          <cell r="B5887" t="str">
            <v>RH9049M396</v>
          </cell>
          <cell r="C5887">
            <v>16</v>
          </cell>
          <cell r="D5887">
            <v>535</v>
          </cell>
          <cell r="E5887">
            <v>8560</v>
          </cell>
          <cell r="F5887" t="str">
            <v>A1-S08-2</v>
          </cell>
          <cell r="G5887" t="str">
            <v xml:space="preserve">Panel - Ván </v>
          </cell>
          <cell r="H5887" t="str">
            <v>Cement Board - 18 x 1220 x 2440mm, Dark Grey</v>
          </cell>
          <cell r="I5887">
            <v>32</v>
          </cell>
        </row>
        <row r="5888">
          <cell r="A5888" t="str">
            <v>B558382/A</v>
          </cell>
          <cell r="B5888" t="str">
            <v>RH9049M396</v>
          </cell>
          <cell r="C5888">
            <v>16</v>
          </cell>
          <cell r="D5888">
            <v>535</v>
          </cell>
          <cell r="E5888">
            <v>8560</v>
          </cell>
          <cell r="F5888" t="str">
            <v>A2</v>
          </cell>
          <cell r="G5888" t="str">
            <v>Bottom frame - Khung dưới</v>
          </cell>
          <cell r="H5888" t="str">
            <v>Pre-Assembly</v>
          </cell>
          <cell r="I5888">
            <v>16</v>
          </cell>
        </row>
        <row r="5889">
          <cell r="A5889" t="str">
            <v>B558382/A</v>
          </cell>
          <cell r="B5889" t="str">
            <v>RH9049M396</v>
          </cell>
          <cell r="C5889">
            <v>16</v>
          </cell>
          <cell r="D5889">
            <v>535</v>
          </cell>
          <cell r="E5889">
            <v>8560</v>
          </cell>
          <cell r="F5889" t="str">
            <v>A2-S01</v>
          </cell>
          <cell r="G5889" t="str">
            <v>Bottom panel - Ván đáy</v>
          </cell>
          <cell r="H5889" t="str">
            <v>MDF Veneer</v>
          </cell>
          <cell r="I5889">
            <v>16</v>
          </cell>
        </row>
        <row r="5890">
          <cell r="A5890" t="str">
            <v>B558382/A</v>
          </cell>
          <cell r="B5890" t="str">
            <v>RH9049M396</v>
          </cell>
          <cell r="C5890">
            <v>16</v>
          </cell>
          <cell r="D5890">
            <v>535</v>
          </cell>
          <cell r="E5890">
            <v>8560</v>
          </cell>
          <cell r="F5890" t="str">
            <v>A2-S02</v>
          </cell>
          <cell r="G5890" t="str">
            <v xml:space="preserve">Side rail  - Đố hông </v>
          </cell>
          <cell r="H5890" t="str">
            <v>Wood laminate</v>
          </cell>
          <cell r="I5890">
            <v>32</v>
          </cell>
        </row>
        <row r="5891">
          <cell r="A5891" t="str">
            <v>B558382/A</v>
          </cell>
          <cell r="B5891" t="str">
            <v>RH9049M396</v>
          </cell>
          <cell r="C5891">
            <v>16</v>
          </cell>
          <cell r="D5891">
            <v>535</v>
          </cell>
          <cell r="E5891">
            <v>8560</v>
          </cell>
          <cell r="F5891" t="str">
            <v>A2-S03</v>
          </cell>
          <cell r="G5891" t="str">
            <v>Front rail  - Đố tiền</v>
          </cell>
          <cell r="H5891" t="str">
            <v>Wood laminate</v>
          </cell>
          <cell r="I5891">
            <v>32</v>
          </cell>
        </row>
        <row r="5892">
          <cell r="A5892" t="str">
            <v>B558382/A</v>
          </cell>
          <cell r="B5892" t="str">
            <v>RH9049M396</v>
          </cell>
          <cell r="C5892">
            <v>16</v>
          </cell>
          <cell r="D5892">
            <v>535</v>
          </cell>
          <cell r="E5892">
            <v>8560</v>
          </cell>
          <cell r="F5892" t="str">
            <v>A3-S01</v>
          </cell>
          <cell r="G5892" t="str">
            <v>Front rail  - Đố tiền</v>
          </cell>
          <cell r="H5892" t="str">
            <v>Wood laminate</v>
          </cell>
          <cell r="I5892">
            <v>32</v>
          </cell>
        </row>
        <row r="5893">
          <cell r="A5893" t="str">
            <v>B558382/A</v>
          </cell>
          <cell r="B5893" t="str">
            <v>RH9049M396</v>
          </cell>
          <cell r="C5893">
            <v>16</v>
          </cell>
          <cell r="D5893">
            <v>535</v>
          </cell>
          <cell r="E5893">
            <v>8560</v>
          </cell>
          <cell r="F5893" t="str">
            <v>A3-S02</v>
          </cell>
          <cell r="G5893" t="str">
            <v xml:space="preserve">Side rail  - Đố hông </v>
          </cell>
          <cell r="H5893" t="str">
            <v>Wood laminate</v>
          </cell>
          <cell r="I5893">
            <v>32</v>
          </cell>
        </row>
        <row r="5894">
          <cell r="A5894" t="str">
            <v>B558382/A</v>
          </cell>
          <cell r="B5894" t="str">
            <v>RH9049M396</v>
          </cell>
          <cell r="C5894">
            <v>16</v>
          </cell>
          <cell r="D5894">
            <v>535</v>
          </cell>
          <cell r="E5894">
            <v>8560</v>
          </cell>
          <cell r="F5894" t="str">
            <v>A4-S01</v>
          </cell>
          <cell r="G5894" t="str">
            <v xml:space="preserve">Top panel  - Ván nóc </v>
          </cell>
          <cell r="H5894" t="str">
            <v>MDF Veneer</v>
          </cell>
          <cell r="I5894">
            <v>16</v>
          </cell>
        </row>
        <row r="5895">
          <cell r="A5895" t="str">
            <v>B558382/A</v>
          </cell>
          <cell r="B5895" t="str">
            <v>RH9049M396</v>
          </cell>
          <cell r="C5895">
            <v>16</v>
          </cell>
          <cell r="D5895">
            <v>535</v>
          </cell>
          <cell r="E5895">
            <v>8560</v>
          </cell>
          <cell r="F5895" t="str">
            <v>A4-S02</v>
          </cell>
          <cell r="G5895" t="str">
            <v xml:space="preserve">Side rail  - Đố hông </v>
          </cell>
          <cell r="H5895" t="str">
            <v>Wood laminate</v>
          </cell>
          <cell r="I5895">
            <v>64</v>
          </cell>
        </row>
        <row r="5896">
          <cell r="A5896" t="str">
            <v>B558382/A</v>
          </cell>
          <cell r="B5896" t="str">
            <v>RH9049M396</v>
          </cell>
          <cell r="C5896">
            <v>16</v>
          </cell>
          <cell r="D5896">
            <v>535</v>
          </cell>
          <cell r="E5896">
            <v>8560</v>
          </cell>
          <cell r="F5896" t="str">
            <v>A4-S03</v>
          </cell>
          <cell r="G5896" t="str">
            <v>Insert Wood - Gỗ chèn</v>
          </cell>
          <cell r="H5896" t="str">
            <v>Beech off cut</v>
          </cell>
          <cell r="I5896">
            <v>64</v>
          </cell>
        </row>
        <row r="5897">
          <cell r="A5897" t="str">
            <v>B558382/A</v>
          </cell>
          <cell r="B5897" t="str">
            <v>RH9049M396</v>
          </cell>
          <cell r="C5897">
            <v>16</v>
          </cell>
          <cell r="D5897">
            <v>535</v>
          </cell>
          <cell r="E5897">
            <v>8560</v>
          </cell>
          <cell r="F5897" t="str">
            <v>P01</v>
          </cell>
          <cell r="G5897" t="str">
            <v>support Top - đỡ nóc</v>
          </cell>
          <cell r="H5897" t="str">
            <v>Plywood LVD - 18 x 1220 x 2440mm, Bleached Poplar Veneer Both Sides [CARB P2 Compliant]</v>
          </cell>
          <cell r="I5897">
            <v>16</v>
          </cell>
        </row>
        <row r="5898">
          <cell r="A5898" t="str">
            <v>B558385/A</v>
          </cell>
          <cell r="B5898" t="str">
            <v>RH9049M397</v>
          </cell>
          <cell r="C5898">
            <v>2</v>
          </cell>
          <cell r="D5898">
            <v>535</v>
          </cell>
          <cell r="E5898">
            <v>1070</v>
          </cell>
          <cell r="F5898" t="str">
            <v>A1-S00</v>
          </cell>
          <cell r="G5898" t="str">
            <v>vaccumn veneer - cảo bich veneer</v>
          </cell>
          <cell r="H5898" t="str">
            <v>MDF Veneer</v>
          </cell>
          <cell r="I5898">
            <v>4</v>
          </cell>
        </row>
        <row r="5899">
          <cell r="A5899" t="str">
            <v>B558385/A</v>
          </cell>
          <cell r="B5899" t="str">
            <v>RH9049M397</v>
          </cell>
          <cell r="C5899">
            <v>2</v>
          </cell>
          <cell r="D5899">
            <v>535</v>
          </cell>
          <cell r="E5899">
            <v>1070</v>
          </cell>
          <cell r="F5899" t="str">
            <v>A1-S00-1</v>
          </cell>
          <cell r="G5899" t="str">
            <v>MDF - MDF</v>
          </cell>
          <cell r="H5899" t="str">
            <v>MDF laminate</v>
          </cell>
          <cell r="I5899">
            <v>16</v>
          </cell>
        </row>
        <row r="5900">
          <cell r="A5900" t="str">
            <v>B558385/A</v>
          </cell>
          <cell r="B5900" t="str">
            <v>RH9049M397</v>
          </cell>
          <cell r="C5900">
            <v>2</v>
          </cell>
          <cell r="D5900">
            <v>535</v>
          </cell>
          <cell r="E5900">
            <v>1070</v>
          </cell>
          <cell r="F5900" t="str">
            <v>A1-S00-2</v>
          </cell>
          <cell r="G5900" t="str">
            <v>MDF - MDF</v>
          </cell>
          <cell r="H5900" t="str">
            <v>MDF laminate</v>
          </cell>
          <cell r="I5900">
            <v>4</v>
          </cell>
        </row>
        <row r="5901">
          <cell r="A5901" t="str">
            <v>B558385/A</v>
          </cell>
          <cell r="B5901" t="str">
            <v>RH9049M397</v>
          </cell>
          <cell r="C5901">
            <v>2</v>
          </cell>
          <cell r="D5901">
            <v>535</v>
          </cell>
          <cell r="E5901">
            <v>1070</v>
          </cell>
          <cell r="F5901" t="str">
            <v>A1-S00-3</v>
          </cell>
          <cell r="G5901" t="str">
            <v>MDF - MDF</v>
          </cell>
          <cell r="H5901" t="str">
            <v>MDF laminate</v>
          </cell>
          <cell r="I5901">
            <v>4</v>
          </cell>
        </row>
        <row r="5902">
          <cell r="A5902" t="str">
            <v>B558385/A</v>
          </cell>
          <cell r="B5902" t="str">
            <v>RH9049M397</v>
          </cell>
          <cell r="C5902">
            <v>2</v>
          </cell>
          <cell r="D5902">
            <v>535</v>
          </cell>
          <cell r="E5902">
            <v>1070</v>
          </cell>
          <cell r="F5902" t="str">
            <v>A1-S01</v>
          </cell>
          <cell r="G5902" t="str">
            <v xml:space="preserve">Side panel  - Ván hông </v>
          </cell>
          <cell r="H5902" t="str">
            <v>MDF Veneer</v>
          </cell>
          <cell r="I5902">
            <v>4</v>
          </cell>
        </row>
        <row r="5903">
          <cell r="A5903" t="str">
            <v>B558385/A</v>
          </cell>
          <cell r="B5903" t="str">
            <v>RH9049M397</v>
          </cell>
          <cell r="C5903">
            <v>2</v>
          </cell>
          <cell r="D5903">
            <v>535</v>
          </cell>
          <cell r="E5903">
            <v>1070</v>
          </cell>
          <cell r="F5903" t="str">
            <v>A1-S02</v>
          </cell>
          <cell r="G5903" t="str">
            <v xml:space="preserve">Side panel  - Ván hông </v>
          </cell>
          <cell r="H5903" t="str">
            <v>MDF Veneer</v>
          </cell>
          <cell r="I5903">
            <v>4</v>
          </cell>
        </row>
        <row r="5904">
          <cell r="A5904" t="str">
            <v>B558385/A</v>
          </cell>
          <cell r="B5904" t="str">
            <v>RH9049M397</v>
          </cell>
          <cell r="C5904">
            <v>2</v>
          </cell>
          <cell r="D5904">
            <v>535</v>
          </cell>
          <cell r="E5904">
            <v>1070</v>
          </cell>
          <cell r="F5904" t="str">
            <v>A1-S03</v>
          </cell>
          <cell r="G5904" t="str">
            <v>Cleat - Bọ gỗ</v>
          </cell>
          <cell r="H5904" t="str">
            <v>Poplar off cut</v>
          </cell>
          <cell r="I5904">
            <v>8</v>
          </cell>
        </row>
        <row r="5905">
          <cell r="A5905" t="str">
            <v>B558385/A</v>
          </cell>
          <cell r="B5905" t="str">
            <v>RH9049M397</v>
          </cell>
          <cell r="C5905">
            <v>2</v>
          </cell>
          <cell r="D5905">
            <v>535</v>
          </cell>
          <cell r="E5905">
            <v>1070</v>
          </cell>
          <cell r="F5905" t="str">
            <v>A1-S04</v>
          </cell>
          <cell r="G5905" t="str">
            <v>Insert Wood - Gỗ chèn</v>
          </cell>
          <cell r="H5905" t="str">
            <v>Standard Wood - ALDER/ASPEN/LENGA/US POPLAR, 2 COM - T25 W120mm+ L2m+</v>
          </cell>
          <cell r="I5905">
            <v>8</v>
          </cell>
        </row>
        <row r="5906">
          <cell r="A5906" t="str">
            <v>B558385/A</v>
          </cell>
          <cell r="B5906" t="str">
            <v>RH9049M397</v>
          </cell>
          <cell r="C5906">
            <v>2</v>
          </cell>
          <cell r="D5906">
            <v>535</v>
          </cell>
          <cell r="E5906">
            <v>1070</v>
          </cell>
          <cell r="F5906" t="str">
            <v>A1-S05</v>
          </cell>
          <cell r="G5906" t="str">
            <v xml:space="preserve">Top panel  - Ván nóc </v>
          </cell>
          <cell r="H5906" t="str">
            <v>Plywood LVD - 18 x 1220 x 2440mm, Bleached Poplar Veneer Both Sides [CARB P2 Compliant]</v>
          </cell>
          <cell r="I5906">
            <v>4</v>
          </cell>
        </row>
        <row r="5907">
          <cell r="A5907" t="str">
            <v>B558385/A</v>
          </cell>
          <cell r="B5907" t="str">
            <v>RH9049M397</v>
          </cell>
          <cell r="C5907">
            <v>2</v>
          </cell>
          <cell r="D5907">
            <v>535</v>
          </cell>
          <cell r="E5907">
            <v>1070</v>
          </cell>
          <cell r="F5907" t="str">
            <v>A1-S07</v>
          </cell>
          <cell r="G5907" t="str">
            <v>Cleat - Bọ gỗ</v>
          </cell>
          <cell r="H5907" t="str">
            <v>Standard Wood - ALDER/ASPEN/LENGA/US POPLAR, 2 COM - T25 W120mm+ L2m+</v>
          </cell>
          <cell r="I5907">
            <v>8</v>
          </cell>
        </row>
        <row r="5908">
          <cell r="A5908" t="str">
            <v>B558385/A</v>
          </cell>
          <cell r="B5908" t="str">
            <v>RH9049M397</v>
          </cell>
          <cell r="C5908">
            <v>2</v>
          </cell>
          <cell r="D5908">
            <v>535</v>
          </cell>
          <cell r="E5908">
            <v>1070</v>
          </cell>
          <cell r="F5908" t="str">
            <v>A1-S08</v>
          </cell>
          <cell r="G5908" t="str">
            <v xml:space="preserve">Panel - Ván </v>
          </cell>
          <cell r="H5908" t="str">
            <v>Cement lamilated</v>
          </cell>
          <cell r="I5908">
            <v>4</v>
          </cell>
        </row>
        <row r="5909">
          <cell r="A5909" t="str">
            <v>B558385/A</v>
          </cell>
          <cell r="B5909" t="str">
            <v>RH9049M397</v>
          </cell>
          <cell r="C5909">
            <v>2</v>
          </cell>
          <cell r="D5909">
            <v>535</v>
          </cell>
          <cell r="E5909">
            <v>1070</v>
          </cell>
          <cell r="F5909" t="str">
            <v>A1-S08-1</v>
          </cell>
          <cell r="G5909" t="str">
            <v xml:space="preserve">Panel - Ván </v>
          </cell>
          <cell r="H5909" t="str">
            <v>Cement Board - 18 x 1220 x 2440mm, Dark Grey</v>
          </cell>
          <cell r="I5909">
            <v>4</v>
          </cell>
        </row>
        <row r="5910">
          <cell r="A5910" t="str">
            <v>B558385/A</v>
          </cell>
          <cell r="B5910" t="str">
            <v>RH9049M397</v>
          </cell>
          <cell r="C5910">
            <v>2</v>
          </cell>
          <cell r="D5910">
            <v>535</v>
          </cell>
          <cell r="E5910">
            <v>1070</v>
          </cell>
          <cell r="F5910" t="str">
            <v>A1-S08-2</v>
          </cell>
          <cell r="G5910" t="str">
            <v xml:space="preserve">Panel - Ván </v>
          </cell>
          <cell r="H5910" t="str">
            <v>Cement Board - 18 x 1220 x 2440mm, Dark Grey</v>
          </cell>
          <cell r="I5910">
            <v>4</v>
          </cell>
        </row>
        <row r="5911">
          <cell r="A5911" t="str">
            <v>B558385/A</v>
          </cell>
          <cell r="B5911" t="str">
            <v>RH9049M397</v>
          </cell>
          <cell r="C5911">
            <v>2</v>
          </cell>
          <cell r="D5911">
            <v>535</v>
          </cell>
          <cell r="E5911">
            <v>1070</v>
          </cell>
          <cell r="F5911" t="str">
            <v>A2</v>
          </cell>
          <cell r="G5911" t="str">
            <v>Bottom frame - Khung dưới</v>
          </cell>
          <cell r="H5911" t="str">
            <v>Pre-Assembly</v>
          </cell>
          <cell r="I5911">
            <v>2</v>
          </cell>
        </row>
        <row r="5912">
          <cell r="A5912" t="str">
            <v>B558385/A</v>
          </cell>
          <cell r="B5912" t="str">
            <v>RH9049M397</v>
          </cell>
          <cell r="C5912">
            <v>2</v>
          </cell>
          <cell r="D5912">
            <v>535</v>
          </cell>
          <cell r="E5912">
            <v>1070</v>
          </cell>
          <cell r="F5912" t="str">
            <v>A2-S01</v>
          </cell>
          <cell r="G5912" t="str">
            <v>Bottom panel - Ván đáy</v>
          </cell>
          <cell r="H5912" t="str">
            <v>MDF Veneer</v>
          </cell>
          <cell r="I5912">
            <v>2</v>
          </cell>
        </row>
        <row r="5913">
          <cell r="A5913" t="str">
            <v>B558385/A</v>
          </cell>
          <cell r="B5913" t="str">
            <v>RH9049M397</v>
          </cell>
          <cell r="C5913">
            <v>2</v>
          </cell>
          <cell r="D5913">
            <v>535</v>
          </cell>
          <cell r="E5913">
            <v>1070</v>
          </cell>
          <cell r="F5913" t="str">
            <v>A2-S02</v>
          </cell>
          <cell r="G5913" t="str">
            <v xml:space="preserve">Side rail  - Đố hông </v>
          </cell>
          <cell r="H5913" t="str">
            <v>Wood laminate</v>
          </cell>
          <cell r="I5913">
            <v>4</v>
          </cell>
        </row>
        <row r="5914">
          <cell r="A5914" t="str">
            <v>B558385/A</v>
          </cell>
          <cell r="B5914" t="str">
            <v>RH9049M397</v>
          </cell>
          <cell r="C5914">
            <v>2</v>
          </cell>
          <cell r="D5914">
            <v>535</v>
          </cell>
          <cell r="E5914">
            <v>1070</v>
          </cell>
          <cell r="F5914" t="str">
            <v>A2-S03</v>
          </cell>
          <cell r="G5914" t="str">
            <v>Front rail  - Đố tiền</v>
          </cell>
          <cell r="H5914" t="str">
            <v>Wood laminate</v>
          </cell>
          <cell r="I5914">
            <v>4</v>
          </cell>
        </row>
        <row r="5915">
          <cell r="A5915" t="str">
            <v>B558385/A</v>
          </cell>
          <cell r="B5915" t="str">
            <v>RH9049M397</v>
          </cell>
          <cell r="C5915">
            <v>2</v>
          </cell>
          <cell r="D5915">
            <v>535</v>
          </cell>
          <cell r="E5915">
            <v>1070</v>
          </cell>
          <cell r="F5915" t="str">
            <v>A3-S01</v>
          </cell>
          <cell r="G5915" t="str">
            <v>Front rail  - Đố tiền</v>
          </cell>
          <cell r="H5915" t="str">
            <v>Wood laminate</v>
          </cell>
          <cell r="I5915">
            <v>4</v>
          </cell>
        </row>
        <row r="5916">
          <cell r="A5916" t="str">
            <v>B558385/A</v>
          </cell>
          <cell r="B5916" t="str">
            <v>RH9049M397</v>
          </cell>
          <cell r="C5916">
            <v>2</v>
          </cell>
          <cell r="D5916">
            <v>535</v>
          </cell>
          <cell r="E5916">
            <v>1070</v>
          </cell>
          <cell r="F5916" t="str">
            <v>A3-S02</v>
          </cell>
          <cell r="G5916" t="str">
            <v xml:space="preserve">Side rail  - Đố hông </v>
          </cell>
          <cell r="H5916" t="str">
            <v>Wood laminate</v>
          </cell>
          <cell r="I5916">
            <v>4</v>
          </cell>
        </row>
        <row r="5917">
          <cell r="A5917" t="str">
            <v>B558385/A</v>
          </cell>
          <cell r="B5917" t="str">
            <v>RH9049M397</v>
          </cell>
          <cell r="C5917">
            <v>2</v>
          </cell>
          <cell r="D5917">
            <v>535</v>
          </cell>
          <cell r="E5917">
            <v>1070</v>
          </cell>
          <cell r="F5917" t="str">
            <v>A4-S01</v>
          </cell>
          <cell r="G5917" t="str">
            <v xml:space="preserve">Top panel  - Ván nóc </v>
          </cell>
          <cell r="H5917" t="str">
            <v>MDF Veneer</v>
          </cell>
          <cell r="I5917">
            <v>2</v>
          </cell>
        </row>
        <row r="5918">
          <cell r="A5918" t="str">
            <v>B558385/A</v>
          </cell>
          <cell r="B5918" t="str">
            <v>RH9049M397</v>
          </cell>
          <cell r="C5918">
            <v>2</v>
          </cell>
          <cell r="D5918">
            <v>535</v>
          </cell>
          <cell r="E5918">
            <v>1070</v>
          </cell>
          <cell r="F5918" t="str">
            <v>A4-S02</v>
          </cell>
          <cell r="G5918" t="str">
            <v xml:space="preserve">Side rail  - Đố hông </v>
          </cell>
          <cell r="H5918" t="str">
            <v>Wood laminate</v>
          </cell>
          <cell r="I5918">
            <v>8</v>
          </cell>
        </row>
        <row r="5919">
          <cell r="A5919" t="str">
            <v>B558385/A</v>
          </cell>
          <cell r="B5919" t="str">
            <v>RH9049M397</v>
          </cell>
          <cell r="C5919">
            <v>2</v>
          </cell>
          <cell r="D5919">
            <v>535</v>
          </cell>
          <cell r="E5919">
            <v>1070</v>
          </cell>
          <cell r="F5919" t="str">
            <v>A4-S03</v>
          </cell>
          <cell r="G5919" t="str">
            <v>Insert Wood - Gỗ chèn</v>
          </cell>
          <cell r="H5919" t="str">
            <v>Beech off cut</v>
          </cell>
          <cell r="I5919">
            <v>8</v>
          </cell>
        </row>
        <row r="5920">
          <cell r="A5920" t="str">
            <v>B558385/A</v>
          </cell>
          <cell r="B5920" t="str">
            <v>RH9049M397</v>
          </cell>
          <cell r="C5920">
            <v>2</v>
          </cell>
          <cell r="D5920">
            <v>535</v>
          </cell>
          <cell r="E5920">
            <v>1070</v>
          </cell>
          <cell r="F5920" t="str">
            <v>P01</v>
          </cell>
          <cell r="G5920" t="str">
            <v>support Top - đỡ nóc</v>
          </cell>
          <cell r="H5920" t="str">
            <v>Plywood LVD - 18 x 1220 x 2440mm, Bleached Poplar Veneer Both Sides [CARB P2 Compliant]</v>
          </cell>
          <cell r="I5920">
            <v>2</v>
          </cell>
        </row>
        <row r="5921">
          <cell r="A5921" t="str">
            <v>B558386/A</v>
          </cell>
          <cell r="B5921" t="str">
            <v>RH9049M397</v>
          </cell>
          <cell r="C5921">
            <v>2</v>
          </cell>
          <cell r="D5921">
            <v>535</v>
          </cell>
          <cell r="E5921">
            <v>1070</v>
          </cell>
          <cell r="F5921" t="str">
            <v>A1-S00</v>
          </cell>
          <cell r="G5921" t="str">
            <v>vaccumn veneer - cảo bich veneer</v>
          </cell>
          <cell r="H5921" t="str">
            <v>MDF Veneer</v>
          </cell>
          <cell r="I5921">
            <v>4</v>
          </cell>
        </row>
        <row r="5922">
          <cell r="A5922" t="str">
            <v>B558386/A</v>
          </cell>
          <cell r="B5922" t="str">
            <v>RH9049M397</v>
          </cell>
          <cell r="C5922">
            <v>2</v>
          </cell>
          <cell r="D5922">
            <v>535</v>
          </cell>
          <cell r="E5922">
            <v>1070</v>
          </cell>
          <cell r="F5922" t="str">
            <v>A1-S00-1</v>
          </cell>
          <cell r="G5922" t="str">
            <v>MDF - MDF</v>
          </cell>
          <cell r="H5922" t="str">
            <v>MDF laminate</v>
          </cell>
          <cell r="I5922">
            <v>16</v>
          </cell>
        </row>
        <row r="5923">
          <cell r="A5923" t="str">
            <v>B558386/A</v>
          </cell>
          <cell r="B5923" t="str">
            <v>RH9049M397</v>
          </cell>
          <cell r="C5923">
            <v>2</v>
          </cell>
          <cell r="D5923">
            <v>535</v>
          </cell>
          <cell r="E5923">
            <v>1070</v>
          </cell>
          <cell r="F5923" t="str">
            <v>A1-S00-2</v>
          </cell>
          <cell r="G5923" t="str">
            <v>MDF - MDF</v>
          </cell>
          <cell r="H5923" t="str">
            <v>MDF laminate</v>
          </cell>
          <cell r="I5923">
            <v>4</v>
          </cell>
        </row>
        <row r="5924">
          <cell r="A5924" t="str">
            <v>B558386/A</v>
          </cell>
          <cell r="B5924" t="str">
            <v>RH9049M397</v>
          </cell>
          <cell r="C5924">
            <v>2</v>
          </cell>
          <cell r="D5924">
            <v>535</v>
          </cell>
          <cell r="E5924">
            <v>1070</v>
          </cell>
          <cell r="F5924" t="str">
            <v>A1-S00-3</v>
          </cell>
          <cell r="G5924" t="str">
            <v>MDF - MDF</v>
          </cell>
          <cell r="H5924" t="str">
            <v>MDF laminate</v>
          </cell>
          <cell r="I5924">
            <v>4</v>
          </cell>
        </row>
        <row r="5925">
          <cell r="A5925" t="str">
            <v>B558386/A</v>
          </cell>
          <cell r="B5925" t="str">
            <v>RH9049M397</v>
          </cell>
          <cell r="C5925">
            <v>2</v>
          </cell>
          <cell r="D5925">
            <v>535</v>
          </cell>
          <cell r="E5925">
            <v>1070</v>
          </cell>
          <cell r="F5925" t="str">
            <v>A1-S01</v>
          </cell>
          <cell r="G5925" t="str">
            <v xml:space="preserve">Side panel  - Ván hông </v>
          </cell>
          <cell r="H5925" t="str">
            <v>MDF Veneer</v>
          </cell>
          <cell r="I5925">
            <v>4</v>
          </cell>
        </row>
        <row r="5926">
          <cell r="A5926" t="str">
            <v>B558386/A</v>
          </cell>
          <cell r="B5926" t="str">
            <v>RH9049M397</v>
          </cell>
          <cell r="C5926">
            <v>2</v>
          </cell>
          <cell r="D5926">
            <v>535</v>
          </cell>
          <cell r="E5926">
            <v>1070</v>
          </cell>
          <cell r="F5926" t="str">
            <v>A1-S02</v>
          </cell>
          <cell r="G5926" t="str">
            <v xml:space="preserve">Side panel  - Ván hông </v>
          </cell>
          <cell r="H5926" t="str">
            <v>MDF Veneer</v>
          </cell>
          <cell r="I5926">
            <v>4</v>
          </cell>
        </row>
        <row r="5927">
          <cell r="A5927" t="str">
            <v>B558386/A</v>
          </cell>
          <cell r="B5927" t="str">
            <v>RH9049M397</v>
          </cell>
          <cell r="C5927">
            <v>2</v>
          </cell>
          <cell r="D5927">
            <v>535</v>
          </cell>
          <cell r="E5927">
            <v>1070</v>
          </cell>
          <cell r="F5927" t="str">
            <v>A1-S03</v>
          </cell>
          <cell r="G5927" t="str">
            <v>Cleat - Bọ gỗ</v>
          </cell>
          <cell r="H5927" t="str">
            <v>Poplar off cut</v>
          </cell>
          <cell r="I5927">
            <v>8</v>
          </cell>
        </row>
        <row r="5928">
          <cell r="A5928" t="str">
            <v>B558386/A</v>
          </cell>
          <cell r="B5928" t="str">
            <v>RH9049M397</v>
          </cell>
          <cell r="C5928">
            <v>2</v>
          </cell>
          <cell r="D5928">
            <v>535</v>
          </cell>
          <cell r="E5928">
            <v>1070</v>
          </cell>
          <cell r="F5928" t="str">
            <v>A1-S04</v>
          </cell>
          <cell r="G5928" t="str">
            <v>Insert Wood - Gỗ chèn</v>
          </cell>
          <cell r="H5928" t="str">
            <v>Standard Wood - ALDER/ASPEN/LENGA/US POPLAR, 2 COM - T25 W120mm+ L2m+</v>
          </cell>
          <cell r="I5928">
            <v>8</v>
          </cell>
        </row>
        <row r="5929">
          <cell r="A5929" t="str">
            <v>B558386/A</v>
          </cell>
          <cell r="B5929" t="str">
            <v>RH9049M397</v>
          </cell>
          <cell r="C5929">
            <v>2</v>
          </cell>
          <cell r="D5929">
            <v>535</v>
          </cell>
          <cell r="E5929">
            <v>1070</v>
          </cell>
          <cell r="F5929" t="str">
            <v>A1-S05</v>
          </cell>
          <cell r="G5929" t="str">
            <v xml:space="preserve">Top panel  - Ván nóc </v>
          </cell>
          <cell r="H5929" t="str">
            <v>Plywood LVD - 18 x 1220 x 2440mm, Bleached Poplar Veneer Both Sides [CARB P2 Compliant]</v>
          </cell>
          <cell r="I5929">
            <v>4</v>
          </cell>
        </row>
        <row r="5930">
          <cell r="A5930" t="str">
            <v>B558386/A</v>
          </cell>
          <cell r="B5930" t="str">
            <v>RH9049M397</v>
          </cell>
          <cell r="C5930">
            <v>2</v>
          </cell>
          <cell r="D5930">
            <v>535</v>
          </cell>
          <cell r="E5930">
            <v>1070</v>
          </cell>
          <cell r="F5930" t="str">
            <v>A1-S07</v>
          </cell>
          <cell r="G5930" t="str">
            <v>Cleat - Bọ gỗ</v>
          </cell>
          <cell r="H5930" t="str">
            <v>Standard Wood - ALDER/ASPEN/LENGA/US POPLAR, 2 COM - T25 W120mm+ L2m+</v>
          </cell>
          <cell r="I5930">
            <v>8</v>
          </cell>
        </row>
        <row r="5931">
          <cell r="A5931" t="str">
            <v>B558386/A</v>
          </cell>
          <cell r="B5931" t="str">
            <v>RH9049M397</v>
          </cell>
          <cell r="C5931">
            <v>2</v>
          </cell>
          <cell r="D5931">
            <v>535</v>
          </cell>
          <cell r="E5931">
            <v>1070</v>
          </cell>
          <cell r="F5931" t="str">
            <v>A1-S08</v>
          </cell>
          <cell r="G5931" t="str">
            <v xml:space="preserve">Panel - Ván </v>
          </cell>
          <cell r="H5931" t="str">
            <v>Cement lamilated</v>
          </cell>
          <cell r="I5931">
            <v>4</v>
          </cell>
        </row>
        <row r="5932">
          <cell r="A5932" t="str">
            <v>B558386/A</v>
          </cell>
          <cell r="B5932" t="str">
            <v>RH9049M397</v>
          </cell>
          <cell r="C5932">
            <v>2</v>
          </cell>
          <cell r="D5932">
            <v>535</v>
          </cell>
          <cell r="E5932">
            <v>1070</v>
          </cell>
          <cell r="F5932" t="str">
            <v>A1-S08-1</v>
          </cell>
          <cell r="G5932" t="str">
            <v xml:space="preserve">Panel - Ván </v>
          </cell>
          <cell r="H5932" t="str">
            <v>Cement Board - 18 x 1220 x 2440mm, Dark Grey</v>
          </cell>
          <cell r="I5932">
            <v>4</v>
          </cell>
        </row>
        <row r="5933">
          <cell r="A5933" t="str">
            <v>B558386/A</v>
          </cell>
          <cell r="B5933" t="str">
            <v>RH9049M397</v>
          </cell>
          <cell r="C5933">
            <v>2</v>
          </cell>
          <cell r="D5933">
            <v>535</v>
          </cell>
          <cell r="E5933">
            <v>1070</v>
          </cell>
          <cell r="F5933" t="str">
            <v>A1-S08-2</v>
          </cell>
          <cell r="G5933" t="str">
            <v xml:space="preserve">Panel - Ván </v>
          </cell>
          <cell r="H5933" t="str">
            <v>Cement Board - 18 x 1220 x 2440mm, Dark Grey</v>
          </cell>
          <cell r="I5933">
            <v>4</v>
          </cell>
        </row>
        <row r="5934">
          <cell r="A5934" t="str">
            <v>B558386/A</v>
          </cell>
          <cell r="B5934" t="str">
            <v>RH9049M397</v>
          </cell>
          <cell r="C5934">
            <v>2</v>
          </cell>
          <cell r="D5934">
            <v>535</v>
          </cell>
          <cell r="E5934">
            <v>1070</v>
          </cell>
          <cell r="F5934" t="str">
            <v>A2</v>
          </cell>
          <cell r="G5934" t="str">
            <v>Bottom frame - Khung dưới</v>
          </cell>
          <cell r="H5934" t="str">
            <v>Pre-Assembly</v>
          </cell>
          <cell r="I5934">
            <v>2</v>
          </cell>
        </row>
        <row r="5935">
          <cell r="A5935" t="str">
            <v>B558386/A</v>
          </cell>
          <cell r="B5935" t="str">
            <v>RH9049M397</v>
          </cell>
          <cell r="C5935">
            <v>2</v>
          </cell>
          <cell r="D5935">
            <v>535</v>
          </cell>
          <cell r="E5935">
            <v>1070</v>
          </cell>
          <cell r="F5935" t="str">
            <v>A2-S01</v>
          </cell>
          <cell r="G5935" t="str">
            <v>Bottom panel - Ván đáy</v>
          </cell>
          <cell r="H5935" t="str">
            <v>MDF Veneer</v>
          </cell>
          <cell r="I5935">
            <v>2</v>
          </cell>
        </row>
        <row r="5936">
          <cell r="A5936" t="str">
            <v>B558386/A</v>
          </cell>
          <cell r="B5936" t="str">
            <v>RH9049M397</v>
          </cell>
          <cell r="C5936">
            <v>2</v>
          </cell>
          <cell r="D5936">
            <v>535</v>
          </cell>
          <cell r="E5936">
            <v>1070</v>
          </cell>
          <cell r="F5936" t="str">
            <v>A2-S02</v>
          </cell>
          <cell r="G5936" t="str">
            <v xml:space="preserve">Side rail  - Đố hông </v>
          </cell>
          <cell r="H5936" t="str">
            <v>Wood laminate</v>
          </cell>
          <cell r="I5936">
            <v>4</v>
          </cell>
        </row>
        <row r="5937">
          <cell r="A5937" t="str">
            <v>B558386/A</v>
          </cell>
          <cell r="B5937" t="str">
            <v>RH9049M397</v>
          </cell>
          <cell r="C5937">
            <v>2</v>
          </cell>
          <cell r="D5937">
            <v>535</v>
          </cell>
          <cell r="E5937">
            <v>1070</v>
          </cell>
          <cell r="F5937" t="str">
            <v>A2-S03</v>
          </cell>
          <cell r="G5937" t="str">
            <v>Front rail  - Đố tiền</v>
          </cell>
          <cell r="H5937" t="str">
            <v>Wood laminate</v>
          </cell>
          <cell r="I5937">
            <v>4</v>
          </cell>
        </row>
        <row r="5938">
          <cell r="A5938" t="str">
            <v>B558386/A</v>
          </cell>
          <cell r="B5938" t="str">
            <v>RH9049M397</v>
          </cell>
          <cell r="C5938">
            <v>2</v>
          </cell>
          <cell r="D5938">
            <v>535</v>
          </cell>
          <cell r="E5938">
            <v>1070</v>
          </cell>
          <cell r="F5938" t="str">
            <v>A3-S01</v>
          </cell>
          <cell r="G5938" t="str">
            <v>Front rail  - Đố tiền</v>
          </cell>
          <cell r="H5938" t="str">
            <v>Wood laminate</v>
          </cell>
          <cell r="I5938">
            <v>4</v>
          </cell>
        </row>
        <row r="5939">
          <cell r="A5939" t="str">
            <v>B558386/A</v>
          </cell>
          <cell r="B5939" t="str">
            <v>RH9049M397</v>
          </cell>
          <cell r="C5939">
            <v>2</v>
          </cell>
          <cell r="D5939">
            <v>535</v>
          </cell>
          <cell r="E5939">
            <v>1070</v>
          </cell>
          <cell r="F5939" t="str">
            <v>A3-S02</v>
          </cell>
          <cell r="G5939" t="str">
            <v xml:space="preserve">Side rail  - Đố hông </v>
          </cell>
          <cell r="H5939" t="str">
            <v>Wood laminate</v>
          </cell>
          <cell r="I5939">
            <v>4</v>
          </cell>
        </row>
        <row r="5940">
          <cell r="A5940" t="str">
            <v>B558386/A</v>
          </cell>
          <cell r="B5940" t="str">
            <v>RH9049M397</v>
          </cell>
          <cell r="C5940">
            <v>2</v>
          </cell>
          <cell r="D5940">
            <v>535</v>
          </cell>
          <cell r="E5940">
            <v>1070</v>
          </cell>
          <cell r="F5940" t="str">
            <v>A4-S01</v>
          </cell>
          <cell r="G5940" t="str">
            <v xml:space="preserve">Top panel  - Ván nóc </v>
          </cell>
          <cell r="H5940" t="str">
            <v>MDF Veneer</v>
          </cell>
          <cell r="I5940">
            <v>2</v>
          </cell>
        </row>
        <row r="5941">
          <cell r="A5941" t="str">
            <v>B558386/A</v>
          </cell>
          <cell r="B5941" t="str">
            <v>RH9049M397</v>
          </cell>
          <cell r="C5941">
            <v>2</v>
          </cell>
          <cell r="D5941">
            <v>535</v>
          </cell>
          <cell r="E5941">
            <v>1070</v>
          </cell>
          <cell r="F5941" t="str">
            <v>A4-S02</v>
          </cell>
          <cell r="G5941" t="str">
            <v xml:space="preserve">Side rail  - Đố hông </v>
          </cell>
          <cell r="H5941" t="str">
            <v>Wood laminate</v>
          </cell>
          <cell r="I5941">
            <v>8</v>
          </cell>
        </row>
        <row r="5942">
          <cell r="A5942" t="str">
            <v>B558386/A</v>
          </cell>
          <cell r="B5942" t="str">
            <v>RH9049M397</v>
          </cell>
          <cell r="C5942">
            <v>2</v>
          </cell>
          <cell r="D5942">
            <v>535</v>
          </cell>
          <cell r="E5942">
            <v>1070</v>
          </cell>
          <cell r="F5942" t="str">
            <v>A4-S03</v>
          </cell>
          <cell r="G5942" t="str">
            <v>Insert Wood - Gỗ chèn</v>
          </cell>
          <cell r="H5942" t="str">
            <v>Beech off cut</v>
          </cell>
          <cell r="I5942">
            <v>8</v>
          </cell>
        </row>
        <row r="5943">
          <cell r="A5943" t="str">
            <v>B558386/A</v>
          </cell>
          <cell r="B5943" t="str">
            <v>RH9049M397</v>
          </cell>
          <cell r="C5943">
            <v>2</v>
          </cell>
          <cell r="D5943">
            <v>535</v>
          </cell>
          <cell r="E5943">
            <v>1070</v>
          </cell>
          <cell r="F5943" t="str">
            <v>P01</v>
          </cell>
          <cell r="G5943" t="str">
            <v>support Top - đỡ nóc</v>
          </cell>
          <cell r="H5943" t="str">
            <v>Plywood LVD - 18 x 1220 x 2440mm, Bleached Poplar Veneer Both Sides [CARB P2 Compliant]</v>
          </cell>
          <cell r="I5943">
            <v>2</v>
          </cell>
        </row>
        <row r="5944">
          <cell r="A5944" t="str">
            <v>B558388/A</v>
          </cell>
          <cell r="B5944" t="str">
            <v>RH9049M398</v>
          </cell>
          <cell r="C5944">
            <v>2</v>
          </cell>
          <cell r="D5944">
            <v>535</v>
          </cell>
          <cell r="E5944">
            <v>1070</v>
          </cell>
          <cell r="F5944" t="str">
            <v>A1-S00</v>
          </cell>
          <cell r="G5944" t="str">
            <v>vaccumn veneer - cảo bich veneer</v>
          </cell>
          <cell r="H5944" t="str">
            <v>MDF Veneer</v>
          </cell>
          <cell r="I5944">
            <v>4</v>
          </cell>
        </row>
        <row r="5945">
          <cell r="A5945" t="str">
            <v>B558388/A</v>
          </cell>
          <cell r="B5945" t="str">
            <v>RH9049M398</v>
          </cell>
          <cell r="C5945">
            <v>2</v>
          </cell>
          <cell r="D5945">
            <v>535</v>
          </cell>
          <cell r="E5945">
            <v>1070</v>
          </cell>
          <cell r="F5945" t="str">
            <v>A1-S00-1</v>
          </cell>
          <cell r="G5945" t="str">
            <v>MDF - MDF</v>
          </cell>
          <cell r="H5945" t="str">
            <v>MDF laminate</v>
          </cell>
          <cell r="I5945">
            <v>16</v>
          </cell>
        </row>
        <row r="5946">
          <cell r="A5946" t="str">
            <v>B558388/A</v>
          </cell>
          <cell r="B5946" t="str">
            <v>RH9049M398</v>
          </cell>
          <cell r="C5946">
            <v>2</v>
          </cell>
          <cell r="D5946">
            <v>535</v>
          </cell>
          <cell r="E5946">
            <v>1070</v>
          </cell>
          <cell r="F5946" t="str">
            <v>A1-S00-2</v>
          </cell>
          <cell r="G5946" t="str">
            <v>MDF - MDF</v>
          </cell>
          <cell r="H5946" t="str">
            <v>MDF laminate</v>
          </cell>
          <cell r="I5946">
            <v>4</v>
          </cell>
        </row>
        <row r="5947">
          <cell r="A5947" t="str">
            <v>B558388/A</v>
          </cell>
          <cell r="B5947" t="str">
            <v>RH9049M398</v>
          </cell>
          <cell r="C5947">
            <v>2</v>
          </cell>
          <cell r="D5947">
            <v>535</v>
          </cell>
          <cell r="E5947">
            <v>1070</v>
          </cell>
          <cell r="F5947" t="str">
            <v>A1-S00-3</v>
          </cell>
          <cell r="G5947" t="str">
            <v>MDF - MDF</v>
          </cell>
          <cell r="H5947" t="str">
            <v>MDF laminate</v>
          </cell>
          <cell r="I5947">
            <v>4</v>
          </cell>
        </row>
        <row r="5948">
          <cell r="A5948" t="str">
            <v>B558388/A</v>
          </cell>
          <cell r="B5948" t="str">
            <v>RH9049M398</v>
          </cell>
          <cell r="C5948">
            <v>2</v>
          </cell>
          <cell r="D5948">
            <v>535</v>
          </cell>
          <cell r="E5948">
            <v>1070</v>
          </cell>
          <cell r="F5948" t="str">
            <v>A1-S01</v>
          </cell>
          <cell r="G5948" t="str">
            <v xml:space="preserve">Side panel  - Ván hông </v>
          </cell>
          <cell r="H5948" t="str">
            <v>MDF Veneer</v>
          </cell>
          <cell r="I5948">
            <v>4</v>
          </cell>
        </row>
        <row r="5949">
          <cell r="A5949" t="str">
            <v>B558388/A</v>
          </cell>
          <cell r="B5949" t="str">
            <v>RH9049M398</v>
          </cell>
          <cell r="C5949">
            <v>2</v>
          </cell>
          <cell r="D5949">
            <v>535</v>
          </cell>
          <cell r="E5949">
            <v>1070</v>
          </cell>
          <cell r="F5949" t="str">
            <v>A1-S02</v>
          </cell>
          <cell r="G5949" t="str">
            <v xml:space="preserve">Side panel  - Ván hông </v>
          </cell>
          <cell r="H5949" t="str">
            <v>MDF Veneer</v>
          </cell>
          <cell r="I5949">
            <v>4</v>
          </cell>
        </row>
        <row r="5950">
          <cell r="A5950" t="str">
            <v>B558388/A</v>
          </cell>
          <cell r="B5950" t="str">
            <v>RH9049M398</v>
          </cell>
          <cell r="C5950">
            <v>2</v>
          </cell>
          <cell r="D5950">
            <v>535</v>
          </cell>
          <cell r="E5950">
            <v>1070</v>
          </cell>
          <cell r="F5950" t="str">
            <v>A1-S03</v>
          </cell>
          <cell r="G5950" t="str">
            <v>Cleat - Bọ gỗ</v>
          </cell>
          <cell r="H5950" t="str">
            <v>Poplar off cut</v>
          </cell>
          <cell r="I5950">
            <v>8</v>
          </cell>
        </row>
        <row r="5951">
          <cell r="A5951" t="str">
            <v>B558388/A</v>
          </cell>
          <cell r="B5951" t="str">
            <v>RH9049M398</v>
          </cell>
          <cell r="C5951">
            <v>2</v>
          </cell>
          <cell r="D5951">
            <v>535</v>
          </cell>
          <cell r="E5951">
            <v>1070</v>
          </cell>
          <cell r="F5951" t="str">
            <v>A1-S04</v>
          </cell>
          <cell r="G5951" t="str">
            <v>Insert Wood - Gỗ chèn</v>
          </cell>
          <cell r="H5951" t="str">
            <v>Standard Wood - ALDER/ASPEN/LENGA/US POPLAR, 2 COM - T25 W120mm+ L2m+</v>
          </cell>
          <cell r="I5951">
            <v>8</v>
          </cell>
        </row>
        <row r="5952">
          <cell r="A5952" t="str">
            <v>B558388/A</v>
          </cell>
          <cell r="B5952" t="str">
            <v>RH9049M398</v>
          </cell>
          <cell r="C5952">
            <v>2</v>
          </cell>
          <cell r="D5952">
            <v>535</v>
          </cell>
          <cell r="E5952">
            <v>1070</v>
          </cell>
          <cell r="F5952" t="str">
            <v>A1-S05</v>
          </cell>
          <cell r="G5952" t="str">
            <v xml:space="preserve">Top panel  - Ván nóc </v>
          </cell>
          <cell r="H5952" t="str">
            <v>Plywood LVD - 18 x 1220 x 2440mm, Bleached Poplar Veneer Both Sides [CARB P2 Compliant]</v>
          </cell>
          <cell r="I5952">
            <v>4</v>
          </cell>
        </row>
        <row r="5953">
          <cell r="A5953" t="str">
            <v>B558388/A</v>
          </cell>
          <cell r="B5953" t="str">
            <v>RH9049M398</v>
          </cell>
          <cell r="C5953">
            <v>2</v>
          </cell>
          <cell r="D5953">
            <v>535</v>
          </cell>
          <cell r="E5953">
            <v>1070</v>
          </cell>
          <cell r="F5953" t="str">
            <v>A1-S07</v>
          </cell>
          <cell r="G5953" t="str">
            <v>Cleat - Bọ gỗ</v>
          </cell>
          <cell r="H5953" t="str">
            <v>Standard Wood - ALDER/ASPEN/LENGA/US POPLAR, 2 COM - T25 W120mm+ L2m+</v>
          </cell>
          <cell r="I5953">
            <v>8</v>
          </cell>
        </row>
        <row r="5954">
          <cell r="A5954" t="str">
            <v>B558388/A</v>
          </cell>
          <cell r="B5954" t="str">
            <v>RH9049M398</v>
          </cell>
          <cell r="C5954">
            <v>2</v>
          </cell>
          <cell r="D5954">
            <v>535</v>
          </cell>
          <cell r="E5954">
            <v>1070</v>
          </cell>
          <cell r="F5954" t="str">
            <v>A1-S08</v>
          </cell>
          <cell r="G5954" t="str">
            <v xml:space="preserve">Panel - Ván </v>
          </cell>
          <cell r="H5954" t="str">
            <v>Cement lamilated</v>
          </cell>
          <cell r="I5954">
            <v>4</v>
          </cell>
        </row>
        <row r="5955">
          <cell r="A5955" t="str">
            <v>B558388/A</v>
          </cell>
          <cell r="B5955" t="str">
            <v>RH9049M398</v>
          </cell>
          <cell r="C5955">
            <v>2</v>
          </cell>
          <cell r="D5955">
            <v>535</v>
          </cell>
          <cell r="E5955">
            <v>1070</v>
          </cell>
          <cell r="F5955" t="str">
            <v>A1-S08-1</v>
          </cell>
          <cell r="G5955" t="str">
            <v xml:space="preserve">Panel - Ván </v>
          </cell>
          <cell r="H5955" t="str">
            <v>Cement Board - 18 x 1220 x 2440mm, Dark Grey</v>
          </cell>
          <cell r="I5955">
            <v>4</v>
          </cell>
        </row>
        <row r="5956">
          <cell r="A5956" t="str">
            <v>B558388/A</v>
          </cell>
          <cell r="B5956" t="str">
            <v>RH9049M398</v>
          </cell>
          <cell r="C5956">
            <v>2</v>
          </cell>
          <cell r="D5956">
            <v>535</v>
          </cell>
          <cell r="E5956">
            <v>1070</v>
          </cell>
          <cell r="F5956" t="str">
            <v>A1-S08-2</v>
          </cell>
          <cell r="G5956" t="str">
            <v xml:space="preserve">Panel - Ván </v>
          </cell>
          <cell r="H5956" t="str">
            <v>Cement Board - 18 x 1220 x 2440mm, Dark Grey</v>
          </cell>
          <cell r="I5956">
            <v>4</v>
          </cell>
        </row>
        <row r="5957">
          <cell r="A5957" t="str">
            <v>B558388/A</v>
          </cell>
          <cell r="B5957" t="str">
            <v>RH9049M398</v>
          </cell>
          <cell r="C5957">
            <v>2</v>
          </cell>
          <cell r="D5957">
            <v>535</v>
          </cell>
          <cell r="E5957">
            <v>1070</v>
          </cell>
          <cell r="F5957" t="str">
            <v>A2</v>
          </cell>
          <cell r="G5957" t="str">
            <v>Bottom frame - Khung dưới</v>
          </cell>
          <cell r="H5957" t="str">
            <v>Pre-Assembly</v>
          </cell>
          <cell r="I5957">
            <v>2</v>
          </cell>
        </row>
        <row r="5958">
          <cell r="A5958" t="str">
            <v>B558388/A</v>
          </cell>
          <cell r="B5958" t="str">
            <v>RH9049M398</v>
          </cell>
          <cell r="C5958">
            <v>2</v>
          </cell>
          <cell r="D5958">
            <v>535</v>
          </cell>
          <cell r="E5958">
            <v>1070</v>
          </cell>
          <cell r="F5958" t="str">
            <v>A2-S01</v>
          </cell>
          <cell r="G5958" t="str">
            <v>Bottom panel - Ván đáy</v>
          </cell>
          <cell r="H5958" t="str">
            <v>MDF Veneer</v>
          </cell>
          <cell r="I5958">
            <v>2</v>
          </cell>
        </row>
        <row r="5959">
          <cell r="A5959" t="str">
            <v>B558388/A</v>
          </cell>
          <cell r="B5959" t="str">
            <v>RH9049M398</v>
          </cell>
          <cell r="C5959">
            <v>2</v>
          </cell>
          <cell r="D5959">
            <v>535</v>
          </cell>
          <cell r="E5959">
            <v>1070</v>
          </cell>
          <cell r="F5959" t="str">
            <v>A2-S02</v>
          </cell>
          <cell r="G5959" t="str">
            <v xml:space="preserve">Side rail  - Đố hông </v>
          </cell>
          <cell r="H5959" t="str">
            <v>Wood laminate</v>
          </cell>
          <cell r="I5959">
            <v>4</v>
          </cell>
        </row>
        <row r="5960">
          <cell r="A5960" t="str">
            <v>B558388/A</v>
          </cell>
          <cell r="B5960" t="str">
            <v>RH9049M398</v>
          </cell>
          <cell r="C5960">
            <v>2</v>
          </cell>
          <cell r="D5960">
            <v>535</v>
          </cell>
          <cell r="E5960">
            <v>1070</v>
          </cell>
          <cell r="F5960" t="str">
            <v>A2-S03</v>
          </cell>
          <cell r="G5960" t="str">
            <v>Front rail  - Đố tiền</v>
          </cell>
          <cell r="H5960" t="str">
            <v>Wood laminate</v>
          </cell>
          <cell r="I5960">
            <v>4</v>
          </cell>
        </row>
        <row r="5961">
          <cell r="A5961" t="str">
            <v>B558388/A</v>
          </cell>
          <cell r="B5961" t="str">
            <v>RH9049M398</v>
          </cell>
          <cell r="C5961">
            <v>2</v>
          </cell>
          <cell r="D5961">
            <v>535</v>
          </cell>
          <cell r="E5961">
            <v>1070</v>
          </cell>
          <cell r="F5961" t="str">
            <v>A3-S01</v>
          </cell>
          <cell r="G5961" t="str">
            <v>Front rail  - Đố tiền</v>
          </cell>
          <cell r="H5961" t="str">
            <v>Wood laminate</v>
          </cell>
          <cell r="I5961">
            <v>4</v>
          </cell>
        </row>
        <row r="5962">
          <cell r="A5962" t="str">
            <v>B558388/A</v>
          </cell>
          <cell r="B5962" t="str">
            <v>RH9049M398</v>
          </cell>
          <cell r="C5962">
            <v>2</v>
          </cell>
          <cell r="D5962">
            <v>535</v>
          </cell>
          <cell r="E5962">
            <v>1070</v>
          </cell>
          <cell r="F5962" t="str">
            <v>A3-S02</v>
          </cell>
          <cell r="G5962" t="str">
            <v xml:space="preserve">Side rail  - Đố hông </v>
          </cell>
          <cell r="H5962" t="str">
            <v>Wood laminate</v>
          </cell>
          <cell r="I5962">
            <v>4</v>
          </cell>
        </row>
        <row r="5963">
          <cell r="A5963" t="str">
            <v>B558388/A</v>
          </cell>
          <cell r="B5963" t="str">
            <v>RH9049M398</v>
          </cell>
          <cell r="C5963">
            <v>2</v>
          </cell>
          <cell r="D5963">
            <v>535</v>
          </cell>
          <cell r="E5963">
            <v>1070</v>
          </cell>
          <cell r="F5963" t="str">
            <v>A4-S01</v>
          </cell>
          <cell r="G5963" t="str">
            <v xml:space="preserve">Top panel  - Ván nóc </v>
          </cell>
          <cell r="H5963" t="str">
            <v>MDF Veneer</v>
          </cell>
          <cell r="I5963">
            <v>2</v>
          </cell>
        </row>
        <row r="5964">
          <cell r="A5964" t="str">
            <v>B558388/A</v>
          </cell>
          <cell r="B5964" t="str">
            <v>RH9049M398</v>
          </cell>
          <cell r="C5964">
            <v>2</v>
          </cell>
          <cell r="D5964">
            <v>535</v>
          </cell>
          <cell r="E5964">
            <v>1070</v>
          </cell>
          <cell r="F5964" t="str">
            <v>A4-S02</v>
          </cell>
          <cell r="G5964" t="str">
            <v xml:space="preserve">Side rail  - Đố hông </v>
          </cell>
          <cell r="H5964" t="str">
            <v>Wood laminate</v>
          </cell>
          <cell r="I5964">
            <v>8</v>
          </cell>
        </row>
        <row r="5965">
          <cell r="A5965" t="str">
            <v>B558388/A</v>
          </cell>
          <cell r="B5965" t="str">
            <v>RH9049M398</v>
          </cell>
          <cell r="C5965">
            <v>2</v>
          </cell>
          <cell r="D5965">
            <v>535</v>
          </cell>
          <cell r="E5965">
            <v>1070</v>
          </cell>
          <cell r="F5965" t="str">
            <v>A4-S03</v>
          </cell>
          <cell r="G5965" t="str">
            <v>Insert Wood - Gỗ chèn</v>
          </cell>
          <cell r="H5965" t="str">
            <v>Beech off cut</v>
          </cell>
          <cell r="I5965">
            <v>8</v>
          </cell>
        </row>
        <row r="5966">
          <cell r="A5966" t="str">
            <v>B558388/A</v>
          </cell>
          <cell r="B5966" t="str">
            <v>RH9049M398</v>
          </cell>
          <cell r="C5966">
            <v>2</v>
          </cell>
          <cell r="D5966">
            <v>535</v>
          </cell>
          <cell r="E5966">
            <v>1070</v>
          </cell>
          <cell r="F5966" t="str">
            <v>P01</v>
          </cell>
          <cell r="G5966" t="str">
            <v>support Top - đỡ nóc</v>
          </cell>
          <cell r="H5966" t="str">
            <v>Plywood LVD - 18 x 1220 x 2440mm, Bleached Poplar Veneer Both Sides [CARB P2 Compliant]</v>
          </cell>
          <cell r="I5966">
            <v>2</v>
          </cell>
        </row>
        <row r="5967">
          <cell r="A5967" t="str">
            <v>B558390/A</v>
          </cell>
          <cell r="B5967" t="str">
            <v>RH9049M410</v>
          </cell>
          <cell r="C5967">
            <v>3</v>
          </cell>
          <cell r="D5967">
            <v>535</v>
          </cell>
          <cell r="E5967">
            <v>1605</v>
          </cell>
          <cell r="F5967" t="str">
            <v>A1-S00</v>
          </cell>
          <cell r="G5967" t="str">
            <v>vaccumn veneer - cảo bich veneer</v>
          </cell>
          <cell r="H5967" t="str">
            <v>MDF Veneer</v>
          </cell>
          <cell r="I5967">
            <v>6</v>
          </cell>
        </row>
        <row r="5968">
          <cell r="A5968" t="str">
            <v>B558390/A</v>
          </cell>
          <cell r="B5968" t="str">
            <v>RH9049M410</v>
          </cell>
          <cell r="C5968">
            <v>3</v>
          </cell>
          <cell r="D5968">
            <v>535</v>
          </cell>
          <cell r="E5968">
            <v>1605</v>
          </cell>
          <cell r="F5968" t="str">
            <v>A1-S00-1</v>
          </cell>
          <cell r="G5968" t="str">
            <v>MDF - MDF</v>
          </cell>
          <cell r="H5968" t="str">
            <v>MDF laminate</v>
          </cell>
          <cell r="I5968">
            <v>24</v>
          </cell>
        </row>
        <row r="5969">
          <cell r="A5969" t="str">
            <v>B558390/A</v>
          </cell>
          <cell r="B5969" t="str">
            <v>RH9049M410</v>
          </cell>
          <cell r="C5969">
            <v>3</v>
          </cell>
          <cell r="D5969">
            <v>535</v>
          </cell>
          <cell r="E5969">
            <v>1605</v>
          </cell>
          <cell r="F5969" t="str">
            <v>A1-S00-2</v>
          </cell>
          <cell r="G5969" t="str">
            <v>MDF - MDF</v>
          </cell>
          <cell r="H5969" t="str">
            <v>MDF laminate</v>
          </cell>
          <cell r="I5969">
            <v>6</v>
          </cell>
        </row>
        <row r="5970">
          <cell r="A5970" t="str">
            <v>B558390/A</v>
          </cell>
          <cell r="B5970" t="str">
            <v>RH9049M410</v>
          </cell>
          <cell r="C5970">
            <v>3</v>
          </cell>
          <cell r="D5970">
            <v>535</v>
          </cell>
          <cell r="E5970">
            <v>1605</v>
          </cell>
          <cell r="F5970" t="str">
            <v>A1-S00-3</v>
          </cell>
          <cell r="G5970" t="str">
            <v>MDF - MDF</v>
          </cell>
          <cell r="H5970" t="str">
            <v>MDF laminate</v>
          </cell>
          <cell r="I5970">
            <v>6</v>
          </cell>
        </row>
        <row r="5971">
          <cell r="A5971" t="str">
            <v>B558390/A</v>
          </cell>
          <cell r="B5971" t="str">
            <v>RH9049M410</v>
          </cell>
          <cell r="C5971">
            <v>3</v>
          </cell>
          <cell r="D5971">
            <v>535</v>
          </cell>
          <cell r="E5971">
            <v>1605</v>
          </cell>
          <cell r="F5971" t="str">
            <v>A1-S01</v>
          </cell>
          <cell r="G5971" t="str">
            <v xml:space="preserve">Side panel  - Ván hông </v>
          </cell>
          <cell r="H5971" t="str">
            <v>MDF Veneer</v>
          </cell>
          <cell r="I5971">
            <v>6</v>
          </cell>
        </row>
        <row r="5972">
          <cell r="A5972" t="str">
            <v>B558390/A</v>
          </cell>
          <cell r="B5972" t="str">
            <v>RH9049M410</v>
          </cell>
          <cell r="C5972">
            <v>3</v>
          </cell>
          <cell r="D5972">
            <v>535</v>
          </cell>
          <cell r="E5972">
            <v>1605</v>
          </cell>
          <cell r="F5972" t="str">
            <v>A1-S02</v>
          </cell>
          <cell r="G5972" t="str">
            <v xml:space="preserve">Side panel  - Ván hông </v>
          </cell>
          <cell r="H5972" t="str">
            <v>MDF Veneer</v>
          </cell>
          <cell r="I5972">
            <v>6</v>
          </cell>
        </row>
        <row r="5973">
          <cell r="A5973" t="str">
            <v>B558390/A</v>
          </cell>
          <cell r="B5973" t="str">
            <v>RH9049M410</v>
          </cell>
          <cell r="C5973">
            <v>3</v>
          </cell>
          <cell r="D5973">
            <v>535</v>
          </cell>
          <cell r="E5973">
            <v>1605</v>
          </cell>
          <cell r="F5973" t="str">
            <v>A1-S03</v>
          </cell>
          <cell r="G5973" t="str">
            <v>Cleat - Bọ gỗ</v>
          </cell>
          <cell r="H5973" t="str">
            <v>Poplar off cut</v>
          </cell>
          <cell r="I5973">
            <v>12</v>
          </cell>
        </row>
        <row r="5974">
          <cell r="A5974" t="str">
            <v>B558390/A</v>
          </cell>
          <cell r="B5974" t="str">
            <v>RH9049M410</v>
          </cell>
          <cell r="C5974">
            <v>3</v>
          </cell>
          <cell r="D5974">
            <v>535</v>
          </cell>
          <cell r="E5974">
            <v>1605</v>
          </cell>
          <cell r="F5974" t="str">
            <v>A1-S04</v>
          </cell>
          <cell r="G5974" t="str">
            <v>Insert Wood - Gỗ chèn</v>
          </cell>
          <cell r="H5974" t="str">
            <v>Standard Wood - ALDER/ASPEN/LENGA/US POPLAR, 2 COM - T25 W120mm+ L2m+</v>
          </cell>
          <cell r="I5974">
            <v>12</v>
          </cell>
        </row>
        <row r="5975">
          <cell r="A5975" t="str">
            <v>B558390/A</v>
          </cell>
          <cell r="B5975" t="str">
            <v>RH9049M410</v>
          </cell>
          <cell r="C5975">
            <v>3</v>
          </cell>
          <cell r="D5975">
            <v>535</v>
          </cell>
          <cell r="E5975">
            <v>1605</v>
          </cell>
          <cell r="F5975" t="str">
            <v>A1-S05</v>
          </cell>
          <cell r="G5975" t="str">
            <v xml:space="preserve">Top panel  - Ván nóc </v>
          </cell>
          <cell r="H5975" t="str">
            <v>Plywood LVD - 18 x 1220 x 2440mm, Bleached Poplar Veneer Both Sides [CARB P2 Compliant]</v>
          </cell>
          <cell r="I5975">
            <v>6</v>
          </cell>
        </row>
        <row r="5976">
          <cell r="A5976" t="str">
            <v>B558390/A</v>
          </cell>
          <cell r="B5976" t="str">
            <v>RH9049M410</v>
          </cell>
          <cell r="C5976">
            <v>3</v>
          </cell>
          <cell r="D5976">
            <v>535</v>
          </cell>
          <cell r="E5976">
            <v>1605</v>
          </cell>
          <cell r="F5976" t="str">
            <v>A1-S07</v>
          </cell>
          <cell r="G5976" t="str">
            <v>Cleat - Bọ gỗ</v>
          </cell>
          <cell r="H5976" t="str">
            <v>Standard Wood - ALDER/ASPEN/LENGA/US POPLAR, 2 COM - T25 W120mm+ L2m+</v>
          </cell>
          <cell r="I5976">
            <v>12</v>
          </cell>
        </row>
        <row r="5977">
          <cell r="A5977" t="str">
            <v>B558390/A</v>
          </cell>
          <cell r="B5977" t="str">
            <v>RH9049M410</v>
          </cell>
          <cell r="C5977">
            <v>3</v>
          </cell>
          <cell r="D5977">
            <v>535</v>
          </cell>
          <cell r="E5977">
            <v>1605</v>
          </cell>
          <cell r="F5977" t="str">
            <v>A1-S08</v>
          </cell>
          <cell r="G5977" t="str">
            <v xml:space="preserve">Panel - Ván </v>
          </cell>
          <cell r="H5977" t="str">
            <v>Cement lamilated</v>
          </cell>
          <cell r="I5977">
            <v>6</v>
          </cell>
        </row>
        <row r="5978">
          <cell r="A5978" t="str">
            <v>B558390/A</v>
          </cell>
          <cell r="B5978" t="str">
            <v>RH9049M410</v>
          </cell>
          <cell r="C5978">
            <v>3</v>
          </cell>
          <cell r="D5978">
            <v>535</v>
          </cell>
          <cell r="E5978">
            <v>1605</v>
          </cell>
          <cell r="F5978" t="str">
            <v>A1-S08-1</v>
          </cell>
          <cell r="G5978" t="str">
            <v xml:space="preserve">Panel - Ván </v>
          </cell>
          <cell r="H5978" t="str">
            <v>Cement Board - 18 x 1220 x 2440mm, Dark Grey</v>
          </cell>
          <cell r="I5978">
            <v>6</v>
          </cell>
        </row>
        <row r="5979">
          <cell r="A5979" t="str">
            <v>B558390/A</v>
          </cell>
          <cell r="B5979" t="str">
            <v>RH9049M410</v>
          </cell>
          <cell r="C5979">
            <v>3</v>
          </cell>
          <cell r="D5979">
            <v>535</v>
          </cell>
          <cell r="E5979">
            <v>1605</v>
          </cell>
          <cell r="F5979" t="str">
            <v>A1-S08-2</v>
          </cell>
          <cell r="G5979" t="str">
            <v xml:space="preserve">Panel - Ván </v>
          </cell>
          <cell r="H5979" t="str">
            <v>Cement Board - 18 x 1220 x 2440mm, Dark Grey</v>
          </cell>
          <cell r="I5979">
            <v>6</v>
          </cell>
        </row>
        <row r="5980">
          <cell r="A5980" t="str">
            <v>B558390/A</v>
          </cell>
          <cell r="B5980" t="str">
            <v>RH9049M410</v>
          </cell>
          <cell r="C5980">
            <v>3</v>
          </cell>
          <cell r="D5980">
            <v>535</v>
          </cell>
          <cell r="E5980">
            <v>1605</v>
          </cell>
          <cell r="F5980" t="str">
            <v>A2</v>
          </cell>
          <cell r="G5980" t="str">
            <v>Bottom frame - Khung dưới</v>
          </cell>
          <cell r="H5980" t="str">
            <v>Pre-Assembly</v>
          </cell>
          <cell r="I5980">
            <v>3</v>
          </cell>
        </row>
        <row r="5981">
          <cell r="A5981" t="str">
            <v>B558390/A</v>
          </cell>
          <cell r="B5981" t="str">
            <v>RH9049M410</v>
          </cell>
          <cell r="C5981">
            <v>3</v>
          </cell>
          <cell r="D5981">
            <v>535</v>
          </cell>
          <cell r="E5981">
            <v>1605</v>
          </cell>
          <cell r="F5981" t="str">
            <v>A2-S01</v>
          </cell>
          <cell r="G5981" t="str">
            <v>Bottom panel - Ván đáy</v>
          </cell>
          <cell r="H5981" t="str">
            <v>MDF Veneer</v>
          </cell>
          <cell r="I5981">
            <v>3</v>
          </cell>
        </row>
        <row r="5982">
          <cell r="A5982" t="str">
            <v>B558390/A</v>
          </cell>
          <cell r="B5982" t="str">
            <v>RH9049M410</v>
          </cell>
          <cell r="C5982">
            <v>3</v>
          </cell>
          <cell r="D5982">
            <v>535</v>
          </cell>
          <cell r="E5982">
            <v>1605</v>
          </cell>
          <cell r="F5982" t="str">
            <v>A2-S02</v>
          </cell>
          <cell r="G5982" t="str">
            <v xml:space="preserve">Side rail  - Đố hông </v>
          </cell>
          <cell r="H5982" t="str">
            <v>Wood laminate</v>
          </cell>
          <cell r="I5982">
            <v>6</v>
          </cell>
        </row>
        <row r="5983">
          <cell r="A5983" t="str">
            <v>B558390/A</v>
          </cell>
          <cell r="B5983" t="str">
            <v>RH9049M410</v>
          </cell>
          <cell r="C5983">
            <v>3</v>
          </cell>
          <cell r="D5983">
            <v>535</v>
          </cell>
          <cell r="E5983">
            <v>1605</v>
          </cell>
          <cell r="F5983" t="str">
            <v>A2-S03</v>
          </cell>
          <cell r="G5983" t="str">
            <v>Front rail  - Đố tiền</v>
          </cell>
          <cell r="H5983" t="str">
            <v>Wood laminate</v>
          </cell>
          <cell r="I5983">
            <v>6</v>
          </cell>
        </row>
        <row r="5984">
          <cell r="A5984" t="str">
            <v>B558390/A</v>
          </cell>
          <cell r="B5984" t="str">
            <v>RH9049M410</v>
          </cell>
          <cell r="C5984">
            <v>3</v>
          </cell>
          <cell r="D5984">
            <v>535</v>
          </cell>
          <cell r="E5984">
            <v>1605</v>
          </cell>
          <cell r="F5984" t="str">
            <v>A3-S01</v>
          </cell>
          <cell r="G5984" t="str">
            <v>Front rail  - Đố tiền</v>
          </cell>
          <cell r="H5984" t="str">
            <v>Wood laminate</v>
          </cell>
          <cell r="I5984">
            <v>6</v>
          </cell>
        </row>
        <row r="5985">
          <cell r="A5985" t="str">
            <v>B558390/A</v>
          </cell>
          <cell r="B5985" t="str">
            <v>RH9049M410</v>
          </cell>
          <cell r="C5985">
            <v>3</v>
          </cell>
          <cell r="D5985">
            <v>535</v>
          </cell>
          <cell r="E5985">
            <v>1605</v>
          </cell>
          <cell r="F5985" t="str">
            <v>A3-S02</v>
          </cell>
          <cell r="G5985" t="str">
            <v xml:space="preserve">Side rail  - Đố hông </v>
          </cell>
          <cell r="H5985" t="str">
            <v>Wood laminate</v>
          </cell>
          <cell r="I5985">
            <v>6</v>
          </cell>
        </row>
        <row r="5986">
          <cell r="A5986" t="str">
            <v>B558390/A</v>
          </cell>
          <cell r="B5986" t="str">
            <v>RH9049M410</v>
          </cell>
          <cell r="C5986">
            <v>3</v>
          </cell>
          <cell r="D5986">
            <v>535</v>
          </cell>
          <cell r="E5986">
            <v>1605</v>
          </cell>
          <cell r="F5986" t="str">
            <v>A4-S01</v>
          </cell>
          <cell r="G5986" t="str">
            <v xml:space="preserve">Top panel  - Ván nóc </v>
          </cell>
          <cell r="H5986" t="str">
            <v>MDF Veneer</v>
          </cell>
          <cell r="I5986">
            <v>3</v>
          </cell>
        </row>
        <row r="5987">
          <cell r="A5987" t="str">
            <v>B558390/A</v>
          </cell>
          <cell r="B5987" t="str">
            <v>RH9049M410</v>
          </cell>
          <cell r="C5987">
            <v>3</v>
          </cell>
          <cell r="D5987">
            <v>535</v>
          </cell>
          <cell r="E5987">
            <v>1605</v>
          </cell>
          <cell r="F5987" t="str">
            <v>A4-S02</v>
          </cell>
          <cell r="G5987" t="str">
            <v xml:space="preserve">Side rail  - Đố hông </v>
          </cell>
          <cell r="H5987" t="str">
            <v>Wood laminate</v>
          </cell>
          <cell r="I5987">
            <v>12</v>
          </cell>
        </row>
        <row r="5988">
          <cell r="A5988" t="str">
            <v>B558390/A</v>
          </cell>
          <cell r="B5988" t="str">
            <v>RH9049M410</v>
          </cell>
          <cell r="C5988">
            <v>3</v>
          </cell>
          <cell r="D5988">
            <v>535</v>
          </cell>
          <cell r="E5988">
            <v>1605</v>
          </cell>
          <cell r="F5988" t="str">
            <v>A4-S03</v>
          </cell>
          <cell r="G5988" t="str">
            <v>Insert Wood - Gỗ chèn</v>
          </cell>
          <cell r="H5988" t="str">
            <v>Beech off cut</v>
          </cell>
          <cell r="I5988">
            <v>12</v>
          </cell>
        </row>
        <row r="5989">
          <cell r="A5989" t="str">
            <v>B558390/A</v>
          </cell>
          <cell r="B5989" t="str">
            <v>RH9049M410</v>
          </cell>
          <cell r="C5989">
            <v>3</v>
          </cell>
          <cell r="D5989">
            <v>535</v>
          </cell>
          <cell r="E5989">
            <v>1605</v>
          </cell>
          <cell r="F5989" t="str">
            <v>P01</v>
          </cell>
          <cell r="G5989" t="str">
            <v>support Top - đỡ nóc</v>
          </cell>
          <cell r="H5989" t="str">
            <v>Plywood LVD - 18 x 1220 x 2440mm, Bleached Poplar Veneer Both Sides [CARB P2 Compliant]</v>
          </cell>
          <cell r="I5989">
            <v>3</v>
          </cell>
        </row>
        <row r="5990">
          <cell r="A5990" t="str">
            <v>B558392/A</v>
          </cell>
          <cell r="B5990" t="str">
            <v>RH9062M396</v>
          </cell>
          <cell r="C5990">
            <v>8</v>
          </cell>
          <cell r="D5990">
            <v>245</v>
          </cell>
          <cell r="E5990">
            <v>1960</v>
          </cell>
          <cell r="F5990" t="str">
            <v>A1-S0</v>
          </cell>
          <cell r="G5990" t="str">
            <v>vaccumn veneer - cảo bich veneer</v>
          </cell>
          <cell r="H5990" t="str">
            <v>Pre-Assembly</v>
          </cell>
          <cell r="I5990">
            <v>8</v>
          </cell>
        </row>
        <row r="5991">
          <cell r="A5991" t="str">
            <v>B558392/A</v>
          </cell>
          <cell r="B5991" t="str">
            <v>RH9062M396</v>
          </cell>
          <cell r="C5991">
            <v>8</v>
          </cell>
          <cell r="D5991">
            <v>245</v>
          </cell>
          <cell r="E5991">
            <v>1960</v>
          </cell>
          <cell r="F5991" t="str">
            <v>A1-S01</v>
          </cell>
          <cell r="G5991" t="str">
            <v xml:space="preserve">Drawer front 1 - Mặt hộc kéo </v>
          </cell>
          <cell r="H5991" t="str">
            <v>Wd+MDF+VN</v>
          </cell>
          <cell r="I5991">
            <v>8</v>
          </cell>
        </row>
        <row r="5992">
          <cell r="A5992" t="str">
            <v>B558392/A</v>
          </cell>
          <cell r="B5992" t="str">
            <v>RH9062M396</v>
          </cell>
          <cell r="C5992">
            <v>8</v>
          </cell>
          <cell r="D5992">
            <v>245</v>
          </cell>
          <cell r="E5992">
            <v>1960</v>
          </cell>
          <cell r="F5992" t="str">
            <v>A1-S01-1</v>
          </cell>
          <cell r="G5992" t="str">
            <v>Vertical rail 1 - Đố đứng 1</v>
          </cell>
          <cell r="H5992" t="str">
            <v>MDF laminate</v>
          </cell>
          <cell r="I5992">
            <v>16</v>
          </cell>
        </row>
        <row r="5993">
          <cell r="A5993" t="str">
            <v>B558392/A</v>
          </cell>
          <cell r="B5993" t="str">
            <v>RH9062M396</v>
          </cell>
          <cell r="C5993">
            <v>8</v>
          </cell>
          <cell r="D5993">
            <v>245</v>
          </cell>
          <cell r="E5993">
            <v>1960</v>
          </cell>
          <cell r="F5993" t="str">
            <v>A1-S01-2</v>
          </cell>
          <cell r="G5993" t="str">
            <v>MDF - MDF</v>
          </cell>
          <cell r="H5993" t="str">
            <v>MDF - 25 x 1830 x 2440mm [CARB P2 Compliant]</v>
          </cell>
          <cell r="I5993">
            <v>8</v>
          </cell>
        </row>
        <row r="5994">
          <cell r="A5994" t="str">
            <v>B558392/A</v>
          </cell>
          <cell r="B5994" t="str">
            <v>RH9062M396</v>
          </cell>
          <cell r="C5994">
            <v>8</v>
          </cell>
          <cell r="D5994">
            <v>245</v>
          </cell>
          <cell r="E5994">
            <v>1960</v>
          </cell>
          <cell r="F5994" t="str">
            <v>A1-S01-3</v>
          </cell>
          <cell r="G5994" t="str">
            <v>Insert Wood - Gỗ chèn</v>
          </cell>
          <cell r="H5994" t="str">
            <v>Wood White Oak - Straight/Waving Edged, 2 COM - T25mm x W100mm Up x L1.5m Up</v>
          </cell>
          <cell r="I5994">
            <v>8</v>
          </cell>
        </row>
        <row r="5995">
          <cell r="A5995" t="str">
            <v>B558392/A</v>
          </cell>
          <cell r="B5995" t="str">
            <v>RH9062M396</v>
          </cell>
          <cell r="C5995">
            <v>8</v>
          </cell>
          <cell r="D5995">
            <v>245</v>
          </cell>
          <cell r="E5995">
            <v>1960</v>
          </cell>
          <cell r="F5995" t="str">
            <v>A1-S02</v>
          </cell>
          <cell r="G5995" t="str">
            <v>Drawer side - Hông hộc kéo</v>
          </cell>
          <cell r="H5995" t="str">
            <v>MDF-N - 12 x 1220 x 2440mm, Veneer Ash Straigh Grain 0.45mm Both Faces [CARB P2 Compliant]</v>
          </cell>
          <cell r="I5995">
            <v>16</v>
          </cell>
        </row>
        <row r="5996">
          <cell r="A5996" t="str">
            <v>B558392/A</v>
          </cell>
          <cell r="B5996" t="str">
            <v>RH9062M396</v>
          </cell>
          <cell r="C5996">
            <v>8</v>
          </cell>
          <cell r="D5996">
            <v>245</v>
          </cell>
          <cell r="E5996">
            <v>1960</v>
          </cell>
          <cell r="F5996" t="str">
            <v>A1-S03</v>
          </cell>
          <cell r="G5996" t="str">
            <v>Drawer back - Hậu hộc kéo</v>
          </cell>
          <cell r="H5996" t="str">
            <v>MDF-N - 12 x 1220 x 2440mm, Veneer Ash Straigh Grain 0.45mm Both Faces [CARB P2 Compliant]</v>
          </cell>
          <cell r="I5996">
            <v>8</v>
          </cell>
        </row>
        <row r="5997">
          <cell r="A5997" t="str">
            <v>B558392/A</v>
          </cell>
          <cell r="B5997" t="str">
            <v>RH9062M396</v>
          </cell>
          <cell r="C5997">
            <v>8</v>
          </cell>
          <cell r="D5997">
            <v>245</v>
          </cell>
          <cell r="E5997">
            <v>1960</v>
          </cell>
          <cell r="F5997" t="str">
            <v>A1-S04</v>
          </cell>
          <cell r="G5997" t="str">
            <v>Drawer bottom  - Đáy hộc kéo</v>
          </cell>
          <cell r="H5997" t="str">
            <v>MDF Veneer</v>
          </cell>
          <cell r="I5997">
            <v>8</v>
          </cell>
        </row>
        <row r="5998">
          <cell r="A5998" t="str">
            <v>B558392/A</v>
          </cell>
          <cell r="B5998" t="str">
            <v>RH9062M396</v>
          </cell>
          <cell r="C5998">
            <v>8</v>
          </cell>
          <cell r="D5998">
            <v>245</v>
          </cell>
          <cell r="E5998">
            <v>1960</v>
          </cell>
          <cell r="F5998" t="str">
            <v>A1-S06</v>
          </cell>
          <cell r="G5998" t="str">
            <v>Patching wood - Gỗ đắp</v>
          </cell>
          <cell r="H5998" t="str">
            <v>Beech off cut</v>
          </cell>
          <cell r="I5998">
            <v>16</v>
          </cell>
        </row>
        <row r="5999">
          <cell r="A5999" t="str">
            <v>B558392/A</v>
          </cell>
          <cell r="B5999" t="str">
            <v>RH9062M396</v>
          </cell>
          <cell r="C5999">
            <v>8</v>
          </cell>
          <cell r="D5999">
            <v>245</v>
          </cell>
          <cell r="E5999">
            <v>1960</v>
          </cell>
          <cell r="F5999" t="str">
            <v>A2-S01</v>
          </cell>
          <cell r="G5999" t="str">
            <v>Bottom frame - Khung dưới</v>
          </cell>
          <cell r="H5999" t="str">
            <v>Pre-Assembly</v>
          </cell>
          <cell r="I5999">
            <v>8</v>
          </cell>
        </row>
        <row r="6000">
          <cell r="A6000" t="str">
            <v>B558392/A</v>
          </cell>
          <cell r="B6000" t="str">
            <v>RH9062M396</v>
          </cell>
          <cell r="C6000">
            <v>8</v>
          </cell>
          <cell r="D6000">
            <v>245</v>
          </cell>
          <cell r="E6000">
            <v>1960</v>
          </cell>
          <cell r="F6000" t="str">
            <v>A2-S01-1</v>
          </cell>
          <cell r="G6000" t="str">
            <v>Front Bottom Rail  - Đố đáy trước</v>
          </cell>
          <cell r="H6000" t="str">
            <v>Wood laminate</v>
          </cell>
          <cell r="I6000">
            <v>8</v>
          </cell>
        </row>
        <row r="6001">
          <cell r="A6001" t="str">
            <v>B558392/A</v>
          </cell>
          <cell r="B6001" t="str">
            <v>RH9062M396</v>
          </cell>
          <cell r="C6001">
            <v>8</v>
          </cell>
          <cell r="D6001">
            <v>245</v>
          </cell>
          <cell r="E6001">
            <v>1960</v>
          </cell>
          <cell r="F6001" t="str">
            <v>A2-S01-2</v>
          </cell>
          <cell r="G6001" t="str">
            <v>Side bottom rail - Đố hông dưới</v>
          </cell>
          <cell r="H6001" t="str">
            <v>Wood laminate</v>
          </cell>
          <cell r="I6001">
            <v>16</v>
          </cell>
        </row>
        <row r="6002">
          <cell r="A6002" t="str">
            <v>B558392/A</v>
          </cell>
          <cell r="B6002" t="str">
            <v>RH9062M396</v>
          </cell>
          <cell r="C6002">
            <v>8</v>
          </cell>
          <cell r="D6002">
            <v>245</v>
          </cell>
          <cell r="E6002">
            <v>1960</v>
          </cell>
          <cell r="F6002" t="str">
            <v>A2-S01-3</v>
          </cell>
          <cell r="G6002" t="str">
            <v>Back bottom rail - Đố hậu đáy</v>
          </cell>
          <cell r="H6002" t="str">
            <v>Wood laminate</v>
          </cell>
          <cell r="I6002">
            <v>8</v>
          </cell>
        </row>
        <row r="6003">
          <cell r="A6003" t="str">
            <v>B558392/A</v>
          </cell>
          <cell r="B6003" t="str">
            <v>RH9062M396</v>
          </cell>
          <cell r="C6003">
            <v>8</v>
          </cell>
          <cell r="D6003">
            <v>245</v>
          </cell>
          <cell r="E6003">
            <v>1960</v>
          </cell>
          <cell r="F6003" t="str">
            <v>A2-S03</v>
          </cell>
          <cell r="G6003" t="str">
            <v>Bottom panel - Ván đáy</v>
          </cell>
          <cell r="H6003" t="str">
            <v>MDF Veneer</v>
          </cell>
          <cell r="I6003">
            <v>8</v>
          </cell>
        </row>
        <row r="6004">
          <cell r="A6004" t="str">
            <v>B558392/A</v>
          </cell>
          <cell r="B6004" t="str">
            <v>RH9062M396</v>
          </cell>
          <cell r="C6004">
            <v>8</v>
          </cell>
          <cell r="D6004">
            <v>245</v>
          </cell>
          <cell r="E6004">
            <v>1960</v>
          </cell>
          <cell r="F6004" t="str">
            <v>P01</v>
          </cell>
          <cell r="G6004" t="str">
            <v xml:space="preserve">Top panel  - Ván nóc </v>
          </cell>
          <cell r="H6004" t="str">
            <v>MDF Veneer</v>
          </cell>
          <cell r="I6004">
            <v>8</v>
          </cell>
        </row>
        <row r="6005">
          <cell r="A6005" t="str">
            <v>B558392/A</v>
          </cell>
          <cell r="B6005" t="str">
            <v>RH9062M396</v>
          </cell>
          <cell r="C6005">
            <v>8</v>
          </cell>
          <cell r="D6005">
            <v>245</v>
          </cell>
          <cell r="E6005">
            <v>1960</v>
          </cell>
          <cell r="F6005" t="str">
            <v>P02</v>
          </cell>
          <cell r="G6005" t="str">
            <v>vaccumn veneer - cảo bich veneer</v>
          </cell>
          <cell r="H6005" t="str">
            <v>Wd+VN</v>
          </cell>
          <cell r="I6005">
            <v>16</v>
          </cell>
        </row>
        <row r="6006">
          <cell r="A6006" t="str">
            <v>B558392/A</v>
          </cell>
          <cell r="B6006" t="str">
            <v>RH9062M396</v>
          </cell>
          <cell r="C6006">
            <v>8</v>
          </cell>
          <cell r="D6006">
            <v>245</v>
          </cell>
          <cell r="E6006">
            <v>1960</v>
          </cell>
          <cell r="F6006" t="str">
            <v>P02-1</v>
          </cell>
          <cell r="G6006" t="str">
            <v>MDF - MDF</v>
          </cell>
          <cell r="H6006" t="str">
            <v>MDF laminate</v>
          </cell>
          <cell r="I6006">
            <v>16</v>
          </cell>
        </row>
        <row r="6007">
          <cell r="A6007" t="str">
            <v>B558392/A</v>
          </cell>
          <cell r="B6007" t="str">
            <v>RH9062M396</v>
          </cell>
          <cell r="C6007">
            <v>8</v>
          </cell>
          <cell r="D6007">
            <v>245</v>
          </cell>
          <cell r="E6007">
            <v>1960</v>
          </cell>
          <cell r="F6007" t="str">
            <v>P02-2</v>
          </cell>
          <cell r="G6007" t="str">
            <v>Insert Wood - Gỗ chèn</v>
          </cell>
          <cell r="H6007" t="str">
            <v>Wood EU Beech - Straight/Waving Edged ABC, 2 COM - T50mm x W100mm up x L1.8m up</v>
          </cell>
          <cell r="I6007">
            <v>16</v>
          </cell>
        </row>
        <row r="6008">
          <cell r="A6008" t="str">
            <v>B558392/A</v>
          </cell>
          <cell r="B6008" t="str">
            <v>RH9062M396</v>
          </cell>
          <cell r="C6008">
            <v>8</v>
          </cell>
          <cell r="D6008">
            <v>245</v>
          </cell>
          <cell r="E6008">
            <v>1960</v>
          </cell>
          <cell r="F6008" t="str">
            <v>P02-3</v>
          </cell>
          <cell r="G6008" t="str">
            <v>Insert Wood - Gỗ chèn</v>
          </cell>
          <cell r="H6008" t="str">
            <v>Wood EU Beech - Straight/Waving Edged ABC, 2 COM - T50mm x W100mm up x L1.8m up</v>
          </cell>
          <cell r="I6008">
            <v>16</v>
          </cell>
        </row>
        <row r="6009">
          <cell r="A6009" t="str">
            <v>B558392/A</v>
          </cell>
          <cell r="B6009" t="str">
            <v>RH9062M396</v>
          </cell>
          <cell r="C6009">
            <v>8</v>
          </cell>
          <cell r="D6009">
            <v>245</v>
          </cell>
          <cell r="E6009">
            <v>1960</v>
          </cell>
          <cell r="F6009" t="str">
            <v>P05</v>
          </cell>
          <cell r="G6009" t="str">
            <v>back rail - Đố hậu</v>
          </cell>
          <cell r="H6009" t="str">
            <v>Standard Wood - ALDER/ASPEN/LENGA/US POPLAR, 2 COM - T25 W120mm+ L2m+</v>
          </cell>
          <cell r="I6009">
            <v>8</v>
          </cell>
        </row>
        <row r="6010">
          <cell r="A6010" t="str">
            <v>B558392/A</v>
          </cell>
          <cell r="B6010" t="str">
            <v>RH9062M396</v>
          </cell>
          <cell r="C6010">
            <v>8</v>
          </cell>
          <cell r="D6010">
            <v>245</v>
          </cell>
          <cell r="E6010">
            <v>1960</v>
          </cell>
          <cell r="F6010" t="str">
            <v>P06</v>
          </cell>
          <cell r="G6010" t="str">
            <v>Back panel - Ván hậu</v>
          </cell>
          <cell r="H6010" t="str">
            <v>MDF Veneer</v>
          </cell>
          <cell r="I6010">
            <v>8</v>
          </cell>
        </row>
        <row r="6011">
          <cell r="A6011" t="str">
            <v>B558392/A</v>
          </cell>
          <cell r="B6011" t="str">
            <v>RH9062M396</v>
          </cell>
          <cell r="C6011">
            <v>8</v>
          </cell>
          <cell r="D6011">
            <v>245</v>
          </cell>
          <cell r="E6011">
            <v>1960</v>
          </cell>
          <cell r="F6011" t="str">
            <v>P07</v>
          </cell>
          <cell r="G6011" t="str">
            <v>Drawer stop - Dừng hộc</v>
          </cell>
          <cell r="H6011" t="str">
            <v>Poplar off cut</v>
          </cell>
          <cell r="I6011">
            <v>16</v>
          </cell>
        </row>
        <row r="6012">
          <cell r="A6012" t="str">
            <v>B558392/A</v>
          </cell>
          <cell r="B6012" t="str">
            <v>RH9062M396</v>
          </cell>
          <cell r="C6012">
            <v>8</v>
          </cell>
          <cell r="D6012">
            <v>245</v>
          </cell>
          <cell r="E6012">
            <v>1960</v>
          </cell>
          <cell r="F6012" t="str">
            <v>P08</v>
          </cell>
          <cell r="G6012" t="str">
            <v>support Top - đỡ nóc</v>
          </cell>
          <cell r="H6012" t="str">
            <v>Beech off cut</v>
          </cell>
          <cell r="I6012">
            <v>16</v>
          </cell>
        </row>
        <row r="6013">
          <cell r="A6013" t="str">
            <v>B558392/A</v>
          </cell>
          <cell r="B6013" t="str">
            <v>RH9062M396</v>
          </cell>
          <cell r="C6013">
            <v>8</v>
          </cell>
          <cell r="D6013">
            <v>245</v>
          </cell>
          <cell r="E6013">
            <v>1960</v>
          </cell>
          <cell r="F6013" t="str">
            <v>P09</v>
          </cell>
          <cell r="G6013" t="str">
            <v>Center panel - Ván giữa</v>
          </cell>
          <cell r="H6013" t="str">
            <v>MDF Veneer</v>
          </cell>
          <cell r="I6013">
            <v>8</v>
          </cell>
        </row>
        <row r="6014">
          <cell r="A6014" t="str">
            <v>B558394/A</v>
          </cell>
          <cell r="B6014" t="str">
            <v>RH9062M410</v>
          </cell>
          <cell r="C6014">
            <v>20</v>
          </cell>
          <cell r="D6014">
            <v>245</v>
          </cell>
          <cell r="E6014">
            <v>4900</v>
          </cell>
          <cell r="F6014" t="str">
            <v>A1-S0</v>
          </cell>
          <cell r="G6014" t="str">
            <v>vaccumn veneer - cảo bich veneer</v>
          </cell>
          <cell r="H6014" t="str">
            <v>Pre-Assembly</v>
          </cell>
          <cell r="I6014">
            <v>20</v>
          </cell>
        </row>
        <row r="6015">
          <cell r="A6015" t="str">
            <v>B558394/A</v>
          </cell>
          <cell r="B6015" t="str">
            <v>RH9062M410</v>
          </cell>
          <cell r="C6015">
            <v>20</v>
          </cell>
          <cell r="D6015">
            <v>245</v>
          </cell>
          <cell r="E6015">
            <v>4900</v>
          </cell>
          <cell r="F6015" t="str">
            <v>A1-S01</v>
          </cell>
          <cell r="G6015" t="str">
            <v xml:space="preserve">Drawer front 1 - Mặt hộc kéo </v>
          </cell>
          <cell r="H6015" t="str">
            <v>Wd+MDF+VN</v>
          </cell>
          <cell r="I6015">
            <v>20</v>
          </cell>
        </row>
        <row r="6016">
          <cell r="A6016" t="str">
            <v>B558394/A</v>
          </cell>
          <cell r="B6016" t="str">
            <v>RH9062M410</v>
          </cell>
          <cell r="C6016">
            <v>20</v>
          </cell>
          <cell r="D6016">
            <v>245</v>
          </cell>
          <cell r="E6016">
            <v>4900</v>
          </cell>
          <cell r="F6016" t="str">
            <v>A1-S01-1</v>
          </cell>
          <cell r="G6016" t="str">
            <v>Vertical rail 1 - Đố đứng 1</v>
          </cell>
          <cell r="H6016" t="str">
            <v>MDF laminate</v>
          </cell>
          <cell r="I6016">
            <v>40</v>
          </cell>
        </row>
        <row r="6017">
          <cell r="A6017" t="str">
            <v>B558394/A</v>
          </cell>
          <cell r="B6017" t="str">
            <v>RH9062M410</v>
          </cell>
          <cell r="C6017">
            <v>20</v>
          </cell>
          <cell r="D6017">
            <v>245</v>
          </cell>
          <cell r="E6017">
            <v>4900</v>
          </cell>
          <cell r="F6017" t="str">
            <v>A1-S01-2</v>
          </cell>
          <cell r="G6017" t="str">
            <v>MDF - MDF</v>
          </cell>
          <cell r="H6017" t="str">
            <v>MDF - 25 x 1830 x 2440mm [CARB P2 Compliant]</v>
          </cell>
          <cell r="I6017">
            <v>20</v>
          </cell>
        </row>
        <row r="6018">
          <cell r="A6018" t="str">
            <v>B558394/A</v>
          </cell>
          <cell r="B6018" t="str">
            <v>RH9062M410</v>
          </cell>
          <cell r="C6018">
            <v>20</v>
          </cell>
          <cell r="D6018">
            <v>245</v>
          </cell>
          <cell r="E6018">
            <v>4900</v>
          </cell>
          <cell r="F6018" t="str">
            <v>A1-S01-3</v>
          </cell>
          <cell r="G6018" t="str">
            <v>Insert Wood - Gỗ chèn</v>
          </cell>
          <cell r="H6018" t="str">
            <v>Wood White Oak - Straight/Waving Edged, 2 COM - T25mm x W100mm Up x L1.5m Up</v>
          </cell>
          <cell r="I6018">
            <v>20</v>
          </cell>
        </row>
        <row r="6019">
          <cell r="A6019" t="str">
            <v>B558394/A</v>
          </cell>
          <cell r="B6019" t="str">
            <v>RH9062M410</v>
          </cell>
          <cell r="C6019">
            <v>20</v>
          </cell>
          <cell r="D6019">
            <v>245</v>
          </cell>
          <cell r="E6019">
            <v>4900</v>
          </cell>
          <cell r="F6019" t="str">
            <v>A1-S02</v>
          </cell>
          <cell r="G6019" t="str">
            <v>Drawer side - Hông hộc kéo</v>
          </cell>
          <cell r="H6019" t="str">
            <v>MDF-N - 12 x 1220 x 2440mm, Veneer Ash Straigh Grain 0.45mm Both Faces [CARB P2 Compliant]</v>
          </cell>
          <cell r="I6019">
            <v>40</v>
          </cell>
        </row>
        <row r="6020">
          <cell r="A6020" t="str">
            <v>B558394/A</v>
          </cell>
          <cell r="B6020" t="str">
            <v>RH9062M410</v>
          </cell>
          <cell r="C6020">
            <v>20</v>
          </cell>
          <cell r="D6020">
            <v>245</v>
          </cell>
          <cell r="E6020">
            <v>4900</v>
          </cell>
          <cell r="F6020" t="str">
            <v>A1-S03</v>
          </cell>
          <cell r="G6020" t="str">
            <v>Drawer back - Hậu hộc kéo</v>
          </cell>
          <cell r="H6020" t="str">
            <v>MDF-N - 12 x 1220 x 2440mm, Veneer Ash Straigh Grain 0.45mm Both Faces [CARB P2 Compliant]</v>
          </cell>
          <cell r="I6020">
            <v>20</v>
          </cell>
        </row>
        <row r="6021">
          <cell r="A6021" t="str">
            <v>B558394/A</v>
          </cell>
          <cell r="B6021" t="str">
            <v>RH9062M410</v>
          </cell>
          <cell r="C6021">
            <v>20</v>
          </cell>
          <cell r="D6021">
            <v>245</v>
          </cell>
          <cell r="E6021">
            <v>4900</v>
          </cell>
          <cell r="F6021" t="str">
            <v>A1-S04</v>
          </cell>
          <cell r="G6021" t="str">
            <v>Drawer bottom  - Đáy hộc kéo</v>
          </cell>
          <cell r="H6021" t="str">
            <v>MDF Veneer</v>
          </cell>
          <cell r="I6021">
            <v>20</v>
          </cell>
        </row>
        <row r="6022">
          <cell r="A6022" t="str">
            <v>B558394/A</v>
          </cell>
          <cell r="B6022" t="str">
            <v>RH9062M410</v>
          </cell>
          <cell r="C6022">
            <v>20</v>
          </cell>
          <cell r="D6022">
            <v>245</v>
          </cell>
          <cell r="E6022">
            <v>4900</v>
          </cell>
          <cell r="F6022" t="str">
            <v>A1-S06</v>
          </cell>
          <cell r="G6022" t="str">
            <v>Patching wood - Gỗ đắp</v>
          </cell>
          <cell r="H6022" t="str">
            <v>Beech off cut</v>
          </cell>
          <cell r="I6022">
            <v>40</v>
          </cell>
        </row>
        <row r="6023">
          <cell r="A6023" t="str">
            <v>B558394/A</v>
          </cell>
          <cell r="B6023" t="str">
            <v>RH9062M410</v>
          </cell>
          <cell r="C6023">
            <v>20</v>
          </cell>
          <cell r="D6023">
            <v>245</v>
          </cell>
          <cell r="E6023">
            <v>4900</v>
          </cell>
          <cell r="F6023" t="str">
            <v>A2-S01</v>
          </cell>
          <cell r="G6023" t="str">
            <v>Bottom frame - Khung dưới</v>
          </cell>
          <cell r="H6023" t="str">
            <v>Pre-Assembly</v>
          </cell>
          <cell r="I6023">
            <v>20</v>
          </cell>
        </row>
        <row r="6024">
          <cell r="A6024" t="str">
            <v>B558394/A</v>
          </cell>
          <cell r="B6024" t="str">
            <v>RH9062M410</v>
          </cell>
          <cell r="C6024">
            <v>20</v>
          </cell>
          <cell r="D6024">
            <v>245</v>
          </cell>
          <cell r="E6024">
            <v>4900</v>
          </cell>
          <cell r="F6024" t="str">
            <v>A2-S01-1</v>
          </cell>
          <cell r="G6024" t="str">
            <v>Front Bottom Rail  - Đố đáy trước</v>
          </cell>
          <cell r="H6024" t="str">
            <v>Wood laminate</v>
          </cell>
          <cell r="I6024">
            <v>20</v>
          </cell>
        </row>
        <row r="6025">
          <cell r="A6025" t="str">
            <v>B558394/A</v>
          </cell>
          <cell r="B6025" t="str">
            <v>RH9062M410</v>
          </cell>
          <cell r="C6025">
            <v>20</v>
          </cell>
          <cell r="D6025">
            <v>245</v>
          </cell>
          <cell r="E6025">
            <v>4900</v>
          </cell>
          <cell r="F6025" t="str">
            <v>A2-S01-2</v>
          </cell>
          <cell r="G6025" t="str">
            <v>Side bottom rail - Đố hông dưới</v>
          </cell>
          <cell r="H6025" t="str">
            <v>Wood laminate</v>
          </cell>
          <cell r="I6025">
            <v>40</v>
          </cell>
        </row>
        <row r="6026">
          <cell r="A6026" t="str">
            <v>B558394/A</v>
          </cell>
          <cell r="B6026" t="str">
            <v>RH9062M410</v>
          </cell>
          <cell r="C6026">
            <v>20</v>
          </cell>
          <cell r="D6026">
            <v>245</v>
          </cell>
          <cell r="E6026">
            <v>4900</v>
          </cell>
          <cell r="F6026" t="str">
            <v>A2-S01-3</v>
          </cell>
          <cell r="G6026" t="str">
            <v>Back bottom rail - Đố hậu đáy</v>
          </cell>
          <cell r="H6026" t="str">
            <v>Wood laminate</v>
          </cell>
          <cell r="I6026">
            <v>20</v>
          </cell>
        </row>
        <row r="6027">
          <cell r="A6027" t="str">
            <v>B558394/A</v>
          </cell>
          <cell r="B6027" t="str">
            <v>RH9062M410</v>
          </cell>
          <cell r="C6027">
            <v>20</v>
          </cell>
          <cell r="D6027">
            <v>245</v>
          </cell>
          <cell r="E6027">
            <v>4900</v>
          </cell>
          <cell r="F6027" t="str">
            <v>A2-S03</v>
          </cell>
          <cell r="G6027" t="str">
            <v>Bottom panel - Ván đáy</v>
          </cell>
          <cell r="H6027" t="str">
            <v>MDF Veneer</v>
          </cell>
          <cell r="I6027">
            <v>20</v>
          </cell>
        </row>
        <row r="6028">
          <cell r="A6028" t="str">
            <v>B558394/A</v>
          </cell>
          <cell r="B6028" t="str">
            <v>RH9062M410</v>
          </cell>
          <cell r="C6028">
            <v>20</v>
          </cell>
          <cell r="D6028">
            <v>245</v>
          </cell>
          <cell r="E6028">
            <v>4900</v>
          </cell>
          <cell r="F6028" t="str">
            <v>P01</v>
          </cell>
          <cell r="G6028" t="str">
            <v xml:space="preserve">Top panel  - Ván nóc </v>
          </cell>
          <cell r="H6028" t="str">
            <v>MDF Veneer</v>
          </cell>
          <cell r="I6028">
            <v>20</v>
          </cell>
        </row>
        <row r="6029">
          <cell r="A6029" t="str">
            <v>B558394/A</v>
          </cell>
          <cell r="B6029" t="str">
            <v>RH9062M410</v>
          </cell>
          <cell r="C6029">
            <v>20</v>
          </cell>
          <cell r="D6029">
            <v>245</v>
          </cell>
          <cell r="E6029">
            <v>4900</v>
          </cell>
          <cell r="F6029" t="str">
            <v>P02</v>
          </cell>
          <cell r="G6029" t="str">
            <v>vaccumn veneer - cảo bich veneer</v>
          </cell>
          <cell r="H6029" t="str">
            <v>Wd+VN</v>
          </cell>
          <cell r="I6029">
            <v>40</v>
          </cell>
        </row>
        <row r="6030">
          <cell r="A6030" t="str">
            <v>B558394/A</v>
          </cell>
          <cell r="B6030" t="str">
            <v>RH9062M410</v>
          </cell>
          <cell r="C6030">
            <v>20</v>
          </cell>
          <cell r="D6030">
            <v>245</v>
          </cell>
          <cell r="E6030">
            <v>4900</v>
          </cell>
          <cell r="F6030" t="str">
            <v>P02-1</v>
          </cell>
          <cell r="G6030" t="str">
            <v>MDF - MDF</v>
          </cell>
          <cell r="H6030" t="str">
            <v>MDF laminate</v>
          </cell>
          <cell r="I6030">
            <v>40</v>
          </cell>
        </row>
        <row r="6031">
          <cell r="A6031" t="str">
            <v>B558394/A</v>
          </cell>
          <cell r="B6031" t="str">
            <v>RH9062M410</v>
          </cell>
          <cell r="C6031">
            <v>20</v>
          </cell>
          <cell r="D6031">
            <v>245</v>
          </cell>
          <cell r="E6031">
            <v>4900</v>
          </cell>
          <cell r="F6031" t="str">
            <v>P02-2</v>
          </cell>
          <cell r="G6031" t="str">
            <v>Insert Wood - Gỗ chèn</v>
          </cell>
          <cell r="H6031" t="str">
            <v>Wood EU Beech - Straight/Waving Edged ABC, 2 COM - T50mm x W100mm up x L1.8m up</v>
          </cell>
          <cell r="I6031">
            <v>40</v>
          </cell>
        </row>
        <row r="6032">
          <cell r="A6032" t="str">
            <v>B558394/A</v>
          </cell>
          <cell r="B6032" t="str">
            <v>RH9062M410</v>
          </cell>
          <cell r="C6032">
            <v>20</v>
          </cell>
          <cell r="D6032">
            <v>245</v>
          </cell>
          <cell r="E6032">
            <v>4900</v>
          </cell>
          <cell r="F6032" t="str">
            <v>P02-3</v>
          </cell>
          <cell r="G6032" t="str">
            <v>Insert Wood - Gỗ chèn</v>
          </cell>
          <cell r="H6032" t="str">
            <v>Wood EU Beech - Straight/Waving Edged ABC, 2 COM - T50mm x W100mm up x L1.8m up</v>
          </cell>
          <cell r="I6032">
            <v>40</v>
          </cell>
        </row>
        <row r="6033">
          <cell r="A6033" t="str">
            <v>B558394/A</v>
          </cell>
          <cell r="B6033" t="str">
            <v>RH9062M410</v>
          </cell>
          <cell r="C6033">
            <v>20</v>
          </cell>
          <cell r="D6033">
            <v>245</v>
          </cell>
          <cell r="E6033">
            <v>4900</v>
          </cell>
          <cell r="F6033" t="str">
            <v>P05</v>
          </cell>
          <cell r="G6033" t="str">
            <v>back rail - Đố hậu</v>
          </cell>
          <cell r="H6033" t="str">
            <v>Standard Wood - ALDER/ASPEN/LENGA/US POPLAR, 2 COM - T25 W120mm+ L2m+</v>
          </cell>
          <cell r="I6033">
            <v>20</v>
          </cell>
        </row>
        <row r="6034">
          <cell r="A6034" t="str">
            <v>B558394/A</v>
          </cell>
          <cell r="B6034" t="str">
            <v>RH9062M410</v>
          </cell>
          <cell r="C6034">
            <v>20</v>
          </cell>
          <cell r="D6034">
            <v>245</v>
          </cell>
          <cell r="E6034">
            <v>4900</v>
          </cell>
          <cell r="F6034" t="str">
            <v>P06</v>
          </cell>
          <cell r="G6034" t="str">
            <v>Back panel - Ván hậu</v>
          </cell>
          <cell r="H6034" t="str">
            <v>MDF Veneer</v>
          </cell>
          <cell r="I6034">
            <v>20</v>
          </cell>
        </row>
        <row r="6035">
          <cell r="A6035" t="str">
            <v>B558394/A</v>
          </cell>
          <cell r="B6035" t="str">
            <v>RH9062M410</v>
          </cell>
          <cell r="C6035">
            <v>20</v>
          </cell>
          <cell r="D6035">
            <v>245</v>
          </cell>
          <cell r="E6035">
            <v>4900</v>
          </cell>
          <cell r="F6035" t="str">
            <v>P07</v>
          </cell>
          <cell r="G6035" t="str">
            <v>Drawer stop - Dừng hộc</v>
          </cell>
          <cell r="H6035" t="str">
            <v>Poplar off cut</v>
          </cell>
          <cell r="I6035">
            <v>40</v>
          </cell>
        </row>
        <row r="6036">
          <cell r="A6036" t="str">
            <v>B558394/A</v>
          </cell>
          <cell r="B6036" t="str">
            <v>RH9062M410</v>
          </cell>
          <cell r="C6036">
            <v>20</v>
          </cell>
          <cell r="D6036">
            <v>245</v>
          </cell>
          <cell r="E6036">
            <v>4900</v>
          </cell>
          <cell r="F6036" t="str">
            <v>P08</v>
          </cell>
          <cell r="G6036" t="str">
            <v>support Top - đỡ nóc</v>
          </cell>
          <cell r="H6036" t="str">
            <v>Beech off cut</v>
          </cell>
          <cell r="I6036">
            <v>40</v>
          </cell>
        </row>
        <row r="6037">
          <cell r="A6037" t="str">
            <v>B558394/A</v>
          </cell>
          <cell r="B6037" t="str">
            <v>RH9062M410</v>
          </cell>
          <cell r="C6037">
            <v>20</v>
          </cell>
          <cell r="D6037">
            <v>245</v>
          </cell>
          <cell r="E6037">
            <v>4900</v>
          </cell>
          <cell r="F6037" t="str">
            <v>P09</v>
          </cell>
          <cell r="G6037" t="str">
            <v>Center panel - Ván giữa</v>
          </cell>
          <cell r="H6037" t="str">
            <v>MDF Veneer</v>
          </cell>
          <cell r="I6037">
            <v>20</v>
          </cell>
        </row>
        <row r="6038">
          <cell r="A6038" t="str">
            <v>B558396/A</v>
          </cell>
          <cell r="B6038" t="str">
            <v>RH9064NM398</v>
          </cell>
          <cell r="C6038">
            <v>15</v>
          </cell>
          <cell r="D6038">
            <v>907.5</v>
          </cell>
          <cell r="E6038">
            <v>13612.5</v>
          </cell>
          <cell r="F6038" t="str">
            <v>A1-S00</v>
          </cell>
          <cell r="G6038" t="str">
            <v>vaccumn veneer - cảo bich veneer</v>
          </cell>
          <cell r="H6038" t="str">
            <v>Pre-Assembly</v>
          </cell>
          <cell r="I6038">
            <v>15</v>
          </cell>
        </row>
        <row r="6039">
          <cell r="A6039" t="str">
            <v>B558396/A</v>
          </cell>
          <cell r="B6039" t="str">
            <v>RH9064NM398</v>
          </cell>
          <cell r="C6039">
            <v>15</v>
          </cell>
          <cell r="D6039">
            <v>907.5</v>
          </cell>
          <cell r="E6039">
            <v>13612.5</v>
          </cell>
          <cell r="F6039" t="str">
            <v>A1-S00-1</v>
          </cell>
          <cell r="G6039" t="str">
            <v>MDF - MDF</v>
          </cell>
          <cell r="H6039" t="str">
            <v>MDF - 25 x 1830 x 2440mm [CARB P2 Compliant]</v>
          </cell>
          <cell r="I6039">
            <v>15</v>
          </cell>
        </row>
        <row r="6040">
          <cell r="A6040" t="str">
            <v>B558396/A</v>
          </cell>
          <cell r="B6040" t="str">
            <v>RH9064NM398</v>
          </cell>
          <cell r="C6040">
            <v>15</v>
          </cell>
          <cell r="D6040">
            <v>907.5</v>
          </cell>
          <cell r="E6040">
            <v>13612.5</v>
          </cell>
          <cell r="F6040" t="str">
            <v>A1-S00-2</v>
          </cell>
          <cell r="G6040" t="str">
            <v>Patching wood - Gỗ đắp</v>
          </cell>
          <cell r="H6040" t="str">
            <v>Wood EU Beech - Straight/Waving Edged ABC, 2 COM - T50mm x W100mm up x L1.8m up</v>
          </cell>
          <cell r="I6040">
            <v>30</v>
          </cell>
        </row>
        <row r="6041">
          <cell r="A6041" t="str">
            <v>B558396/A</v>
          </cell>
          <cell r="B6041" t="str">
            <v>RH9064NM398</v>
          </cell>
          <cell r="C6041">
            <v>15</v>
          </cell>
          <cell r="D6041">
            <v>907.5</v>
          </cell>
          <cell r="E6041">
            <v>13612.5</v>
          </cell>
          <cell r="F6041" t="str">
            <v>A1-S01</v>
          </cell>
          <cell r="G6041" t="str">
            <v xml:space="preserve">Drawer front - Mặt hộc kéo </v>
          </cell>
          <cell r="H6041" t="str">
            <v>Wd+MDF+VN</v>
          </cell>
          <cell r="I6041">
            <v>90</v>
          </cell>
        </row>
        <row r="6042">
          <cell r="A6042" t="str">
            <v>B558396/A</v>
          </cell>
          <cell r="B6042" t="str">
            <v>RH9064NM398</v>
          </cell>
          <cell r="C6042">
            <v>15</v>
          </cell>
          <cell r="D6042">
            <v>907.5</v>
          </cell>
          <cell r="E6042">
            <v>13612.5</v>
          </cell>
          <cell r="F6042" t="str">
            <v>A1-S01-3</v>
          </cell>
          <cell r="G6042" t="str">
            <v>Insert Wood - Gỗ chèn</v>
          </cell>
          <cell r="H6042" t="str">
            <v>Wood White Oak - Straight/Waving Edged, 2 COM - T25mm x W100mm Up x L1.5m Up</v>
          </cell>
          <cell r="I6042">
            <v>90</v>
          </cell>
        </row>
        <row r="6043">
          <cell r="A6043" t="str">
            <v>B558396/A</v>
          </cell>
          <cell r="B6043" t="str">
            <v>RH9064NM398</v>
          </cell>
          <cell r="C6043">
            <v>15</v>
          </cell>
          <cell r="D6043">
            <v>907.5</v>
          </cell>
          <cell r="E6043">
            <v>13612.5</v>
          </cell>
          <cell r="F6043" t="str">
            <v>A1-S02</v>
          </cell>
          <cell r="G6043" t="str">
            <v>Drawer side - Hông hộc kéo</v>
          </cell>
          <cell r="H6043" t="str">
            <v>MDF-N - 12 x 1220 x 2440mm, Veneer Ash Straigh Grain 0.45mm Both Faces [CARB P2 Compliant]</v>
          </cell>
          <cell r="I6043">
            <v>90</v>
          </cell>
        </row>
        <row r="6044">
          <cell r="A6044" t="str">
            <v>B558396/A</v>
          </cell>
          <cell r="B6044" t="str">
            <v>RH9064NM398</v>
          </cell>
          <cell r="C6044">
            <v>15</v>
          </cell>
          <cell r="D6044">
            <v>907.5</v>
          </cell>
          <cell r="E6044">
            <v>13612.5</v>
          </cell>
          <cell r="F6044" t="str">
            <v>A1-S03</v>
          </cell>
          <cell r="G6044" t="str">
            <v>Drawer back - Hậu hộc kéo</v>
          </cell>
          <cell r="H6044" t="str">
            <v>MDF-N - 12 x 1220 x 2440mm, Veneer Ash Straigh Grain 0.45mm Both Faces [CARB P2 Compliant]</v>
          </cell>
          <cell r="I6044">
            <v>90</v>
          </cell>
        </row>
        <row r="6045">
          <cell r="A6045" t="str">
            <v>B558396/A</v>
          </cell>
          <cell r="B6045" t="str">
            <v>RH9064NM398</v>
          </cell>
          <cell r="C6045">
            <v>15</v>
          </cell>
          <cell r="D6045">
            <v>907.5</v>
          </cell>
          <cell r="E6045">
            <v>13612.5</v>
          </cell>
          <cell r="F6045" t="str">
            <v>A1-S04</v>
          </cell>
          <cell r="G6045" t="str">
            <v>Drawer side - Hông hộc kéo</v>
          </cell>
          <cell r="H6045" t="str">
            <v>MDF-N - 12 x 1220 x 2440mm, Veneer Ash Straigh Grain 0.45mm Both Faces [CARB P2 Compliant]</v>
          </cell>
          <cell r="I6045">
            <v>90</v>
          </cell>
        </row>
        <row r="6046">
          <cell r="A6046" t="str">
            <v>B558396/A</v>
          </cell>
          <cell r="B6046" t="str">
            <v>RH9064NM398</v>
          </cell>
          <cell r="C6046">
            <v>15</v>
          </cell>
          <cell r="D6046">
            <v>907.5</v>
          </cell>
          <cell r="E6046">
            <v>13612.5</v>
          </cell>
          <cell r="F6046" t="str">
            <v>A1-S05</v>
          </cell>
          <cell r="G6046" t="str">
            <v>Center bottom rail - Đố đáy giữa</v>
          </cell>
          <cell r="H6046" t="str">
            <v>Standard Wood - ALDER/ASPEN/LENGA/US POPLAR, 2 COM - T38 W120mm+ L2m+</v>
          </cell>
          <cell r="I6046">
            <v>90</v>
          </cell>
        </row>
        <row r="6047">
          <cell r="A6047" t="str">
            <v>B558396/A</v>
          </cell>
          <cell r="B6047" t="str">
            <v>RH9064NM398</v>
          </cell>
          <cell r="C6047">
            <v>15</v>
          </cell>
          <cell r="D6047">
            <v>907.5</v>
          </cell>
          <cell r="E6047">
            <v>13612.5</v>
          </cell>
          <cell r="F6047" t="str">
            <v>A1-S06</v>
          </cell>
          <cell r="G6047" t="str">
            <v>Patching wood - Gỗ đắp</v>
          </cell>
          <cell r="H6047" t="str">
            <v>Poplar off cut</v>
          </cell>
          <cell r="I6047">
            <v>90</v>
          </cell>
        </row>
        <row r="6048">
          <cell r="A6048" t="str">
            <v>B558396/A</v>
          </cell>
          <cell r="B6048" t="str">
            <v>RH9064NM398</v>
          </cell>
          <cell r="C6048">
            <v>15</v>
          </cell>
          <cell r="D6048">
            <v>907.5</v>
          </cell>
          <cell r="E6048">
            <v>13612.5</v>
          </cell>
          <cell r="F6048" t="str">
            <v>A1-S07</v>
          </cell>
          <cell r="G6048" t="str">
            <v>Patching wood - Gỗ đắp</v>
          </cell>
          <cell r="H6048" t="str">
            <v>Poplar off cut</v>
          </cell>
          <cell r="I6048">
            <v>90</v>
          </cell>
        </row>
        <row r="6049">
          <cell r="A6049" t="str">
            <v>B558396/A</v>
          </cell>
          <cell r="B6049" t="str">
            <v>RH9064NM398</v>
          </cell>
          <cell r="C6049">
            <v>15</v>
          </cell>
          <cell r="D6049">
            <v>907.5</v>
          </cell>
          <cell r="E6049">
            <v>13612.5</v>
          </cell>
          <cell r="F6049" t="str">
            <v>A1-S08</v>
          </cell>
          <cell r="G6049" t="str">
            <v>Drawer bottom  - Đáy hộc kéo</v>
          </cell>
          <cell r="H6049" t="str">
            <v>MDF Veneer</v>
          </cell>
          <cell r="I6049">
            <v>90</v>
          </cell>
        </row>
        <row r="6050">
          <cell r="A6050" t="str">
            <v>B558396/A</v>
          </cell>
          <cell r="B6050" t="str">
            <v>RH9064NM398</v>
          </cell>
          <cell r="C6050">
            <v>15</v>
          </cell>
          <cell r="D6050">
            <v>907.5</v>
          </cell>
          <cell r="E6050">
            <v>13612.5</v>
          </cell>
          <cell r="F6050" t="str">
            <v>A2</v>
          </cell>
          <cell r="G6050" t="str">
            <v>Bottom frame - Khung dưới</v>
          </cell>
          <cell r="H6050" t="str">
            <v>Pre-Assembly</v>
          </cell>
          <cell r="I6050">
            <v>15</v>
          </cell>
        </row>
        <row r="6051">
          <cell r="A6051" t="str">
            <v>B558396/A</v>
          </cell>
          <cell r="B6051" t="str">
            <v>RH9064NM398</v>
          </cell>
          <cell r="C6051">
            <v>15</v>
          </cell>
          <cell r="D6051">
            <v>907.5</v>
          </cell>
          <cell r="E6051">
            <v>13612.5</v>
          </cell>
          <cell r="F6051" t="str">
            <v>A2-S01-1</v>
          </cell>
          <cell r="G6051" t="str">
            <v>Front Bottom Rail  - Đố đáy trước</v>
          </cell>
          <cell r="H6051" t="str">
            <v>Wood laminate</v>
          </cell>
          <cell r="I6051">
            <v>15</v>
          </cell>
        </row>
        <row r="6052">
          <cell r="A6052" t="str">
            <v>B558396/A</v>
          </cell>
          <cell r="B6052" t="str">
            <v>RH9064NM398</v>
          </cell>
          <cell r="C6052">
            <v>15</v>
          </cell>
          <cell r="D6052">
            <v>907.5</v>
          </cell>
          <cell r="E6052">
            <v>13612.5</v>
          </cell>
          <cell r="F6052" t="str">
            <v>A2-S01-2</v>
          </cell>
          <cell r="G6052" t="str">
            <v>Side bottom rail - Đố hông dưới</v>
          </cell>
          <cell r="H6052" t="str">
            <v>Wood laminate</v>
          </cell>
          <cell r="I6052">
            <v>30</v>
          </cell>
        </row>
        <row r="6053">
          <cell r="A6053" t="str">
            <v>B558396/A</v>
          </cell>
          <cell r="B6053" t="str">
            <v>RH9064NM398</v>
          </cell>
          <cell r="C6053">
            <v>15</v>
          </cell>
          <cell r="D6053">
            <v>907.5</v>
          </cell>
          <cell r="E6053">
            <v>13612.5</v>
          </cell>
          <cell r="F6053" t="str">
            <v>A2-S01-3</v>
          </cell>
          <cell r="G6053" t="str">
            <v>Back bottom rail - Đố hậu đáy</v>
          </cell>
          <cell r="H6053" t="str">
            <v>Wood laminate</v>
          </cell>
          <cell r="I6053">
            <v>15</v>
          </cell>
        </row>
        <row r="6054">
          <cell r="A6054" t="str">
            <v>B558396/A</v>
          </cell>
          <cell r="B6054" t="str">
            <v>RH9064NM398</v>
          </cell>
          <cell r="C6054">
            <v>15</v>
          </cell>
          <cell r="D6054">
            <v>907.5</v>
          </cell>
          <cell r="E6054">
            <v>13612.5</v>
          </cell>
          <cell r="F6054" t="str">
            <v>A2-S01-4</v>
          </cell>
          <cell r="G6054" t="str">
            <v>Center bottom rail - Đố đáy giữa</v>
          </cell>
          <cell r="H6054" t="str">
            <v>Standard Wood - ALDER/ASPEN/LENGA/US POPLAR, 2 COM - T25 W120mm+ L2m+</v>
          </cell>
          <cell r="I6054">
            <v>15</v>
          </cell>
        </row>
        <row r="6055">
          <cell r="A6055" t="str">
            <v>B558396/A</v>
          </cell>
          <cell r="B6055" t="str">
            <v>RH9064NM398</v>
          </cell>
          <cell r="C6055">
            <v>15</v>
          </cell>
          <cell r="D6055">
            <v>907.5</v>
          </cell>
          <cell r="E6055">
            <v>13612.5</v>
          </cell>
          <cell r="F6055" t="str">
            <v>P01</v>
          </cell>
          <cell r="G6055" t="str">
            <v xml:space="preserve">Top panel  - Ván nóc </v>
          </cell>
          <cell r="H6055" t="str">
            <v>MDF Veneer</v>
          </cell>
          <cell r="I6055">
            <v>15</v>
          </cell>
        </row>
        <row r="6056">
          <cell r="A6056" t="str">
            <v>B558396/A</v>
          </cell>
          <cell r="B6056" t="str">
            <v>RH9064NM398</v>
          </cell>
          <cell r="C6056">
            <v>15</v>
          </cell>
          <cell r="D6056">
            <v>907.5</v>
          </cell>
          <cell r="E6056">
            <v>13612.5</v>
          </cell>
          <cell r="F6056" t="str">
            <v>P02</v>
          </cell>
          <cell r="G6056" t="str">
            <v>vaccumn veneer - cảo bich veneer</v>
          </cell>
          <cell r="H6056" t="str">
            <v>Pre-Assembly</v>
          </cell>
          <cell r="I6056">
            <v>30</v>
          </cell>
        </row>
        <row r="6057">
          <cell r="A6057" t="str">
            <v>B558396/A</v>
          </cell>
          <cell r="B6057" t="str">
            <v>RH9064NM398</v>
          </cell>
          <cell r="C6057">
            <v>15</v>
          </cell>
          <cell r="D6057">
            <v>907.5</v>
          </cell>
          <cell r="E6057">
            <v>13612.5</v>
          </cell>
          <cell r="F6057" t="str">
            <v>P02-1</v>
          </cell>
          <cell r="G6057" t="str">
            <v>MDF - MDF</v>
          </cell>
          <cell r="H6057" t="str">
            <v>MDF - 18 x 1830 x 2440mm [CARB P2 Compliant]</v>
          </cell>
          <cell r="I6057">
            <v>30</v>
          </cell>
        </row>
        <row r="6058">
          <cell r="A6058" t="str">
            <v>B558396/A</v>
          </cell>
          <cell r="B6058" t="str">
            <v>RH9064NM398</v>
          </cell>
          <cell r="C6058">
            <v>15</v>
          </cell>
          <cell r="D6058">
            <v>907.5</v>
          </cell>
          <cell r="E6058">
            <v>13612.5</v>
          </cell>
          <cell r="F6058" t="str">
            <v>P02-2</v>
          </cell>
          <cell r="G6058" t="str">
            <v>Patching wood - Gỗ đắp</v>
          </cell>
          <cell r="H6058" t="str">
            <v>MDF laminate</v>
          </cell>
          <cell r="I6058">
            <v>30</v>
          </cell>
        </row>
        <row r="6059">
          <cell r="A6059" t="str">
            <v>B558396/A</v>
          </cell>
          <cell r="B6059" t="str">
            <v>RH9064NM398</v>
          </cell>
          <cell r="C6059">
            <v>15</v>
          </cell>
          <cell r="D6059">
            <v>907.5</v>
          </cell>
          <cell r="E6059">
            <v>13612.5</v>
          </cell>
          <cell r="F6059" t="str">
            <v>P03</v>
          </cell>
          <cell r="G6059" t="str">
            <v>Bottom panel - Ván đáy</v>
          </cell>
          <cell r="H6059" t="str">
            <v>MDF Veneer</v>
          </cell>
          <cell r="I6059">
            <v>15</v>
          </cell>
        </row>
        <row r="6060">
          <cell r="A6060" t="str">
            <v>B558396/A</v>
          </cell>
          <cell r="B6060" t="str">
            <v>RH9064NM398</v>
          </cell>
          <cell r="C6060">
            <v>15</v>
          </cell>
          <cell r="D6060">
            <v>907.5</v>
          </cell>
          <cell r="E6060">
            <v>13612.5</v>
          </cell>
          <cell r="F6060" t="str">
            <v>P05</v>
          </cell>
          <cell r="G6060" t="str">
            <v>Partition panel - Vách ngăn</v>
          </cell>
          <cell r="H6060" t="str">
            <v>MDF Veneer</v>
          </cell>
          <cell r="I6060">
            <v>15</v>
          </cell>
        </row>
        <row r="6061">
          <cell r="A6061" t="str">
            <v>B558396/A</v>
          </cell>
          <cell r="B6061" t="str">
            <v>RH9064NM398</v>
          </cell>
          <cell r="C6061">
            <v>15</v>
          </cell>
          <cell r="D6061">
            <v>907.5</v>
          </cell>
          <cell r="E6061">
            <v>13612.5</v>
          </cell>
          <cell r="F6061" t="str">
            <v>P06</v>
          </cell>
          <cell r="G6061" t="str">
            <v>Back panel - Ván hậu</v>
          </cell>
          <cell r="H6061" t="str">
            <v>MDF Veneer</v>
          </cell>
          <cell r="I6061">
            <v>15</v>
          </cell>
        </row>
        <row r="6062">
          <cell r="A6062" t="str">
            <v>B558396/A</v>
          </cell>
          <cell r="B6062" t="str">
            <v>RH9064NM398</v>
          </cell>
          <cell r="C6062">
            <v>15</v>
          </cell>
          <cell r="D6062">
            <v>907.5</v>
          </cell>
          <cell r="E6062">
            <v>13612.5</v>
          </cell>
          <cell r="F6062" t="str">
            <v>P07</v>
          </cell>
          <cell r="G6062" t="str">
            <v>Top rail - Đố nóc</v>
          </cell>
          <cell r="H6062" t="str">
            <v>MDF Veneer</v>
          </cell>
          <cell r="I6062">
            <v>15</v>
          </cell>
        </row>
        <row r="6063">
          <cell r="A6063" t="str">
            <v>B558396/A</v>
          </cell>
          <cell r="B6063" t="str">
            <v>RH9064NM398</v>
          </cell>
          <cell r="C6063">
            <v>15</v>
          </cell>
          <cell r="D6063">
            <v>907.5</v>
          </cell>
          <cell r="E6063">
            <v>13612.5</v>
          </cell>
          <cell r="F6063" t="str">
            <v>P08</v>
          </cell>
          <cell r="G6063" t="str">
            <v>Back rail with note finger - đố hậu</v>
          </cell>
          <cell r="H6063" t="str">
            <v>Standard Wood - ALDER/ASPEN/LENGA/US POPLAR, 2 COM - T25 W120mm+ L2m+</v>
          </cell>
          <cell r="I6063">
            <v>30</v>
          </cell>
        </row>
        <row r="6064">
          <cell r="A6064" t="str">
            <v>B558396/A</v>
          </cell>
          <cell r="B6064" t="str">
            <v>RH9064NM398</v>
          </cell>
          <cell r="C6064">
            <v>15</v>
          </cell>
          <cell r="D6064">
            <v>907.5</v>
          </cell>
          <cell r="E6064">
            <v>13612.5</v>
          </cell>
          <cell r="F6064" t="str">
            <v>P09</v>
          </cell>
          <cell r="G6064" t="str">
            <v>Drawer stop - Dừng hộc</v>
          </cell>
          <cell r="H6064" t="str">
            <v>Poplar off cut</v>
          </cell>
          <cell r="I6064">
            <v>90</v>
          </cell>
        </row>
        <row r="6065">
          <cell r="A6065" t="str">
            <v>B558396/A</v>
          </cell>
          <cell r="B6065" t="str">
            <v>RH9064NM398</v>
          </cell>
          <cell r="C6065">
            <v>15</v>
          </cell>
          <cell r="D6065">
            <v>907.5</v>
          </cell>
          <cell r="E6065">
            <v>13612.5</v>
          </cell>
          <cell r="F6065" t="str">
            <v>P09-1</v>
          </cell>
          <cell r="G6065" t="str">
            <v>Drawer stop - Dừng hộc</v>
          </cell>
          <cell r="H6065" t="str">
            <v>Poplar off cut</v>
          </cell>
          <cell r="I6065">
            <v>90</v>
          </cell>
        </row>
        <row r="6066">
          <cell r="A6066" t="str">
            <v>B558396/A</v>
          </cell>
          <cell r="B6066" t="str">
            <v>RH9064NM398</v>
          </cell>
          <cell r="C6066">
            <v>15</v>
          </cell>
          <cell r="D6066">
            <v>907.5</v>
          </cell>
          <cell r="E6066">
            <v>13612.5</v>
          </cell>
          <cell r="F6066" t="str">
            <v>P10</v>
          </cell>
          <cell r="G6066" t="str">
            <v>Back panel - Ván hậu</v>
          </cell>
          <cell r="H6066" t="str">
            <v>Cement Board - 18 x 1220 x 2440mm, Dark Grey</v>
          </cell>
          <cell r="I6066">
            <v>30</v>
          </cell>
        </row>
        <row r="6067">
          <cell r="A6067" t="str">
            <v>B558396/A</v>
          </cell>
          <cell r="B6067" t="str">
            <v>RH9064NM398</v>
          </cell>
          <cell r="C6067">
            <v>15</v>
          </cell>
          <cell r="D6067">
            <v>907.5</v>
          </cell>
          <cell r="E6067">
            <v>13612.5</v>
          </cell>
          <cell r="F6067" t="str">
            <v>P11</v>
          </cell>
          <cell r="G6067" t="str">
            <v>Cleat - Bọ gỗ</v>
          </cell>
          <cell r="H6067" t="str">
            <v>Poplar off cut</v>
          </cell>
          <cell r="I6067">
            <v>90</v>
          </cell>
        </row>
        <row r="6068">
          <cell r="A6068" t="str">
            <v>B558396/A</v>
          </cell>
          <cell r="B6068" t="str">
            <v>RH9064NM398</v>
          </cell>
          <cell r="C6068">
            <v>15</v>
          </cell>
          <cell r="D6068">
            <v>907.5</v>
          </cell>
          <cell r="E6068">
            <v>13612.5</v>
          </cell>
          <cell r="F6068" t="str">
            <v>P12</v>
          </cell>
          <cell r="G6068" t="str">
            <v>Front rail  - Đố tiền</v>
          </cell>
          <cell r="H6068" t="str">
            <v>Wood US Poplar - Straight Edged, 2 COM - T25mm x W100mm Up x L1.8m Up</v>
          </cell>
          <cell r="I6068">
            <v>30</v>
          </cell>
        </row>
        <row r="6069">
          <cell r="A6069" t="str">
            <v>B558264/A</v>
          </cell>
          <cell r="B6069" t="str">
            <v>RH9090M370</v>
          </cell>
          <cell r="C6069">
            <v>12</v>
          </cell>
          <cell r="D6069">
            <v>555</v>
          </cell>
          <cell r="E6069">
            <v>6660</v>
          </cell>
          <cell r="F6069" t="str">
            <v>A1</v>
          </cell>
          <cell r="G6069" t="str">
            <v>Side Frame - Khung hông</v>
          </cell>
          <cell r="H6069" t="str">
            <v>Pre-Assembly</v>
          </cell>
          <cell r="I6069">
            <v>24</v>
          </cell>
        </row>
        <row r="6070">
          <cell r="A6070" t="str">
            <v>B558264/A</v>
          </cell>
          <cell r="B6070" t="str">
            <v>RH9090M370</v>
          </cell>
          <cell r="C6070">
            <v>12</v>
          </cell>
          <cell r="D6070">
            <v>555</v>
          </cell>
          <cell r="E6070">
            <v>6660</v>
          </cell>
          <cell r="F6070" t="str">
            <v>A1-S0</v>
          </cell>
          <cell r="G6070" t="str">
            <v xml:space="preserve">Curve part hot press  - chi tiết cảo cong </v>
          </cell>
          <cell r="H6070" t="str">
            <v>MDF Veneer</v>
          </cell>
          <cell r="I6070">
            <v>24</v>
          </cell>
        </row>
        <row r="6071">
          <cell r="A6071" t="str">
            <v>B558264/A</v>
          </cell>
          <cell r="B6071" t="str">
            <v>RH9090M370</v>
          </cell>
          <cell r="C6071">
            <v>12</v>
          </cell>
          <cell r="D6071">
            <v>555</v>
          </cell>
          <cell r="E6071">
            <v>6660</v>
          </cell>
          <cell r="F6071" t="str">
            <v>A1-S01</v>
          </cell>
          <cell r="G6071" t="str">
            <v xml:space="preserve">Curve part hot press  - chi tiết cảo cong </v>
          </cell>
          <cell r="H6071" t="str">
            <v>MDF Veneer</v>
          </cell>
          <cell r="I6071">
            <v>24</v>
          </cell>
        </row>
        <row r="6072">
          <cell r="A6072" t="str">
            <v>B558264/A</v>
          </cell>
          <cell r="B6072" t="str">
            <v>RH9090M370</v>
          </cell>
          <cell r="C6072">
            <v>12</v>
          </cell>
          <cell r="D6072">
            <v>555</v>
          </cell>
          <cell r="E6072">
            <v>6660</v>
          </cell>
          <cell r="F6072" t="str">
            <v>A1-S05</v>
          </cell>
          <cell r="G6072" t="str">
            <v>Patching wood - Gỗ đắp</v>
          </cell>
          <cell r="H6072" t="str">
            <v>Wood White Oak - Straight/Waving Edged, 1 COM - T32mm x W100mm Up x L1.8m Up</v>
          </cell>
          <cell r="I6072">
            <v>24</v>
          </cell>
        </row>
        <row r="6073">
          <cell r="A6073" t="str">
            <v>B558264/A</v>
          </cell>
          <cell r="B6073" t="str">
            <v>RH9090M370</v>
          </cell>
          <cell r="C6073">
            <v>12</v>
          </cell>
          <cell r="D6073">
            <v>555</v>
          </cell>
          <cell r="E6073">
            <v>6660</v>
          </cell>
          <cell r="F6073" t="str">
            <v>A2-S01</v>
          </cell>
          <cell r="G6073" t="str">
            <v xml:space="preserve">Top panel  - Ván nóc </v>
          </cell>
          <cell r="H6073" t="str">
            <v>MDF Veneer</v>
          </cell>
          <cell r="I6073">
            <v>12</v>
          </cell>
        </row>
        <row r="6074">
          <cell r="A6074" t="str">
            <v>B558264/A</v>
          </cell>
          <cell r="B6074" t="str">
            <v>RH9090M370</v>
          </cell>
          <cell r="C6074">
            <v>12</v>
          </cell>
          <cell r="D6074">
            <v>555</v>
          </cell>
          <cell r="E6074">
            <v>6660</v>
          </cell>
          <cell r="F6074" t="str">
            <v>A2-S02</v>
          </cell>
          <cell r="G6074" t="str">
            <v>Top rail - Đố nóc</v>
          </cell>
          <cell r="H6074" t="str">
            <v>Wood laminate</v>
          </cell>
          <cell r="I6074">
            <v>12</v>
          </cell>
        </row>
        <row r="6075">
          <cell r="A6075" t="str">
            <v>B558264/A</v>
          </cell>
          <cell r="B6075" t="str">
            <v>RH9090M370</v>
          </cell>
          <cell r="C6075">
            <v>12</v>
          </cell>
          <cell r="D6075">
            <v>555</v>
          </cell>
          <cell r="E6075">
            <v>6660</v>
          </cell>
          <cell r="F6075" t="str">
            <v>A2-S03</v>
          </cell>
          <cell r="G6075" t="str">
            <v>Top rail - Đố nóc</v>
          </cell>
          <cell r="H6075" t="str">
            <v>Wood laminate</v>
          </cell>
          <cell r="I6075">
            <v>24</v>
          </cell>
        </row>
        <row r="6076">
          <cell r="A6076" t="str">
            <v>B558264/A</v>
          </cell>
          <cell r="B6076" t="str">
            <v>RH9090M370</v>
          </cell>
          <cell r="C6076">
            <v>12</v>
          </cell>
          <cell r="D6076">
            <v>555</v>
          </cell>
          <cell r="E6076">
            <v>6660</v>
          </cell>
          <cell r="F6076" t="str">
            <v>A2-S04</v>
          </cell>
          <cell r="G6076" t="str">
            <v>Front rail  - Đố tiền</v>
          </cell>
          <cell r="H6076" t="str">
            <v>Wood laminate</v>
          </cell>
          <cell r="I6076">
            <v>12</v>
          </cell>
        </row>
        <row r="6077">
          <cell r="A6077" t="str">
            <v>B558264/A</v>
          </cell>
          <cell r="B6077" t="str">
            <v>RH9090M370</v>
          </cell>
          <cell r="C6077">
            <v>12</v>
          </cell>
          <cell r="D6077">
            <v>555</v>
          </cell>
          <cell r="E6077">
            <v>6660</v>
          </cell>
          <cell r="F6077" t="str">
            <v>A2-S05</v>
          </cell>
          <cell r="G6077" t="str">
            <v>Top rail - Đố nóc</v>
          </cell>
          <cell r="H6077" t="str">
            <v>Wood laminate</v>
          </cell>
          <cell r="I6077">
            <v>24</v>
          </cell>
        </row>
        <row r="6078">
          <cell r="A6078" t="str">
            <v>B558264/A</v>
          </cell>
          <cell r="B6078" t="str">
            <v>RH9090M370</v>
          </cell>
          <cell r="C6078">
            <v>12</v>
          </cell>
          <cell r="D6078">
            <v>555</v>
          </cell>
          <cell r="E6078">
            <v>6660</v>
          </cell>
          <cell r="F6078" t="str">
            <v>A2-S06</v>
          </cell>
          <cell r="G6078" t="str">
            <v>support Top - đỡ nóc</v>
          </cell>
          <cell r="H6078" t="str">
            <v>Beech off cut</v>
          </cell>
          <cell r="I6078">
            <v>48</v>
          </cell>
        </row>
        <row r="6079">
          <cell r="A6079" t="str">
            <v>B558264/A</v>
          </cell>
          <cell r="B6079" t="str">
            <v>RH9090M370</v>
          </cell>
          <cell r="C6079">
            <v>12</v>
          </cell>
          <cell r="D6079">
            <v>555</v>
          </cell>
          <cell r="E6079">
            <v>6660</v>
          </cell>
          <cell r="F6079" t="str">
            <v>A2-S07</v>
          </cell>
          <cell r="G6079" t="str">
            <v>support Top - đỡ nóc</v>
          </cell>
          <cell r="H6079" t="str">
            <v>Wood laminate</v>
          </cell>
          <cell r="I6079">
            <v>12</v>
          </cell>
        </row>
        <row r="6080">
          <cell r="A6080" t="str">
            <v>B558264/A</v>
          </cell>
          <cell r="B6080" t="str">
            <v>RH9090M370</v>
          </cell>
          <cell r="C6080">
            <v>12</v>
          </cell>
          <cell r="D6080">
            <v>555</v>
          </cell>
          <cell r="E6080">
            <v>6660</v>
          </cell>
          <cell r="F6080" t="str">
            <v>A3-S0</v>
          </cell>
          <cell r="G6080" t="str">
            <v xml:space="preserve">Curve part hot press  - chi tiết cảo cong </v>
          </cell>
          <cell r="H6080" t="str">
            <v>MDF Veneer</v>
          </cell>
          <cell r="I6080">
            <v>12</v>
          </cell>
        </row>
        <row r="6081">
          <cell r="A6081" t="str">
            <v>B558264/A</v>
          </cell>
          <cell r="B6081" t="str">
            <v>RH9090M370</v>
          </cell>
          <cell r="C6081">
            <v>12</v>
          </cell>
          <cell r="D6081">
            <v>555</v>
          </cell>
          <cell r="E6081">
            <v>6660</v>
          </cell>
          <cell r="F6081" t="str">
            <v>A3-S01</v>
          </cell>
          <cell r="G6081" t="str">
            <v xml:space="preserve">Curve part hot press  - chi tiết cảo cong </v>
          </cell>
          <cell r="H6081" t="str">
            <v>MDF Veneer</v>
          </cell>
          <cell r="I6081">
            <v>72</v>
          </cell>
        </row>
        <row r="6082">
          <cell r="A6082" t="str">
            <v>B558264/A</v>
          </cell>
          <cell r="B6082" t="str">
            <v>RH9090M370</v>
          </cell>
          <cell r="C6082">
            <v>12</v>
          </cell>
          <cell r="D6082">
            <v>555</v>
          </cell>
          <cell r="E6082">
            <v>6660</v>
          </cell>
          <cell r="F6082" t="str">
            <v>A3-S02</v>
          </cell>
          <cell r="G6082" t="str">
            <v>Bottom panel - Ván đáy</v>
          </cell>
          <cell r="H6082" t="str">
            <v>MDF Veneer</v>
          </cell>
          <cell r="I6082">
            <v>24</v>
          </cell>
        </row>
        <row r="6083">
          <cell r="A6083" t="str">
            <v>B558264/A</v>
          </cell>
          <cell r="B6083" t="str">
            <v>RH9090M370</v>
          </cell>
          <cell r="C6083">
            <v>12</v>
          </cell>
          <cell r="D6083">
            <v>555</v>
          </cell>
          <cell r="E6083">
            <v>6660</v>
          </cell>
          <cell r="F6083" t="str">
            <v>A3-S03</v>
          </cell>
          <cell r="G6083" t="str">
            <v>Patching wood - Gỗ đắp</v>
          </cell>
          <cell r="H6083" t="str">
            <v>Beech off cut</v>
          </cell>
          <cell r="I6083">
            <v>72</v>
          </cell>
        </row>
        <row r="6084">
          <cell r="A6084" t="str">
            <v>B558264/A</v>
          </cell>
          <cell r="B6084" t="str">
            <v>RH9090M370</v>
          </cell>
          <cell r="C6084">
            <v>12</v>
          </cell>
          <cell r="D6084">
            <v>555</v>
          </cell>
          <cell r="E6084">
            <v>6660</v>
          </cell>
          <cell r="F6084" t="str">
            <v>A4</v>
          </cell>
          <cell r="G6084" t="str">
            <v>Door panel  - Ván cửa</v>
          </cell>
          <cell r="H6084" t="str">
            <v>Pre-Assembly</v>
          </cell>
          <cell r="I6084">
            <v>24</v>
          </cell>
        </row>
        <row r="6085">
          <cell r="A6085" t="str">
            <v>B558264/A</v>
          </cell>
          <cell r="B6085" t="str">
            <v>RH9090M370</v>
          </cell>
          <cell r="C6085">
            <v>12</v>
          </cell>
          <cell r="D6085">
            <v>555</v>
          </cell>
          <cell r="E6085">
            <v>6660</v>
          </cell>
          <cell r="F6085" t="str">
            <v>A4-S0</v>
          </cell>
          <cell r="G6085" t="str">
            <v xml:space="preserve">Curve part hot press  - chi tiết cảo cong </v>
          </cell>
          <cell r="H6085" t="str">
            <v>MDF Veneer</v>
          </cell>
          <cell r="I6085">
            <v>12</v>
          </cell>
        </row>
        <row r="6086">
          <cell r="A6086" t="str">
            <v>B558264/A</v>
          </cell>
          <cell r="B6086" t="str">
            <v>RH9090M370</v>
          </cell>
          <cell r="C6086">
            <v>12</v>
          </cell>
          <cell r="D6086">
            <v>555</v>
          </cell>
          <cell r="E6086">
            <v>6660</v>
          </cell>
          <cell r="F6086" t="str">
            <v>A4-S00</v>
          </cell>
          <cell r="G6086" t="str">
            <v xml:space="preserve">Curve part hot press  - chi tiết cảo cong </v>
          </cell>
          <cell r="H6086" t="str">
            <v>MDF Veneer</v>
          </cell>
          <cell r="I6086">
            <v>12</v>
          </cell>
        </row>
        <row r="6087">
          <cell r="A6087" t="str">
            <v>B558264/A</v>
          </cell>
          <cell r="B6087" t="str">
            <v>RH9090M370</v>
          </cell>
          <cell r="C6087">
            <v>12</v>
          </cell>
          <cell r="D6087">
            <v>555</v>
          </cell>
          <cell r="E6087">
            <v>6660</v>
          </cell>
          <cell r="F6087" t="str">
            <v>A4-S01</v>
          </cell>
          <cell r="G6087" t="str">
            <v xml:space="preserve">Side panel  - Ván hông </v>
          </cell>
          <cell r="H6087" t="str">
            <v>MDF Veneer</v>
          </cell>
          <cell r="I6087">
            <v>24</v>
          </cell>
        </row>
        <row r="6088">
          <cell r="A6088" t="str">
            <v>B558264/A</v>
          </cell>
          <cell r="B6088" t="str">
            <v>RH9090M370</v>
          </cell>
          <cell r="C6088">
            <v>12</v>
          </cell>
          <cell r="D6088">
            <v>555</v>
          </cell>
          <cell r="E6088">
            <v>6660</v>
          </cell>
          <cell r="F6088" t="str">
            <v>A4-S02</v>
          </cell>
          <cell r="G6088" t="str">
            <v>Patching wood - Gỗ đắp</v>
          </cell>
          <cell r="H6088" t="str">
            <v>Wood White Oak - Straight/Waving Edged, 1 COM - T32mm x W100mm Up x L1.8m Up</v>
          </cell>
          <cell r="I6088">
            <v>24</v>
          </cell>
        </row>
        <row r="6089">
          <cell r="A6089" t="str">
            <v>B558264/A</v>
          </cell>
          <cell r="B6089" t="str">
            <v>RH9090M370</v>
          </cell>
          <cell r="C6089">
            <v>12</v>
          </cell>
          <cell r="D6089">
            <v>555</v>
          </cell>
          <cell r="E6089">
            <v>6660</v>
          </cell>
          <cell r="F6089" t="str">
            <v>P04</v>
          </cell>
          <cell r="G6089" t="str">
            <v>Door panel  - Ván cửa</v>
          </cell>
          <cell r="H6089" t="str">
            <v>MDF Veneer</v>
          </cell>
          <cell r="I6089">
            <v>24</v>
          </cell>
        </row>
        <row r="6090">
          <cell r="A6090" t="str">
            <v>B558264/A</v>
          </cell>
          <cell r="B6090" t="str">
            <v>RH9090M370</v>
          </cell>
          <cell r="C6090">
            <v>12</v>
          </cell>
          <cell r="D6090">
            <v>555</v>
          </cell>
          <cell r="E6090">
            <v>6660</v>
          </cell>
          <cell r="F6090" t="str">
            <v>P04-1</v>
          </cell>
          <cell r="G6090" t="str">
            <v>Insert Wood - Gỗ chèn</v>
          </cell>
          <cell r="H6090" t="str">
            <v>Beech off cut</v>
          </cell>
          <cell r="I6090">
            <v>72</v>
          </cell>
        </row>
        <row r="6091">
          <cell r="A6091" t="str">
            <v>B558264/A</v>
          </cell>
          <cell r="B6091" t="str">
            <v>RH9090M370</v>
          </cell>
          <cell r="C6091">
            <v>12</v>
          </cell>
          <cell r="D6091">
            <v>555</v>
          </cell>
          <cell r="E6091">
            <v>6660</v>
          </cell>
          <cell r="F6091" t="str">
            <v>P04-2</v>
          </cell>
          <cell r="G6091" t="str">
            <v>Insert Wood - Gỗ chèn</v>
          </cell>
          <cell r="H6091" t="str">
            <v>Wood White Oak - Straight/Waving Edged, 2 COM - T25mm x W100mm Up x L1.5m Up</v>
          </cell>
          <cell r="I6091">
            <v>48</v>
          </cell>
        </row>
        <row r="6092">
          <cell r="A6092" t="str">
            <v>B558264/A</v>
          </cell>
          <cell r="B6092" t="str">
            <v>RH9090M370</v>
          </cell>
          <cell r="C6092">
            <v>12</v>
          </cell>
          <cell r="D6092">
            <v>555</v>
          </cell>
          <cell r="E6092">
            <v>6660</v>
          </cell>
          <cell r="F6092" t="str">
            <v>P06</v>
          </cell>
          <cell r="G6092" t="str">
            <v>Cleat - Bọ gỗ</v>
          </cell>
          <cell r="H6092" t="str">
            <v>Beech off cut</v>
          </cell>
          <cell r="I6092">
            <v>24</v>
          </cell>
        </row>
        <row r="6093">
          <cell r="A6093" t="str">
            <v>B558264/A</v>
          </cell>
          <cell r="B6093" t="str">
            <v>RH9090M370</v>
          </cell>
          <cell r="C6093">
            <v>12</v>
          </cell>
          <cell r="D6093">
            <v>555</v>
          </cell>
          <cell r="E6093">
            <v>6660</v>
          </cell>
          <cell r="F6093" t="str">
            <v>P07</v>
          </cell>
          <cell r="G6093" t="str">
            <v>Bottom panel - Ván đáy</v>
          </cell>
          <cell r="H6093" t="str">
            <v>Plywood VN</v>
          </cell>
          <cell r="I6093">
            <v>12</v>
          </cell>
        </row>
        <row r="6094">
          <cell r="A6094" t="str">
            <v>B558264/A</v>
          </cell>
          <cell r="B6094" t="str">
            <v>RH9090M370</v>
          </cell>
          <cell r="C6094">
            <v>12</v>
          </cell>
          <cell r="D6094">
            <v>555</v>
          </cell>
          <cell r="E6094">
            <v>6660</v>
          </cell>
          <cell r="F6094" t="str">
            <v>P08</v>
          </cell>
          <cell r="G6094" t="str">
            <v>Back panel - Ván hậu</v>
          </cell>
          <cell r="H6094" t="str">
            <v>MDF Veneer</v>
          </cell>
          <cell r="I6094">
            <v>12</v>
          </cell>
        </row>
        <row r="6095">
          <cell r="A6095" t="str">
            <v>B558264/A</v>
          </cell>
          <cell r="B6095" t="str">
            <v>RH9090M370</v>
          </cell>
          <cell r="C6095">
            <v>12</v>
          </cell>
          <cell r="D6095">
            <v>555</v>
          </cell>
          <cell r="E6095">
            <v>6660</v>
          </cell>
          <cell r="F6095" t="str">
            <v>P08-1</v>
          </cell>
          <cell r="G6095" t="str">
            <v>Insert Wood - Gỗ chèn</v>
          </cell>
          <cell r="H6095" t="str">
            <v>oak off cut</v>
          </cell>
          <cell r="I6095">
            <v>24</v>
          </cell>
        </row>
        <row r="6096">
          <cell r="A6096" t="str">
            <v>B558264/A</v>
          </cell>
          <cell r="B6096" t="str">
            <v>RH9090M370</v>
          </cell>
          <cell r="C6096">
            <v>12</v>
          </cell>
          <cell r="D6096">
            <v>555</v>
          </cell>
          <cell r="E6096">
            <v>6660</v>
          </cell>
          <cell r="F6096" t="str">
            <v>P09</v>
          </cell>
          <cell r="G6096" t="str">
            <v>Partition panel - Vách ngăn</v>
          </cell>
          <cell r="H6096" t="str">
            <v>MDF Veneer</v>
          </cell>
          <cell r="I6096">
            <v>12</v>
          </cell>
        </row>
        <row r="6097">
          <cell r="A6097" t="str">
            <v>B558264/A</v>
          </cell>
          <cell r="B6097" t="str">
            <v>RH9090M370</v>
          </cell>
          <cell r="C6097">
            <v>12</v>
          </cell>
          <cell r="D6097">
            <v>555</v>
          </cell>
          <cell r="E6097">
            <v>6660</v>
          </cell>
          <cell r="F6097" t="str">
            <v>P12</v>
          </cell>
          <cell r="G6097" t="str">
            <v>Patching wood - Gỗ đắp</v>
          </cell>
          <cell r="H6097" t="str">
            <v>Wood White Oak - Straight/Waving Edged, 1 COM - T25mm x W100mm Up x L1.8m Up</v>
          </cell>
          <cell r="I6097">
            <v>24</v>
          </cell>
        </row>
        <row r="6098">
          <cell r="A6098" t="str">
            <v>B558264/A</v>
          </cell>
          <cell r="B6098" t="str">
            <v>RH9090M370</v>
          </cell>
          <cell r="C6098">
            <v>12</v>
          </cell>
          <cell r="D6098">
            <v>555</v>
          </cell>
          <cell r="E6098">
            <v>6660</v>
          </cell>
          <cell r="F6098" t="str">
            <v>P15</v>
          </cell>
          <cell r="G6098" t="str">
            <v>Shelf panel  - Ván kệ</v>
          </cell>
          <cell r="H6098" t="str">
            <v>MDF Veneer</v>
          </cell>
          <cell r="I6098">
            <v>24</v>
          </cell>
        </row>
        <row r="6099">
          <cell r="A6099" t="str">
            <v>B558265/A</v>
          </cell>
          <cell r="B6099" t="str">
            <v>RH9090M370</v>
          </cell>
          <cell r="C6099">
            <v>8</v>
          </cell>
          <cell r="D6099">
            <v>555</v>
          </cell>
          <cell r="E6099">
            <v>4440</v>
          </cell>
          <cell r="F6099" t="str">
            <v>A1</v>
          </cell>
          <cell r="G6099" t="str">
            <v>Side Frame - Khung hông</v>
          </cell>
          <cell r="H6099" t="str">
            <v>Pre-Assembly</v>
          </cell>
          <cell r="I6099">
            <v>16</v>
          </cell>
        </row>
        <row r="6100">
          <cell r="A6100" t="str">
            <v>B558265/A</v>
          </cell>
          <cell r="B6100" t="str">
            <v>RH9090M370</v>
          </cell>
          <cell r="C6100">
            <v>8</v>
          </cell>
          <cell r="D6100">
            <v>555</v>
          </cell>
          <cell r="E6100">
            <v>4440</v>
          </cell>
          <cell r="F6100" t="str">
            <v>A1-S0</v>
          </cell>
          <cell r="G6100" t="str">
            <v xml:space="preserve">Curve part hot press  - chi tiết cảo cong </v>
          </cell>
          <cell r="H6100" t="str">
            <v>MDF Veneer</v>
          </cell>
          <cell r="I6100">
            <v>16</v>
          </cell>
        </row>
        <row r="6101">
          <cell r="A6101" t="str">
            <v>B558265/A</v>
          </cell>
          <cell r="B6101" t="str">
            <v>RH9090M370</v>
          </cell>
          <cell r="C6101">
            <v>8</v>
          </cell>
          <cell r="D6101">
            <v>555</v>
          </cell>
          <cell r="E6101">
            <v>4440</v>
          </cell>
          <cell r="F6101" t="str">
            <v>A1-S01</v>
          </cell>
          <cell r="G6101" t="str">
            <v xml:space="preserve">Curve part hot press  - chi tiết cảo cong </v>
          </cell>
          <cell r="H6101" t="str">
            <v>MDF Veneer</v>
          </cell>
          <cell r="I6101">
            <v>16</v>
          </cell>
        </row>
        <row r="6102">
          <cell r="A6102" t="str">
            <v>B558265/A</v>
          </cell>
          <cell r="B6102" t="str">
            <v>RH9090M370</v>
          </cell>
          <cell r="C6102">
            <v>8</v>
          </cell>
          <cell r="D6102">
            <v>555</v>
          </cell>
          <cell r="E6102">
            <v>4440</v>
          </cell>
          <cell r="F6102" t="str">
            <v>A1-S05</v>
          </cell>
          <cell r="G6102" t="str">
            <v>Patching wood - Gỗ đắp</v>
          </cell>
          <cell r="H6102" t="str">
            <v>Wood White Oak - Straight/Waving Edged, 1 COM - T32mm x W100mm Up x L1.8m Up</v>
          </cell>
          <cell r="I6102">
            <v>16</v>
          </cell>
        </row>
        <row r="6103">
          <cell r="A6103" t="str">
            <v>B558265/A</v>
          </cell>
          <cell r="B6103" t="str">
            <v>RH9090M370</v>
          </cell>
          <cell r="C6103">
            <v>8</v>
          </cell>
          <cell r="D6103">
            <v>555</v>
          </cell>
          <cell r="E6103">
            <v>4440</v>
          </cell>
          <cell r="F6103" t="str">
            <v>A2-S01</v>
          </cell>
          <cell r="G6103" t="str">
            <v xml:space="preserve">Top panel  - Ván nóc </v>
          </cell>
          <cell r="H6103" t="str">
            <v>MDF Veneer</v>
          </cell>
          <cell r="I6103">
            <v>8</v>
          </cell>
        </row>
        <row r="6104">
          <cell r="A6104" t="str">
            <v>B558265/A</v>
          </cell>
          <cell r="B6104" t="str">
            <v>RH9090M370</v>
          </cell>
          <cell r="C6104">
            <v>8</v>
          </cell>
          <cell r="D6104">
            <v>555</v>
          </cell>
          <cell r="E6104">
            <v>4440</v>
          </cell>
          <cell r="F6104" t="str">
            <v>A2-S02</v>
          </cell>
          <cell r="G6104" t="str">
            <v>Top rail - Đố nóc</v>
          </cell>
          <cell r="H6104" t="str">
            <v>Wood laminate</v>
          </cell>
          <cell r="I6104">
            <v>8</v>
          </cell>
        </row>
        <row r="6105">
          <cell r="A6105" t="str">
            <v>B558265/A</v>
          </cell>
          <cell r="B6105" t="str">
            <v>RH9090M370</v>
          </cell>
          <cell r="C6105">
            <v>8</v>
          </cell>
          <cell r="D6105">
            <v>555</v>
          </cell>
          <cell r="E6105">
            <v>4440</v>
          </cell>
          <cell r="F6105" t="str">
            <v>A2-S03</v>
          </cell>
          <cell r="G6105" t="str">
            <v>Top rail - Đố nóc</v>
          </cell>
          <cell r="H6105" t="str">
            <v>Wood laminate</v>
          </cell>
          <cell r="I6105">
            <v>16</v>
          </cell>
        </row>
        <row r="6106">
          <cell r="A6106" t="str">
            <v>B558265/A</v>
          </cell>
          <cell r="B6106" t="str">
            <v>RH9090M370</v>
          </cell>
          <cell r="C6106">
            <v>8</v>
          </cell>
          <cell r="D6106">
            <v>555</v>
          </cell>
          <cell r="E6106">
            <v>4440</v>
          </cell>
          <cell r="F6106" t="str">
            <v>A2-S04</v>
          </cell>
          <cell r="G6106" t="str">
            <v>Front rail  - Đố tiền</v>
          </cell>
          <cell r="H6106" t="str">
            <v>Wood laminate</v>
          </cell>
          <cell r="I6106">
            <v>8</v>
          </cell>
        </row>
        <row r="6107">
          <cell r="A6107" t="str">
            <v>B558265/A</v>
          </cell>
          <cell r="B6107" t="str">
            <v>RH9090M370</v>
          </cell>
          <cell r="C6107">
            <v>8</v>
          </cell>
          <cell r="D6107">
            <v>555</v>
          </cell>
          <cell r="E6107">
            <v>4440</v>
          </cell>
          <cell r="F6107" t="str">
            <v>A2-S05</v>
          </cell>
          <cell r="G6107" t="str">
            <v>Top rail - Đố nóc</v>
          </cell>
          <cell r="H6107" t="str">
            <v>Wood laminate</v>
          </cell>
          <cell r="I6107">
            <v>16</v>
          </cell>
        </row>
        <row r="6108">
          <cell r="A6108" t="str">
            <v>B558265/A</v>
          </cell>
          <cell r="B6108" t="str">
            <v>RH9090M370</v>
          </cell>
          <cell r="C6108">
            <v>8</v>
          </cell>
          <cell r="D6108">
            <v>555</v>
          </cell>
          <cell r="E6108">
            <v>4440</v>
          </cell>
          <cell r="F6108" t="str">
            <v>A2-S06</v>
          </cell>
          <cell r="G6108" t="str">
            <v>support Top - đỡ nóc</v>
          </cell>
          <cell r="H6108" t="str">
            <v>Beech off cut</v>
          </cell>
          <cell r="I6108">
            <v>32</v>
          </cell>
        </row>
        <row r="6109">
          <cell r="A6109" t="str">
            <v>B558265/A</v>
          </cell>
          <cell r="B6109" t="str">
            <v>RH9090M370</v>
          </cell>
          <cell r="C6109">
            <v>8</v>
          </cell>
          <cell r="D6109">
            <v>555</v>
          </cell>
          <cell r="E6109">
            <v>4440</v>
          </cell>
          <cell r="F6109" t="str">
            <v>A2-S07</v>
          </cell>
          <cell r="G6109" t="str">
            <v>support Top - đỡ nóc</v>
          </cell>
          <cell r="H6109" t="str">
            <v>Wood laminate</v>
          </cell>
          <cell r="I6109">
            <v>8</v>
          </cell>
        </row>
        <row r="6110">
          <cell r="A6110" t="str">
            <v>B558265/A</v>
          </cell>
          <cell r="B6110" t="str">
            <v>RH9090M370</v>
          </cell>
          <cell r="C6110">
            <v>8</v>
          </cell>
          <cell r="D6110">
            <v>555</v>
          </cell>
          <cell r="E6110">
            <v>4440</v>
          </cell>
          <cell r="F6110" t="str">
            <v>A3-S0</v>
          </cell>
          <cell r="G6110" t="str">
            <v xml:space="preserve">Curve part hot press  - chi tiết cảo cong </v>
          </cell>
          <cell r="H6110" t="str">
            <v>MDF Veneer</v>
          </cell>
          <cell r="I6110">
            <v>8</v>
          </cell>
        </row>
        <row r="6111">
          <cell r="A6111" t="str">
            <v>B558265/A</v>
          </cell>
          <cell r="B6111" t="str">
            <v>RH9090M370</v>
          </cell>
          <cell r="C6111">
            <v>8</v>
          </cell>
          <cell r="D6111">
            <v>555</v>
          </cell>
          <cell r="E6111">
            <v>4440</v>
          </cell>
          <cell r="F6111" t="str">
            <v>A3-S01</v>
          </cell>
          <cell r="G6111" t="str">
            <v xml:space="preserve">Curve part hot press  - chi tiết cảo cong </v>
          </cell>
          <cell r="H6111" t="str">
            <v>MDF Veneer</v>
          </cell>
          <cell r="I6111">
            <v>48</v>
          </cell>
        </row>
        <row r="6112">
          <cell r="A6112" t="str">
            <v>B558265/A</v>
          </cell>
          <cell r="B6112" t="str">
            <v>RH9090M370</v>
          </cell>
          <cell r="C6112">
            <v>8</v>
          </cell>
          <cell r="D6112">
            <v>555</v>
          </cell>
          <cell r="E6112">
            <v>4440</v>
          </cell>
          <cell r="F6112" t="str">
            <v>A3-S02</v>
          </cell>
          <cell r="G6112" t="str">
            <v>Bottom panel - Ván đáy</v>
          </cell>
          <cell r="H6112" t="str">
            <v>MDF Veneer</v>
          </cell>
          <cell r="I6112">
            <v>16</v>
          </cell>
        </row>
        <row r="6113">
          <cell r="A6113" t="str">
            <v>B558265/A</v>
          </cell>
          <cell r="B6113" t="str">
            <v>RH9090M370</v>
          </cell>
          <cell r="C6113">
            <v>8</v>
          </cell>
          <cell r="D6113">
            <v>555</v>
          </cell>
          <cell r="E6113">
            <v>4440</v>
          </cell>
          <cell r="F6113" t="str">
            <v>A3-S03</v>
          </cell>
          <cell r="G6113" t="str">
            <v>Patching wood - Gỗ đắp</v>
          </cell>
          <cell r="H6113" t="str">
            <v>Beech off cut</v>
          </cell>
          <cell r="I6113">
            <v>48</v>
          </cell>
        </row>
        <row r="6114">
          <cell r="A6114" t="str">
            <v>B558265/A</v>
          </cell>
          <cell r="B6114" t="str">
            <v>RH9090M370</v>
          </cell>
          <cell r="C6114">
            <v>8</v>
          </cell>
          <cell r="D6114">
            <v>555</v>
          </cell>
          <cell r="E6114">
            <v>4440</v>
          </cell>
          <cell r="F6114" t="str">
            <v>A4</v>
          </cell>
          <cell r="G6114" t="str">
            <v>Door panel  - Ván cửa</v>
          </cell>
          <cell r="H6114" t="str">
            <v>Pre-Assembly</v>
          </cell>
          <cell r="I6114">
            <v>16</v>
          </cell>
        </row>
        <row r="6115">
          <cell r="A6115" t="str">
            <v>B558265/A</v>
          </cell>
          <cell r="B6115" t="str">
            <v>RH9090M370</v>
          </cell>
          <cell r="C6115">
            <v>8</v>
          </cell>
          <cell r="D6115">
            <v>555</v>
          </cell>
          <cell r="E6115">
            <v>4440</v>
          </cell>
          <cell r="F6115" t="str">
            <v>A4-S0</v>
          </cell>
          <cell r="G6115" t="str">
            <v xml:space="preserve">Curve part hot press  - chi tiết cảo cong </v>
          </cell>
          <cell r="H6115" t="str">
            <v>MDF Veneer</v>
          </cell>
          <cell r="I6115">
            <v>8</v>
          </cell>
        </row>
        <row r="6116">
          <cell r="A6116" t="str">
            <v>B558265/A</v>
          </cell>
          <cell r="B6116" t="str">
            <v>RH9090M370</v>
          </cell>
          <cell r="C6116">
            <v>8</v>
          </cell>
          <cell r="D6116">
            <v>555</v>
          </cell>
          <cell r="E6116">
            <v>4440</v>
          </cell>
          <cell r="F6116" t="str">
            <v>A4-S00</v>
          </cell>
          <cell r="G6116" t="str">
            <v xml:space="preserve">Curve part hot press  - chi tiết cảo cong </v>
          </cell>
          <cell r="H6116" t="str">
            <v>MDF Veneer</v>
          </cell>
          <cell r="I6116">
            <v>8</v>
          </cell>
        </row>
        <row r="6117">
          <cell r="A6117" t="str">
            <v>B558265/A</v>
          </cell>
          <cell r="B6117" t="str">
            <v>RH9090M370</v>
          </cell>
          <cell r="C6117">
            <v>8</v>
          </cell>
          <cell r="D6117">
            <v>555</v>
          </cell>
          <cell r="E6117">
            <v>4440</v>
          </cell>
          <cell r="F6117" t="str">
            <v>A4-S01</v>
          </cell>
          <cell r="G6117" t="str">
            <v xml:space="preserve">Side panel  - Ván hông </v>
          </cell>
          <cell r="H6117" t="str">
            <v>MDF Veneer</v>
          </cell>
          <cell r="I6117">
            <v>16</v>
          </cell>
        </row>
        <row r="6118">
          <cell r="A6118" t="str">
            <v>B558265/A</v>
          </cell>
          <cell r="B6118" t="str">
            <v>RH9090M370</v>
          </cell>
          <cell r="C6118">
            <v>8</v>
          </cell>
          <cell r="D6118">
            <v>555</v>
          </cell>
          <cell r="E6118">
            <v>4440</v>
          </cell>
          <cell r="F6118" t="str">
            <v>A4-S02</v>
          </cell>
          <cell r="G6118" t="str">
            <v>Patching wood - Gỗ đắp</v>
          </cell>
          <cell r="H6118" t="str">
            <v>Wood White Oak - Straight/Waving Edged, 1 COM - T32mm x W100mm Up x L1.8m Up</v>
          </cell>
          <cell r="I6118">
            <v>16</v>
          </cell>
        </row>
        <row r="6119">
          <cell r="A6119" t="str">
            <v>B558265/A</v>
          </cell>
          <cell r="B6119" t="str">
            <v>RH9090M370</v>
          </cell>
          <cell r="C6119">
            <v>8</v>
          </cell>
          <cell r="D6119">
            <v>555</v>
          </cell>
          <cell r="E6119">
            <v>4440</v>
          </cell>
          <cell r="F6119" t="str">
            <v>P04</v>
          </cell>
          <cell r="G6119" t="str">
            <v>Door panel  - Ván cửa</v>
          </cell>
          <cell r="H6119" t="str">
            <v>MDF Veneer</v>
          </cell>
          <cell r="I6119">
            <v>16</v>
          </cell>
        </row>
        <row r="6120">
          <cell r="A6120" t="str">
            <v>B558265/A</v>
          </cell>
          <cell r="B6120" t="str">
            <v>RH9090M370</v>
          </cell>
          <cell r="C6120">
            <v>8</v>
          </cell>
          <cell r="D6120">
            <v>555</v>
          </cell>
          <cell r="E6120">
            <v>4440</v>
          </cell>
          <cell r="F6120" t="str">
            <v>P04-1</v>
          </cell>
          <cell r="G6120" t="str">
            <v>Insert Wood - Gỗ chèn</v>
          </cell>
          <cell r="H6120" t="str">
            <v>Beech off cut</v>
          </cell>
          <cell r="I6120">
            <v>48</v>
          </cell>
        </row>
        <row r="6121">
          <cell r="A6121" t="str">
            <v>B558265/A</v>
          </cell>
          <cell r="B6121" t="str">
            <v>RH9090M370</v>
          </cell>
          <cell r="C6121">
            <v>8</v>
          </cell>
          <cell r="D6121">
            <v>555</v>
          </cell>
          <cell r="E6121">
            <v>4440</v>
          </cell>
          <cell r="F6121" t="str">
            <v>P04-2</v>
          </cell>
          <cell r="G6121" t="str">
            <v>Insert Wood - Gỗ chèn</v>
          </cell>
          <cell r="H6121" t="str">
            <v>Wood White Oak - Straight/Waving Edged, 2 COM - T25mm x W100mm Up x L1.5m Up</v>
          </cell>
          <cell r="I6121">
            <v>32</v>
          </cell>
        </row>
        <row r="6122">
          <cell r="A6122" t="str">
            <v>B558265/A</v>
          </cell>
          <cell r="B6122" t="str">
            <v>RH9090M370</v>
          </cell>
          <cell r="C6122">
            <v>8</v>
          </cell>
          <cell r="D6122">
            <v>555</v>
          </cell>
          <cell r="E6122">
            <v>4440</v>
          </cell>
          <cell r="F6122" t="str">
            <v>P06</v>
          </cell>
          <cell r="G6122" t="str">
            <v>Cleat - Bọ gỗ</v>
          </cell>
          <cell r="H6122" t="str">
            <v>Beech off cut</v>
          </cell>
          <cell r="I6122">
            <v>16</v>
          </cell>
        </row>
        <row r="6123">
          <cell r="A6123" t="str">
            <v>B558265/A</v>
          </cell>
          <cell r="B6123" t="str">
            <v>RH9090M370</v>
          </cell>
          <cell r="C6123">
            <v>8</v>
          </cell>
          <cell r="D6123">
            <v>555</v>
          </cell>
          <cell r="E6123">
            <v>4440</v>
          </cell>
          <cell r="F6123" t="str">
            <v>P07</v>
          </cell>
          <cell r="G6123" t="str">
            <v>Bottom panel - Ván đáy</v>
          </cell>
          <cell r="H6123" t="str">
            <v>Plywood VN</v>
          </cell>
          <cell r="I6123">
            <v>8</v>
          </cell>
        </row>
        <row r="6124">
          <cell r="A6124" t="str">
            <v>B558265/A</v>
          </cell>
          <cell r="B6124" t="str">
            <v>RH9090M370</v>
          </cell>
          <cell r="C6124">
            <v>8</v>
          </cell>
          <cell r="D6124">
            <v>555</v>
          </cell>
          <cell r="E6124">
            <v>4440</v>
          </cell>
          <cell r="F6124" t="str">
            <v>P08</v>
          </cell>
          <cell r="G6124" t="str">
            <v>Back panel - Ván hậu</v>
          </cell>
          <cell r="H6124" t="str">
            <v>MDF Veneer</v>
          </cell>
          <cell r="I6124">
            <v>8</v>
          </cell>
        </row>
        <row r="6125">
          <cell r="A6125" t="str">
            <v>B558265/A</v>
          </cell>
          <cell r="B6125" t="str">
            <v>RH9090M370</v>
          </cell>
          <cell r="C6125">
            <v>8</v>
          </cell>
          <cell r="D6125">
            <v>555</v>
          </cell>
          <cell r="E6125">
            <v>4440</v>
          </cell>
          <cell r="F6125" t="str">
            <v>P08-1</v>
          </cell>
          <cell r="G6125" t="str">
            <v>Insert Wood - Gỗ chèn</v>
          </cell>
          <cell r="H6125" t="str">
            <v>oak off cut</v>
          </cell>
          <cell r="I6125">
            <v>16</v>
          </cell>
        </row>
        <row r="6126">
          <cell r="A6126" t="str">
            <v>B558265/A</v>
          </cell>
          <cell r="B6126" t="str">
            <v>RH9090M370</v>
          </cell>
          <cell r="C6126">
            <v>8</v>
          </cell>
          <cell r="D6126">
            <v>555</v>
          </cell>
          <cell r="E6126">
            <v>4440</v>
          </cell>
          <cell r="F6126" t="str">
            <v>P09</v>
          </cell>
          <cell r="G6126" t="str">
            <v>Partition panel - Vách ngăn</v>
          </cell>
          <cell r="H6126" t="str">
            <v>MDF Veneer</v>
          </cell>
          <cell r="I6126">
            <v>8</v>
          </cell>
        </row>
        <row r="6127">
          <cell r="A6127" t="str">
            <v>B558265/A</v>
          </cell>
          <cell r="B6127" t="str">
            <v>RH9090M370</v>
          </cell>
          <cell r="C6127">
            <v>8</v>
          </cell>
          <cell r="D6127">
            <v>555</v>
          </cell>
          <cell r="E6127">
            <v>4440</v>
          </cell>
          <cell r="F6127" t="str">
            <v>P12</v>
          </cell>
          <cell r="G6127" t="str">
            <v>Patching wood - Gỗ đắp</v>
          </cell>
          <cell r="H6127" t="str">
            <v>Wood White Oak - Straight/Waving Edged, 1 COM - T25mm x W100mm Up x L1.8m Up</v>
          </cell>
          <cell r="I6127">
            <v>16</v>
          </cell>
        </row>
        <row r="6128">
          <cell r="A6128" t="str">
            <v>B558265/A</v>
          </cell>
          <cell r="B6128" t="str">
            <v>RH9090M370</v>
          </cell>
          <cell r="C6128">
            <v>8</v>
          </cell>
          <cell r="D6128">
            <v>555</v>
          </cell>
          <cell r="E6128">
            <v>4440</v>
          </cell>
          <cell r="F6128" t="str">
            <v>P15</v>
          </cell>
          <cell r="G6128" t="str">
            <v>Shelf panel  - Ván kệ</v>
          </cell>
          <cell r="H6128" t="str">
            <v>MDF Veneer</v>
          </cell>
          <cell r="I6128">
            <v>16</v>
          </cell>
        </row>
      </sheetData>
      <sheetData sheetId="1">
        <row r="1">
          <cell r="A1" t="str">
            <v>WO</v>
          </cell>
          <cell r="B1" t="str">
            <v>PartNumber</v>
          </cell>
          <cell r="C1">
            <v>0</v>
          </cell>
          <cell r="D1">
            <v>0</v>
          </cell>
          <cell r="E1">
            <v>0</v>
          </cell>
          <cell r="F1" t="str">
            <v>ComCode</v>
          </cell>
          <cell r="G1" t="str">
            <v>ComName</v>
          </cell>
          <cell r="H1" t="str">
            <v>Nguyên liệu</v>
          </cell>
          <cell r="I1" t="str">
            <v>OutStanding</v>
          </cell>
        </row>
        <row r="2">
          <cell r="A2" t="str">
            <v>B557875/A</v>
          </cell>
          <cell r="B2" t="str">
            <v>AR078M871</v>
          </cell>
          <cell r="C2">
            <v>50</v>
          </cell>
          <cell r="D2">
            <v>233</v>
          </cell>
          <cell r="E2">
            <v>11650</v>
          </cell>
          <cell r="F2" t="str">
            <v>A1</v>
          </cell>
          <cell r="G2" t="str">
            <v>Top Frame - Khung nóc</v>
          </cell>
          <cell r="H2" t="str">
            <v>Wd+MDF+VN</v>
          </cell>
          <cell r="I2">
            <v>50</v>
          </cell>
        </row>
        <row r="3">
          <cell r="A3" t="str">
            <v>B557875/A</v>
          </cell>
          <cell r="B3" t="str">
            <v>AR078M871</v>
          </cell>
          <cell r="C3">
            <v>50</v>
          </cell>
          <cell r="D3">
            <v>233</v>
          </cell>
          <cell r="E3">
            <v>11650</v>
          </cell>
          <cell r="F3" t="str">
            <v>A2</v>
          </cell>
          <cell r="G3" t="str">
            <v>The leg  - Chân</v>
          </cell>
          <cell r="H3" t="str">
            <v>Wd+MDF+VN</v>
          </cell>
          <cell r="I3">
            <v>100</v>
          </cell>
        </row>
        <row r="4">
          <cell r="A4" t="str">
            <v>B557875/A</v>
          </cell>
          <cell r="B4" t="str">
            <v>AR078M871</v>
          </cell>
          <cell r="C4">
            <v>50</v>
          </cell>
          <cell r="D4">
            <v>233</v>
          </cell>
          <cell r="E4">
            <v>11650</v>
          </cell>
          <cell r="F4" t="str">
            <v>A2-S1</v>
          </cell>
          <cell r="G4" t="str">
            <v xml:space="preserve">Side panel  - Ván hông </v>
          </cell>
          <cell r="H4" t="str">
            <v>MDF laminate</v>
          </cell>
          <cell r="I4">
            <v>100</v>
          </cell>
        </row>
        <row r="5">
          <cell r="A5" t="str">
            <v>B557875/A</v>
          </cell>
          <cell r="B5" t="str">
            <v>AR078M871</v>
          </cell>
          <cell r="C5">
            <v>50</v>
          </cell>
          <cell r="D5">
            <v>233</v>
          </cell>
          <cell r="E5">
            <v>11650</v>
          </cell>
          <cell r="F5" t="str">
            <v>A2-S2</v>
          </cell>
          <cell r="G5" t="str">
            <v>Bottom rail inside - Đố tiền đáy</v>
          </cell>
          <cell r="H5" t="str">
            <v>Wood EU Beech - Straight/Waving Edged ABC, 2 COM - T50mm x W100mm up x L1.8m up</v>
          </cell>
          <cell r="I5">
            <v>100</v>
          </cell>
        </row>
        <row r="6">
          <cell r="A6" t="str">
            <v>B557875/A</v>
          </cell>
          <cell r="B6" t="str">
            <v>AR078M871</v>
          </cell>
          <cell r="C6">
            <v>50</v>
          </cell>
          <cell r="D6">
            <v>233</v>
          </cell>
          <cell r="E6">
            <v>11650</v>
          </cell>
          <cell r="F6" t="str">
            <v>A3</v>
          </cell>
          <cell r="G6" t="str">
            <v>Shelf panel  - Ván kệ</v>
          </cell>
          <cell r="H6" t="str">
            <v>MDF Veneer</v>
          </cell>
          <cell r="I6">
            <v>50</v>
          </cell>
        </row>
        <row r="7">
          <cell r="A7" t="str">
            <v>B557875/A</v>
          </cell>
          <cell r="B7" t="str">
            <v>AR078M871</v>
          </cell>
          <cell r="C7">
            <v>50</v>
          </cell>
          <cell r="D7">
            <v>233</v>
          </cell>
          <cell r="E7">
            <v>11650</v>
          </cell>
          <cell r="F7" t="str">
            <v>P1</v>
          </cell>
          <cell r="G7" t="str">
            <v>Spline - Lưỡi gà</v>
          </cell>
          <cell r="H7" t="str">
            <v>Plywood LVD - 09 x 1220 x 2440mm, Bleached Poplar Veneer Both Sides [CARB P2 Compliant]</v>
          </cell>
          <cell r="I7">
            <v>100</v>
          </cell>
        </row>
        <row r="8">
          <cell r="A8" t="str">
            <v>B557875/A</v>
          </cell>
          <cell r="B8" t="str">
            <v>AR078M871</v>
          </cell>
          <cell r="C8">
            <v>50</v>
          </cell>
          <cell r="D8">
            <v>233</v>
          </cell>
          <cell r="E8">
            <v>11650</v>
          </cell>
          <cell r="F8" t="str">
            <v>P2</v>
          </cell>
          <cell r="G8" t="str">
            <v>Spline - Lưỡi gà</v>
          </cell>
          <cell r="H8" t="str">
            <v>Plywood LVD - 09 x 1220 x 2440mm, Bleached Poplar Veneer Both Sides [CARB P2 Compliant]</v>
          </cell>
          <cell r="I8">
            <v>100</v>
          </cell>
        </row>
        <row r="9">
          <cell r="A9" t="str">
            <v>B557875/A</v>
          </cell>
          <cell r="B9" t="str">
            <v>AR078M871</v>
          </cell>
          <cell r="C9">
            <v>50</v>
          </cell>
          <cell r="D9">
            <v>233</v>
          </cell>
          <cell r="E9">
            <v>11650</v>
          </cell>
          <cell r="F9" t="str">
            <v>P3</v>
          </cell>
          <cell r="G9" t="str">
            <v>Cleat - Bọ gỗ</v>
          </cell>
          <cell r="H9" t="str">
            <v>Wood EU Beech - Straight/Waving Edged ABC, 2 COM - T26mm x W100mm up x L1.8m up</v>
          </cell>
          <cell r="I9">
            <v>100</v>
          </cell>
        </row>
        <row r="10">
          <cell r="A10" t="str">
            <v>B557875/A</v>
          </cell>
          <cell r="B10" t="str">
            <v>AR078M871</v>
          </cell>
          <cell r="C10">
            <v>50</v>
          </cell>
          <cell r="D10">
            <v>233</v>
          </cell>
          <cell r="E10">
            <v>11650</v>
          </cell>
          <cell r="F10" t="str">
            <v>P6</v>
          </cell>
          <cell r="G10" t="str">
            <v>Cleat - Bọ gỗ</v>
          </cell>
          <cell r="H10" t="str">
            <v>Wood EU Beech - Straight/Waving Edged ABC, 2 COM - T26mm x W100mm up x L1.8m up</v>
          </cell>
          <cell r="I10">
            <v>100</v>
          </cell>
        </row>
        <row r="11">
          <cell r="A11" t="str">
            <v>B557903/A</v>
          </cell>
          <cell r="B11" t="str">
            <v>AR080M871</v>
          </cell>
          <cell r="C11">
            <v>25</v>
          </cell>
          <cell r="D11">
            <v>456</v>
          </cell>
          <cell r="E11">
            <v>11400</v>
          </cell>
          <cell r="F11" t="str">
            <v>A0</v>
          </cell>
          <cell r="G11" t="str">
            <v xml:space="preserve">Panel - Ván </v>
          </cell>
          <cell r="H11" t="str">
            <v>MDF Veneer</v>
          </cell>
          <cell r="I11">
            <v>25</v>
          </cell>
        </row>
        <row r="12">
          <cell r="A12" t="str">
            <v>B557903/A</v>
          </cell>
          <cell r="B12" t="str">
            <v>AR080M871</v>
          </cell>
          <cell r="C12">
            <v>25</v>
          </cell>
          <cell r="D12">
            <v>456</v>
          </cell>
          <cell r="E12">
            <v>11400</v>
          </cell>
          <cell r="F12" t="str">
            <v>A1-S01</v>
          </cell>
          <cell r="G12" t="str">
            <v xml:space="preserve">Drawer front - Mặt hộc kéo </v>
          </cell>
          <cell r="H12" t="str">
            <v>MDF Veneer</v>
          </cell>
          <cell r="I12">
            <v>25</v>
          </cell>
        </row>
        <row r="13">
          <cell r="A13" t="str">
            <v>B557903/A</v>
          </cell>
          <cell r="B13" t="str">
            <v>AR080M871</v>
          </cell>
          <cell r="C13">
            <v>25</v>
          </cell>
          <cell r="D13">
            <v>456</v>
          </cell>
          <cell r="E13">
            <v>11400</v>
          </cell>
          <cell r="F13" t="str">
            <v>A1-S02</v>
          </cell>
          <cell r="G13" t="str">
            <v xml:space="preserve">Drawer front 1 - Mặt hộc kéo </v>
          </cell>
          <cell r="H13" t="str">
            <v>MDF Veneer</v>
          </cell>
          <cell r="I13">
            <v>75</v>
          </cell>
        </row>
        <row r="14">
          <cell r="A14" t="str">
            <v>B557903/A</v>
          </cell>
          <cell r="B14" t="str">
            <v>AR080M871</v>
          </cell>
          <cell r="C14">
            <v>25</v>
          </cell>
          <cell r="D14">
            <v>456</v>
          </cell>
          <cell r="E14">
            <v>11400</v>
          </cell>
          <cell r="F14" t="str">
            <v>A1-S03</v>
          </cell>
          <cell r="G14" t="str">
            <v>Drawer back - Hậu hộc kéo</v>
          </cell>
          <cell r="H14" t="str">
            <v>MDF Veneer</v>
          </cell>
          <cell r="I14">
            <v>75</v>
          </cell>
        </row>
        <row r="15">
          <cell r="A15" t="str">
            <v>B557903/A</v>
          </cell>
          <cell r="B15" t="str">
            <v>AR080M871</v>
          </cell>
          <cell r="C15">
            <v>25</v>
          </cell>
          <cell r="D15">
            <v>456</v>
          </cell>
          <cell r="E15">
            <v>11400</v>
          </cell>
          <cell r="F15" t="str">
            <v>A1-S04</v>
          </cell>
          <cell r="G15" t="str">
            <v>Drawer side - Hông hộc kéo</v>
          </cell>
          <cell r="H15" t="str">
            <v>MDF Veneer</v>
          </cell>
          <cell r="I15">
            <v>150</v>
          </cell>
        </row>
        <row r="16">
          <cell r="A16" t="str">
            <v>B557903/A</v>
          </cell>
          <cell r="B16" t="str">
            <v>AR080M871</v>
          </cell>
          <cell r="C16">
            <v>25</v>
          </cell>
          <cell r="D16">
            <v>456</v>
          </cell>
          <cell r="E16">
            <v>11400</v>
          </cell>
          <cell r="F16" t="str">
            <v>A1-S05</v>
          </cell>
          <cell r="G16" t="str">
            <v>Drawer bottom  - Đáy hộc kéo</v>
          </cell>
          <cell r="H16" t="str">
            <v>MDF Veneer</v>
          </cell>
          <cell r="I16">
            <v>75</v>
          </cell>
        </row>
        <row r="17">
          <cell r="A17" t="str">
            <v>B557903/A</v>
          </cell>
          <cell r="B17" t="str">
            <v>AR080M871</v>
          </cell>
          <cell r="C17">
            <v>25</v>
          </cell>
          <cell r="D17">
            <v>456</v>
          </cell>
          <cell r="E17">
            <v>11400</v>
          </cell>
          <cell r="F17" t="str">
            <v>A2-S01</v>
          </cell>
          <cell r="G17" t="str">
            <v xml:space="preserve">Drawer front - Mặt hộc kéo </v>
          </cell>
          <cell r="H17" t="str">
            <v>MDF Veneer</v>
          </cell>
          <cell r="I17">
            <v>50</v>
          </cell>
        </row>
        <row r="18">
          <cell r="A18" t="str">
            <v>B557903/A</v>
          </cell>
          <cell r="B18" t="str">
            <v>AR080M871</v>
          </cell>
          <cell r="C18">
            <v>25</v>
          </cell>
          <cell r="D18">
            <v>456</v>
          </cell>
          <cell r="E18">
            <v>11400</v>
          </cell>
          <cell r="F18" t="str">
            <v>A4</v>
          </cell>
          <cell r="G18" t="str">
            <v>Side Frame - Khung hông</v>
          </cell>
          <cell r="H18" t="str">
            <v>Pre-Assembly</v>
          </cell>
          <cell r="I18">
            <v>50</v>
          </cell>
        </row>
        <row r="19">
          <cell r="A19" t="str">
            <v>B557903/A</v>
          </cell>
          <cell r="B19" t="str">
            <v>AR080M871</v>
          </cell>
          <cell r="C19">
            <v>25</v>
          </cell>
          <cell r="D19">
            <v>456</v>
          </cell>
          <cell r="E19">
            <v>11400</v>
          </cell>
          <cell r="F19" t="str">
            <v>A4-S01</v>
          </cell>
          <cell r="G19" t="str">
            <v xml:space="preserve">Panel - Ván </v>
          </cell>
          <cell r="H19" t="str">
            <v>MDF - 25 x 1830 x 2440mm [CARB P2 Compliant]</v>
          </cell>
          <cell r="I19">
            <v>50</v>
          </cell>
        </row>
        <row r="20">
          <cell r="A20" t="str">
            <v>B557903/A</v>
          </cell>
          <cell r="B20" t="str">
            <v>AR080M871</v>
          </cell>
          <cell r="C20">
            <v>25</v>
          </cell>
          <cell r="D20">
            <v>456</v>
          </cell>
          <cell r="E20">
            <v>11400</v>
          </cell>
          <cell r="F20" t="str">
            <v>A4-S03</v>
          </cell>
          <cell r="G20" t="str">
            <v>Horizontal rail 1 - Đố ngang 1</v>
          </cell>
          <cell r="H20" t="str">
            <v>Wood EU Beech - Straight/Waving Edged ABC, 2 COM - T32mm x W100mm up x L1.8m up</v>
          </cell>
          <cell r="I20">
            <v>50</v>
          </cell>
        </row>
        <row r="21">
          <cell r="A21" t="str">
            <v>B557903/A</v>
          </cell>
          <cell r="B21" t="str">
            <v>AR080M871</v>
          </cell>
          <cell r="C21">
            <v>25</v>
          </cell>
          <cell r="D21">
            <v>456</v>
          </cell>
          <cell r="E21">
            <v>11400</v>
          </cell>
          <cell r="F21" t="str">
            <v>A5-S01</v>
          </cell>
          <cell r="G21" t="str">
            <v>Bottom panel - Ván đáy</v>
          </cell>
          <cell r="H21" t="str">
            <v>MDF - 06 x 1220 x 2440mm, Veneer Okoume 0.3mm Both Faces [CARB P2 Compliant]</v>
          </cell>
          <cell r="I21">
            <v>25</v>
          </cell>
        </row>
        <row r="22">
          <cell r="A22" t="str">
            <v>B557903/A</v>
          </cell>
          <cell r="B22" t="str">
            <v>AR080M871</v>
          </cell>
          <cell r="C22">
            <v>25</v>
          </cell>
          <cell r="D22">
            <v>456</v>
          </cell>
          <cell r="E22">
            <v>11400</v>
          </cell>
          <cell r="F22" t="str">
            <v>A5-S02</v>
          </cell>
          <cell r="G22" t="str">
            <v>Bottom rail inside - Đố tiền đáy</v>
          </cell>
          <cell r="H22" t="str">
            <v>Wood laminate</v>
          </cell>
          <cell r="I22">
            <v>25</v>
          </cell>
        </row>
        <row r="23">
          <cell r="A23" t="str">
            <v>B557903/A</v>
          </cell>
          <cell r="B23" t="str">
            <v>AR080M871</v>
          </cell>
          <cell r="C23">
            <v>25</v>
          </cell>
          <cell r="D23">
            <v>456</v>
          </cell>
          <cell r="E23">
            <v>11400</v>
          </cell>
          <cell r="F23" t="str">
            <v>A5-S03</v>
          </cell>
          <cell r="G23" t="str">
            <v>Back bottom rail - Đố hậu đáy</v>
          </cell>
          <cell r="H23" t="str">
            <v>Wood laminate</v>
          </cell>
          <cell r="I23">
            <v>25</v>
          </cell>
        </row>
        <row r="24">
          <cell r="A24" t="str">
            <v>B557903/A</v>
          </cell>
          <cell r="B24" t="str">
            <v>AR080M871</v>
          </cell>
          <cell r="C24">
            <v>25</v>
          </cell>
          <cell r="D24">
            <v>456</v>
          </cell>
          <cell r="E24">
            <v>11400</v>
          </cell>
          <cell r="F24" t="str">
            <v>A6</v>
          </cell>
          <cell r="G24" t="str">
            <v xml:space="preserve">Top panel  - Ván nóc </v>
          </cell>
          <cell r="H24" t="str">
            <v>Pre-Assembly</v>
          </cell>
          <cell r="I24">
            <v>25</v>
          </cell>
        </row>
        <row r="25">
          <cell r="A25" t="str">
            <v>B557903/A</v>
          </cell>
          <cell r="B25" t="str">
            <v>AR080M871</v>
          </cell>
          <cell r="C25">
            <v>25</v>
          </cell>
          <cell r="D25">
            <v>456</v>
          </cell>
          <cell r="E25">
            <v>11400</v>
          </cell>
          <cell r="F25" t="str">
            <v>A6-S01</v>
          </cell>
          <cell r="G25" t="str">
            <v>MDF - MDF</v>
          </cell>
          <cell r="H25" t="str">
            <v>MDF Veneer</v>
          </cell>
          <cell r="I25">
            <v>25</v>
          </cell>
        </row>
        <row r="26">
          <cell r="A26" t="str">
            <v>B557903/A</v>
          </cell>
          <cell r="B26" t="str">
            <v>AR080M871</v>
          </cell>
          <cell r="C26">
            <v>25</v>
          </cell>
          <cell r="D26">
            <v>456</v>
          </cell>
          <cell r="E26">
            <v>11400</v>
          </cell>
          <cell r="F26" t="str">
            <v>A6-S02</v>
          </cell>
          <cell r="G26" t="str">
            <v>Patching moulding - Chỉ đắp</v>
          </cell>
          <cell r="H26" t="str">
            <v>Wood White Oak - Straight/Waving Edged, 2 COM - T25mm x W100mm Up x L1.5m Up</v>
          </cell>
          <cell r="I26">
            <v>25</v>
          </cell>
        </row>
        <row r="27">
          <cell r="A27" t="str">
            <v>B557903/A</v>
          </cell>
          <cell r="B27" t="str">
            <v>AR080M871</v>
          </cell>
          <cell r="C27">
            <v>25</v>
          </cell>
          <cell r="D27">
            <v>456</v>
          </cell>
          <cell r="E27">
            <v>11400</v>
          </cell>
          <cell r="F27" t="str">
            <v>P01</v>
          </cell>
          <cell r="G27" t="str">
            <v>Back panel - Ván hậu</v>
          </cell>
          <cell r="H27" t="str">
            <v>MDF Veneer</v>
          </cell>
          <cell r="I27">
            <v>25</v>
          </cell>
        </row>
        <row r="28">
          <cell r="A28" t="str">
            <v>B557903/A</v>
          </cell>
          <cell r="B28" t="str">
            <v>AR080M871</v>
          </cell>
          <cell r="C28">
            <v>25</v>
          </cell>
          <cell r="D28">
            <v>456</v>
          </cell>
          <cell r="E28">
            <v>11400</v>
          </cell>
          <cell r="F28" t="str">
            <v>P02</v>
          </cell>
          <cell r="G28" t="str">
            <v>Top rail - Đố nóc</v>
          </cell>
          <cell r="H28" t="str">
            <v>Wood laminate</v>
          </cell>
          <cell r="I28">
            <v>25</v>
          </cell>
        </row>
        <row r="29">
          <cell r="A29" t="str">
            <v>B557903/A</v>
          </cell>
          <cell r="B29" t="str">
            <v>AR080M871</v>
          </cell>
          <cell r="C29">
            <v>25</v>
          </cell>
          <cell r="D29">
            <v>456</v>
          </cell>
          <cell r="E29">
            <v>11400</v>
          </cell>
          <cell r="F29" t="str">
            <v>P03</v>
          </cell>
          <cell r="G29" t="str">
            <v>Partition panel - Vách ngăn</v>
          </cell>
          <cell r="H29" t="str">
            <v>MDF Veneer</v>
          </cell>
          <cell r="I29">
            <v>50</v>
          </cell>
        </row>
        <row r="30">
          <cell r="A30" t="str">
            <v>B557903/A</v>
          </cell>
          <cell r="B30" t="str">
            <v>AR080M871</v>
          </cell>
          <cell r="C30">
            <v>25</v>
          </cell>
          <cell r="D30">
            <v>456</v>
          </cell>
          <cell r="E30">
            <v>11400</v>
          </cell>
          <cell r="F30" t="str">
            <v>P04</v>
          </cell>
          <cell r="G30" t="str">
            <v>Spline - Lưỡi gà</v>
          </cell>
          <cell r="H30" t="str">
            <v>Plywood LVD - 06 x 1220 x 2440mm, Bleached Poplar Veneer Both Sides [CARB P2 Compliant]</v>
          </cell>
          <cell r="I30">
            <v>50</v>
          </cell>
        </row>
        <row r="31">
          <cell r="A31" t="str">
            <v>B557903/A</v>
          </cell>
          <cell r="B31" t="str">
            <v>AR080M871</v>
          </cell>
          <cell r="C31">
            <v>25</v>
          </cell>
          <cell r="D31">
            <v>456</v>
          </cell>
          <cell r="E31">
            <v>11400</v>
          </cell>
          <cell r="F31" t="str">
            <v>P08</v>
          </cell>
          <cell r="G31" t="str">
            <v>Insert Wood - Gỗ chèn</v>
          </cell>
          <cell r="H31" t="str">
            <v>Standard Wood - ALDER/ASPEN/LENGA/US POPLAR, 2 COM - T25 W120mm+ L2m+</v>
          </cell>
          <cell r="I31">
            <v>50</v>
          </cell>
        </row>
        <row r="32">
          <cell r="A32" t="str">
            <v>B557903/A</v>
          </cell>
          <cell r="B32" t="str">
            <v>AR080M871</v>
          </cell>
          <cell r="C32">
            <v>25</v>
          </cell>
          <cell r="D32">
            <v>456</v>
          </cell>
          <cell r="E32">
            <v>11400</v>
          </cell>
          <cell r="F32" t="str">
            <v>P09</v>
          </cell>
          <cell r="G32" t="str">
            <v>Drawer stop - Dừng hộc</v>
          </cell>
          <cell r="H32" t="str">
            <v>Poplar off cut</v>
          </cell>
          <cell r="I32">
            <v>150</v>
          </cell>
        </row>
        <row r="33">
          <cell r="A33" t="str">
            <v>B557879/A</v>
          </cell>
          <cell r="B33" t="str">
            <v>AR083M871</v>
          </cell>
          <cell r="C33">
            <v>50</v>
          </cell>
          <cell r="D33">
            <v>391</v>
          </cell>
          <cell r="E33">
            <v>19550</v>
          </cell>
          <cell r="F33" t="str">
            <v>A1</v>
          </cell>
          <cell r="G33" t="str">
            <v>Top Frame - Khung nóc</v>
          </cell>
          <cell r="H33" t="str">
            <v>Wd+MDF+VN</v>
          </cell>
          <cell r="I33">
            <v>50</v>
          </cell>
        </row>
        <row r="34">
          <cell r="A34" t="str">
            <v>B557879/A</v>
          </cell>
          <cell r="B34" t="str">
            <v>AR083M871</v>
          </cell>
          <cell r="C34">
            <v>50</v>
          </cell>
          <cell r="D34">
            <v>391</v>
          </cell>
          <cell r="E34">
            <v>19550</v>
          </cell>
          <cell r="F34" t="str">
            <v>A1-S2</v>
          </cell>
          <cell r="G34" t="str">
            <v>Top rail - Đố nóc</v>
          </cell>
          <cell r="H34" t="str">
            <v>Wood White Oak - Straight/Waving Edged, 1 COM - T50mm x W100mm Up x L1.8m Up</v>
          </cell>
          <cell r="I34">
            <v>100</v>
          </cell>
        </row>
        <row r="35">
          <cell r="A35" t="str">
            <v>B557879/A</v>
          </cell>
          <cell r="B35" t="str">
            <v>AR083M871</v>
          </cell>
          <cell r="C35">
            <v>50</v>
          </cell>
          <cell r="D35">
            <v>391</v>
          </cell>
          <cell r="E35">
            <v>19550</v>
          </cell>
          <cell r="F35" t="str">
            <v>A1-S3</v>
          </cell>
          <cell r="G35" t="str">
            <v xml:space="preserve">Panel - Ván </v>
          </cell>
          <cell r="H35" t="str">
            <v>MDF laminate</v>
          </cell>
          <cell r="I35">
            <v>50</v>
          </cell>
        </row>
        <row r="36">
          <cell r="A36" t="str">
            <v>B557879/A</v>
          </cell>
          <cell r="B36" t="str">
            <v>AR083M871</v>
          </cell>
          <cell r="C36">
            <v>50</v>
          </cell>
          <cell r="D36">
            <v>391</v>
          </cell>
          <cell r="E36">
            <v>19550</v>
          </cell>
          <cell r="F36" t="str">
            <v>A2</v>
          </cell>
          <cell r="G36" t="str">
            <v>The leg  - Chân</v>
          </cell>
          <cell r="H36" t="str">
            <v>Wd+MDF+VN</v>
          </cell>
          <cell r="I36">
            <v>100</v>
          </cell>
        </row>
        <row r="37">
          <cell r="A37" t="str">
            <v>B557879/A</v>
          </cell>
          <cell r="B37" t="str">
            <v>AR083M871</v>
          </cell>
          <cell r="C37">
            <v>50</v>
          </cell>
          <cell r="D37">
            <v>391</v>
          </cell>
          <cell r="E37">
            <v>19550</v>
          </cell>
          <cell r="F37" t="str">
            <v>A2-S1</v>
          </cell>
          <cell r="G37" t="str">
            <v xml:space="preserve">Side panel  - Ván hông </v>
          </cell>
          <cell r="H37" t="str">
            <v>MDF laminate</v>
          </cell>
          <cell r="I37">
            <v>100</v>
          </cell>
        </row>
        <row r="38">
          <cell r="A38" t="str">
            <v>B557879/A</v>
          </cell>
          <cell r="B38" t="str">
            <v>AR083M871</v>
          </cell>
          <cell r="C38">
            <v>50</v>
          </cell>
          <cell r="D38">
            <v>391</v>
          </cell>
          <cell r="E38">
            <v>19550</v>
          </cell>
          <cell r="F38" t="str">
            <v>A2-S2</v>
          </cell>
          <cell r="G38" t="str">
            <v>Bottom rail inside - Đố tiền đáy</v>
          </cell>
          <cell r="H38" t="str">
            <v>Wood EU Beech - Straight/Waving Edged ABC, 2 COM - T50mm x W100mm up x L1.8m up</v>
          </cell>
          <cell r="I38">
            <v>100</v>
          </cell>
        </row>
        <row r="39">
          <cell r="A39" t="str">
            <v>B557879/A</v>
          </cell>
          <cell r="B39" t="str">
            <v>AR083M871</v>
          </cell>
          <cell r="C39">
            <v>50</v>
          </cell>
          <cell r="D39">
            <v>391</v>
          </cell>
          <cell r="E39">
            <v>19550</v>
          </cell>
          <cell r="F39" t="str">
            <v>A3</v>
          </cell>
          <cell r="G39" t="str">
            <v>Shelf panel  - Ván kệ</v>
          </cell>
          <cell r="H39" t="str">
            <v>Wd+MDF+VN</v>
          </cell>
          <cell r="I39">
            <v>50</v>
          </cell>
        </row>
        <row r="40">
          <cell r="A40" t="str">
            <v>B557879/A</v>
          </cell>
          <cell r="B40" t="str">
            <v>AR083M871</v>
          </cell>
          <cell r="C40">
            <v>50</v>
          </cell>
          <cell r="D40">
            <v>391</v>
          </cell>
          <cell r="E40">
            <v>19550</v>
          </cell>
          <cell r="F40" t="str">
            <v>A3-S1</v>
          </cell>
          <cell r="G40" t="str">
            <v>MDF - MDF</v>
          </cell>
          <cell r="H40" t="str">
            <v>MDF - 18 x 1830 x 2440mm [CARB P2 Compliant]</v>
          </cell>
          <cell r="I40">
            <v>50</v>
          </cell>
        </row>
        <row r="41">
          <cell r="A41" t="str">
            <v>B557879/A</v>
          </cell>
          <cell r="B41" t="str">
            <v>AR083M871</v>
          </cell>
          <cell r="C41">
            <v>50</v>
          </cell>
          <cell r="D41">
            <v>391</v>
          </cell>
          <cell r="E41">
            <v>19550</v>
          </cell>
          <cell r="F41" t="str">
            <v>A3-S2</v>
          </cell>
          <cell r="G41" t="str">
            <v xml:space="preserve">Side rail  - Đố hông </v>
          </cell>
          <cell r="H41" t="str">
            <v>Wood laminate</v>
          </cell>
          <cell r="I41">
            <v>100</v>
          </cell>
        </row>
        <row r="42">
          <cell r="A42" t="str">
            <v>B557879/A</v>
          </cell>
          <cell r="B42" t="str">
            <v>AR083M871</v>
          </cell>
          <cell r="C42">
            <v>50</v>
          </cell>
          <cell r="D42">
            <v>391</v>
          </cell>
          <cell r="E42">
            <v>19550</v>
          </cell>
          <cell r="F42" t="str">
            <v>P2</v>
          </cell>
          <cell r="G42" t="str">
            <v>Spline - Lưỡi gà</v>
          </cell>
          <cell r="H42" t="str">
            <v>Plywood LVD - 09 x 1220 x 2440mm, Bleached Poplar Veneer Both Sides [CARB P2 Compliant]</v>
          </cell>
          <cell r="I42">
            <v>100</v>
          </cell>
        </row>
        <row r="43">
          <cell r="A43" t="str">
            <v>B557879/A</v>
          </cell>
          <cell r="B43" t="str">
            <v>AR083M871</v>
          </cell>
          <cell r="C43">
            <v>50</v>
          </cell>
          <cell r="D43">
            <v>391</v>
          </cell>
          <cell r="E43">
            <v>19550</v>
          </cell>
          <cell r="F43" t="str">
            <v>P3</v>
          </cell>
          <cell r="G43" t="str">
            <v>Spline - Lưỡi gà</v>
          </cell>
          <cell r="H43" t="str">
            <v>Plywood LVD - 09 x 1220 x 2440mm, Bleached Poplar Veneer Both Sides [CARB P2 Compliant]</v>
          </cell>
          <cell r="I43">
            <v>100</v>
          </cell>
        </row>
        <row r="44">
          <cell r="A44" t="str">
            <v>B557879/A</v>
          </cell>
          <cell r="B44" t="str">
            <v>AR083M871</v>
          </cell>
          <cell r="C44">
            <v>50</v>
          </cell>
          <cell r="D44">
            <v>391</v>
          </cell>
          <cell r="E44">
            <v>19550</v>
          </cell>
          <cell r="F44" t="str">
            <v>P5</v>
          </cell>
          <cell r="G44" t="str">
            <v>Cleat - Bọ gỗ</v>
          </cell>
          <cell r="H44" t="str">
            <v>Wood EU Beech - Straight/Waving Edged ABC, 2 COM - T26mm x W100mm up x L1.8m up</v>
          </cell>
          <cell r="I44">
            <v>100</v>
          </cell>
        </row>
        <row r="45">
          <cell r="A45" t="str">
            <v>B557879/A</v>
          </cell>
          <cell r="B45" t="str">
            <v>AR083M871</v>
          </cell>
          <cell r="C45">
            <v>50</v>
          </cell>
          <cell r="D45">
            <v>391</v>
          </cell>
          <cell r="E45">
            <v>19550</v>
          </cell>
          <cell r="F45" t="str">
            <v>P6</v>
          </cell>
          <cell r="G45" t="str">
            <v>The leg  - Chân</v>
          </cell>
          <cell r="H45" t="str">
            <v>Wood White Oak - Straight/Waving Edged, 2 COM - T38mm x W100mm Up x L1.5m Up</v>
          </cell>
          <cell r="I45">
            <v>50</v>
          </cell>
        </row>
        <row r="46">
          <cell r="A46" t="str">
            <v>B557879/A</v>
          </cell>
          <cell r="B46" t="str">
            <v>AR083M871</v>
          </cell>
          <cell r="C46">
            <v>50</v>
          </cell>
          <cell r="D46">
            <v>391</v>
          </cell>
          <cell r="E46">
            <v>19550</v>
          </cell>
          <cell r="F46" t="str">
            <v>P7</v>
          </cell>
          <cell r="G46" t="str">
            <v>Insert Wood - Gỗ chèn</v>
          </cell>
          <cell r="H46" t="str">
            <v>Beech off cut</v>
          </cell>
          <cell r="I46">
            <v>50</v>
          </cell>
        </row>
        <row r="47">
          <cell r="A47" t="str">
            <v>B557879/A</v>
          </cell>
          <cell r="B47" t="str">
            <v>AR083M871</v>
          </cell>
          <cell r="C47">
            <v>50</v>
          </cell>
          <cell r="D47">
            <v>391</v>
          </cell>
          <cell r="E47">
            <v>19550</v>
          </cell>
          <cell r="F47" t="str">
            <v>P9</v>
          </cell>
          <cell r="G47" t="str">
            <v>Cleat - Bọ gỗ</v>
          </cell>
          <cell r="H47" t="str">
            <v>Wood EU Beech - Straight/Waving Edged ABC, 2 COM - T26mm x W100mm up x L1.8m up</v>
          </cell>
          <cell r="I47">
            <v>100</v>
          </cell>
        </row>
        <row r="48">
          <cell r="A48" t="str">
            <v>B557907/A</v>
          </cell>
          <cell r="B48" t="str">
            <v>AR095M823</v>
          </cell>
          <cell r="C48">
            <v>25</v>
          </cell>
          <cell r="D48">
            <v>367</v>
          </cell>
          <cell r="E48">
            <v>9175</v>
          </cell>
          <cell r="F48" t="str">
            <v>A1</v>
          </cell>
          <cell r="G48" t="str">
            <v>Top Frame - Khung nóc</v>
          </cell>
          <cell r="H48" t="str">
            <v>Pre-Assembly</v>
          </cell>
          <cell r="I48">
            <v>25</v>
          </cell>
        </row>
        <row r="49">
          <cell r="A49" t="str">
            <v>B557907/A</v>
          </cell>
          <cell r="B49" t="str">
            <v>AR095M823</v>
          </cell>
          <cell r="C49">
            <v>25</v>
          </cell>
          <cell r="D49">
            <v>367</v>
          </cell>
          <cell r="E49">
            <v>9175</v>
          </cell>
          <cell r="F49" t="str">
            <v>A1-S01</v>
          </cell>
          <cell r="G49" t="str">
            <v xml:space="preserve">Top panel  - Ván nóc </v>
          </cell>
          <cell r="H49" t="str">
            <v>MDF Veneer</v>
          </cell>
          <cell r="I49">
            <v>25</v>
          </cell>
        </row>
        <row r="50">
          <cell r="A50" t="str">
            <v>B557907/A</v>
          </cell>
          <cell r="B50" t="str">
            <v>AR095M823</v>
          </cell>
          <cell r="C50">
            <v>25</v>
          </cell>
          <cell r="D50">
            <v>367</v>
          </cell>
          <cell r="E50">
            <v>9175</v>
          </cell>
          <cell r="F50" t="str">
            <v>A1-S02</v>
          </cell>
          <cell r="G50" t="str">
            <v>Top rail - Đố nóc</v>
          </cell>
          <cell r="H50" t="str">
            <v>Wood laminate</v>
          </cell>
          <cell r="I50">
            <v>200</v>
          </cell>
        </row>
        <row r="51">
          <cell r="A51" t="str">
            <v>B557907/A</v>
          </cell>
          <cell r="B51" t="str">
            <v>AR095M823</v>
          </cell>
          <cell r="C51">
            <v>25</v>
          </cell>
          <cell r="D51">
            <v>367</v>
          </cell>
          <cell r="E51">
            <v>9175</v>
          </cell>
          <cell r="F51" t="str">
            <v>A2</v>
          </cell>
          <cell r="G51" t="str">
            <v>The leg  - Chân</v>
          </cell>
          <cell r="H51" t="str">
            <v>Pre-Assembly</v>
          </cell>
          <cell r="I51">
            <v>50</v>
          </cell>
        </row>
        <row r="52">
          <cell r="A52" t="str">
            <v>B557907/A</v>
          </cell>
          <cell r="B52" t="str">
            <v>AR095M823</v>
          </cell>
          <cell r="C52">
            <v>25</v>
          </cell>
          <cell r="D52">
            <v>367</v>
          </cell>
          <cell r="E52">
            <v>9175</v>
          </cell>
          <cell r="F52" t="str">
            <v>A2-S1</v>
          </cell>
          <cell r="G52" t="str">
            <v xml:space="preserve">Frame - Khung </v>
          </cell>
          <cell r="H52" t="str">
            <v>Pre-Assembly</v>
          </cell>
          <cell r="I52">
            <v>50</v>
          </cell>
        </row>
        <row r="53">
          <cell r="A53" t="str">
            <v>B557907/A</v>
          </cell>
          <cell r="B53" t="str">
            <v>AR095M823</v>
          </cell>
          <cell r="C53">
            <v>25</v>
          </cell>
          <cell r="D53">
            <v>367</v>
          </cell>
          <cell r="E53">
            <v>9175</v>
          </cell>
          <cell r="F53" t="str">
            <v>A2-S2</v>
          </cell>
          <cell r="G53" t="str">
            <v xml:space="preserve">Frame - Khung </v>
          </cell>
          <cell r="H53" t="str">
            <v>Pre-Assembly</v>
          </cell>
          <cell r="I53">
            <v>50</v>
          </cell>
        </row>
        <row r="54">
          <cell r="A54" t="str">
            <v>B557907/A</v>
          </cell>
          <cell r="B54" t="str">
            <v>AR095M823</v>
          </cell>
          <cell r="C54">
            <v>25</v>
          </cell>
          <cell r="D54">
            <v>367</v>
          </cell>
          <cell r="E54">
            <v>9175</v>
          </cell>
          <cell r="F54" t="str">
            <v>A2-S3</v>
          </cell>
          <cell r="G54" t="str">
            <v xml:space="preserve">Panel - Ván </v>
          </cell>
          <cell r="H54" t="str">
            <v>MDF - 15 x 1830 x 2440mm [CARB P2 Compliant]</v>
          </cell>
          <cell r="I54">
            <v>100</v>
          </cell>
        </row>
        <row r="55">
          <cell r="A55" t="str">
            <v>B557907/A</v>
          </cell>
          <cell r="B55" t="str">
            <v>AR095M823</v>
          </cell>
          <cell r="C55">
            <v>25</v>
          </cell>
          <cell r="D55">
            <v>367</v>
          </cell>
          <cell r="E55">
            <v>9175</v>
          </cell>
          <cell r="F55" t="str">
            <v>A2-S4</v>
          </cell>
          <cell r="G55" t="str">
            <v xml:space="preserve">Panel - Ván </v>
          </cell>
          <cell r="H55" t="str">
            <v>MDF - 25 x 1830 x 2440mm [CARB P2 Compliant]</v>
          </cell>
          <cell r="I55">
            <v>50</v>
          </cell>
        </row>
        <row r="56">
          <cell r="A56" t="str">
            <v>B557907/A</v>
          </cell>
          <cell r="B56" t="str">
            <v>AR095M823</v>
          </cell>
          <cell r="C56">
            <v>25</v>
          </cell>
          <cell r="D56">
            <v>367</v>
          </cell>
          <cell r="E56">
            <v>9175</v>
          </cell>
          <cell r="F56" t="str">
            <v>A2-S5</v>
          </cell>
          <cell r="G56" t="str">
            <v>Patching wood - Gỗ đắp</v>
          </cell>
          <cell r="H56" t="str">
            <v>Wood White Oak - Straight/Waving Edged, 2 COM - T32mm x W100mm Up x L1.5m Up</v>
          </cell>
          <cell r="I56">
            <v>50</v>
          </cell>
        </row>
        <row r="57">
          <cell r="A57" t="str">
            <v>B557907/A</v>
          </cell>
          <cell r="B57" t="str">
            <v>AR095M823</v>
          </cell>
          <cell r="C57">
            <v>25</v>
          </cell>
          <cell r="D57">
            <v>367</v>
          </cell>
          <cell r="E57">
            <v>9175</v>
          </cell>
          <cell r="F57" t="str">
            <v>A2-S6</v>
          </cell>
          <cell r="G57" t="str">
            <v>Patching wood - Gỗ đắp</v>
          </cell>
          <cell r="H57" t="str">
            <v>Wood White Oak - Straight/Waving Edged, 2 COM - T32mm x W100mm Up x L1.5m Up</v>
          </cell>
          <cell r="I57">
            <v>100</v>
          </cell>
        </row>
        <row r="58">
          <cell r="A58" t="str">
            <v>B557907/A</v>
          </cell>
          <cell r="B58" t="str">
            <v>AR095M823</v>
          </cell>
          <cell r="C58">
            <v>25</v>
          </cell>
          <cell r="D58">
            <v>367</v>
          </cell>
          <cell r="E58">
            <v>9175</v>
          </cell>
          <cell r="F58" t="str">
            <v>A3</v>
          </cell>
          <cell r="G58" t="str">
            <v>The leg  - Chân</v>
          </cell>
          <cell r="H58" t="str">
            <v>Pre-Assembly</v>
          </cell>
          <cell r="I58">
            <v>25</v>
          </cell>
        </row>
        <row r="59">
          <cell r="A59" t="str">
            <v>B557907/A</v>
          </cell>
          <cell r="B59" t="str">
            <v>AR095M823</v>
          </cell>
          <cell r="C59">
            <v>25</v>
          </cell>
          <cell r="D59">
            <v>367</v>
          </cell>
          <cell r="E59">
            <v>9175</v>
          </cell>
          <cell r="F59" t="str">
            <v>A3-S1</v>
          </cell>
          <cell r="G59" t="str">
            <v xml:space="preserve">Frame - Khung </v>
          </cell>
          <cell r="H59" t="str">
            <v>Pre-Assembly</v>
          </cell>
          <cell r="I59">
            <v>25</v>
          </cell>
        </row>
        <row r="60">
          <cell r="A60" t="str">
            <v>B557907/A</v>
          </cell>
          <cell r="B60" t="str">
            <v>AR095M823</v>
          </cell>
          <cell r="C60">
            <v>25</v>
          </cell>
          <cell r="D60">
            <v>367</v>
          </cell>
          <cell r="E60">
            <v>9175</v>
          </cell>
          <cell r="F60" t="str">
            <v>A3-S2</v>
          </cell>
          <cell r="G60" t="str">
            <v xml:space="preserve">Frame - Khung </v>
          </cell>
          <cell r="H60" t="str">
            <v>Pre-Assembly</v>
          </cell>
          <cell r="I60">
            <v>25</v>
          </cell>
        </row>
        <row r="61">
          <cell r="A61" t="str">
            <v>B557907/A</v>
          </cell>
          <cell r="B61" t="str">
            <v>AR095M823</v>
          </cell>
          <cell r="C61">
            <v>25</v>
          </cell>
          <cell r="D61">
            <v>367</v>
          </cell>
          <cell r="E61">
            <v>9175</v>
          </cell>
          <cell r="F61" t="str">
            <v>A3-S3</v>
          </cell>
          <cell r="G61" t="str">
            <v xml:space="preserve">Panel - Ván </v>
          </cell>
          <cell r="H61" t="str">
            <v>MDF - 15 x 1830 x 2440mm [CARB P2 Compliant]</v>
          </cell>
          <cell r="I61">
            <v>50</v>
          </cell>
        </row>
        <row r="62">
          <cell r="A62" t="str">
            <v>B557907/A</v>
          </cell>
          <cell r="B62" t="str">
            <v>AR095M823</v>
          </cell>
          <cell r="C62">
            <v>25</v>
          </cell>
          <cell r="D62">
            <v>367</v>
          </cell>
          <cell r="E62">
            <v>9175</v>
          </cell>
          <cell r="F62" t="str">
            <v>A3-S4</v>
          </cell>
          <cell r="G62" t="str">
            <v xml:space="preserve">Panel - Ván </v>
          </cell>
          <cell r="H62" t="str">
            <v>MDF - 25 x 1830 x 2440mm [CARB P2 Compliant]</v>
          </cell>
          <cell r="I62">
            <v>25</v>
          </cell>
        </row>
        <row r="63">
          <cell r="A63" t="str">
            <v>B557907/A</v>
          </cell>
          <cell r="B63" t="str">
            <v>AR095M823</v>
          </cell>
          <cell r="C63">
            <v>25</v>
          </cell>
          <cell r="D63">
            <v>367</v>
          </cell>
          <cell r="E63">
            <v>9175</v>
          </cell>
          <cell r="F63" t="str">
            <v>A3-S5</v>
          </cell>
          <cell r="G63" t="str">
            <v>Patching wood - Gỗ đắp</v>
          </cell>
          <cell r="H63" t="str">
            <v>Wood White Oak - Straight/Waving Edged, 2 COM - T32mm x W100mm Up x L1.5m Up</v>
          </cell>
          <cell r="I63">
            <v>25</v>
          </cell>
        </row>
        <row r="64">
          <cell r="A64" t="str">
            <v>B557907/A</v>
          </cell>
          <cell r="B64" t="str">
            <v>AR095M823</v>
          </cell>
          <cell r="C64">
            <v>25</v>
          </cell>
          <cell r="D64">
            <v>367</v>
          </cell>
          <cell r="E64">
            <v>9175</v>
          </cell>
          <cell r="F64" t="str">
            <v>P01</v>
          </cell>
          <cell r="G64" t="str">
            <v>Corner block - ke góc</v>
          </cell>
          <cell r="H64" t="str">
            <v>oak off cut</v>
          </cell>
          <cell r="I64">
            <v>100</v>
          </cell>
        </row>
        <row r="65">
          <cell r="A65" t="str">
            <v>B557907/A</v>
          </cell>
          <cell r="B65" t="str">
            <v>AR095M823</v>
          </cell>
          <cell r="C65">
            <v>25</v>
          </cell>
          <cell r="D65">
            <v>367</v>
          </cell>
          <cell r="E65">
            <v>9175</v>
          </cell>
          <cell r="F65" t="str">
            <v>P02</v>
          </cell>
          <cell r="G65" t="str">
            <v>Spline - Lưỡi gà</v>
          </cell>
          <cell r="H65" t="str">
            <v>Plywood LVD - 15 x 1220 x 2440mm, Bleached Poplar Veneer Both Sides [CARB P2 Compliant]</v>
          </cell>
          <cell r="I65">
            <v>50</v>
          </cell>
        </row>
        <row r="66">
          <cell r="A66" t="str">
            <v>B557911/A</v>
          </cell>
          <cell r="B66" t="str">
            <v>AR191M906</v>
          </cell>
          <cell r="C66">
            <v>150</v>
          </cell>
          <cell r="D66">
            <v>355</v>
          </cell>
          <cell r="E66">
            <v>53250</v>
          </cell>
          <cell r="F66" t="str">
            <v>A1-S1</v>
          </cell>
          <cell r="G66" t="str">
            <v>Patching wood - Gỗ đắp</v>
          </cell>
          <cell r="H66" t="str">
            <v>MDF Veneer</v>
          </cell>
          <cell r="I66">
            <v>150</v>
          </cell>
        </row>
        <row r="67">
          <cell r="A67" t="str">
            <v>B557911/A</v>
          </cell>
          <cell r="B67" t="str">
            <v>AR191M906</v>
          </cell>
          <cell r="C67">
            <v>150</v>
          </cell>
          <cell r="D67">
            <v>355</v>
          </cell>
          <cell r="E67">
            <v>53250</v>
          </cell>
          <cell r="F67" t="str">
            <v>A1-S2</v>
          </cell>
          <cell r="G67" t="str">
            <v>Top Frame - Khung nóc</v>
          </cell>
          <cell r="H67" t="str">
            <v>Pre-Assembly</v>
          </cell>
          <cell r="I67">
            <v>150</v>
          </cell>
        </row>
        <row r="68">
          <cell r="A68" t="str">
            <v>B557911/A</v>
          </cell>
          <cell r="B68" t="str">
            <v>AR191M906</v>
          </cell>
          <cell r="C68">
            <v>150</v>
          </cell>
          <cell r="D68">
            <v>355</v>
          </cell>
          <cell r="E68">
            <v>53250</v>
          </cell>
          <cell r="F68" t="str">
            <v>A1-S2-1</v>
          </cell>
          <cell r="G68" t="str">
            <v xml:space="preserve">Top panel  - Ván nóc </v>
          </cell>
          <cell r="H68" t="str">
            <v>MDF Veneer</v>
          </cell>
          <cell r="I68">
            <v>150</v>
          </cell>
        </row>
        <row r="69">
          <cell r="A69" t="str">
            <v>B557911/A</v>
          </cell>
          <cell r="B69" t="str">
            <v>AR191M906</v>
          </cell>
          <cell r="C69">
            <v>150</v>
          </cell>
          <cell r="D69">
            <v>355</v>
          </cell>
          <cell r="E69">
            <v>53250</v>
          </cell>
          <cell r="F69" t="str">
            <v>A2-S1</v>
          </cell>
          <cell r="G69" t="str">
            <v>Patching wood - Gỗ đắp</v>
          </cell>
          <cell r="H69" t="str">
            <v>MDF Veneer</v>
          </cell>
          <cell r="I69">
            <v>300</v>
          </cell>
        </row>
        <row r="70">
          <cell r="A70" t="str">
            <v>B557911/A</v>
          </cell>
          <cell r="B70" t="str">
            <v>AR191M906</v>
          </cell>
          <cell r="C70">
            <v>150</v>
          </cell>
          <cell r="D70">
            <v>355</v>
          </cell>
          <cell r="E70">
            <v>53250</v>
          </cell>
          <cell r="F70" t="str">
            <v>A2-S2</v>
          </cell>
          <cell r="G70" t="str">
            <v>Side Frame - Khung hông</v>
          </cell>
          <cell r="H70" t="str">
            <v>Pre-Assembly</v>
          </cell>
          <cell r="I70">
            <v>300</v>
          </cell>
        </row>
        <row r="71">
          <cell r="A71" t="str">
            <v>B557911/A</v>
          </cell>
          <cell r="B71" t="str">
            <v>AR191M906</v>
          </cell>
          <cell r="C71">
            <v>150</v>
          </cell>
          <cell r="D71">
            <v>355</v>
          </cell>
          <cell r="E71">
            <v>53250</v>
          </cell>
          <cell r="F71" t="str">
            <v>A2-S2-1</v>
          </cell>
          <cell r="G71" t="str">
            <v xml:space="preserve">Side panel  - Ván hông </v>
          </cell>
          <cell r="H71" t="str">
            <v>MDF Veneer</v>
          </cell>
          <cell r="I71">
            <v>300</v>
          </cell>
        </row>
        <row r="72">
          <cell r="A72" t="str">
            <v>B557911/A</v>
          </cell>
          <cell r="B72" t="str">
            <v>AR191M906</v>
          </cell>
          <cell r="C72">
            <v>150</v>
          </cell>
          <cell r="D72">
            <v>355</v>
          </cell>
          <cell r="E72">
            <v>53250</v>
          </cell>
          <cell r="F72" t="str">
            <v>A2-S4</v>
          </cell>
          <cell r="G72" t="str">
            <v xml:space="preserve">Side rail  - Đố hông </v>
          </cell>
          <cell r="H72" t="str">
            <v>Plywood LVD - 12 x 1220 x 2440mm, Bleached Poplar Veneer Both Sides [CARB P2 Compliant]</v>
          </cell>
          <cell r="I72">
            <v>900</v>
          </cell>
        </row>
        <row r="73">
          <cell r="A73" t="str">
            <v>B557911/A</v>
          </cell>
          <cell r="B73" t="str">
            <v>AR191M906</v>
          </cell>
          <cell r="C73">
            <v>150</v>
          </cell>
          <cell r="D73">
            <v>355</v>
          </cell>
          <cell r="E73">
            <v>53250</v>
          </cell>
          <cell r="F73" t="str">
            <v>A3-S1</v>
          </cell>
          <cell r="G73" t="str">
            <v xml:space="preserve">Drawer front - Mặt hộc kéo </v>
          </cell>
          <cell r="H73" t="str">
            <v>MDF Veneer</v>
          </cell>
          <cell r="I73">
            <v>450</v>
          </cell>
        </row>
        <row r="74">
          <cell r="A74" t="str">
            <v>B557911/A</v>
          </cell>
          <cell r="B74" t="str">
            <v>AR191M906</v>
          </cell>
          <cell r="C74">
            <v>150</v>
          </cell>
          <cell r="D74">
            <v>355</v>
          </cell>
          <cell r="E74">
            <v>53250</v>
          </cell>
          <cell r="F74" t="str">
            <v>A3-S2</v>
          </cell>
          <cell r="G74" t="str">
            <v xml:space="preserve">Drawer front 1 - Mặt hộc kéo </v>
          </cell>
          <cell r="H74" t="str">
            <v>MDF Veneer</v>
          </cell>
          <cell r="I74">
            <v>450</v>
          </cell>
        </row>
        <row r="75">
          <cell r="A75" t="str">
            <v>B557911/A</v>
          </cell>
          <cell r="B75" t="str">
            <v>AR191M906</v>
          </cell>
          <cell r="C75">
            <v>150</v>
          </cell>
          <cell r="D75">
            <v>355</v>
          </cell>
          <cell r="E75">
            <v>53250</v>
          </cell>
          <cell r="F75" t="str">
            <v>A3-S3</v>
          </cell>
          <cell r="G75" t="str">
            <v>Drawer back - Hậu hộc kéo</v>
          </cell>
          <cell r="H75" t="str">
            <v>MDF Veneer</v>
          </cell>
          <cell r="I75">
            <v>450</v>
          </cell>
        </row>
        <row r="76">
          <cell r="A76" t="str">
            <v>B557911/A</v>
          </cell>
          <cell r="B76" t="str">
            <v>AR191M906</v>
          </cell>
          <cell r="C76">
            <v>150</v>
          </cell>
          <cell r="D76">
            <v>355</v>
          </cell>
          <cell r="E76">
            <v>53250</v>
          </cell>
          <cell r="F76" t="str">
            <v>A3-S4</v>
          </cell>
          <cell r="G76" t="str">
            <v>Drawer side - Hông hộc kéo</v>
          </cell>
          <cell r="H76" t="str">
            <v>MDF Veneer</v>
          </cell>
          <cell r="I76">
            <v>900</v>
          </cell>
        </row>
        <row r="77">
          <cell r="A77" t="str">
            <v>B557911/A</v>
          </cell>
          <cell r="B77" t="str">
            <v>AR191M906</v>
          </cell>
          <cell r="C77">
            <v>150</v>
          </cell>
          <cell r="D77">
            <v>355</v>
          </cell>
          <cell r="E77">
            <v>53250</v>
          </cell>
          <cell r="F77" t="str">
            <v>A3-S5</v>
          </cell>
          <cell r="G77" t="str">
            <v>Drawer bottom  - Đáy hộc kéo</v>
          </cell>
          <cell r="H77" t="str">
            <v>MDF Veneer</v>
          </cell>
          <cell r="I77">
            <v>450</v>
          </cell>
        </row>
        <row r="78">
          <cell r="A78" t="str">
            <v>B557911/A</v>
          </cell>
          <cell r="B78" t="str">
            <v>AR191M906</v>
          </cell>
          <cell r="C78">
            <v>150</v>
          </cell>
          <cell r="D78">
            <v>355</v>
          </cell>
          <cell r="E78">
            <v>53250</v>
          </cell>
          <cell r="F78" t="str">
            <v>A3-S6</v>
          </cell>
          <cell r="G78" t="str">
            <v>support Top - đỡ nóc</v>
          </cell>
          <cell r="H78" t="str">
            <v>Standard Wood - ALDER/ASPEN/LENGA/US POPLAR, 2 COM - T38 W120mm+ L2m+</v>
          </cell>
          <cell r="I78">
            <v>450</v>
          </cell>
        </row>
        <row r="79">
          <cell r="A79" t="str">
            <v>B557911/A</v>
          </cell>
          <cell r="B79" t="str">
            <v>AR191M906</v>
          </cell>
          <cell r="C79">
            <v>150</v>
          </cell>
          <cell r="D79">
            <v>355</v>
          </cell>
          <cell r="E79">
            <v>53250</v>
          </cell>
          <cell r="F79" t="str">
            <v>P01</v>
          </cell>
          <cell r="G79" t="str">
            <v>Back top rail - Đố hậu nóc</v>
          </cell>
          <cell r="H79" t="str">
            <v>Plywood LVD - 18 x 1220 x 2440mm, Bleached Poplar Veneer Both Sides [CARB P2 Compliant]</v>
          </cell>
          <cell r="I79">
            <v>150</v>
          </cell>
        </row>
        <row r="80">
          <cell r="A80" t="str">
            <v>B557911/A</v>
          </cell>
          <cell r="B80" t="str">
            <v>AR191M906</v>
          </cell>
          <cell r="C80">
            <v>150</v>
          </cell>
          <cell r="D80">
            <v>355</v>
          </cell>
          <cell r="E80">
            <v>53250</v>
          </cell>
          <cell r="F80" t="str">
            <v>P01-1</v>
          </cell>
          <cell r="G80" t="str">
            <v>Back bottom rail - Đố hậu đáy</v>
          </cell>
          <cell r="H80" t="str">
            <v>Plywood LVD - 18 x 1220 x 2440mm, Bleached Poplar Veneer Both Sides [CARB P2 Compliant]</v>
          </cell>
          <cell r="I80">
            <v>150</v>
          </cell>
        </row>
        <row r="81">
          <cell r="A81" t="str">
            <v>B557911/A</v>
          </cell>
          <cell r="B81" t="str">
            <v>AR191M906</v>
          </cell>
          <cell r="C81">
            <v>150</v>
          </cell>
          <cell r="D81">
            <v>355</v>
          </cell>
          <cell r="E81">
            <v>53250</v>
          </cell>
          <cell r="F81" t="str">
            <v>P01-2</v>
          </cell>
          <cell r="G81" t="str">
            <v>Front top rail  - Đố tiền nóc</v>
          </cell>
          <cell r="H81" t="str">
            <v>Plywood LVD - 18 x 1220 x 2440mm, Bleached Poplar Veneer Both Sides [CARB P2 Compliant]</v>
          </cell>
          <cell r="I81">
            <v>150</v>
          </cell>
        </row>
        <row r="82">
          <cell r="A82" t="str">
            <v>B557911/A</v>
          </cell>
          <cell r="B82" t="str">
            <v>AR191M906</v>
          </cell>
          <cell r="C82">
            <v>150</v>
          </cell>
          <cell r="D82">
            <v>355</v>
          </cell>
          <cell r="E82">
            <v>53250</v>
          </cell>
          <cell r="F82" t="str">
            <v>P02</v>
          </cell>
          <cell r="G82" t="str">
            <v>Spline - Lưỡi gà</v>
          </cell>
          <cell r="H82" t="str">
            <v>Plywood LVD - 06 x 1220 x 2440mm, Bleached Poplar Veneer Both Sides [CARB P2 Compliant]</v>
          </cell>
          <cell r="I82">
            <v>300</v>
          </cell>
        </row>
        <row r="83">
          <cell r="A83" t="str">
            <v>B557911/A</v>
          </cell>
          <cell r="B83" t="str">
            <v>AR191M906</v>
          </cell>
          <cell r="C83">
            <v>150</v>
          </cell>
          <cell r="D83">
            <v>355</v>
          </cell>
          <cell r="E83">
            <v>53250</v>
          </cell>
          <cell r="F83" t="str">
            <v>P03</v>
          </cell>
          <cell r="G83" t="str">
            <v>Drawer stop - Dừng hộc</v>
          </cell>
          <cell r="H83" t="str">
            <v>Poplar off cut</v>
          </cell>
          <cell r="I83">
            <v>900</v>
          </cell>
        </row>
        <row r="84">
          <cell r="A84" t="str">
            <v>B557911/A</v>
          </cell>
          <cell r="B84" t="str">
            <v>AR191M906</v>
          </cell>
          <cell r="C84">
            <v>150</v>
          </cell>
          <cell r="D84">
            <v>355</v>
          </cell>
          <cell r="E84">
            <v>53250</v>
          </cell>
          <cell r="F84" t="str">
            <v>P04</v>
          </cell>
          <cell r="G84" t="str">
            <v>Front Bottom Rail  - Đố đáy trước</v>
          </cell>
          <cell r="H84" t="str">
            <v>Wood EU Beech - Straight/Waving Edged AB, 1 COM - T26mm x W100mm up x L1.8m up</v>
          </cell>
          <cell r="I84">
            <v>150</v>
          </cell>
        </row>
        <row r="85">
          <cell r="A85" t="str">
            <v>B557911/A</v>
          </cell>
          <cell r="B85" t="str">
            <v>AR191M906</v>
          </cell>
          <cell r="C85">
            <v>150</v>
          </cell>
          <cell r="D85">
            <v>355</v>
          </cell>
          <cell r="E85">
            <v>53250</v>
          </cell>
          <cell r="F85" t="str">
            <v>P05</v>
          </cell>
          <cell r="G85" t="str">
            <v>Bottom panel - Ván đáy</v>
          </cell>
          <cell r="H85" t="str">
            <v>MDF - 06 x 1830 x 2440mm [CARB P2 Compliant]</v>
          </cell>
          <cell r="I85">
            <v>150</v>
          </cell>
        </row>
        <row r="86">
          <cell r="A86" t="str">
            <v>B557911/A</v>
          </cell>
          <cell r="B86" t="str">
            <v>AR191M906</v>
          </cell>
          <cell r="C86">
            <v>150</v>
          </cell>
          <cell r="D86">
            <v>355</v>
          </cell>
          <cell r="E86">
            <v>53250</v>
          </cell>
          <cell r="F86" t="str">
            <v>P06</v>
          </cell>
          <cell r="G86" t="str">
            <v>Cleat - Bọ gỗ</v>
          </cell>
          <cell r="H86" t="str">
            <v>Plywood LVD - 18 x 1220 x 2440mm, Bleached Poplar Veneer Both Sides [CARB P2 Compliant]</v>
          </cell>
          <cell r="I86">
            <v>300</v>
          </cell>
        </row>
        <row r="87">
          <cell r="A87" t="str">
            <v>B557911/A</v>
          </cell>
          <cell r="B87" t="str">
            <v>AR191M906</v>
          </cell>
          <cell r="C87">
            <v>150</v>
          </cell>
          <cell r="D87">
            <v>355</v>
          </cell>
          <cell r="E87">
            <v>53250</v>
          </cell>
          <cell r="F87" t="str">
            <v>P07</v>
          </cell>
          <cell r="G87" t="str">
            <v>Back panel - Ván hậu</v>
          </cell>
          <cell r="H87" t="str">
            <v>MDF Veneer</v>
          </cell>
          <cell r="I87">
            <v>150</v>
          </cell>
        </row>
        <row r="88">
          <cell r="A88" t="str">
            <v>B557911/A</v>
          </cell>
          <cell r="B88" t="str">
            <v>AR191M906</v>
          </cell>
          <cell r="C88">
            <v>150</v>
          </cell>
          <cell r="D88">
            <v>355</v>
          </cell>
          <cell r="E88">
            <v>53250</v>
          </cell>
          <cell r="F88" t="str">
            <v>P08</v>
          </cell>
          <cell r="G88" t="str">
            <v>The leg  - Chân</v>
          </cell>
          <cell r="H88" t="str">
            <v>Plywood lamilated</v>
          </cell>
          <cell r="I88">
            <v>600</v>
          </cell>
        </row>
        <row r="89">
          <cell r="A89" t="str">
            <v>B557911/A</v>
          </cell>
          <cell r="B89" t="str">
            <v>AR191M906</v>
          </cell>
          <cell r="C89">
            <v>150</v>
          </cell>
          <cell r="D89">
            <v>355</v>
          </cell>
          <cell r="E89">
            <v>53250</v>
          </cell>
          <cell r="F89" t="str">
            <v>P09</v>
          </cell>
          <cell r="G89" t="str">
            <v xml:space="preserve">Side rail  - Đố hông </v>
          </cell>
          <cell r="H89" t="str">
            <v>Poplar off cut</v>
          </cell>
          <cell r="I89">
            <v>300</v>
          </cell>
        </row>
        <row r="90">
          <cell r="A90" t="str">
            <v>B557911/A</v>
          </cell>
          <cell r="B90" t="str">
            <v>AR191M906</v>
          </cell>
          <cell r="C90">
            <v>150</v>
          </cell>
          <cell r="D90">
            <v>355</v>
          </cell>
          <cell r="E90">
            <v>53250</v>
          </cell>
          <cell r="F90" t="str">
            <v>P10</v>
          </cell>
          <cell r="G90" t="str">
            <v>Corner block - ke góc</v>
          </cell>
          <cell r="H90" t="str">
            <v>Poplar off cut</v>
          </cell>
          <cell r="I90">
            <v>600</v>
          </cell>
        </row>
        <row r="91">
          <cell r="A91" t="str">
            <v>B557883/A</v>
          </cell>
          <cell r="B91" t="str">
            <v>AR330M871</v>
          </cell>
          <cell r="C91">
            <v>25</v>
          </cell>
          <cell r="D91">
            <v>437</v>
          </cell>
          <cell r="E91">
            <v>10925</v>
          </cell>
          <cell r="F91" t="str">
            <v>A1</v>
          </cell>
          <cell r="G91" t="str">
            <v>Top Frame - Khung nóc</v>
          </cell>
          <cell r="H91" t="str">
            <v>Pre-Assembly</v>
          </cell>
          <cell r="I91">
            <v>25</v>
          </cell>
        </row>
        <row r="92">
          <cell r="A92" t="str">
            <v>B557883/A</v>
          </cell>
          <cell r="B92" t="str">
            <v>AR330M871</v>
          </cell>
          <cell r="C92">
            <v>25</v>
          </cell>
          <cell r="D92">
            <v>437</v>
          </cell>
          <cell r="E92">
            <v>10925</v>
          </cell>
          <cell r="F92" t="str">
            <v>A1-S01</v>
          </cell>
          <cell r="G92" t="str">
            <v xml:space="preserve">Top panel  - Ván nóc </v>
          </cell>
          <cell r="H92" t="str">
            <v>MDF Veneer</v>
          </cell>
          <cell r="I92">
            <v>25</v>
          </cell>
        </row>
        <row r="93">
          <cell r="A93" t="str">
            <v>B557883/A</v>
          </cell>
          <cell r="B93" t="str">
            <v>AR330M871</v>
          </cell>
          <cell r="C93">
            <v>25</v>
          </cell>
          <cell r="D93">
            <v>437</v>
          </cell>
          <cell r="E93">
            <v>10925</v>
          </cell>
          <cell r="F93" t="str">
            <v>A1-S02</v>
          </cell>
          <cell r="G93" t="str">
            <v>Top rail - Đố nóc</v>
          </cell>
          <cell r="H93" t="str">
            <v>Wood laminate</v>
          </cell>
          <cell r="I93">
            <v>200</v>
          </cell>
        </row>
        <row r="94">
          <cell r="A94" t="str">
            <v>B557883/A</v>
          </cell>
          <cell r="B94" t="str">
            <v>AR330M871</v>
          </cell>
          <cell r="C94">
            <v>25</v>
          </cell>
          <cell r="D94">
            <v>437</v>
          </cell>
          <cell r="E94">
            <v>10925</v>
          </cell>
          <cell r="F94" t="str">
            <v>A2</v>
          </cell>
          <cell r="G94" t="str">
            <v>The leg  - Chân</v>
          </cell>
          <cell r="H94" t="str">
            <v>Pre-Assembly</v>
          </cell>
          <cell r="I94">
            <v>50</v>
          </cell>
        </row>
        <row r="95">
          <cell r="A95" t="str">
            <v>B557883/A</v>
          </cell>
          <cell r="B95" t="str">
            <v>AR330M871</v>
          </cell>
          <cell r="C95">
            <v>25</v>
          </cell>
          <cell r="D95">
            <v>437</v>
          </cell>
          <cell r="E95">
            <v>10925</v>
          </cell>
          <cell r="F95" t="str">
            <v>A2-S1</v>
          </cell>
          <cell r="G95" t="str">
            <v xml:space="preserve">Frame - Khung </v>
          </cell>
          <cell r="H95" t="str">
            <v>Pre-Assembly</v>
          </cell>
          <cell r="I95">
            <v>50</v>
          </cell>
        </row>
        <row r="96">
          <cell r="A96" t="str">
            <v>B557883/A</v>
          </cell>
          <cell r="B96" t="str">
            <v>AR330M871</v>
          </cell>
          <cell r="C96">
            <v>25</v>
          </cell>
          <cell r="D96">
            <v>437</v>
          </cell>
          <cell r="E96">
            <v>10925</v>
          </cell>
          <cell r="F96" t="str">
            <v>A2-S2</v>
          </cell>
          <cell r="G96" t="str">
            <v xml:space="preserve">Frame - Khung </v>
          </cell>
          <cell r="H96" t="str">
            <v>Pre-Assembly</v>
          </cell>
          <cell r="I96">
            <v>50</v>
          </cell>
        </row>
        <row r="97">
          <cell r="A97" t="str">
            <v>B557883/A</v>
          </cell>
          <cell r="B97" t="str">
            <v>AR330M871</v>
          </cell>
          <cell r="C97">
            <v>25</v>
          </cell>
          <cell r="D97">
            <v>437</v>
          </cell>
          <cell r="E97">
            <v>10925</v>
          </cell>
          <cell r="F97" t="str">
            <v>A2-S3</v>
          </cell>
          <cell r="G97" t="str">
            <v xml:space="preserve">Panel - Ván </v>
          </cell>
          <cell r="H97" t="str">
            <v>MDF - 15 x 1830 x 2440mm [CARB P2 Compliant]</v>
          </cell>
          <cell r="I97">
            <v>100</v>
          </cell>
        </row>
        <row r="98">
          <cell r="A98" t="str">
            <v>B557883/A</v>
          </cell>
          <cell r="B98" t="str">
            <v>AR330M871</v>
          </cell>
          <cell r="C98">
            <v>25</v>
          </cell>
          <cell r="D98">
            <v>437</v>
          </cell>
          <cell r="E98">
            <v>10925</v>
          </cell>
          <cell r="F98" t="str">
            <v>A2-S4</v>
          </cell>
          <cell r="G98" t="str">
            <v xml:space="preserve">Panel - Ván </v>
          </cell>
          <cell r="H98" t="str">
            <v>MDF - 25 x 1830 x 2440mm [CARB P2 Compliant]</v>
          </cell>
          <cell r="I98">
            <v>50</v>
          </cell>
        </row>
        <row r="99">
          <cell r="A99" t="str">
            <v>B557883/A</v>
          </cell>
          <cell r="B99" t="str">
            <v>AR330M871</v>
          </cell>
          <cell r="C99">
            <v>25</v>
          </cell>
          <cell r="D99">
            <v>437</v>
          </cell>
          <cell r="E99">
            <v>10925</v>
          </cell>
          <cell r="F99" t="str">
            <v>A2-S5</v>
          </cell>
          <cell r="G99" t="str">
            <v>Patching wood - Gỗ đắp</v>
          </cell>
          <cell r="H99" t="str">
            <v>Wood White Oak - Straight/Waving Edged, 2 COM - T32mm x W100mm Up x L1.5m Up</v>
          </cell>
          <cell r="I99">
            <v>50</v>
          </cell>
        </row>
        <row r="100">
          <cell r="A100" t="str">
            <v>B557883/A</v>
          </cell>
          <cell r="B100" t="str">
            <v>AR330M871</v>
          </cell>
          <cell r="C100">
            <v>25</v>
          </cell>
          <cell r="D100">
            <v>437</v>
          </cell>
          <cell r="E100">
            <v>10925</v>
          </cell>
          <cell r="F100" t="str">
            <v>A2-S6</v>
          </cell>
          <cell r="G100" t="str">
            <v>Patching wood - Gỗ đắp</v>
          </cell>
          <cell r="H100" t="str">
            <v>Wood White Oak - Straight/Waving Edged, 2 COM - T32mm x W100mm Up x L1.5m Up</v>
          </cell>
          <cell r="I100">
            <v>100</v>
          </cell>
        </row>
        <row r="101">
          <cell r="A101" t="str">
            <v>B557883/A</v>
          </cell>
          <cell r="B101" t="str">
            <v>AR330M871</v>
          </cell>
          <cell r="C101">
            <v>25</v>
          </cell>
          <cell r="D101">
            <v>437</v>
          </cell>
          <cell r="E101">
            <v>10925</v>
          </cell>
          <cell r="F101" t="str">
            <v>A3</v>
          </cell>
          <cell r="G101" t="str">
            <v>The leg  - Chân</v>
          </cell>
          <cell r="H101" t="str">
            <v>Pre-Assembly</v>
          </cell>
          <cell r="I101">
            <v>25</v>
          </cell>
        </row>
        <row r="102">
          <cell r="A102" t="str">
            <v>B557883/A</v>
          </cell>
          <cell r="B102" t="str">
            <v>AR330M871</v>
          </cell>
          <cell r="C102">
            <v>25</v>
          </cell>
          <cell r="D102">
            <v>437</v>
          </cell>
          <cell r="E102">
            <v>10925</v>
          </cell>
          <cell r="F102" t="str">
            <v>A3-S1</v>
          </cell>
          <cell r="G102" t="str">
            <v xml:space="preserve">Frame - Khung </v>
          </cell>
          <cell r="H102" t="str">
            <v>Pre-Assembly</v>
          </cell>
          <cell r="I102">
            <v>25</v>
          </cell>
        </row>
        <row r="103">
          <cell r="A103" t="str">
            <v>B557883/A</v>
          </cell>
          <cell r="B103" t="str">
            <v>AR330M871</v>
          </cell>
          <cell r="C103">
            <v>25</v>
          </cell>
          <cell r="D103">
            <v>437</v>
          </cell>
          <cell r="E103">
            <v>10925</v>
          </cell>
          <cell r="F103" t="str">
            <v>A3-S2</v>
          </cell>
          <cell r="G103" t="str">
            <v xml:space="preserve">Frame - Khung </v>
          </cell>
          <cell r="H103" t="str">
            <v>Pre-Assembly</v>
          </cell>
          <cell r="I103">
            <v>25</v>
          </cell>
        </row>
        <row r="104">
          <cell r="A104" t="str">
            <v>B557883/A</v>
          </cell>
          <cell r="B104" t="str">
            <v>AR330M871</v>
          </cell>
          <cell r="C104">
            <v>25</v>
          </cell>
          <cell r="D104">
            <v>437</v>
          </cell>
          <cell r="E104">
            <v>10925</v>
          </cell>
          <cell r="F104" t="str">
            <v>A3-S3</v>
          </cell>
          <cell r="G104" t="str">
            <v xml:space="preserve">Panel - Ván </v>
          </cell>
          <cell r="H104" t="str">
            <v>MDF - 15 x 1830 x 2440mm [CARB P2 Compliant]</v>
          </cell>
          <cell r="I104">
            <v>50</v>
          </cell>
        </row>
        <row r="105">
          <cell r="A105" t="str">
            <v>B557883/A</v>
          </cell>
          <cell r="B105" t="str">
            <v>AR330M871</v>
          </cell>
          <cell r="C105">
            <v>25</v>
          </cell>
          <cell r="D105">
            <v>437</v>
          </cell>
          <cell r="E105">
            <v>10925</v>
          </cell>
          <cell r="F105" t="str">
            <v>A3-S4</v>
          </cell>
          <cell r="G105" t="str">
            <v xml:space="preserve">Panel - Ván </v>
          </cell>
          <cell r="H105" t="str">
            <v>MDF - 25 x 1830 x 2440mm [CARB P2 Compliant]</v>
          </cell>
          <cell r="I105">
            <v>25</v>
          </cell>
        </row>
        <row r="106">
          <cell r="A106" t="str">
            <v>B557883/A</v>
          </cell>
          <cell r="B106" t="str">
            <v>AR330M871</v>
          </cell>
          <cell r="C106">
            <v>25</v>
          </cell>
          <cell r="D106">
            <v>437</v>
          </cell>
          <cell r="E106">
            <v>10925</v>
          </cell>
          <cell r="F106" t="str">
            <v>A3-S5</v>
          </cell>
          <cell r="G106" t="str">
            <v>Patching wood - Gỗ đắp</v>
          </cell>
          <cell r="H106" t="str">
            <v>Wood White Oak - Straight/Waving Edged, 2 COM - T32mm x W100mm Up x L1.5m Up</v>
          </cell>
          <cell r="I106">
            <v>25</v>
          </cell>
        </row>
        <row r="107">
          <cell r="A107" t="str">
            <v>B557883/A</v>
          </cell>
          <cell r="B107" t="str">
            <v>AR330M871</v>
          </cell>
          <cell r="C107">
            <v>25</v>
          </cell>
          <cell r="D107">
            <v>437</v>
          </cell>
          <cell r="E107">
            <v>10925</v>
          </cell>
          <cell r="F107" t="str">
            <v>P01</v>
          </cell>
          <cell r="G107" t="str">
            <v>Corner block - ke góc</v>
          </cell>
          <cell r="H107" t="str">
            <v>oak off cut</v>
          </cell>
          <cell r="I107">
            <v>100</v>
          </cell>
        </row>
        <row r="108">
          <cell r="A108" t="str">
            <v>B557883/A</v>
          </cell>
          <cell r="B108" t="str">
            <v>AR330M871</v>
          </cell>
          <cell r="C108">
            <v>25</v>
          </cell>
          <cell r="D108">
            <v>437</v>
          </cell>
          <cell r="E108">
            <v>10925</v>
          </cell>
          <cell r="F108" t="str">
            <v>P02</v>
          </cell>
          <cell r="G108" t="str">
            <v>Spline - Lưỡi gà</v>
          </cell>
          <cell r="H108" t="str">
            <v>Plywood LVD - 15 x 1220 x 2440mm, Bleached Poplar Veneer Both Sides [CARB P2 Compliant]</v>
          </cell>
          <cell r="I108">
            <v>50</v>
          </cell>
        </row>
        <row r="109">
          <cell r="A109" t="str">
            <v>B557887/A</v>
          </cell>
          <cell r="B109" t="str">
            <v>AR368M906</v>
          </cell>
          <cell r="C109">
            <v>48</v>
          </cell>
          <cell r="D109">
            <v>915</v>
          </cell>
          <cell r="E109">
            <v>43920</v>
          </cell>
          <cell r="F109" t="str">
            <v>A1-S01</v>
          </cell>
          <cell r="G109" t="str">
            <v>Vertical rail 1 - Đố đứng 1</v>
          </cell>
          <cell r="H109" t="str">
            <v>Wood laminate</v>
          </cell>
          <cell r="I109">
            <v>96</v>
          </cell>
        </row>
        <row r="110">
          <cell r="A110" t="str">
            <v>B557887/A</v>
          </cell>
          <cell r="B110" t="str">
            <v>AR368M906</v>
          </cell>
          <cell r="C110">
            <v>48</v>
          </cell>
          <cell r="D110">
            <v>915</v>
          </cell>
          <cell r="E110">
            <v>43920</v>
          </cell>
          <cell r="F110" t="str">
            <v>A1-S02</v>
          </cell>
          <cell r="G110" t="str">
            <v>Vertical rail 1 - Đố đứng 1</v>
          </cell>
          <cell r="H110" t="str">
            <v>Wood laminate</v>
          </cell>
          <cell r="I110">
            <v>96</v>
          </cell>
        </row>
        <row r="111">
          <cell r="A111" t="str">
            <v>B557887/A</v>
          </cell>
          <cell r="B111" t="str">
            <v>AR368M906</v>
          </cell>
          <cell r="C111">
            <v>48</v>
          </cell>
          <cell r="D111">
            <v>915</v>
          </cell>
          <cell r="E111">
            <v>43920</v>
          </cell>
          <cell r="F111" t="str">
            <v>A1-S03</v>
          </cell>
          <cell r="G111" t="str">
            <v>Horizontal rail 1 - Đố ngang 1</v>
          </cell>
          <cell r="H111" t="str">
            <v>Wood laminate</v>
          </cell>
          <cell r="I111">
            <v>96</v>
          </cell>
        </row>
        <row r="112">
          <cell r="A112" t="str">
            <v>B557887/A</v>
          </cell>
          <cell r="B112" t="str">
            <v>AR368M906</v>
          </cell>
          <cell r="C112">
            <v>48</v>
          </cell>
          <cell r="D112">
            <v>915</v>
          </cell>
          <cell r="E112">
            <v>43920</v>
          </cell>
          <cell r="F112" t="str">
            <v>A1-S04</v>
          </cell>
          <cell r="G112" t="str">
            <v>Horizontal rail 1 - Đố ngang 1</v>
          </cell>
          <cell r="H112" t="str">
            <v>Wood laminate</v>
          </cell>
          <cell r="I112">
            <v>96</v>
          </cell>
        </row>
        <row r="113">
          <cell r="A113" t="str">
            <v>B557887/A</v>
          </cell>
          <cell r="B113" t="str">
            <v>AR368M906</v>
          </cell>
          <cell r="C113">
            <v>48</v>
          </cell>
          <cell r="D113">
            <v>915</v>
          </cell>
          <cell r="E113">
            <v>43920</v>
          </cell>
          <cell r="F113" t="str">
            <v>A1-S05</v>
          </cell>
          <cell r="G113" t="str">
            <v>Tenon - Mộng cấy</v>
          </cell>
          <cell r="H113" t="str">
            <v>Beech off cut</v>
          </cell>
          <cell r="I113">
            <v>384</v>
          </cell>
        </row>
        <row r="114">
          <cell r="A114" t="str">
            <v>B557887/A</v>
          </cell>
          <cell r="B114" t="str">
            <v>AR368M906</v>
          </cell>
          <cell r="C114">
            <v>48</v>
          </cell>
          <cell r="D114">
            <v>915</v>
          </cell>
          <cell r="E114">
            <v>43920</v>
          </cell>
          <cell r="F114" t="str">
            <v>A2</v>
          </cell>
          <cell r="G114" t="str">
            <v>Top Frame - Khung nóc</v>
          </cell>
          <cell r="H114" t="str">
            <v>Pre-Assembly</v>
          </cell>
          <cell r="I114">
            <v>48</v>
          </cell>
        </row>
        <row r="115">
          <cell r="A115" t="str">
            <v>B557887/A</v>
          </cell>
          <cell r="B115" t="str">
            <v>AR368M906</v>
          </cell>
          <cell r="C115">
            <v>48</v>
          </cell>
          <cell r="D115">
            <v>915</v>
          </cell>
          <cell r="E115">
            <v>43920</v>
          </cell>
          <cell r="F115" t="str">
            <v>A2-S01</v>
          </cell>
          <cell r="G115" t="str">
            <v xml:space="preserve">Top panel  - Ván nóc </v>
          </cell>
          <cell r="H115" t="str">
            <v>MDF Veneer</v>
          </cell>
          <cell r="I115">
            <v>48</v>
          </cell>
        </row>
        <row r="116">
          <cell r="A116" t="str">
            <v>B557887/A</v>
          </cell>
          <cell r="B116" t="str">
            <v>AR368M906</v>
          </cell>
          <cell r="C116">
            <v>48</v>
          </cell>
          <cell r="D116">
            <v>915</v>
          </cell>
          <cell r="E116">
            <v>43920</v>
          </cell>
          <cell r="F116" t="str">
            <v>A2-S02</v>
          </cell>
          <cell r="G116" t="str">
            <v xml:space="preserve">Top panel  - Ván nóc </v>
          </cell>
          <cell r="H116" t="str">
            <v>MDF Veneer</v>
          </cell>
          <cell r="I116">
            <v>48</v>
          </cell>
        </row>
        <row r="117">
          <cell r="A117" t="str">
            <v>B557887/A</v>
          </cell>
          <cell r="B117" t="str">
            <v>AR368M906</v>
          </cell>
          <cell r="C117">
            <v>48</v>
          </cell>
          <cell r="D117">
            <v>915</v>
          </cell>
          <cell r="E117">
            <v>43920</v>
          </cell>
          <cell r="F117" t="str">
            <v>A3-S01</v>
          </cell>
          <cell r="G117" t="str">
            <v xml:space="preserve">Side panel  - Ván hông </v>
          </cell>
          <cell r="H117" t="str">
            <v>MDF Veneer</v>
          </cell>
          <cell r="I117">
            <v>96</v>
          </cell>
        </row>
        <row r="118">
          <cell r="A118" t="str">
            <v>B557887/A</v>
          </cell>
          <cell r="B118" t="str">
            <v>AR368M906</v>
          </cell>
          <cell r="C118">
            <v>48</v>
          </cell>
          <cell r="D118">
            <v>915</v>
          </cell>
          <cell r="E118">
            <v>43920</v>
          </cell>
          <cell r="F118" t="str">
            <v>A3-S02</v>
          </cell>
          <cell r="G118" t="str">
            <v>Front Vertical rail  - Trụ tiền</v>
          </cell>
          <cell r="H118" t="str">
            <v>Poplar 1 COM</v>
          </cell>
          <cell r="I118">
            <v>96</v>
          </cell>
        </row>
        <row r="119">
          <cell r="A119" t="str">
            <v>B557887/A</v>
          </cell>
          <cell r="B119" t="str">
            <v>AR368M906</v>
          </cell>
          <cell r="C119">
            <v>48</v>
          </cell>
          <cell r="D119">
            <v>915</v>
          </cell>
          <cell r="E119">
            <v>43920</v>
          </cell>
          <cell r="F119" t="str">
            <v>A4</v>
          </cell>
          <cell r="G119" t="str">
            <v>Shelf panel  - Ván kệ</v>
          </cell>
          <cell r="H119" t="str">
            <v>Pre-Assembly</v>
          </cell>
          <cell r="I119">
            <v>48</v>
          </cell>
        </row>
        <row r="120">
          <cell r="A120" t="str">
            <v>B557887/A</v>
          </cell>
          <cell r="B120" t="str">
            <v>AR368M906</v>
          </cell>
          <cell r="C120">
            <v>48</v>
          </cell>
          <cell r="D120">
            <v>915</v>
          </cell>
          <cell r="E120">
            <v>43920</v>
          </cell>
          <cell r="F120" t="str">
            <v>A4-S01</v>
          </cell>
          <cell r="G120" t="str">
            <v>Shelf panel  - Ván kệ</v>
          </cell>
          <cell r="H120" t="str">
            <v>MDF Veneer</v>
          </cell>
          <cell r="I120">
            <v>48</v>
          </cell>
        </row>
        <row r="121">
          <cell r="A121" t="str">
            <v>B557887/A</v>
          </cell>
          <cell r="B121" t="str">
            <v>AR368M906</v>
          </cell>
          <cell r="C121">
            <v>48</v>
          </cell>
          <cell r="D121">
            <v>915</v>
          </cell>
          <cell r="E121">
            <v>43920</v>
          </cell>
          <cell r="F121" t="str">
            <v>A4-S02</v>
          </cell>
          <cell r="G121" t="str">
            <v>Front rail  - Đố tiền</v>
          </cell>
          <cell r="H121" t="str">
            <v>Wood Rubber Laminate Board - 20 x 1220 x 2440mm, Veneer Poplar both Faces</v>
          </cell>
          <cell r="I121">
            <v>48</v>
          </cell>
        </row>
        <row r="122">
          <cell r="A122" t="str">
            <v>B557887/A</v>
          </cell>
          <cell r="B122" t="str">
            <v>AR368M906</v>
          </cell>
          <cell r="C122">
            <v>48</v>
          </cell>
          <cell r="D122">
            <v>915</v>
          </cell>
          <cell r="E122">
            <v>43920</v>
          </cell>
          <cell r="F122" t="str">
            <v>A4-S03</v>
          </cell>
          <cell r="G122" t="str">
            <v>Cleat - Bọ gỗ</v>
          </cell>
          <cell r="H122" t="str">
            <v>Wood White Oak - Straight/Waving Edged, 1 COM - T25mm x W100mm Up x L1.8m Up</v>
          </cell>
          <cell r="I122">
            <v>96</v>
          </cell>
        </row>
        <row r="123">
          <cell r="A123" t="str">
            <v>B557887/A</v>
          </cell>
          <cell r="B123" t="str">
            <v>AR368M906</v>
          </cell>
          <cell r="C123">
            <v>48</v>
          </cell>
          <cell r="D123">
            <v>915</v>
          </cell>
          <cell r="E123">
            <v>43920</v>
          </cell>
          <cell r="F123" t="str">
            <v>A5-S01</v>
          </cell>
          <cell r="G123" t="str">
            <v>Front Bottom Rail  - Đố đáy trước</v>
          </cell>
          <cell r="H123" t="str">
            <v>Wood White Oak - Straight/Waving Edged, 1 COM - T25mm x W100mm Up x L1.8m Up</v>
          </cell>
          <cell r="I123">
            <v>48</v>
          </cell>
        </row>
        <row r="124">
          <cell r="A124" t="str">
            <v>B557887/A</v>
          </cell>
          <cell r="B124" t="str">
            <v>AR368M906</v>
          </cell>
          <cell r="C124">
            <v>48</v>
          </cell>
          <cell r="D124">
            <v>915</v>
          </cell>
          <cell r="E124">
            <v>43920</v>
          </cell>
          <cell r="F124" t="str">
            <v>A5-S02</v>
          </cell>
          <cell r="G124" t="str">
            <v>Side bottom rail - Đố hông dưới</v>
          </cell>
          <cell r="H124" t="str">
            <v>Wood White Oak - Straight/Waving Edged, 1 COM - T25mm x W100mm Up x L1.8m Up</v>
          </cell>
          <cell r="I124">
            <v>96</v>
          </cell>
        </row>
        <row r="125">
          <cell r="A125" t="str">
            <v>B557887/A</v>
          </cell>
          <cell r="B125" t="str">
            <v>AR368M906</v>
          </cell>
          <cell r="C125">
            <v>48</v>
          </cell>
          <cell r="D125">
            <v>915</v>
          </cell>
          <cell r="E125">
            <v>43920</v>
          </cell>
          <cell r="F125" t="str">
            <v>A5-S03</v>
          </cell>
          <cell r="G125" t="str">
            <v>Front Bottom Rail  - Đố đáy trước</v>
          </cell>
          <cell r="H125" t="str">
            <v>Wood White Oak - Straight/Waving Edged, 1 COM - T32mm x W100mm Up x L1.8m Up</v>
          </cell>
          <cell r="I125">
            <v>96</v>
          </cell>
        </row>
        <row r="126">
          <cell r="A126" t="str">
            <v>B557887/A</v>
          </cell>
          <cell r="B126" t="str">
            <v>AR368M906</v>
          </cell>
          <cell r="C126">
            <v>48</v>
          </cell>
          <cell r="D126">
            <v>915</v>
          </cell>
          <cell r="E126">
            <v>43920</v>
          </cell>
          <cell r="F126" t="str">
            <v>A5-S04</v>
          </cell>
          <cell r="G126" t="str">
            <v>Back bottom rail - Đố hậu đáy</v>
          </cell>
          <cell r="H126" t="str">
            <v>Wood EU Beech - Straight/Waving Edged AB, 1 COM - T32mm x W100mm up x L1.8m up</v>
          </cell>
          <cell r="I126">
            <v>48</v>
          </cell>
        </row>
        <row r="127">
          <cell r="A127" t="str">
            <v>B557887/A</v>
          </cell>
          <cell r="B127" t="str">
            <v>AR368M906</v>
          </cell>
          <cell r="C127">
            <v>48</v>
          </cell>
          <cell r="D127">
            <v>915</v>
          </cell>
          <cell r="E127">
            <v>43920</v>
          </cell>
          <cell r="F127" t="str">
            <v>A5-S05</v>
          </cell>
          <cell r="G127" t="str">
            <v>Front Bottom Rail  - Đố đáy trước</v>
          </cell>
          <cell r="H127" t="str">
            <v>Wood White Oak - Straight/Waving Edged, 1 COM - T32mm x W100mm Up x L1.8m Up</v>
          </cell>
          <cell r="I127">
            <v>48</v>
          </cell>
        </row>
        <row r="128">
          <cell r="A128" t="str">
            <v>B557887/A</v>
          </cell>
          <cell r="B128" t="str">
            <v>AR368M906</v>
          </cell>
          <cell r="C128">
            <v>48</v>
          </cell>
          <cell r="D128">
            <v>915</v>
          </cell>
          <cell r="E128">
            <v>43920</v>
          </cell>
          <cell r="F128" t="str">
            <v>A5-S06</v>
          </cell>
          <cell r="G128" t="str">
            <v>Side bottom rail - Đố hông dưới</v>
          </cell>
          <cell r="H128" t="str">
            <v>Wood White Oak - Straight/Waving Edged, 1 COM - T32mm x W100mm Up x L1.8m Up</v>
          </cell>
          <cell r="I128">
            <v>96</v>
          </cell>
        </row>
        <row r="129">
          <cell r="A129" t="str">
            <v>B557887/A</v>
          </cell>
          <cell r="B129" t="str">
            <v>AR368M906</v>
          </cell>
          <cell r="C129">
            <v>48</v>
          </cell>
          <cell r="D129">
            <v>915</v>
          </cell>
          <cell r="E129">
            <v>43920</v>
          </cell>
          <cell r="F129" t="str">
            <v>A5-S07</v>
          </cell>
          <cell r="G129" t="str">
            <v>Front Bottom Rail  - Đố đáy trước</v>
          </cell>
          <cell r="H129" t="str">
            <v>Wood White Oak - Straight/Waving Edged, 1 COM - T32mm x W100mm Up x L1.8m Up</v>
          </cell>
          <cell r="I129">
            <v>96</v>
          </cell>
        </row>
        <row r="130">
          <cell r="A130" t="str">
            <v>B557887/A</v>
          </cell>
          <cell r="B130" t="str">
            <v>AR368M906</v>
          </cell>
          <cell r="C130">
            <v>48</v>
          </cell>
          <cell r="D130">
            <v>915</v>
          </cell>
          <cell r="E130">
            <v>43920</v>
          </cell>
          <cell r="F130" t="str">
            <v>A5-S08</v>
          </cell>
          <cell r="G130" t="str">
            <v>Corner block - ke góc</v>
          </cell>
          <cell r="H130" t="str">
            <v>Wood EU Beech - Straight/Waving Edged AB, 1 COM - T26mm x W100mm up x L1.8m up</v>
          </cell>
          <cell r="I130">
            <v>96</v>
          </cell>
        </row>
        <row r="131">
          <cell r="A131" t="str">
            <v>B557887/A</v>
          </cell>
          <cell r="B131" t="str">
            <v>AR368M906</v>
          </cell>
          <cell r="C131">
            <v>48</v>
          </cell>
          <cell r="D131">
            <v>915</v>
          </cell>
          <cell r="E131">
            <v>43920</v>
          </cell>
          <cell r="F131" t="str">
            <v>A6-S01</v>
          </cell>
          <cell r="G131" t="str">
            <v>Bottom panel - Ván đáy</v>
          </cell>
          <cell r="H131" t="str">
            <v>MDF Veneer</v>
          </cell>
          <cell r="I131">
            <v>48</v>
          </cell>
        </row>
        <row r="132">
          <cell r="A132" t="str">
            <v>B557887/A</v>
          </cell>
          <cell r="B132" t="str">
            <v>AR368M906</v>
          </cell>
          <cell r="C132">
            <v>48</v>
          </cell>
          <cell r="D132">
            <v>915</v>
          </cell>
          <cell r="E132">
            <v>43920</v>
          </cell>
          <cell r="F132" t="str">
            <v>A6-S02</v>
          </cell>
          <cell r="G132" t="str">
            <v>Bottom rail inside - Đố tiền đáy</v>
          </cell>
          <cell r="H132" t="str">
            <v>Wood EU Beech - Straight/Waving Edged AB, 1 COM - T38mm x W100mm up x L1.8m up</v>
          </cell>
          <cell r="I132">
            <v>48</v>
          </cell>
        </row>
        <row r="133">
          <cell r="A133" t="str">
            <v>B557887/A</v>
          </cell>
          <cell r="B133" t="str">
            <v>AR368M906</v>
          </cell>
          <cell r="C133">
            <v>48</v>
          </cell>
          <cell r="D133">
            <v>915</v>
          </cell>
          <cell r="E133">
            <v>43920</v>
          </cell>
          <cell r="F133" t="str">
            <v>A6-S03</v>
          </cell>
          <cell r="G133" t="str">
            <v>Back bottom rail - Đố hậu đáy</v>
          </cell>
          <cell r="H133" t="str">
            <v>Wood Rubber Laminate Board - 20 x 1220 x 2440mm, Veneer Poplar both Faces</v>
          </cell>
          <cell r="I133">
            <v>48</v>
          </cell>
        </row>
        <row r="134">
          <cell r="A134" t="str">
            <v>B557887/A</v>
          </cell>
          <cell r="B134" t="str">
            <v>AR368M906</v>
          </cell>
          <cell r="C134">
            <v>48</v>
          </cell>
          <cell r="D134">
            <v>915</v>
          </cell>
          <cell r="E134">
            <v>43920</v>
          </cell>
          <cell r="F134" t="str">
            <v>A6-S04</v>
          </cell>
          <cell r="G134" t="str">
            <v>Side bottom rail - Đố hông dưới</v>
          </cell>
          <cell r="H134" t="str">
            <v>Wood Rubber Laminate Board - 20 x 1220 x 2440mm, Veneer Poplar both Faces</v>
          </cell>
          <cell r="I134">
            <v>96</v>
          </cell>
        </row>
        <row r="135">
          <cell r="A135" t="str">
            <v>B557887/A</v>
          </cell>
          <cell r="B135" t="str">
            <v>AR368M906</v>
          </cell>
          <cell r="C135">
            <v>48</v>
          </cell>
          <cell r="D135">
            <v>915</v>
          </cell>
          <cell r="E135">
            <v>43920</v>
          </cell>
          <cell r="F135" t="str">
            <v>A7</v>
          </cell>
          <cell r="G135" t="str">
            <v>Shelf panel  - Ván kệ</v>
          </cell>
          <cell r="H135" t="str">
            <v>Pre-Assembly</v>
          </cell>
          <cell r="I135">
            <v>144</v>
          </cell>
        </row>
        <row r="136">
          <cell r="A136" t="str">
            <v>B557887/A</v>
          </cell>
          <cell r="B136" t="str">
            <v>AR368M906</v>
          </cell>
          <cell r="C136">
            <v>48</v>
          </cell>
          <cell r="D136">
            <v>915</v>
          </cell>
          <cell r="E136">
            <v>43920</v>
          </cell>
          <cell r="F136" t="str">
            <v>A7-S01</v>
          </cell>
          <cell r="G136" t="str">
            <v>Shelf panel  - Ván kệ</v>
          </cell>
          <cell r="H136" t="str">
            <v>MDF Veneer</v>
          </cell>
          <cell r="I136">
            <v>144</v>
          </cell>
        </row>
        <row r="137">
          <cell r="A137" t="str">
            <v>B557887/A</v>
          </cell>
          <cell r="B137" t="str">
            <v>AR368M906</v>
          </cell>
          <cell r="C137">
            <v>48</v>
          </cell>
          <cell r="D137">
            <v>915</v>
          </cell>
          <cell r="E137">
            <v>43920</v>
          </cell>
          <cell r="F137" t="str">
            <v>A7-S02</v>
          </cell>
          <cell r="G137" t="str">
            <v>Front rail  - Đố tiền</v>
          </cell>
          <cell r="H137" t="str">
            <v>Wood Rubber Laminate Board - 20 x 1220 x 2440mm, Veneer Poplar both Faces</v>
          </cell>
          <cell r="I137">
            <v>144</v>
          </cell>
        </row>
        <row r="138">
          <cell r="A138" t="str">
            <v>B557887/A</v>
          </cell>
          <cell r="B138" t="str">
            <v>AR368M906</v>
          </cell>
          <cell r="C138">
            <v>48</v>
          </cell>
          <cell r="D138">
            <v>915</v>
          </cell>
          <cell r="E138">
            <v>43920</v>
          </cell>
          <cell r="F138" t="str">
            <v>P01</v>
          </cell>
          <cell r="G138" t="str">
            <v>Front rail  - Đố tiền</v>
          </cell>
          <cell r="H138" t="str">
            <v>Wood EU Beech - Straight/Waving Edged AB, 1 COM - T38mm x W100mm up x L1.8m up</v>
          </cell>
          <cell r="I138">
            <v>48</v>
          </cell>
        </row>
        <row r="139">
          <cell r="A139" t="str">
            <v>B557887/A</v>
          </cell>
          <cell r="B139" t="str">
            <v>AR368M906</v>
          </cell>
          <cell r="C139">
            <v>48</v>
          </cell>
          <cell r="D139">
            <v>915</v>
          </cell>
          <cell r="E139">
            <v>43920</v>
          </cell>
          <cell r="F139" t="str">
            <v>P01-1</v>
          </cell>
          <cell r="G139" t="str">
            <v>Front top rail  - Đố tiền nóc</v>
          </cell>
          <cell r="H139" t="str">
            <v>Wood Rubber Laminate Board - 20 x 1220 x 2440mm, Veneer Poplar both Faces</v>
          </cell>
          <cell r="I139">
            <v>48</v>
          </cell>
        </row>
        <row r="140">
          <cell r="A140" t="str">
            <v>B557887/A</v>
          </cell>
          <cell r="B140" t="str">
            <v>AR368M906</v>
          </cell>
          <cell r="C140">
            <v>48</v>
          </cell>
          <cell r="D140">
            <v>915</v>
          </cell>
          <cell r="E140">
            <v>43920</v>
          </cell>
          <cell r="F140" t="str">
            <v>P02</v>
          </cell>
          <cell r="G140" t="str">
            <v>Back top rail - Đố hậu nóc</v>
          </cell>
          <cell r="H140" t="str">
            <v>Wood White Oak - Straight/Waving Edged, 1 COM - T25mm x W100mm Up x L1.8m Up</v>
          </cell>
          <cell r="I140">
            <v>48</v>
          </cell>
        </row>
        <row r="141">
          <cell r="A141" t="str">
            <v>B557887/A</v>
          </cell>
          <cell r="B141" t="str">
            <v>AR368M906</v>
          </cell>
          <cell r="C141">
            <v>48</v>
          </cell>
          <cell r="D141">
            <v>915</v>
          </cell>
          <cell r="E141">
            <v>43920</v>
          </cell>
          <cell r="F141" t="str">
            <v>P03</v>
          </cell>
          <cell r="G141" t="str">
            <v>Back panel - Ván hậu</v>
          </cell>
          <cell r="H141" t="str">
            <v>MDF Veneer</v>
          </cell>
          <cell r="I141">
            <v>48</v>
          </cell>
        </row>
        <row r="142">
          <cell r="A142" t="str">
            <v>B557887/A</v>
          </cell>
          <cell r="B142" t="str">
            <v>AR368M906</v>
          </cell>
          <cell r="C142">
            <v>48</v>
          </cell>
          <cell r="D142">
            <v>915</v>
          </cell>
          <cell r="E142">
            <v>43920</v>
          </cell>
          <cell r="F142" t="str">
            <v>P04</v>
          </cell>
          <cell r="G142" t="str">
            <v>Cleat - Bọ gỗ</v>
          </cell>
          <cell r="H142" t="str">
            <v>Wood White Oak - Straight/Waving Edged, 1 COM - T25mm x W100mm Up x L1.8m Up</v>
          </cell>
          <cell r="I142">
            <v>96</v>
          </cell>
        </row>
        <row r="143">
          <cell r="A143" t="str">
            <v>B557887/A</v>
          </cell>
          <cell r="B143" t="str">
            <v>AR368M906</v>
          </cell>
          <cell r="C143">
            <v>48</v>
          </cell>
          <cell r="D143">
            <v>915</v>
          </cell>
          <cell r="E143">
            <v>43920</v>
          </cell>
          <cell r="F143" t="str">
            <v>P05</v>
          </cell>
          <cell r="G143" t="str">
            <v>Bottom panel - Ván đáy</v>
          </cell>
          <cell r="H143" t="str">
            <v>Cement lamilated</v>
          </cell>
          <cell r="I143">
            <v>48</v>
          </cell>
        </row>
        <row r="144">
          <cell r="A144" t="str">
            <v>B557917/A</v>
          </cell>
          <cell r="B144" t="str">
            <v>AR395M1039-BASE</v>
          </cell>
          <cell r="C144">
            <v>25</v>
          </cell>
          <cell r="D144">
            <v>374</v>
          </cell>
          <cell r="E144">
            <v>9350</v>
          </cell>
          <cell r="F144" t="str">
            <v>A4-S01</v>
          </cell>
          <cell r="G144" t="str">
            <v>Turning Part - Trụ tiện</v>
          </cell>
          <cell r="H144" t="str">
            <v>Wood laminate</v>
          </cell>
          <cell r="I144">
            <v>100</v>
          </cell>
        </row>
        <row r="145">
          <cell r="A145" t="str">
            <v>B557917/A</v>
          </cell>
          <cell r="B145" t="str">
            <v>AR395M1039-BASE</v>
          </cell>
          <cell r="C145">
            <v>25</v>
          </cell>
          <cell r="D145">
            <v>374</v>
          </cell>
          <cell r="E145">
            <v>9350</v>
          </cell>
          <cell r="F145" t="str">
            <v>A4-S01-1</v>
          </cell>
          <cell r="G145" t="str">
            <v>Patching wood - Gỗ đắp</v>
          </cell>
          <cell r="H145" t="str">
            <v>Wood White Oak - Straight/Waving Edged, 1 COM - T32mm x W100mm Up x L1.8m Up</v>
          </cell>
          <cell r="I145">
            <v>200</v>
          </cell>
        </row>
        <row r="146">
          <cell r="A146" t="str">
            <v>B557917/A</v>
          </cell>
          <cell r="B146" t="str">
            <v>AR395M1039-BASE</v>
          </cell>
          <cell r="C146">
            <v>25</v>
          </cell>
          <cell r="D146">
            <v>374</v>
          </cell>
          <cell r="E146">
            <v>9350</v>
          </cell>
          <cell r="F146" t="str">
            <v>A4-S01-2</v>
          </cell>
          <cell r="G146" t="str">
            <v>Patching wood - Gỗ đắp</v>
          </cell>
          <cell r="H146" t="str">
            <v>White Oak 1 COM</v>
          </cell>
          <cell r="I146">
            <v>200</v>
          </cell>
        </row>
        <row r="147">
          <cell r="A147" t="str">
            <v>B557917/A</v>
          </cell>
          <cell r="B147" t="str">
            <v>AR395M1039-BASE</v>
          </cell>
          <cell r="C147">
            <v>25</v>
          </cell>
          <cell r="D147">
            <v>374</v>
          </cell>
          <cell r="E147">
            <v>9350</v>
          </cell>
          <cell r="F147" t="str">
            <v>A4-S01-3</v>
          </cell>
          <cell r="G147" t="str">
            <v>Patching wood - Gỗ đắp</v>
          </cell>
          <cell r="H147" t="str">
            <v>Wood White Oak - Straight/Waving Edged, 1 COM - T32mm x W100mm Up x L1.8m Up</v>
          </cell>
          <cell r="I147">
            <v>200</v>
          </cell>
        </row>
        <row r="148">
          <cell r="A148" t="str">
            <v>B557917/A</v>
          </cell>
          <cell r="B148" t="str">
            <v>AR395M1039-BASE</v>
          </cell>
          <cell r="C148">
            <v>25</v>
          </cell>
          <cell r="D148">
            <v>374</v>
          </cell>
          <cell r="E148">
            <v>9350</v>
          </cell>
          <cell r="F148" t="str">
            <v>A4-S02</v>
          </cell>
          <cell r="G148" t="str">
            <v>Horizontal rail 1 - Đố ngang 1</v>
          </cell>
          <cell r="H148" t="str">
            <v>Wood White Oak - Straight/Waving Edged, 1 COM - T32mm x W100mm Up x L1.8m Up</v>
          </cell>
          <cell r="I148">
            <v>50</v>
          </cell>
        </row>
        <row r="149">
          <cell r="A149" t="str">
            <v>B557917/A</v>
          </cell>
          <cell r="B149" t="str">
            <v>AR395M1039-BASE</v>
          </cell>
          <cell r="C149">
            <v>25</v>
          </cell>
          <cell r="D149">
            <v>374</v>
          </cell>
          <cell r="E149">
            <v>9350</v>
          </cell>
          <cell r="F149" t="str">
            <v>A4-S03</v>
          </cell>
          <cell r="G149" t="str">
            <v>Horizontal rail 1 - Đố ngang 1</v>
          </cell>
          <cell r="H149" t="str">
            <v>Wood laminate</v>
          </cell>
          <cell r="I149">
            <v>50</v>
          </cell>
        </row>
        <row r="150">
          <cell r="A150" t="str">
            <v>B557917/A</v>
          </cell>
          <cell r="B150" t="str">
            <v>AR395M1039-BASE</v>
          </cell>
          <cell r="C150">
            <v>25</v>
          </cell>
          <cell r="D150">
            <v>374</v>
          </cell>
          <cell r="E150">
            <v>9350</v>
          </cell>
          <cell r="F150" t="str">
            <v>A4-S04</v>
          </cell>
          <cell r="G150" t="str">
            <v>The leg  - Chân</v>
          </cell>
          <cell r="H150" t="str">
            <v>Wood laminate</v>
          </cell>
          <cell r="I150">
            <v>100</v>
          </cell>
        </row>
        <row r="151">
          <cell r="A151" t="str">
            <v>B557919/A</v>
          </cell>
          <cell r="B151" t="str">
            <v>AR395M1039-BASE</v>
          </cell>
          <cell r="C151">
            <v>25</v>
          </cell>
          <cell r="D151">
            <v>374</v>
          </cell>
          <cell r="E151">
            <v>9350</v>
          </cell>
          <cell r="F151" t="str">
            <v>A4-S01</v>
          </cell>
          <cell r="G151" t="str">
            <v>Turning Part - Trụ tiện</v>
          </cell>
          <cell r="H151" t="str">
            <v>Wood laminate</v>
          </cell>
          <cell r="I151">
            <v>100</v>
          </cell>
        </row>
        <row r="152">
          <cell r="A152" t="str">
            <v>B557919/A</v>
          </cell>
          <cell r="B152" t="str">
            <v>AR395M1039-BASE</v>
          </cell>
          <cell r="C152">
            <v>25</v>
          </cell>
          <cell r="D152">
            <v>374</v>
          </cell>
          <cell r="E152">
            <v>9350</v>
          </cell>
          <cell r="F152" t="str">
            <v>A4-S01-1</v>
          </cell>
          <cell r="G152" t="str">
            <v>Patching wood - Gỗ đắp</v>
          </cell>
          <cell r="H152" t="str">
            <v>Wood White Oak - Straight/Waving Edged, 1 COM - T32mm x W100mm Up x L1.8m Up</v>
          </cell>
          <cell r="I152">
            <v>200</v>
          </cell>
        </row>
        <row r="153">
          <cell r="A153" t="str">
            <v>B557919/A</v>
          </cell>
          <cell r="B153" t="str">
            <v>AR395M1039-BASE</v>
          </cell>
          <cell r="C153">
            <v>25</v>
          </cell>
          <cell r="D153">
            <v>374</v>
          </cell>
          <cell r="E153">
            <v>9350</v>
          </cell>
          <cell r="F153" t="str">
            <v>A4-S01-2</v>
          </cell>
          <cell r="G153" t="str">
            <v>Patching wood - Gỗ đắp</v>
          </cell>
          <cell r="H153" t="str">
            <v>White Oak 1 COM</v>
          </cell>
          <cell r="I153">
            <v>200</v>
          </cell>
        </row>
        <row r="154">
          <cell r="A154" t="str">
            <v>B557919/A</v>
          </cell>
          <cell r="B154" t="str">
            <v>AR395M1039-BASE</v>
          </cell>
          <cell r="C154">
            <v>25</v>
          </cell>
          <cell r="D154">
            <v>374</v>
          </cell>
          <cell r="E154">
            <v>9350</v>
          </cell>
          <cell r="F154" t="str">
            <v>A4-S01-3</v>
          </cell>
          <cell r="G154" t="str">
            <v>Patching wood - Gỗ đắp</v>
          </cell>
          <cell r="H154" t="str">
            <v>Wood White Oak - Straight/Waving Edged, 1 COM - T32mm x W100mm Up x L1.8m Up</v>
          </cell>
          <cell r="I154">
            <v>200</v>
          </cell>
        </row>
        <row r="155">
          <cell r="A155" t="str">
            <v>B557919/A</v>
          </cell>
          <cell r="B155" t="str">
            <v>AR395M1039-BASE</v>
          </cell>
          <cell r="C155">
            <v>25</v>
          </cell>
          <cell r="D155">
            <v>374</v>
          </cell>
          <cell r="E155">
            <v>9350</v>
          </cell>
          <cell r="F155" t="str">
            <v>A4-S02</v>
          </cell>
          <cell r="G155" t="str">
            <v>Horizontal rail 1 - Đố ngang 1</v>
          </cell>
          <cell r="H155" t="str">
            <v>Wood White Oak - Straight/Waving Edged, 1 COM - T32mm x W100mm Up x L1.8m Up</v>
          </cell>
          <cell r="I155">
            <v>50</v>
          </cell>
        </row>
        <row r="156">
          <cell r="A156" t="str">
            <v>B557919/A</v>
          </cell>
          <cell r="B156" t="str">
            <v>AR395M1039-BASE</v>
          </cell>
          <cell r="C156">
            <v>25</v>
          </cell>
          <cell r="D156">
            <v>374</v>
          </cell>
          <cell r="E156">
            <v>9350</v>
          </cell>
          <cell r="F156" t="str">
            <v>A4-S03</v>
          </cell>
          <cell r="G156" t="str">
            <v>Horizontal rail 1 - Đố ngang 1</v>
          </cell>
          <cell r="H156" t="str">
            <v>Wood laminate</v>
          </cell>
          <cell r="I156">
            <v>50</v>
          </cell>
        </row>
        <row r="157">
          <cell r="A157" t="str">
            <v>B557919/A</v>
          </cell>
          <cell r="B157" t="str">
            <v>AR395M1039-BASE</v>
          </cell>
          <cell r="C157">
            <v>25</v>
          </cell>
          <cell r="D157">
            <v>374</v>
          </cell>
          <cell r="E157">
            <v>9350</v>
          </cell>
          <cell r="F157" t="str">
            <v>A4-S04</v>
          </cell>
          <cell r="G157" t="str">
            <v>The leg  - Chân</v>
          </cell>
          <cell r="H157" t="str">
            <v>Wood laminate</v>
          </cell>
          <cell r="I157">
            <v>100</v>
          </cell>
        </row>
        <row r="158">
          <cell r="A158" t="str">
            <v>B557925/A</v>
          </cell>
          <cell r="B158" t="str">
            <v>AR395M1039-TOP</v>
          </cell>
          <cell r="C158">
            <v>25</v>
          </cell>
          <cell r="D158">
            <v>546</v>
          </cell>
          <cell r="E158">
            <v>13650</v>
          </cell>
          <cell r="F158" t="str">
            <v>A0</v>
          </cell>
          <cell r="G158" t="str">
            <v>VN - Veneer</v>
          </cell>
          <cell r="H158" t="str">
            <v>Veneer laminate</v>
          </cell>
          <cell r="I158">
            <v>25</v>
          </cell>
        </row>
        <row r="159">
          <cell r="A159" t="str">
            <v>B557925/A</v>
          </cell>
          <cell r="B159" t="str">
            <v>AR395M1039-TOP</v>
          </cell>
          <cell r="C159">
            <v>25</v>
          </cell>
          <cell r="D159">
            <v>546</v>
          </cell>
          <cell r="E159">
            <v>13650</v>
          </cell>
          <cell r="F159" t="str">
            <v>A1-S01</v>
          </cell>
          <cell r="G159" t="str">
            <v>Top Frame - Khung nóc</v>
          </cell>
          <cell r="H159" t="str">
            <v>Pre-Assembly</v>
          </cell>
          <cell r="I159">
            <v>50</v>
          </cell>
        </row>
        <row r="160">
          <cell r="A160" t="str">
            <v>B557925/A</v>
          </cell>
          <cell r="B160" t="str">
            <v>AR395M1039-TOP</v>
          </cell>
          <cell r="C160">
            <v>25</v>
          </cell>
          <cell r="D160">
            <v>546</v>
          </cell>
          <cell r="E160">
            <v>13650</v>
          </cell>
          <cell r="F160" t="str">
            <v>A1-S01-1</v>
          </cell>
          <cell r="G160" t="str">
            <v xml:space="preserve">Panel - Ván </v>
          </cell>
          <cell r="H160" t="str">
            <v>MDF laminate</v>
          </cell>
          <cell r="I160">
            <v>50</v>
          </cell>
        </row>
        <row r="161">
          <cell r="A161" t="str">
            <v>B557925/A</v>
          </cell>
          <cell r="B161" t="str">
            <v>AR395M1039-TOP</v>
          </cell>
          <cell r="C161">
            <v>25</v>
          </cell>
          <cell r="D161">
            <v>546</v>
          </cell>
          <cell r="E161">
            <v>13650</v>
          </cell>
          <cell r="F161" t="str">
            <v>A1-S01-2</v>
          </cell>
          <cell r="G161" t="str">
            <v>Front top rail  - Đố tiền nóc</v>
          </cell>
          <cell r="H161" t="str">
            <v>Wood White Oak - Straight/Waving Edged, 1 COM - T32mm x W100mm Up x L1.8m Up</v>
          </cell>
          <cell r="I161">
            <v>100</v>
          </cell>
        </row>
        <row r="162">
          <cell r="A162" t="str">
            <v>B557925/A</v>
          </cell>
          <cell r="B162" t="str">
            <v>AR395M1039-TOP</v>
          </cell>
          <cell r="C162">
            <v>25</v>
          </cell>
          <cell r="D162">
            <v>546</v>
          </cell>
          <cell r="E162">
            <v>13650</v>
          </cell>
          <cell r="F162" t="str">
            <v>A1-S01-3</v>
          </cell>
          <cell r="G162" t="str">
            <v>Side top rail - Đố hông trên</v>
          </cell>
          <cell r="H162" t="str">
            <v>Wood laminate</v>
          </cell>
          <cell r="I162">
            <v>100</v>
          </cell>
        </row>
        <row r="163">
          <cell r="A163" t="str">
            <v>B557925/A</v>
          </cell>
          <cell r="B163" t="str">
            <v>AR395M1039-TOP</v>
          </cell>
          <cell r="C163">
            <v>25</v>
          </cell>
          <cell r="D163">
            <v>546</v>
          </cell>
          <cell r="E163">
            <v>13650</v>
          </cell>
          <cell r="F163" t="str">
            <v>A1-S01-4</v>
          </cell>
          <cell r="G163" t="str">
            <v>Side top rail - Đố hông trên</v>
          </cell>
          <cell r="H163" t="str">
            <v>Wood White Oak - Straight/Waving Edged, 1 COM - T32mm x W100mm Up x L1.8m Up</v>
          </cell>
          <cell r="I163">
            <v>50</v>
          </cell>
        </row>
        <row r="164">
          <cell r="A164" t="str">
            <v>B557925/A</v>
          </cell>
          <cell r="B164" t="str">
            <v>AR395M1039-TOP</v>
          </cell>
          <cell r="C164">
            <v>25</v>
          </cell>
          <cell r="D164">
            <v>546</v>
          </cell>
          <cell r="E164">
            <v>13650</v>
          </cell>
          <cell r="F164" t="str">
            <v>A1-S01-5</v>
          </cell>
          <cell r="G164" t="str">
            <v>Side top rail - Đố hông trên</v>
          </cell>
          <cell r="H164" t="str">
            <v>Wood White Oak - Straight/Waving Edged, 1 COM - T32mm x W100mm Up x L1.8m Up</v>
          </cell>
          <cell r="I164">
            <v>150</v>
          </cell>
        </row>
        <row r="165">
          <cell r="A165" t="str">
            <v>B557925/A</v>
          </cell>
          <cell r="B165" t="str">
            <v>AR395M1039-TOP</v>
          </cell>
          <cell r="C165">
            <v>25</v>
          </cell>
          <cell r="D165">
            <v>546</v>
          </cell>
          <cell r="E165">
            <v>13650</v>
          </cell>
          <cell r="F165" t="str">
            <v>A1-S02</v>
          </cell>
          <cell r="G165" t="str">
            <v>Front Top rail 1 - Đố nóc trước 1</v>
          </cell>
          <cell r="H165" t="str">
            <v>Wood laminate</v>
          </cell>
          <cell r="I165">
            <v>100</v>
          </cell>
        </row>
        <row r="166">
          <cell r="A166" t="str">
            <v>B557925/A</v>
          </cell>
          <cell r="B166" t="str">
            <v>AR395M1039-TOP</v>
          </cell>
          <cell r="C166">
            <v>25</v>
          </cell>
          <cell r="D166">
            <v>546</v>
          </cell>
          <cell r="E166">
            <v>13650</v>
          </cell>
          <cell r="F166" t="str">
            <v>A1-S03</v>
          </cell>
          <cell r="G166" t="str">
            <v>Front Top rail 1 - Đố nóc trước 1</v>
          </cell>
          <cell r="H166" t="str">
            <v>Wood laminate</v>
          </cell>
          <cell r="I166">
            <v>50</v>
          </cell>
        </row>
        <row r="167">
          <cell r="A167" t="str">
            <v>B557925/A</v>
          </cell>
          <cell r="B167" t="str">
            <v>AR395M1039-TOP</v>
          </cell>
          <cell r="C167">
            <v>25</v>
          </cell>
          <cell r="D167">
            <v>546</v>
          </cell>
          <cell r="E167">
            <v>13650</v>
          </cell>
          <cell r="F167" t="str">
            <v>A1-S04</v>
          </cell>
          <cell r="G167" t="str">
            <v>Cleat - Bọ gỗ</v>
          </cell>
          <cell r="H167" t="str">
            <v>Wood EU Beech - Straight/Waving Edged AB, 1 COM - T26mm x W100mm up x L1.8m up</v>
          </cell>
          <cell r="I167">
            <v>50</v>
          </cell>
        </row>
        <row r="168">
          <cell r="A168" t="str">
            <v>B557925/A</v>
          </cell>
          <cell r="B168" t="str">
            <v>AR395M1039-TOP</v>
          </cell>
          <cell r="C168">
            <v>25</v>
          </cell>
          <cell r="D168">
            <v>546</v>
          </cell>
          <cell r="E168">
            <v>13650</v>
          </cell>
          <cell r="F168" t="str">
            <v>A2-S01</v>
          </cell>
          <cell r="G168" t="str">
            <v>Top Frame - Khung nóc</v>
          </cell>
          <cell r="H168" t="str">
            <v>Pre-Assembly</v>
          </cell>
          <cell r="I168">
            <v>50</v>
          </cell>
        </row>
        <row r="169">
          <cell r="A169" t="str">
            <v>B557925/A</v>
          </cell>
          <cell r="B169" t="str">
            <v>AR395M1039-TOP</v>
          </cell>
          <cell r="C169">
            <v>25</v>
          </cell>
          <cell r="D169">
            <v>546</v>
          </cell>
          <cell r="E169">
            <v>13650</v>
          </cell>
          <cell r="F169" t="str">
            <v>A2-S01-1</v>
          </cell>
          <cell r="G169" t="str">
            <v xml:space="preserve">Panel - Ván </v>
          </cell>
          <cell r="H169" t="str">
            <v>MDF laminate</v>
          </cell>
          <cell r="I169">
            <v>50</v>
          </cell>
        </row>
        <row r="170">
          <cell r="A170" t="str">
            <v>B557925/A</v>
          </cell>
          <cell r="B170" t="str">
            <v>AR395M1039-TOP</v>
          </cell>
          <cell r="C170">
            <v>25</v>
          </cell>
          <cell r="D170">
            <v>546</v>
          </cell>
          <cell r="E170">
            <v>13650</v>
          </cell>
          <cell r="F170" t="str">
            <v>A2-S01-2</v>
          </cell>
          <cell r="G170" t="str">
            <v>Front top rail  - Đố tiền nóc</v>
          </cell>
          <cell r="H170" t="str">
            <v>Wood White Oak - Straight/Waving Edged, 1 COM - T32mm x W100mm Up x L1.8m Up</v>
          </cell>
          <cell r="I170">
            <v>100</v>
          </cell>
        </row>
        <row r="171">
          <cell r="A171" t="str">
            <v>B557925/A</v>
          </cell>
          <cell r="B171" t="str">
            <v>AR395M1039-TOP</v>
          </cell>
          <cell r="C171">
            <v>25</v>
          </cell>
          <cell r="D171">
            <v>546</v>
          </cell>
          <cell r="E171">
            <v>13650</v>
          </cell>
          <cell r="F171" t="str">
            <v>A2-S02</v>
          </cell>
          <cell r="G171" t="str">
            <v>Top rail - Đố nóc</v>
          </cell>
          <cell r="H171" t="str">
            <v>Wood White Oak - Straight/Waving Edged, 1 COM - T25mm x W100mm Up x L1.8m Up</v>
          </cell>
          <cell r="I171">
            <v>100</v>
          </cell>
        </row>
        <row r="172">
          <cell r="A172" t="str">
            <v>B557925/A</v>
          </cell>
          <cell r="B172" t="str">
            <v>AR395M1039-TOP</v>
          </cell>
          <cell r="C172">
            <v>25</v>
          </cell>
          <cell r="D172">
            <v>546</v>
          </cell>
          <cell r="E172">
            <v>13650</v>
          </cell>
          <cell r="F172" t="str">
            <v>A2-S03</v>
          </cell>
          <cell r="G172" t="str">
            <v>Patching wood - Gỗ đắp</v>
          </cell>
          <cell r="H172" t="str">
            <v>Wood US Poplar - Straight Edged, 1 COM - T38mm x W100mm Up x L1.8m Up</v>
          </cell>
          <cell r="I172">
            <v>100</v>
          </cell>
        </row>
        <row r="173">
          <cell r="A173" t="str">
            <v>B557925/A</v>
          </cell>
          <cell r="B173" t="str">
            <v>AR395M1039-TOP</v>
          </cell>
          <cell r="C173">
            <v>25</v>
          </cell>
          <cell r="D173">
            <v>546</v>
          </cell>
          <cell r="E173">
            <v>13650</v>
          </cell>
          <cell r="F173" t="str">
            <v>A3-S01</v>
          </cell>
          <cell r="G173" t="str">
            <v>Front rail  - Đố tiền</v>
          </cell>
          <cell r="H173" t="str">
            <v>Wood White Oak - Straight/Waving Edged, 1 COM - T32mm x W100mm Up x L1.8m Up</v>
          </cell>
          <cell r="I173">
            <v>50</v>
          </cell>
        </row>
        <row r="174">
          <cell r="A174" t="str">
            <v>B557925/A</v>
          </cell>
          <cell r="B174" t="str">
            <v>AR395M1039-TOP</v>
          </cell>
          <cell r="C174">
            <v>25</v>
          </cell>
          <cell r="D174">
            <v>546</v>
          </cell>
          <cell r="E174">
            <v>13650</v>
          </cell>
          <cell r="F174" t="str">
            <v>A3-S02</v>
          </cell>
          <cell r="G174" t="str">
            <v>Front rail  - Đố tiền</v>
          </cell>
          <cell r="H174" t="str">
            <v>Wood EU Beech - Straight/Waving Edged AB, 1 COM - T32mm x W100mm up x L1.8m up</v>
          </cell>
          <cell r="I174">
            <v>50</v>
          </cell>
        </row>
        <row r="175">
          <cell r="A175" t="str">
            <v>B557925/A</v>
          </cell>
          <cell r="B175" t="str">
            <v>AR395M1039-TOP</v>
          </cell>
          <cell r="C175">
            <v>25</v>
          </cell>
          <cell r="D175">
            <v>546</v>
          </cell>
          <cell r="E175">
            <v>13650</v>
          </cell>
          <cell r="F175" t="str">
            <v>A3-S03</v>
          </cell>
          <cell r="G175" t="str">
            <v>Center rail - Đố giữa</v>
          </cell>
          <cell r="H175" t="str">
            <v>Wood EU Beech - Straight/Waving Edged AB, 1 COM - T26mm x W100mm up x L1.8m up</v>
          </cell>
          <cell r="I175">
            <v>50</v>
          </cell>
        </row>
        <row r="176">
          <cell r="A176" t="str">
            <v>B557925/A</v>
          </cell>
          <cell r="B176" t="str">
            <v>AR395M1039-TOP</v>
          </cell>
          <cell r="C176">
            <v>25</v>
          </cell>
          <cell r="D176">
            <v>546</v>
          </cell>
          <cell r="E176">
            <v>13650</v>
          </cell>
          <cell r="F176" t="str">
            <v>A3-S04</v>
          </cell>
          <cell r="G176" t="str">
            <v>Center rail - Đố giữa</v>
          </cell>
          <cell r="H176" t="str">
            <v>Wood EU Beech - Straight/Waving Edged AB, 1 COM - T26mm x W100mm up x L1.8m up</v>
          </cell>
          <cell r="I176">
            <v>100</v>
          </cell>
        </row>
        <row r="177">
          <cell r="A177" t="str">
            <v>B557925/A</v>
          </cell>
          <cell r="B177" t="str">
            <v>AR395M1039-TOP</v>
          </cell>
          <cell r="C177">
            <v>25</v>
          </cell>
          <cell r="D177">
            <v>546</v>
          </cell>
          <cell r="E177">
            <v>13650</v>
          </cell>
          <cell r="F177" t="str">
            <v>A3-S05</v>
          </cell>
          <cell r="G177" t="str">
            <v>Cleat - Bọ gỗ</v>
          </cell>
          <cell r="H177" t="str">
            <v>Beech off cut</v>
          </cell>
          <cell r="I177">
            <v>100</v>
          </cell>
        </row>
        <row r="178">
          <cell r="A178" t="str">
            <v>B557925/A</v>
          </cell>
          <cell r="B178" t="str">
            <v>AR395M1039-TOP</v>
          </cell>
          <cell r="C178">
            <v>25</v>
          </cell>
          <cell r="D178">
            <v>546</v>
          </cell>
          <cell r="E178">
            <v>13650</v>
          </cell>
          <cell r="F178" t="str">
            <v>P01</v>
          </cell>
          <cell r="G178" t="str">
            <v>Horizontal rail 1 - Đố ngang 1</v>
          </cell>
          <cell r="H178" t="str">
            <v>Wood laminate</v>
          </cell>
          <cell r="I178">
            <v>25</v>
          </cell>
        </row>
        <row r="179">
          <cell r="A179" t="str">
            <v>B557927/A</v>
          </cell>
          <cell r="B179" t="str">
            <v>AR395M1039-TOP</v>
          </cell>
          <cell r="C179">
            <v>25</v>
          </cell>
          <cell r="D179">
            <v>546</v>
          </cell>
          <cell r="E179">
            <v>13650</v>
          </cell>
          <cell r="F179" t="str">
            <v>A0</v>
          </cell>
          <cell r="G179" t="str">
            <v>VN - Veneer</v>
          </cell>
          <cell r="H179" t="str">
            <v>Veneer laminate</v>
          </cell>
          <cell r="I179">
            <v>25</v>
          </cell>
        </row>
        <row r="180">
          <cell r="A180" t="str">
            <v>B557927/A</v>
          </cell>
          <cell r="B180" t="str">
            <v>AR395M1039-TOP</v>
          </cell>
          <cell r="C180">
            <v>25</v>
          </cell>
          <cell r="D180">
            <v>546</v>
          </cell>
          <cell r="E180">
            <v>13650</v>
          </cell>
          <cell r="F180" t="str">
            <v>A1-S01</v>
          </cell>
          <cell r="G180" t="str">
            <v>Top Frame - Khung nóc</v>
          </cell>
          <cell r="H180" t="str">
            <v>Pre-Assembly</v>
          </cell>
          <cell r="I180">
            <v>50</v>
          </cell>
        </row>
        <row r="181">
          <cell r="A181" t="str">
            <v>B557927/A</v>
          </cell>
          <cell r="B181" t="str">
            <v>AR395M1039-TOP</v>
          </cell>
          <cell r="C181">
            <v>25</v>
          </cell>
          <cell r="D181">
            <v>546</v>
          </cell>
          <cell r="E181">
            <v>13650</v>
          </cell>
          <cell r="F181" t="str">
            <v>A1-S01-1</v>
          </cell>
          <cell r="G181" t="str">
            <v xml:space="preserve">Panel - Ván </v>
          </cell>
          <cell r="H181" t="str">
            <v>MDF laminate</v>
          </cell>
          <cell r="I181">
            <v>50</v>
          </cell>
        </row>
        <row r="182">
          <cell r="A182" t="str">
            <v>B557927/A</v>
          </cell>
          <cell r="B182" t="str">
            <v>AR395M1039-TOP</v>
          </cell>
          <cell r="C182">
            <v>25</v>
          </cell>
          <cell r="D182">
            <v>546</v>
          </cell>
          <cell r="E182">
            <v>13650</v>
          </cell>
          <cell r="F182" t="str">
            <v>A1-S01-2</v>
          </cell>
          <cell r="G182" t="str">
            <v>Front top rail  - Đố tiền nóc</v>
          </cell>
          <cell r="H182" t="str">
            <v>Wood White Oak - Straight/Waving Edged, 1 COM - T32mm x W100mm Up x L1.8m Up</v>
          </cell>
          <cell r="I182">
            <v>100</v>
          </cell>
        </row>
        <row r="183">
          <cell r="A183" t="str">
            <v>B557927/A</v>
          </cell>
          <cell r="B183" t="str">
            <v>AR395M1039-TOP</v>
          </cell>
          <cell r="C183">
            <v>25</v>
          </cell>
          <cell r="D183">
            <v>546</v>
          </cell>
          <cell r="E183">
            <v>13650</v>
          </cell>
          <cell r="F183" t="str">
            <v>A1-S01-3</v>
          </cell>
          <cell r="G183" t="str">
            <v>Side top rail - Đố hông trên</v>
          </cell>
          <cell r="H183" t="str">
            <v>Wood laminate</v>
          </cell>
          <cell r="I183">
            <v>100</v>
          </cell>
        </row>
        <row r="184">
          <cell r="A184" t="str">
            <v>B557927/A</v>
          </cell>
          <cell r="B184" t="str">
            <v>AR395M1039-TOP</v>
          </cell>
          <cell r="C184">
            <v>25</v>
          </cell>
          <cell r="D184">
            <v>546</v>
          </cell>
          <cell r="E184">
            <v>13650</v>
          </cell>
          <cell r="F184" t="str">
            <v>A1-S01-4</v>
          </cell>
          <cell r="G184" t="str">
            <v>Side top rail - Đố hông trên</v>
          </cell>
          <cell r="H184" t="str">
            <v>Wood White Oak - Straight/Waving Edged, 1 COM - T32mm x W100mm Up x L1.8m Up</v>
          </cell>
          <cell r="I184">
            <v>50</v>
          </cell>
        </row>
        <row r="185">
          <cell r="A185" t="str">
            <v>B557927/A</v>
          </cell>
          <cell r="B185" t="str">
            <v>AR395M1039-TOP</v>
          </cell>
          <cell r="C185">
            <v>25</v>
          </cell>
          <cell r="D185">
            <v>546</v>
          </cell>
          <cell r="E185">
            <v>13650</v>
          </cell>
          <cell r="F185" t="str">
            <v>A1-S01-5</v>
          </cell>
          <cell r="G185" t="str">
            <v>Side top rail - Đố hông trên</v>
          </cell>
          <cell r="H185" t="str">
            <v>Wood White Oak - Straight/Waving Edged, 1 COM - T32mm x W100mm Up x L1.8m Up</v>
          </cell>
          <cell r="I185">
            <v>150</v>
          </cell>
        </row>
        <row r="186">
          <cell r="A186" t="str">
            <v>B557927/A</v>
          </cell>
          <cell r="B186" t="str">
            <v>AR395M1039-TOP</v>
          </cell>
          <cell r="C186">
            <v>25</v>
          </cell>
          <cell r="D186">
            <v>546</v>
          </cell>
          <cell r="E186">
            <v>13650</v>
          </cell>
          <cell r="F186" t="str">
            <v>A1-S02</v>
          </cell>
          <cell r="G186" t="str">
            <v>Front Top rail 1 - Đố nóc trước 1</v>
          </cell>
          <cell r="H186" t="str">
            <v>Wood laminate</v>
          </cell>
          <cell r="I186">
            <v>100</v>
          </cell>
        </row>
        <row r="187">
          <cell r="A187" t="str">
            <v>B557927/A</v>
          </cell>
          <cell r="B187" t="str">
            <v>AR395M1039-TOP</v>
          </cell>
          <cell r="C187">
            <v>25</v>
          </cell>
          <cell r="D187">
            <v>546</v>
          </cell>
          <cell r="E187">
            <v>13650</v>
          </cell>
          <cell r="F187" t="str">
            <v>A1-S03</v>
          </cell>
          <cell r="G187" t="str">
            <v>Front Top rail 1 - Đố nóc trước 1</v>
          </cell>
          <cell r="H187" t="str">
            <v>Wood laminate</v>
          </cell>
          <cell r="I187">
            <v>50</v>
          </cell>
        </row>
        <row r="188">
          <cell r="A188" t="str">
            <v>B557927/A</v>
          </cell>
          <cell r="B188" t="str">
            <v>AR395M1039-TOP</v>
          </cell>
          <cell r="C188">
            <v>25</v>
          </cell>
          <cell r="D188">
            <v>546</v>
          </cell>
          <cell r="E188">
            <v>13650</v>
          </cell>
          <cell r="F188" t="str">
            <v>A1-S04</v>
          </cell>
          <cell r="G188" t="str">
            <v>Cleat - Bọ gỗ</v>
          </cell>
          <cell r="H188" t="str">
            <v>Wood EU Beech - Straight/Waving Edged AB, 1 COM - T26mm x W100mm up x L1.8m up</v>
          </cell>
          <cell r="I188">
            <v>50</v>
          </cell>
        </row>
        <row r="189">
          <cell r="A189" t="str">
            <v>B557927/A</v>
          </cell>
          <cell r="B189" t="str">
            <v>AR395M1039-TOP</v>
          </cell>
          <cell r="C189">
            <v>25</v>
          </cell>
          <cell r="D189">
            <v>546</v>
          </cell>
          <cell r="E189">
            <v>13650</v>
          </cell>
          <cell r="F189" t="str">
            <v>A2-S01</v>
          </cell>
          <cell r="G189" t="str">
            <v>Top Frame - Khung nóc</v>
          </cell>
          <cell r="H189" t="str">
            <v>Pre-Assembly</v>
          </cell>
          <cell r="I189">
            <v>50</v>
          </cell>
        </row>
        <row r="190">
          <cell r="A190" t="str">
            <v>B557927/A</v>
          </cell>
          <cell r="B190" t="str">
            <v>AR395M1039-TOP</v>
          </cell>
          <cell r="C190">
            <v>25</v>
          </cell>
          <cell r="D190">
            <v>546</v>
          </cell>
          <cell r="E190">
            <v>13650</v>
          </cell>
          <cell r="F190" t="str">
            <v>A2-S01-1</v>
          </cell>
          <cell r="G190" t="str">
            <v xml:space="preserve">Panel - Ván </v>
          </cell>
          <cell r="H190" t="str">
            <v>MDF laminate</v>
          </cell>
          <cell r="I190">
            <v>50</v>
          </cell>
        </row>
        <row r="191">
          <cell r="A191" t="str">
            <v>B557927/A</v>
          </cell>
          <cell r="B191" t="str">
            <v>AR395M1039-TOP</v>
          </cell>
          <cell r="C191">
            <v>25</v>
          </cell>
          <cell r="D191">
            <v>546</v>
          </cell>
          <cell r="E191">
            <v>13650</v>
          </cell>
          <cell r="F191" t="str">
            <v>A2-S01-2</v>
          </cell>
          <cell r="G191" t="str">
            <v>Front top rail  - Đố tiền nóc</v>
          </cell>
          <cell r="H191" t="str">
            <v>Wood White Oak - Straight/Waving Edged, 1 COM - T32mm x W100mm Up x L1.8m Up</v>
          </cell>
          <cell r="I191">
            <v>100</v>
          </cell>
        </row>
        <row r="192">
          <cell r="A192" t="str">
            <v>B557927/A</v>
          </cell>
          <cell r="B192" t="str">
            <v>AR395M1039-TOP</v>
          </cell>
          <cell r="C192">
            <v>25</v>
          </cell>
          <cell r="D192">
            <v>546</v>
          </cell>
          <cell r="E192">
            <v>13650</v>
          </cell>
          <cell r="F192" t="str">
            <v>A2-S02</v>
          </cell>
          <cell r="G192" t="str">
            <v>Top rail - Đố nóc</v>
          </cell>
          <cell r="H192" t="str">
            <v>Wood White Oak - Straight/Waving Edged, 1 COM - T25mm x W100mm Up x L1.8m Up</v>
          </cell>
          <cell r="I192">
            <v>100</v>
          </cell>
        </row>
        <row r="193">
          <cell r="A193" t="str">
            <v>B557927/A</v>
          </cell>
          <cell r="B193" t="str">
            <v>AR395M1039-TOP</v>
          </cell>
          <cell r="C193">
            <v>25</v>
          </cell>
          <cell r="D193">
            <v>546</v>
          </cell>
          <cell r="E193">
            <v>13650</v>
          </cell>
          <cell r="F193" t="str">
            <v>A2-S03</v>
          </cell>
          <cell r="G193" t="str">
            <v>Patching wood - Gỗ đắp</v>
          </cell>
          <cell r="H193" t="str">
            <v>Wood US Poplar - Straight Edged, 1 COM - T38mm x W100mm Up x L1.8m Up</v>
          </cell>
          <cell r="I193">
            <v>100</v>
          </cell>
        </row>
        <row r="194">
          <cell r="A194" t="str">
            <v>B557927/A</v>
          </cell>
          <cell r="B194" t="str">
            <v>AR395M1039-TOP</v>
          </cell>
          <cell r="C194">
            <v>25</v>
          </cell>
          <cell r="D194">
            <v>546</v>
          </cell>
          <cell r="E194">
            <v>13650</v>
          </cell>
          <cell r="F194" t="str">
            <v>A3-S01</v>
          </cell>
          <cell r="G194" t="str">
            <v>Front rail  - Đố tiền</v>
          </cell>
          <cell r="H194" t="str">
            <v>Wood White Oak - Straight/Waving Edged, 1 COM - T32mm x W100mm Up x L1.8m Up</v>
          </cell>
          <cell r="I194">
            <v>50</v>
          </cell>
        </row>
        <row r="195">
          <cell r="A195" t="str">
            <v>B557927/A</v>
          </cell>
          <cell r="B195" t="str">
            <v>AR395M1039-TOP</v>
          </cell>
          <cell r="C195">
            <v>25</v>
          </cell>
          <cell r="D195">
            <v>546</v>
          </cell>
          <cell r="E195">
            <v>13650</v>
          </cell>
          <cell r="F195" t="str">
            <v>A3-S02</v>
          </cell>
          <cell r="G195" t="str">
            <v>Front rail  - Đố tiền</v>
          </cell>
          <cell r="H195" t="str">
            <v>Wood EU Beech - Straight/Waving Edged AB, 1 COM - T32mm x W100mm up x L1.8m up</v>
          </cell>
          <cell r="I195">
            <v>50</v>
          </cell>
        </row>
        <row r="196">
          <cell r="A196" t="str">
            <v>B557927/A</v>
          </cell>
          <cell r="B196" t="str">
            <v>AR395M1039-TOP</v>
          </cell>
          <cell r="C196">
            <v>25</v>
          </cell>
          <cell r="D196">
            <v>546</v>
          </cell>
          <cell r="E196">
            <v>13650</v>
          </cell>
          <cell r="F196" t="str">
            <v>A3-S03</v>
          </cell>
          <cell r="G196" t="str">
            <v>Center rail - Đố giữa</v>
          </cell>
          <cell r="H196" t="str">
            <v>Wood EU Beech - Straight/Waving Edged AB, 1 COM - T26mm x W100mm up x L1.8m up</v>
          </cell>
          <cell r="I196">
            <v>50</v>
          </cell>
        </row>
        <row r="197">
          <cell r="A197" t="str">
            <v>B557927/A</v>
          </cell>
          <cell r="B197" t="str">
            <v>AR395M1039-TOP</v>
          </cell>
          <cell r="C197">
            <v>25</v>
          </cell>
          <cell r="D197">
            <v>546</v>
          </cell>
          <cell r="E197">
            <v>13650</v>
          </cell>
          <cell r="F197" t="str">
            <v>A3-S04</v>
          </cell>
          <cell r="G197" t="str">
            <v>Center rail - Đố giữa</v>
          </cell>
          <cell r="H197" t="str">
            <v>Wood EU Beech - Straight/Waving Edged AB, 1 COM - T26mm x W100mm up x L1.8m up</v>
          </cell>
          <cell r="I197">
            <v>100</v>
          </cell>
        </row>
        <row r="198">
          <cell r="A198" t="str">
            <v>B557927/A</v>
          </cell>
          <cell r="B198" t="str">
            <v>AR395M1039-TOP</v>
          </cell>
          <cell r="C198">
            <v>25</v>
          </cell>
          <cell r="D198">
            <v>546</v>
          </cell>
          <cell r="E198">
            <v>13650</v>
          </cell>
          <cell r="F198" t="str">
            <v>A3-S05</v>
          </cell>
          <cell r="G198" t="str">
            <v>Cleat - Bọ gỗ</v>
          </cell>
          <cell r="H198" t="str">
            <v>Beech off cut</v>
          </cell>
          <cell r="I198">
            <v>100</v>
          </cell>
        </row>
        <row r="199">
          <cell r="A199" t="str">
            <v>B557927/A</v>
          </cell>
          <cell r="B199" t="str">
            <v>AR395M1039-TOP</v>
          </cell>
          <cell r="C199">
            <v>25</v>
          </cell>
          <cell r="D199">
            <v>546</v>
          </cell>
          <cell r="E199">
            <v>13650</v>
          </cell>
          <cell r="F199" t="str">
            <v>P01</v>
          </cell>
          <cell r="G199" t="str">
            <v>Horizontal rail 1 - Đố ngang 1</v>
          </cell>
          <cell r="H199" t="str">
            <v>Wood laminate</v>
          </cell>
          <cell r="I199">
            <v>25</v>
          </cell>
        </row>
        <row r="200">
          <cell r="A200" t="str">
            <v>B557931/A</v>
          </cell>
          <cell r="B200" t="str">
            <v>AR721M892-BASE</v>
          </cell>
          <cell r="C200">
            <v>55</v>
          </cell>
          <cell r="D200">
            <v>135</v>
          </cell>
          <cell r="E200">
            <v>7425</v>
          </cell>
          <cell r="F200" t="str">
            <v>A2-S01</v>
          </cell>
          <cell r="G200" t="str">
            <v xml:space="preserve">Side panel  - Ván hông </v>
          </cell>
          <cell r="H200" t="str">
            <v>Pre-Assembly</v>
          </cell>
          <cell r="I200">
            <v>330</v>
          </cell>
        </row>
        <row r="201">
          <cell r="A201" t="str">
            <v>B557931/A</v>
          </cell>
          <cell r="B201" t="str">
            <v>AR721M892-BASE</v>
          </cell>
          <cell r="C201">
            <v>55</v>
          </cell>
          <cell r="D201">
            <v>135</v>
          </cell>
          <cell r="E201">
            <v>7425</v>
          </cell>
          <cell r="F201" t="str">
            <v>A2-S01-1</v>
          </cell>
          <cell r="G201" t="str">
            <v xml:space="preserve">Side panel  - Ván hông </v>
          </cell>
          <cell r="H201" t="str">
            <v>Pre-Assembly</v>
          </cell>
          <cell r="I201">
            <v>330</v>
          </cell>
        </row>
        <row r="202">
          <cell r="A202" t="str">
            <v>B557931/A</v>
          </cell>
          <cell r="B202" t="str">
            <v>AR721M892-BASE</v>
          </cell>
          <cell r="C202">
            <v>55</v>
          </cell>
          <cell r="D202">
            <v>135</v>
          </cell>
          <cell r="E202">
            <v>7425</v>
          </cell>
          <cell r="F202" t="str">
            <v>A2-S02</v>
          </cell>
          <cell r="G202" t="str">
            <v>support Top - đỡ nóc</v>
          </cell>
          <cell r="H202" t="str">
            <v>Plywood Moisture-Resistant - 18 x 1220 x 2440mm [CARB P2 Compliant]</v>
          </cell>
          <cell r="I202">
            <v>55</v>
          </cell>
        </row>
        <row r="203">
          <cell r="A203" t="str">
            <v>B557931/A</v>
          </cell>
          <cell r="B203" t="str">
            <v>AR721M892-BASE</v>
          </cell>
          <cell r="C203">
            <v>55</v>
          </cell>
          <cell r="D203">
            <v>135</v>
          </cell>
          <cell r="E203">
            <v>7425</v>
          </cell>
          <cell r="F203" t="str">
            <v>A2-S03-1</v>
          </cell>
          <cell r="G203" t="str">
            <v>Bottom panel - Ván đáy</v>
          </cell>
          <cell r="H203" t="str">
            <v>MDF - 18 x 1220 x 2440mm, Veneer Okoume 0.3mm Both Faces [CARB P2 Compliant]</v>
          </cell>
          <cell r="I203">
            <v>55</v>
          </cell>
        </row>
        <row r="204">
          <cell r="A204" t="str">
            <v>B557931/A</v>
          </cell>
          <cell r="B204" t="str">
            <v>AR721M892-BASE</v>
          </cell>
          <cell r="C204">
            <v>55</v>
          </cell>
          <cell r="D204">
            <v>135</v>
          </cell>
          <cell r="E204">
            <v>7425</v>
          </cell>
          <cell r="F204" t="str">
            <v>A2-S03-3</v>
          </cell>
          <cell r="G204" t="str">
            <v>Patching wood - Gỗ đắp</v>
          </cell>
          <cell r="H204" t="str">
            <v>Beech off cut</v>
          </cell>
          <cell r="I204">
            <v>330</v>
          </cell>
        </row>
        <row r="205">
          <cell r="A205" t="str">
            <v>B557931/A</v>
          </cell>
          <cell r="B205" t="str">
            <v>AR721M892-BASE</v>
          </cell>
          <cell r="C205">
            <v>55</v>
          </cell>
          <cell r="D205">
            <v>135</v>
          </cell>
          <cell r="E205">
            <v>7425</v>
          </cell>
          <cell r="F205" t="str">
            <v>A2-S04</v>
          </cell>
          <cell r="G205" t="str">
            <v>Patching wood - Gỗ đắp</v>
          </cell>
          <cell r="H205" t="str">
            <v>Plywood LVD - 25 x 1220 x 2440mm, Bleached Poplar Veneer Both Sides [CARB P2 Compliant]</v>
          </cell>
          <cell r="I205">
            <v>330</v>
          </cell>
        </row>
        <row r="206">
          <cell r="A206" t="str">
            <v>B557931/A</v>
          </cell>
          <cell r="B206" t="str">
            <v>AR721M892-BASE</v>
          </cell>
          <cell r="C206">
            <v>55</v>
          </cell>
          <cell r="D206">
            <v>135</v>
          </cell>
          <cell r="E206">
            <v>7425</v>
          </cell>
          <cell r="F206" t="str">
            <v>A2-S06</v>
          </cell>
          <cell r="G206" t="str">
            <v>Spline - Lưỡi gà</v>
          </cell>
          <cell r="H206" t="str">
            <v>Plywood Moisture-Resistant - 06 x 1220 x 2440mm [CARB P2 Compliant]</v>
          </cell>
          <cell r="I206">
            <v>330</v>
          </cell>
        </row>
        <row r="207">
          <cell r="A207" t="str">
            <v>B557935/A</v>
          </cell>
          <cell r="B207" t="str">
            <v>AR721M892-TOP</v>
          </cell>
          <cell r="C207">
            <v>55</v>
          </cell>
          <cell r="D207">
            <v>165</v>
          </cell>
          <cell r="E207">
            <v>9075</v>
          </cell>
          <cell r="F207" t="str">
            <v>A1</v>
          </cell>
          <cell r="G207" t="str">
            <v>Top Frame - Khung nóc</v>
          </cell>
          <cell r="H207" t="str">
            <v>Pre-Assembly</v>
          </cell>
          <cell r="I207">
            <v>55</v>
          </cell>
        </row>
        <row r="208">
          <cell r="A208" t="str">
            <v>B557935/A</v>
          </cell>
          <cell r="B208" t="str">
            <v>AR721M892-TOP</v>
          </cell>
          <cell r="C208">
            <v>55</v>
          </cell>
          <cell r="D208">
            <v>165</v>
          </cell>
          <cell r="E208">
            <v>9075</v>
          </cell>
          <cell r="F208" t="str">
            <v>A1-S01</v>
          </cell>
          <cell r="G208" t="str">
            <v xml:space="preserve">Top panel  - Ván nóc </v>
          </cell>
          <cell r="H208" t="str">
            <v>MDF Moisture-Resistant - 25 x 1220 x 2440mm [CARB P2 Compliant]</v>
          </cell>
          <cell r="I208">
            <v>55</v>
          </cell>
        </row>
        <row r="209">
          <cell r="A209" t="str">
            <v>B557935/A</v>
          </cell>
          <cell r="B209" t="str">
            <v>AR721M892-TOP</v>
          </cell>
          <cell r="C209">
            <v>55</v>
          </cell>
          <cell r="D209">
            <v>165</v>
          </cell>
          <cell r="E209">
            <v>9075</v>
          </cell>
          <cell r="F209" t="str">
            <v>A1-S01-1</v>
          </cell>
          <cell r="G209" t="str">
            <v>Insert Wood - Gỗ chèn</v>
          </cell>
          <cell r="H209" t="str">
            <v>Beech off cut</v>
          </cell>
          <cell r="I209">
            <v>220</v>
          </cell>
        </row>
        <row r="210">
          <cell r="A210" t="str">
            <v>B557935/A</v>
          </cell>
          <cell r="B210" t="str">
            <v>AR721M892-TOP</v>
          </cell>
          <cell r="C210">
            <v>55</v>
          </cell>
          <cell r="D210">
            <v>165</v>
          </cell>
          <cell r="E210">
            <v>9075</v>
          </cell>
          <cell r="F210" t="str">
            <v>A1-S02</v>
          </cell>
          <cell r="G210" t="str">
            <v>Top rail - Đố nóc</v>
          </cell>
          <cell r="H210" t="str">
            <v>Wood laminate</v>
          </cell>
          <cell r="I210">
            <v>330</v>
          </cell>
        </row>
        <row r="211">
          <cell r="A211" t="str">
            <v>B557935/A</v>
          </cell>
          <cell r="B211" t="str">
            <v>AR721M892-TOP</v>
          </cell>
          <cell r="C211">
            <v>55</v>
          </cell>
          <cell r="D211">
            <v>165</v>
          </cell>
          <cell r="E211">
            <v>9075</v>
          </cell>
          <cell r="F211" t="str">
            <v>A1-S03</v>
          </cell>
          <cell r="G211" t="str">
            <v>Tenon - Mộng cấy</v>
          </cell>
          <cell r="H211" t="str">
            <v>Beech off cut</v>
          </cell>
          <cell r="I211">
            <v>330</v>
          </cell>
        </row>
        <row r="212">
          <cell r="A212" t="str">
            <v>B557939/A</v>
          </cell>
          <cell r="B212" t="str">
            <v>AR756M892-BASE1</v>
          </cell>
          <cell r="C212">
            <v>50</v>
          </cell>
          <cell r="D212">
            <v>89</v>
          </cell>
          <cell r="E212">
            <v>4450</v>
          </cell>
          <cell r="F212" t="str">
            <v>A2-S01</v>
          </cell>
          <cell r="G212" t="str">
            <v xml:space="preserve">Side panel  - Ván hông </v>
          </cell>
          <cell r="H212" t="str">
            <v>Pre-Assembly</v>
          </cell>
          <cell r="I212">
            <v>300</v>
          </cell>
        </row>
        <row r="213">
          <cell r="A213" t="str">
            <v>B557939/A</v>
          </cell>
          <cell r="B213" t="str">
            <v>AR756M892-BASE1</v>
          </cell>
          <cell r="C213">
            <v>50</v>
          </cell>
          <cell r="D213">
            <v>89</v>
          </cell>
          <cell r="E213">
            <v>4450</v>
          </cell>
          <cell r="F213" t="str">
            <v>A2-S01-1</v>
          </cell>
          <cell r="G213" t="str">
            <v xml:space="preserve">Panel - Ván </v>
          </cell>
          <cell r="H213" t="str">
            <v>MDF laminate</v>
          </cell>
          <cell r="I213">
            <v>300</v>
          </cell>
        </row>
        <row r="214">
          <cell r="A214" t="str">
            <v>B557939/A</v>
          </cell>
          <cell r="B214" t="str">
            <v>AR756M892-BASE1</v>
          </cell>
          <cell r="C214">
            <v>50</v>
          </cell>
          <cell r="D214">
            <v>89</v>
          </cell>
          <cell r="E214">
            <v>4450</v>
          </cell>
          <cell r="F214" t="str">
            <v>A2-S01-2</v>
          </cell>
          <cell r="G214" t="str">
            <v>Insert Wood - Gỗ chèn</v>
          </cell>
          <cell r="H214" t="str">
            <v>Beech off cut</v>
          </cell>
          <cell r="I214">
            <v>300</v>
          </cell>
        </row>
        <row r="215">
          <cell r="A215" t="str">
            <v>B557939/A</v>
          </cell>
          <cell r="B215" t="str">
            <v>AR756M892-BASE1</v>
          </cell>
          <cell r="C215">
            <v>50</v>
          </cell>
          <cell r="D215">
            <v>89</v>
          </cell>
          <cell r="E215">
            <v>4450</v>
          </cell>
          <cell r="F215" t="str">
            <v>A2-S02</v>
          </cell>
          <cell r="G215" t="str">
            <v>support Top - đỡ nóc</v>
          </cell>
          <cell r="H215" t="str">
            <v>Plywood Moisture-Resistant - 18 x 1220 x 2440mm [CARB P2 Compliant]</v>
          </cell>
          <cell r="I215">
            <v>50</v>
          </cell>
        </row>
        <row r="216">
          <cell r="A216" t="str">
            <v>B557939/A</v>
          </cell>
          <cell r="B216" t="str">
            <v>AR756M892-BASE1</v>
          </cell>
          <cell r="C216">
            <v>50</v>
          </cell>
          <cell r="D216">
            <v>89</v>
          </cell>
          <cell r="E216">
            <v>4450</v>
          </cell>
          <cell r="F216" t="str">
            <v>A2-S03-1</v>
          </cell>
          <cell r="G216" t="str">
            <v>Bottom panel - Ván đáy</v>
          </cell>
          <cell r="H216" t="str">
            <v>MDF - 18 x 1220 x 2440mm, Veneer Okoume 0.3mm Both Faces [CARB P2 Compliant]</v>
          </cell>
          <cell r="I216">
            <v>50</v>
          </cell>
        </row>
        <row r="217">
          <cell r="A217" t="str">
            <v>B557939/A</v>
          </cell>
          <cell r="B217" t="str">
            <v>AR756M892-BASE1</v>
          </cell>
          <cell r="C217">
            <v>50</v>
          </cell>
          <cell r="D217">
            <v>89</v>
          </cell>
          <cell r="E217">
            <v>4450</v>
          </cell>
          <cell r="F217" t="str">
            <v>A2-S06</v>
          </cell>
          <cell r="G217" t="str">
            <v>Spline - Lưỡi gà</v>
          </cell>
          <cell r="H217" t="str">
            <v>Plywood Moisture-Resistant - 06 x 1220 x 2440mm [CARB P2 Compliant]</v>
          </cell>
          <cell r="I217">
            <v>300</v>
          </cell>
        </row>
        <row r="218">
          <cell r="A218" t="str">
            <v>B557939/A</v>
          </cell>
          <cell r="B218" t="str">
            <v>AR756M892-BASE1</v>
          </cell>
          <cell r="C218">
            <v>50</v>
          </cell>
          <cell r="D218">
            <v>89</v>
          </cell>
          <cell r="E218">
            <v>4450</v>
          </cell>
          <cell r="F218" t="str">
            <v>A2-S07</v>
          </cell>
          <cell r="G218" t="str">
            <v>Cleat - Bọ gỗ</v>
          </cell>
          <cell r="H218" t="str">
            <v>Plywood off cut</v>
          </cell>
          <cell r="I218">
            <v>300</v>
          </cell>
        </row>
        <row r="219">
          <cell r="A219" t="str">
            <v>B557943/A</v>
          </cell>
          <cell r="B219" t="str">
            <v>AR854M1039-BASE</v>
          </cell>
          <cell r="C219">
            <v>25</v>
          </cell>
          <cell r="D219">
            <v>380</v>
          </cell>
          <cell r="E219">
            <v>9500</v>
          </cell>
          <cell r="F219" t="str">
            <v>A4-S01</v>
          </cell>
          <cell r="G219" t="str">
            <v>Turning Part - Trụ tiện</v>
          </cell>
          <cell r="H219" t="str">
            <v>Wood laminate</v>
          </cell>
          <cell r="I219">
            <v>100</v>
          </cell>
        </row>
        <row r="220">
          <cell r="A220" t="str">
            <v>B557943/A</v>
          </cell>
          <cell r="B220" t="str">
            <v>AR854M1039-BASE</v>
          </cell>
          <cell r="C220">
            <v>25</v>
          </cell>
          <cell r="D220">
            <v>380</v>
          </cell>
          <cell r="E220">
            <v>9500</v>
          </cell>
          <cell r="F220" t="str">
            <v>A4-S01-1</v>
          </cell>
          <cell r="G220" t="str">
            <v>Patching wood - Gỗ đắp</v>
          </cell>
          <cell r="H220" t="str">
            <v>Wood White Oak - Straight/Waving Edged, 1 COM - T32mm x W100mm Up x L1.8m Up</v>
          </cell>
          <cell r="I220">
            <v>200</v>
          </cell>
        </row>
        <row r="221">
          <cell r="A221" t="str">
            <v>B557943/A</v>
          </cell>
          <cell r="B221" t="str">
            <v>AR854M1039-BASE</v>
          </cell>
          <cell r="C221">
            <v>25</v>
          </cell>
          <cell r="D221">
            <v>380</v>
          </cell>
          <cell r="E221">
            <v>9500</v>
          </cell>
          <cell r="F221" t="str">
            <v>A4-S01-2</v>
          </cell>
          <cell r="G221" t="str">
            <v>Patching wood - Gỗ đắp</v>
          </cell>
          <cell r="H221" t="str">
            <v>White Oak 1 COM</v>
          </cell>
          <cell r="I221">
            <v>200</v>
          </cell>
        </row>
        <row r="222">
          <cell r="A222" t="str">
            <v>B557943/A</v>
          </cell>
          <cell r="B222" t="str">
            <v>AR854M1039-BASE</v>
          </cell>
          <cell r="C222">
            <v>25</v>
          </cell>
          <cell r="D222">
            <v>380</v>
          </cell>
          <cell r="E222">
            <v>9500</v>
          </cell>
          <cell r="F222" t="str">
            <v>A4-S01-3</v>
          </cell>
          <cell r="G222" t="str">
            <v>Patching wood - Gỗ đắp</v>
          </cell>
          <cell r="H222" t="str">
            <v>Wood White Oak - Straight/Waving Edged, 1 COM - T32mm x W100mm Up x L1.8m Up</v>
          </cell>
          <cell r="I222">
            <v>200</v>
          </cell>
        </row>
        <row r="223">
          <cell r="A223" t="str">
            <v>B557943/A</v>
          </cell>
          <cell r="B223" t="str">
            <v>AR854M1039-BASE</v>
          </cell>
          <cell r="C223">
            <v>25</v>
          </cell>
          <cell r="D223">
            <v>380</v>
          </cell>
          <cell r="E223">
            <v>9500</v>
          </cell>
          <cell r="F223" t="str">
            <v>A4-S02</v>
          </cell>
          <cell r="G223" t="str">
            <v>Horizontal rail 1 - Đố ngang 1</v>
          </cell>
          <cell r="H223" t="str">
            <v>Wood White Oak - Straight/Waving Edged, 1 COM - T32mm x W100mm Up x L1.8m Up</v>
          </cell>
          <cell r="I223">
            <v>50</v>
          </cell>
        </row>
        <row r="224">
          <cell r="A224" t="str">
            <v>B557943/A</v>
          </cell>
          <cell r="B224" t="str">
            <v>AR854M1039-BASE</v>
          </cell>
          <cell r="C224">
            <v>25</v>
          </cell>
          <cell r="D224">
            <v>380</v>
          </cell>
          <cell r="E224">
            <v>9500</v>
          </cell>
          <cell r="F224" t="str">
            <v>A4-S03</v>
          </cell>
          <cell r="G224" t="str">
            <v>Horizontal rail 1 - Đố ngang 1</v>
          </cell>
          <cell r="H224" t="str">
            <v>Wood laminate</v>
          </cell>
          <cell r="I224">
            <v>50</v>
          </cell>
        </row>
        <row r="225">
          <cell r="A225" t="str">
            <v>B557943/A</v>
          </cell>
          <cell r="B225" t="str">
            <v>AR854M1039-BASE</v>
          </cell>
          <cell r="C225">
            <v>25</v>
          </cell>
          <cell r="D225">
            <v>380</v>
          </cell>
          <cell r="E225">
            <v>9500</v>
          </cell>
          <cell r="F225" t="str">
            <v>A4-S04</v>
          </cell>
          <cell r="G225" t="str">
            <v>The leg  - Chân</v>
          </cell>
          <cell r="H225" t="str">
            <v>Wood laminate</v>
          </cell>
          <cell r="I225">
            <v>100</v>
          </cell>
        </row>
        <row r="226">
          <cell r="A226" t="str">
            <v>B557947/A</v>
          </cell>
          <cell r="B226" t="str">
            <v>AR854M1039-TOP</v>
          </cell>
          <cell r="C226">
            <v>25</v>
          </cell>
          <cell r="D226">
            <v>635</v>
          </cell>
          <cell r="E226">
            <v>15875</v>
          </cell>
          <cell r="F226" t="str">
            <v>A0</v>
          </cell>
          <cell r="G226" t="str">
            <v>VN - Veneer</v>
          </cell>
          <cell r="H226" t="str">
            <v>Veneer laminate</v>
          </cell>
          <cell r="I226">
            <v>25</v>
          </cell>
        </row>
        <row r="227">
          <cell r="A227" t="str">
            <v>B557947/A</v>
          </cell>
          <cell r="B227" t="str">
            <v>AR854M1039-TOP</v>
          </cell>
          <cell r="C227">
            <v>25</v>
          </cell>
          <cell r="D227">
            <v>635</v>
          </cell>
          <cell r="E227">
            <v>15875</v>
          </cell>
          <cell r="F227" t="str">
            <v>A1-S01</v>
          </cell>
          <cell r="G227" t="str">
            <v>Top Frame - Khung nóc</v>
          </cell>
          <cell r="H227" t="str">
            <v>Pre-Assembly</v>
          </cell>
          <cell r="I227">
            <v>50</v>
          </cell>
        </row>
        <row r="228">
          <cell r="A228" t="str">
            <v>B557947/A</v>
          </cell>
          <cell r="B228" t="str">
            <v>AR854M1039-TOP</v>
          </cell>
          <cell r="C228">
            <v>25</v>
          </cell>
          <cell r="D228">
            <v>635</v>
          </cell>
          <cell r="E228">
            <v>15875</v>
          </cell>
          <cell r="F228" t="str">
            <v>A1-S01-1</v>
          </cell>
          <cell r="G228" t="str">
            <v xml:space="preserve">Panel - Ván </v>
          </cell>
          <cell r="H228" t="str">
            <v>MDF laminate</v>
          </cell>
          <cell r="I228">
            <v>50</v>
          </cell>
        </row>
        <row r="229">
          <cell r="A229" t="str">
            <v>B557947/A</v>
          </cell>
          <cell r="B229" t="str">
            <v>AR854M1039-TOP</v>
          </cell>
          <cell r="C229">
            <v>25</v>
          </cell>
          <cell r="D229">
            <v>635</v>
          </cell>
          <cell r="E229">
            <v>15875</v>
          </cell>
          <cell r="F229" t="str">
            <v>A1-S01-2</v>
          </cell>
          <cell r="G229" t="str">
            <v>Front top rail  - Đố tiền nóc</v>
          </cell>
          <cell r="H229" t="str">
            <v>Wood White Oak - Straight/Waving Edged, 1 COM - T32mm x W100mm Up x L1.8m Up</v>
          </cell>
          <cell r="I229">
            <v>100</v>
          </cell>
        </row>
        <row r="230">
          <cell r="A230" t="str">
            <v>B557947/A</v>
          </cell>
          <cell r="B230" t="str">
            <v>AR854M1039-TOP</v>
          </cell>
          <cell r="C230">
            <v>25</v>
          </cell>
          <cell r="D230">
            <v>635</v>
          </cell>
          <cell r="E230">
            <v>15875</v>
          </cell>
          <cell r="F230" t="str">
            <v>A1-S01-3</v>
          </cell>
          <cell r="G230" t="str">
            <v>Side top rail - Đố hông trên</v>
          </cell>
          <cell r="H230" t="str">
            <v>Wood laminate</v>
          </cell>
          <cell r="I230">
            <v>100</v>
          </cell>
        </row>
        <row r="231">
          <cell r="A231" t="str">
            <v>B557947/A</v>
          </cell>
          <cell r="B231" t="str">
            <v>AR854M1039-TOP</v>
          </cell>
          <cell r="C231">
            <v>25</v>
          </cell>
          <cell r="D231">
            <v>635</v>
          </cell>
          <cell r="E231">
            <v>15875</v>
          </cell>
          <cell r="F231" t="str">
            <v>A1-S01-4</v>
          </cell>
          <cell r="G231" t="str">
            <v>Side top rail - Đố hông trên</v>
          </cell>
          <cell r="H231" t="str">
            <v>Wood White Oak - Straight/Waving Edged, 1 COM - T32mm x W100mm Up x L1.8m Up</v>
          </cell>
          <cell r="I231">
            <v>50</v>
          </cell>
        </row>
        <row r="232">
          <cell r="A232" t="str">
            <v>B557947/A</v>
          </cell>
          <cell r="B232" t="str">
            <v>AR854M1039-TOP</v>
          </cell>
          <cell r="C232">
            <v>25</v>
          </cell>
          <cell r="D232">
            <v>635</v>
          </cell>
          <cell r="E232">
            <v>15875</v>
          </cell>
          <cell r="F232" t="str">
            <v>A1-S01-5</v>
          </cell>
          <cell r="G232" t="str">
            <v>Side top rail - Đố hông trên</v>
          </cell>
          <cell r="H232" t="str">
            <v>Wood White Oak - Straight/Waving Edged, 1 COM - T32mm x W100mm Up x L1.8m Up</v>
          </cell>
          <cell r="I232">
            <v>150</v>
          </cell>
        </row>
        <row r="233">
          <cell r="A233" t="str">
            <v>B557947/A</v>
          </cell>
          <cell r="B233" t="str">
            <v>AR854M1039-TOP</v>
          </cell>
          <cell r="C233">
            <v>25</v>
          </cell>
          <cell r="D233">
            <v>635</v>
          </cell>
          <cell r="E233">
            <v>15875</v>
          </cell>
          <cell r="F233" t="str">
            <v>A1-S02</v>
          </cell>
          <cell r="G233" t="str">
            <v>Front Top rail 1 - Đố nóc trước 1</v>
          </cell>
          <cell r="H233" t="str">
            <v>Wood laminate</v>
          </cell>
          <cell r="I233">
            <v>100</v>
          </cell>
        </row>
        <row r="234">
          <cell r="A234" t="str">
            <v>B557947/A</v>
          </cell>
          <cell r="B234" t="str">
            <v>AR854M1039-TOP</v>
          </cell>
          <cell r="C234">
            <v>25</v>
          </cell>
          <cell r="D234">
            <v>635</v>
          </cell>
          <cell r="E234">
            <v>15875</v>
          </cell>
          <cell r="F234" t="str">
            <v>A1-S03</v>
          </cell>
          <cell r="G234" t="str">
            <v>Front Top rail 1 - Đố nóc trước 1</v>
          </cell>
          <cell r="H234" t="str">
            <v>Wood laminate</v>
          </cell>
          <cell r="I234">
            <v>50</v>
          </cell>
        </row>
        <row r="235">
          <cell r="A235" t="str">
            <v>B557947/A</v>
          </cell>
          <cell r="B235" t="str">
            <v>AR854M1039-TOP</v>
          </cell>
          <cell r="C235">
            <v>25</v>
          </cell>
          <cell r="D235">
            <v>635</v>
          </cell>
          <cell r="E235">
            <v>15875</v>
          </cell>
          <cell r="F235" t="str">
            <v>A1-S04</v>
          </cell>
          <cell r="G235" t="str">
            <v>Cleat - Bọ gỗ</v>
          </cell>
          <cell r="H235" t="str">
            <v>Wood EU Beech - Straight/Waving Edged AB, 1 COM - T26mm x W100mm up x L1.8m up</v>
          </cell>
          <cell r="I235">
            <v>50</v>
          </cell>
        </row>
        <row r="236">
          <cell r="A236" t="str">
            <v>B557947/A</v>
          </cell>
          <cell r="B236" t="str">
            <v>AR854M1039-TOP</v>
          </cell>
          <cell r="C236">
            <v>25</v>
          </cell>
          <cell r="D236">
            <v>635</v>
          </cell>
          <cell r="E236">
            <v>15875</v>
          </cell>
          <cell r="F236" t="str">
            <v>A2-S01</v>
          </cell>
          <cell r="G236" t="str">
            <v>Top Frame - Khung nóc</v>
          </cell>
          <cell r="H236" t="str">
            <v>Pre-Assembly</v>
          </cell>
          <cell r="I236">
            <v>50</v>
          </cell>
        </row>
        <row r="237">
          <cell r="A237" t="str">
            <v>B557947/A</v>
          </cell>
          <cell r="B237" t="str">
            <v>AR854M1039-TOP</v>
          </cell>
          <cell r="C237">
            <v>25</v>
          </cell>
          <cell r="D237">
            <v>635</v>
          </cell>
          <cell r="E237">
            <v>15875</v>
          </cell>
          <cell r="F237" t="str">
            <v>A2-S01-1</v>
          </cell>
          <cell r="G237" t="str">
            <v xml:space="preserve">Panel - Ván </v>
          </cell>
          <cell r="H237" t="str">
            <v>MDF laminate</v>
          </cell>
          <cell r="I237">
            <v>50</v>
          </cell>
        </row>
        <row r="238">
          <cell r="A238" t="str">
            <v>B557947/A</v>
          </cell>
          <cell r="B238" t="str">
            <v>AR854M1039-TOP</v>
          </cell>
          <cell r="C238">
            <v>25</v>
          </cell>
          <cell r="D238">
            <v>635</v>
          </cell>
          <cell r="E238">
            <v>15875</v>
          </cell>
          <cell r="F238" t="str">
            <v>A2-S01-2</v>
          </cell>
          <cell r="G238" t="str">
            <v>Front top rail  - Đố tiền nóc</v>
          </cell>
          <cell r="H238" t="str">
            <v>Wood White Oak - Straight/Waving Edged, 1 COM - T32mm x W100mm Up x L1.8m Up</v>
          </cell>
          <cell r="I238">
            <v>100</v>
          </cell>
        </row>
        <row r="239">
          <cell r="A239" t="str">
            <v>B557947/A</v>
          </cell>
          <cell r="B239" t="str">
            <v>AR854M1039-TOP</v>
          </cell>
          <cell r="C239">
            <v>25</v>
          </cell>
          <cell r="D239">
            <v>635</v>
          </cell>
          <cell r="E239">
            <v>15875</v>
          </cell>
          <cell r="F239" t="str">
            <v>A2-S02</v>
          </cell>
          <cell r="G239" t="str">
            <v>Top rail - Đố nóc</v>
          </cell>
          <cell r="H239" t="str">
            <v>Wood White Oak - Straight/Waving Edged, 1 COM - T25mm x W100mm Up x L1.8m Up</v>
          </cell>
          <cell r="I239">
            <v>100</v>
          </cell>
        </row>
        <row r="240">
          <cell r="A240" t="str">
            <v>B557947/A</v>
          </cell>
          <cell r="B240" t="str">
            <v>AR854M1039-TOP</v>
          </cell>
          <cell r="C240">
            <v>25</v>
          </cell>
          <cell r="D240">
            <v>635</v>
          </cell>
          <cell r="E240">
            <v>15875</v>
          </cell>
          <cell r="F240" t="str">
            <v>A2-S03</v>
          </cell>
          <cell r="G240" t="str">
            <v>Patching wood - Gỗ đắp</v>
          </cell>
          <cell r="H240" t="str">
            <v>Wood US Poplar - Straight Edged, 1 COM - T38mm x W100mm Up x L1.8m Up</v>
          </cell>
          <cell r="I240">
            <v>100</v>
          </cell>
        </row>
        <row r="241">
          <cell r="A241" t="str">
            <v>B557947/A</v>
          </cell>
          <cell r="B241" t="str">
            <v>AR854M1039-TOP</v>
          </cell>
          <cell r="C241">
            <v>25</v>
          </cell>
          <cell r="D241">
            <v>635</v>
          </cell>
          <cell r="E241">
            <v>15875</v>
          </cell>
          <cell r="F241" t="str">
            <v>A3-S01</v>
          </cell>
          <cell r="G241" t="str">
            <v>Front rail  - Đố tiền</v>
          </cell>
          <cell r="H241" t="str">
            <v>Wood White Oak - Straight/Waving Edged, 1 COM - T32mm x W100mm Up x L1.8m Up</v>
          </cell>
          <cell r="I241">
            <v>50</v>
          </cell>
        </row>
        <row r="242">
          <cell r="A242" t="str">
            <v>B557947/A</v>
          </cell>
          <cell r="B242" t="str">
            <v>AR854M1039-TOP</v>
          </cell>
          <cell r="C242">
            <v>25</v>
          </cell>
          <cell r="D242">
            <v>635</v>
          </cell>
          <cell r="E242">
            <v>15875</v>
          </cell>
          <cell r="F242" t="str">
            <v>A3-S02</v>
          </cell>
          <cell r="G242" t="str">
            <v>Front rail  - Đố tiền</v>
          </cell>
          <cell r="H242" t="str">
            <v>Wood EU Beech - Straight/Waving Edged AB, 1 COM - T32mm x W100mm up x L1.8m up</v>
          </cell>
          <cell r="I242">
            <v>50</v>
          </cell>
        </row>
        <row r="243">
          <cell r="A243" t="str">
            <v>B557947/A</v>
          </cell>
          <cell r="B243" t="str">
            <v>AR854M1039-TOP</v>
          </cell>
          <cell r="C243">
            <v>25</v>
          </cell>
          <cell r="D243">
            <v>635</v>
          </cell>
          <cell r="E243">
            <v>15875</v>
          </cell>
          <cell r="F243" t="str">
            <v>A3-S03</v>
          </cell>
          <cell r="G243" t="str">
            <v>Center rail - Đố giữa</v>
          </cell>
          <cell r="H243" t="str">
            <v>Wood EU Beech - Straight/Waving Edged AB, 1 COM - T26mm x W100mm up x L1.8m up</v>
          </cell>
          <cell r="I243">
            <v>50</v>
          </cell>
        </row>
        <row r="244">
          <cell r="A244" t="str">
            <v>B557947/A</v>
          </cell>
          <cell r="B244" t="str">
            <v>AR854M1039-TOP</v>
          </cell>
          <cell r="C244">
            <v>25</v>
          </cell>
          <cell r="D244">
            <v>635</v>
          </cell>
          <cell r="E244">
            <v>15875</v>
          </cell>
          <cell r="F244" t="str">
            <v>A3-S04</v>
          </cell>
          <cell r="G244" t="str">
            <v>Center rail - Đố giữa</v>
          </cell>
          <cell r="H244" t="str">
            <v>Wood EU Beech - Straight/Waving Edged AB, 1 COM - T26mm x W100mm up x L1.8m up</v>
          </cell>
          <cell r="I244">
            <v>100</v>
          </cell>
        </row>
        <row r="245">
          <cell r="A245" t="str">
            <v>B557947/A</v>
          </cell>
          <cell r="B245" t="str">
            <v>AR854M1039-TOP</v>
          </cell>
          <cell r="C245">
            <v>25</v>
          </cell>
          <cell r="D245">
            <v>635</v>
          </cell>
          <cell r="E245">
            <v>15875</v>
          </cell>
          <cell r="F245" t="str">
            <v>A3-S05</v>
          </cell>
          <cell r="G245" t="str">
            <v>Cleat - Bọ gỗ</v>
          </cell>
          <cell r="H245" t="str">
            <v>Beech off cut</v>
          </cell>
          <cell r="I245">
            <v>100</v>
          </cell>
        </row>
        <row r="246">
          <cell r="A246" t="str">
            <v>B557947/A</v>
          </cell>
          <cell r="B246" t="str">
            <v>AR854M1039-TOP</v>
          </cell>
          <cell r="C246">
            <v>25</v>
          </cell>
          <cell r="D246">
            <v>635</v>
          </cell>
          <cell r="E246">
            <v>15875</v>
          </cell>
          <cell r="F246" t="str">
            <v>P01</v>
          </cell>
          <cell r="G246" t="str">
            <v>Horizontal rail 1 - Đố ngang 1</v>
          </cell>
          <cell r="H246" t="str">
            <v>Wood laminate</v>
          </cell>
          <cell r="I246">
            <v>25</v>
          </cell>
        </row>
        <row r="247">
          <cell r="A247" t="str">
            <v>B557950/A</v>
          </cell>
          <cell r="B247" t="str">
            <v>AT383M888</v>
          </cell>
          <cell r="C247">
            <v>25</v>
          </cell>
          <cell r="D247">
            <v>837</v>
          </cell>
          <cell r="E247">
            <v>20925</v>
          </cell>
          <cell r="F247" t="str">
            <v>A1-S01</v>
          </cell>
          <cell r="G247" t="str">
            <v>Top Frame - Khung nóc</v>
          </cell>
          <cell r="H247" t="str">
            <v>Wood US Ash - Straight/Waving Edged, 2 COM - T32mm x L1.8m Up</v>
          </cell>
          <cell r="I247">
            <v>50</v>
          </cell>
        </row>
        <row r="248">
          <cell r="A248" t="str">
            <v>B557950/A</v>
          </cell>
          <cell r="B248" t="str">
            <v>AT383M888</v>
          </cell>
          <cell r="C248">
            <v>25</v>
          </cell>
          <cell r="D248">
            <v>837</v>
          </cell>
          <cell r="E248">
            <v>20925</v>
          </cell>
          <cell r="F248" t="str">
            <v>A1-S02</v>
          </cell>
          <cell r="G248" t="str">
            <v>Top Frame - Khung nóc</v>
          </cell>
          <cell r="H248" t="str">
            <v>Wood laminate</v>
          </cell>
          <cell r="I248">
            <v>100</v>
          </cell>
        </row>
        <row r="249">
          <cell r="A249" t="str">
            <v>B557950/A</v>
          </cell>
          <cell r="B249" t="str">
            <v>AT383M888</v>
          </cell>
          <cell r="C249">
            <v>25</v>
          </cell>
          <cell r="D249">
            <v>837</v>
          </cell>
          <cell r="E249">
            <v>20925</v>
          </cell>
          <cell r="F249" t="str">
            <v>A1-S03</v>
          </cell>
          <cell r="G249" t="str">
            <v xml:space="preserve">Top panel  - Ván nóc </v>
          </cell>
          <cell r="H249" t="str">
            <v>MDF Veneer</v>
          </cell>
          <cell r="I249">
            <v>25</v>
          </cell>
        </row>
        <row r="250">
          <cell r="A250" t="str">
            <v>B557950/A</v>
          </cell>
          <cell r="B250" t="str">
            <v>AT383M888</v>
          </cell>
          <cell r="C250">
            <v>25</v>
          </cell>
          <cell r="D250">
            <v>837</v>
          </cell>
          <cell r="E250">
            <v>20925</v>
          </cell>
          <cell r="F250" t="str">
            <v>A2-S01</v>
          </cell>
          <cell r="G250" t="str">
            <v xml:space="preserve">Side panel  - Ván hông </v>
          </cell>
          <cell r="H250" t="str">
            <v>MDF Veneer</v>
          </cell>
          <cell r="I250">
            <v>50</v>
          </cell>
        </row>
        <row r="251">
          <cell r="A251" t="str">
            <v>B557950/A</v>
          </cell>
          <cell r="B251" t="str">
            <v>AT383M888</v>
          </cell>
          <cell r="C251">
            <v>25</v>
          </cell>
          <cell r="D251">
            <v>837</v>
          </cell>
          <cell r="E251">
            <v>20925</v>
          </cell>
          <cell r="F251" t="str">
            <v>A2-S02</v>
          </cell>
          <cell r="G251" t="str">
            <v xml:space="preserve">Panel - Ván </v>
          </cell>
          <cell r="H251" t="str">
            <v>MDF Veneer</v>
          </cell>
          <cell r="I251">
            <v>50</v>
          </cell>
        </row>
        <row r="252">
          <cell r="A252" t="str">
            <v>B557950/A</v>
          </cell>
          <cell r="B252" t="str">
            <v>AT383M888</v>
          </cell>
          <cell r="C252">
            <v>25</v>
          </cell>
          <cell r="D252">
            <v>837</v>
          </cell>
          <cell r="E252">
            <v>20925</v>
          </cell>
          <cell r="F252" t="str">
            <v>A2-S03</v>
          </cell>
          <cell r="G252" t="str">
            <v>Cleat - Bọ gỗ</v>
          </cell>
          <cell r="H252" t="str">
            <v>Standard Wood - ALDER/ASPEN/LENGA/US POPLAR, 2 COM - T25 W120mm+ L2m+</v>
          </cell>
          <cell r="I252">
            <v>100</v>
          </cell>
        </row>
        <row r="253">
          <cell r="A253" t="str">
            <v>B557950/A</v>
          </cell>
          <cell r="B253" t="str">
            <v>AT383M888</v>
          </cell>
          <cell r="C253">
            <v>25</v>
          </cell>
          <cell r="D253">
            <v>837</v>
          </cell>
          <cell r="E253">
            <v>20925</v>
          </cell>
          <cell r="F253" t="str">
            <v>A3-1</v>
          </cell>
          <cell r="G253" t="str">
            <v>Door panel  - Ván cửa</v>
          </cell>
          <cell r="H253" t="str">
            <v>Pre-Assembly</v>
          </cell>
          <cell r="I253">
            <v>50</v>
          </cell>
        </row>
        <row r="254">
          <cell r="A254" t="str">
            <v>B557950/A</v>
          </cell>
          <cell r="B254" t="str">
            <v>AT383M888</v>
          </cell>
          <cell r="C254">
            <v>25</v>
          </cell>
          <cell r="D254">
            <v>837</v>
          </cell>
          <cell r="E254">
            <v>20925</v>
          </cell>
          <cell r="F254" t="str">
            <v>A3-2</v>
          </cell>
          <cell r="G254" t="str">
            <v>Door panel  - Ván cửa</v>
          </cell>
          <cell r="H254" t="str">
            <v>Pre-Assembly</v>
          </cell>
          <cell r="I254">
            <v>50</v>
          </cell>
        </row>
        <row r="255">
          <cell r="A255" t="str">
            <v>B557950/A</v>
          </cell>
          <cell r="B255" t="str">
            <v>AT383M888</v>
          </cell>
          <cell r="C255">
            <v>25</v>
          </cell>
          <cell r="D255">
            <v>837</v>
          </cell>
          <cell r="E255">
            <v>20925</v>
          </cell>
          <cell r="F255" t="str">
            <v>A3-S01</v>
          </cell>
          <cell r="G255" t="str">
            <v>Patching wood - Gỗ đắp</v>
          </cell>
          <cell r="H255" t="str">
            <v>Wood US Ash - Straight/Waving Edged, 2 COM - T32mm x L1.8m Up</v>
          </cell>
          <cell r="I255">
            <v>50</v>
          </cell>
        </row>
        <row r="256">
          <cell r="A256" t="str">
            <v>B557950/A</v>
          </cell>
          <cell r="B256" t="str">
            <v>AT383M888</v>
          </cell>
          <cell r="C256">
            <v>25</v>
          </cell>
          <cell r="D256">
            <v>837</v>
          </cell>
          <cell r="E256">
            <v>20925</v>
          </cell>
          <cell r="F256" t="str">
            <v>A3-S02</v>
          </cell>
          <cell r="G256" t="str">
            <v>Door panel  - Ván cửa</v>
          </cell>
          <cell r="H256" t="str">
            <v>Pre-Assembly</v>
          </cell>
          <cell r="I256">
            <v>50</v>
          </cell>
        </row>
        <row r="257">
          <cell r="A257" t="str">
            <v>B557950/A</v>
          </cell>
          <cell r="B257" t="str">
            <v>AT383M888</v>
          </cell>
          <cell r="C257">
            <v>25</v>
          </cell>
          <cell r="D257">
            <v>837</v>
          </cell>
          <cell r="E257">
            <v>20925</v>
          </cell>
          <cell r="F257" t="str">
            <v>A3-S03</v>
          </cell>
          <cell r="G257" t="str">
            <v>Insert Wood - Gỗ chèn</v>
          </cell>
          <cell r="H257" t="str">
            <v>Wood US Ash - Straight/Waving Edged, 2 COM - T25mm x L1.8m Up</v>
          </cell>
          <cell r="I257">
            <v>50</v>
          </cell>
        </row>
        <row r="258">
          <cell r="A258" t="str">
            <v>B557950/A</v>
          </cell>
          <cell r="B258" t="str">
            <v>AT383M888</v>
          </cell>
          <cell r="C258">
            <v>25</v>
          </cell>
          <cell r="D258">
            <v>837</v>
          </cell>
          <cell r="E258">
            <v>20925</v>
          </cell>
          <cell r="F258" t="str">
            <v>A4-S01</v>
          </cell>
          <cell r="G258" t="str">
            <v xml:space="preserve">Drawer front - Mặt hộc kéo </v>
          </cell>
          <cell r="H258" t="str">
            <v>Pre-Assembly</v>
          </cell>
          <cell r="I258">
            <v>50</v>
          </cell>
        </row>
        <row r="259">
          <cell r="A259" t="str">
            <v>B557950/A</v>
          </cell>
          <cell r="B259" t="str">
            <v>AT383M888</v>
          </cell>
          <cell r="C259">
            <v>25</v>
          </cell>
          <cell r="D259">
            <v>837</v>
          </cell>
          <cell r="E259">
            <v>20925</v>
          </cell>
          <cell r="F259" t="str">
            <v>A4-S02</v>
          </cell>
          <cell r="G259" t="str">
            <v>Drawer side - Hông hộc kéo</v>
          </cell>
          <cell r="H259" t="str">
            <v>MDF Veneer</v>
          </cell>
          <cell r="I259">
            <v>50</v>
          </cell>
        </row>
        <row r="260">
          <cell r="A260" t="str">
            <v>B557950/A</v>
          </cell>
          <cell r="B260" t="str">
            <v>AT383M888</v>
          </cell>
          <cell r="C260">
            <v>25</v>
          </cell>
          <cell r="D260">
            <v>837</v>
          </cell>
          <cell r="E260">
            <v>20925</v>
          </cell>
          <cell r="F260" t="str">
            <v>A4-S03</v>
          </cell>
          <cell r="G260" t="str">
            <v>Drawer side - Hông hộc kéo</v>
          </cell>
          <cell r="H260" t="str">
            <v>MDF Veneer</v>
          </cell>
          <cell r="I260">
            <v>100</v>
          </cell>
        </row>
        <row r="261">
          <cell r="A261" t="str">
            <v>B557950/A</v>
          </cell>
          <cell r="B261" t="str">
            <v>AT383M888</v>
          </cell>
          <cell r="C261">
            <v>25</v>
          </cell>
          <cell r="D261">
            <v>837</v>
          </cell>
          <cell r="E261">
            <v>20925</v>
          </cell>
          <cell r="F261" t="str">
            <v>A4-S04</v>
          </cell>
          <cell r="G261" t="str">
            <v>Drawer back - Hậu hộc kéo</v>
          </cell>
          <cell r="H261" t="str">
            <v>MDF Veneer</v>
          </cell>
          <cell r="I261">
            <v>75</v>
          </cell>
        </row>
        <row r="262">
          <cell r="A262" t="str">
            <v>B557950/A</v>
          </cell>
          <cell r="B262" t="str">
            <v>AT383M888</v>
          </cell>
          <cell r="C262">
            <v>25</v>
          </cell>
          <cell r="D262">
            <v>837</v>
          </cell>
          <cell r="E262">
            <v>20925</v>
          </cell>
          <cell r="F262" t="str">
            <v>A4-S05</v>
          </cell>
          <cell r="G262" t="str">
            <v>Drawer bottom  - Đáy hộc kéo</v>
          </cell>
          <cell r="H262" t="str">
            <v>MDF Veneer</v>
          </cell>
          <cell r="I262">
            <v>50</v>
          </cell>
        </row>
        <row r="263">
          <cell r="A263" t="str">
            <v>B557950/A</v>
          </cell>
          <cell r="B263" t="str">
            <v>AT383M888</v>
          </cell>
          <cell r="C263">
            <v>25</v>
          </cell>
          <cell r="D263">
            <v>837</v>
          </cell>
          <cell r="E263">
            <v>20925</v>
          </cell>
          <cell r="F263" t="str">
            <v>A4-S06</v>
          </cell>
          <cell r="G263" t="str">
            <v>Cleat - Bọ gỗ</v>
          </cell>
          <cell r="H263" t="str">
            <v>Poplar off cut</v>
          </cell>
          <cell r="I263">
            <v>50</v>
          </cell>
        </row>
        <row r="264">
          <cell r="A264" t="str">
            <v>B557950/A</v>
          </cell>
          <cell r="B264" t="str">
            <v>AT383M888</v>
          </cell>
          <cell r="C264">
            <v>25</v>
          </cell>
          <cell r="D264">
            <v>837</v>
          </cell>
          <cell r="E264">
            <v>20925</v>
          </cell>
          <cell r="F264" t="str">
            <v>A4-S07</v>
          </cell>
          <cell r="G264" t="str">
            <v>Cleat - Bọ gỗ</v>
          </cell>
          <cell r="H264" t="str">
            <v>Poplar off cut</v>
          </cell>
          <cell r="I264">
            <v>200</v>
          </cell>
        </row>
        <row r="265">
          <cell r="A265" t="str">
            <v>B557950/A</v>
          </cell>
          <cell r="B265" t="str">
            <v>AT383M888</v>
          </cell>
          <cell r="C265">
            <v>25</v>
          </cell>
          <cell r="D265">
            <v>837</v>
          </cell>
          <cell r="E265">
            <v>20925</v>
          </cell>
          <cell r="F265" t="str">
            <v>A5-1</v>
          </cell>
          <cell r="G265" t="str">
            <v xml:space="preserve">Drawer front - Mặt hộc kéo </v>
          </cell>
          <cell r="H265" t="str">
            <v>MDF Veneer</v>
          </cell>
          <cell r="I265">
            <v>25</v>
          </cell>
        </row>
        <row r="266">
          <cell r="A266" t="str">
            <v>B557950/A</v>
          </cell>
          <cell r="B266" t="str">
            <v>AT383M888</v>
          </cell>
          <cell r="C266">
            <v>25</v>
          </cell>
          <cell r="D266">
            <v>837</v>
          </cell>
          <cell r="E266">
            <v>20925</v>
          </cell>
          <cell r="F266" t="str">
            <v>A5-S01</v>
          </cell>
          <cell r="G266" t="str">
            <v xml:space="preserve">Drawer front - Mặt hộc kéo </v>
          </cell>
          <cell r="H266" t="str">
            <v>MDF Veneer</v>
          </cell>
          <cell r="I266">
            <v>25</v>
          </cell>
        </row>
        <row r="267">
          <cell r="A267" t="str">
            <v>B557950/A</v>
          </cell>
          <cell r="B267" t="str">
            <v>AT383M888</v>
          </cell>
          <cell r="C267">
            <v>25</v>
          </cell>
          <cell r="D267">
            <v>837</v>
          </cell>
          <cell r="E267">
            <v>20925</v>
          </cell>
          <cell r="F267" t="str">
            <v>A5-S03</v>
          </cell>
          <cell r="G267" t="str">
            <v>Drawer bottom  - Đáy hộc kéo</v>
          </cell>
          <cell r="H267" t="str">
            <v>MDF Veneer</v>
          </cell>
          <cell r="I267">
            <v>75</v>
          </cell>
        </row>
        <row r="268">
          <cell r="A268" t="str">
            <v>B557950/A</v>
          </cell>
          <cell r="B268" t="str">
            <v>AT383M888</v>
          </cell>
          <cell r="C268">
            <v>25</v>
          </cell>
          <cell r="D268">
            <v>837</v>
          </cell>
          <cell r="E268">
            <v>20925</v>
          </cell>
          <cell r="F268" t="str">
            <v>A6-S01</v>
          </cell>
          <cell r="G268" t="str">
            <v xml:space="preserve">Drawer front - Mặt hộc kéo </v>
          </cell>
          <cell r="H268" t="str">
            <v>MDF Veneer</v>
          </cell>
          <cell r="I268">
            <v>50</v>
          </cell>
        </row>
        <row r="269">
          <cell r="A269" t="str">
            <v>B557950/A</v>
          </cell>
          <cell r="B269" t="str">
            <v>AT383M888</v>
          </cell>
          <cell r="C269">
            <v>25</v>
          </cell>
          <cell r="D269">
            <v>837</v>
          </cell>
          <cell r="E269">
            <v>20925</v>
          </cell>
          <cell r="F269" t="str">
            <v>A6-S02</v>
          </cell>
          <cell r="G269" t="str">
            <v>Drawer side - Hông hộc kéo</v>
          </cell>
          <cell r="H269" t="str">
            <v>MDF Veneer</v>
          </cell>
          <cell r="I269">
            <v>100</v>
          </cell>
        </row>
        <row r="270">
          <cell r="A270" t="str">
            <v>B557950/A</v>
          </cell>
          <cell r="B270" t="str">
            <v>AT383M888</v>
          </cell>
          <cell r="C270">
            <v>25</v>
          </cell>
          <cell r="D270">
            <v>837</v>
          </cell>
          <cell r="E270">
            <v>20925</v>
          </cell>
          <cell r="F270" t="str">
            <v>A6-S04</v>
          </cell>
          <cell r="G270" t="str">
            <v>Drawer back - Hậu hộc kéo</v>
          </cell>
          <cell r="H270" t="str">
            <v>MDF Veneer</v>
          </cell>
          <cell r="I270">
            <v>50</v>
          </cell>
        </row>
        <row r="271">
          <cell r="A271" t="str">
            <v>B557950/A</v>
          </cell>
          <cell r="B271" t="str">
            <v>AT383M888</v>
          </cell>
          <cell r="C271">
            <v>25</v>
          </cell>
          <cell r="D271">
            <v>837</v>
          </cell>
          <cell r="E271">
            <v>20925</v>
          </cell>
          <cell r="F271" t="str">
            <v>P01</v>
          </cell>
          <cell r="G271" t="str">
            <v>Partition panel - Vách ngăn</v>
          </cell>
          <cell r="H271" t="str">
            <v>MDF Veneer</v>
          </cell>
          <cell r="I271">
            <v>50</v>
          </cell>
        </row>
        <row r="272">
          <cell r="A272" t="str">
            <v>B557950/A</v>
          </cell>
          <cell r="B272" t="str">
            <v>AT383M888</v>
          </cell>
          <cell r="C272">
            <v>25</v>
          </cell>
          <cell r="D272">
            <v>837</v>
          </cell>
          <cell r="E272">
            <v>20925</v>
          </cell>
          <cell r="F272" t="str">
            <v>P01-1</v>
          </cell>
          <cell r="G272" t="str">
            <v>Partition panel - Vách ngăn</v>
          </cell>
          <cell r="H272" t="str">
            <v>MDF Veneer</v>
          </cell>
          <cell r="I272">
            <v>50</v>
          </cell>
        </row>
        <row r="273">
          <cell r="A273" t="str">
            <v>B557950/A</v>
          </cell>
          <cell r="B273" t="str">
            <v>AT383M888</v>
          </cell>
          <cell r="C273">
            <v>25</v>
          </cell>
          <cell r="D273">
            <v>837</v>
          </cell>
          <cell r="E273">
            <v>20925</v>
          </cell>
          <cell r="F273" t="str">
            <v>P02</v>
          </cell>
          <cell r="G273" t="str">
            <v>Shelf panel  - Ván kệ</v>
          </cell>
          <cell r="H273" t="str">
            <v>MDF Veneer</v>
          </cell>
          <cell r="I273">
            <v>50</v>
          </cell>
        </row>
        <row r="274">
          <cell r="A274" t="str">
            <v>B557950/A</v>
          </cell>
          <cell r="B274" t="str">
            <v>AT383M888</v>
          </cell>
          <cell r="C274">
            <v>25</v>
          </cell>
          <cell r="D274">
            <v>837</v>
          </cell>
          <cell r="E274">
            <v>20925</v>
          </cell>
          <cell r="F274" t="str">
            <v>P03</v>
          </cell>
          <cell r="G274" t="str">
            <v>Bottom panel - Ván đáy</v>
          </cell>
          <cell r="H274" t="str">
            <v>MDF Veneer</v>
          </cell>
          <cell r="I274">
            <v>25</v>
          </cell>
        </row>
        <row r="275">
          <cell r="A275" t="str">
            <v>B557950/A</v>
          </cell>
          <cell r="B275" t="str">
            <v>AT383M888</v>
          </cell>
          <cell r="C275">
            <v>25</v>
          </cell>
          <cell r="D275">
            <v>837</v>
          </cell>
          <cell r="E275">
            <v>20925</v>
          </cell>
          <cell r="F275" t="str">
            <v>P04</v>
          </cell>
          <cell r="G275" t="str">
            <v>Back panel - Ván hậu</v>
          </cell>
          <cell r="H275" t="str">
            <v>MDF Veneer</v>
          </cell>
          <cell r="I275">
            <v>25</v>
          </cell>
        </row>
        <row r="276">
          <cell r="A276" t="str">
            <v>B557950/A</v>
          </cell>
          <cell r="B276" t="str">
            <v>AT383M888</v>
          </cell>
          <cell r="C276">
            <v>25</v>
          </cell>
          <cell r="D276">
            <v>837</v>
          </cell>
          <cell r="E276">
            <v>20925</v>
          </cell>
          <cell r="F276" t="str">
            <v>P05</v>
          </cell>
          <cell r="G276" t="str">
            <v>Front rail  - Đố tiền</v>
          </cell>
          <cell r="H276" t="str">
            <v>Wood US Ash - Straight/Waving Edged, 2 COM - T25mm x L1.8m Up</v>
          </cell>
          <cell r="I276">
            <v>50</v>
          </cell>
        </row>
        <row r="277">
          <cell r="A277" t="str">
            <v>B557950/A</v>
          </cell>
          <cell r="B277" t="str">
            <v>AT383M888</v>
          </cell>
          <cell r="C277">
            <v>25</v>
          </cell>
          <cell r="D277">
            <v>837</v>
          </cell>
          <cell r="E277">
            <v>20925</v>
          </cell>
          <cell r="F277" t="str">
            <v>P06</v>
          </cell>
          <cell r="G277" t="str">
            <v>Drawer stop - Dừng hộc</v>
          </cell>
          <cell r="H277" t="str">
            <v>Poplar off cut</v>
          </cell>
          <cell r="I277">
            <v>200</v>
          </cell>
        </row>
        <row r="278">
          <cell r="A278" t="str">
            <v>B557950/A</v>
          </cell>
          <cell r="B278" t="str">
            <v>AT383M888</v>
          </cell>
          <cell r="C278">
            <v>25</v>
          </cell>
          <cell r="D278">
            <v>837</v>
          </cell>
          <cell r="E278">
            <v>20925</v>
          </cell>
          <cell r="F278" t="str">
            <v>P06-A</v>
          </cell>
          <cell r="G278" t="str">
            <v>Drawer stop - Dừng hộc</v>
          </cell>
          <cell r="H278" t="str">
            <v>Poplar off cut</v>
          </cell>
          <cell r="I278">
            <v>50</v>
          </cell>
        </row>
        <row r="279">
          <cell r="A279" t="str">
            <v>B557950/A</v>
          </cell>
          <cell r="B279" t="str">
            <v>AT383M888</v>
          </cell>
          <cell r="C279">
            <v>25</v>
          </cell>
          <cell r="D279">
            <v>837</v>
          </cell>
          <cell r="E279">
            <v>20925</v>
          </cell>
          <cell r="F279" t="str">
            <v>P07</v>
          </cell>
          <cell r="G279" t="str">
            <v>Cleat - Bọ gỗ</v>
          </cell>
          <cell r="H279" t="str">
            <v>Standard Wood - ALDER/ASPEN/LENGA/US POPLAR, 2 COM - T25 W120mm+ L2m+</v>
          </cell>
          <cell r="I279">
            <v>50</v>
          </cell>
        </row>
        <row r="280">
          <cell r="A280" t="str">
            <v>B557950/A</v>
          </cell>
          <cell r="B280" t="str">
            <v>AT383M888</v>
          </cell>
          <cell r="C280">
            <v>25</v>
          </cell>
          <cell r="D280">
            <v>837</v>
          </cell>
          <cell r="E280">
            <v>20925</v>
          </cell>
          <cell r="F280" t="str">
            <v>P08</v>
          </cell>
          <cell r="G280" t="str">
            <v>Partition panel - Vách ngăn</v>
          </cell>
          <cell r="H280" t="str">
            <v>MDF Veneer</v>
          </cell>
          <cell r="I280">
            <v>25</v>
          </cell>
        </row>
        <row r="281">
          <cell r="A281" t="str">
            <v>B557950/A</v>
          </cell>
          <cell r="B281" t="str">
            <v>AT383M888</v>
          </cell>
          <cell r="C281">
            <v>25</v>
          </cell>
          <cell r="D281">
            <v>837</v>
          </cell>
          <cell r="E281">
            <v>20925</v>
          </cell>
          <cell r="F281" t="str">
            <v>P09</v>
          </cell>
          <cell r="G281" t="str">
            <v>the post - trụ</v>
          </cell>
          <cell r="H281" t="str">
            <v>Wood US Ash - Straight/Waving Edged, 2 COM - T38mm x L1.8m Up</v>
          </cell>
          <cell r="I281">
            <v>100</v>
          </cell>
        </row>
        <row r="282">
          <cell r="A282" t="str">
            <v>B557950/A</v>
          </cell>
          <cell r="B282" t="str">
            <v>AT383M888</v>
          </cell>
          <cell r="C282">
            <v>25</v>
          </cell>
          <cell r="D282">
            <v>837</v>
          </cell>
          <cell r="E282">
            <v>20925</v>
          </cell>
          <cell r="F282" t="str">
            <v>P10</v>
          </cell>
          <cell r="G282" t="str">
            <v>The leg  - Chân</v>
          </cell>
          <cell r="H282" t="str">
            <v>wood ash off cut</v>
          </cell>
          <cell r="I282">
            <v>25</v>
          </cell>
        </row>
        <row r="283">
          <cell r="A283" t="str">
            <v>B557950/A</v>
          </cell>
          <cell r="B283" t="str">
            <v>AT383M888</v>
          </cell>
          <cell r="C283">
            <v>25</v>
          </cell>
          <cell r="D283">
            <v>837</v>
          </cell>
          <cell r="E283">
            <v>20925</v>
          </cell>
          <cell r="F283" t="str">
            <v>P11</v>
          </cell>
          <cell r="G283" t="str">
            <v>Bottom panel - Ván đáy</v>
          </cell>
          <cell r="H283" t="str">
            <v>MDF Veneer</v>
          </cell>
          <cell r="I283">
            <v>50</v>
          </cell>
        </row>
        <row r="284">
          <cell r="A284" t="str">
            <v>B557955/A</v>
          </cell>
          <cell r="B284" t="str">
            <v>AT479NM1237</v>
          </cell>
          <cell r="C284">
            <v>50</v>
          </cell>
          <cell r="D284">
            <v>698</v>
          </cell>
          <cell r="E284">
            <v>34900</v>
          </cell>
          <cell r="F284" t="str">
            <v>A1-S0</v>
          </cell>
          <cell r="G284" t="str">
            <v>Front leg  - Chần tiền</v>
          </cell>
          <cell r="H284" t="str">
            <v>Pre-Assembly</v>
          </cell>
          <cell r="I284">
            <v>100</v>
          </cell>
        </row>
        <row r="285">
          <cell r="A285" t="str">
            <v>B557955/A</v>
          </cell>
          <cell r="B285" t="str">
            <v>AT479NM1237</v>
          </cell>
          <cell r="C285">
            <v>50</v>
          </cell>
          <cell r="D285">
            <v>698</v>
          </cell>
          <cell r="E285">
            <v>34900</v>
          </cell>
          <cell r="F285" t="str">
            <v>A1-S01</v>
          </cell>
          <cell r="G285" t="str">
            <v xml:space="preserve">Side panel  - Ván hông </v>
          </cell>
          <cell r="H285" t="str">
            <v>MDF - 15 x 1830 x 2440mm [CARB P2 Compliant]</v>
          </cell>
          <cell r="I285">
            <v>100</v>
          </cell>
        </row>
        <row r="286">
          <cell r="A286" t="str">
            <v>B557955/A</v>
          </cell>
          <cell r="B286" t="str">
            <v>AT479NM1237</v>
          </cell>
          <cell r="C286">
            <v>50</v>
          </cell>
          <cell r="D286">
            <v>698</v>
          </cell>
          <cell r="E286">
            <v>34900</v>
          </cell>
          <cell r="F286" t="str">
            <v>A1-S02</v>
          </cell>
          <cell r="G286" t="str">
            <v>Vertical rail 1 - Đố đứng 1</v>
          </cell>
          <cell r="H286" t="str">
            <v>Wood US Poplar - Straight Edged, 2 COM - T25mm x W100mm Up x L1.8m Up</v>
          </cell>
          <cell r="I286">
            <v>100</v>
          </cell>
        </row>
        <row r="287">
          <cell r="A287" t="str">
            <v>B557955/A</v>
          </cell>
          <cell r="B287" t="str">
            <v>AT479NM1237</v>
          </cell>
          <cell r="C287">
            <v>50</v>
          </cell>
          <cell r="D287">
            <v>698</v>
          </cell>
          <cell r="E287">
            <v>34900</v>
          </cell>
          <cell r="F287" t="str">
            <v>A1-S03</v>
          </cell>
          <cell r="G287" t="str">
            <v>The leg  - Chân</v>
          </cell>
          <cell r="H287" t="str">
            <v>Poplar 1 COM</v>
          </cell>
          <cell r="I287">
            <v>100</v>
          </cell>
        </row>
        <row r="288">
          <cell r="A288" t="str">
            <v>B557955/A</v>
          </cell>
          <cell r="B288" t="str">
            <v>AT479NM1237</v>
          </cell>
          <cell r="C288">
            <v>50</v>
          </cell>
          <cell r="D288">
            <v>698</v>
          </cell>
          <cell r="E288">
            <v>34900</v>
          </cell>
          <cell r="F288" t="str">
            <v>A1-S04</v>
          </cell>
          <cell r="G288" t="str">
            <v>The leg  - Chân</v>
          </cell>
          <cell r="H288" t="str">
            <v>Poplar 1 COM</v>
          </cell>
          <cell r="I288">
            <v>100</v>
          </cell>
        </row>
        <row r="289">
          <cell r="A289" t="str">
            <v>B557955/A</v>
          </cell>
          <cell r="B289" t="str">
            <v>AT479NM1237</v>
          </cell>
          <cell r="C289">
            <v>50</v>
          </cell>
          <cell r="D289">
            <v>698</v>
          </cell>
          <cell r="E289">
            <v>34900</v>
          </cell>
          <cell r="F289" t="str">
            <v>A1-S05</v>
          </cell>
          <cell r="G289" t="str">
            <v xml:space="preserve">Side rail  - Đố hông </v>
          </cell>
          <cell r="H289" t="str">
            <v>Standard Wood - ALDER/ASPEN/LENGA/US POPLAR, 2 COM - T25 W120mm+ L2m+</v>
          </cell>
          <cell r="I289">
            <v>200</v>
          </cell>
        </row>
        <row r="290">
          <cell r="A290" t="str">
            <v>B557955/A</v>
          </cell>
          <cell r="B290" t="str">
            <v>AT479NM1237</v>
          </cell>
          <cell r="C290">
            <v>50</v>
          </cell>
          <cell r="D290">
            <v>698</v>
          </cell>
          <cell r="E290">
            <v>34900</v>
          </cell>
          <cell r="F290" t="str">
            <v>A1-S05A</v>
          </cell>
          <cell r="G290" t="str">
            <v>Patching wood - Gỗ đắp</v>
          </cell>
          <cell r="H290" t="str">
            <v>Standard Wood - ALDER/ASPEN/LENGA/US POPLAR, 2 COM - T25 W120mm+ L2m+</v>
          </cell>
          <cell r="I290">
            <v>100</v>
          </cell>
        </row>
        <row r="291">
          <cell r="A291" t="str">
            <v>B557955/A</v>
          </cell>
          <cell r="B291" t="str">
            <v>AT479NM1237</v>
          </cell>
          <cell r="C291">
            <v>50</v>
          </cell>
          <cell r="D291">
            <v>698</v>
          </cell>
          <cell r="E291">
            <v>34900</v>
          </cell>
          <cell r="F291" t="str">
            <v>A1-S06</v>
          </cell>
          <cell r="G291" t="str">
            <v>side rail 1 - đố hông 1</v>
          </cell>
          <cell r="H291" t="str">
            <v>Standard Wood - ALDER/ASPEN/LENGA/US POPLAR, 2 COM - T25 W120mm+ L2m+</v>
          </cell>
          <cell r="I291">
            <v>100</v>
          </cell>
        </row>
        <row r="292">
          <cell r="A292" t="str">
            <v>B557955/A</v>
          </cell>
          <cell r="B292" t="str">
            <v>AT479NM1237</v>
          </cell>
          <cell r="C292">
            <v>50</v>
          </cell>
          <cell r="D292">
            <v>698</v>
          </cell>
          <cell r="E292">
            <v>34900</v>
          </cell>
          <cell r="F292" t="str">
            <v>A1-S07</v>
          </cell>
          <cell r="G292" t="str">
            <v>Vertical rail 1 - Đố đứng 1</v>
          </cell>
          <cell r="H292" t="str">
            <v>Standard Wood - ALDER/ASPEN/LENGA/US POPLAR, 2 COM - T25 W120mm+ L2m+</v>
          </cell>
          <cell r="I292">
            <v>100</v>
          </cell>
        </row>
        <row r="293">
          <cell r="A293" t="str">
            <v>B557955/A</v>
          </cell>
          <cell r="B293" t="str">
            <v>AT479NM1237</v>
          </cell>
          <cell r="C293">
            <v>50</v>
          </cell>
          <cell r="D293">
            <v>698</v>
          </cell>
          <cell r="E293">
            <v>34900</v>
          </cell>
          <cell r="F293" t="str">
            <v>A2-S01</v>
          </cell>
          <cell r="G293" t="str">
            <v>back rail - Đố hậu</v>
          </cell>
          <cell r="H293" t="str">
            <v>Standard Wood - ALDER/ASPEN/LENGA/US POPLAR, 2 COM - T25 W120mm+ L2m+</v>
          </cell>
          <cell r="I293">
            <v>50</v>
          </cell>
        </row>
        <row r="294">
          <cell r="A294" t="str">
            <v>B557955/A</v>
          </cell>
          <cell r="B294" t="str">
            <v>AT479NM1237</v>
          </cell>
          <cell r="C294">
            <v>50</v>
          </cell>
          <cell r="D294">
            <v>698</v>
          </cell>
          <cell r="E294">
            <v>34900</v>
          </cell>
          <cell r="F294" t="str">
            <v>A2-S02</v>
          </cell>
          <cell r="G294" t="str">
            <v>Front rail  - Đố tiền</v>
          </cell>
          <cell r="H294" t="str">
            <v>Wood US Poplar - Straight Edged, 2 COM - T25mm x W100mm Up x L1.8m Up</v>
          </cell>
          <cell r="I294">
            <v>50</v>
          </cell>
        </row>
        <row r="295">
          <cell r="A295" t="str">
            <v>B557955/A</v>
          </cell>
          <cell r="B295" t="str">
            <v>AT479NM1237</v>
          </cell>
          <cell r="C295">
            <v>50</v>
          </cell>
          <cell r="D295">
            <v>698</v>
          </cell>
          <cell r="E295">
            <v>34900</v>
          </cell>
          <cell r="F295" t="str">
            <v>A2-S03</v>
          </cell>
          <cell r="G295" t="str">
            <v xml:space="preserve">Side rail  - Đố hông </v>
          </cell>
          <cell r="H295" t="str">
            <v>Standard Wood - ALDER/ASPEN/LENGA/US POPLAR, 2 COM - T25 W120mm+ L2m+</v>
          </cell>
          <cell r="I295">
            <v>100</v>
          </cell>
        </row>
        <row r="296">
          <cell r="A296" t="str">
            <v>B557955/A</v>
          </cell>
          <cell r="B296" t="str">
            <v>AT479NM1237</v>
          </cell>
          <cell r="C296">
            <v>50</v>
          </cell>
          <cell r="D296">
            <v>698</v>
          </cell>
          <cell r="E296">
            <v>34900</v>
          </cell>
          <cell r="F296" t="str">
            <v>A2-S04</v>
          </cell>
          <cell r="G296" t="str">
            <v>Center rail - Đố giữa</v>
          </cell>
          <cell r="H296" t="str">
            <v>Wood US Poplar - Straight Edged, 2 COM - T32mm x W100mm Up x L1.8m Up</v>
          </cell>
          <cell r="I296">
            <v>50</v>
          </cell>
        </row>
        <row r="297">
          <cell r="A297" t="str">
            <v>B557955/A</v>
          </cell>
          <cell r="B297" t="str">
            <v>AT479NM1237</v>
          </cell>
          <cell r="C297">
            <v>50</v>
          </cell>
          <cell r="D297">
            <v>698</v>
          </cell>
          <cell r="E297">
            <v>34900</v>
          </cell>
          <cell r="F297" t="str">
            <v>A2-S05</v>
          </cell>
          <cell r="G297" t="str">
            <v>Dust board Panel  - Ván quét bụi</v>
          </cell>
          <cell r="H297" t="str">
            <v>MDF - 06 x 1830 x 2440mm [CARB P2 Compliant]</v>
          </cell>
          <cell r="I297">
            <v>50</v>
          </cell>
        </row>
        <row r="298">
          <cell r="A298" t="str">
            <v>B557955/A</v>
          </cell>
          <cell r="B298" t="str">
            <v>AT479NM1237</v>
          </cell>
          <cell r="C298">
            <v>50</v>
          </cell>
          <cell r="D298">
            <v>698</v>
          </cell>
          <cell r="E298">
            <v>34900</v>
          </cell>
          <cell r="F298" t="str">
            <v>A3-S01</v>
          </cell>
          <cell r="G298" t="str">
            <v xml:space="preserve">Drawer front - Mặt hộc kéo </v>
          </cell>
          <cell r="H298" t="str">
            <v>MDF - 15 x 1830 x 2440mm [CARB P2 Compliant]</v>
          </cell>
          <cell r="I298">
            <v>450</v>
          </cell>
        </row>
        <row r="299">
          <cell r="A299" t="str">
            <v>B557955/A</v>
          </cell>
          <cell r="B299" t="str">
            <v>AT479NM1237</v>
          </cell>
          <cell r="C299">
            <v>50</v>
          </cell>
          <cell r="D299">
            <v>698</v>
          </cell>
          <cell r="E299">
            <v>34900</v>
          </cell>
          <cell r="F299" t="str">
            <v>A3-S02</v>
          </cell>
          <cell r="G299" t="str">
            <v>Drawer side - Hông hộc kéo</v>
          </cell>
          <cell r="H299" t="str">
            <v>MDF Moisture-Resistant - 12 x 1220 x 2440mm [CARB P2 Compliant]</v>
          </cell>
          <cell r="I299">
            <v>900</v>
          </cell>
        </row>
        <row r="300">
          <cell r="A300" t="str">
            <v>B557955/A</v>
          </cell>
          <cell r="B300" t="str">
            <v>AT479NM1237</v>
          </cell>
          <cell r="C300">
            <v>50</v>
          </cell>
          <cell r="D300">
            <v>698</v>
          </cell>
          <cell r="E300">
            <v>34900</v>
          </cell>
          <cell r="F300" t="str">
            <v>A3-S03</v>
          </cell>
          <cell r="G300" t="str">
            <v>Drawer back - Hậu hộc kéo</v>
          </cell>
          <cell r="H300" t="str">
            <v>MDF - 12 x 1830 x 2440mm [CARB P2 Compliant]</v>
          </cell>
          <cell r="I300">
            <v>450</v>
          </cell>
        </row>
        <row r="301">
          <cell r="A301" t="str">
            <v>B557955/A</v>
          </cell>
          <cell r="B301" t="str">
            <v>AT479NM1237</v>
          </cell>
          <cell r="C301">
            <v>50</v>
          </cell>
          <cell r="D301">
            <v>698</v>
          </cell>
          <cell r="E301">
            <v>34900</v>
          </cell>
          <cell r="F301" t="str">
            <v>A3-S04</v>
          </cell>
          <cell r="G301" t="str">
            <v>Drawer bottom  - Đáy hộc kéo</v>
          </cell>
          <cell r="H301" t="str">
            <v>MDF - 06 x 1830 x 2440mm [CARB P2 Compliant]</v>
          </cell>
          <cell r="I301">
            <v>450</v>
          </cell>
        </row>
        <row r="302">
          <cell r="A302" t="str">
            <v>B557955/A</v>
          </cell>
          <cell r="B302" t="str">
            <v>AT479NM1237</v>
          </cell>
          <cell r="C302">
            <v>50</v>
          </cell>
          <cell r="D302">
            <v>698</v>
          </cell>
          <cell r="E302">
            <v>34900</v>
          </cell>
          <cell r="F302" t="str">
            <v>A3-S06</v>
          </cell>
          <cell r="G302" t="str">
            <v xml:space="preserve">Drawer front 1 - Mặt hộc kéo </v>
          </cell>
          <cell r="H302" t="str">
            <v>MDF - 12 x 1830 x 2440mm [CARB P2 Compliant]</v>
          </cell>
          <cell r="I302">
            <v>300</v>
          </cell>
        </row>
        <row r="303">
          <cell r="A303" t="str">
            <v>B557955/A</v>
          </cell>
          <cell r="B303" t="str">
            <v>AT479NM1237</v>
          </cell>
          <cell r="C303">
            <v>50</v>
          </cell>
          <cell r="D303">
            <v>698</v>
          </cell>
          <cell r="E303">
            <v>34900</v>
          </cell>
          <cell r="F303" t="str">
            <v>A4-S06</v>
          </cell>
          <cell r="G303" t="str">
            <v xml:space="preserve">Drawer front 1 - Mặt hộc kéo </v>
          </cell>
          <cell r="H303" t="str">
            <v>MDF - 12 x 1830 x 2440mm [CARB P2 Compliant]</v>
          </cell>
          <cell r="I303">
            <v>150</v>
          </cell>
        </row>
        <row r="304">
          <cell r="A304" t="str">
            <v>B557955/A</v>
          </cell>
          <cell r="B304" t="str">
            <v>AT479NM1237</v>
          </cell>
          <cell r="C304">
            <v>50</v>
          </cell>
          <cell r="D304">
            <v>698</v>
          </cell>
          <cell r="E304">
            <v>34900</v>
          </cell>
          <cell r="F304" t="str">
            <v>P01</v>
          </cell>
          <cell r="G304" t="str">
            <v xml:space="preserve">Top panel  - Ván nóc </v>
          </cell>
          <cell r="H304" t="str">
            <v>MDF - 15 x 1830 x 2440mm [CARB P2 Compliant]</v>
          </cell>
          <cell r="I304">
            <v>50</v>
          </cell>
        </row>
        <row r="305">
          <cell r="A305" t="str">
            <v>B557955/A</v>
          </cell>
          <cell r="B305" t="str">
            <v>AT479NM1237</v>
          </cell>
          <cell r="C305">
            <v>50</v>
          </cell>
          <cell r="D305">
            <v>698</v>
          </cell>
          <cell r="E305">
            <v>34900</v>
          </cell>
          <cell r="F305" t="str">
            <v>P02</v>
          </cell>
          <cell r="G305" t="str">
            <v>Front top rail  - Đố tiền nóc</v>
          </cell>
          <cell r="H305" t="str">
            <v>MDF - 15 x 1830 x 2440mm [CARB P2 Compliant]</v>
          </cell>
          <cell r="I305">
            <v>50</v>
          </cell>
        </row>
        <row r="306">
          <cell r="A306" t="str">
            <v>B557955/A</v>
          </cell>
          <cell r="B306" t="str">
            <v>AT479NM1237</v>
          </cell>
          <cell r="C306">
            <v>50</v>
          </cell>
          <cell r="D306">
            <v>698</v>
          </cell>
          <cell r="E306">
            <v>34900</v>
          </cell>
          <cell r="F306" t="str">
            <v>P03</v>
          </cell>
          <cell r="G306" t="str">
            <v>Front rail  - Đố tiền</v>
          </cell>
          <cell r="H306" t="str">
            <v>Wood EU Beech - Straight/Waving Edged ABC, 2 COM - T26mm x W100mm up x L1.8m up</v>
          </cell>
          <cell r="I306">
            <v>50</v>
          </cell>
        </row>
        <row r="307">
          <cell r="A307" t="str">
            <v>B557955/A</v>
          </cell>
          <cell r="B307" t="str">
            <v>AT479NM1237</v>
          </cell>
          <cell r="C307">
            <v>50</v>
          </cell>
          <cell r="D307">
            <v>698</v>
          </cell>
          <cell r="E307">
            <v>34900</v>
          </cell>
          <cell r="F307" t="str">
            <v>P04</v>
          </cell>
          <cell r="G307" t="str">
            <v>back rail - Đố hậu</v>
          </cell>
          <cell r="H307" t="str">
            <v>Wood EU Beech - Straight/Waving Edged ABC, 2 COM - T26mm x W100mm up x L1.8m up</v>
          </cell>
          <cell r="I307">
            <v>50</v>
          </cell>
        </row>
        <row r="308">
          <cell r="A308" t="str">
            <v>B557955/A</v>
          </cell>
          <cell r="B308" t="str">
            <v>AT479NM1237</v>
          </cell>
          <cell r="C308">
            <v>50</v>
          </cell>
          <cell r="D308">
            <v>698</v>
          </cell>
          <cell r="E308">
            <v>34900</v>
          </cell>
          <cell r="F308" t="str">
            <v>P05</v>
          </cell>
          <cell r="G308" t="str">
            <v>Partition panel - Vách ngăn</v>
          </cell>
          <cell r="H308" t="str">
            <v>MDF - 15 x 1830 x 2440mm [CARB P2 Compliant]</v>
          </cell>
          <cell r="I308">
            <v>100</v>
          </cell>
        </row>
        <row r="309">
          <cell r="A309" t="str">
            <v>B557955/A</v>
          </cell>
          <cell r="B309" t="str">
            <v>AT479NM1237</v>
          </cell>
          <cell r="C309">
            <v>50</v>
          </cell>
          <cell r="D309">
            <v>698</v>
          </cell>
          <cell r="E309">
            <v>34900</v>
          </cell>
          <cell r="F309" t="str">
            <v>P06</v>
          </cell>
          <cell r="G309" t="str">
            <v>Back panel - Ván hậu</v>
          </cell>
          <cell r="H309" t="str">
            <v>MDF - 12 x 1830 x 2440mm [CARB P2 Compliant]</v>
          </cell>
          <cell r="I309">
            <v>50</v>
          </cell>
        </row>
        <row r="310">
          <cell r="A310" t="str">
            <v>B557955/A</v>
          </cell>
          <cell r="B310" t="str">
            <v>AT479NM1237</v>
          </cell>
          <cell r="C310">
            <v>50</v>
          </cell>
          <cell r="D310">
            <v>698</v>
          </cell>
          <cell r="E310">
            <v>34900</v>
          </cell>
          <cell r="F310" t="str">
            <v>P07</v>
          </cell>
          <cell r="G310" t="str">
            <v>Spline - Lưỡi gà</v>
          </cell>
          <cell r="H310" t="str">
            <v>Plywood LVD - 06 x 1220 x 2440mm, Bleached Poplar Veneer Both Sides [CARB P2 Compliant]</v>
          </cell>
          <cell r="I310">
            <v>100</v>
          </cell>
        </row>
        <row r="311">
          <cell r="A311" t="str">
            <v>B557955/A</v>
          </cell>
          <cell r="B311" t="str">
            <v>AT479NM1237</v>
          </cell>
          <cell r="C311">
            <v>50</v>
          </cell>
          <cell r="D311">
            <v>698</v>
          </cell>
          <cell r="E311">
            <v>34900</v>
          </cell>
          <cell r="F311" t="str">
            <v>P08</v>
          </cell>
          <cell r="G311" t="str">
            <v>Spline - Lưỡi gà</v>
          </cell>
          <cell r="H311" t="str">
            <v>Plywood LVD - 06 x 1220 x 2440mm, Bleached Poplar Veneer Both Sides [CARB P2 Compliant]</v>
          </cell>
          <cell r="I311">
            <v>100</v>
          </cell>
        </row>
        <row r="312">
          <cell r="A312" t="str">
            <v>B557955/A</v>
          </cell>
          <cell r="B312" t="str">
            <v>AT479NM1237</v>
          </cell>
          <cell r="C312">
            <v>50</v>
          </cell>
          <cell r="D312">
            <v>698</v>
          </cell>
          <cell r="E312">
            <v>34900</v>
          </cell>
          <cell r="F312" t="str">
            <v>P08-1</v>
          </cell>
          <cell r="G312" t="str">
            <v>Spline - Lưỡi gà</v>
          </cell>
          <cell r="H312" t="str">
            <v>Plywood LVD - 06 x 1220 x 2440mm, Bleached Poplar Veneer Both Sides [CARB P2 Compliant]</v>
          </cell>
          <cell r="I312">
            <v>100</v>
          </cell>
        </row>
        <row r="313">
          <cell r="A313" t="str">
            <v>B557955/A</v>
          </cell>
          <cell r="B313" t="str">
            <v>AT479NM1237</v>
          </cell>
          <cell r="C313">
            <v>50</v>
          </cell>
          <cell r="D313">
            <v>698</v>
          </cell>
          <cell r="E313">
            <v>34900</v>
          </cell>
          <cell r="F313" t="str">
            <v>P09</v>
          </cell>
          <cell r="G313" t="str">
            <v>Spline - Lưỡi gà</v>
          </cell>
          <cell r="H313" t="str">
            <v>Plywood LVD - 06 x 1220 x 2440mm, Bleached Poplar Veneer Both Sides [CARB P2 Compliant]</v>
          </cell>
          <cell r="I313">
            <v>50</v>
          </cell>
        </row>
        <row r="314">
          <cell r="A314" t="str">
            <v>B557955/A</v>
          </cell>
          <cell r="B314" t="str">
            <v>AT479NM1237</v>
          </cell>
          <cell r="C314">
            <v>50</v>
          </cell>
          <cell r="D314">
            <v>698</v>
          </cell>
          <cell r="E314">
            <v>34900</v>
          </cell>
          <cell r="F314" t="str">
            <v>P10</v>
          </cell>
          <cell r="G314" t="str">
            <v>the post - trụ</v>
          </cell>
          <cell r="H314" t="str">
            <v>Wood US Poplar - Straight Edged, 1 COM - T38mm x W100mm Up x L1.8m Up</v>
          </cell>
          <cell r="I314">
            <v>50</v>
          </cell>
        </row>
        <row r="315">
          <cell r="A315" t="str">
            <v>B557955/A</v>
          </cell>
          <cell r="B315" t="str">
            <v>AT479NM1237</v>
          </cell>
          <cell r="C315">
            <v>50</v>
          </cell>
          <cell r="D315">
            <v>698</v>
          </cell>
          <cell r="E315">
            <v>34900</v>
          </cell>
          <cell r="F315" t="str">
            <v>P11</v>
          </cell>
          <cell r="G315" t="str">
            <v>Drawer stop - Dừng hộc</v>
          </cell>
          <cell r="H315" t="str">
            <v>Poplar off cut</v>
          </cell>
          <cell r="I315">
            <v>900</v>
          </cell>
        </row>
        <row r="316">
          <cell r="A316" t="str">
            <v>B557955/A</v>
          </cell>
          <cell r="B316" t="str">
            <v>AT479NM1237</v>
          </cell>
          <cell r="C316">
            <v>50</v>
          </cell>
          <cell r="D316">
            <v>698</v>
          </cell>
          <cell r="E316">
            <v>34900</v>
          </cell>
          <cell r="F316" t="str">
            <v>P12</v>
          </cell>
          <cell r="G316" t="str">
            <v>Corner block - ke góc</v>
          </cell>
          <cell r="H316" t="str">
            <v>Beech off cut</v>
          </cell>
          <cell r="I316">
            <v>100</v>
          </cell>
        </row>
        <row r="317">
          <cell r="A317" t="str">
            <v>B557955/A</v>
          </cell>
          <cell r="B317" t="str">
            <v>AT479NM1237</v>
          </cell>
          <cell r="C317">
            <v>50</v>
          </cell>
          <cell r="D317">
            <v>698</v>
          </cell>
          <cell r="E317">
            <v>34900</v>
          </cell>
          <cell r="F317" t="str">
            <v>P13</v>
          </cell>
          <cell r="G317" t="str">
            <v>Corner block - ke góc</v>
          </cell>
          <cell r="H317" t="str">
            <v>Beech off cut</v>
          </cell>
          <cell r="I317">
            <v>100</v>
          </cell>
        </row>
        <row r="318">
          <cell r="A318" t="str">
            <v>B557955/A</v>
          </cell>
          <cell r="B318" t="str">
            <v>AT479NM1237</v>
          </cell>
          <cell r="C318">
            <v>50</v>
          </cell>
          <cell r="D318">
            <v>698</v>
          </cell>
          <cell r="E318">
            <v>34900</v>
          </cell>
          <cell r="F318" t="str">
            <v>P14</v>
          </cell>
          <cell r="G318" t="str">
            <v>Corner block - ke góc</v>
          </cell>
          <cell r="H318" t="str">
            <v>Beech off cut</v>
          </cell>
          <cell r="I318">
            <v>100</v>
          </cell>
        </row>
        <row r="319">
          <cell r="A319" t="str">
            <v>B557956/A</v>
          </cell>
          <cell r="B319" t="str">
            <v>AT479NM1237</v>
          </cell>
          <cell r="C319">
            <v>4</v>
          </cell>
          <cell r="D319">
            <v>698</v>
          </cell>
          <cell r="E319">
            <v>2792</v>
          </cell>
          <cell r="F319" t="str">
            <v>A1-S0</v>
          </cell>
          <cell r="G319" t="str">
            <v>Front leg  - Chần tiền</v>
          </cell>
          <cell r="H319" t="str">
            <v>Pre-Assembly</v>
          </cell>
          <cell r="I319">
            <v>8</v>
          </cell>
        </row>
        <row r="320">
          <cell r="A320" t="str">
            <v>B557956/A</v>
          </cell>
          <cell r="B320" t="str">
            <v>AT479NM1237</v>
          </cell>
          <cell r="C320">
            <v>4</v>
          </cell>
          <cell r="D320">
            <v>698</v>
          </cell>
          <cell r="E320">
            <v>2792</v>
          </cell>
          <cell r="F320" t="str">
            <v>A1-S01</v>
          </cell>
          <cell r="G320" t="str">
            <v xml:space="preserve">Side panel  - Ván hông </v>
          </cell>
          <cell r="H320" t="str">
            <v>MDF - 15 x 1830 x 2440mm [CARB P2 Compliant]</v>
          </cell>
          <cell r="I320">
            <v>8</v>
          </cell>
        </row>
        <row r="321">
          <cell r="A321" t="str">
            <v>B557956/A</v>
          </cell>
          <cell r="B321" t="str">
            <v>AT479NM1237</v>
          </cell>
          <cell r="C321">
            <v>4</v>
          </cell>
          <cell r="D321">
            <v>698</v>
          </cell>
          <cell r="E321">
            <v>2792</v>
          </cell>
          <cell r="F321" t="str">
            <v>A1-S02</v>
          </cell>
          <cell r="G321" t="str">
            <v>Vertical rail 1 - Đố đứng 1</v>
          </cell>
          <cell r="H321" t="str">
            <v>Wood US Poplar - Straight Edged, 2 COM - T25mm x W100mm Up x L1.8m Up</v>
          </cell>
          <cell r="I321">
            <v>8</v>
          </cell>
        </row>
        <row r="322">
          <cell r="A322" t="str">
            <v>B557956/A</v>
          </cell>
          <cell r="B322" t="str">
            <v>AT479NM1237</v>
          </cell>
          <cell r="C322">
            <v>4</v>
          </cell>
          <cell r="D322">
            <v>698</v>
          </cell>
          <cell r="E322">
            <v>2792</v>
          </cell>
          <cell r="F322" t="str">
            <v>A1-S03</v>
          </cell>
          <cell r="G322" t="str">
            <v>The leg  - Chân</v>
          </cell>
          <cell r="H322" t="str">
            <v>Poplar 1 COM</v>
          </cell>
          <cell r="I322">
            <v>8</v>
          </cell>
        </row>
        <row r="323">
          <cell r="A323" t="str">
            <v>B557956/A</v>
          </cell>
          <cell r="B323" t="str">
            <v>AT479NM1237</v>
          </cell>
          <cell r="C323">
            <v>4</v>
          </cell>
          <cell r="D323">
            <v>698</v>
          </cell>
          <cell r="E323">
            <v>2792</v>
          </cell>
          <cell r="F323" t="str">
            <v>A1-S04</v>
          </cell>
          <cell r="G323" t="str">
            <v>The leg  - Chân</v>
          </cell>
          <cell r="H323" t="str">
            <v>Poplar 1 COM</v>
          </cell>
          <cell r="I323">
            <v>8</v>
          </cell>
        </row>
        <row r="324">
          <cell r="A324" t="str">
            <v>B557956/A</v>
          </cell>
          <cell r="B324" t="str">
            <v>AT479NM1237</v>
          </cell>
          <cell r="C324">
            <v>4</v>
          </cell>
          <cell r="D324">
            <v>698</v>
          </cell>
          <cell r="E324">
            <v>2792</v>
          </cell>
          <cell r="F324" t="str">
            <v>A1-S05</v>
          </cell>
          <cell r="G324" t="str">
            <v xml:space="preserve">Side rail  - Đố hông </v>
          </cell>
          <cell r="H324" t="str">
            <v>Standard Wood - ALDER/ASPEN/LENGA/US POPLAR, 2 COM - T25 W120mm+ L2m+</v>
          </cell>
          <cell r="I324">
            <v>16</v>
          </cell>
        </row>
        <row r="325">
          <cell r="A325" t="str">
            <v>B557956/A</v>
          </cell>
          <cell r="B325" t="str">
            <v>AT479NM1237</v>
          </cell>
          <cell r="C325">
            <v>4</v>
          </cell>
          <cell r="D325">
            <v>698</v>
          </cell>
          <cell r="E325">
            <v>2792</v>
          </cell>
          <cell r="F325" t="str">
            <v>A1-S05A</v>
          </cell>
          <cell r="G325" t="str">
            <v>Patching wood - Gỗ đắp</v>
          </cell>
          <cell r="H325" t="str">
            <v>Standard Wood - ALDER/ASPEN/LENGA/US POPLAR, 2 COM - T25 W120mm+ L2m+</v>
          </cell>
          <cell r="I325">
            <v>8</v>
          </cell>
        </row>
        <row r="326">
          <cell r="A326" t="str">
            <v>B557956/A</v>
          </cell>
          <cell r="B326" t="str">
            <v>AT479NM1237</v>
          </cell>
          <cell r="C326">
            <v>4</v>
          </cell>
          <cell r="D326">
            <v>698</v>
          </cell>
          <cell r="E326">
            <v>2792</v>
          </cell>
          <cell r="F326" t="str">
            <v>A1-S06</v>
          </cell>
          <cell r="G326" t="str">
            <v>side rail 1 - đố hông 1</v>
          </cell>
          <cell r="H326" t="str">
            <v>Standard Wood - ALDER/ASPEN/LENGA/US POPLAR, 2 COM - T25 W120mm+ L2m+</v>
          </cell>
          <cell r="I326">
            <v>8</v>
          </cell>
        </row>
        <row r="327">
          <cell r="A327" t="str">
            <v>B557956/A</v>
          </cell>
          <cell r="B327" t="str">
            <v>AT479NM1237</v>
          </cell>
          <cell r="C327">
            <v>4</v>
          </cell>
          <cell r="D327">
            <v>698</v>
          </cell>
          <cell r="E327">
            <v>2792</v>
          </cell>
          <cell r="F327" t="str">
            <v>A1-S07</v>
          </cell>
          <cell r="G327" t="str">
            <v>Vertical rail 1 - Đố đứng 1</v>
          </cell>
          <cell r="H327" t="str">
            <v>Standard Wood - ALDER/ASPEN/LENGA/US POPLAR, 2 COM - T25 W120mm+ L2m+</v>
          </cell>
          <cell r="I327">
            <v>8</v>
          </cell>
        </row>
        <row r="328">
          <cell r="A328" t="str">
            <v>B557956/A</v>
          </cell>
          <cell r="B328" t="str">
            <v>AT479NM1237</v>
          </cell>
          <cell r="C328">
            <v>4</v>
          </cell>
          <cell r="D328">
            <v>698</v>
          </cell>
          <cell r="E328">
            <v>2792</v>
          </cell>
          <cell r="F328" t="str">
            <v>A2-S01</v>
          </cell>
          <cell r="G328" t="str">
            <v>back rail - Đố hậu</v>
          </cell>
          <cell r="H328" t="str">
            <v>Standard Wood - ALDER/ASPEN/LENGA/US POPLAR, 2 COM - T25 W120mm+ L2m+</v>
          </cell>
          <cell r="I328">
            <v>4</v>
          </cell>
        </row>
        <row r="329">
          <cell r="A329" t="str">
            <v>B557956/A</v>
          </cell>
          <cell r="B329" t="str">
            <v>AT479NM1237</v>
          </cell>
          <cell r="C329">
            <v>4</v>
          </cell>
          <cell r="D329">
            <v>698</v>
          </cell>
          <cell r="E329">
            <v>2792</v>
          </cell>
          <cell r="F329" t="str">
            <v>A2-S02</v>
          </cell>
          <cell r="G329" t="str">
            <v>Front rail  - Đố tiền</v>
          </cell>
          <cell r="H329" t="str">
            <v>Wood US Poplar - Straight Edged, 2 COM - T25mm x W100mm Up x L1.8m Up</v>
          </cell>
          <cell r="I329">
            <v>4</v>
          </cell>
        </row>
        <row r="330">
          <cell r="A330" t="str">
            <v>B557956/A</v>
          </cell>
          <cell r="B330" t="str">
            <v>AT479NM1237</v>
          </cell>
          <cell r="C330">
            <v>4</v>
          </cell>
          <cell r="D330">
            <v>698</v>
          </cell>
          <cell r="E330">
            <v>2792</v>
          </cell>
          <cell r="F330" t="str">
            <v>A2-S03</v>
          </cell>
          <cell r="G330" t="str">
            <v xml:space="preserve">Side rail  - Đố hông </v>
          </cell>
          <cell r="H330" t="str">
            <v>Standard Wood - ALDER/ASPEN/LENGA/US POPLAR, 2 COM - T25 W120mm+ L2m+</v>
          </cell>
          <cell r="I330">
            <v>8</v>
          </cell>
        </row>
        <row r="331">
          <cell r="A331" t="str">
            <v>B557956/A</v>
          </cell>
          <cell r="B331" t="str">
            <v>AT479NM1237</v>
          </cell>
          <cell r="C331">
            <v>4</v>
          </cell>
          <cell r="D331">
            <v>698</v>
          </cell>
          <cell r="E331">
            <v>2792</v>
          </cell>
          <cell r="F331" t="str">
            <v>A2-S04</v>
          </cell>
          <cell r="G331" t="str">
            <v>Center rail - Đố giữa</v>
          </cell>
          <cell r="H331" t="str">
            <v>Wood US Poplar - Straight Edged, 2 COM - T32mm x W100mm Up x L1.8m Up</v>
          </cell>
          <cell r="I331">
            <v>4</v>
          </cell>
        </row>
        <row r="332">
          <cell r="A332" t="str">
            <v>B557956/A</v>
          </cell>
          <cell r="B332" t="str">
            <v>AT479NM1237</v>
          </cell>
          <cell r="C332">
            <v>4</v>
          </cell>
          <cell r="D332">
            <v>698</v>
          </cell>
          <cell r="E332">
            <v>2792</v>
          </cell>
          <cell r="F332" t="str">
            <v>A2-S05</v>
          </cell>
          <cell r="G332" t="str">
            <v>Dust board Panel  - Ván quét bụi</v>
          </cell>
          <cell r="H332" t="str">
            <v>MDF - 06 x 1830 x 2440mm [CARB P2 Compliant]</v>
          </cell>
          <cell r="I332">
            <v>4</v>
          </cell>
        </row>
        <row r="333">
          <cell r="A333" t="str">
            <v>B557956/A</v>
          </cell>
          <cell r="B333" t="str">
            <v>AT479NM1237</v>
          </cell>
          <cell r="C333">
            <v>4</v>
          </cell>
          <cell r="D333">
            <v>698</v>
          </cell>
          <cell r="E333">
            <v>2792</v>
          </cell>
          <cell r="F333" t="str">
            <v>A3-S01</v>
          </cell>
          <cell r="G333" t="str">
            <v xml:space="preserve">Drawer front - Mặt hộc kéo </v>
          </cell>
          <cell r="H333" t="str">
            <v>MDF - 15 x 1830 x 2440mm [CARB P2 Compliant]</v>
          </cell>
          <cell r="I333">
            <v>36</v>
          </cell>
        </row>
        <row r="334">
          <cell r="A334" t="str">
            <v>B557956/A</v>
          </cell>
          <cell r="B334" t="str">
            <v>AT479NM1237</v>
          </cell>
          <cell r="C334">
            <v>4</v>
          </cell>
          <cell r="D334">
            <v>698</v>
          </cell>
          <cell r="E334">
            <v>2792</v>
          </cell>
          <cell r="F334" t="str">
            <v>A3-S02</v>
          </cell>
          <cell r="G334" t="str">
            <v>Drawer side - Hông hộc kéo</v>
          </cell>
          <cell r="H334" t="str">
            <v>MDF Moisture-Resistant - 12 x 1220 x 2440mm [CARB P2 Compliant]</v>
          </cell>
          <cell r="I334">
            <v>72</v>
          </cell>
        </row>
        <row r="335">
          <cell r="A335" t="str">
            <v>B557956/A</v>
          </cell>
          <cell r="B335" t="str">
            <v>AT479NM1237</v>
          </cell>
          <cell r="C335">
            <v>4</v>
          </cell>
          <cell r="D335">
            <v>698</v>
          </cell>
          <cell r="E335">
            <v>2792</v>
          </cell>
          <cell r="F335" t="str">
            <v>A3-S03</v>
          </cell>
          <cell r="G335" t="str">
            <v>Drawer back - Hậu hộc kéo</v>
          </cell>
          <cell r="H335" t="str">
            <v>MDF - 12 x 1830 x 2440mm [CARB P2 Compliant]</v>
          </cell>
          <cell r="I335">
            <v>36</v>
          </cell>
        </row>
        <row r="336">
          <cell r="A336" t="str">
            <v>B557956/A</v>
          </cell>
          <cell r="B336" t="str">
            <v>AT479NM1237</v>
          </cell>
          <cell r="C336">
            <v>4</v>
          </cell>
          <cell r="D336">
            <v>698</v>
          </cell>
          <cell r="E336">
            <v>2792</v>
          </cell>
          <cell r="F336" t="str">
            <v>A3-S04</v>
          </cell>
          <cell r="G336" t="str">
            <v>Drawer bottom  - Đáy hộc kéo</v>
          </cell>
          <cell r="H336" t="str">
            <v>MDF - 06 x 1830 x 2440mm [CARB P2 Compliant]</v>
          </cell>
          <cell r="I336">
            <v>36</v>
          </cell>
        </row>
        <row r="337">
          <cell r="A337" t="str">
            <v>B557956/A</v>
          </cell>
          <cell r="B337" t="str">
            <v>AT479NM1237</v>
          </cell>
          <cell r="C337">
            <v>4</v>
          </cell>
          <cell r="D337">
            <v>698</v>
          </cell>
          <cell r="E337">
            <v>2792</v>
          </cell>
          <cell r="F337" t="str">
            <v>A3-S06</v>
          </cell>
          <cell r="G337" t="str">
            <v xml:space="preserve">Drawer front 1 - Mặt hộc kéo </v>
          </cell>
          <cell r="H337" t="str">
            <v>MDF - 12 x 1830 x 2440mm [CARB P2 Compliant]</v>
          </cell>
          <cell r="I337">
            <v>24</v>
          </cell>
        </row>
        <row r="338">
          <cell r="A338" t="str">
            <v>B557956/A</v>
          </cell>
          <cell r="B338" t="str">
            <v>AT479NM1237</v>
          </cell>
          <cell r="C338">
            <v>4</v>
          </cell>
          <cell r="D338">
            <v>698</v>
          </cell>
          <cell r="E338">
            <v>2792</v>
          </cell>
          <cell r="F338" t="str">
            <v>A4-S06</v>
          </cell>
          <cell r="G338" t="str">
            <v xml:space="preserve">Drawer front 1 - Mặt hộc kéo </v>
          </cell>
          <cell r="H338" t="str">
            <v>MDF - 12 x 1830 x 2440mm [CARB P2 Compliant]</v>
          </cell>
          <cell r="I338">
            <v>12</v>
          </cell>
        </row>
        <row r="339">
          <cell r="A339" t="str">
            <v>B557956/A</v>
          </cell>
          <cell r="B339" t="str">
            <v>AT479NM1237</v>
          </cell>
          <cell r="C339">
            <v>4</v>
          </cell>
          <cell r="D339">
            <v>698</v>
          </cell>
          <cell r="E339">
            <v>2792</v>
          </cell>
          <cell r="F339" t="str">
            <v>P01</v>
          </cell>
          <cell r="G339" t="str">
            <v xml:space="preserve">Top panel  - Ván nóc </v>
          </cell>
          <cell r="H339" t="str">
            <v>MDF - 15 x 1830 x 2440mm [CARB P2 Compliant]</v>
          </cell>
          <cell r="I339">
            <v>4</v>
          </cell>
        </row>
        <row r="340">
          <cell r="A340" t="str">
            <v>B557956/A</v>
          </cell>
          <cell r="B340" t="str">
            <v>AT479NM1237</v>
          </cell>
          <cell r="C340">
            <v>4</v>
          </cell>
          <cell r="D340">
            <v>698</v>
          </cell>
          <cell r="E340">
            <v>2792</v>
          </cell>
          <cell r="F340" t="str">
            <v>P02</v>
          </cell>
          <cell r="G340" t="str">
            <v>Front top rail  - Đố tiền nóc</v>
          </cell>
          <cell r="H340" t="str">
            <v>MDF - 15 x 1830 x 2440mm [CARB P2 Compliant]</v>
          </cell>
          <cell r="I340">
            <v>4</v>
          </cell>
        </row>
        <row r="341">
          <cell r="A341" t="str">
            <v>B557956/A</v>
          </cell>
          <cell r="B341" t="str">
            <v>AT479NM1237</v>
          </cell>
          <cell r="C341">
            <v>4</v>
          </cell>
          <cell r="D341">
            <v>698</v>
          </cell>
          <cell r="E341">
            <v>2792</v>
          </cell>
          <cell r="F341" t="str">
            <v>P03</v>
          </cell>
          <cell r="G341" t="str">
            <v>Front rail  - Đố tiền</v>
          </cell>
          <cell r="H341" t="str">
            <v>Wood EU Beech - Straight/Waving Edged ABC, 2 COM - T26mm x W100mm up x L1.8m up</v>
          </cell>
          <cell r="I341">
            <v>4</v>
          </cell>
        </row>
        <row r="342">
          <cell r="A342" t="str">
            <v>B557956/A</v>
          </cell>
          <cell r="B342" t="str">
            <v>AT479NM1237</v>
          </cell>
          <cell r="C342">
            <v>4</v>
          </cell>
          <cell r="D342">
            <v>698</v>
          </cell>
          <cell r="E342">
            <v>2792</v>
          </cell>
          <cell r="F342" t="str">
            <v>P04</v>
          </cell>
          <cell r="G342" t="str">
            <v>back rail - Đố hậu</v>
          </cell>
          <cell r="H342" t="str">
            <v>Wood EU Beech - Straight/Waving Edged ABC, 2 COM - T26mm x W100mm up x L1.8m up</v>
          </cell>
          <cell r="I342">
            <v>4</v>
          </cell>
        </row>
        <row r="343">
          <cell r="A343" t="str">
            <v>B557956/A</v>
          </cell>
          <cell r="B343" t="str">
            <v>AT479NM1237</v>
          </cell>
          <cell r="C343">
            <v>4</v>
          </cell>
          <cell r="D343">
            <v>698</v>
          </cell>
          <cell r="E343">
            <v>2792</v>
          </cell>
          <cell r="F343" t="str">
            <v>P05</v>
          </cell>
          <cell r="G343" t="str">
            <v>Partition panel - Vách ngăn</v>
          </cell>
          <cell r="H343" t="str">
            <v>MDF - 15 x 1830 x 2440mm [CARB P2 Compliant]</v>
          </cell>
          <cell r="I343">
            <v>8</v>
          </cell>
        </row>
        <row r="344">
          <cell r="A344" t="str">
            <v>B557956/A</v>
          </cell>
          <cell r="B344" t="str">
            <v>AT479NM1237</v>
          </cell>
          <cell r="C344">
            <v>4</v>
          </cell>
          <cell r="D344">
            <v>698</v>
          </cell>
          <cell r="E344">
            <v>2792</v>
          </cell>
          <cell r="F344" t="str">
            <v>P06</v>
          </cell>
          <cell r="G344" t="str">
            <v>Back panel - Ván hậu</v>
          </cell>
          <cell r="H344" t="str">
            <v>MDF - 12 x 1830 x 2440mm [CARB P2 Compliant]</v>
          </cell>
          <cell r="I344">
            <v>4</v>
          </cell>
        </row>
        <row r="345">
          <cell r="A345" t="str">
            <v>B557956/A</v>
          </cell>
          <cell r="B345" t="str">
            <v>AT479NM1237</v>
          </cell>
          <cell r="C345">
            <v>4</v>
          </cell>
          <cell r="D345">
            <v>698</v>
          </cell>
          <cell r="E345">
            <v>2792</v>
          </cell>
          <cell r="F345" t="str">
            <v>P07</v>
          </cell>
          <cell r="G345" t="str">
            <v>Spline - Lưỡi gà</v>
          </cell>
          <cell r="H345" t="str">
            <v>Plywood LVD - 06 x 1220 x 2440mm, Bleached Poplar Veneer Both Sides [CARB P2 Compliant]</v>
          </cell>
          <cell r="I345">
            <v>8</v>
          </cell>
        </row>
        <row r="346">
          <cell r="A346" t="str">
            <v>B557956/A</v>
          </cell>
          <cell r="B346" t="str">
            <v>AT479NM1237</v>
          </cell>
          <cell r="C346">
            <v>4</v>
          </cell>
          <cell r="D346">
            <v>698</v>
          </cell>
          <cell r="E346">
            <v>2792</v>
          </cell>
          <cell r="F346" t="str">
            <v>P08</v>
          </cell>
          <cell r="G346" t="str">
            <v>Spline - Lưỡi gà</v>
          </cell>
          <cell r="H346" t="str">
            <v>Plywood LVD - 06 x 1220 x 2440mm, Bleached Poplar Veneer Both Sides [CARB P2 Compliant]</v>
          </cell>
          <cell r="I346">
            <v>8</v>
          </cell>
        </row>
        <row r="347">
          <cell r="A347" t="str">
            <v>B557956/A</v>
          </cell>
          <cell r="B347" t="str">
            <v>AT479NM1237</v>
          </cell>
          <cell r="C347">
            <v>4</v>
          </cell>
          <cell r="D347">
            <v>698</v>
          </cell>
          <cell r="E347">
            <v>2792</v>
          </cell>
          <cell r="F347" t="str">
            <v>P08-1</v>
          </cell>
          <cell r="G347" t="str">
            <v>Spline - Lưỡi gà</v>
          </cell>
          <cell r="H347" t="str">
            <v>Plywood LVD - 06 x 1220 x 2440mm, Bleached Poplar Veneer Both Sides [CARB P2 Compliant]</v>
          </cell>
          <cell r="I347">
            <v>8</v>
          </cell>
        </row>
        <row r="348">
          <cell r="A348" t="str">
            <v>B557956/A</v>
          </cell>
          <cell r="B348" t="str">
            <v>AT479NM1237</v>
          </cell>
          <cell r="C348">
            <v>4</v>
          </cell>
          <cell r="D348">
            <v>698</v>
          </cell>
          <cell r="E348">
            <v>2792</v>
          </cell>
          <cell r="F348" t="str">
            <v>P09</v>
          </cell>
          <cell r="G348" t="str">
            <v>Spline - Lưỡi gà</v>
          </cell>
          <cell r="H348" t="str">
            <v>Plywood LVD - 06 x 1220 x 2440mm, Bleached Poplar Veneer Both Sides [CARB P2 Compliant]</v>
          </cell>
          <cell r="I348">
            <v>4</v>
          </cell>
        </row>
        <row r="349">
          <cell r="A349" t="str">
            <v>B557956/A</v>
          </cell>
          <cell r="B349" t="str">
            <v>AT479NM1237</v>
          </cell>
          <cell r="C349">
            <v>4</v>
          </cell>
          <cell r="D349">
            <v>698</v>
          </cell>
          <cell r="E349">
            <v>2792</v>
          </cell>
          <cell r="F349" t="str">
            <v>P10</v>
          </cell>
          <cell r="G349" t="str">
            <v>the post - trụ</v>
          </cell>
          <cell r="H349" t="str">
            <v>Wood US Poplar - Straight Edged, 1 COM - T38mm x W100mm Up x L1.8m Up</v>
          </cell>
          <cell r="I349">
            <v>4</v>
          </cell>
        </row>
        <row r="350">
          <cell r="A350" t="str">
            <v>B557956/A</v>
          </cell>
          <cell r="B350" t="str">
            <v>AT479NM1237</v>
          </cell>
          <cell r="C350">
            <v>4</v>
          </cell>
          <cell r="D350">
            <v>698</v>
          </cell>
          <cell r="E350">
            <v>2792</v>
          </cell>
          <cell r="F350" t="str">
            <v>P11</v>
          </cell>
          <cell r="G350" t="str">
            <v>Drawer stop - Dừng hộc</v>
          </cell>
          <cell r="H350" t="str">
            <v>Poplar off cut</v>
          </cell>
          <cell r="I350">
            <v>72</v>
          </cell>
        </row>
        <row r="351">
          <cell r="A351" t="str">
            <v>B557956/A</v>
          </cell>
          <cell r="B351" t="str">
            <v>AT479NM1237</v>
          </cell>
          <cell r="C351">
            <v>4</v>
          </cell>
          <cell r="D351">
            <v>698</v>
          </cell>
          <cell r="E351">
            <v>2792</v>
          </cell>
          <cell r="F351" t="str">
            <v>P12</v>
          </cell>
          <cell r="G351" t="str">
            <v>Corner block - ke góc</v>
          </cell>
          <cell r="H351" t="str">
            <v>Beech off cut</v>
          </cell>
          <cell r="I351">
            <v>8</v>
          </cell>
        </row>
        <row r="352">
          <cell r="A352" t="str">
            <v>B557956/A</v>
          </cell>
          <cell r="B352" t="str">
            <v>AT479NM1237</v>
          </cell>
          <cell r="C352">
            <v>4</v>
          </cell>
          <cell r="D352">
            <v>698</v>
          </cell>
          <cell r="E352">
            <v>2792</v>
          </cell>
          <cell r="F352" t="str">
            <v>P13</v>
          </cell>
          <cell r="G352" t="str">
            <v>Corner block - ke góc</v>
          </cell>
          <cell r="H352" t="str">
            <v>Beech off cut</v>
          </cell>
          <cell r="I352">
            <v>8</v>
          </cell>
        </row>
        <row r="353">
          <cell r="A353" t="str">
            <v>B557956/A</v>
          </cell>
          <cell r="B353" t="str">
            <v>AT479NM1237</v>
          </cell>
          <cell r="C353">
            <v>4</v>
          </cell>
          <cell r="D353">
            <v>698</v>
          </cell>
          <cell r="E353">
            <v>2792</v>
          </cell>
          <cell r="F353" t="str">
            <v>P14</v>
          </cell>
          <cell r="G353" t="str">
            <v>Corner block - ke góc</v>
          </cell>
          <cell r="H353" t="str">
            <v>Beech off cut</v>
          </cell>
          <cell r="I353">
            <v>8</v>
          </cell>
        </row>
        <row r="354">
          <cell r="A354" t="str">
            <v>B557963/A</v>
          </cell>
          <cell r="B354" t="str">
            <v>AT522NM1237</v>
          </cell>
          <cell r="C354">
            <v>56</v>
          </cell>
          <cell r="D354">
            <v>398</v>
          </cell>
          <cell r="E354">
            <v>22288</v>
          </cell>
          <cell r="F354" t="str">
            <v>A1-S0</v>
          </cell>
          <cell r="G354" t="str">
            <v>Front leg  - Chần tiền</v>
          </cell>
          <cell r="H354" t="str">
            <v>Pre-Assembly</v>
          </cell>
          <cell r="I354">
            <v>112</v>
          </cell>
        </row>
        <row r="355">
          <cell r="A355" t="str">
            <v>B557963/A</v>
          </cell>
          <cell r="B355" t="str">
            <v>AT522NM1237</v>
          </cell>
          <cell r="C355">
            <v>56</v>
          </cell>
          <cell r="D355">
            <v>398</v>
          </cell>
          <cell r="E355">
            <v>22288</v>
          </cell>
          <cell r="F355" t="str">
            <v>A1-S01</v>
          </cell>
          <cell r="G355" t="str">
            <v xml:space="preserve">Side panel  - Ván hông </v>
          </cell>
          <cell r="H355" t="str">
            <v>MDF - 15 x 1830 x 2440mm [CARB P2 Compliant]</v>
          </cell>
          <cell r="I355">
            <v>112</v>
          </cell>
        </row>
        <row r="356">
          <cell r="A356" t="str">
            <v>B557963/A</v>
          </cell>
          <cell r="B356" t="str">
            <v>AT522NM1237</v>
          </cell>
          <cell r="C356">
            <v>56</v>
          </cell>
          <cell r="D356">
            <v>398</v>
          </cell>
          <cell r="E356">
            <v>22288</v>
          </cell>
          <cell r="F356" t="str">
            <v>A1-S02</v>
          </cell>
          <cell r="G356" t="str">
            <v>Vertical rail 1 - Đố đứng 1</v>
          </cell>
          <cell r="H356" t="str">
            <v>Wood US Poplar - Straight Edged, 2 COM - T25mm x W100mm Up x L1.8m Up</v>
          </cell>
          <cell r="I356">
            <v>112</v>
          </cell>
        </row>
        <row r="357">
          <cell r="A357" t="str">
            <v>B557963/A</v>
          </cell>
          <cell r="B357" t="str">
            <v>AT522NM1237</v>
          </cell>
          <cell r="C357">
            <v>56</v>
          </cell>
          <cell r="D357">
            <v>398</v>
          </cell>
          <cell r="E357">
            <v>22288</v>
          </cell>
          <cell r="F357" t="str">
            <v>A1-S03</v>
          </cell>
          <cell r="G357" t="str">
            <v>The leg  - Chân</v>
          </cell>
          <cell r="H357" t="str">
            <v>Poplar 1 COM</v>
          </cell>
          <cell r="I357">
            <v>112</v>
          </cell>
        </row>
        <row r="358">
          <cell r="A358" t="str">
            <v>B557963/A</v>
          </cell>
          <cell r="B358" t="str">
            <v>AT522NM1237</v>
          </cell>
          <cell r="C358">
            <v>56</v>
          </cell>
          <cell r="D358">
            <v>398</v>
          </cell>
          <cell r="E358">
            <v>22288</v>
          </cell>
          <cell r="F358" t="str">
            <v>A1-S04</v>
          </cell>
          <cell r="G358" t="str">
            <v>The leg  - Chân</v>
          </cell>
          <cell r="H358" t="str">
            <v>Poplar 1 COM</v>
          </cell>
          <cell r="I358">
            <v>112</v>
          </cell>
        </row>
        <row r="359">
          <cell r="A359" t="str">
            <v>B557963/A</v>
          </cell>
          <cell r="B359" t="str">
            <v>AT522NM1237</v>
          </cell>
          <cell r="C359">
            <v>56</v>
          </cell>
          <cell r="D359">
            <v>398</v>
          </cell>
          <cell r="E359">
            <v>22288</v>
          </cell>
          <cell r="F359" t="str">
            <v>A1-S05</v>
          </cell>
          <cell r="G359" t="str">
            <v xml:space="preserve">Side rail  - Đố hông </v>
          </cell>
          <cell r="H359" t="str">
            <v>Standard Wood - ALDER/ASPEN/LENGA/US POPLAR, 2 COM - T25 W120mm+ L2m+</v>
          </cell>
          <cell r="I359">
            <v>224</v>
          </cell>
        </row>
        <row r="360">
          <cell r="A360" t="str">
            <v>B557963/A</v>
          </cell>
          <cell r="B360" t="str">
            <v>AT522NM1237</v>
          </cell>
          <cell r="C360">
            <v>56</v>
          </cell>
          <cell r="D360">
            <v>398</v>
          </cell>
          <cell r="E360">
            <v>22288</v>
          </cell>
          <cell r="F360" t="str">
            <v>A1-S06</v>
          </cell>
          <cell r="G360" t="str">
            <v>side rail 1 - đố hông 1</v>
          </cell>
          <cell r="H360" t="str">
            <v>Standard Wood - ALDER/ASPEN/LENGA/US POPLAR, 2 COM - T25 W120mm+ L2m+</v>
          </cell>
          <cell r="I360">
            <v>112</v>
          </cell>
        </row>
        <row r="361">
          <cell r="A361" t="str">
            <v>B557963/A</v>
          </cell>
          <cell r="B361" t="str">
            <v>AT522NM1237</v>
          </cell>
          <cell r="C361">
            <v>56</v>
          </cell>
          <cell r="D361">
            <v>398</v>
          </cell>
          <cell r="E361">
            <v>22288</v>
          </cell>
          <cell r="F361" t="str">
            <v>A1-S07</v>
          </cell>
          <cell r="G361" t="str">
            <v>Vertical rail 1 - Đố đứng 1</v>
          </cell>
          <cell r="H361" t="str">
            <v>Standard Wood - ALDER/ASPEN/LENGA/US POPLAR, 2 COM - T25 W120mm+ L2m+</v>
          </cell>
          <cell r="I361">
            <v>224</v>
          </cell>
        </row>
        <row r="362">
          <cell r="A362" t="str">
            <v>B557963/A</v>
          </cell>
          <cell r="B362" t="str">
            <v>AT522NM1237</v>
          </cell>
          <cell r="C362">
            <v>56</v>
          </cell>
          <cell r="D362">
            <v>398</v>
          </cell>
          <cell r="E362">
            <v>22288</v>
          </cell>
          <cell r="F362" t="str">
            <v>A2-S01</v>
          </cell>
          <cell r="G362" t="str">
            <v>back rail - Đố hậu</v>
          </cell>
          <cell r="H362" t="str">
            <v>Wood US Poplar - Straight Edged, 2 COM - T25mm x W100mm Up x L1.8m Up</v>
          </cell>
          <cell r="I362">
            <v>56</v>
          </cell>
        </row>
        <row r="363">
          <cell r="A363" t="str">
            <v>B557963/A</v>
          </cell>
          <cell r="B363" t="str">
            <v>AT522NM1237</v>
          </cell>
          <cell r="C363">
            <v>56</v>
          </cell>
          <cell r="D363">
            <v>398</v>
          </cell>
          <cell r="E363">
            <v>22288</v>
          </cell>
          <cell r="F363" t="str">
            <v>A2-S02</v>
          </cell>
          <cell r="G363" t="str">
            <v>Front rail  - Đố tiền</v>
          </cell>
          <cell r="H363" t="str">
            <v>Wood US Poplar - Straight Edged, 2 COM - T25mm x W100mm Up x L1.8m Up</v>
          </cell>
          <cell r="I363">
            <v>56</v>
          </cell>
        </row>
        <row r="364">
          <cell r="A364" t="str">
            <v>B557963/A</v>
          </cell>
          <cell r="B364" t="str">
            <v>AT522NM1237</v>
          </cell>
          <cell r="C364">
            <v>56</v>
          </cell>
          <cell r="D364">
            <v>398</v>
          </cell>
          <cell r="E364">
            <v>22288</v>
          </cell>
          <cell r="F364" t="str">
            <v>A2-S03</v>
          </cell>
          <cell r="G364" t="str">
            <v>Center bottom rail - Đố đáy giữa</v>
          </cell>
          <cell r="H364" t="str">
            <v>Standard Wood - ALDER/ASPEN/LENGA/US POPLAR, 2 COM - T25 W120mm+ L2m+</v>
          </cell>
          <cell r="I364">
            <v>56</v>
          </cell>
        </row>
        <row r="365">
          <cell r="A365" t="str">
            <v>B557963/A</v>
          </cell>
          <cell r="B365" t="str">
            <v>AT522NM1237</v>
          </cell>
          <cell r="C365">
            <v>56</v>
          </cell>
          <cell r="D365">
            <v>398</v>
          </cell>
          <cell r="E365">
            <v>22288</v>
          </cell>
          <cell r="F365" t="str">
            <v>A2-S05</v>
          </cell>
          <cell r="G365" t="str">
            <v>Dust board Panel  - Ván quét bụi</v>
          </cell>
          <cell r="H365" t="str">
            <v>MDF - 06 x 1830 x 2440mm [CARB P2 Compliant]</v>
          </cell>
          <cell r="I365">
            <v>56</v>
          </cell>
        </row>
        <row r="366">
          <cell r="A366" t="str">
            <v>B557963/A</v>
          </cell>
          <cell r="B366" t="str">
            <v>AT522NM1237</v>
          </cell>
          <cell r="C366">
            <v>56</v>
          </cell>
          <cell r="D366">
            <v>398</v>
          </cell>
          <cell r="E366">
            <v>22288</v>
          </cell>
          <cell r="F366" t="str">
            <v>A2-S06</v>
          </cell>
          <cell r="G366" t="str">
            <v>Corner block - ke góc</v>
          </cell>
          <cell r="H366" t="str">
            <v>Beech off cut</v>
          </cell>
          <cell r="I366">
            <v>112</v>
          </cell>
        </row>
        <row r="367">
          <cell r="A367" t="str">
            <v>B557963/A</v>
          </cell>
          <cell r="B367" t="str">
            <v>AT522NM1237</v>
          </cell>
          <cell r="C367">
            <v>56</v>
          </cell>
          <cell r="D367">
            <v>398</v>
          </cell>
          <cell r="E367">
            <v>22288</v>
          </cell>
          <cell r="F367" t="str">
            <v>A2-S07</v>
          </cell>
          <cell r="G367" t="str">
            <v>Corner block - ke góc</v>
          </cell>
          <cell r="H367" t="str">
            <v>Beech off cut</v>
          </cell>
          <cell r="I367">
            <v>112</v>
          </cell>
        </row>
        <row r="368">
          <cell r="A368" t="str">
            <v>B557963/A</v>
          </cell>
          <cell r="B368" t="str">
            <v>AT522NM1237</v>
          </cell>
          <cell r="C368">
            <v>56</v>
          </cell>
          <cell r="D368">
            <v>398</v>
          </cell>
          <cell r="E368">
            <v>22288</v>
          </cell>
          <cell r="F368" t="str">
            <v>A3-S01</v>
          </cell>
          <cell r="G368" t="str">
            <v xml:space="preserve">Drawer front - Mặt hộc kéo </v>
          </cell>
          <cell r="H368" t="str">
            <v>MDF - 15 x 1830 x 2440mm [CARB P2 Compliant]</v>
          </cell>
          <cell r="I368">
            <v>168</v>
          </cell>
        </row>
        <row r="369">
          <cell r="A369" t="str">
            <v>B557963/A</v>
          </cell>
          <cell r="B369" t="str">
            <v>AT522NM1237</v>
          </cell>
          <cell r="C369">
            <v>56</v>
          </cell>
          <cell r="D369">
            <v>398</v>
          </cell>
          <cell r="E369">
            <v>22288</v>
          </cell>
          <cell r="F369" t="str">
            <v>A3-S02</v>
          </cell>
          <cell r="G369" t="str">
            <v>Drawer side - Hông hộc kéo</v>
          </cell>
          <cell r="H369" t="str">
            <v>MDF Moisture-Resistant - 12 x 1220 x 2440mm [CARB P2 Compliant]</v>
          </cell>
          <cell r="I369">
            <v>336</v>
          </cell>
        </row>
        <row r="370">
          <cell r="A370" t="str">
            <v>B557963/A</v>
          </cell>
          <cell r="B370" t="str">
            <v>AT522NM1237</v>
          </cell>
          <cell r="C370">
            <v>56</v>
          </cell>
          <cell r="D370">
            <v>398</v>
          </cell>
          <cell r="E370">
            <v>22288</v>
          </cell>
          <cell r="F370" t="str">
            <v>A3-S03</v>
          </cell>
          <cell r="G370" t="str">
            <v>Drawer back - Hậu hộc kéo</v>
          </cell>
          <cell r="H370" t="str">
            <v>MDF - 12 x 1830 x 2440mm [CARB P2 Compliant]</v>
          </cell>
          <cell r="I370">
            <v>168</v>
          </cell>
        </row>
        <row r="371">
          <cell r="A371" t="str">
            <v>B557963/A</v>
          </cell>
          <cell r="B371" t="str">
            <v>AT522NM1237</v>
          </cell>
          <cell r="C371">
            <v>56</v>
          </cell>
          <cell r="D371">
            <v>398</v>
          </cell>
          <cell r="E371">
            <v>22288</v>
          </cell>
          <cell r="F371" t="str">
            <v>A3-S04</v>
          </cell>
          <cell r="G371" t="str">
            <v>Drawer bottom  - Đáy hộc kéo</v>
          </cell>
          <cell r="H371" t="str">
            <v>MDF - 06 x 1830 x 2440mm [CARB P2 Compliant]</v>
          </cell>
          <cell r="I371">
            <v>168</v>
          </cell>
        </row>
        <row r="372">
          <cell r="A372" t="str">
            <v>B557963/A</v>
          </cell>
          <cell r="B372" t="str">
            <v>AT522NM1237</v>
          </cell>
          <cell r="C372">
            <v>56</v>
          </cell>
          <cell r="D372">
            <v>398</v>
          </cell>
          <cell r="E372">
            <v>22288</v>
          </cell>
          <cell r="F372" t="str">
            <v>A3-S05</v>
          </cell>
          <cell r="G372" t="str">
            <v>support Top - đỡ nóc</v>
          </cell>
          <cell r="H372" t="str">
            <v>Standard Wood - ALDER/ASPEN/LENGA/US POPLAR, 2 COM - T38 W120mm+ L2m+</v>
          </cell>
          <cell r="I372">
            <v>168</v>
          </cell>
        </row>
        <row r="373">
          <cell r="A373" t="str">
            <v>B557963/A</v>
          </cell>
          <cell r="B373" t="str">
            <v>AT522NM1237</v>
          </cell>
          <cell r="C373">
            <v>56</v>
          </cell>
          <cell r="D373">
            <v>398</v>
          </cell>
          <cell r="E373">
            <v>22288</v>
          </cell>
          <cell r="F373" t="str">
            <v>A3-S06</v>
          </cell>
          <cell r="G373" t="str">
            <v xml:space="preserve">Drawer front 1 - Mặt hộc kéo </v>
          </cell>
          <cell r="H373" t="str">
            <v>MDF - 12 x 1830 x 2440mm [CARB P2 Compliant]</v>
          </cell>
          <cell r="I373">
            <v>168</v>
          </cell>
        </row>
        <row r="374">
          <cell r="A374" t="str">
            <v>B557963/A</v>
          </cell>
          <cell r="B374" t="str">
            <v>AT522NM1237</v>
          </cell>
          <cell r="C374">
            <v>56</v>
          </cell>
          <cell r="D374">
            <v>398</v>
          </cell>
          <cell r="E374">
            <v>22288</v>
          </cell>
          <cell r="F374" t="str">
            <v>P01</v>
          </cell>
          <cell r="G374" t="str">
            <v xml:space="preserve">Top panel  - Ván nóc </v>
          </cell>
          <cell r="H374" t="str">
            <v>MDF - 15 x 1830 x 2440mm [CARB P2 Compliant]</v>
          </cell>
          <cell r="I374">
            <v>56</v>
          </cell>
        </row>
        <row r="375">
          <cell r="A375" t="str">
            <v>B557963/A</v>
          </cell>
          <cell r="B375" t="str">
            <v>AT522NM1237</v>
          </cell>
          <cell r="C375">
            <v>56</v>
          </cell>
          <cell r="D375">
            <v>398</v>
          </cell>
          <cell r="E375">
            <v>22288</v>
          </cell>
          <cell r="F375" t="str">
            <v>P02</v>
          </cell>
          <cell r="G375" t="str">
            <v>Front top rail  - Đố tiền nóc</v>
          </cell>
          <cell r="H375" t="str">
            <v>MDF - 15 x 1830 x 2440mm [CARB P2 Compliant]</v>
          </cell>
          <cell r="I375">
            <v>56</v>
          </cell>
        </row>
        <row r="376">
          <cell r="A376" t="str">
            <v>B557963/A</v>
          </cell>
          <cell r="B376" t="str">
            <v>AT522NM1237</v>
          </cell>
          <cell r="C376">
            <v>56</v>
          </cell>
          <cell r="D376">
            <v>398</v>
          </cell>
          <cell r="E376">
            <v>22288</v>
          </cell>
          <cell r="F376" t="str">
            <v>P03</v>
          </cell>
          <cell r="G376" t="str">
            <v>Cleat - Bọ gỗ</v>
          </cell>
          <cell r="H376" t="str">
            <v>Standard Wood - ALDER/ASPEN/LENGA/US POPLAR, 2 COM - T25 W120mm+ L2m+</v>
          </cell>
          <cell r="I376">
            <v>112</v>
          </cell>
        </row>
        <row r="377">
          <cell r="A377" t="str">
            <v>B557963/A</v>
          </cell>
          <cell r="B377" t="str">
            <v>AT522NM1237</v>
          </cell>
          <cell r="C377">
            <v>56</v>
          </cell>
          <cell r="D377">
            <v>398</v>
          </cell>
          <cell r="E377">
            <v>22288</v>
          </cell>
          <cell r="F377" t="str">
            <v>P04</v>
          </cell>
          <cell r="G377" t="str">
            <v>back rail - Đố hậu</v>
          </cell>
          <cell r="H377" t="str">
            <v>Wood US Poplar - Straight Edged, 2 COM - T25mm x W100mm Up x L1.8m Up</v>
          </cell>
          <cell r="I377">
            <v>56</v>
          </cell>
        </row>
        <row r="378">
          <cell r="A378" t="str">
            <v>B557963/A</v>
          </cell>
          <cell r="B378" t="str">
            <v>AT522NM1237</v>
          </cell>
          <cell r="C378">
            <v>56</v>
          </cell>
          <cell r="D378">
            <v>398</v>
          </cell>
          <cell r="E378">
            <v>22288</v>
          </cell>
          <cell r="F378" t="str">
            <v>P06</v>
          </cell>
          <cell r="G378" t="str">
            <v>Back panel - Ván hậu</v>
          </cell>
          <cell r="H378" t="str">
            <v>MDF - 15 x 1830 x 2440mm [CARB P2 Compliant]</v>
          </cell>
          <cell r="I378">
            <v>56</v>
          </cell>
        </row>
        <row r="379">
          <cell r="A379" t="str">
            <v>B557963/A</v>
          </cell>
          <cell r="B379" t="str">
            <v>AT522NM1237</v>
          </cell>
          <cell r="C379">
            <v>56</v>
          </cell>
          <cell r="D379">
            <v>398</v>
          </cell>
          <cell r="E379">
            <v>22288</v>
          </cell>
          <cell r="F379" t="str">
            <v>P06-1</v>
          </cell>
          <cell r="G379" t="str">
            <v>Back panel - Ván hậu</v>
          </cell>
          <cell r="H379" t="str">
            <v>Cement Board - 18 x 1220 x 2440mm, Dark Grey</v>
          </cell>
          <cell r="I379">
            <v>56</v>
          </cell>
        </row>
        <row r="380">
          <cell r="A380" t="str">
            <v>B557963/A</v>
          </cell>
          <cell r="B380" t="str">
            <v>AT522NM1237</v>
          </cell>
          <cell r="C380">
            <v>56</v>
          </cell>
          <cell r="D380">
            <v>398</v>
          </cell>
          <cell r="E380">
            <v>22288</v>
          </cell>
          <cell r="F380" t="str">
            <v>P07</v>
          </cell>
          <cell r="G380" t="str">
            <v>Spline - Lưỡi gà</v>
          </cell>
          <cell r="H380" t="str">
            <v>Plywood LVD - 06 x 1220 x 2440mm, Bleached Poplar Veneer Both Sides [CARB P2 Compliant]</v>
          </cell>
          <cell r="I380">
            <v>112</v>
          </cell>
        </row>
        <row r="381">
          <cell r="A381" t="str">
            <v>B557963/A</v>
          </cell>
          <cell r="B381" t="str">
            <v>AT522NM1237</v>
          </cell>
          <cell r="C381">
            <v>56</v>
          </cell>
          <cell r="D381">
            <v>398</v>
          </cell>
          <cell r="E381">
            <v>22288</v>
          </cell>
          <cell r="F381" t="str">
            <v>P08</v>
          </cell>
          <cell r="G381" t="str">
            <v>Spline - Lưỡi gà</v>
          </cell>
          <cell r="H381" t="str">
            <v>Plywood LVD - 06 x 1220 x 2440mm, Bleached Poplar Veneer Both Sides [CARB P2 Compliant]</v>
          </cell>
          <cell r="I381">
            <v>112</v>
          </cell>
        </row>
        <row r="382">
          <cell r="A382" t="str">
            <v>B557963/A</v>
          </cell>
          <cell r="B382" t="str">
            <v>AT522NM1237</v>
          </cell>
          <cell r="C382">
            <v>56</v>
          </cell>
          <cell r="D382">
            <v>398</v>
          </cell>
          <cell r="E382">
            <v>22288</v>
          </cell>
          <cell r="F382" t="str">
            <v>P08-1</v>
          </cell>
          <cell r="G382" t="str">
            <v>Spline - Lưỡi gà</v>
          </cell>
          <cell r="H382" t="str">
            <v>Plywood LVD - 06 x 1220 x 2440mm, Bleached Poplar Veneer Both Sides [CARB P2 Compliant]</v>
          </cell>
          <cell r="I382">
            <v>112</v>
          </cell>
        </row>
        <row r="383">
          <cell r="A383" t="str">
            <v>B557963/A</v>
          </cell>
          <cell r="B383" t="str">
            <v>AT522NM1237</v>
          </cell>
          <cell r="C383">
            <v>56</v>
          </cell>
          <cell r="D383">
            <v>398</v>
          </cell>
          <cell r="E383">
            <v>22288</v>
          </cell>
          <cell r="F383" t="str">
            <v>P09</v>
          </cell>
          <cell r="G383" t="str">
            <v>Spline - Lưỡi gà</v>
          </cell>
          <cell r="H383" t="str">
            <v>Plywood LVD - 06 x 1220 x 2440mm, Bleached Poplar Veneer Both Sides [CARB P2 Compliant]</v>
          </cell>
          <cell r="I383">
            <v>56</v>
          </cell>
        </row>
        <row r="384">
          <cell r="A384" t="str">
            <v>B557963/A</v>
          </cell>
          <cell r="B384" t="str">
            <v>AT522NM1237</v>
          </cell>
          <cell r="C384">
            <v>56</v>
          </cell>
          <cell r="D384">
            <v>398</v>
          </cell>
          <cell r="E384">
            <v>22288</v>
          </cell>
          <cell r="F384" t="str">
            <v>P10</v>
          </cell>
          <cell r="G384" t="str">
            <v>Drawer stop - Dừng hộc</v>
          </cell>
          <cell r="H384" t="str">
            <v>Poplar off cut</v>
          </cell>
          <cell r="I384">
            <v>336</v>
          </cell>
        </row>
        <row r="385">
          <cell r="A385" t="str">
            <v>B557966/A</v>
          </cell>
          <cell r="B385" t="str">
            <v>AT522NM1241</v>
          </cell>
          <cell r="C385">
            <v>30</v>
          </cell>
          <cell r="D385">
            <v>398</v>
          </cell>
          <cell r="E385">
            <v>11940</v>
          </cell>
          <cell r="F385" t="str">
            <v>A1-S0</v>
          </cell>
          <cell r="G385" t="str">
            <v>Front leg  - Chần tiền</v>
          </cell>
          <cell r="H385" t="str">
            <v>Pre-Assembly</v>
          </cell>
          <cell r="I385">
            <v>60</v>
          </cell>
        </row>
        <row r="386">
          <cell r="A386" t="str">
            <v>B557966/A</v>
          </cell>
          <cell r="B386" t="str">
            <v>AT522NM1241</v>
          </cell>
          <cell r="C386">
            <v>30</v>
          </cell>
          <cell r="D386">
            <v>398</v>
          </cell>
          <cell r="E386">
            <v>11940</v>
          </cell>
          <cell r="F386" t="str">
            <v>A1-S01</v>
          </cell>
          <cell r="G386" t="str">
            <v xml:space="preserve">Side panel  - Ván hông </v>
          </cell>
          <cell r="H386" t="str">
            <v>MDF - 15 x 1830 x 2440mm [CARB P2 Compliant]</v>
          </cell>
          <cell r="I386">
            <v>60</v>
          </cell>
        </row>
        <row r="387">
          <cell r="A387" t="str">
            <v>B557966/A</v>
          </cell>
          <cell r="B387" t="str">
            <v>AT522NM1241</v>
          </cell>
          <cell r="C387">
            <v>30</v>
          </cell>
          <cell r="D387">
            <v>398</v>
          </cell>
          <cell r="E387">
            <v>11940</v>
          </cell>
          <cell r="F387" t="str">
            <v>A1-S02</v>
          </cell>
          <cell r="G387" t="str">
            <v>Vertical rail 1 - Đố đứng 1</v>
          </cell>
          <cell r="H387" t="str">
            <v>Wood US Poplar - Straight Edged, 2 COM - T25mm x W100mm Up x L1.8m Up</v>
          </cell>
          <cell r="I387">
            <v>60</v>
          </cell>
        </row>
        <row r="388">
          <cell r="A388" t="str">
            <v>B557966/A</v>
          </cell>
          <cell r="B388" t="str">
            <v>AT522NM1241</v>
          </cell>
          <cell r="C388">
            <v>30</v>
          </cell>
          <cell r="D388">
            <v>398</v>
          </cell>
          <cell r="E388">
            <v>11940</v>
          </cell>
          <cell r="F388" t="str">
            <v>A1-S03</v>
          </cell>
          <cell r="G388" t="str">
            <v>The leg  - Chân</v>
          </cell>
          <cell r="H388" t="str">
            <v>Poplar 1 COM</v>
          </cell>
          <cell r="I388">
            <v>60</v>
          </cell>
        </row>
        <row r="389">
          <cell r="A389" t="str">
            <v>B557966/A</v>
          </cell>
          <cell r="B389" t="str">
            <v>AT522NM1241</v>
          </cell>
          <cell r="C389">
            <v>30</v>
          </cell>
          <cell r="D389">
            <v>398</v>
          </cell>
          <cell r="E389">
            <v>11940</v>
          </cell>
          <cell r="F389" t="str">
            <v>A1-S04</v>
          </cell>
          <cell r="G389" t="str">
            <v>The leg  - Chân</v>
          </cell>
          <cell r="H389" t="str">
            <v>Poplar 1 COM</v>
          </cell>
          <cell r="I389">
            <v>60</v>
          </cell>
        </row>
        <row r="390">
          <cell r="A390" t="str">
            <v>B557966/A</v>
          </cell>
          <cell r="B390" t="str">
            <v>AT522NM1241</v>
          </cell>
          <cell r="C390">
            <v>30</v>
          </cell>
          <cell r="D390">
            <v>398</v>
          </cell>
          <cell r="E390">
            <v>11940</v>
          </cell>
          <cell r="F390" t="str">
            <v>A1-S05</v>
          </cell>
          <cell r="G390" t="str">
            <v xml:space="preserve">Side rail  - Đố hông </v>
          </cell>
          <cell r="H390" t="str">
            <v>Standard Wood - ALDER/ASPEN/LENGA/US POPLAR, 2 COM - T25 W120mm+ L2m+</v>
          </cell>
          <cell r="I390">
            <v>120</v>
          </cell>
        </row>
        <row r="391">
          <cell r="A391" t="str">
            <v>B557966/A</v>
          </cell>
          <cell r="B391" t="str">
            <v>AT522NM1241</v>
          </cell>
          <cell r="C391">
            <v>30</v>
          </cell>
          <cell r="D391">
            <v>398</v>
          </cell>
          <cell r="E391">
            <v>11940</v>
          </cell>
          <cell r="F391" t="str">
            <v>A1-S06</v>
          </cell>
          <cell r="G391" t="str">
            <v>side rail 1 - đố hông 1</v>
          </cell>
          <cell r="H391" t="str">
            <v>Standard Wood - ALDER/ASPEN/LENGA/US POPLAR, 2 COM - T25 W120mm+ L2m+</v>
          </cell>
          <cell r="I391">
            <v>60</v>
          </cell>
        </row>
        <row r="392">
          <cell r="A392" t="str">
            <v>B557966/A</v>
          </cell>
          <cell r="B392" t="str">
            <v>AT522NM1241</v>
          </cell>
          <cell r="C392">
            <v>30</v>
          </cell>
          <cell r="D392">
            <v>398</v>
          </cell>
          <cell r="E392">
            <v>11940</v>
          </cell>
          <cell r="F392" t="str">
            <v>A1-S07</v>
          </cell>
          <cell r="G392" t="str">
            <v>Vertical rail 1 - Đố đứng 1</v>
          </cell>
          <cell r="H392" t="str">
            <v>Standard Wood - ALDER/ASPEN/LENGA/US POPLAR, 2 COM - T25 W120mm+ L2m+</v>
          </cell>
          <cell r="I392">
            <v>120</v>
          </cell>
        </row>
        <row r="393">
          <cell r="A393" t="str">
            <v>B557966/A</v>
          </cell>
          <cell r="B393" t="str">
            <v>AT522NM1241</v>
          </cell>
          <cell r="C393">
            <v>30</v>
          </cell>
          <cell r="D393">
            <v>398</v>
          </cell>
          <cell r="E393">
            <v>11940</v>
          </cell>
          <cell r="F393" t="str">
            <v>A2-S01</v>
          </cell>
          <cell r="G393" t="str">
            <v>back rail - Đố hậu</v>
          </cell>
          <cell r="H393" t="str">
            <v>Wood US Poplar - Straight Edged, 2 COM - T25mm x W100mm Up x L1.8m Up</v>
          </cell>
          <cell r="I393">
            <v>30</v>
          </cell>
        </row>
        <row r="394">
          <cell r="A394" t="str">
            <v>B557966/A</v>
          </cell>
          <cell r="B394" t="str">
            <v>AT522NM1241</v>
          </cell>
          <cell r="C394">
            <v>30</v>
          </cell>
          <cell r="D394">
            <v>398</v>
          </cell>
          <cell r="E394">
            <v>11940</v>
          </cell>
          <cell r="F394" t="str">
            <v>A2-S02</v>
          </cell>
          <cell r="G394" t="str">
            <v>Front rail  - Đố tiền</v>
          </cell>
          <cell r="H394" t="str">
            <v>Wood US Poplar - Straight Edged, 2 COM - T25mm x W100mm Up x L1.8m Up</v>
          </cell>
          <cell r="I394">
            <v>30</v>
          </cell>
        </row>
        <row r="395">
          <cell r="A395" t="str">
            <v>B557966/A</v>
          </cell>
          <cell r="B395" t="str">
            <v>AT522NM1241</v>
          </cell>
          <cell r="C395">
            <v>30</v>
          </cell>
          <cell r="D395">
            <v>398</v>
          </cell>
          <cell r="E395">
            <v>11940</v>
          </cell>
          <cell r="F395" t="str">
            <v>A2-S03</v>
          </cell>
          <cell r="G395" t="str">
            <v>Center bottom rail - Đố đáy giữa</v>
          </cell>
          <cell r="H395" t="str">
            <v>Standard Wood - ALDER/ASPEN/LENGA/US POPLAR, 2 COM - T25 W120mm+ L2m+</v>
          </cell>
          <cell r="I395">
            <v>30</v>
          </cell>
        </row>
        <row r="396">
          <cell r="A396" t="str">
            <v>B557966/A</v>
          </cell>
          <cell r="B396" t="str">
            <v>AT522NM1241</v>
          </cell>
          <cell r="C396">
            <v>30</v>
          </cell>
          <cell r="D396">
            <v>398</v>
          </cell>
          <cell r="E396">
            <v>11940</v>
          </cell>
          <cell r="F396" t="str">
            <v>A2-S05</v>
          </cell>
          <cell r="G396" t="str">
            <v>Dust board Panel  - Ván quét bụi</v>
          </cell>
          <cell r="H396" t="str">
            <v>MDF - 06 x 1830 x 2440mm [CARB P2 Compliant]</v>
          </cell>
          <cell r="I396">
            <v>30</v>
          </cell>
        </row>
        <row r="397">
          <cell r="A397" t="str">
            <v>B557966/A</v>
          </cell>
          <cell r="B397" t="str">
            <v>AT522NM1241</v>
          </cell>
          <cell r="C397">
            <v>30</v>
          </cell>
          <cell r="D397">
            <v>398</v>
          </cell>
          <cell r="E397">
            <v>11940</v>
          </cell>
          <cell r="F397" t="str">
            <v>A2-S06</v>
          </cell>
          <cell r="G397" t="str">
            <v>Corner block - ke góc</v>
          </cell>
          <cell r="H397" t="str">
            <v>Beech off cut</v>
          </cell>
          <cell r="I397">
            <v>60</v>
          </cell>
        </row>
        <row r="398">
          <cell r="A398" t="str">
            <v>B557966/A</v>
          </cell>
          <cell r="B398" t="str">
            <v>AT522NM1241</v>
          </cell>
          <cell r="C398">
            <v>30</v>
          </cell>
          <cell r="D398">
            <v>398</v>
          </cell>
          <cell r="E398">
            <v>11940</v>
          </cell>
          <cell r="F398" t="str">
            <v>A2-S07</v>
          </cell>
          <cell r="G398" t="str">
            <v>Corner block - ke góc</v>
          </cell>
          <cell r="H398" t="str">
            <v>Beech off cut</v>
          </cell>
          <cell r="I398">
            <v>60</v>
          </cell>
        </row>
        <row r="399">
          <cell r="A399" t="str">
            <v>B557966/A</v>
          </cell>
          <cell r="B399" t="str">
            <v>AT522NM1241</v>
          </cell>
          <cell r="C399">
            <v>30</v>
          </cell>
          <cell r="D399">
            <v>398</v>
          </cell>
          <cell r="E399">
            <v>11940</v>
          </cell>
          <cell r="F399" t="str">
            <v>A3-S01</v>
          </cell>
          <cell r="G399" t="str">
            <v xml:space="preserve">Drawer front - Mặt hộc kéo </v>
          </cell>
          <cell r="H399" t="str">
            <v>MDF - 15 x 1830 x 2440mm [CARB P2 Compliant]</v>
          </cell>
          <cell r="I399">
            <v>90</v>
          </cell>
        </row>
        <row r="400">
          <cell r="A400" t="str">
            <v>B557966/A</v>
          </cell>
          <cell r="B400" t="str">
            <v>AT522NM1241</v>
          </cell>
          <cell r="C400">
            <v>30</v>
          </cell>
          <cell r="D400">
            <v>398</v>
          </cell>
          <cell r="E400">
            <v>11940</v>
          </cell>
          <cell r="F400" t="str">
            <v>A3-S02</v>
          </cell>
          <cell r="G400" t="str">
            <v>Drawer side - Hông hộc kéo</v>
          </cell>
          <cell r="H400" t="str">
            <v>MDF Moisture-Resistant - 12 x 1220 x 2440mm [CARB P2 Compliant]</v>
          </cell>
          <cell r="I400">
            <v>180</v>
          </cell>
        </row>
        <row r="401">
          <cell r="A401" t="str">
            <v>B557966/A</v>
          </cell>
          <cell r="B401" t="str">
            <v>AT522NM1241</v>
          </cell>
          <cell r="C401">
            <v>30</v>
          </cell>
          <cell r="D401">
            <v>398</v>
          </cell>
          <cell r="E401">
            <v>11940</v>
          </cell>
          <cell r="F401" t="str">
            <v>A3-S03</v>
          </cell>
          <cell r="G401" t="str">
            <v>Drawer back - Hậu hộc kéo</v>
          </cell>
          <cell r="H401" t="str">
            <v>MDF - 12 x 1830 x 2440mm [CARB P2 Compliant]</v>
          </cell>
          <cell r="I401">
            <v>90</v>
          </cell>
        </row>
        <row r="402">
          <cell r="A402" t="str">
            <v>B557966/A</v>
          </cell>
          <cell r="B402" t="str">
            <v>AT522NM1241</v>
          </cell>
          <cell r="C402">
            <v>30</v>
          </cell>
          <cell r="D402">
            <v>398</v>
          </cell>
          <cell r="E402">
            <v>11940</v>
          </cell>
          <cell r="F402" t="str">
            <v>A3-S04</v>
          </cell>
          <cell r="G402" t="str">
            <v>Drawer bottom  - Đáy hộc kéo</v>
          </cell>
          <cell r="H402" t="str">
            <v>MDF - 06 x 1830 x 2440mm [CARB P2 Compliant]</v>
          </cell>
          <cell r="I402">
            <v>90</v>
          </cell>
        </row>
        <row r="403">
          <cell r="A403" t="str">
            <v>B557966/A</v>
          </cell>
          <cell r="B403" t="str">
            <v>AT522NM1241</v>
          </cell>
          <cell r="C403">
            <v>30</v>
          </cell>
          <cell r="D403">
            <v>398</v>
          </cell>
          <cell r="E403">
            <v>11940</v>
          </cell>
          <cell r="F403" t="str">
            <v>A3-S05</v>
          </cell>
          <cell r="G403" t="str">
            <v>support Top - đỡ nóc</v>
          </cell>
          <cell r="H403" t="str">
            <v>Standard Wood - ALDER/ASPEN/LENGA/US POPLAR, 2 COM - T38 W120mm+ L2m+</v>
          </cell>
          <cell r="I403">
            <v>90</v>
          </cell>
        </row>
        <row r="404">
          <cell r="A404" t="str">
            <v>B557966/A</v>
          </cell>
          <cell r="B404" t="str">
            <v>AT522NM1241</v>
          </cell>
          <cell r="C404">
            <v>30</v>
          </cell>
          <cell r="D404">
            <v>398</v>
          </cell>
          <cell r="E404">
            <v>11940</v>
          </cell>
          <cell r="F404" t="str">
            <v>A3-S06</v>
          </cell>
          <cell r="G404" t="str">
            <v xml:space="preserve">Drawer front 1 - Mặt hộc kéo </v>
          </cell>
          <cell r="H404" t="str">
            <v>MDF - 12 x 1830 x 2440mm [CARB P2 Compliant]</v>
          </cell>
          <cell r="I404">
            <v>90</v>
          </cell>
        </row>
        <row r="405">
          <cell r="A405" t="str">
            <v>B557966/A</v>
          </cell>
          <cell r="B405" t="str">
            <v>AT522NM1241</v>
          </cell>
          <cell r="C405">
            <v>30</v>
          </cell>
          <cell r="D405">
            <v>398</v>
          </cell>
          <cell r="E405">
            <v>11940</v>
          </cell>
          <cell r="F405" t="str">
            <v>P01</v>
          </cell>
          <cell r="G405" t="str">
            <v xml:space="preserve">Top panel  - Ván nóc </v>
          </cell>
          <cell r="H405" t="str">
            <v>MDF - 15 x 1830 x 2440mm [CARB P2 Compliant]</v>
          </cell>
          <cell r="I405">
            <v>30</v>
          </cell>
        </row>
        <row r="406">
          <cell r="A406" t="str">
            <v>B557966/A</v>
          </cell>
          <cell r="B406" t="str">
            <v>AT522NM1241</v>
          </cell>
          <cell r="C406">
            <v>30</v>
          </cell>
          <cell r="D406">
            <v>398</v>
          </cell>
          <cell r="E406">
            <v>11940</v>
          </cell>
          <cell r="F406" t="str">
            <v>P02</v>
          </cell>
          <cell r="G406" t="str">
            <v>Front top rail  - Đố tiền nóc</v>
          </cell>
          <cell r="H406" t="str">
            <v>MDF - 15 x 1830 x 2440mm [CARB P2 Compliant]</v>
          </cell>
          <cell r="I406">
            <v>30</v>
          </cell>
        </row>
        <row r="407">
          <cell r="A407" t="str">
            <v>B557966/A</v>
          </cell>
          <cell r="B407" t="str">
            <v>AT522NM1241</v>
          </cell>
          <cell r="C407">
            <v>30</v>
          </cell>
          <cell r="D407">
            <v>398</v>
          </cell>
          <cell r="E407">
            <v>11940</v>
          </cell>
          <cell r="F407" t="str">
            <v>P03</v>
          </cell>
          <cell r="G407" t="str">
            <v>Cleat - Bọ gỗ</v>
          </cell>
          <cell r="H407" t="str">
            <v>Standard Wood - ALDER/ASPEN/LENGA/US POPLAR, 2 COM - T25 W120mm+ L2m+</v>
          </cell>
          <cell r="I407">
            <v>60</v>
          </cell>
        </row>
        <row r="408">
          <cell r="A408" t="str">
            <v>B557966/A</v>
          </cell>
          <cell r="B408" t="str">
            <v>AT522NM1241</v>
          </cell>
          <cell r="C408">
            <v>30</v>
          </cell>
          <cell r="D408">
            <v>398</v>
          </cell>
          <cell r="E408">
            <v>11940</v>
          </cell>
          <cell r="F408" t="str">
            <v>P04</v>
          </cell>
          <cell r="G408" t="str">
            <v>back rail - Đố hậu</v>
          </cell>
          <cell r="H408" t="str">
            <v>Wood US Poplar - Straight Edged, 2 COM - T25mm x W100mm Up x L1.8m Up</v>
          </cell>
          <cell r="I408">
            <v>30</v>
          </cell>
        </row>
        <row r="409">
          <cell r="A409" t="str">
            <v>B557966/A</v>
          </cell>
          <cell r="B409" t="str">
            <v>AT522NM1241</v>
          </cell>
          <cell r="C409">
            <v>30</v>
          </cell>
          <cell r="D409">
            <v>398</v>
          </cell>
          <cell r="E409">
            <v>11940</v>
          </cell>
          <cell r="F409" t="str">
            <v>P06</v>
          </cell>
          <cell r="G409" t="str">
            <v>Back panel - Ván hậu</v>
          </cell>
          <cell r="H409" t="str">
            <v>MDF - 15 x 1830 x 2440mm [CARB P2 Compliant]</v>
          </cell>
          <cell r="I409">
            <v>30</v>
          </cell>
        </row>
        <row r="410">
          <cell r="A410" t="str">
            <v>B557966/A</v>
          </cell>
          <cell r="B410" t="str">
            <v>AT522NM1241</v>
          </cell>
          <cell r="C410">
            <v>30</v>
          </cell>
          <cell r="D410">
            <v>398</v>
          </cell>
          <cell r="E410">
            <v>11940</v>
          </cell>
          <cell r="F410" t="str">
            <v>P06-1</v>
          </cell>
          <cell r="G410" t="str">
            <v>Back panel - Ván hậu</v>
          </cell>
          <cell r="H410" t="str">
            <v>Cement Board - 18 x 1220 x 2440mm, Dark Grey</v>
          </cell>
          <cell r="I410">
            <v>30</v>
          </cell>
        </row>
        <row r="411">
          <cell r="A411" t="str">
            <v>B557966/A</v>
          </cell>
          <cell r="B411" t="str">
            <v>AT522NM1241</v>
          </cell>
          <cell r="C411">
            <v>30</v>
          </cell>
          <cell r="D411">
            <v>398</v>
          </cell>
          <cell r="E411">
            <v>11940</v>
          </cell>
          <cell r="F411" t="str">
            <v>P07</v>
          </cell>
          <cell r="G411" t="str">
            <v>Spline - Lưỡi gà</v>
          </cell>
          <cell r="H411" t="str">
            <v>Plywood LVD - 06 x 1220 x 2440mm, Bleached Poplar Veneer Both Sides [CARB P2 Compliant]</v>
          </cell>
          <cell r="I411">
            <v>60</v>
          </cell>
        </row>
        <row r="412">
          <cell r="A412" t="str">
            <v>B557966/A</v>
          </cell>
          <cell r="B412" t="str">
            <v>AT522NM1241</v>
          </cell>
          <cell r="C412">
            <v>30</v>
          </cell>
          <cell r="D412">
            <v>398</v>
          </cell>
          <cell r="E412">
            <v>11940</v>
          </cell>
          <cell r="F412" t="str">
            <v>P08</v>
          </cell>
          <cell r="G412" t="str">
            <v>Spline - Lưỡi gà</v>
          </cell>
          <cell r="H412" t="str">
            <v>Plywood LVD - 06 x 1220 x 2440mm, Bleached Poplar Veneer Both Sides [CARB P2 Compliant]</v>
          </cell>
          <cell r="I412">
            <v>60</v>
          </cell>
        </row>
        <row r="413">
          <cell r="A413" t="str">
            <v>B557966/A</v>
          </cell>
          <cell r="B413" t="str">
            <v>AT522NM1241</v>
          </cell>
          <cell r="C413">
            <v>30</v>
          </cell>
          <cell r="D413">
            <v>398</v>
          </cell>
          <cell r="E413">
            <v>11940</v>
          </cell>
          <cell r="F413" t="str">
            <v>P08-1</v>
          </cell>
          <cell r="G413" t="str">
            <v>Spline - Lưỡi gà</v>
          </cell>
          <cell r="H413" t="str">
            <v>Plywood LVD - 06 x 1220 x 2440mm, Bleached Poplar Veneer Both Sides [CARB P2 Compliant]</v>
          </cell>
          <cell r="I413">
            <v>60</v>
          </cell>
        </row>
        <row r="414">
          <cell r="A414" t="str">
            <v>B557966/A</v>
          </cell>
          <cell r="B414" t="str">
            <v>AT522NM1241</v>
          </cell>
          <cell r="C414">
            <v>30</v>
          </cell>
          <cell r="D414">
            <v>398</v>
          </cell>
          <cell r="E414">
            <v>11940</v>
          </cell>
          <cell r="F414" t="str">
            <v>P09</v>
          </cell>
          <cell r="G414" t="str">
            <v>Spline - Lưỡi gà</v>
          </cell>
          <cell r="H414" t="str">
            <v>Plywood LVD - 06 x 1220 x 2440mm, Bleached Poplar Veneer Both Sides [CARB P2 Compliant]</v>
          </cell>
          <cell r="I414">
            <v>30</v>
          </cell>
        </row>
        <row r="415">
          <cell r="A415" t="str">
            <v>B557966/A</v>
          </cell>
          <cell r="B415" t="str">
            <v>AT522NM1241</v>
          </cell>
          <cell r="C415">
            <v>30</v>
          </cell>
          <cell r="D415">
            <v>398</v>
          </cell>
          <cell r="E415">
            <v>11940</v>
          </cell>
          <cell r="F415" t="str">
            <v>P10</v>
          </cell>
          <cell r="G415" t="str">
            <v>Drawer stop - Dừng hộc</v>
          </cell>
          <cell r="H415" t="str">
            <v>Poplar off cut</v>
          </cell>
          <cell r="I415">
            <v>180</v>
          </cell>
        </row>
        <row r="416">
          <cell r="A416" t="str">
            <v>B557015/A</v>
          </cell>
          <cell r="B416" t="str">
            <v>AT572M888</v>
          </cell>
          <cell r="C416">
            <v>25</v>
          </cell>
          <cell r="D416">
            <v>670</v>
          </cell>
          <cell r="E416">
            <v>16750</v>
          </cell>
          <cell r="F416" t="str">
            <v>A2-S1</v>
          </cell>
          <cell r="G416" t="str">
            <v xml:space="preserve">Side panel  - Ván hông </v>
          </cell>
          <cell r="H416" t="str">
            <v>MDF laminate</v>
          </cell>
          <cell r="I416">
            <v>50</v>
          </cell>
        </row>
        <row r="417">
          <cell r="A417" t="str">
            <v>B557015/A</v>
          </cell>
          <cell r="B417" t="str">
            <v>AT572M888</v>
          </cell>
          <cell r="C417">
            <v>25</v>
          </cell>
          <cell r="D417">
            <v>670</v>
          </cell>
          <cell r="E417">
            <v>16750</v>
          </cell>
          <cell r="F417" t="str">
            <v>A2-S2</v>
          </cell>
          <cell r="G417" t="str">
            <v xml:space="preserve">Panel - Ván </v>
          </cell>
          <cell r="H417" t="str">
            <v>MDF Veneer</v>
          </cell>
          <cell r="I417">
            <v>50</v>
          </cell>
        </row>
        <row r="418">
          <cell r="A418" t="str">
            <v>B557015/A</v>
          </cell>
          <cell r="B418" t="str">
            <v>AT572M888</v>
          </cell>
          <cell r="C418">
            <v>25</v>
          </cell>
          <cell r="D418">
            <v>670</v>
          </cell>
          <cell r="E418">
            <v>16750</v>
          </cell>
          <cell r="F418" t="str">
            <v>A2-S2-5</v>
          </cell>
          <cell r="G418" t="str">
            <v>Insert Wood - Gỗ chèn</v>
          </cell>
          <cell r="H418" t="str">
            <v>Beech off cut</v>
          </cell>
          <cell r="I418">
            <v>100</v>
          </cell>
        </row>
        <row r="419">
          <cell r="A419" t="str">
            <v>B557015/A</v>
          </cell>
          <cell r="B419" t="str">
            <v>AT572M888</v>
          </cell>
          <cell r="C419">
            <v>25</v>
          </cell>
          <cell r="D419">
            <v>670</v>
          </cell>
          <cell r="E419">
            <v>16750</v>
          </cell>
          <cell r="F419" t="str">
            <v>A2-S3</v>
          </cell>
          <cell r="G419" t="str">
            <v>Cleat - Bọ gỗ</v>
          </cell>
          <cell r="H419" t="str">
            <v>Wood EU Beech - Straight/Waving Edged AB, 1 COM - T26mm x W100mm up x L1.8m up</v>
          </cell>
          <cell r="I419">
            <v>150</v>
          </cell>
        </row>
        <row r="420">
          <cell r="A420" t="str">
            <v>B557015/A</v>
          </cell>
          <cell r="B420" t="str">
            <v>AT572M888</v>
          </cell>
          <cell r="C420">
            <v>25</v>
          </cell>
          <cell r="D420">
            <v>670</v>
          </cell>
          <cell r="E420">
            <v>16750</v>
          </cell>
          <cell r="F420" t="str">
            <v>A2-S4</v>
          </cell>
          <cell r="G420" t="str">
            <v xml:space="preserve">Side rail  - Đố hông </v>
          </cell>
          <cell r="H420" t="str">
            <v>Wood laminate</v>
          </cell>
          <cell r="I420">
            <v>100</v>
          </cell>
        </row>
        <row r="421">
          <cell r="A421" t="str">
            <v>B557015/A</v>
          </cell>
          <cell r="B421" t="str">
            <v>AT572M888</v>
          </cell>
          <cell r="C421">
            <v>25</v>
          </cell>
          <cell r="D421">
            <v>670</v>
          </cell>
          <cell r="E421">
            <v>16750</v>
          </cell>
          <cell r="F421" t="str">
            <v>A3.A</v>
          </cell>
          <cell r="G421" t="str">
            <v>Door panel  - Ván cửa</v>
          </cell>
          <cell r="H421" t="str">
            <v>Pre-Assembly</v>
          </cell>
          <cell r="I421">
            <v>50</v>
          </cell>
        </row>
        <row r="422">
          <cell r="A422" t="str">
            <v>B557015/A</v>
          </cell>
          <cell r="B422" t="str">
            <v>AT572M888</v>
          </cell>
          <cell r="C422">
            <v>25</v>
          </cell>
          <cell r="D422">
            <v>670</v>
          </cell>
          <cell r="E422">
            <v>16750</v>
          </cell>
          <cell r="F422" t="str">
            <v>A3-S1</v>
          </cell>
          <cell r="G422" t="str">
            <v>Door panel  - Ván cửa</v>
          </cell>
          <cell r="H422" t="str">
            <v>MDF laminate</v>
          </cell>
          <cell r="I422">
            <v>50</v>
          </cell>
        </row>
        <row r="423">
          <cell r="A423" t="str">
            <v>B557015/A</v>
          </cell>
          <cell r="B423" t="str">
            <v>AT572M888</v>
          </cell>
          <cell r="C423">
            <v>25</v>
          </cell>
          <cell r="D423">
            <v>670</v>
          </cell>
          <cell r="E423">
            <v>16750</v>
          </cell>
          <cell r="F423" t="str">
            <v>A3-S2</v>
          </cell>
          <cell r="G423" t="str">
            <v>Patching wood - Gỗ đắp</v>
          </cell>
          <cell r="H423" t="str">
            <v>Wood US Ash - Straight/Waving Edged, 1 COM - T26mm x W100mm up x L1.8m up</v>
          </cell>
          <cell r="I423">
            <v>50</v>
          </cell>
        </row>
        <row r="424">
          <cell r="A424" t="str">
            <v>B557015/A</v>
          </cell>
          <cell r="B424" t="str">
            <v>AT572M888</v>
          </cell>
          <cell r="C424">
            <v>25</v>
          </cell>
          <cell r="D424">
            <v>670</v>
          </cell>
          <cell r="E424">
            <v>16750</v>
          </cell>
          <cell r="F424" t="str">
            <v>A3-S3</v>
          </cell>
          <cell r="G424" t="str">
            <v>Insert Wood - Gỗ chèn</v>
          </cell>
          <cell r="H424" t="str">
            <v>Wood US Ash - Straight/Waving Edged, 1 COM - T26mm x W100mm up x L1.8m up</v>
          </cell>
          <cell r="I424">
            <v>50</v>
          </cell>
        </row>
        <row r="425">
          <cell r="A425" t="str">
            <v>B557015/A</v>
          </cell>
          <cell r="B425" t="str">
            <v>AT572M888</v>
          </cell>
          <cell r="C425">
            <v>25</v>
          </cell>
          <cell r="D425">
            <v>670</v>
          </cell>
          <cell r="E425">
            <v>16750</v>
          </cell>
          <cell r="F425" t="str">
            <v>P01</v>
          </cell>
          <cell r="G425" t="str">
            <v>Front rail  - Đố tiền</v>
          </cell>
          <cell r="H425" t="str">
            <v>Wood US Ash - Straight/Waving Edged, 1 COM - T32mm x L1.8m Up</v>
          </cell>
          <cell r="I425">
            <v>50</v>
          </cell>
        </row>
        <row r="426">
          <cell r="A426" t="str">
            <v>B557015/A</v>
          </cell>
          <cell r="B426" t="str">
            <v>AT572M888</v>
          </cell>
          <cell r="C426">
            <v>25</v>
          </cell>
          <cell r="D426">
            <v>670</v>
          </cell>
          <cell r="E426">
            <v>16750</v>
          </cell>
          <cell r="F426" t="str">
            <v>P02</v>
          </cell>
          <cell r="G426" t="str">
            <v>Shelf panel  - Ván kệ</v>
          </cell>
          <cell r="H426" t="str">
            <v>MDF Veneer</v>
          </cell>
          <cell r="I426">
            <v>25</v>
          </cell>
        </row>
        <row r="427">
          <cell r="A427" t="str">
            <v>B557015/A</v>
          </cell>
          <cell r="B427" t="str">
            <v>AT572M888</v>
          </cell>
          <cell r="C427">
            <v>25</v>
          </cell>
          <cell r="D427">
            <v>670</v>
          </cell>
          <cell r="E427">
            <v>16750</v>
          </cell>
          <cell r="F427" t="str">
            <v>P03</v>
          </cell>
          <cell r="G427" t="str">
            <v>Bottom panel - Ván đáy</v>
          </cell>
          <cell r="H427" t="str">
            <v>MDF Veneer</v>
          </cell>
          <cell r="I427">
            <v>25</v>
          </cell>
        </row>
        <row r="428">
          <cell r="A428" t="str">
            <v>B557015/A</v>
          </cell>
          <cell r="B428" t="str">
            <v>AT572M888</v>
          </cell>
          <cell r="C428">
            <v>25</v>
          </cell>
          <cell r="D428">
            <v>670</v>
          </cell>
          <cell r="E428">
            <v>16750</v>
          </cell>
          <cell r="F428" t="str">
            <v>P04</v>
          </cell>
          <cell r="G428" t="str">
            <v>Back panel - Ván hậu</v>
          </cell>
          <cell r="H428" t="str">
            <v>MDF Veneer</v>
          </cell>
          <cell r="I428">
            <v>25</v>
          </cell>
        </row>
        <row r="429">
          <cell r="A429" t="str">
            <v>B557015/A</v>
          </cell>
          <cell r="B429" t="str">
            <v>AT572M888</v>
          </cell>
          <cell r="C429">
            <v>25</v>
          </cell>
          <cell r="D429">
            <v>670</v>
          </cell>
          <cell r="E429">
            <v>16750</v>
          </cell>
          <cell r="F429" t="str">
            <v>P05</v>
          </cell>
          <cell r="G429" t="str">
            <v>Front rail  - Đố tiền</v>
          </cell>
          <cell r="H429" t="str">
            <v>Wood EU Beech - Straight/Waving Edged AB, 1 COM - T50mm x W100mm up x L1.8m up</v>
          </cell>
          <cell r="I429">
            <v>25</v>
          </cell>
        </row>
        <row r="430">
          <cell r="A430" t="str">
            <v>B557015/A</v>
          </cell>
          <cell r="B430" t="str">
            <v>AT572M888</v>
          </cell>
          <cell r="C430">
            <v>25</v>
          </cell>
          <cell r="D430">
            <v>670</v>
          </cell>
          <cell r="E430">
            <v>16750</v>
          </cell>
          <cell r="F430" t="str">
            <v>P06</v>
          </cell>
          <cell r="G430" t="str">
            <v>The leg  - Chân</v>
          </cell>
          <cell r="H430" t="str">
            <v>Wood US Ash - Straight/Waving Edged, 1 COM - T38mm x L1.8m Up</v>
          </cell>
          <cell r="I430">
            <v>100</v>
          </cell>
        </row>
        <row r="431">
          <cell r="A431" t="str">
            <v>B557015/A</v>
          </cell>
          <cell r="B431" t="str">
            <v>AT572M888</v>
          </cell>
          <cell r="C431">
            <v>25</v>
          </cell>
          <cell r="D431">
            <v>670</v>
          </cell>
          <cell r="E431">
            <v>16750</v>
          </cell>
          <cell r="F431" t="str">
            <v>P08</v>
          </cell>
          <cell r="G431" t="str">
            <v>Top rail - Đố nóc</v>
          </cell>
          <cell r="H431" t="str">
            <v>Wood EU Beech - Straight/Waving Edged AB, 1 COM - T26mm x W100mm up x L1.8m up</v>
          </cell>
          <cell r="I431">
            <v>75</v>
          </cell>
        </row>
        <row r="432">
          <cell r="A432" t="str">
            <v>B557015/A</v>
          </cell>
          <cell r="B432" t="str">
            <v>AT572M888</v>
          </cell>
          <cell r="C432">
            <v>25</v>
          </cell>
          <cell r="D432">
            <v>670</v>
          </cell>
          <cell r="E432">
            <v>16750</v>
          </cell>
          <cell r="F432" t="str">
            <v>P09</v>
          </cell>
          <cell r="G432" t="str">
            <v>Door stop - Dừng cửa</v>
          </cell>
          <cell r="H432" t="str">
            <v>MDF Veneer</v>
          </cell>
          <cell r="I432">
            <v>25</v>
          </cell>
        </row>
        <row r="433">
          <cell r="A433" t="str">
            <v>B557015/A</v>
          </cell>
          <cell r="B433" t="str">
            <v>AT572M888</v>
          </cell>
          <cell r="C433">
            <v>25</v>
          </cell>
          <cell r="D433">
            <v>670</v>
          </cell>
          <cell r="E433">
            <v>16750</v>
          </cell>
          <cell r="F433" t="str">
            <v>P10</v>
          </cell>
          <cell r="G433" t="str">
            <v>Top rail - Đố nóc</v>
          </cell>
          <cell r="H433" t="str">
            <v>Wood EU Beech - Straight/Waving Edged AB, 1 COM - T26mm x W100mm up x L1.8m up</v>
          </cell>
          <cell r="I433">
            <v>25</v>
          </cell>
        </row>
        <row r="434">
          <cell r="A434" t="str">
            <v>B557015/A</v>
          </cell>
          <cell r="B434" t="str">
            <v>AT572M888</v>
          </cell>
          <cell r="C434">
            <v>25</v>
          </cell>
          <cell r="D434">
            <v>670</v>
          </cell>
          <cell r="E434">
            <v>16750</v>
          </cell>
          <cell r="F434" t="str">
            <v>P11</v>
          </cell>
          <cell r="G434" t="str">
            <v>under top plywood send sudcon - ván gửi NCC dán đá</v>
          </cell>
          <cell r="H434" t="str">
            <v>Plywood Moisture-Resistant - 18 x 1220 x 2440mm [CARB P2 Compliant]</v>
          </cell>
          <cell r="I434">
            <v>25</v>
          </cell>
        </row>
        <row r="435">
          <cell r="A435" t="str">
            <v>B557892/A</v>
          </cell>
          <cell r="B435" t="str">
            <v>AT675M1059</v>
          </cell>
          <cell r="C435">
            <v>3</v>
          </cell>
          <cell r="D435">
            <v>299</v>
          </cell>
          <cell r="E435">
            <v>897</v>
          </cell>
          <cell r="F435" t="str">
            <v>A1-S01</v>
          </cell>
          <cell r="G435" t="str">
            <v xml:space="preserve">Top panel  - Ván nóc </v>
          </cell>
          <cell r="H435" t="str">
            <v>MDF - 18 x 1830 x 2440mm [CARB P2 Compliant]</v>
          </cell>
          <cell r="I435">
            <v>3</v>
          </cell>
        </row>
        <row r="436">
          <cell r="A436" t="str">
            <v>B557892/A</v>
          </cell>
          <cell r="B436" t="str">
            <v>AT675M1059</v>
          </cell>
          <cell r="C436">
            <v>3</v>
          </cell>
          <cell r="D436">
            <v>299</v>
          </cell>
          <cell r="E436">
            <v>897</v>
          </cell>
          <cell r="F436" t="str">
            <v>A1-S02</v>
          </cell>
          <cell r="G436" t="str">
            <v>Front rail  - Đố tiền</v>
          </cell>
          <cell r="H436" t="str">
            <v>Wood EU Beech - Straight/Waving Edged AB, 1 COM - T26mm x W100mm up x L1.8m up</v>
          </cell>
          <cell r="I436">
            <v>6</v>
          </cell>
        </row>
        <row r="437">
          <cell r="A437" t="str">
            <v>B557892/A</v>
          </cell>
          <cell r="B437" t="str">
            <v>AT675M1059</v>
          </cell>
          <cell r="C437">
            <v>3</v>
          </cell>
          <cell r="D437">
            <v>299</v>
          </cell>
          <cell r="E437">
            <v>897</v>
          </cell>
          <cell r="F437" t="str">
            <v>A1-S03</v>
          </cell>
          <cell r="G437" t="str">
            <v>Center rail - Đố giữa</v>
          </cell>
          <cell r="H437" t="str">
            <v>Wood Rubber Laminate Board - 20 x 1220 x 2440mm, Veneer Poplar both Faces</v>
          </cell>
          <cell r="I437">
            <v>6</v>
          </cell>
        </row>
        <row r="438">
          <cell r="A438" t="str">
            <v>B557892/A</v>
          </cell>
          <cell r="B438" t="str">
            <v>AT675M1059</v>
          </cell>
          <cell r="C438">
            <v>3</v>
          </cell>
          <cell r="D438">
            <v>299</v>
          </cell>
          <cell r="E438">
            <v>897</v>
          </cell>
          <cell r="F438" t="str">
            <v>A1-S04</v>
          </cell>
          <cell r="G438" t="str">
            <v>Spline - Lưỡi gà</v>
          </cell>
          <cell r="H438" t="str">
            <v>Plywood LVD - 06 x 1220 x 2440mm, Bleached Poplar Veneer Both Sides [CARB P2 Compliant]</v>
          </cell>
          <cell r="I438">
            <v>6</v>
          </cell>
        </row>
        <row r="439">
          <cell r="A439" t="str">
            <v>B557892/A</v>
          </cell>
          <cell r="B439" t="str">
            <v>AT675M1059</v>
          </cell>
          <cell r="C439">
            <v>3</v>
          </cell>
          <cell r="D439">
            <v>299</v>
          </cell>
          <cell r="E439">
            <v>897</v>
          </cell>
          <cell r="F439" t="str">
            <v>P01</v>
          </cell>
          <cell r="G439" t="str">
            <v>The leg  - Chân</v>
          </cell>
          <cell r="H439" t="str">
            <v>MDF laminate</v>
          </cell>
          <cell r="I439">
            <v>6</v>
          </cell>
        </row>
        <row r="440">
          <cell r="A440" t="str">
            <v>B557892/A</v>
          </cell>
          <cell r="B440" t="str">
            <v>AT675M1059</v>
          </cell>
          <cell r="C440">
            <v>3</v>
          </cell>
          <cell r="D440">
            <v>299</v>
          </cell>
          <cell r="E440">
            <v>897</v>
          </cell>
          <cell r="F440" t="str">
            <v>P01-1</v>
          </cell>
          <cell r="G440" t="str">
            <v>Insert Wood - Gỗ chèn</v>
          </cell>
          <cell r="H440" t="str">
            <v>Beech off cut</v>
          </cell>
          <cell r="I440">
            <v>12</v>
          </cell>
        </row>
        <row r="441">
          <cell r="A441" t="str">
            <v>B557892/A</v>
          </cell>
          <cell r="B441" t="str">
            <v>AT675M1059</v>
          </cell>
          <cell r="C441">
            <v>3</v>
          </cell>
          <cell r="D441">
            <v>299</v>
          </cell>
          <cell r="E441">
            <v>897</v>
          </cell>
          <cell r="F441" t="str">
            <v>P02</v>
          </cell>
          <cell r="G441" t="str">
            <v>Corner block - ke góc</v>
          </cell>
          <cell r="H441" t="str">
            <v>Beech off cut</v>
          </cell>
          <cell r="I441">
            <v>12</v>
          </cell>
        </row>
        <row r="442">
          <cell r="A442" t="str">
            <v>B557892/A</v>
          </cell>
          <cell r="B442" t="str">
            <v>AT675M1059</v>
          </cell>
          <cell r="C442">
            <v>3</v>
          </cell>
          <cell r="D442">
            <v>299</v>
          </cell>
          <cell r="E442">
            <v>897</v>
          </cell>
          <cell r="F442" t="str">
            <v>P03</v>
          </cell>
          <cell r="G442" t="str">
            <v>Cleat - Bọ gỗ</v>
          </cell>
          <cell r="H442" t="str">
            <v>Beech off cut</v>
          </cell>
          <cell r="I442">
            <v>6</v>
          </cell>
        </row>
        <row r="443">
          <cell r="A443" t="str">
            <v>B557892/A</v>
          </cell>
          <cell r="B443" t="str">
            <v>AT675M1059</v>
          </cell>
          <cell r="C443">
            <v>3</v>
          </cell>
          <cell r="D443">
            <v>299</v>
          </cell>
          <cell r="E443">
            <v>897</v>
          </cell>
          <cell r="F443" t="str">
            <v>P04</v>
          </cell>
          <cell r="G443" t="str">
            <v>Spline - Lưỡi gà</v>
          </cell>
          <cell r="H443" t="str">
            <v>Plywood LVD - 06 x 1220 x 2440mm, Bleached Poplar Veneer Both Sides [CARB P2 Compliant]</v>
          </cell>
          <cell r="I443">
            <v>6</v>
          </cell>
        </row>
        <row r="444">
          <cell r="A444" t="str">
            <v>B558281/A</v>
          </cell>
          <cell r="B444" t="str">
            <v>DL015M836</v>
          </cell>
          <cell r="C444">
            <v>60</v>
          </cell>
          <cell r="D444">
            <v>418</v>
          </cell>
          <cell r="E444">
            <v>25080</v>
          </cell>
          <cell r="F444" t="str">
            <v>A1-S01</v>
          </cell>
          <cell r="G444" t="str">
            <v xml:space="preserve">Drawer front - Mặt hộc kéo </v>
          </cell>
          <cell r="H444" t="str">
            <v>Wood Acacia - Straight/Waving Edged - T25mm x W100mm Up x L1m Up (FSC Certificate or Low-risk regions)</v>
          </cell>
          <cell r="I444">
            <v>60</v>
          </cell>
        </row>
        <row r="445">
          <cell r="A445" t="str">
            <v>B558281/A</v>
          </cell>
          <cell r="B445" t="str">
            <v>DL015M836</v>
          </cell>
          <cell r="C445">
            <v>60</v>
          </cell>
          <cell r="D445">
            <v>418</v>
          </cell>
          <cell r="E445">
            <v>25080</v>
          </cell>
          <cell r="F445" t="str">
            <v>A1-S01-1</v>
          </cell>
          <cell r="G445" t="str">
            <v>Patching wood - Gỗ đắp</v>
          </cell>
          <cell r="H445" t="str">
            <v>Wood Acacia - Straight/Waving Edged - T35mm x W100mm Up x L1.5m Up (FSC Certificate or Low-risk regions)</v>
          </cell>
          <cell r="I445">
            <v>120</v>
          </cell>
        </row>
        <row r="446">
          <cell r="A446" t="str">
            <v>B558281/A</v>
          </cell>
          <cell r="B446" t="str">
            <v>DL015M836</v>
          </cell>
          <cell r="C446">
            <v>60</v>
          </cell>
          <cell r="D446">
            <v>418</v>
          </cell>
          <cell r="E446">
            <v>25080</v>
          </cell>
          <cell r="F446" t="str">
            <v>A1-S02</v>
          </cell>
          <cell r="G446" t="str">
            <v xml:space="preserve">Drawer front 1 - Mặt hộc kéo </v>
          </cell>
          <cell r="H446" t="str">
            <v>MDF Veneer</v>
          </cell>
          <cell r="I446">
            <v>60</v>
          </cell>
        </row>
        <row r="447">
          <cell r="A447" t="str">
            <v>B558281/A</v>
          </cell>
          <cell r="B447" t="str">
            <v>DL015M836</v>
          </cell>
          <cell r="C447">
            <v>60</v>
          </cell>
          <cell r="D447">
            <v>418</v>
          </cell>
          <cell r="E447">
            <v>25080</v>
          </cell>
          <cell r="F447" t="str">
            <v>A1-S03</v>
          </cell>
          <cell r="G447" t="str">
            <v>Drawer side - Hông hộc kéo</v>
          </cell>
          <cell r="H447" t="str">
            <v>MDF Veneer</v>
          </cell>
          <cell r="I447">
            <v>120</v>
          </cell>
        </row>
        <row r="448">
          <cell r="A448" t="str">
            <v>B558281/A</v>
          </cell>
          <cell r="B448" t="str">
            <v>DL015M836</v>
          </cell>
          <cell r="C448">
            <v>60</v>
          </cell>
          <cell r="D448">
            <v>418</v>
          </cell>
          <cell r="E448">
            <v>25080</v>
          </cell>
          <cell r="F448" t="str">
            <v>A1-S04</v>
          </cell>
          <cell r="G448" t="str">
            <v>Drawer back - Hậu hộc kéo</v>
          </cell>
          <cell r="H448" t="str">
            <v>MDF Veneer</v>
          </cell>
          <cell r="I448">
            <v>120</v>
          </cell>
        </row>
        <row r="449">
          <cell r="A449" t="str">
            <v>B558281/A</v>
          </cell>
          <cell r="B449" t="str">
            <v>DL015M836</v>
          </cell>
          <cell r="C449">
            <v>60</v>
          </cell>
          <cell r="D449">
            <v>418</v>
          </cell>
          <cell r="E449">
            <v>25080</v>
          </cell>
          <cell r="F449" t="str">
            <v>A1-S05</v>
          </cell>
          <cell r="G449" t="str">
            <v>Drawer side - Hông hộc kéo</v>
          </cell>
          <cell r="H449" t="str">
            <v>MDF Veneer</v>
          </cell>
          <cell r="I449">
            <v>120</v>
          </cell>
        </row>
        <row r="450">
          <cell r="A450" t="str">
            <v>B558281/A</v>
          </cell>
          <cell r="B450" t="str">
            <v>DL015M836</v>
          </cell>
          <cell r="C450">
            <v>60</v>
          </cell>
          <cell r="D450">
            <v>418</v>
          </cell>
          <cell r="E450">
            <v>25080</v>
          </cell>
          <cell r="F450" t="str">
            <v>A1-S06</v>
          </cell>
          <cell r="G450" t="str">
            <v>Drawer back - Hậu hộc kéo</v>
          </cell>
          <cell r="H450" t="str">
            <v>MDF Veneer</v>
          </cell>
          <cell r="I450">
            <v>60</v>
          </cell>
        </row>
        <row r="451">
          <cell r="A451" t="str">
            <v>B558281/A</v>
          </cell>
          <cell r="B451" t="str">
            <v>DL015M836</v>
          </cell>
          <cell r="C451">
            <v>60</v>
          </cell>
          <cell r="D451">
            <v>418</v>
          </cell>
          <cell r="E451">
            <v>25080</v>
          </cell>
          <cell r="F451" t="str">
            <v>A1-S07A</v>
          </cell>
          <cell r="G451" t="str">
            <v>Drawer bottom  - Đáy hộc kéo</v>
          </cell>
          <cell r="H451" t="str">
            <v>MDF Veneer</v>
          </cell>
          <cell r="I451">
            <v>60</v>
          </cell>
        </row>
        <row r="452">
          <cell r="A452" t="str">
            <v>B558281/A</v>
          </cell>
          <cell r="B452" t="str">
            <v>DL015M836</v>
          </cell>
          <cell r="C452">
            <v>60</v>
          </cell>
          <cell r="D452">
            <v>418</v>
          </cell>
          <cell r="E452">
            <v>25080</v>
          </cell>
          <cell r="F452" t="str">
            <v>A1-S08</v>
          </cell>
          <cell r="G452" t="str">
            <v>Cleat - Bọ gỗ</v>
          </cell>
          <cell r="H452" t="str">
            <v>Poplar off cut</v>
          </cell>
          <cell r="I452">
            <v>120</v>
          </cell>
        </row>
        <row r="453">
          <cell r="A453" t="str">
            <v>B558281/A</v>
          </cell>
          <cell r="B453" t="str">
            <v>DL015M836</v>
          </cell>
          <cell r="C453">
            <v>60</v>
          </cell>
          <cell r="D453">
            <v>418</v>
          </cell>
          <cell r="E453">
            <v>25080</v>
          </cell>
          <cell r="F453" t="str">
            <v>A1-S09</v>
          </cell>
          <cell r="G453" t="str">
            <v>Patching wood - Gỗ đắp</v>
          </cell>
          <cell r="H453" t="str">
            <v>Wood Acacia - Straight/Waving Edged - T35mm x W100mm Up x L1.5m Up (FSC Certificate or Low-risk regions)</v>
          </cell>
          <cell r="I453">
            <v>120</v>
          </cell>
        </row>
        <row r="454">
          <cell r="A454" t="str">
            <v>B558281/A</v>
          </cell>
          <cell r="B454" t="str">
            <v>DL015M836</v>
          </cell>
          <cell r="C454">
            <v>60</v>
          </cell>
          <cell r="D454">
            <v>418</v>
          </cell>
          <cell r="E454">
            <v>25080</v>
          </cell>
          <cell r="F454" t="str">
            <v>A1-S10</v>
          </cell>
          <cell r="G454" t="str">
            <v>Patching wood - Gỗ đắp</v>
          </cell>
          <cell r="H454" t="str">
            <v>Wood Acacia - Straight/Waving Edged - T35mm x W100mm Up x L1.5m Up (FSC Certificate or Low-risk regions)</v>
          </cell>
          <cell r="I454">
            <v>120</v>
          </cell>
        </row>
        <row r="455">
          <cell r="A455" t="str">
            <v>B558281/A</v>
          </cell>
          <cell r="B455" t="str">
            <v>DL015M836</v>
          </cell>
          <cell r="C455">
            <v>60</v>
          </cell>
          <cell r="D455">
            <v>418</v>
          </cell>
          <cell r="E455">
            <v>25080</v>
          </cell>
          <cell r="F455" t="str">
            <v>A1-S11</v>
          </cell>
          <cell r="G455" t="str">
            <v>Patching wood - Gỗ đắp</v>
          </cell>
          <cell r="H455" t="str">
            <v>Wood Acacia - Straight/Waving Edged - T35mm x W100mm Up x L1.5m Up (FSC Certificate or Low-risk regions)</v>
          </cell>
          <cell r="I455">
            <v>120</v>
          </cell>
        </row>
        <row r="456">
          <cell r="A456" t="str">
            <v>B558281/A</v>
          </cell>
          <cell r="B456" t="str">
            <v>DL015M836</v>
          </cell>
          <cell r="C456">
            <v>60</v>
          </cell>
          <cell r="D456">
            <v>418</v>
          </cell>
          <cell r="E456">
            <v>25080</v>
          </cell>
          <cell r="F456" t="str">
            <v>A1-S12</v>
          </cell>
          <cell r="G456" t="str">
            <v>Patching wood - Gỗ đắp</v>
          </cell>
          <cell r="H456" t="str">
            <v>Wood Acacia - Straight/Waving Edged - T35mm x W100mm Up x L1.5m Up (FSC Certificate or Low-risk regions)</v>
          </cell>
          <cell r="I456">
            <v>60</v>
          </cell>
        </row>
        <row r="457">
          <cell r="A457" t="str">
            <v>B558281/A</v>
          </cell>
          <cell r="B457" t="str">
            <v>DL015M836</v>
          </cell>
          <cell r="C457">
            <v>60</v>
          </cell>
          <cell r="D457">
            <v>418</v>
          </cell>
          <cell r="E457">
            <v>25080</v>
          </cell>
          <cell r="F457" t="str">
            <v>A1-S13</v>
          </cell>
          <cell r="G457" t="str">
            <v>Patching wood - Gỗ đắp</v>
          </cell>
          <cell r="H457" t="str">
            <v>Wood Acacia - Straight/Waving Edged - T35mm x W100mm Up x L1.5m Up (FSC Certificate or Low-risk regions)</v>
          </cell>
          <cell r="I457">
            <v>60</v>
          </cell>
        </row>
        <row r="458">
          <cell r="A458" t="str">
            <v>B558281/A</v>
          </cell>
          <cell r="B458" t="str">
            <v>DL015M836</v>
          </cell>
          <cell r="C458">
            <v>60</v>
          </cell>
          <cell r="D458">
            <v>418</v>
          </cell>
          <cell r="E458">
            <v>25080</v>
          </cell>
          <cell r="F458" t="str">
            <v>A1-S14</v>
          </cell>
          <cell r="G458" t="str">
            <v>MDF - MDF</v>
          </cell>
          <cell r="H458" t="str">
            <v>MDF OFF CUT</v>
          </cell>
          <cell r="I458">
            <v>60</v>
          </cell>
        </row>
        <row r="459">
          <cell r="A459" t="str">
            <v>B558281/A</v>
          </cell>
          <cell r="B459" t="str">
            <v>DL015M836</v>
          </cell>
          <cell r="C459">
            <v>60</v>
          </cell>
          <cell r="D459">
            <v>418</v>
          </cell>
          <cell r="E459">
            <v>25080</v>
          </cell>
          <cell r="F459" t="str">
            <v>P01</v>
          </cell>
          <cell r="G459" t="str">
            <v xml:space="preserve">Side panel  - Ván hông </v>
          </cell>
          <cell r="H459" t="str">
            <v>Pre-Assembly</v>
          </cell>
          <cell r="I459">
            <v>120</v>
          </cell>
        </row>
        <row r="460">
          <cell r="A460" t="str">
            <v>B558281/A</v>
          </cell>
          <cell r="B460" t="str">
            <v>DL015M836</v>
          </cell>
          <cell r="C460">
            <v>60</v>
          </cell>
          <cell r="D460">
            <v>418</v>
          </cell>
          <cell r="E460">
            <v>25080</v>
          </cell>
          <cell r="F460" t="str">
            <v>P01-1</v>
          </cell>
          <cell r="G460" t="str">
            <v xml:space="preserve">Side panel  - Ván hông </v>
          </cell>
          <cell r="H460" t="str">
            <v>MDF Veneer</v>
          </cell>
          <cell r="I460">
            <v>120</v>
          </cell>
        </row>
        <row r="461">
          <cell r="A461" t="str">
            <v>B558281/A</v>
          </cell>
          <cell r="B461" t="str">
            <v>DL015M836</v>
          </cell>
          <cell r="C461">
            <v>60</v>
          </cell>
          <cell r="D461">
            <v>418</v>
          </cell>
          <cell r="E461">
            <v>25080</v>
          </cell>
          <cell r="F461" t="str">
            <v>P01-2</v>
          </cell>
          <cell r="G461" t="str">
            <v>Patching wood - Gỗ đắp</v>
          </cell>
          <cell r="H461" t="str">
            <v>Veneer laminate</v>
          </cell>
          <cell r="I461">
            <v>120</v>
          </cell>
        </row>
        <row r="462">
          <cell r="A462" t="str">
            <v>B558281/A</v>
          </cell>
          <cell r="B462" t="str">
            <v>DL015M836</v>
          </cell>
          <cell r="C462">
            <v>60</v>
          </cell>
          <cell r="D462">
            <v>418</v>
          </cell>
          <cell r="E462">
            <v>25080</v>
          </cell>
          <cell r="F462" t="str">
            <v>P01-3</v>
          </cell>
          <cell r="G462" t="str">
            <v>Patching wood - Gỗ đắp</v>
          </cell>
          <cell r="H462" t="str">
            <v>Veneer laminate</v>
          </cell>
          <cell r="I462">
            <v>120</v>
          </cell>
        </row>
        <row r="463">
          <cell r="A463" t="str">
            <v>B558281/A</v>
          </cell>
          <cell r="B463" t="str">
            <v>DL015M836</v>
          </cell>
          <cell r="C463">
            <v>60</v>
          </cell>
          <cell r="D463">
            <v>418</v>
          </cell>
          <cell r="E463">
            <v>25080</v>
          </cell>
          <cell r="F463" t="str">
            <v>P01-4</v>
          </cell>
          <cell r="G463" t="str">
            <v>Insert Wood - Gỗ chèn</v>
          </cell>
          <cell r="H463" t="str">
            <v>Beech off cut</v>
          </cell>
          <cell r="I463">
            <v>240</v>
          </cell>
        </row>
        <row r="464">
          <cell r="A464" t="str">
            <v>B558281/A</v>
          </cell>
          <cell r="B464" t="str">
            <v>DL015M836</v>
          </cell>
          <cell r="C464">
            <v>60</v>
          </cell>
          <cell r="D464">
            <v>418</v>
          </cell>
          <cell r="E464">
            <v>25080</v>
          </cell>
          <cell r="F464" t="str">
            <v>P02</v>
          </cell>
          <cell r="G464" t="str">
            <v>Bottom frame - Khung dưới</v>
          </cell>
          <cell r="H464" t="str">
            <v>Pre-Assembly</v>
          </cell>
          <cell r="I464">
            <v>60</v>
          </cell>
        </row>
        <row r="465">
          <cell r="A465" t="str">
            <v>B558281/A</v>
          </cell>
          <cell r="B465" t="str">
            <v>DL015M836</v>
          </cell>
          <cell r="C465">
            <v>60</v>
          </cell>
          <cell r="D465">
            <v>418</v>
          </cell>
          <cell r="E465">
            <v>25080</v>
          </cell>
          <cell r="F465" t="str">
            <v>P02-1</v>
          </cell>
          <cell r="G465" t="str">
            <v>Bottom panel - Ván đáy</v>
          </cell>
          <cell r="H465" t="str">
            <v>MDF Veneer</v>
          </cell>
          <cell r="I465">
            <v>60</v>
          </cell>
        </row>
        <row r="466">
          <cell r="A466" t="str">
            <v>B558281/A</v>
          </cell>
          <cell r="B466" t="str">
            <v>DL015M836</v>
          </cell>
          <cell r="C466">
            <v>60</v>
          </cell>
          <cell r="D466">
            <v>418</v>
          </cell>
          <cell r="E466">
            <v>25080</v>
          </cell>
          <cell r="F466" t="str">
            <v>P02-2</v>
          </cell>
          <cell r="G466" t="str">
            <v>Patching wood - Gỗ đắp</v>
          </cell>
          <cell r="H466" t="str">
            <v>MDF Veneer</v>
          </cell>
          <cell r="I466">
            <v>60</v>
          </cell>
        </row>
        <row r="467">
          <cell r="A467" t="str">
            <v>B558281/A</v>
          </cell>
          <cell r="B467" t="str">
            <v>DL015M836</v>
          </cell>
          <cell r="C467">
            <v>60</v>
          </cell>
          <cell r="D467">
            <v>418</v>
          </cell>
          <cell r="E467">
            <v>25080</v>
          </cell>
          <cell r="F467" t="str">
            <v>P02-3</v>
          </cell>
          <cell r="G467" t="str">
            <v>Patching wood - Gỗ đắp</v>
          </cell>
          <cell r="H467" t="str">
            <v>MDF Veneer</v>
          </cell>
          <cell r="I467">
            <v>120</v>
          </cell>
        </row>
        <row r="468">
          <cell r="A468" t="str">
            <v>B558281/A</v>
          </cell>
          <cell r="B468" t="str">
            <v>DL015M836</v>
          </cell>
          <cell r="C468">
            <v>60</v>
          </cell>
          <cell r="D468">
            <v>418</v>
          </cell>
          <cell r="E468">
            <v>25080</v>
          </cell>
          <cell r="F468" t="str">
            <v>P02-4</v>
          </cell>
          <cell r="G468" t="str">
            <v>Patching wood - Gỗ đắp</v>
          </cell>
          <cell r="H468" t="str">
            <v>Wood EU Beech - Straight/Waving Edged ABC, 2 COM - T50mm x W100mm up x L1.8m up</v>
          </cell>
          <cell r="I468">
            <v>60</v>
          </cell>
        </row>
        <row r="469">
          <cell r="A469" t="str">
            <v>B558281/A</v>
          </cell>
          <cell r="B469" t="str">
            <v>DL015M836</v>
          </cell>
          <cell r="C469">
            <v>60</v>
          </cell>
          <cell r="D469">
            <v>418</v>
          </cell>
          <cell r="E469">
            <v>25080</v>
          </cell>
          <cell r="F469" t="str">
            <v>P02-5</v>
          </cell>
          <cell r="G469" t="str">
            <v>Patching wood - Gỗ đắp</v>
          </cell>
          <cell r="H469" t="str">
            <v>Wood Acacia - Straight/Waving Edged - T35mm x W100mm Up x L1.5m Up (FSC Certificate or Low-risk regions)</v>
          </cell>
          <cell r="I469">
            <v>120</v>
          </cell>
        </row>
        <row r="470">
          <cell r="A470" t="str">
            <v>B558281/A</v>
          </cell>
          <cell r="B470" t="str">
            <v>DL015M836</v>
          </cell>
          <cell r="C470">
            <v>60</v>
          </cell>
          <cell r="D470">
            <v>418</v>
          </cell>
          <cell r="E470">
            <v>25080</v>
          </cell>
          <cell r="F470" t="str">
            <v>P03</v>
          </cell>
          <cell r="G470" t="str">
            <v>Top rail - Đố nóc</v>
          </cell>
          <cell r="H470" t="str">
            <v>Wood US Poplar - Straight Edged, 2 COM - T25mm x W100mm Up x L1.8m Up</v>
          </cell>
          <cell r="I470">
            <v>60</v>
          </cell>
        </row>
        <row r="471">
          <cell r="A471" t="str">
            <v>B558281/A</v>
          </cell>
          <cell r="B471" t="str">
            <v>DL015M836</v>
          </cell>
          <cell r="C471">
            <v>60</v>
          </cell>
          <cell r="D471">
            <v>418</v>
          </cell>
          <cell r="E471">
            <v>25080</v>
          </cell>
          <cell r="F471" t="str">
            <v>P04</v>
          </cell>
          <cell r="G471" t="str">
            <v>Top rail - Đố nóc</v>
          </cell>
          <cell r="H471" t="str">
            <v>Wood Acacia - Straight/Waving Edged - T25mm x W100mm Up x L1m Up (FSC Certificate or Low-risk regions)</v>
          </cell>
          <cell r="I471">
            <v>120</v>
          </cell>
        </row>
        <row r="472">
          <cell r="A472" t="str">
            <v>B558281/A</v>
          </cell>
          <cell r="B472" t="str">
            <v>DL015M836</v>
          </cell>
          <cell r="C472">
            <v>60</v>
          </cell>
          <cell r="D472">
            <v>418</v>
          </cell>
          <cell r="E472">
            <v>25080</v>
          </cell>
          <cell r="F472" t="str">
            <v>P05</v>
          </cell>
          <cell r="G472" t="str">
            <v>Back rail with note finger - đố hậu</v>
          </cell>
          <cell r="H472" t="str">
            <v>Wood EU Beech - Straight/Waving Edged ABC, 2 COM - T26mm x W100mm up x L1.8m up</v>
          </cell>
          <cell r="I472">
            <v>60</v>
          </cell>
        </row>
        <row r="473">
          <cell r="A473" t="str">
            <v>B558281/A</v>
          </cell>
          <cell r="B473" t="str">
            <v>DL015M836</v>
          </cell>
          <cell r="C473">
            <v>60</v>
          </cell>
          <cell r="D473">
            <v>418</v>
          </cell>
          <cell r="E473">
            <v>25080</v>
          </cell>
          <cell r="F473" t="str">
            <v>P06</v>
          </cell>
          <cell r="G473" t="str">
            <v>Back panel - Ván hậu</v>
          </cell>
          <cell r="H473" t="str">
            <v>MDF Veneer</v>
          </cell>
          <cell r="I473">
            <v>60</v>
          </cell>
        </row>
        <row r="474">
          <cell r="A474" t="str">
            <v>B558281/A</v>
          </cell>
          <cell r="B474" t="str">
            <v>DL015M836</v>
          </cell>
          <cell r="C474">
            <v>60</v>
          </cell>
          <cell r="D474">
            <v>418</v>
          </cell>
          <cell r="E474">
            <v>25080</v>
          </cell>
          <cell r="F474" t="str">
            <v>P07</v>
          </cell>
          <cell r="G474" t="str">
            <v>Vertical rail 1 - Đố đứng 1</v>
          </cell>
          <cell r="H474" t="str">
            <v>Wood Acacia - Straight/Waving Edged - T25mm x W100mm Up x L1m Up (FSC Certificate or Low-risk regions)</v>
          </cell>
          <cell r="I474">
            <v>120</v>
          </cell>
        </row>
        <row r="475">
          <cell r="A475" t="str">
            <v>B558281/A</v>
          </cell>
          <cell r="B475" t="str">
            <v>DL015M836</v>
          </cell>
          <cell r="C475">
            <v>60</v>
          </cell>
          <cell r="D475">
            <v>418</v>
          </cell>
          <cell r="E475">
            <v>25080</v>
          </cell>
          <cell r="F475" t="str">
            <v>P08</v>
          </cell>
          <cell r="G475" t="str">
            <v>Bottom panel - Ván đáy</v>
          </cell>
          <cell r="H475" t="str">
            <v>MDF Veneer</v>
          </cell>
          <cell r="I475">
            <v>60</v>
          </cell>
        </row>
        <row r="476">
          <cell r="A476" t="str">
            <v>B558281/A</v>
          </cell>
          <cell r="B476" t="str">
            <v>DL015M836</v>
          </cell>
          <cell r="C476">
            <v>60</v>
          </cell>
          <cell r="D476">
            <v>418</v>
          </cell>
          <cell r="E476">
            <v>25080</v>
          </cell>
          <cell r="F476" t="str">
            <v>P09</v>
          </cell>
          <cell r="G476" t="str">
            <v>Horizontal rail 1 - Đố ngang 1</v>
          </cell>
          <cell r="H476" t="str">
            <v>Wood Acacia - Straight/Waving Edged - T25mm x W100mm Up x L1m Up (FSC Certificate or Low-risk regions)</v>
          </cell>
          <cell r="I476">
            <v>120</v>
          </cell>
        </row>
        <row r="477">
          <cell r="A477" t="str">
            <v>B558281/A</v>
          </cell>
          <cell r="B477" t="str">
            <v>DL015M836</v>
          </cell>
          <cell r="C477">
            <v>60</v>
          </cell>
          <cell r="D477">
            <v>418</v>
          </cell>
          <cell r="E477">
            <v>25080</v>
          </cell>
          <cell r="F477" t="str">
            <v>P09-1</v>
          </cell>
          <cell r="G477" t="str">
            <v>Horizontal rail 1 - Đố ngang 1</v>
          </cell>
          <cell r="H477" t="str">
            <v>Poplar off cut</v>
          </cell>
          <cell r="I477">
            <v>120</v>
          </cell>
        </row>
        <row r="478">
          <cell r="A478" t="str">
            <v>B558281/A</v>
          </cell>
          <cell r="B478" t="str">
            <v>DL015M836</v>
          </cell>
          <cell r="C478">
            <v>60</v>
          </cell>
          <cell r="D478">
            <v>418</v>
          </cell>
          <cell r="E478">
            <v>25080</v>
          </cell>
          <cell r="F478" t="str">
            <v>P10</v>
          </cell>
          <cell r="G478" t="str">
            <v>Patching wood - Gỗ đắp</v>
          </cell>
          <cell r="H478" t="str">
            <v>Wood Acacia - Straight/Waving Edged - T25mm x W100mm Up x L1m Up (FSC Certificate or Low-risk regions)</v>
          </cell>
          <cell r="I478">
            <v>120</v>
          </cell>
        </row>
        <row r="479">
          <cell r="A479" t="str">
            <v>B558281/A</v>
          </cell>
          <cell r="B479" t="str">
            <v>DL015M836</v>
          </cell>
          <cell r="C479">
            <v>60</v>
          </cell>
          <cell r="D479">
            <v>418</v>
          </cell>
          <cell r="E479">
            <v>25080</v>
          </cell>
          <cell r="F479" t="str">
            <v>P11</v>
          </cell>
          <cell r="G479" t="str">
            <v>Fixed Shelf  - Kệ bắt chết</v>
          </cell>
          <cell r="H479" t="str">
            <v>Pre-Assembly</v>
          </cell>
          <cell r="I479">
            <v>60</v>
          </cell>
        </row>
        <row r="480">
          <cell r="A480" t="str">
            <v>B558281/A</v>
          </cell>
          <cell r="B480" t="str">
            <v>DL015M836</v>
          </cell>
          <cell r="C480">
            <v>60</v>
          </cell>
          <cell r="D480">
            <v>418</v>
          </cell>
          <cell r="E480">
            <v>25080</v>
          </cell>
          <cell r="F480" t="str">
            <v>P11-1</v>
          </cell>
          <cell r="G480" t="str">
            <v>Patching wood - Gỗ đắp</v>
          </cell>
          <cell r="H480" t="str">
            <v>Wood Acacia - Straight/Waving Edged - T25mm x W100mm Up x L1m Up (FSC Certificate or Low-risk regions)</v>
          </cell>
          <cell r="I480">
            <v>60</v>
          </cell>
        </row>
        <row r="481">
          <cell r="A481" t="str">
            <v>B558281/A</v>
          </cell>
          <cell r="B481" t="str">
            <v>DL015M836</v>
          </cell>
          <cell r="C481">
            <v>60</v>
          </cell>
          <cell r="D481">
            <v>418</v>
          </cell>
          <cell r="E481">
            <v>25080</v>
          </cell>
          <cell r="F481" t="str">
            <v>P11-2</v>
          </cell>
          <cell r="G481" t="str">
            <v>Fixed Shelf  - Kệ bắt chết</v>
          </cell>
          <cell r="H481" t="str">
            <v>MDF Veneer</v>
          </cell>
          <cell r="I481">
            <v>60</v>
          </cell>
        </row>
        <row r="482">
          <cell r="A482" t="str">
            <v>B558281/A</v>
          </cell>
          <cell r="B482" t="str">
            <v>DL015M836</v>
          </cell>
          <cell r="C482">
            <v>60</v>
          </cell>
          <cell r="D482">
            <v>418</v>
          </cell>
          <cell r="E482">
            <v>25080</v>
          </cell>
          <cell r="F482" t="str">
            <v>P12</v>
          </cell>
          <cell r="G482" t="str">
            <v>Door Frame - Khung cửa</v>
          </cell>
          <cell r="H482" t="str">
            <v>Pre-Assembly</v>
          </cell>
          <cell r="I482">
            <v>120</v>
          </cell>
        </row>
        <row r="483">
          <cell r="A483" t="str">
            <v>B558281/A</v>
          </cell>
          <cell r="B483" t="str">
            <v>DL015M836</v>
          </cell>
          <cell r="C483">
            <v>60</v>
          </cell>
          <cell r="D483">
            <v>418</v>
          </cell>
          <cell r="E483">
            <v>25080</v>
          </cell>
          <cell r="F483" t="str">
            <v>P12-1</v>
          </cell>
          <cell r="G483" t="str">
            <v>Door Frame - Khung cửa</v>
          </cell>
          <cell r="H483" t="str">
            <v>Pre-Assembly</v>
          </cell>
          <cell r="I483">
            <v>120</v>
          </cell>
        </row>
        <row r="484">
          <cell r="A484" t="str">
            <v>B558281/A</v>
          </cell>
          <cell r="B484" t="str">
            <v>DL015M836</v>
          </cell>
          <cell r="C484">
            <v>60</v>
          </cell>
          <cell r="D484">
            <v>418</v>
          </cell>
          <cell r="E484">
            <v>25080</v>
          </cell>
          <cell r="F484" t="str">
            <v>P12-1-1</v>
          </cell>
          <cell r="G484" t="str">
            <v>Door Horizontal rail  - Đố cửa ngang</v>
          </cell>
          <cell r="H484" t="str">
            <v>Wood Acacia - Straight/Waving Edged - T25mm x W100mm Up x L1m Up (FSC Certificate or Low-risk regions)</v>
          </cell>
          <cell r="I484">
            <v>240</v>
          </cell>
        </row>
        <row r="485">
          <cell r="A485" t="str">
            <v>B558281/A</v>
          </cell>
          <cell r="B485" t="str">
            <v>DL015M836</v>
          </cell>
          <cell r="C485">
            <v>60</v>
          </cell>
          <cell r="D485">
            <v>418</v>
          </cell>
          <cell r="E485">
            <v>25080</v>
          </cell>
          <cell r="F485" t="str">
            <v>P12-1-2</v>
          </cell>
          <cell r="G485" t="str">
            <v>Door vertical rail  - Đố cửa đứng</v>
          </cell>
          <cell r="H485" t="str">
            <v>Wood Acacia - Straight/Waving Edged - T25mm x W100mm Up x L1m Up (FSC Certificate or Low-risk regions)</v>
          </cell>
          <cell r="I485">
            <v>240</v>
          </cell>
        </row>
        <row r="486">
          <cell r="A486" t="str">
            <v>B558281/A</v>
          </cell>
          <cell r="B486" t="str">
            <v>DL015M836</v>
          </cell>
          <cell r="C486">
            <v>60</v>
          </cell>
          <cell r="D486">
            <v>418</v>
          </cell>
          <cell r="E486">
            <v>25080</v>
          </cell>
          <cell r="F486" t="str">
            <v>P12-1-3</v>
          </cell>
          <cell r="G486" t="str">
            <v>Door panel  - Ván cửa</v>
          </cell>
          <cell r="H486" t="str">
            <v>MDF Veneer</v>
          </cell>
          <cell r="I486">
            <v>120</v>
          </cell>
        </row>
        <row r="487">
          <cell r="A487" t="str">
            <v>B558281/A</v>
          </cell>
          <cell r="B487" t="str">
            <v>DL015M836</v>
          </cell>
          <cell r="C487">
            <v>60</v>
          </cell>
          <cell r="D487">
            <v>418</v>
          </cell>
          <cell r="E487">
            <v>25080</v>
          </cell>
          <cell r="F487" t="str">
            <v>P12-2</v>
          </cell>
          <cell r="G487" t="str">
            <v>Patching wood - Gỗ đắp</v>
          </cell>
          <cell r="H487" t="str">
            <v>Veneer laminate</v>
          </cell>
          <cell r="I487">
            <v>120</v>
          </cell>
        </row>
        <row r="488">
          <cell r="A488" t="str">
            <v>B558281/A</v>
          </cell>
          <cell r="B488" t="str">
            <v>DL015M836</v>
          </cell>
          <cell r="C488">
            <v>60</v>
          </cell>
          <cell r="D488">
            <v>418</v>
          </cell>
          <cell r="E488">
            <v>25080</v>
          </cell>
          <cell r="F488" t="str">
            <v>P12-3</v>
          </cell>
          <cell r="G488" t="str">
            <v>Patching wood - Gỗ đắp</v>
          </cell>
          <cell r="H488" t="str">
            <v>Veneer laminate</v>
          </cell>
          <cell r="I488">
            <v>120</v>
          </cell>
        </row>
        <row r="489">
          <cell r="A489" t="str">
            <v>B558281/A</v>
          </cell>
          <cell r="B489" t="str">
            <v>DL015M836</v>
          </cell>
          <cell r="C489">
            <v>60</v>
          </cell>
          <cell r="D489">
            <v>418</v>
          </cell>
          <cell r="E489">
            <v>25080</v>
          </cell>
          <cell r="F489" t="str">
            <v>P13</v>
          </cell>
          <cell r="G489" t="str">
            <v>Drawer stop - Dừng hộc</v>
          </cell>
          <cell r="H489" t="str">
            <v>Poplar off cut</v>
          </cell>
          <cell r="I489">
            <v>120</v>
          </cell>
        </row>
        <row r="490">
          <cell r="A490" t="str">
            <v>B558281/A</v>
          </cell>
          <cell r="B490" t="str">
            <v>DL015M836</v>
          </cell>
          <cell r="C490">
            <v>60</v>
          </cell>
          <cell r="D490">
            <v>418</v>
          </cell>
          <cell r="E490">
            <v>25080</v>
          </cell>
          <cell r="F490" t="str">
            <v>P14</v>
          </cell>
          <cell r="G490" t="str">
            <v>Corner block - ke góc</v>
          </cell>
          <cell r="H490" t="str">
            <v>Poplar off cut</v>
          </cell>
          <cell r="I490">
            <v>240</v>
          </cell>
        </row>
        <row r="491">
          <cell r="A491" t="str">
            <v>B558283/A</v>
          </cell>
          <cell r="B491" t="str">
            <v>DL018M837</v>
          </cell>
          <cell r="C491">
            <v>50</v>
          </cell>
          <cell r="D491">
            <v>409</v>
          </cell>
          <cell r="E491">
            <v>20450</v>
          </cell>
          <cell r="F491" t="str">
            <v>A1-S0</v>
          </cell>
          <cell r="G491" t="str">
            <v xml:space="preserve">Panel - Ván </v>
          </cell>
          <cell r="H491" t="str">
            <v>MDF Veneer</v>
          </cell>
          <cell r="I491">
            <v>200</v>
          </cell>
        </row>
        <row r="492">
          <cell r="A492" t="str">
            <v>B558283/A</v>
          </cell>
          <cell r="B492" t="str">
            <v>DL018M837</v>
          </cell>
          <cell r="C492">
            <v>50</v>
          </cell>
          <cell r="D492">
            <v>409</v>
          </cell>
          <cell r="E492">
            <v>20450</v>
          </cell>
          <cell r="F492" t="str">
            <v>A1-S0-1</v>
          </cell>
          <cell r="G492" t="str">
            <v xml:space="preserve">Panel - Ván </v>
          </cell>
          <cell r="H492" t="str">
            <v>MDF Veneer</v>
          </cell>
          <cell r="I492">
            <v>200</v>
          </cell>
        </row>
        <row r="493">
          <cell r="A493" t="str">
            <v>B558283/A</v>
          </cell>
          <cell r="B493" t="str">
            <v>DL018M837</v>
          </cell>
          <cell r="C493">
            <v>50</v>
          </cell>
          <cell r="D493">
            <v>409</v>
          </cell>
          <cell r="E493">
            <v>20450</v>
          </cell>
          <cell r="F493" t="str">
            <v>A1-S1</v>
          </cell>
          <cell r="G493" t="str">
            <v xml:space="preserve">Drawer front - Mặt hộc kéo </v>
          </cell>
          <cell r="H493" t="str">
            <v>Pre-Assembly</v>
          </cell>
          <cell r="I493">
            <v>50</v>
          </cell>
        </row>
        <row r="494">
          <cell r="A494" t="str">
            <v>B558283/A</v>
          </cell>
          <cell r="B494" t="str">
            <v>DL018M837</v>
          </cell>
          <cell r="C494">
            <v>50</v>
          </cell>
          <cell r="D494">
            <v>409</v>
          </cell>
          <cell r="E494">
            <v>20450</v>
          </cell>
          <cell r="F494" t="str">
            <v>A1-S1-1</v>
          </cell>
          <cell r="G494" t="str">
            <v>Patching moulding - Chỉ đắp</v>
          </cell>
          <cell r="H494" t="str">
            <v>Wood US Ash - Straight/Waving Edged, 1 COM - T26mm x W100mm up x L1.8m up</v>
          </cell>
          <cell r="I494">
            <v>200</v>
          </cell>
        </row>
        <row r="495">
          <cell r="A495" t="str">
            <v>B558283/A</v>
          </cell>
          <cell r="B495" t="str">
            <v>DL018M837</v>
          </cell>
          <cell r="C495">
            <v>50</v>
          </cell>
          <cell r="D495">
            <v>409</v>
          </cell>
          <cell r="E495">
            <v>20450</v>
          </cell>
          <cell r="F495" t="str">
            <v>A1-S1-2</v>
          </cell>
          <cell r="G495" t="str">
            <v>Patching moulding - Chỉ đắp</v>
          </cell>
          <cell r="H495" t="str">
            <v>Wood US Ash - Straight/Waving Edged, 1 COM - T26mm x W100mm up x L1.8m up</v>
          </cell>
          <cell r="I495">
            <v>200</v>
          </cell>
        </row>
        <row r="496">
          <cell r="A496" t="str">
            <v>B558283/A</v>
          </cell>
          <cell r="B496" t="str">
            <v>DL018M837</v>
          </cell>
          <cell r="C496">
            <v>50</v>
          </cell>
          <cell r="D496">
            <v>409</v>
          </cell>
          <cell r="E496">
            <v>20450</v>
          </cell>
          <cell r="F496" t="str">
            <v>A1-S1-3</v>
          </cell>
          <cell r="G496" t="str">
            <v xml:space="preserve">Panel - Ván </v>
          </cell>
          <cell r="H496" t="str">
            <v>MDF Veneer</v>
          </cell>
          <cell r="I496">
            <v>50</v>
          </cell>
        </row>
        <row r="497">
          <cell r="A497" t="str">
            <v>B558283/A</v>
          </cell>
          <cell r="B497" t="str">
            <v>DL018M837</v>
          </cell>
          <cell r="C497">
            <v>50</v>
          </cell>
          <cell r="D497">
            <v>409</v>
          </cell>
          <cell r="E497">
            <v>20450</v>
          </cell>
          <cell r="F497" t="str">
            <v>A1-S1-4</v>
          </cell>
          <cell r="G497" t="str">
            <v>Patching wood - Gỗ đắp</v>
          </cell>
          <cell r="H497" t="str">
            <v>MDF Veneer</v>
          </cell>
          <cell r="I497">
            <v>1000</v>
          </cell>
        </row>
        <row r="498">
          <cell r="A498" t="str">
            <v>B558283/A</v>
          </cell>
          <cell r="B498" t="str">
            <v>DL018M837</v>
          </cell>
          <cell r="C498">
            <v>50</v>
          </cell>
          <cell r="D498">
            <v>409</v>
          </cell>
          <cell r="E498">
            <v>20450</v>
          </cell>
          <cell r="F498" t="str">
            <v>A1-S1-5</v>
          </cell>
          <cell r="G498" t="str">
            <v>Patching wood - Gỗ đắp</v>
          </cell>
          <cell r="H498" t="str">
            <v>MDF Veneer</v>
          </cell>
          <cell r="I498">
            <v>800</v>
          </cell>
        </row>
        <row r="499">
          <cell r="A499" t="str">
            <v>B558283/A</v>
          </cell>
          <cell r="B499" t="str">
            <v>DL018M837</v>
          </cell>
          <cell r="C499">
            <v>50</v>
          </cell>
          <cell r="D499">
            <v>409</v>
          </cell>
          <cell r="E499">
            <v>20450</v>
          </cell>
          <cell r="F499" t="str">
            <v>A1-S1-6</v>
          </cell>
          <cell r="G499" t="str">
            <v>Patching wood - Gỗ đắp</v>
          </cell>
          <cell r="H499" t="str">
            <v>MDF Veneer</v>
          </cell>
          <cell r="I499">
            <v>200</v>
          </cell>
        </row>
        <row r="500">
          <cell r="A500" t="str">
            <v>B558283/A</v>
          </cell>
          <cell r="B500" t="str">
            <v>DL018M837</v>
          </cell>
          <cell r="C500">
            <v>50</v>
          </cell>
          <cell r="D500">
            <v>409</v>
          </cell>
          <cell r="E500">
            <v>20450</v>
          </cell>
          <cell r="F500" t="str">
            <v>A1-S2</v>
          </cell>
          <cell r="G500" t="str">
            <v xml:space="preserve">Drawer front 1 - Mặt hộc kéo </v>
          </cell>
          <cell r="H500" t="str">
            <v>MDF Veneer</v>
          </cell>
          <cell r="I500">
            <v>50</v>
          </cell>
        </row>
        <row r="501">
          <cell r="A501" t="str">
            <v>B558283/A</v>
          </cell>
          <cell r="B501" t="str">
            <v>DL018M837</v>
          </cell>
          <cell r="C501">
            <v>50</v>
          </cell>
          <cell r="D501">
            <v>409</v>
          </cell>
          <cell r="E501">
            <v>20450</v>
          </cell>
          <cell r="F501" t="str">
            <v>A1-S3</v>
          </cell>
          <cell r="G501" t="str">
            <v>Drawer side - Hông hộc kéo</v>
          </cell>
          <cell r="H501" t="str">
            <v>MDF Veneer</v>
          </cell>
          <cell r="I501">
            <v>200</v>
          </cell>
        </row>
        <row r="502">
          <cell r="A502" t="str">
            <v>B558283/A</v>
          </cell>
          <cell r="B502" t="str">
            <v>DL018M837</v>
          </cell>
          <cell r="C502">
            <v>50</v>
          </cell>
          <cell r="D502">
            <v>409</v>
          </cell>
          <cell r="E502">
            <v>20450</v>
          </cell>
          <cell r="F502" t="str">
            <v>A1-S4</v>
          </cell>
          <cell r="G502" t="str">
            <v>Drawer bottom  - Đáy hộc kéo</v>
          </cell>
          <cell r="H502" t="str">
            <v>Pre-Assembly</v>
          </cell>
          <cell r="I502">
            <v>50</v>
          </cell>
        </row>
        <row r="503">
          <cell r="A503" t="str">
            <v>B558283/A</v>
          </cell>
          <cell r="B503" t="str">
            <v>DL018M837</v>
          </cell>
          <cell r="C503">
            <v>50</v>
          </cell>
          <cell r="D503">
            <v>409</v>
          </cell>
          <cell r="E503">
            <v>20450</v>
          </cell>
          <cell r="F503" t="str">
            <v>A1-S4-1</v>
          </cell>
          <cell r="G503" t="str">
            <v>Drawer bottom  - Đáy hộc kéo</v>
          </cell>
          <cell r="H503" t="str">
            <v>Pre-Assembly</v>
          </cell>
          <cell r="I503">
            <v>50</v>
          </cell>
        </row>
        <row r="504">
          <cell r="A504" t="str">
            <v>B558283/A</v>
          </cell>
          <cell r="B504" t="str">
            <v>DL018M837</v>
          </cell>
          <cell r="C504">
            <v>50</v>
          </cell>
          <cell r="D504">
            <v>409</v>
          </cell>
          <cell r="E504">
            <v>20450</v>
          </cell>
          <cell r="F504" t="str">
            <v>A1-S5</v>
          </cell>
          <cell r="G504" t="str">
            <v>Partition panel - Vách ngăn</v>
          </cell>
          <cell r="H504" t="str">
            <v>MDF Veneer</v>
          </cell>
          <cell r="I504">
            <v>100</v>
          </cell>
        </row>
        <row r="505">
          <cell r="A505" t="str">
            <v>B558283/A</v>
          </cell>
          <cell r="B505" t="str">
            <v>DL018M837</v>
          </cell>
          <cell r="C505">
            <v>50</v>
          </cell>
          <cell r="D505">
            <v>409</v>
          </cell>
          <cell r="E505">
            <v>20450</v>
          </cell>
          <cell r="F505" t="str">
            <v>A1-S6</v>
          </cell>
          <cell r="G505" t="str">
            <v>Drawer back - Hậu hộc kéo</v>
          </cell>
          <cell r="H505" t="str">
            <v>MDF Veneer</v>
          </cell>
          <cell r="I505">
            <v>100</v>
          </cell>
        </row>
        <row r="506">
          <cell r="A506" t="str">
            <v>B558283/A</v>
          </cell>
          <cell r="B506" t="str">
            <v>DL018M837</v>
          </cell>
          <cell r="C506">
            <v>50</v>
          </cell>
          <cell r="D506">
            <v>409</v>
          </cell>
          <cell r="E506">
            <v>20450</v>
          </cell>
          <cell r="F506" t="str">
            <v>A1-S7</v>
          </cell>
          <cell r="G506" t="str">
            <v>Drawer back 1 - hau hộc 1</v>
          </cell>
          <cell r="H506" t="str">
            <v>MDF Veneer</v>
          </cell>
          <cell r="I506">
            <v>100</v>
          </cell>
        </row>
        <row r="507">
          <cell r="A507" t="str">
            <v>B558283/A</v>
          </cell>
          <cell r="B507" t="str">
            <v>DL018M837</v>
          </cell>
          <cell r="C507">
            <v>50</v>
          </cell>
          <cell r="D507">
            <v>409</v>
          </cell>
          <cell r="E507">
            <v>20450</v>
          </cell>
          <cell r="F507" t="str">
            <v>A1-S8</v>
          </cell>
          <cell r="G507" t="str">
            <v>Drawer back 1 - hau hộc 1</v>
          </cell>
          <cell r="H507" t="str">
            <v>MDF Veneer</v>
          </cell>
          <cell r="I507">
            <v>50</v>
          </cell>
        </row>
        <row r="508">
          <cell r="A508" t="str">
            <v>B558283/A</v>
          </cell>
          <cell r="B508" t="str">
            <v>DL018M837</v>
          </cell>
          <cell r="C508">
            <v>50</v>
          </cell>
          <cell r="D508">
            <v>409</v>
          </cell>
          <cell r="E508">
            <v>20450</v>
          </cell>
          <cell r="F508" t="str">
            <v>A1-S9-2</v>
          </cell>
          <cell r="G508" t="str">
            <v>Patching wood - Gỗ đắp</v>
          </cell>
          <cell r="H508" t="str">
            <v>Poplar off cut</v>
          </cell>
          <cell r="I508">
            <v>200</v>
          </cell>
        </row>
        <row r="509">
          <cell r="A509" t="str">
            <v>B558283/A</v>
          </cell>
          <cell r="B509" t="str">
            <v>DL018M837</v>
          </cell>
          <cell r="C509">
            <v>50</v>
          </cell>
          <cell r="D509">
            <v>409</v>
          </cell>
          <cell r="E509">
            <v>20450</v>
          </cell>
          <cell r="F509" t="str">
            <v>A1-S9-3</v>
          </cell>
          <cell r="G509" t="str">
            <v>Patching wood - Gỗ đắp</v>
          </cell>
          <cell r="H509" t="str">
            <v>Wood Acacia - Straight/Waving Edged - T35mm x W100mm Up x L1.5m Up (FSC Certificate or Low-risk regions)</v>
          </cell>
          <cell r="I509">
            <v>200</v>
          </cell>
        </row>
        <row r="510">
          <cell r="A510" t="str">
            <v>B558283/A</v>
          </cell>
          <cell r="B510" t="str">
            <v>DL018M837</v>
          </cell>
          <cell r="C510">
            <v>50</v>
          </cell>
          <cell r="D510">
            <v>409</v>
          </cell>
          <cell r="E510">
            <v>20450</v>
          </cell>
          <cell r="F510" t="str">
            <v>A1-S9-4</v>
          </cell>
          <cell r="G510" t="str">
            <v>Patching wood - Gỗ đắp</v>
          </cell>
          <cell r="H510" t="str">
            <v>Wood Acacia - Straight/Waving Edged - T35mm x W100mm Up x L1.5m Up (FSC Certificate or Low-risk regions)</v>
          </cell>
          <cell r="I510">
            <v>100</v>
          </cell>
        </row>
        <row r="511">
          <cell r="A511" t="str">
            <v>B558283/A</v>
          </cell>
          <cell r="B511" t="str">
            <v>DL018M837</v>
          </cell>
          <cell r="C511">
            <v>50</v>
          </cell>
          <cell r="D511">
            <v>409</v>
          </cell>
          <cell r="E511">
            <v>20450</v>
          </cell>
          <cell r="F511" t="str">
            <v>A1-S9-5</v>
          </cell>
          <cell r="G511" t="str">
            <v>Patching wood - Gỗ đắp</v>
          </cell>
          <cell r="H511" t="str">
            <v>Wood Acacia - Straight/Waving Edged - T35mm x W100mm Up x L1.5m Up (FSC Certificate or Low-risk regions)</v>
          </cell>
          <cell r="I511">
            <v>400</v>
          </cell>
        </row>
        <row r="512">
          <cell r="A512" t="str">
            <v>B558283/A</v>
          </cell>
          <cell r="B512" t="str">
            <v>DL018M837</v>
          </cell>
          <cell r="C512">
            <v>50</v>
          </cell>
          <cell r="D512">
            <v>409</v>
          </cell>
          <cell r="E512">
            <v>20450</v>
          </cell>
          <cell r="F512" t="str">
            <v>A1-S9-6</v>
          </cell>
          <cell r="G512" t="str">
            <v>Patching wood - Gỗ đắp</v>
          </cell>
          <cell r="H512" t="str">
            <v>Wood Acacia - Straight/Waving Edged - T35mm x W100mm Up x L1.5m Up (FSC Certificate or Low-risk regions)</v>
          </cell>
          <cell r="I512">
            <v>200</v>
          </cell>
        </row>
        <row r="513">
          <cell r="A513" t="str">
            <v>B558283/A</v>
          </cell>
          <cell r="B513" t="str">
            <v>DL018M837</v>
          </cell>
          <cell r="C513">
            <v>50</v>
          </cell>
          <cell r="D513">
            <v>409</v>
          </cell>
          <cell r="E513">
            <v>20450</v>
          </cell>
          <cell r="F513" t="str">
            <v>A1-S9-7</v>
          </cell>
          <cell r="G513" t="str">
            <v>Patching wood - Gỗ đắp</v>
          </cell>
          <cell r="H513" t="str">
            <v>Wood Acacia - Straight/Waving Edged - T35mm x W100mm Up x L1.5m Up (FSC Certificate or Low-risk regions)</v>
          </cell>
          <cell r="I513">
            <v>100</v>
          </cell>
        </row>
        <row r="514">
          <cell r="A514" t="str">
            <v>B558283/A</v>
          </cell>
          <cell r="B514" t="str">
            <v>DL018M837</v>
          </cell>
          <cell r="C514">
            <v>50</v>
          </cell>
          <cell r="D514">
            <v>409</v>
          </cell>
          <cell r="E514">
            <v>20450</v>
          </cell>
          <cell r="F514" t="str">
            <v>A2-S1</v>
          </cell>
          <cell r="G514" t="str">
            <v xml:space="preserve">Drawer front - Mặt hộc kéo </v>
          </cell>
          <cell r="H514" t="str">
            <v>Pre-Assembly</v>
          </cell>
          <cell r="I514">
            <v>50</v>
          </cell>
        </row>
        <row r="515">
          <cell r="A515" t="str">
            <v>B558283/A</v>
          </cell>
          <cell r="B515" t="str">
            <v>DL018M837</v>
          </cell>
          <cell r="C515">
            <v>50</v>
          </cell>
          <cell r="D515">
            <v>409</v>
          </cell>
          <cell r="E515">
            <v>20450</v>
          </cell>
          <cell r="F515" t="str">
            <v>A2-S10</v>
          </cell>
          <cell r="G515" t="str">
            <v>MDF - MDF</v>
          </cell>
          <cell r="H515" t="str">
            <v>MDF OFF CUT</v>
          </cell>
          <cell r="I515">
            <v>50</v>
          </cell>
        </row>
        <row r="516">
          <cell r="A516" t="str">
            <v>B558283/A</v>
          </cell>
          <cell r="B516" t="str">
            <v>DL018M837</v>
          </cell>
          <cell r="C516">
            <v>50</v>
          </cell>
          <cell r="D516">
            <v>409</v>
          </cell>
          <cell r="E516">
            <v>20450</v>
          </cell>
          <cell r="F516" t="str">
            <v>A2-S1-3</v>
          </cell>
          <cell r="G516" t="str">
            <v xml:space="preserve">Panel - Ván </v>
          </cell>
          <cell r="H516" t="str">
            <v>MDF Veneer</v>
          </cell>
          <cell r="I516">
            <v>50</v>
          </cell>
        </row>
        <row r="517">
          <cell r="A517" t="str">
            <v>B558283/A</v>
          </cell>
          <cell r="B517" t="str">
            <v>DL018M837</v>
          </cell>
          <cell r="C517">
            <v>50</v>
          </cell>
          <cell r="D517">
            <v>409</v>
          </cell>
          <cell r="E517">
            <v>20450</v>
          </cell>
          <cell r="F517" t="str">
            <v>A2-S2</v>
          </cell>
          <cell r="G517" t="str">
            <v xml:space="preserve">Drawer front - Mặt hộc kéo </v>
          </cell>
          <cell r="H517" t="str">
            <v>MDF Veneer</v>
          </cell>
          <cell r="I517">
            <v>50</v>
          </cell>
        </row>
        <row r="518">
          <cell r="A518" t="str">
            <v>B558283/A</v>
          </cell>
          <cell r="B518" t="str">
            <v>DL018M837</v>
          </cell>
          <cell r="C518">
            <v>50</v>
          </cell>
          <cell r="D518">
            <v>409</v>
          </cell>
          <cell r="E518">
            <v>20450</v>
          </cell>
          <cell r="F518" t="str">
            <v>A2-S5</v>
          </cell>
          <cell r="G518" t="str">
            <v>Drawer back - Hậu hộc kéo</v>
          </cell>
          <cell r="H518" t="str">
            <v>MDF Veneer</v>
          </cell>
          <cell r="I518">
            <v>100</v>
          </cell>
        </row>
        <row r="519">
          <cell r="A519" t="str">
            <v>B558283/A</v>
          </cell>
          <cell r="B519" t="str">
            <v>DL018M837</v>
          </cell>
          <cell r="C519">
            <v>50</v>
          </cell>
          <cell r="D519">
            <v>409</v>
          </cell>
          <cell r="E519">
            <v>20450</v>
          </cell>
          <cell r="F519" t="str">
            <v>A2-S6</v>
          </cell>
          <cell r="G519" t="str">
            <v>Drawer back 1 - hau hộc 1</v>
          </cell>
          <cell r="H519" t="str">
            <v>MDF Veneer</v>
          </cell>
          <cell r="I519">
            <v>100</v>
          </cell>
        </row>
        <row r="520">
          <cell r="A520" t="str">
            <v>B558283/A</v>
          </cell>
          <cell r="B520" t="str">
            <v>DL018M837</v>
          </cell>
          <cell r="C520">
            <v>50</v>
          </cell>
          <cell r="D520">
            <v>409</v>
          </cell>
          <cell r="E520">
            <v>20450</v>
          </cell>
          <cell r="F520" t="str">
            <v>A2-S7</v>
          </cell>
          <cell r="G520" t="str">
            <v>Drawer back 1 - hau hộc 1</v>
          </cell>
          <cell r="H520" t="str">
            <v>MDF Veneer</v>
          </cell>
          <cell r="I520">
            <v>50</v>
          </cell>
        </row>
        <row r="521">
          <cell r="A521" t="str">
            <v>B558283/A</v>
          </cell>
          <cell r="B521" t="str">
            <v>DL018M837</v>
          </cell>
          <cell r="C521">
            <v>50</v>
          </cell>
          <cell r="D521">
            <v>409</v>
          </cell>
          <cell r="E521">
            <v>20450</v>
          </cell>
          <cell r="F521" t="str">
            <v>A2-S8</v>
          </cell>
          <cell r="G521" t="str">
            <v>support Top - đỡ nóc</v>
          </cell>
          <cell r="H521" t="str">
            <v>Wood US Ash - Straight/Waving Edged, 1 COM - T26mm x W100mm up x L1.8m up</v>
          </cell>
          <cell r="I521">
            <v>100</v>
          </cell>
        </row>
        <row r="522">
          <cell r="A522" t="str">
            <v>B558283/A</v>
          </cell>
          <cell r="B522" t="str">
            <v>DL018M837</v>
          </cell>
          <cell r="C522">
            <v>50</v>
          </cell>
          <cell r="D522">
            <v>409</v>
          </cell>
          <cell r="E522">
            <v>20450</v>
          </cell>
          <cell r="F522" t="str">
            <v>A3-S1</v>
          </cell>
          <cell r="G522" t="str">
            <v xml:space="preserve">Drawer front - Mặt hộc kéo </v>
          </cell>
          <cell r="H522" t="str">
            <v>MDF Veneer</v>
          </cell>
          <cell r="I522">
            <v>100</v>
          </cell>
        </row>
        <row r="523">
          <cell r="A523" t="str">
            <v>B558283/A</v>
          </cell>
          <cell r="B523" t="str">
            <v>DL018M837</v>
          </cell>
          <cell r="C523">
            <v>50</v>
          </cell>
          <cell r="D523">
            <v>409</v>
          </cell>
          <cell r="E523">
            <v>20450</v>
          </cell>
          <cell r="F523" t="str">
            <v>A3-S2</v>
          </cell>
          <cell r="G523" t="str">
            <v>Drawer side - Hông hộc kéo</v>
          </cell>
          <cell r="H523" t="str">
            <v>MDF Veneer</v>
          </cell>
          <cell r="I523">
            <v>100</v>
          </cell>
        </row>
        <row r="524">
          <cell r="A524" t="str">
            <v>B558283/A</v>
          </cell>
          <cell r="B524" t="str">
            <v>DL018M837</v>
          </cell>
          <cell r="C524">
            <v>50</v>
          </cell>
          <cell r="D524">
            <v>409</v>
          </cell>
          <cell r="E524">
            <v>20450</v>
          </cell>
          <cell r="F524" t="str">
            <v>A3-S3</v>
          </cell>
          <cell r="G524" t="str">
            <v>Drawer bottom  - Đáy hộc kéo</v>
          </cell>
          <cell r="H524" t="str">
            <v>Pre-Assembly</v>
          </cell>
          <cell r="I524">
            <v>50</v>
          </cell>
        </row>
        <row r="525">
          <cell r="A525" t="str">
            <v>B558283/A</v>
          </cell>
          <cell r="B525" t="str">
            <v>DL018M837</v>
          </cell>
          <cell r="C525">
            <v>50</v>
          </cell>
          <cell r="D525">
            <v>409</v>
          </cell>
          <cell r="E525">
            <v>20450</v>
          </cell>
          <cell r="F525" t="str">
            <v>A3-S4</v>
          </cell>
          <cell r="G525" t="str">
            <v>Partition panel - Vách ngăn</v>
          </cell>
          <cell r="H525" t="str">
            <v>MDF Veneer</v>
          </cell>
          <cell r="I525">
            <v>100</v>
          </cell>
        </row>
        <row r="526">
          <cell r="A526" t="str">
            <v>B558283/A</v>
          </cell>
          <cell r="B526" t="str">
            <v>DL018M837</v>
          </cell>
          <cell r="C526">
            <v>50</v>
          </cell>
          <cell r="D526">
            <v>409</v>
          </cell>
          <cell r="E526">
            <v>20450</v>
          </cell>
          <cell r="F526" t="str">
            <v>A3-S5</v>
          </cell>
          <cell r="G526" t="str">
            <v>Partition panel - Vách ngăn</v>
          </cell>
          <cell r="H526" t="str">
            <v>Wood US Ash - Straight/Waving Edged, 1 COM - T26mm x W100mm up x L1.8m up</v>
          </cell>
          <cell r="I526">
            <v>100</v>
          </cell>
        </row>
        <row r="527">
          <cell r="A527" t="str">
            <v>B558283/A</v>
          </cell>
          <cell r="B527" t="str">
            <v>DL018M837</v>
          </cell>
          <cell r="C527">
            <v>50</v>
          </cell>
          <cell r="D527">
            <v>409</v>
          </cell>
          <cell r="E527">
            <v>20450</v>
          </cell>
          <cell r="F527" t="str">
            <v>A3-S6</v>
          </cell>
          <cell r="G527" t="str">
            <v xml:space="preserve">Top panel  - Ván nóc </v>
          </cell>
          <cell r="H527" t="str">
            <v>Wood US Ash - Straight/Waving Edged, 2 COM - T25mm x L1.8m Up</v>
          </cell>
          <cell r="I527">
            <v>50</v>
          </cell>
        </row>
        <row r="528">
          <cell r="A528" t="str">
            <v>B558283/A</v>
          </cell>
          <cell r="B528" t="str">
            <v>DL018M837</v>
          </cell>
          <cell r="C528">
            <v>50</v>
          </cell>
          <cell r="D528">
            <v>409</v>
          </cell>
          <cell r="E528">
            <v>20450</v>
          </cell>
          <cell r="F528" t="str">
            <v>A4-S1</v>
          </cell>
          <cell r="G528" t="str">
            <v>Front rail  - Đố tiền</v>
          </cell>
          <cell r="H528" t="str">
            <v>Wood US Ash - Straight/Waving Edged, 1 COM - T26mm x W100mm up x L1.8m up</v>
          </cell>
          <cell r="I528">
            <v>50</v>
          </cell>
        </row>
        <row r="529">
          <cell r="A529" t="str">
            <v>B558283/A</v>
          </cell>
          <cell r="B529" t="str">
            <v>DL018M837</v>
          </cell>
          <cell r="C529">
            <v>50</v>
          </cell>
          <cell r="D529">
            <v>409</v>
          </cell>
          <cell r="E529">
            <v>20450</v>
          </cell>
          <cell r="F529" t="str">
            <v>A4-S1-1</v>
          </cell>
          <cell r="G529" t="str">
            <v>back rail - Đố hậu</v>
          </cell>
          <cell r="H529" t="str">
            <v>Wood EU Beech - Straight/Waving Edged ABC, 2 COM - T26mm x W100mm up x L1.8m up</v>
          </cell>
          <cell r="I529">
            <v>50</v>
          </cell>
        </row>
        <row r="530">
          <cell r="A530" t="str">
            <v>B558283/A</v>
          </cell>
          <cell r="B530" t="str">
            <v>DL018M837</v>
          </cell>
          <cell r="C530">
            <v>50</v>
          </cell>
          <cell r="D530">
            <v>409</v>
          </cell>
          <cell r="E530">
            <v>20450</v>
          </cell>
          <cell r="F530" t="str">
            <v>A4-S2</v>
          </cell>
          <cell r="G530" t="str">
            <v>Front rail 1 - đố trước 1</v>
          </cell>
          <cell r="H530" t="str">
            <v>Wood US Ash - Straight/Waving Edged, 1 COM - T38mm x L1.8m Up</v>
          </cell>
          <cell r="I530">
            <v>100</v>
          </cell>
        </row>
        <row r="531">
          <cell r="A531" t="str">
            <v>B558283/A</v>
          </cell>
          <cell r="B531" t="str">
            <v>DL018M837</v>
          </cell>
          <cell r="C531">
            <v>50</v>
          </cell>
          <cell r="D531">
            <v>409</v>
          </cell>
          <cell r="E531">
            <v>20450</v>
          </cell>
          <cell r="F531" t="str">
            <v>A4-S3</v>
          </cell>
          <cell r="G531" t="str">
            <v xml:space="preserve">Side rail  - Đố hông </v>
          </cell>
          <cell r="H531" t="str">
            <v>Wood US Ash - Straight/Waving Edged, 1 COM - T26mm x W100mm up x L1.8m up</v>
          </cell>
          <cell r="I531">
            <v>100</v>
          </cell>
        </row>
        <row r="532">
          <cell r="A532" t="str">
            <v>B558283/A</v>
          </cell>
          <cell r="B532" t="str">
            <v>DL018M837</v>
          </cell>
          <cell r="C532">
            <v>50</v>
          </cell>
          <cell r="D532">
            <v>409</v>
          </cell>
          <cell r="E532">
            <v>20450</v>
          </cell>
          <cell r="F532" t="str">
            <v>A4-S4</v>
          </cell>
          <cell r="G532" t="str">
            <v>side rail 1 - đố hông 1</v>
          </cell>
          <cell r="H532" t="str">
            <v>Wood US Ash - Straight/Waving Edged, 1 COM - T38mm x L1.8m Up</v>
          </cell>
          <cell r="I532">
            <v>100</v>
          </cell>
        </row>
        <row r="533">
          <cell r="A533" t="str">
            <v>B558283/A</v>
          </cell>
          <cell r="B533" t="str">
            <v>DL018M837</v>
          </cell>
          <cell r="C533">
            <v>50</v>
          </cell>
          <cell r="D533">
            <v>409</v>
          </cell>
          <cell r="E533">
            <v>20450</v>
          </cell>
          <cell r="F533" t="str">
            <v>A4-S5</v>
          </cell>
          <cell r="G533" t="str">
            <v>The leg  - Chân</v>
          </cell>
          <cell r="H533" t="str">
            <v>Wood US Ash - Straight/Waving Edged, 1 COM - T50mm x L1.8m Up</v>
          </cell>
          <cell r="I533">
            <v>200</v>
          </cell>
        </row>
        <row r="534">
          <cell r="A534" t="str">
            <v>B558283/A</v>
          </cell>
          <cell r="B534" t="str">
            <v>DL018M837</v>
          </cell>
          <cell r="C534">
            <v>50</v>
          </cell>
          <cell r="D534">
            <v>409</v>
          </cell>
          <cell r="E534">
            <v>20450</v>
          </cell>
          <cell r="F534" t="str">
            <v>A4-S6</v>
          </cell>
          <cell r="G534" t="str">
            <v>Corner block - ke góc</v>
          </cell>
          <cell r="H534" t="str">
            <v>Wood EU Beech - Straight/Waving Edged ABC, 2 COM - T26mm x W100mm up x L1.8m up</v>
          </cell>
          <cell r="I534">
            <v>200</v>
          </cell>
        </row>
        <row r="535">
          <cell r="A535" t="str">
            <v>B558283/A</v>
          </cell>
          <cell r="B535" t="str">
            <v>DL018M837</v>
          </cell>
          <cell r="C535">
            <v>50</v>
          </cell>
          <cell r="D535">
            <v>409</v>
          </cell>
          <cell r="E535">
            <v>20450</v>
          </cell>
          <cell r="F535" t="str">
            <v>P01</v>
          </cell>
          <cell r="G535" t="str">
            <v>Front moulding  - Chỉ tiền</v>
          </cell>
          <cell r="H535" t="str">
            <v>Wood US Ash - Straight/Waving Edged, 1 COM - T26mm x W100mm up x L1.8m up</v>
          </cell>
          <cell r="I535">
            <v>50</v>
          </cell>
        </row>
        <row r="536">
          <cell r="A536" t="str">
            <v>B558283/A</v>
          </cell>
          <cell r="B536" t="str">
            <v>DL018M837</v>
          </cell>
          <cell r="C536">
            <v>50</v>
          </cell>
          <cell r="D536">
            <v>409</v>
          </cell>
          <cell r="E536">
            <v>20450</v>
          </cell>
          <cell r="F536" t="str">
            <v>P02</v>
          </cell>
          <cell r="G536" t="str">
            <v xml:space="preserve">Side panel  - Ván hông </v>
          </cell>
          <cell r="H536" t="str">
            <v>MDF Veneer</v>
          </cell>
          <cell r="I536">
            <v>100</v>
          </cell>
        </row>
        <row r="537">
          <cell r="A537" t="str">
            <v>B558283/A</v>
          </cell>
          <cell r="B537" t="str">
            <v>DL018M837</v>
          </cell>
          <cell r="C537">
            <v>50</v>
          </cell>
          <cell r="D537">
            <v>409</v>
          </cell>
          <cell r="E537">
            <v>20450</v>
          </cell>
          <cell r="F537" t="str">
            <v>P02-1</v>
          </cell>
          <cell r="G537" t="str">
            <v>Spline - Lưỡi gà</v>
          </cell>
          <cell r="H537" t="str">
            <v>Plywood LVD - 06 x 1220 x 2440mm, Bleached Poplar Veneer Both Sides [CARB P2 Compliant]</v>
          </cell>
          <cell r="I537">
            <v>100</v>
          </cell>
        </row>
        <row r="538">
          <cell r="A538" t="str">
            <v>B558283/A</v>
          </cell>
          <cell r="B538" t="str">
            <v>DL018M837</v>
          </cell>
          <cell r="C538">
            <v>50</v>
          </cell>
          <cell r="D538">
            <v>409</v>
          </cell>
          <cell r="E538">
            <v>20450</v>
          </cell>
          <cell r="F538" t="str">
            <v>P03</v>
          </cell>
          <cell r="G538" t="str">
            <v xml:space="preserve">Side rail  - Đố hông </v>
          </cell>
          <cell r="H538" t="str">
            <v>Wood EU Beech - Straight/Waving Edged ABC, 2 COM - T26mm x W100mm up x L1.8m up</v>
          </cell>
          <cell r="I538">
            <v>100</v>
          </cell>
        </row>
        <row r="539">
          <cell r="A539" t="str">
            <v>B558283/A</v>
          </cell>
          <cell r="B539" t="str">
            <v>DL018M837</v>
          </cell>
          <cell r="C539">
            <v>50</v>
          </cell>
          <cell r="D539">
            <v>409</v>
          </cell>
          <cell r="E539">
            <v>20450</v>
          </cell>
          <cell r="F539" t="str">
            <v>P04</v>
          </cell>
          <cell r="G539" t="str">
            <v>Front top rail  - Đố tiền nóc</v>
          </cell>
          <cell r="H539" t="str">
            <v>Wood EU Beech - Straight/Waving Edged ABC, 2 COM - T26mm x W100mm up x L1.8m up</v>
          </cell>
          <cell r="I539">
            <v>50</v>
          </cell>
        </row>
        <row r="540">
          <cell r="A540" t="str">
            <v>B558283/A</v>
          </cell>
          <cell r="B540" t="str">
            <v>DL018M837</v>
          </cell>
          <cell r="C540">
            <v>50</v>
          </cell>
          <cell r="D540">
            <v>409</v>
          </cell>
          <cell r="E540">
            <v>20450</v>
          </cell>
          <cell r="F540" t="str">
            <v>P05</v>
          </cell>
          <cell r="G540" t="str">
            <v>Back top rail - Đố hậu nóc</v>
          </cell>
          <cell r="H540" t="str">
            <v>Wood EU Beech - Straight/Waving Edged ABC, 2 COM - T26mm x W100mm up x L1.8m up</v>
          </cell>
          <cell r="I540">
            <v>50</v>
          </cell>
        </row>
        <row r="541">
          <cell r="A541" t="str">
            <v>B558283/A</v>
          </cell>
          <cell r="B541" t="str">
            <v>DL018M837</v>
          </cell>
          <cell r="C541">
            <v>50</v>
          </cell>
          <cell r="D541">
            <v>409</v>
          </cell>
          <cell r="E541">
            <v>20450</v>
          </cell>
          <cell r="F541" t="str">
            <v>P06</v>
          </cell>
          <cell r="G541" t="str">
            <v>Bottom panel - Ván đáy</v>
          </cell>
          <cell r="H541" t="str">
            <v>MDF Veneer</v>
          </cell>
          <cell r="I541">
            <v>50</v>
          </cell>
        </row>
        <row r="542">
          <cell r="A542" t="str">
            <v>B558283/A</v>
          </cell>
          <cell r="B542" t="str">
            <v>DL018M837</v>
          </cell>
          <cell r="C542">
            <v>50</v>
          </cell>
          <cell r="D542">
            <v>409</v>
          </cell>
          <cell r="E542">
            <v>20450</v>
          </cell>
          <cell r="F542" t="str">
            <v>P07</v>
          </cell>
          <cell r="G542" t="str">
            <v>Back panel - Ván hậu</v>
          </cell>
          <cell r="H542" t="str">
            <v>MDF Veneer</v>
          </cell>
          <cell r="I542">
            <v>50</v>
          </cell>
        </row>
        <row r="543">
          <cell r="A543" t="str">
            <v>B558283/A</v>
          </cell>
          <cell r="B543" t="str">
            <v>DL018M837</v>
          </cell>
          <cell r="C543">
            <v>50</v>
          </cell>
          <cell r="D543">
            <v>409</v>
          </cell>
          <cell r="E543">
            <v>20450</v>
          </cell>
          <cell r="F543" t="str">
            <v>P08</v>
          </cell>
          <cell r="G543" t="str">
            <v>Drawer stop - Dừng hộc</v>
          </cell>
          <cell r="H543" t="str">
            <v>Poplar off cut</v>
          </cell>
          <cell r="I543">
            <v>200</v>
          </cell>
        </row>
        <row r="544">
          <cell r="A544" t="str">
            <v>B558285/A</v>
          </cell>
          <cell r="B544" t="str">
            <v>DL019M837</v>
          </cell>
          <cell r="C544">
            <v>25</v>
          </cell>
          <cell r="D544">
            <v>689</v>
          </cell>
          <cell r="E544">
            <v>17225</v>
          </cell>
          <cell r="F544" t="str">
            <v>A1-S0</v>
          </cell>
          <cell r="G544" t="str">
            <v xml:space="preserve">Panel - Ván </v>
          </cell>
          <cell r="H544" t="str">
            <v>MDF Veneer</v>
          </cell>
          <cell r="I544">
            <v>200</v>
          </cell>
        </row>
        <row r="545">
          <cell r="A545" t="str">
            <v>B558285/A</v>
          </cell>
          <cell r="B545" t="str">
            <v>DL019M837</v>
          </cell>
          <cell r="C545">
            <v>25</v>
          </cell>
          <cell r="D545">
            <v>689</v>
          </cell>
          <cell r="E545">
            <v>17225</v>
          </cell>
          <cell r="F545" t="str">
            <v>A1-S0-1</v>
          </cell>
          <cell r="G545" t="str">
            <v xml:space="preserve">Panel - Ván </v>
          </cell>
          <cell r="H545" t="str">
            <v>MDF Veneer</v>
          </cell>
          <cell r="I545">
            <v>200</v>
          </cell>
        </row>
        <row r="546">
          <cell r="A546" t="str">
            <v>B558285/A</v>
          </cell>
          <cell r="B546" t="str">
            <v>DL019M837</v>
          </cell>
          <cell r="C546">
            <v>25</v>
          </cell>
          <cell r="D546">
            <v>689</v>
          </cell>
          <cell r="E546">
            <v>17225</v>
          </cell>
          <cell r="F546" t="str">
            <v>A1-S1</v>
          </cell>
          <cell r="G546" t="str">
            <v xml:space="preserve">Drawer front - Mặt hộc kéo </v>
          </cell>
          <cell r="H546" t="str">
            <v>Pre-Assembly</v>
          </cell>
          <cell r="I546">
            <v>50</v>
          </cell>
        </row>
        <row r="547">
          <cell r="A547" t="str">
            <v>B558285/A</v>
          </cell>
          <cell r="B547" t="str">
            <v>DL019M837</v>
          </cell>
          <cell r="C547">
            <v>25</v>
          </cell>
          <cell r="D547">
            <v>689</v>
          </cell>
          <cell r="E547">
            <v>17225</v>
          </cell>
          <cell r="F547" t="str">
            <v>A1-S1-1</v>
          </cell>
          <cell r="G547" t="str">
            <v>Patching moulding - Chỉ đắp</v>
          </cell>
          <cell r="H547" t="str">
            <v>Wood US Ash - Straight/Waving Edged, 1 COM - T26mm x W100mm up x L1.8m up</v>
          </cell>
          <cell r="I547">
            <v>200</v>
          </cell>
        </row>
        <row r="548">
          <cell r="A548" t="str">
            <v>B558285/A</v>
          </cell>
          <cell r="B548" t="str">
            <v>DL019M837</v>
          </cell>
          <cell r="C548">
            <v>25</v>
          </cell>
          <cell r="D548">
            <v>689</v>
          </cell>
          <cell r="E548">
            <v>17225</v>
          </cell>
          <cell r="F548" t="str">
            <v>A1-S1-2</v>
          </cell>
          <cell r="G548" t="str">
            <v>Patching moulding - Chỉ đắp</v>
          </cell>
          <cell r="H548" t="str">
            <v>Wood US Ash - Straight/Waving Edged, 1 COM - T26mm x W100mm up x L1.8m up</v>
          </cell>
          <cell r="I548">
            <v>200</v>
          </cell>
        </row>
        <row r="549">
          <cell r="A549" t="str">
            <v>B558285/A</v>
          </cell>
          <cell r="B549" t="str">
            <v>DL019M837</v>
          </cell>
          <cell r="C549">
            <v>25</v>
          </cell>
          <cell r="D549">
            <v>689</v>
          </cell>
          <cell r="E549">
            <v>17225</v>
          </cell>
          <cell r="F549" t="str">
            <v>A1-S1-3</v>
          </cell>
          <cell r="G549" t="str">
            <v xml:space="preserve">Panel - Ván </v>
          </cell>
          <cell r="H549" t="str">
            <v>MDF Veneer</v>
          </cell>
          <cell r="I549">
            <v>50</v>
          </cell>
        </row>
        <row r="550">
          <cell r="A550" t="str">
            <v>B558285/A</v>
          </cell>
          <cell r="B550" t="str">
            <v>DL019M837</v>
          </cell>
          <cell r="C550">
            <v>25</v>
          </cell>
          <cell r="D550">
            <v>689</v>
          </cell>
          <cell r="E550">
            <v>17225</v>
          </cell>
          <cell r="F550" t="str">
            <v>A1-S1-4</v>
          </cell>
          <cell r="G550" t="str">
            <v>Patching wood - Gỗ đắp</v>
          </cell>
          <cell r="H550" t="str">
            <v>MDF Veneer</v>
          </cell>
          <cell r="I550">
            <v>1000</v>
          </cell>
        </row>
        <row r="551">
          <cell r="A551" t="str">
            <v>B558285/A</v>
          </cell>
          <cell r="B551" t="str">
            <v>DL019M837</v>
          </cell>
          <cell r="C551">
            <v>25</v>
          </cell>
          <cell r="D551">
            <v>689</v>
          </cell>
          <cell r="E551">
            <v>17225</v>
          </cell>
          <cell r="F551" t="str">
            <v>A1-S1-5</v>
          </cell>
          <cell r="G551" t="str">
            <v>Patching wood - Gỗ đắp</v>
          </cell>
          <cell r="H551" t="str">
            <v>MDF Veneer</v>
          </cell>
          <cell r="I551">
            <v>800</v>
          </cell>
        </row>
        <row r="552">
          <cell r="A552" t="str">
            <v>B558285/A</v>
          </cell>
          <cell r="B552" t="str">
            <v>DL019M837</v>
          </cell>
          <cell r="C552">
            <v>25</v>
          </cell>
          <cell r="D552">
            <v>689</v>
          </cell>
          <cell r="E552">
            <v>17225</v>
          </cell>
          <cell r="F552" t="str">
            <v>A1-S1-6</v>
          </cell>
          <cell r="G552" t="str">
            <v>Patching wood - Gỗ đắp</v>
          </cell>
          <cell r="H552" t="str">
            <v>MDF Veneer</v>
          </cell>
          <cell r="I552">
            <v>200</v>
          </cell>
        </row>
        <row r="553">
          <cell r="A553" t="str">
            <v>B558285/A</v>
          </cell>
          <cell r="B553" t="str">
            <v>DL019M837</v>
          </cell>
          <cell r="C553">
            <v>25</v>
          </cell>
          <cell r="D553">
            <v>689</v>
          </cell>
          <cell r="E553">
            <v>17225</v>
          </cell>
          <cell r="F553" t="str">
            <v>A1-S2</v>
          </cell>
          <cell r="G553" t="str">
            <v xml:space="preserve">Drawer front 1 - Mặt hộc kéo </v>
          </cell>
          <cell r="H553" t="str">
            <v>MDF Veneer</v>
          </cell>
          <cell r="I553">
            <v>50</v>
          </cell>
        </row>
        <row r="554">
          <cell r="A554" t="str">
            <v>B558285/A</v>
          </cell>
          <cell r="B554" t="str">
            <v>DL019M837</v>
          </cell>
          <cell r="C554">
            <v>25</v>
          </cell>
          <cell r="D554">
            <v>689</v>
          </cell>
          <cell r="E554">
            <v>17225</v>
          </cell>
          <cell r="F554" t="str">
            <v>A1-S3</v>
          </cell>
          <cell r="G554" t="str">
            <v>Drawer side - Hông hộc kéo</v>
          </cell>
          <cell r="H554" t="str">
            <v>MDF Veneer</v>
          </cell>
          <cell r="I554">
            <v>200</v>
          </cell>
        </row>
        <row r="555">
          <cell r="A555" t="str">
            <v>B558285/A</v>
          </cell>
          <cell r="B555" t="str">
            <v>DL019M837</v>
          </cell>
          <cell r="C555">
            <v>25</v>
          </cell>
          <cell r="D555">
            <v>689</v>
          </cell>
          <cell r="E555">
            <v>17225</v>
          </cell>
          <cell r="F555" t="str">
            <v>A1-S4</v>
          </cell>
          <cell r="G555" t="str">
            <v>Drawer bottom  - Đáy hộc kéo</v>
          </cell>
          <cell r="H555" t="str">
            <v>Pre-Assembly</v>
          </cell>
          <cell r="I555">
            <v>50</v>
          </cell>
        </row>
        <row r="556">
          <cell r="A556" t="str">
            <v>B558285/A</v>
          </cell>
          <cell r="B556" t="str">
            <v>DL019M837</v>
          </cell>
          <cell r="C556">
            <v>25</v>
          </cell>
          <cell r="D556">
            <v>689</v>
          </cell>
          <cell r="E556">
            <v>17225</v>
          </cell>
          <cell r="F556" t="str">
            <v>A1-S4-1</v>
          </cell>
          <cell r="G556" t="str">
            <v>Drawer bottom  - Đáy hộc kéo</v>
          </cell>
          <cell r="H556" t="str">
            <v>Pre-Assembly</v>
          </cell>
          <cell r="I556">
            <v>50</v>
          </cell>
        </row>
        <row r="557">
          <cell r="A557" t="str">
            <v>B558285/A</v>
          </cell>
          <cell r="B557" t="str">
            <v>DL019M837</v>
          </cell>
          <cell r="C557">
            <v>25</v>
          </cell>
          <cell r="D557">
            <v>689</v>
          </cell>
          <cell r="E557">
            <v>17225</v>
          </cell>
          <cell r="F557" t="str">
            <v>A1-S5</v>
          </cell>
          <cell r="G557" t="str">
            <v>Partition panel - Vách ngăn</v>
          </cell>
          <cell r="H557" t="str">
            <v>MDF Veneer</v>
          </cell>
          <cell r="I557">
            <v>100</v>
          </cell>
        </row>
        <row r="558">
          <cell r="A558" t="str">
            <v>B558285/A</v>
          </cell>
          <cell r="B558" t="str">
            <v>DL019M837</v>
          </cell>
          <cell r="C558">
            <v>25</v>
          </cell>
          <cell r="D558">
            <v>689</v>
          </cell>
          <cell r="E558">
            <v>17225</v>
          </cell>
          <cell r="F558" t="str">
            <v>A1-S6</v>
          </cell>
          <cell r="G558" t="str">
            <v>Drawer back - Hậu hộc kéo</v>
          </cell>
          <cell r="H558" t="str">
            <v>MDF Veneer</v>
          </cell>
          <cell r="I558">
            <v>100</v>
          </cell>
        </row>
        <row r="559">
          <cell r="A559" t="str">
            <v>B558285/A</v>
          </cell>
          <cell r="B559" t="str">
            <v>DL019M837</v>
          </cell>
          <cell r="C559">
            <v>25</v>
          </cell>
          <cell r="D559">
            <v>689</v>
          </cell>
          <cell r="E559">
            <v>17225</v>
          </cell>
          <cell r="F559" t="str">
            <v>A1-S7</v>
          </cell>
          <cell r="G559" t="str">
            <v>Drawer back 1 - hau hộc 1</v>
          </cell>
          <cell r="H559" t="str">
            <v>MDF Veneer</v>
          </cell>
          <cell r="I559">
            <v>100</v>
          </cell>
        </row>
        <row r="560">
          <cell r="A560" t="str">
            <v>B558285/A</v>
          </cell>
          <cell r="B560" t="str">
            <v>DL019M837</v>
          </cell>
          <cell r="C560">
            <v>25</v>
          </cell>
          <cell r="D560">
            <v>689</v>
          </cell>
          <cell r="E560">
            <v>17225</v>
          </cell>
          <cell r="F560" t="str">
            <v>A1-S8</v>
          </cell>
          <cell r="G560" t="str">
            <v>Drawer back 1 - hau hộc 1</v>
          </cell>
          <cell r="H560" t="str">
            <v>MDF Veneer</v>
          </cell>
          <cell r="I560">
            <v>50</v>
          </cell>
        </row>
        <row r="561">
          <cell r="A561" t="str">
            <v>B558285/A</v>
          </cell>
          <cell r="B561" t="str">
            <v>DL019M837</v>
          </cell>
          <cell r="C561">
            <v>25</v>
          </cell>
          <cell r="D561">
            <v>689</v>
          </cell>
          <cell r="E561">
            <v>17225</v>
          </cell>
          <cell r="F561" t="str">
            <v>A1-S9-2</v>
          </cell>
          <cell r="G561" t="str">
            <v>Patching wood - Gỗ đắp</v>
          </cell>
          <cell r="H561" t="str">
            <v>Wood EU Beech - Straight/Waving Edged ABC, 2 COM - T26mm x W100mm up x L1.8m up</v>
          </cell>
          <cell r="I561">
            <v>200</v>
          </cell>
        </row>
        <row r="562">
          <cell r="A562" t="str">
            <v>B558285/A</v>
          </cell>
          <cell r="B562" t="str">
            <v>DL019M837</v>
          </cell>
          <cell r="C562">
            <v>25</v>
          </cell>
          <cell r="D562">
            <v>689</v>
          </cell>
          <cell r="E562">
            <v>17225</v>
          </cell>
          <cell r="F562" t="str">
            <v>A1-S9-3</v>
          </cell>
          <cell r="G562" t="str">
            <v>Patching wood - Gỗ đắp</v>
          </cell>
          <cell r="H562" t="str">
            <v>Wood US Poplar - Straight Edged, 2 COM - T38mm x W100mm Up x L1.8m Up</v>
          </cell>
          <cell r="I562">
            <v>200</v>
          </cell>
        </row>
        <row r="563">
          <cell r="A563" t="str">
            <v>B558285/A</v>
          </cell>
          <cell r="B563" t="str">
            <v>DL019M837</v>
          </cell>
          <cell r="C563">
            <v>25</v>
          </cell>
          <cell r="D563">
            <v>689</v>
          </cell>
          <cell r="E563">
            <v>17225</v>
          </cell>
          <cell r="F563" t="str">
            <v>A1-S9-4</v>
          </cell>
          <cell r="G563" t="str">
            <v>Patching wood - Gỗ đắp</v>
          </cell>
          <cell r="H563" t="str">
            <v>Wood US Poplar - Straight Edged, 2 COM - T38mm x W100mm Up x L1.8m Up</v>
          </cell>
          <cell r="I563">
            <v>100</v>
          </cell>
        </row>
        <row r="564">
          <cell r="A564" t="str">
            <v>B558285/A</v>
          </cell>
          <cell r="B564" t="str">
            <v>DL019M837</v>
          </cell>
          <cell r="C564">
            <v>25</v>
          </cell>
          <cell r="D564">
            <v>689</v>
          </cell>
          <cell r="E564">
            <v>17225</v>
          </cell>
          <cell r="F564" t="str">
            <v>A1-S9-5</v>
          </cell>
          <cell r="G564" t="str">
            <v>Patching wood - Gỗ đắp</v>
          </cell>
          <cell r="H564" t="str">
            <v>Wood Acacia - Straight/Waving Edged - T35mm x W100mm Up x L1.5m Up (FSC Certificate or Low-risk regions)</v>
          </cell>
          <cell r="I564">
            <v>200</v>
          </cell>
        </row>
        <row r="565">
          <cell r="A565" t="str">
            <v>B558285/A</v>
          </cell>
          <cell r="B565" t="str">
            <v>DL019M837</v>
          </cell>
          <cell r="C565">
            <v>25</v>
          </cell>
          <cell r="D565">
            <v>689</v>
          </cell>
          <cell r="E565">
            <v>17225</v>
          </cell>
          <cell r="F565" t="str">
            <v>A1-S9-6</v>
          </cell>
          <cell r="G565" t="str">
            <v>Patching wood - Gỗ đắp</v>
          </cell>
          <cell r="H565" t="str">
            <v>Wood Acacia - Straight/Waving Edged - T35mm x W100mm Up x L1.5m Up (FSC Certificate or Low-risk regions)</v>
          </cell>
          <cell r="I565">
            <v>200</v>
          </cell>
        </row>
        <row r="566">
          <cell r="A566" t="str">
            <v>B558285/A</v>
          </cell>
          <cell r="B566" t="str">
            <v>DL019M837</v>
          </cell>
          <cell r="C566">
            <v>25</v>
          </cell>
          <cell r="D566">
            <v>689</v>
          </cell>
          <cell r="E566">
            <v>17225</v>
          </cell>
          <cell r="F566" t="str">
            <v>A1-S9-7</v>
          </cell>
          <cell r="G566" t="str">
            <v>Patching wood - Gỗ đắp</v>
          </cell>
          <cell r="H566" t="str">
            <v>Wood Acacia - Straight/Waving Edged - T35mm x W100mm Up x L1.5m Up (FSC Certificate or Low-risk regions)</v>
          </cell>
          <cell r="I566">
            <v>100</v>
          </cell>
        </row>
        <row r="567">
          <cell r="A567" t="str">
            <v>B558285/A</v>
          </cell>
          <cell r="B567" t="str">
            <v>DL019M837</v>
          </cell>
          <cell r="C567">
            <v>25</v>
          </cell>
          <cell r="D567">
            <v>689</v>
          </cell>
          <cell r="E567">
            <v>17225</v>
          </cell>
          <cell r="F567" t="str">
            <v>A1-S9-8</v>
          </cell>
          <cell r="G567" t="str">
            <v>Patching wood - Gỗ đắp</v>
          </cell>
          <cell r="H567" t="str">
            <v>Wood Acacia - Straight/Waving Edged - T35mm x W100mm Up x L1.5m Up (FSC Certificate or Low-risk regions)</v>
          </cell>
          <cell r="I567">
            <v>100</v>
          </cell>
        </row>
        <row r="568">
          <cell r="A568" t="str">
            <v>B558285/A</v>
          </cell>
          <cell r="B568" t="str">
            <v>DL019M837</v>
          </cell>
          <cell r="C568">
            <v>25</v>
          </cell>
          <cell r="D568">
            <v>689</v>
          </cell>
          <cell r="E568">
            <v>17225</v>
          </cell>
          <cell r="F568" t="str">
            <v>A2-S1</v>
          </cell>
          <cell r="G568" t="str">
            <v xml:space="preserve">Drawer front - Mặt hộc kéo </v>
          </cell>
          <cell r="H568" t="str">
            <v>Pre-Assembly</v>
          </cell>
          <cell r="I568">
            <v>50</v>
          </cell>
        </row>
        <row r="569">
          <cell r="A569" t="str">
            <v>B558285/A</v>
          </cell>
          <cell r="B569" t="str">
            <v>DL019M837</v>
          </cell>
          <cell r="C569">
            <v>25</v>
          </cell>
          <cell r="D569">
            <v>689</v>
          </cell>
          <cell r="E569">
            <v>17225</v>
          </cell>
          <cell r="F569" t="str">
            <v>A2-S10</v>
          </cell>
          <cell r="G569" t="str">
            <v>MDF - MDF</v>
          </cell>
          <cell r="H569" t="str">
            <v>MDF OFF CUT</v>
          </cell>
          <cell r="I569">
            <v>50</v>
          </cell>
        </row>
        <row r="570">
          <cell r="A570" t="str">
            <v>B558285/A</v>
          </cell>
          <cell r="B570" t="str">
            <v>DL019M837</v>
          </cell>
          <cell r="C570">
            <v>25</v>
          </cell>
          <cell r="D570">
            <v>689</v>
          </cell>
          <cell r="E570">
            <v>17225</v>
          </cell>
          <cell r="F570" t="str">
            <v>A2-S1-3</v>
          </cell>
          <cell r="G570" t="str">
            <v xml:space="preserve">Panel - Ván </v>
          </cell>
          <cell r="H570" t="str">
            <v>MDF Veneer</v>
          </cell>
          <cell r="I570">
            <v>50</v>
          </cell>
        </row>
        <row r="571">
          <cell r="A571" t="str">
            <v>B558285/A</v>
          </cell>
          <cell r="B571" t="str">
            <v>DL019M837</v>
          </cell>
          <cell r="C571">
            <v>25</v>
          </cell>
          <cell r="D571">
            <v>689</v>
          </cell>
          <cell r="E571">
            <v>17225</v>
          </cell>
          <cell r="F571" t="str">
            <v>A2-S2</v>
          </cell>
          <cell r="G571" t="str">
            <v xml:space="preserve">Drawer front - Mặt hộc kéo </v>
          </cell>
          <cell r="H571" t="str">
            <v>MDF Veneer</v>
          </cell>
          <cell r="I571">
            <v>50</v>
          </cell>
        </row>
        <row r="572">
          <cell r="A572" t="str">
            <v>B558285/A</v>
          </cell>
          <cell r="B572" t="str">
            <v>DL019M837</v>
          </cell>
          <cell r="C572">
            <v>25</v>
          </cell>
          <cell r="D572">
            <v>689</v>
          </cell>
          <cell r="E572">
            <v>17225</v>
          </cell>
          <cell r="F572" t="str">
            <v>A2-S4</v>
          </cell>
          <cell r="G572" t="str">
            <v>MDF - MDF</v>
          </cell>
          <cell r="H572" t="str">
            <v>MDF OFF CUT</v>
          </cell>
          <cell r="I572">
            <v>50</v>
          </cell>
        </row>
        <row r="573">
          <cell r="A573" t="str">
            <v>B558285/A</v>
          </cell>
          <cell r="B573" t="str">
            <v>DL019M837</v>
          </cell>
          <cell r="C573">
            <v>25</v>
          </cell>
          <cell r="D573">
            <v>689</v>
          </cell>
          <cell r="E573">
            <v>17225</v>
          </cell>
          <cell r="F573" t="str">
            <v>A2-S5</v>
          </cell>
          <cell r="G573" t="str">
            <v>Drawer back - Hậu hộc kéo</v>
          </cell>
          <cell r="H573" t="str">
            <v>MDF Veneer</v>
          </cell>
          <cell r="I573">
            <v>100</v>
          </cell>
        </row>
        <row r="574">
          <cell r="A574" t="str">
            <v>B558285/A</v>
          </cell>
          <cell r="B574" t="str">
            <v>DL019M837</v>
          </cell>
          <cell r="C574">
            <v>25</v>
          </cell>
          <cell r="D574">
            <v>689</v>
          </cell>
          <cell r="E574">
            <v>17225</v>
          </cell>
          <cell r="F574" t="str">
            <v>A2-S6</v>
          </cell>
          <cell r="G574" t="str">
            <v>Drawer back 1 - hau hộc 1</v>
          </cell>
          <cell r="H574" t="str">
            <v>MDF Veneer</v>
          </cell>
          <cell r="I574">
            <v>100</v>
          </cell>
        </row>
        <row r="575">
          <cell r="A575" t="str">
            <v>B558285/A</v>
          </cell>
          <cell r="B575" t="str">
            <v>DL019M837</v>
          </cell>
          <cell r="C575">
            <v>25</v>
          </cell>
          <cell r="D575">
            <v>689</v>
          </cell>
          <cell r="E575">
            <v>17225</v>
          </cell>
          <cell r="F575" t="str">
            <v>A2-S7</v>
          </cell>
          <cell r="G575" t="str">
            <v>Drawer back 1 - hau hộc 1</v>
          </cell>
          <cell r="H575" t="str">
            <v>MDF Veneer</v>
          </cell>
          <cell r="I575">
            <v>50</v>
          </cell>
        </row>
        <row r="576">
          <cell r="A576" t="str">
            <v>B558285/A</v>
          </cell>
          <cell r="B576" t="str">
            <v>DL019M837</v>
          </cell>
          <cell r="C576">
            <v>25</v>
          </cell>
          <cell r="D576">
            <v>689</v>
          </cell>
          <cell r="E576">
            <v>17225</v>
          </cell>
          <cell r="F576" t="str">
            <v>A2-S8</v>
          </cell>
          <cell r="G576" t="str">
            <v>support Top - đỡ nóc</v>
          </cell>
          <cell r="H576" t="str">
            <v>Wood US Ash - Straight/Waving Edged, 1 COM - T26mm x W100mm up x L1.8m up</v>
          </cell>
          <cell r="I576">
            <v>50</v>
          </cell>
        </row>
        <row r="577">
          <cell r="A577" t="str">
            <v>B558285/A</v>
          </cell>
          <cell r="B577" t="str">
            <v>DL019M837</v>
          </cell>
          <cell r="C577">
            <v>25</v>
          </cell>
          <cell r="D577">
            <v>689</v>
          </cell>
          <cell r="E577">
            <v>17225</v>
          </cell>
          <cell r="F577" t="str">
            <v>A3-S1</v>
          </cell>
          <cell r="G577" t="str">
            <v xml:space="preserve">Drawer front - Mặt hộc kéo </v>
          </cell>
          <cell r="H577" t="str">
            <v>MDF Veneer</v>
          </cell>
          <cell r="I577">
            <v>50</v>
          </cell>
        </row>
        <row r="578">
          <cell r="A578" t="str">
            <v>B558285/A</v>
          </cell>
          <cell r="B578" t="str">
            <v>DL019M837</v>
          </cell>
          <cell r="C578">
            <v>25</v>
          </cell>
          <cell r="D578">
            <v>689</v>
          </cell>
          <cell r="E578">
            <v>17225</v>
          </cell>
          <cell r="F578" t="str">
            <v>A3-S2</v>
          </cell>
          <cell r="G578" t="str">
            <v>Drawer side - Hông hộc kéo</v>
          </cell>
          <cell r="H578" t="str">
            <v>MDF Veneer</v>
          </cell>
          <cell r="I578">
            <v>50</v>
          </cell>
        </row>
        <row r="579">
          <cell r="A579" t="str">
            <v>B558285/A</v>
          </cell>
          <cell r="B579" t="str">
            <v>DL019M837</v>
          </cell>
          <cell r="C579">
            <v>25</v>
          </cell>
          <cell r="D579">
            <v>689</v>
          </cell>
          <cell r="E579">
            <v>17225</v>
          </cell>
          <cell r="F579" t="str">
            <v>A3-S3</v>
          </cell>
          <cell r="G579" t="str">
            <v>Drawer bottom  - Đáy hộc kéo</v>
          </cell>
          <cell r="H579" t="str">
            <v>Pre-Assembly</v>
          </cell>
          <cell r="I579">
            <v>25</v>
          </cell>
        </row>
        <row r="580">
          <cell r="A580" t="str">
            <v>B558285/A</v>
          </cell>
          <cell r="B580" t="str">
            <v>DL019M837</v>
          </cell>
          <cell r="C580">
            <v>25</v>
          </cell>
          <cell r="D580">
            <v>689</v>
          </cell>
          <cell r="E580">
            <v>17225</v>
          </cell>
          <cell r="F580" t="str">
            <v>A3-S4</v>
          </cell>
          <cell r="G580" t="str">
            <v>Partition panel - Vách ngăn</v>
          </cell>
          <cell r="H580" t="str">
            <v>MDF Veneer</v>
          </cell>
          <cell r="I580">
            <v>50</v>
          </cell>
        </row>
        <row r="581">
          <cell r="A581" t="str">
            <v>B558285/A</v>
          </cell>
          <cell r="B581" t="str">
            <v>DL019M837</v>
          </cell>
          <cell r="C581">
            <v>25</v>
          </cell>
          <cell r="D581">
            <v>689</v>
          </cell>
          <cell r="E581">
            <v>17225</v>
          </cell>
          <cell r="F581" t="str">
            <v>A3-S5</v>
          </cell>
          <cell r="G581" t="str">
            <v>Partition panel - Vách ngăn</v>
          </cell>
          <cell r="H581" t="str">
            <v>Wood US Ash - Straight/Waving Edged, 1 COM - T26mm x W100mm up x L1.8m up</v>
          </cell>
          <cell r="I581">
            <v>50</v>
          </cell>
        </row>
        <row r="582">
          <cell r="A582" t="str">
            <v>B558285/A</v>
          </cell>
          <cell r="B582" t="str">
            <v>DL019M837</v>
          </cell>
          <cell r="C582">
            <v>25</v>
          </cell>
          <cell r="D582">
            <v>689</v>
          </cell>
          <cell r="E582">
            <v>17225</v>
          </cell>
          <cell r="F582" t="str">
            <v>A3-S6</v>
          </cell>
          <cell r="G582" t="str">
            <v xml:space="preserve">Top panel  - Ván nóc </v>
          </cell>
          <cell r="H582" t="str">
            <v>Wood US Ash - Straight/Waving Edged, 2 COM - T25mm x L1.8m Up</v>
          </cell>
          <cell r="I582">
            <v>25</v>
          </cell>
        </row>
        <row r="583">
          <cell r="A583" t="str">
            <v>B558285/A</v>
          </cell>
          <cell r="B583" t="str">
            <v>DL019M837</v>
          </cell>
          <cell r="C583">
            <v>25</v>
          </cell>
          <cell r="D583">
            <v>689</v>
          </cell>
          <cell r="E583">
            <v>17225</v>
          </cell>
          <cell r="F583" t="str">
            <v>A4-S1</v>
          </cell>
          <cell r="G583" t="str">
            <v>Front rail  - Đố tiền</v>
          </cell>
          <cell r="H583" t="str">
            <v>Wood US Ash - Straight/Waving Edged, 1 COM - T26mm x W100mm up x L1.8m up</v>
          </cell>
          <cell r="I583">
            <v>50</v>
          </cell>
        </row>
        <row r="584">
          <cell r="A584" t="str">
            <v>B558285/A</v>
          </cell>
          <cell r="B584" t="str">
            <v>DL019M837</v>
          </cell>
          <cell r="C584">
            <v>25</v>
          </cell>
          <cell r="D584">
            <v>689</v>
          </cell>
          <cell r="E584">
            <v>17225</v>
          </cell>
          <cell r="F584" t="str">
            <v>A4-S1-1</v>
          </cell>
          <cell r="G584" t="str">
            <v>back rail - Đố hậu</v>
          </cell>
          <cell r="H584" t="str">
            <v>Wood EU Beech - Straight/Waving Edged ABC, 2 COM - T26mm x W100mm up x L1.8m up</v>
          </cell>
          <cell r="I584">
            <v>50</v>
          </cell>
        </row>
        <row r="585">
          <cell r="A585" t="str">
            <v>B558285/A</v>
          </cell>
          <cell r="B585" t="str">
            <v>DL019M837</v>
          </cell>
          <cell r="C585">
            <v>25</v>
          </cell>
          <cell r="D585">
            <v>689</v>
          </cell>
          <cell r="E585">
            <v>17225</v>
          </cell>
          <cell r="F585" t="str">
            <v>A4-S2</v>
          </cell>
          <cell r="G585" t="str">
            <v>Front rail 1 - đố trước 1</v>
          </cell>
          <cell r="H585" t="str">
            <v>Wood US Ash - Straight/Waving Edged, 1 COM - T38mm x L1.8m Up</v>
          </cell>
          <cell r="I585">
            <v>100</v>
          </cell>
        </row>
        <row r="586">
          <cell r="A586" t="str">
            <v>B558285/A</v>
          </cell>
          <cell r="B586" t="str">
            <v>DL019M837</v>
          </cell>
          <cell r="C586">
            <v>25</v>
          </cell>
          <cell r="D586">
            <v>689</v>
          </cell>
          <cell r="E586">
            <v>17225</v>
          </cell>
          <cell r="F586" t="str">
            <v>A4-S3</v>
          </cell>
          <cell r="G586" t="str">
            <v xml:space="preserve">Side rail  - Đố hông </v>
          </cell>
          <cell r="H586" t="str">
            <v>Wood US Ash - Straight/Waving Edged, 1 COM - T26mm x W100mm up x L1.8m up</v>
          </cell>
          <cell r="I586">
            <v>50</v>
          </cell>
        </row>
        <row r="587">
          <cell r="A587" t="str">
            <v>B558285/A</v>
          </cell>
          <cell r="B587" t="str">
            <v>DL019M837</v>
          </cell>
          <cell r="C587">
            <v>25</v>
          </cell>
          <cell r="D587">
            <v>689</v>
          </cell>
          <cell r="E587">
            <v>17225</v>
          </cell>
          <cell r="F587" t="str">
            <v>A4-S3-1</v>
          </cell>
          <cell r="G587" t="str">
            <v>Center rail - Đố giữa</v>
          </cell>
          <cell r="H587" t="str">
            <v>Wood EU Beech - Straight/Waving Edged ABC, 2 COM - T26mm x W100mm up x L1.8m up</v>
          </cell>
          <cell r="I587">
            <v>25</v>
          </cell>
        </row>
        <row r="588">
          <cell r="A588" t="str">
            <v>B558285/A</v>
          </cell>
          <cell r="B588" t="str">
            <v>DL019M837</v>
          </cell>
          <cell r="C588">
            <v>25</v>
          </cell>
          <cell r="D588">
            <v>689</v>
          </cell>
          <cell r="E588">
            <v>17225</v>
          </cell>
          <cell r="F588" t="str">
            <v>A4-S4</v>
          </cell>
          <cell r="G588" t="str">
            <v>side rail 1 - đố hông 1</v>
          </cell>
          <cell r="H588" t="str">
            <v>Wood US Ash - Straight/Waving Edged, 1 COM - T38mm x L1.8m Up</v>
          </cell>
          <cell r="I588">
            <v>75</v>
          </cell>
        </row>
        <row r="589">
          <cell r="A589" t="str">
            <v>B558285/A</v>
          </cell>
          <cell r="B589" t="str">
            <v>DL019M837</v>
          </cell>
          <cell r="C589">
            <v>25</v>
          </cell>
          <cell r="D589">
            <v>689</v>
          </cell>
          <cell r="E589">
            <v>17225</v>
          </cell>
          <cell r="F589" t="str">
            <v>A4-S5</v>
          </cell>
          <cell r="G589" t="str">
            <v>The leg  - Chân</v>
          </cell>
          <cell r="H589" t="str">
            <v>Wood US Ash - Straight/Waving Edged, 1 COM - T50mm x L1.8m Up</v>
          </cell>
          <cell r="I589">
            <v>100</v>
          </cell>
        </row>
        <row r="590">
          <cell r="A590" t="str">
            <v>B558285/A</v>
          </cell>
          <cell r="B590" t="str">
            <v>DL019M837</v>
          </cell>
          <cell r="C590">
            <v>25</v>
          </cell>
          <cell r="D590">
            <v>689</v>
          </cell>
          <cell r="E590">
            <v>17225</v>
          </cell>
          <cell r="F590" t="str">
            <v>A4-S6</v>
          </cell>
          <cell r="G590" t="str">
            <v>Corner block - ke góc</v>
          </cell>
          <cell r="H590" t="str">
            <v>Wood EU Beech - Straight/Waving Edged ABC, 2 COM - T26mm x W100mm up x L1.8m up</v>
          </cell>
          <cell r="I590">
            <v>100</v>
          </cell>
        </row>
        <row r="591">
          <cell r="A591" t="str">
            <v>B558285/A</v>
          </cell>
          <cell r="B591" t="str">
            <v>DL019M837</v>
          </cell>
          <cell r="C591">
            <v>25</v>
          </cell>
          <cell r="D591">
            <v>689</v>
          </cell>
          <cell r="E591">
            <v>17225</v>
          </cell>
          <cell r="F591" t="str">
            <v>A4-S7</v>
          </cell>
          <cell r="G591" t="str">
            <v>Center leg - Chân giữa</v>
          </cell>
          <cell r="H591" t="str">
            <v>Wood US Ash - Straight/Waving Edged, 1 COM - T50mm x L1.8m Up</v>
          </cell>
          <cell r="I591">
            <v>50</v>
          </cell>
        </row>
        <row r="592">
          <cell r="A592" t="str">
            <v>B558285/A</v>
          </cell>
          <cell r="B592" t="str">
            <v>DL019M837</v>
          </cell>
          <cell r="C592">
            <v>25</v>
          </cell>
          <cell r="D592">
            <v>689</v>
          </cell>
          <cell r="E592">
            <v>17225</v>
          </cell>
          <cell r="F592" t="str">
            <v>A4-S9</v>
          </cell>
          <cell r="G592" t="str">
            <v>Corner block - ke góc</v>
          </cell>
          <cell r="H592" t="str">
            <v>Wood EU Beech - Straight/Waving Edged ABC, 2 COM - T26mm x W100mm up x L1.8m up</v>
          </cell>
          <cell r="I592">
            <v>50</v>
          </cell>
        </row>
        <row r="593">
          <cell r="A593" t="str">
            <v>B558285/A</v>
          </cell>
          <cell r="B593" t="str">
            <v>DL019M837</v>
          </cell>
          <cell r="C593">
            <v>25</v>
          </cell>
          <cell r="D593">
            <v>689</v>
          </cell>
          <cell r="E593">
            <v>17225</v>
          </cell>
          <cell r="F593" t="str">
            <v>P01</v>
          </cell>
          <cell r="G593" t="str">
            <v>Front moulding  - Chỉ tiền</v>
          </cell>
          <cell r="H593" t="str">
            <v>Wood laminate</v>
          </cell>
          <cell r="I593">
            <v>25</v>
          </cell>
        </row>
        <row r="594">
          <cell r="A594" t="str">
            <v>B558285/A</v>
          </cell>
          <cell r="B594" t="str">
            <v>DL019M837</v>
          </cell>
          <cell r="C594">
            <v>25</v>
          </cell>
          <cell r="D594">
            <v>689</v>
          </cell>
          <cell r="E594">
            <v>17225</v>
          </cell>
          <cell r="F594" t="str">
            <v>P02</v>
          </cell>
          <cell r="G594" t="str">
            <v xml:space="preserve">Side panel  - Ván hông </v>
          </cell>
          <cell r="H594" t="str">
            <v>MDF Veneer</v>
          </cell>
          <cell r="I594">
            <v>50</v>
          </cell>
        </row>
        <row r="595">
          <cell r="A595" t="str">
            <v>B558285/A</v>
          </cell>
          <cell r="B595" t="str">
            <v>DL019M837</v>
          </cell>
          <cell r="C595">
            <v>25</v>
          </cell>
          <cell r="D595">
            <v>689</v>
          </cell>
          <cell r="E595">
            <v>17225</v>
          </cell>
          <cell r="F595" t="str">
            <v>P02-1</v>
          </cell>
          <cell r="G595" t="str">
            <v>Spline - Lưỡi gà</v>
          </cell>
          <cell r="H595" t="str">
            <v>Plywood LVD - 06 x 1220 x 2440mm, Bleached Poplar Veneer Both Sides [CARB P2 Compliant]</v>
          </cell>
          <cell r="I595">
            <v>50</v>
          </cell>
        </row>
        <row r="596">
          <cell r="A596" t="str">
            <v>B558285/A</v>
          </cell>
          <cell r="B596" t="str">
            <v>DL019M837</v>
          </cell>
          <cell r="C596">
            <v>25</v>
          </cell>
          <cell r="D596">
            <v>689</v>
          </cell>
          <cell r="E596">
            <v>17225</v>
          </cell>
          <cell r="F596" t="str">
            <v>P03</v>
          </cell>
          <cell r="G596" t="str">
            <v xml:space="preserve">Side rail  - Đố hông </v>
          </cell>
          <cell r="H596" t="str">
            <v>Wood EU Beech - Straight/Waving Edged ABC, 2 COM - T26mm x W100mm up x L1.8m up</v>
          </cell>
          <cell r="I596">
            <v>50</v>
          </cell>
        </row>
        <row r="597">
          <cell r="A597" t="str">
            <v>B558285/A</v>
          </cell>
          <cell r="B597" t="str">
            <v>DL019M837</v>
          </cell>
          <cell r="C597">
            <v>25</v>
          </cell>
          <cell r="D597">
            <v>689</v>
          </cell>
          <cell r="E597">
            <v>17225</v>
          </cell>
          <cell r="F597" t="str">
            <v>P04</v>
          </cell>
          <cell r="G597" t="str">
            <v>Front top rail  - Đố tiền nóc</v>
          </cell>
          <cell r="H597" t="str">
            <v>Wood laminate</v>
          </cell>
          <cell r="I597">
            <v>25</v>
          </cell>
        </row>
        <row r="598">
          <cell r="A598" t="str">
            <v>B558285/A</v>
          </cell>
          <cell r="B598" t="str">
            <v>DL019M837</v>
          </cell>
          <cell r="C598">
            <v>25</v>
          </cell>
          <cell r="D598">
            <v>689</v>
          </cell>
          <cell r="E598">
            <v>17225</v>
          </cell>
          <cell r="F598" t="str">
            <v>P05</v>
          </cell>
          <cell r="G598" t="str">
            <v>Back top rail - Đố hậu nóc</v>
          </cell>
          <cell r="H598" t="str">
            <v>Wood laminate</v>
          </cell>
          <cell r="I598">
            <v>25</v>
          </cell>
        </row>
        <row r="599">
          <cell r="A599" t="str">
            <v>B558285/A</v>
          </cell>
          <cell r="B599" t="str">
            <v>DL019M837</v>
          </cell>
          <cell r="C599">
            <v>25</v>
          </cell>
          <cell r="D599">
            <v>689</v>
          </cell>
          <cell r="E599">
            <v>17225</v>
          </cell>
          <cell r="F599" t="str">
            <v>P06</v>
          </cell>
          <cell r="G599" t="str">
            <v>Bottom panel - Ván đáy</v>
          </cell>
          <cell r="H599" t="str">
            <v>MDF Veneer</v>
          </cell>
          <cell r="I599">
            <v>25</v>
          </cell>
        </row>
        <row r="600">
          <cell r="A600" t="str">
            <v>B558285/A</v>
          </cell>
          <cell r="B600" t="str">
            <v>DL019M837</v>
          </cell>
          <cell r="C600">
            <v>25</v>
          </cell>
          <cell r="D600">
            <v>689</v>
          </cell>
          <cell r="E600">
            <v>17225</v>
          </cell>
          <cell r="F600" t="str">
            <v>P07</v>
          </cell>
          <cell r="G600" t="str">
            <v>Back panel - Ván hậu</v>
          </cell>
          <cell r="H600" t="str">
            <v>MDF Veneer</v>
          </cell>
          <cell r="I600">
            <v>25</v>
          </cell>
        </row>
        <row r="601">
          <cell r="A601" t="str">
            <v>B558285/A</v>
          </cell>
          <cell r="B601" t="str">
            <v>DL019M837</v>
          </cell>
          <cell r="C601">
            <v>25</v>
          </cell>
          <cell r="D601">
            <v>689</v>
          </cell>
          <cell r="E601">
            <v>17225</v>
          </cell>
          <cell r="F601" t="str">
            <v>P08</v>
          </cell>
          <cell r="G601" t="str">
            <v>Partition panel - Vách ngăn</v>
          </cell>
          <cell r="H601" t="str">
            <v>MDF Veneer</v>
          </cell>
          <cell r="I601">
            <v>25</v>
          </cell>
        </row>
        <row r="602">
          <cell r="A602" t="str">
            <v>B558285/A</v>
          </cell>
          <cell r="B602" t="str">
            <v>DL019M837</v>
          </cell>
          <cell r="C602">
            <v>25</v>
          </cell>
          <cell r="D602">
            <v>689</v>
          </cell>
          <cell r="E602">
            <v>17225</v>
          </cell>
          <cell r="F602" t="str">
            <v>P10</v>
          </cell>
          <cell r="G602" t="str">
            <v>Drawer stop - Dừng hộc</v>
          </cell>
          <cell r="H602" t="str">
            <v>Poplar off cut</v>
          </cell>
          <cell r="I602">
            <v>200</v>
          </cell>
        </row>
        <row r="603">
          <cell r="A603" t="str">
            <v>B558445/A</v>
          </cell>
          <cell r="B603" t="str">
            <v>HS5231M1091</v>
          </cell>
          <cell r="C603">
            <v>82</v>
          </cell>
          <cell r="D603">
            <v>735</v>
          </cell>
          <cell r="E603">
            <v>60270</v>
          </cell>
          <cell r="F603" t="str">
            <v>A1</v>
          </cell>
          <cell r="G603" t="str">
            <v>Top Frame - Khung nóc</v>
          </cell>
          <cell r="H603" t="str">
            <v>Pre-Assembly</v>
          </cell>
          <cell r="I603">
            <v>82</v>
          </cell>
        </row>
        <row r="604">
          <cell r="A604" t="str">
            <v>B558445/A</v>
          </cell>
          <cell r="B604" t="str">
            <v>HS5231M1091</v>
          </cell>
          <cell r="C604">
            <v>82</v>
          </cell>
          <cell r="D604">
            <v>735</v>
          </cell>
          <cell r="E604">
            <v>60270</v>
          </cell>
          <cell r="F604" t="str">
            <v>A1-S03</v>
          </cell>
          <cell r="G604" t="str">
            <v>Patching wood - Gỗ đắp</v>
          </cell>
          <cell r="H604" t="str">
            <v>Beech off cut</v>
          </cell>
          <cell r="I604">
            <v>1312</v>
          </cell>
        </row>
        <row r="605">
          <cell r="A605" t="str">
            <v>B558445/A</v>
          </cell>
          <cell r="B605" t="str">
            <v>HS5231M1091</v>
          </cell>
          <cell r="C605">
            <v>82</v>
          </cell>
          <cell r="D605">
            <v>735</v>
          </cell>
          <cell r="E605">
            <v>60270</v>
          </cell>
          <cell r="F605" t="str">
            <v>P01</v>
          </cell>
          <cell r="G605" t="str">
            <v>Front leg  - Chần tiền</v>
          </cell>
          <cell r="H605" t="str">
            <v>Wood laminate</v>
          </cell>
          <cell r="I605">
            <v>328</v>
          </cell>
        </row>
        <row r="606">
          <cell r="A606" t="str">
            <v>B558287/A</v>
          </cell>
          <cell r="B606" t="str">
            <v>JV013M836</v>
          </cell>
          <cell r="C606">
            <v>40</v>
          </cell>
          <cell r="D606">
            <v>529</v>
          </cell>
          <cell r="E606">
            <v>21160</v>
          </cell>
          <cell r="F606" t="str">
            <v>A1-S01</v>
          </cell>
          <cell r="G606" t="str">
            <v xml:space="preserve">Drawer front - Mặt hộc kéo </v>
          </cell>
          <cell r="H606" t="str">
            <v>Wd+MDF+VN</v>
          </cell>
          <cell r="I606">
            <v>80</v>
          </cell>
        </row>
        <row r="607">
          <cell r="A607" t="str">
            <v>B558287/A</v>
          </cell>
          <cell r="B607" t="str">
            <v>JV013M836</v>
          </cell>
          <cell r="C607">
            <v>40</v>
          </cell>
          <cell r="D607">
            <v>529</v>
          </cell>
          <cell r="E607">
            <v>21160</v>
          </cell>
          <cell r="F607" t="str">
            <v>A1-S01-1</v>
          </cell>
          <cell r="G607" t="str">
            <v>Patching wood - Gỗ đắp</v>
          </cell>
          <cell r="H607" t="str">
            <v>Wood Acacia - Straight/Waving Edged - T35mm x W100mm Up x L1.5m Up (FSC Certificate or Low-risk regions)</v>
          </cell>
          <cell r="I607">
            <v>80</v>
          </cell>
        </row>
        <row r="608">
          <cell r="A608" t="str">
            <v>B558287/A</v>
          </cell>
          <cell r="B608" t="str">
            <v>JV013M836</v>
          </cell>
          <cell r="C608">
            <v>40</v>
          </cell>
          <cell r="D608">
            <v>529</v>
          </cell>
          <cell r="E608">
            <v>21160</v>
          </cell>
          <cell r="F608" t="str">
            <v>A1-S01-2</v>
          </cell>
          <cell r="G608" t="str">
            <v xml:space="preserve">Panel - Ván </v>
          </cell>
          <cell r="H608" t="str">
            <v>MDF Moisture-Resistant - 15 x 1220 x 2440mm [CARB P2 Compliant] (FSC Certificate or Low-risk regions)</v>
          </cell>
          <cell r="I608">
            <v>80</v>
          </cell>
        </row>
        <row r="609">
          <cell r="A609" t="str">
            <v>B558287/A</v>
          </cell>
          <cell r="B609" t="str">
            <v>JV013M836</v>
          </cell>
          <cell r="C609">
            <v>40</v>
          </cell>
          <cell r="D609">
            <v>529</v>
          </cell>
          <cell r="E609">
            <v>21160</v>
          </cell>
          <cell r="F609" t="str">
            <v>A1-S02</v>
          </cell>
          <cell r="G609" t="str">
            <v xml:space="preserve">Drawer front 1 - Mặt hộc kéo </v>
          </cell>
          <cell r="H609" t="str">
            <v>MDF Veneer</v>
          </cell>
          <cell r="I609">
            <v>80</v>
          </cell>
        </row>
        <row r="610">
          <cell r="A610" t="str">
            <v>B558287/A</v>
          </cell>
          <cell r="B610" t="str">
            <v>JV013M836</v>
          </cell>
          <cell r="C610">
            <v>40</v>
          </cell>
          <cell r="D610">
            <v>529</v>
          </cell>
          <cell r="E610">
            <v>21160</v>
          </cell>
          <cell r="F610" t="str">
            <v>A1-S03</v>
          </cell>
          <cell r="G610" t="str">
            <v>Drawer side - Hông hộc kéo</v>
          </cell>
          <cell r="H610" t="str">
            <v>MDF Veneer</v>
          </cell>
          <cell r="I610">
            <v>160</v>
          </cell>
        </row>
        <row r="611">
          <cell r="A611" t="str">
            <v>B558287/A</v>
          </cell>
          <cell r="B611" t="str">
            <v>JV013M836</v>
          </cell>
          <cell r="C611">
            <v>40</v>
          </cell>
          <cell r="D611">
            <v>529</v>
          </cell>
          <cell r="E611">
            <v>21160</v>
          </cell>
          <cell r="F611" t="str">
            <v>A1-S04</v>
          </cell>
          <cell r="G611" t="str">
            <v>Drawer back - Hậu hộc kéo</v>
          </cell>
          <cell r="H611" t="str">
            <v>MDF Veneer</v>
          </cell>
          <cell r="I611">
            <v>80</v>
          </cell>
        </row>
        <row r="612">
          <cell r="A612" t="str">
            <v>B558287/A</v>
          </cell>
          <cell r="B612" t="str">
            <v>JV013M836</v>
          </cell>
          <cell r="C612">
            <v>40</v>
          </cell>
          <cell r="D612">
            <v>529</v>
          </cell>
          <cell r="E612">
            <v>21160</v>
          </cell>
          <cell r="F612" t="str">
            <v>A1-S07A</v>
          </cell>
          <cell r="G612" t="str">
            <v>Drawer bottom  - Đáy hộc kéo</v>
          </cell>
          <cell r="H612" t="str">
            <v>Pre-Assembly</v>
          </cell>
          <cell r="I612">
            <v>80</v>
          </cell>
        </row>
        <row r="613">
          <cell r="A613" t="str">
            <v>B558287/A</v>
          </cell>
          <cell r="B613" t="str">
            <v>JV013M836</v>
          </cell>
          <cell r="C613">
            <v>40</v>
          </cell>
          <cell r="D613">
            <v>529</v>
          </cell>
          <cell r="E613">
            <v>21160</v>
          </cell>
          <cell r="F613" t="str">
            <v>A1-S08</v>
          </cell>
          <cell r="G613" t="str">
            <v>Patching wood - Gỗ đắp</v>
          </cell>
          <cell r="H613" t="str">
            <v>Wood Acacia - Straight/Waving Edged - T35mm x W100mm Up x L1.5m Up (FSC Certificate or Low-risk regions)</v>
          </cell>
          <cell r="I613">
            <v>80</v>
          </cell>
        </row>
        <row r="614">
          <cell r="A614" t="str">
            <v>B558287/A</v>
          </cell>
          <cell r="B614" t="str">
            <v>JV013M836</v>
          </cell>
          <cell r="C614">
            <v>40</v>
          </cell>
          <cell r="D614">
            <v>529</v>
          </cell>
          <cell r="E614">
            <v>21160</v>
          </cell>
          <cell r="F614" t="str">
            <v>A1-S09</v>
          </cell>
          <cell r="G614" t="str">
            <v>Patching wood - Gỗ đắp</v>
          </cell>
          <cell r="H614" t="str">
            <v>Wood Acacia - Straight/Waving Edged - T35mm x W100mm Up x L1.5m Up (FSC Certificate or Low-risk regions)</v>
          </cell>
          <cell r="I614">
            <v>160</v>
          </cell>
        </row>
        <row r="615">
          <cell r="A615" t="str">
            <v>B558287/A</v>
          </cell>
          <cell r="B615" t="str">
            <v>JV013M836</v>
          </cell>
          <cell r="C615">
            <v>40</v>
          </cell>
          <cell r="D615">
            <v>529</v>
          </cell>
          <cell r="E615">
            <v>21160</v>
          </cell>
          <cell r="F615" t="str">
            <v>A1-S10</v>
          </cell>
          <cell r="G615" t="str">
            <v>Patching wood - Gỗ đắp</v>
          </cell>
          <cell r="H615" t="str">
            <v>Wood Acacia - Straight/Waving Edged - T35mm x W100mm Up x L1.5m Up (FSC Certificate or Low-risk regions)</v>
          </cell>
          <cell r="I615">
            <v>80</v>
          </cell>
        </row>
        <row r="616">
          <cell r="A616" t="str">
            <v>B558287/A</v>
          </cell>
          <cell r="B616" t="str">
            <v>JV013M836</v>
          </cell>
          <cell r="C616">
            <v>40</v>
          </cell>
          <cell r="D616">
            <v>529</v>
          </cell>
          <cell r="E616">
            <v>21160</v>
          </cell>
          <cell r="F616" t="str">
            <v>A1-S11</v>
          </cell>
          <cell r="G616" t="str">
            <v>Patching wood - Gỗ đắp</v>
          </cell>
          <cell r="H616" t="str">
            <v>Wood Acacia - Straight/Waving Edged - T35mm x W100mm Up x L1.5m Up (FSC Certificate or Low-risk regions)</v>
          </cell>
          <cell r="I616">
            <v>160</v>
          </cell>
        </row>
        <row r="617">
          <cell r="A617" t="str">
            <v>B558287/A</v>
          </cell>
          <cell r="B617" t="str">
            <v>JV013M836</v>
          </cell>
          <cell r="C617">
            <v>40</v>
          </cell>
          <cell r="D617">
            <v>529</v>
          </cell>
          <cell r="E617">
            <v>21160</v>
          </cell>
          <cell r="F617" t="str">
            <v>P01</v>
          </cell>
          <cell r="G617" t="str">
            <v xml:space="preserve">Side panel left  - Ván hông trái </v>
          </cell>
          <cell r="H617" t="str">
            <v>Pre-Assembly</v>
          </cell>
          <cell r="I617">
            <v>40</v>
          </cell>
        </row>
        <row r="618">
          <cell r="A618" t="str">
            <v>B558287/A</v>
          </cell>
          <cell r="B618" t="str">
            <v>JV013M836</v>
          </cell>
          <cell r="C618">
            <v>40</v>
          </cell>
          <cell r="D618">
            <v>529</v>
          </cell>
          <cell r="E618">
            <v>21160</v>
          </cell>
          <cell r="F618" t="str">
            <v>P01-1</v>
          </cell>
          <cell r="G618" t="str">
            <v xml:space="preserve">Side panel  - Ván hông </v>
          </cell>
          <cell r="H618" t="str">
            <v>MDF OFF CUT</v>
          </cell>
          <cell r="I618">
            <v>80</v>
          </cell>
        </row>
        <row r="619">
          <cell r="A619" t="str">
            <v>B558287/A</v>
          </cell>
          <cell r="B619" t="str">
            <v>JV013M836</v>
          </cell>
          <cell r="C619">
            <v>40</v>
          </cell>
          <cell r="D619">
            <v>529</v>
          </cell>
          <cell r="E619">
            <v>21160</v>
          </cell>
          <cell r="F619" t="str">
            <v>P01-2</v>
          </cell>
          <cell r="G619" t="str">
            <v>Patching wood - Gỗ đắp</v>
          </cell>
          <cell r="H619" t="str">
            <v>Veneer laminate</v>
          </cell>
          <cell r="I619">
            <v>80</v>
          </cell>
        </row>
        <row r="620">
          <cell r="A620" t="str">
            <v>B558287/A</v>
          </cell>
          <cell r="B620" t="str">
            <v>JV013M836</v>
          </cell>
          <cell r="C620">
            <v>40</v>
          </cell>
          <cell r="D620">
            <v>529</v>
          </cell>
          <cell r="E620">
            <v>21160</v>
          </cell>
          <cell r="F620" t="str">
            <v>P01-3</v>
          </cell>
          <cell r="G620" t="str">
            <v>Patching wood - Gỗ đắp</v>
          </cell>
          <cell r="H620" t="str">
            <v>Veneer laminate</v>
          </cell>
          <cell r="I620">
            <v>80</v>
          </cell>
        </row>
        <row r="621">
          <cell r="A621" t="str">
            <v>B558287/A</v>
          </cell>
          <cell r="B621" t="str">
            <v>JV013M836</v>
          </cell>
          <cell r="C621">
            <v>40</v>
          </cell>
          <cell r="D621">
            <v>529</v>
          </cell>
          <cell r="E621">
            <v>21160</v>
          </cell>
          <cell r="F621" t="str">
            <v>P01-4</v>
          </cell>
          <cell r="G621" t="str">
            <v>Insert Wood - Gỗ chèn</v>
          </cell>
          <cell r="H621" t="str">
            <v>Beech off cut</v>
          </cell>
          <cell r="I621">
            <v>240</v>
          </cell>
        </row>
        <row r="622">
          <cell r="A622" t="str">
            <v>B558287/A</v>
          </cell>
          <cell r="B622" t="str">
            <v>JV013M836</v>
          </cell>
          <cell r="C622">
            <v>40</v>
          </cell>
          <cell r="D622">
            <v>529</v>
          </cell>
          <cell r="E622">
            <v>21160</v>
          </cell>
          <cell r="F622" t="str">
            <v>P01A</v>
          </cell>
          <cell r="G622" t="str">
            <v xml:space="preserve">Side panel right  - Ván hông phải </v>
          </cell>
          <cell r="H622" t="str">
            <v>Pre-Assembly</v>
          </cell>
          <cell r="I622">
            <v>40</v>
          </cell>
        </row>
        <row r="623">
          <cell r="A623" t="str">
            <v>B558287/A</v>
          </cell>
          <cell r="B623" t="str">
            <v>JV013M836</v>
          </cell>
          <cell r="C623">
            <v>40</v>
          </cell>
          <cell r="D623">
            <v>529</v>
          </cell>
          <cell r="E623">
            <v>21160</v>
          </cell>
          <cell r="F623" t="str">
            <v>P02</v>
          </cell>
          <cell r="G623" t="str">
            <v>Bottom panel - Ván đáy</v>
          </cell>
          <cell r="H623" t="str">
            <v>Pre-Assembly</v>
          </cell>
          <cell r="I623">
            <v>40</v>
          </cell>
        </row>
        <row r="624">
          <cell r="A624" t="str">
            <v>B558287/A</v>
          </cell>
          <cell r="B624" t="str">
            <v>JV013M836</v>
          </cell>
          <cell r="C624">
            <v>40</v>
          </cell>
          <cell r="D624">
            <v>529</v>
          </cell>
          <cell r="E624">
            <v>21160</v>
          </cell>
          <cell r="F624" t="str">
            <v>P02-1</v>
          </cell>
          <cell r="G624" t="str">
            <v>Bottom panel - Ván đáy</v>
          </cell>
          <cell r="H624" t="str">
            <v>MDF Veneer</v>
          </cell>
          <cell r="I624">
            <v>40</v>
          </cell>
        </row>
        <row r="625">
          <cell r="A625" t="str">
            <v>B558287/A</v>
          </cell>
          <cell r="B625" t="str">
            <v>JV013M836</v>
          </cell>
          <cell r="C625">
            <v>40</v>
          </cell>
          <cell r="D625">
            <v>529</v>
          </cell>
          <cell r="E625">
            <v>21160</v>
          </cell>
          <cell r="F625" t="str">
            <v>P02-2</v>
          </cell>
          <cell r="G625" t="str">
            <v>Patching wood - Gỗ đắp</v>
          </cell>
          <cell r="H625" t="str">
            <v>MDF Veneer</v>
          </cell>
          <cell r="I625">
            <v>40</v>
          </cell>
        </row>
        <row r="626">
          <cell r="A626" t="str">
            <v>B558287/A</v>
          </cell>
          <cell r="B626" t="str">
            <v>JV013M836</v>
          </cell>
          <cell r="C626">
            <v>40</v>
          </cell>
          <cell r="D626">
            <v>529</v>
          </cell>
          <cell r="E626">
            <v>21160</v>
          </cell>
          <cell r="F626" t="str">
            <v>P02-3</v>
          </cell>
          <cell r="G626" t="str">
            <v>Patching wood - Gỗ đắp</v>
          </cell>
          <cell r="H626" t="str">
            <v>MDF Veneer</v>
          </cell>
          <cell r="I626">
            <v>80</v>
          </cell>
        </row>
        <row r="627">
          <cell r="A627" t="str">
            <v>B558287/A</v>
          </cell>
          <cell r="B627" t="str">
            <v>JV013M836</v>
          </cell>
          <cell r="C627">
            <v>40</v>
          </cell>
          <cell r="D627">
            <v>529</v>
          </cell>
          <cell r="E627">
            <v>21160</v>
          </cell>
          <cell r="F627" t="str">
            <v>P02-4</v>
          </cell>
          <cell r="G627" t="str">
            <v>Patching wood - Gỗ đắp</v>
          </cell>
          <cell r="H627" t="str">
            <v>Wood EU Beech - Straight/Waving Edged AB, 1 COM - T50mm x W100mm up x L1.8m up</v>
          </cell>
          <cell r="I627">
            <v>40</v>
          </cell>
        </row>
        <row r="628">
          <cell r="A628" t="str">
            <v>B558287/A</v>
          </cell>
          <cell r="B628" t="str">
            <v>JV013M836</v>
          </cell>
          <cell r="C628">
            <v>40</v>
          </cell>
          <cell r="D628">
            <v>529</v>
          </cell>
          <cell r="E628">
            <v>21160</v>
          </cell>
          <cell r="F628" t="str">
            <v>P02-5</v>
          </cell>
          <cell r="G628" t="str">
            <v xml:space="preserve">Panel - Ván </v>
          </cell>
          <cell r="H628" t="str">
            <v>Wood US Poplar - Straight Edged, 2 COM - T38mm x W100mm Up x L1.8m Up</v>
          </cell>
          <cell r="I628">
            <v>120</v>
          </cell>
        </row>
        <row r="629">
          <cell r="A629" t="str">
            <v>B558287/A</v>
          </cell>
          <cell r="B629" t="str">
            <v>JV013M836</v>
          </cell>
          <cell r="C629">
            <v>40</v>
          </cell>
          <cell r="D629">
            <v>529</v>
          </cell>
          <cell r="E629">
            <v>21160</v>
          </cell>
          <cell r="F629" t="str">
            <v>P03</v>
          </cell>
          <cell r="G629" t="str">
            <v>Top rail - Đố nóc</v>
          </cell>
          <cell r="H629" t="str">
            <v>Wd+VN</v>
          </cell>
          <cell r="I629">
            <v>40</v>
          </cell>
        </row>
        <row r="630">
          <cell r="A630" t="str">
            <v>B558287/A</v>
          </cell>
          <cell r="B630" t="str">
            <v>JV013M836</v>
          </cell>
          <cell r="C630">
            <v>40</v>
          </cell>
          <cell r="D630">
            <v>529</v>
          </cell>
          <cell r="E630">
            <v>21160</v>
          </cell>
          <cell r="F630" t="str">
            <v>P04</v>
          </cell>
          <cell r="G630" t="str">
            <v>Top rail - Đố nóc</v>
          </cell>
          <cell r="H630" t="str">
            <v>Wood EU Beech - Straight/Waving Edged AB, 1 COM - T26mm x W100mm up x L1.8m up</v>
          </cell>
          <cell r="I630">
            <v>80</v>
          </cell>
        </row>
        <row r="631">
          <cell r="A631" t="str">
            <v>B558287/A</v>
          </cell>
          <cell r="B631" t="str">
            <v>JV013M836</v>
          </cell>
          <cell r="C631">
            <v>40</v>
          </cell>
          <cell r="D631">
            <v>529</v>
          </cell>
          <cell r="E631">
            <v>21160</v>
          </cell>
          <cell r="F631" t="str">
            <v>P05</v>
          </cell>
          <cell r="G631" t="str">
            <v>Back rail with note finger - đố hậu</v>
          </cell>
          <cell r="H631" t="str">
            <v>Wood EU Beech - Straight/Waving Edged AB, 1 COM - T26mm x W100mm up x L1.8m up</v>
          </cell>
          <cell r="I631">
            <v>40</v>
          </cell>
        </row>
        <row r="632">
          <cell r="A632" t="str">
            <v>B558287/A</v>
          </cell>
          <cell r="B632" t="str">
            <v>JV013M836</v>
          </cell>
          <cell r="C632">
            <v>40</v>
          </cell>
          <cell r="D632">
            <v>529</v>
          </cell>
          <cell r="E632">
            <v>21160</v>
          </cell>
          <cell r="F632" t="str">
            <v>P06</v>
          </cell>
          <cell r="G632" t="str">
            <v>Back panel - Ván hậu</v>
          </cell>
          <cell r="H632" t="str">
            <v>MDF Veneer</v>
          </cell>
          <cell r="I632">
            <v>40</v>
          </cell>
        </row>
        <row r="633">
          <cell r="A633" t="str">
            <v>B558287/A</v>
          </cell>
          <cell r="B633" t="str">
            <v>JV013M836</v>
          </cell>
          <cell r="C633">
            <v>40</v>
          </cell>
          <cell r="D633">
            <v>529</v>
          </cell>
          <cell r="E633">
            <v>21160</v>
          </cell>
          <cell r="F633" t="str">
            <v>P07</v>
          </cell>
          <cell r="G633" t="str">
            <v>Vertical rail 1 - Đố đứng 1</v>
          </cell>
          <cell r="H633" t="str">
            <v>Wood Acacia - Straight/Waving Edged - T25mm x W100mm Up x L1m Up (FSC Certificate or Low-risk regions)</v>
          </cell>
          <cell r="I633">
            <v>80</v>
          </cell>
        </row>
        <row r="634">
          <cell r="A634" t="str">
            <v>B558287/A</v>
          </cell>
          <cell r="B634" t="str">
            <v>JV013M836</v>
          </cell>
          <cell r="C634">
            <v>40</v>
          </cell>
          <cell r="D634">
            <v>529</v>
          </cell>
          <cell r="E634">
            <v>21160</v>
          </cell>
          <cell r="F634" t="str">
            <v>P08</v>
          </cell>
          <cell r="G634" t="str">
            <v>Bottom panel - Ván đáy</v>
          </cell>
          <cell r="H634" t="str">
            <v>MDF Veneer</v>
          </cell>
          <cell r="I634">
            <v>40</v>
          </cell>
        </row>
        <row r="635">
          <cell r="A635" t="str">
            <v>B558287/A</v>
          </cell>
          <cell r="B635" t="str">
            <v>JV013M836</v>
          </cell>
          <cell r="C635">
            <v>40</v>
          </cell>
          <cell r="D635">
            <v>529</v>
          </cell>
          <cell r="E635">
            <v>21160</v>
          </cell>
          <cell r="F635" t="str">
            <v>P09</v>
          </cell>
          <cell r="G635" t="str">
            <v>Partition panel - Vách ngăn</v>
          </cell>
          <cell r="H635" t="str">
            <v>MDF Veneer</v>
          </cell>
          <cell r="I635">
            <v>40</v>
          </cell>
        </row>
        <row r="636">
          <cell r="A636" t="str">
            <v>B558287/A</v>
          </cell>
          <cell r="B636" t="str">
            <v>JV013M836</v>
          </cell>
          <cell r="C636">
            <v>40</v>
          </cell>
          <cell r="D636">
            <v>529</v>
          </cell>
          <cell r="E636">
            <v>21160</v>
          </cell>
          <cell r="F636" t="str">
            <v>P09-1</v>
          </cell>
          <cell r="G636" t="str">
            <v>Horizontal rail 1 - Đố ngang 1</v>
          </cell>
          <cell r="H636" t="str">
            <v>Wood US Poplar - Straight Edged, 2 COM - T25mm x W100mm Up x L1.8m Up</v>
          </cell>
          <cell r="I636">
            <v>120</v>
          </cell>
        </row>
        <row r="637">
          <cell r="A637" t="str">
            <v>B558287/A</v>
          </cell>
          <cell r="B637" t="str">
            <v>JV013M836</v>
          </cell>
          <cell r="C637">
            <v>40</v>
          </cell>
          <cell r="D637">
            <v>529</v>
          </cell>
          <cell r="E637">
            <v>21160</v>
          </cell>
          <cell r="F637" t="str">
            <v>P09-2</v>
          </cell>
          <cell r="G637" t="str">
            <v>Horizontal rail 1 - Đố ngang 1</v>
          </cell>
          <cell r="H637" t="str">
            <v>TRAM OFF CUT</v>
          </cell>
          <cell r="I637">
            <v>120</v>
          </cell>
        </row>
        <row r="638">
          <cell r="A638" t="str">
            <v>B558287/A</v>
          </cell>
          <cell r="B638" t="str">
            <v>JV013M836</v>
          </cell>
          <cell r="C638">
            <v>40</v>
          </cell>
          <cell r="D638">
            <v>529</v>
          </cell>
          <cell r="E638">
            <v>21160</v>
          </cell>
          <cell r="F638" t="str">
            <v>P09-3</v>
          </cell>
          <cell r="G638" t="str">
            <v>Horizontal rail 1 - Đố ngang 1</v>
          </cell>
          <cell r="H638" t="str">
            <v>Wood US Poplar - Straight Edged, 2 COM - T25mm x W100mm Up x L1.8m Up</v>
          </cell>
          <cell r="I638">
            <v>40</v>
          </cell>
        </row>
        <row r="639">
          <cell r="A639" t="str">
            <v>B558287/A</v>
          </cell>
          <cell r="B639" t="str">
            <v>JV013M836</v>
          </cell>
          <cell r="C639">
            <v>40</v>
          </cell>
          <cell r="D639">
            <v>529</v>
          </cell>
          <cell r="E639">
            <v>21160</v>
          </cell>
          <cell r="F639" t="str">
            <v>P09-4</v>
          </cell>
          <cell r="G639" t="str">
            <v>Horizontal rail 1 - Đố ngang 1</v>
          </cell>
          <cell r="H639" t="str">
            <v>TRAM OFF CUT</v>
          </cell>
          <cell r="I639">
            <v>40</v>
          </cell>
        </row>
        <row r="640">
          <cell r="A640" t="str">
            <v>B558287/A</v>
          </cell>
          <cell r="B640" t="str">
            <v>JV013M836</v>
          </cell>
          <cell r="C640">
            <v>40</v>
          </cell>
          <cell r="D640">
            <v>529</v>
          </cell>
          <cell r="E640">
            <v>21160</v>
          </cell>
          <cell r="F640" t="str">
            <v>P10</v>
          </cell>
          <cell r="G640" t="str">
            <v>Back rail with note finger - đố hậu</v>
          </cell>
          <cell r="H640" t="str">
            <v>Wood US Poplar - Straight Edged, 2 COM - T25mm x W100mm Up x L1.8m Up</v>
          </cell>
          <cell r="I640">
            <v>80</v>
          </cell>
        </row>
        <row r="641">
          <cell r="A641" t="str">
            <v>B558287/A</v>
          </cell>
          <cell r="B641" t="str">
            <v>JV013M836</v>
          </cell>
          <cell r="C641">
            <v>40</v>
          </cell>
          <cell r="D641">
            <v>529</v>
          </cell>
          <cell r="E641">
            <v>21160</v>
          </cell>
          <cell r="F641" t="str">
            <v>P10-1</v>
          </cell>
          <cell r="G641" t="str">
            <v>Back rail with note finger - đố hậu</v>
          </cell>
          <cell r="H641" t="str">
            <v>Wood US Poplar - Straight Edged, 2 COM - T25mm x W100mm Up x L1.8m Up</v>
          </cell>
          <cell r="I641">
            <v>40</v>
          </cell>
        </row>
        <row r="642">
          <cell r="A642" t="str">
            <v>B558287/A</v>
          </cell>
          <cell r="B642" t="str">
            <v>JV013M836</v>
          </cell>
          <cell r="C642">
            <v>40</v>
          </cell>
          <cell r="D642">
            <v>529</v>
          </cell>
          <cell r="E642">
            <v>21160</v>
          </cell>
          <cell r="F642" t="str">
            <v>P11</v>
          </cell>
          <cell r="G642" t="str">
            <v>Adjustable Shelf  - Kệ di động</v>
          </cell>
          <cell r="H642" t="str">
            <v>Pre-Assembly</v>
          </cell>
          <cell r="I642">
            <v>40</v>
          </cell>
        </row>
        <row r="643">
          <cell r="A643" t="str">
            <v>B558287/A</v>
          </cell>
          <cell r="B643" t="str">
            <v>JV013M836</v>
          </cell>
          <cell r="C643">
            <v>40</v>
          </cell>
          <cell r="D643">
            <v>529</v>
          </cell>
          <cell r="E643">
            <v>21160</v>
          </cell>
          <cell r="F643" t="str">
            <v>P11-1</v>
          </cell>
          <cell r="G643" t="str">
            <v>Horizontal rail 1 - Đố ngang 1</v>
          </cell>
          <cell r="H643" t="str">
            <v>Wood Acacia - Straight/Waving Edged - T25mm x W100mm Up x L1m Up (FSC Certificate or Low-risk regions)</v>
          </cell>
          <cell r="I643">
            <v>40</v>
          </cell>
        </row>
        <row r="644">
          <cell r="A644" t="str">
            <v>B558287/A</v>
          </cell>
          <cell r="B644" t="str">
            <v>JV013M836</v>
          </cell>
          <cell r="C644">
            <v>40</v>
          </cell>
          <cell r="D644">
            <v>529</v>
          </cell>
          <cell r="E644">
            <v>21160</v>
          </cell>
          <cell r="F644" t="str">
            <v>P11-2</v>
          </cell>
          <cell r="G644" t="str">
            <v>Adjustable Shelf  - Kệ di động</v>
          </cell>
          <cell r="H644" t="str">
            <v>MDF Veneer</v>
          </cell>
          <cell r="I644">
            <v>40</v>
          </cell>
        </row>
        <row r="645">
          <cell r="A645" t="str">
            <v>B558287/A</v>
          </cell>
          <cell r="B645" t="str">
            <v>JV013M836</v>
          </cell>
          <cell r="C645">
            <v>40</v>
          </cell>
          <cell r="D645">
            <v>529</v>
          </cell>
          <cell r="E645">
            <v>21160</v>
          </cell>
          <cell r="F645" t="str">
            <v>P12</v>
          </cell>
          <cell r="G645" t="str">
            <v>Door Frame - Khung cửa</v>
          </cell>
          <cell r="H645" t="str">
            <v>Pre-Assembly</v>
          </cell>
          <cell r="I645">
            <v>40</v>
          </cell>
        </row>
        <row r="646">
          <cell r="A646" t="str">
            <v>B558287/A</v>
          </cell>
          <cell r="B646" t="str">
            <v>JV013M836</v>
          </cell>
          <cell r="C646">
            <v>40</v>
          </cell>
          <cell r="D646">
            <v>529</v>
          </cell>
          <cell r="E646">
            <v>21160</v>
          </cell>
          <cell r="F646" t="str">
            <v>P12-1</v>
          </cell>
          <cell r="G646" t="str">
            <v>Door Frame - Khung cửa</v>
          </cell>
          <cell r="H646" t="str">
            <v>Pre-Assembly</v>
          </cell>
          <cell r="I646">
            <v>120</v>
          </cell>
        </row>
        <row r="647">
          <cell r="A647" t="str">
            <v>B558287/A</v>
          </cell>
          <cell r="B647" t="str">
            <v>JV013M836</v>
          </cell>
          <cell r="C647">
            <v>40</v>
          </cell>
          <cell r="D647">
            <v>529</v>
          </cell>
          <cell r="E647">
            <v>21160</v>
          </cell>
          <cell r="F647" t="str">
            <v>P12-1-1</v>
          </cell>
          <cell r="G647" t="str">
            <v>Door Horizontal rail  - Đố cửa ngang</v>
          </cell>
          <cell r="H647" t="str">
            <v>Wood Acacia - Straight/Waving Edged - T25mm x W100mm Up x L1m Up (FSC Certificate or Low-risk regions)</v>
          </cell>
          <cell r="I647">
            <v>240</v>
          </cell>
        </row>
        <row r="648">
          <cell r="A648" t="str">
            <v>B558287/A</v>
          </cell>
          <cell r="B648" t="str">
            <v>JV013M836</v>
          </cell>
          <cell r="C648">
            <v>40</v>
          </cell>
          <cell r="D648">
            <v>529</v>
          </cell>
          <cell r="E648">
            <v>21160</v>
          </cell>
          <cell r="F648" t="str">
            <v>P12-1-2</v>
          </cell>
          <cell r="G648" t="str">
            <v>Door vertical rail  - Đố cửa đứng</v>
          </cell>
          <cell r="H648" t="str">
            <v>Wood Acacia - Straight/Waving Edged - T25mm x W100mm Up x L1m Up (FSC Certificate or Low-risk regions)</v>
          </cell>
          <cell r="I648">
            <v>240</v>
          </cell>
        </row>
        <row r="649">
          <cell r="A649" t="str">
            <v>B558287/A</v>
          </cell>
          <cell r="B649" t="str">
            <v>JV013M836</v>
          </cell>
          <cell r="C649">
            <v>40</v>
          </cell>
          <cell r="D649">
            <v>529</v>
          </cell>
          <cell r="E649">
            <v>21160</v>
          </cell>
          <cell r="F649" t="str">
            <v>P12-1-3</v>
          </cell>
          <cell r="G649" t="str">
            <v>Door panel  - Ván cửa</v>
          </cell>
          <cell r="H649" t="str">
            <v>MDF Veneer</v>
          </cell>
          <cell r="I649">
            <v>120</v>
          </cell>
        </row>
        <row r="650">
          <cell r="A650" t="str">
            <v>B558287/A</v>
          </cell>
          <cell r="B650" t="str">
            <v>JV013M836</v>
          </cell>
          <cell r="C650">
            <v>40</v>
          </cell>
          <cell r="D650">
            <v>529</v>
          </cell>
          <cell r="E650">
            <v>21160</v>
          </cell>
          <cell r="F650" t="str">
            <v>P12-2</v>
          </cell>
          <cell r="G650" t="str">
            <v>Patching wood - Gỗ đắp</v>
          </cell>
          <cell r="H650" t="str">
            <v>Veneer laminate</v>
          </cell>
          <cell r="I650">
            <v>120</v>
          </cell>
        </row>
        <row r="651">
          <cell r="A651" t="str">
            <v>B558287/A</v>
          </cell>
          <cell r="B651" t="str">
            <v>JV013M836</v>
          </cell>
          <cell r="C651">
            <v>40</v>
          </cell>
          <cell r="D651">
            <v>529</v>
          </cell>
          <cell r="E651">
            <v>21160</v>
          </cell>
          <cell r="F651" t="str">
            <v>P12-3</v>
          </cell>
          <cell r="G651" t="str">
            <v>Patching wood - Gỗ đắp</v>
          </cell>
          <cell r="H651" t="str">
            <v>Veneer laminate</v>
          </cell>
          <cell r="I651">
            <v>120</v>
          </cell>
        </row>
        <row r="652">
          <cell r="A652" t="str">
            <v>B558287/A</v>
          </cell>
          <cell r="B652" t="str">
            <v>JV013M836</v>
          </cell>
          <cell r="C652">
            <v>40</v>
          </cell>
          <cell r="D652">
            <v>529</v>
          </cell>
          <cell r="E652">
            <v>21160</v>
          </cell>
          <cell r="F652" t="str">
            <v>P13</v>
          </cell>
          <cell r="G652" t="str">
            <v>Door Frame - Khung cửa</v>
          </cell>
          <cell r="H652" t="str">
            <v>Pre-Assembly</v>
          </cell>
          <cell r="I652">
            <v>40</v>
          </cell>
        </row>
        <row r="653">
          <cell r="A653" t="str">
            <v>B558287/A</v>
          </cell>
          <cell r="B653" t="str">
            <v>JV013M836</v>
          </cell>
          <cell r="C653">
            <v>40</v>
          </cell>
          <cell r="D653">
            <v>529</v>
          </cell>
          <cell r="E653">
            <v>21160</v>
          </cell>
          <cell r="F653" t="str">
            <v>P14</v>
          </cell>
          <cell r="G653" t="str">
            <v>Door Frame - Khung cửa</v>
          </cell>
          <cell r="H653" t="str">
            <v>Pre-Assembly</v>
          </cell>
          <cell r="I653">
            <v>40</v>
          </cell>
        </row>
        <row r="654">
          <cell r="A654" t="str">
            <v>B558287/A</v>
          </cell>
          <cell r="B654" t="str">
            <v>JV013M836</v>
          </cell>
          <cell r="C654">
            <v>40</v>
          </cell>
          <cell r="D654">
            <v>529</v>
          </cell>
          <cell r="E654">
            <v>21160</v>
          </cell>
          <cell r="F654" t="str">
            <v>P15</v>
          </cell>
          <cell r="G654" t="str">
            <v>Drawer stop - Dừng hộc</v>
          </cell>
          <cell r="H654" t="str">
            <v>Poplar off cut</v>
          </cell>
          <cell r="I654">
            <v>160</v>
          </cell>
        </row>
        <row r="655">
          <cell r="A655" t="str">
            <v>B558287/A</v>
          </cell>
          <cell r="B655" t="str">
            <v>JV013M836</v>
          </cell>
          <cell r="C655">
            <v>40</v>
          </cell>
          <cell r="D655">
            <v>529</v>
          </cell>
          <cell r="E655">
            <v>21160</v>
          </cell>
          <cell r="F655" t="str">
            <v>P16</v>
          </cell>
          <cell r="G655" t="str">
            <v>Corner block - ke góc</v>
          </cell>
          <cell r="H655" t="str">
            <v>Poplar off cut</v>
          </cell>
          <cell r="I655">
            <v>160</v>
          </cell>
        </row>
        <row r="656">
          <cell r="A656" t="str">
            <v>B558217/A</v>
          </cell>
          <cell r="B656" t="str">
            <v>MN5498K-FM01</v>
          </cell>
          <cell r="C656">
            <v>40</v>
          </cell>
          <cell r="D656">
            <v>199</v>
          </cell>
          <cell r="E656">
            <v>7960</v>
          </cell>
          <cell r="F656" t="str">
            <v>A2-S1</v>
          </cell>
          <cell r="G656" t="str">
            <v xml:space="preserve">Turning foot  - Chân tiện </v>
          </cell>
          <cell r="H656" t="str">
            <v>Poplar 2 COM</v>
          </cell>
          <cell r="I656">
            <v>80</v>
          </cell>
        </row>
        <row r="657">
          <cell r="A657" t="str">
            <v>B558217/A</v>
          </cell>
          <cell r="B657" t="str">
            <v>MN5498K-FM01</v>
          </cell>
          <cell r="C657">
            <v>40</v>
          </cell>
          <cell r="D657">
            <v>199</v>
          </cell>
          <cell r="E657">
            <v>7960</v>
          </cell>
          <cell r="F657" t="str">
            <v>A2-S2</v>
          </cell>
          <cell r="G657" t="str">
            <v>front Top &amp; bottom rail  - Đố nóc và đố đáy trước</v>
          </cell>
          <cell r="H657" t="str">
            <v>Wood US Poplar - Straight Edged, 2 COM - T38mm x W100mm Up x L1.8m Up</v>
          </cell>
          <cell r="I657">
            <v>80</v>
          </cell>
        </row>
        <row r="658">
          <cell r="A658" t="str">
            <v>B558217/A</v>
          </cell>
          <cell r="B658" t="str">
            <v>MN5498K-FM01</v>
          </cell>
          <cell r="C658">
            <v>40</v>
          </cell>
          <cell r="D658">
            <v>199</v>
          </cell>
          <cell r="E658">
            <v>7960</v>
          </cell>
          <cell r="F658" t="str">
            <v>A2-S3</v>
          </cell>
          <cell r="G658" t="str">
            <v>Bottom panel - Ván đáy</v>
          </cell>
          <cell r="H658" t="str">
            <v>MDF laminate</v>
          </cell>
          <cell r="I658">
            <v>40</v>
          </cell>
        </row>
        <row r="659">
          <cell r="A659" t="str">
            <v>B558217/A</v>
          </cell>
          <cell r="B659" t="str">
            <v>MN5498K-FM01</v>
          </cell>
          <cell r="C659">
            <v>40</v>
          </cell>
          <cell r="D659">
            <v>199</v>
          </cell>
          <cell r="E659">
            <v>7960</v>
          </cell>
          <cell r="F659" t="str">
            <v>A2-S4</v>
          </cell>
          <cell r="G659" t="str">
            <v xml:space="preserve">Turning foot  - Chân tiện </v>
          </cell>
          <cell r="H659" t="str">
            <v>Wood laminate</v>
          </cell>
          <cell r="I659">
            <v>80</v>
          </cell>
        </row>
        <row r="660">
          <cell r="A660" t="str">
            <v>B558217/A</v>
          </cell>
          <cell r="B660" t="str">
            <v>MN5498K-FM01</v>
          </cell>
          <cell r="C660">
            <v>40</v>
          </cell>
          <cell r="D660">
            <v>199</v>
          </cell>
          <cell r="E660">
            <v>7960</v>
          </cell>
          <cell r="F660" t="str">
            <v>A2-S5</v>
          </cell>
          <cell r="G660" t="str">
            <v xml:space="preserve">Turning foot  - Chân tiện </v>
          </cell>
          <cell r="H660" t="str">
            <v>Wood laminate</v>
          </cell>
          <cell r="I660">
            <v>80</v>
          </cell>
        </row>
        <row r="661">
          <cell r="A661" t="str">
            <v>B558217/A</v>
          </cell>
          <cell r="B661" t="str">
            <v>MN5498K-FM01</v>
          </cell>
          <cell r="C661">
            <v>40</v>
          </cell>
          <cell r="D661">
            <v>199</v>
          </cell>
          <cell r="E661">
            <v>7960</v>
          </cell>
          <cell r="F661" t="str">
            <v>A2-S6</v>
          </cell>
          <cell r="G661" t="str">
            <v xml:space="preserve">Turning foot  - Chân tiện </v>
          </cell>
          <cell r="H661" t="str">
            <v>Wood EU Beech - Straight/Waving Edged ABC, 2 COM - T50mm x W100mm up x L1.8m up</v>
          </cell>
          <cell r="I661">
            <v>80</v>
          </cell>
        </row>
        <row r="662">
          <cell r="A662" t="str">
            <v>B558217/A</v>
          </cell>
          <cell r="B662" t="str">
            <v>MN5498K-FM01</v>
          </cell>
          <cell r="C662">
            <v>40</v>
          </cell>
          <cell r="D662">
            <v>199</v>
          </cell>
          <cell r="E662">
            <v>7960</v>
          </cell>
          <cell r="F662" t="str">
            <v>A2-S7</v>
          </cell>
          <cell r="G662" t="str">
            <v>Cleat - Bọ gỗ</v>
          </cell>
          <cell r="H662" t="str">
            <v>Wood US Poplar - Straight Edged, 2 COM - T50mm x W100mm Up x L1.8m Up</v>
          </cell>
          <cell r="I662">
            <v>80</v>
          </cell>
        </row>
        <row r="663">
          <cell r="A663" t="str">
            <v>B558217/A</v>
          </cell>
          <cell r="B663" t="str">
            <v>MN5498K-FM01</v>
          </cell>
          <cell r="C663">
            <v>40</v>
          </cell>
          <cell r="D663">
            <v>199</v>
          </cell>
          <cell r="E663">
            <v>7960</v>
          </cell>
          <cell r="F663" t="str">
            <v>A2-S8</v>
          </cell>
          <cell r="G663" t="str">
            <v>Patching moulding - Chỉ đắp</v>
          </cell>
          <cell r="H663" t="str">
            <v>Wood US Poplar - Straight Edged, 2 COM - T25mm x W100mm Up x L1.8m Up</v>
          </cell>
          <cell r="I663">
            <v>320</v>
          </cell>
        </row>
        <row r="664">
          <cell r="A664" t="str">
            <v>B558217/A</v>
          </cell>
          <cell r="B664" t="str">
            <v>MN5498K-FM01</v>
          </cell>
          <cell r="C664">
            <v>40</v>
          </cell>
          <cell r="D664">
            <v>199</v>
          </cell>
          <cell r="E664">
            <v>7960</v>
          </cell>
          <cell r="F664" t="str">
            <v>P3</v>
          </cell>
          <cell r="G664" t="str">
            <v>Turning Part - Trụ tiện</v>
          </cell>
          <cell r="H664" t="str">
            <v>Wood laminate</v>
          </cell>
          <cell r="I664">
            <v>80</v>
          </cell>
        </row>
        <row r="665">
          <cell r="A665" t="str">
            <v>B558220/A</v>
          </cell>
          <cell r="B665" t="str">
            <v>MN5498K-HM01</v>
          </cell>
          <cell r="C665">
            <v>40</v>
          </cell>
          <cell r="D665">
            <v>475</v>
          </cell>
          <cell r="E665">
            <v>19000</v>
          </cell>
          <cell r="F665" t="str">
            <v>A1-S01</v>
          </cell>
          <cell r="G665" t="str">
            <v xml:space="preserve">Turning foot  - Chân tiện </v>
          </cell>
          <cell r="H665" t="str">
            <v>Poplar 2 COM</v>
          </cell>
          <cell r="I665">
            <v>80</v>
          </cell>
        </row>
        <row r="666">
          <cell r="A666" t="str">
            <v>B558220/A</v>
          </cell>
          <cell r="B666" t="str">
            <v>MN5498K-HM01</v>
          </cell>
          <cell r="C666">
            <v>40</v>
          </cell>
          <cell r="D666">
            <v>475</v>
          </cell>
          <cell r="E666">
            <v>19000</v>
          </cell>
          <cell r="F666" t="str">
            <v>A1-S02</v>
          </cell>
          <cell r="G666" t="str">
            <v xml:space="preserve">Turning foot  - Chân tiện </v>
          </cell>
          <cell r="H666" t="str">
            <v>Wood laminate</v>
          </cell>
          <cell r="I666">
            <v>80</v>
          </cell>
        </row>
        <row r="667">
          <cell r="A667" t="str">
            <v>B558220/A</v>
          </cell>
          <cell r="B667" t="str">
            <v>MN5498K-HM01</v>
          </cell>
          <cell r="C667">
            <v>40</v>
          </cell>
          <cell r="D667">
            <v>475</v>
          </cell>
          <cell r="E667">
            <v>19000</v>
          </cell>
          <cell r="F667" t="str">
            <v>A1-S03</v>
          </cell>
          <cell r="G667" t="str">
            <v xml:space="preserve">Turning foot  - Chân tiện </v>
          </cell>
          <cell r="H667" t="str">
            <v>Wood laminate</v>
          </cell>
          <cell r="I667">
            <v>80</v>
          </cell>
        </row>
        <row r="668">
          <cell r="A668" t="str">
            <v>B558220/A</v>
          </cell>
          <cell r="B668" t="str">
            <v>MN5498K-HM01</v>
          </cell>
          <cell r="C668">
            <v>40</v>
          </cell>
          <cell r="D668">
            <v>475</v>
          </cell>
          <cell r="E668">
            <v>19000</v>
          </cell>
          <cell r="F668" t="str">
            <v>A1-S04</v>
          </cell>
          <cell r="G668" t="str">
            <v xml:space="preserve">Turning foot  - Chân tiện </v>
          </cell>
          <cell r="H668" t="str">
            <v>Wood EU Beech - Straight/Waving Edged ABC, 2 COM - T50mm x W100mm up x L1.8m up</v>
          </cell>
          <cell r="I668">
            <v>80</v>
          </cell>
        </row>
        <row r="669">
          <cell r="A669" t="str">
            <v>B558220/A</v>
          </cell>
          <cell r="B669" t="str">
            <v>MN5498K-HM01</v>
          </cell>
          <cell r="C669">
            <v>40</v>
          </cell>
          <cell r="D669">
            <v>475</v>
          </cell>
          <cell r="E669">
            <v>19000</v>
          </cell>
          <cell r="F669" t="str">
            <v>A1-S05</v>
          </cell>
          <cell r="G669" t="str">
            <v>Front Top rail 1 - Đố nóc trước 1</v>
          </cell>
          <cell r="H669" t="str">
            <v>Poplar 2 COM</v>
          </cell>
          <cell r="I669">
            <v>40</v>
          </cell>
        </row>
        <row r="670">
          <cell r="A670" t="str">
            <v>B558220/A</v>
          </cell>
          <cell r="B670" t="str">
            <v>MN5498K-HM01</v>
          </cell>
          <cell r="C670">
            <v>40</v>
          </cell>
          <cell r="D670">
            <v>475</v>
          </cell>
          <cell r="E670">
            <v>19000</v>
          </cell>
          <cell r="F670" t="str">
            <v>A1-S06</v>
          </cell>
          <cell r="G670" t="str">
            <v>Front Top rail 1 - Đố nóc trước 1</v>
          </cell>
          <cell r="H670" t="str">
            <v>Wood US Poplar - Straight Edged, 2 COM - T38mm x W100mm Up x L1.8m Up</v>
          </cell>
          <cell r="I670">
            <v>40</v>
          </cell>
        </row>
        <row r="671">
          <cell r="A671" t="str">
            <v>B558220/A</v>
          </cell>
          <cell r="B671" t="str">
            <v>MN5498K-HM01</v>
          </cell>
          <cell r="C671">
            <v>40</v>
          </cell>
          <cell r="D671">
            <v>475</v>
          </cell>
          <cell r="E671">
            <v>19000</v>
          </cell>
          <cell r="F671" t="str">
            <v>A1-S07</v>
          </cell>
          <cell r="G671" t="str">
            <v>Center rail - Đố giữa</v>
          </cell>
          <cell r="H671" t="str">
            <v>Wood US Poplar - Straight Edged, 2 COM - T38mm x W100mm Up x L1.8m Up</v>
          </cell>
          <cell r="I671">
            <v>40</v>
          </cell>
        </row>
        <row r="672">
          <cell r="A672" t="str">
            <v>B558220/A</v>
          </cell>
          <cell r="B672" t="str">
            <v>MN5498K-HM01</v>
          </cell>
          <cell r="C672">
            <v>40</v>
          </cell>
          <cell r="D672">
            <v>475</v>
          </cell>
          <cell r="E672">
            <v>19000</v>
          </cell>
          <cell r="F672" t="str">
            <v>A1-S08</v>
          </cell>
          <cell r="G672" t="str">
            <v xml:space="preserve">Side rail  - Đố hông </v>
          </cell>
          <cell r="H672" t="str">
            <v>Wood US Poplar - Straight Edged, 2 COM - T38mm x W100mm Up x L1.8m Up</v>
          </cell>
          <cell r="I672">
            <v>80</v>
          </cell>
        </row>
        <row r="673">
          <cell r="A673" t="str">
            <v>B558220/A</v>
          </cell>
          <cell r="B673" t="str">
            <v>MN5498K-HM01</v>
          </cell>
          <cell r="C673">
            <v>40</v>
          </cell>
          <cell r="D673">
            <v>475</v>
          </cell>
          <cell r="E673">
            <v>19000</v>
          </cell>
          <cell r="F673" t="str">
            <v>A1-S09</v>
          </cell>
          <cell r="G673" t="str">
            <v>Dowel - Chốt gỗ</v>
          </cell>
          <cell r="H673" t="str">
            <v>Wood US Poplar - Straight Edged, 2 COM - T38mm x W100mm Up x L1.8m Up</v>
          </cell>
          <cell r="I673">
            <v>80</v>
          </cell>
        </row>
        <row r="674">
          <cell r="A674" t="str">
            <v>B558220/A</v>
          </cell>
          <cell r="B674" t="str">
            <v>MN5498K-HM01</v>
          </cell>
          <cell r="C674">
            <v>40</v>
          </cell>
          <cell r="D674">
            <v>475</v>
          </cell>
          <cell r="E674">
            <v>19000</v>
          </cell>
          <cell r="F674" t="str">
            <v>A1-S10</v>
          </cell>
          <cell r="G674" t="str">
            <v>Center rail - Đố giữa</v>
          </cell>
          <cell r="H674" t="str">
            <v>Wood US Poplar - Straight Edged, 2 COM - T38mm x W100mm Up x L1.8m Up</v>
          </cell>
          <cell r="I674">
            <v>80</v>
          </cell>
        </row>
        <row r="675">
          <cell r="A675" t="str">
            <v>B558220/A</v>
          </cell>
          <cell r="B675" t="str">
            <v>MN5498K-HM01</v>
          </cell>
          <cell r="C675">
            <v>40</v>
          </cell>
          <cell r="D675">
            <v>475</v>
          </cell>
          <cell r="E675">
            <v>19000</v>
          </cell>
          <cell r="F675" t="str">
            <v>A1-S13</v>
          </cell>
          <cell r="G675" t="str">
            <v>Bottom panel - Ván đáy</v>
          </cell>
          <cell r="H675" t="str">
            <v>MDF laminate</v>
          </cell>
          <cell r="I675">
            <v>40</v>
          </cell>
        </row>
        <row r="676">
          <cell r="A676" t="str">
            <v>B558220/A</v>
          </cell>
          <cell r="B676" t="str">
            <v>MN5498K-HM01</v>
          </cell>
          <cell r="C676">
            <v>40</v>
          </cell>
          <cell r="D676">
            <v>475</v>
          </cell>
          <cell r="E676">
            <v>19000</v>
          </cell>
          <cell r="F676" t="str">
            <v>A1-S14</v>
          </cell>
          <cell r="G676" t="str">
            <v>Cleat - Bọ gỗ</v>
          </cell>
          <cell r="H676" t="str">
            <v>Wood US Poplar - Straight Edged, 2 COM - T50mm x W100mm Up x L1.8m Up</v>
          </cell>
          <cell r="I676">
            <v>80</v>
          </cell>
        </row>
        <row r="677">
          <cell r="A677" t="str">
            <v>B558220/A</v>
          </cell>
          <cell r="B677" t="str">
            <v>MN5498K-HM01</v>
          </cell>
          <cell r="C677">
            <v>40</v>
          </cell>
          <cell r="D677">
            <v>475</v>
          </cell>
          <cell r="E677">
            <v>19000</v>
          </cell>
          <cell r="F677" t="str">
            <v>A1-S15</v>
          </cell>
          <cell r="G677" t="str">
            <v>Head board panel  - Ván đầu giường</v>
          </cell>
          <cell r="H677" t="str">
            <v>MDF Veneer</v>
          </cell>
          <cell r="I677">
            <v>40</v>
          </cell>
        </row>
        <row r="678">
          <cell r="A678" t="str">
            <v>B558220/A</v>
          </cell>
          <cell r="B678" t="str">
            <v>MN5498K-HM01</v>
          </cell>
          <cell r="C678">
            <v>40</v>
          </cell>
          <cell r="D678">
            <v>475</v>
          </cell>
          <cell r="E678">
            <v>19000</v>
          </cell>
          <cell r="F678" t="str">
            <v>A1-S16</v>
          </cell>
          <cell r="G678" t="str">
            <v>Patching moulding - Chỉ đắp</v>
          </cell>
          <cell r="H678" t="str">
            <v>Wood US Poplar - Straight Edged, 2 COM - T25mm x W100mm Up x L1.8m Up</v>
          </cell>
          <cell r="I678">
            <v>320</v>
          </cell>
        </row>
        <row r="679">
          <cell r="A679" t="str">
            <v>B558220/A</v>
          </cell>
          <cell r="B679" t="str">
            <v>MN5498K-HM01</v>
          </cell>
          <cell r="C679">
            <v>40</v>
          </cell>
          <cell r="D679">
            <v>475</v>
          </cell>
          <cell r="E679">
            <v>19000</v>
          </cell>
          <cell r="F679" t="str">
            <v>A1-S17</v>
          </cell>
          <cell r="G679" t="str">
            <v>Tenon - Mộng cấy</v>
          </cell>
          <cell r="H679" t="str">
            <v>Beech off cut</v>
          </cell>
          <cell r="I679">
            <v>160</v>
          </cell>
        </row>
        <row r="680">
          <cell r="A680" t="str">
            <v>B558220/A</v>
          </cell>
          <cell r="B680" t="str">
            <v>MN5498K-HM01</v>
          </cell>
          <cell r="C680">
            <v>40</v>
          </cell>
          <cell r="D680">
            <v>475</v>
          </cell>
          <cell r="E680">
            <v>19000</v>
          </cell>
          <cell r="F680" t="str">
            <v>A1-S18</v>
          </cell>
          <cell r="G680" t="str">
            <v xml:space="preserve">Panel - Ván </v>
          </cell>
          <cell r="H680" t="str">
            <v>MDF - 12 x 1830 x 2440mm [CARB P2 Compliant]</v>
          </cell>
          <cell r="I680">
            <v>40</v>
          </cell>
        </row>
        <row r="681">
          <cell r="A681" t="str">
            <v>B558222/A</v>
          </cell>
          <cell r="B681" t="str">
            <v>MN5498K-RM01</v>
          </cell>
          <cell r="C681">
            <v>40</v>
          </cell>
          <cell r="D681">
            <v>255</v>
          </cell>
          <cell r="E681">
            <v>10200</v>
          </cell>
          <cell r="F681" t="str">
            <v>A3</v>
          </cell>
          <cell r="G681" t="str">
            <v>Side bed - Hông giường</v>
          </cell>
          <cell r="H681" t="str">
            <v>Pre-Assembly</v>
          </cell>
          <cell r="I681">
            <v>80</v>
          </cell>
        </row>
        <row r="682">
          <cell r="A682" t="str">
            <v>B558222/A</v>
          </cell>
          <cell r="B682" t="str">
            <v>MN5498K-RM01</v>
          </cell>
          <cell r="C682">
            <v>40</v>
          </cell>
          <cell r="D682">
            <v>255</v>
          </cell>
          <cell r="E682">
            <v>10200</v>
          </cell>
          <cell r="F682" t="str">
            <v>A3-S1</v>
          </cell>
          <cell r="G682" t="str">
            <v xml:space="preserve">Side panel  - Ván hông </v>
          </cell>
          <cell r="H682" t="str">
            <v>Wd+MDF+VN</v>
          </cell>
          <cell r="I682">
            <v>80</v>
          </cell>
        </row>
        <row r="683">
          <cell r="A683" t="str">
            <v>B558222/A</v>
          </cell>
          <cell r="B683" t="str">
            <v>MN5498K-RM01</v>
          </cell>
          <cell r="C683">
            <v>40</v>
          </cell>
          <cell r="D683">
            <v>255</v>
          </cell>
          <cell r="E683">
            <v>10200</v>
          </cell>
          <cell r="F683" t="str">
            <v>A3-S1-1</v>
          </cell>
          <cell r="G683" t="str">
            <v>Insert Wood - Gỗ chèn</v>
          </cell>
          <cell r="H683" t="str">
            <v>Beech off cut</v>
          </cell>
          <cell r="I683">
            <v>160</v>
          </cell>
        </row>
        <row r="684">
          <cell r="A684" t="str">
            <v>B558222/A</v>
          </cell>
          <cell r="B684" t="str">
            <v>MN5498K-RM01</v>
          </cell>
          <cell r="C684">
            <v>40</v>
          </cell>
          <cell r="D684">
            <v>255</v>
          </cell>
          <cell r="E684">
            <v>10200</v>
          </cell>
          <cell r="F684" t="str">
            <v>A3-S2</v>
          </cell>
          <cell r="G684" t="str">
            <v>front Top &amp; bottom rail  - Đố nóc và đố đáy trước</v>
          </cell>
          <cell r="H684" t="str">
            <v>Wood US Poplar - Straight Edged, 2 COM - T38mm x W100mm Up x L1.8m Up</v>
          </cell>
          <cell r="I684">
            <v>160</v>
          </cell>
        </row>
        <row r="685">
          <cell r="A685" t="str">
            <v>B558222/A</v>
          </cell>
          <cell r="B685" t="str">
            <v>MN5498K-RM01</v>
          </cell>
          <cell r="C685">
            <v>40</v>
          </cell>
          <cell r="D685">
            <v>255</v>
          </cell>
          <cell r="E685">
            <v>10200</v>
          </cell>
          <cell r="F685" t="str">
            <v>A3-S3</v>
          </cell>
          <cell r="G685" t="str">
            <v xml:space="preserve">Side rail  - Đố hông </v>
          </cell>
          <cell r="H685" t="str">
            <v>Wood US Poplar - Straight Edged, 2 COM - T32mm x W100mm Up x L1.8m Up</v>
          </cell>
          <cell r="I685">
            <v>80</v>
          </cell>
        </row>
        <row r="686">
          <cell r="A686" t="str">
            <v>B558222/A</v>
          </cell>
          <cell r="B686" t="str">
            <v>MN5498K-RM01</v>
          </cell>
          <cell r="C686">
            <v>40</v>
          </cell>
          <cell r="D686">
            <v>255</v>
          </cell>
          <cell r="E686">
            <v>10200</v>
          </cell>
          <cell r="F686" t="str">
            <v>A3-S4</v>
          </cell>
          <cell r="G686" t="str">
            <v>Insert Wood - Gỗ chèn</v>
          </cell>
          <cell r="H686" t="str">
            <v>Wood US Poplar - Straight Edged, 2 COM - T25mm x W100mm Up x L1.8m Up</v>
          </cell>
          <cell r="I686">
            <v>160</v>
          </cell>
        </row>
        <row r="687">
          <cell r="A687" t="str">
            <v>B558222/A</v>
          </cell>
          <cell r="B687" t="str">
            <v>MN5498K-RM01</v>
          </cell>
          <cell r="C687">
            <v>40</v>
          </cell>
          <cell r="D687">
            <v>255</v>
          </cell>
          <cell r="E687">
            <v>10200</v>
          </cell>
          <cell r="F687" t="str">
            <v>P1</v>
          </cell>
          <cell r="G687" t="str">
            <v>slat buy - dạt mua từ nhà cung</v>
          </cell>
          <cell r="H687" t="str">
            <v>Slat buy</v>
          </cell>
          <cell r="I687">
            <v>280</v>
          </cell>
        </row>
        <row r="688">
          <cell r="A688" t="str">
            <v>B558222/A</v>
          </cell>
          <cell r="B688" t="str">
            <v>MN5498K-RM01</v>
          </cell>
          <cell r="C688">
            <v>40</v>
          </cell>
          <cell r="D688">
            <v>255</v>
          </cell>
          <cell r="E688">
            <v>10200</v>
          </cell>
          <cell r="F688" t="str">
            <v>P2</v>
          </cell>
          <cell r="G688" t="str">
            <v>Slat Support  - Đỡ dạt giường</v>
          </cell>
          <cell r="H688" t="str">
            <v>Wood US Poplar - Straight Edged, 2 COM - T38mm x W100mm Up x L1.8m Up</v>
          </cell>
          <cell r="I688">
            <v>80</v>
          </cell>
        </row>
        <row r="689">
          <cell r="A689" t="str">
            <v>B558290/A</v>
          </cell>
          <cell r="B689" t="str">
            <v>MN5824M01</v>
          </cell>
          <cell r="C689">
            <v>25</v>
          </cell>
          <cell r="D689">
            <v>403</v>
          </cell>
          <cell r="E689">
            <v>10075</v>
          </cell>
          <cell r="F689" t="str">
            <v>A1-1</v>
          </cell>
          <cell r="G689" t="str">
            <v>Front top rail  - Đố tiền nóc</v>
          </cell>
          <cell r="H689" t="str">
            <v>Red Oak 2 COM</v>
          </cell>
          <cell r="I689">
            <v>50</v>
          </cell>
        </row>
        <row r="690">
          <cell r="A690" t="str">
            <v>B558290/A</v>
          </cell>
          <cell r="B690" t="str">
            <v>MN5824M01</v>
          </cell>
          <cell r="C690">
            <v>25</v>
          </cell>
          <cell r="D690">
            <v>403</v>
          </cell>
          <cell r="E690">
            <v>10075</v>
          </cell>
          <cell r="F690" t="str">
            <v>A1-2</v>
          </cell>
          <cell r="G690" t="str">
            <v>Front top rail  - Đố tiền nóc</v>
          </cell>
          <cell r="H690" t="str">
            <v>Red Oak 2 COM</v>
          </cell>
          <cell r="I690">
            <v>50</v>
          </cell>
        </row>
        <row r="691">
          <cell r="A691" t="str">
            <v>B558290/A</v>
          </cell>
          <cell r="B691" t="str">
            <v>MN5824M01</v>
          </cell>
          <cell r="C691">
            <v>25</v>
          </cell>
          <cell r="D691">
            <v>403</v>
          </cell>
          <cell r="E691">
            <v>10075</v>
          </cell>
          <cell r="F691" t="str">
            <v>A1-3</v>
          </cell>
          <cell r="G691" t="str">
            <v xml:space="preserve">Top panel  - Ván nóc </v>
          </cell>
          <cell r="H691" t="str">
            <v>MDF Veneer</v>
          </cell>
          <cell r="I691">
            <v>25</v>
          </cell>
        </row>
        <row r="692">
          <cell r="A692" t="str">
            <v>B558290/A</v>
          </cell>
          <cell r="B692" t="str">
            <v>MN5824M01</v>
          </cell>
          <cell r="C692">
            <v>25</v>
          </cell>
          <cell r="D692">
            <v>403</v>
          </cell>
          <cell r="E692">
            <v>10075</v>
          </cell>
          <cell r="F692" t="str">
            <v>A2-1</v>
          </cell>
          <cell r="G692" t="str">
            <v>Front rail  - Đố tiền</v>
          </cell>
          <cell r="H692" t="str">
            <v>Wood Red Oak - Straight/Waving Edged, 2 COM - T38mm x W100mm Up x L1.5m Up</v>
          </cell>
          <cell r="I692">
            <v>50</v>
          </cell>
        </row>
        <row r="693">
          <cell r="A693" t="str">
            <v>B558290/A</v>
          </cell>
          <cell r="B693" t="str">
            <v>MN5824M01</v>
          </cell>
          <cell r="C693">
            <v>25</v>
          </cell>
          <cell r="D693">
            <v>403</v>
          </cell>
          <cell r="E693">
            <v>10075</v>
          </cell>
          <cell r="F693" t="str">
            <v>A2-2</v>
          </cell>
          <cell r="G693" t="str">
            <v>Front rail  - Đố tiền</v>
          </cell>
          <cell r="H693" t="str">
            <v>Wood Red Oak - Straight/Waving Edged, 2 COM - T38mm x W100mm Up x L1.5m Up</v>
          </cell>
          <cell r="I693">
            <v>50</v>
          </cell>
        </row>
        <row r="694">
          <cell r="A694" t="str">
            <v>B558290/A</v>
          </cell>
          <cell r="B694" t="str">
            <v>MN5824M01</v>
          </cell>
          <cell r="C694">
            <v>25</v>
          </cell>
          <cell r="D694">
            <v>403</v>
          </cell>
          <cell r="E694">
            <v>10075</v>
          </cell>
          <cell r="F694" t="str">
            <v>A2-3</v>
          </cell>
          <cell r="G694" t="str">
            <v>Center bottom rail - Đố đáy giữa</v>
          </cell>
          <cell r="H694" t="str">
            <v>Wood Acacia - Straight/Waving Edged - T25mm x W100mm Up x L1m Up</v>
          </cell>
          <cell r="I694">
            <v>50</v>
          </cell>
        </row>
        <row r="695">
          <cell r="A695" t="str">
            <v>B558290/A</v>
          </cell>
          <cell r="B695" t="str">
            <v>MN5824M01</v>
          </cell>
          <cell r="C695">
            <v>25</v>
          </cell>
          <cell r="D695">
            <v>403</v>
          </cell>
          <cell r="E695">
            <v>10075</v>
          </cell>
          <cell r="F695" t="str">
            <v>A2-7</v>
          </cell>
          <cell r="G695" t="str">
            <v>Bottom panel - Ván đáy</v>
          </cell>
          <cell r="H695" t="str">
            <v>MDF Veneer</v>
          </cell>
          <cell r="I695">
            <v>25</v>
          </cell>
        </row>
        <row r="696">
          <cell r="A696" t="str">
            <v>B558290/A</v>
          </cell>
          <cell r="B696" t="str">
            <v>MN5824M01</v>
          </cell>
          <cell r="C696">
            <v>25</v>
          </cell>
          <cell r="D696">
            <v>403</v>
          </cell>
          <cell r="E696">
            <v>10075</v>
          </cell>
          <cell r="F696" t="str">
            <v>P01</v>
          </cell>
          <cell r="G696" t="str">
            <v>Front top rail  - Đố tiền nóc</v>
          </cell>
          <cell r="H696" t="str">
            <v>Wood Red Oak - Straight/Waving Edged, 2 COM - T25mm x W100mm Up x L1.5m Up</v>
          </cell>
          <cell r="I696">
            <v>25</v>
          </cell>
        </row>
        <row r="697">
          <cell r="A697" t="str">
            <v>B558290/A</v>
          </cell>
          <cell r="B697" t="str">
            <v>MN5824M01</v>
          </cell>
          <cell r="C697">
            <v>25</v>
          </cell>
          <cell r="D697">
            <v>403</v>
          </cell>
          <cell r="E697">
            <v>10075</v>
          </cell>
          <cell r="F697" t="str">
            <v>P02</v>
          </cell>
          <cell r="G697" t="str">
            <v>support Top - đỡ nóc</v>
          </cell>
          <cell r="H697" t="str">
            <v>MDF - 18 x 1830 x 2440mm [CARB P2 Compliant]</v>
          </cell>
          <cell r="I697">
            <v>50</v>
          </cell>
        </row>
        <row r="698">
          <cell r="A698" t="str">
            <v>B558290/A</v>
          </cell>
          <cell r="B698" t="str">
            <v>MN5824M01</v>
          </cell>
          <cell r="C698">
            <v>25</v>
          </cell>
          <cell r="D698">
            <v>403</v>
          </cell>
          <cell r="E698">
            <v>10075</v>
          </cell>
          <cell r="F698" t="str">
            <v>P03</v>
          </cell>
          <cell r="G698" t="str">
            <v>Squared post - Trụ chân vuông</v>
          </cell>
          <cell r="H698" t="str">
            <v>Wood laminate</v>
          </cell>
          <cell r="I698">
            <v>50</v>
          </cell>
        </row>
        <row r="699">
          <cell r="A699" t="str">
            <v>B558290/A</v>
          </cell>
          <cell r="B699" t="str">
            <v>MN5824M01</v>
          </cell>
          <cell r="C699">
            <v>25</v>
          </cell>
          <cell r="D699">
            <v>403</v>
          </cell>
          <cell r="E699">
            <v>10075</v>
          </cell>
          <cell r="F699" t="str">
            <v>P04</v>
          </cell>
          <cell r="G699" t="str">
            <v>Dowel - Chốt gỗ</v>
          </cell>
          <cell r="H699" t="str">
            <v>Poplar off cut</v>
          </cell>
          <cell r="I699">
            <v>100</v>
          </cell>
        </row>
        <row r="700">
          <cell r="A700" t="str">
            <v>B557195/A</v>
          </cell>
          <cell r="B700" t="str">
            <v>SH146M01</v>
          </cell>
          <cell r="C700">
            <v>100</v>
          </cell>
          <cell r="D700">
            <v>233.7</v>
          </cell>
          <cell r="E700">
            <v>23370</v>
          </cell>
          <cell r="F700" t="str">
            <v>A1-A</v>
          </cell>
          <cell r="G700" t="str">
            <v xml:space="preserve">Drawer front - Mặt hộc kéo </v>
          </cell>
          <cell r="H700" t="str">
            <v>Wood Red Oak - Straight/Waving Edged, 1 COM - T38mm x W100mm Up x L1.8m Up</v>
          </cell>
          <cell r="I700">
            <v>100</v>
          </cell>
        </row>
        <row r="701">
          <cell r="A701" t="str">
            <v>B557195/A</v>
          </cell>
          <cell r="B701" t="str">
            <v>SH146M01</v>
          </cell>
          <cell r="C701">
            <v>100</v>
          </cell>
          <cell r="D701">
            <v>233.7</v>
          </cell>
          <cell r="E701">
            <v>23370</v>
          </cell>
          <cell r="F701" t="str">
            <v>A1-B</v>
          </cell>
          <cell r="G701" t="str">
            <v xml:space="preserve">Drawer front - Mặt hộc kéo </v>
          </cell>
          <cell r="H701" t="str">
            <v>Wood Red Oak - Straight/Waving Edged, 1 COM - T38mm x W100mm Up x L1.8m Up</v>
          </cell>
          <cell r="I701">
            <v>200</v>
          </cell>
        </row>
        <row r="702">
          <cell r="A702" t="str">
            <v>B557195/A</v>
          </cell>
          <cell r="B702" t="str">
            <v>SH146M01</v>
          </cell>
          <cell r="C702">
            <v>100</v>
          </cell>
          <cell r="D702">
            <v>233.7</v>
          </cell>
          <cell r="E702">
            <v>23370</v>
          </cell>
          <cell r="F702" t="str">
            <v>A1-S01</v>
          </cell>
          <cell r="G702" t="str">
            <v xml:space="preserve">Drawer front - Mặt hộc kéo </v>
          </cell>
          <cell r="H702" t="str">
            <v>Pre-Assembly</v>
          </cell>
          <cell r="I702">
            <v>100</v>
          </cell>
        </row>
        <row r="703">
          <cell r="A703" t="str">
            <v>B557195/A</v>
          </cell>
          <cell r="B703" t="str">
            <v>SH146M01</v>
          </cell>
          <cell r="C703">
            <v>100</v>
          </cell>
          <cell r="D703">
            <v>233.7</v>
          </cell>
          <cell r="E703">
            <v>23370</v>
          </cell>
          <cell r="F703" t="str">
            <v>A1-S01-1</v>
          </cell>
          <cell r="G703" t="str">
            <v xml:space="preserve">Drawer front - Mặt hộc kéo </v>
          </cell>
          <cell r="H703" t="str">
            <v>Wood</v>
          </cell>
          <cell r="I703">
            <v>100</v>
          </cell>
        </row>
        <row r="704">
          <cell r="A704" t="str">
            <v>B557195/A</v>
          </cell>
          <cell r="B704" t="str">
            <v>SH146M01</v>
          </cell>
          <cell r="C704">
            <v>100</v>
          </cell>
          <cell r="D704">
            <v>233.7</v>
          </cell>
          <cell r="E704">
            <v>23370</v>
          </cell>
          <cell r="F704" t="str">
            <v>A1-S01-2</v>
          </cell>
          <cell r="G704" t="str">
            <v xml:space="preserve">Drawer front - Mặt hộc kéo </v>
          </cell>
          <cell r="H704" t="str">
            <v>Wood</v>
          </cell>
          <cell r="I704">
            <v>200</v>
          </cell>
        </row>
        <row r="705">
          <cell r="A705" t="str">
            <v>B557195/A</v>
          </cell>
          <cell r="B705" t="str">
            <v>SH146M01</v>
          </cell>
          <cell r="C705">
            <v>100</v>
          </cell>
          <cell r="D705">
            <v>233.7</v>
          </cell>
          <cell r="E705">
            <v>23370</v>
          </cell>
          <cell r="F705" t="str">
            <v>A1-S01-3</v>
          </cell>
          <cell r="G705" t="str">
            <v>Spline - Lưỡi gà</v>
          </cell>
          <cell r="H705" t="str">
            <v>wood off cut</v>
          </cell>
          <cell r="I705">
            <v>200</v>
          </cell>
        </row>
        <row r="706">
          <cell r="A706" t="str">
            <v>B557195/A</v>
          </cell>
          <cell r="B706" t="str">
            <v>SH146M01</v>
          </cell>
          <cell r="C706">
            <v>100</v>
          </cell>
          <cell r="D706">
            <v>233.7</v>
          </cell>
          <cell r="E706">
            <v>23370</v>
          </cell>
          <cell r="F706" t="str">
            <v>A1-S02</v>
          </cell>
          <cell r="G706" t="str">
            <v>Drawer side - Hông hộc kéo</v>
          </cell>
          <cell r="H706" t="str">
            <v>Wd+VN</v>
          </cell>
          <cell r="I706">
            <v>200</v>
          </cell>
        </row>
        <row r="707">
          <cell r="A707" t="str">
            <v>B557195/A</v>
          </cell>
          <cell r="B707" t="str">
            <v>SH146M01</v>
          </cell>
          <cell r="C707">
            <v>100</v>
          </cell>
          <cell r="D707">
            <v>233.7</v>
          </cell>
          <cell r="E707">
            <v>23370</v>
          </cell>
          <cell r="F707" t="str">
            <v>A1-S03</v>
          </cell>
          <cell r="G707" t="str">
            <v>Drawer back - Hậu hộc kéo</v>
          </cell>
          <cell r="H707" t="str">
            <v>Wd+VN</v>
          </cell>
          <cell r="I707">
            <v>100</v>
          </cell>
        </row>
        <row r="708">
          <cell r="A708" t="str">
            <v>B557195/A</v>
          </cell>
          <cell r="B708" t="str">
            <v>SH146M01</v>
          </cell>
          <cell r="C708">
            <v>100</v>
          </cell>
          <cell r="D708">
            <v>233.7</v>
          </cell>
          <cell r="E708">
            <v>23370</v>
          </cell>
          <cell r="F708" t="str">
            <v>A1-S04</v>
          </cell>
          <cell r="G708" t="str">
            <v>Drawer bottom  - Đáy hộc kéo</v>
          </cell>
          <cell r="H708" t="str">
            <v>MDF Veneer</v>
          </cell>
          <cell r="I708">
            <v>200</v>
          </cell>
        </row>
        <row r="709">
          <cell r="A709" t="str">
            <v>B557195/A</v>
          </cell>
          <cell r="B709" t="str">
            <v>SH146M01</v>
          </cell>
          <cell r="C709">
            <v>100</v>
          </cell>
          <cell r="D709">
            <v>233.7</v>
          </cell>
          <cell r="E709">
            <v>23370</v>
          </cell>
          <cell r="F709" t="str">
            <v>A1-S05</v>
          </cell>
          <cell r="G709" t="str">
            <v>Patching wood - Gỗ đắp</v>
          </cell>
          <cell r="H709" t="str">
            <v>Poplar off cut</v>
          </cell>
          <cell r="I709">
            <v>400</v>
          </cell>
        </row>
        <row r="710">
          <cell r="A710" t="str">
            <v>B557195/A</v>
          </cell>
          <cell r="B710" t="str">
            <v>SH146M01</v>
          </cell>
          <cell r="C710">
            <v>100</v>
          </cell>
          <cell r="D710">
            <v>233.7</v>
          </cell>
          <cell r="E710">
            <v>23370</v>
          </cell>
          <cell r="F710" t="str">
            <v>A2-S01</v>
          </cell>
          <cell r="G710" t="str">
            <v xml:space="preserve">Drawer front 1 - Mặt hộc kéo </v>
          </cell>
          <cell r="H710" t="str">
            <v>Pre-Assembly</v>
          </cell>
          <cell r="I710">
            <v>100</v>
          </cell>
        </row>
        <row r="711">
          <cell r="A711" t="str">
            <v>B557195/A</v>
          </cell>
          <cell r="B711" t="str">
            <v>SH146M01</v>
          </cell>
          <cell r="C711">
            <v>100</v>
          </cell>
          <cell r="D711">
            <v>233.7</v>
          </cell>
          <cell r="E711">
            <v>23370</v>
          </cell>
          <cell r="F711" t="str">
            <v>A2-S01-1</v>
          </cell>
          <cell r="G711" t="str">
            <v xml:space="preserve">Drawer front 1 - Mặt hộc kéo </v>
          </cell>
          <cell r="H711" t="str">
            <v>Wood</v>
          </cell>
          <cell r="I711">
            <v>100</v>
          </cell>
        </row>
        <row r="712">
          <cell r="A712" t="str">
            <v>B557195/A</v>
          </cell>
          <cell r="B712" t="str">
            <v>SH146M01</v>
          </cell>
          <cell r="C712">
            <v>100</v>
          </cell>
          <cell r="D712">
            <v>233.7</v>
          </cell>
          <cell r="E712">
            <v>23370</v>
          </cell>
          <cell r="F712" t="str">
            <v>A2-S01-2</v>
          </cell>
          <cell r="G712" t="str">
            <v xml:space="preserve">Drawer front 1 - Mặt hộc kéo </v>
          </cell>
          <cell r="H712" t="str">
            <v>Wood</v>
          </cell>
          <cell r="I712">
            <v>200</v>
          </cell>
        </row>
        <row r="713">
          <cell r="A713" t="str">
            <v>B557195/A</v>
          </cell>
          <cell r="B713" t="str">
            <v>SH146M01</v>
          </cell>
          <cell r="C713">
            <v>100</v>
          </cell>
          <cell r="D713">
            <v>233.7</v>
          </cell>
          <cell r="E713">
            <v>23370</v>
          </cell>
          <cell r="F713" t="str">
            <v>A2-S01-3</v>
          </cell>
          <cell r="G713" t="str">
            <v>Spline - Lưỡi gà</v>
          </cell>
          <cell r="H713" t="str">
            <v>wood off cut</v>
          </cell>
          <cell r="I713">
            <v>200</v>
          </cell>
        </row>
        <row r="714">
          <cell r="A714" t="str">
            <v>B557195/A</v>
          </cell>
          <cell r="B714" t="str">
            <v>SH146M01</v>
          </cell>
          <cell r="C714">
            <v>100</v>
          </cell>
          <cell r="D714">
            <v>233.7</v>
          </cell>
          <cell r="E714">
            <v>23370</v>
          </cell>
          <cell r="F714" t="str">
            <v>A2-S02</v>
          </cell>
          <cell r="G714" t="str">
            <v>Drawer side - Hông hộc kéo</v>
          </cell>
          <cell r="H714" t="str">
            <v>Wd+VN</v>
          </cell>
          <cell r="I714">
            <v>200</v>
          </cell>
        </row>
        <row r="715">
          <cell r="A715" t="str">
            <v>B557195/A</v>
          </cell>
          <cell r="B715" t="str">
            <v>SH146M01</v>
          </cell>
          <cell r="C715">
            <v>100</v>
          </cell>
          <cell r="D715">
            <v>233.7</v>
          </cell>
          <cell r="E715">
            <v>23370</v>
          </cell>
          <cell r="F715" t="str">
            <v>A2-S03</v>
          </cell>
          <cell r="G715" t="str">
            <v>Drawer back - Hậu hộc kéo</v>
          </cell>
          <cell r="H715" t="str">
            <v>Wd+VN</v>
          </cell>
          <cell r="I715">
            <v>100</v>
          </cell>
        </row>
        <row r="716">
          <cell r="A716" t="str">
            <v>B557195/A</v>
          </cell>
          <cell r="B716" t="str">
            <v>SH146M01</v>
          </cell>
          <cell r="C716">
            <v>100</v>
          </cell>
          <cell r="D716">
            <v>233.7</v>
          </cell>
          <cell r="E716">
            <v>23370</v>
          </cell>
          <cell r="F716" t="str">
            <v>A3-S01</v>
          </cell>
          <cell r="G716" t="str">
            <v xml:space="preserve">Side panel  - Ván hông </v>
          </cell>
          <cell r="H716" t="str">
            <v>Plywood LVD - 12 x 1220 x 2440mm, Bleached Poplar Veneer Both Sides [CARB P2 Compliant]</v>
          </cell>
          <cell r="I716">
            <v>200</v>
          </cell>
        </row>
        <row r="717">
          <cell r="A717" t="str">
            <v>B557195/A</v>
          </cell>
          <cell r="B717" t="str">
            <v>SH146M01</v>
          </cell>
          <cell r="C717">
            <v>100</v>
          </cell>
          <cell r="D717">
            <v>233.7</v>
          </cell>
          <cell r="E717">
            <v>23370</v>
          </cell>
          <cell r="F717" t="str">
            <v>A3-S02</v>
          </cell>
          <cell r="G717" t="str">
            <v>Back panel - Ván hậu</v>
          </cell>
          <cell r="H717" t="str">
            <v>Plywood LVD - 12 x 1220 x 2440mm, Bleached Poplar Veneer Both Sides [CARB P2 Compliant]</v>
          </cell>
          <cell r="I717">
            <v>100</v>
          </cell>
        </row>
        <row r="718">
          <cell r="A718" t="str">
            <v>B557195/A</v>
          </cell>
          <cell r="B718" t="str">
            <v>SH146M01</v>
          </cell>
          <cell r="C718">
            <v>100</v>
          </cell>
          <cell r="D718">
            <v>233.7</v>
          </cell>
          <cell r="E718">
            <v>23370</v>
          </cell>
          <cell r="F718" t="str">
            <v>A3-S03</v>
          </cell>
          <cell r="G718" t="str">
            <v>Corner block - ke góc</v>
          </cell>
          <cell r="H718" t="str">
            <v>Beech off cut</v>
          </cell>
          <cell r="I718">
            <v>400</v>
          </cell>
        </row>
        <row r="719">
          <cell r="A719" t="str">
            <v>B557195/A</v>
          </cell>
          <cell r="B719" t="str">
            <v>SH146M01</v>
          </cell>
          <cell r="C719">
            <v>100</v>
          </cell>
          <cell r="D719">
            <v>233.7</v>
          </cell>
          <cell r="E719">
            <v>23370</v>
          </cell>
          <cell r="F719" t="str">
            <v>A3-S04</v>
          </cell>
          <cell r="G719" t="str">
            <v>Front rail 1 - đố trước 1</v>
          </cell>
          <cell r="H719" t="str">
            <v>Wood US Poplar - Straight Edged, 2 COM - T25mm x W100mm Up x L1.8m Up</v>
          </cell>
          <cell r="I719">
            <v>100</v>
          </cell>
        </row>
        <row r="720">
          <cell r="A720" t="str">
            <v>B557195/A</v>
          </cell>
          <cell r="B720" t="str">
            <v>SH146M01</v>
          </cell>
          <cell r="C720">
            <v>100</v>
          </cell>
          <cell r="D720">
            <v>233.7</v>
          </cell>
          <cell r="E720">
            <v>23370</v>
          </cell>
          <cell r="F720" t="str">
            <v>A3-S05</v>
          </cell>
          <cell r="G720" t="str">
            <v>Bottom panel - Ván đáy</v>
          </cell>
          <cell r="H720" t="str">
            <v>Plywood LVD - 12 x 1220 x 2440mm, Bleached Poplar Veneer Both Sides [CARB P2 Compliant]</v>
          </cell>
          <cell r="I720">
            <v>100</v>
          </cell>
        </row>
        <row r="721">
          <cell r="A721" t="str">
            <v>B557195/A</v>
          </cell>
          <cell r="B721" t="str">
            <v>SH146M01</v>
          </cell>
          <cell r="C721">
            <v>100</v>
          </cell>
          <cell r="D721">
            <v>233.7</v>
          </cell>
          <cell r="E721">
            <v>23370</v>
          </cell>
          <cell r="F721" t="str">
            <v>P02</v>
          </cell>
          <cell r="G721" t="str">
            <v>Corner block - ke góc</v>
          </cell>
          <cell r="H721" t="str">
            <v>Plywood LVD - 18 x 1220 x 2440mm, Bleached Poplar Veneer Both Sides [CARB P2 Compliant]</v>
          </cell>
          <cell r="I721">
            <v>200</v>
          </cell>
        </row>
        <row r="722">
          <cell r="A722" t="str">
            <v>B557195/A</v>
          </cell>
          <cell r="B722" t="str">
            <v>SH146M01</v>
          </cell>
          <cell r="C722">
            <v>100</v>
          </cell>
          <cell r="D722">
            <v>233.7</v>
          </cell>
          <cell r="E722">
            <v>23370</v>
          </cell>
          <cell r="F722" t="str">
            <v>P04</v>
          </cell>
          <cell r="G722" t="str">
            <v>Front rail  - Đố tiền</v>
          </cell>
          <cell r="H722" t="str">
            <v>Wood US Poplar - Straight Edged, 2 COM - T25mm x W100mm Up x L1.8m Up</v>
          </cell>
          <cell r="I722">
            <v>100</v>
          </cell>
        </row>
        <row r="723">
          <cell r="A723" t="str">
            <v>B557195/A</v>
          </cell>
          <cell r="B723" t="str">
            <v>SH146M01</v>
          </cell>
          <cell r="C723">
            <v>100</v>
          </cell>
          <cell r="D723">
            <v>233.7</v>
          </cell>
          <cell r="E723">
            <v>23370</v>
          </cell>
          <cell r="F723" t="str">
            <v>P05</v>
          </cell>
          <cell r="G723" t="str">
            <v>Bottom frame - Khung dưới</v>
          </cell>
          <cell r="H723" t="str">
            <v>Pre-Assembly</v>
          </cell>
          <cell r="I723">
            <v>100</v>
          </cell>
        </row>
        <row r="724">
          <cell r="A724" t="str">
            <v>B557195/A</v>
          </cell>
          <cell r="B724" t="str">
            <v>SH146M01</v>
          </cell>
          <cell r="C724">
            <v>100</v>
          </cell>
          <cell r="D724">
            <v>233.7</v>
          </cell>
          <cell r="E724">
            <v>23370</v>
          </cell>
          <cell r="F724" t="str">
            <v>P05-1</v>
          </cell>
          <cell r="G724" t="str">
            <v>Patching wood - Gỗ đắp</v>
          </cell>
          <cell r="H724" t="str">
            <v>MDF OFF CUT</v>
          </cell>
          <cell r="I724">
            <v>200</v>
          </cell>
        </row>
        <row r="725">
          <cell r="A725" t="str">
            <v>B557195/A</v>
          </cell>
          <cell r="B725" t="str">
            <v>SH146M01</v>
          </cell>
          <cell r="C725">
            <v>100</v>
          </cell>
          <cell r="D725">
            <v>233.7</v>
          </cell>
          <cell r="E725">
            <v>23370</v>
          </cell>
          <cell r="F725" t="str">
            <v>P05-2</v>
          </cell>
          <cell r="G725" t="str">
            <v>Bottom panel - Ván đáy</v>
          </cell>
          <cell r="H725" t="str">
            <v>Plywood LVD - 18 x 1220 x 2440mm, Bleached Poplar Veneer Both Sides [CARB P2 Compliant]</v>
          </cell>
          <cell r="I725">
            <v>100</v>
          </cell>
        </row>
        <row r="726">
          <cell r="A726" t="str">
            <v>B557195/A</v>
          </cell>
          <cell r="B726" t="str">
            <v>SH146M01</v>
          </cell>
          <cell r="C726">
            <v>100</v>
          </cell>
          <cell r="D726">
            <v>233.7</v>
          </cell>
          <cell r="E726">
            <v>23370</v>
          </cell>
          <cell r="F726" t="str">
            <v>P06</v>
          </cell>
          <cell r="G726" t="str">
            <v>The leg  - Chân</v>
          </cell>
          <cell r="H726" t="str">
            <v>White Oak 1 COM</v>
          </cell>
          <cell r="I726">
            <v>400</v>
          </cell>
        </row>
        <row r="727">
          <cell r="A727" t="str">
            <v>B557195/A</v>
          </cell>
          <cell r="B727" t="str">
            <v>SH146M01</v>
          </cell>
          <cell r="C727">
            <v>100</v>
          </cell>
          <cell r="D727">
            <v>233.7</v>
          </cell>
          <cell r="E727">
            <v>23370</v>
          </cell>
          <cell r="F727" t="str">
            <v>P07</v>
          </cell>
          <cell r="G727" t="str">
            <v>Cleat - Bọ gỗ</v>
          </cell>
          <cell r="H727" t="str">
            <v>Plywood off cut</v>
          </cell>
          <cell r="I727">
            <v>100</v>
          </cell>
        </row>
        <row r="728">
          <cell r="A728" t="str">
            <v>B557195/A</v>
          </cell>
          <cell r="B728" t="str">
            <v>SH146M01</v>
          </cell>
          <cell r="C728">
            <v>100</v>
          </cell>
          <cell r="D728">
            <v>233.7</v>
          </cell>
          <cell r="E728">
            <v>23370</v>
          </cell>
          <cell r="F728" t="str">
            <v>P08</v>
          </cell>
          <cell r="G728" t="str">
            <v>Cleat - Bọ gỗ</v>
          </cell>
          <cell r="H728" t="str">
            <v>Plywood off cut</v>
          </cell>
          <cell r="I728">
            <v>200</v>
          </cell>
        </row>
        <row r="729">
          <cell r="A729" t="str">
            <v>B557195/A</v>
          </cell>
          <cell r="B729" t="str">
            <v>SH146M01</v>
          </cell>
          <cell r="C729">
            <v>100</v>
          </cell>
          <cell r="D729">
            <v>233.7</v>
          </cell>
          <cell r="E729">
            <v>23370</v>
          </cell>
          <cell r="F729" t="str">
            <v>P09</v>
          </cell>
          <cell r="G729" t="str">
            <v>under top plywood send sudcon - ván gửi NCC dán đá</v>
          </cell>
          <cell r="H729" t="str">
            <v>Plywood LVD - 18 x 1220 x 2440mm, Bleached Poplar Veneer Both Sides [CARB P2 Compliant]</v>
          </cell>
          <cell r="I729">
            <v>100</v>
          </cell>
        </row>
        <row r="730">
          <cell r="A730" t="str">
            <v>B557195/A</v>
          </cell>
          <cell r="B730" t="str">
            <v>SH146M01</v>
          </cell>
          <cell r="C730">
            <v>100</v>
          </cell>
          <cell r="D730">
            <v>233.7</v>
          </cell>
          <cell r="E730">
            <v>23370</v>
          </cell>
          <cell r="F730" t="str">
            <v>P10</v>
          </cell>
          <cell r="G730" t="str">
            <v xml:space="preserve">Side rail  - Đố hông </v>
          </cell>
          <cell r="H730" t="str">
            <v>Wood Red Oak - Straight/Waving Edged, 1 COM - T32mm x W100mm Up x L1.8m Up</v>
          </cell>
          <cell r="I730">
            <v>700</v>
          </cell>
        </row>
        <row r="731">
          <cell r="A731" t="str">
            <v>B557195/A</v>
          </cell>
          <cell r="B731" t="str">
            <v>SH146M01</v>
          </cell>
          <cell r="C731">
            <v>100</v>
          </cell>
          <cell r="D731">
            <v>233.7</v>
          </cell>
          <cell r="E731">
            <v>23370</v>
          </cell>
          <cell r="F731" t="str">
            <v>P11</v>
          </cell>
          <cell r="G731" t="str">
            <v xml:space="preserve">Side rail  - Đố hông </v>
          </cell>
          <cell r="H731" t="str">
            <v>Wood Red Oak - Straight/Waving Edged, 1 COM - T32mm x W100mm Up x L1.8m Up</v>
          </cell>
          <cell r="I731">
            <v>100</v>
          </cell>
        </row>
        <row r="732">
          <cell r="A732" t="str">
            <v>B557195/A</v>
          </cell>
          <cell r="B732" t="str">
            <v>SH146M01</v>
          </cell>
          <cell r="C732">
            <v>100</v>
          </cell>
          <cell r="D732">
            <v>233.7</v>
          </cell>
          <cell r="E732">
            <v>23370</v>
          </cell>
          <cell r="F732" t="str">
            <v>P11-1</v>
          </cell>
          <cell r="G732" t="str">
            <v xml:space="preserve">Side rail  - Đố hông </v>
          </cell>
          <cell r="H732" t="str">
            <v>Wood Red Oak - Straight/Waving Edged, 1 COM - T32mm x W100mm Up x L1.8m Up</v>
          </cell>
          <cell r="I732">
            <v>100</v>
          </cell>
        </row>
        <row r="733">
          <cell r="A733" t="str">
            <v>B558398/A</v>
          </cell>
          <cell r="B733" t="str">
            <v>SH207M506</v>
          </cell>
          <cell r="C733">
            <v>30</v>
          </cell>
          <cell r="D733">
            <v>536.25</v>
          </cell>
          <cell r="E733">
            <v>16087.5</v>
          </cell>
          <cell r="F733" t="str">
            <v>A1-S1</v>
          </cell>
          <cell r="G733" t="str">
            <v>Front rail  - Đố tiền</v>
          </cell>
          <cell r="H733" t="str">
            <v>Wood US Poplar - Straight Edged, 2 COM - T32mm x W100mm Up x L1.8m Up</v>
          </cell>
          <cell r="I733">
            <v>60</v>
          </cell>
        </row>
        <row r="734">
          <cell r="A734" t="str">
            <v>B558398/A</v>
          </cell>
          <cell r="B734" t="str">
            <v>SH207M506</v>
          </cell>
          <cell r="C734">
            <v>30</v>
          </cell>
          <cell r="D734">
            <v>536.25</v>
          </cell>
          <cell r="E734">
            <v>16087.5</v>
          </cell>
          <cell r="F734" t="str">
            <v>A1-S2</v>
          </cell>
          <cell r="G734" t="str">
            <v xml:space="preserve">Side rail  - Đố hông </v>
          </cell>
          <cell r="H734" t="str">
            <v>Wood US Poplar - Straight Edged, 2 COM - T32mm x W100mm Up x L1.8m Up</v>
          </cell>
          <cell r="I734">
            <v>60</v>
          </cell>
        </row>
        <row r="735">
          <cell r="A735" t="str">
            <v>B558398/A</v>
          </cell>
          <cell r="B735" t="str">
            <v>SH207M506</v>
          </cell>
          <cell r="C735">
            <v>30</v>
          </cell>
          <cell r="D735">
            <v>536.25</v>
          </cell>
          <cell r="E735">
            <v>16087.5</v>
          </cell>
          <cell r="F735" t="str">
            <v>A1-S3</v>
          </cell>
          <cell r="G735" t="str">
            <v>Corner block - ke góc</v>
          </cell>
          <cell r="H735" t="str">
            <v>Poplar 2 COM</v>
          </cell>
          <cell r="I735">
            <v>120</v>
          </cell>
        </row>
        <row r="736">
          <cell r="A736" t="str">
            <v>B558398/A</v>
          </cell>
          <cell r="B736" t="str">
            <v>SH207M506</v>
          </cell>
          <cell r="C736">
            <v>30</v>
          </cell>
          <cell r="D736">
            <v>536.25</v>
          </cell>
          <cell r="E736">
            <v>16087.5</v>
          </cell>
          <cell r="F736" t="str">
            <v>A2</v>
          </cell>
          <cell r="G736" t="str">
            <v>Top Frame - Khung nóc</v>
          </cell>
          <cell r="H736" t="str">
            <v>Pre-Assembly</v>
          </cell>
          <cell r="I736">
            <v>30</v>
          </cell>
        </row>
        <row r="737">
          <cell r="A737" t="str">
            <v>B558398/A</v>
          </cell>
          <cell r="B737" t="str">
            <v>SH207M506</v>
          </cell>
          <cell r="C737">
            <v>30</v>
          </cell>
          <cell r="D737">
            <v>536.25</v>
          </cell>
          <cell r="E737">
            <v>16087.5</v>
          </cell>
          <cell r="F737" t="str">
            <v>A2-S1</v>
          </cell>
          <cell r="G737" t="str">
            <v xml:space="preserve">Top panel  - Ván nóc </v>
          </cell>
          <cell r="H737" t="str">
            <v>MDF laminate</v>
          </cell>
          <cell r="I737">
            <v>30</v>
          </cell>
        </row>
        <row r="738">
          <cell r="A738" t="str">
            <v>B558398/A</v>
          </cell>
          <cell r="B738" t="str">
            <v>SH207M506</v>
          </cell>
          <cell r="C738">
            <v>30</v>
          </cell>
          <cell r="D738">
            <v>536.25</v>
          </cell>
          <cell r="E738">
            <v>16087.5</v>
          </cell>
          <cell r="F738" t="str">
            <v>A2-S2</v>
          </cell>
          <cell r="G738" t="str">
            <v xml:space="preserve">Side panel  - Ván hông </v>
          </cell>
          <cell r="H738" t="str">
            <v>Wood laminate</v>
          </cell>
          <cell r="I738">
            <v>60</v>
          </cell>
        </row>
        <row r="739">
          <cell r="A739" t="str">
            <v>B558398/A</v>
          </cell>
          <cell r="B739" t="str">
            <v>SH207M506</v>
          </cell>
          <cell r="C739">
            <v>30</v>
          </cell>
          <cell r="D739">
            <v>536.25</v>
          </cell>
          <cell r="E739">
            <v>16087.5</v>
          </cell>
          <cell r="F739" t="str">
            <v>P02</v>
          </cell>
          <cell r="G739" t="str">
            <v xml:space="preserve">Side panel  - Ván hông </v>
          </cell>
          <cell r="H739" t="str">
            <v>Pre-Assembly</v>
          </cell>
          <cell r="I739">
            <v>60</v>
          </cell>
        </row>
        <row r="740">
          <cell r="A740" t="str">
            <v>B558398/A</v>
          </cell>
          <cell r="B740" t="str">
            <v>SH207M506</v>
          </cell>
          <cell r="C740">
            <v>30</v>
          </cell>
          <cell r="D740">
            <v>536.25</v>
          </cell>
          <cell r="E740">
            <v>16087.5</v>
          </cell>
          <cell r="F740" t="str">
            <v>P02-1</v>
          </cell>
          <cell r="G740" t="str">
            <v xml:space="preserve">Side panel  - Ván hông </v>
          </cell>
          <cell r="H740" t="str">
            <v>MDF Veneer</v>
          </cell>
          <cell r="I740">
            <v>120</v>
          </cell>
        </row>
        <row r="741">
          <cell r="A741" t="str">
            <v>B558398/A</v>
          </cell>
          <cell r="B741" t="str">
            <v>SH207M506</v>
          </cell>
          <cell r="C741">
            <v>30</v>
          </cell>
          <cell r="D741">
            <v>536.25</v>
          </cell>
          <cell r="E741">
            <v>16087.5</v>
          </cell>
          <cell r="F741" t="str">
            <v>P02-3</v>
          </cell>
          <cell r="G741" t="str">
            <v>MDF - MDF</v>
          </cell>
          <cell r="H741" t="str">
            <v>MDF laminate</v>
          </cell>
          <cell r="I741">
            <v>180</v>
          </cell>
        </row>
        <row r="742">
          <cell r="A742" t="str">
            <v>B558398/A</v>
          </cell>
          <cell r="B742" t="str">
            <v>SH207M506</v>
          </cell>
          <cell r="C742">
            <v>30</v>
          </cell>
          <cell r="D742">
            <v>536.25</v>
          </cell>
          <cell r="E742">
            <v>16087.5</v>
          </cell>
          <cell r="F742" t="str">
            <v>P02-4</v>
          </cell>
          <cell r="G742" t="str">
            <v>MDF - MDF</v>
          </cell>
          <cell r="H742" t="str">
            <v>MDF laminate</v>
          </cell>
          <cell r="I742">
            <v>120</v>
          </cell>
        </row>
        <row r="743">
          <cell r="A743" t="str">
            <v>B558398/A</v>
          </cell>
          <cell r="B743" t="str">
            <v>SH207M506</v>
          </cell>
          <cell r="C743">
            <v>30</v>
          </cell>
          <cell r="D743">
            <v>536.25</v>
          </cell>
          <cell r="E743">
            <v>16087.5</v>
          </cell>
          <cell r="F743" t="str">
            <v>P02-5</v>
          </cell>
          <cell r="G743" t="str">
            <v>MDF - MDF</v>
          </cell>
          <cell r="H743" t="str">
            <v>MDF laminate</v>
          </cell>
          <cell r="I743">
            <v>840</v>
          </cell>
        </row>
        <row r="744">
          <cell r="A744" t="str">
            <v>B558398/A</v>
          </cell>
          <cell r="B744" t="str">
            <v>SH207M506</v>
          </cell>
          <cell r="C744">
            <v>30</v>
          </cell>
          <cell r="D744">
            <v>536.25</v>
          </cell>
          <cell r="E744">
            <v>16087.5</v>
          </cell>
          <cell r="F744" t="str">
            <v>P03</v>
          </cell>
          <cell r="G744" t="str">
            <v xml:space="preserve">Vertical panel  - ván đứng </v>
          </cell>
          <cell r="H744" t="str">
            <v>Pre-Assembly</v>
          </cell>
          <cell r="I744">
            <v>120</v>
          </cell>
        </row>
        <row r="745">
          <cell r="A745" t="str">
            <v>B558398/A</v>
          </cell>
          <cell r="B745" t="str">
            <v>SH207M506</v>
          </cell>
          <cell r="C745">
            <v>30</v>
          </cell>
          <cell r="D745">
            <v>536.25</v>
          </cell>
          <cell r="E745">
            <v>16087.5</v>
          </cell>
          <cell r="F745" t="str">
            <v>P03-1</v>
          </cell>
          <cell r="G745" t="str">
            <v xml:space="preserve">Side panel  - Ván hông </v>
          </cell>
          <cell r="H745" t="str">
            <v>MDF Veneer</v>
          </cell>
          <cell r="I745">
            <v>240</v>
          </cell>
        </row>
        <row r="746">
          <cell r="A746" t="str">
            <v>B558398/A</v>
          </cell>
          <cell r="B746" t="str">
            <v>SH207M506</v>
          </cell>
          <cell r="C746">
            <v>30</v>
          </cell>
          <cell r="D746">
            <v>536.25</v>
          </cell>
          <cell r="E746">
            <v>16087.5</v>
          </cell>
          <cell r="F746" t="str">
            <v>P03-2</v>
          </cell>
          <cell r="G746" t="str">
            <v>MDF - MDF</v>
          </cell>
          <cell r="H746" t="str">
            <v>MDF laminate</v>
          </cell>
          <cell r="I746">
            <v>240</v>
          </cell>
        </row>
        <row r="747">
          <cell r="A747" t="str">
            <v>B558398/A</v>
          </cell>
          <cell r="B747" t="str">
            <v>SH207M506</v>
          </cell>
          <cell r="C747">
            <v>30</v>
          </cell>
          <cell r="D747">
            <v>536.25</v>
          </cell>
          <cell r="E747">
            <v>16087.5</v>
          </cell>
          <cell r="F747" t="str">
            <v>P05</v>
          </cell>
          <cell r="G747" t="str">
            <v>Center panel - Ván giữa</v>
          </cell>
          <cell r="H747" t="str">
            <v>Pre-Assembly</v>
          </cell>
          <cell r="I747">
            <v>90</v>
          </cell>
        </row>
        <row r="748">
          <cell r="A748" t="str">
            <v>B558398/A</v>
          </cell>
          <cell r="B748" t="str">
            <v>SH207M506</v>
          </cell>
          <cell r="C748">
            <v>30</v>
          </cell>
          <cell r="D748">
            <v>536.25</v>
          </cell>
          <cell r="E748">
            <v>16087.5</v>
          </cell>
          <cell r="F748" t="str">
            <v>P05-1</v>
          </cell>
          <cell r="G748" t="str">
            <v>Center panel - Ván giữa</v>
          </cell>
          <cell r="H748" t="str">
            <v>MDF Veneer</v>
          </cell>
          <cell r="I748">
            <v>180</v>
          </cell>
        </row>
        <row r="749">
          <cell r="A749" t="str">
            <v>B558398/A</v>
          </cell>
          <cell r="B749" t="str">
            <v>SH207M506</v>
          </cell>
          <cell r="C749">
            <v>30</v>
          </cell>
          <cell r="D749">
            <v>536.25</v>
          </cell>
          <cell r="E749">
            <v>16087.5</v>
          </cell>
          <cell r="F749" t="str">
            <v>P05-4</v>
          </cell>
          <cell r="G749" t="str">
            <v>MDF - MDF</v>
          </cell>
          <cell r="H749" t="str">
            <v>MDF laminate</v>
          </cell>
          <cell r="I749">
            <v>180</v>
          </cell>
        </row>
        <row r="750">
          <cell r="A750" t="str">
            <v>B558398/A</v>
          </cell>
          <cell r="B750" t="str">
            <v>SH207M506</v>
          </cell>
          <cell r="C750">
            <v>30</v>
          </cell>
          <cell r="D750">
            <v>536.25</v>
          </cell>
          <cell r="E750">
            <v>16087.5</v>
          </cell>
          <cell r="F750" t="str">
            <v>P06</v>
          </cell>
          <cell r="G750" t="str">
            <v>Bottom panel - Ván đáy</v>
          </cell>
          <cell r="H750" t="str">
            <v>Pre-Assembly</v>
          </cell>
          <cell r="I750">
            <v>30</v>
          </cell>
        </row>
        <row r="751">
          <cell r="A751" t="str">
            <v>B558398/A</v>
          </cell>
          <cell r="B751" t="str">
            <v>SH207M506</v>
          </cell>
          <cell r="C751">
            <v>30</v>
          </cell>
          <cell r="D751">
            <v>536.25</v>
          </cell>
          <cell r="E751">
            <v>16087.5</v>
          </cell>
          <cell r="F751" t="str">
            <v>P06-1</v>
          </cell>
          <cell r="G751" t="str">
            <v>Bottom panel - Ván đáy</v>
          </cell>
          <cell r="H751" t="str">
            <v>MDF Veneer</v>
          </cell>
          <cell r="I751">
            <v>30</v>
          </cell>
        </row>
        <row r="752">
          <cell r="A752" t="str">
            <v>B558398/A</v>
          </cell>
          <cell r="B752" t="str">
            <v>SH207M506</v>
          </cell>
          <cell r="C752">
            <v>30</v>
          </cell>
          <cell r="D752">
            <v>536.25</v>
          </cell>
          <cell r="E752">
            <v>16087.5</v>
          </cell>
          <cell r="F752" t="str">
            <v>P06-2</v>
          </cell>
          <cell r="G752" t="str">
            <v>Bottom panel - Ván đáy</v>
          </cell>
          <cell r="H752" t="str">
            <v>MDF Veneer</v>
          </cell>
          <cell r="I752">
            <v>30</v>
          </cell>
        </row>
        <row r="753">
          <cell r="A753" t="str">
            <v>B558398/A</v>
          </cell>
          <cell r="B753" t="str">
            <v>SH207M506</v>
          </cell>
          <cell r="C753">
            <v>30</v>
          </cell>
          <cell r="D753">
            <v>536.25</v>
          </cell>
          <cell r="E753">
            <v>16087.5</v>
          </cell>
          <cell r="F753" t="str">
            <v>P06-4</v>
          </cell>
          <cell r="G753" t="str">
            <v>MDF - MDF</v>
          </cell>
          <cell r="H753" t="str">
            <v>MDF laminate</v>
          </cell>
          <cell r="I753">
            <v>60</v>
          </cell>
        </row>
        <row r="754">
          <cell r="A754" t="str">
            <v>B558398/A</v>
          </cell>
          <cell r="B754" t="str">
            <v>SH207M506</v>
          </cell>
          <cell r="C754">
            <v>30</v>
          </cell>
          <cell r="D754">
            <v>536.25</v>
          </cell>
          <cell r="E754">
            <v>16087.5</v>
          </cell>
          <cell r="F754" t="str">
            <v>P07</v>
          </cell>
          <cell r="G754" t="str">
            <v>Spline - Lưỡi gà</v>
          </cell>
          <cell r="H754" t="str">
            <v>Plywood LVD - 18 x 1220 x 2440mm, Bleached Poplar Veneer Both Sides [CARB P2 Compliant]</v>
          </cell>
          <cell r="I754">
            <v>360</v>
          </cell>
        </row>
        <row r="755">
          <cell r="A755" t="str">
            <v>B558398/A</v>
          </cell>
          <cell r="B755" t="str">
            <v>SH207M506</v>
          </cell>
          <cell r="C755">
            <v>30</v>
          </cell>
          <cell r="D755">
            <v>536.25</v>
          </cell>
          <cell r="E755">
            <v>16087.5</v>
          </cell>
          <cell r="F755" t="str">
            <v>P08</v>
          </cell>
          <cell r="G755" t="str">
            <v>Patching wood - Gỗ đắp</v>
          </cell>
          <cell r="H755" t="str">
            <v>Poplar off cut</v>
          </cell>
          <cell r="I755">
            <v>120</v>
          </cell>
        </row>
        <row r="756">
          <cell r="A756" t="str">
            <v>B558400/A</v>
          </cell>
          <cell r="B756" t="str">
            <v>SH346NM506</v>
          </cell>
          <cell r="C756">
            <v>30</v>
          </cell>
          <cell r="D756">
            <v>480</v>
          </cell>
          <cell r="E756">
            <v>14400</v>
          </cell>
          <cell r="F756" t="str">
            <v>A1</v>
          </cell>
          <cell r="G756" t="str">
            <v>Top Frame - Khung nóc</v>
          </cell>
          <cell r="H756" t="str">
            <v>Pre-Assembly</v>
          </cell>
          <cell r="I756">
            <v>30</v>
          </cell>
        </row>
        <row r="757">
          <cell r="A757" t="str">
            <v>B558400/A</v>
          </cell>
          <cell r="B757" t="str">
            <v>SH346NM506</v>
          </cell>
          <cell r="C757">
            <v>30</v>
          </cell>
          <cell r="D757">
            <v>480</v>
          </cell>
          <cell r="E757">
            <v>14400</v>
          </cell>
          <cell r="F757" t="str">
            <v>A1-S01</v>
          </cell>
          <cell r="G757" t="str">
            <v xml:space="preserve">Top panel  - Ván nóc </v>
          </cell>
          <cell r="H757" t="str">
            <v>MDF Veneer</v>
          </cell>
          <cell r="I757">
            <v>30</v>
          </cell>
        </row>
        <row r="758">
          <cell r="A758" t="str">
            <v>B558400/A</v>
          </cell>
          <cell r="B758" t="str">
            <v>SH346NM506</v>
          </cell>
          <cell r="C758">
            <v>30</v>
          </cell>
          <cell r="D758">
            <v>480</v>
          </cell>
          <cell r="E758">
            <v>14400</v>
          </cell>
          <cell r="F758" t="str">
            <v>A1-S02</v>
          </cell>
          <cell r="G758" t="str">
            <v>MDF - MDF</v>
          </cell>
          <cell r="H758" t="str">
            <v>MDF - 18 x 1830 x 2440mm [CARB P2 Compliant]</v>
          </cell>
          <cell r="I758">
            <v>60</v>
          </cell>
        </row>
        <row r="759">
          <cell r="A759" t="str">
            <v>B558400/A</v>
          </cell>
          <cell r="B759" t="str">
            <v>SH346NM506</v>
          </cell>
          <cell r="C759">
            <v>30</v>
          </cell>
          <cell r="D759">
            <v>480</v>
          </cell>
          <cell r="E759">
            <v>14400</v>
          </cell>
          <cell r="F759" t="str">
            <v>A1-S03</v>
          </cell>
          <cell r="G759" t="str">
            <v>MDF - MDF</v>
          </cell>
          <cell r="H759" t="str">
            <v>MDF - 18 x 1830 x 2440mm [CARB P2 Compliant]</v>
          </cell>
          <cell r="I759">
            <v>60</v>
          </cell>
        </row>
        <row r="760">
          <cell r="A760" t="str">
            <v>B558400/A</v>
          </cell>
          <cell r="B760" t="str">
            <v>SH346NM506</v>
          </cell>
          <cell r="C760">
            <v>30</v>
          </cell>
          <cell r="D760">
            <v>480</v>
          </cell>
          <cell r="E760">
            <v>14400</v>
          </cell>
          <cell r="F760" t="str">
            <v>A2</v>
          </cell>
          <cell r="G760" t="str">
            <v>Side Frame - Khung hông</v>
          </cell>
          <cell r="H760" t="str">
            <v>Pre-Assembly</v>
          </cell>
          <cell r="I760">
            <v>60</v>
          </cell>
        </row>
        <row r="761">
          <cell r="A761" t="str">
            <v>B558400/A</v>
          </cell>
          <cell r="B761" t="str">
            <v>SH346NM506</v>
          </cell>
          <cell r="C761">
            <v>30</v>
          </cell>
          <cell r="D761">
            <v>480</v>
          </cell>
          <cell r="E761">
            <v>14400</v>
          </cell>
          <cell r="F761" t="str">
            <v>A2-S01</v>
          </cell>
          <cell r="G761" t="str">
            <v>Front rail  - Đố tiền</v>
          </cell>
          <cell r="H761" t="str">
            <v>Poplar 2 COM</v>
          </cell>
          <cell r="I761">
            <v>60</v>
          </cell>
        </row>
        <row r="762">
          <cell r="A762" t="str">
            <v>B558400/A</v>
          </cell>
          <cell r="B762" t="str">
            <v>SH346NM506</v>
          </cell>
          <cell r="C762">
            <v>30</v>
          </cell>
          <cell r="D762">
            <v>480</v>
          </cell>
          <cell r="E762">
            <v>14400</v>
          </cell>
          <cell r="F762" t="str">
            <v>A2-S02</v>
          </cell>
          <cell r="G762" t="str">
            <v>Front rail  - Đố tiền</v>
          </cell>
          <cell r="H762" t="str">
            <v>Poplar 2 COM</v>
          </cell>
          <cell r="I762">
            <v>60</v>
          </cell>
        </row>
        <row r="763">
          <cell r="A763" t="str">
            <v>B558400/A</v>
          </cell>
          <cell r="B763" t="str">
            <v>SH346NM506</v>
          </cell>
          <cell r="C763">
            <v>30</v>
          </cell>
          <cell r="D763">
            <v>480</v>
          </cell>
          <cell r="E763">
            <v>14400</v>
          </cell>
          <cell r="F763" t="str">
            <v>A2-S03</v>
          </cell>
          <cell r="G763" t="str">
            <v xml:space="preserve">Side panel  - Ván hông </v>
          </cell>
          <cell r="H763" t="str">
            <v>MDF Veneer</v>
          </cell>
          <cell r="I763">
            <v>60</v>
          </cell>
        </row>
        <row r="764">
          <cell r="A764" t="str">
            <v>B558400/A</v>
          </cell>
          <cell r="B764" t="str">
            <v>SH346NM506</v>
          </cell>
          <cell r="C764">
            <v>30</v>
          </cell>
          <cell r="D764">
            <v>480</v>
          </cell>
          <cell r="E764">
            <v>14400</v>
          </cell>
          <cell r="F764" t="str">
            <v>A2-S04</v>
          </cell>
          <cell r="G764" t="str">
            <v>Bottom rail inside - Đố tiền đáy</v>
          </cell>
          <cell r="H764" t="str">
            <v>Poplar 2 COM</v>
          </cell>
          <cell r="I764">
            <v>60</v>
          </cell>
        </row>
        <row r="765">
          <cell r="A765" t="str">
            <v>B558400/A</v>
          </cell>
          <cell r="B765" t="str">
            <v>SH346NM506</v>
          </cell>
          <cell r="C765">
            <v>30</v>
          </cell>
          <cell r="D765">
            <v>480</v>
          </cell>
          <cell r="E765">
            <v>14400</v>
          </cell>
          <cell r="F765" t="str">
            <v>A3-S01</v>
          </cell>
          <cell r="G765" t="str">
            <v xml:space="preserve">Drawer front - Mặt hộc kéo </v>
          </cell>
          <cell r="H765" t="str">
            <v>MDF Veneer</v>
          </cell>
          <cell r="I765">
            <v>30</v>
          </cell>
        </row>
        <row r="766">
          <cell r="A766" t="str">
            <v>B558400/A</v>
          </cell>
          <cell r="B766" t="str">
            <v>SH346NM506</v>
          </cell>
          <cell r="C766">
            <v>30</v>
          </cell>
          <cell r="D766">
            <v>480</v>
          </cell>
          <cell r="E766">
            <v>14400</v>
          </cell>
          <cell r="F766" t="str">
            <v>A3-S02</v>
          </cell>
          <cell r="G766" t="str">
            <v>Drawer side - Hông hộc kéo</v>
          </cell>
          <cell r="H766" t="str">
            <v>Wd+VN</v>
          </cell>
          <cell r="I766">
            <v>60</v>
          </cell>
        </row>
        <row r="767">
          <cell r="A767" t="str">
            <v>B558400/A</v>
          </cell>
          <cell r="B767" t="str">
            <v>SH346NM506</v>
          </cell>
          <cell r="C767">
            <v>30</v>
          </cell>
          <cell r="D767">
            <v>480</v>
          </cell>
          <cell r="E767">
            <v>14400</v>
          </cell>
          <cell r="F767" t="str">
            <v>A3-S03</v>
          </cell>
          <cell r="G767" t="str">
            <v>Drawer back - Hậu hộc kéo</v>
          </cell>
          <cell r="H767" t="str">
            <v>Wd+VN</v>
          </cell>
          <cell r="I767">
            <v>30</v>
          </cell>
        </row>
        <row r="768">
          <cell r="A768" t="str">
            <v>B558400/A</v>
          </cell>
          <cell r="B768" t="str">
            <v>SH346NM506</v>
          </cell>
          <cell r="C768">
            <v>30</v>
          </cell>
          <cell r="D768">
            <v>480</v>
          </cell>
          <cell r="E768">
            <v>14400</v>
          </cell>
          <cell r="F768" t="str">
            <v>A3-S03-1</v>
          </cell>
          <cell r="G768" t="str">
            <v xml:space="preserve">Drawer front 1 - Mặt hộc kéo </v>
          </cell>
          <cell r="H768" t="str">
            <v>Wd+VN</v>
          </cell>
          <cell r="I768">
            <v>30</v>
          </cell>
        </row>
        <row r="769">
          <cell r="A769" t="str">
            <v>B558400/A</v>
          </cell>
          <cell r="B769" t="str">
            <v>SH346NM506</v>
          </cell>
          <cell r="C769">
            <v>30</v>
          </cell>
          <cell r="D769">
            <v>480</v>
          </cell>
          <cell r="E769">
            <v>14400</v>
          </cell>
          <cell r="F769" t="str">
            <v>A3-S04</v>
          </cell>
          <cell r="G769" t="str">
            <v>Drawer bottom  - Đáy hộc kéo</v>
          </cell>
          <cell r="H769" t="str">
            <v>MDF Veneer</v>
          </cell>
          <cell r="I769">
            <v>90</v>
          </cell>
        </row>
        <row r="770">
          <cell r="A770" t="str">
            <v>B558400/A</v>
          </cell>
          <cell r="B770" t="str">
            <v>SH346NM506</v>
          </cell>
          <cell r="C770">
            <v>30</v>
          </cell>
          <cell r="D770">
            <v>480</v>
          </cell>
          <cell r="E770">
            <v>14400</v>
          </cell>
          <cell r="F770" t="str">
            <v>A3-S05</v>
          </cell>
          <cell r="G770" t="str">
            <v>Bottom rail inside - Đố tiền đáy</v>
          </cell>
          <cell r="H770" t="str">
            <v>Wood US Poplar - Straight Edged, 2 COM - T38mm x W100mm Up x L1.8m Up</v>
          </cell>
          <cell r="I770">
            <v>90</v>
          </cell>
        </row>
        <row r="771">
          <cell r="A771" t="str">
            <v>B558400/A</v>
          </cell>
          <cell r="B771" t="str">
            <v>SH346NM506</v>
          </cell>
          <cell r="C771">
            <v>30</v>
          </cell>
          <cell r="D771">
            <v>480</v>
          </cell>
          <cell r="E771">
            <v>14400</v>
          </cell>
          <cell r="F771" t="str">
            <v>A3-S06</v>
          </cell>
          <cell r="G771" t="str">
            <v>Patching wood - Gỗ đắp</v>
          </cell>
          <cell r="H771" t="str">
            <v>Poplar off cut</v>
          </cell>
          <cell r="I771">
            <v>180</v>
          </cell>
        </row>
        <row r="772">
          <cell r="A772" t="str">
            <v>B558400/A</v>
          </cell>
          <cell r="B772" t="str">
            <v>SH346NM506</v>
          </cell>
          <cell r="C772">
            <v>30</v>
          </cell>
          <cell r="D772">
            <v>480</v>
          </cell>
          <cell r="E772">
            <v>14400</v>
          </cell>
          <cell r="F772" t="str">
            <v>A4-S01</v>
          </cell>
          <cell r="G772" t="str">
            <v xml:space="preserve">Drawer front - Mặt hộc kéo </v>
          </cell>
          <cell r="H772" t="str">
            <v>MDF Veneer</v>
          </cell>
          <cell r="I772">
            <v>60</v>
          </cell>
        </row>
        <row r="773">
          <cell r="A773" t="str">
            <v>B558400/A</v>
          </cell>
          <cell r="B773" t="str">
            <v>SH346NM506</v>
          </cell>
          <cell r="C773">
            <v>30</v>
          </cell>
          <cell r="D773">
            <v>480</v>
          </cell>
          <cell r="E773">
            <v>14400</v>
          </cell>
          <cell r="F773" t="str">
            <v>A4-S02</v>
          </cell>
          <cell r="G773" t="str">
            <v>Drawer side - Hông hộc kéo</v>
          </cell>
          <cell r="H773" t="str">
            <v>Wd+VN</v>
          </cell>
          <cell r="I773">
            <v>120</v>
          </cell>
        </row>
        <row r="774">
          <cell r="A774" t="str">
            <v>B558400/A</v>
          </cell>
          <cell r="B774" t="str">
            <v>SH346NM506</v>
          </cell>
          <cell r="C774">
            <v>30</v>
          </cell>
          <cell r="D774">
            <v>480</v>
          </cell>
          <cell r="E774">
            <v>14400</v>
          </cell>
          <cell r="F774" t="str">
            <v>A4-S03</v>
          </cell>
          <cell r="G774" t="str">
            <v>Drawer back - Hậu hộc kéo</v>
          </cell>
          <cell r="H774" t="str">
            <v>Wd+VN</v>
          </cell>
          <cell r="I774">
            <v>60</v>
          </cell>
        </row>
        <row r="775">
          <cell r="A775" t="str">
            <v>B558400/A</v>
          </cell>
          <cell r="B775" t="str">
            <v>SH346NM506</v>
          </cell>
          <cell r="C775">
            <v>30</v>
          </cell>
          <cell r="D775">
            <v>480</v>
          </cell>
          <cell r="E775">
            <v>14400</v>
          </cell>
          <cell r="F775" t="str">
            <v>A4-S03-1</v>
          </cell>
          <cell r="G775" t="str">
            <v xml:space="preserve">Drawer front 1 - Mặt hộc kéo </v>
          </cell>
          <cell r="H775" t="str">
            <v>Wd+VN</v>
          </cell>
          <cell r="I775">
            <v>60</v>
          </cell>
        </row>
        <row r="776">
          <cell r="A776" t="str">
            <v>B558400/A</v>
          </cell>
          <cell r="B776" t="str">
            <v>SH346NM506</v>
          </cell>
          <cell r="C776">
            <v>30</v>
          </cell>
          <cell r="D776">
            <v>480</v>
          </cell>
          <cell r="E776">
            <v>14400</v>
          </cell>
          <cell r="F776" t="str">
            <v>P01</v>
          </cell>
          <cell r="G776" t="str">
            <v>Front rail  - Đố tiền</v>
          </cell>
          <cell r="H776" t="str">
            <v>Wood US Poplar - Straight Edged, 2 COM - T25mm x W100mm Up x L1.8m Up</v>
          </cell>
          <cell r="I776">
            <v>30</v>
          </cell>
        </row>
        <row r="777">
          <cell r="A777" t="str">
            <v>B558400/A</v>
          </cell>
          <cell r="B777" t="str">
            <v>SH346NM506</v>
          </cell>
          <cell r="C777">
            <v>30</v>
          </cell>
          <cell r="D777">
            <v>480</v>
          </cell>
          <cell r="E777">
            <v>14400</v>
          </cell>
          <cell r="F777" t="str">
            <v>P01-1</v>
          </cell>
          <cell r="G777" t="str">
            <v>Front rail  - Đố tiền</v>
          </cell>
          <cell r="H777" t="str">
            <v>Wood US Poplar - Straight Edged, 2 COM - T25mm x W100mm Up x L1.8m Up</v>
          </cell>
          <cell r="I777">
            <v>30</v>
          </cell>
        </row>
        <row r="778">
          <cell r="A778" t="str">
            <v>B558400/A</v>
          </cell>
          <cell r="B778" t="str">
            <v>SH346NM506</v>
          </cell>
          <cell r="C778">
            <v>30</v>
          </cell>
          <cell r="D778">
            <v>480</v>
          </cell>
          <cell r="E778">
            <v>14400</v>
          </cell>
          <cell r="F778" t="str">
            <v>P03</v>
          </cell>
          <cell r="G778" t="str">
            <v>Front rail  - Đố tiền</v>
          </cell>
          <cell r="H778" t="str">
            <v>Wood US Poplar - Straight Edged, 2 COM - T25mm x W100mm Up x L1.8m Up</v>
          </cell>
          <cell r="I778">
            <v>60</v>
          </cell>
        </row>
        <row r="779">
          <cell r="A779" t="str">
            <v>B558400/A</v>
          </cell>
          <cell r="B779" t="str">
            <v>SH346NM506</v>
          </cell>
          <cell r="C779">
            <v>30</v>
          </cell>
          <cell r="D779">
            <v>480</v>
          </cell>
          <cell r="E779">
            <v>14400</v>
          </cell>
          <cell r="F779" t="str">
            <v>P04</v>
          </cell>
          <cell r="G779" t="str">
            <v>back rail - Đố hậu</v>
          </cell>
          <cell r="H779" t="str">
            <v>Wood US Poplar - Straight Edged, 2 COM - T20mm x W100mm Up x L1.8m Up</v>
          </cell>
          <cell r="I779">
            <v>60</v>
          </cell>
        </row>
        <row r="780">
          <cell r="A780" t="str">
            <v>B558400/A</v>
          </cell>
          <cell r="B780" t="str">
            <v>SH346NM506</v>
          </cell>
          <cell r="C780">
            <v>30</v>
          </cell>
          <cell r="D780">
            <v>480</v>
          </cell>
          <cell r="E780">
            <v>14400</v>
          </cell>
          <cell r="F780" t="str">
            <v>P05</v>
          </cell>
          <cell r="G780" t="str">
            <v>Back panel - Ván hậu</v>
          </cell>
          <cell r="H780" t="str">
            <v>MDF Veneer</v>
          </cell>
          <cell r="I780">
            <v>30</v>
          </cell>
        </row>
        <row r="781">
          <cell r="A781" t="str">
            <v>B558400/A</v>
          </cell>
          <cell r="B781" t="str">
            <v>SH346NM506</v>
          </cell>
          <cell r="C781">
            <v>30</v>
          </cell>
          <cell r="D781">
            <v>480</v>
          </cell>
          <cell r="E781">
            <v>14400</v>
          </cell>
          <cell r="F781" t="str">
            <v>P06</v>
          </cell>
          <cell r="G781" t="str">
            <v>Bottom panel - Ván đáy</v>
          </cell>
          <cell r="H781" t="str">
            <v>MDF Veneer</v>
          </cell>
          <cell r="I781">
            <v>30</v>
          </cell>
        </row>
        <row r="782">
          <cell r="A782" t="str">
            <v>B558400/A</v>
          </cell>
          <cell r="B782" t="str">
            <v>SH346NM506</v>
          </cell>
          <cell r="C782">
            <v>30</v>
          </cell>
          <cell r="D782">
            <v>480</v>
          </cell>
          <cell r="E782">
            <v>14400</v>
          </cell>
          <cell r="F782" t="str">
            <v>P07</v>
          </cell>
          <cell r="G782" t="str">
            <v>Patching wood - Gỗ đắp</v>
          </cell>
          <cell r="H782" t="str">
            <v>Wood US Poplar - Straight Edged, 2 COM - T38mm x W100mm Up x L1.8m Up</v>
          </cell>
          <cell r="I782">
            <v>180</v>
          </cell>
        </row>
        <row r="783">
          <cell r="A783" t="str">
            <v>B558400/A</v>
          </cell>
          <cell r="B783" t="str">
            <v>SH346NM506</v>
          </cell>
          <cell r="C783">
            <v>30</v>
          </cell>
          <cell r="D783">
            <v>480</v>
          </cell>
          <cell r="E783">
            <v>14400</v>
          </cell>
          <cell r="F783" t="str">
            <v>P08-1</v>
          </cell>
          <cell r="G783" t="str">
            <v>Corner block - ke góc</v>
          </cell>
          <cell r="H783" t="str">
            <v>Poplar off cut</v>
          </cell>
          <cell r="I783">
            <v>120</v>
          </cell>
        </row>
        <row r="784">
          <cell r="A784" t="str">
            <v>B558400/A</v>
          </cell>
          <cell r="B784" t="str">
            <v>SH346NM506</v>
          </cell>
          <cell r="C784">
            <v>30</v>
          </cell>
          <cell r="D784">
            <v>480</v>
          </cell>
          <cell r="E784">
            <v>14400</v>
          </cell>
          <cell r="F784" t="str">
            <v>P09</v>
          </cell>
          <cell r="G784" t="str">
            <v>Back panel - Ván hậu</v>
          </cell>
          <cell r="H784" t="str">
            <v>Cement Board - 18 x 1220 x 2440mm, Dark Grey</v>
          </cell>
          <cell r="I784">
            <v>30</v>
          </cell>
        </row>
        <row r="785">
          <cell r="A785" t="str">
            <v>B558400/A</v>
          </cell>
          <cell r="B785" t="str">
            <v>SH346NM506</v>
          </cell>
          <cell r="C785">
            <v>30</v>
          </cell>
          <cell r="D785">
            <v>480</v>
          </cell>
          <cell r="E785">
            <v>14400</v>
          </cell>
          <cell r="F785" t="str">
            <v>P10</v>
          </cell>
          <cell r="G785" t="str">
            <v>Drawer stop - Dừng hộc</v>
          </cell>
          <cell r="H785" t="str">
            <v>Poplar off cut</v>
          </cell>
          <cell r="I785">
            <v>180</v>
          </cell>
        </row>
        <row r="786">
          <cell r="A786" t="str">
            <v>B558403/A</v>
          </cell>
          <cell r="B786" t="str">
            <v>SH379M506</v>
          </cell>
          <cell r="C786">
            <v>70</v>
          </cell>
          <cell r="D786">
            <v>240.65</v>
          </cell>
          <cell r="E786">
            <v>16845.5</v>
          </cell>
          <cell r="F786" t="str">
            <v>A1</v>
          </cell>
          <cell r="G786" t="str">
            <v>Top Frame - Khung nóc</v>
          </cell>
          <cell r="H786" t="str">
            <v>Pre-Assembly</v>
          </cell>
          <cell r="I786">
            <v>70</v>
          </cell>
        </row>
        <row r="787">
          <cell r="A787" t="str">
            <v>B558403/A</v>
          </cell>
          <cell r="B787" t="str">
            <v>SH379M506</v>
          </cell>
          <cell r="C787">
            <v>70</v>
          </cell>
          <cell r="D787">
            <v>240.65</v>
          </cell>
          <cell r="E787">
            <v>16845.5</v>
          </cell>
          <cell r="F787" t="str">
            <v>A2</v>
          </cell>
          <cell r="G787" t="str">
            <v>Side Frame - Khung hông</v>
          </cell>
          <cell r="H787" t="str">
            <v>Pre-Assembly</v>
          </cell>
          <cell r="I787">
            <v>140</v>
          </cell>
        </row>
        <row r="788">
          <cell r="A788" t="str">
            <v>B558403/A</v>
          </cell>
          <cell r="B788" t="str">
            <v>SH379M506</v>
          </cell>
          <cell r="C788">
            <v>70</v>
          </cell>
          <cell r="D788">
            <v>240.65</v>
          </cell>
          <cell r="E788">
            <v>16845.5</v>
          </cell>
          <cell r="F788" t="str">
            <v>A2-S01</v>
          </cell>
          <cell r="G788" t="str">
            <v>Front rail  - Đố tiền</v>
          </cell>
          <cell r="H788" t="str">
            <v>Poplar 2 COM</v>
          </cell>
          <cell r="I788">
            <v>140</v>
          </cell>
        </row>
        <row r="789">
          <cell r="A789" t="str">
            <v>B558403/A</v>
          </cell>
          <cell r="B789" t="str">
            <v>SH379M506</v>
          </cell>
          <cell r="C789">
            <v>70</v>
          </cell>
          <cell r="D789">
            <v>240.65</v>
          </cell>
          <cell r="E789">
            <v>16845.5</v>
          </cell>
          <cell r="F789" t="str">
            <v>A2-S02</v>
          </cell>
          <cell r="G789" t="str">
            <v>Front rail  - Đố tiền</v>
          </cell>
          <cell r="H789" t="str">
            <v>Poplar 2 COM</v>
          </cell>
          <cell r="I789">
            <v>140</v>
          </cell>
        </row>
        <row r="790">
          <cell r="A790" t="str">
            <v>B558403/A</v>
          </cell>
          <cell r="B790" t="str">
            <v>SH379M506</v>
          </cell>
          <cell r="C790">
            <v>70</v>
          </cell>
          <cell r="D790">
            <v>240.65</v>
          </cell>
          <cell r="E790">
            <v>16845.5</v>
          </cell>
          <cell r="F790" t="str">
            <v>A2-S03</v>
          </cell>
          <cell r="G790" t="str">
            <v xml:space="preserve">Side panel  - Ván hông </v>
          </cell>
          <cell r="H790" t="str">
            <v>MDF Veneer</v>
          </cell>
          <cell r="I790">
            <v>140</v>
          </cell>
        </row>
        <row r="791">
          <cell r="A791" t="str">
            <v>B558403/A</v>
          </cell>
          <cell r="B791" t="str">
            <v>SH379M506</v>
          </cell>
          <cell r="C791">
            <v>70</v>
          </cell>
          <cell r="D791">
            <v>240.65</v>
          </cell>
          <cell r="E791">
            <v>16845.5</v>
          </cell>
          <cell r="F791" t="str">
            <v>A2-S04</v>
          </cell>
          <cell r="G791" t="str">
            <v>Bottom rail inside - Đố tiền đáy</v>
          </cell>
          <cell r="H791" t="str">
            <v>Poplar 2 COM</v>
          </cell>
          <cell r="I791">
            <v>140</v>
          </cell>
        </row>
        <row r="792">
          <cell r="A792" t="str">
            <v>B558403/A</v>
          </cell>
          <cell r="B792" t="str">
            <v>SH379M506</v>
          </cell>
          <cell r="C792">
            <v>70</v>
          </cell>
          <cell r="D792">
            <v>240.65</v>
          </cell>
          <cell r="E792">
            <v>16845.5</v>
          </cell>
          <cell r="F792" t="str">
            <v>A3-S01</v>
          </cell>
          <cell r="G792" t="str">
            <v xml:space="preserve">Drawer front - Mặt hộc kéo </v>
          </cell>
          <cell r="H792" t="str">
            <v>MDF Veneer</v>
          </cell>
          <cell r="I792">
            <v>140</v>
          </cell>
        </row>
        <row r="793">
          <cell r="A793" t="str">
            <v>B558403/A</v>
          </cell>
          <cell r="B793" t="str">
            <v>SH379M506</v>
          </cell>
          <cell r="C793">
            <v>70</v>
          </cell>
          <cell r="D793">
            <v>240.65</v>
          </cell>
          <cell r="E793">
            <v>16845.5</v>
          </cell>
          <cell r="F793" t="str">
            <v>A3-S02</v>
          </cell>
          <cell r="G793" t="str">
            <v>Drawer side - Hông hộc kéo</v>
          </cell>
          <cell r="H793" t="str">
            <v>Wd+VN</v>
          </cell>
          <cell r="I793">
            <v>280</v>
          </cell>
        </row>
        <row r="794">
          <cell r="A794" t="str">
            <v>B558403/A</v>
          </cell>
          <cell r="B794" t="str">
            <v>SH379M506</v>
          </cell>
          <cell r="C794">
            <v>70</v>
          </cell>
          <cell r="D794">
            <v>240.65</v>
          </cell>
          <cell r="E794">
            <v>16845.5</v>
          </cell>
          <cell r="F794" t="str">
            <v>A3-S03</v>
          </cell>
          <cell r="G794" t="str">
            <v>Drawer back - Hậu hộc kéo</v>
          </cell>
          <cell r="H794" t="str">
            <v>Wd+VN</v>
          </cell>
          <cell r="I794">
            <v>140</v>
          </cell>
        </row>
        <row r="795">
          <cell r="A795" t="str">
            <v>B558403/A</v>
          </cell>
          <cell r="B795" t="str">
            <v>SH379M506</v>
          </cell>
          <cell r="C795">
            <v>70</v>
          </cell>
          <cell r="D795">
            <v>240.65</v>
          </cell>
          <cell r="E795">
            <v>16845.5</v>
          </cell>
          <cell r="F795" t="str">
            <v>A3-S03-1</v>
          </cell>
          <cell r="G795" t="str">
            <v xml:space="preserve">Drawer front 1 - Mặt hộc kéo </v>
          </cell>
          <cell r="H795" t="str">
            <v>Wd+VN</v>
          </cell>
          <cell r="I795">
            <v>140</v>
          </cell>
        </row>
        <row r="796">
          <cell r="A796" t="str">
            <v>B558403/A</v>
          </cell>
          <cell r="B796" t="str">
            <v>SH379M506</v>
          </cell>
          <cell r="C796">
            <v>70</v>
          </cell>
          <cell r="D796">
            <v>240.65</v>
          </cell>
          <cell r="E796">
            <v>16845.5</v>
          </cell>
          <cell r="F796" t="str">
            <v>A3-S04</v>
          </cell>
          <cell r="G796" t="str">
            <v>Drawer bottom  - Đáy hộc kéo</v>
          </cell>
          <cell r="H796" t="str">
            <v>MDF Veneer</v>
          </cell>
          <cell r="I796">
            <v>140</v>
          </cell>
        </row>
        <row r="797">
          <cell r="A797" t="str">
            <v>B558403/A</v>
          </cell>
          <cell r="B797" t="str">
            <v>SH379M506</v>
          </cell>
          <cell r="C797">
            <v>70</v>
          </cell>
          <cell r="D797">
            <v>240.65</v>
          </cell>
          <cell r="E797">
            <v>16845.5</v>
          </cell>
          <cell r="F797" t="str">
            <v>P01</v>
          </cell>
          <cell r="G797" t="str">
            <v>Front rail  - Đố tiền</v>
          </cell>
          <cell r="H797" t="str">
            <v>Wood US Poplar - Straight Edged, 2 COM - T25mm x W100mm Up x L1.8m Up</v>
          </cell>
          <cell r="I797">
            <v>70</v>
          </cell>
        </row>
        <row r="798">
          <cell r="A798" t="str">
            <v>B558403/A</v>
          </cell>
          <cell r="B798" t="str">
            <v>SH379M506</v>
          </cell>
          <cell r="C798">
            <v>70</v>
          </cell>
          <cell r="D798">
            <v>240.65</v>
          </cell>
          <cell r="E798">
            <v>16845.5</v>
          </cell>
          <cell r="F798" t="str">
            <v>P01-1</v>
          </cell>
          <cell r="G798" t="str">
            <v>Front rail  - Đố tiền</v>
          </cell>
          <cell r="H798" t="str">
            <v>Wood US Poplar - Straight Edged, 2 COM - T25mm x W100mm Up x L1.8m Up</v>
          </cell>
          <cell r="I798">
            <v>70</v>
          </cell>
        </row>
        <row r="799">
          <cell r="A799" t="str">
            <v>B558403/A</v>
          </cell>
          <cell r="B799" t="str">
            <v>SH379M506</v>
          </cell>
          <cell r="C799">
            <v>70</v>
          </cell>
          <cell r="D799">
            <v>240.65</v>
          </cell>
          <cell r="E799">
            <v>16845.5</v>
          </cell>
          <cell r="F799" t="str">
            <v>P02</v>
          </cell>
          <cell r="G799" t="str">
            <v>Drawer stop - Dừng hộc</v>
          </cell>
          <cell r="H799" t="str">
            <v>Plywood off cut</v>
          </cell>
          <cell r="I799">
            <v>280</v>
          </cell>
        </row>
        <row r="800">
          <cell r="A800" t="str">
            <v>B558403/A</v>
          </cell>
          <cell r="B800" t="str">
            <v>SH379M506</v>
          </cell>
          <cell r="C800">
            <v>70</v>
          </cell>
          <cell r="D800">
            <v>240.65</v>
          </cell>
          <cell r="E800">
            <v>16845.5</v>
          </cell>
          <cell r="F800" t="str">
            <v>P03</v>
          </cell>
          <cell r="G800" t="str">
            <v>Front rail  - Đố tiền</v>
          </cell>
          <cell r="H800" t="str">
            <v>Wood US Poplar - Straight Edged, 2 COM - T25mm x W100mm Up x L1.8m Up</v>
          </cell>
          <cell r="I800">
            <v>70</v>
          </cell>
        </row>
        <row r="801">
          <cell r="A801" t="str">
            <v>B558403/A</v>
          </cell>
          <cell r="B801" t="str">
            <v>SH379M506</v>
          </cell>
          <cell r="C801">
            <v>70</v>
          </cell>
          <cell r="D801">
            <v>240.65</v>
          </cell>
          <cell r="E801">
            <v>16845.5</v>
          </cell>
          <cell r="F801" t="str">
            <v>P04</v>
          </cell>
          <cell r="G801" t="str">
            <v>back rail - Đố hậu</v>
          </cell>
          <cell r="H801" t="str">
            <v>Wood US Poplar - Straight Edged, 2 COM - T25mm x W100mm Up x L1.8m Up</v>
          </cell>
          <cell r="I801">
            <v>140</v>
          </cell>
        </row>
        <row r="802">
          <cell r="A802" t="str">
            <v>B558403/A</v>
          </cell>
          <cell r="B802" t="str">
            <v>SH379M506</v>
          </cell>
          <cell r="C802">
            <v>70</v>
          </cell>
          <cell r="D802">
            <v>240.65</v>
          </cell>
          <cell r="E802">
            <v>16845.5</v>
          </cell>
          <cell r="F802" t="str">
            <v>P05</v>
          </cell>
          <cell r="G802" t="str">
            <v>Back panel - Ván hậu</v>
          </cell>
          <cell r="H802" t="str">
            <v>MDF Veneer</v>
          </cell>
          <cell r="I802">
            <v>70</v>
          </cell>
        </row>
        <row r="803">
          <cell r="A803" t="str">
            <v>B558403/A</v>
          </cell>
          <cell r="B803" t="str">
            <v>SH379M506</v>
          </cell>
          <cell r="C803">
            <v>70</v>
          </cell>
          <cell r="D803">
            <v>240.65</v>
          </cell>
          <cell r="E803">
            <v>16845.5</v>
          </cell>
          <cell r="F803" t="str">
            <v>P06</v>
          </cell>
          <cell r="G803" t="str">
            <v>Bottom panel - Ván đáy</v>
          </cell>
          <cell r="H803" t="str">
            <v>MDF Veneer</v>
          </cell>
          <cell r="I803">
            <v>70</v>
          </cell>
        </row>
        <row r="804">
          <cell r="A804" t="str">
            <v>B558403/A</v>
          </cell>
          <cell r="B804" t="str">
            <v>SH379M506</v>
          </cell>
          <cell r="C804">
            <v>70</v>
          </cell>
          <cell r="D804">
            <v>240.65</v>
          </cell>
          <cell r="E804">
            <v>16845.5</v>
          </cell>
          <cell r="F804" t="str">
            <v>P07</v>
          </cell>
          <cell r="G804" t="str">
            <v>Patching wood - Gỗ đắp</v>
          </cell>
          <cell r="H804" t="str">
            <v>Plywood lamilated</v>
          </cell>
          <cell r="I804">
            <v>280</v>
          </cell>
        </row>
        <row r="805">
          <cell r="A805" t="str">
            <v>B558403/A</v>
          </cell>
          <cell r="B805" t="str">
            <v>SH379M506</v>
          </cell>
          <cell r="C805">
            <v>70</v>
          </cell>
          <cell r="D805">
            <v>240.65</v>
          </cell>
          <cell r="E805">
            <v>16845.5</v>
          </cell>
          <cell r="F805" t="str">
            <v>P08-1</v>
          </cell>
          <cell r="G805" t="str">
            <v>Corner block - ke góc</v>
          </cell>
          <cell r="H805" t="str">
            <v>Poplar off cut</v>
          </cell>
          <cell r="I805">
            <v>140</v>
          </cell>
        </row>
        <row r="806">
          <cell r="A806" t="str">
            <v>B557209/A</v>
          </cell>
          <cell r="B806" t="str">
            <v>SH402M521</v>
          </cell>
          <cell r="C806">
            <v>90</v>
          </cell>
          <cell r="D806">
            <v>266</v>
          </cell>
          <cell r="E806">
            <v>23940</v>
          </cell>
          <cell r="F806" t="str">
            <v>A1-A</v>
          </cell>
          <cell r="G806" t="str">
            <v xml:space="preserve">Drawer front - Mặt hộc kéo </v>
          </cell>
          <cell r="H806" t="str">
            <v>Pre-Assembly</v>
          </cell>
          <cell r="I806">
            <v>90</v>
          </cell>
        </row>
        <row r="807">
          <cell r="A807" t="str">
            <v>B557209/A</v>
          </cell>
          <cell r="B807" t="str">
            <v>SH402M521</v>
          </cell>
          <cell r="C807">
            <v>90</v>
          </cell>
          <cell r="D807">
            <v>266</v>
          </cell>
          <cell r="E807">
            <v>23940</v>
          </cell>
          <cell r="F807" t="str">
            <v>A1-A-3</v>
          </cell>
          <cell r="G807" t="str">
            <v xml:space="preserve">Panel - Ván </v>
          </cell>
          <cell r="H807" t="str">
            <v>Pre-Assembly</v>
          </cell>
          <cell r="I807">
            <v>90</v>
          </cell>
        </row>
        <row r="808">
          <cell r="A808" t="str">
            <v>B557209/A</v>
          </cell>
          <cell r="B808" t="str">
            <v>SH402M521</v>
          </cell>
          <cell r="C808">
            <v>90</v>
          </cell>
          <cell r="D808">
            <v>266</v>
          </cell>
          <cell r="E808">
            <v>23940</v>
          </cell>
          <cell r="F808" t="str">
            <v>A1-S01</v>
          </cell>
          <cell r="G808" t="str">
            <v xml:space="preserve">Drawer front - Mặt hộc kéo </v>
          </cell>
          <cell r="H808" t="str">
            <v>Pre-Assembly</v>
          </cell>
          <cell r="I808">
            <v>90</v>
          </cell>
        </row>
        <row r="809">
          <cell r="A809" t="str">
            <v>B557209/A</v>
          </cell>
          <cell r="B809" t="str">
            <v>SH402M521</v>
          </cell>
          <cell r="C809">
            <v>90</v>
          </cell>
          <cell r="D809">
            <v>266</v>
          </cell>
          <cell r="E809">
            <v>23940</v>
          </cell>
          <cell r="F809" t="str">
            <v>A1-S02</v>
          </cell>
          <cell r="G809" t="str">
            <v>Drawer side - Hông hộc kéo</v>
          </cell>
          <cell r="H809" t="str">
            <v>Wd+VN</v>
          </cell>
          <cell r="I809">
            <v>180</v>
          </cell>
        </row>
        <row r="810">
          <cell r="A810" t="str">
            <v>B557209/A</v>
          </cell>
          <cell r="B810" t="str">
            <v>SH402M521</v>
          </cell>
          <cell r="C810">
            <v>90</v>
          </cell>
          <cell r="D810">
            <v>266</v>
          </cell>
          <cell r="E810">
            <v>23940</v>
          </cell>
          <cell r="F810" t="str">
            <v>A1-S03</v>
          </cell>
          <cell r="G810" t="str">
            <v>Drawer back - Hậu hộc kéo</v>
          </cell>
          <cell r="H810" t="str">
            <v>Wd+VN</v>
          </cell>
          <cell r="I810">
            <v>90</v>
          </cell>
        </row>
        <row r="811">
          <cell r="A811" t="str">
            <v>B557209/A</v>
          </cell>
          <cell r="B811" t="str">
            <v>SH402M521</v>
          </cell>
          <cell r="C811">
            <v>90</v>
          </cell>
          <cell r="D811">
            <v>266</v>
          </cell>
          <cell r="E811">
            <v>23940</v>
          </cell>
          <cell r="F811" t="str">
            <v>A1-S04</v>
          </cell>
          <cell r="G811" t="str">
            <v>Drawer bottom  - Đáy hộc kéo</v>
          </cell>
          <cell r="H811" t="str">
            <v>Pre-Assembly</v>
          </cell>
          <cell r="I811">
            <v>180</v>
          </cell>
        </row>
        <row r="812">
          <cell r="A812" t="str">
            <v>B557209/A</v>
          </cell>
          <cell r="B812" t="str">
            <v>SH402M521</v>
          </cell>
          <cell r="C812">
            <v>90</v>
          </cell>
          <cell r="D812">
            <v>266</v>
          </cell>
          <cell r="E812">
            <v>23940</v>
          </cell>
          <cell r="F812" t="str">
            <v>A1-S05</v>
          </cell>
          <cell r="G812" t="str">
            <v>Patching wood - Gỗ đắp</v>
          </cell>
          <cell r="H812" t="str">
            <v>Poplar off cut</v>
          </cell>
          <cell r="I812">
            <v>360</v>
          </cell>
        </row>
        <row r="813">
          <cell r="A813" t="str">
            <v>B557209/A</v>
          </cell>
          <cell r="B813" t="str">
            <v>SH402M521</v>
          </cell>
          <cell r="C813">
            <v>90</v>
          </cell>
          <cell r="D813">
            <v>266</v>
          </cell>
          <cell r="E813">
            <v>23940</v>
          </cell>
          <cell r="F813" t="str">
            <v>A2-S01</v>
          </cell>
          <cell r="G813" t="str">
            <v xml:space="preserve">Drawer front - Mặt hộc kéo </v>
          </cell>
          <cell r="H813" t="str">
            <v>Pre-Assembly</v>
          </cell>
          <cell r="I813">
            <v>90</v>
          </cell>
        </row>
        <row r="814">
          <cell r="A814" t="str">
            <v>B557209/A</v>
          </cell>
          <cell r="B814" t="str">
            <v>SH402M521</v>
          </cell>
          <cell r="C814">
            <v>90</v>
          </cell>
          <cell r="D814">
            <v>266</v>
          </cell>
          <cell r="E814">
            <v>23940</v>
          </cell>
          <cell r="F814" t="str">
            <v>A2-S02</v>
          </cell>
          <cell r="G814" t="str">
            <v>Drawer side - Hông hộc kéo</v>
          </cell>
          <cell r="H814" t="str">
            <v>Wd+VN</v>
          </cell>
          <cell r="I814">
            <v>180</v>
          </cell>
        </row>
        <row r="815">
          <cell r="A815" t="str">
            <v>B557209/A</v>
          </cell>
          <cell r="B815" t="str">
            <v>SH402M521</v>
          </cell>
          <cell r="C815">
            <v>90</v>
          </cell>
          <cell r="D815">
            <v>266</v>
          </cell>
          <cell r="E815">
            <v>23940</v>
          </cell>
          <cell r="F815" t="str">
            <v>A2-S03</v>
          </cell>
          <cell r="G815" t="str">
            <v>Drawer back - Hậu hộc kéo</v>
          </cell>
          <cell r="H815" t="str">
            <v>Wd+VN</v>
          </cell>
          <cell r="I815">
            <v>90</v>
          </cell>
        </row>
        <row r="816">
          <cell r="A816" t="str">
            <v>B557209/A</v>
          </cell>
          <cell r="B816" t="str">
            <v>SH402M521</v>
          </cell>
          <cell r="C816">
            <v>90</v>
          </cell>
          <cell r="D816">
            <v>266</v>
          </cell>
          <cell r="E816">
            <v>23940</v>
          </cell>
          <cell r="F816" t="str">
            <v>P01</v>
          </cell>
          <cell r="G816" t="str">
            <v>under top plywood send sudcon - ván gửi NCC dán đá</v>
          </cell>
          <cell r="H816" t="str">
            <v>Plywood LVD - 18 x 1220 x 2440mm, Bleached Poplar Veneer Both Sides [CARB P2 Compliant]</v>
          </cell>
          <cell r="I816">
            <v>90</v>
          </cell>
        </row>
        <row r="817">
          <cell r="A817" t="str">
            <v>B557209/A</v>
          </cell>
          <cell r="B817" t="str">
            <v>SH402M521</v>
          </cell>
          <cell r="C817">
            <v>90</v>
          </cell>
          <cell r="D817">
            <v>266</v>
          </cell>
          <cell r="E817">
            <v>23940</v>
          </cell>
          <cell r="F817" t="str">
            <v>P02</v>
          </cell>
          <cell r="G817" t="str">
            <v>Bottom panel - Ván đáy</v>
          </cell>
          <cell r="H817" t="str">
            <v>MDF Veneer</v>
          </cell>
          <cell r="I817">
            <v>90</v>
          </cell>
        </row>
        <row r="818">
          <cell r="A818" t="str">
            <v>B557209/A</v>
          </cell>
          <cell r="B818" t="str">
            <v>SH402M521</v>
          </cell>
          <cell r="C818">
            <v>90</v>
          </cell>
          <cell r="D818">
            <v>266</v>
          </cell>
          <cell r="E818">
            <v>23940</v>
          </cell>
          <cell r="F818" t="str">
            <v>P03</v>
          </cell>
          <cell r="G818" t="str">
            <v xml:space="preserve">Side panel  - Ván hông </v>
          </cell>
          <cell r="H818" t="str">
            <v>Pre-Assembly</v>
          </cell>
          <cell r="I818">
            <v>180</v>
          </cell>
        </row>
        <row r="819">
          <cell r="A819" t="str">
            <v>B557209/A</v>
          </cell>
          <cell r="B819" t="str">
            <v>SH402M521</v>
          </cell>
          <cell r="C819">
            <v>90</v>
          </cell>
          <cell r="D819">
            <v>266</v>
          </cell>
          <cell r="E819">
            <v>23940</v>
          </cell>
          <cell r="F819" t="str">
            <v>P03-1</v>
          </cell>
          <cell r="G819" t="str">
            <v>Patching wood - Gỗ đắp</v>
          </cell>
          <cell r="H819" t="str">
            <v>Wood Red Oak - Straight/Waving Edged, 1 COM - T25mm x W100mm Up x L1.8m Up</v>
          </cell>
          <cell r="I819">
            <v>1260</v>
          </cell>
        </row>
        <row r="820">
          <cell r="A820" t="str">
            <v>B557209/A</v>
          </cell>
          <cell r="B820" t="str">
            <v>SH402M521</v>
          </cell>
          <cell r="C820">
            <v>90</v>
          </cell>
          <cell r="D820">
            <v>266</v>
          </cell>
          <cell r="E820">
            <v>23940</v>
          </cell>
          <cell r="F820" t="str">
            <v>P03-2</v>
          </cell>
          <cell r="G820" t="str">
            <v>Patching wood - Gỗ đắp</v>
          </cell>
          <cell r="H820" t="str">
            <v>Wood Red Oak - Straight/Waving Edged, 1 COM - T25mm x W100mm Up x L1.8m Up</v>
          </cell>
          <cell r="I820">
            <v>270</v>
          </cell>
        </row>
        <row r="821">
          <cell r="A821" t="str">
            <v>B557209/A</v>
          </cell>
          <cell r="B821" t="str">
            <v>SH402M521</v>
          </cell>
          <cell r="C821">
            <v>90</v>
          </cell>
          <cell r="D821">
            <v>266</v>
          </cell>
          <cell r="E821">
            <v>23940</v>
          </cell>
          <cell r="F821" t="str">
            <v>P03-3</v>
          </cell>
          <cell r="G821" t="str">
            <v xml:space="preserve">Panel - Ván </v>
          </cell>
          <cell r="H821" t="str">
            <v>Pre-Assembly</v>
          </cell>
          <cell r="I821">
            <v>180</v>
          </cell>
        </row>
        <row r="822">
          <cell r="A822" t="str">
            <v>B557209/A</v>
          </cell>
          <cell r="B822" t="str">
            <v>SH402M521</v>
          </cell>
          <cell r="C822">
            <v>90</v>
          </cell>
          <cell r="D822">
            <v>266</v>
          </cell>
          <cell r="E822">
            <v>23940</v>
          </cell>
          <cell r="F822" t="str">
            <v>P05</v>
          </cell>
          <cell r="G822" t="str">
            <v>Spline - Lưỡi gà</v>
          </cell>
          <cell r="H822" t="str">
            <v>Plywood LVD - 06 x 1220 x 2440mm, Bleached Poplar Veneer Both Sides [CARB P2 Compliant]</v>
          </cell>
          <cell r="I822">
            <v>90</v>
          </cell>
        </row>
        <row r="823">
          <cell r="A823" t="str">
            <v>B557209/A</v>
          </cell>
          <cell r="B823" t="str">
            <v>SH402M521</v>
          </cell>
          <cell r="C823">
            <v>90</v>
          </cell>
          <cell r="D823">
            <v>266</v>
          </cell>
          <cell r="E823">
            <v>23940</v>
          </cell>
          <cell r="F823" t="str">
            <v>P06</v>
          </cell>
          <cell r="G823" t="str">
            <v>support Top - đỡ nóc</v>
          </cell>
          <cell r="H823" t="str">
            <v>MDF Veneer</v>
          </cell>
          <cell r="I823">
            <v>90</v>
          </cell>
        </row>
        <row r="824">
          <cell r="A824" t="str">
            <v>B557209/A</v>
          </cell>
          <cell r="B824" t="str">
            <v>SH402M521</v>
          </cell>
          <cell r="C824">
            <v>90</v>
          </cell>
          <cell r="D824">
            <v>266</v>
          </cell>
          <cell r="E824">
            <v>23940</v>
          </cell>
          <cell r="F824" t="str">
            <v>P06-1</v>
          </cell>
          <cell r="G824" t="str">
            <v>Bottom panel - Ván đáy</v>
          </cell>
          <cell r="H824" t="str">
            <v>MDF Veneer</v>
          </cell>
          <cell r="I824">
            <v>90</v>
          </cell>
        </row>
        <row r="825">
          <cell r="A825" t="str">
            <v>B557209/A</v>
          </cell>
          <cell r="B825" t="str">
            <v>SH402M521</v>
          </cell>
          <cell r="C825">
            <v>90</v>
          </cell>
          <cell r="D825">
            <v>266</v>
          </cell>
          <cell r="E825">
            <v>23940</v>
          </cell>
          <cell r="F825" t="str">
            <v>P07</v>
          </cell>
          <cell r="G825" t="str">
            <v xml:space="preserve">Side rail  - Đố hông </v>
          </cell>
          <cell r="H825" t="str">
            <v>Wood Red Oak - Straight/Waving Edged, 2 COM - T25mm x W100mm Up x L1.5m Up</v>
          </cell>
          <cell r="I825">
            <v>360</v>
          </cell>
        </row>
        <row r="826">
          <cell r="A826" t="str">
            <v>B558406/A</v>
          </cell>
          <cell r="B826" t="str">
            <v>SH633M506</v>
          </cell>
          <cell r="C826">
            <v>40</v>
          </cell>
          <cell r="D826">
            <v>291.64999999999998</v>
          </cell>
          <cell r="E826">
            <v>11666</v>
          </cell>
          <cell r="F826" t="str">
            <v>P01</v>
          </cell>
          <cell r="G826" t="str">
            <v xml:space="preserve">Top panel  - Ván nóc </v>
          </cell>
          <cell r="H826" t="str">
            <v>MDF Veneer</v>
          </cell>
          <cell r="I826">
            <v>40</v>
          </cell>
        </row>
        <row r="827">
          <cell r="A827" t="str">
            <v>B558406/A</v>
          </cell>
          <cell r="B827" t="str">
            <v>SH633M506</v>
          </cell>
          <cell r="C827">
            <v>40</v>
          </cell>
          <cell r="D827">
            <v>291.64999999999998</v>
          </cell>
          <cell r="E827">
            <v>11666</v>
          </cell>
          <cell r="F827" t="str">
            <v>P02</v>
          </cell>
          <cell r="G827" t="str">
            <v>Side Frame - Khung hông</v>
          </cell>
          <cell r="H827" t="str">
            <v>Pre-Assembly</v>
          </cell>
          <cell r="I827">
            <v>80</v>
          </cell>
        </row>
        <row r="828">
          <cell r="A828" t="str">
            <v>B558406/A</v>
          </cell>
          <cell r="B828" t="str">
            <v>SH633M506</v>
          </cell>
          <cell r="C828">
            <v>40</v>
          </cell>
          <cell r="D828">
            <v>291.64999999999998</v>
          </cell>
          <cell r="E828">
            <v>11666</v>
          </cell>
          <cell r="F828" t="str">
            <v>P02-1</v>
          </cell>
          <cell r="G828" t="str">
            <v xml:space="preserve">Side panel  - Ván hông </v>
          </cell>
          <cell r="H828" t="str">
            <v>MDF laminate</v>
          </cell>
          <cell r="I828">
            <v>80</v>
          </cell>
        </row>
        <row r="829">
          <cell r="A829" t="str">
            <v>B558406/A</v>
          </cell>
          <cell r="B829" t="str">
            <v>SH633M506</v>
          </cell>
          <cell r="C829">
            <v>40</v>
          </cell>
          <cell r="D829">
            <v>291.64999999999998</v>
          </cell>
          <cell r="E829">
            <v>11666</v>
          </cell>
          <cell r="F829" t="str">
            <v>P02-2</v>
          </cell>
          <cell r="G829" t="str">
            <v>Top rail - Đố nóc</v>
          </cell>
          <cell r="H829" t="str">
            <v>Wood laminate</v>
          </cell>
          <cell r="I829">
            <v>80</v>
          </cell>
        </row>
        <row r="830">
          <cell r="A830" t="str">
            <v>B558406/A</v>
          </cell>
          <cell r="B830" t="str">
            <v>SH633M506</v>
          </cell>
          <cell r="C830">
            <v>40</v>
          </cell>
          <cell r="D830">
            <v>291.64999999999998</v>
          </cell>
          <cell r="E830">
            <v>11666</v>
          </cell>
          <cell r="F830" t="str">
            <v>P02-3</v>
          </cell>
          <cell r="G830" t="str">
            <v>Patching wood - Gỗ đắp</v>
          </cell>
          <cell r="H830" t="str">
            <v>Beech off cut</v>
          </cell>
          <cell r="I830">
            <v>160</v>
          </cell>
        </row>
        <row r="831">
          <cell r="A831" t="str">
            <v>B558406/A</v>
          </cell>
          <cell r="B831" t="str">
            <v>SH633M506</v>
          </cell>
          <cell r="C831">
            <v>40</v>
          </cell>
          <cell r="D831">
            <v>291.64999999999998</v>
          </cell>
          <cell r="E831">
            <v>11666</v>
          </cell>
          <cell r="F831" t="str">
            <v>P03</v>
          </cell>
          <cell r="G831" t="str">
            <v>Spline - Lưỡi gà</v>
          </cell>
          <cell r="H831" t="str">
            <v>Plywood LVD - 09 x 1220 x 2440mm, Bleached Poplar Veneer Both Sides [CARB P2 Compliant]</v>
          </cell>
          <cell r="I831">
            <v>320</v>
          </cell>
        </row>
        <row r="832">
          <cell r="A832" t="str">
            <v>B558408/A</v>
          </cell>
          <cell r="B832" t="str">
            <v>SH707NM506</v>
          </cell>
          <cell r="C832">
            <v>25</v>
          </cell>
          <cell r="D832">
            <v>663</v>
          </cell>
          <cell r="E832">
            <v>16575</v>
          </cell>
          <cell r="F832" t="str">
            <v>A1</v>
          </cell>
          <cell r="G832" t="str">
            <v xml:space="preserve">Top panel  - Ván nóc </v>
          </cell>
          <cell r="H832" t="str">
            <v>MDF laminate</v>
          </cell>
          <cell r="I832">
            <v>25</v>
          </cell>
        </row>
        <row r="833">
          <cell r="A833" t="str">
            <v>B558408/A</v>
          </cell>
          <cell r="B833" t="str">
            <v>SH707NM506</v>
          </cell>
          <cell r="C833">
            <v>25</v>
          </cell>
          <cell r="D833">
            <v>663</v>
          </cell>
          <cell r="E833">
            <v>16575</v>
          </cell>
          <cell r="F833" t="str">
            <v>A1-S01</v>
          </cell>
          <cell r="G833" t="str">
            <v>MDF laminater - MDF ghép</v>
          </cell>
          <cell r="H833" t="str">
            <v>MDF Veneer</v>
          </cell>
          <cell r="I833">
            <v>25</v>
          </cell>
        </row>
        <row r="834">
          <cell r="A834" t="str">
            <v>B558408/A</v>
          </cell>
          <cell r="B834" t="str">
            <v>SH707NM506</v>
          </cell>
          <cell r="C834">
            <v>25</v>
          </cell>
          <cell r="D834">
            <v>663</v>
          </cell>
          <cell r="E834">
            <v>16575</v>
          </cell>
          <cell r="F834" t="str">
            <v>A1-S02</v>
          </cell>
          <cell r="G834" t="str">
            <v>MDF laminater - MDF ghép</v>
          </cell>
          <cell r="H834" t="str">
            <v>MDF - 18 x 1830 x 2440mm [CARB P2 Compliant]</v>
          </cell>
          <cell r="I834">
            <v>50</v>
          </cell>
        </row>
        <row r="835">
          <cell r="A835" t="str">
            <v>B558408/A</v>
          </cell>
          <cell r="B835" t="str">
            <v>SH707NM506</v>
          </cell>
          <cell r="C835">
            <v>25</v>
          </cell>
          <cell r="D835">
            <v>663</v>
          </cell>
          <cell r="E835">
            <v>16575</v>
          </cell>
          <cell r="F835" t="str">
            <v>A1-S03</v>
          </cell>
          <cell r="G835" t="str">
            <v>MDF laminater - MDF ghép</v>
          </cell>
          <cell r="H835" t="str">
            <v>MDF - 18 x 1830 x 2440mm [CARB P2 Compliant]</v>
          </cell>
          <cell r="I835">
            <v>50</v>
          </cell>
        </row>
        <row r="836">
          <cell r="A836" t="str">
            <v>B558408/A</v>
          </cell>
          <cell r="B836" t="str">
            <v>SH707NM506</v>
          </cell>
          <cell r="C836">
            <v>25</v>
          </cell>
          <cell r="D836">
            <v>663</v>
          </cell>
          <cell r="E836">
            <v>16575</v>
          </cell>
          <cell r="F836" t="str">
            <v>A2-S0</v>
          </cell>
          <cell r="G836" t="str">
            <v xml:space="preserve">Panel - Ván </v>
          </cell>
          <cell r="H836" t="str">
            <v>MDF Veneer</v>
          </cell>
          <cell r="I836">
            <v>25</v>
          </cell>
        </row>
        <row r="837">
          <cell r="A837" t="str">
            <v>B558408/A</v>
          </cell>
          <cell r="B837" t="str">
            <v>SH707NM506</v>
          </cell>
          <cell r="C837">
            <v>25</v>
          </cell>
          <cell r="D837">
            <v>663</v>
          </cell>
          <cell r="E837">
            <v>16575</v>
          </cell>
          <cell r="F837" t="str">
            <v>A2-S01</v>
          </cell>
          <cell r="G837" t="str">
            <v xml:space="preserve">Drawer front - Mặt hộc kéo </v>
          </cell>
          <cell r="H837" t="str">
            <v>MDF Veneer</v>
          </cell>
          <cell r="I837">
            <v>150</v>
          </cell>
        </row>
        <row r="838">
          <cell r="A838" t="str">
            <v>B558408/A</v>
          </cell>
          <cell r="B838" t="str">
            <v>SH707NM506</v>
          </cell>
          <cell r="C838">
            <v>25</v>
          </cell>
          <cell r="D838">
            <v>663</v>
          </cell>
          <cell r="E838">
            <v>16575</v>
          </cell>
          <cell r="F838" t="str">
            <v>A2-S02</v>
          </cell>
          <cell r="G838" t="str">
            <v xml:space="preserve">Drawer front 1 - Mặt hộc kéo </v>
          </cell>
          <cell r="H838" t="str">
            <v>Wd+VN</v>
          </cell>
          <cell r="I838">
            <v>150</v>
          </cell>
        </row>
        <row r="839">
          <cell r="A839" t="str">
            <v>B558408/A</v>
          </cell>
          <cell r="B839" t="str">
            <v>SH707NM506</v>
          </cell>
          <cell r="C839">
            <v>25</v>
          </cell>
          <cell r="D839">
            <v>663</v>
          </cell>
          <cell r="E839">
            <v>16575</v>
          </cell>
          <cell r="F839" t="str">
            <v>A2-S03</v>
          </cell>
          <cell r="G839" t="str">
            <v>Drawer side - Hông hộc kéo</v>
          </cell>
          <cell r="H839" t="str">
            <v>Wd+VN</v>
          </cell>
          <cell r="I839">
            <v>300</v>
          </cell>
        </row>
        <row r="840">
          <cell r="A840" t="str">
            <v>B558408/A</v>
          </cell>
          <cell r="B840" t="str">
            <v>SH707NM506</v>
          </cell>
          <cell r="C840">
            <v>25</v>
          </cell>
          <cell r="D840">
            <v>663</v>
          </cell>
          <cell r="E840">
            <v>16575</v>
          </cell>
          <cell r="F840" t="str">
            <v>A2-S04</v>
          </cell>
          <cell r="G840" t="str">
            <v>Drawer back - Hậu hộc kéo</v>
          </cell>
          <cell r="H840" t="str">
            <v>Wd+VN</v>
          </cell>
          <cell r="I840">
            <v>150</v>
          </cell>
        </row>
        <row r="841">
          <cell r="A841" t="str">
            <v>B558408/A</v>
          </cell>
          <cell r="B841" t="str">
            <v>SH707NM506</v>
          </cell>
          <cell r="C841">
            <v>25</v>
          </cell>
          <cell r="D841">
            <v>663</v>
          </cell>
          <cell r="E841">
            <v>16575</v>
          </cell>
          <cell r="F841" t="str">
            <v>A2-S05</v>
          </cell>
          <cell r="G841" t="str">
            <v>Drawer bottom  - Đáy hộc kéo</v>
          </cell>
          <cell r="H841" t="str">
            <v>MDF Veneer</v>
          </cell>
          <cell r="I841">
            <v>150</v>
          </cell>
        </row>
        <row r="842">
          <cell r="A842" t="str">
            <v>B558408/A</v>
          </cell>
          <cell r="B842" t="str">
            <v>SH707NM506</v>
          </cell>
          <cell r="C842">
            <v>25</v>
          </cell>
          <cell r="D842">
            <v>663</v>
          </cell>
          <cell r="E842">
            <v>16575</v>
          </cell>
          <cell r="F842" t="str">
            <v>A2-S06</v>
          </cell>
          <cell r="G842" t="str">
            <v>Insert Wood - Gỗ chèn</v>
          </cell>
          <cell r="H842" t="str">
            <v>Poplar off cut</v>
          </cell>
          <cell r="I842">
            <v>300</v>
          </cell>
        </row>
        <row r="843">
          <cell r="A843" t="str">
            <v>B558408/A</v>
          </cell>
          <cell r="B843" t="str">
            <v>SH707NM506</v>
          </cell>
          <cell r="C843">
            <v>25</v>
          </cell>
          <cell r="D843">
            <v>663</v>
          </cell>
          <cell r="E843">
            <v>16575</v>
          </cell>
          <cell r="F843" t="str">
            <v>A3</v>
          </cell>
          <cell r="G843" t="str">
            <v>Side Frame - Khung hông</v>
          </cell>
          <cell r="H843" t="str">
            <v>Pre-Assembly</v>
          </cell>
          <cell r="I843">
            <v>50</v>
          </cell>
        </row>
        <row r="844">
          <cell r="A844" t="str">
            <v>B558408/A</v>
          </cell>
          <cell r="B844" t="str">
            <v>SH707NM506</v>
          </cell>
          <cell r="C844">
            <v>25</v>
          </cell>
          <cell r="D844">
            <v>663</v>
          </cell>
          <cell r="E844">
            <v>16575</v>
          </cell>
          <cell r="F844" t="str">
            <v>A3-S01</v>
          </cell>
          <cell r="G844" t="str">
            <v xml:space="preserve">Side panel  - Ván hông </v>
          </cell>
          <cell r="H844" t="str">
            <v>MDF Veneer</v>
          </cell>
          <cell r="I844">
            <v>50</v>
          </cell>
        </row>
        <row r="845">
          <cell r="A845" t="str">
            <v>B558408/A</v>
          </cell>
          <cell r="B845" t="str">
            <v>SH707NM506</v>
          </cell>
          <cell r="C845">
            <v>25</v>
          </cell>
          <cell r="D845">
            <v>663</v>
          </cell>
          <cell r="E845">
            <v>16575</v>
          </cell>
          <cell r="F845" t="str">
            <v>A3-S02</v>
          </cell>
          <cell r="G845" t="str">
            <v>Front rail  - Đố tiền</v>
          </cell>
          <cell r="H845" t="str">
            <v>Poplar 2 COM</v>
          </cell>
          <cell r="I845">
            <v>50</v>
          </cell>
        </row>
        <row r="846">
          <cell r="A846" t="str">
            <v>B558408/A</v>
          </cell>
          <cell r="B846" t="str">
            <v>SH707NM506</v>
          </cell>
          <cell r="C846">
            <v>25</v>
          </cell>
          <cell r="D846">
            <v>663</v>
          </cell>
          <cell r="E846">
            <v>16575</v>
          </cell>
          <cell r="F846" t="str">
            <v>A3-S03</v>
          </cell>
          <cell r="G846" t="str">
            <v>back rail - Đố hậu</v>
          </cell>
          <cell r="H846" t="str">
            <v>Poplar 2 COM</v>
          </cell>
          <cell r="I846">
            <v>50</v>
          </cell>
        </row>
        <row r="847">
          <cell r="A847" t="str">
            <v>B558408/A</v>
          </cell>
          <cell r="B847" t="str">
            <v>SH707NM506</v>
          </cell>
          <cell r="C847">
            <v>25</v>
          </cell>
          <cell r="D847">
            <v>663</v>
          </cell>
          <cell r="E847">
            <v>16575</v>
          </cell>
          <cell r="F847" t="str">
            <v>A3-S04</v>
          </cell>
          <cell r="G847" t="str">
            <v>Bottom rail inside - Đố tiền đáy</v>
          </cell>
          <cell r="H847" t="str">
            <v>Poplar 2 COM</v>
          </cell>
          <cell r="I847">
            <v>50</v>
          </cell>
        </row>
        <row r="848">
          <cell r="A848" t="str">
            <v>B558408/A</v>
          </cell>
          <cell r="B848" t="str">
            <v>SH707NM506</v>
          </cell>
          <cell r="C848">
            <v>25</v>
          </cell>
          <cell r="D848">
            <v>663</v>
          </cell>
          <cell r="E848">
            <v>16575</v>
          </cell>
          <cell r="F848" t="str">
            <v>A3-S05</v>
          </cell>
          <cell r="G848" t="str">
            <v>Patching wood - Gỗ đắp</v>
          </cell>
          <cell r="H848" t="str">
            <v>MDF laminate</v>
          </cell>
          <cell r="I848">
            <v>150</v>
          </cell>
        </row>
        <row r="849">
          <cell r="A849" t="str">
            <v>B558408/A</v>
          </cell>
          <cell r="B849" t="str">
            <v>SH707NM506</v>
          </cell>
          <cell r="C849">
            <v>25</v>
          </cell>
          <cell r="D849">
            <v>663</v>
          </cell>
          <cell r="E849">
            <v>16575</v>
          </cell>
          <cell r="F849" t="str">
            <v>P01</v>
          </cell>
          <cell r="G849" t="str">
            <v>Bottom panel - Ván đáy</v>
          </cell>
          <cell r="H849" t="str">
            <v>MDF Veneer</v>
          </cell>
          <cell r="I849">
            <v>25</v>
          </cell>
        </row>
        <row r="850">
          <cell r="A850" t="str">
            <v>B558408/A</v>
          </cell>
          <cell r="B850" t="str">
            <v>SH707NM506</v>
          </cell>
          <cell r="C850">
            <v>25</v>
          </cell>
          <cell r="D850">
            <v>663</v>
          </cell>
          <cell r="E850">
            <v>16575</v>
          </cell>
          <cell r="F850" t="str">
            <v>P02</v>
          </cell>
          <cell r="G850" t="str">
            <v>Front top rail  - Đố tiền nóc</v>
          </cell>
          <cell r="H850" t="str">
            <v>Wood EU Beech - Straight/Waving Edged ABC, 2 COM - T26mm x W100mm up x L1.8m up</v>
          </cell>
          <cell r="I850">
            <v>25</v>
          </cell>
        </row>
        <row r="851">
          <cell r="A851" t="str">
            <v>B558408/A</v>
          </cell>
          <cell r="B851" t="str">
            <v>SH707NM506</v>
          </cell>
          <cell r="C851">
            <v>25</v>
          </cell>
          <cell r="D851">
            <v>663</v>
          </cell>
          <cell r="E851">
            <v>16575</v>
          </cell>
          <cell r="F851" t="str">
            <v>P03</v>
          </cell>
          <cell r="G851" t="str">
            <v>Partition panel - Vách ngăn</v>
          </cell>
          <cell r="H851" t="str">
            <v>MDF Veneer</v>
          </cell>
          <cell r="I851">
            <v>25</v>
          </cell>
        </row>
        <row r="852">
          <cell r="A852" t="str">
            <v>B558408/A</v>
          </cell>
          <cell r="B852" t="str">
            <v>SH707NM506</v>
          </cell>
          <cell r="C852">
            <v>25</v>
          </cell>
          <cell r="D852">
            <v>663</v>
          </cell>
          <cell r="E852">
            <v>16575</v>
          </cell>
          <cell r="F852" t="str">
            <v>P04</v>
          </cell>
          <cell r="G852" t="str">
            <v>Back panel - Ván hậu</v>
          </cell>
          <cell r="H852" t="str">
            <v>MDF Veneer</v>
          </cell>
          <cell r="I852">
            <v>25</v>
          </cell>
        </row>
        <row r="853">
          <cell r="A853" t="str">
            <v>B558408/A</v>
          </cell>
          <cell r="B853" t="str">
            <v>SH707NM506</v>
          </cell>
          <cell r="C853">
            <v>25</v>
          </cell>
          <cell r="D853">
            <v>663</v>
          </cell>
          <cell r="E853">
            <v>16575</v>
          </cell>
          <cell r="F853" t="str">
            <v>P05</v>
          </cell>
          <cell r="G853" t="str">
            <v>back rail - Đố hậu</v>
          </cell>
          <cell r="H853" t="str">
            <v>Wood US Poplar - Straight Edged, 2 COM - T25mm x W100mm Up x L1.8m Up</v>
          </cell>
          <cell r="I853">
            <v>50</v>
          </cell>
        </row>
        <row r="854">
          <cell r="A854" t="str">
            <v>B558408/A</v>
          </cell>
          <cell r="B854" t="str">
            <v>SH707NM506</v>
          </cell>
          <cell r="C854">
            <v>25</v>
          </cell>
          <cell r="D854">
            <v>663</v>
          </cell>
          <cell r="E854">
            <v>16575</v>
          </cell>
          <cell r="F854" t="str">
            <v>P06</v>
          </cell>
          <cell r="G854" t="str">
            <v>Drawer stop - Dừng hộc</v>
          </cell>
          <cell r="H854" t="str">
            <v>Beech off cut</v>
          </cell>
          <cell r="I854">
            <v>300</v>
          </cell>
        </row>
        <row r="855">
          <cell r="A855" t="str">
            <v>B558408/A</v>
          </cell>
          <cell r="B855" t="str">
            <v>SH707NM506</v>
          </cell>
          <cell r="C855">
            <v>25</v>
          </cell>
          <cell r="D855">
            <v>663</v>
          </cell>
          <cell r="E855">
            <v>16575</v>
          </cell>
          <cell r="F855" t="str">
            <v>P08</v>
          </cell>
          <cell r="G855" t="str">
            <v xml:space="preserve">Panel - Ván </v>
          </cell>
          <cell r="H855" t="str">
            <v>Cement Board - 18 x 1220 x 2440mm, Dark Grey</v>
          </cell>
          <cell r="I855">
            <v>50</v>
          </cell>
        </row>
        <row r="856">
          <cell r="A856" t="str">
            <v>B555884/A</v>
          </cell>
          <cell r="B856" t="str">
            <v>MN5787AM998-SWAT</v>
          </cell>
          <cell r="C856">
            <v>50</v>
          </cell>
          <cell r="D856">
            <v>6</v>
          </cell>
          <cell r="E856">
            <v>300</v>
          </cell>
          <cell r="F856" t="str">
            <v>P01</v>
          </cell>
          <cell r="G856" t="str">
            <v>swatch  - bảng màu</v>
          </cell>
          <cell r="H856" t="str">
            <v>MDF Veneer</v>
          </cell>
          <cell r="I856">
            <v>50</v>
          </cell>
        </row>
        <row r="857">
          <cell r="A857" t="str">
            <v>B557103/A</v>
          </cell>
          <cell r="B857" t="str">
            <v>BN012M01</v>
          </cell>
          <cell r="C857">
            <v>25</v>
          </cell>
          <cell r="D857">
            <v>239</v>
          </cell>
          <cell r="E857">
            <v>5975</v>
          </cell>
          <cell r="F857" t="str">
            <v>A1-S1</v>
          </cell>
          <cell r="G857" t="str">
            <v>Bottom frame - Khung dưới</v>
          </cell>
          <cell r="H857" t="str">
            <v>Pre-Assembly</v>
          </cell>
          <cell r="I857">
            <v>25</v>
          </cell>
        </row>
        <row r="858">
          <cell r="A858" t="str">
            <v>B557103/A</v>
          </cell>
          <cell r="B858" t="str">
            <v>BN012M01</v>
          </cell>
          <cell r="C858">
            <v>25</v>
          </cell>
          <cell r="D858">
            <v>239</v>
          </cell>
          <cell r="E858">
            <v>5975</v>
          </cell>
          <cell r="F858" t="str">
            <v>A1-S1-1</v>
          </cell>
          <cell r="G858" t="str">
            <v>Front Bottom Rail  - Đố đáy trước</v>
          </cell>
          <cell r="H858" t="str">
            <v>Wood laminate</v>
          </cell>
          <cell r="I858">
            <v>100</v>
          </cell>
        </row>
        <row r="859">
          <cell r="A859" t="str">
            <v>B557103/A</v>
          </cell>
          <cell r="B859" t="str">
            <v>BN012M01</v>
          </cell>
          <cell r="C859">
            <v>25</v>
          </cell>
          <cell r="D859">
            <v>239</v>
          </cell>
          <cell r="E859">
            <v>5975</v>
          </cell>
          <cell r="F859" t="str">
            <v>A1-S2</v>
          </cell>
          <cell r="G859" t="str">
            <v xml:space="preserve">Top panel  - Ván nóc </v>
          </cell>
          <cell r="H859" t="str">
            <v>Pre-Assembly</v>
          </cell>
          <cell r="I859">
            <v>25</v>
          </cell>
        </row>
        <row r="860">
          <cell r="A860" t="str">
            <v>B557103/A</v>
          </cell>
          <cell r="B860" t="str">
            <v>BN012M01</v>
          </cell>
          <cell r="C860">
            <v>25</v>
          </cell>
          <cell r="D860">
            <v>239</v>
          </cell>
          <cell r="E860">
            <v>5975</v>
          </cell>
          <cell r="F860" t="str">
            <v>A1-S2A</v>
          </cell>
          <cell r="G860" t="str">
            <v xml:space="preserve">Panel - Ván </v>
          </cell>
          <cell r="H860" t="str">
            <v>MDF Moisture-Resistant - 18 x 1220 x 2440mm [CARB P2 Compliant]</v>
          </cell>
          <cell r="I860">
            <v>25</v>
          </cell>
        </row>
        <row r="861">
          <cell r="A861" t="str">
            <v>B557103/A</v>
          </cell>
          <cell r="B861" t="str">
            <v>BN012M01</v>
          </cell>
          <cell r="C861">
            <v>25</v>
          </cell>
          <cell r="D861">
            <v>239</v>
          </cell>
          <cell r="E861">
            <v>5975</v>
          </cell>
          <cell r="F861" t="str">
            <v>A1-S2B</v>
          </cell>
          <cell r="G861" t="str">
            <v>Patching wood - Gỗ đắp</v>
          </cell>
          <cell r="H861" t="str">
            <v>Wood laminate</v>
          </cell>
          <cell r="I861">
            <v>25</v>
          </cell>
        </row>
        <row r="862">
          <cell r="A862" t="str">
            <v>B557103/A</v>
          </cell>
          <cell r="B862" t="str">
            <v>BN012M01</v>
          </cell>
          <cell r="C862">
            <v>25</v>
          </cell>
          <cell r="D862">
            <v>239</v>
          </cell>
          <cell r="E862">
            <v>5975</v>
          </cell>
          <cell r="F862" t="str">
            <v>A1-S3</v>
          </cell>
          <cell r="G862" t="str">
            <v>Bottom panel - Ván đáy</v>
          </cell>
          <cell r="H862" t="str">
            <v>MDF Veneer</v>
          </cell>
          <cell r="I862">
            <v>25</v>
          </cell>
        </row>
        <row r="863">
          <cell r="A863" t="str">
            <v>B557103/A</v>
          </cell>
          <cell r="B863" t="str">
            <v>BN012M01</v>
          </cell>
          <cell r="C863">
            <v>25</v>
          </cell>
          <cell r="D863">
            <v>239</v>
          </cell>
          <cell r="E863">
            <v>5975</v>
          </cell>
          <cell r="F863" t="str">
            <v>A1-S4</v>
          </cell>
          <cell r="G863" t="str">
            <v xml:space="preserve">Side panel  - Ván hông </v>
          </cell>
          <cell r="H863" t="str">
            <v>Pre-Assembly</v>
          </cell>
          <cell r="I863">
            <v>75</v>
          </cell>
        </row>
        <row r="864">
          <cell r="A864" t="str">
            <v>B557103/A</v>
          </cell>
          <cell r="B864" t="str">
            <v>BN012M01</v>
          </cell>
          <cell r="C864">
            <v>25</v>
          </cell>
          <cell r="D864">
            <v>239</v>
          </cell>
          <cell r="E864">
            <v>5975</v>
          </cell>
          <cell r="F864" t="str">
            <v>A1-S5</v>
          </cell>
          <cell r="G864" t="str">
            <v>support Top - đỡ nóc</v>
          </cell>
          <cell r="H864" t="str">
            <v>Plywood LVD - 15 x 1220 x 2440mm, Bleached Poplar Veneer Both Sides [CARB P2 Compliant]</v>
          </cell>
          <cell r="I864">
            <v>25</v>
          </cell>
        </row>
        <row r="865">
          <cell r="A865" t="str">
            <v>B557103/A</v>
          </cell>
          <cell r="B865" t="str">
            <v>BN012M01</v>
          </cell>
          <cell r="C865">
            <v>25</v>
          </cell>
          <cell r="D865">
            <v>239</v>
          </cell>
          <cell r="E865">
            <v>5975</v>
          </cell>
          <cell r="F865" t="str">
            <v>A1-S7</v>
          </cell>
          <cell r="G865" t="str">
            <v>Cleat - Bọ gỗ</v>
          </cell>
          <cell r="H865" t="str">
            <v>Wood laminate</v>
          </cell>
          <cell r="I865">
            <v>100</v>
          </cell>
        </row>
        <row r="866">
          <cell r="A866" t="str">
            <v>B557103/A</v>
          </cell>
          <cell r="B866" t="str">
            <v>BN012M01</v>
          </cell>
          <cell r="C866">
            <v>25</v>
          </cell>
          <cell r="D866">
            <v>239</v>
          </cell>
          <cell r="E866">
            <v>5975</v>
          </cell>
          <cell r="F866" t="str">
            <v>A1-S8</v>
          </cell>
          <cell r="G866" t="str">
            <v>Spline - Lưỡi gà</v>
          </cell>
          <cell r="H866" t="str">
            <v>Plywood off cut</v>
          </cell>
          <cell r="I866">
            <v>75</v>
          </cell>
        </row>
        <row r="867">
          <cell r="A867" t="str">
            <v>B557103/A</v>
          </cell>
          <cell r="B867" t="str">
            <v>BN012M01</v>
          </cell>
          <cell r="C867">
            <v>25</v>
          </cell>
          <cell r="D867">
            <v>239</v>
          </cell>
          <cell r="E867">
            <v>5975</v>
          </cell>
          <cell r="F867" t="str">
            <v>A1-S9</v>
          </cell>
          <cell r="G867" t="str">
            <v>Cleat - Bọ gỗ</v>
          </cell>
          <cell r="H867" t="str">
            <v>Wood laminate</v>
          </cell>
          <cell r="I867">
            <v>150</v>
          </cell>
        </row>
        <row r="868">
          <cell r="A868" t="str">
            <v>B558000/A</v>
          </cell>
          <cell r="B868" t="str">
            <v>BN2627M194</v>
          </cell>
          <cell r="C868">
            <v>30</v>
          </cell>
          <cell r="D868">
            <v>263.64</v>
          </cell>
          <cell r="E868">
            <v>7909.2</v>
          </cell>
          <cell r="F868" t="str">
            <v>A1</v>
          </cell>
          <cell r="G868" t="str">
            <v>vaccumn veneer - cảo bich veneer</v>
          </cell>
          <cell r="H868" t="str">
            <v>Pre-Assembly</v>
          </cell>
          <cell r="I868">
            <v>30</v>
          </cell>
        </row>
        <row r="869">
          <cell r="A869" t="str">
            <v>B558000/A</v>
          </cell>
          <cell r="B869" t="str">
            <v>BN2627M194</v>
          </cell>
          <cell r="C869">
            <v>30</v>
          </cell>
          <cell r="D869">
            <v>263.64</v>
          </cell>
          <cell r="E869">
            <v>7909.2</v>
          </cell>
          <cell r="F869" t="str">
            <v>A1-1</v>
          </cell>
          <cell r="G869" t="str">
            <v>Patching wood - Gỗ đắp</v>
          </cell>
          <cell r="H869" t="str">
            <v>Wood EU Beech - Straight/Waving Edged ABC, 2 COM - T38mm x W100mm up x L1.8m up</v>
          </cell>
          <cell r="I869">
            <v>60</v>
          </cell>
        </row>
        <row r="870">
          <cell r="A870" t="str">
            <v>B558000/A</v>
          </cell>
          <cell r="B870" t="str">
            <v>BN2627M194</v>
          </cell>
          <cell r="C870">
            <v>30</v>
          </cell>
          <cell r="D870">
            <v>263.64</v>
          </cell>
          <cell r="E870">
            <v>7909.2</v>
          </cell>
          <cell r="F870" t="str">
            <v>A1-2</v>
          </cell>
          <cell r="G870" t="str">
            <v xml:space="preserve">Panel - Ván </v>
          </cell>
          <cell r="H870" t="str">
            <v>MDF - 18 x 1830 x 2440mm [CARB P2 Compliant]</v>
          </cell>
          <cell r="I870">
            <v>30</v>
          </cell>
        </row>
        <row r="871">
          <cell r="A871" t="str">
            <v>B558000/A</v>
          </cell>
          <cell r="B871" t="str">
            <v>BN2627M194</v>
          </cell>
          <cell r="C871">
            <v>30</v>
          </cell>
          <cell r="D871">
            <v>263.64</v>
          </cell>
          <cell r="E871">
            <v>7909.2</v>
          </cell>
          <cell r="F871" t="str">
            <v>A1-S01</v>
          </cell>
          <cell r="G871" t="str">
            <v xml:space="preserve">Drawer front - Mặt hộc kéo </v>
          </cell>
          <cell r="H871" t="str">
            <v>Pre-Assembly</v>
          </cell>
          <cell r="I871">
            <v>30</v>
          </cell>
        </row>
        <row r="872">
          <cell r="A872" t="str">
            <v>B558000/A</v>
          </cell>
          <cell r="B872" t="str">
            <v>BN2627M194</v>
          </cell>
          <cell r="C872">
            <v>30</v>
          </cell>
          <cell r="D872">
            <v>263.64</v>
          </cell>
          <cell r="E872">
            <v>7909.2</v>
          </cell>
          <cell r="F872" t="str">
            <v>A1-S01-1</v>
          </cell>
          <cell r="G872" t="str">
            <v>Patching wood - Gỗ đắp</v>
          </cell>
          <cell r="H872" t="str">
            <v>Wood White Oak - Straight/Waving Edged, 2 COM - T25mm x W100mm Up x L1.5m Up</v>
          </cell>
          <cell r="I872">
            <v>30</v>
          </cell>
        </row>
        <row r="873">
          <cell r="A873" t="str">
            <v>B558000/A</v>
          </cell>
          <cell r="B873" t="str">
            <v>BN2627M194</v>
          </cell>
          <cell r="C873">
            <v>30</v>
          </cell>
          <cell r="D873">
            <v>263.64</v>
          </cell>
          <cell r="E873">
            <v>7909.2</v>
          </cell>
          <cell r="F873" t="str">
            <v>A1-S02</v>
          </cell>
          <cell r="G873" t="str">
            <v>Drawer side - Hông hộc kéo</v>
          </cell>
          <cell r="H873" t="str">
            <v>MDF Veneer</v>
          </cell>
          <cell r="I873">
            <v>60</v>
          </cell>
        </row>
        <row r="874">
          <cell r="A874" t="str">
            <v>B558000/A</v>
          </cell>
          <cell r="B874" t="str">
            <v>BN2627M194</v>
          </cell>
          <cell r="C874">
            <v>30</v>
          </cell>
          <cell r="D874">
            <v>263.64</v>
          </cell>
          <cell r="E874">
            <v>7909.2</v>
          </cell>
          <cell r="F874" t="str">
            <v>A1-S03</v>
          </cell>
          <cell r="G874" t="str">
            <v>Drawer back - Hậu hộc kéo</v>
          </cell>
          <cell r="H874" t="str">
            <v>MDF Veneer</v>
          </cell>
          <cell r="I874">
            <v>30</v>
          </cell>
        </row>
        <row r="875">
          <cell r="A875" t="str">
            <v>B558000/A</v>
          </cell>
          <cell r="B875" t="str">
            <v>BN2627M194</v>
          </cell>
          <cell r="C875">
            <v>30</v>
          </cell>
          <cell r="D875">
            <v>263.64</v>
          </cell>
          <cell r="E875">
            <v>7909.2</v>
          </cell>
          <cell r="F875" t="str">
            <v>A1-S04</v>
          </cell>
          <cell r="G875" t="str">
            <v>Drawer bottom  - Đáy hộc kéo</v>
          </cell>
          <cell r="H875" t="str">
            <v>MDF Veneer</v>
          </cell>
          <cell r="I875">
            <v>30</v>
          </cell>
        </row>
        <row r="876">
          <cell r="A876" t="str">
            <v>B558000/A</v>
          </cell>
          <cell r="B876" t="str">
            <v>BN2627M194</v>
          </cell>
          <cell r="C876">
            <v>30</v>
          </cell>
          <cell r="D876">
            <v>263.64</v>
          </cell>
          <cell r="E876">
            <v>7909.2</v>
          </cell>
          <cell r="F876" t="str">
            <v>A1-S05</v>
          </cell>
          <cell r="G876" t="str">
            <v>Patching wood - Gỗ đắp</v>
          </cell>
          <cell r="H876" t="str">
            <v>Wood US Poplar - Straight Edged, 2 COM - T38mm x W100mm Up x L1.8m Up</v>
          </cell>
          <cell r="I876">
            <v>30</v>
          </cell>
        </row>
        <row r="877">
          <cell r="A877" t="str">
            <v>B558000/A</v>
          </cell>
          <cell r="B877" t="str">
            <v>BN2627M194</v>
          </cell>
          <cell r="C877">
            <v>30</v>
          </cell>
          <cell r="D877">
            <v>263.64</v>
          </cell>
          <cell r="E877">
            <v>7909.2</v>
          </cell>
          <cell r="F877" t="str">
            <v>A1-S06</v>
          </cell>
          <cell r="G877" t="str">
            <v>Patching wood - Gỗ đắp</v>
          </cell>
          <cell r="H877" t="str">
            <v>Poplar off cut</v>
          </cell>
          <cell r="I877">
            <v>60</v>
          </cell>
        </row>
        <row r="878">
          <cell r="A878" t="str">
            <v>B558000/A</v>
          </cell>
          <cell r="B878" t="str">
            <v>BN2627M194</v>
          </cell>
          <cell r="C878">
            <v>30</v>
          </cell>
          <cell r="D878">
            <v>263.64</v>
          </cell>
          <cell r="E878">
            <v>7909.2</v>
          </cell>
          <cell r="F878" t="str">
            <v>A2-S01</v>
          </cell>
          <cell r="G878" t="str">
            <v>Front rail  - Đố tiền</v>
          </cell>
          <cell r="H878" t="str">
            <v>Wood EU Beech - Straight/Waving Edged ABC, 2 COM - T32mm x W100mm up x L1.8m up</v>
          </cell>
          <cell r="I878">
            <v>30</v>
          </cell>
        </row>
        <row r="879">
          <cell r="A879" t="str">
            <v>B558000/A</v>
          </cell>
          <cell r="B879" t="str">
            <v>BN2627M194</v>
          </cell>
          <cell r="C879">
            <v>30</v>
          </cell>
          <cell r="D879">
            <v>263.64</v>
          </cell>
          <cell r="E879">
            <v>7909.2</v>
          </cell>
          <cell r="F879" t="str">
            <v>A2-S02</v>
          </cell>
          <cell r="G879" t="str">
            <v>back rail - Đố hậu</v>
          </cell>
          <cell r="H879" t="str">
            <v>Wood US Poplar - Straight Edged, 2 COM - T25mm x W100mm Up x L1.8m Up</v>
          </cell>
          <cell r="I879">
            <v>30</v>
          </cell>
        </row>
        <row r="880">
          <cell r="A880" t="str">
            <v>B558000/A</v>
          </cell>
          <cell r="B880" t="str">
            <v>BN2627M194</v>
          </cell>
          <cell r="C880">
            <v>30</v>
          </cell>
          <cell r="D880">
            <v>263.64</v>
          </cell>
          <cell r="E880">
            <v>7909.2</v>
          </cell>
          <cell r="F880" t="str">
            <v>A2-S03</v>
          </cell>
          <cell r="G880" t="str">
            <v xml:space="preserve">Panel - Ván </v>
          </cell>
          <cell r="H880" t="str">
            <v>MDF Veneer</v>
          </cell>
          <cell r="I880">
            <v>30</v>
          </cell>
        </row>
        <row r="881">
          <cell r="A881" t="str">
            <v>B558000/A</v>
          </cell>
          <cell r="B881" t="str">
            <v>BN2627M194</v>
          </cell>
          <cell r="C881">
            <v>30</v>
          </cell>
          <cell r="D881">
            <v>263.64</v>
          </cell>
          <cell r="E881">
            <v>7909.2</v>
          </cell>
          <cell r="F881" t="str">
            <v>A2-S04</v>
          </cell>
          <cell r="G881" t="str">
            <v>Center rail - Đố giữa</v>
          </cell>
          <cell r="H881" t="str">
            <v>Wood US Poplar - Straight Edged, 2 COM - T25mm x W100mm Up x L1.8m Up</v>
          </cell>
          <cell r="I881">
            <v>30</v>
          </cell>
        </row>
        <row r="882">
          <cell r="A882" t="str">
            <v>B558000/A</v>
          </cell>
          <cell r="B882" t="str">
            <v>BN2627M194</v>
          </cell>
          <cell r="C882">
            <v>30</v>
          </cell>
          <cell r="D882">
            <v>263.64</v>
          </cell>
          <cell r="E882">
            <v>7909.2</v>
          </cell>
          <cell r="F882" t="str">
            <v>A2-S05</v>
          </cell>
          <cell r="G882" t="str">
            <v xml:space="preserve">Side rail  - Đố hông </v>
          </cell>
          <cell r="H882" t="str">
            <v>Wood US Poplar - Straight Edged, 2 COM - T25mm x W100mm Up x L1.8m Up</v>
          </cell>
          <cell r="I882">
            <v>60</v>
          </cell>
        </row>
        <row r="883">
          <cell r="A883" t="str">
            <v>B558000/A</v>
          </cell>
          <cell r="B883" t="str">
            <v>BN2627M194</v>
          </cell>
          <cell r="C883">
            <v>30</v>
          </cell>
          <cell r="D883">
            <v>263.64</v>
          </cell>
          <cell r="E883">
            <v>7909.2</v>
          </cell>
          <cell r="F883" t="str">
            <v>A3</v>
          </cell>
          <cell r="G883" t="str">
            <v>vaccumn veneer - cảo bich veneer</v>
          </cell>
          <cell r="H883" t="str">
            <v>Pre-Assembly</v>
          </cell>
          <cell r="I883">
            <v>60</v>
          </cell>
        </row>
        <row r="884">
          <cell r="A884" t="str">
            <v>B558000/A</v>
          </cell>
          <cell r="B884" t="str">
            <v>BN2627M194</v>
          </cell>
          <cell r="C884">
            <v>30</v>
          </cell>
          <cell r="D884">
            <v>263.64</v>
          </cell>
          <cell r="E884">
            <v>7909.2</v>
          </cell>
          <cell r="F884" t="str">
            <v>A3-S01</v>
          </cell>
          <cell r="G884" t="str">
            <v>Front rail  - Đố tiền</v>
          </cell>
          <cell r="H884" t="str">
            <v>MDF - 25 x 1830 x 2440mm [CARB P2 Compliant]</v>
          </cell>
          <cell r="I884">
            <v>60</v>
          </cell>
        </row>
        <row r="885">
          <cell r="A885" t="str">
            <v>B558000/A</v>
          </cell>
          <cell r="B885" t="str">
            <v>BN2627M194</v>
          </cell>
          <cell r="C885">
            <v>30</v>
          </cell>
          <cell r="D885">
            <v>263.64</v>
          </cell>
          <cell r="E885">
            <v>7909.2</v>
          </cell>
          <cell r="F885" t="str">
            <v>A3-S02</v>
          </cell>
          <cell r="G885" t="str">
            <v>back rail - Đố hậu</v>
          </cell>
          <cell r="H885" t="str">
            <v>MDF - 25 x 1830 x 2440mm [CARB P2 Compliant]</v>
          </cell>
          <cell r="I885">
            <v>60</v>
          </cell>
        </row>
        <row r="886">
          <cell r="A886" t="str">
            <v>B558000/A</v>
          </cell>
          <cell r="B886" t="str">
            <v>BN2627M194</v>
          </cell>
          <cell r="C886">
            <v>30</v>
          </cell>
          <cell r="D886">
            <v>263.64</v>
          </cell>
          <cell r="E886">
            <v>7909.2</v>
          </cell>
          <cell r="F886" t="str">
            <v>A3-S03</v>
          </cell>
          <cell r="G886" t="str">
            <v xml:space="preserve">Side panel  - Ván hông </v>
          </cell>
          <cell r="H886" t="str">
            <v>MDF Veneer</v>
          </cell>
          <cell r="I886">
            <v>60</v>
          </cell>
        </row>
        <row r="887">
          <cell r="A887" t="str">
            <v>B558000/A</v>
          </cell>
          <cell r="B887" t="str">
            <v>BN2627M194</v>
          </cell>
          <cell r="C887">
            <v>30</v>
          </cell>
          <cell r="D887">
            <v>263.64</v>
          </cell>
          <cell r="E887">
            <v>7909.2</v>
          </cell>
          <cell r="F887" t="str">
            <v>A3-S04</v>
          </cell>
          <cell r="G887" t="str">
            <v xml:space="preserve">Side panel  - Ván hông </v>
          </cell>
          <cell r="H887" t="str">
            <v>MDF Veneer</v>
          </cell>
          <cell r="I887">
            <v>60</v>
          </cell>
        </row>
        <row r="888">
          <cell r="A888" t="str">
            <v>B558000/A</v>
          </cell>
          <cell r="B888" t="str">
            <v>BN2627M194</v>
          </cell>
          <cell r="C888">
            <v>30</v>
          </cell>
          <cell r="D888">
            <v>263.64</v>
          </cell>
          <cell r="E888">
            <v>7909.2</v>
          </cell>
          <cell r="F888" t="str">
            <v>A3-S05</v>
          </cell>
          <cell r="G888" t="str">
            <v>Insert Wood - Gỗ chèn</v>
          </cell>
          <cell r="H888" t="str">
            <v>MDF - 25 x 1830 x 2440mm [CARB P2 Compliant]</v>
          </cell>
          <cell r="I888">
            <v>180</v>
          </cell>
        </row>
        <row r="889">
          <cell r="A889" t="str">
            <v>B558000/A</v>
          </cell>
          <cell r="B889" t="str">
            <v>BN2627M194</v>
          </cell>
          <cell r="C889">
            <v>30</v>
          </cell>
          <cell r="D889">
            <v>263.64</v>
          </cell>
          <cell r="E889">
            <v>7909.2</v>
          </cell>
          <cell r="F889" t="str">
            <v>A3-S06</v>
          </cell>
          <cell r="G889" t="str">
            <v>Insert Wood - Gỗ chèn</v>
          </cell>
          <cell r="H889" t="str">
            <v>Wood US Poplar - Straight Edged, 2 COM - T25mm x W100mm Up x L1.8m Up</v>
          </cell>
          <cell r="I889">
            <v>60</v>
          </cell>
        </row>
        <row r="890">
          <cell r="A890" t="str">
            <v>B558000/A</v>
          </cell>
          <cell r="B890" t="str">
            <v>BN2627M194</v>
          </cell>
          <cell r="C890">
            <v>30</v>
          </cell>
          <cell r="D890">
            <v>263.64</v>
          </cell>
          <cell r="E890">
            <v>7909.2</v>
          </cell>
          <cell r="F890" t="str">
            <v>A3-S07</v>
          </cell>
          <cell r="G890" t="str">
            <v>Insert Wood - Gỗ chèn</v>
          </cell>
          <cell r="H890" t="str">
            <v>Wood US Poplar - Straight Edged, 2 COM - T25mm x W100mm Up x L1.8m Up</v>
          </cell>
          <cell r="I890">
            <v>60</v>
          </cell>
        </row>
        <row r="891">
          <cell r="A891" t="str">
            <v>B558000/A</v>
          </cell>
          <cell r="B891" t="str">
            <v>BN2627M194</v>
          </cell>
          <cell r="C891">
            <v>30</v>
          </cell>
          <cell r="D891">
            <v>263.64</v>
          </cell>
          <cell r="E891">
            <v>7909.2</v>
          </cell>
          <cell r="F891" t="str">
            <v>A4-S01</v>
          </cell>
          <cell r="G891" t="str">
            <v>Bottom rail inside - Đố tiền đáy</v>
          </cell>
          <cell r="H891" t="str">
            <v>Wood White Oak - Straight/Waving Edged, 2 COM - T32mm x W100mm Up x L1.5m Up</v>
          </cell>
          <cell r="I891">
            <v>60</v>
          </cell>
        </row>
        <row r="892">
          <cell r="A892" t="str">
            <v>B558000/A</v>
          </cell>
          <cell r="B892" t="str">
            <v>BN2627M194</v>
          </cell>
          <cell r="C892">
            <v>30</v>
          </cell>
          <cell r="D892">
            <v>263.64</v>
          </cell>
          <cell r="E892">
            <v>7909.2</v>
          </cell>
          <cell r="F892" t="str">
            <v>A4-S02</v>
          </cell>
          <cell r="G892" t="str">
            <v>Side bottom rail - Đố hông dưới</v>
          </cell>
          <cell r="H892" t="str">
            <v>Wood White Oak - Straight/Waving Edged, 2 COM - T32mm x W100mm Up x L1.5m Up</v>
          </cell>
          <cell r="I892">
            <v>60</v>
          </cell>
        </row>
        <row r="893">
          <cell r="A893" t="str">
            <v>B558000/A</v>
          </cell>
          <cell r="B893" t="str">
            <v>BN2627M194</v>
          </cell>
          <cell r="C893">
            <v>30</v>
          </cell>
          <cell r="D893">
            <v>263.64</v>
          </cell>
          <cell r="E893">
            <v>7909.2</v>
          </cell>
          <cell r="F893" t="str">
            <v>P01</v>
          </cell>
          <cell r="G893" t="str">
            <v xml:space="preserve">Top panel  - Ván nóc </v>
          </cell>
          <cell r="H893" t="str">
            <v>MDF Veneer</v>
          </cell>
          <cell r="I893">
            <v>30</v>
          </cell>
        </row>
        <row r="894">
          <cell r="A894" t="str">
            <v>B558000/A</v>
          </cell>
          <cell r="B894" t="str">
            <v>BN2627M194</v>
          </cell>
          <cell r="C894">
            <v>30</v>
          </cell>
          <cell r="D894">
            <v>263.64</v>
          </cell>
          <cell r="E894">
            <v>7909.2</v>
          </cell>
          <cell r="F894" t="str">
            <v>P02</v>
          </cell>
          <cell r="G894" t="str">
            <v>Front top rail  - Đố tiền nóc</v>
          </cell>
          <cell r="H894" t="str">
            <v>Wood EU Beech - Straight/Waving Edged ABC, 2 COM - T26mm x W100mm up x L1.8m up</v>
          </cell>
          <cell r="I894">
            <v>30</v>
          </cell>
        </row>
        <row r="895">
          <cell r="A895" t="str">
            <v>B558000/A</v>
          </cell>
          <cell r="B895" t="str">
            <v>BN2627M194</v>
          </cell>
          <cell r="C895">
            <v>30</v>
          </cell>
          <cell r="D895">
            <v>263.64</v>
          </cell>
          <cell r="E895">
            <v>7909.2</v>
          </cell>
          <cell r="F895" t="str">
            <v>P03</v>
          </cell>
          <cell r="G895" t="str">
            <v>Back top rail - Đố hậu nóc</v>
          </cell>
          <cell r="H895" t="str">
            <v>Wood US Poplar - Straight Edged, 2 COM - T25mm x W100mm Up x L1.8m Up</v>
          </cell>
          <cell r="I895">
            <v>30</v>
          </cell>
        </row>
        <row r="896">
          <cell r="A896" t="str">
            <v>B558000/A</v>
          </cell>
          <cell r="B896" t="str">
            <v>BN2627M194</v>
          </cell>
          <cell r="C896">
            <v>30</v>
          </cell>
          <cell r="D896">
            <v>263.64</v>
          </cell>
          <cell r="E896">
            <v>7909.2</v>
          </cell>
          <cell r="F896" t="str">
            <v>P04</v>
          </cell>
          <cell r="G896" t="str">
            <v>Bottom panel - Ván đáy</v>
          </cell>
          <cell r="H896" t="str">
            <v>MDF Veneer</v>
          </cell>
          <cell r="I896">
            <v>30</v>
          </cell>
        </row>
        <row r="897">
          <cell r="A897" t="str">
            <v>B558000/A</v>
          </cell>
          <cell r="B897" t="str">
            <v>BN2627M194</v>
          </cell>
          <cell r="C897">
            <v>30</v>
          </cell>
          <cell r="D897">
            <v>263.64</v>
          </cell>
          <cell r="E897">
            <v>7909.2</v>
          </cell>
          <cell r="F897" t="str">
            <v>P05</v>
          </cell>
          <cell r="G897" t="str">
            <v>Back panel - Ván hậu</v>
          </cell>
          <cell r="H897" t="str">
            <v>MDF Veneer</v>
          </cell>
          <cell r="I897">
            <v>30</v>
          </cell>
        </row>
        <row r="898">
          <cell r="A898" t="str">
            <v>B558000/A</v>
          </cell>
          <cell r="B898" t="str">
            <v>BN2627M194</v>
          </cell>
          <cell r="C898">
            <v>30</v>
          </cell>
          <cell r="D898">
            <v>263.64</v>
          </cell>
          <cell r="E898">
            <v>7909.2</v>
          </cell>
          <cell r="F898" t="str">
            <v>P06</v>
          </cell>
          <cell r="G898" t="str">
            <v>Drawer stop - Dừng hộc</v>
          </cell>
          <cell r="H898" t="str">
            <v>Poplar off cut</v>
          </cell>
          <cell r="I898">
            <v>60</v>
          </cell>
        </row>
        <row r="899">
          <cell r="A899" t="str">
            <v>B557981/A</v>
          </cell>
          <cell r="B899" t="str">
            <v>BN3177M355</v>
          </cell>
          <cell r="C899">
            <v>10</v>
          </cell>
          <cell r="D899">
            <v>736</v>
          </cell>
          <cell r="E899">
            <v>7360</v>
          </cell>
          <cell r="F899" t="str">
            <v>A1</v>
          </cell>
          <cell r="G899" t="str">
            <v>Head board  - Đầu giường</v>
          </cell>
          <cell r="H899" t="str">
            <v>Pre-Assembly</v>
          </cell>
          <cell r="I899">
            <v>10</v>
          </cell>
        </row>
        <row r="900">
          <cell r="A900" t="str">
            <v>B557981/A</v>
          </cell>
          <cell r="B900" t="str">
            <v>BN3177M355</v>
          </cell>
          <cell r="C900">
            <v>10</v>
          </cell>
          <cell r="D900">
            <v>736</v>
          </cell>
          <cell r="E900">
            <v>7360</v>
          </cell>
          <cell r="F900" t="str">
            <v>A11</v>
          </cell>
          <cell r="G900" t="str">
            <v xml:space="preserve">Curve part hot press  - chi tiết cảo cong </v>
          </cell>
          <cell r="H900" t="str">
            <v>Veneer laminate</v>
          </cell>
          <cell r="I900">
            <v>20</v>
          </cell>
        </row>
        <row r="901">
          <cell r="A901" t="str">
            <v>B557981/A</v>
          </cell>
          <cell r="B901" t="str">
            <v>BN3177M355</v>
          </cell>
          <cell r="C901">
            <v>10</v>
          </cell>
          <cell r="D901">
            <v>736</v>
          </cell>
          <cell r="E901">
            <v>7360</v>
          </cell>
          <cell r="F901" t="str">
            <v>A1-S02</v>
          </cell>
          <cell r="G901" t="str">
            <v>Patching moulding - Chỉ đắp</v>
          </cell>
          <cell r="H901" t="str">
            <v>Veneer laminate</v>
          </cell>
          <cell r="I901">
            <v>20</v>
          </cell>
        </row>
        <row r="902">
          <cell r="A902" t="str">
            <v>B557981/A</v>
          </cell>
          <cell r="B902" t="str">
            <v>BN3177M355</v>
          </cell>
          <cell r="C902">
            <v>10</v>
          </cell>
          <cell r="D902">
            <v>736</v>
          </cell>
          <cell r="E902">
            <v>7360</v>
          </cell>
          <cell r="F902" t="str">
            <v>A1-S02-1</v>
          </cell>
          <cell r="G902" t="str">
            <v>Patching moulding - Chỉ đắp</v>
          </cell>
          <cell r="H902" t="str">
            <v>Wood US Poplar - Straight Edged, 2 COM - T38mm x W100mm Up x L1.8m Up</v>
          </cell>
          <cell r="I902">
            <v>10</v>
          </cell>
        </row>
        <row r="903">
          <cell r="A903" t="str">
            <v>B557981/A</v>
          </cell>
          <cell r="B903" t="str">
            <v>BN3177M355</v>
          </cell>
          <cell r="C903">
            <v>10</v>
          </cell>
          <cell r="D903">
            <v>736</v>
          </cell>
          <cell r="E903">
            <v>7360</v>
          </cell>
          <cell r="F903" t="str">
            <v>A1-S03</v>
          </cell>
          <cell r="G903" t="str">
            <v xml:space="preserve">Side rail  - Đố hông </v>
          </cell>
          <cell r="H903" t="str">
            <v>Wood US Poplar - Straight Edged, 2 COM - T38mm x W100mm Up x L1.8m Up</v>
          </cell>
          <cell r="I903">
            <v>20</v>
          </cell>
        </row>
        <row r="904">
          <cell r="A904" t="str">
            <v>B557981/A</v>
          </cell>
          <cell r="B904" t="str">
            <v>BN3177M355</v>
          </cell>
          <cell r="C904">
            <v>10</v>
          </cell>
          <cell r="D904">
            <v>736</v>
          </cell>
          <cell r="E904">
            <v>7360</v>
          </cell>
          <cell r="F904" t="str">
            <v>A1-S04</v>
          </cell>
          <cell r="G904" t="str">
            <v>vaccumn veneer - cảo bich veneer</v>
          </cell>
          <cell r="H904" t="str">
            <v>Pre-Assembly</v>
          </cell>
          <cell r="I904">
            <v>10</v>
          </cell>
        </row>
        <row r="905">
          <cell r="A905" t="str">
            <v>B557981/A</v>
          </cell>
          <cell r="B905" t="str">
            <v>BN3177M355</v>
          </cell>
          <cell r="C905">
            <v>10</v>
          </cell>
          <cell r="D905">
            <v>736</v>
          </cell>
          <cell r="E905">
            <v>7360</v>
          </cell>
          <cell r="F905" t="str">
            <v>A1-S04-1</v>
          </cell>
          <cell r="G905" t="str">
            <v xml:space="preserve">Curve part hot press  - chi tiết cảo cong </v>
          </cell>
          <cell r="H905" t="str">
            <v>MDF Veneer</v>
          </cell>
          <cell r="I905">
            <v>20</v>
          </cell>
        </row>
        <row r="906">
          <cell r="A906" t="str">
            <v>B557981/A</v>
          </cell>
          <cell r="B906" t="str">
            <v>BN3177M355</v>
          </cell>
          <cell r="C906">
            <v>10</v>
          </cell>
          <cell r="D906">
            <v>736</v>
          </cell>
          <cell r="E906">
            <v>7360</v>
          </cell>
          <cell r="F906" t="str">
            <v>A1-S04-1-1</v>
          </cell>
          <cell r="G906" t="str">
            <v>Patching wood - Gỗ đắp</v>
          </cell>
          <cell r="H906" t="str">
            <v>Beech off cut</v>
          </cell>
          <cell r="I906">
            <v>20</v>
          </cell>
        </row>
        <row r="907">
          <cell r="A907" t="str">
            <v>B557981/A</v>
          </cell>
          <cell r="B907" t="str">
            <v>BN3177M355</v>
          </cell>
          <cell r="C907">
            <v>10</v>
          </cell>
          <cell r="D907">
            <v>736</v>
          </cell>
          <cell r="E907">
            <v>7360</v>
          </cell>
          <cell r="F907" t="str">
            <v>A1-S04-2</v>
          </cell>
          <cell r="G907" t="str">
            <v>Head board panel  - Ván đầu giường</v>
          </cell>
          <cell r="H907" t="str">
            <v>MDF Veneer</v>
          </cell>
          <cell r="I907">
            <v>10</v>
          </cell>
        </row>
        <row r="908">
          <cell r="A908" t="str">
            <v>B557981/A</v>
          </cell>
          <cell r="B908" t="str">
            <v>BN3177M355</v>
          </cell>
          <cell r="C908">
            <v>10</v>
          </cell>
          <cell r="D908">
            <v>736</v>
          </cell>
          <cell r="E908">
            <v>7360</v>
          </cell>
          <cell r="F908" t="str">
            <v>A1-S04-3</v>
          </cell>
          <cell r="G908" t="str">
            <v>Spline - Lưỡi gà</v>
          </cell>
          <cell r="H908" t="str">
            <v>Plywood LVD - 15 x 1220 x 2440mm, Bleached Poplar Veneer Both Sides [CARB P2 Compliant]</v>
          </cell>
          <cell r="I908">
            <v>20</v>
          </cell>
        </row>
        <row r="909">
          <cell r="A909" t="str">
            <v>B557981/A</v>
          </cell>
          <cell r="B909" t="str">
            <v>BN3177M355</v>
          </cell>
          <cell r="C909">
            <v>10</v>
          </cell>
          <cell r="D909">
            <v>736</v>
          </cell>
          <cell r="E909">
            <v>7360</v>
          </cell>
          <cell r="F909" t="str">
            <v>A1-S06</v>
          </cell>
          <cell r="G909" t="str">
            <v>Patching moulding - Chỉ đắp</v>
          </cell>
          <cell r="H909" t="str">
            <v>Veneer laminate</v>
          </cell>
          <cell r="I909">
            <v>20</v>
          </cell>
        </row>
        <row r="910">
          <cell r="A910" t="str">
            <v>B557981/A</v>
          </cell>
          <cell r="B910" t="str">
            <v>BN3177M355</v>
          </cell>
          <cell r="C910">
            <v>10</v>
          </cell>
          <cell r="D910">
            <v>736</v>
          </cell>
          <cell r="E910">
            <v>7360</v>
          </cell>
          <cell r="F910" t="str">
            <v>A1-S06-1</v>
          </cell>
          <cell r="G910" t="str">
            <v>Patching moulding - Chỉ đắp</v>
          </cell>
          <cell r="H910" t="str">
            <v>Wd+VN</v>
          </cell>
          <cell r="I910">
            <v>10</v>
          </cell>
        </row>
        <row r="911">
          <cell r="A911" t="str">
            <v>B557981/A</v>
          </cell>
          <cell r="B911" t="str">
            <v>BN3177M355</v>
          </cell>
          <cell r="C911">
            <v>10</v>
          </cell>
          <cell r="D911">
            <v>736</v>
          </cell>
          <cell r="E911">
            <v>7360</v>
          </cell>
          <cell r="F911" t="str">
            <v>A1-S09</v>
          </cell>
          <cell r="G911" t="str">
            <v>Front Bottom Rail  - Đố đáy trước</v>
          </cell>
          <cell r="H911" t="str">
            <v>Pre-Assembly</v>
          </cell>
          <cell r="I911">
            <v>10</v>
          </cell>
        </row>
        <row r="912">
          <cell r="A912" t="str">
            <v>B557981/A</v>
          </cell>
          <cell r="B912" t="str">
            <v>BN3177M355</v>
          </cell>
          <cell r="C912">
            <v>10</v>
          </cell>
          <cell r="D912">
            <v>736</v>
          </cell>
          <cell r="E912">
            <v>7360</v>
          </cell>
          <cell r="F912" t="str">
            <v>A1-S09-1</v>
          </cell>
          <cell r="G912" t="str">
            <v>Front Bottom Rail  - Đố đáy trước</v>
          </cell>
          <cell r="H912" t="str">
            <v>Wd+VN</v>
          </cell>
          <cell r="I912">
            <v>10</v>
          </cell>
        </row>
        <row r="913">
          <cell r="A913" t="str">
            <v>B557981/A</v>
          </cell>
          <cell r="B913" t="str">
            <v>BN3177M355</v>
          </cell>
          <cell r="C913">
            <v>10</v>
          </cell>
          <cell r="D913">
            <v>736</v>
          </cell>
          <cell r="E913">
            <v>7360</v>
          </cell>
          <cell r="F913" t="str">
            <v>A1-S09-2</v>
          </cell>
          <cell r="G913" t="str">
            <v>Front Bottom Rail  - Đố đáy trước</v>
          </cell>
          <cell r="H913" t="str">
            <v>Wood laminate</v>
          </cell>
          <cell r="I913">
            <v>20</v>
          </cell>
        </row>
        <row r="914">
          <cell r="A914" t="str">
            <v>B557981/A</v>
          </cell>
          <cell r="B914" t="str">
            <v>BN3177M355</v>
          </cell>
          <cell r="C914">
            <v>10</v>
          </cell>
          <cell r="D914">
            <v>736</v>
          </cell>
          <cell r="E914">
            <v>7360</v>
          </cell>
          <cell r="F914" t="str">
            <v>A1-S11</v>
          </cell>
          <cell r="G914" t="str">
            <v>Cleat - Bọ gỗ</v>
          </cell>
          <cell r="H914" t="str">
            <v>Beech off cut</v>
          </cell>
          <cell r="I914">
            <v>20</v>
          </cell>
        </row>
        <row r="915">
          <cell r="A915" t="str">
            <v>B557981/A</v>
          </cell>
          <cell r="B915" t="str">
            <v>BN3177M355</v>
          </cell>
          <cell r="C915">
            <v>10</v>
          </cell>
          <cell r="D915">
            <v>736</v>
          </cell>
          <cell r="E915">
            <v>7360</v>
          </cell>
          <cell r="F915" t="str">
            <v>A1-S12</v>
          </cell>
          <cell r="G915" t="str">
            <v>Cleat - Bọ gỗ</v>
          </cell>
          <cell r="H915" t="str">
            <v>Beech off cut</v>
          </cell>
          <cell r="I915">
            <v>40</v>
          </cell>
        </row>
        <row r="916">
          <cell r="A916" t="str">
            <v>B557981/A</v>
          </cell>
          <cell r="B916" t="str">
            <v>BN3177M355</v>
          </cell>
          <cell r="C916">
            <v>10</v>
          </cell>
          <cell r="D916">
            <v>736</v>
          </cell>
          <cell r="E916">
            <v>7360</v>
          </cell>
          <cell r="F916" t="str">
            <v>A2-S01</v>
          </cell>
          <cell r="G916" t="str">
            <v>vaccumn veneer - cảo bich veneer</v>
          </cell>
          <cell r="H916" t="str">
            <v>Pre-Assembly</v>
          </cell>
          <cell r="I916">
            <v>10</v>
          </cell>
        </row>
        <row r="917">
          <cell r="A917" t="str">
            <v>B557981/A</v>
          </cell>
          <cell r="B917" t="str">
            <v>BN3177M355</v>
          </cell>
          <cell r="C917">
            <v>10</v>
          </cell>
          <cell r="D917">
            <v>736</v>
          </cell>
          <cell r="E917">
            <v>7360</v>
          </cell>
          <cell r="F917" t="str">
            <v>A2-S01-1</v>
          </cell>
          <cell r="G917" t="str">
            <v xml:space="preserve">Curve part hot press  - chi tiết cảo cong </v>
          </cell>
          <cell r="H917" t="str">
            <v>MDF laminate</v>
          </cell>
          <cell r="I917">
            <v>20</v>
          </cell>
        </row>
        <row r="918">
          <cell r="A918" t="str">
            <v>B557981/A</v>
          </cell>
          <cell r="B918" t="str">
            <v>BN3177M355</v>
          </cell>
          <cell r="C918">
            <v>10</v>
          </cell>
          <cell r="D918">
            <v>736</v>
          </cell>
          <cell r="E918">
            <v>7360</v>
          </cell>
          <cell r="F918" t="str">
            <v>A2-S01-2</v>
          </cell>
          <cell r="G918" t="str">
            <v>Foot board  - Đuôi giường</v>
          </cell>
          <cell r="H918" t="str">
            <v>MDF laminate</v>
          </cell>
          <cell r="I918">
            <v>10</v>
          </cell>
        </row>
        <row r="919">
          <cell r="A919" t="str">
            <v>B557981/A</v>
          </cell>
          <cell r="B919" t="str">
            <v>BN3177M355</v>
          </cell>
          <cell r="C919">
            <v>10</v>
          </cell>
          <cell r="D919">
            <v>736</v>
          </cell>
          <cell r="E919">
            <v>7360</v>
          </cell>
          <cell r="F919" t="str">
            <v>A2-S01-3</v>
          </cell>
          <cell r="G919" t="str">
            <v>Spline - Lưỡi gà</v>
          </cell>
          <cell r="H919" t="str">
            <v>Plywood off cut</v>
          </cell>
          <cell r="I919">
            <v>20</v>
          </cell>
        </row>
        <row r="920">
          <cell r="A920" t="str">
            <v>B557981/A</v>
          </cell>
          <cell r="B920" t="str">
            <v>BN3177M355</v>
          </cell>
          <cell r="C920">
            <v>10</v>
          </cell>
          <cell r="D920">
            <v>736</v>
          </cell>
          <cell r="E920">
            <v>7360</v>
          </cell>
          <cell r="F920" t="str">
            <v>A2-S01-4</v>
          </cell>
          <cell r="G920" t="str">
            <v>Insert Wood - Gỗ chèn</v>
          </cell>
          <cell r="H920" t="str">
            <v>Wood EU Beech - Straight/Waving Edged ABC, 2 COM - T38mm x W100mm up x L1.8m up</v>
          </cell>
          <cell r="I920">
            <v>20</v>
          </cell>
        </row>
        <row r="921">
          <cell r="A921" t="str">
            <v>B557981/A</v>
          </cell>
          <cell r="B921" t="str">
            <v>BN3177M355</v>
          </cell>
          <cell r="C921">
            <v>10</v>
          </cell>
          <cell r="D921">
            <v>736</v>
          </cell>
          <cell r="E921">
            <v>7360</v>
          </cell>
          <cell r="F921" t="str">
            <v>A2-S02</v>
          </cell>
          <cell r="G921" t="str">
            <v>Front Bottom Rail  - Đố đáy trước</v>
          </cell>
          <cell r="H921" t="str">
            <v>Pre-Assembly</v>
          </cell>
          <cell r="I921">
            <v>10</v>
          </cell>
        </row>
        <row r="922">
          <cell r="A922" t="str">
            <v>B557981/A</v>
          </cell>
          <cell r="B922" t="str">
            <v>BN3177M355</v>
          </cell>
          <cell r="C922">
            <v>10</v>
          </cell>
          <cell r="D922">
            <v>736</v>
          </cell>
          <cell r="E922">
            <v>7360</v>
          </cell>
          <cell r="F922" t="str">
            <v>A2-S02-2</v>
          </cell>
          <cell r="G922" t="str">
            <v>Front Bottom Rail  - Đố đáy trước</v>
          </cell>
          <cell r="H922" t="str">
            <v>Wd+VN</v>
          </cell>
          <cell r="I922">
            <v>10</v>
          </cell>
        </row>
        <row r="923">
          <cell r="A923" t="str">
            <v>B557981/A</v>
          </cell>
          <cell r="B923" t="str">
            <v>BN3177M355</v>
          </cell>
          <cell r="C923">
            <v>10</v>
          </cell>
          <cell r="D923">
            <v>736</v>
          </cell>
          <cell r="E923">
            <v>7360</v>
          </cell>
          <cell r="F923" t="str">
            <v>A2-S02-3</v>
          </cell>
          <cell r="G923" t="str">
            <v>Front Bottom Rail  - Đố đáy trước</v>
          </cell>
          <cell r="H923" t="str">
            <v>Wd+VN</v>
          </cell>
          <cell r="I923">
            <v>20</v>
          </cell>
        </row>
        <row r="924">
          <cell r="A924" t="str">
            <v>B557981/A</v>
          </cell>
          <cell r="B924" t="str">
            <v>BN3177M355</v>
          </cell>
          <cell r="C924">
            <v>10</v>
          </cell>
          <cell r="D924">
            <v>736</v>
          </cell>
          <cell r="E924">
            <v>7360</v>
          </cell>
          <cell r="F924" t="str">
            <v>A3-S1</v>
          </cell>
          <cell r="G924" t="str">
            <v>Side bed panel - Ván hông giường</v>
          </cell>
          <cell r="H924" t="str">
            <v>Wd+MDF+VN</v>
          </cell>
          <cell r="I924">
            <v>20</v>
          </cell>
        </row>
        <row r="925">
          <cell r="A925" t="str">
            <v>B557981/A</v>
          </cell>
          <cell r="B925" t="str">
            <v>BN3177M355</v>
          </cell>
          <cell r="C925">
            <v>10</v>
          </cell>
          <cell r="D925">
            <v>736</v>
          </cell>
          <cell r="E925">
            <v>7360</v>
          </cell>
          <cell r="F925" t="str">
            <v>A3-S1-1</v>
          </cell>
          <cell r="G925" t="str">
            <v>Insert Wood - Gỗ chèn</v>
          </cell>
          <cell r="H925" t="str">
            <v>Wood EU Beech - Straight/Waving Edged ABC, 2 COM - T38mm x W100mm up x L1.8m up</v>
          </cell>
          <cell r="I925">
            <v>40</v>
          </cell>
        </row>
        <row r="926">
          <cell r="A926" t="str">
            <v>B557981/A</v>
          </cell>
          <cell r="B926" t="str">
            <v>BN3177M355</v>
          </cell>
          <cell r="C926">
            <v>10</v>
          </cell>
          <cell r="D926">
            <v>736</v>
          </cell>
          <cell r="E926">
            <v>7360</v>
          </cell>
          <cell r="F926" t="str">
            <v>A3-S2</v>
          </cell>
          <cell r="G926" t="str">
            <v>Slat Support  - Đỡ dạt giường</v>
          </cell>
          <cell r="H926" t="str">
            <v>Wood US Poplar - Straight Edged, 1 COM - T32mm x W100mm Up x L1.8m Up</v>
          </cell>
          <cell r="I926">
            <v>20</v>
          </cell>
        </row>
        <row r="927">
          <cell r="A927" t="str">
            <v>B557981/A</v>
          </cell>
          <cell r="B927" t="str">
            <v>BN3177M355</v>
          </cell>
          <cell r="C927">
            <v>10</v>
          </cell>
          <cell r="D927">
            <v>736</v>
          </cell>
          <cell r="E927">
            <v>7360</v>
          </cell>
          <cell r="F927" t="str">
            <v>A3-S3</v>
          </cell>
          <cell r="G927" t="str">
            <v>Side bottom rail - Đố hông dưới</v>
          </cell>
          <cell r="H927" t="str">
            <v>Wood US Poplar - Straight Edged, 1 COM - T32mm x W100mm Up x L1.8m Up</v>
          </cell>
          <cell r="I927">
            <v>20</v>
          </cell>
        </row>
        <row r="928">
          <cell r="A928" t="str">
            <v>B557981/A</v>
          </cell>
          <cell r="B928" t="str">
            <v>BN3177M355</v>
          </cell>
          <cell r="C928">
            <v>10</v>
          </cell>
          <cell r="D928">
            <v>736</v>
          </cell>
          <cell r="E928">
            <v>7360</v>
          </cell>
          <cell r="F928" t="str">
            <v>P2</v>
          </cell>
          <cell r="G928" t="str">
            <v>Slat Support  - Đỡ dạt giường</v>
          </cell>
          <cell r="H928" t="str">
            <v>Wood US Poplar - Straight Edged, 1 COM - T38mm x W100mm Up x L1.8m Up</v>
          </cell>
          <cell r="I928">
            <v>10</v>
          </cell>
        </row>
        <row r="929">
          <cell r="A929" t="str">
            <v>B557981/A</v>
          </cell>
          <cell r="B929" t="str">
            <v>BN3177M355</v>
          </cell>
          <cell r="C929">
            <v>10</v>
          </cell>
          <cell r="D929">
            <v>736</v>
          </cell>
          <cell r="E929">
            <v>7360</v>
          </cell>
          <cell r="F929" t="str">
            <v>P3</v>
          </cell>
          <cell r="G929" t="str">
            <v>panel platform - ván sàn giường</v>
          </cell>
          <cell r="H929" t="str">
            <v>MDF Veneer</v>
          </cell>
          <cell r="I929">
            <v>20</v>
          </cell>
        </row>
        <row r="930">
          <cell r="A930" t="str">
            <v>B557984/A</v>
          </cell>
          <cell r="B930" t="str">
            <v>BN3177M356</v>
          </cell>
          <cell r="C930">
            <v>15</v>
          </cell>
          <cell r="D930">
            <v>688</v>
          </cell>
          <cell r="E930">
            <v>10320</v>
          </cell>
          <cell r="F930" t="str">
            <v>A1</v>
          </cell>
          <cell r="G930" t="str">
            <v>Head board  - Đầu giường</v>
          </cell>
          <cell r="H930" t="str">
            <v>Pre-Assembly</v>
          </cell>
          <cell r="I930">
            <v>15</v>
          </cell>
        </row>
        <row r="931">
          <cell r="A931" t="str">
            <v>B557984/A</v>
          </cell>
          <cell r="B931" t="str">
            <v>BN3177M356</v>
          </cell>
          <cell r="C931">
            <v>15</v>
          </cell>
          <cell r="D931">
            <v>688</v>
          </cell>
          <cell r="E931">
            <v>10320</v>
          </cell>
          <cell r="F931" t="str">
            <v>A11</v>
          </cell>
          <cell r="G931" t="str">
            <v xml:space="preserve">Curve part hot press  - chi tiết cảo cong </v>
          </cell>
          <cell r="H931" t="str">
            <v>Veneer laminate</v>
          </cell>
          <cell r="I931">
            <v>30</v>
          </cell>
        </row>
        <row r="932">
          <cell r="A932" t="str">
            <v>B557984/A</v>
          </cell>
          <cell r="B932" t="str">
            <v>BN3177M356</v>
          </cell>
          <cell r="C932">
            <v>15</v>
          </cell>
          <cell r="D932">
            <v>688</v>
          </cell>
          <cell r="E932">
            <v>10320</v>
          </cell>
          <cell r="F932" t="str">
            <v>A1-S02</v>
          </cell>
          <cell r="G932" t="str">
            <v>Patching moulding - Chỉ đắp</v>
          </cell>
          <cell r="H932" t="str">
            <v>Veneer laminate</v>
          </cell>
          <cell r="I932">
            <v>30</v>
          </cell>
        </row>
        <row r="933">
          <cell r="A933" t="str">
            <v>B557984/A</v>
          </cell>
          <cell r="B933" t="str">
            <v>BN3177M356</v>
          </cell>
          <cell r="C933">
            <v>15</v>
          </cell>
          <cell r="D933">
            <v>688</v>
          </cell>
          <cell r="E933">
            <v>10320</v>
          </cell>
          <cell r="F933" t="str">
            <v>A1-S02-1</v>
          </cell>
          <cell r="G933" t="str">
            <v>Patching moulding - Chỉ đắp</v>
          </cell>
          <cell r="H933" t="str">
            <v>Wood US Poplar - Straight Edged, 2 COM - T38mm x W100mm Up x L1.8m Up</v>
          </cell>
          <cell r="I933">
            <v>15</v>
          </cell>
        </row>
        <row r="934">
          <cell r="A934" t="str">
            <v>B557984/A</v>
          </cell>
          <cell r="B934" t="str">
            <v>BN3177M356</v>
          </cell>
          <cell r="C934">
            <v>15</v>
          </cell>
          <cell r="D934">
            <v>688</v>
          </cell>
          <cell r="E934">
            <v>10320</v>
          </cell>
          <cell r="F934" t="str">
            <v>A1-S03</v>
          </cell>
          <cell r="G934" t="str">
            <v xml:space="preserve">Side rail  - Đố hông </v>
          </cell>
          <cell r="H934" t="str">
            <v>Wood US Poplar - Straight Edged, 2 COM - T38mm x W100mm Up x L1.8m Up</v>
          </cell>
          <cell r="I934">
            <v>30</v>
          </cell>
        </row>
        <row r="935">
          <cell r="A935" t="str">
            <v>B557984/A</v>
          </cell>
          <cell r="B935" t="str">
            <v>BN3177M356</v>
          </cell>
          <cell r="C935">
            <v>15</v>
          </cell>
          <cell r="D935">
            <v>688</v>
          </cell>
          <cell r="E935">
            <v>10320</v>
          </cell>
          <cell r="F935" t="str">
            <v>A1-S04</v>
          </cell>
          <cell r="G935" t="str">
            <v>vaccumn veneer - cảo bich veneer</v>
          </cell>
          <cell r="H935" t="str">
            <v>Pre-Assembly</v>
          </cell>
          <cell r="I935">
            <v>15</v>
          </cell>
        </row>
        <row r="936">
          <cell r="A936" t="str">
            <v>B557984/A</v>
          </cell>
          <cell r="B936" t="str">
            <v>BN3177M356</v>
          </cell>
          <cell r="C936">
            <v>15</v>
          </cell>
          <cell r="D936">
            <v>688</v>
          </cell>
          <cell r="E936">
            <v>10320</v>
          </cell>
          <cell r="F936" t="str">
            <v>A1-S04-1</v>
          </cell>
          <cell r="G936" t="str">
            <v xml:space="preserve">Curve part hot press  - chi tiết cảo cong </v>
          </cell>
          <cell r="H936" t="str">
            <v>MDF Veneer</v>
          </cell>
          <cell r="I936">
            <v>30</v>
          </cell>
        </row>
        <row r="937">
          <cell r="A937" t="str">
            <v>B557984/A</v>
          </cell>
          <cell r="B937" t="str">
            <v>BN3177M356</v>
          </cell>
          <cell r="C937">
            <v>15</v>
          </cell>
          <cell r="D937">
            <v>688</v>
          </cell>
          <cell r="E937">
            <v>10320</v>
          </cell>
          <cell r="F937" t="str">
            <v>A1-S04-1-1</v>
          </cell>
          <cell r="G937" t="str">
            <v>Patching wood - Gỗ đắp</v>
          </cell>
          <cell r="H937" t="str">
            <v>Beech off cut</v>
          </cell>
          <cell r="I937">
            <v>30</v>
          </cell>
        </row>
        <row r="938">
          <cell r="A938" t="str">
            <v>B557984/A</v>
          </cell>
          <cell r="B938" t="str">
            <v>BN3177M356</v>
          </cell>
          <cell r="C938">
            <v>15</v>
          </cell>
          <cell r="D938">
            <v>688</v>
          </cell>
          <cell r="E938">
            <v>10320</v>
          </cell>
          <cell r="F938" t="str">
            <v>A1-S04-2</v>
          </cell>
          <cell r="G938" t="str">
            <v>Center panel - Ván giữa</v>
          </cell>
          <cell r="H938" t="str">
            <v>MDF Veneer</v>
          </cell>
          <cell r="I938">
            <v>15</v>
          </cell>
        </row>
        <row r="939">
          <cell r="A939" t="str">
            <v>B557984/A</v>
          </cell>
          <cell r="B939" t="str">
            <v>BN3177M356</v>
          </cell>
          <cell r="C939">
            <v>15</v>
          </cell>
          <cell r="D939">
            <v>688</v>
          </cell>
          <cell r="E939">
            <v>10320</v>
          </cell>
          <cell r="F939" t="str">
            <v>A1-S04-3</v>
          </cell>
          <cell r="G939" t="str">
            <v>Spline - Lưỡi gà</v>
          </cell>
          <cell r="H939" t="str">
            <v>Plywood LVD - 15 x 1220 x 2440mm, Bleached Poplar Veneer Both Sides [CARB P2 Compliant]</v>
          </cell>
          <cell r="I939">
            <v>30</v>
          </cell>
        </row>
        <row r="940">
          <cell r="A940" t="str">
            <v>B557984/A</v>
          </cell>
          <cell r="B940" t="str">
            <v>BN3177M356</v>
          </cell>
          <cell r="C940">
            <v>15</v>
          </cell>
          <cell r="D940">
            <v>688</v>
          </cell>
          <cell r="E940">
            <v>10320</v>
          </cell>
          <cell r="F940" t="str">
            <v>A1-S06</v>
          </cell>
          <cell r="G940" t="str">
            <v>Patching moulding - Chỉ đắp</v>
          </cell>
          <cell r="H940" t="str">
            <v>Veneer laminate</v>
          </cell>
          <cell r="I940">
            <v>30</v>
          </cell>
        </row>
        <row r="941">
          <cell r="A941" t="str">
            <v>B557984/A</v>
          </cell>
          <cell r="B941" t="str">
            <v>BN3177M356</v>
          </cell>
          <cell r="C941">
            <v>15</v>
          </cell>
          <cell r="D941">
            <v>688</v>
          </cell>
          <cell r="E941">
            <v>10320</v>
          </cell>
          <cell r="F941" t="str">
            <v>A1-S06-1</v>
          </cell>
          <cell r="G941" t="str">
            <v>Patching moulding - Chỉ đắp</v>
          </cell>
          <cell r="H941" t="str">
            <v>Wd+VN</v>
          </cell>
          <cell r="I941">
            <v>15</v>
          </cell>
        </row>
        <row r="942">
          <cell r="A942" t="str">
            <v>B557984/A</v>
          </cell>
          <cell r="B942" t="str">
            <v>BN3177M356</v>
          </cell>
          <cell r="C942">
            <v>15</v>
          </cell>
          <cell r="D942">
            <v>688</v>
          </cell>
          <cell r="E942">
            <v>10320</v>
          </cell>
          <cell r="F942" t="str">
            <v>A1-S09</v>
          </cell>
          <cell r="G942" t="str">
            <v>Front Bottom Rail  - Đố đáy trước</v>
          </cell>
          <cell r="H942" t="str">
            <v>Pre-Assembly</v>
          </cell>
          <cell r="I942">
            <v>15</v>
          </cell>
        </row>
        <row r="943">
          <cell r="A943" t="str">
            <v>B557984/A</v>
          </cell>
          <cell r="B943" t="str">
            <v>BN3177M356</v>
          </cell>
          <cell r="C943">
            <v>15</v>
          </cell>
          <cell r="D943">
            <v>688</v>
          </cell>
          <cell r="E943">
            <v>10320</v>
          </cell>
          <cell r="F943" t="str">
            <v>A1-S09-1</v>
          </cell>
          <cell r="G943" t="str">
            <v>Front Bottom Rail  - Đố đáy trước</v>
          </cell>
          <cell r="H943" t="str">
            <v>Wd+VN</v>
          </cell>
          <cell r="I943">
            <v>15</v>
          </cell>
        </row>
        <row r="944">
          <cell r="A944" t="str">
            <v>B557984/A</v>
          </cell>
          <cell r="B944" t="str">
            <v>BN3177M356</v>
          </cell>
          <cell r="C944">
            <v>15</v>
          </cell>
          <cell r="D944">
            <v>688</v>
          </cell>
          <cell r="E944">
            <v>10320</v>
          </cell>
          <cell r="F944" t="str">
            <v>A1-S09-2</v>
          </cell>
          <cell r="G944" t="str">
            <v>Front Bottom Rail  - Đố đáy trước</v>
          </cell>
          <cell r="H944" t="str">
            <v>Wood laminate</v>
          </cell>
          <cell r="I944">
            <v>30</v>
          </cell>
        </row>
        <row r="945">
          <cell r="A945" t="str">
            <v>B557984/A</v>
          </cell>
          <cell r="B945" t="str">
            <v>BN3177M356</v>
          </cell>
          <cell r="C945">
            <v>15</v>
          </cell>
          <cell r="D945">
            <v>688</v>
          </cell>
          <cell r="E945">
            <v>10320</v>
          </cell>
          <cell r="F945" t="str">
            <v>A1-S11</v>
          </cell>
          <cell r="G945" t="str">
            <v>Cleat - Bọ gỗ</v>
          </cell>
          <cell r="H945" t="str">
            <v>Beech off cut</v>
          </cell>
          <cell r="I945">
            <v>30</v>
          </cell>
        </row>
        <row r="946">
          <cell r="A946" t="str">
            <v>B557984/A</v>
          </cell>
          <cell r="B946" t="str">
            <v>BN3177M356</v>
          </cell>
          <cell r="C946">
            <v>15</v>
          </cell>
          <cell r="D946">
            <v>688</v>
          </cell>
          <cell r="E946">
            <v>10320</v>
          </cell>
          <cell r="F946" t="str">
            <v>A1-S12</v>
          </cell>
          <cell r="G946" t="str">
            <v>Cleat - Bọ gỗ</v>
          </cell>
          <cell r="H946" t="str">
            <v>Beech off cut</v>
          </cell>
          <cell r="I946">
            <v>60</v>
          </cell>
        </row>
        <row r="947">
          <cell r="A947" t="str">
            <v>B557984/A</v>
          </cell>
          <cell r="B947" t="str">
            <v>BN3177M356</v>
          </cell>
          <cell r="C947">
            <v>15</v>
          </cell>
          <cell r="D947">
            <v>688</v>
          </cell>
          <cell r="E947">
            <v>10320</v>
          </cell>
          <cell r="F947" t="str">
            <v>A2-S01</v>
          </cell>
          <cell r="G947" t="str">
            <v>vaccumn veneer - cảo bich veneer</v>
          </cell>
          <cell r="H947" t="str">
            <v>Pre-Assembly</v>
          </cell>
          <cell r="I947">
            <v>15</v>
          </cell>
        </row>
        <row r="948">
          <cell r="A948" t="str">
            <v>B557984/A</v>
          </cell>
          <cell r="B948" t="str">
            <v>BN3177M356</v>
          </cell>
          <cell r="C948">
            <v>15</v>
          </cell>
          <cell r="D948">
            <v>688</v>
          </cell>
          <cell r="E948">
            <v>10320</v>
          </cell>
          <cell r="F948" t="str">
            <v>A2-S01-1</v>
          </cell>
          <cell r="G948" t="str">
            <v xml:space="preserve">Curve part hot press  - chi tiết cảo cong </v>
          </cell>
          <cell r="H948" t="str">
            <v>MDF laminate</v>
          </cell>
          <cell r="I948">
            <v>30</v>
          </cell>
        </row>
        <row r="949">
          <cell r="A949" t="str">
            <v>B557984/A</v>
          </cell>
          <cell r="B949" t="str">
            <v>BN3177M356</v>
          </cell>
          <cell r="C949">
            <v>15</v>
          </cell>
          <cell r="D949">
            <v>688</v>
          </cell>
          <cell r="E949">
            <v>10320</v>
          </cell>
          <cell r="F949" t="str">
            <v>A2-S01-2</v>
          </cell>
          <cell r="G949" t="str">
            <v>Foot board  - Đuôi giường</v>
          </cell>
          <cell r="H949" t="str">
            <v>MDF laminate</v>
          </cell>
          <cell r="I949">
            <v>15</v>
          </cell>
        </row>
        <row r="950">
          <cell r="A950" t="str">
            <v>B557984/A</v>
          </cell>
          <cell r="B950" t="str">
            <v>BN3177M356</v>
          </cell>
          <cell r="C950">
            <v>15</v>
          </cell>
          <cell r="D950">
            <v>688</v>
          </cell>
          <cell r="E950">
            <v>10320</v>
          </cell>
          <cell r="F950" t="str">
            <v>A2-S01-3</v>
          </cell>
          <cell r="G950" t="str">
            <v>Spline - Lưỡi gà</v>
          </cell>
          <cell r="H950" t="str">
            <v>Plywood off cut</v>
          </cell>
          <cell r="I950">
            <v>30</v>
          </cell>
        </row>
        <row r="951">
          <cell r="A951" t="str">
            <v>B557984/A</v>
          </cell>
          <cell r="B951" t="str">
            <v>BN3177M356</v>
          </cell>
          <cell r="C951">
            <v>15</v>
          </cell>
          <cell r="D951">
            <v>688</v>
          </cell>
          <cell r="E951">
            <v>10320</v>
          </cell>
          <cell r="F951" t="str">
            <v>A2-S01-4</v>
          </cell>
          <cell r="G951" t="str">
            <v>Insert Wood - Gỗ chèn</v>
          </cell>
          <cell r="H951" t="str">
            <v>Wood EU Beech - Straight/Waving Edged ABC, 2 COM - T38mm x W100mm up x L1.8m up</v>
          </cell>
          <cell r="I951">
            <v>30</v>
          </cell>
        </row>
        <row r="952">
          <cell r="A952" t="str">
            <v>B557984/A</v>
          </cell>
          <cell r="B952" t="str">
            <v>BN3177M356</v>
          </cell>
          <cell r="C952">
            <v>15</v>
          </cell>
          <cell r="D952">
            <v>688</v>
          </cell>
          <cell r="E952">
            <v>10320</v>
          </cell>
          <cell r="F952" t="str">
            <v>A2-S02</v>
          </cell>
          <cell r="G952" t="str">
            <v>Front Bottom Rail  - Đố đáy trước</v>
          </cell>
          <cell r="H952" t="str">
            <v>Pre-Assembly</v>
          </cell>
          <cell r="I952">
            <v>15</v>
          </cell>
        </row>
        <row r="953">
          <cell r="A953" t="str">
            <v>B557984/A</v>
          </cell>
          <cell r="B953" t="str">
            <v>BN3177M356</v>
          </cell>
          <cell r="C953">
            <v>15</v>
          </cell>
          <cell r="D953">
            <v>688</v>
          </cell>
          <cell r="E953">
            <v>10320</v>
          </cell>
          <cell r="F953" t="str">
            <v>A2-S02-2</v>
          </cell>
          <cell r="G953" t="str">
            <v>Front Bottom Rail  - Đố đáy trước</v>
          </cell>
          <cell r="H953" t="str">
            <v>Wd+VN</v>
          </cell>
          <cell r="I953">
            <v>15</v>
          </cell>
        </row>
        <row r="954">
          <cell r="A954" t="str">
            <v>B557984/A</v>
          </cell>
          <cell r="B954" t="str">
            <v>BN3177M356</v>
          </cell>
          <cell r="C954">
            <v>15</v>
          </cell>
          <cell r="D954">
            <v>688</v>
          </cell>
          <cell r="E954">
            <v>10320</v>
          </cell>
          <cell r="F954" t="str">
            <v>A2-S02-3</v>
          </cell>
          <cell r="G954" t="str">
            <v>Front Bottom Rail  - Đố đáy trước</v>
          </cell>
          <cell r="H954" t="str">
            <v>Wd+VN</v>
          </cell>
          <cell r="I954">
            <v>30</v>
          </cell>
        </row>
        <row r="955">
          <cell r="A955" t="str">
            <v>B557984/A</v>
          </cell>
          <cell r="B955" t="str">
            <v>BN3177M356</v>
          </cell>
          <cell r="C955">
            <v>15</v>
          </cell>
          <cell r="D955">
            <v>688</v>
          </cell>
          <cell r="E955">
            <v>10320</v>
          </cell>
          <cell r="F955" t="str">
            <v>A3-S1</v>
          </cell>
          <cell r="G955" t="str">
            <v>Side bed panel - Ván hông giường</v>
          </cell>
          <cell r="H955" t="str">
            <v>Wd+MDF+VN</v>
          </cell>
          <cell r="I955">
            <v>30</v>
          </cell>
        </row>
        <row r="956">
          <cell r="A956" t="str">
            <v>B557984/A</v>
          </cell>
          <cell r="B956" t="str">
            <v>BN3177M356</v>
          </cell>
          <cell r="C956">
            <v>15</v>
          </cell>
          <cell r="D956">
            <v>688</v>
          </cell>
          <cell r="E956">
            <v>10320</v>
          </cell>
          <cell r="F956" t="str">
            <v>A3-S1-1</v>
          </cell>
          <cell r="G956" t="str">
            <v>Insert Wood - Gỗ chèn</v>
          </cell>
          <cell r="H956" t="str">
            <v>Wood EU Beech - Straight/Waving Edged ABC, 2 COM - T38mm x W100mm up x L1.8m up</v>
          </cell>
          <cell r="I956">
            <v>60</v>
          </cell>
        </row>
        <row r="957">
          <cell r="A957" t="str">
            <v>B557984/A</v>
          </cell>
          <cell r="B957" t="str">
            <v>BN3177M356</v>
          </cell>
          <cell r="C957">
            <v>15</v>
          </cell>
          <cell r="D957">
            <v>688</v>
          </cell>
          <cell r="E957">
            <v>10320</v>
          </cell>
          <cell r="F957" t="str">
            <v>A3-S2</v>
          </cell>
          <cell r="G957" t="str">
            <v>Slat Support  - Đỡ dạt giường</v>
          </cell>
          <cell r="H957" t="str">
            <v>Wood US Poplar - Straight Edged, 1 COM - T32mm x W100mm Up x L1.8m Up</v>
          </cell>
          <cell r="I957">
            <v>30</v>
          </cell>
        </row>
        <row r="958">
          <cell r="A958" t="str">
            <v>B557984/A</v>
          </cell>
          <cell r="B958" t="str">
            <v>BN3177M356</v>
          </cell>
          <cell r="C958">
            <v>15</v>
          </cell>
          <cell r="D958">
            <v>688</v>
          </cell>
          <cell r="E958">
            <v>10320</v>
          </cell>
          <cell r="F958" t="str">
            <v>A3-S3</v>
          </cell>
          <cell r="G958" t="str">
            <v>Side bottom rail - Đố hông dưới</v>
          </cell>
          <cell r="H958" t="str">
            <v>Wood US Poplar - Straight Edged, 1 COM - T32mm x W100mm Up x L1.8m Up</v>
          </cell>
          <cell r="I958">
            <v>30</v>
          </cell>
        </row>
        <row r="959">
          <cell r="A959" t="str">
            <v>B557984/A</v>
          </cell>
          <cell r="B959" t="str">
            <v>BN3177M356</v>
          </cell>
          <cell r="C959">
            <v>15</v>
          </cell>
          <cell r="D959">
            <v>688</v>
          </cell>
          <cell r="E959">
            <v>10320</v>
          </cell>
          <cell r="F959" t="str">
            <v>P2</v>
          </cell>
          <cell r="G959" t="str">
            <v>Slat Support  - Đỡ dạt giường</v>
          </cell>
          <cell r="H959" t="str">
            <v>Wood US Poplar - Straight Edged, 1 COM - T38mm x W100mm Up x L1.8m Up</v>
          </cell>
          <cell r="I959">
            <v>15</v>
          </cell>
        </row>
        <row r="960">
          <cell r="A960" t="str">
            <v>B557984/A</v>
          </cell>
          <cell r="B960" t="str">
            <v>BN3177M356</v>
          </cell>
          <cell r="C960">
            <v>15</v>
          </cell>
          <cell r="D960">
            <v>688</v>
          </cell>
          <cell r="E960">
            <v>10320</v>
          </cell>
          <cell r="F960" t="str">
            <v>P3</v>
          </cell>
          <cell r="G960" t="str">
            <v>panel platform - ván sàn giường</v>
          </cell>
          <cell r="H960" t="str">
            <v>MDF Veneer</v>
          </cell>
          <cell r="I960">
            <v>30</v>
          </cell>
        </row>
        <row r="961">
          <cell r="A961" t="str">
            <v>B555976/A</v>
          </cell>
          <cell r="B961" t="str">
            <v>BN3189M355</v>
          </cell>
          <cell r="C961">
            <v>20</v>
          </cell>
          <cell r="D961">
            <v>803</v>
          </cell>
          <cell r="E961">
            <v>16060</v>
          </cell>
          <cell r="F961" t="str">
            <v>A1</v>
          </cell>
          <cell r="G961" t="str">
            <v>Head board  - Đầu giường</v>
          </cell>
          <cell r="H961" t="str">
            <v>Pre-Assembly</v>
          </cell>
          <cell r="I961">
            <v>20</v>
          </cell>
        </row>
        <row r="962">
          <cell r="A962" t="str">
            <v>B555976/A</v>
          </cell>
          <cell r="B962" t="str">
            <v>BN3189M355</v>
          </cell>
          <cell r="C962">
            <v>20</v>
          </cell>
          <cell r="D962">
            <v>803</v>
          </cell>
          <cell r="E962">
            <v>16060</v>
          </cell>
          <cell r="F962" t="str">
            <v>A11</v>
          </cell>
          <cell r="G962" t="str">
            <v xml:space="preserve">Curve part hot press  - chi tiết cảo cong </v>
          </cell>
          <cell r="H962" t="str">
            <v>Veneer laminate</v>
          </cell>
          <cell r="I962">
            <v>40</v>
          </cell>
        </row>
        <row r="963">
          <cell r="A963" t="str">
            <v>B555976/A</v>
          </cell>
          <cell r="B963" t="str">
            <v>BN3189M355</v>
          </cell>
          <cell r="C963">
            <v>20</v>
          </cell>
          <cell r="D963">
            <v>803</v>
          </cell>
          <cell r="E963">
            <v>16060</v>
          </cell>
          <cell r="F963" t="str">
            <v>A1-S02</v>
          </cell>
          <cell r="G963" t="str">
            <v>Patching moulding - Chỉ đắp</v>
          </cell>
          <cell r="H963" t="str">
            <v>Veneer laminate</v>
          </cell>
          <cell r="I963">
            <v>40</v>
          </cell>
        </row>
        <row r="964">
          <cell r="A964" t="str">
            <v>B555976/A</v>
          </cell>
          <cell r="B964" t="str">
            <v>BN3189M355</v>
          </cell>
          <cell r="C964">
            <v>20</v>
          </cell>
          <cell r="D964">
            <v>803</v>
          </cell>
          <cell r="E964">
            <v>16060</v>
          </cell>
          <cell r="F964" t="str">
            <v>A1-S02-1</v>
          </cell>
          <cell r="G964" t="str">
            <v>Patching moulding - Chỉ đắp</v>
          </cell>
          <cell r="H964" t="str">
            <v>Wood US Poplar - Straight Edged, 2 COM - T38mm x W100mm Up x L1.8m Up</v>
          </cell>
          <cell r="I964">
            <v>20</v>
          </cell>
        </row>
        <row r="965">
          <cell r="A965" t="str">
            <v>B555976/A</v>
          </cell>
          <cell r="B965" t="str">
            <v>BN3189M355</v>
          </cell>
          <cell r="C965">
            <v>20</v>
          </cell>
          <cell r="D965">
            <v>803</v>
          </cell>
          <cell r="E965">
            <v>16060</v>
          </cell>
          <cell r="F965" t="str">
            <v>A1-S03</v>
          </cell>
          <cell r="G965" t="str">
            <v xml:space="preserve">Side rail  - Đố hông </v>
          </cell>
          <cell r="H965" t="str">
            <v>Wood US Poplar - Straight Edged, 2 COM - T38mm x W100mm Up x L1.8m Up</v>
          </cell>
          <cell r="I965">
            <v>40</v>
          </cell>
        </row>
        <row r="966">
          <cell r="A966" t="str">
            <v>B555976/A</v>
          </cell>
          <cell r="B966" t="str">
            <v>BN3189M355</v>
          </cell>
          <cell r="C966">
            <v>20</v>
          </cell>
          <cell r="D966">
            <v>803</v>
          </cell>
          <cell r="E966">
            <v>16060</v>
          </cell>
          <cell r="F966" t="str">
            <v>A1-S04</v>
          </cell>
          <cell r="G966" t="str">
            <v>vaccumn veneer - cảo bich veneer</v>
          </cell>
          <cell r="H966" t="str">
            <v>Pre-Assembly</v>
          </cell>
          <cell r="I966">
            <v>20</v>
          </cell>
        </row>
        <row r="967">
          <cell r="A967" t="str">
            <v>B555976/A</v>
          </cell>
          <cell r="B967" t="str">
            <v>BN3189M355</v>
          </cell>
          <cell r="C967">
            <v>20</v>
          </cell>
          <cell r="D967">
            <v>803</v>
          </cell>
          <cell r="E967">
            <v>16060</v>
          </cell>
          <cell r="F967" t="str">
            <v>A1-S04-1</v>
          </cell>
          <cell r="G967" t="str">
            <v xml:space="preserve">Curve part hot press  - chi tiết cảo cong </v>
          </cell>
          <cell r="H967" t="str">
            <v>MDF Veneer</v>
          </cell>
          <cell r="I967">
            <v>40</v>
          </cell>
        </row>
        <row r="968">
          <cell r="A968" t="str">
            <v>B555976/A</v>
          </cell>
          <cell r="B968" t="str">
            <v>BN3189M355</v>
          </cell>
          <cell r="C968">
            <v>20</v>
          </cell>
          <cell r="D968">
            <v>803</v>
          </cell>
          <cell r="E968">
            <v>16060</v>
          </cell>
          <cell r="F968" t="str">
            <v>A1-S04-1-1</v>
          </cell>
          <cell r="G968" t="str">
            <v>Patching wood - Gỗ đắp</v>
          </cell>
          <cell r="H968" t="str">
            <v>Beech off cut</v>
          </cell>
          <cell r="I968">
            <v>40</v>
          </cell>
        </row>
        <row r="969">
          <cell r="A969" t="str">
            <v>B555976/A</v>
          </cell>
          <cell r="B969" t="str">
            <v>BN3189M355</v>
          </cell>
          <cell r="C969">
            <v>20</v>
          </cell>
          <cell r="D969">
            <v>803</v>
          </cell>
          <cell r="E969">
            <v>16060</v>
          </cell>
          <cell r="F969" t="str">
            <v>A1-S04-2</v>
          </cell>
          <cell r="G969" t="str">
            <v>Head board panel  - Ván đầu giường</v>
          </cell>
          <cell r="H969" t="str">
            <v>MDF Veneer</v>
          </cell>
          <cell r="I969">
            <v>20</v>
          </cell>
        </row>
        <row r="970">
          <cell r="A970" t="str">
            <v>B555976/A</v>
          </cell>
          <cell r="B970" t="str">
            <v>BN3189M355</v>
          </cell>
          <cell r="C970">
            <v>20</v>
          </cell>
          <cell r="D970">
            <v>803</v>
          </cell>
          <cell r="E970">
            <v>16060</v>
          </cell>
          <cell r="F970" t="str">
            <v>A1-S04-3</v>
          </cell>
          <cell r="G970" t="str">
            <v>Spline - Lưỡi gà</v>
          </cell>
          <cell r="H970" t="str">
            <v>Plywood LVD - 15 x 1220 x 2440mm, Bleached Poplar Veneer Both Sides [CARB P2 Compliant]</v>
          </cell>
          <cell r="I970">
            <v>40</v>
          </cell>
        </row>
        <row r="971">
          <cell r="A971" t="str">
            <v>B555976/A</v>
          </cell>
          <cell r="B971" t="str">
            <v>BN3189M355</v>
          </cell>
          <cell r="C971">
            <v>20</v>
          </cell>
          <cell r="D971">
            <v>803</v>
          </cell>
          <cell r="E971">
            <v>16060</v>
          </cell>
          <cell r="F971" t="str">
            <v>A1-S06</v>
          </cell>
          <cell r="G971" t="str">
            <v>Patching moulding - Chỉ đắp</v>
          </cell>
          <cell r="H971" t="str">
            <v>Veneer laminate</v>
          </cell>
          <cell r="I971">
            <v>40</v>
          </cell>
        </row>
        <row r="972">
          <cell r="A972" t="str">
            <v>B555976/A</v>
          </cell>
          <cell r="B972" t="str">
            <v>BN3189M355</v>
          </cell>
          <cell r="C972">
            <v>20</v>
          </cell>
          <cell r="D972">
            <v>803</v>
          </cell>
          <cell r="E972">
            <v>16060</v>
          </cell>
          <cell r="F972" t="str">
            <v>A1-S06-1</v>
          </cell>
          <cell r="G972" t="str">
            <v>Patching moulding - Chỉ đắp</v>
          </cell>
          <cell r="H972" t="str">
            <v>Wd+VN</v>
          </cell>
          <cell r="I972">
            <v>20</v>
          </cell>
        </row>
        <row r="973">
          <cell r="A973" t="str">
            <v>B555976/A</v>
          </cell>
          <cell r="B973" t="str">
            <v>BN3189M355</v>
          </cell>
          <cell r="C973">
            <v>20</v>
          </cell>
          <cell r="D973">
            <v>803</v>
          </cell>
          <cell r="E973">
            <v>16060</v>
          </cell>
          <cell r="F973" t="str">
            <v>A1-S09</v>
          </cell>
          <cell r="G973" t="str">
            <v>Front Bottom Rail  - Đố đáy trước</v>
          </cell>
          <cell r="H973" t="str">
            <v>Pre-Assembly</v>
          </cell>
          <cell r="I973">
            <v>20</v>
          </cell>
        </row>
        <row r="974">
          <cell r="A974" t="str">
            <v>B555976/A</v>
          </cell>
          <cell r="B974" t="str">
            <v>BN3189M355</v>
          </cell>
          <cell r="C974">
            <v>20</v>
          </cell>
          <cell r="D974">
            <v>803</v>
          </cell>
          <cell r="E974">
            <v>16060</v>
          </cell>
          <cell r="F974" t="str">
            <v>A1-S09-1</v>
          </cell>
          <cell r="G974" t="str">
            <v>Front Bottom Rail  - Đố đáy trước</v>
          </cell>
          <cell r="H974" t="str">
            <v>Wd+VN</v>
          </cell>
          <cell r="I974">
            <v>20</v>
          </cell>
        </row>
        <row r="975">
          <cell r="A975" t="str">
            <v>B555976/A</v>
          </cell>
          <cell r="B975" t="str">
            <v>BN3189M355</v>
          </cell>
          <cell r="C975">
            <v>20</v>
          </cell>
          <cell r="D975">
            <v>803</v>
          </cell>
          <cell r="E975">
            <v>16060</v>
          </cell>
          <cell r="F975" t="str">
            <v>A1-S09-2</v>
          </cell>
          <cell r="G975" t="str">
            <v>Front Bottom Rail  - Đố đáy trước</v>
          </cell>
          <cell r="H975" t="str">
            <v>Wood laminate</v>
          </cell>
          <cell r="I975">
            <v>40</v>
          </cell>
        </row>
        <row r="976">
          <cell r="A976" t="str">
            <v>B555976/A</v>
          </cell>
          <cell r="B976" t="str">
            <v>BN3189M355</v>
          </cell>
          <cell r="C976">
            <v>20</v>
          </cell>
          <cell r="D976">
            <v>803</v>
          </cell>
          <cell r="E976">
            <v>16060</v>
          </cell>
          <cell r="F976" t="str">
            <v>A1-S11</v>
          </cell>
          <cell r="G976" t="str">
            <v>Cleat - Bọ gỗ</v>
          </cell>
          <cell r="H976" t="str">
            <v>Beech off cut</v>
          </cell>
          <cell r="I976">
            <v>40</v>
          </cell>
        </row>
        <row r="977">
          <cell r="A977" t="str">
            <v>B555976/A</v>
          </cell>
          <cell r="B977" t="str">
            <v>BN3189M355</v>
          </cell>
          <cell r="C977">
            <v>20</v>
          </cell>
          <cell r="D977">
            <v>803</v>
          </cell>
          <cell r="E977">
            <v>16060</v>
          </cell>
          <cell r="F977" t="str">
            <v>A1-S12</v>
          </cell>
          <cell r="G977" t="str">
            <v>Cleat - Bọ gỗ</v>
          </cell>
          <cell r="H977" t="str">
            <v>Beech off cut</v>
          </cell>
          <cell r="I977">
            <v>80</v>
          </cell>
        </row>
        <row r="978">
          <cell r="A978" t="str">
            <v>B555976/A</v>
          </cell>
          <cell r="B978" t="str">
            <v>BN3189M355</v>
          </cell>
          <cell r="C978">
            <v>20</v>
          </cell>
          <cell r="D978">
            <v>803</v>
          </cell>
          <cell r="E978">
            <v>16060</v>
          </cell>
          <cell r="F978" t="str">
            <v>A2-S01</v>
          </cell>
          <cell r="G978" t="str">
            <v>vaccumn veneer - cảo bich veneer</v>
          </cell>
          <cell r="H978" t="str">
            <v>Pre-Assembly</v>
          </cell>
          <cell r="I978">
            <v>20</v>
          </cell>
        </row>
        <row r="979">
          <cell r="A979" t="str">
            <v>B555976/A</v>
          </cell>
          <cell r="B979" t="str">
            <v>BN3189M355</v>
          </cell>
          <cell r="C979">
            <v>20</v>
          </cell>
          <cell r="D979">
            <v>803</v>
          </cell>
          <cell r="E979">
            <v>16060</v>
          </cell>
          <cell r="F979" t="str">
            <v>A2-S01-1</v>
          </cell>
          <cell r="G979" t="str">
            <v xml:space="preserve">Curve part hot press  - chi tiết cảo cong </v>
          </cell>
          <cell r="H979" t="str">
            <v>MDF laminate</v>
          </cell>
          <cell r="I979">
            <v>40</v>
          </cell>
        </row>
        <row r="980">
          <cell r="A980" t="str">
            <v>B555976/A</v>
          </cell>
          <cell r="B980" t="str">
            <v>BN3189M355</v>
          </cell>
          <cell r="C980">
            <v>20</v>
          </cell>
          <cell r="D980">
            <v>803</v>
          </cell>
          <cell r="E980">
            <v>16060</v>
          </cell>
          <cell r="F980" t="str">
            <v>A2-S01-2</v>
          </cell>
          <cell r="G980" t="str">
            <v>Foot board panel  - Ván đuôi giường</v>
          </cell>
          <cell r="H980" t="str">
            <v>MDF laminate</v>
          </cell>
          <cell r="I980">
            <v>20</v>
          </cell>
        </row>
        <row r="981">
          <cell r="A981" t="str">
            <v>B555976/A</v>
          </cell>
          <cell r="B981" t="str">
            <v>BN3189M355</v>
          </cell>
          <cell r="C981">
            <v>20</v>
          </cell>
          <cell r="D981">
            <v>803</v>
          </cell>
          <cell r="E981">
            <v>16060</v>
          </cell>
          <cell r="F981" t="str">
            <v>A2-S01-3</v>
          </cell>
          <cell r="G981" t="str">
            <v>Spline - Lưỡi gà</v>
          </cell>
          <cell r="H981" t="str">
            <v>Plywood off cut</v>
          </cell>
          <cell r="I981">
            <v>40</v>
          </cell>
        </row>
        <row r="982">
          <cell r="A982" t="str">
            <v>B555976/A</v>
          </cell>
          <cell r="B982" t="str">
            <v>BN3189M355</v>
          </cell>
          <cell r="C982">
            <v>20</v>
          </cell>
          <cell r="D982">
            <v>803</v>
          </cell>
          <cell r="E982">
            <v>16060</v>
          </cell>
          <cell r="F982" t="str">
            <v>A2-S01-4</v>
          </cell>
          <cell r="G982" t="str">
            <v>Insert Wood - Gỗ chèn</v>
          </cell>
          <cell r="H982" t="str">
            <v>Wood EU Beech - Straight/Waving Edged ABC, 2 COM - T38mm x W100mm up x L1.8m up</v>
          </cell>
          <cell r="I982">
            <v>40</v>
          </cell>
        </row>
        <row r="983">
          <cell r="A983" t="str">
            <v>B555976/A</v>
          </cell>
          <cell r="B983" t="str">
            <v>BN3189M355</v>
          </cell>
          <cell r="C983">
            <v>20</v>
          </cell>
          <cell r="D983">
            <v>803</v>
          </cell>
          <cell r="E983">
            <v>16060</v>
          </cell>
          <cell r="F983" t="str">
            <v>A2-S02</v>
          </cell>
          <cell r="G983" t="str">
            <v>Front Bottom Rail  - Đố đáy trước</v>
          </cell>
          <cell r="H983" t="str">
            <v>Pre-Assembly</v>
          </cell>
          <cell r="I983">
            <v>20</v>
          </cell>
        </row>
        <row r="984">
          <cell r="A984" t="str">
            <v>B555976/A</v>
          </cell>
          <cell r="B984" t="str">
            <v>BN3189M355</v>
          </cell>
          <cell r="C984">
            <v>20</v>
          </cell>
          <cell r="D984">
            <v>803</v>
          </cell>
          <cell r="E984">
            <v>16060</v>
          </cell>
          <cell r="F984" t="str">
            <v>A2-S02-2</v>
          </cell>
          <cell r="G984" t="str">
            <v>Front Bottom Rail  - Đố đáy trước</v>
          </cell>
          <cell r="H984" t="str">
            <v>Wd+VN</v>
          </cell>
          <cell r="I984">
            <v>20</v>
          </cell>
        </row>
        <row r="985">
          <cell r="A985" t="str">
            <v>B555976/A</v>
          </cell>
          <cell r="B985" t="str">
            <v>BN3189M355</v>
          </cell>
          <cell r="C985">
            <v>20</v>
          </cell>
          <cell r="D985">
            <v>803</v>
          </cell>
          <cell r="E985">
            <v>16060</v>
          </cell>
          <cell r="F985" t="str">
            <v>A2-S02-3</v>
          </cell>
          <cell r="G985" t="str">
            <v>Front Bottom Rail  - Đố đáy trước</v>
          </cell>
          <cell r="H985" t="str">
            <v>Wd+VN</v>
          </cell>
          <cell r="I985">
            <v>40</v>
          </cell>
        </row>
        <row r="986">
          <cell r="A986" t="str">
            <v>B555976/A</v>
          </cell>
          <cell r="B986" t="str">
            <v>BN3189M355</v>
          </cell>
          <cell r="C986">
            <v>20</v>
          </cell>
          <cell r="D986">
            <v>803</v>
          </cell>
          <cell r="E986">
            <v>16060</v>
          </cell>
          <cell r="F986" t="str">
            <v>A3-S1</v>
          </cell>
          <cell r="G986" t="str">
            <v>Side bed - Hông giường</v>
          </cell>
          <cell r="H986" t="str">
            <v>Wd+MDF+VN</v>
          </cell>
          <cell r="I986">
            <v>40</v>
          </cell>
        </row>
        <row r="987">
          <cell r="A987" t="str">
            <v>B555976/A</v>
          </cell>
          <cell r="B987" t="str">
            <v>BN3189M355</v>
          </cell>
          <cell r="C987">
            <v>20</v>
          </cell>
          <cell r="D987">
            <v>803</v>
          </cell>
          <cell r="E987">
            <v>16060</v>
          </cell>
          <cell r="F987" t="str">
            <v>A3-S1-1</v>
          </cell>
          <cell r="G987" t="str">
            <v>Insert Wood - Gỗ chèn</v>
          </cell>
          <cell r="H987" t="str">
            <v>Wood EU Beech - Straight/Waving Edged ABC, 2 COM - T38mm x W100mm up x L1.8m up</v>
          </cell>
          <cell r="I987">
            <v>80</v>
          </cell>
        </row>
        <row r="988">
          <cell r="A988" t="str">
            <v>B555976/A</v>
          </cell>
          <cell r="B988" t="str">
            <v>BN3189M355</v>
          </cell>
          <cell r="C988">
            <v>20</v>
          </cell>
          <cell r="D988">
            <v>803</v>
          </cell>
          <cell r="E988">
            <v>16060</v>
          </cell>
          <cell r="F988" t="str">
            <v>A3-S2</v>
          </cell>
          <cell r="G988" t="str">
            <v>Slat Support  - Đỡ dạt giường</v>
          </cell>
          <cell r="H988" t="str">
            <v>Wood US Poplar - Straight Edged, 1 COM - T32mm x W100mm Up x L1.8m Up</v>
          </cell>
          <cell r="I988">
            <v>40</v>
          </cell>
        </row>
        <row r="989">
          <cell r="A989" t="str">
            <v>B555976/A</v>
          </cell>
          <cell r="B989" t="str">
            <v>BN3189M355</v>
          </cell>
          <cell r="C989">
            <v>20</v>
          </cell>
          <cell r="D989">
            <v>803</v>
          </cell>
          <cell r="E989">
            <v>16060</v>
          </cell>
          <cell r="F989" t="str">
            <v>A3-S3</v>
          </cell>
          <cell r="G989" t="str">
            <v>Side bottom rail - Đố hông dưới</v>
          </cell>
          <cell r="H989" t="str">
            <v>Wood US Poplar - Straight Edged, 1 COM - T32mm x W100mm Up x L1.8m Up</v>
          </cell>
          <cell r="I989">
            <v>40</v>
          </cell>
        </row>
        <row r="990">
          <cell r="A990" t="str">
            <v>B555976/A</v>
          </cell>
          <cell r="B990" t="str">
            <v>BN3189M355</v>
          </cell>
          <cell r="C990">
            <v>20</v>
          </cell>
          <cell r="D990">
            <v>803</v>
          </cell>
          <cell r="E990">
            <v>16060</v>
          </cell>
          <cell r="F990" t="str">
            <v>P2</v>
          </cell>
          <cell r="G990" t="str">
            <v>Slat Support  - Đỡ dạt giường</v>
          </cell>
          <cell r="H990" t="str">
            <v>Wood US Poplar - Straight Edged, 1 COM - T38mm x W100mm Up x L1.8m Up</v>
          </cell>
          <cell r="I990">
            <v>20</v>
          </cell>
        </row>
        <row r="991">
          <cell r="A991" t="str">
            <v>B555976/A</v>
          </cell>
          <cell r="B991" t="str">
            <v>BN3189M355</v>
          </cell>
          <cell r="C991">
            <v>20</v>
          </cell>
          <cell r="D991">
            <v>803</v>
          </cell>
          <cell r="E991">
            <v>16060</v>
          </cell>
          <cell r="F991" t="str">
            <v>P3</v>
          </cell>
          <cell r="G991" t="str">
            <v>panel platform - ván sàn giường</v>
          </cell>
          <cell r="H991" t="str">
            <v>MDF Veneer</v>
          </cell>
          <cell r="I991">
            <v>40</v>
          </cell>
        </row>
        <row r="992">
          <cell r="A992" t="str">
            <v>B557987/A</v>
          </cell>
          <cell r="B992" t="str">
            <v>BN3224M356</v>
          </cell>
          <cell r="C992">
            <v>35</v>
          </cell>
          <cell r="D992">
            <v>704</v>
          </cell>
          <cell r="E992">
            <v>24640</v>
          </cell>
          <cell r="F992" t="str">
            <v>A1-S01</v>
          </cell>
          <cell r="G992" t="str">
            <v>Front Bottom Rail  - Đố đáy trước</v>
          </cell>
          <cell r="H992" t="str">
            <v>Wood EU Beech - Straight/Waving Edged ABC, 2 COM - T38mm x W100mm up x L1.8m up</v>
          </cell>
          <cell r="I992">
            <v>35</v>
          </cell>
        </row>
        <row r="993">
          <cell r="A993" t="str">
            <v>B557987/A</v>
          </cell>
          <cell r="B993" t="str">
            <v>BN3224M356</v>
          </cell>
          <cell r="C993">
            <v>35</v>
          </cell>
          <cell r="D993">
            <v>704</v>
          </cell>
          <cell r="E993">
            <v>24640</v>
          </cell>
          <cell r="F993" t="str">
            <v>A1-S02</v>
          </cell>
          <cell r="G993" t="str">
            <v>Side bottom rail - Đố hông dưới</v>
          </cell>
          <cell r="H993" t="str">
            <v>Wood EU Beech - Straight/Waving Edged ABC, 2 COM - T38mm x W100mm up x L1.8m up</v>
          </cell>
          <cell r="I993">
            <v>70</v>
          </cell>
        </row>
        <row r="994">
          <cell r="A994" t="str">
            <v>B557987/A</v>
          </cell>
          <cell r="B994" t="str">
            <v>BN3224M356</v>
          </cell>
          <cell r="C994">
            <v>35</v>
          </cell>
          <cell r="D994">
            <v>704</v>
          </cell>
          <cell r="E994">
            <v>24640</v>
          </cell>
          <cell r="F994" t="str">
            <v>A1-S04</v>
          </cell>
          <cell r="G994" t="str">
            <v>Back bottom rail - Đố hậu đáy</v>
          </cell>
          <cell r="H994" t="str">
            <v>Wood EU Beech - Straight/Waving Edged ABC, 2 COM - T38mm x W100mm up x L1.8m up</v>
          </cell>
          <cell r="I994">
            <v>70</v>
          </cell>
        </row>
        <row r="995">
          <cell r="A995" t="str">
            <v>B557987/A</v>
          </cell>
          <cell r="B995" t="str">
            <v>BN3224M356</v>
          </cell>
          <cell r="C995">
            <v>35</v>
          </cell>
          <cell r="D995">
            <v>704</v>
          </cell>
          <cell r="E995">
            <v>24640</v>
          </cell>
          <cell r="F995" t="str">
            <v>A2</v>
          </cell>
          <cell r="G995" t="str">
            <v xml:space="preserve">Frame - Khung </v>
          </cell>
          <cell r="H995" t="str">
            <v>Pre-Assembly</v>
          </cell>
          <cell r="I995">
            <v>70</v>
          </cell>
        </row>
        <row r="996">
          <cell r="A996" t="str">
            <v>B557987/A</v>
          </cell>
          <cell r="B996" t="str">
            <v>BN3224M356</v>
          </cell>
          <cell r="C996">
            <v>35</v>
          </cell>
          <cell r="D996">
            <v>704</v>
          </cell>
          <cell r="E996">
            <v>24640</v>
          </cell>
          <cell r="F996" t="str">
            <v>A2-1</v>
          </cell>
          <cell r="G996" t="str">
            <v xml:space="preserve">Frame - Khung </v>
          </cell>
          <cell r="H996" t="str">
            <v>Pre-Assembly</v>
          </cell>
          <cell r="I996">
            <v>70</v>
          </cell>
        </row>
        <row r="997">
          <cell r="A997" t="str">
            <v>B557987/A</v>
          </cell>
          <cell r="B997" t="str">
            <v>BN3224M356</v>
          </cell>
          <cell r="C997">
            <v>35</v>
          </cell>
          <cell r="D997">
            <v>704</v>
          </cell>
          <cell r="E997">
            <v>24640</v>
          </cell>
          <cell r="F997" t="str">
            <v>A2-S01</v>
          </cell>
          <cell r="G997" t="str">
            <v>Top rail - Đố nóc</v>
          </cell>
          <cell r="H997" t="str">
            <v>Wood US Black Walnut - Straight Edged, 1 COM - T32mm x W100mm up x L1.2 to 1.8m</v>
          </cell>
          <cell r="I997">
            <v>140</v>
          </cell>
        </row>
        <row r="998">
          <cell r="A998" t="str">
            <v>B557987/A</v>
          </cell>
          <cell r="B998" t="str">
            <v>BN3224M356</v>
          </cell>
          <cell r="C998">
            <v>35</v>
          </cell>
          <cell r="D998">
            <v>704</v>
          </cell>
          <cell r="E998">
            <v>24640</v>
          </cell>
          <cell r="F998" t="str">
            <v>A2-S02</v>
          </cell>
          <cell r="G998" t="str">
            <v xml:space="preserve">Side rail  - Đố hông </v>
          </cell>
          <cell r="H998" t="str">
            <v>Wood US Black Walnut - Straight Edged, 1 COM - T32mm x W100mm up x L1.2 to 1.8m</v>
          </cell>
          <cell r="I998">
            <v>140</v>
          </cell>
        </row>
        <row r="999">
          <cell r="A999" t="str">
            <v>B557987/A</v>
          </cell>
          <cell r="B999" t="str">
            <v>BN3224M356</v>
          </cell>
          <cell r="C999">
            <v>35</v>
          </cell>
          <cell r="D999">
            <v>704</v>
          </cell>
          <cell r="E999">
            <v>24640</v>
          </cell>
          <cell r="F999" t="str">
            <v>A2-S03</v>
          </cell>
          <cell r="G999" t="str">
            <v xml:space="preserve">Panel - Ván </v>
          </cell>
          <cell r="H999" t="str">
            <v>MDF Veneer</v>
          </cell>
          <cell r="I999">
            <v>70</v>
          </cell>
        </row>
        <row r="1000">
          <cell r="A1000" t="str">
            <v>B557987/A</v>
          </cell>
          <cell r="B1000" t="str">
            <v>BN3224M356</v>
          </cell>
          <cell r="C1000">
            <v>35</v>
          </cell>
          <cell r="D1000">
            <v>704</v>
          </cell>
          <cell r="E1000">
            <v>24640</v>
          </cell>
          <cell r="F1000" t="str">
            <v>A2-S04</v>
          </cell>
          <cell r="G1000" t="str">
            <v>Handle - Tay nắm</v>
          </cell>
          <cell r="H1000" t="str">
            <v>Wood US Black Walnut - Straight Edged, 1 COM - T32mm x W100mm up x L1.8m up</v>
          </cell>
          <cell r="I1000">
            <v>70</v>
          </cell>
        </row>
        <row r="1001">
          <cell r="A1001" t="str">
            <v>B557987/A</v>
          </cell>
          <cell r="B1001" t="str">
            <v>BN3224M356</v>
          </cell>
          <cell r="C1001">
            <v>35</v>
          </cell>
          <cell r="D1001">
            <v>704</v>
          </cell>
          <cell r="E1001">
            <v>24640</v>
          </cell>
          <cell r="F1001" t="str">
            <v>A2-S05</v>
          </cell>
          <cell r="G1001" t="str">
            <v>Insert Wood - Gỗ chèn</v>
          </cell>
          <cell r="H1001" t="str">
            <v>Beech off cut</v>
          </cell>
          <cell r="I1001">
            <v>140</v>
          </cell>
        </row>
        <row r="1002">
          <cell r="A1002" t="str">
            <v>B557987/A</v>
          </cell>
          <cell r="B1002" t="str">
            <v>BN3224M356</v>
          </cell>
          <cell r="C1002">
            <v>35</v>
          </cell>
          <cell r="D1002">
            <v>704</v>
          </cell>
          <cell r="E1002">
            <v>24640</v>
          </cell>
          <cell r="F1002" t="str">
            <v>A3</v>
          </cell>
          <cell r="G1002" t="str">
            <v>Adjustable Shelf  - Kệ di động</v>
          </cell>
          <cell r="H1002" t="str">
            <v>Pre-Assembly</v>
          </cell>
          <cell r="I1002">
            <v>70</v>
          </cell>
        </row>
        <row r="1003">
          <cell r="A1003" t="str">
            <v>B557987/A</v>
          </cell>
          <cell r="B1003" t="str">
            <v>BN3224M356</v>
          </cell>
          <cell r="C1003">
            <v>35</v>
          </cell>
          <cell r="D1003">
            <v>704</v>
          </cell>
          <cell r="E1003">
            <v>24640</v>
          </cell>
          <cell r="F1003" t="str">
            <v>A3-S01</v>
          </cell>
          <cell r="G1003" t="str">
            <v>Adjustable Shelf  - Kệ di động</v>
          </cell>
          <cell r="H1003" t="str">
            <v>Wood US Black Walnut - Straight Edged, 1 COM - T26mm x W100mm up x L1.2 to 1.8m</v>
          </cell>
          <cell r="I1003">
            <v>105</v>
          </cell>
        </row>
        <row r="1004">
          <cell r="A1004" t="str">
            <v>B557987/A</v>
          </cell>
          <cell r="B1004" t="str">
            <v>BN3224M356</v>
          </cell>
          <cell r="C1004">
            <v>35</v>
          </cell>
          <cell r="D1004">
            <v>704</v>
          </cell>
          <cell r="E1004">
            <v>24640</v>
          </cell>
          <cell r="F1004" t="str">
            <v>A3-S02</v>
          </cell>
          <cell r="G1004" t="str">
            <v>Adjustable Shelf  - Kệ di động</v>
          </cell>
          <cell r="H1004" t="str">
            <v>MDF Veneer</v>
          </cell>
          <cell r="I1004">
            <v>70</v>
          </cell>
        </row>
        <row r="1005">
          <cell r="A1005" t="str">
            <v>B557987/A</v>
          </cell>
          <cell r="B1005" t="str">
            <v>BN3224M356</v>
          </cell>
          <cell r="C1005">
            <v>35</v>
          </cell>
          <cell r="D1005">
            <v>704</v>
          </cell>
          <cell r="E1005">
            <v>24640</v>
          </cell>
          <cell r="F1005" t="str">
            <v>A4-S01</v>
          </cell>
          <cell r="G1005" t="str">
            <v>Patching wood - Gỗ đắp</v>
          </cell>
          <cell r="H1005" t="str">
            <v>Wood US Black Walnut - Straight Edged, 1 COM - T32mm x W100mm up x L1.2 to 1.8m</v>
          </cell>
          <cell r="I1005">
            <v>35</v>
          </cell>
        </row>
        <row r="1006">
          <cell r="A1006" t="str">
            <v>B557987/A</v>
          </cell>
          <cell r="B1006" t="str">
            <v>BN3224M356</v>
          </cell>
          <cell r="C1006">
            <v>35</v>
          </cell>
          <cell r="D1006">
            <v>704</v>
          </cell>
          <cell r="E1006">
            <v>24640</v>
          </cell>
          <cell r="F1006" t="str">
            <v>A4-S02</v>
          </cell>
          <cell r="G1006" t="str">
            <v>Shelf panel  - Ván kệ</v>
          </cell>
          <cell r="H1006" t="str">
            <v>MDF Veneer</v>
          </cell>
          <cell r="I1006">
            <v>35</v>
          </cell>
        </row>
        <row r="1007">
          <cell r="A1007" t="str">
            <v>B557987/A</v>
          </cell>
          <cell r="B1007" t="str">
            <v>BN3224M356</v>
          </cell>
          <cell r="C1007">
            <v>35</v>
          </cell>
          <cell r="D1007">
            <v>704</v>
          </cell>
          <cell r="E1007">
            <v>24640</v>
          </cell>
          <cell r="F1007" t="str">
            <v>A4-S03</v>
          </cell>
          <cell r="G1007" t="str">
            <v>Front rail  - Đố tiền</v>
          </cell>
          <cell r="H1007" t="str">
            <v>Wood US Poplar - Straight Edged, 1 COM - T25mm x W100mm Up x L1.8m Up</v>
          </cell>
          <cell r="I1007">
            <v>35</v>
          </cell>
        </row>
        <row r="1008">
          <cell r="A1008" t="str">
            <v>B557987/A</v>
          </cell>
          <cell r="B1008" t="str">
            <v>BN3224M356</v>
          </cell>
          <cell r="C1008">
            <v>35</v>
          </cell>
          <cell r="D1008">
            <v>704</v>
          </cell>
          <cell r="E1008">
            <v>24640</v>
          </cell>
          <cell r="F1008" t="str">
            <v>A4-S04</v>
          </cell>
          <cell r="G1008" t="str">
            <v>back rail - Đố hậu</v>
          </cell>
          <cell r="H1008" t="str">
            <v>Wood US Poplar - Straight Edged, 1 COM - T25mm x W100mm Up x L1.8m Up</v>
          </cell>
          <cell r="I1008">
            <v>35</v>
          </cell>
        </row>
        <row r="1009">
          <cell r="A1009" t="str">
            <v>B557987/A</v>
          </cell>
          <cell r="B1009" t="str">
            <v>BN3224M356</v>
          </cell>
          <cell r="C1009">
            <v>35</v>
          </cell>
          <cell r="D1009">
            <v>704</v>
          </cell>
          <cell r="E1009">
            <v>24640</v>
          </cell>
          <cell r="F1009" t="str">
            <v>A4-S05</v>
          </cell>
          <cell r="G1009" t="str">
            <v>Patching wood - Gỗ đắp</v>
          </cell>
          <cell r="H1009" t="str">
            <v>Wood US Black Walnut - Straight Edged, 1 COM - T26mm x W100mm up x L1.2 to 1.8m</v>
          </cell>
          <cell r="I1009">
            <v>70</v>
          </cell>
        </row>
        <row r="1010">
          <cell r="A1010" t="str">
            <v>B557987/A</v>
          </cell>
          <cell r="B1010" t="str">
            <v>BN3224M356</v>
          </cell>
          <cell r="C1010">
            <v>35</v>
          </cell>
          <cell r="D1010">
            <v>704</v>
          </cell>
          <cell r="E1010">
            <v>24640</v>
          </cell>
          <cell r="F1010" t="str">
            <v>A4-S06</v>
          </cell>
          <cell r="G1010" t="str">
            <v>Patching wood - Gỗ đắp</v>
          </cell>
          <cell r="H1010" t="str">
            <v>Wood US Black Walnut - Straight Edged, 1 COM - T26mm x W100mm up x L1.2 to 1.8m</v>
          </cell>
          <cell r="I1010">
            <v>35</v>
          </cell>
        </row>
        <row r="1011">
          <cell r="A1011" t="str">
            <v>B557987/A</v>
          </cell>
          <cell r="B1011" t="str">
            <v>BN3224M356</v>
          </cell>
          <cell r="C1011">
            <v>35</v>
          </cell>
          <cell r="D1011">
            <v>704</v>
          </cell>
          <cell r="E1011">
            <v>24640</v>
          </cell>
          <cell r="F1011" t="str">
            <v>P01-1</v>
          </cell>
          <cell r="G1011" t="str">
            <v xml:space="preserve">Top panel  - Ván nóc </v>
          </cell>
          <cell r="H1011" t="str">
            <v>MDF Veneer</v>
          </cell>
          <cell r="I1011">
            <v>35</v>
          </cell>
        </row>
        <row r="1012">
          <cell r="A1012" t="str">
            <v>B557987/A</v>
          </cell>
          <cell r="B1012" t="str">
            <v>BN3224M356</v>
          </cell>
          <cell r="C1012">
            <v>35</v>
          </cell>
          <cell r="D1012">
            <v>704</v>
          </cell>
          <cell r="E1012">
            <v>24640</v>
          </cell>
          <cell r="F1012" t="str">
            <v>P02</v>
          </cell>
          <cell r="G1012" t="str">
            <v>vaccumn veneer - cảo bich veneer</v>
          </cell>
          <cell r="H1012" t="str">
            <v>Pre-Assembly</v>
          </cell>
          <cell r="I1012">
            <v>70</v>
          </cell>
        </row>
        <row r="1013">
          <cell r="A1013" t="str">
            <v>B557987/A</v>
          </cell>
          <cell r="B1013" t="str">
            <v>BN3224M356</v>
          </cell>
          <cell r="C1013">
            <v>35</v>
          </cell>
          <cell r="D1013">
            <v>704</v>
          </cell>
          <cell r="E1013">
            <v>24640</v>
          </cell>
          <cell r="F1013" t="str">
            <v>P02-1</v>
          </cell>
          <cell r="G1013" t="str">
            <v xml:space="preserve">Panel - Ván </v>
          </cell>
          <cell r="H1013" t="str">
            <v>MDF - 18 x 1830 x 2440mm [CARB P2 Compliant]</v>
          </cell>
          <cell r="I1013">
            <v>70</v>
          </cell>
        </row>
        <row r="1014">
          <cell r="A1014" t="str">
            <v>B557987/A</v>
          </cell>
          <cell r="B1014" t="str">
            <v>BN3224M356</v>
          </cell>
          <cell r="C1014">
            <v>35</v>
          </cell>
          <cell r="D1014">
            <v>704</v>
          </cell>
          <cell r="E1014">
            <v>24640</v>
          </cell>
          <cell r="F1014" t="str">
            <v>P02-2</v>
          </cell>
          <cell r="G1014" t="str">
            <v>Patching wood - Gỗ đắp</v>
          </cell>
          <cell r="H1014" t="str">
            <v>Wood US Poplar - Straight Edged, 2 COM - T50mm x W100mm Up x L1.8m Up</v>
          </cell>
          <cell r="I1014">
            <v>70</v>
          </cell>
        </row>
        <row r="1015">
          <cell r="A1015" t="str">
            <v>B557987/A</v>
          </cell>
          <cell r="B1015" t="str">
            <v>BN3224M356</v>
          </cell>
          <cell r="C1015">
            <v>35</v>
          </cell>
          <cell r="D1015">
            <v>704</v>
          </cell>
          <cell r="E1015">
            <v>24640</v>
          </cell>
          <cell r="F1015" t="str">
            <v>P02-3</v>
          </cell>
          <cell r="G1015" t="str">
            <v xml:space="preserve">Side rail  - Đố hông </v>
          </cell>
          <cell r="H1015" t="str">
            <v>Wood US Poplar - Straight Edged, 2 COM - T38mm x W100mm Up x L1.8m Up</v>
          </cell>
          <cell r="I1015">
            <v>70</v>
          </cell>
        </row>
        <row r="1016">
          <cell r="A1016" t="str">
            <v>B557987/A</v>
          </cell>
          <cell r="B1016" t="str">
            <v>BN3224M356</v>
          </cell>
          <cell r="C1016">
            <v>35</v>
          </cell>
          <cell r="D1016">
            <v>704</v>
          </cell>
          <cell r="E1016">
            <v>24640</v>
          </cell>
          <cell r="F1016" t="str">
            <v>P03</v>
          </cell>
          <cell r="G1016" t="str">
            <v>Patching wood - Gỗ đắp</v>
          </cell>
          <cell r="H1016" t="str">
            <v>Beech off cut</v>
          </cell>
          <cell r="I1016">
            <v>140</v>
          </cell>
        </row>
        <row r="1017">
          <cell r="A1017" t="str">
            <v>B557987/A</v>
          </cell>
          <cell r="B1017" t="str">
            <v>BN3224M356</v>
          </cell>
          <cell r="C1017">
            <v>35</v>
          </cell>
          <cell r="D1017">
            <v>704</v>
          </cell>
          <cell r="E1017">
            <v>24640</v>
          </cell>
          <cell r="F1017" t="str">
            <v>P06</v>
          </cell>
          <cell r="G1017" t="str">
            <v>Adjustable Shelf  - Kệ di động</v>
          </cell>
          <cell r="H1017" t="str">
            <v>Pre-Assembly</v>
          </cell>
          <cell r="I1017">
            <v>35</v>
          </cell>
        </row>
        <row r="1018">
          <cell r="A1018" t="str">
            <v>B557987/A</v>
          </cell>
          <cell r="B1018" t="str">
            <v>BN3224M356</v>
          </cell>
          <cell r="C1018">
            <v>35</v>
          </cell>
          <cell r="D1018">
            <v>704</v>
          </cell>
          <cell r="E1018">
            <v>24640</v>
          </cell>
          <cell r="F1018" t="str">
            <v>P06-2</v>
          </cell>
          <cell r="G1018" t="str">
            <v>Shelf panel  - Ván kệ</v>
          </cell>
          <cell r="H1018" t="str">
            <v>MDF Veneer</v>
          </cell>
          <cell r="I1018">
            <v>35</v>
          </cell>
        </row>
        <row r="1019">
          <cell r="A1019" t="str">
            <v>B557987/A</v>
          </cell>
          <cell r="B1019" t="str">
            <v>BN3224M356</v>
          </cell>
          <cell r="C1019">
            <v>35</v>
          </cell>
          <cell r="D1019">
            <v>704</v>
          </cell>
          <cell r="E1019">
            <v>24640</v>
          </cell>
          <cell r="F1019" t="str">
            <v>P07</v>
          </cell>
          <cell r="G1019" t="str">
            <v>Bottom panel - Ván đáy</v>
          </cell>
          <cell r="H1019" t="str">
            <v>MDF Veneer</v>
          </cell>
          <cell r="I1019">
            <v>35</v>
          </cell>
        </row>
        <row r="1020">
          <cell r="A1020" t="str">
            <v>B557987/A</v>
          </cell>
          <cell r="B1020" t="str">
            <v>BN3224M356</v>
          </cell>
          <cell r="C1020">
            <v>35</v>
          </cell>
          <cell r="D1020">
            <v>704</v>
          </cell>
          <cell r="E1020">
            <v>24640</v>
          </cell>
          <cell r="F1020" t="str">
            <v>P08</v>
          </cell>
          <cell r="G1020" t="str">
            <v>back rail - Đố hậu</v>
          </cell>
          <cell r="H1020" t="str">
            <v>Wood US Poplar - Straight Edged, 1 COM - T25mm x W100mm Up x L1.8m Up</v>
          </cell>
          <cell r="I1020">
            <v>35</v>
          </cell>
        </row>
        <row r="1021">
          <cell r="A1021" t="str">
            <v>B557987/A</v>
          </cell>
          <cell r="B1021" t="str">
            <v>BN3224M356</v>
          </cell>
          <cell r="C1021">
            <v>35</v>
          </cell>
          <cell r="D1021">
            <v>704</v>
          </cell>
          <cell r="E1021">
            <v>24640</v>
          </cell>
          <cell r="F1021" t="str">
            <v>P09</v>
          </cell>
          <cell r="G1021" t="str">
            <v>Back panel - Ván hậu</v>
          </cell>
          <cell r="H1021" t="str">
            <v>MDF Veneer</v>
          </cell>
          <cell r="I1021">
            <v>35</v>
          </cell>
        </row>
        <row r="1022">
          <cell r="A1022" t="str">
            <v>B557987/A</v>
          </cell>
          <cell r="B1022" t="str">
            <v>BN3224M356</v>
          </cell>
          <cell r="C1022">
            <v>35</v>
          </cell>
          <cell r="D1022">
            <v>704</v>
          </cell>
          <cell r="E1022">
            <v>24640</v>
          </cell>
          <cell r="F1022" t="str">
            <v>P11</v>
          </cell>
          <cell r="G1022" t="str">
            <v>Bottom panel - Ván đáy</v>
          </cell>
          <cell r="H1022" t="str">
            <v>MDF Veneer</v>
          </cell>
          <cell r="I1022">
            <v>35</v>
          </cell>
        </row>
        <row r="1023">
          <cell r="A1023" t="str">
            <v>B555628/A</v>
          </cell>
          <cell r="B1023" t="str">
            <v>CZ042</v>
          </cell>
          <cell r="C1023">
            <v>3</v>
          </cell>
          <cell r="D1023">
            <v>1018.34</v>
          </cell>
          <cell r="E1023">
            <v>3055.02</v>
          </cell>
          <cell r="F1023" t="str">
            <v>A1</v>
          </cell>
          <cell r="G1023" t="str">
            <v>Head board  - Đầu giường</v>
          </cell>
          <cell r="H1023" t="str">
            <v>Pre-Assembly</v>
          </cell>
          <cell r="I1023">
            <v>3</v>
          </cell>
        </row>
        <row r="1024">
          <cell r="A1024" t="str">
            <v>B555628/A</v>
          </cell>
          <cell r="B1024" t="str">
            <v>CZ042</v>
          </cell>
          <cell r="C1024">
            <v>3</v>
          </cell>
          <cell r="D1024">
            <v>1018.34</v>
          </cell>
          <cell r="E1024">
            <v>3055.02</v>
          </cell>
          <cell r="F1024" t="str">
            <v>A1-S01</v>
          </cell>
          <cell r="G1024" t="str">
            <v>The leg  - Chân</v>
          </cell>
          <cell r="H1024" t="str">
            <v>Wood laminate</v>
          </cell>
          <cell r="I1024">
            <v>6</v>
          </cell>
        </row>
        <row r="1025">
          <cell r="A1025" t="str">
            <v>B555628/A</v>
          </cell>
          <cell r="B1025" t="str">
            <v>CZ042</v>
          </cell>
          <cell r="C1025">
            <v>3</v>
          </cell>
          <cell r="D1025">
            <v>1018.34</v>
          </cell>
          <cell r="E1025">
            <v>3055.02</v>
          </cell>
          <cell r="F1025" t="str">
            <v>A1-S02</v>
          </cell>
          <cell r="G1025" t="str">
            <v>Horizontal rail 1 - Đố ngang 1</v>
          </cell>
          <cell r="H1025" t="str">
            <v>Wood laminate</v>
          </cell>
          <cell r="I1025">
            <v>6</v>
          </cell>
        </row>
        <row r="1026">
          <cell r="A1026" t="str">
            <v>B555628/A</v>
          </cell>
          <cell r="B1026" t="str">
            <v>CZ042</v>
          </cell>
          <cell r="C1026">
            <v>3</v>
          </cell>
          <cell r="D1026">
            <v>1018.34</v>
          </cell>
          <cell r="E1026">
            <v>3055.02</v>
          </cell>
          <cell r="F1026" t="str">
            <v>A1-S03</v>
          </cell>
          <cell r="G1026" t="str">
            <v>Vertical rail 1 - Đố đứng 1</v>
          </cell>
          <cell r="H1026" t="str">
            <v>Wood Rubber Laminate Board - 20 x 1220 x 2440mm, Veneer Poplar both Faces</v>
          </cell>
          <cell r="I1026">
            <v>6</v>
          </cell>
        </row>
        <row r="1027">
          <cell r="A1027" t="str">
            <v>B555628/A</v>
          </cell>
          <cell r="B1027" t="str">
            <v>CZ042</v>
          </cell>
          <cell r="C1027">
            <v>3</v>
          </cell>
          <cell r="D1027">
            <v>1018.34</v>
          </cell>
          <cell r="E1027">
            <v>3055.02</v>
          </cell>
          <cell r="F1027" t="str">
            <v>A1-S04</v>
          </cell>
          <cell r="G1027" t="str">
            <v>Vertical rail 2 - Đố đứng 2</v>
          </cell>
          <cell r="H1027" t="str">
            <v>Standard Wood - ALDER/ASPEN/LENGA/US POPLAR, 2 COM - T38 W120mm+ L2m+</v>
          </cell>
          <cell r="I1027">
            <v>6</v>
          </cell>
        </row>
        <row r="1028">
          <cell r="A1028" t="str">
            <v>B555628/A</v>
          </cell>
          <cell r="B1028" t="str">
            <v>CZ042</v>
          </cell>
          <cell r="C1028">
            <v>3</v>
          </cell>
          <cell r="D1028">
            <v>1018.34</v>
          </cell>
          <cell r="E1028">
            <v>3055.02</v>
          </cell>
          <cell r="F1028" t="str">
            <v>A1-S05</v>
          </cell>
          <cell r="G1028" t="str">
            <v xml:space="preserve">Side rail  - Đố hông </v>
          </cell>
          <cell r="H1028" t="str">
            <v>TRAM OFF CUT</v>
          </cell>
          <cell r="I1028">
            <v>24</v>
          </cell>
        </row>
        <row r="1029">
          <cell r="A1029" t="str">
            <v>B555628/A</v>
          </cell>
          <cell r="B1029" t="str">
            <v>CZ042</v>
          </cell>
          <cell r="C1029">
            <v>3</v>
          </cell>
          <cell r="D1029">
            <v>1018.34</v>
          </cell>
          <cell r="E1029">
            <v>3055.02</v>
          </cell>
          <cell r="F1029" t="str">
            <v>A1-S06</v>
          </cell>
          <cell r="G1029" t="str">
            <v xml:space="preserve">Front panel  - Ván tiền </v>
          </cell>
          <cell r="H1029" t="str">
            <v>MDF - 12 x 1830 x 2440mm [CARB P2 Compliant]</v>
          </cell>
          <cell r="I1029">
            <v>3</v>
          </cell>
        </row>
        <row r="1030">
          <cell r="A1030" t="str">
            <v>B555628/A</v>
          </cell>
          <cell r="B1030" t="str">
            <v>CZ042</v>
          </cell>
          <cell r="C1030">
            <v>3</v>
          </cell>
          <cell r="D1030">
            <v>1018.34</v>
          </cell>
          <cell r="E1030">
            <v>3055.02</v>
          </cell>
          <cell r="F1030" t="str">
            <v>A1-S07</v>
          </cell>
          <cell r="G1030" t="str">
            <v xml:space="preserve">Side panel  - Ván hông </v>
          </cell>
          <cell r="H1030" t="str">
            <v>MDF - 12 x 1830 x 2440mm [CARB P2 Compliant]</v>
          </cell>
          <cell r="I1030">
            <v>6</v>
          </cell>
        </row>
        <row r="1031">
          <cell r="A1031" t="str">
            <v>B555628/A</v>
          </cell>
          <cell r="B1031" t="str">
            <v>CZ042</v>
          </cell>
          <cell r="C1031">
            <v>3</v>
          </cell>
          <cell r="D1031">
            <v>1018.34</v>
          </cell>
          <cell r="E1031">
            <v>3055.02</v>
          </cell>
          <cell r="F1031" t="str">
            <v>A1-S08</v>
          </cell>
          <cell r="G1031" t="str">
            <v xml:space="preserve">Side rail  - Đố hông </v>
          </cell>
          <cell r="H1031" t="str">
            <v>Standard Wood - ALDER/ASPEN/LENGA/US POPLAR, 2 COM - T32 W120mm+ L2m+</v>
          </cell>
          <cell r="I1031">
            <v>6</v>
          </cell>
        </row>
        <row r="1032">
          <cell r="A1032" t="str">
            <v>B555628/A</v>
          </cell>
          <cell r="B1032" t="str">
            <v>CZ042</v>
          </cell>
          <cell r="C1032">
            <v>3</v>
          </cell>
          <cell r="D1032">
            <v>1018.34</v>
          </cell>
          <cell r="E1032">
            <v>3055.02</v>
          </cell>
          <cell r="F1032" t="str">
            <v>A1-S09</v>
          </cell>
          <cell r="G1032" t="str">
            <v>Horizontal rail 1 - Đố ngang 1</v>
          </cell>
          <cell r="H1032" t="str">
            <v>Standard Wood - ALDER/ASPEN/LENGA/US POPLAR, 2 COM - T25 W120mm+ L2m+</v>
          </cell>
          <cell r="I1032">
            <v>9</v>
          </cell>
        </row>
        <row r="1033">
          <cell r="A1033" t="str">
            <v>B555628/A</v>
          </cell>
          <cell r="B1033" t="str">
            <v>CZ042</v>
          </cell>
          <cell r="C1033">
            <v>3</v>
          </cell>
          <cell r="D1033">
            <v>1018.34</v>
          </cell>
          <cell r="E1033">
            <v>3055.02</v>
          </cell>
          <cell r="F1033" t="str">
            <v>A1-S10</v>
          </cell>
          <cell r="G1033" t="str">
            <v>Back panel - Ván hậu</v>
          </cell>
          <cell r="H1033" t="str">
            <v>MDF - 12 x 1830 x 2440mm [CARB P2 Compliant]</v>
          </cell>
          <cell r="I1033">
            <v>3</v>
          </cell>
        </row>
        <row r="1034">
          <cell r="A1034" t="str">
            <v>B555628/A</v>
          </cell>
          <cell r="B1034" t="str">
            <v>CZ042</v>
          </cell>
          <cell r="C1034">
            <v>3</v>
          </cell>
          <cell r="D1034">
            <v>1018.34</v>
          </cell>
          <cell r="E1034">
            <v>3055.02</v>
          </cell>
          <cell r="F1034" t="str">
            <v>A1-S11</v>
          </cell>
          <cell r="G1034" t="str">
            <v xml:space="preserve">Side panel  - Ván hông </v>
          </cell>
          <cell r="H1034" t="str">
            <v>MDF - 12 x 1830 x 2440mm [CARB P2 Compliant]</v>
          </cell>
          <cell r="I1034">
            <v>6</v>
          </cell>
        </row>
        <row r="1035">
          <cell r="A1035" t="str">
            <v>B555628/A</v>
          </cell>
          <cell r="B1035" t="str">
            <v>CZ042</v>
          </cell>
          <cell r="C1035">
            <v>3</v>
          </cell>
          <cell r="D1035">
            <v>1018.34</v>
          </cell>
          <cell r="E1035">
            <v>3055.02</v>
          </cell>
          <cell r="F1035" t="str">
            <v>A1-S12</v>
          </cell>
          <cell r="G1035" t="str">
            <v>Cleat - Bọ gỗ</v>
          </cell>
          <cell r="H1035" t="str">
            <v>Poplar off cut</v>
          </cell>
          <cell r="I1035">
            <v>12</v>
          </cell>
        </row>
        <row r="1036">
          <cell r="A1036" t="str">
            <v>B555628/A</v>
          </cell>
          <cell r="B1036" t="str">
            <v>CZ042</v>
          </cell>
          <cell r="C1036">
            <v>3</v>
          </cell>
          <cell r="D1036">
            <v>1018.34</v>
          </cell>
          <cell r="E1036">
            <v>3055.02</v>
          </cell>
          <cell r="F1036" t="str">
            <v>A1-S13</v>
          </cell>
          <cell r="G1036" t="str">
            <v>Cleat - Bọ gỗ</v>
          </cell>
          <cell r="H1036" t="str">
            <v>Poplar off cut</v>
          </cell>
          <cell r="I1036">
            <v>6</v>
          </cell>
        </row>
        <row r="1037">
          <cell r="A1037" t="str">
            <v>B555628/A</v>
          </cell>
          <cell r="B1037" t="str">
            <v>CZ042</v>
          </cell>
          <cell r="C1037">
            <v>3</v>
          </cell>
          <cell r="D1037">
            <v>1018.34</v>
          </cell>
          <cell r="E1037">
            <v>3055.02</v>
          </cell>
          <cell r="F1037" t="str">
            <v>A1-S14</v>
          </cell>
          <cell r="G1037" t="str">
            <v>Corner block - ke góc</v>
          </cell>
          <cell r="H1037" t="str">
            <v>Poplar off cut</v>
          </cell>
          <cell r="I1037">
            <v>6</v>
          </cell>
        </row>
        <row r="1038">
          <cell r="A1038" t="str">
            <v>B555628/A</v>
          </cell>
          <cell r="B1038" t="str">
            <v>CZ042</v>
          </cell>
          <cell r="C1038">
            <v>3</v>
          </cell>
          <cell r="D1038">
            <v>1018.34</v>
          </cell>
          <cell r="E1038">
            <v>3055.02</v>
          </cell>
          <cell r="F1038" t="str">
            <v>A1-S15</v>
          </cell>
          <cell r="G1038" t="str">
            <v>Patching wood - Gỗ đắp</v>
          </cell>
          <cell r="H1038" t="str">
            <v>Poplar off cut</v>
          </cell>
          <cell r="I1038">
            <v>12</v>
          </cell>
        </row>
        <row r="1039">
          <cell r="A1039" t="str">
            <v>B555628/A</v>
          </cell>
          <cell r="B1039" t="str">
            <v>CZ042</v>
          </cell>
          <cell r="C1039">
            <v>3</v>
          </cell>
          <cell r="D1039">
            <v>1018.34</v>
          </cell>
          <cell r="E1039">
            <v>3055.02</v>
          </cell>
          <cell r="F1039" t="str">
            <v>A1-S17</v>
          </cell>
          <cell r="G1039" t="str">
            <v>Patching wood - Gỗ đắp</v>
          </cell>
          <cell r="H1039" t="str">
            <v>Poplar off cut</v>
          </cell>
          <cell r="I1039">
            <v>6</v>
          </cell>
        </row>
        <row r="1040">
          <cell r="A1040" t="str">
            <v>B555628/A</v>
          </cell>
          <cell r="B1040" t="str">
            <v>CZ042</v>
          </cell>
          <cell r="C1040">
            <v>3</v>
          </cell>
          <cell r="D1040">
            <v>1018.34</v>
          </cell>
          <cell r="E1040">
            <v>3055.02</v>
          </cell>
          <cell r="F1040" t="str">
            <v>A2-S1</v>
          </cell>
          <cell r="G1040" t="str">
            <v>The leg  - Chân</v>
          </cell>
          <cell r="H1040" t="str">
            <v>Poplar 2 COM</v>
          </cell>
          <cell r="I1040">
            <v>6</v>
          </cell>
        </row>
        <row r="1041">
          <cell r="A1041" t="str">
            <v>B555628/A</v>
          </cell>
          <cell r="B1041" t="str">
            <v>CZ042</v>
          </cell>
          <cell r="C1041">
            <v>3</v>
          </cell>
          <cell r="D1041">
            <v>1018.34</v>
          </cell>
          <cell r="E1041">
            <v>3055.02</v>
          </cell>
          <cell r="F1041" t="str">
            <v>A2-S2</v>
          </cell>
          <cell r="G1041" t="str">
            <v>Foot board  - Đuôi giường</v>
          </cell>
          <cell r="H1041" t="str">
            <v>Pre-Assembly</v>
          </cell>
          <cell r="I1041">
            <v>3</v>
          </cell>
        </row>
        <row r="1042">
          <cell r="A1042" t="str">
            <v>B555628/A</v>
          </cell>
          <cell r="B1042" t="str">
            <v>CZ042</v>
          </cell>
          <cell r="C1042">
            <v>3</v>
          </cell>
          <cell r="D1042">
            <v>1018.34</v>
          </cell>
          <cell r="E1042">
            <v>3055.02</v>
          </cell>
          <cell r="F1042" t="str">
            <v>A2-S2-1</v>
          </cell>
          <cell r="G1042" t="str">
            <v>Horizontal rail 1 - Đố ngang 1</v>
          </cell>
          <cell r="H1042" t="str">
            <v>Wood Rubber Laminate Board - 20 x 1220 x 2440mm, Veneer Poplar both Faces</v>
          </cell>
          <cell r="I1042">
            <v>6</v>
          </cell>
        </row>
        <row r="1043">
          <cell r="A1043" t="str">
            <v>B555628/A</v>
          </cell>
          <cell r="B1043" t="str">
            <v>CZ042</v>
          </cell>
          <cell r="C1043">
            <v>3</v>
          </cell>
          <cell r="D1043">
            <v>1018.34</v>
          </cell>
          <cell r="E1043">
            <v>3055.02</v>
          </cell>
          <cell r="F1043" t="str">
            <v>A2-S2-2</v>
          </cell>
          <cell r="G1043" t="str">
            <v>Vertical rail 1 - Đố đứng 1</v>
          </cell>
          <cell r="H1043" t="str">
            <v>Wood laminate</v>
          </cell>
          <cell r="I1043">
            <v>6</v>
          </cell>
        </row>
        <row r="1044">
          <cell r="A1044" t="str">
            <v>B555628/A</v>
          </cell>
          <cell r="B1044" t="str">
            <v>CZ042</v>
          </cell>
          <cell r="C1044">
            <v>3</v>
          </cell>
          <cell r="D1044">
            <v>1018.34</v>
          </cell>
          <cell r="E1044">
            <v>3055.02</v>
          </cell>
          <cell r="F1044" t="str">
            <v>A2-S2-3</v>
          </cell>
          <cell r="G1044" t="str">
            <v>Vertical rail 2 - Đố đứng 2</v>
          </cell>
          <cell r="H1044" t="str">
            <v>Standard Wood - ALDER/ASPEN/LENGA/US POPLAR, 2 COM - T50 W120mm+ L2m+</v>
          </cell>
          <cell r="I1044">
            <v>6</v>
          </cell>
        </row>
        <row r="1045">
          <cell r="A1045" t="str">
            <v>B555628/A</v>
          </cell>
          <cell r="B1045" t="str">
            <v>CZ042</v>
          </cell>
          <cell r="C1045">
            <v>3</v>
          </cell>
          <cell r="D1045">
            <v>1018.34</v>
          </cell>
          <cell r="E1045">
            <v>3055.02</v>
          </cell>
          <cell r="F1045" t="str">
            <v>A2-S2-4</v>
          </cell>
          <cell r="G1045" t="str">
            <v>Back panel - Ván hậu</v>
          </cell>
          <cell r="H1045" t="str">
            <v>MDF Veneer</v>
          </cell>
          <cell r="I1045">
            <v>6</v>
          </cell>
        </row>
        <row r="1046">
          <cell r="A1046" t="str">
            <v>B555628/A</v>
          </cell>
          <cell r="B1046" t="str">
            <v>CZ042</v>
          </cell>
          <cell r="C1046">
            <v>3</v>
          </cell>
          <cell r="D1046">
            <v>1018.34</v>
          </cell>
          <cell r="E1046">
            <v>3055.02</v>
          </cell>
          <cell r="F1046" t="str">
            <v>A2-S3</v>
          </cell>
          <cell r="G1046" t="str">
            <v>Insert Wood - Gỗ chèn</v>
          </cell>
          <cell r="H1046" t="str">
            <v>Beech off cut</v>
          </cell>
          <cell r="I1046">
            <v>6</v>
          </cell>
        </row>
        <row r="1047">
          <cell r="A1047" t="str">
            <v>B555628/A</v>
          </cell>
          <cell r="B1047" t="str">
            <v>CZ042</v>
          </cell>
          <cell r="C1047">
            <v>3</v>
          </cell>
          <cell r="D1047">
            <v>1018.34</v>
          </cell>
          <cell r="E1047">
            <v>3055.02</v>
          </cell>
          <cell r="F1047" t="str">
            <v>A3.1</v>
          </cell>
          <cell r="G1047" t="str">
            <v>Side bed - Hông giường</v>
          </cell>
          <cell r="H1047" t="str">
            <v>Pre-Assembly</v>
          </cell>
          <cell r="I1047">
            <v>6</v>
          </cell>
        </row>
        <row r="1048">
          <cell r="A1048" t="str">
            <v>B555628/A</v>
          </cell>
          <cell r="B1048" t="str">
            <v>CZ042</v>
          </cell>
          <cell r="C1048">
            <v>3</v>
          </cell>
          <cell r="D1048">
            <v>1018.34</v>
          </cell>
          <cell r="E1048">
            <v>3055.02</v>
          </cell>
          <cell r="F1048" t="str">
            <v>A3-S1</v>
          </cell>
          <cell r="G1048" t="str">
            <v>Horizontal rail 1 - Đố ngang 1</v>
          </cell>
          <cell r="H1048" t="str">
            <v>MDF - 18 x 1830 x 2440mm [CARB P2 Compliant]</v>
          </cell>
          <cell r="I1048">
            <v>12</v>
          </cell>
        </row>
        <row r="1049">
          <cell r="A1049" t="str">
            <v>B555628/A</v>
          </cell>
          <cell r="B1049" t="str">
            <v>CZ042</v>
          </cell>
          <cell r="C1049">
            <v>3</v>
          </cell>
          <cell r="D1049">
            <v>1018.34</v>
          </cell>
          <cell r="E1049">
            <v>3055.02</v>
          </cell>
          <cell r="F1049" t="str">
            <v>A3-S3</v>
          </cell>
          <cell r="G1049" t="str">
            <v>Vertical rail 1 - Đố đứng 1</v>
          </cell>
          <cell r="H1049" t="str">
            <v>Plywood off cut</v>
          </cell>
          <cell r="I1049">
            <v>24</v>
          </cell>
        </row>
        <row r="1050">
          <cell r="A1050" t="str">
            <v>B555628/A</v>
          </cell>
          <cell r="B1050" t="str">
            <v>CZ042</v>
          </cell>
          <cell r="C1050">
            <v>3</v>
          </cell>
          <cell r="D1050">
            <v>1018.34</v>
          </cell>
          <cell r="E1050">
            <v>3055.02</v>
          </cell>
          <cell r="F1050" t="str">
            <v>A3-S4</v>
          </cell>
          <cell r="G1050" t="str">
            <v xml:space="preserve">Side panel  - Ván hông </v>
          </cell>
          <cell r="H1050" t="str">
            <v>MDF Veneer</v>
          </cell>
          <cell r="I1050">
            <v>12</v>
          </cell>
        </row>
        <row r="1051">
          <cell r="A1051" t="str">
            <v>B555628/A</v>
          </cell>
          <cell r="B1051" t="str">
            <v>CZ042</v>
          </cell>
          <cell r="C1051">
            <v>3</v>
          </cell>
          <cell r="D1051">
            <v>1018.34</v>
          </cell>
          <cell r="E1051">
            <v>3055.02</v>
          </cell>
          <cell r="F1051" t="str">
            <v>A3-S5</v>
          </cell>
          <cell r="G1051" t="str">
            <v xml:space="preserve">Side rail  - Đố hông </v>
          </cell>
          <cell r="H1051" t="str">
            <v>MDF laminate</v>
          </cell>
          <cell r="I1051">
            <v>12</v>
          </cell>
        </row>
        <row r="1052">
          <cell r="A1052" t="str">
            <v>B555628/A</v>
          </cell>
          <cell r="B1052" t="str">
            <v>CZ042</v>
          </cell>
          <cell r="C1052">
            <v>3</v>
          </cell>
          <cell r="D1052">
            <v>1018.34</v>
          </cell>
          <cell r="E1052">
            <v>3055.02</v>
          </cell>
          <cell r="F1052" t="str">
            <v>A3-S6</v>
          </cell>
          <cell r="G1052" t="str">
            <v xml:space="preserve">Side rail  - Đố hông </v>
          </cell>
          <cell r="H1052" t="str">
            <v>Wood US Poplar - Straight Edged, 1 COM - T32mm x W100mm Up x L1.8m Up</v>
          </cell>
          <cell r="I1052">
            <v>6</v>
          </cell>
        </row>
        <row r="1053">
          <cell r="A1053" t="str">
            <v>B555628/A</v>
          </cell>
          <cell r="B1053" t="str">
            <v>CZ042</v>
          </cell>
          <cell r="C1053">
            <v>3</v>
          </cell>
          <cell r="D1053">
            <v>1018.34</v>
          </cell>
          <cell r="E1053">
            <v>3055.02</v>
          </cell>
          <cell r="F1053" t="str">
            <v>P1</v>
          </cell>
          <cell r="G1053" t="str">
            <v>Slat Support  - Đỡ dạt giường</v>
          </cell>
          <cell r="H1053" t="str">
            <v>Wood US Poplar - Straight Edged, 1 COM - T38mm x W100mm Up x L1.8m Up</v>
          </cell>
          <cell r="I1053">
            <v>6</v>
          </cell>
        </row>
        <row r="1054">
          <cell r="A1054" t="str">
            <v>B555628/A</v>
          </cell>
          <cell r="B1054" t="str">
            <v>CZ042</v>
          </cell>
          <cell r="C1054">
            <v>3</v>
          </cell>
          <cell r="D1054">
            <v>1018.34</v>
          </cell>
          <cell r="E1054">
            <v>3055.02</v>
          </cell>
          <cell r="F1054" t="str">
            <v>P2</v>
          </cell>
          <cell r="G1054" t="str">
            <v>slat buy - dạt mua từ nhà cung</v>
          </cell>
          <cell r="H1054" t="str">
            <v>Slat buy</v>
          </cell>
          <cell r="I1054">
            <v>39</v>
          </cell>
        </row>
        <row r="1055">
          <cell r="A1055" t="str">
            <v>B557252/A</v>
          </cell>
          <cell r="B1055" t="str">
            <v>CZ042M190</v>
          </cell>
          <cell r="C1055">
            <v>16</v>
          </cell>
          <cell r="D1055">
            <v>1018.34</v>
          </cell>
          <cell r="E1055">
            <v>16293.44</v>
          </cell>
          <cell r="F1055" t="str">
            <v>A1</v>
          </cell>
          <cell r="G1055" t="str">
            <v>Head board  - Đầu giường</v>
          </cell>
          <cell r="H1055" t="str">
            <v>Pre-Assembly</v>
          </cell>
          <cell r="I1055">
            <v>16</v>
          </cell>
        </row>
        <row r="1056">
          <cell r="A1056" t="str">
            <v>B557252/A</v>
          </cell>
          <cell r="B1056" t="str">
            <v>CZ042M190</v>
          </cell>
          <cell r="C1056">
            <v>16</v>
          </cell>
          <cell r="D1056">
            <v>1018.34</v>
          </cell>
          <cell r="E1056">
            <v>16293.44</v>
          </cell>
          <cell r="F1056" t="str">
            <v>A1-S01</v>
          </cell>
          <cell r="G1056" t="str">
            <v>The leg  - Chân</v>
          </cell>
          <cell r="H1056" t="str">
            <v>Wood laminate</v>
          </cell>
          <cell r="I1056">
            <v>32</v>
          </cell>
        </row>
        <row r="1057">
          <cell r="A1057" t="str">
            <v>B557252/A</v>
          </cell>
          <cell r="B1057" t="str">
            <v>CZ042M190</v>
          </cell>
          <cell r="C1057">
            <v>16</v>
          </cell>
          <cell r="D1057">
            <v>1018.34</v>
          </cell>
          <cell r="E1057">
            <v>16293.44</v>
          </cell>
          <cell r="F1057" t="str">
            <v>A1-S02</v>
          </cell>
          <cell r="G1057" t="str">
            <v>Horizontal rail 1 - Đố ngang 1</v>
          </cell>
          <cell r="H1057" t="str">
            <v>Wood laminate</v>
          </cell>
          <cell r="I1057">
            <v>32</v>
          </cell>
        </row>
        <row r="1058">
          <cell r="A1058" t="str">
            <v>B557252/A</v>
          </cell>
          <cell r="B1058" t="str">
            <v>CZ042M190</v>
          </cell>
          <cell r="C1058">
            <v>16</v>
          </cell>
          <cell r="D1058">
            <v>1018.34</v>
          </cell>
          <cell r="E1058">
            <v>16293.44</v>
          </cell>
          <cell r="F1058" t="str">
            <v>A1-S03</v>
          </cell>
          <cell r="G1058" t="str">
            <v>Vertical rail 1 - Đố đứng 1</v>
          </cell>
          <cell r="H1058" t="str">
            <v>Standard Wood - ALDER/ASPEN/LENGA/US POPLAR, 2 COM - T25 W120mm+ L2m+</v>
          </cell>
          <cell r="I1058">
            <v>32</v>
          </cell>
        </row>
        <row r="1059">
          <cell r="A1059" t="str">
            <v>B557252/A</v>
          </cell>
          <cell r="B1059" t="str">
            <v>CZ042M190</v>
          </cell>
          <cell r="C1059">
            <v>16</v>
          </cell>
          <cell r="D1059">
            <v>1018.34</v>
          </cell>
          <cell r="E1059">
            <v>16293.44</v>
          </cell>
          <cell r="F1059" t="str">
            <v>A1-S04</v>
          </cell>
          <cell r="G1059" t="str">
            <v>Vertical rail 2 - Đố đứng 2</v>
          </cell>
          <cell r="H1059" t="str">
            <v>Standard Wood - ALDER/ASPEN/LENGA/US POPLAR, 2 COM - T38 W120mm+ L2m+</v>
          </cell>
          <cell r="I1059">
            <v>32</v>
          </cell>
        </row>
        <row r="1060">
          <cell r="A1060" t="str">
            <v>B557252/A</v>
          </cell>
          <cell r="B1060" t="str">
            <v>CZ042M190</v>
          </cell>
          <cell r="C1060">
            <v>16</v>
          </cell>
          <cell r="D1060">
            <v>1018.34</v>
          </cell>
          <cell r="E1060">
            <v>16293.44</v>
          </cell>
          <cell r="F1060" t="str">
            <v>A1-S05</v>
          </cell>
          <cell r="G1060" t="str">
            <v xml:space="preserve">Side rail  - Đố hông </v>
          </cell>
          <cell r="H1060" t="str">
            <v>TRAM OFF CUT</v>
          </cell>
          <cell r="I1060">
            <v>128</v>
          </cell>
        </row>
        <row r="1061">
          <cell r="A1061" t="str">
            <v>B557252/A</v>
          </cell>
          <cell r="B1061" t="str">
            <v>CZ042M190</v>
          </cell>
          <cell r="C1061">
            <v>16</v>
          </cell>
          <cell r="D1061">
            <v>1018.34</v>
          </cell>
          <cell r="E1061">
            <v>16293.44</v>
          </cell>
          <cell r="F1061" t="str">
            <v>A1-S06</v>
          </cell>
          <cell r="G1061" t="str">
            <v xml:space="preserve">Front panel  - Ván tiền </v>
          </cell>
          <cell r="H1061" t="str">
            <v>MDF - 12 x 1830 x 2440mm [CARB P2 Compliant]</v>
          </cell>
          <cell r="I1061">
            <v>16</v>
          </cell>
        </row>
        <row r="1062">
          <cell r="A1062" t="str">
            <v>B557252/A</v>
          </cell>
          <cell r="B1062" t="str">
            <v>CZ042M190</v>
          </cell>
          <cell r="C1062">
            <v>16</v>
          </cell>
          <cell r="D1062">
            <v>1018.34</v>
          </cell>
          <cell r="E1062">
            <v>16293.44</v>
          </cell>
          <cell r="F1062" t="str">
            <v>A1-S07</v>
          </cell>
          <cell r="G1062" t="str">
            <v xml:space="preserve">Side panel  - Ván hông </v>
          </cell>
          <cell r="H1062" t="str">
            <v>MDF - 12 x 1830 x 2440mm [CARB P2 Compliant]</v>
          </cell>
          <cell r="I1062">
            <v>32</v>
          </cell>
        </row>
        <row r="1063">
          <cell r="A1063" t="str">
            <v>B557252/A</v>
          </cell>
          <cell r="B1063" t="str">
            <v>CZ042M190</v>
          </cell>
          <cell r="C1063">
            <v>16</v>
          </cell>
          <cell r="D1063">
            <v>1018.34</v>
          </cell>
          <cell r="E1063">
            <v>16293.44</v>
          </cell>
          <cell r="F1063" t="str">
            <v>A1-S08</v>
          </cell>
          <cell r="G1063" t="str">
            <v xml:space="preserve">Side rail  - Đố hông </v>
          </cell>
          <cell r="H1063" t="str">
            <v>Standard Wood - ALDER/ASPEN/LENGA/US POPLAR, 2 COM - T32 W120mm+ L2m+</v>
          </cell>
          <cell r="I1063">
            <v>32</v>
          </cell>
        </row>
        <row r="1064">
          <cell r="A1064" t="str">
            <v>B557252/A</v>
          </cell>
          <cell r="B1064" t="str">
            <v>CZ042M190</v>
          </cell>
          <cell r="C1064">
            <v>16</v>
          </cell>
          <cell r="D1064">
            <v>1018.34</v>
          </cell>
          <cell r="E1064">
            <v>16293.44</v>
          </cell>
          <cell r="F1064" t="str">
            <v>A1-S09</v>
          </cell>
          <cell r="G1064" t="str">
            <v>Horizontal rail 1 - Đố ngang 1</v>
          </cell>
          <cell r="H1064" t="str">
            <v>Standard Wood - ALDER/ASPEN/LENGA/US POPLAR, 2 COM - T25 W120mm+ L2m+</v>
          </cell>
          <cell r="I1064">
            <v>48</v>
          </cell>
        </row>
        <row r="1065">
          <cell r="A1065" t="str">
            <v>B557252/A</v>
          </cell>
          <cell r="B1065" t="str">
            <v>CZ042M190</v>
          </cell>
          <cell r="C1065">
            <v>16</v>
          </cell>
          <cell r="D1065">
            <v>1018.34</v>
          </cell>
          <cell r="E1065">
            <v>16293.44</v>
          </cell>
          <cell r="F1065" t="str">
            <v>A1-S10</v>
          </cell>
          <cell r="G1065" t="str">
            <v>Back panel - Ván hậu</v>
          </cell>
          <cell r="H1065" t="str">
            <v>MDF - 12 x 1830 x 2440mm [CARB P2 Compliant]</v>
          </cell>
          <cell r="I1065">
            <v>16</v>
          </cell>
        </row>
        <row r="1066">
          <cell r="A1066" t="str">
            <v>B557252/A</v>
          </cell>
          <cell r="B1066" t="str">
            <v>CZ042M190</v>
          </cell>
          <cell r="C1066">
            <v>16</v>
          </cell>
          <cell r="D1066">
            <v>1018.34</v>
          </cell>
          <cell r="E1066">
            <v>16293.44</v>
          </cell>
          <cell r="F1066" t="str">
            <v>A1-S11</v>
          </cell>
          <cell r="G1066" t="str">
            <v xml:space="preserve">Side panel  - Ván hông </v>
          </cell>
          <cell r="H1066" t="str">
            <v>MDF - 12 x 1830 x 2440mm [CARB P2 Compliant]</v>
          </cell>
          <cell r="I1066">
            <v>32</v>
          </cell>
        </row>
        <row r="1067">
          <cell r="A1067" t="str">
            <v>B557252/A</v>
          </cell>
          <cell r="B1067" t="str">
            <v>CZ042M190</v>
          </cell>
          <cell r="C1067">
            <v>16</v>
          </cell>
          <cell r="D1067">
            <v>1018.34</v>
          </cell>
          <cell r="E1067">
            <v>16293.44</v>
          </cell>
          <cell r="F1067" t="str">
            <v>A1-S12</v>
          </cell>
          <cell r="G1067" t="str">
            <v>Cleat - Bọ gỗ</v>
          </cell>
          <cell r="H1067" t="str">
            <v>Poplar off cut</v>
          </cell>
          <cell r="I1067">
            <v>64</v>
          </cell>
        </row>
        <row r="1068">
          <cell r="A1068" t="str">
            <v>B557252/A</v>
          </cell>
          <cell r="B1068" t="str">
            <v>CZ042M190</v>
          </cell>
          <cell r="C1068">
            <v>16</v>
          </cell>
          <cell r="D1068">
            <v>1018.34</v>
          </cell>
          <cell r="E1068">
            <v>16293.44</v>
          </cell>
          <cell r="F1068" t="str">
            <v>A1-S13</v>
          </cell>
          <cell r="G1068" t="str">
            <v>Cleat - Bọ gỗ</v>
          </cell>
          <cell r="H1068" t="str">
            <v>Poplar off cut</v>
          </cell>
          <cell r="I1068">
            <v>32</v>
          </cell>
        </row>
        <row r="1069">
          <cell r="A1069" t="str">
            <v>B557252/A</v>
          </cell>
          <cell r="B1069" t="str">
            <v>CZ042M190</v>
          </cell>
          <cell r="C1069">
            <v>16</v>
          </cell>
          <cell r="D1069">
            <v>1018.34</v>
          </cell>
          <cell r="E1069">
            <v>16293.44</v>
          </cell>
          <cell r="F1069" t="str">
            <v>A1-S14</v>
          </cell>
          <cell r="G1069" t="str">
            <v>Corner block - ke góc</v>
          </cell>
          <cell r="H1069" t="str">
            <v>Poplar off cut</v>
          </cell>
          <cell r="I1069">
            <v>32</v>
          </cell>
        </row>
        <row r="1070">
          <cell r="A1070" t="str">
            <v>B557252/A</v>
          </cell>
          <cell r="B1070" t="str">
            <v>CZ042M190</v>
          </cell>
          <cell r="C1070">
            <v>16</v>
          </cell>
          <cell r="D1070">
            <v>1018.34</v>
          </cell>
          <cell r="E1070">
            <v>16293.44</v>
          </cell>
          <cell r="F1070" t="str">
            <v>A1-S15</v>
          </cell>
          <cell r="G1070" t="str">
            <v>Patching wood - Gỗ đắp</v>
          </cell>
          <cell r="H1070" t="str">
            <v>Poplar off cut</v>
          </cell>
          <cell r="I1070">
            <v>64</v>
          </cell>
        </row>
        <row r="1071">
          <cell r="A1071" t="str">
            <v>B557252/A</v>
          </cell>
          <cell r="B1071" t="str">
            <v>CZ042M190</v>
          </cell>
          <cell r="C1071">
            <v>16</v>
          </cell>
          <cell r="D1071">
            <v>1018.34</v>
          </cell>
          <cell r="E1071">
            <v>16293.44</v>
          </cell>
          <cell r="F1071" t="str">
            <v>A1-S17</v>
          </cell>
          <cell r="G1071" t="str">
            <v>Patching wood - Gỗ đắp</v>
          </cell>
          <cell r="H1071" t="str">
            <v>Poplar off cut</v>
          </cell>
          <cell r="I1071">
            <v>32</v>
          </cell>
        </row>
        <row r="1072">
          <cell r="A1072" t="str">
            <v>B557252/A</v>
          </cell>
          <cell r="B1072" t="str">
            <v>CZ042M190</v>
          </cell>
          <cell r="C1072">
            <v>16</v>
          </cell>
          <cell r="D1072">
            <v>1018.34</v>
          </cell>
          <cell r="E1072">
            <v>16293.44</v>
          </cell>
          <cell r="F1072" t="str">
            <v>A2-S1</v>
          </cell>
          <cell r="G1072" t="str">
            <v>The leg  - Chân</v>
          </cell>
          <cell r="H1072" t="str">
            <v>Poplar 2 COM</v>
          </cell>
          <cell r="I1072">
            <v>32</v>
          </cell>
        </row>
        <row r="1073">
          <cell r="A1073" t="str">
            <v>B557252/A</v>
          </cell>
          <cell r="B1073" t="str">
            <v>CZ042M190</v>
          </cell>
          <cell r="C1073">
            <v>16</v>
          </cell>
          <cell r="D1073">
            <v>1018.34</v>
          </cell>
          <cell r="E1073">
            <v>16293.44</v>
          </cell>
          <cell r="F1073" t="str">
            <v>A2-S2</v>
          </cell>
          <cell r="G1073" t="str">
            <v>Foot board  - Đuôi giường</v>
          </cell>
          <cell r="H1073" t="str">
            <v>Pre-Assembly</v>
          </cell>
          <cell r="I1073">
            <v>16</v>
          </cell>
        </row>
        <row r="1074">
          <cell r="A1074" t="str">
            <v>B557252/A</v>
          </cell>
          <cell r="B1074" t="str">
            <v>CZ042M190</v>
          </cell>
          <cell r="C1074">
            <v>16</v>
          </cell>
          <cell r="D1074">
            <v>1018.34</v>
          </cell>
          <cell r="E1074">
            <v>16293.44</v>
          </cell>
          <cell r="F1074" t="str">
            <v>A2-S2-1</v>
          </cell>
          <cell r="G1074" t="str">
            <v>Horizontal rail 1 - Đố ngang 1</v>
          </cell>
          <cell r="H1074" t="str">
            <v>Standard Wood - ALDER/ASPEN/LENGA/US POPLAR, 2 COM - T25 W120mm+ L2m+</v>
          </cell>
          <cell r="I1074">
            <v>32</v>
          </cell>
        </row>
        <row r="1075">
          <cell r="A1075" t="str">
            <v>B557252/A</v>
          </cell>
          <cell r="B1075" t="str">
            <v>CZ042M190</v>
          </cell>
          <cell r="C1075">
            <v>16</v>
          </cell>
          <cell r="D1075">
            <v>1018.34</v>
          </cell>
          <cell r="E1075">
            <v>16293.44</v>
          </cell>
          <cell r="F1075" t="str">
            <v>A2-S2-2</v>
          </cell>
          <cell r="G1075" t="str">
            <v>Vertical rail 1 - Đố đứng 1</v>
          </cell>
          <cell r="H1075" t="str">
            <v>Wood laminate</v>
          </cell>
          <cell r="I1075">
            <v>32</v>
          </cell>
        </row>
        <row r="1076">
          <cell r="A1076" t="str">
            <v>B557252/A</v>
          </cell>
          <cell r="B1076" t="str">
            <v>CZ042M190</v>
          </cell>
          <cell r="C1076">
            <v>16</v>
          </cell>
          <cell r="D1076">
            <v>1018.34</v>
          </cell>
          <cell r="E1076">
            <v>16293.44</v>
          </cell>
          <cell r="F1076" t="str">
            <v>A2-S2-3</v>
          </cell>
          <cell r="G1076" t="str">
            <v>Vertical rail 2 - Đố đứng 2</v>
          </cell>
          <cell r="H1076" t="str">
            <v>Standard Wood - ALDER/ASPEN/LENGA/US POPLAR, 2 COM - T50 W120mm+ L2m+</v>
          </cell>
          <cell r="I1076">
            <v>32</v>
          </cell>
        </row>
        <row r="1077">
          <cell r="A1077" t="str">
            <v>B557252/A</v>
          </cell>
          <cell r="B1077" t="str">
            <v>CZ042M190</v>
          </cell>
          <cell r="C1077">
            <v>16</v>
          </cell>
          <cell r="D1077">
            <v>1018.34</v>
          </cell>
          <cell r="E1077">
            <v>16293.44</v>
          </cell>
          <cell r="F1077" t="str">
            <v>A2-S2-4</v>
          </cell>
          <cell r="G1077" t="str">
            <v>Back panel - Ván hậu</v>
          </cell>
          <cell r="H1077" t="str">
            <v>MDF Veneer</v>
          </cell>
          <cell r="I1077">
            <v>32</v>
          </cell>
        </row>
        <row r="1078">
          <cell r="A1078" t="str">
            <v>B557252/A</v>
          </cell>
          <cell r="B1078" t="str">
            <v>CZ042M190</v>
          </cell>
          <cell r="C1078">
            <v>16</v>
          </cell>
          <cell r="D1078">
            <v>1018.34</v>
          </cell>
          <cell r="E1078">
            <v>16293.44</v>
          </cell>
          <cell r="F1078" t="str">
            <v>A2-S3</v>
          </cell>
          <cell r="G1078" t="str">
            <v>Insert Wood - Gỗ chèn</v>
          </cell>
          <cell r="H1078" t="str">
            <v>Beech off cut</v>
          </cell>
          <cell r="I1078">
            <v>32</v>
          </cell>
        </row>
        <row r="1079">
          <cell r="A1079" t="str">
            <v>B557252/A</v>
          </cell>
          <cell r="B1079" t="str">
            <v>CZ042M190</v>
          </cell>
          <cell r="C1079">
            <v>16</v>
          </cell>
          <cell r="D1079">
            <v>1018.34</v>
          </cell>
          <cell r="E1079">
            <v>16293.44</v>
          </cell>
          <cell r="F1079" t="str">
            <v>A3.1</v>
          </cell>
          <cell r="G1079" t="str">
            <v>Side bed - Hông giường</v>
          </cell>
          <cell r="H1079" t="str">
            <v>Pre-Assembly</v>
          </cell>
          <cell r="I1079">
            <v>32</v>
          </cell>
        </row>
        <row r="1080">
          <cell r="A1080" t="str">
            <v>B557252/A</v>
          </cell>
          <cell r="B1080" t="str">
            <v>CZ042M190</v>
          </cell>
          <cell r="C1080">
            <v>16</v>
          </cell>
          <cell r="D1080">
            <v>1018.34</v>
          </cell>
          <cell r="E1080">
            <v>16293.44</v>
          </cell>
          <cell r="F1080" t="str">
            <v>A3-S1</v>
          </cell>
          <cell r="G1080" t="str">
            <v>Horizontal rail 1 - Đố ngang 1</v>
          </cell>
          <cell r="H1080" t="str">
            <v>MDF - 18 x 1830 x 2440mm [CARB P2 Compliant]</v>
          </cell>
          <cell r="I1080">
            <v>64</v>
          </cell>
        </row>
        <row r="1081">
          <cell r="A1081" t="str">
            <v>B557252/A</v>
          </cell>
          <cell r="B1081" t="str">
            <v>CZ042M190</v>
          </cell>
          <cell r="C1081">
            <v>16</v>
          </cell>
          <cell r="D1081">
            <v>1018.34</v>
          </cell>
          <cell r="E1081">
            <v>16293.44</v>
          </cell>
          <cell r="F1081" t="str">
            <v>A3-S3</v>
          </cell>
          <cell r="G1081" t="str">
            <v>Vertical rail 1 - Đố đứng 1</v>
          </cell>
          <cell r="H1081" t="str">
            <v>Plywood off cut</v>
          </cell>
          <cell r="I1081">
            <v>128</v>
          </cell>
        </row>
        <row r="1082">
          <cell r="A1082" t="str">
            <v>B557252/A</v>
          </cell>
          <cell r="B1082" t="str">
            <v>CZ042M190</v>
          </cell>
          <cell r="C1082">
            <v>16</v>
          </cell>
          <cell r="D1082">
            <v>1018.34</v>
          </cell>
          <cell r="E1082">
            <v>16293.44</v>
          </cell>
          <cell r="F1082" t="str">
            <v>A3-S4</v>
          </cell>
          <cell r="G1082" t="str">
            <v xml:space="preserve">Side panel  - Ván hông </v>
          </cell>
          <cell r="H1082" t="str">
            <v>MDF Veneer</v>
          </cell>
          <cell r="I1082">
            <v>64</v>
          </cell>
        </row>
        <row r="1083">
          <cell r="A1083" t="str">
            <v>B557252/A</v>
          </cell>
          <cell r="B1083" t="str">
            <v>CZ042M190</v>
          </cell>
          <cell r="C1083">
            <v>16</v>
          </cell>
          <cell r="D1083">
            <v>1018.34</v>
          </cell>
          <cell r="E1083">
            <v>16293.44</v>
          </cell>
          <cell r="F1083" t="str">
            <v>A3-S5</v>
          </cell>
          <cell r="G1083" t="str">
            <v>Vertical rail 1 - Đố đứng 1</v>
          </cell>
          <cell r="H1083" t="str">
            <v>MDF laminate</v>
          </cell>
          <cell r="I1083">
            <v>64</v>
          </cell>
        </row>
        <row r="1084">
          <cell r="A1084" t="str">
            <v>B557252/A</v>
          </cell>
          <cell r="B1084" t="str">
            <v>CZ042M190</v>
          </cell>
          <cell r="C1084">
            <v>16</v>
          </cell>
          <cell r="D1084">
            <v>1018.34</v>
          </cell>
          <cell r="E1084">
            <v>16293.44</v>
          </cell>
          <cell r="F1084" t="str">
            <v>A3-S6</v>
          </cell>
          <cell r="G1084" t="str">
            <v xml:space="preserve">Side rail  - Đố hông </v>
          </cell>
          <cell r="H1084" t="str">
            <v>Standard Wood - ALDER/ASPEN/LENGA/US POPLAR, 2 COM - T38 W120mm+ L2m+</v>
          </cell>
          <cell r="I1084">
            <v>32</v>
          </cell>
        </row>
        <row r="1085">
          <cell r="A1085" t="str">
            <v>B557252/A</v>
          </cell>
          <cell r="B1085" t="str">
            <v>CZ042M190</v>
          </cell>
          <cell r="C1085">
            <v>16</v>
          </cell>
          <cell r="D1085">
            <v>1018.34</v>
          </cell>
          <cell r="E1085">
            <v>16293.44</v>
          </cell>
          <cell r="F1085" t="str">
            <v>P1</v>
          </cell>
          <cell r="G1085" t="str">
            <v>Slat Support  - Đỡ dạt giường</v>
          </cell>
          <cell r="H1085" t="str">
            <v>Wood US Poplar - Straight Edged, 1 COM - T38mm x W100mm Up x L1.8m Up</v>
          </cell>
          <cell r="I1085">
            <v>32</v>
          </cell>
        </row>
        <row r="1086">
          <cell r="A1086" t="str">
            <v>B557252/A</v>
          </cell>
          <cell r="B1086" t="str">
            <v>CZ042M190</v>
          </cell>
          <cell r="C1086">
            <v>16</v>
          </cell>
          <cell r="D1086">
            <v>1018.34</v>
          </cell>
          <cell r="E1086">
            <v>16293.44</v>
          </cell>
          <cell r="F1086" t="str">
            <v>P2</v>
          </cell>
          <cell r="G1086" t="str">
            <v>slat buy - dạt mua từ nhà cung</v>
          </cell>
          <cell r="H1086" t="str">
            <v>Slat buy</v>
          </cell>
          <cell r="I1086">
            <v>208</v>
          </cell>
        </row>
        <row r="1087">
          <cell r="A1087" t="str">
            <v>B557765/A</v>
          </cell>
          <cell r="B1087" t="str">
            <v>CZ044</v>
          </cell>
          <cell r="C1087">
            <v>25</v>
          </cell>
          <cell r="D1087">
            <v>778.27</v>
          </cell>
          <cell r="E1087">
            <v>19456.75</v>
          </cell>
          <cell r="F1087" t="str">
            <v>A1-S1</v>
          </cell>
          <cell r="G1087" t="str">
            <v>Front Vertical rail  - Trụ tiền</v>
          </cell>
          <cell r="H1087" t="str">
            <v>Pre-Assembly</v>
          </cell>
          <cell r="I1087">
            <v>50</v>
          </cell>
        </row>
        <row r="1088">
          <cell r="A1088" t="str">
            <v>B557765/A</v>
          </cell>
          <cell r="B1088" t="str">
            <v>CZ044</v>
          </cell>
          <cell r="C1088">
            <v>25</v>
          </cell>
          <cell r="D1088">
            <v>778.27</v>
          </cell>
          <cell r="E1088">
            <v>19456.75</v>
          </cell>
          <cell r="F1088" t="str">
            <v>A1-S1-1</v>
          </cell>
          <cell r="G1088" t="str">
            <v>Wood laminater - Gỗ ghép 1</v>
          </cell>
          <cell r="H1088" t="str">
            <v>Standard Wood - ALDER/ASPEN/LENGA/US POPLAR, 2 COM - T25 W120mm+ L2m+</v>
          </cell>
          <cell r="I1088">
            <v>50</v>
          </cell>
        </row>
        <row r="1089">
          <cell r="A1089" t="str">
            <v>B557765/A</v>
          </cell>
          <cell r="B1089" t="str">
            <v>CZ044</v>
          </cell>
          <cell r="C1089">
            <v>25</v>
          </cell>
          <cell r="D1089">
            <v>778.27</v>
          </cell>
          <cell r="E1089">
            <v>19456.75</v>
          </cell>
          <cell r="F1089" t="str">
            <v>A1-S1-2</v>
          </cell>
          <cell r="G1089" t="str">
            <v>Wood laminater - Gỗ ghép 1</v>
          </cell>
          <cell r="H1089" t="str">
            <v>Standard wood</v>
          </cell>
          <cell r="I1089">
            <v>50</v>
          </cell>
        </row>
        <row r="1090">
          <cell r="A1090" t="str">
            <v>B557765/A</v>
          </cell>
          <cell r="B1090" t="str">
            <v>CZ044</v>
          </cell>
          <cell r="C1090">
            <v>25</v>
          </cell>
          <cell r="D1090">
            <v>778.27</v>
          </cell>
          <cell r="E1090">
            <v>19456.75</v>
          </cell>
          <cell r="F1090" t="str">
            <v>A1-S2</v>
          </cell>
          <cell r="G1090" t="str">
            <v>Back leg - Chân hậu</v>
          </cell>
          <cell r="H1090" t="str">
            <v>Beech 2 COM</v>
          </cell>
          <cell r="I1090">
            <v>50</v>
          </cell>
        </row>
        <row r="1091">
          <cell r="A1091" t="str">
            <v>B557765/A</v>
          </cell>
          <cell r="B1091" t="str">
            <v>CZ044</v>
          </cell>
          <cell r="C1091">
            <v>25</v>
          </cell>
          <cell r="D1091">
            <v>778.27</v>
          </cell>
          <cell r="E1091">
            <v>19456.75</v>
          </cell>
          <cell r="F1091" t="str">
            <v>A1-S3</v>
          </cell>
          <cell r="G1091" t="str">
            <v xml:space="preserve">Side panel  - Ván hông </v>
          </cell>
          <cell r="H1091" t="str">
            <v>MDF - 15 x 1830 x 2440mm [CARB P2 Compliant]</v>
          </cell>
          <cell r="I1091">
            <v>50</v>
          </cell>
        </row>
        <row r="1092">
          <cell r="A1092" t="str">
            <v>B557765/A</v>
          </cell>
          <cell r="B1092" t="str">
            <v>CZ044</v>
          </cell>
          <cell r="C1092">
            <v>25</v>
          </cell>
          <cell r="D1092">
            <v>778.27</v>
          </cell>
          <cell r="E1092">
            <v>19456.75</v>
          </cell>
          <cell r="F1092" t="str">
            <v>A1-S4</v>
          </cell>
          <cell r="G1092" t="str">
            <v xml:space="preserve">Side rail  - Đố hông </v>
          </cell>
          <cell r="H1092" t="str">
            <v>Pre-Assembly</v>
          </cell>
          <cell r="I1092">
            <v>200</v>
          </cell>
        </row>
        <row r="1093">
          <cell r="A1093" t="str">
            <v>B557765/A</v>
          </cell>
          <cell r="B1093" t="str">
            <v>CZ044</v>
          </cell>
          <cell r="C1093">
            <v>25</v>
          </cell>
          <cell r="D1093">
            <v>778.27</v>
          </cell>
          <cell r="E1093">
            <v>19456.75</v>
          </cell>
          <cell r="F1093" t="str">
            <v>A1-S4-1</v>
          </cell>
          <cell r="G1093" t="str">
            <v xml:space="preserve">Side rail  - Đố hông </v>
          </cell>
          <cell r="H1093" t="str">
            <v>Standard Wood - ALDER/ASPEN/LENGA/US POPLAR, 2 COM - T25 W120mm+ L2m+</v>
          </cell>
          <cell r="I1093">
            <v>200</v>
          </cell>
        </row>
        <row r="1094">
          <cell r="A1094" t="str">
            <v>B557765/A</v>
          </cell>
          <cell r="B1094" t="str">
            <v>CZ044</v>
          </cell>
          <cell r="C1094">
            <v>25</v>
          </cell>
          <cell r="D1094">
            <v>778.27</v>
          </cell>
          <cell r="E1094">
            <v>19456.75</v>
          </cell>
          <cell r="F1094" t="str">
            <v>A1-S4-2</v>
          </cell>
          <cell r="G1094" t="str">
            <v>Patching wood - Gỗ đắp</v>
          </cell>
          <cell r="H1094" t="str">
            <v>wood off cut</v>
          </cell>
          <cell r="I1094">
            <v>400</v>
          </cell>
        </row>
        <row r="1095">
          <cell r="A1095" t="str">
            <v>B557765/A</v>
          </cell>
          <cell r="B1095" t="str">
            <v>CZ044</v>
          </cell>
          <cell r="C1095">
            <v>25</v>
          </cell>
          <cell r="D1095">
            <v>778.27</v>
          </cell>
          <cell r="E1095">
            <v>19456.75</v>
          </cell>
          <cell r="F1095" t="str">
            <v>A2-S1</v>
          </cell>
          <cell r="G1095" t="str">
            <v>Front rail  - Đố tiền</v>
          </cell>
          <cell r="H1095" t="str">
            <v>Wood Rubber Laminate Board - 20 x 1220 x 2440mm, Veneer Poplar both Faces</v>
          </cell>
          <cell r="I1095">
            <v>50</v>
          </cell>
        </row>
        <row r="1096">
          <cell r="A1096" t="str">
            <v>B557765/A</v>
          </cell>
          <cell r="B1096" t="str">
            <v>CZ044</v>
          </cell>
          <cell r="C1096">
            <v>25</v>
          </cell>
          <cell r="D1096">
            <v>778.27</v>
          </cell>
          <cell r="E1096">
            <v>19456.75</v>
          </cell>
          <cell r="F1096" t="str">
            <v>A2-S2</v>
          </cell>
          <cell r="G1096" t="str">
            <v>center rail with note - đố giữa</v>
          </cell>
          <cell r="H1096" t="str">
            <v>Wood Rubber Laminate Board - 20 x 1220 x 2440mm, Veneer Poplar both Faces</v>
          </cell>
          <cell r="I1096">
            <v>25</v>
          </cell>
        </row>
        <row r="1097">
          <cell r="A1097" t="str">
            <v>B557765/A</v>
          </cell>
          <cell r="B1097" t="str">
            <v>CZ044</v>
          </cell>
          <cell r="C1097">
            <v>25</v>
          </cell>
          <cell r="D1097">
            <v>778.27</v>
          </cell>
          <cell r="E1097">
            <v>19456.75</v>
          </cell>
          <cell r="F1097" t="str">
            <v>A4-S1</v>
          </cell>
          <cell r="G1097" t="str">
            <v>Front Bottom Rail  - Đố đáy trước</v>
          </cell>
          <cell r="H1097" t="str">
            <v>Wood Rubber Laminate Board - 20 x 1220 x 2440mm, Veneer Poplar both Faces</v>
          </cell>
          <cell r="I1097">
            <v>25</v>
          </cell>
        </row>
        <row r="1098">
          <cell r="A1098" t="str">
            <v>B557765/A</v>
          </cell>
          <cell r="B1098" t="str">
            <v>CZ044</v>
          </cell>
          <cell r="C1098">
            <v>25</v>
          </cell>
          <cell r="D1098">
            <v>778.27</v>
          </cell>
          <cell r="E1098">
            <v>19456.75</v>
          </cell>
          <cell r="F1098" t="str">
            <v>A4-S1-1</v>
          </cell>
          <cell r="G1098" t="str">
            <v>Front Bottom Rail  - Đố đáy trước</v>
          </cell>
          <cell r="H1098" t="str">
            <v>Wood Rubber Laminate Board - 20 x 1220 x 2440mm, Veneer Poplar both Faces</v>
          </cell>
          <cell r="I1098">
            <v>25</v>
          </cell>
        </row>
        <row r="1099">
          <cell r="A1099" t="str">
            <v>B557765/A</v>
          </cell>
          <cell r="B1099" t="str">
            <v>CZ044</v>
          </cell>
          <cell r="C1099">
            <v>25</v>
          </cell>
          <cell r="D1099">
            <v>778.27</v>
          </cell>
          <cell r="E1099">
            <v>19456.75</v>
          </cell>
          <cell r="F1099" t="str">
            <v>A4-S3</v>
          </cell>
          <cell r="G1099" t="str">
            <v>center rail with note - đố giữa</v>
          </cell>
          <cell r="H1099" t="str">
            <v>Wood Rubber Laminate Board - 20 x 1220 x 2440mm, Veneer Poplar both Faces</v>
          </cell>
          <cell r="I1099">
            <v>25</v>
          </cell>
        </row>
        <row r="1100">
          <cell r="A1100" t="str">
            <v>B557765/A</v>
          </cell>
          <cell r="B1100" t="str">
            <v>CZ044</v>
          </cell>
          <cell r="C1100">
            <v>25</v>
          </cell>
          <cell r="D1100">
            <v>778.27</v>
          </cell>
          <cell r="E1100">
            <v>19456.75</v>
          </cell>
          <cell r="F1100" t="str">
            <v>A4-S4</v>
          </cell>
          <cell r="G1100" t="str">
            <v>Dust board Panel  - Ván quét bụi</v>
          </cell>
          <cell r="H1100" t="str">
            <v>MDF - 06 x 1830 x 2440mm [CARB P2 Compliant]</v>
          </cell>
          <cell r="I1100">
            <v>25</v>
          </cell>
        </row>
        <row r="1101">
          <cell r="A1101" t="str">
            <v>B557765/A</v>
          </cell>
          <cell r="B1101" t="str">
            <v>CZ044</v>
          </cell>
          <cell r="C1101">
            <v>25</v>
          </cell>
          <cell r="D1101">
            <v>778.27</v>
          </cell>
          <cell r="E1101">
            <v>19456.75</v>
          </cell>
          <cell r="F1101" t="str">
            <v>A5-S1</v>
          </cell>
          <cell r="G1101" t="str">
            <v xml:space="preserve">Drawer front - Mặt hộc kéo </v>
          </cell>
          <cell r="H1101" t="str">
            <v>MDF Veneer</v>
          </cell>
          <cell r="I1101">
            <v>50</v>
          </cell>
        </row>
        <row r="1102">
          <cell r="A1102" t="str">
            <v>B557765/A</v>
          </cell>
          <cell r="B1102" t="str">
            <v>CZ044</v>
          </cell>
          <cell r="C1102">
            <v>25</v>
          </cell>
          <cell r="D1102">
            <v>778.27</v>
          </cell>
          <cell r="E1102">
            <v>19456.75</v>
          </cell>
          <cell r="F1102" t="str">
            <v>A5-S2</v>
          </cell>
          <cell r="G1102" t="str">
            <v>Drawer side - Hông hộc kéo</v>
          </cell>
          <cell r="H1102" t="str">
            <v>MDF-N - 12 x 1220 x 2440mm, Veneer Okoume 0.3mm Both Faces [CARB P2 Compliant]</v>
          </cell>
          <cell r="I1102">
            <v>250</v>
          </cell>
        </row>
        <row r="1103">
          <cell r="A1103" t="str">
            <v>B557765/A</v>
          </cell>
          <cell r="B1103" t="str">
            <v>CZ044</v>
          </cell>
          <cell r="C1103">
            <v>25</v>
          </cell>
          <cell r="D1103">
            <v>778.27</v>
          </cell>
          <cell r="E1103">
            <v>19456.75</v>
          </cell>
          <cell r="F1103" t="str">
            <v>A5-S3</v>
          </cell>
          <cell r="G1103" t="str">
            <v>Drawer back 1 - hau hộc 1</v>
          </cell>
          <cell r="H1103" t="str">
            <v>MDF - 12 x 1220 x 2440mm, Veneer Okoume 0.3mm Both Faces [CARB P2 Compliant]</v>
          </cell>
          <cell r="I1103">
            <v>50</v>
          </cell>
        </row>
        <row r="1104">
          <cell r="A1104" t="str">
            <v>B557765/A</v>
          </cell>
          <cell r="B1104" t="str">
            <v>CZ044</v>
          </cell>
          <cell r="C1104">
            <v>25</v>
          </cell>
          <cell r="D1104">
            <v>778.27</v>
          </cell>
          <cell r="E1104">
            <v>19456.75</v>
          </cell>
          <cell r="F1104" t="str">
            <v>A5-S4</v>
          </cell>
          <cell r="G1104" t="str">
            <v>Drawer bottom  - Đáy hộc kéo</v>
          </cell>
          <cell r="H1104" t="str">
            <v>MDF - 06 x 1220 x 2440mm, Veneer Okoume 0.3mm Both Faces [CARB P2 Compliant]</v>
          </cell>
          <cell r="I1104">
            <v>50</v>
          </cell>
        </row>
        <row r="1105">
          <cell r="A1105" t="str">
            <v>B557765/A</v>
          </cell>
          <cell r="B1105" t="str">
            <v>CZ044</v>
          </cell>
          <cell r="C1105">
            <v>25</v>
          </cell>
          <cell r="D1105">
            <v>778.27</v>
          </cell>
          <cell r="E1105">
            <v>19456.75</v>
          </cell>
          <cell r="F1105" t="str">
            <v>A5-S5</v>
          </cell>
          <cell r="G1105" t="str">
            <v>Center rail - Đố giữa</v>
          </cell>
          <cell r="H1105" t="str">
            <v>Standard Wood - ALDER/ASPEN/LENGA/US POPLAR, 2 COM - T38 W120mm+ L2m+</v>
          </cell>
          <cell r="I1105">
            <v>200</v>
          </cell>
        </row>
        <row r="1106">
          <cell r="A1106" t="str">
            <v>B557765/A</v>
          </cell>
          <cell r="B1106" t="str">
            <v>CZ044</v>
          </cell>
          <cell r="C1106">
            <v>25</v>
          </cell>
          <cell r="D1106">
            <v>778.27</v>
          </cell>
          <cell r="E1106">
            <v>19456.75</v>
          </cell>
          <cell r="F1106" t="str">
            <v>A6-S1</v>
          </cell>
          <cell r="G1106" t="str">
            <v xml:space="preserve">Drawer front - Mặt hộc kéo </v>
          </cell>
          <cell r="H1106" t="str">
            <v>MDF Veneer</v>
          </cell>
          <cell r="I1106">
            <v>75</v>
          </cell>
        </row>
        <row r="1107">
          <cell r="A1107" t="str">
            <v>B557765/A</v>
          </cell>
          <cell r="B1107" t="str">
            <v>CZ044</v>
          </cell>
          <cell r="C1107">
            <v>25</v>
          </cell>
          <cell r="D1107">
            <v>778.27</v>
          </cell>
          <cell r="E1107">
            <v>19456.75</v>
          </cell>
          <cell r="F1107" t="str">
            <v>A6-S3</v>
          </cell>
          <cell r="G1107" t="str">
            <v>Drawer back - Hậu hộc kéo</v>
          </cell>
          <cell r="H1107" t="str">
            <v>MDF - 12 x 1220 x 2440mm, Veneer Okoume 0.3mm Both Faces [CARB P2 Compliant]</v>
          </cell>
          <cell r="I1107">
            <v>75</v>
          </cell>
        </row>
        <row r="1108">
          <cell r="A1108" t="str">
            <v>B557765/A</v>
          </cell>
          <cell r="B1108" t="str">
            <v>CZ044</v>
          </cell>
          <cell r="C1108">
            <v>25</v>
          </cell>
          <cell r="D1108">
            <v>778.27</v>
          </cell>
          <cell r="E1108">
            <v>19456.75</v>
          </cell>
          <cell r="F1108" t="str">
            <v>A6-S4</v>
          </cell>
          <cell r="G1108" t="str">
            <v>Drawer bottom  - Đáy hộc kéo</v>
          </cell>
          <cell r="H1108" t="str">
            <v>MDF - 06 x 1220 x 2440mm, Veneer Okoume 0.3mm Both Faces [CARB P2 Compliant]</v>
          </cell>
          <cell r="I1108">
            <v>75</v>
          </cell>
        </row>
        <row r="1109">
          <cell r="A1109" t="str">
            <v>B557765/A</v>
          </cell>
          <cell r="B1109" t="str">
            <v>CZ044</v>
          </cell>
          <cell r="C1109">
            <v>25</v>
          </cell>
          <cell r="D1109">
            <v>778.27</v>
          </cell>
          <cell r="E1109">
            <v>19456.75</v>
          </cell>
          <cell r="F1109" t="str">
            <v>P01</v>
          </cell>
          <cell r="G1109" t="str">
            <v>Front top rail  - Đố tiền nóc</v>
          </cell>
          <cell r="H1109" t="str">
            <v>Wood Rubber Laminate Board - 20 x 1220 x 2440mm, Veneer Poplar both Faces</v>
          </cell>
          <cell r="I1109">
            <v>25</v>
          </cell>
        </row>
        <row r="1110">
          <cell r="A1110" t="str">
            <v>B557765/A</v>
          </cell>
          <cell r="B1110" t="str">
            <v>CZ044</v>
          </cell>
          <cell r="C1110">
            <v>25</v>
          </cell>
          <cell r="D1110">
            <v>778.27</v>
          </cell>
          <cell r="E1110">
            <v>19456.75</v>
          </cell>
          <cell r="F1110" t="str">
            <v>P02</v>
          </cell>
          <cell r="G1110" t="str">
            <v>Back rail with note finger - đố hậu</v>
          </cell>
          <cell r="H1110" t="str">
            <v>Wood Rubber Laminate Board - 20 x 1220 x 2440mm, Veneer Poplar both Faces</v>
          </cell>
          <cell r="I1110">
            <v>25</v>
          </cell>
        </row>
        <row r="1111">
          <cell r="A1111" t="str">
            <v>B557765/A</v>
          </cell>
          <cell r="B1111" t="str">
            <v>CZ044</v>
          </cell>
          <cell r="C1111">
            <v>25</v>
          </cell>
          <cell r="D1111">
            <v>778.27</v>
          </cell>
          <cell r="E1111">
            <v>19456.75</v>
          </cell>
          <cell r="F1111" t="str">
            <v>P03</v>
          </cell>
          <cell r="G1111" t="str">
            <v xml:space="preserve">Top panel  - Ván nóc </v>
          </cell>
          <cell r="H1111" t="str">
            <v>MDF - 15 x 1830 x 2440mm [CARB P2 Compliant]</v>
          </cell>
          <cell r="I1111">
            <v>25</v>
          </cell>
        </row>
        <row r="1112">
          <cell r="A1112" t="str">
            <v>B557765/A</v>
          </cell>
          <cell r="B1112" t="str">
            <v>CZ044</v>
          </cell>
          <cell r="C1112">
            <v>25</v>
          </cell>
          <cell r="D1112">
            <v>778.27</v>
          </cell>
          <cell r="E1112">
            <v>19456.75</v>
          </cell>
          <cell r="F1112" t="str">
            <v>P09</v>
          </cell>
          <cell r="G1112" t="str">
            <v>Partition panel - Vách ngăn</v>
          </cell>
          <cell r="H1112" t="str">
            <v>MDF - 18 x 1830 x 2440mm [CARB P2 Compliant]</v>
          </cell>
          <cell r="I1112">
            <v>25</v>
          </cell>
        </row>
        <row r="1113">
          <cell r="A1113" t="str">
            <v>B557765/A</v>
          </cell>
          <cell r="B1113" t="str">
            <v>CZ044</v>
          </cell>
          <cell r="C1113">
            <v>25</v>
          </cell>
          <cell r="D1113">
            <v>778.27</v>
          </cell>
          <cell r="E1113">
            <v>19456.75</v>
          </cell>
          <cell r="F1113" t="str">
            <v>P10</v>
          </cell>
          <cell r="G1113" t="str">
            <v>Back panel - Ván hậu</v>
          </cell>
          <cell r="H1113" t="str">
            <v>MDF Veneer</v>
          </cell>
          <cell r="I1113">
            <v>25</v>
          </cell>
        </row>
        <row r="1114">
          <cell r="A1114" t="str">
            <v>B557765/A</v>
          </cell>
          <cell r="B1114" t="str">
            <v>CZ044</v>
          </cell>
          <cell r="C1114">
            <v>25</v>
          </cell>
          <cell r="D1114">
            <v>778.27</v>
          </cell>
          <cell r="E1114">
            <v>19456.75</v>
          </cell>
          <cell r="F1114" t="str">
            <v>P11</v>
          </cell>
          <cell r="G1114" t="str">
            <v>Corner block - ke góc</v>
          </cell>
          <cell r="H1114" t="str">
            <v>Poplar off cut</v>
          </cell>
          <cell r="I1114">
            <v>50</v>
          </cell>
        </row>
        <row r="1115">
          <cell r="A1115" t="str">
            <v>B557765/A</v>
          </cell>
          <cell r="B1115" t="str">
            <v>CZ044</v>
          </cell>
          <cell r="C1115">
            <v>25</v>
          </cell>
          <cell r="D1115">
            <v>778.27</v>
          </cell>
          <cell r="E1115">
            <v>19456.75</v>
          </cell>
          <cell r="F1115" t="str">
            <v>P12</v>
          </cell>
          <cell r="G1115" t="str">
            <v>Drawer stop - Dừng hộc</v>
          </cell>
          <cell r="H1115" t="str">
            <v>Poplar off cut</v>
          </cell>
          <cell r="I1115">
            <v>250</v>
          </cell>
        </row>
        <row r="1116">
          <cell r="A1116" t="str">
            <v>B557765/A</v>
          </cell>
          <cell r="B1116" t="str">
            <v>CZ044</v>
          </cell>
          <cell r="C1116">
            <v>25</v>
          </cell>
          <cell r="D1116">
            <v>778.27</v>
          </cell>
          <cell r="E1116">
            <v>19456.75</v>
          </cell>
          <cell r="F1116" t="str">
            <v>P14</v>
          </cell>
          <cell r="G1116" t="str">
            <v>Spline - Lưỡi gà</v>
          </cell>
          <cell r="H1116" t="str">
            <v>Plywood LVD - 06 x 1220 x 2440mm, Bleached Poplar Veneer Both Sides [CARB P2 Compliant]</v>
          </cell>
          <cell r="I1116">
            <v>50</v>
          </cell>
        </row>
        <row r="1117">
          <cell r="A1117" t="str">
            <v>B557765/A</v>
          </cell>
          <cell r="B1117" t="str">
            <v>CZ044</v>
          </cell>
          <cell r="C1117">
            <v>25</v>
          </cell>
          <cell r="D1117">
            <v>778.27</v>
          </cell>
          <cell r="E1117">
            <v>19456.75</v>
          </cell>
          <cell r="F1117" t="str">
            <v>P15</v>
          </cell>
          <cell r="G1117" t="str">
            <v>Spline - Lưỡi gà</v>
          </cell>
          <cell r="H1117" t="str">
            <v>Plywood LVD - 06 x 1220 x 2440mm, Bleached Poplar Veneer Both Sides [CARB P2 Compliant]</v>
          </cell>
          <cell r="I1117">
            <v>25</v>
          </cell>
        </row>
        <row r="1118">
          <cell r="A1118" t="str">
            <v>B557765/A</v>
          </cell>
          <cell r="B1118" t="str">
            <v>CZ044</v>
          </cell>
          <cell r="C1118">
            <v>25</v>
          </cell>
          <cell r="D1118">
            <v>778.27</v>
          </cell>
          <cell r="E1118">
            <v>19456.75</v>
          </cell>
          <cell r="F1118" t="str">
            <v>P16</v>
          </cell>
          <cell r="G1118" t="str">
            <v>Cleat - Bọ gỗ</v>
          </cell>
          <cell r="H1118" t="str">
            <v>Wood Rubber Laminate Board - 20 x 1220 x 2440mm, Veneer Poplar both Faces</v>
          </cell>
          <cell r="I1118">
            <v>50</v>
          </cell>
        </row>
        <row r="1119">
          <cell r="A1119" t="str">
            <v>B557765/A</v>
          </cell>
          <cell r="B1119" t="str">
            <v>CZ044</v>
          </cell>
          <cell r="C1119">
            <v>25</v>
          </cell>
          <cell r="D1119">
            <v>778.27</v>
          </cell>
          <cell r="E1119">
            <v>19456.75</v>
          </cell>
          <cell r="F1119" t="str">
            <v>P17</v>
          </cell>
          <cell r="G1119" t="str">
            <v>Cleat - Bọ gỗ</v>
          </cell>
          <cell r="H1119" t="str">
            <v>Wood Rubber Laminate Board - 20 x 1220 x 2440mm, Veneer Poplar both Faces</v>
          </cell>
          <cell r="I1119">
            <v>50</v>
          </cell>
        </row>
        <row r="1120">
          <cell r="A1120" t="str">
            <v>B557765/A</v>
          </cell>
          <cell r="B1120" t="str">
            <v>CZ044</v>
          </cell>
          <cell r="C1120">
            <v>25</v>
          </cell>
          <cell r="D1120">
            <v>778.27</v>
          </cell>
          <cell r="E1120">
            <v>19456.75</v>
          </cell>
          <cell r="F1120" t="str">
            <v>P18</v>
          </cell>
          <cell r="G1120" t="str">
            <v>Front rail  - Đố tiền</v>
          </cell>
          <cell r="H1120" t="str">
            <v>Wood Rubber Laminate Board - 20 x 1220 x 2440mm, Veneer Poplar both Faces</v>
          </cell>
          <cell r="I1120">
            <v>50</v>
          </cell>
        </row>
        <row r="1121">
          <cell r="A1121" t="str">
            <v>B557765/A</v>
          </cell>
          <cell r="B1121" t="str">
            <v>CZ044</v>
          </cell>
          <cell r="C1121">
            <v>25</v>
          </cell>
          <cell r="D1121">
            <v>778.27</v>
          </cell>
          <cell r="E1121">
            <v>19456.75</v>
          </cell>
          <cell r="F1121" t="str">
            <v>P19</v>
          </cell>
          <cell r="G1121" t="str">
            <v>Cleat - Bọ gỗ</v>
          </cell>
          <cell r="H1121" t="str">
            <v>Wood Rubber Laminate Board - 20 x 1220 x 2440mm, Veneer Poplar both Faces</v>
          </cell>
          <cell r="I1121">
            <v>50</v>
          </cell>
        </row>
        <row r="1122">
          <cell r="A1122" t="str">
            <v>B557765/A</v>
          </cell>
          <cell r="B1122" t="str">
            <v>CZ044</v>
          </cell>
          <cell r="C1122">
            <v>25</v>
          </cell>
          <cell r="D1122">
            <v>778.27</v>
          </cell>
          <cell r="E1122">
            <v>19456.75</v>
          </cell>
          <cell r="F1122" t="str">
            <v>P20</v>
          </cell>
          <cell r="G1122" t="str">
            <v xml:space="preserve">Panel - Ván </v>
          </cell>
          <cell r="H1122" t="str">
            <v>Cement Board - 18 x 1220 x 2440mm, Dark Grey</v>
          </cell>
          <cell r="I1122">
            <v>25</v>
          </cell>
        </row>
        <row r="1123">
          <cell r="A1123" t="str">
            <v>B557774/A</v>
          </cell>
          <cell r="B1123" t="str">
            <v>CZ044NM191</v>
          </cell>
          <cell r="C1123">
            <v>10</v>
          </cell>
          <cell r="D1123">
            <v>778.27</v>
          </cell>
          <cell r="E1123">
            <v>7782.7</v>
          </cell>
          <cell r="F1123" t="str">
            <v>A1-S1</v>
          </cell>
          <cell r="G1123" t="str">
            <v>Front Vertical rail  - Trụ tiền</v>
          </cell>
          <cell r="H1123" t="str">
            <v>Pre-Assembly</v>
          </cell>
          <cell r="I1123">
            <v>20</v>
          </cell>
        </row>
        <row r="1124">
          <cell r="A1124" t="str">
            <v>B557774/A</v>
          </cell>
          <cell r="B1124" t="str">
            <v>CZ044NM191</v>
          </cell>
          <cell r="C1124">
            <v>10</v>
          </cell>
          <cell r="D1124">
            <v>778.27</v>
          </cell>
          <cell r="E1124">
            <v>7782.7</v>
          </cell>
          <cell r="F1124" t="str">
            <v>A1-S1-1</v>
          </cell>
          <cell r="G1124" t="str">
            <v>Wood laminater - Gỗ ghép 1</v>
          </cell>
          <cell r="H1124" t="str">
            <v>Standard Wood - ALDER/ASPEN/LENGA/US POPLAR, 2 COM - T25 W120mm+ L2m+</v>
          </cell>
          <cell r="I1124">
            <v>20</v>
          </cell>
        </row>
        <row r="1125">
          <cell r="A1125" t="str">
            <v>B557774/A</v>
          </cell>
          <cell r="B1125" t="str">
            <v>CZ044NM191</v>
          </cell>
          <cell r="C1125">
            <v>10</v>
          </cell>
          <cell r="D1125">
            <v>778.27</v>
          </cell>
          <cell r="E1125">
            <v>7782.7</v>
          </cell>
          <cell r="F1125" t="str">
            <v>A1-S1-2</v>
          </cell>
          <cell r="G1125" t="str">
            <v>Wood laminater - Gỗ ghép 1</v>
          </cell>
          <cell r="H1125" t="str">
            <v>Standard wood</v>
          </cell>
          <cell r="I1125">
            <v>20</v>
          </cell>
        </row>
        <row r="1126">
          <cell r="A1126" t="str">
            <v>B557774/A</v>
          </cell>
          <cell r="B1126" t="str">
            <v>CZ044NM191</v>
          </cell>
          <cell r="C1126">
            <v>10</v>
          </cell>
          <cell r="D1126">
            <v>778.27</v>
          </cell>
          <cell r="E1126">
            <v>7782.7</v>
          </cell>
          <cell r="F1126" t="str">
            <v>A1-S2</v>
          </cell>
          <cell r="G1126" t="str">
            <v>Back leg - Chân hậu</v>
          </cell>
          <cell r="H1126" t="str">
            <v>Beech 2 COM</v>
          </cell>
          <cell r="I1126">
            <v>20</v>
          </cell>
        </row>
        <row r="1127">
          <cell r="A1127" t="str">
            <v>B557774/A</v>
          </cell>
          <cell r="B1127" t="str">
            <v>CZ044NM191</v>
          </cell>
          <cell r="C1127">
            <v>10</v>
          </cell>
          <cell r="D1127">
            <v>778.27</v>
          </cell>
          <cell r="E1127">
            <v>7782.7</v>
          </cell>
          <cell r="F1127" t="str">
            <v>A1-S3</v>
          </cell>
          <cell r="G1127" t="str">
            <v xml:space="preserve">Side panel  - Ván hông </v>
          </cell>
          <cell r="H1127" t="str">
            <v>MDF - 15 x 1830 x 2440mm [CARB P2 Compliant]</v>
          </cell>
          <cell r="I1127">
            <v>20</v>
          </cell>
        </row>
        <row r="1128">
          <cell r="A1128" t="str">
            <v>B557774/A</v>
          </cell>
          <cell r="B1128" t="str">
            <v>CZ044NM191</v>
          </cell>
          <cell r="C1128">
            <v>10</v>
          </cell>
          <cell r="D1128">
            <v>778.27</v>
          </cell>
          <cell r="E1128">
            <v>7782.7</v>
          </cell>
          <cell r="F1128" t="str">
            <v>A1-S4</v>
          </cell>
          <cell r="G1128" t="str">
            <v xml:space="preserve">Side rail  - Đố hông </v>
          </cell>
          <cell r="H1128" t="str">
            <v>Pre-Assembly</v>
          </cell>
          <cell r="I1128">
            <v>80</v>
          </cell>
        </row>
        <row r="1129">
          <cell r="A1129" t="str">
            <v>B557774/A</v>
          </cell>
          <cell r="B1129" t="str">
            <v>CZ044NM191</v>
          </cell>
          <cell r="C1129">
            <v>10</v>
          </cell>
          <cell r="D1129">
            <v>778.27</v>
          </cell>
          <cell r="E1129">
            <v>7782.7</v>
          </cell>
          <cell r="F1129" t="str">
            <v>A1-S4-1</v>
          </cell>
          <cell r="G1129" t="str">
            <v xml:space="preserve">Side rail  - Đố hông </v>
          </cell>
          <cell r="H1129" t="str">
            <v>Standard Wood - ALDER/ASPEN/LENGA/US POPLAR, 2 COM - T25 W120mm+ L2m+</v>
          </cell>
          <cell r="I1129">
            <v>80</v>
          </cell>
        </row>
        <row r="1130">
          <cell r="A1130" t="str">
            <v>B557774/A</v>
          </cell>
          <cell r="B1130" t="str">
            <v>CZ044NM191</v>
          </cell>
          <cell r="C1130">
            <v>10</v>
          </cell>
          <cell r="D1130">
            <v>778.27</v>
          </cell>
          <cell r="E1130">
            <v>7782.7</v>
          </cell>
          <cell r="F1130" t="str">
            <v>A1-S4-2</v>
          </cell>
          <cell r="G1130" t="str">
            <v>Patching wood - Gỗ đắp</v>
          </cell>
          <cell r="H1130" t="str">
            <v>wood off cut</v>
          </cell>
          <cell r="I1130">
            <v>160</v>
          </cell>
        </row>
        <row r="1131">
          <cell r="A1131" t="str">
            <v>B557774/A</v>
          </cell>
          <cell r="B1131" t="str">
            <v>CZ044NM191</v>
          </cell>
          <cell r="C1131">
            <v>10</v>
          </cell>
          <cell r="D1131">
            <v>778.27</v>
          </cell>
          <cell r="E1131">
            <v>7782.7</v>
          </cell>
          <cell r="F1131" t="str">
            <v>A2-S1</v>
          </cell>
          <cell r="G1131" t="str">
            <v>Front rail  - Đố tiền</v>
          </cell>
          <cell r="H1131" t="str">
            <v>Wood Rubber Laminate Board - 20 x 1220 x 2440mm, Veneer Poplar both Faces</v>
          </cell>
          <cell r="I1131">
            <v>20</v>
          </cell>
        </row>
        <row r="1132">
          <cell r="A1132" t="str">
            <v>B557774/A</v>
          </cell>
          <cell r="B1132" t="str">
            <v>CZ044NM191</v>
          </cell>
          <cell r="C1132">
            <v>10</v>
          </cell>
          <cell r="D1132">
            <v>778.27</v>
          </cell>
          <cell r="E1132">
            <v>7782.7</v>
          </cell>
          <cell r="F1132" t="str">
            <v>A2-S2</v>
          </cell>
          <cell r="G1132" t="str">
            <v>center rail with note - đố giữa</v>
          </cell>
          <cell r="H1132" t="str">
            <v>Wood Rubber Laminate Board - 20 x 1220 x 2440mm, Veneer Poplar both Faces</v>
          </cell>
          <cell r="I1132">
            <v>10</v>
          </cell>
        </row>
        <row r="1133">
          <cell r="A1133" t="str">
            <v>B557774/A</v>
          </cell>
          <cell r="B1133" t="str">
            <v>CZ044NM191</v>
          </cell>
          <cell r="C1133">
            <v>10</v>
          </cell>
          <cell r="D1133">
            <v>778.27</v>
          </cell>
          <cell r="E1133">
            <v>7782.7</v>
          </cell>
          <cell r="F1133" t="str">
            <v>A4-S1</v>
          </cell>
          <cell r="G1133" t="str">
            <v>Front Bottom Rail  - Đố đáy trước</v>
          </cell>
          <cell r="H1133" t="str">
            <v>Wood Rubber Laminate Board - 20 x 1220 x 2440mm, Veneer Poplar both Faces</v>
          </cell>
          <cell r="I1133">
            <v>10</v>
          </cell>
        </row>
        <row r="1134">
          <cell r="A1134" t="str">
            <v>B557774/A</v>
          </cell>
          <cell r="B1134" t="str">
            <v>CZ044NM191</v>
          </cell>
          <cell r="C1134">
            <v>10</v>
          </cell>
          <cell r="D1134">
            <v>778.27</v>
          </cell>
          <cell r="E1134">
            <v>7782.7</v>
          </cell>
          <cell r="F1134" t="str">
            <v>A4-S1-1</v>
          </cell>
          <cell r="G1134" t="str">
            <v>Front Bottom Rail  - Đố đáy trước</v>
          </cell>
          <cell r="H1134" t="str">
            <v>Wood Rubber Laminate Board - 20 x 1220 x 2440mm, Veneer Poplar both Faces</v>
          </cell>
          <cell r="I1134">
            <v>10</v>
          </cell>
        </row>
        <row r="1135">
          <cell r="A1135" t="str">
            <v>B557774/A</v>
          </cell>
          <cell r="B1135" t="str">
            <v>CZ044NM191</v>
          </cell>
          <cell r="C1135">
            <v>10</v>
          </cell>
          <cell r="D1135">
            <v>778.27</v>
          </cell>
          <cell r="E1135">
            <v>7782.7</v>
          </cell>
          <cell r="F1135" t="str">
            <v>A4-S3</v>
          </cell>
          <cell r="G1135" t="str">
            <v>center rail with note - đố giữa</v>
          </cell>
          <cell r="H1135" t="str">
            <v>Wood Rubber Laminate Board - 20 x 1220 x 2440mm, Veneer Poplar both Faces</v>
          </cell>
          <cell r="I1135">
            <v>10</v>
          </cell>
        </row>
        <row r="1136">
          <cell r="A1136" t="str">
            <v>B557774/A</v>
          </cell>
          <cell r="B1136" t="str">
            <v>CZ044NM191</v>
          </cell>
          <cell r="C1136">
            <v>10</v>
          </cell>
          <cell r="D1136">
            <v>778.27</v>
          </cell>
          <cell r="E1136">
            <v>7782.7</v>
          </cell>
          <cell r="F1136" t="str">
            <v>A4-S4</v>
          </cell>
          <cell r="G1136" t="str">
            <v>Dust board Panel  - Ván quét bụi</v>
          </cell>
          <cell r="H1136" t="str">
            <v>MDF - 06 x 1830 x 2440mm [CARB P2 Compliant]</v>
          </cell>
          <cell r="I1136">
            <v>10</v>
          </cell>
        </row>
        <row r="1137">
          <cell r="A1137" t="str">
            <v>B557774/A</v>
          </cell>
          <cell r="B1137" t="str">
            <v>CZ044NM191</v>
          </cell>
          <cell r="C1137">
            <v>10</v>
          </cell>
          <cell r="D1137">
            <v>778.27</v>
          </cell>
          <cell r="E1137">
            <v>7782.7</v>
          </cell>
          <cell r="F1137" t="str">
            <v>A5-S1</v>
          </cell>
          <cell r="G1137" t="str">
            <v xml:space="preserve">Drawer front - Mặt hộc kéo </v>
          </cell>
          <cell r="H1137" t="str">
            <v>MDF Veneer</v>
          </cell>
          <cell r="I1137">
            <v>20</v>
          </cell>
        </row>
        <row r="1138">
          <cell r="A1138" t="str">
            <v>B557774/A</v>
          </cell>
          <cell r="B1138" t="str">
            <v>CZ044NM191</v>
          </cell>
          <cell r="C1138">
            <v>10</v>
          </cell>
          <cell r="D1138">
            <v>778.27</v>
          </cell>
          <cell r="E1138">
            <v>7782.7</v>
          </cell>
          <cell r="F1138" t="str">
            <v>A5-S2</v>
          </cell>
          <cell r="G1138" t="str">
            <v>Drawer side - Hông hộc kéo</v>
          </cell>
          <cell r="H1138" t="str">
            <v>MDF-N - 12 x 1220 x 2440mm, Veneer Okoume 0.3mm Both Faces [CARB P2 Compliant]</v>
          </cell>
          <cell r="I1138">
            <v>100</v>
          </cell>
        </row>
        <row r="1139">
          <cell r="A1139" t="str">
            <v>B557774/A</v>
          </cell>
          <cell r="B1139" t="str">
            <v>CZ044NM191</v>
          </cell>
          <cell r="C1139">
            <v>10</v>
          </cell>
          <cell r="D1139">
            <v>778.27</v>
          </cell>
          <cell r="E1139">
            <v>7782.7</v>
          </cell>
          <cell r="F1139" t="str">
            <v>A5-S3</v>
          </cell>
          <cell r="G1139" t="str">
            <v>Drawer back 1 - hau hộc 1</v>
          </cell>
          <cell r="H1139" t="str">
            <v>MDF - 12 x 1220 x 2440mm, Veneer Okoume 0.3mm Both Faces [CARB P2 Compliant]</v>
          </cell>
          <cell r="I1139">
            <v>20</v>
          </cell>
        </row>
        <row r="1140">
          <cell r="A1140" t="str">
            <v>B557774/A</v>
          </cell>
          <cell r="B1140" t="str">
            <v>CZ044NM191</v>
          </cell>
          <cell r="C1140">
            <v>10</v>
          </cell>
          <cell r="D1140">
            <v>778.27</v>
          </cell>
          <cell r="E1140">
            <v>7782.7</v>
          </cell>
          <cell r="F1140" t="str">
            <v>A5-S4</v>
          </cell>
          <cell r="G1140" t="str">
            <v>Drawer bottom  - Đáy hộc kéo</v>
          </cell>
          <cell r="H1140" t="str">
            <v>MDF - 06 x 1220 x 2440mm, Veneer Okoume 0.3mm Both Faces [CARB P2 Compliant]</v>
          </cell>
          <cell r="I1140">
            <v>20</v>
          </cell>
        </row>
        <row r="1141">
          <cell r="A1141" t="str">
            <v>B557774/A</v>
          </cell>
          <cell r="B1141" t="str">
            <v>CZ044NM191</v>
          </cell>
          <cell r="C1141">
            <v>10</v>
          </cell>
          <cell r="D1141">
            <v>778.27</v>
          </cell>
          <cell r="E1141">
            <v>7782.7</v>
          </cell>
          <cell r="F1141" t="str">
            <v>A5-S5</v>
          </cell>
          <cell r="G1141" t="str">
            <v>Center rail - Đố giữa</v>
          </cell>
          <cell r="H1141" t="str">
            <v>Standard Wood - ALDER/ASPEN/LENGA/US POPLAR, 2 COM - T38 W120mm+ L2m+</v>
          </cell>
          <cell r="I1141">
            <v>80</v>
          </cell>
        </row>
        <row r="1142">
          <cell r="A1142" t="str">
            <v>B557774/A</v>
          </cell>
          <cell r="B1142" t="str">
            <v>CZ044NM191</v>
          </cell>
          <cell r="C1142">
            <v>10</v>
          </cell>
          <cell r="D1142">
            <v>778.27</v>
          </cell>
          <cell r="E1142">
            <v>7782.7</v>
          </cell>
          <cell r="F1142" t="str">
            <v>A6-S1</v>
          </cell>
          <cell r="G1142" t="str">
            <v xml:space="preserve">Drawer front - Mặt hộc kéo </v>
          </cell>
          <cell r="H1142" t="str">
            <v>MDF Veneer</v>
          </cell>
          <cell r="I1142">
            <v>30</v>
          </cell>
        </row>
        <row r="1143">
          <cell r="A1143" t="str">
            <v>B557774/A</v>
          </cell>
          <cell r="B1143" t="str">
            <v>CZ044NM191</v>
          </cell>
          <cell r="C1143">
            <v>10</v>
          </cell>
          <cell r="D1143">
            <v>778.27</v>
          </cell>
          <cell r="E1143">
            <v>7782.7</v>
          </cell>
          <cell r="F1143" t="str">
            <v>A6-S3</v>
          </cell>
          <cell r="G1143" t="str">
            <v>Drawer back - Hậu hộc kéo</v>
          </cell>
          <cell r="H1143" t="str">
            <v>MDF - 12 x 1220 x 2440mm, Veneer Okoume 0.3mm Both Faces [CARB P2 Compliant]</v>
          </cell>
          <cell r="I1143">
            <v>30</v>
          </cell>
        </row>
        <row r="1144">
          <cell r="A1144" t="str">
            <v>B557774/A</v>
          </cell>
          <cell r="B1144" t="str">
            <v>CZ044NM191</v>
          </cell>
          <cell r="C1144">
            <v>10</v>
          </cell>
          <cell r="D1144">
            <v>778.27</v>
          </cell>
          <cell r="E1144">
            <v>7782.7</v>
          </cell>
          <cell r="F1144" t="str">
            <v>A6-S4</v>
          </cell>
          <cell r="G1144" t="str">
            <v>Drawer bottom  - Đáy hộc kéo</v>
          </cell>
          <cell r="H1144" t="str">
            <v>MDF - 06 x 1220 x 2440mm, Veneer Okoume 0.3mm Both Faces [CARB P2 Compliant]</v>
          </cell>
          <cell r="I1144">
            <v>30</v>
          </cell>
        </row>
        <row r="1145">
          <cell r="A1145" t="str">
            <v>B557774/A</v>
          </cell>
          <cell r="B1145" t="str">
            <v>CZ044NM191</v>
          </cell>
          <cell r="C1145">
            <v>10</v>
          </cell>
          <cell r="D1145">
            <v>778.27</v>
          </cell>
          <cell r="E1145">
            <v>7782.7</v>
          </cell>
          <cell r="F1145" t="str">
            <v>P01</v>
          </cell>
          <cell r="G1145" t="str">
            <v>Front top rail  - Đố tiền nóc</v>
          </cell>
          <cell r="H1145" t="str">
            <v>Wood Rubber Laminate Board - 20 x 1220 x 2440mm, Veneer Poplar both Faces</v>
          </cell>
          <cell r="I1145">
            <v>10</v>
          </cell>
        </row>
        <row r="1146">
          <cell r="A1146" t="str">
            <v>B557774/A</v>
          </cell>
          <cell r="B1146" t="str">
            <v>CZ044NM191</v>
          </cell>
          <cell r="C1146">
            <v>10</v>
          </cell>
          <cell r="D1146">
            <v>778.27</v>
          </cell>
          <cell r="E1146">
            <v>7782.7</v>
          </cell>
          <cell r="F1146" t="str">
            <v>P02</v>
          </cell>
          <cell r="G1146" t="str">
            <v>Back rail with note finger - đố hậu</v>
          </cell>
          <cell r="H1146" t="str">
            <v>Wood Rubber Laminate Board - 20 x 1220 x 2440mm, Veneer Poplar both Faces</v>
          </cell>
          <cell r="I1146">
            <v>10</v>
          </cell>
        </row>
        <row r="1147">
          <cell r="A1147" t="str">
            <v>B557774/A</v>
          </cell>
          <cell r="B1147" t="str">
            <v>CZ044NM191</v>
          </cell>
          <cell r="C1147">
            <v>10</v>
          </cell>
          <cell r="D1147">
            <v>778.27</v>
          </cell>
          <cell r="E1147">
            <v>7782.7</v>
          </cell>
          <cell r="F1147" t="str">
            <v>P03</v>
          </cell>
          <cell r="G1147" t="str">
            <v xml:space="preserve">Top panel  - Ván nóc </v>
          </cell>
          <cell r="H1147" t="str">
            <v>MDF - 15 x 1830 x 2440mm [CARB P2 Compliant]</v>
          </cell>
          <cell r="I1147">
            <v>10</v>
          </cell>
        </row>
        <row r="1148">
          <cell r="A1148" t="str">
            <v>B557774/A</v>
          </cell>
          <cell r="B1148" t="str">
            <v>CZ044NM191</v>
          </cell>
          <cell r="C1148">
            <v>10</v>
          </cell>
          <cell r="D1148">
            <v>778.27</v>
          </cell>
          <cell r="E1148">
            <v>7782.7</v>
          </cell>
          <cell r="F1148" t="str">
            <v>P09</v>
          </cell>
          <cell r="G1148" t="str">
            <v>Partition panel - Vách ngăn</v>
          </cell>
          <cell r="H1148" t="str">
            <v>MDF - 18 x 1830 x 2440mm [CARB P2 Compliant]</v>
          </cell>
          <cell r="I1148">
            <v>10</v>
          </cell>
        </row>
        <row r="1149">
          <cell r="A1149" t="str">
            <v>B557774/A</v>
          </cell>
          <cell r="B1149" t="str">
            <v>CZ044NM191</v>
          </cell>
          <cell r="C1149">
            <v>10</v>
          </cell>
          <cell r="D1149">
            <v>778.27</v>
          </cell>
          <cell r="E1149">
            <v>7782.7</v>
          </cell>
          <cell r="F1149" t="str">
            <v>P10</v>
          </cell>
          <cell r="G1149" t="str">
            <v>Back panel - Ván hậu</v>
          </cell>
          <cell r="H1149" t="str">
            <v>MDF Veneer</v>
          </cell>
          <cell r="I1149">
            <v>10</v>
          </cell>
        </row>
        <row r="1150">
          <cell r="A1150" t="str">
            <v>B557774/A</v>
          </cell>
          <cell r="B1150" t="str">
            <v>CZ044NM191</v>
          </cell>
          <cell r="C1150">
            <v>10</v>
          </cell>
          <cell r="D1150">
            <v>778.27</v>
          </cell>
          <cell r="E1150">
            <v>7782.7</v>
          </cell>
          <cell r="F1150" t="str">
            <v>P11</v>
          </cell>
          <cell r="G1150" t="str">
            <v>Corner block - ke góc</v>
          </cell>
          <cell r="H1150" t="str">
            <v>Poplar off cut</v>
          </cell>
          <cell r="I1150">
            <v>20</v>
          </cell>
        </row>
        <row r="1151">
          <cell r="A1151" t="str">
            <v>B557774/A</v>
          </cell>
          <cell r="B1151" t="str">
            <v>CZ044NM191</v>
          </cell>
          <cell r="C1151">
            <v>10</v>
          </cell>
          <cell r="D1151">
            <v>778.27</v>
          </cell>
          <cell r="E1151">
            <v>7782.7</v>
          </cell>
          <cell r="F1151" t="str">
            <v>P12</v>
          </cell>
          <cell r="G1151" t="str">
            <v>Drawer stop - Dừng hộc</v>
          </cell>
          <cell r="H1151" t="str">
            <v>Poplar off cut</v>
          </cell>
          <cell r="I1151">
            <v>100</v>
          </cell>
        </row>
        <row r="1152">
          <cell r="A1152" t="str">
            <v>B557774/A</v>
          </cell>
          <cell r="B1152" t="str">
            <v>CZ044NM191</v>
          </cell>
          <cell r="C1152">
            <v>10</v>
          </cell>
          <cell r="D1152">
            <v>778.27</v>
          </cell>
          <cell r="E1152">
            <v>7782.7</v>
          </cell>
          <cell r="F1152" t="str">
            <v>P14</v>
          </cell>
          <cell r="G1152" t="str">
            <v>Spline - Lưỡi gà</v>
          </cell>
          <cell r="H1152" t="str">
            <v>Plywood LVD - 06 x 1220 x 2440mm, Bleached Poplar Veneer Both Sides [CARB P2 Compliant]</v>
          </cell>
          <cell r="I1152">
            <v>20</v>
          </cell>
        </row>
        <row r="1153">
          <cell r="A1153" t="str">
            <v>B557774/A</v>
          </cell>
          <cell r="B1153" t="str">
            <v>CZ044NM191</v>
          </cell>
          <cell r="C1153">
            <v>10</v>
          </cell>
          <cell r="D1153">
            <v>778.27</v>
          </cell>
          <cell r="E1153">
            <v>7782.7</v>
          </cell>
          <cell r="F1153" t="str">
            <v>P15</v>
          </cell>
          <cell r="G1153" t="str">
            <v>Spline - Lưỡi gà</v>
          </cell>
          <cell r="H1153" t="str">
            <v>Plywood LVD - 06 x 1220 x 2440mm, Bleached Poplar Veneer Both Sides [CARB P2 Compliant]</v>
          </cell>
          <cell r="I1153">
            <v>10</v>
          </cell>
        </row>
        <row r="1154">
          <cell r="A1154" t="str">
            <v>B557774/A</v>
          </cell>
          <cell r="B1154" t="str">
            <v>CZ044NM191</v>
          </cell>
          <cell r="C1154">
            <v>10</v>
          </cell>
          <cell r="D1154">
            <v>778.27</v>
          </cell>
          <cell r="E1154">
            <v>7782.7</v>
          </cell>
          <cell r="F1154" t="str">
            <v>P16</v>
          </cell>
          <cell r="G1154" t="str">
            <v>Cleat - Bọ gỗ</v>
          </cell>
          <cell r="H1154" t="str">
            <v>Wood Rubber Laminate Board - 20 x 1220 x 2440mm, Veneer Poplar both Faces</v>
          </cell>
          <cell r="I1154">
            <v>20</v>
          </cell>
        </row>
        <row r="1155">
          <cell r="A1155" t="str">
            <v>B557774/A</v>
          </cell>
          <cell r="B1155" t="str">
            <v>CZ044NM191</v>
          </cell>
          <cell r="C1155">
            <v>10</v>
          </cell>
          <cell r="D1155">
            <v>778.27</v>
          </cell>
          <cell r="E1155">
            <v>7782.7</v>
          </cell>
          <cell r="F1155" t="str">
            <v>P17</v>
          </cell>
          <cell r="G1155" t="str">
            <v>Cleat - Bọ gỗ</v>
          </cell>
          <cell r="H1155" t="str">
            <v>Wood Rubber Laminate Board - 20 x 1220 x 2440mm, Veneer Poplar both Faces</v>
          </cell>
          <cell r="I1155">
            <v>20</v>
          </cell>
        </row>
        <row r="1156">
          <cell r="A1156" t="str">
            <v>B557774/A</v>
          </cell>
          <cell r="B1156" t="str">
            <v>CZ044NM191</v>
          </cell>
          <cell r="C1156">
            <v>10</v>
          </cell>
          <cell r="D1156">
            <v>778.27</v>
          </cell>
          <cell r="E1156">
            <v>7782.7</v>
          </cell>
          <cell r="F1156" t="str">
            <v>P18</v>
          </cell>
          <cell r="G1156" t="str">
            <v>Front rail  - Đố tiền</v>
          </cell>
          <cell r="H1156" t="str">
            <v>Wood Rubber Laminate Board - 20 x 1220 x 2440mm, Veneer Poplar both Faces</v>
          </cell>
          <cell r="I1156">
            <v>20</v>
          </cell>
        </row>
        <row r="1157">
          <cell r="A1157" t="str">
            <v>B557774/A</v>
          </cell>
          <cell r="B1157" t="str">
            <v>CZ044NM191</v>
          </cell>
          <cell r="C1157">
            <v>10</v>
          </cell>
          <cell r="D1157">
            <v>778.27</v>
          </cell>
          <cell r="E1157">
            <v>7782.7</v>
          </cell>
          <cell r="F1157" t="str">
            <v>P19</v>
          </cell>
          <cell r="G1157" t="str">
            <v>Cleat - Bọ gỗ</v>
          </cell>
          <cell r="H1157" t="str">
            <v>Wood Rubber Laminate Board - 20 x 1220 x 2440mm, Veneer Poplar both Faces</v>
          </cell>
          <cell r="I1157">
            <v>20</v>
          </cell>
        </row>
        <row r="1158">
          <cell r="A1158" t="str">
            <v>B557774/A</v>
          </cell>
          <cell r="B1158" t="str">
            <v>CZ044NM191</v>
          </cell>
          <cell r="C1158">
            <v>10</v>
          </cell>
          <cell r="D1158">
            <v>778.27</v>
          </cell>
          <cell r="E1158">
            <v>7782.7</v>
          </cell>
          <cell r="F1158" t="str">
            <v>P20</v>
          </cell>
          <cell r="G1158" t="str">
            <v xml:space="preserve">Panel - Ván </v>
          </cell>
          <cell r="H1158" t="str">
            <v>Cement Board - 18 x 1220 x 2440mm, Dark Grey</v>
          </cell>
          <cell r="I1158">
            <v>10</v>
          </cell>
        </row>
        <row r="1159">
          <cell r="A1159" t="str">
            <v>B557777/A</v>
          </cell>
          <cell r="B1159" t="str">
            <v>CZ051</v>
          </cell>
          <cell r="C1159">
            <v>45</v>
          </cell>
          <cell r="D1159">
            <v>327.73</v>
          </cell>
          <cell r="E1159">
            <v>14747.85</v>
          </cell>
          <cell r="F1159" t="str">
            <v>A1-S1</v>
          </cell>
          <cell r="G1159" t="str">
            <v>Front Vertical rail  - Trụ tiền</v>
          </cell>
          <cell r="H1159" t="str">
            <v>Pre-Assembly</v>
          </cell>
          <cell r="I1159">
            <v>90</v>
          </cell>
        </row>
        <row r="1160">
          <cell r="A1160" t="str">
            <v>B557777/A</v>
          </cell>
          <cell r="B1160" t="str">
            <v>CZ051</v>
          </cell>
          <cell r="C1160">
            <v>45</v>
          </cell>
          <cell r="D1160">
            <v>327.73</v>
          </cell>
          <cell r="E1160">
            <v>14747.85</v>
          </cell>
          <cell r="F1160" t="str">
            <v>A1-S1-1</v>
          </cell>
          <cell r="G1160" t="str">
            <v>Front rail  - Đố tiền</v>
          </cell>
          <cell r="H1160" t="str">
            <v>Wood US Poplar - Straight Edged, 2 COM - T25mm x W100mm Up x L1.8m Up</v>
          </cell>
          <cell r="I1160">
            <v>90</v>
          </cell>
        </row>
        <row r="1161">
          <cell r="A1161" t="str">
            <v>B557777/A</v>
          </cell>
          <cell r="B1161" t="str">
            <v>CZ051</v>
          </cell>
          <cell r="C1161">
            <v>45</v>
          </cell>
          <cell r="D1161">
            <v>327.73</v>
          </cell>
          <cell r="E1161">
            <v>14747.85</v>
          </cell>
          <cell r="F1161" t="str">
            <v>A1-S1-2</v>
          </cell>
          <cell r="G1161" t="str">
            <v>Wood laminater - Gỗ ghép 1</v>
          </cell>
          <cell r="H1161" t="str">
            <v>TRAM OFF CUT</v>
          </cell>
          <cell r="I1161">
            <v>90</v>
          </cell>
        </row>
        <row r="1162">
          <cell r="A1162" t="str">
            <v>B557777/A</v>
          </cell>
          <cell r="B1162" t="str">
            <v>CZ051</v>
          </cell>
          <cell r="C1162">
            <v>45</v>
          </cell>
          <cell r="D1162">
            <v>327.73</v>
          </cell>
          <cell r="E1162">
            <v>14747.85</v>
          </cell>
          <cell r="F1162" t="str">
            <v>A1-S2</v>
          </cell>
          <cell r="G1162" t="str">
            <v>Back leg - Chân hậu</v>
          </cell>
          <cell r="H1162" t="str">
            <v>Beech 2 COM</v>
          </cell>
          <cell r="I1162">
            <v>90</v>
          </cell>
        </row>
        <row r="1163">
          <cell r="A1163" t="str">
            <v>B557777/A</v>
          </cell>
          <cell r="B1163" t="str">
            <v>CZ051</v>
          </cell>
          <cell r="C1163">
            <v>45</v>
          </cell>
          <cell r="D1163">
            <v>327.73</v>
          </cell>
          <cell r="E1163">
            <v>14747.85</v>
          </cell>
          <cell r="F1163" t="str">
            <v>A1-S3</v>
          </cell>
          <cell r="G1163" t="str">
            <v xml:space="preserve">Side panel  - Ván hông </v>
          </cell>
          <cell r="H1163" t="str">
            <v>MDF - 15 x 1830 x 2440mm [CARB P2 Compliant]</v>
          </cell>
          <cell r="I1163">
            <v>90</v>
          </cell>
        </row>
        <row r="1164">
          <cell r="A1164" t="str">
            <v>B557777/A</v>
          </cell>
          <cell r="B1164" t="str">
            <v>CZ051</v>
          </cell>
          <cell r="C1164">
            <v>45</v>
          </cell>
          <cell r="D1164">
            <v>327.73</v>
          </cell>
          <cell r="E1164">
            <v>14747.85</v>
          </cell>
          <cell r="F1164" t="str">
            <v>A1-S4</v>
          </cell>
          <cell r="G1164" t="str">
            <v>side rail inside with note finger - Đố trong ghép finger</v>
          </cell>
          <cell r="H1164" t="str">
            <v>Pre-Assembly</v>
          </cell>
          <cell r="I1164">
            <v>180</v>
          </cell>
        </row>
        <row r="1165">
          <cell r="A1165" t="str">
            <v>B557777/A</v>
          </cell>
          <cell r="B1165" t="str">
            <v>CZ051</v>
          </cell>
          <cell r="C1165">
            <v>45</v>
          </cell>
          <cell r="D1165">
            <v>327.73</v>
          </cell>
          <cell r="E1165">
            <v>14747.85</v>
          </cell>
          <cell r="F1165" t="str">
            <v>A1-S4-1</v>
          </cell>
          <cell r="G1165" t="str">
            <v xml:space="preserve">Side rail  - Đố hông </v>
          </cell>
          <cell r="H1165" t="str">
            <v>Wood US Poplar - Straight Edged, 2 COM - T25mm x W100mm Up x L1.8m Up</v>
          </cell>
          <cell r="I1165">
            <v>180</v>
          </cell>
        </row>
        <row r="1166">
          <cell r="A1166" t="str">
            <v>B557777/A</v>
          </cell>
          <cell r="B1166" t="str">
            <v>CZ051</v>
          </cell>
          <cell r="C1166">
            <v>45</v>
          </cell>
          <cell r="D1166">
            <v>327.73</v>
          </cell>
          <cell r="E1166">
            <v>14747.85</v>
          </cell>
          <cell r="F1166" t="str">
            <v>A1-S4-2</v>
          </cell>
          <cell r="G1166" t="str">
            <v>Patching wood - Gỗ đắp</v>
          </cell>
          <cell r="H1166" t="str">
            <v>wood off cut</v>
          </cell>
          <cell r="I1166">
            <v>360</v>
          </cell>
        </row>
        <row r="1167">
          <cell r="A1167" t="str">
            <v>B557777/A</v>
          </cell>
          <cell r="B1167" t="str">
            <v>CZ051</v>
          </cell>
          <cell r="C1167">
            <v>45</v>
          </cell>
          <cell r="D1167">
            <v>327.73</v>
          </cell>
          <cell r="E1167">
            <v>14747.85</v>
          </cell>
          <cell r="F1167" t="str">
            <v>A4-S1</v>
          </cell>
          <cell r="G1167" t="str">
            <v>Front Bottom Rail  - Đố đáy trước</v>
          </cell>
          <cell r="H1167" t="str">
            <v>Wood Rubber Laminate Board - 20 x 1220 x 2440mm, Veneer Poplar both Faces</v>
          </cell>
          <cell r="I1167">
            <v>45</v>
          </cell>
        </row>
        <row r="1168">
          <cell r="A1168" t="str">
            <v>B557777/A</v>
          </cell>
          <cell r="B1168" t="str">
            <v>CZ051</v>
          </cell>
          <cell r="C1168">
            <v>45</v>
          </cell>
          <cell r="D1168">
            <v>327.73</v>
          </cell>
          <cell r="E1168">
            <v>14747.85</v>
          </cell>
          <cell r="F1168" t="str">
            <v>A4-S2</v>
          </cell>
          <cell r="G1168" t="str">
            <v>Front Bottom Rail  - Đố đáy trước</v>
          </cell>
          <cell r="H1168" t="str">
            <v>Wood Rubber Laminate Board - 20 x 1220 x 2440mm, Veneer Poplar both Faces</v>
          </cell>
          <cell r="I1168">
            <v>45</v>
          </cell>
        </row>
        <row r="1169">
          <cell r="A1169" t="str">
            <v>B557777/A</v>
          </cell>
          <cell r="B1169" t="str">
            <v>CZ051</v>
          </cell>
          <cell r="C1169">
            <v>45</v>
          </cell>
          <cell r="D1169">
            <v>327.73</v>
          </cell>
          <cell r="E1169">
            <v>14747.85</v>
          </cell>
          <cell r="F1169" t="str">
            <v>A4-S4</v>
          </cell>
          <cell r="G1169" t="str">
            <v>Dust board Panel  - Ván quét bụi</v>
          </cell>
          <cell r="H1169" t="str">
            <v>MDF - 06 x 1830 x 2440mm [CARB P2 Compliant]</v>
          </cell>
          <cell r="I1169">
            <v>45</v>
          </cell>
        </row>
        <row r="1170">
          <cell r="A1170" t="str">
            <v>B557777/A</v>
          </cell>
          <cell r="B1170" t="str">
            <v>CZ051</v>
          </cell>
          <cell r="C1170">
            <v>45</v>
          </cell>
          <cell r="D1170">
            <v>327.73</v>
          </cell>
          <cell r="E1170">
            <v>14747.85</v>
          </cell>
          <cell r="F1170" t="str">
            <v>A4-S5</v>
          </cell>
          <cell r="G1170" t="str">
            <v>Center rail - Đố giữa</v>
          </cell>
          <cell r="H1170" t="str">
            <v>MDF OFF CUT</v>
          </cell>
          <cell r="I1170">
            <v>45</v>
          </cell>
        </row>
        <row r="1171">
          <cell r="A1171" t="str">
            <v>B557777/A</v>
          </cell>
          <cell r="B1171" t="str">
            <v>CZ051</v>
          </cell>
          <cell r="C1171">
            <v>45</v>
          </cell>
          <cell r="D1171">
            <v>327.73</v>
          </cell>
          <cell r="E1171">
            <v>14747.85</v>
          </cell>
          <cell r="F1171" t="str">
            <v>A6-S1</v>
          </cell>
          <cell r="G1171" t="str">
            <v xml:space="preserve">Drawer front - Mặt hộc kéo </v>
          </cell>
          <cell r="H1171" t="str">
            <v>MDF Veneer</v>
          </cell>
          <cell r="I1171">
            <v>90</v>
          </cell>
        </row>
        <row r="1172">
          <cell r="A1172" t="str">
            <v>B557777/A</v>
          </cell>
          <cell r="B1172" t="str">
            <v>CZ051</v>
          </cell>
          <cell r="C1172">
            <v>45</v>
          </cell>
          <cell r="D1172">
            <v>327.73</v>
          </cell>
          <cell r="E1172">
            <v>14747.85</v>
          </cell>
          <cell r="F1172" t="str">
            <v>A6-S2</v>
          </cell>
          <cell r="G1172" t="str">
            <v>Drawer side - Hông hộc kéo</v>
          </cell>
          <cell r="H1172" t="str">
            <v>MDF-N - 12 x 1220 x 2440mm, Veneer Okoume 0.3mm Both Faces [CARB P2 Compliant]</v>
          </cell>
          <cell r="I1172">
            <v>180</v>
          </cell>
        </row>
        <row r="1173">
          <cell r="A1173" t="str">
            <v>B557777/A</v>
          </cell>
          <cell r="B1173" t="str">
            <v>CZ051</v>
          </cell>
          <cell r="C1173">
            <v>45</v>
          </cell>
          <cell r="D1173">
            <v>327.73</v>
          </cell>
          <cell r="E1173">
            <v>14747.85</v>
          </cell>
          <cell r="F1173" t="str">
            <v>A6-S3</v>
          </cell>
          <cell r="G1173" t="str">
            <v>Drawer back - Hậu hộc kéo</v>
          </cell>
          <cell r="H1173" t="str">
            <v>MDF - 12 x 1220 x 2440mm, Veneer Okoume 0.3mm Both Faces [CARB P2 Compliant]</v>
          </cell>
          <cell r="I1173">
            <v>90</v>
          </cell>
        </row>
        <row r="1174">
          <cell r="A1174" t="str">
            <v>B557777/A</v>
          </cell>
          <cell r="B1174" t="str">
            <v>CZ051</v>
          </cell>
          <cell r="C1174">
            <v>45</v>
          </cell>
          <cell r="D1174">
            <v>327.73</v>
          </cell>
          <cell r="E1174">
            <v>14747.85</v>
          </cell>
          <cell r="F1174" t="str">
            <v>A6-S4</v>
          </cell>
          <cell r="G1174" t="str">
            <v>Drawer bottom  - Đáy hộc kéo</v>
          </cell>
          <cell r="H1174" t="str">
            <v>MDF - 06 x 1220 x 2440mm, Veneer Okoume 0.3mm Both Faces [CARB P2 Compliant]</v>
          </cell>
          <cell r="I1174">
            <v>90</v>
          </cell>
        </row>
        <row r="1175">
          <cell r="A1175" t="str">
            <v>B557777/A</v>
          </cell>
          <cell r="B1175" t="str">
            <v>CZ051</v>
          </cell>
          <cell r="C1175">
            <v>45</v>
          </cell>
          <cell r="D1175">
            <v>327.73</v>
          </cell>
          <cell r="E1175">
            <v>14747.85</v>
          </cell>
          <cell r="F1175" t="str">
            <v>A6-S5</v>
          </cell>
          <cell r="G1175" t="str">
            <v>Center rail - Đố giữa</v>
          </cell>
          <cell r="H1175" t="str">
            <v>Wood US Poplar - Straight Edged, 2 COM - T38mm x W100mm Up x L1.8m Up</v>
          </cell>
          <cell r="I1175">
            <v>90</v>
          </cell>
        </row>
        <row r="1176">
          <cell r="A1176" t="str">
            <v>B557777/A</v>
          </cell>
          <cell r="B1176" t="str">
            <v>CZ051</v>
          </cell>
          <cell r="C1176">
            <v>45</v>
          </cell>
          <cell r="D1176">
            <v>327.73</v>
          </cell>
          <cell r="E1176">
            <v>14747.85</v>
          </cell>
          <cell r="F1176" t="str">
            <v>P01</v>
          </cell>
          <cell r="G1176" t="str">
            <v>Front top rail  - Đố tiền nóc</v>
          </cell>
          <cell r="H1176" t="str">
            <v>Wood Rubber Laminate Board - 20 x 1220 x 2440mm, Veneer Poplar both Faces</v>
          </cell>
          <cell r="I1176">
            <v>45</v>
          </cell>
        </row>
        <row r="1177">
          <cell r="A1177" t="str">
            <v>B557777/A</v>
          </cell>
          <cell r="B1177" t="str">
            <v>CZ051</v>
          </cell>
          <cell r="C1177">
            <v>45</v>
          </cell>
          <cell r="D1177">
            <v>327.73</v>
          </cell>
          <cell r="E1177">
            <v>14747.85</v>
          </cell>
          <cell r="F1177" t="str">
            <v>P02</v>
          </cell>
          <cell r="G1177" t="str">
            <v>Back rail with note finger - đố hậu</v>
          </cell>
          <cell r="H1177" t="str">
            <v>Wood Rubber Laminate Board - 20 x 1220 x 2440mm, Veneer Poplar both Faces</v>
          </cell>
          <cell r="I1177">
            <v>45</v>
          </cell>
        </row>
        <row r="1178">
          <cell r="A1178" t="str">
            <v>B557777/A</v>
          </cell>
          <cell r="B1178" t="str">
            <v>CZ051</v>
          </cell>
          <cell r="C1178">
            <v>45</v>
          </cell>
          <cell r="D1178">
            <v>327.73</v>
          </cell>
          <cell r="E1178">
            <v>14747.85</v>
          </cell>
          <cell r="F1178" t="str">
            <v>P03</v>
          </cell>
          <cell r="G1178" t="str">
            <v xml:space="preserve">Top panel  - Ván nóc </v>
          </cell>
          <cell r="H1178" t="str">
            <v>MDF - 15 x 1830 x 2440mm [CARB P2 Compliant]</v>
          </cell>
          <cell r="I1178">
            <v>45</v>
          </cell>
        </row>
        <row r="1179">
          <cell r="A1179" t="str">
            <v>B557777/A</v>
          </cell>
          <cell r="B1179" t="str">
            <v>CZ051</v>
          </cell>
          <cell r="C1179">
            <v>45</v>
          </cell>
          <cell r="D1179">
            <v>327.73</v>
          </cell>
          <cell r="E1179">
            <v>14747.85</v>
          </cell>
          <cell r="F1179" t="str">
            <v>P05-1</v>
          </cell>
          <cell r="G1179" t="str">
            <v>side rail inside with note finger - Đố trong ghép finger</v>
          </cell>
          <cell r="H1179" t="str">
            <v>Wood Rubber Laminate Board - 20 x 1220 x 2440mm, Veneer Poplar both Faces</v>
          </cell>
          <cell r="I1179">
            <v>90</v>
          </cell>
        </row>
        <row r="1180">
          <cell r="A1180" t="str">
            <v>B557777/A</v>
          </cell>
          <cell r="B1180" t="str">
            <v>CZ051</v>
          </cell>
          <cell r="C1180">
            <v>45</v>
          </cell>
          <cell r="D1180">
            <v>327.73</v>
          </cell>
          <cell r="E1180">
            <v>14747.85</v>
          </cell>
          <cell r="F1180" t="str">
            <v>P08</v>
          </cell>
          <cell r="G1180" t="str">
            <v>Spline - Lưỡi gà</v>
          </cell>
          <cell r="H1180" t="str">
            <v>wood off cut</v>
          </cell>
          <cell r="I1180">
            <v>90</v>
          </cell>
        </row>
        <row r="1181">
          <cell r="A1181" t="str">
            <v>B557777/A</v>
          </cell>
          <cell r="B1181" t="str">
            <v>CZ051</v>
          </cell>
          <cell r="C1181">
            <v>45</v>
          </cell>
          <cell r="D1181">
            <v>327.73</v>
          </cell>
          <cell r="E1181">
            <v>14747.85</v>
          </cell>
          <cell r="F1181" t="str">
            <v>P09</v>
          </cell>
          <cell r="G1181" t="str">
            <v>Spline - Lưỡi gà</v>
          </cell>
          <cell r="H1181" t="str">
            <v>wood off cut</v>
          </cell>
          <cell r="I1181">
            <v>45</v>
          </cell>
        </row>
        <row r="1182">
          <cell r="A1182" t="str">
            <v>B557777/A</v>
          </cell>
          <cell r="B1182" t="str">
            <v>CZ051</v>
          </cell>
          <cell r="C1182">
            <v>45</v>
          </cell>
          <cell r="D1182">
            <v>327.73</v>
          </cell>
          <cell r="E1182">
            <v>14747.85</v>
          </cell>
          <cell r="F1182" t="str">
            <v>P10</v>
          </cell>
          <cell r="G1182" t="str">
            <v>Back panel - Ván hậu</v>
          </cell>
          <cell r="H1182" t="str">
            <v>MDF Veneer</v>
          </cell>
          <cell r="I1182">
            <v>45</v>
          </cell>
        </row>
        <row r="1183">
          <cell r="A1183" t="str">
            <v>B557777/A</v>
          </cell>
          <cell r="B1183" t="str">
            <v>CZ051</v>
          </cell>
          <cell r="C1183">
            <v>45</v>
          </cell>
          <cell r="D1183">
            <v>327.73</v>
          </cell>
          <cell r="E1183">
            <v>14747.85</v>
          </cell>
          <cell r="F1183" t="str">
            <v>P12</v>
          </cell>
          <cell r="G1183" t="str">
            <v>Corner block - ke góc</v>
          </cell>
          <cell r="H1183" t="str">
            <v>Poplar off cut</v>
          </cell>
          <cell r="I1183">
            <v>90</v>
          </cell>
        </row>
        <row r="1184">
          <cell r="A1184" t="str">
            <v>B557777/A</v>
          </cell>
          <cell r="B1184" t="str">
            <v>CZ051</v>
          </cell>
          <cell r="C1184">
            <v>45</v>
          </cell>
          <cell r="D1184">
            <v>327.73</v>
          </cell>
          <cell r="E1184">
            <v>14747.85</v>
          </cell>
          <cell r="F1184" t="str">
            <v>P13</v>
          </cell>
          <cell r="G1184" t="str">
            <v>Cleat - Bọ gỗ</v>
          </cell>
          <cell r="H1184" t="str">
            <v>Wood Rubber Laminate Board - 20 x 1220 x 2440mm, Veneer Poplar both Faces</v>
          </cell>
          <cell r="I1184">
            <v>90</v>
          </cell>
        </row>
        <row r="1185">
          <cell r="A1185" t="str">
            <v>B557777/A</v>
          </cell>
          <cell r="B1185" t="str">
            <v>CZ051</v>
          </cell>
          <cell r="C1185">
            <v>45</v>
          </cell>
          <cell r="D1185">
            <v>327.73</v>
          </cell>
          <cell r="E1185">
            <v>14747.85</v>
          </cell>
          <cell r="F1185" t="str">
            <v>P15</v>
          </cell>
          <cell r="G1185" t="str">
            <v>Front rail  - Đố tiền</v>
          </cell>
          <cell r="H1185" t="str">
            <v>Wood Rubber Laminate Board - 20 x 1220 x 2440mm, Veneer Poplar both Faces</v>
          </cell>
          <cell r="I1185">
            <v>45</v>
          </cell>
        </row>
        <row r="1186">
          <cell r="A1186" t="str">
            <v>B557777/A</v>
          </cell>
          <cell r="B1186" t="str">
            <v>CZ051</v>
          </cell>
          <cell r="C1186">
            <v>45</v>
          </cell>
          <cell r="D1186">
            <v>327.73</v>
          </cell>
          <cell r="E1186">
            <v>14747.85</v>
          </cell>
          <cell r="F1186" t="str">
            <v>P16</v>
          </cell>
          <cell r="G1186" t="str">
            <v>Drawer stop - Dừng hộc</v>
          </cell>
          <cell r="H1186" t="str">
            <v>Poplar off cut</v>
          </cell>
          <cell r="I1186">
            <v>180</v>
          </cell>
        </row>
        <row r="1187">
          <cell r="A1187" t="str">
            <v>B557785/A</v>
          </cell>
          <cell r="B1187" t="str">
            <v>CZ051M190</v>
          </cell>
          <cell r="C1187">
            <v>11</v>
          </cell>
          <cell r="D1187">
            <v>327.73</v>
          </cell>
          <cell r="E1187">
            <v>3605.03</v>
          </cell>
          <cell r="F1187" t="str">
            <v>A1-S1</v>
          </cell>
          <cell r="G1187" t="str">
            <v>Front Vertical rail  - Trụ tiền</v>
          </cell>
          <cell r="H1187" t="str">
            <v>Pre-Assembly</v>
          </cell>
          <cell r="I1187">
            <v>22</v>
          </cell>
        </row>
        <row r="1188">
          <cell r="A1188" t="str">
            <v>B557785/A</v>
          </cell>
          <cell r="B1188" t="str">
            <v>CZ051M190</v>
          </cell>
          <cell r="C1188">
            <v>11</v>
          </cell>
          <cell r="D1188">
            <v>327.73</v>
          </cell>
          <cell r="E1188">
            <v>3605.03</v>
          </cell>
          <cell r="F1188" t="str">
            <v>A1-S1-1</v>
          </cell>
          <cell r="G1188" t="str">
            <v>Front rail  - Đố tiền</v>
          </cell>
          <cell r="H1188" t="str">
            <v>Wood US Poplar - Straight Edged, 2 COM - T25mm x W100mm Up x L1.8m Up</v>
          </cell>
          <cell r="I1188">
            <v>22</v>
          </cell>
        </row>
        <row r="1189">
          <cell r="A1189" t="str">
            <v>B557785/A</v>
          </cell>
          <cell r="B1189" t="str">
            <v>CZ051M190</v>
          </cell>
          <cell r="C1189">
            <v>11</v>
          </cell>
          <cell r="D1189">
            <v>327.73</v>
          </cell>
          <cell r="E1189">
            <v>3605.03</v>
          </cell>
          <cell r="F1189" t="str">
            <v>A1-S1-2</v>
          </cell>
          <cell r="G1189" t="str">
            <v>Wood laminater - Gỗ ghép 1</v>
          </cell>
          <cell r="H1189" t="str">
            <v>TRAM OFF CUT</v>
          </cell>
          <cell r="I1189">
            <v>22</v>
          </cell>
        </row>
        <row r="1190">
          <cell r="A1190" t="str">
            <v>B557785/A</v>
          </cell>
          <cell r="B1190" t="str">
            <v>CZ051M190</v>
          </cell>
          <cell r="C1190">
            <v>11</v>
          </cell>
          <cell r="D1190">
            <v>327.73</v>
          </cell>
          <cell r="E1190">
            <v>3605.03</v>
          </cell>
          <cell r="F1190" t="str">
            <v>A1-S2</v>
          </cell>
          <cell r="G1190" t="str">
            <v>Back leg - Chân hậu</v>
          </cell>
          <cell r="H1190" t="str">
            <v>Beech 2 COM</v>
          </cell>
          <cell r="I1190">
            <v>22</v>
          </cell>
        </row>
        <row r="1191">
          <cell r="A1191" t="str">
            <v>B557785/A</v>
          </cell>
          <cell r="B1191" t="str">
            <v>CZ051M190</v>
          </cell>
          <cell r="C1191">
            <v>11</v>
          </cell>
          <cell r="D1191">
            <v>327.73</v>
          </cell>
          <cell r="E1191">
            <v>3605.03</v>
          </cell>
          <cell r="F1191" t="str">
            <v>A1-S3</v>
          </cell>
          <cell r="G1191" t="str">
            <v xml:space="preserve">Side panel  - Ván hông </v>
          </cell>
          <cell r="H1191" t="str">
            <v>MDF - 15 x 1830 x 2440mm [CARB P2 Compliant]</v>
          </cell>
          <cell r="I1191">
            <v>22</v>
          </cell>
        </row>
        <row r="1192">
          <cell r="A1192" t="str">
            <v>B557785/A</v>
          </cell>
          <cell r="B1192" t="str">
            <v>CZ051M190</v>
          </cell>
          <cell r="C1192">
            <v>11</v>
          </cell>
          <cell r="D1192">
            <v>327.73</v>
          </cell>
          <cell r="E1192">
            <v>3605.03</v>
          </cell>
          <cell r="F1192" t="str">
            <v>A1-S4</v>
          </cell>
          <cell r="G1192" t="str">
            <v>side rail inside with note finger - Đố trong ghép finger</v>
          </cell>
          <cell r="H1192" t="str">
            <v>Pre-Assembly</v>
          </cell>
          <cell r="I1192">
            <v>44</v>
          </cell>
        </row>
        <row r="1193">
          <cell r="A1193" t="str">
            <v>B557785/A</v>
          </cell>
          <cell r="B1193" t="str">
            <v>CZ051M190</v>
          </cell>
          <cell r="C1193">
            <v>11</v>
          </cell>
          <cell r="D1193">
            <v>327.73</v>
          </cell>
          <cell r="E1193">
            <v>3605.03</v>
          </cell>
          <cell r="F1193" t="str">
            <v>A1-S4-1</v>
          </cell>
          <cell r="G1193" t="str">
            <v xml:space="preserve">Side rail  - Đố hông </v>
          </cell>
          <cell r="H1193" t="str">
            <v>Wood US Poplar - Straight Edged, 2 COM - T25mm x W100mm Up x L1.8m Up</v>
          </cell>
          <cell r="I1193">
            <v>44</v>
          </cell>
        </row>
        <row r="1194">
          <cell r="A1194" t="str">
            <v>B557785/A</v>
          </cell>
          <cell r="B1194" t="str">
            <v>CZ051M190</v>
          </cell>
          <cell r="C1194">
            <v>11</v>
          </cell>
          <cell r="D1194">
            <v>327.73</v>
          </cell>
          <cell r="E1194">
            <v>3605.03</v>
          </cell>
          <cell r="F1194" t="str">
            <v>A1-S4-2</v>
          </cell>
          <cell r="G1194" t="str">
            <v>Patching wood - Gỗ đắp</v>
          </cell>
          <cell r="H1194" t="str">
            <v>Poplar off cut</v>
          </cell>
          <cell r="I1194">
            <v>88</v>
          </cell>
        </row>
        <row r="1195">
          <cell r="A1195" t="str">
            <v>B557785/A</v>
          </cell>
          <cell r="B1195" t="str">
            <v>CZ051M190</v>
          </cell>
          <cell r="C1195">
            <v>11</v>
          </cell>
          <cell r="D1195">
            <v>327.73</v>
          </cell>
          <cell r="E1195">
            <v>3605.03</v>
          </cell>
          <cell r="F1195" t="str">
            <v>A4-S1</v>
          </cell>
          <cell r="G1195" t="str">
            <v>Front Bottom Rail  - Đố đáy trước</v>
          </cell>
          <cell r="H1195" t="str">
            <v>Wood Rubber Laminate Board - 20 x 1220 x 2440mm, Veneer Poplar both Faces</v>
          </cell>
          <cell r="I1195">
            <v>11</v>
          </cell>
        </row>
        <row r="1196">
          <cell r="A1196" t="str">
            <v>B557785/A</v>
          </cell>
          <cell r="B1196" t="str">
            <v>CZ051M190</v>
          </cell>
          <cell r="C1196">
            <v>11</v>
          </cell>
          <cell r="D1196">
            <v>327.73</v>
          </cell>
          <cell r="E1196">
            <v>3605.03</v>
          </cell>
          <cell r="F1196" t="str">
            <v>A4-S2</v>
          </cell>
          <cell r="G1196" t="str">
            <v>Front Bottom Rail  - Đố đáy trước</v>
          </cell>
          <cell r="H1196" t="str">
            <v>Wood Rubber Laminate Board - 20 x 1220 x 2440mm, Veneer Poplar both Faces</v>
          </cell>
          <cell r="I1196">
            <v>11</v>
          </cell>
        </row>
        <row r="1197">
          <cell r="A1197" t="str">
            <v>B557785/A</v>
          </cell>
          <cell r="B1197" t="str">
            <v>CZ051M190</v>
          </cell>
          <cell r="C1197">
            <v>11</v>
          </cell>
          <cell r="D1197">
            <v>327.73</v>
          </cell>
          <cell r="E1197">
            <v>3605.03</v>
          </cell>
          <cell r="F1197" t="str">
            <v>A4-S4</v>
          </cell>
          <cell r="G1197" t="str">
            <v>Dust board Panel  - Ván quét bụi</v>
          </cell>
          <cell r="H1197" t="str">
            <v>MDF - 06 x 1830 x 2440mm [CARB P2 Compliant]</v>
          </cell>
          <cell r="I1197">
            <v>11</v>
          </cell>
        </row>
        <row r="1198">
          <cell r="A1198" t="str">
            <v>B557785/A</v>
          </cell>
          <cell r="B1198" t="str">
            <v>CZ051M190</v>
          </cell>
          <cell r="C1198">
            <v>11</v>
          </cell>
          <cell r="D1198">
            <v>327.73</v>
          </cell>
          <cell r="E1198">
            <v>3605.03</v>
          </cell>
          <cell r="F1198" t="str">
            <v>A4-S5</v>
          </cell>
          <cell r="G1198" t="str">
            <v>Center rail - Đố giữa</v>
          </cell>
          <cell r="H1198" t="str">
            <v>MDF OFF CUT</v>
          </cell>
          <cell r="I1198">
            <v>11</v>
          </cell>
        </row>
        <row r="1199">
          <cell r="A1199" t="str">
            <v>B557785/A</v>
          </cell>
          <cell r="B1199" t="str">
            <v>CZ051M190</v>
          </cell>
          <cell r="C1199">
            <v>11</v>
          </cell>
          <cell r="D1199">
            <v>327.73</v>
          </cell>
          <cell r="E1199">
            <v>3605.03</v>
          </cell>
          <cell r="F1199" t="str">
            <v>A6-S1</v>
          </cell>
          <cell r="G1199" t="str">
            <v xml:space="preserve">Drawer front - Mặt hộc kéo </v>
          </cell>
          <cell r="H1199" t="str">
            <v>MDF Veneer</v>
          </cell>
          <cell r="I1199">
            <v>22</v>
          </cell>
        </row>
        <row r="1200">
          <cell r="A1200" t="str">
            <v>B557785/A</v>
          </cell>
          <cell r="B1200" t="str">
            <v>CZ051M190</v>
          </cell>
          <cell r="C1200">
            <v>11</v>
          </cell>
          <cell r="D1200">
            <v>327.73</v>
          </cell>
          <cell r="E1200">
            <v>3605.03</v>
          </cell>
          <cell r="F1200" t="str">
            <v>A6-S2</v>
          </cell>
          <cell r="G1200" t="str">
            <v>Drawer side - Hông hộc kéo</v>
          </cell>
          <cell r="H1200" t="str">
            <v>MDF Veneer</v>
          </cell>
          <cell r="I1200">
            <v>44</v>
          </cell>
        </row>
        <row r="1201">
          <cell r="A1201" t="str">
            <v>B557785/A</v>
          </cell>
          <cell r="B1201" t="str">
            <v>CZ051M190</v>
          </cell>
          <cell r="C1201">
            <v>11</v>
          </cell>
          <cell r="D1201">
            <v>327.73</v>
          </cell>
          <cell r="E1201">
            <v>3605.03</v>
          </cell>
          <cell r="F1201" t="str">
            <v>A6-S3</v>
          </cell>
          <cell r="G1201" t="str">
            <v>Drawer back - Hậu hộc kéo</v>
          </cell>
          <cell r="H1201" t="str">
            <v>MDF Veneer</v>
          </cell>
          <cell r="I1201">
            <v>22</v>
          </cell>
        </row>
        <row r="1202">
          <cell r="A1202" t="str">
            <v>B557785/A</v>
          </cell>
          <cell r="B1202" t="str">
            <v>CZ051M190</v>
          </cell>
          <cell r="C1202">
            <v>11</v>
          </cell>
          <cell r="D1202">
            <v>327.73</v>
          </cell>
          <cell r="E1202">
            <v>3605.03</v>
          </cell>
          <cell r="F1202" t="str">
            <v>A6-S4</v>
          </cell>
          <cell r="G1202" t="str">
            <v>Drawer bottom  - Đáy hộc kéo</v>
          </cell>
          <cell r="H1202" t="str">
            <v>MDF Veneer</v>
          </cell>
          <cell r="I1202">
            <v>22</v>
          </cell>
        </row>
        <row r="1203">
          <cell r="A1203" t="str">
            <v>B557785/A</v>
          </cell>
          <cell r="B1203" t="str">
            <v>CZ051M190</v>
          </cell>
          <cell r="C1203">
            <v>11</v>
          </cell>
          <cell r="D1203">
            <v>327.73</v>
          </cell>
          <cell r="E1203">
            <v>3605.03</v>
          </cell>
          <cell r="F1203" t="str">
            <v>A6-S5</v>
          </cell>
          <cell r="G1203" t="str">
            <v>Center rail - Đố giữa</v>
          </cell>
          <cell r="H1203" t="str">
            <v>Wood US Poplar - Straight Edged, 2 COM - T38mm x W100mm Up x L1.8m Up</v>
          </cell>
          <cell r="I1203">
            <v>22</v>
          </cell>
        </row>
        <row r="1204">
          <cell r="A1204" t="str">
            <v>B557785/A</v>
          </cell>
          <cell r="B1204" t="str">
            <v>CZ051M190</v>
          </cell>
          <cell r="C1204">
            <v>11</v>
          </cell>
          <cell r="D1204">
            <v>327.73</v>
          </cell>
          <cell r="E1204">
            <v>3605.03</v>
          </cell>
          <cell r="F1204" t="str">
            <v>P01</v>
          </cell>
          <cell r="G1204" t="str">
            <v>Front top rail  - Đố tiền nóc</v>
          </cell>
          <cell r="H1204" t="str">
            <v>Wood Rubber Laminate Board - 20 x 1220 x 2440mm, Veneer Poplar both Faces</v>
          </cell>
          <cell r="I1204">
            <v>11</v>
          </cell>
        </row>
        <row r="1205">
          <cell r="A1205" t="str">
            <v>B557785/A</v>
          </cell>
          <cell r="B1205" t="str">
            <v>CZ051M190</v>
          </cell>
          <cell r="C1205">
            <v>11</v>
          </cell>
          <cell r="D1205">
            <v>327.73</v>
          </cell>
          <cell r="E1205">
            <v>3605.03</v>
          </cell>
          <cell r="F1205" t="str">
            <v>P02</v>
          </cell>
          <cell r="G1205" t="str">
            <v>Back rail with note finger - đố hậu</v>
          </cell>
          <cell r="H1205" t="str">
            <v>Wood Rubber Laminate Board - 20 x 1220 x 2440mm, Veneer Poplar both Faces</v>
          </cell>
          <cell r="I1205">
            <v>11</v>
          </cell>
        </row>
        <row r="1206">
          <cell r="A1206" t="str">
            <v>B557785/A</v>
          </cell>
          <cell r="B1206" t="str">
            <v>CZ051M190</v>
          </cell>
          <cell r="C1206">
            <v>11</v>
          </cell>
          <cell r="D1206">
            <v>327.73</v>
          </cell>
          <cell r="E1206">
            <v>3605.03</v>
          </cell>
          <cell r="F1206" t="str">
            <v>P03</v>
          </cell>
          <cell r="G1206" t="str">
            <v xml:space="preserve">Top panel  - Ván nóc </v>
          </cell>
          <cell r="H1206" t="str">
            <v>MDF - 15 x 1830 x 2440mm [CARB P2 Compliant]</v>
          </cell>
          <cell r="I1206">
            <v>11</v>
          </cell>
        </row>
        <row r="1207">
          <cell r="A1207" t="str">
            <v>B557785/A</v>
          </cell>
          <cell r="B1207" t="str">
            <v>CZ051M190</v>
          </cell>
          <cell r="C1207">
            <v>11</v>
          </cell>
          <cell r="D1207">
            <v>327.73</v>
          </cell>
          <cell r="E1207">
            <v>3605.03</v>
          </cell>
          <cell r="F1207" t="str">
            <v>P05-1</v>
          </cell>
          <cell r="G1207" t="str">
            <v>side rail inside with note finger - Đố trong ghép finger</v>
          </cell>
          <cell r="H1207" t="str">
            <v>Wood Rubber Laminate Board - 20 x 1220 x 2440mm, Veneer Poplar both Faces</v>
          </cell>
          <cell r="I1207">
            <v>22</v>
          </cell>
        </row>
        <row r="1208">
          <cell r="A1208" t="str">
            <v>B557785/A</v>
          </cell>
          <cell r="B1208" t="str">
            <v>CZ051M190</v>
          </cell>
          <cell r="C1208">
            <v>11</v>
          </cell>
          <cell r="D1208">
            <v>327.73</v>
          </cell>
          <cell r="E1208">
            <v>3605.03</v>
          </cell>
          <cell r="F1208" t="str">
            <v>P08</v>
          </cell>
          <cell r="G1208" t="str">
            <v>Spline - Lưỡi gà</v>
          </cell>
          <cell r="H1208" t="str">
            <v>wood off cut</v>
          </cell>
          <cell r="I1208">
            <v>22</v>
          </cell>
        </row>
        <row r="1209">
          <cell r="A1209" t="str">
            <v>B557785/A</v>
          </cell>
          <cell r="B1209" t="str">
            <v>CZ051M190</v>
          </cell>
          <cell r="C1209">
            <v>11</v>
          </cell>
          <cell r="D1209">
            <v>327.73</v>
          </cell>
          <cell r="E1209">
            <v>3605.03</v>
          </cell>
          <cell r="F1209" t="str">
            <v>P09</v>
          </cell>
          <cell r="G1209" t="str">
            <v>Spline - Lưỡi gà</v>
          </cell>
          <cell r="H1209" t="str">
            <v>wood off cut</v>
          </cell>
          <cell r="I1209">
            <v>11</v>
          </cell>
        </row>
        <row r="1210">
          <cell r="A1210" t="str">
            <v>B557785/A</v>
          </cell>
          <cell r="B1210" t="str">
            <v>CZ051M190</v>
          </cell>
          <cell r="C1210">
            <v>11</v>
          </cell>
          <cell r="D1210">
            <v>327.73</v>
          </cell>
          <cell r="E1210">
            <v>3605.03</v>
          </cell>
          <cell r="F1210" t="str">
            <v>P10</v>
          </cell>
          <cell r="G1210" t="str">
            <v>Back panel - Ván hậu</v>
          </cell>
          <cell r="H1210" t="str">
            <v>MDF Veneer</v>
          </cell>
          <cell r="I1210">
            <v>11</v>
          </cell>
        </row>
        <row r="1211">
          <cell r="A1211" t="str">
            <v>B557785/A</v>
          </cell>
          <cell r="B1211" t="str">
            <v>CZ051M190</v>
          </cell>
          <cell r="C1211">
            <v>11</v>
          </cell>
          <cell r="D1211">
            <v>327.73</v>
          </cell>
          <cell r="E1211">
            <v>3605.03</v>
          </cell>
          <cell r="F1211" t="str">
            <v>P12</v>
          </cell>
          <cell r="G1211" t="str">
            <v>Corner block - ke góc</v>
          </cell>
          <cell r="H1211" t="str">
            <v>Poplar off cut</v>
          </cell>
          <cell r="I1211">
            <v>22</v>
          </cell>
        </row>
        <row r="1212">
          <cell r="A1212" t="str">
            <v>B557785/A</v>
          </cell>
          <cell r="B1212" t="str">
            <v>CZ051M190</v>
          </cell>
          <cell r="C1212">
            <v>11</v>
          </cell>
          <cell r="D1212">
            <v>327.73</v>
          </cell>
          <cell r="E1212">
            <v>3605.03</v>
          </cell>
          <cell r="F1212" t="str">
            <v>P13</v>
          </cell>
          <cell r="G1212" t="str">
            <v>Cleat - Bọ gỗ</v>
          </cell>
          <cell r="H1212" t="str">
            <v>Wood Rubber Laminate Board - 20 x 1220 x 2440mm, Veneer Poplar both Faces</v>
          </cell>
          <cell r="I1212">
            <v>22</v>
          </cell>
        </row>
        <row r="1213">
          <cell r="A1213" t="str">
            <v>B557785/A</v>
          </cell>
          <cell r="B1213" t="str">
            <v>CZ051M190</v>
          </cell>
          <cell r="C1213">
            <v>11</v>
          </cell>
          <cell r="D1213">
            <v>327.73</v>
          </cell>
          <cell r="E1213">
            <v>3605.03</v>
          </cell>
          <cell r="F1213" t="str">
            <v>P15</v>
          </cell>
          <cell r="G1213" t="str">
            <v>Front rail  - Đố tiền</v>
          </cell>
          <cell r="H1213" t="str">
            <v>Wood Rubber Laminate Board - 20 x 1220 x 2440mm, Veneer Poplar both Faces</v>
          </cell>
          <cell r="I1213">
            <v>11</v>
          </cell>
        </row>
        <row r="1214">
          <cell r="A1214" t="str">
            <v>B557785/A</v>
          </cell>
          <cell r="B1214" t="str">
            <v>CZ051M190</v>
          </cell>
          <cell r="C1214">
            <v>11</v>
          </cell>
          <cell r="D1214">
            <v>327.73</v>
          </cell>
          <cell r="E1214">
            <v>3605.03</v>
          </cell>
          <cell r="F1214" t="str">
            <v>P16</v>
          </cell>
          <cell r="G1214" t="str">
            <v>Drawer stop - Dừng hộc</v>
          </cell>
          <cell r="H1214" t="str">
            <v>Poplar off cut</v>
          </cell>
          <cell r="I1214">
            <v>44</v>
          </cell>
        </row>
        <row r="1215">
          <cell r="A1215" t="str">
            <v>B557787/A</v>
          </cell>
          <cell r="B1215" t="str">
            <v>CZ051M191</v>
          </cell>
          <cell r="C1215">
            <v>11</v>
          </cell>
          <cell r="D1215">
            <v>327.73</v>
          </cell>
          <cell r="E1215">
            <v>3605.03</v>
          </cell>
          <cell r="F1215" t="str">
            <v>A1-S1</v>
          </cell>
          <cell r="G1215" t="str">
            <v>Front Vertical rail  - Trụ tiền</v>
          </cell>
          <cell r="H1215" t="str">
            <v>Pre-Assembly</v>
          </cell>
          <cell r="I1215">
            <v>22</v>
          </cell>
        </row>
        <row r="1216">
          <cell r="A1216" t="str">
            <v>B557787/A</v>
          </cell>
          <cell r="B1216" t="str">
            <v>CZ051M191</v>
          </cell>
          <cell r="C1216">
            <v>11</v>
          </cell>
          <cell r="D1216">
            <v>327.73</v>
          </cell>
          <cell r="E1216">
            <v>3605.03</v>
          </cell>
          <cell r="F1216" t="str">
            <v>A1-S1-1</v>
          </cell>
          <cell r="G1216" t="str">
            <v>Front rail  - Đố tiền</v>
          </cell>
          <cell r="H1216" t="str">
            <v>Wood US Poplar - Straight Edged, 2 COM - T25mm x W100mm Up x L1.8m Up</v>
          </cell>
          <cell r="I1216">
            <v>22</v>
          </cell>
        </row>
        <row r="1217">
          <cell r="A1217" t="str">
            <v>B557787/A</v>
          </cell>
          <cell r="B1217" t="str">
            <v>CZ051M191</v>
          </cell>
          <cell r="C1217">
            <v>11</v>
          </cell>
          <cell r="D1217">
            <v>327.73</v>
          </cell>
          <cell r="E1217">
            <v>3605.03</v>
          </cell>
          <cell r="F1217" t="str">
            <v>A1-S1-2</v>
          </cell>
          <cell r="G1217" t="str">
            <v>Wood laminater - Gỗ ghép 1</v>
          </cell>
          <cell r="H1217" t="str">
            <v>TRAM OFF CUT</v>
          </cell>
          <cell r="I1217">
            <v>22</v>
          </cell>
        </row>
        <row r="1218">
          <cell r="A1218" t="str">
            <v>B557787/A</v>
          </cell>
          <cell r="B1218" t="str">
            <v>CZ051M191</v>
          </cell>
          <cell r="C1218">
            <v>11</v>
          </cell>
          <cell r="D1218">
            <v>327.73</v>
          </cell>
          <cell r="E1218">
            <v>3605.03</v>
          </cell>
          <cell r="F1218" t="str">
            <v>A1-S2</v>
          </cell>
          <cell r="G1218" t="str">
            <v>Back leg - Chân hậu</v>
          </cell>
          <cell r="H1218" t="str">
            <v>Beech 2 COM</v>
          </cell>
          <cell r="I1218">
            <v>22</v>
          </cell>
        </row>
        <row r="1219">
          <cell r="A1219" t="str">
            <v>B557787/A</v>
          </cell>
          <cell r="B1219" t="str">
            <v>CZ051M191</v>
          </cell>
          <cell r="C1219">
            <v>11</v>
          </cell>
          <cell r="D1219">
            <v>327.73</v>
          </cell>
          <cell r="E1219">
            <v>3605.03</v>
          </cell>
          <cell r="F1219" t="str">
            <v>A1-S3</v>
          </cell>
          <cell r="G1219" t="str">
            <v xml:space="preserve">Side panel  - Ván hông </v>
          </cell>
          <cell r="H1219" t="str">
            <v>MDF - 15 x 1830 x 2440mm [CARB P2 Compliant]</v>
          </cell>
          <cell r="I1219">
            <v>22</v>
          </cell>
        </row>
        <row r="1220">
          <cell r="A1220" t="str">
            <v>B557787/A</v>
          </cell>
          <cell r="B1220" t="str">
            <v>CZ051M191</v>
          </cell>
          <cell r="C1220">
            <v>11</v>
          </cell>
          <cell r="D1220">
            <v>327.73</v>
          </cell>
          <cell r="E1220">
            <v>3605.03</v>
          </cell>
          <cell r="F1220" t="str">
            <v>A1-S4</v>
          </cell>
          <cell r="G1220" t="str">
            <v>side rail inside with note finger - Đố trong ghép finger</v>
          </cell>
          <cell r="H1220" t="str">
            <v>Pre-Assembly</v>
          </cell>
          <cell r="I1220">
            <v>44</v>
          </cell>
        </row>
        <row r="1221">
          <cell r="A1221" t="str">
            <v>B557787/A</v>
          </cell>
          <cell r="B1221" t="str">
            <v>CZ051M191</v>
          </cell>
          <cell r="C1221">
            <v>11</v>
          </cell>
          <cell r="D1221">
            <v>327.73</v>
          </cell>
          <cell r="E1221">
            <v>3605.03</v>
          </cell>
          <cell r="F1221" t="str">
            <v>A1-S4-1</v>
          </cell>
          <cell r="G1221" t="str">
            <v xml:space="preserve">Side rail  - Đố hông </v>
          </cell>
          <cell r="H1221" t="str">
            <v>Wood US Poplar - Straight Edged, 2 COM - T25mm x W100mm Up x L1.8m Up</v>
          </cell>
          <cell r="I1221">
            <v>44</v>
          </cell>
        </row>
        <row r="1222">
          <cell r="A1222" t="str">
            <v>B557787/A</v>
          </cell>
          <cell r="B1222" t="str">
            <v>CZ051M191</v>
          </cell>
          <cell r="C1222">
            <v>11</v>
          </cell>
          <cell r="D1222">
            <v>327.73</v>
          </cell>
          <cell r="E1222">
            <v>3605.03</v>
          </cell>
          <cell r="F1222" t="str">
            <v>A1-S4-2</v>
          </cell>
          <cell r="G1222" t="str">
            <v>Patching wood - Gỗ đắp</v>
          </cell>
          <cell r="H1222" t="str">
            <v>wood off cut</v>
          </cell>
          <cell r="I1222">
            <v>88</v>
          </cell>
        </row>
        <row r="1223">
          <cell r="A1223" t="str">
            <v>B557787/A</v>
          </cell>
          <cell r="B1223" t="str">
            <v>CZ051M191</v>
          </cell>
          <cell r="C1223">
            <v>11</v>
          </cell>
          <cell r="D1223">
            <v>327.73</v>
          </cell>
          <cell r="E1223">
            <v>3605.03</v>
          </cell>
          <cell r="F1223" t="str">
            <v>A4-S1</v>
          </cell>
          <cell r="G1223" t="str">
            <v>Front Bottom Rail  - Đố đáy trước</v>
          </cell>
          <cell r="H1223" t="str">
            <v>Wood Rubber Laminate Board - 20 x 1220 x 2440mm, Veneer Poplar both Faces</v>
          </cell>
          <cell r="I1223">
            <v>11</v>
          </cell>
        </row>
        <row r="1224">
          <cell r="A1224" t="str">
            <v>B557787/A</v>
          </cell>
          <cell r="B1224" t="str">
            <v>CZ051M191</v>
          </cell>
          <cell r="C1224">
            <v>11</v>
          </cell>
          <cell r="D1224">
            <v>327.73</v>
          </cell>
          <cell r="E1224">
            <v>3605.03</v>
          </cell>
          <cell r="F1224" t="str">
            <v>A4-S2</v>
          </cell>
          <cell r="G1224" t="str">
            <v>Front Bottom Rail  - Đố đáy trước</v>
          </cell>
          <cell r="H1224" t="str">
            <v>Wood Rubber Laminate Board - 20 x 1220 x 2440mm, Veneer Poplar both Faces</v>
          </cell>
          <cell r="I1224">
            <v>11</v>
          </cell>
        </row>
        <row r="1225">
          <cell r="A1225" t="str">
            <v>B557787/A</v>
          </cell>
          <cell r="B1225" t="str">
            <v>CZ051M191</v>
          </cell>
          <cell r="C1225">
            <v>11</v>
          </cell>
          <cell r="D1225">
            <v>327.73</v>
          </cell>
          <cell r="E1225">
            <v>3605.03</v>
          </cell>
          <cell r="F1225" t="str">
            <v>A4-S4</v>
          </cell>
          <cell r="G1225" t="str">
            <v>Dust board Panel  - Ván quét bụi</v>
          </cell>
          <cell r="H1225" t="str">
            <v>MDF - 06 x 1830 x 2440mm [CARB P2 Compliant]</v>
          </cell>
          <cell r="I1225">
            <v>11</v>
          </cell>
        </row>
        <row r="1226">
          <cell r="A1226" t="str">
            <v>B557787/A</v>
          </cell>
          <cell r="B1226" t="str">
            <v>CZ051M191</v>
          </cell>
          <cell r="C1226">
            <v>11</v>
          </cell>
          <cell r="D1226">
            <v>327.73</v>
          </cell>
          <cell r="E1226">
            <v>3605.03</v>
          </cell>
          <cell r="F1226" t="str">
            <v>A4-S5</v>
          </cell>
          <cell r="G1226" t="str">
            <v>Center rail - Đố giữa</v>
          </cell>
          <cell r="H1226" t="str">
            <v>MDF OFF CUT</v>
          </cell>
          <cell r="I1226">
            <v>11</v>
          </cell>
        </row>
        <row r="1227">
          <cell r="A1227" t="str">
            <v>B557787/A</v>
          </cell>
          <cell r="B1227" t="str">
            <v>CZ051M191</v>
          </cell>
          <cell r="C1227">
            <v>11</v>
          </cell>
          <cell r="D1227">
            <v>327.73</v>
          </cell>
          <cell r="E1227">
            <v>3605.03</v>
          </cell>
          <cell r="F1227" t="str">
            <v>A6-S1</v>
          </cell>
          <cell r="G1227" t="str">
            <v xml:space="preserve">Drawer front - Mặt hộc kéo </v>
          </cell>
          <cell r="H1227" t="str">
            <v>MDF Veneer</v>
          </cell>
          <cell r="I1227">
            <v>22</v>
          </cell>
        </row>
        <row r="1228">
          <cell r="A1228" t="str">
            <v>B557787/A</v>
          </cell>
          <cell r="B1228" t="str">
            <v>CZ051M191</v>
          </cell>
          <cell r="C1228">
            <v>11</v>
          </cell>
          <cell r="D1228">
            <v>327.73</v>
          </cell>
          <cell r="E1228">
            <v>3605.03</v>
          </cell>
          <cell r="F1228" t="str">
            <v>A6-S2</v>
          </cell>
          <cell r="G1228" t="str">
            <v>Drawer side - Hông hộc kéo</v>
          </cell>
          <cell r="H1228" t="str">
            <v>MDF-N - 12 x 1220 x 2440mm, Veneer Okoume 0.3mm Both Faces [CARB P2 Compliant]</v>
          </cell>
          <cell r="I1228">
            <v>44</v>
          </cell>
        </row>
        <row r="1229">
          <cell r="A1229" t="str">
            <v>B557787/A</v>
          </cell>
          <cell r="B1229" t="str">
            <v>CZ051M191</v>
          </cell>
          <cell r="C1229">
            <v>11</v>
          </cell>
          <cell r="D1229">
            <v>327.73</v>
          </cell>
          <cell r="E1229">
            <v>3605.03</v>
          </cell>
          <cell r="F1229" t="str">
            <v>A6-S3</v>
          </cell>
          <cell r="G1229" t="str">
            <v>Drawer back - Hậu hộc kéo</v>
          </cell>
          <cell r="H1229" t="str">
            <v>MDF - 12 x 1220 x 2440mm, Veneer Okoume 0.3mm Both Faces [CARB P2 Compliant]</v>
          </cell>
          <cell r="I1229">
            <v>22</v>
          </cell>
        </row>
        <row r="1230">
          <cell r="A1230" t="str">
            <v>B557787/A</v>
          </cell>
          <cell r="B1230" t="str">
            <v>CZ051M191</v>
          </cell>
          <cell r="C1230">
            <v>11</v>
          </cell>
          <cell r="D1230">
            <v>327.73</v>
          </cell>
          <cell r="E1230">
            <v>3605.03</v>
          </cell>
          <cell r="F1230" t="str">
            <v>A6-S4</v>
          </cell>
          <cell r="G1230" t="str">
            <v>Drawer bottom  - Đáy hộc kéo</v>
          </cell>
          <cell r="H1230" t="str">
            <v>MDF - 06 x 1220 x 2440mm, Veneer Okoume 0.3mm Both Faces [CARB P2 Compliant]</v>
          </cell>
          <cell r="I1230">
            <v>22</v>
          </cell>
        </row>
        <row r="1231">
          <cell r="A1231" t="str">
            <v>B557787/A</v>
          </cell>
          <cell r="B1231" t="str">
            <v>CZ051M191</v>
          </cell>
          <cell r="C1231">
            <v>11</v>
          </cell>
          <cell r="D1231">
            <v>327.73</v>
          </cell>
          <cell r="E1231">
            <v>3605.03</v>
          </cell>
          <cell r="F1231" t="str">
            <v>A6-S5</v>
          </cell>
          <cell r="G1231" t="str">
            <v>Center rail - Đố giữa</v>
          </cell>
          <cell r="H1231" t="str">
            <v>Wood US Poplar - Straight Edged, 2 COM - T38mm x W100mm Up x L1.8m Up</v>
          </cell>
          <cell r="I1231">
            <v>22</v>
          </cell>
        </row>
        <row r="1232">
          <cell r="A1232" t="str">
            <v>B557787/A</v>
          </cell>
          <cell r="B1232" t="str">
            <v>CZ051M191</v>
          </cell>
          <cell r="C1232">
            <v>11</v>
          </cell>
          <cell r="D1232">
            <v>327.73</v>
          </cell>
          <cell r="E1232">
            <v>3605.03</v>
          </cell>
          <cell r="F1232" t="str">
            <v>P01</v>
          </cell>
          <cell r="G1232" t="str">
            <v>Front top rail  - Đố tiền nóc</v>
          </cell>
          <cell r="H1232" t="str">
            <v>Wood Rubber Laminate Board - 20 x 1220 x 2440mm, Veneer Poplar both Faces</v>
          </cell>
          <cell r="I1232">
            <v>11</v>
          </cell>
        </row>
        <row r="1233">
          <cell r="A1233" t="str">
            <v>B557787/A</v>
          </cell>
          <cell r="B1233" t="str">
            <v>CZ051M191</v>
          </cell>
          <cell r="C1233">
            <v>11</v>
          </cell>
          <cell r="D1233">
            <v>327.73</v>
          </cell>
          <cell r="E1233">
            <v>3605.03</v>
          </cell>
          <cell r="F1233" t="str">
            <v>P02</v>
          </cell>
          <cell r="G1233" t="str">
            <v>Back rail with note finger - đố hậu</v>
          </cell>
          <cell r="H1233" t="str">
            <v>Wood Rubber Laminate Board - 20 x 1220 x 2440mm, Veneer Poplar both Faces</v>
          </cell>
          <cell r="I1233">
            <v>11</v>
          </cell>
        </row>
        <row r="1234">
          <cell r="A1234" t="str">
            <v>B557787/A</v>
          </cell>
          <cell r="B1234" t="str">
            <v>CZ051M191</v>
          </cell>
          <cell r="C1234">
            <v>11</v>
          </cell>
          <cell r="D1234">
            <v>327.73</v>
          </cell>
          <cell r="E1234">
            <v>3605.03</v>
          </cell>
          <cell r="F1234" t="str">
            <v>P03</v>
          </cell>
          <cell r="G1234" t="str">
            <v xml:space="preserve">Top panel  - Ván nóc </v>
          </cell>
          <cell r="H1234" t="str">
            <v>MDF - 15 x 1830 x 2440mm [CARB P2 Compliant]</v>
          </cell>
          <cell r="I1234">
            <v>11</v>
          </cell>
        </row>
        <row r="1235">
          <cell r="A1235" t="str">
            <v>B557787/A</v>
          </cell>
          <cell r="B1235" t="str">
            <v>CZ051M191</v>
          </cell>
          <cell r="C1235">
            <v>11</v>
          </cell>
          <cell r="D1235">
            <v>327.73</v>
          </cell>
          <cell r="E1235">
            <v>3605.03</v>
          </cell>
          <cell r="F1235" t="str">
            <v>P05-1</v>
          </cell>
          <cell r="G1235" t="str">
            <v>side rail inside with note finger - Đố trong ghép finger</v>
          </cell>
          <cell r="H1235" t="str">
            <v>Wood Rubber Laminate Board - 20 x 1220 x 2440mm, Veneer Poplar both Faces</v>
          </cell>
          <cell r="I1235">
            <v>22</v>
          </cell>
        </row>
        <row r="1236">
          <cell r="A1236" t="str">
            <v>B557787/A</v>
          </cell>
          <cell r="B1236" t="str">
            <v>CZ051M191</v>
          </cell>
          <cell r="C1236">
            <v>11</v>
          </cell>
          <cell r="D1236">
            <v>327.73</v>
          </cell>
          <cell r="E1236">
            <v>3605.03</v>
          </cell>
          <cell r="F1236" t="str">
            <v>P08</v>
          </cell>
          <cell r="G1236" t="str">
            <v>Spline - Lưỡi gà</v>
          </cell>
          <cell r="H1236" t="str">
            <v>wood off cut</v>
          </cell>
          <cell r="I1236">
            <v>22</v>
          </cell>
        </row>
        <row r="1237">
          <cell r="A1237" t="str">
            <v>B557787/A</v>
          </cell>
          <cell r="B1237" t="str">
            <v>CZ051M191</v>
          </cell>
          <cell r="C1237">
            <v>11</v>
          </cell>
          <cell r="D1237">
            <v>327.73</v>
          </cell>
          <cell r="E1237">
            <v>3605.03</v>
          </cell>
          <cell r="F1237" t="str">
            <v>P09</v>
          </cell>
          <cell r="G1237" t="str">
            <v>Spline - Lưỡi gà</v>
          </cell>
          <cell r="H1237" t="str">
            <v>wood off cut</v>
          </cell>
          <cell r="I1237">
            <v>11</v>
          </cell>
        </row>
        <row r="1238">
          <cell r="A1238" t="str">
            <v>B557787/A</v>
          </cell>
          <cell r="B1238" t="str">
            <v>CZ051M191</v>
          </cell>
          <cell r="C1238">
            <v>11</v>
          </cell>
          <cell r="D1238">
            <v>327.73</v>
          </cell>
          <cell r="E1238">
            <v>3605.03</v>
          </cell>
          <cell r="F1238" t="str">
            <v>P10</v>
          </cell>
          <cell r="G1238" t="str">
            <v>Back panel - Ván hậu</v>
          </cell>
          <cell r="H1238" t="str">
            <v>MDF Veneer</v>
          </cell>
          <cell r="I1238">
            <v>11</v>
          </cell>
        </row>
        <row r="1239">
          <cell r="A1239" t="str">
            <v>B557787/A</v>
          </cell>
          <cell r="B1239" t="str">
            <v>CZ051M191</v>
          </cell>
          <cell r="C1239">
            <v>11</v>
          </cell>
          <cell r="D1239">
            <v>327.73</v>
          </cell>
          <cell r="E1239">
            <v>3605.03</v>
          </cell>
          <cell r="F1239" t="str">
            <v>P12</v>
          </cell>
          <cell r="G1239" t="str">
            <v>Corner block - ke góc</v>
          </cell>
          <cell r="H1239" t="str">
            <v>Poplar off cut</v>
          </cell>
          <cell r="I1239">
            <v>22</v>
          </cell>
        </row>
        <row r="1240">
          <cell r="A1240" t="str">
            <v>B557787/A</v>
          </cell>
          <cell r="B1240" t="str">
            <v>CZ051M191</v>
          </cell>
          <cell r="C1240">
            <v>11</v>
          </cell>
          <cell r="D1240">
            <v>327.73</v>
          </cell>
          <cell r="E1240">
            <v>3605.03</v>
          </cell>
          <cell r="F1240" t="str">
            <v>P13</v>
          </cell>
          <cell r="G1240" t="str">
            <v>Cleat - Bọ gỗ</v>
          </cell>
          <cell r="H1240" t="str">
            <v>Wood Rubber Laminate Board - 20 x 1220 x 2440mm, Veneer Poplar both Faces</v>
          </cell>
          <cell r="I1240">
            <v>22</v>
          </cell>
        </row>
        <row r="1241">
          <cell r="A1241" t="str">
            <v>B557787/A</v>
          </cell>
          <cell r="B1241" t="str">
            <v>CZ051M191</v>
          </cell>
          <cell r="C1241">
            <v>11</v>
          </cell>
          <cell r="D1241">
            <v>327.73</v>
          </cell>
          <cell r="E1241">
            <v>3605.03</v>
          </cell>
          <cell r="F1241" t="str">
            <v>P15</v>
          </cell>
          <cell r="G1241" t="str">
            <v>Front rail  - Đố tiền</v>
          </cell>
          <cell r="H1241" t="str">
            <v>Wood Rubber Laminate Board - 20 x 1220 x 2440mm, Veneer Poplar both Faces</v>
          </cell>
          <cell r="I1241">
            <v>11</v>
          </cell>
        </row>
        <row r="1242">
          <cell r="A1242" t="str">
            <v>B557787/A</v>
          </cell>
          <cell r="B1242" t="str">
            <v>CZ051M191</v>
          </cell>
          <cell r="C1242">
            <v>11</v>
          </cell>
          <cell r="D1242">
            <v>327.73</v>
          </cell>
          <cell r="E1242">
            <v>3605.03</v>
          </cell>
          <cell r="F1242" t="str">
            <v>P16</v>
          </cell>
          <cell r="G1242" t="str">
            <v>Drawer stop - Dừng hộc</v>
          </cell>
          <cell r="H1242" t="str">
            <v>Poplar off cut</v>
          </cell>
          <cell r="I1242">
            <v>44</v>
          </cell>
        </row>
        <row r="1243">
          <cell r="A1243" t="str">
            <v>B557894/A</v>
          </cell>
          <cell r="B1243" t="str">
            <v>CZ052M09</v>
          </cell>
          <cell r="C1243">
            <v>1</v>
          </cell>
          <cell r="D1243">
            <v>374.21</v>
          </cell>
          <cell r="E1243">
            <v>374.21</v>
          </cell>
          <cell r="F1243" t="str">
            <v>A1-S1</v>
          </cell>
          <cell r="G1243" t="str">
            <v>Front Vertical rail  - Trụ tiền</v>
          </cell>
          <cell r="H1243" t="str">
            <v>Pre-Assembly</v>
          </cell>
          <cell r="I1243">
            <v>2</v>
          </cell>
        </row>
        <row r="1244">
          <cell r="A1244" t="str">
            <v>B557894/A</v>
          </cell>
          <cell r="B1244" t="str">
            <v>CZ052M09</v>
          </cell>
          <cell r="C1244">
            <v>1</v>
          </cell>
          <cell r="D1244">
            <v>374.21</v>
          </cell>
          <cell r="E1244">
            <v>374.21</v>
          </cell>
          <cell r="F1244" t="str">
            <v>A1-S1-1</v>
          </cell>
          <cell r="G1244" t="str">
            <v>Patching wood - Gỗ đắp</v>
          </cell>
          <cell r="H1244" t="str">
            <v>Wood US Poplar - Straight Edged, 2 COM - T25mm x W100mm Up x L1.8m Up</v>
          </cell>
          <cell r="I1244">
            <v>2</v>
          </cell>
        </row>
        <row r="1245">
          <cell r="A1245" t="str">
            <v>B557894/A</v>
          </cell>
          <cell r="B1245" t="str">
            <v>CZ052M09</v>
          </cell>
          <cell r="C1245">
            <v>1</v>
          </cell>
          <cell r="D1245">
            <v>374.21</v>
          </cell>
          <cell r="E1245">
            <v>374.21</v>
          </cell>
          <cell r="F1245" t="str">
            <v>A1-S1-2</v>
          </cell>
          <cell r="G1245" t="str">
            <v>Wood laminater - Gỗ ghép 1</v>
          </cell>
          <cell r="H1245" t="str">
            <v>TRAM OFF CUT</v>
          </cell>
          <cell r="I1245">
            <v>2</v>
          </cell>
        </row>
        <row r="1246">
          <cell r="A1246" t="str">
            <v>B557894/A</v>
          </cell>
          <cell r="B1246" t="str">
            <v>CZ052M09</v>
          </cell>
          <cell r="C1246">
            <v>1</v>
          </cell>
          <cell r="D1246">
            <v>374.21</v>
          </cell>
          <cell r="E1246">
            <v>374.21</v>
          </cell>
          <cell r="F1246" t="str">
            <v>A1-S2</v>
          </cell>
          <cell r="G1246" t="str">
            <v>Back leg - Chân hậu</v>
          </cell>
          <cell r="H1246" t="str">
            <v>Beech 2 COM</v>
          </cell>
          <cell r="I1246">
            <v>2</v>
          </cell>
        </row>
        <row r="1247">
          <cell r="A1247" t="str">
            <v>B557894/A</v>
          </cell>
          <cell r="B1247" t="str">
            <v>CZ052M09</v>
          </cell>
          <cell r="C1247">
            <v>1</v>
          </cell>
          <cell r="D1247">
            <v>374.21</v>
          </cell>
          <cell r="E1247">
            <v>374.21</v>
          </cell>
          <cell r="F1247" t="str">
            <v>A1-S3</v>
          </cell>
          <cell r="G1247" t="str">
            <v xml:space="preserve">Side panel  - Ván hông </v>
          </cell>
          <cell r="H1247" t="str">
            <v>MDF - 15 x 1830 x 2440mm [CARB P2 Compliant]</v>
          </cell>
          <cell r="I1247">
            <v>2</v>
          </cell>
        </row>
        <row r="1248">
          <cell r="A1248" t="str">
            <v>B557894/A</v>
          </cell>
          <cell r="B1248" t="str">
            <v>CZ052M09</v>
          </cell>
          <cell r="C1248">
            <v>1</v>
          </cell>
          <cell r="D1248">
            <v>374.21</v>
          </cell>
          <cell r="E1248">
            <v>374.21</v>
          </cell>
          <cell r="F1248" t="str">
            <v>A1-S4</v>
          </cell>
          <cell r="G1248" t="str">
            <v>side rail inside with note finger - Đố trong ghép finger</v>
          </cell>
          <cell r="H1248" t="str">
            <v>Pre-Assembly</v>
          </cell>
          <cell r="I1248">
            <v>4</v>
          </cell>
        </row>
        <row r="1249">
          <cell r="A1249" t="str">
            <v>B557894/A</v>
          </cell>
          <cell r="B1249" t="str">
            <v>CZ052M09</v>
          </cell>
          <cell r="C1249">
            <v>1</v>
          </cell>
          <cell r="D1249">
            <v>374.21</v>
          </cell>
          <cell r="E1249">
            <v>374.21</v>
          </cell>
          <cell r="F1249" t="str">
            <v>A1-S4-1</v>
          </cell>
          <cell r="G1249" t="str">
            <v xml:space="preserve">Side rail  - Đố hông </v>
          </cell>
          <cell r="H1249" t="str">
            <v>Wood US Poplar - Straight Edged, 2 COM - T25mm x W100mm Up x L1.8m Up</v>
          </cell>
          <cell r="I1249">
            <v>4</v>
          </cell>
        </row>
        <row r="1250">
          <cell r="A1250" t="str">
            <v>B557894/A</v>
          </cell>
          <cell r="B1250" t="str">
            <v>CZ052M09</v>
          </cell>
          <cell r="C1250">
            <v>1</v>
          </cell>
          <cell r="D1250">
            <v>374.21</v>
          </cell>
          <cell r="E1250">
            <v>374.21</v>
          </cell>
          <cell r="F1250" t="str">
            <v>A1-S4-2</v>
          </cell>
          <cell r="G1250" t="str">
            <v>Patching wood - Gỗ đắp</v>
          </cell>
          <cell r="H1250" t="str">
            <v>wood off cut</v>
          </cell>
          <cell r="I1250">
            <v>8</v>
          </cell>
        </row>
        <row r="1251">
          <cell r="A1251" t="str">
            <v>B557894/A</v>
          </cell>
          <cell r="B1251" t="str">
            <v>CZ052M09</v>
          </cell>
          <cell r="C1251">
            <v>1</v>
          </cell>
          <cell r="D1251">
            <v>374.21</v>
          </cell>
          <cell r="E1251">
            <v>374.21</v>
          </cell>
          <cell r="F1251" t="str">
            <v>A4-S1</v>
          </cell>
          <cell r="G1251" t="str">
            <v>Back bottom rail - Đố hậu đáy</v>
          </cell>
          <cell r="H1251" t="str">
            <v>Wood Rubber Laminate Board - 20 x 1220 x 2440mm, Veneer Poplar both Faces</v>
          </cell>
          <cell r="I1251">
            <v>1</v>
          </cell>
        </row>
        <row r="1252">
          <cell r="A1252" t="str">
            <v>B557894/A</v>
          </cell>
          <cell r="B1252" t="str">
            <v>CZ052M09</v>
          </cell>
          <cell r="C1252">
            <v>1</v>
          </cell>
          <cell r="D1252">
            <v>374.21</v>
          </cell>
          <cell r="E1252">
            <v>374.21</v>
          </cell>
          <cell r="F1252" t="str">
            <v>A4-S1-1</v>
          </cell>
          <cell r="G1252" t="str">
            <v>Front Bottom Rail  - Đố đáy trước</v>
          </cell>
          <cell r="H1252" t="str">
            <v>Wood Rubber Laminate Board - 20 x 1220 x 2440mm, Veneer Poplar both Faces</v>
          </cell>
          <cell r="I1252">
            <v>1</v>
          </cell>
        </row>
        <row r="1253">
          <cell r="A1253" t="str">
            <v>B557894/A</v>
          </cell>
          <cell r="B1253" t="str">
            <v>CZ052M09</v>
          </cell>
          <cell r="C1253">
            <v>1</v>
          </cell>
          <cell r="D1253">
            <v>374.21</v>
          </cell>
          <cell r="E1253">
            <v>374.21</v>
          </cell>
          <cell r="F1253" t="str">
            <v>A4-S3</v>
          </cell>
          <cell r="G1253" t="str">
            <v>center rail with note - đố giữa</v>
          </cell>
          <cell r="H1253" t="str">
            <v>Wood Rubber Laminate Board - 20 x 1220 x 2440mm, Veneer Poplar both Faces</v>
          </cell>
          <cell r="I1253">
            <v>1</v>
          </cell>
        </row>
        <row r="1254">
          <cell r="A1254" t="str">
            <v>B557894/A</v>
          </cell>
          <cell r="B1254" t="str">
            <v>CZ052M09</v>
          </cell>
          <cell r="C1254">
            <v>1</v>
          </cell>
          <cell r="D1254">
            <v>374.21</v>
          </cell>
          <cell r="E1254">
            <v>374.21</v>
          </cell>
          <cell r="F1254" t="str">
            <v>A4-S4</v>
          </cell>
          <cell r="G1254" t="str">
            <v>Dust board Panel  - Ván quét bụi</v>
          </cell>
          <cell r="H1254" t="str">
            <v>MDF - 06 x 1830 x 2440mm [CARB P2 Compliant]</v>
          </cell>
          <cell r="I1254">
            <v>1</v>
          </cell>
        </row>
        <row r="1255">
          <cell r="A1255" t="str">
            <v>B557894/A</v>
          </cell>
          <cell r="B1255" t="str">
            <v>CZ052M09</v>
          </cell>
          <cell r="C1255">
            <v>1</v>
          </cell>
          <cell r="D1255">
            <v>374.21</v>
          </cell>
          <cell r="E1255">
            <v>374.21</v>
          </cell>
          <cell r="F1255" t="str">
            <v>A6-S1</v>
          </cell>
          <cell r="G1255" t="str">
            <v xml:space="preserve">Drawer front - Mặt hộc kéo </v>
          </cell>
          <cell r="H1255" t="str">
            <v>MDF Veneer</v>
          </cell>
          <cell r="I1255">
            <v>2</v>
          </cell>
        </row>
        <row r="1256">
          <cell r="A1256" t="str">
            <v>B557894/A</v>
          </cell>
          <cell r="B1256" t="str">
            <v>CZ052M09</v>
          </cell>
          <cell r="C1256">
            <v>1</v>
          </cell>
          <cell r="D1256">
            <v>374.21</v>
          </cell>
          <cell r="E1256">
            <v>374.21</v>
          </cell>
          <cell r="F1256" t="str">
            <v>A6-S2</v>
          </cell>
          <cell r="G1256" t="str">
            <v>Drawer side - Hông hộc kéo</v>
          </cell>
          <cell r="H1256" t="str">
            <v>MDF-N - 12 x 1220 x 2440mm, Veneer Okoume 0.3mm Both Faces [CARB P2 Compliant]</v>
          </cell>
          <cell r="I1256">
            <v>4</v>
          </cell>
        </row>
        <row r="1257">
          <cell r="A1257" t="str">
            <v>B557894/A</v>
          </cell>
          <cell r="B1257" t="str">
            <v>CZ052M09</v>
          </cell>
          <cell r="C1257">
            <v>1</v>
          </cell>
          <cell r="D1257">
            <v>374.21</v>
          </cell>
          <cell r="E1257">
            <v>374.21</v>
          </cell>
          <cell r="F1257" t="str">
            <v>A6-S3</v>
          </cell>
          <cell r="G1257" t="str">
            <v>Drawer back - Hậu hộc kéo</v>
          </cell>
          <cell r="H1257" t="str">
            <v>MDF - 12 x 1220 x 2440mm, Veneer Okoume 0.3mm Both Faces [CARB P2 Compliant]</v>
          </cell>
          <cell r="I1257">
            <v>2</v>
          </cell>
        </row>
        <row r="1258">
          <cell r="A1258" t="str">
            <v>B557894/A</v>
          </cell>
          <cell r="B1258" t="str">
            <v>CZ052M09</v>
          </cell>
          <cell r="C1258">
            <v>1</v>
          </cell>
          <cell r="D1258">
            <v>374.21</v>
          </cell>
          <cell r="E1258">
            <v>374.21</v>
          </cell>
          <cell r="F1258" t="str">
            <v>A6-S4</v>
          </cell>
          <cell r="G1258" t="str">
            <v>Drawer bottom  - Đáy hộc kéo</v>
          </cell>
          <cell r="H1258" t="str">
            <v>MDF - 06 x 1220 x 2440mm, Veneer Okoume 0.3mm Both Faces [CARB P2 Compliant]</v>
          </cell>
          <cell r="I1258">
            <v>2</v>
          </cell>
        </row>
        <row r="1259">
          <cell r="A1259" t="str">
            <v>B557894/A</v>
          </cell>
          <cell r="B1259" t="str">
            <v>CZ052M09</v>
          </cell>
          <cell r="C1259">
            <v>1</v>
          </cell>
          <cell r="D1259">
            <v>374.21</v>
          </cell>
          <cell r="E1259">
            <v>374.21</v>
          </cell>
          <cell r="F1259" t="str">
            <v>A6-S5</v>
          </cell>
          <cell r="G1259" t="str">
            <v>Center rail - Đố giữa</v>
          </cell>
          <cell r="H1259" t="str">
            <v>Wood US Poplar - Straight Edged, 2 COM - T38mm x W100mm Up x L1.8m Up</v>
          </cell>
          <cell r="I1259">
            <v>2</v>
          </cell>
        </row>
        <row r="1260">
          <cell r="A1260" t="str">
            <v>B557894/A</v>
          </cell>
          <cell r="B1260" t="str">
            <v>CZ052M09</v>
          </cell>
          <cell r="C1260">
            <v>1</v>
          </cell>
          <cell r="D1260">
            <v>374.21</v>
          </cell>
          <cell r="E1260">
            <v>374.21</v>
          </cell>
          <cell r="F1260" t="str">
            <v>P01</v>
          </cell>
          <cell r="G1260" t="str">
            <v>Front top rail  - Đố tiền nóc</v>
          </cell>
          <cell r="H1260" t="str">
            <v>Wood Rubber Laminate Board - 20 x 1220 x 2440mm, Veneer Poplar both Faces</v>
          </cell>
          <cell r="I1260">
            <v>1</v>
          </cell>
        </row>
        <row r="1261">
          <cell r="A1261" t="str">
            <v>B557894/A</v>
          </cell>
          <cell r="B1261" t="str">
            <v>CZ052M09</v>
          </cell>
          <cell r="C1261">
            <v>1</v>
          </cell>
          <cell r="D1261">
            <v>374.21</v>
          </cell>
          <cell r="E1261">
            <v>374.21</v>
          </cell>
          <cell r="F1261" t="str">
            <v>P02</v>
          </cell>
          <cell r="G1261" t="str">
            <v>Back rail with note finger - đố hậu</v>
          </cell>
          <cell r="H1261" t="str">
            <v>Wood Rubber Laminate Board - 20 x 1220 x 2440mm, Veneer Poplar both Faces</v>
          </cell>
          <cell r="I1261">
            <v>1</v>
          </cell>
        </row>
        <row r="1262">
          <cell r="A1262" t="str">
            <v>B557894/A</v>
          </cell>
          <cell r="B1262" t="str">
            <v>CZ052M09</v>
          </cell>
          <cell r="C1262">
            <v>1</v>
          </cell>
          <cell r="D1262">
            <v>374.21</v>
          </cell>
          <cell r="E1262">
            <v>374.21</v>
          </cell>
          <cell r="F1262" t="str">
            <v>P03</v>
          </cell>
          <cell r="G1262" t="str">
            <v xml:space="preserve">Top panel  - Ván nóc </v>
          </cell>
          <cell r="H1262" t="str">
            <v>MDF - 15 x 1830 x 2440mm [CARB P2 Compliant]</v>
          </cell>
          <cell r="I1262">
            <v>1</v>
          </cell>
        </row>
        <row r="1263">
          <cell r="A1263" t="str">
            <v>B557894/A</v>
          </cell>
          <cell r="B1263" t="str">
            <v>CZ052M09</v>
          </cell>
          <cell r="C1263">
            <v>1</v>
          </cell>
          <cell r="D1263">
            <v>374.21</v>
          </cell>
          <cell r="E1263">
            <v>374.21</v>
          </cell>
          <cell r="F1263" t="str">
            <v>P05</v>
          </cell>
          <cell r="G1263" t="str">
            <v>side rail inside with note finger - Đố trong ghép finger</v>
          </cell>
          <cell r="H1263" t="str">
            <v>Wood Rubber Laminate Board - 20 x 1220 x 2440mm, Veneer Poplar both Faces</v>
          </cell>
          <cell r="I1263">
            <v>2</v>
          </cell>
        </row>
        <row r="1264">
          <cell r="A1264" t="str">
            <v>B557894/A</v>
          </cell>
          <cell r="B1264" t="str">
            <v>CZ052M09</v>
          </cell>
          <cell r="C1264">
            <v>1</v>
          </cell>
          <cell r="D1264">
            <v>374.21</v>
          </cell>
          <cell r="E1264">
            <v>374.21</v>
          </cell>
          <cell r="F1264" t="str">
            <v>P10</v>
          </cell>
          <cell r="G1264" t="str">
            <v>Back panel - Ván hậu</v>
          </cell>
          <cell r="H1264" t="str">
            <v>MDF Veneer</v>
          </cell>
          <cell r="I1264">
            <v>1</v>
          </cell>
        </row>
        <row r="1265">
          <cell r="A1265" t="str">
            <v>B557894/A</v>
          </cell>
          <cell r="B1265" t="str">
            <v>CZ052M09</v>
          </cell>
          <cell r="C1265">
            <v>1</v>
          </cell>
          <cell r="D1265">
            <v>374.21</v>
          </cell>
          <cell r="E1265">
            <v>374.21</v>
          </cell>
          <cell r="F1265" t="str">
            <v>P12</v>
          </cell>
          <cell r="G1265" t="str">
            <v>Corner block - ke góc</v>
          </cell>
          <cell r="H1265" t="str">
            <v>Poplar off cut</v>
          </cell>
          <cell r="I1265">
            <v>2</v>
          </cell>
        </row>
        <row r="1266">
          <cell r="A1266" t="str">
            <v>B557894/A</v>
          </cell>
          <cell r="B1266" t="str">
            <v>CZ052M09</v>
          </cell>
          <cell r="C1266">
            <v>1</v>
          </cell>
          <cell r="D1266">
            <v>374.21</v>
          </cell>
          <cell r="E1266">
            <v>374.21</v>
          </cell>
          <cell r="F1266" t="str">
            <v>P13</v>
          </cell>
          <cell r="G1266" t="str">
            <v>Spline - Lưỡi gà</v>
          </cell>
          <cell r="H1266" t="str">
            <v>wood off cut</v>
          </cell>
          <cell r="I1266">
            <v>2</v>
          </cell>
        </row>
        <row r="1267">
          <cell r="A1267" t="str">
            <v>B557894/A</v>
          </cell>
          <cell r="B1267" t="str">
            <v>CZ052M09</v>
          </cell>
          <cell r="C1267">
            <v>1</v>
          </cell>
          <cell r="D1267">
            <v>374.21</v>
          </cell>
          <cell r="E1267">
            <v>374.21</v>
          </cell>
          <cell r="F1267" t="str">
            <v>P14</v>
          </cell>
          <cell r="G1267" t="str">
            <v>Spline - Lưỡi gà</v>
          </cell>
          <cell r="H1267" t="str">
            <v>wood off cut</v>
          </cell>
          <cell r="I1267">
            <v>1</v>
          </cell>
        </row>
        <row r="1268">
          <cell r="A1268" t="str">
            <v>B557894/A</v>
          </cell>
          <cell r="B1268" t="str">
            <v>CZ052M09</v>
          </cell>
          <cell r="C1268">
            <v>1</v>
          </cell>
          <cell r="D1268">
            <v>374.21</v>
          </cell>
          <cell r="E1268">
            <v>374.21</v>
          </cell>
          <cell r="F1268" t="str">
            <v>P15</v>
          </cell>
          <cell r="G1268" t="str">
            <v>Cleat - Bọ gỗ</v>
          </cell>
          <cell r="H1268" t="str">
            <v>Wood Rubber Laminate Board - 20 x 1220 x 2440mm, Veneer Poplar both Faces</v>
          </cell>
          <cell r="I1268">
            <v>2</v>
          </cell>
        </row>
        <row r="1269">
          <cell r="A1269" t="str">
            <v>B557894/A</v>
          </cell>
          <cell r="B1269" t="str">
            <v>CZ052M09</v>
          </cell>
          <cell r="C1269">
            <v>1</v>
          </cell>
          <cell r="D1269">
            <v>374.21</v>
          </cell>
          <cell r="E1269">
            <v>374.21</v>
          </cell>
          <cell r="F1269" t="str">
            <v>P17</v>
          </cell>
          <cell r="G1269" t="str">
            <v>Front rail  - Đố tiền</v>
          </cell>
          <cell r="H1269" t="str">
            <v>Wood Rubber Laminate Board - 20 x 1220 x 2440mm, Veneer Poplar both Faces</v>
          </cell>
          <cell r="I1269">
            <v>1</v>
          </cell>
        </row>
        <row r="1270">
          <cell r="A1270" t="str">
            <v>B557894/A</v>
          </cell>
          <cell r="B1270" t="str">
            <v>CZ052M09</v>
          </cell>
          <cell r="C1270">
            <v>1</v>
          </cell>
          <cell r="D1270">
            <v>374.21</v>
          </cell>
          <cell r="E1270">
            <v>374.21</v>
          </cell>
          <cell r="F1270" t="str">
            <v>P18</v>
          </cell>
          <cell r="G1270" t="str">
            <v>Drawer stop - Dừng hộc</v>
          </cell>
          <cell r="H1270" t="str">
            <v>Poplar off cut</v>
          </cell>
          <cell r="I1270">
            <v>4</v>
          </cell>
        </row>
        <row r="1271">
          <cell r="A1271" t="str">
            <v>B557896/A</v>
          </cell>
          <cell r="B1271" t="str">
            <v>CZ052M191</v>
          </cell>
          <cell r="C1271">
            <v>20</v>
          </cell>
          <cell r="D1271">
            <v>393.91</v>
          </cell>
          <cell r="E1271">
            <v>7878.2000000000007</v>
          </cell>
          <cell r="F1271" t="str">
            <v>A1-S1</v>
          </cell>
          <cell r="G1271" t="str">
            <v>Front Vertical rail  - Trụ tiền</v>
          </cell>
          <cell r="H1271" t="str">
            <v>Pre-Assembly</v>
          </cell>
          <cell r="I1271">
            <v>40</v>
          </cell>
        </row>
        <row r="1272">
          <cell r="A1272" t="str">
            <v>B557896/A</v>
          </cell>
          <cell r="B1272" t="str">
            <v>CZ052M191</v>
          </cell>
          <cell r="C1272">
            <v>20</v>
          </cell>
          <cell r="D1272">
            <v>393.91</v>
          </cell>
          <cell r="E1272">
            <v>7878.2000000000007</v>
          </cell>
          <cell r="F1272" t="str">
            <v>A1-S1-1</v>
          </cell>
          <cell r="G1272" t="str">
            <v>Patching wood - Gỗ đắp</v>
          </cell>
          <cell r="H1272" t="str">
            <v>Wood US Poplar - Straight Edged, 2 COM - T25mm x W100mm Up x L1.8m Up</v>
          </cell>
          <cell r="I1272">
            <v>40</v>
          </cell>
        </row>
        <row r="1273">
          <cell r="A1273" t="str">
            <v>B557896/A</v>
          </cell>
          <cell r="B1273" t="str">
            <v>CZ052M191</v>
          </cell>
          <cell r="C1273">
            <v>20</v>
          </cell>
          <cell r="D1273">
            <v>393.91</v>
          </cell>
          <cell r="E1273">
            <v>7878.2000000000007</v>
          </cell>
          <cell r="F1273" t="str">
            <v>A1-S1-2</v>
          </cell>
          <cell r="G1273" t="str">
            <v>Wood laminater - Gỗ ghép 1</v>
          </cell>
          <cell r="H1273" t="str">
            <v>TRAM OFF CUT</v>
          </cell>
          <cell r="I1273">
            <v>40</v>
          </cell>
        </row>
        <row r="1274">
          <cell r="A1274" t="str">
            <v>B557896/A</v>
          </cell>
          <cell r="B1274" t="str">
            <v>CZ052M191</v>
          </cell>
          <cell r="C1274">
            <v>20</v>
          </cell>
          <cell r="D1274">
            <v>393.91</v>
          </cell>
          <cell r="E1274">
            <v>7878.2000000000007</v>
          </cell>
          <cell r="F1274" t="str">
            <v>A1-S2</v>
          </cell>
          <cell r="G1274" t="str">
            <v>Back leg - Chân hậu</v>
          </cell>
          <cell r="H1274" t="str">
            <v>Beech 2 COM</v>
          </cell>
          <cell r="I1274">
            <v>40</v>
          </cell>
        </row>
        <row r="1275">
          <cell r="A1275" t="str">
            <v>B557896/A</v>
          </cell>
          <cell r="B1275" t="str">
            <v>CZ052M191</v>
          </cell>
          <cell r="C1275">
            <v>20</v>
          </cell>
          <cell r="D1275">
            <v>393.91</v>
          </cell>
          <cell r="E1275">
            <v>7878.2000000000007</v>
          </cell>
          <cell r="F1275" t="str">
            <v>A1-S3</v>
          </cell>
          <cell r="G1275" t="str">
            <v xml:space="preserve">Side panel  - Ván hông </v>
          </cell>
          <cell r="H1275" t="str">
            <v>MDF - 15 x 1830 x 2440mm [CARB P2 Compliant]</v>
          </cell>
          <cell r="I1275">
            <v>40</v>
          </cell>
        </row>
        <row r="1276">
          <cell r="A1276" t="str">
            <v>B557896/A</v>
          </cell>
          <cell r="B1276" t="str">
            <v>CZ052M191</v>
          </cell>
          <cell r="C1276">
            <v>20</v>
          </cell>
          <cell r="D1276">
            <v>393.91</v>
          </cell>
          <cell r="E1276">
            <v>7878.2000000000007</v>
          </cell>
          <cell r="F1276" t="str">
            <v>A1-S4</v>
          </cell>
          <cell r="G1276" t="str">
            <v>side rail inside with note finger - Đố trong ghép finger</v>
          </cell>
          <cell r="H1276" t="str">
            <v>Pre-Assembly</v>
          </cell>
          <cell r="I1276">
            <v>80</v>
          </cell>
        </row>
        <row r="1277">
          <cell r="A1277" t="str">
            <v>B557896/A</v>
          </cell>
          <cell r="B1277" t="str">
            <v>CZ052M191</v>
          </cell>
          <cell r="C1277">
            <v>20</v>
          </cell>
          <cell r="D1277">
            <v>393.91</v>
          </cell>
          <cell r="E1277">
            <v>7878.2000000000007</v>
          </cell>
          <cell r="F1277" t="str">
            <v>A1-S4-1</v>
          </cell>
          <cell r="G1277" t="str">
            <v xml:space="preserve">Side rail  - Đố hông </v>
          </cell>
          <cell r="H1277" t="str">
            <v>Wood US Poplar - Straight Edged, 2 COM - T25mm x W100mm Up x L1.8m Up</v>
          </cell>
          <cell r="I1277">
            <v>80</v>
          </cell>
        </row>
        <row r="1278">
          <cell r="A1278" t="str">
            <v>B557896/A</v>
          </cell>
          <cell r="B1278" t="str">
            <v>CZ052M191</v>
          </cell>
          <cell r="C1278">
            <v>20</v>
          </cell>
          <cell r="D1278">
            <v>393.91</v>
          </cell>
          <cell r="E1278">
            <v>7878.2000000000007</v>
          </cell>
          <cell r="F1278" t="str">
            <v>A1-S4-2</v>
          </cell>
          <cell r="G1278" t="str">
            <v>Patching wood - Gỗ đắp</v>
          </cell>
          <cell r="H1278" t="str">
            <v>wood off cut</v>
          </cell>
          <cell r="I1278">
            <v>160</v>
          </cell>
        </row>
        <row r="1279">
          <cell r="A1279" t="str">
            <v>B557896/A</v>
          </cell>
          <cell r="B1279" t="str">
            <v>CZ052M191</v>
          </cell>
          <cell r="C1279">
            <v>20</v>
          </cell>
          <cell r="D1279">
            <v>393.91</v>
          </cell>
          <cell r="E1279">
            <v>7878.2000000000007</v>
          </cell>
          <cell r="F1279" t="str">
            <v>A4-S1</v>
          </cell>
          <cell r="G1279" t="str">
            <v>Back bottom rail - Đố hậu đáy</v>
          </cell>
          <cell r="H1279" t="str">
            <v>Wood Rubber Laminate Board - 20 x 1220 x 2440mm, Veneer Poplar both Faces</v>
          </cell>
          <cell r="I1279">
            <v>20</v>
          </cell>
        </row>
        <row r="1280">
          <cell r="A1280" t="str">
            <v>B557896/A</v>
          </cell>
          <cell r="B1280" t="str">
            <v>CZ052M191</v>
          </cell>
          <cell r="C1280">
            <v>20</v>
          </cell>
          <cell r="D1280">
            <v>393.91</v>
          </cell>
          <cell r="E1280">
            <v>7878.2000000000007</v>
          </cell>
          <cell r="F1280" t="str">
            <v>A4-S1-1</v>
          </cell>
          <cell r="G1280" t="str">
            <v>Front Bottom Rail  - Đố đáy trước</v>
          </cell>
          <cell r="H1280" t="str">
            <v>Wood Rubber Laminate Board - 20 x 1220 x 2440mm, Veneer Poplar both Faces</v>
          </cell>
          <cell r="I1280">
            <v>20</v>
          </cell>
        </row>
        <row r="1281">
          <cell r="A1281" t="str">
            <v>B557896/A</v>
          </cell>
          <cell r="B1281" t="str">
            <v>CZ052M191</v>
          </cell>
          <cell r="C1281">
            <v>20</v>
          </cell>
          <cell r="D1281">
            <v>393.91</v>
          </cell>
          <cell r="E1281">
            <v>7878.2000000000007</v>
          </cell>
          <cell r="F1281" t="str">
            <v>A4-S3</v>
          </cell>
          <cell r="G1281" t="str">
            <v>center rail with note - đố giữa</v>
          </cell>
          <cell r="H1281" t="str">
            <v>Wood Rubber Laminate Board - 20 x 1220 x 2440mm, Veneer Poplar both Faces</v>
          </cell>
          <cell r="I1281">
            <v>20</v>
          </cell>
        </row>
        <row r="1282">
          <cell r="A1282" t="str">
            <v>B557896/A</v>
          </cell>
          <cell r="B1282" t="str">
            <v>CZ052M191</v>
          </cell>
          <cell r="C1282">
            <v>20</v>
          </cell>
          <cell r="D1282">
            <v>393.91</v>
          </cell>
          <cell r="E1282">
            <v>7878.2000000000007</v>
          </cell>
          <cell r="F1282" t="str">
            <v>A4-S4</v>
          </cell>
          <cell r="G1282" t="str">
            <v>Dust board Panel  - Ván quét bụi</v>
          </cell>
          <cell r="H1282" t="str">
            <v>MDF - 06 x 1830 x 2440mm [CARB P2 Compliant]</v>
          </cell>
          <cell r="I1282">
            <v>20</v>
          </cell>
        </row>
        <row r="1283">
          <cell r="A1283" t="str">
            <v>B557896/A</v>
          </cell>
          <cell r="B1283" t="str">
            <v>CZ052M191</v>
          </cell>
          <cell r="C1283">
            <v>20</v>
          </cell>
          <cell r="D1283">
            <v>393.91</v>
          </cell>
          <cell r="E1283">
            <v>7878.2000000000007</v>
          </cell>
          <cell r="F1283" t="str">
            <v>A6-S1</v>
          </cell>
          <cell r="G1283" t="str">
            <v xml:space="preserve">Drawer front - Mặt hộc kéo </v>
          </cell>
          <cell r="H1283" t="str">
            <v>MDF Veneer</v>
          </cell>
          <cell r="I1283">
            <v>40</v>
          </cell>
        </row>
        <row r="1284">
          <cell r="A1284" t="str">
            <v>B557896/A</v>
          </cell>
          <cell r="B1284" t="str">
            <v>CZ052M191</v>
          </cell>
          <cell r="C1284">
            <v>20</v>
          </cell>
          <cell r="D1284">
            <v>393.91</v>
          </cell>
          <cell r="E1284">
            <v>7878.2000000000007</v>
          </cell>
          <cell r="F1284" t="str">
            <v>A6-S2</v>
          </cell>
          <cell r="G1284" t="str">
            <v>Drawer side - Hông hộc kéo</v>
          </cell>
          <cell r="H1284" t="str">
            <v>MDF-N - 12 x 1220 x 2440mm, Veneer Okoume 0.3mm Both Faces [CARB P2 Compliant]</v>
          </cell>
          <cell r="I1284">
            <v>80</v>
          </cell>
        </row>
        <row r="1285">
          <cell r="A1285" t="str">
            <v>B557896/A</v>
          </cell>
          <cell r="B1285" t="str">
            <v>CZ052M191</v>
          </cell>
          <cell r="C1285">
            <v>20</v>
          </cell>
          <cell r="D1285">
            <v>393.91</v>
          </cell>
          <cell r="E1285">
            <v>7878.2000000000007</v>
          </cell>
          <cell r="F1285" t="str">
            <v>A6-S3</v>
          </cell>
          <cell r="G1285" t="str">
            <v>Drawer back - Hậu hộc kéo</v>
          </cell>
          <cell r="H1285" t="str">
            <v>MDF - 12 x 1220 x 2440mm, Veneer Okoume 0.3mm Both Faces [CARB P2 Compliant]</v>
          </cell>
          <cell r="I1285">
            <v>40</v>
          </cell>
        </row>
        <row r="1286">
          <cell r="A1286" t="str">
            <v>B557896/A</v>
          </cell>
          <cell r="B1286" t="str">
            <v>CZ052M191</v>
          </cell>
          <cell r="C1286">
            <v>20</v>
          </cell>
          <cell r="D1286">
            <v>393.91</v>
          </cell>
          <cell r="E1286">
            <v>7878.2000000000007</v>
          </cell>
          <cell r="F1286" t="str">
            <v>A6-S4</v>
          </cell>
          <cell r="G1286" t="str">
            <v>Drawer bottom  - Đáy hộc kéo</v>
          </cell>
          <cell r="H1286" t="str">
            <v>MDF - 06 x 1220 x 2440mm, Veneer Okoume 0.3mm Both Faces [CARB P2 Compliant]</v>
          </cell>
          <cell r="I1286">
            <v>40</v>
          </cell>
        </row>
        <row r="1287">
          <cell r="A1287" t="str">
            <v>B557896/A</v>
          </cell>
          <cell r="B1287" t="str">
            <v>CZ052M191</v>
          </cell>
          <cell r="C1287">
            <v>20</v>
          </cell>
          <cell r="D1287">
            <v>393.91</v>
          </cell>
          <cell r="E1287">
            <v>7878.2000000000007</v>
          </cell>
          <cell r="F1287" t="str">
            <v>A6-S5</v>
          </cell>
          <cell r="G1287" t="str">
            <v>Center rail - Đố giữa</v>
          </cell>
          <cell r="H1287" t="str">
            <v>Wood US Poplar - Straight Edged, 2 COM - T38mm x W100mm Up x L1.8m Up</v>
          </cell>
          <cell r="I1287">
            <v>40</v>
          </cell>
        </row>
        <row r="1288">
          <cell r="A1288" t="str">
            <v>B557896/A</v>
          </cell>
          <cell r="B1288" t="str">
            <v>CZ052M191</v>
          </cell>
          <cell r="C1288">
            <v>20</v>
          </cell>
          <cell r="D1288">
            <v>393.91</v>
          </cell>
          <cell r="E1288">
            <v>7878.2000000000007</v>
          </cell>
          <cell r="F1288" t="str">
            <v>P01</v>
          </cell>
          <cell r="G1288" t="str">
            <v>Front top rail  - Đố tiền nóc</v>
          </cell>
          <cell r="H1288" t="str">
            <v>Wood Rubber Laminate Board - 20 x 1220 x 2440mm, Veneer Poplar both Faces</v>
          </cell>
          <cell r="I1288">
            <v>20</v>
          </cell>
        </row>
        <row r="1289">
          <cell r="A1289" t="str">
            <v>B557896/A</v>
          </cell>
          <cell r="B1289" t="str">
            <v>CZ052M191</v>
          </cell>
          <cell r="C1289">
            <v>20</v>
          </cell>
          <cell r="D1289">
            <v>393.91</v>
          </cell>
          <cell r="E1289">
            <v>7878.2000000000007</v>
          </cell>
          <cell r="F1289" t="str">
            <v>P02</v>
          </cell>
          <cell r="G1289" t="str">
            <v>Back rail with note finger - đố hậu</v>
          </cell>
          <cell r="H1289" t="str">
            <v>Wood Rubber Laminate Board - 20 x 1220 x 2440mm, Veneer Poplar both Faces</v>
          </cell>
          <cell r="I1289">
            <v>20</v>
          </cell>
        </row>
        <row r="1290">
          <cell r="A1290" t="str">
            <v>B557896/A</v>
          </cell>
          <cell r="B1290" t="str">
            <v>CZ052M191</v>
          </cell>
          <cell r="C1290">
            <v>20</v>
          </cell>
          <cell r="D1290">
            <v>393.91</v>
          </cell>
          <cell r="E1290">
            <v>7878.2000000000007</v>
          </cell>
          <cell r="F1290" t="str">
            <v>P03</v>
          </cell>
          <cell r="G1290" t="str">
            <v xml:space="preserve">Top panel  - Ván nóc </v>
          </cell>
          <cell r="H1290" t="str">
            <v>MDF - 15 x 1830 x 2440mm [CARB P2 Compliant]</v>
          </cell>
          <cell r="I1290">
            <v>20</v>
          </cell>
        </row>
        <row r="1291">
          <cell r="A1291" t="str">
            <v>B557896/A</v>
          </cell>
          <cell r="B1291" t="str">
            <v>CZ052M191</v>
          </cell>
          <cell r="C1291">
            <v>20</v>
          </cell>
          <cell r="D1291">
            <v>393.91</v>
          </cell>
          <cell r="E1291">
            <v>7878.2000000000007</v>
          </cell>
          <cell r="F1291" t="str">
            <v>P05</v>
          </cell>
          <cell r="G1291" t="str">
            <v>side rail inside with note finger - Đố trong ghép finger</v>
          </cell>
          <cell r="H1291" t="str">
            <v>Wood Rubber Laminate Board - 20 x 1220 x 2440mm, Veneer Poplar both Faces</v>
          </cell>
          <cell r="I1291">
            <v>40</v>
          </cell>
        </row>
        <row r="1292">
          <cell r="A1292" t="str">
            <v>B557896/A</v>
          </cell>
          <cell r="B1292" t="str">
            <v>CZ052M191</v>
          </cell>
          <cell r="C1292">
            <v>20</v>
          </cell>
          <cell r="D1292">
            <v>393.91</v>
          </cell>
          <cell r="E1292">
            <v>7878.2000000000007</v>
          </cell>
          <cell r="F1292" t="str">
            <v>P10</v>
          </cell>
          <cell r="G1292" t="str">
            <v>Back panel - Ván hậu</v>
          </cell>
          <cell r="H1292" t="str">
            <v>MDF Veneer</v>
          </cell>
          <cell r="I1292">
            <v>20</v>
          </cell>
        </row>
        <row r="1293">
          <cell r="A1293" t="str">
            <v>B557896/A</v>
          </cell>
          <cell r="B1293" t="str">
            <v>CZ052M191</v>
          </cell>
          <cell r="C1293">
            <v>20</v>
          </cell>
          <cell r="D1293">
            <v>393.91</v>
          </cell>
          <cell r="E1293">
            <v>7878.2000000000007</v>
          </cell>
          <cell r="F1293" t="str">
            <v>P12</v>
          </cell>
          <cell r="G1293" t="str">
            <v>Corner block - ke góc</v>
          </cell>
          <cell r="H1293" t="str">
            <v>Poplar off cut</v>
          </cell>
          <cell r="I1293">
            <v>40</v>
          </cell>
        </row>
        <row r="1294">
          <cell r="A1294" t="str">
            <v>B557896/A</v>
          </cell>
          <cell r="B1294" t="str">
            <v>CZ052M191</v>
          </cell>
          <cell r="C1294">
            <v>20</v>
          </cell>
          <cell r="D1294">
            <v>393.91</v>
          </cell>
          <cell r="E1294">
            <v>7878.2000000000007</v>
          </cell>
          <cell r="F1294" t="str">
            <v>P13</v>
          </cell>
          <cell r="G1294" t="str">
            <v>Spline - Lưỡi gà</v>
          </cell>
          <cell r="H1294" t="str">
            <v>wood off cut</v>
          </cell>
          <cell r="I1294">
            <v>40</v>
          </cell>
        </row>
        <row r="1295">
          <cell r="A1295" t="str">
            <v>B557896/A</v>
          </cell>
          <cell r="B1295" t="str">
            <v>CZ052M191</v>
          </cell>
          <cell r="C1295">
            <v>20</v>
          </cell>
          <cell r="D1295">
            <v>393.91</v>
          </cell>
          <cell r="E1295">
            <v>7878.2000000000007</v>
          </cell>
          <cell r="F1295" t="str">
            <v>P14</v>
          </cell>
          <cell r="G1295" t="str">
            <v>Spline - Lưỡi gà</v>
          </cell>
          <cell r="H1295" t="str">
            <v>wood off cut</v>
          </cell>
          <cell r="I1295">
            <v>20</v>
          </cell>
        </row>
        <row r="1296">
          <cell r="A1296" t="str">
            <v>B557896/A</v>
          </cell>
          <cell r="B1296" t="str">
            <v>CZ052M191</v>
          </cell>
          <cell r="C1296">
            <v>20</v>
          </cell>
          <cell r="D1296">
            <v>393.91</v>
          </cell>
          <cell r="E1296">
            <v>7878.2000000000007</v>
          </cell>
          <cell r="F1296" t="str">
            <v>P15</v>
          </cell>
          <cell r="G1296" t="str">
            <v>Cleat - Bọ gỗ</v>
          </cell>
          <cell r="H1296" t="str">
            <v>Wood Rubber Laminate Board - 20 x 1220 x 2440mm, Veneer Poplar both Faces</v>
          </cell>
          <cell r="I1296">
            <v>40</v>
          </cell>
        </row>
        <row r="1297">
          <cell r="A1297" t="str">
            <v>B557896/A</v>
          </cell>
          <cell r="B1297" t="str">
            <v>CZ052M191</v>
          </cell>
          <cell r="C1297">
            <v>20</v>
          </cell>
          <cell r="D1297">
            <v>393.91</v>
          </cell>
          <cell r="E1297">
            <v>7878.2000000000007</v>
          </cell>
          <cell r="F1297" t="str">
            <v>P17</v>
          </cell>
          <cell r="G1297" t="str">
            <v>Front rail  - Đố tiền</v>
          </cell>
          <cell r="H1297" t="str">
            <v>Wood Rubber Laminate Board - 20 x 1220 x 2440mm, Veneer Poplar both Faces</v>
          </cell>
          <cell r="I1297">
            <v>20</v>
          </cell>
        </row>
        <row r="1298">
          <cell r="A1298" t="str">
            <v>B557896/A</v>
          </cell>
          <cell r="B1298" t="str">
            <v>CZ052M191</v>
          </cell>
          <cell r="C1298">
            <v>20</v>
          </cell>
          <cell r="D1298">
            <v>393.91</v>
          </cell>
          <cell r="E1298">
            <v>7878.2000000000007</v>
          </cell>
          <cell r="F1298" t="str">
            <v>P18</v>
          </cell>
          <cell r="G1298" t="str">
            <v>Drawer stop - Dừng hộc</v>
          </cell>
          <cell r="H1298" t="str">
            <v>Poplar off cut</v>
          </cell>
          <cell r="I1298">
            <v>80</v>
          </cell>
        </row>
        <row r="1299">
          <cell r="A1299" t="str">
            <v>B553665/A</v>
          </cell>
          <cell r="B1299" t="str">
            <v>CZ062</v>
          </cell>
          <cell r="C1299">
            <v>15</v>
          </cell>
          <cell r="D1299">
            <v>944.32</v>
          </cell>
          <cell r="E1299">
            <v>14164.800000000001</v>
          </cell>
          <cell r="F1299" t="str">
            <v>A1-S1</v>
          </cell>
          <cell r="G1299" t="str">
            <v>Front leg  - Chần tiền</v>
          </cell>
          <cell r="H1299" t="str">
            <v>Pre-Assembly</v>
          </cell>
          <cell r="I1299">
            <v>30</v>
          </cell>
        </row>
        <row r="1300">
          <cell r="A1300" t="str">
            <v>B553665/A</v>
          </cell>
          <cell r="B1300" t="str">
            <v>CZ062</v>
          </cell>
          <cell r="C1300">
            <v>15</v>
          </cell>
          <cell r="D1300">
            <v>944.32</v>
          </cell>
          <cell r="E1300">
            <v>14164.800000000001</v>
          </cell>
          <cell r="F1300" t="str">
            <v>A1-S1-1</v>
          </cell>
          <cell r="G1300" t="str">
            <v>Wood laminater - Gỗ ghép 1</v>
          </cell>
          <cell r="H1300" t="str">
            <v>Wood laminate</v>
          </cell>
          <cell r="I1300">
            <v>30</v>
          </cell>
        </row>
        <row r="1301">
          <cell r="A1301" t="str">
            <v>B553665/A</v>
          </cell>
          <cell r="B1301" t="str">
            <v>CZ062</v>
          </cell>
          <cell r="C1301">
            <v>15</v>
          </cell>
          <cell r="D1301">
            <v>944.32</v>
          </cell>
          <cell r="E1301">
            <v>14164.800000000001</v>
          </cell>
          <cell r="F1301" t="str">
            <v>A1-S1-2</v>
          </cell>
          <cell r="G1301" t="str">
            <v>Wood laminater - Gỗ ghép 1</v>
          </cell>
          <cell r="H1301" t="str">
            <v>Standard Wood - ALDER/ASPEN/LENGA/US POPLAR, 2 COM - T25 W120mm+ L2m+</v>
          </cell>
          <cell r="I1301">
            <v>30</v>
          </cell>
        </row>
        <row r="1302">
          <cell r="A1302" t="str">
            <v>B553665/A</v>
          </cell>
          <cell r="B1302" t="str">
            <v>CZ062</v>
          </cell>
          <cell r="C1302">
            <v>15</v>
          </cell>
          <cell r="D1302">
            <v>944.32</v>
          </cell>
          <cell r="E1302">
            <v>14164.800000000001</v>
          </cell>
          <cell r="F1302" t="str">
            <v>A1-S2</v>
          </cell>
          <cell r="G1302" t="str">
            <v>Back leg - Chân hậu</v>
          </cell>
          <cell r="H1302" t="str">
            <v>Wood laminate</v>
          </cell>
          <cell r="I1302">
            <v>30</v>
          </cell>
        </row>
        <row r="1303">
          <cell r="A1303" t="str">
            <v>B553665/A</v>
          </cell>
          <cell r="B1303" t="str">
            <v>CZ062</v>
          </cell>
          <cell r="C1303">
            <v>15</v>
          </cell>
          <cell r="D1303">
            <v>944.32</v>
          </cell>
          <cell r="E1303">
            <v>14164.800000000001</v>
          </cell>
          <cell r="F1303" t="str">
            <v>A1-S3</v>
          </cell>
          <cell r="G1303" t="str">
            <v xml:space="preserve">Side panel  - Ván hông </v>
          </cell>
          <cell r="H1303" t="str">
            <v>MDF Veneer</v>
          </cell>
          <cell r="I1303">
            <v>30</v>
          </cell>
        </row>
        <row r="1304">
          <cell r="A1304" t="str">
            <v>B553665/A</v>
          </cell>
          <cell r="B1304" t="str">
            <v>CZ062</v>
          </cell>
          <cell r="C1304">
            <v>15</v>
          </cell>
          <cell r="D1304">
            <v>944.32</v>
          </cell>
          <cell r="E1304">
            <v>14164.800000000001</v>
          </cell>
          <cell r="F1304" t="str">
            <v>A1-S4</v>
          </cell>
          <cell r="G1304" t="str">
            <v>Cleat - Bọ gỗ</v>
          </cell>
          <cell r="H1304" t="str">
            <v>Wood Rubber Laminate Board - 20 x 1220 x 2440mm, Veneer Poplar both Faces</v>
          </cell>
          <cell r="I1304">
            <v>60</v>
          </cell>
        </row>
        <row r="1305">
          <cell r="A1305" t="str">
            <v>B553665/A</v>
          </cell>
          <cell r="B1305" t="str">
            <v>CZ062</v>
          </cell>
          <cell r="C1305">
            <v>15</v>
          </cell>
          <cell r="D1305">
            <v>944.32</v>
          </cell>
          <cell r="E1305">
            <v>14164.800000000001</v>
          </cell>
          <cell r="F1305" t="str">
            <v>A1-S5</v>
          </cell>
          <cell r="G1305" t="str">
            <v>Patching wood - Gỗ đắp</v>
          </cell>
          <cell r="H1305" t="str">
            <v>Standard Wood - ALDER/ASPEN/LENGA/US POPLAR, 2 COM - T32 W120mm+ L2m+</v>
          </cell>
          <cell r="I1305">
            <v>30</v>
          </cell>
        </row>
        <row r="1306">
          <cell r="A1306" t="str">
            <v>B553665/A</v>
          </cell>
          <cell r="B1306" t="str">
            <v>CZ062</v>
          </cell>
          <cell r="C1306">
            <v>15</v>
          </cell>
          <cell r="D1306">
            <v>944.32</v>
          </cell>
          <cell r="E1306">
            <v>14164.800000000001</v>
          </cell>
          <cell r="F1306" t="str">
            <v>A1-S6</v>
          </cell>
          <cell r="G1306" t="str">
            <v>Cleat - Bọ gỗ</v>
          </cell>
          <cell r="H1306" t="str">
            <v>Wood Rubber Laminate Board - 20 x 1220 x 2440mm, Veneer Poplar both Faces</v>
          </cell>
          <cell r="I1306">
            <v>120</v>
          </cell>
        </row>
        <row r="1307">
          <cell r="A1307" t="str">
            <v>B553665/A</v>
          </cell>
          <cell r="B1307" t="str">
            <v>CZ062</v>
          </cell>
          <cell r="C1307">
            <v>15</v>
          </cell>
          <cell r="D1307">
            <v>944.32</v>
          </cell>
          <cell r="E1307">
            <v>14164.800000000001</v>
          </cell>
          <cell r="F1307" t="str">
            <v>A2-S1</v>
          </cell>
          <cell r="G1307" t="str">
            <v>Front Bottom Rail  - Đố đáy trước</v>
          </cell>
          <cell r="H1307" t="str">
            <v>Standard Wood - ALDER/ASPEN/LENGA/US POPLAR, 2 COM - T32 W120mm+ L2m+</v>
          </cell>
          <cell r="I1307">
            <v>15</v>
          </cell>
        </row>
        <row r="1308">
          <cell r="A1308" t="str">
            <v>B553665/A</v>
          </cell>
          <cell r="B1308" t="str">
            <v>CZ062</v>
          </cell>
          <cell r="C1308">
            <v>15</v>
          </cell>
          <cell r="D1308">
            <v>944.32</v>
          </cell>
          <cell r="E1308">
            <v>14164.800000000001</v>
          </cell>
          <cell r="F1308" t="str">
            <v>A2-S1-1</v>
          </cell>
          <cell r="G1308" t="str">
            <v>Front Bottom Rail  - Đố đáy trước</v>
          </cell>
          <cell r="H1308" t="str">
            <v>Standard Wood - ALDER/ASPEN/LENGA/US POPLAR, 2 COM - T32 W120mm+ L2m+</v>
          </cell>
          <cell r="I1308">
            <v>15</v>
          </cell>
        </row>
        <row r="1309">
          <cell r="A1309" t="str">
            <v>B553665/A</v>
          </cell>
          <cell r="B1309" t="str">
            <v>CZ062</v>
          </cell>
          <cell r="C1309">
            <v>15</v>
          </cell>
          <cell r="D1309">
            <v>944.32</v>
          </cell>
          <cell r="E1309">
            <v>14164.800000000001</v>
          </cell>
          <cell r="F1309" t="str">
            <v>A2-S3</v>
          </cell>
          <cell r="G1309" t="str">
            <v>center rail with note - đố giữa</v>
          </cell>
          <cell r="H1309" t="str">
            <v>Wood US Poplar - Straight Edged, 2 COM - T32mm x W100mm Up x L1.8m Up</v>
          </cell>
          <cell r="I1309">
            <v>15</v>
          </cell>
        </row>
        <row r="1310">
          <cell r="A1310" t="str">
            <v>B553665/A</v>
          </cell>
          <cell r="B1310" t="str">
            <v>CZ062</v>
          </cell>
          <cell r="C1310">
            <v>15</v>
          </cell>
          <cell r="D1310">
            <v>944.32</v>
          </cell>
          <cell r="E1310">
            <v>14164.800000000001</v>
          </cell>
          <cell r="F1310" t="str">
            <v>A2-S4</v>
          </cell>
          <cell r="G1310" t="str">
            <v>Bottom panel - Ván đáy</v>
          </cell>
          <cell r="H1310" t="str">
            <v>MDF Veneer</v>
          </cell>
          <cell r="I1310">
            <v>15</v>
          </cell>
        </row>
        <row r="1311">
          <cell r="A1311" t="str">
            <v>B553665/A</v>
          </cell>
          <cell r="B1311" t="str">
            <v>CZ062</v>
          </cell>
          <cell r="C1311">
            <v>15</v>
          </cell>
          <cell r="D1311">
            <v>944.32</v>
          </cell>
          <cell r="E1311">
            <v>14164.800000000001</v>
          </cell>
          <cell r="F1311" t="str">
            <v>A2-S5</v>
          </cell>
          <cell r="G1311" t="str">
            <v>Cleat - Bọ gỗ</v>
          </cell>
          <cell r="H1311" t="str">
            <v>Wood Rubber Laminate Board - 20 x 1220 x 2440mm, Veneer Poplar both Faces</v>
          </cell>
          <cell r="I1311">
            <v>60</v>
          </cell>
        </row>
        <row r="1312">
          <cell r="A1312" t="str">
            <v>B553665/A</v>
          </cell>
          <cell r="B1312" t="str">
            <v>CZ062</v>
          </cell>
          <cell r="C1312">
            <v>15</v>
          </cell>
          <cell r="D1312">
            <v>944.32</v>
          </cell>
          <cell r="E1312">
            <v>14164.800000000001</v>
          </cell>
          <cell r="F1312" t="str">
            <v>A3</v>
          </cell>
          <cell r="G1312" t="str">
            <v>Door Frame - Khung cửa</v>
          </cell>
          <cell r="H1312" t="str">
            <v>Pre-Assembly</v>
          </cell>
          <cell r="I1312">
            <v>30</v>
          </cell>
        </row>
        <row r="1313">
          <cell r="A1313" t="str">
            <v>B553665/A</v>
          </cell>
          <cell r="B1313" t="str">
            <v>CZ062</v>
          </cell>
          <cell r="C1313">
            <v>15</v>
          </cell>
          <cell r="D1313">
            <v>944.32</v>
          </cell>
          <cell r="E1313">
            <v>14164.800000000001</v>
          </cell>
          <cell r="F1313" t="str">
            <v>A3-S1</v>
          </cell>
          <cell r="G1313" t="str">
            <v>Door vertical rail  - Đố cửa đứng</v>
          </cell>
          <cell r="H1313" t="str">
            <v>Wood laminate</v>
          </cell>
          <cell r="I1313">
            <v>30</v>
          </cell>
        </row>
        <row r="1314">
          <cell r="A1314" t="str">
            <v>B553665/A</v>
          </cell>
          <cell r="B1314" t="str">
            <v>CZ062</v>
          </cell>
          <cell r="C1314">
            <v>15</v>
          </cell>
          <cell r="D1314">
            <v>944.32</v>
          </cell>
          <cell r="E1314">
            <v>14164.800000000001</v>
          </cell>
          <cell r="F1314" t="str">
            <v>A3-S2</v>
          </cell>
          <cell r="G1314" t="str">
            <v>Door Horizontal rail  - Đố cửa ngang</v>
          </cell>
          <cell r="H1314" t="str">
            <v>Wood EU Beech - Straight/Waving Edged ABC, 2 COM - T26mm x W100mm up x L1.8m up</v>
          </cell>
          <cell r="I1314">
            <v>60</v>
          </cell>
        </row>
        <row r="1315">
          <cell r="A1315" t="str">
            <v>B553665/A</v>
          </cell>
          <cell r="B1315" t="str">
            <v>CZ062</v>
          </cell>
          <cell r="C1315">
            <v>15</v>
          </cell>
          <cell r="D1315">
            <v>944.32</v>
          </cell>
          <cell r="E1315">
            <v>14164.800000000001</v>
          </cell>
          <cell r="F1315" t="str">
            <v>A3-S3</v>
          </cell>
          <cell r="G1315" t="str">
            <v>Door vertical rail  - Đố cửa đứng</v>
          </cell>
          <cell r="H1315" t="str">
            <v>Wood laminate</v>
          </cell>
          <cell r="I1315">
            <v>30</v>
          </cell>
        </row>
        <row r="1316">
          <cell r="A1316" t="str">
            <v>B553665/A</v>
          </cell>
          <cell r="B1316" t="str">
            <v>CZ062</v>
          </cell>
          <cell r="C1316">
            <v>15</v>
          </cell>
          <cell r="D1316">
            <v>944.32</v>
          </cell>
          <cell r="E1316">
            <v>14164.800000000001</v>
          </cell>
          <cell r="F1316" t="str">
            <v>P01</v>
          </cell>
          <cell r="G1316" t="str">
            <v>Front top rail  - Đố tiền nóc</v>
          </cell>
          <cell r="H1316" t="str">
            <v>Wood laminate</v>
          </cell>
          <cell r="I1316">
            <v>15</v>
          </cell>
        </row>
        <row r="1317">
          <cell r="A1317" t="str">
            <v>B553665/A</v>
          </cell>
          <cell r="B1317" t="str">
            <v>CZ062</v>
          </cell>
          <cell r="C1317">
            <v>15</v>
          </cell>
          <cell r="D1317">
            <v>944.32</v>
          </cell>
          <cell r="E1317">
            <v>14164.800000000001</v>
          </cell>
          <cell r="F1317" t="str">
            <v>P02</v>
          </cell>
          <cell r="G1317" t="str">
            <v>Back top rail - Đố hậu nóc</v>
          </cell>
          <cell r="H1317" t="str">
            <v>Wood Rubber Laminate Board - 20 x 1220 x 2440mm, Veneer Poplar both Faces</v>
          </cell>
          <cell r="I1317">
            <v>75</v>
          </cell>
        </row>
        <row r="1318">
          <cell r="A1318" t="str">
            <v>B553665/A</v>
          </cell>
          <cell r="B1318" t="str">
            <v>CZ062</v>
          </cell>
          <cell r="C1318">
            <v>15</v>
          </cell>
          <cell r="D1318">
            <v>944.32</v>
          </cell>
          <cell r="E1318">
            <v>14164.800000000001</v>
          </cell>
          <cell r="F1318" t="str">
            <v>P03</v>
          </cell>
          <cell r="G1318" t="str">
            <v xml:space="preserve">Top panel  - Ván nóc </v>
          </cell>
          <cell r="H1318" t="str">
            <v>MDF Veneer</v>
          </cell>
          <cell r="I1318">
            <v>15</v>
          </cell>
        </row>
        <row r="1319">
          <cell r="A1319" t="str">
            <v>B553665/A</v>
          </cell>
          <cell r="B1319" t="str">
            <v>CZ062</v>
          </cell>
          <cell r="C1319">
            <v>15</v>
          </cell>
          <cell r="D1319">
            <v>944.32</v>
          </cell>
          <cell r="E1319">
            <v>14164.800000000001</v>
          </cell>
          <cell r="F1319" t="str">
            <v>P04</v>
          </cell>
          <cell r="G1319" t="str">
            <v>Spline - Lưỡi gà</v>
          </cell>
          <cell r="H1319" t="str">
            <v>Plywood LVD - 06 x 1220 x 2440mm, Bleached Poplar Veneer Both Sides [CARB P2 Compliant]</v>
          </cell>
          <cell r="I1319">
            <v>30</v>
          </cell>
        </row>
        <row r="1320">
          <cell r="A1320" t="str">
            <v>B553665/A</v>
          </cell>
          <cell r="B1320" t="str">
            <v>CZ062</v>
          </cell>
          <cell r="C1320">
            <v>15</v>
          </cell>
          <cell r="D1320">
            <v>944.32</v>
          </cell>
          <cell r="E1320">
            <v>14164.800000000001</v>
          </cell>
          <cell r="F1320" t="str">
            <v>P05</v>
          </cell>
          <cell r="G1320" t="str">
            <v>Spline - Lưỡi gà</v>
          </cell>
          <cell r="H1320" t="str">
            <v>Plywood LVD - 06 x 1220 x 2440mm, Bleached Poplar Veneer Both Sides [CARB P2 Compliant]</v>
          </cell>
          <cell r="I1320">
            <v>15</v>
          </cell>
        </row>
        <row r="1321">
          <cell r="A1321" t="str">
            <v>B553665/A</v>
          </cell>
          <cell r="B1321" t="str">
            <v>CZ062</v>
          </cell>
          <cell r="C1321">
            <v>15</v>
          </cell>
          <cell r="D1321">
            <v>944.32</v>
          </cell>
          <cell r="E1321">
            <v>14164.800000000001</v>
          </cell>
          <cell r="F1321" t="str">
            <v>P06</v>
          </cell>
          <cell r="G1321" t="str">
            <v>Fixed Shelf  - Kệ bắt chết</v>
          </cell>
          <cell r="H1321" t="str">
            <v>Pre-Assembly</v>
          </cell>
          <cell r="I1321">
            <v>60</v>
          </cell>
        </row>
        <row r="1322">
          <cell r="A1322" t="str">
            <v>B553665/A</v>
          </cell>
          <cell r="B1322" t="str">
            <v>CZ062</v>
          </cell>
          <cell r="C1322">
            <v>15</v>
          </cell>
          <cell r="D1322">
            <v>944.32</v>
          </cell>
          <cell r="E1322">
            <v>14164.800000000001</v>
          </cell>
          <cell r="F1322" t="str">
            <v>P06-1</v>
          </cell>
          <cell r="G1322" t="str">
            <v>Shelf panel  - Ván kệ</v>
          </cell>
          <cell r="H1322" t="str">
            <v>MDF Veneer</v>
          </cell>
          <cell r="I1322">
            <v>60</v>
          </cell>
        </row>
        <row r="1323">
          <cell r="A1323" t="str">
            <v>B553665/A</v>
          </cell>
          <cell r="B1323" t="str">
            <v>CZ062</v>
          </cell>
          <cell r="C1323">
            <v>15</v>
          </cell>
          <cell r="D1323">
            <v>944.32</v>
          </cell>
          <cell r="E1323">
            <v>14164.800000000001</v>
          </cell>
          <cell r="F1323" t="str">
            <v>P06-2</v>
          </cell>
          <cell r="G1323" t="str">
            <v>Shelf moulding - Chỉ đắp kệ</v>
          </cell>
          <cell r="H1323" t="str">
            <v>Standard Wood - ALDER/ASPEN/LENGA/US POPLAR, 2 COM - T25 W120mm+ L2m+</v>
          </cell>
          <cell r="I1323">
            <v>60</v>
          </cell>
        </row>
        <row r="1324">
          <cell r="A1324" t="str">
            <v>B553665/A</v>
          </cell>
          <cell r="B1324" t="str">
            <v>CZ062</v>
          </cell>
          <cell r="C1324">
            <v>15</v>
          </cell>
          <cell r="D1324">
            <v>944.32</v>
          </cell>
          <cell r="E1324">
            <v>14164.800000000001</v>
          </cell>
          <cell r="F1324" t="str">
            <v>P07</v>
          </cell>
          <cell r="G1324" t="str">
            <v>Back panel - Ván hậu</v>
          </cell>
          <cell r="H1324" t="str">
            <v>MDF Veneer</v>
          </cell>
          <cell r="I1324">
            <v>15</v>
          </cell>
        </row>
        <row r="1325">
          <cell r="A1325" t="str">
            <v>B553665/A</v>
          </cell>
          <cell r="B1325" t="str">
            <v>CZ062</v>
          </cell>
          <cell r="C1325">
            <v>15</v>
          </cell>
          <cell r="D1325">
            <v>944.32</v>
          </cell>
          <cell r="E1325">
            <v>14164.800000000001</v>
          </cell>
          <cell r="F1325" t="str">
            <v>P09</v>
          </cell>
          <cell r="G1325" t="str">
            <v>Bottom panel - Ván đáy</v>
          </cell>
          <cell r="H1325" t="str">
            <v>Cement Board - 18 x 1220 x 2440mm, Dark Grey</v>
          </cell>
          <cell r="I1325">
            <v>60</v>
          </cell>
        </row>
        <row r="1326">
          <cell r="A1326" t="str">
            <v>B553665/A</v>
          </cell>
          <cell r="B1326" t="str">
            <v>CZ062</v>
          </cell>
          <cell r="C1326">
            <v>15</v>
          </cell>
          <cell r="D1326">
            <v>944.32</v>
          </cell>
          <cell r="E1326">
            <v>14164.800000000001</v>
          </cell>
          <cell r="F1326" t="str">
            <v>P10</v>
          </cell>
          <cell r="G1326" t="str">
            <v>Corner block - ke góc</v>
          </cell>
          <cell r="H1326" t="str">
            <v>Poplar off cut</v>
          </cell>
          <cell r="I1326">
            <v>30</v>
          </cell>
        </row>
        <row r="1327">
          <cell r="A1327" t="str">
            <v>B553665/A</v>
          </cell>
          <cell r="B1327" t="str">
            <v>CZ062</v>
          </cell>
          <cell r="C1327">
            <v>15</v>
          </cell>
          <cell r="D1327">
            <v>944.32</v>
          </cell>
          <cell r="E1327">
            <v>14164.800000000001</v>
          </cell>
          <cell r="F1327" t="str">
            <v>P10-1</v>
          </cell>
          <cell r="G1327" t="str">
            <v>Corner block - ke góc</v>
          </cell>
          <cell r="H1327" t="str">
            <v>Poplar off cut</v>
          </cell>
          <cell r="I1327">
            <v>30</v>
          </cell>
        </row>
        <row r="1328">
          <cell r="A1328" t="str">
            <v>B557263/A</v>
          </cell>
          <cell r="B1328" t="str">
            <v>CZ062M190</v>
          </cell>
          <cell r="C1328">
            <v>10</v>
          </cell>
          <cell r="D1328">
            <v>944.32</v>
          </cell>
          <cell r="E1328">
            <v>9443.2000000000007</v>
          </cell>
          <cell r="F1328" t="str">
            <v>A1-S1</v>
          </cell>
          <cell r="G1328" t="str">
            <v>Front leg  - Chần tiền</v>
          </cell>
          <cell r="H1328" t="str">
            <v>Pre-Assembly</v>
          </cell>
          <cell r="I1328">
            <v>20</v>
          </cell>
        </row>
        <row r="1329">
          <cell r="A1329" t="str">
            <v>B557263/A</v>
          </cell>
          <cell r="B1329" t="str">
            <v>CZ062M190</v>
          </cell>
          <cell r="C1329">
            <v>10</v>
          </cell>
          <cell r="D1329">
            <v>944.32</v>
          </cell>
          <cell r="E1329">
            <v>9443.2000000000007</v>
          </cell>
          <cell r="F1329" t="str">
            <v>A1-S1-1</v>
          </cell>
          <cell r="G1329" t="str">
            <v>Wood laminater - Gỗ ghép 1</v>
          </cell>
          <cell r="H1329" t="str">
            <v>Wood laminate</v>
          </cell>
          <cell r="I1329">
            <v>20</v>
          </cell>
        </row>
        <row r="1330">
          <cell r="A1330" t="str">
            <v>B557263/A</v>
          </cell>
          <cell r="B1330" t="str">
            <v>CZ062M190</v>
          </cell>
          <cell r="C1330">
            <v>10</v>
          </cell>
          <cell r="D1330">
            <v>944.32</v>
          </cell>
          <cell r="E1330">
            <v>9443.2000000000007</v>
          </cell>
          <cell r="F1330" t="str">
            <v>A1-S1-2</v>
          </cell>
          <cell r="G1330" t="str">
            <v>Wood laminater - Gỗ ghép 1</v>
          </cell>
          <cell r="H1330" t="str">
            <v>Standard Wood - ALDER/ASPEN/LENGA/US POPLAR, 2 COM - T25 W120mm+ L2m+</v>
          </cell>
          <cell r="I1330">
            <v>20</v>
          </cell>
        </row>
        <row r="1331">
          <cell r="A1331" t="str">
            <v>B557263/A</v>
          </cell>
          <cell r="B1331" t="str">
            <v>CZ062M190</v>
          </cell>
          <cell r="C1331">
            <v>10</v>
          </cell>
          <cell r="D1331">
            <v>944.32</v>
          </cell>
          <cell r="E1331">
            <v>9443.2000000000007</v>
          </cell>
          <cell r="F1331" t="str">
            <v>A1-S2</v>
          </cell>
          <cell r="G1331" t="str">
            <v>Back leg - Chân hậu</v>
          </cell>
          <cell r="H1331" t="str">
            <v>Wood laminate</v>
          </cell>
          <cell r="I1331">
            <v>20</v>
          </cell>
        </row>
        <row r="1332">
          <cell r="A1332" t="str">
            <v>B557263/A</v>
          </cell>
          <cell r="B1332" t="str">
            <v>CZ062M190</v>
          </cell>
          <cell r="C1332">
            <v>10</v>
          </cell>
          <cell r="D1332">
            <v>944.32</v>
          </cell>
          <cell r="E1332">
            <v>9443.2000000000007</v>
          </cell>
          <cell r="F1332" t="str">
            <v>A1-S3</v>
          </cell>
          <cell r="G1332" t="str">
            <v xml:space="preserve">Side panel  - Ván hông </v>
          </cell>
          <cell r="H1332" t="str">
            <v>MDF Veneer</v>
          </cell>
          <cell r="I1332">
            <v>20</v>
          </cell>
        </row>
        <row r="1333">
          <cell r="A1333" t="str">
            <v>B557263/A</v>
          </cell>
          <cell r="B1333" t="str">
            <v>CZ062M190</v>
          </cell>
          <cell r="C1333">
            <v>10</v>
          </cell>
          <cell r="D1333">
            <v>944.32</v>
          </cell>
          <cell r="E1333">
            <v>9443.2000000000007</v>
          </cell>
          <cell r="F1333" t="str">
            <v>A1-S4</v>
          </cell>
          <cell r="G1333" t="str">
            <v>Cleat - Bọ gỗ</v>
          </cell>
          <cell r="H1333" t="str">
            <v>Wood Hard Maple - 1 COM, Sap and Better - T25mm x L2.0m up</v>
          </cell>
          <cell r="I1333">
            <v>40</v>
          </cell>
        </row>
        <row r="1334">
          <cell r="A1334" t="str">
            <v>B557263/A</v>
          </cell>
          <cell r="B1334" t="str">
            <v>CZ062M190</v>
          </cell>
          <cell r="C1334">
            <v>10</v>
          </cell>
          <cell r="D1334">
            <v>944.32</v>
          </cell>
          <cell r="E1334">
            <v>9443.2000000000007</v>
          </cell>
          <cell r="F1334" t="str">
            <v>A1-S5</v>
          </cell>
          <cell r="G1334" t="str">
            <v>Patching wood - Gỗ đắp</v>
          </cell>
          <cell r="H1334" t="str">
            <v>Wood Hard Maple - 1 COM, Sap and Better - T32mm x L2.0m up</v>
          </cell>
          <cell r="I1334">
            <v>20</v>
          </cell>
        </row>
        <row r="1335">
          <cell r="A1335" t="str">
            <v>B557263/A</v>
          </cell>
          <cell r="B1335" t="str">
            <v>CZ062M190</v>
          </cell>
          <cell r="C1335">
            <v>10</v>
          </cell>
          <cell r="D1335">
            <v>944.32</v>
          </cell>
          <cell r="E1335">
            <v>9443.2000000000007</v>
          </cell>
          <cell r="F1335" t="str">
            <v>A1-S6</v>
          </cell>
          <cell r="G1335" t="str">
            <v>Cleat - Bọ gỗ</v>
          </cell>
          <cell r="H1335" t="str">
            <v>Wood Hard Maple - 1 COM, Sap and Better - T25mm x L2.0m up</v>
          </cell>
          <cell r="I1335">
            <v>80</v>
          </cell>
        </row>
        <row r="1336">
          <cell r="A1336" t="str">
            <v>B557263/A</v>
          </cell>
          <cell r="B1336" t="str">
            <v>CZ062M190</v>
          </cell>
          <cell r="C1336">
            <v>10</v>
          </cell>
          <cell r="D1336">
            <v>944.32</v>
          </cell>
          <cell r="E1336">
            <v>9443.2000000000007</v>
          </cell>
          <cell r="F1336" t="str">
            <v>A2-S1</v>
          </cell>
          <cell r="G1336" t="str">
            <v>Front Bottom Rail  - Đố đáy trước</v>
          </cell>
          <cell r="H1336" t="str">
            <v>Wd+VN</v>
          </cell>
          <cell r="I1336">
            <v>10</v>
          </cell>
        </row>
        <row r="1337">
          <cell r="A1337" t="str">
            <v>B557263/A</v>
          </cell>
          <cell r="B1337" t="str">
            <v>CZ062M190</v>
          </cell>
          <cell r="C1337">
            <v>10</v>
          </cell>
          <cell r="D1337">
            <v>944.32</v>
          </cell>
          <cell r="E1337">
            <v>9443.2000000000007</v>
          </cell>
          <cell r="F1337" t="str">
            <v>A2-S2</v>
          </cell>
          <cell r="G1337" t="str">
            <v>Back bottom rail - Đố hậu đáy</v>
          </cell>
          <cell r="H1337" t="str">
            <v>Standard Wood - ALDER/ASPEN/LENGA/US POPLAR, 2 COM - T38 W120mm+ L2m+</v>
          </cell>
          <cell r="I1337">
            <v>10</v>
          </cell>
        </row>
        <row r="1338">
          <cell r="A1338" t="str">
            <v>B557263/A</v>
          </cell>
          <cell r="B1338" t="str">
            <v>CZ062M190</v>
          </cell>
          <cell r="C1338">
            <v>10</v>
          </cell>
          <cell r="D1338">
            <v>944.32</v>
          </cell>
          <cell r="E1338">
            <v>9443.2000000000007</v>
          </cell>
          <cell r="F1338" t="str">
            <v>A2-S3</v>
          </cell>
          <cell r="G1338" t="str">
            <v>center rail with note - đố giữa</v>
          </cell>
          <cell r="H1338" t="str">
            <v>Wood US Poplar - Straight Edged, 2 COM - T32mm x W100mm Up x L1.8m Up</v>
          </cell>
          <cell r="I1338">
            <v>10</v>
          </cell>
        </row>
        <row r="1339">
          <cell r="A1339" t="str">
            <v>B557263/A</v>
          </cell>
          <cell r="B1339" t="str">
            <v>CZ062M190</v>
          </cell>
          <cell r="C1339">
            <v>10</v>
          </cell>
          <cell r="D1339">
            <v>944.32</v>
          </cell>
          <cell r="E1339">
            <v>9443.2000000000007</v>
          </cell>
          <cell r="F1339" t="str">
            <v>A2-S4</v>
          </cell>
          <cell r="G1339" t="str">
            <v>Bottom panel - Ván đáy</v>
          </cell>
          <cell r="H1339" t="str">
            <v>MDF Veneer</v>
          </cell>
          <cell r="I1339">
            <v>10</v>
          </cell>
        </row>
        <row r="1340">
          <cell r="A1340" t="str">
            <v>B557263/A</v>
          </cell>
          <cell r="B1340" t="str">
            <v>CZ062M190</v>
          </cell>
          <cell r="C1340">
            <v>10</v>
          </cell>
          <cell r="D1340">
            <v>944.32</v>
          </cell>
          <cell r="E1340">
            <v>9443.2000000000007</v>
          </cell>
          <cell r="F1340" t="str">
            <v>A2-S5</v>
          </cell>
          <cell r="G1340" t="str">
            <v>Cleat - Bọ gỗ</v>
          </cell>
          <cell r="H1340" t="str">
            <v>Wood Rubber Laminate Board - 20 x 1220 x 2440mm, Veneer Poplar both Faces</v>
          </cell>
          <cell r="I1340">
            <v>20</v>
          </cell>
        </row>
        <row r="1341">
          <cell r="A1341" t="str">
            <v>B557263/A</v>
          </cell>
          <cell r="B1341" t="str">
            <v>CZ062M190</v>
          </cell>
          <cell r="C1341">
            <v>10</v>
          </cell>
          <cell r="D1341">
            <v>944.32</v>
          </cell>
          <cell r="E1341">
            <v>9443.2000000000007</v>
          </cell>
          <cell r="F1341" t="str">
            <v>A3</v>
          </cell>
          <cell r="G1341" t="str">
            <v>Door Frame - Khung cửa</v>
          </cell>
          <cell r="H1341" t="str">
            <v>Pre-Assembly</v>
          </cell>
          <cell r="I1341">
            <v>20</v>
          </cell>
        </row>
        <row r="1342">
          <cell r="A1342" t="str">
            <v>B557263/A</v>
          </cell>
          <cell r="B1342" t="str">
            <v>CZ062M190</v>
          </cell>
          <cell r="C1342">
            <v>10</v>
          </cell>
          <cell r="D1342">
            <v>944.32</v>
          </cell>
          <cell r="E1342">
            <v>9443.2000000000007</v>
          </cell>
          <cell r="F1342" t="str">
            <v>A3-S1</v>
          </cell>
          <cell r="G1342" t="str">
            <v>Door vertical rail  - Đố cửa đứng</v>
          </cell>
          <cell r="H1342" t="str">
            <v>Wood laminate</v>
          </cell>
          <cell r="I1342">
            <v>20</v>
          </cell>
        </row>
        <row r="1343">
          <cell r="A1343" t="str">
            <v>B557263/A</v>
          </cell>
          <cell r="B1343" t="str">
            <v>CZ062M190</v>
          </cell>
          <cell r="C1343">
            <v>10</v>
          </cell>
          <cell r="D1343">
            <v>944.32</v>
          </cell>
          <cell r="E1343">
            <v>9443.2000000000007</v>
          </cell>
          <cell r="F1343" t="str">
            <v>A3-S2</v>
          </cell>
          <cell r="G1343" t="str">
            <v>Door Horizontal rail  - Đố cửa ngang</v>
          </cell>
          <cell r="H1343" t="str">
            <v>Wood EU Beech - Straight/Waving Edged ABC, 2 COM - T26mm x W100mm up x L1.8m up</v>
          </cell>
          <cell r="I1343">
            <v>40</v>
          </cell>
        </row>
        <row r="1344">
          <cell r="A1344" t="str">
            <v>B557263/A</v>
          </cell>
          <cell r="B1344" t="str">
            <v>CZ062M190</v>
          </cell>
          <cell r="C1344">
            <v>10</v>
          </cell>
          <cell r="D1344">
            <v>944.32</v>
          </cell>
          <cell r="E1344">
            <v>9443.2000000000007</v>
          </cell>
          <cell r="F1344" t="str">
            <v>A3-S3</v>
          </cell>
          <cell r="G1344" t="str">
            <v>Door vertical rail  - Đố cửa đứng</v>
          </cell>
          <cell r="H1344" t="str">
            <v>Wood laminate</v>
          </cell>
          <cell r="I1344">
            <v>20</v>
          </cell>
        </row>
        <row r="1345">
          <cell r="A1345" t="str">
            <v>B557263/A</v>
          </cell>
          <cell r="B1345" t="str">
            <v>CZ062M190</v>
          </cell>
          <cell r="C1345">
            <v>10</v>
          </cell>
          <cell r="D1345">
            <v>944.32</v>
          </cell>
          <cell r="E1345">
            <v>9443.2000000000007</v>
          </cell>
          <cell r="F1345" t="str">
            <v>P01</v>
          </cell>
          <cell r="G1345" t="str">
            <v>Front top rail  - Đố tiền nóc</v>
          </cell>
          <cell r="H1345" t="str">
            <v>Wood laminate</v>
          </cell>
          <cell r="I1345">
            <v>10</v>
          </cell>
        </row>
        <row r="1346">
          <cell r="A1346" t="str">
            <v>B557263/A</v>
          </cell>
          <cell r="B1346" t="str">
            <v>CZ062M190</v>
          </cell>
          <cell r="C1346">
            <v>10</v>
          </cell>
          <cell r="D1346">
            <v>944.32</v>
          </cell>
          <cell r="E1346">
            <v>9443.2000000000007</v>
          </cell>
          <cell r="F1346" t="str">
            <v>P02</v>
          </cell>
          <cell r="G1346" t="str">
            <v>Back top rail - Đố hậu nóc</v>
          </cell>
          <cell r="H1346" t="str">
            <v>Wood Hard Maple - 1 COM, Sap and Better - T25mm x L2.0m up</v>
          </cell>
          <cell r="I1346">
            <v>50</v>
          </cell>
        </row>
        <row r="1347">
          <cell r="A1347" t="str">
            <v>B557263/A</v>
          </cell>
          <cell r="B1347" t="str">
            <v>CZ062M190</v>
          </cell>
          <cell r="C1347">
            <v>10</v>
          </cell>
          <cell r="D1347">
            <v>944.32</v>
          </cell>
          <cell r="E1347">
            <v>9443.2000000000007</v>
          </cell>
          <cell r="F1347" t="str">
            <v>P03</v>
          </cell>
          <cell r="G1347" t="str">
            <v xml:space="preserve">Top panel  - Ván nóc </v>
          </cell>
          <cell r="H1347" t="str">
            <v>MDF Veneer</v>
          </cell>
          <cell r="I1347">
            <v>10</v>
          </cell>
        </row>
        <row r="1348">
          <cell r="A1348" t="str">
            <v>B557263/A</v>
          </cell>
          <cell r="B1348" t="str">
            <v>CZ062M190</v>
          </cell>
          <cell r="C1348">
            <v>10</v>
          </cell>
          <cell r="D1348">
            <v>944.32</v>
          </cell>
          <cell r="E1348">
            <v>9443.2000000000007</v>
          </cell>
          <cell r="F1348" t="str">
            <v>P04</v>
          </cell>
          <cell r="G1348" t="str">
            <v>Spline - Lưỡi gà</v>
          </cell>
          <cell r="H1348" t="str">
            <v>wood off cut</v>
          </cell>
          <cell r="I1348">
            <v>20</v>
          </cell>
        </row>
        <row r="1349">
          <cell r="A1349" t="str">
            <v>B557263/A</v>
          </cell>
          <cell r="B1349" t="str">
            <v>CZ062M190</v>
          </cell>
          <cell r="C1349">
            <v>10</v>
          </cell>
          <cell r="D1349">
            <v>944.32</v>
          </cell>
          <cell r="E1349">
            <v>9443.2000000000007</v>
          </cell>
          <cell r="F1349" t="str">
            <v>P05</v>
          </cell>
          <cell r="G1349" t="str">
            <v>Spline - Lưỡi gà</v>
          </cell>
          <cell r="H1349" t="str">
            <v>wood off cut</v>
          </cell>
          <cell r="I1349">
            <v>10</v>
          </cell>
        </row>
        <row r="1350">
          <cell r="A1350" t="str">
            <v>B557263/A</v>
          </cell>
          <cell r="B1350" t="str">
            <v>CZ062M190</v>
          </cell>
          <cell r="C1350">
            <v>10</v>
          </cell>
          <cell r="D1350">
            <v>944.32</v>
          </cell>
          <cell r="E1350">
            <v>9443.2000000000007</v>
          </cell>
          <cell r="F1350" t="str">
            <v>P06</v>
          </cell>
          <cell r="G1350" t="str">
            <v>Fixed Shelf  - Kệ bắt chết</v>
          </cell>
          <cell r="H1350" t="str">
            <v>Pre-Assembly</v>
          </cell>
          <cell r="I1350">
            <v>40</v>
          </cell>
        </row>
        <row r="1351">
          <cell r="A1351" t="str">
            <v>B557263/A</v>
          </cell>
          <cell r="B1351" t="str">
            <v>CZ062M190</v>
          </cell>
          <cell r="C1351">
            <v>10</v>
          </cell>
          <cell r="D1351">
            <v>944.32</v>
          </cell>
          <cell r="E1351">
            <v>9443.2000000000007</v>
          </cell>
          <cell r="F1351" t="str">
            <v>P06-1</v>
          </cell>
          <cell r="G1351" t="str">
            <v>Shelf panel  - Ván kệ</v>
          </cell>
          <cell r="H1351" t="str">
            <v>MDF Veneer</v>
          </cell>
          <cell r="I1351">
            <v>40</v>
          </cell>
        </row>
        <row r="1352">
          <cell r="A1352" t="str">
            <v>B557263/A</v>
          </cell>
          <cell r="B1352" t="str">
            <v>CZ062M190</v>
          </cell>
          <cell r="C1352">
            <v>10</v>
          </cell>
          <cell r="D1352">
            <v>944.32</v>
          </cell>
          <cell r="E1352">
            <v>9443.2000000000007</v>
          </cell>
          <cell r="F1352" t="str">
            <v>P06-2</v>
          </cell>
          <cell r="G1352" t="str">
            <v>Shelf moulding - Chỉ đắp kệ</v>
          </cell>
          <cell r="H1352" t="str">
            <v>Wood Hard Maple - 1 COM, Sap and Better - T25mm x L2.0m up</v>
          </cell>
          <cell r="I1352">
            <v>40</v>
          </cell>
        </row>
        <row r="1353">
          <cell r="A1353" t="str">
            <v>B557263/A</v>
          </cell>
          <cell r="B1353" t="str">
            <v>CZ062M190</v>
          </cell>
          <cell r="C1353">
            <v>10</v>
          </cell>
          <cell r="D1353">
            <v>944.32</v>
          </cell>
          <cell r="E1353">
            <v>9443.2000000000007</v>
          </cell>
          <cell r="F1353" t="str">
            <v>P07</v>
          </cell>
          <cell r="G1353" t="str">
            <v>Back panel - Ván hậu</v>
          </cell>
          <cell r="H1353" t="str">
            <v>MDF Veneer</v>
          </cell>
          <cell r="I1353">
            <v>10</v>
          </cell>
        </row>
        <row r="1354">
          <cell r="A1354" t="str">
            <v>B557263/A</v>
          </cell>
          <cell r="B1354" t="str">
            <v>CZ062M190</v>
          </cell>
          <cell r="C1354">
            <v>10</v>
          </cell>
          <cell r="D1354">
            <v>944.32</v>
          </cell>
          <cell r="E1354">
            <v>9443.2000000000007</v>
          </cell>
          <cell r="F1354" t="str">
            <v>P09</v>
          </cell>
          <cell r="G1354" t="str">
            <v>Bottom panel - Ván đáy</v>
          </cell>
          <cell r="H1354" t="str">
            <v>Cement Board - 18 x 1220 x 2440mm, Dark Grey</v>
          </cell>
          <cell r="I1354">
            <v>40</v>
          </cell>
        </row>
        <row r="1355">
          <cell r="A1355" t="str">
            <v>B557263/A</v>
          </cell>
          <cell r="B1355" t="str">
            <v>CZ062M190</v>
          </cell>
          <cell r="C1355">
            <v>10</v>
          </cell>
          <cell r="D1355">
            <v>944.32</v>
          </cell>
          <cell r="E1355">
            <v>9443.2000000000007</v>
          </cell>
          <cell r="F1355" t="str">
            <v>P10</v>
          </cell>
          <cell r="G1355" t="str">
            <v>Corner block - ke góc</v>
          </cell>
          <cell r="H1355" t="str">
            <v>Poplar off cut</v>
          </cell>
          <cell r="I1355">
            <v>20</v>
          </cell>
        </row>
        <row r="1356">
          <cell r="A1356" t="str">
            <v>B557263/A</v>
          </cell>
          <cell r="B1356" t="str">
            <v>CZ062M190</v>
          </cell>
          <cell r="C1356">
            <v>10</v>
          </cell>
          <cell r="D1356">
            <v>944.32</v>
          </cell>
          <cell r="E1356">
            <v>9443.2000000000007</v>
          </cell>
          <cell r="F1356" t="str">
            <v>P10-1</v>
          </cell>
          <cell r="G1356" t="str">
            <v>Corner block - ke góc</v>
          </cell>
          <cell r="H1356" t="str">
            <v>Poplar off cut</v>
          </cell>
          <cell r="I1356">
            <v>20</v>
          </cell>
        </row>
        <row r="1357">
          <cell r="A1357" t="str">
            <v>B557789/A</v>
          </cell>
          <cell r="B1357" t="str">
            <v>CZ067</v>
          </cell>
          <cell r="C1357">
            <v>28</v>
          </cell>
          <cell r="D1357">
            <v>278.36</v>
          </cell>
          <cell r="E1357">
            <v>7794.08</v>
          </cell>
          <cell r="F1357" t="str">
            <v>P01</v>
          </cell>
          <cell r="G1357" t="str">
            <v>The leg  - Chân</v>
          </cell>
          <cell r="H1357" t="str">
            <v>Wood laminate</v>
          </cell>
          <cell r="I1357">
            <v>112</v>
          </cell>
        </row>
        <row r="1358">
          <cell r="A1358" t="str">
            <v>B557789/A</v>
          </cell>
          <cell r="B1358" t="str">
            <v>CZ067</v>
          </cell>
          <cell r="C1358">
            <v>28</v>
          </cell>
          <cell r="D1358">
            <v>278.36</v>
          </cell>
          <cell r="E1358">
            <v>7794.08</v>
          </cell>
          <cell r="F1358" t="str">
            <v>P02</v>
          </cell>
          <cell r="G1358" t="str">
            <v>Top rail - Đố nóc</v>
          </cell>
          <cell r="H1358" t="str">
            <v>Wood US Poplar - Straight Edged, 2 COM - T38mm x W100mm Up x L1.8m Up</v>
          </cell>
          <cell r="I1358">
            <v>224</v>
          </cell>
        </row>
        <row r="1359">
          <cell r="A1359" t="str">
            <v>B557789/A</v>
          </cell>
          <cell r="B1359" t="str">
            <v>CZ067</v>
          </cell>
          <cell r="C1359">
            <v>28</v>
          </cell>
          <cell r="D1359">
            <v>278.36</v>
          </cell>
          <cell r="E1359">
            <v>7794.08</v>
          </cell>
          <cell r="F1359" t="str">
            <v>P03</v>
          </cell>
          <cell r="G1359" t="str">
            <v xml:space="preserve">Top panel  - Ván nóc </v>
          </cell>
          <cell r="H1359" t="str">
            <v>MDF - 15 x 1830 x 2440mm [CARB P2 Compliant]</v>
          </cell>
          <cell r="I1359">
            <v>28</v>
          </cell>
        </row>
        <row r="1360">
          <cell r="A1360" t="str">
            <v>B557789/A</v>
          </cell>
          <cell r="B1360" t="str">
            <v>CZ067</v>
          </cell>
          <cell r="C1360">
            <v>28</v>
          </cell>
          <cell r="D1360">
            <v>278.36</v>
          </cell>
          <cell r="E1360">
            <v>7794.08</v>
          </cell>
          <cell r="F1360" t="str">
            <v>P04</v>
          </cell>
          <cell r="G1360" t="str">
            <v>Bottom panel - Ván đáy</v>
          </cell>
          <cell r="H1360" t="str">
            <v>MDF - 15 x 1830 x 2440mm [CARB P2 Compliant]</v>
          </cell>
          <cell r="I1360">
            <v>28</v>
          </cell>
        </row>
        <row r="1361">
          <cell r="A1361" t="str">
            <v>B557789/A</v>
          </cell>
          <cell r="B1361" t="str">
            <v>CZ067</v>
          </cell>
          <cell r="C1361">
            <v>28</v>
          </cell>
          <cell r="D1361">
            <v>278.36</v>
          </cell>
          <cell r="E1361">
            <v>7794.08</v>
          </cell>
          <cell r="F1361" t="str">
            <v>P05</v>
          </cell>
          <cell r="G1361" t="str">
            <v>Bottom panel - Ván đáy</v>
          </cell>
          <cell r="H1361" t="str">
            <v>MDF Veneer</v>
          </cell>
          <cell r="I1361">
            <v>56</v>
          </cell>
        </row>
        <row r="1362">
          <cell r="A1362" t="str">
            <v>B557789/A</v>
          </cell>
          <cell r="B1362" t="str">
            <v>CZ067</v>
          </cell>
          <cell r="C1362">
            <v>28</v>
          </cell>
          <cell r="D1362">
            <v>278.36</v>
          </cell>
          <cell r="E1362">
            <v>7794.08</v>
          </cell>
          <cell r="F1362" t="str">
            <v>P06</v>
          </cell>
          <cell r="G1362" t="str">
            <v>Patching wood - Gỗ đắp</v>
          </cell>
          <cell r="H1362" t="str">
            <v>MDF OFF CUT</v>
          </cell>
          <cell r="I1362">
            <v>56</v>
          </cell>
        </row>
        <row r="1363">
          <cell r="A1363" t="str">
            <v>B556604/A</v>
          </cell>
          <cell r="B1363" t="str">
            <v>CZ067M191</v>
          </cell>
          <cell r="C1363">
            <v>2</v>
          </cell>
          <cell r="D1363">
            <v>278.36</v>
          </cell>
          <cell r="E1363">
            <v>556.72</v>
          </cell>
          <cell r="F1363" t="str">
            <v>P01</v>
          </cell>
          <cell r="G1363" t="str">
            <v>The leg  - Chân</v>
          </cell>
          <cell r="H1363" t="str">
            <v>Wood laminate</v>
          </cell>
          <cell r="I1363">
            <v>8</v>
          </cell>
        </row>
        <row r="1364">
          <cell r="A1364" t="str">
            <v>B556604/A</v>
          </cell>
          <cell r="B1364" t="str">
            <v>CZ067M191</v>
          </cell>
          <cell r="C1364">
            <v>2</v>
          </cell>
          <cell r="D1364">
            <v>278.36</v>
          </cell>
          <cell r="E1364">
            <v>556.72</v>
          </cell>
          <cell r="F1364" t="str">
            <v>P02</v>
          </cell>
          <cell r="G1364" t="str">
            <v>Top rail - Đố nóc</v>
          </cell>
          <cell r="H1364" t="str">
            <v>Wood US Poplar - Straight Edged, 2 COM - T38mm x W100mm Up x L1.8m Up</v>
          </cell>
          <cell r="I1364">
            <v>16</v>
          </cell>
        </row>
        <row r="1365">
          <cell r="A1365" t="str">
            <v>B556604/A</v>
          </cell>
          <cell r="B1365" t="str">
            <v>CZ067M191</v>
          </cell>
          <cell r="C1365">
            <v>2</v>
          </cell>
          <cell r="D1365">
            <v>278.36</v>
          </cell>
          <cell r="E1365">
            <v>556.72</v>
          </cell>
          <cell r="F1365" t="str">
            <v>P03</v>
          </cell>
          <cell r="G1365" t="str">
            <v xml:space="preserve">Top panel  - Ván nóc </v>
          </cell>
          <cell r="H1365" t="str">
            <v>MDF - 15 x 1830 x 2440mm [CARB P2 Compliant]</v>
          </cell>
          <cell r="I1365">
            <v>2</v>
          </cell>
        </row>
        <row r="1366">
          <cell r="A1366" t="str">
            <v>B556604/A</v>
          </cell>
          <cell r="B1366" t="str">
            <v>CZ067M191</v>
          </cell>
          <cell r="C1366">
            <v>2</v>
          </cell>
          <cell r="D1366">
            <v>278.36</v>
          </cell>
          <cell r="E1366">
            <v>556.72</v>
          </cell>
          <cell r="F1366" t="str">
            <v>P04</v>
          </cell>
          <cell r="G1366" t="str">
            <v>Bottom panel - Ván đáy</v>
          </cell>
          <cell r="H1366" t="str">
            <v>MDF - 15 x 1830 x 2440mm [CARB P2 Compliant]</v>
          </cell>
          <cell r="I1366">
            <v>2</v>
          </cell>
        </row>
        <row r="1367">
          <cell r="A1367" t="str">
            <v>B556604/A</v>
          </cell>
          <cell r="B1367" t="str">
            <v>CZ067M191</v>
          </cell>
          <cell r="C1367">
            <v>2</v>
          </cell>
          <cell r="D1367">
            <v>278.36</v>
          </cell>
          <cell r="E1367">
            <v>556.72</v>
          </cell>
          <cell r="F1367" t="str">
            <v>P05</v>
          </cell>
          <cell r="G1367" t="str">
            <v>Bottom panel - Ván đáy</v>
          </cell>
          <cell r="H1367" t="str">
            <v>MDF Veneer</v>
          </cell>
          <cell r="I1367">
            <v>4</v>
          </cell>
        </row>
        <row r="1368">
          <cell r="A1368" t="str">
            <v>B556604/A</v>
          </cell>
          <cell r="B1368" t="str">
            <v>CZ067M191</v>
          </cell>
          <cell r="C1368">
            <v>2</v>
          </cell>
          <cell r="D1368">
            <v>278.36</v>
          </cell>
          <cell r="E1368">
            <v>556.72</v>
          </cell>
          <cell r="F1368" t="str">
            <v>P06</v>
          </cell>
          <cell r="G1368" t="str">
            <v>Patching wood - Gỗ đắp</v>
          </cell>
          <cell r="H1368" t="str">
            <v>MDF OFF CUT</v>
          </cell>
          <cell r="I1368">
            <v>4</v>
          </cell>
        </row>
        <row r="1369">
          <cell r="A1369" t="str">
            <v>B557798/A</v>
          </cell>
          <cell r="B1369" t="str">
            <v>CZ069</v>
          </cell>
          <cell r="C1369">
            <v>22</v>
          </cell>
          <cell r="D1369">
            <v>544.11</v>
          </cell>
          <cell r="E1369">
            <v>11970.42</v>
          </cell>
          <cell r="F1369" t="str">
            <v>A1-S1</v>
          </cell>
          <cell r="G1369" t="str">
            <v>Front Vertical rail  - Trụ tiền</v>
          </cell>
          <cell r="H1369" t="str">
            <v>Wood laminate</v>
          </cell>
          <cell r="I1369">
            <v>44</v>
          </cell>
        </row>
        <row r="1370">
          <cell r="A1370" t="str">
            <v>B557798/A</v>
          </cell>
          <cell r="B1370" t="str">
            <v>CZ069</v>
          </cell>
          <cell r="C1370">
            <v>22</v>
          </cell>
          <cell r="D1370">
            <v>544.11</v>
          </cell>
          <cell r="E1370">
            <v>11970.42</v>
          </cell>
          <cell r="F1370" t="str">
            <v>A1-S2</v>
          </cell>
          <cell r="G1370" t="str">
            <v>Back Vertical rail - Trụ hậu</v>
          </cell>
          <cell r="H1370" t="str">
            <v>Wood laminate</v>
          </cell>
          <cell r="I1370">
            <v>44</v>
          </cell>
        </row>
        <row r="1371">
          <cell r="A1371" t="str">
            <v>B557798/A</v>
          </cell>
          <cell r="B1371" t="str">
            <v>CZ069</v>
          </cell>
          <cell r="C1371">
            <v>22</v>
          </cell>
          <cell r="D1371">
            <v>544.11</v>
          </cell>
          <cell r="E1371">
            <v>11970.42</v>
          </cell>
          <cell r="F1371" t="str">
            <v>A1-S3</v>
          </cell>
          <cell r="G1371" t="str">
            <v xml:space="preserve">Side panel  - Ván hông </v>
          </cell>
          <cell r="H1371" t="str">
            <v>MDF - 15 x 1830 x 2440mm [CARB P2 Compliant]</v>
          </cell>
          <cell r="I1371">
            <v>44</v>
          </cell>
        </row>
        <row r="1372">
          <cell r="A1372" t="str">
            <v>B557798/A</v>
          </cell>
          <cell r="B1372" t="str">
            <v>CZ069</v>
          </cell>
          <cell r="C1372">
            <v>22</v>
          </cell>
          <cell r="D1372">
            <v>544.11</v>
          </cell>
          <cell r="E1372">
            <v>11970.42</v>
          </cell>
          <cell r="F1372" t="str">
            <v>A1-S5</v>
          </cell>
          <cell r="G1372" t="str">
            <v xml:space="preserve">Side rail  - Đố hông </v>
          </cell>
          <cell r="H1372" t="str">
            <v>Wood US Poplar - Straight Edged, 2 COM - T38mm x W100mm Up x L1.8m Up</v>
          </cell>
          <cell r="I1372">
            <v>44</v>
          </cell>
        </row>
        <row r="1373">
          <cell r="A1373" t="str">
            <v>B557798/A</v>
          </cell>
          <cell r="B1373" t="str">
            <v>CZ069</v>
          </cell>
          <cell r="C1373">
            <v>22</v>
          </cell>
          <cell r="D1373">
            <v>544.11</v>
          </cell>
          <cell r="E1373">
            <v>11970.42</v>
          </cell>
          <cell r="F1373" t="str">
            <v>A3-S1</v>
          </cell>
          <cell r="G1373" t="str">
            <v xml:space="preserve">Drawer front - Mặt hộc kéo </v>
          </cell>
          <cell r="H1373" t="str">
            <v>Wood US Poplar - Straight Edged, 2 COM - T25mm x W100mm Up x L1.8m Up</v>
          </cell>
          <cell r="I1373">
            <v>66</v>
          </cell>
        </row>
        <row r="1374">
          <cell r="A1374" t="str">
            <v>B557798/A</v>
          </cell>
          <cell r="B1374" t="str">
            <v>CZ069</v>
          </cell>
          <cell r="C1374">
            <v>22</v>
          </cell>
          <cell r="D1374">
            <v>544.11</v>
          </cell>
          <cell r="E1374">
            <v>11970.42</v>
          </cell>
          <cell r="F1374" t="str">
            <v>A3-S2</v>
          </cell>
          <cell r="G1374" t="str">
            <v>Drawer side - Hông hộc kéo</v>
          </cell>
          <cell r="H1374" t="str">
            <v>Wood US Poplar - Straight Edged, 2 COM - T38mm x W100mm Up x L1.8m Up</v>
          </cell>
          <cell r="I1374">
            <v>132</v>
          </cell>
        </row>
        <row r="1375">
          <cell r="A1375" t="str">
            <v>B557798/A</v>
          </cell>
          <cell r="B1375" t="str">
            <v>CZ069</v>
          </cell>
          <cell r="C1375">
            <v>22</v>
          </cell>
          <cell r="D1375">
            <v>544.11</v>
          </cell>
          <cell r="E1375">
            <v>11970.42</v>
          </cell>
          <cell r="F1375" t="str">
            <v>A3-S3</v>
          </cell>
          <cell r="G1375" t="str">
            <v>Drawer back - Hậu hộc kéo</v>
          </cell>
          <cell r="H1375" t="str">
            <v>Wood US Poplar - Straight Edged, 2 COM - T38mm x W100mm Up x L1.8m Up</v>
          </cell>
          <cell r="I1375">
            <v>66</v>
          </cell>
        </row>
        <row r="1376">
          <cell r="A1376" t="str">
            <v>B557798/A</v>
          </cell>
          <cell r="B1376" t="str">
            <v>CZ069</v>
          </cell>
          <cell r="C1376">
            <v>22</v>
          </cell>
          <cell r="D1376">
            <v>544.11</v>
          </cell>
          <cell r="E1376">
            <v>11970.42</v>
          </cell>
          <cell r="F1376" t="str">
            <v>A3-S4</v>
          </cell>
          <cell r="G1376" t="str">
            <v>Drawer bottom  - Đáy hộc kéo</v>
          </cell>
          <cell r="H1376" t="str">
            <v>MDF - 06 x 1220 x 2440mm, Veneer Okoume 0.3mm Both Faces [CARB P2 Compliant]</v>
          </cell>
          <cell r="I1376">
            <v>66</v>
          </cell>
        </row>
        <row r="1377">
          <cell r="A1377" t="str">
            <v>B557798/A</v>
          </cell>
          <cell r="B1377" t="str">
            <v>CZ069</v>
          </cell>
          <cell r="C1377">
            <v>22</v>
          </cell>
          <cell r="D1377">
            <v>544.11</v>
          </cell>
          <cell r="E1377">
            <v>11970.42</v>
          </cell>
          <cell r="F1377" t="str">
            <v>A3-S6</v>
          </cell>
          <cell r="G1377" t="str">
            <v>Patching wood - Gỗ đắp</v>
          </cell>
          <cell r="H1377" t="str">
            <v>Wood US Poplar - Straight Edged, 2 COM - T38mm x W100mm Up x L1.8m Up</v>
          </cell>
          <cell r="I1377">
            <v>132</v>
          </cell>
        </row>
        <row r="1378">
          <cell r="A1378" t="str">
            <v>B557798/A</v>
          </cell>
          <cell r="B1378" t="str">
            <v>CZ069</v>
          </cell>
          <cell r="C1378">
            <v>22</v>
          </cell>
          <cell r="D1378">
            <v>544.11</v>
          </cell>
          <cell r="E1378">
            <v>11970.42</v>
          </cell>
          <cell r="F1378" t="str">
            <v>P01</v>
          </cell>
          <cell r="G1378" t="str">
            <v>Front Bottom Rail  - Đố đáy trước</v>
          </cell>
          <cell r="H1378" t="str">
            <v>Wood laminate</v>
          </cell>
          <cell r="I1378">
            <v>44</v>
          </cell>
        </row>
        <row r="1379">
          <cell r="A1379" t="str">
            <v>B557798/A</v>
          </cell>
          <cell r="B1379" t="str">
            <v>CZ069</v>
          </cell>
          <cell r="C1379">
            <v>22</v>
          </cell>
          <cell r="D1379">
            <v>544.11</v>
          </cell>
          <cell r="E1379">
            <v>11970.42</v>
          </cell>
          <cell r="F1379" t="str">
            <v>P02</v>
          </cell>
          <cell r="G1379" t="str">
            <v>Front top rail  - Đố tiền nóc</v>
          </cell>
          <cell r="H1379" t="str">
            <v>Wood laminate</v>
          </cell>
          <cell r="I1379">
            <v>22</v>
          </cell>
        </row>
        <row r="1380">
          <cell r="A1380" t="str">
            <v>B557798/A</v>
          </cell>
          <cell r="B1380" t="str">
            <v>CZ069</v>
          </cell>
          <cell r="C1380">
            <v>22</v>
          </cell>
          <cell r="D1380">
            <v>544.11</v>
          </cell>
          <cell r="E1380">
            <v>11970.42</v>
          </cell>
          <cell r="F1380" t="str">
            <v>P03</v>
          </cell>
          <cell r="G1380" t="str">
            <v xml:space="preserve">Top panel  - Ván nóc </v>
          </cell>
          <cell r="H1380" t="str">
            <v>MDF - 12 x 1830 x 2440mm [CARB P2 Compliant]</v>
          </cell>
          <cell r="I1380">
            <v>22</v>
          </cell>
        </row>
        <row r="1381">
          <cell r="A1381" t="str">
            <v>B557798/A</v>
          </cell>
          <cell r="B1381" t="str">
            <v>CZ069</v>
          </cell>
          <cell r="C1381">
            <v>22</v>
          </cell>
          <cell r="D1381">
            <v>544.11</v>
          </cell>
          <cell r="E1381">
            <v>11970.42</v>
          </cell>
          <cell r="F1381" t="str">
            <v>P04-1</v>
          </cell>
          <cell r="G1381" t="str">
            <v>Corner block - ke góc</v>
          </cell>
          <cell r="H1381" t="str">
            <v>Poplar off cut</v>
          </cell>
          <cell r="I1381">
            <v>44</v>
          </cell>
        </row>
        <row r="1382">
          <cell r="A1382" t="str">
            <v>B557798/A</v>
          </cell>
          <cell r="B1382" t="str">
            <v>CZ069</v>
          </cell>
          <cell r="C1382">
            <v>22</v>
          </cell>
          <cell r="D1382">
            <v>544.11</v>
          </cell>
          <cell r="E1382">
            <v>11970.42</v>
          </cell>
          <cell r="F1382" t="str">
            <v>P04-2</v>
          </cell>
          <cell r="G1382" t="str">
            <v>Corner block - ke góc</v>
          </cell>
          <cell r="H1382" t="str">
            <v>Poplar off cut</v>
          </cell>
          <cell r="I1382">
            <v>44</v>
          </cell>
        </row>
        <row r="1383">
          <cell r="A1383" t="str">
            <v>B557798/A</v>
          </cell>
          <cell r="B1383" t="str">
            <v>CZ069</v>
          </cell>
          <cell r="C1383">
            <v>22</v>
          </cell>
          <cell r="D1383">
            <v>544.11</v>
          </cell>
          <cell r="E1383">
            <v>11970.42</v>
          </cell>
          <cell r="F1383" t="str">
            <v>P04-3</v>
          </cell>
          <cell r="G1383" t="str">
            <v>Corner block - ke góc</v>
          </cell>
          <cell r="H1383" t="str">
            <v>Poplar off cut</v>
          </cell>
          <cell r="I1383">
            <v>88</v>
          </cell>
        </row>
        <row r="1384">
          <cell r="A1384" t="str">
            <v>B557798/A</v>
          </cell>
          <cell r="B1384" t="str">
            <v>CZ069</v>
          </cell>
          <cell r="C1384">
            <v>22</v>
          </cell>
          <cell r="D1384">
            <v>544.11</v>
          </cell>
          <cell r="E1384">
            <v>11970.42</v>
          </cell>
          <cell r="F1384" t="str">
            <v>P05</v>
          </cell>
          <cell r="G1384" t="str">
            <v>Partition panel - Vách ngăn</v>
          </cell>
          <cell r="H1384" t="str">
            <v>Wood US Poplar - Straight Edged, 2 COM - T25mm x W100mm Up x L1.8m Up</v>
          </cell>
          <cell r="I1384">
            <v>44</v>
          </cell>
        </row>
        <row r="1385">
          <cell r="A1385" t="str">
            <v>B557798/A</v>
          </cell>
          <cell r="B1385" t="str">
            <v>CZ069</v>
          </cell>
          <cell r="C1385">
            <v>22</v>
          </cell>
          <cell r="D1385">
            <v>544.11</v>
          </cell>
          <cell r="E1385">
            <v>11970.42</v>
          </cell>
          <cell r="F1385" t="str">
            <v>P06</v>
          </cell>
          <cell r="G1385" t="str">
            <v>Bottom panel - Ván đáy</v>
          </cell>
          <cell r="H1385" t="str">
            <v>MDF Veneer</v>
          </cell>
          <cell r="I1385">
            <v>22</v>
          </cell>
        </row>
        <row r="1386">
          <cell r="A1386" t="str">
            <v>B557798/A</v>
          </cell>
          <cell r="B1386" t="str">
            <v>CZ069</v>
          </cell>
          <cell r="C1386">
            <v>22</v>
          </cell>
          <cell r="D1386">
            <v>544.11</v>
          </cell>
          <cell r="E1386">
            <v>11970.42</v>
          </cell>
          <cell r="F1386" t="str">
            <v>P07</v>
          </cell>
          <cell r="G1386" t="str">
            <v>Patching wood - Gỗ đắp</v>
          </cell>
          <cell r="H1386" t="str">
            <v>Wood US Poplar - Straight Edged, 2 COM - T38mm x W100mm Up x L1.8m Up</v>
          </cell>
          <cell r="I1386">
            <v>44</v>
          </cell>
        </row>
        <row r="1387">
          <cell r="A1387" t="str">
            <v>B557798/A</v>
          </cell>
          <cell r="B1387" t="str">
            <v>CZ069</v>
          </cell>
          <cell r="C1387">
            <v>22</v>
          </cell>
          <cell r="D1387">
            <v>544.11</v>
          </cell>
          <cell r="E1387">
            <v>11970.42</v>
          </cell>
          <cell r="F1387" t="str">
            <v>P09</v>
          </cell>
          <cell r="G1387" t="str">
            <v>Back panel - Ván hậu</v>
          </cell>
          <cell r="H1387" t="str">
            <v>MDF - 15 x 1830 x 2440mm [CARB P2 Compliant]</v>
          </cell>
          <cell r="I1387">
            <v>22</v>
          </cell>
        </row>
        <row r="1388">
          <cell r="A1388" t="str">
            <v>B557798/A</v>
          </cell>
          <cell r="B1388" t="str">
            <v>CZ069</v>
          </cell>
          <cell r="C1388">
            <v>22</v>
          </cell>
          <cell r="D1388">
            <v>544.11</v>
          </cell>
          <cell r="E1388">
            <v>11970.42</v>
          </cell>
          <cell r="F1388" t="str">
            <v>P10</v>
          </cell>
          <cell r="G1388" t="str">
            <v>Center bottom rail - Đố đáy giữa</v>
          </cell>
          <cell r="H1388" t="str">
            <v>Wood US Poplar - Straight Edged, 2 COM - T38mm x W100mm Up x L1.8m Up</v>
          </cell>
          <cell r="I1388">
            <v>44</v>
          </cell>
        </row>
        <row r="1389">
          <cell r="A1389" t="str">
            <v>B557798/A</v>
          </cell>
          <cell r="B1389" t="str">
            <v>CZ069</v>
          </cell>
          <cell r="C1389">
            <v>22</v>
          </cell>
          <cell r="D1389">
            <v>544.11</v>
          </cell>
          <cell r="E1389">
            <v>11970.42</v>
          </cell>
          <cell r="F1389" t="str">
            <v>P11</v>
          </cell>
          <cell r="G1389" t="str">
            <v>Bottom panel - Ván đáy</v>
          </cell>
          <cell r="H1389" t="str">
            <v>MDF - 12 x 1830 x 2440mm [CARB P2 Compliant]</v>
          </cell>
          <cell r="I1389">
            <v>22</v>
          </cell>
        </row>
        <row r="1390">
          <cell r="A1390" t="str">
            <v>B557798/A</v>
          </cell>
          <cell r="B1390" t="str">
            <v>CZ069</v>
          </cell>
          <cell r="C1390">
            <v>22</v>
          </cell>
          <cell r="D1390">
            <v>544.11</v>
          </cell>
          <cell r="E1390">
            <v>11970.42</v>
          </cell>
          <cell r="F1390" t="str">
            <v>P12</v>
          </cell>
          <cell r="G1390" t="str">
            <v>Drawer stop - Dừng hộc</v>
          </cell>
          <cell r="H1390" t="str">
            <v>Poplar off cut</v>
          </cell>
          <cell r="I1390">
            <v>132</v>
          </cell>
        </row>
        <row r="1391">
          <cell r="A1391" t="str">
            <v>B556607/A</v>
          </cell>
          <cell r="B1391" t="str">
            <v>CZ069M190</v>
          </cell>
          <cell r="C1391">
            <v>5</v>
          </cell>
          <cell r="D1391">
            <v>544.11</v>
          </cell>
          <cell r="E1391">
            <v>2720.55</v>
          </cell>
          <cell r="F1391" t="str">
            <v>A1-S1</v>
          </cell>
          <cell r="G1391" t="str">
            <v>Front Vertical rail  - Trụ tiền</v>
          </cell>
          <cell r="H1391" t="str">
            <v>Wood laminate</v>
          </cell>
          <cell r="I1391">
            <v>10</v>
          </cell>
        </row>
        <row r="1392">
          <cell r="A1392" t="str">
            <v>B556607/A</v>
          </cell>
          <cell r="B1392" t="str">
            <v>CZ069M190</v>
          </cell>
          <cell r="C1392">
            <v>5</v>
          </cell>
          <cell r="D1392">
            <v>544.11</v>
          </cell>
          <cell r="E1392">
            <v>2720.55</v>
          </cell>
          <cell r="F1392" t="str">
            <v>A1-S2</v>
          </cell>
          <cell r="G1392" t="str">
            <v>Back Vertical rail - Trụ hậu</v>
          </cell>
          <cell r="H1392" t="str">
            <v>Wood laminate</v>
          </cell>
          <cell r="I1392">
            <v>10</v>
          </cell>
        </row>
        <row r="1393">
          <cell r="A1393" t="str">
            <v>B556607/A</v>
          </cell>
          <cell r="B1393" t="str">
            <v>CZ069M190</v>
          </cell>
          <cell r="C1393">
            <v>5</v>
          </cell>
          <cell r="D1393">
            <v>544.11</v>
          </cell>
          <cell r="E1393">
            <v>2720.55</v>
          </cell>
          <cell r="F1393" t="str">
            <v>A1-S3</v>
          </cell>
          <cell r="G1393" t="str">
            <v xml:space="preserve">Side panel  - Ván hông </v>
          </cell>
          <cell r="H1393" t="str">
            <v>MDF - 15 x 1830 x 2440mm [CARB P2 Compliant]</v>
          </cell>
          <cell r="I1393">
            <v>10</v>
          </cell>
        </row>
        <row r="1394">
          <cell r="A1394" t="str">
            <v>B556607/A</v>
          </cell>
          <cell r="B1394" t="str">
            <v>CZ069M190</v>
          </cell>
          <cell r="C1394">
            <v>5</v>
          </cell>
          <cell r="D1394">
            <v>544.11</v>
          </cell>
          <cell r="E1394">
            <v>2720.55</v>
          </cell>
          <cell r="F1394" t="str">
            <v>A1-S5</v>
          </cell>
          <cell r="G1394" t="str">
            <v xml:space="preserve">Side rail  - Đố hông </v>
          </cell>
          <cell r="H1394" t="str">
            <v>Standard Wood - ALDER/ASPEN/LENGA/US POPLAR, 2 COM - T38 W120mm+ L2m+</v>
          </cell>
          <cell r="I1394">
            <v>10</v>
          </cell>
        </row>
        <row r="1395">
          <cell r="A1395" t="str">
            <v>B556607/A</v>
          </cell>
          <cell r="B1395" t="str">
            <v>CZ069M190</v>
          </cell>
          <cell r="C1395">
            <v>5</v>
          </cell>
          <cell r="D1395">
            <v>544.11</v>
          </cell>
          <cell r="E1395">
            <v>2720.55</v>
          </cell>
          <cell r="F1395" t="str">
            <v>A3-S1</v>
          </cell>
          <cell r="G1395" t="str">
            <v xml:space="preserve">Drawer front - Mặt hộc kéo </v>
          </cell>
          <cell r="H1395" t="str">
            <v>MDF Veneer</v>
          </cell>
          <cell r="I1395">
            <v>15</v>
          </cell>
        </row>
        <row r="1396">
          <cell r="A1396" t="str">
            <v>B556607/A</v>
          </cell>
          <cell r="B1396" t="str">
            <v>CZ069M190</v>
          </cell>
          <cell r="C1396">
            <v>5</v>
          </cell>
          <cell r="D1396">
            <v>544.11</v>
          </cell>
          <cell r="E1396">
            <v>2720.55</v>
          </cell>
          <cell r="F1396" t="str">
            <v>A3-S2</v>
          </cell>
          <cell r="G1396" t="str">
            <v>Drawer side - Hông hộc kéo</v>
          </cell>
          <cell r="H1396" t="str">
            <v>MDF Veneer</v>
          </cell>
          <cell r="I1396">
            <v>30</v>
          </cell>
        </row>
        <row r="1397">
          <cell r="A1397" t="str">
            <v>B556607/A</v>
          </cell>
          <cell r="B1397" t="str">
            <v>CZ069M190</v>
          </cell>
          <cell r="C1397">
            <v>5</v>
          </cell>
          <cell r="D1397">
            <v>544.11</v>
          </cell>
          <cell r="E1397">
            <v>2720.55</v>
          </cell>
          <cell r="F1397" t="str">
            <v>A3-S3</v>
          </cell>
          <cell r="G1397" t="str">
            <v>Drawer back - Hậu hộc kéo</v>
          </cell>
          <cell r="H1397" t="str">
            <v>MDF Veneer</v>
          </cell>
          <cell r="I1397">
            <v>15</v>
          </cell>
        </row>
        <row r="1398">
          <cell r="A1398" t="str">
            <v>B556607/A</v>
          </cell>
          <cell r="B1398" t="str">
            <v>CZ069M190</v>
          </cell>
          <cell r="C1398">
            <v>5</v>
          </cell>
          <cell r="D1398">
            <v>544.11</v>
          </cell>
          <cell r="E1398">
            <v>2720.55</v>
          </cell>
          <cell r="F1398" t="str">
            <v>A3-S4</v>
          </cell>
          <cell r="G1398" t="str">
            <v>Drawer bottom  - Đáy hộc kéo</v>
          </cell>
          <cell r="H1398" t="str">
            <v>MDF Veneer</v>
          </cell>
          <cell r="I1398">
            <v>15</v>
          </cell>
        </row>
        <row r="1399">
          <cell r="A1399" t="str">
            <v>B556607/A</v>
          </cell>
          <cell r="B1399" t="str">
            <v>CZ069M190</v>
          </cell>
          <cell r="C1399">
            <v>5</v>
          </cell>
          <cell r="D1399">
            <v>544.11</v>
          </cell>
          <cell r="E1399">
            <v>2720.55</v>
          </cell>
          <cell r="F1399" t="str">
            <v>A3-S6</v>
          </cell>
          <cell r="G1399" t="str">
            <v>Patching wood - Gỗ đắp</v>
          </cell>
          <cell r="H1399" t="str">
            <v>Wood US Poplar - Straight Edged, 2 COM - T38mm x W100mm Up x L1.8m Up</v>
          </cell>
          <cell r="I1399">
            <v>30</v>
          </cell>
        </row>
        <row r="1400">
          <cell r="A1400" t="str">
            <v>B556607/A</v>
          </cell>
          <cell r="B1400" t="str">
            <v>CZ069M190</v>
          </cell>
          <cell r="C1400">
            <v>5</v>
          </cell>
          <cell r="D1400">
            <v>544.11</v>
          </cell>
          <cell r="E1400">
            <v>2720.55</v>
          </cell>
          <cell r="F1400" t="str">
            <v>P01</v>
          </cell>
          <cell r="G1400" t="str">
            <v>Front Bottom Rail  - Đố đáy trước</v>
          </cell>
          <cell r="H1400" t="str">
            <v>Wood laminate</v>
          </cell>
          <cell r="I1400">
            <v>10</v>
          </cell>
        </row>
        <row r="1401">
          <cell r="A1401" t="str">
            <v>B556607/A</v>
          </cell>
          <cell r="B1401" t="str">
            <v>CZ069M190</v>
          </cell>
          <cell r="C1401">
            <v>5</v>
          </cell>
          <cell r="D1401">
            <v>544.11</v>
          </cell>
          <cell r="E1401">
            <v>2720.55</v>
          </cell>
          <cell r="F1401" t="str">
            <v>P02</v>
          </cell>
          <cell r="G1401" t="str">
            <v>Front top rail  - Đố tiền nóc</v>
          </cell>
          <cell r="H1401" t="str">
            <v>Wood laminate</v>
          </cell>
          <cell r="I1401">
            <v>5</v>
          </cell>
        </row>
        <row r="1402">
          <cell r="A1402" t="str">
            <v>B556607/A</v>
          </cell>
          <cell r="B1402" t="str">
            <v>CZ069M190</v>
          </cell>
          <cell r="C1402">
            <v>5</v>
          </cell>
          <cell r="D1402">
            <v>544.11</v>
          </cell>
          <cell r="E1402">
            <v>2720.55</v>
          </cell>
          <cell r="F1402" t="str">
            <v>P03</v>
          </cell>
          <cell r="G1402" t="str">
            <v xml:space="preserve">Top panel  - Ván nóc </v>
          </cell>
          <cell r="H1402" t="str">
            <v>MDF - 12 x 1830 x 2440mm [CARB P2 Compliant]</v>
          </cell>
          <cell r="I1402">
            <v>5</v>
          </cell>
        </row>
        <row r="1403">
          <cell r="A1403" t="str">
            <v>B556607/A</v>
          </cell>
          <cell r="B1403" t="str">
            <v>CZ069M190</v>
          </cell>
          <cell r="C1403">
            <v>5</v>
          </cell>
          <cell r="D1403">
            <v>544.11</v>
          </cell>
          <cell r="E1403">
            <v>2720.55</v>
          </cell>
          <cell r="F1403" t="str">
            <v>P04-1</v>
          </cell>
          <cell r="G1403" t="str">
            <v>Corner block - ke góc</v>
          </cell>
          <cell r="H1403" t="str">
            <v>Poplar off cut</v>
          </cell>
          <cell r="I1403">
            <v>10</v>
          </cell>
        </row>
        <row r="1404">
          <cell r="A1404" t="str">
            <v>B556607/A</v>
          </cell>
          <cell r="B1404" t="str">
            <v>CZ069M190</v>
          </cell>
          <cell r="C1404">
            <v>5</v>
          </cell>
          <cell r="D1404">
            <v>544.11</v>
          </cell>
          <cell r="E1404">
            <v>2720.55</v>
          </cell>
          <cell r="F1404" t="str">
            <v>P04-2</v>
          </cell>
          <cell r="G1404" t="str">
            <v>Corner block - ke góc</v>
          </cell>
          <cell r="H1404" t="str">
            <v>Poplar off cut</v>
          </cell>
          <cell r="I1404">
            <v>10</v>
          </cell>
        </row>
        <row r="1405">
          <cell r="A1405" t="str">
            <v>B556607/A</v>
          </cell>
          <cell r="B1405" t="str">
            <v>CZ069M190</v>
          </cell>
          <cell r="C1405">
            <v>5</v>
          </cell>
          <cell r="D1405">
            <v>544.11</v>
          </cell>
          <cell r="E1405">
            <v>2720.55</v>
          </cell>
          <cell r="F1405" t="str">
            <v>P04-3</v>
          </cell>
          <cell r="G1405" t="str">
            <v>Corner block - ke góc</v>
          </cell>
          <cell r="H1405" t="str">
            <v>Poplar off cut</v>
          </cell>
          <cell r="I1405">
            <v>20</v>
          </cell>
        </row>
        <row r="1406">
          <cell r="A1406" t="str">
            <v>B556607/A</v>
          </cell>
          <cell r="B1406" t="str">
            <v>CZ069M190</v>
          </cell>
          <cell r="C1406">
            <v>5</v>
          </cell>
          <cell r="D1406">
            <v>544.11</v>
          </cell>
          <cell r="E1406">
            <v>2720.55</v>
          </cell>
          <cell r="F1406" t="str">
            <v>P05</v>
          </cell>
          <cell r="G1406" t="str">
            <v>Partition panel - Vách ngăn</v>
          </cell>
          <cell r="H1406" t="str">
            <v>Standard Wood - ALDER/ASPEN/LENGA/US POPLAR, 2 COM - T25 W120mm+ L2m+</v>
          </cell>
          <cell r="I1406">
            <v>10</v>
          </cell>
        </row>
        <row r="1407">
          <cell r="A1407" t="str">
            <v>B556607/A</v>
          </cell>
          <cell r="B1407" t="str">
            <v>CZ069M190</v>
          </cell>
          <cell r="C1407">
            <v>5</v>
          </cell>
          <cell r="D1407">
            <v>544.11</v>
          </cell>
          <cell r="E1407">
            <v>2720.55</v>
          </cell>
          <cell r="F1407" t="str">
            <v>P06</v>
          </cell>
          <cell r="G1407" t="str">
            <v>Bottom panel - Ván đáy</v>
          </cell>
          <cell r="H1407" t="str">
            <v>MDF Veneer</v>
          </cell>
          <cell r="I1407">
            <v>5</v>
          </cell>
        </row>
        <row r="1408">
          <cell r="A1408" t="str">
            <v>B556607/A</v>
          </cell>
          <cell r="B1408" t="str">
            <v>CZ069M190</v>
          </cell>
          <cell r="C1408">
            <v>5</v>
          </cell>
          <cell r="D1408">
            <v>544.11</v>
          </cell>
          <cell r="E1408">
            <v>2720.55</v>
          </cell>
          <cell r="F1408" t="str">
            <v>P07</v>
          </cell>
          <cell r="G1408" t="str">
            <v>Patching wood - Gỗ đắp</v>
          </cell>
          <cell r="H1408" t="str">
            <v>Standard Wood - ALDER/ASPEN/LENGA/US POPLAR, 2 COM - T25 W120mm+ L2m+</v>
          </cell>
          <cell r="I1408">
            <v>10</v>
          </cell>
        </row>
        <row r="1409">
          <cell r="A1409" t="str">
            <v>B556607/A</v>
          </cell>
          <cell r="B1409" t="str">
            <v>CZ069M190</v>
          </cell>
          <cell r="C1409">
            <v>5</v>
          </cell>
          <cell r="D1409">
            <v>544.11</v>
          </cell>
          <cell r="E1409">
            <v>2720.55</v>
          </cell>
          <cell r="F1409" t="str">
            <v>P09</v>
          </cell>
          <cell r="G1409" t="str">
            <v>Back panel - Ván hậu</v>
          </cell>
          <cell r="H1409" t="str">
            <v>MDF - 15 x 1830 x 2440mm [CARB P2 Compliant]</v>
          </cell>
          <cell r="I1409">
            <v>5</v>
          </cell>
        </row>
        <row r="1410">
          <cell r="A1410" t="str">
            <v>B556607/A</v>
          </cell>
          <cell r="B1410" t="str">
            <v>CZ069M190</v>
          </cell>
          <cell r="C1410">
            <v>5</v>
          </cell>
          <cell r="D1410">
            <v>544.11</v>
          </cell>
          <cell r="E1410">
            <v>2720.55</v>
          </cell>
          <cell r="F1410" t="str">
            <v>P10</v>
          </cell>
          <cell r="G1410" t="str">
            <v>Center bottom rail - Đố đáy giữa</v>
          </cell>
          <cell r="H1410" t="str">
            <v>Standard Wood - ALDER/ASPEN/LENGA/US POPLAR, 2 COM - T38 W120mm+ L2m+</v>
          </cell>
          <cell r="I1410">
            <v>10</v>
          </cell>
        </row>
        <row r="1411">
          <cell r="A1411" t="str">
            <v>B556607/A</v>
          </cell>
          <cell r="B1411" t="str">
            <v>CZ069M190</v>
          </cell>
          <cell r="C1411">
            <v>5</v>
          </cell>
          <cell r="D1411">
            <v>544.11</v>
          </cell>
          <cell r="E1411">
            <v>2720.55</v>
          </cell>
          <cell r="F1411" t="str">
            <v>P11</v>
          </cell>
          <cell r="G1411" t="str">
            <v>Bottom panel - Ván đáy</v>
          </cell>
          <cell r="H1411" t="str">
            <v>MDF - 12 x 1830 x 2440mm [CARB P2 Compliant]</v>
          </cell>
          <cell r="I1411">
            <v>5</v>
          </cell>
        </row>
        <row r="1412">
          <cell r="A1412" t="str">
            <v>B557806/A</v>
          </cell>
          <cell r="B1412" t="str">
            <v>CZ069M191</v>
          </cell>
          <cell r="C1412">
            <v>10</v>
          </cell>
          <cell r="D1412">
            <v>544.11</v>
          </cell>
          <cell r="E1412">
            <v>5441.1</v>
          </cell>
          <cell r="F1412" t="str">
            <v>A1-S1</v>
          </cell>
          <cell r="G1412" t="str">
            <v>Front Vertical rail  - Trụ tiền</v>
          </cell>
          <cell r="H1412" t="str">
            <v>Wood laminate</v>
          </cell>
          <cell r="I1412">
            <v>20</v>
          </cell>
        </row>
        <row r="1413">
          <cell r="A1413" t="str">
            <v>B557806/A</v>
          </cell>
          <cell r="B1413" t="str">
            <v>CZ069M191</v>
          </cell>
          <cell r="C1413">
            <v>10</v>
          </cell>
          <cell r="D1413">
            <v>544.11</v>
          </cell>
          <cell r="E1413">
            <v>5441.1</v>
          </cell>
          <cell r="F1413" t="str">
            <v>A1-S2</v>
          </cell>
          <cell r="G1413" t="str">
            <v>Back Vertical rail - Trụ hậu</v>
          </cell>
          <cell r="H1413" t="str">
            <v>Wood laminate</v>
          </cell>
          <cell r="I1413">
            <v>20</v>
          </cell>
        </row>
        <row r="1414">
          <cell r="A1414" t="str">
            <v>B557806/A</v>
          </cell>
          <cell r="B1414" t="str">
            <v>CZ069M191</v>
          </cell>
          <cell r="C1414">
            <v>10</v>
          </cell>
          <cell r="D1414">
            <v>544.11</v>
          </cell>
          <cell r="E1414">
            <v>5441.1</v>
          </cell>
          <cell r="F1414" t="str">
            <v>A1-S3</v>
          </cell>
          <cell r="G1414" t="str">
            <v xml:space="preserve">Side panel  - Ván hông </v>
          </cell>
          <cell r="H1414" t="str">
            <v>MDF - 15 x 1830 x 2440mm [CARB P2 Compliant]</v>
          </cell>
          <cell r="I1414">
            <v>20</v>
          </cell>
        </row>
        <row r="1415">
          <cell r="A1415" t="str">
            <v>B557806/A</v>
          </cell>
          <cell r="B1415" t="str">
            <v>CZ069M191</v>
          </cell>
          <cell r="C1415">
            <v>10</v>
          </cell>
          <cell r="D1415">
            <v>544.11</v>
          </cell>
          <cell r="E1415">
            <v>5441.1</v>
          </cell>
          <cell r="F1415" t="str">
            <v>A1-S5</v>
          </cell>
          <cell r="G1415" t="str">
            <v xml:space="preserve">Side rail  - Đố hông </v>
          </cell>
          <cell r="H1415" t="str">
            <v>Wood US Poplar - Straight Edged, 2 COM - T38mm x W100mm Up x L1.8m Up</v>
          </cell>
          <cell r="I1415">
            <v>20</v>
          </cell>
        </row>
        <row r="1416">
          <cell r="A1416" t="str">
            <v>B557806/A</v>
          </cell>
          <cell r="B1416" t="str">
            <v>CZ069M191</v>
          </cell>
          <cell r="C1416">
            <v>10</v>
          </cell>
          <cell r="D1416">
            <v>544.11</v>
          </cell>
          <cell r="E1416">
            <v>5441.1</v>
          </cell>
          <cell r="F1416" t="str">
            <v>A3-S1</v>
          </cell>
          <cell r="G1416" t="str">
            <v xml:space="preserve">Drawer front - Mặt hộc kéo </v>
          </cell>
          <cell r="H1416" t="str">
            <v>Wood US Poplar - Straight Edged, 2 COM - T25mm x W100mm Up x L1.8m Up</v>
          </cell>
          <cell r="I1416">
            <v>30</v>
          </cell>
        </row>
        <row r="1417">
          <cell r="A1417" t="str">
            <v>B557806/A</v>
          </cell>
          <cell r="B1417" t="str">
            <v>CZ069M191</v>
          </cell>
          <cell r="C1417">
            <v>10</v>
          </cell>
          <cell r="D1417">
            <v>544.11</v>
          </cell>
          <cell r="E1417">
            <v>5441.1</v>
          </cell>
          <cell r="F1417" t="str">
            <v>A3-S2</v>
          </cell>
          <cell r="G1417" t="str">
            <v>Drawer side - Hông hộc kéo</v>
          </cell>
          <cell r="H1417" t="str">
            <v>Wood US Poplar - Straight Edged, 2 COM - T38mm x W100mm Up x L1.8m Up</v>
          </cell>
          <cell r="I1417">
            <v>60</v>
          </cell>
        </row>
        <row r="1418">
          <cell r="A1418" t="str">
            <v>B557806/A</v>
          </cell>
          <cell r="B1418" t="str">
            <v>CZ069M191</v>
          </cell>
          <cell r="C1418">
            <v>10</v>
          </cell>
          <cell r="D1418">
            <v>544.11</v>
          </cell>
          <cell r="E1418">
            <v>5441.1</v>
          </cell>
          <cell r="F1418" t="str">
            <v>A3-S3</v>
          </cell>
          <cell r="G1418" t="str">
            <v>Drawer back - Hậu hộc kéo</v>
          </cell>
          <cell r="H1418" t="str">
            <v>Wood US Poplar - Straight Edged, 2 COM - T38mm x W100mm Up x L1.8m Up</v>
          </cell>
          <cell r="I1418">
            <v>30</v>
          </cell>
        </row>
        <row r="1419">
          <cell r="A1419" t="str">
            <v>B557806/A</v>
          </cell>
          <cell r="B1419" t="str">
            <v>CZ069M191</v>
          </cell>
          <cell r="C1419">
            <v>10</v>
          </cell>
          <cell r="D1419">
            <v>544.11</v>
          </cell>
          <cell r="E1419">
            <v>5441.1</v>
          </cell>
          <cell r="F1419" t="str">
            <v>A3-S4</v>
          </cell>
          <cell r="G1419" t="str">
            <v>Drawer bottom  - Đáy hộc kéo</v>
          </cell>
          <cell r="H1419" t="str">
            <v>MDF - 06 x 1220 x 2440mm, Veneer Okoume 0.3mm Both Faces [CARB P2 Compliant]</v>
          </cell>
          <cell r="I1419">
            <v>30</v>
          </cell>
        </row>
        <row r="1420">
          <cell r="A1420" t="str">
            <v>B557806/A</v>
          </cell>
          <cell r="B1420" t="str">
            <v>CZ069M191</v>
          </cell>
          <cell r="C1420">
            <v>10</v>
          </cell>
          <cell r="D1420">
            <v>544.11</v>
          </cell>
          <cell r="E1420">
            <v>5441.1</v>
          </cell>
          <cell r="F1420" t="str">
            <v>A3-S6</v>
          </cell>
          <cell r="G1420" t="str">
            <v>Patching wood - Gỗ đắp</v>
          </cell>
          <cell r="H1420" t="str">
            <v>Wood US Poplar - Straight Edged, 2 COM - T38mm x W100mm Up x L1.8m Up</v>
          </cell>
          <cell r="I1420">
            <v>60</v>
          </cell>
        </row>
        <row r="1421">
          <cell r="A1421" t="str">
            <v>B557806/A</v>
          </cell>
          <cell r="B1421" t="str">
            <v>CZ069M191</v>
          </cell>
          <cell r="C1421">
            <v>10</v>
          </cell>
          <cell r="D1421">
            <v>544.11</v>
          </cell>
          <cell r="E1421">
            <v>5441.1</v>
          </cell>
          <cell r="F1421" t="str">
            <v>P01</v>
          </cell>
          <cell r="G1421" t="str">
            <v>Front Bottom Rail  - Đố đáy trước</v>
          </cell>
          <cell r="H1421" t="str">
            <v>Wood laminate</v>
          </cell>
          <cell r="I1421">
            <v>20</v>
          </cell>
        </row>
        <row r="1422">
          <cell r="A1422" t="str">
            <v>B557806/A</v>
          </cell>
          <cell r="B1422" t="str">
            <v>CZ069M191</v>
          </cell>
          <cell r="C1422">
            <v>10</v>
          </cell>
          <cell r="D1422">
            <v>544.11</v>
          </cell>
          <cell r="E1422">
            <v>5441.1</v>
          </cell>
          <cell r="F1422" t="str">
            <v>P02</v>
          </cell>
          <cell r="G1422" t="str">
            <v>Front top rail  - Đố tiền nóc</v>
          </cell>
          <cell r="H1422" t="str">
            <v>Wood laminate</v>
          </cell>
          <cell r="I1422">
            <v>10</v>
          </cell>
        </row>
        <row r="1423">
          <cell r="A1423" t="str">
            <v>B557806/A</v>
          </cell>
          <cell r="B1423" t="str">
            <v>CZ069M191</v>
          </cell>
          <cell r="C1423">
            <v>10</v>
          </cell>
          <cell r="D1423">
            <v>544.11</v>
          </cell>
          <cell r="E1423">
            <v>5441.1</v>
          </cell>
          <cell r="F1423" t="str">
            <v>P03</v>
          </cell>
          <cell r="G1423" t="str">
            <v xml:space="preserve">Top panel  - Ván nóc </v>
          </cell>
          <cell r="H1423" t="str">
            <v>MDF - 12 x 1830 x 2440mm [CARB P2 Compliant]</v>
          </cell>
          <cell r="I1423">
            <v>10</v>
          </cell>
        </row>
        <row r="1424">
          <cell r="A1424" t="str">
            <v>B557806/A</v>
          </cell>
          <cell r="B1424" t="str">
            <v>CZ069M191</v>
          </cell>
          <cell r="C1424">
            <v>10</v>
          </cell>
          <cell r="D1424">
            <v>544.11</v>
          </cell>
          <cell r="E1424">
            <v>5441.1</v>
          </cell>
          <cell r="F1424" t="str">
            <v>P04-1</v>
          </cell>
          <cell r="G1424" t="str">
            <v>Corner block - ke góc</v>
          </cell>
          <cell r="H1424" t="str">
            <v>Poplar off cut</v>
          </cell>
          <cell r="I1424">
            <v>20</v>
          </cell>
        </row>
        <row r="1425">
          <cell r="A1425" t="str">
            <v>B557806/A</v>
          </cell>
          <cell r="B1425" t="str">
            <v>CZ069M191</v>
          </cell>
          <cell r="C1425">
            <v>10</v>
          </cell>
          <cell r="D1425">
            <v>544.11</v>
          </cell>
          <cell r="E1425">
            <v>5441.1</v>
          </cell>
          <cell r="F1425" t="str">
            <v>P04-2</v>
          </cell>
          <cell r="G1425" t="str">
            <v>Corner block - ke góc</v>
          </cell>
          <cell r="H1425" t="str">
            <v>Poplar off cut</v>
          </cell>
          <cell r="I1425">
            <v>20</v>
          </cell>
        </row>
        <row r="1426">
          <cell r="A1426" t="str">
            <v>B557806/A</v>
          </cell>
          <cell r="B1426" t="str">
            <v>CZ069M191</v>
          </cell>
          <cell r="C1426">
            <v>10</v>
          </cell>
          <cell r="D1426">
            <v>544.11</v>
          </cell>
          <cell r="E1426">
            <v>5441.1</v>
          </cell>
          <cell r="F1426" t="str">
            <v>P04-3</v>
          </cell>
          <cell r="G1426" t="str">
            <v>Corner block - ke góc</v>
          </cell>
          <cell r="H1426" t="str">
            <v>Poplar off cut</v>
          </cell>
          <cell r="I1426">
            <v>40</v>
          </cell>
        </row>
        <row r="1427">
          <cell r="A1427" t="str">
            <v>B557806/A</v>
          </cell>
          <cell r="B1427" t="str">
            <v>CZ069M191</v>
          </cell>
          <cell r="C1427">
            <v>10</v>
          </cell>
          <cell r="D1427">
            <v>544.11</v>
          </cell>
          <cell r="E1427">
            <v>5441.1</v>
          </cell>
          <cell r="F1427" t="str">
            <v>P05</v>
          </cell>
          <cell r="G1427" t="str">
            <v>Partition panel - Vách ngăn</v>
          </cell>
          <cell r="H1427" t="str">
            <v>Wood US Poplar - Straight Edged, 2 COM - T25mm x W100mm Up x L1.8m Up</v>
          </cell>
          <cell r="I1427">
            <v>20</v>
          </cell>
        </row>
        <row r="1428">
          <cell r="A1428" t="str">
            <v>B557806/A</v>
          </cell>
          <cell r="B1428" t="str">
            <v>CZ069M191</v>
          </cell>
          <cell r="C1428">
            <v>10</v>
          </cell>
          <cell r="D1428">
            <v>544.11</v>
          </cell>
          <cell r="E1428">
            <v>5441.1</v>
          </cell>
          <cell r="F1428" t="str">
            <v>P06</v>
          </cell>
          <cell r="G1428" t="str">
            <v>Bottom panel - Ván đáy</v>
          </cell>
          <cell r="H1428" t="str">
            <v>MDF Veneer</v>
          </cell>
          <cell r="I1428">
            <v>10</v>
          </cell>
        </row>
        <row r="1429">
          <cell r="A1429" t="str">
            <v>B557806/A</v>
          </cell>
          <cell r="B1429" t="str">
            <v>CZ069M191</v>
          </cell>
          <cell r="C1429">
            <v>10</v>
          </cell>
          <cell r="D1429">
            <v>544.11</v>
          </cell>
          <cell r="E1429">
            <v>5441.1</v>
          </cell>
          <cell r="F1429" t="str">
            <v>P07</v>
          </cell>
          <cell r="G1429" t="str">
            <v>Patching wood - Gỗ đắp</v>
          </cell>
          <cell r="H1429" t="str">
            <v>Wood US Poplar - Straight Edged, 2 COM - T38mm x W100mm Up x L1.8m Up</v>
          </cell>
          <cell r="I1429">
            <v>20</v>
          </cell>
        </row>
        <row r="1430">
          <cell r="A1430" t="str">
            <v>B557806/A</v>
          </cell>
          <cell r="B1430" t="str">
            <v>CZ069M191</v>
          </cell>
          <cell r="C1430">
            <v>10</v>
          </cell>
          <cell r="D1430">
            <v>544.11</v>
          </cell>
          <cell r="E1430">
            <v>5441.1</v>
          </cell>
          <cell r="F1430" t="str">
            <v>P09</v>
          </cell>
          <cell r="G1430" t="str">
            <v>Back panel - Ván hậu</v>
          </cell>
          <cell r="H1430" t="str">
            <v>MDF - 15 x 1830 x 2440mm [CARB P2 Compliant]</v>
          </cell>
          <cell r="I1430">
            <v>10</v>
          </cell>
        </row>
        <row r="1431">
          <cell r="A1431" t="str">
            <v>B557806/A</v>
          </cell>
          <cell r="B1431" t="str">
            <v>CZ069M191</v>
          </cell>
          <cell r="C1431">
            <v>10</v>
          </cell>
          <cell r="D1431">
            <v>544.11</v>
          </cell>
          <cell r="E1431">
            <v>5441.1</v>
          </cell>
          <cell r="F1431" t="str">
            <v>P10</v>
          </cell>
          <cell r="G1431" t="str">
            <v>Center bottom rail - Đố đáy giữa</v>
          </cell>
          <cell r="H1431" t="str">
            <v>Wood US Poplar - Straight Edged, 2 COM - T38mm x W100mm Up x L1.8m Up</v>
          </cell>
          <cell r="I1431">
            <v>20</v>
          </cell>
        </row>
        <row r="1432">
          <cell r="A1432" t="str">
            <v>B557806/A</v>
          </cell>
          <cell r="B1432" t="str">
            <v>CZ069M191</v>
          </cell>
          <cell r="C1432">
            <v>10</v>
          </cell>
          <cell r="D1432">
            <v>544.11</v>
          </cell>
          <cell r="E1432">
            <v>5441.1</v>
          </cell>
          <cell r="F1432" t="str">
            <v>P11</v>
          </cell>
          <cell r="G1432" t="str">
            <v>Bottom panel - Ván đáy</v>
          </cell>
          <cell r="H1432" t="str">
            <v>MDF - 12 x 1830 x 2440mm [CARB P2 Compliant]</v>
          </cell>
          <cell r="I1432">
            <v>10</v>
          </cell>
        </row>
        <row r="1433">
          <cell r="A1433" t="str">
            <v>B557806/A</v>
          </cell>
          <cell r="B1433" t="str">
            <v>CZ069M191</v>
          </cell>
          <cell r="C1433">
            <v>10</v>
          </cell>
          <cell r="D1433">
            <v>544.11</v>
          </cell>
          <cell r="E1433">
            <v>5441.1</v>
          </cell>
          <cell r="F1433" t="str">
            <v>P12</v>
          </cell>
          <cell r="G1433" t="str">
            <v>Drawer stop - Dừng hộc</v>
          </cell>
          <cell r="H1433" t="str">
            <v>Poplar off cut</v>
          </cell>
          <cell r="I1433">
            <v>60</v>
          </cell>
        </row>
        <row r="1434">
          <cell r="A1434" t="str">
            <v>B557810/A</v>
          </cell>
          <cell r="B1434" t="str">
            <v>CZ127</v>
          </cell>
          <cell r="C1434">
            <v>32</v>
          </cell>
          <cell r="D1434">
            <v>513.64</v>
          </cell>
          <cell r="E1434">
            <v>16436.48</v>
          </cell>
          <cell r="F1434" t="str">
            <v>A1-S1</v>
          </cell>
          <cell r="G1434" t="str">
            <v>The leg  - Chân</v>
          </cell>
          <cell r="H1434" t="str">
            <v>Standard wood</v>
          </cell>
          <cell r="I1434">
            <v>128</v>
          </cell>
        </row>
        <row r="1435">
          <cell r="A1435" t="str">
            <v>B557810/A</v>
          </cell>
          <cell r="B1435" t="str">
            <v>CZ127</v>
          </cell>
          <cell r="C1435">
            <v>32</v>
          </cell>
          <cell r="D1435">
            <v>513.64</v>
          </cell>
          <cell r="E1435">
            <v>16436.48</v>
          </cell>
          <cell r="F1435" t="str">
            <v>A1-S2</v>
          </cell>
          <cell r="G1435" t="str">
            <v>front Top &amp; bottom rail  - Đố nóc và đố đáy trước</v>
          </cell>
          <cell r="H1435" t="str">
            <v>Wood laminate</v>
          </cell>
          <cell r="I1435">
            <v>64</v>
          </cell>
        </row>
        <row r="1436">
          <cell r="A1436" t="str">
            <v>B557810/A</v>
          </cell>
          <cell r="B1436" t="str">
            <v>CZ127</v>
          </cell>
          <cell r="C1436">
            <v>32</v>
          </cell>
          <cell r="D1436">
            <v>513.64</v>
          </cell>
          <cell r="E1436">
            <v>16436.48</v>
          </cell>
          <cell r="F1436" t="str">
            <v>A1-S3</v>
          </cell>
          <cell r="G1436" t="str">
            <v>Side top rail - Đố hông trên</v>
          </cell>
          <cell r="H1436" t="str">
            <v>Wood laminate</v>
          </cell>
          <cell r="I1436">
            <v>64</v>
          </cell>
        </row>
        <row r="1437">
          <cell r="A1437" t="str">
            <v>B557810/A</v>
          </cell>
          <cell r="B1437" t="str">
            <v>CZ127</v>
          </cell>
          <cell r="C1437">
            <v>32</v>
          </cell>
          <cell r="D1437">
            <v>513.64</v>
          </cell>
          <cell r="E1437">
            <v>16436.48</v>
          </cell>
          <cell r="F1437" t="str">
            <v>A1-S4</v>
          </cell>
          <cell r="G1437" t="str">
            <v>Center top rail - Đố nóc giữa</v>
          </cell>
          <cell r="H1437" t="str">
            <v>Wood laminate</v>
          </cell>
          <cell r="I1437">
            <v>32</v>
          </cell>
        </row>
        <row r="1438">
          <cell r="A1438" t="str">
            <v>B557810/A</v>
          </cell>
          <cell r="B1438" t="str">
            <v>CZ127</v>
          </cell>
          <cell r="C1438">
            <v>32</v>
          </cell>
          <cell r="D1438">
            <v>513.64</v>
          </cell>
          <cell r="E1438">
            <v>16436.48</v>
          </cell>
          <cell r="F1438" t="str">
            <v>A1-S5</v>
          </cell>
          <cell r="G1438" t="str">
            <v xml:space="preserve">Top panel  - Ván nóc </v>
          </cell>
          <cell r="H1438" t="str">
            <v>MDF Veneer</v>
          </cell>
          <cell r="I1438">
            <v>32</v>
          </cell>
        </row>
        <row r="1439">
          <cell r="A1439" t="str">
            <v>B557810/A</v>
          </cell>
          <cell r="B1439" t="str">
            <v>CZ127</v>
          </cell>
          <cell r="C1439">
            <v>32</v>
          </cell>
          <cell r="D1439">
            <v>513.64</v>
          </cell>
          <cell r="E1439">
            <v>16436.48</v>
          </cell>
          <cell r="F1439" t="str">
            <v>A1-S6</v>
          </cell>
          <cell r="G1439" t="str">
            <v>Center rail - Đố giữa</v>
          </cell>
          <cell r="H1439" t="str">
            <v>MDF OFF CUT</v>
          </cell>
          <cell r="I1439">
            <v>128</v>
          </cell>
        </row>
        <row r="1440">
          <cell r="A1440" t="str">
            <v>B557810/A</v>
          </cell>
          <cell r="B1440" t="str">
            <v>CZ127</v>
          </cell>
          <cell r="C1440">
            <v>32</v>
          </cell>
          <cell r="D1440">
            <v>513.64</v>
          </cell>
          <cell r="E1440">
            <v>16436.48</v>
          </cell>
          <cell r="F1440" t="str">
            <v>A1-S7</v>
          </cell>
          <cell r="G1440" t="str">
            <v>Dust board Panel  - Ván quét bụi</v>
          </cell>
          <cell r="H1440" t="str">
            <v>MDF Veneer</v>
          </cell>
          <cell r="I1440">
            <v>32</v>
          </cell>
        </row>
        <row r="1441">
          <cell r="A1441" t="str">
            <v>B557810/A</v>
          </cell>
          <cell r="B1441" t="str">
            <v>CZ127</v>
          </cell>
          <cell r="C1441">
            <v>32</v>
          </cell>
          <cell r="D1441">
            <v>513.64</v>
          </cell>
          <cell r="E1441">
            <v>16436.48</v>
          </cell>
          <cell r="F1441" t="str">
            <v>A1-S9-1</v>
          </cell>
          <cell r="G1441" t="str">
            <v>Corner block - ke góc</v>
          </cell>
          <cell r="H1441" t="str">
            <v>Poplar off cut</v>
          </cell>
          <cell r="I1441">
            <v>128</v>
          </cell>
        </row>
        <row r="1442">
          <cell r="A1442" t="str">
            <v>B557810/A</v>
          </cell>
          <cell r="B1442" t="str">
            <v>CZ127</v>
          </cell>
          <cell r="C1442">
            <v>32</v>
          </cell>
          <cell r="D1442">
            <v>513.64</v>
          </cell>
          <cell r="E1442">
            <v>16436.48</v>
          </cell>
          <cell r="F1442" t="str">
            <v>A2-S1</v>
          </cell>
          <cell r="G1442" t="str">
            <v>Front Bottom Rail  - Đố đáy trước</v>
          </cell>
          <cell r="H1442" t="str">
            <v>Wood laminate</v>
          </cell>
          <cell r="I1442">
            <v>64</v>
          </cell>
        </row>
        <row r="1443">
          <cell r="A1443" t="str">
            <v>B557810/A</v>
          </cell>
          <cell r="B1443" t="str">
            <v>CZ127</v>
          </cell>
          <cell r="C1443">
            <v>32</v>
          </cell>
          <cell r="D1443">
            <v>513.64</v>
          </cell>
          <cell r="E1443">
            <v>16436.48</v>
          </cell>
          <cell r="F1443" t="str">
            <v>A2-S2</v>
          </cell>
          <cell r="G1443" t="str">
            <v>Side bottom rail - Đố hông dưới</v>
          </cell>
          <cell r="H1443" t="str">
            <v>Wood laminate</v>
          </cell>
          <cell r="I1443">
            <v>64</v>
          </cell>
        </row>
        <row r="1444">
          <cell r="A1444" t="str">
            <v>B557810/A</v>
          </cell>
          <cell r="B1444" t="str">
            <v>CZ127</v>
          </cell>
          <cell r="C1444">
            <v>32</v>
          </cell>
          <cell r="D1444">
            <v>513.64</v>
          </cell>
          <cell r="E1444">
            <v>16436.48</v>
          </cell>
          <cell r="F1444" t="str">
            <v>A2-S3</v>
          </cell>
          <cell r="G1444" t="str">
            <v>Center rail - Đố giữa</v>
          </cell>
          <cell r="H1444" t="str">
            <v>MDF OFF CUT</v>
          </cell>
          <cell r="I1444">
            <v>128</v>
          </cell>
        </row>
        <row r="1445">
          <cell r="A1445" t="str">
            <v>B557810/A</v>
          </cell>
          <cell r="B1445" t="str">
            <v>CZ127</v>
          </cell>
          <cell r="C1445">
            <v>32</v>
          </cell>
          <cell r="D1445">
            <v>513.64</v>
          </cell>
          <cell r="E1445">
            <v>16436.48</v>
          </cell>
          <cell r="F1445" t="str">
            <v>A2-S4</v>
          </cell>
          <cell r="G1445" t="str">
            <v xml:space="preserve">Top panel  - Ván nóc </v>
          </cell>
          <cell r="H1445" t="str">
            <v>MDF Veneer</v>
          </cell>
          <cell r="I1445">
            <v>32</v>
          </cell>
        </row>
        <row r="1446">
          <cell r="A1446" t="str">
            <v>B557810/A</v>
          </cell>
          <cell r="B1446" t="str">
            <v>CZ127</v>
          </cell>
          <cell r="C1446">
            <v>32</v>
          </cell>
          <cell r="D1446">
            <v>513.64</v>
          </cell>
          <cell r="E1446">
            <v>16436.48</v>
          </cell>
          <cell r="F1446" t="str">
            <v>A2-S5</v>
          </cell>
          <cell r="G1446" t="str">
            <v>Corner block - ke góc</v>
          </cell>
          <cell r="H1446" t="str">
            <v>Poplar off cut</v>
          </cell>
          <cell r="I1446">
            <v>128</v>
          </cell>
        </row>
        <row r="1447">
          <cell r="A1447" t="str">
            <v>B557810/A</v>
          </cell>
          <cell r="B1447" t="str">
            <v>CZ127</v>
          </cell>
          <cell r="C1447">
            <v>32</v>
          </cell>
          <cell r="D1447">
            <v>513.64</v>
          </cell>
          <cell r="E1447">
            <v>16436.48</v>
          </cell>
          <cell r="F1447" t="str">
            <v>A2-S6</v>
          </cell>
          <cell r="G1447" t="str">
            <v>Dust board Panel  - Ván quét bụi</v>
          </cell>
          <cell r="H1447" t="str">
            <v>MDF - 06 x 1830 x 2440mm [CARB P2 Compliant]</v>
          </cell>
          <cell r="I1447">
            <v>32</v>
          </cell>
        </row>
        <row r="1448">
          <cell r="A1448" t="str">
            <v>B557810/A</v>
          </cell>
          <cell r="B1448" t="str">
            <v>CZ127</v>
          </cell>
          <cell r="C1448">
            <v>32</v>
          </cell>
          <cell r="D1448">
            <v>513.64</v>
          </cell>
          <cell r="E1448">
            <v>16436.48</v>
          </cell>
          <cell r="F1448" t="str">
            <v>A2-S7</v>
          </cell>
          <cell r="G1448" t="str">
            <v>Dust board Panel  - Ván quét bụi</v>
          </cell>
          <cell r="H1448" t="str">
            <v>MDF - 06 x 1830 x 2440mm [CARB P2 Compliant]</v>
          </cell>
          <cell r="I1448">
            <v>128</v>
          </cell>
        </row>
        <row r="1449">
          <cell r="A1449" t="str">
            <v>B557810/A</v>
          </cell>
          <cell r="B1449" t="str">
            <v>CZ127</v>
          </cell>
          <cell r="C1449">
            <v>32</v>
          </cell>
          <cell r="D1449">
            <v>513.64</v>
          </cell>
          <cell r="E1449">
            <v>16436.48</v>
          </cell>
          <cell r="F1449" t="str">
            <v>A2-S8</v>
          </cell>
          <cell r="G1449" t="str">
            <v>Corner block - ke góc</v>
          </cell>
          <cell r="H1449" t="str">
            <v>Standard Wood - ALDER/ASPEN/LENGA/US POPLAR, 2 COM - T38 W120mm+ L2m+</v>
          </cell>
          <cell r="I1449">
            <v>128</v>
          </cell>
        </row>
        <row r="1450">
          <cell r="A1450" t="str">
            <v>B557810/A</v>
          </cell>
          <cell r="B1450" t="str">
            <v>CZ127</v>
          </cell>
          <cell r="C1450">
            <v>32</v>
          </cell>
          <cell r="D1450">
            <v>513.64</v>
          </cell>
          <cell r="E1450">
            <v>16436.48</v>
          </cell>
          <cell r="F1450" t="str">
            <v>A2-S9</v>
          </cell>
          <cell r="G1450" t="str">
            <v>Center rail - Đố giữa</v>
          </cell>
          <cell r="H1450" t="str">
            <v>Wood laminate</v>
          </cell>
          <cell r="I1450">
            <v>32</v>
          </cell>
        </row>
        <row r="1451">
          <cell r="A1451" t="str">
            <v>B556601/A</v>
          </cell>
          <cell r="B1451" t="str">
            <v>CZ127M190</v>
          </cell>
          <cell r="C1451">
            <v>2</v>
          </cell>
          <cell r="D1451">
            <v>513.64</v>
          </cell>
          <cell r="E1451">
            <v>1027.28</v>
          </cell>
          <cell r="F1451" t="str">
            <v>A1-S1</v>
          </cell>
          <cell r="G1451" t="str">
            <v>The leg  - Chân</v>
          </cell>
          <cell r="H1451" t="str">
            <v>Standard wood</v>
          </cell>
          <cell r="I1451">
            <v>8</v>
          </cell>
        </row>
        <row r="1452">
          <cell r="A1452" t="str">
            <v>B556601/A</v>
          </cell>
          <cell r="B1452" t="str">
            <v>CZ127M190</v>
          </cell>
          <cell r="C1452">
            <v>2</v>
          </cell>
          <cell r="D1452">
            <v>513.64</v>
          </cell>
          <cell r="E1452">
            <v>1027.28</v>
          </cell>
          <cell r="F1452" t="str">
            <v>A1-S2</v>
          </cell>
          <cell r="G1452" t="str">
            <v>front Top &amp; bottom rail  - Đố nóc và đố đáy trước</v>
          </cell>
          <cell r="H1452" t="str">
            <v>Wood laminate</v>
          </cell>
          <cell r="I1452">
            <v>4</v>
          </cell>
        </row>
        <row r="1453">
          <cell r="A1453" t="str">
            <v>B556601/A</v>
          </cell>
          <cell r="B1453" t="str">
            <v>CZ127M190</v>
          </cell>
          <cell r="C1453">
            <v>2</v>
          </cell>
          <cell r="D1453">
            <v>513.64</v>
          </cell>
          <cell r="E1453">
            <v>1027.28</v>
          </cell>
          <cell r="F1453" t="str">
            <v>A1-S3</v>
          </cell>
          <cell r="G1453" t="str">
            <v>Side top rail - Đố hông trên</v>
          </cell>
          <cell r="H1453" t="str">
            <v>Wood laminate</v>
          </cell>
          <cell r="I1453">
            <v>4</v>
          </cell>
        </row>
        <row r="1454">
          <cell r="A1454" t="str">
            <v>B556601/A</v>
          </cell>
          <cell r="B1454" t="str">
            <v>CZ127M190</v>
          </cell>
          <cell r="C1454">
            <v>2</v>
          </cell>
          <cell r="D1454">
            <v>513.64</v>
          </cell>
          <cell r="E1454">
            <v>1027.28</v>
          </cell>
          <cell r="F1454" t="str">
            <v>A1-S4</v>
          </cell>
          <cell r="G1454" t="str">
            <v>Center top rail - Đố nóc giữa</v>
          </cell>
          <cell r="H1454" t="str">
            <v>Wood laminate</v>
          </cell>
          <cell r="I1454">
            <v>2</v>
          </cell>
        </row>
        <row r="1455">
          <cell r="A1455" t="str">
            <v>B556601/A</v>
          </cell>
          <cell r="B1455" t="str">
            <v>CZ127M190</v>
          </cell>
          <cell r="C1455">
            <v>2</v>
          </cell>
          <cell r="D1455">
            <v>513.64</v>
          </cell>
          <cell r="E1455">
            <v>1027.28</v>
          </cell>
          <cell r="F1455" t="str">
            <v>A1-S5</v>
          </cell>
          <cell r="G1455" t="str">
            <v xml:space="preserve">Top panel  - Ván nóc </v>
          </cell>
          <cell r="H1455" t="str">
            <v>MDF Veneer</v>
          </cell>
          <cell r="I1455">
            <v>2</v>
          </cell>
        </row>
        <row r="1456">
          <cell r="A1456" t="str">
            <v>B556601/A</v>
          </cell>
          <cell r="B1456" t="str">
            <v>CZ127M190</v>
          </cell>
          <cell r="C1456">
            <v>2</v>
          </cell>
          <cell r="D1456">
            <v>513.64</v>
          </cell>
          <cell r="E1456">
            <v>1027.28</v>
          </cell>
          <cell r="F1456" t="str">
            <v>A1-S6</v>
          </cell>
          <cell r="G1456" t="str">
            <v>Center rail - Đố giữa</v>
          </cell>
          <cell r="H1456" t="str">
            <v>MDF OFF CUT</v>
          </cell>
          <cell r="I1456">
            <v>8</v>
          </cell>
        </row>
        <row r="1457">
          <cell r="A1457" t="str">
            <v>B556601/A</v>
          </cell>
          <cell r="B1457" t="str">
            <v>CZ127M190</v>
          </cell>
          <cell r="C1457">
            <v>2</v>
          </cell>
          <cell r="D1457">
            <v>513.64</v>
          </cell>
          <cell r="E1457">
            <v>1027.28</v>
          </cell>
          <cell r="F1457" t="str">
            <v>A1-S7</v>
          </cell>
          <cell r="G1457" t="str">
            <v>Bottom panel - Ván đáy</v>
          </cell>
          <cell r="H1457" t="str">
            <v>MDF Veneer</v>
          </cell>
          <cell r="I1457">
            <v>2</v>
          </cell>
        </row>
        <row r="1458">
          <cell r="A1458" t="str">
            <v>B556601/A</v>
          </cell>
          <cell r="B1458" t="str">
            <v>CZ127M190</v>
          </cell>
          <cell r="C1458">
            <v>2</v>
          </cell>
          <cell r="D1458">
            <v>513.64</v>
          </cell>
          <cell r="E1458">
            <v>1027.28</v>
          </cell>
          <cell r="F1458" t="str">
            <v>A1-S9-1</v>
          </cell>
          <cell r="G1458" t="str">
            <v>Corner block - ke góc</v>
          </cell>
          <cell r="H1458" t="str">
            <v>Poplar off cut</v>
          </cell>
          <cell r="I1458">
            <v>8</v>
          </cell>
        </row>
        <row r="1459">
          <cell r="A1459" t="str">
            <v>B556601/A</v>
          </cell>
          <cell r="B1459" t="str">
            <v>CZ127M190</v>
          </cell>
          <cell r="C1459">
            <v>2</v>
          </cell>
          <cell r="D1459">
            <v>513.64</v>
          </cell>
          <cell r="E1459">
            <v>1027.28</v>
          </cell>
          <cell r="F1459" t="str">
            <v>A2-S1</v>
          </cell>
          <cell r="G1459" t="str">
            <v>Front Bottom Rail  - Đố đáy trước</v>
          </cell>
          <cell r="H1459" t="str">
            <v>Wood laminate</v>
          </cell>
          <cell r="I1459">
            <v>4</v>
          </cell>
        </row>
        <row r="1460">
          <cell r="A1460" t="str">
            <v>B556601/A</v>
          </cell>
          <cell r="B1460" t="str">
            <v>CZ127M190</v>
          </cell>
          <cell r="C1460">
            <v>2</v>
          </cell>
          <cell r="D1460">
            <v>513.64</v>
          </cell>
          <cell r="E1460">
            <v>1027.28</v>
          </cell>
          <cell r="F1460" t="str">
            <v>A2-S2</v>
          </cell>
          <cell r="G1460" t="str">
            <v>Side bottom rail - Đố hông dưới</v>
          </cell>
          <cell r="H1460" t="str">
            <v>Wood laminate</v>
          </cell>
          <cell r="I1460">
            <v>4</v>
          </cell>
        </row>
        <row r="1461">
          <cell r="A1461" t="str">
            <v>B556601/A</v>
          </cell>
          <cell r="B1461" t="str">
            <v>CZ127M190</v>
          </cell>
          <cell r="C1461">
            <v>2</v>
          </cell>
          <cell r="D1461">
            <v>513.64</v>
          </cell>
          <cell r="E1461">
            <v>1027.28</v>
          </cell>
          <cell r="F1461" t="str">
            <v>A2-S3</v>
          </cell>
          <cell r="G1461" t="str">
            <v>Center bottom rail - Đố đáy giữa</v>
          </cell>
          <cell r="H1461" t="str">
            <v>MDF OFF CUT</v>
          </cell>
          <cell r="I1461">
            <v>8</v>
          </cell>
        </row>
        <row r="1462">
          <cell r="A1462" t="str">
            <v>B556601/A</v>
          </cell>
          <cell r="B1462" t="str">
            <v>CZ127M190</v>
          </cell>
          <cell r="C1462">
            <v>2</v>
          </cell>
          <cell r="D1462">
            <v>513.64</v>
          </cell>
          <cell r="E1462">
            <v>1027.28</v>
          </cell>
          <cell r="F1462" t="str">
            <v>A2-S4</v>
          </cell>
          <cell r="G1462" t="str">
            <v xml:space="preserve">Top panel  - Ván nóc </v>
          </cell>
          <cell r="H1462" t="str">
            <v>MDF Veneer</v>
          </cell>
          <cell r="I1462">
            <v>2</v>
          </cell>
        </row>
        <row r="1463">
          <cell r="A1463" t="str">
            <v>B556601/A</v>
          </cell>
          <cell r="B1463" t="str">
            <v>CZ127M190</v>
          </cell>
          <cell r="C1463">
            <v>2</v>
          </cell>
          <cell r="D1463">
            <v>513.64</v>
          </cell>
          <cell r="E1463">
            <v>1027.28</v>
          </cell>
          <cell r="F1463" t="str">
            <v>A2-S5</v>
          </cell>
          <cell r="G1463" t="str">
            <v>Corner block - ke góc</v>
          </cell>
          <cell r="H1463" t="str">
            <v>Poplar off cut</v>
          </cell>
          <cell r="I1463">
            <v>8</v>
          </cell>
        </row>
        <row r="1464">
          <cell r="A1464" t="str">
            <v>B556601/A</v>
          </cell>
          <cell r="B1464" t="str">
            <v>CZ127M190</v>
          </cell>
          <cell r="C1464">
            <v>2</v>
          </cell>
          <cell r="D1464">
            <v>513.64</v>
          </cell>
          <cell r="E1464">
            <v>1027.28</v>
          </cell>
          <cell r="F1464" t="str">
            <v>A2-S6</v>
          </cell>
          <cell r="G1464" t="str">
            <v>Bottom panel - Ván đáy</v>
          </cell>
          <cell r="H1464" t="str">
            <v>MDF - 06 x 1830 x 2440mm [CARB P2 Compliant]</v>
          </cell>
          <cell r="I1464">
            <v>2</v>
          </cell>
        </row>
        <row r="1465">
          <cell r="A1465" t="str">
            <v>B556601/A</v>
          </cell>
          <cell r="B1465" t="str">
            <v>CZ127M190</v>
          </cell>
          <cell r="C1465">
            <v>2</v>
          </cell>
          <cell r="D1465">
            <v>513.64</v>
          </cell>
          <cell r="E1465">
            <v>1027.28</v>
          </cell>
          <cell r="F1465" t="str">
            <v>A2-S7</v>
          </cell>
          <cell r="G1465" t="str">
            <v>Dust board Panel  - Ván quét bụi</v>
          </cell>
          <cell r="H1465" t="str">
            <v>MDF - 06 x 1830 x 2440mm [CARB P2 Compliant]</v>
          </cell>
          <cell r="I1465">
            <v>8</v>
          </cell>
        </row>
        <row r="1466">
          <cell r="A1466" t="str">
            <v>B556601/A</v>
          </cell>
          <cell r="B1466" t="str">
            <v>CZ127M190</v>
          </cell>
          <cell r="C1466">
            <v>2</v>
          </cell>
          <cell r="D1466">
            <v>513.64</v>
          </cell>
          <cell r="E1466">
            <v>1027.28</v>
          </cell>
          <cell r="F1466" t="str">
            <v>A2-S8</v>
          </cell>
          <cell r="G1466" t="str">
            <v>Corner block - ke góc</v>
          </cell>
          <cell r="H1466" t="str">
            <v>Standard Wood - ALDER/ASPEN/LENGA/US POPLAR, 2 COM - T38 W120mm+ L2m+</v>
          </cell>
          <cell r="I1466">
            <v>8</v>
          </cell>
        </row>
        <row r="1467">
          <cell r="A1467" t="str">
            <v>B556601/A</v>
          </cell>
          <cell r="B1467" t="str">
            <v>CZ127M190</v>
          </cell>
          <cell r="C1467">
            <v>2</v>
          </cell>
          <cell r="D1467">
            <v>513.64</v>
          </cell>
          <cell r="E1467">
            <v>1027.28</v>
          </cell>
          <cell r="F1467" t="str">
            <v>A2-S9</v>
          </cell>
          <cell r="G1467" t="str">
            <v>Center bottom rail - Đố đáy giữa</v>
          </cell>
          <cell r="H1467" t="str">
            <v>Wood EU Beech - Straight/Waving Edged ABC, 2 COM - T38mm x W100mm up x L1.8m up</v>
          </cell>
          <cell r="I1467">
            <v>2</v>
          </cell>
        </row>
        <row r="1468">
          <cell r="A1468" t="str">
            <v>B557820/A</v>
          </cell>
          <cell r="B1468" t="str">
            <v>CZ127M191</v>
          </cell>
          <cell r="C1468">
            <v>7</v>
          </cell>
          <cell r="D1468">
            <v>513.64</v>
          </cell>
          <cell r="E1468">
            <v>3595.48</v>
          </cell>
          <cell r="F1468" t="str">
            <v>A1-S1</v>
          </cell>
          <cell r="G1468" t="str">
            <v>The leg  - Chân</v>
          </cell>
          <cell r="H1468" t="str">
            <v>Standard wood</v>
          </cell>
          <cell r="I1468">
            <v>28</v>
          </cell>
        </row>
        <row r="1469">
          <cell r="A1469" t="str">
            <v>B557820/A</v>
          </cell>
          <cell r="B1469" t="str">
            <v>CZ127M191</v>
          </cell>
          <cell r="C1469">
            <v>7</v>
          </cell>
          <cell r="D1469">
            <v>513.64</v>
          </cell>
          <cell r="E1469">
            <v>3595.48</v>
          </cell>
          <cell r="F1469" t="str">
            <v>A1-S2</v>
          </cell>
          <cell r="G1469" t="str">
            <v>front Top &amp; bottom rail  - Đố nóc và đố đáy trước</v>
          </cell>
          <cell r="H1469" t="str">
            <v>Wood laminate</v>
          </cell>
          <cell r="I1469">
            <v>14</v>
          </cell>
        </row>
        <row r="1470">
          <cell r="A1470" t="str">
            <v>B557820/A</v>
          </cell>
          <cell r="B1470" t="str">
            <v>CZ127M191</v>
          </cell>
          <cell r="C1470">
            <v>7</v>
          </cell>
          <cell r="D1470">
            <v>513.64</v>
          </cell>
          <cell r="E1470">
            <v>3595.48</v>
          </cell>
          <cell r="F1470" t="str">
            <v>A1-S3</v>
          </cell>
          <cell r="G1470" t="str">
            <v>Side top rail - Đố hông trên</v>
          </cell>
          <cell r="H1470" t="str">
            <v>Wood laminate</v>
          </cell>
          <cell r="I1470">
            <v>14</v>
          </cell>
        </row>
        <row r="1471">
          <cell r="A1471" t="str">
            <v>B557820/A</v>
          </cell>
          <cell r="B1471" t="str">
            <v>CZ127M191</v>
          </cell>
          <cell r="C1471">
            <v>7</v>
          </cell>
          <cell r="D1471">
            <v>513.64</v>
          </cell>
          <cell r="E1471">
            <v>3595.48</v>
          </cell>
          <cell r="F1471" t="str">
            <v>A1-S4</v>
          </cell>
          <cell r="G1471" t="str">
            <v>Center top rail - Đố nóc giữa</v>
          </cell>
          <cell r="H1471" t="str">
            <v>Wood laminate</v>
          </cell>
          <cell r="I1471">
            <v>7</v>
          </cell>
        </row>
        <row r="1472">
          <cell r="A1472" t="str">
            <v>B557820/A</v>
          </cell>
          <cell r="B1472" t="str">
            <v>CZ127M191</v>
          </cell>
          <cell r="C1472">
            <v>7</v>
          </cell>
          <cell r="D1472">
            <v>513.64</v>
          </cell>
          <cell r="E1472">
            <v>3595.48</v>
          </cell>
          <cell r="F1472" t="str">
            <v>A1-S5</v>
          </cell>
          <cell r="G1472" t="str">
            <v xml:space="preserve">Top panel  - Ván nóc </v>
          </cell>
          <cell r="H1472" t="str">
            <v>MDF Veneer</v>
          </cell>
          <cell r="I1472">
            <v>7</v>
          </cell>
        </row>
        <row r="1473">
          <cell r="A1473" t="str">
            <v>B557820/A</v>
          </cell>
          <cell r="B1473" t="str">
            <v>CZ127M191</v>
          </cell>
          <cell r="C1473">
            <v>7</v>
          </cell>
          <cell r="D1473">
            <v>513.64</v>
          </cell>
          <cell r="E1473">
            <v>3595.48</v>
          </cell>
          <cell r="F1473" t="str">
            <v>A1-S6</v>
          </cell>
          <cell r="G1473" t="str">
            <v>Center rail - Đố giữa</v>
          </cell>
          <cell r="H1473" t="str">
            <v>MDF OFF CUT</v>
          </cell>
          <cell r="I1473">
            <v>28</v>
          </cell>
        </row>
        <row r="1474">
          <cell r="A1474" t="str">
            <v>B557820/A</v>
          </cell>
          <cell r="B1474" t="str">
            <v>CZ127M191</v>
          </cell>
          <cell r="C1474">
            <v>7</v>
          </cell>
          <cell r="D1474">
            <v>513.64</v>
          </cell>
          <cell r="E1474">
            <v>3595.48</v>
          </cell>
          <cell r="F1474" t="str">
            <v>A1-S7</v>
          </cell>
          <cell r="G1474" t="str">
            <v>Dust board Panel  - Ván quét bụi</v>
          </cell>
          <cell r="H1474" t="str">
            <v>MDF Veneer</v>
          </cell>
          <cell r="I1474">
            <v>7</v>
          </cell>
        </row>
        <row r="1475">
          <cell r="A1475" t="str">
            <v>B557820/A</v>
          </cell>
          <cell r="B1475" t="str">
            <v>CZ127M191</v>
          </cell>
          <cell r="C1475">
            <v>7</v>
          </cell>
          <cell r="D1475">
            <v>513.64</v>
          </cell>
          <cell r="E1475">
            <v>3595.48</v>
          </cell>
          <cell r="F1475" t="str">
            <v>A1-S9-1</v>
          </cell>
          <cell r="G1475" t="str">
            <v>Corner block - ke góc</v>
          </cell>
          <cell r="H1475" t="str">
            <v>Poplar off cut</v>
          </cell>
          <cell r="I1475">
            <v>28</v>
          </cell>
        </row>
        <row r="1476">
          <cell r="A1476" t="str">
            <v>B557820/A</v>
          </cell>
          <cell r="B1476" t="str">
            <v>CZ127M191</v>
          </cell>
          <cell r="C1476">
            <v>7</v>
          </cell>
          <cell r="D1476">
            <v>513.64</v>
          </cell>
          <cell r="E1476">
            <v>3595.48</v>
          </cell>
          <cell r="F1476" t="str">
            <v>A2-S1</v>
          </cell>
          <cell r="G1476" t="str">
            <v>Front Bottom Rail  - Đố đáy trước</v>
          </cell>
          <cell r="H1476" t="str">
            <v>Wood laminate</v>
          </cell>
          <cell r="I1476">
            <v>14</v>
          </cell>
        </row>
        <row r="1477">
          <cell r="A1477" t="str">
            <v>B557820/A</v>
          </cell>
          <cell r="B1477" t="str">
            <v>CZ127M191</v>
          </cell>
          <cell r="C1477">
            <v>7</v>
          </cell>
          <cell r="D1477">
            <v>513.64</v>
          </cell>
          <cell r="E1477">
            <v>3595.48</v>
          </cell>
          <cell r="F1477" t="str">
            <v>A2-S2</v>
          </cell>
          <cell r="G1477" t="str">
            <v>Side bottom rail - Đố hông dưới</v>
          </cell>
          <cell r="H1477" t="str">
            <v>Wood laminate</v>
          </cell>
          <cell r="I1477">
            <v>14</v>
          </cell>
        </row>
        <row r="1478">
          <cell r="A1478" t="str">
            <v>B557820/A</v>
          </cell>
          <cell r="B1478" t="str">
            <v>CZ127M191</v>
          </cell>
          <cell r="C1478">
            <v>7</v>
          </cell>
          <cell r="D1478">
            <v>513.64</v>
          </cell>
          <cell r="E1478">
            <v>3595.48</v>
          </cell>
          <cell r="F1478" t="str">
            <v>A2-S3</v>
          </cell>
          <cell r="G1478" t="str">
            <v>Center rail - Đố giữa</v>
          </cell>
          <cell r="H1478" t="str">
            <v>MDF OFF CUT</v>
          </cell>
          <cell r="I1478">
            <v>28</v>
          </cell>
        </row>
        <row r="1479">
          <cell r="A1479" t="str">
            <v>B557820/A</v>
          </cell>
          <cell r="B1479" t="str">
            <v>CZ127M191</v>
          </cell>
          <cell r="C1479">
            <v>7</v>
          </cell>
          <cell r="D1479">
            <v>513.64</v>
          </cell>
          <cell r="E1479">
            <v>3595.48</v>
          </cell>
          <cell r="F1479" t="str">
            <v>A2-S4</v>
          </cell>
          <cell r="G1479" t="str">
            <v xml:space="preserve">Top panel  - Ván nóc </v>
          </cell>
          <cell r="H1479" t="str">
            <v>MDF Veneer</v>
          </cell>
          <cell r="I1479">
            <v>7</v>
          </cell>
        </row>
        <row r="1480">
          <cell r="A1480" t="str">
            <v>B557820/A</v>
          </cell>
          <cell r="B1480" t="str">
            <v>CZ127M191</v>
          </cell>
          <cell r="C1480">
            <v>7</v>
          </cell>
          <cell r="D1480">
            <v>513.64</v>
          </cell>
          <cell r="E1480">
            <v>3595.48</v>
          </cell>
          <cell r="F1480" t="str">
            <v>A2-S5</v>
          </cell>
          <cell r="G1480" t="str">
            <v>Corner block - ke góc</v>
          </cell>
          <cell r="H1480" t="str">
            <v>Poplar off cut</v>
          </cell>
          <cell r="I1480">
            <v>28</v>
          </cell>
        </row>
        <row r="1481">
          <cell r="A1481" t="str">
            <v>B557820/A</v>
          </cell>
          <cell r="B1481" t="str">
            <v>CZ127M191</v>
          </cell>
          <cell r="C1481">
            <v>7</v>
          </cell>
          <cell r="D1481">
            <v>513.64</v>
          </cell>
          <cell r="E1481">
            <v>3595.48</v>
          </cell>
          <cell r="F1481" t="str">
            <v>A2-S6</v>
          </cell>
          <cell r="G1481" t="str">
            <v>Dust board Panel  - Ván quét bụi</v>
          </cell>
          <cell r="H1481" t="str">
            <v>MDF - 06 x 1830 x 2440mm [CARB P2 Compliant]</v>
          </cell>
          <cell r="I1481">
            <v>7</v>
          </cell>
        </row>
        <row r="1482">
          <cell r="A1482" t="str">
            <v>B557820/A</v>
          </cell>
          <cell r="B1482" t="str">
            <v>CZ127M191</v>
          </cell>
          <cell r="C1482">
            <v>7</v>
          </cell>
          <cell r="D1482">
            <v>513.64</v>
          </cell>
          <cell r="E1482">
            <v>3595.48</v>
          </cell>
          <cell r="F1482" t="str">
            <v>A2-S7</v>
          </cell>
          <cell r="G1482" t="str">
            <v>Dust board Panel  - Ván quét bụi</v>
          </cell>
          <cell r="H1482" t="str">
            <v>MDF - 06 x 1830 x 2440mm [CARB P2 Compliant]</v>
          </cell>
          <cell r="I1482">
            <v>28</v>
          </cell>
        </row>
        <row r="1483">
          <cell r="A1483" t="str">
            <v>B557820/A</v>
          </cell>
          <cell r="B1483" t="str">
            <v>CZ127M191</v>
          </cell>
          <cell r="C1483">
            <v>7</v>
          </cell>
          <cell r="D1483">
            <v>513.64</v>
          </cell>
          <cell r="E1483">
            <v>3595.48</v>
          </cell>
          <cell r="F1483" t="str">
            <v>A2-S8</v>
          </cell>
          <cell r="G1483" t="str">
            <v>Corner block - ke góc</v>
          </cell>
          <cell r="H1483" t="str">
            <v>Standard Wood - ALDER/ASPEN/LENGA/US POPLAR, 2 COM - T38 W120mm+ L2m+</v>
          </cell>
          <cell r="I1483">
            <v>28</v>
          </cell>
        </row>
        <row r="1484">
          <cell r="A1484" t="str">
            <v>B557820/A</v>
          </cell>
          <cell r="B1484" t="str">
            <v>CZ127M191</v>
          </cell>
          <cell r="C1484">
            <v>7</v>
          </cell>
          <cell r="D1484">
            <v>513.64</v>
          </cell>
          <cell r="E1484">
            <v>3595.48</v>
          </cell>
          <cell r="F1484" t="str">
            <v>A2-S9</v>
          </cell>
          <cell r="G1484" t="str">
            <v>Center rail - Đố giữa</v>
          </cell>
          <cell r="H1484" t="str">
            <v>Wood laminate</v>
          </cell>
          <cell r="I1484">
            <v>7</v>
          </cell>
        </row>
        <row r="1485">
          <cell r="A1485" t="str">
            <v>B557823/A</v>
          </cell>
          <cell r="B1485" t="str">
            <v>CZ129</v>
          </cell>
          <cell r="C1485">
            <v>25</v>
          </cell>
          <cell r="D1485">
            <v>607.13</v>
          </cell>
          <cell r="E1485">
            <v>15178.25</v>
          </cell>
          <cell r="F1485" t="str">
            <v>A1-S1</v>
          </cell>
          <cell r="G1485" t="str">
            <v>Front Vertical rail  - Trụ tiền</v>
          </cell>
          <cell r="H1485" t="str">
            <v>Poplar 2 COM</v>
          </cell>
          <cell r="I1485">
            <v>50</v>
          </cell>
        </row>
        <row r="1486">
          <cell r="A1486" t="str">
            <v>B557823/A</v>
          </cell>
          <cell r="B1486" t="str">
            <v>CZ129</v>
          </cell>
          <cell r="C1486">
            <v>25</v>
          </cell>
          <cell r="D1486">
            <v>607.13</v>
          </cell>
          <cell r="E1486">
            <v>15178.25</v>
          </cell>
          <cell r="F1486" t="str">
            <v>A1-S2</v>
          </cell>
          <cell r="G1486" t="str">
            <v>Back Vertical rail - Trụ hậu</v>
          </cell>
          <cell r="H1486" t="str">
            <v>Poplar 2 COM</v>
          </cell>
          <cell r="I1486">
            <v>50</v>
          </cell>
        </row>
        <row r="1487">
          <cell r="A1487" t="str">
            <v>B557823/A</v>
          </cell>
          <cell r="B1487" t="str">
            <v>CZ129</v>
          </cell>
          <cell r="C1487">
            <v>25</v>
          </cell>
          <cell r="D1487">
            <v>607.13</v>
          </cell>
          <cell r="E1487">
            <v>15178.25</v>
          </cell>
          <cell r="F1487" t="str">
            <v>A1-S3</v>
          </cell>
          <cell r="G1487" t="str">
            <v xml:space="preserve">Side panel  - Ván hông </v>
          </cell>
          <cell r="H1487" t="str">
            <v>Standard Wood - ALDER/ASPEN/LENGA/US POPLAR, 2 COM - T25 W120mm+ L2m+</v>
          </cell>
          <cell r="I1487">
            <v>50</v>
          </cell>
        </row>
        <row r="1488">
          <cell r="A1488" t="str">
            <v>B557823/A</v>
          </cell>
          <cell r="B1488" t="str">
            <v>CZ129</v>
          </cell>
          <cell r="C1488">
            <v>25</v>
          </cell>
          <cell r="D1488">
            <v>607.13</v>
          </cell>
          <cell r="E1488">
            <v>15178.25</v>
          </cell>
          <cell r="F1488" t="str">
            <v>A3-S1</v>
          </cell>
          <cell r="G1488" t="str">
            <v xml:space="preserve">Drawer front - Mặt hộc kéo </v>
          </cell>
          <cell r="H1488" t="str">
            <v>Standard Wood - ALDER/ASPEN/LENGA/US POPLAR, 2 COM - T25 W120mm+ L2m+</v>
          </cell>
          <cell r="I1488">
            <v>75</v>
          </cell>
        </row>
        <row r="1489">
          <cell r="A1489" t="str">
            <v>B557823/A</v>
          </cell>
          <cell r="B1489" t="str">
            <v>CZ129</v>
          </cell>
          <cell r="C1489">
            <v>25</v>
          </cell>
          <cell r="D1489">
            <v>607.13</v>
          </cell>
          <cell r="E1489">
            <v>15178.25</v>
          </cell>
          <cell r="F1489" t="str">
            <v>A3-S2</v>
          </cell>
          <cell r="G1489" t="str">
            <v>Drawer side - Hông hộc kéo</v>
          </cell>
          <cell r="H1489" t="str">
            <v>Standard Wood - ALDER/ASPEN/LENGA/US POPLAR, 2 COM - T25 W120mm+ L2m+</v>
          </cell>
          <cell r="I1489">
            <v>150</v>
          </cell>
        </row>
        <row r="1490">
          <cell r="A1490" t="str">
            <v>B557823/A</v>
          </cell>
          <cell r="B1490" t="str">
            <v>CZ129</v>
          </cell>
          <cell r="C1490">
            <v>25</v>
          </cell>
          <cell r="D1490">
            <v>607.13</v>
          </cell>
          <cell r="E1490">
            <v>15178.25</v>
          </cell>
          <cell r="F1490" t="str">
            <v>A3-S3</v>
          </cell>
          <cell r="G1490" t="str">
            <v>Drawer back - Hậu hộc kéo</v>
          </cell>
          <cell r="H1490" t="str">
            <v>Standard Wood - ALDER/ASPEN/LENGA/US POPLAR, 2 COM - T38 W120mm+ L2m+</v>
          </cell>
          <cell r="I1490">
            <v>75</v>
          </cell>
        </row>
        <row r="1491">
          <cell r="A1491" t="str">
            <v>B557823/A</v>
          </cell>
          <cell r="B1491" t="str">
            <v>CZ129</v>
          </cell>
          <cell r="C1491">
            <v>25</v>
          </cell>
          <cell r="D1491">
            <v>607.13</v>
          </cell>
          <cell r="E1491">
            <v>15178.25</v>
          </cell>
          <cell r="F1491" t="str">
            <v>A3-S4</v>
          </cell>
          <cell r="G1491" t="str">
            <v>Drawer bottom  - Đáy hộc kéo</v>
          </cell>
          <cell r="H1491" t="str">
            <v>MDF - 06 x 1220 x 2440mm, Veneer Okoume 0.3mm Both Faces [CARB P2 Compliant]</v>
          </cell>
          <cell r="I1491">
            <v>75</v>
          </cell>
        </row>
        <row r="1492">
          <cell r="A1492" t="str">
            <v>B557823/A</v>
          </cell>
          <cell r="B1492" t="str">
            <v>CZ129</v>
          </cell>
          <cell r="C1492">
            <v>25</v>
          </cell>
          <cell r="D1492">
            <v>607.13</v>
          </cell>
          <cell r="E1492">
            <v>15178.25</v>
          </cell>
          <cell r="F1492" t="str">
            <v>A3-S6</v>
          </cell>
          <cell r="G1492" t="str">
            <v>Patching wood - Gỗ đắp</v>
          </cell>
          <cell r="H1492" t="str">
            <v>Wood US Poplar - Straight Edged, 2 COM - T38mm x W100mm Up x L1.8m Up</v>
          </cell>
          <cell r="I1492">
            <v>150</v>
          </cell>
        </row>
        <row r="1493">
          <cell r="A1493" t="str">
            <v>B557823/A</v>
          </cell>
          <cell r="B1493" t="str">
            <v>CZ129</v>
          </cell>
          <cell r="C1493">
            <v>25</v>
          </cell>
          <cell r="D1493">
            <v>607.13</v>
          </cell>
          <cell r="E1493">
            <v>15178.25</v>
          </cell>
          <cell r="F1493" t="str">
            <v>P01</v>
          </cell>
          <cell r="G1493" t="str">
            <v>Front top rail  - Đố tiền nóc</v>
          </cell>
          <cell r="H1493" t="str">
            <v>Standard Wood - ALDER/ASPEN/LENGA/US POPLAR, 2 COM - T50 W120mm+ L2m+</v>
          </cell>
          <cell r="I1493">
            <v>25</v>
          </cell>
        </row>
        <row r="1494">
          <cell r="A1494" t="str">
            <v>B557823/A</v>
          </cell>
          <cell r="B1494" t="str">
            <v>CZ129</v>
          </cell>
          <cell r="C1494">
            <v>25</v>
          </cell>
          <cell r="D1494">
            <v>607.13</v>
          </cell>
          <cell r="E1494">
            <v>15178.25</v>
          </cell>
          <cell r="F1494" t="str">
            <v>P02</v>
          </cell>
          <cell r="G1494" t="str">
            <v xml:space="preserve">Top panel  - Ván nóc </v>
          </cell>
          <cell r="H1494" t="str">
            <v>MDF Veneer</v>
          </cell>
          <cell r="I1494">
            <v>25</v>
          </cell>
        </row>
        <row r="1495">
          <cell r="A1495" t="str">
            <v>B557823/A</v>
          </cell>
          <cell r="B1495" t="str">
            <v>CZ129</v>
          </cell>
          <cell r="C1495">
            <v>25</v>
          </cell>
          <cell r="D1495">
            <v>607.13</v>
          </cell>
          <cell r="E1495">
            <v>15178.25</v>
          </cell>
          <cell r="F1495" t="str">
            <v>P04</v>
          </cell>
          <cell r="G1495" t="str">
            <v>Partition panel - Vách ngăn</v>
          </cell>
          <cell r="H1495" t="str">
            <v>Standard Wood - ALDER/ASPEN/LENGA/US POPLAR, 2 COM - T25 W120mm+ L2m+</v>
          </cell>
          <cell r="I1495">
            <v>50</v>
          </cell>
        </row>
        <row r="1496">
          <cell r="A1496" t="str">
            <v>B557823/A</v>
          </cell>
          <cell r="B1496" t="str">
            <v>CZ129</v>
          </cell>
          <cell r="C1496">
            <v>25</v>
          </cell>
          <cell r="D1496">
            <v>607.13</v>
          </cell>
          <cell r="E1496">
            <v>15178.25</v>
          </cell>
          <cell r="F1496" t="str">
            <v>P05</v>
          </cell>
          <cell r="G1496" t="str">
            <v>Bottom panel - Ván đáy</v>
          </cell>
          <cell r="H1496" t="str">
            <v>MDF Veneer</v>
          </cell>
          <cell r="I1496">
            <v>25</v>
          </cell>
        </row>
        <row r="1497">
          <cell r="A1497" t="str">
            <v>B557823/A</v>
          </cell>
          <cell r="B1497" t="str">
            <v>CZ129</v>
          </cell>
          <cell r="C1497">
            <v>25</v>
          </cell>
          <cell r="D1497">
            <v>607.13</v>
          </cell>
          <cell r="E1497">
            <v>15178.25</v>
          </cell>
          <cell r="F1497" t="str">
            <v>P06</v>
          </cell>
          <cell r="G1497" t="str">
            <v>Patching wood - Gỗ đắp</v>
          </cell>
          <cell r="H1497" t="str">
            <v>Standard Wood - ALDER/ASPEN/LENGA/US POPLAR, 2 COM - T25 W120mm+ L2m+</v>
          </cell>
          <cell r="I1497">
            <v>50</v>
          </cell>
        </row>
        <row r="1498">
          <cell r="A1498" t="str">
            <v>B557823/A</v>
          </cell>
          <cell r="B1498" t="str">
            <v>CZ129</v>
          </cell>
          <cell r="C1498">
            <v>25</v>
          </cell>
          <cell r="D1498">
            <v>607.13</v>
          </cell>
          <cell r="E1498">
            <v>15178.25</v>
          </cell>
          <cell r="F1498" t="str">
            <v>P07</v>
          </cell>
          <cell r="G1498" t="str">
            <v>Back panel - Ván hậu</v>
          </cell>
          <cell r="H1498" t="str">
            <v>Standard Wood - ALDER/ASPEN/LENGA/US POPLAR, 2 COM - T25 W120mm+ L2m+</v>
          </cell>
          <cell r="I1498">
            <v>25</v>
          </cell>
        </row>
        <row r="1499">
          <cell r="A1499" t="str">
            <v>B557823/A</v>
          </cell>
          <cell r="B1499" t="str">
            <v>CZ129</v>
          </cell>
          <cell r="C1499">
            <v>25</v>
          </cell>
          <cell r="D1499">
            <v>607.13</v>
          </cell>
          <cell r="E1499">
            <v>15178.25</v>
          </cell>
          <cell r="F1499" t="str">
            <v>P08</v>
          </cell>
          <cell r="G1499" t="str">
            <v>Patching wood - Gỗ đắp</v>
          </cell>
          <cell r="H1499" t="str">
            <v>Standard Wood - ALDER/ASPEN/LENGA/US POPLAR, 2 COM - T38 W120mm+ L2m+</v>
          </cell>
          <cell r="I1499">
            <v>50</v>
          </cell>
        </row>
        <row r="1500">
          <cell r="A1500" t="str">
            <v>B557823/A</v>
          </cell>
          <cell r="B1500" t="str">
            <v>CZ129</v>
          </cell>
          <cell r="C1500">
            <v>25</v>
          </cell>
          <cell r="D1500">
            <v>607.13</v>
          </cell>
          <cell r="E1500">
            <v>15178.25</v>
          </cell>
          <cell r="F1500" t="str">
            <v>P09</v>
          </cell>
          <cell r="G1500" t="str">
            <v>Cleat - Bọ gỗ</v>
          </cell>
          <cell r="H1500" t="str">
            <v>Standard Wood - ALDER/ASPEN/LENGA/US POPLAR, 2 COM - T50 W120mm+ L2m+</v>
          </cell>
          <cell r="I1500">
            <v>50</v>
          </cell>
        </row>
        <row r="1501">
          <cell r="A1501" t="str">
            <v>B557823/A</v>
          </cell>
          <cell r="B1501" t="str">
            <v>CZ129</v>
          </cell>
          <cell r="C1501">
            <v>25</v>
          </cell>
          <cell r="D1501">
            <v>607.13</v>
          </cell>
          <cell r="E1501">
            <v>15178.25</v>
          </cell>
          <cell r="F1501" t="str">
            <v>P09-1</v>
          </cell>
          <cell r="G1501" t="str">
            <v>Cleat - Bọ gỗ</v>
          </cell>
          <cell r="H1501" t="str">
            <v>Poplar off cut</v>
          </cell>
          <cell r="I1501">
            <v>50</v>
          </cell>
        </row>
        <row r="1502">
          <cell r="A1502" t="str">
            <v>B557823/A</v>
          </cell>
          <cell r="B1502" t="str">
            <v>CZ129</v>
          </cell>
          <cell r="C1502">
            <v>25</v>
          </cell>
          <cell r="D1502">
            <v>607.13</v>
          </cell>
          <cell r="E1502">
            <v>15178.25</v>
          </cell>
          <cell r="F1502" t="str">
            <v>P10</v>
          </cell>
          <cell r="G1502" t="str">
            <v>Cleat - Bọ gỗ</v>
          </cell>
          <cell r="H1502" t="str">
            <v>Poplar off cut</v>
          </cell>
          <cell r="I1502">
            <v>50</v>
          </cell>
        </row>
        <row r="1503">
          <cell r="A1503" t="str">
            <v>B557832/A</v>
          </cell>
          <cell r="B1503" t="str">
            <v>CZ130</v>
          </cell>
          <cell r="C1503">
            <v>35</v>
          </cell>
          <cell r="D1503">
            <v>577.72</v>
          </cell>
          <cell r="E1503">
            <v>20220.2</v>
          </cell>
          <cell r="F1503" t="str">
            <v>A1-S1</v>
          </cell>
          <cell r="G1503" t="str">
            <v>Front leg  - Chần tiền</v>
          </cell>
          <cell r="H1503" t="str">
            <v>Pre-Assembly</v>
          </cell>
          <cell r="I1503">
            <v>70</v>
          </cell>
        </row>
        <row r="1504">
          <cell r="A1504" t="str">
            <v>B557832/A</v>
          </cell>
          <cell r="B1504" t="str">
            <v>CZ130</v>
          </cell>
          <cell r="C1504">
            <v>35</v>
          </cell>
          <cell r="D1504">
            <v>577.72</v>
          </cell>
          <cell r="E1504">
            <v>20220.2</v>
          </cell>
          <cell r="F1504" t="str">
            <v>A1-S1-1</v>
          </cell>
          <cell r="G1504" t="str">
            <v>Front leg  - Chần tiền</v>
          </cell>
          <cell r="H1504" t="str">
            <v>Wood laminate</v>
          </cell>
          <cell r="I1504">
            <v>70</v>
          </cell>
        </row>
        <row r="1505">
          <cell r="A1505" t="str">
            <v>B557832/A</v>
          </cell>
          <cell r="B1505" t="str">
            <v>CZ130</v>
          </cell>
          <cell r="C1505">
            <v>35</v>
          </cell>
          <cell r="D1505">
            <v>577.72</v>
          </cell>
          <cell r="E1505">
            <v>20220.2</v>
          </cell>
          <cell r="F1505" t="str">
            <v>A1-S1-2</v>
          </cell>
          <cell r="G1505" t="str">
            <v>Wood laminater - Gỗ ghép 1</v>
          </cell>
          <cell r="H1505" t="str">
            <v>TRAM OFF CUT</v>
          </cell>
          <cell r="I1505">
            <v>70</v>
          </cell>
        </row>
        <row r="1506">
          <cell r="A1506" t="str">
            <v>B557832/A</v>
          </cell>
          <cell r="B1506" t="str">
            <v>CZ130</v>
          </cell>
          <cell r="C1506">
            <v>35</v>
          </cell>
          <cell r="D1506">
            <v>577.72</v>
          </cell>
          <cell r="E1506">
            <v>20220.2</v>
          </cell>
          <cell r="F1506" t="str">
            <v>A1-S2</v>
          </cell>
          <cell r="G1506" t="str">
            <v>Back leg - Chân hậu</v>
          </cell>
          <cell r="H1506" t="str">
            <v>Beech 2 COM</v>
          </cell>
          <cell r="I1506">
            <v>70</v>
          </cell>
        </row>
        <row r="1507">
          <cell r="A1507" t="str">
            <v>B557832/A</v>
          </cell>
          <cell r="B1507" t="str">
            <v>CZ130</v>
          </cell>
          <cell r="C1507">
            <v>35</v>
          </cell>
          <cell r="D1507">
            <v>577.72</v>
          </cell>
          <cell r="E1507">
            <v>20220.2</v>
          </cell>
          <cell r="F1507" t="str">
            <v>A1-S3</v>
          </cell>
          <cell r="G1507" t="str">
            <v xml:space="preserve">Side panel  - Ván hông </v>
          </cell>
          <cell r="H1507" t="str">
            <v>MDF Veneer</v>
          </cell>
          <cell r="I1507">
            <v>70</v>
          </cell>
        </row>
        <row r="1508">
          <cell r="A1508" t="str">
            <v>B557832/A</v>
          </cell>
          <cell r="B1508" t="str">
            <v>CZ130</v>
          </cell>
          <cell r="C1508">
            <v>35</v>
          </cell>
          <cell r="D1508">
            <v>577.72</v>
          </cell>
          <cell r="E1508">
            <v>20220.2</v>
          </cell>
          <cell r="F1508" t="str">
            <v>A1-S4</v>
          </cell>
          <cell r="G1508" t="str">
            <v xml:space="preserve">Side rail  - Đố hông </v>
          </cell>
          <cell r="H1508" t="str">
            <v>Wood Rubber Laminate Board - 20 x 1220 x 2440mm, Veneer Poplar both Faces</v>
          </cell>
          <cell r="I1508">
            <v>70</v>
          </cell>
        </row>
        <row r="1509">
          <cell r="A1509" t="str">
            <v>B557832/A</v>
          </cell>
          <cell r="B1509" t="str">
            <v>CZ130</v>
          </cell>
          <cell r="C1509">
            <v>35</v>
          </cell>
          <cell r="D1509">
            <v>577.72</v>
          </cell>
          <cell r="E1509">
            <v>20220.2</v>
          </cell>
          <cell r="F1509" t="str">
            <v>A1-S5</v>
          </cell>
          <cell r="G1509" t="str">
            <v>Patching wood - Gỗ đắp</v>
          </cell>
          <cell r="H1509" t="str">
            <v>Wood US Poplar - Straight Edged, 2 COM - T38mm x W100mm Up x L1.8m Up</v>
          </cell>
          <cell r="I1509">
            <v>70</v>
          </cell>
        </row>
        <row r="1510">
          <cell r="A1510" t="str">
            <v>B557832/A</v>
          </cell>
          <cell r="B1510" t="str">
            <v>CZ130</v>
          </cell>
          <cell r="C1510">
            <v>35</v>
          </cell>
          <cell r="D1510">
            <v>577.72</v>
          </cell>
          <cell r="E1510">
            <v>20220.2</v>
          </cell>
          <cell r="F1510" t="str">
            <v>A2-S1</v>
          </cell>
          <cell r="G1510" t="str">
            <v>Front Bottom Rail  - Đố đáy trước</v>
          </cell>
          <cell r="H1510" t="str">
            <v>Standard Wood - ALDER/ASPEN/LENGA/US POPLAR, 2 COM - T32 W120mm+ L2m+</v>
          </cell>
          <cell r="I1510">
            <v>35</v>
          </cell>
        </row>
        <row r="1511">
          <cell r="A1511" t="str">
            <v>B557832/A</v>
          </cell>
          <cell r="B1511" t="str">
            <v>CZ130</v>
          </cell>
          <cell r="C1511">
            <v>35</v>
          </cell>
          <cell r="D1511">
            <v>577.72</v>
          </cell>
          <cell r="E1511">
            <v>20220.2</v>
          </cell>
          <cell r="F1511" t="str">
            <v>A2-S2</v>
          </cell>
          <cell r="G1511" t="str">
            <v>Back bottom rail - Đố hậu đáy</v>
          </cell>
          <cell r="H1511" t="str">
            <v>Wood US Poplar - Straight Edged, 2 COM - T38mm x W100mm Up x L1.8m Up</v>
          </cell>
          <cell r="I1511">
            <v>35</v>
          </cell>
        </row>
        <row r="1512">
          <cell r="A1512" t="str">
            <v>B557832/A</v>
          </cell>
          <cell r="B1512" t="str">
            <v>CZ130</v>
          </cell>
          <cell r="C1512">
            <v>35</v>
          </cell>
          <cell r="D1512">
            <v>577.72</v>
          </cell>
          <cell r="E1512">
            <v>20220.2</v>
          </cell>
          <cell r="F1512" t="str">
            <v>A2-S3</v>
          </cell>
          <cell r="G1512" t="str">
            <v>Bottom panel - Ván đáy</v>
          </cell>
          <cell r="H1512" t="str">
            <v>MDF Veneer</v>
          </cell>
          <cell r="I1512">
            <v>35</v>
          </cell>
        </row>
        <row r="1513">
          <cell r="A1513" t="str">
            <v>B557832/A</v>
          </cell>
          <cell r="B1513" t="str">
            <v>CZ130</v>
          </cell>
          <cell r="C1513">
            <v>35</v>
          </cell>
          <cell r="D1513">
            <v>577.72</v>
          </cell>
          <cell r="E1513">
            <v>20220.2</v>
          </cell>
          <cell r="F1513" t="str">
            <v>A2-S4</v>
          </cell>
          <cell r="G1513" t="str">
            <v>Cleat - Bọ gỗ</v>
          </cell>
          <cell r="H1513" t="str">
            <v>Wood Rubber Laminate Board - 20 x 1220 x 2440mm, Veneer Poplar both Faces</v>
          </cell>
          <cell r="I1513">
            <v>70</v>
          </cell>
        </row>
        <row r="1514">
          <cell r="A1514" t="str">
            <v>B557832/A</v>
          </cell>
          <cell r="B1514" t="str">
            <v>CZ130</v>
          </cell>
          <cell r="C1514">
            <v>35</v>
          </cell>
          <cell r="D1514">
            <v>577.72</v>
          </cell>
          <cell r="E1514">
            <v>20220.2</v>
          </cell>
          <cell r="F1514" t="str">
            <v>A3-S3</v>
          </cell>
          <cell r="G1514" t="str">
            <v>Door panel  - Ván cửa</v>
          </cell>
          <cell r="H1514" t="str">
            <v>MDF Veneer</v>
          </cell>
          <cell r="I1514">
            <v>70</v>
          </cell>
        </row>
        <row r="1515">
          <cell r="A1515" t="str">
            <v>B557832/A</v>
          </cell>
          <cell r="B1515" t="str">
            <v>CZ130</v>
          </cell>
          <cell r="C1515">
            <v>35</v>
          </cell>
          <cell r="D1515">
            <v>577.72</v>
          </cell>
          <cell r="E1515">
            <v>20220.2</v>
          </cell>
          <cell r="F1515" t="str">
            <v>A3-S4</v>
          </cell>
          <cell r="G1515" t="str">
            <v>Patching moulding - Chỉ đắp</v>
          </cell>
          <cell r="H1515" t="str">
            <v>Wood US Poplar - Straight Edged, 2 COM - T38mm x W100mm Up x L1.8m Up</v>
          </cell>
          <cell r="I1515">
            <v>70</v>
          </cell>
        </row>
        <row r="1516">
          <cell r="A1516" t="str">
            <v>B557832/A</v>
          </cell>
          <cell r="B1516" t="str">
            <v>CZ130</v>
          </cell>
          <cell r="C1516">
            <v>35</v>
          </cell>
          <cell r="D1516">
            <v>577.72</v>
          </cell>
          <cell r="E1516">
            <v>20220.2</v>
          </cell>
          <cell r="F1516" t="str">
            <v>A3-S5</v>
          </cell>
          <cell r="G1516" t="str">
            <v>Patching moulding - Chỉ đắp</v>
          </cell>
          <cell r="H1516" t="str">
            <v>Wood US Poplar - Straight Edged, 2 COM - T38mm x W100mm Up x L1.8m Up</v>
          </cell>
          <cell r="I1516">
            <v>140</v>
          </cell>
        </row>
        <row r="1517">
          <cell r="A1517" t="str">
            <v>B557832/A</v>
          </cell>
          <cell r="B1517" t="str">
            <v>CZ130</v>
          </cell>
          <cell r="C1517">
            <v>35</v>
          </cell>
          <cell r="D1517">
            <v>577.72</v>
          </cell>
          <cell r="E1517">
            <v>20220.2</v>
          </cell>
          <cell r="F1517" t="str">
            <v>A3-S6</v>
          </cell>
          <cell r="G1517" t="str">
            <v>Patching moulding - Chỉ đắp</v>
          </cell>
          <cell r="H1517" t="str">
            <v>TRAM OFF CUT</v>
          </cell>
          <cell r="I1517">
            <v>140</v>
          </cell>
        </row>
        <row r="1518">
          <cell r="A1518" t="str">
            <v>B557832/A</v>
          </cell>
          <cell r="B1518" t="str">
            <v>CZ130</v>
          </cell>
          <cell r="C1518">
            <v>35</v>
          </cell>
          <cell r="D1518">
            <v>577.72</v>
          </cell>
          <cell r="E1518">
            <v>20220.2</v>
          </cell>
          <cell r="F1518" t="str">
            <v>A3-S7</v>
          </cell>
          <cell r="G1518" t="str">
            <v>Patching moulding - Chỉ đắp</v>
          </cell>
          <cell r="H1518" t="str">
            <v>Wood US Poplar - Straight Edged, 2 COM - T38mm x W100mm Up x L1.8m Up</v>
          </cell>
          <cell r="I1518">
            <v>70</v>
          </cell>
        </row>
        <row r="1519">
          <cell r="A1519" t="str">
            <v>B557832/A</v>
          </cell>
          <cell r="B1519" t="str">
            <v>CZ130</v>
          </cell>
          <cell r="C1519">
            <v>35</v>
          </cell>
          <cell r="D1519">
            <v>577.72</v>
          </cell>
          <cell r="E1519">
            <v>20220.2</v>
          </cell>
          <cell r="F1519" t="str">
            <v>A3-S8</v>
          </cell>
          <cell r="G1519" t="str">
            <v>Insert Wood - Gỗ chèn</v>
          </cell>
          <cell r="H1519" t="str">
            <v>Beech off cut</v>
          </cell>
          <cell r="I1519">
            <v>140</v>
          </cell>
        </row>
        <row r="1520">
          <cell r="A1520" t="str">
            <v>B557832/A</v>
          </cell>
          <cell r="B1520" t="str">
            <v>CZ130</v>
          </cell>
          <cell r="C1520">
            <v>35</v>
          </cell>
          <cell r="D1520">
            <v>577.72</v>
          </cell>
          <cell r="E1520">
            <v>20220.2</v>
          </cell>
          <cell r="F1520" t="str">
            <v>P01</v>
          </cell>
          <cell r="G1520" t="str">
            <v>Front top rail  - Đố tiền nóc</v>
          </cell>
          <cell r="H1520" t="str">
            <v>Wood laminate</v>
          </cell>
          <cell r="I1520">
            <v>35</v>
          </cell>
        </row>
        <row r="1521">
          <cell r="A1521" t="str">
            <v>B557832/A</v>
          </cell>
          <cell r="B1521" t="str">
            <v>CZ130</v>
          </cell>
          <cell r="C1521">
            <v>35</v>
          </cell>
          <cell r="D1521">
            <v>577.72</v>
          </cell>
          <cell r="E1521">
            <v>20220.2</v>
          </cell>
          <cell r="F1521" t="str">
            <v>P02</v>
          </cell>
          <cell r="G1521" t="str">
            <v>Back top rail - Đố hậu nóc</v>
          </cell>
          <cell r="H1521" t="str">
            <v>Wood Rubber Laminate Board - 20 x 1220 x 2440mm, Veneer Poplar both Faces</v>
          </cell>
          <cell r="I1521">
            <v>35</v>
          </cell>
        </row>
        <row r="1522">
          <cell r="A1522" t="str">
            <v>B557832/A</v>
          </cell>
          <cell r="B1522" t="str">
            <v>CZ130</v>
          </cell>
          <cell r="C1522">
            <v>35</v>
          </cell>
          <cell r="D1522">
            <v>577.72</v>
          </cell>
          <cell r="E1522">
            <v>20220.2</v>
          </cell>
          <cell r="F1522" t="str">
            <v>P03</v>
          </cell>
          <cell r="G1522" t="str">
            <v xml:space="preserve">Top panel  - Ván nóc </v>
          </cell>
          <cell r="H1522" t="str">
            <v>MDF Veneer</v>
          </cell>
          <cell r="I1522">
            <v>35</v>
          </cell>
        </row>
        <row r="1523">
          <cell r="A1523" t="str">
            <v>B557832/A</v>
          </cell>
          <cell r="B1523" t="str">
            <v>CZ130</v>
          </cell>
          <cell r="C1523">
            <v>35</v>
          </cell>
          <cell r="D1523">
            <v>577.72</v>
          </cell>
          <cell r="E1523">
            <v>20220.2</v>
          </cell>
          <cell r="F1523" t="str">
            <v>P06</v>
          </cell>
          <cell r="G1523" t="str">
            <v>Adjustable Shelf  - Kệ di động</v>
          </cell>
          <cell r="H1523" t="str">
            <v>Pre-Assembly</v>
          </cell>
          <cell r="I1523">
            <v>35</v>
          </cell>
        </row>
        <row r="1524">
          <cell r="A1524" t="str">
            <v>B557832/A</v>
          </cell>
          <cell r="B1524" t="str">
            <v>CZ130</v>
          </cell>
          <cell r="C1524">
            <v>35</v>
          </cell>
          <cell r="D1524">
            <v>577.72</v>
          </cell>
          <cell r="E1524">
            <v>20220.2</v>
          </cell>
          <cell r="F1524" t="str">
            <v>P06-1</v>
          </cell>
          <cell r="G1524" t="str">
            <v>Adjustable Shelf  - Kệ di động</v>
          </cell>
          <cell r="H1524" t="str">
            <v>MDF Veneer</v>
          </cell>
          <cell r="I1524">
            <v>35</v>
          </cell>
        </row>
        <row r="1525">
          <cell r="A1525" t="str">
            <v>B557832/A</v>
          </cell>
          <cell r="B1525" t="str">
            <v>CZ130</v>
          </cell>
          <cell r="C1525">
            <v>35</v>
          </cell>
          <cell r="D1525">
            <v>577.72</v>
          </cell>
          <cell r="E1525">
            <v>20220.2</v>
          </cell>
          <cell r="F1525" t="str">
            <v>P06-2</v>
          </cell>
          <cell r="G1525" t="str">
            <v>Adjustable Shelf  - Kệ di động</v>
          </cell>
          <cell r="H1525" t="str">
            <v>Standard Wood - ALDER/ASPEN/LENGA/US POPLAR, 2 COM - T25 W120mm+ L2m+</v>
          </cell>
          <cell r="I1525">
            <v>35</v>
          </cell>
        </row>
        <row r="1526">
          <cell r="A1526" t="str">
            <v>B557832/A</v>
          </cell>
          <cell r="B1526" t="str">
            <v>CZ130</v>
          </cell>
          <cell r="C1526">
            <v>35</v>
          </cell>
          <cell r="D1526">
            <v>577.72</v>
          </cell>
          <cell r="E1526">
            <v>20220.2</v>
          </cell>
          <cell r="F1526" t="str">
            <v>P07</v>
          </cell>
          <cell r="G1526" t="str">
            <v>Back panel - Ván hậu</v>
          </cell>
          <cell r="H1526" t="str">
            <v>MDF Veneer</v>
          </cell>
          <cell r="I1526">
            <v>35</v>
          </cell>
        </row>
        <row r="1527">
          <cell r="A1527" t="str">
            <v>B557832/A</v>
          </cell>
          <cell r="B1527" t="str">
            <v>CZ130</v>
          </cell>
          <cell r="C1527">
            <v>35</v>
          </cell>
          <cell r="D1527">
            <v>577.72</v>
          </cell>
          <cell r="E1527">
            <v>20220.2</v>
          </cell>
          <cell r="F1527" t="str">
            <v>P08</v>
          </cell>
          <cell r="G1527" t="str">
            <v>Corner block - ke góc</v>
          </cell>
          <cell r="H1527" t="str">
            <v>Poplar off cut</v>
          </cell>
          <cell r="I1527">
            <v>70</v>
          </cell>
        </row>
        <row r="1528">
          <cell r="A1528" t="str">
            <v>B557832/A</v>
          </cell>
          <cell r="B1528" t="str">
            <v>CZ130</v>
          </cell>
          <cell r="C1528">
            <v>35</v>
          </cell>
          <cell r="D1528">
            <v>577.72</v>
          </cell>
          <cell r="E1528">
            <v>20220.2</v>
          </cell>
          <cell r="F1528" t="str">
            <v>P09</v>
          </cell>
          <cell r="G1528" t="str">
            <v>Corner block - ke góc</v>
          </cell>
          <cell r="H1528" t="str">
            <v>Poplar off cut</v>
          </cell>
          <cell r="I1528">
            <v>70</v>
          </cell>
        </row>
        <row r="1529">
          <cell r="A1529" t="str">
            <v>B557832/A</v>
          </cell>
          <cell r="B1529" t="str">
            <v>CZ130</v>
          </cell>
          <cell r="C1529">
            <v>35</v>
          </cell>
          <cell r="D1529">
            <v>577.72</v>
          </cell>
          <cell r="E1529">
            <v>20220.2</v>
          </cell>
          <cell r="F1529" t="str">
            <v>P10</v>
          </cell>
          <cell r="G1529" t="str">
            <v>Bottom panel - Ván đáy</v>
          </cell>
          <cell r="H1529" t="str">
            <v>Cement Board - 20 x 1220 x 2440mm, Dark Grey</v>
          </cell>
          <cell r="I1529">
            <v>35</v>
          </cell>
        </row>
        <row r="1530">
          <cell r="A1530" t="str">
            <v>B557832/A</v>
          </cell>
          <cell r="B1530" t="str">
            <v>CZ130</v>
          </cell>
          <cell r="C1530">
            <v>35</v>
          </cell>
          <cell r="D1530">
            <v>577.72</v>
          </cell>
          <cell r="E1530">
            <v>20220.2</v>
          </cell>
          <cell r="F1530" t="str">
            <v>P12</v>
          </cell>
          <cell r="G1530" t="str">
            <v>Corner block - ke góc</v>
          </cell>
          <cell r="H1530" t="str">
            <v>Poplar off cut</v>
          </cell>
          <cell r="I1530">
            <v>70</v>
          </cell>
        </row>
        <row r="1531">
          <cell r="A1531" t="str">
            <v>B557832/A</v>
          </cell>
          <cell r="B1531" t="str">
            <v>CZ130</v>
          </cell>
          <cell r="C1531">
            <v>35</v>
          </cell>
          <cell r="D1531">
            <v>577.72</v>
          </cell>
          <cell r="E1531">
            <v>20220.2</v>
          </cell>
          <cell r="F1531" t="str">
            <v>P13</v>
          </cell>
          <cell r="G1531" t="str">
            <v>Spline - Lưỡi gà</v>
          </cell>
          <cell r="H1531" t="str">
            <v>Plywood LVD - 06 x 1220 x 2440mm, Bleached Poplar Veneer Both Sides [CARB P2 Compliant]</v>
          </cell>
          <cell r="I1531">
            <v>70</v>
          </cell>
        </row>
        <row r="1532">
          <cell r="A1532" t="str">
            <v>B557832/A</v>
          </cell>
          <cell r="B1532" t="str">
            <v>CZ130</v>
          </cell>
          <cell r="C1532">
            <v>35</v>
          </cell>
          <cell r="D1532">
            <v>577.72</v>
          </cell>
          <cell r="E1532">
            <v>20220.2</v>
          </cell>
          <cell r="F1532" t="str">
            <v>P14</v>
          </cell>
          <cell r="G1532" t="str">
            <v>Spline - Lưỡi gà</v>
          </cell>
          <cell r="H1532" t="str">
            <v>Plywood LVD - 06 x 1220 x 2440mm, Bleached Poplar Veneer Both Sides [CARB P2 Compliant]</v>
          </cell>
          <cell r="I1532">
            <v>35</v>
          </cell>
        </row>
        <row r="1533">
          <cell r="A1533" t="str">
            <v>B557832/A</v>
          </cell>
          <cell r="B1533" t="str">
            <v>CZ130</v>
          </cell>
          <cell r="C1533">
            <v>35</v>
          </cell>
          <cell r="D1533">
            <v>577.72</v>
          </cell>
          <cell r="E1533">
            <v>20220.2</v>
          </cell>
          <cell r="F1533" t="str">
            <v>P16</v>
          </cell>
          <cell r="G1533" t="str">
            <v>Patching wood - Gỗ đắp</v>
          </cell>
          <cell r="H1533" t="str">
            <v>wood off cut</v>
          </cell>
          <cell r="I1533">
            <v>70</v>
          </cell>
        </row>
        <row r="1534">
          <cell r="A1534" t="str">
            <v>B557832/A</v>
          </cell>
          <cell r="B1534" t="str">
            <v>CZ130</v>
          </cell>
          <cell r="C1534">
            <v>35</v>
          </cell>
          <cell r="D1534">
            <v>577.72</v>
          </cell>
          <cell r="E1534">
            <v>20220.2</v>
          </cell>
          <cell r="F1534" t="str">
            <v>P17</v>
          </cell>
          <cell r="G1534" t="str">
            <v>Cleat - Bọ gỗ</v>
          </cell>
          <cell r="H1534" t="str">
            <v>TRAM OFF CUT</v>
          </cell>
          <cell r="I1534">
            <v>70</v>
          </cell>
        </row>
        <row r="1535">
          <cell r="A1535" t="str">
            <v>B557840/A</v>
          </cell>
          <cell r="B1535" t="str">
            <v>CZ130M190</v>
          </cell>
          <cell r="C1535">
            <v>3</v>
          </cell>
          <cell r="D1535">
            <v>577.72</v>
          </cell>
          <cell r="E1535">
            <v>1733.16</v>
          </cell>
          <cell r="F1535" t="str">
            <v>A1-S1</v>
          </cell>
          <cell r="G1535" t="str">
            <v>Front leg  - Chần tiền</v>
          </cell>
          <cell r="H1535" t="str">
            <v>Pre-Assembly</v>
          </cell>
          <cell r="I1535">
            <v>6</v>
          </cell>
        </row>
        <row r="1536">
          <cell r="A1536" t="str">
            <v>B557840/A</v>
          </cell>
          <cell r="B1536" t="str">
            <v>CZ130M190</v>
          </cell>
          <cell r="C1536">
            <v>3</v>
          </cell>
          <cell r="D1536">
            <v>577.72</v>
          </cell>
          <cell r="E1536">
            <v>1733.16</v>
          </cell>
          <cell r="F1536" t="str">
            <v>A1-S1-1</v>
          </cell>
          <cell r="G1536" t="str">
            <v>Front leg  - Chần tiền</v>
          </cell>
          <cell r="H1536" t="str">
            <v>Wood - Maple 1 COM</v>
          </cell>
          <cell r="I1536">
            <v>6</v>
          </cell>
        </row>
        <row r="1537">
          <cell r="A1537" t="str">
            <v>B557840/A</v>
          </cell>
          <cell r="B1537" t="str">
            <v>CZ130M190</v>
          </cell>
          <cell r="C1537">
            <v>3</v>
          </cell>
          <cell r="D1537">
            <v>577.72</v>
          </cell>
          <cell r="E1537">
            <v>1733.16</v>
          </cell>
          <cell r="F1537" t="str">
            <v>A1-S1-2</v>
          </cell>
          <cell r="G1537" t="str">
            <v>Wood laminater - Gỗ ghép 1</v>
          </cell>
          <cell r="H1537" t="str">
            <v>TRAM OFF CUT</v>
          </cell>
          <cell r="I1537">
            <v>6</v>
          </cell>
        </row>
        <row r="1538">
          <cell r="A1538" t="str">
            <v>B557840/A</v>
          </cell>
          <cell r="B1538" t="str">
            <v>CZ130M190</v>
          </cell>
          <cell r="C1538">
            <v>3</v>
          </cell>
          <cell r="D1538">
            <v>577.72</v>
          </cell>
          <cell r="E1538">
            <v>1733.16</v>
          </cell>
          <cell r="F1538" t="str">
            <v>A1-S2</v>
          </cell>
          <cell r="G1538" t="str">
            <v>Back leg - Chân hậu</v>
          </cell>
          <cell r="H1538" t="str">
            <v>Beech 2 COM</v>
          </cell>
          <cell r="I1538">
            <v>6</v>
          </cell>
        </row>
        <row r="1539">
          <cell r="A1539" t="str">
            <v>B557840/A</v>
          </cell>
          <cell r="B1539" t="str">
            <v>CZ130M190</v>
          </cell>
          <cell r="C1539">
            <v>3</v>
          </cell>
          <cell r="D1539">
            <v>577.72</v>
          </cell>
          <cell r="E1539">
            <v>1733.16</v>
          </cell>
          <cell r="F1539" t="str">
            <v>A1-S3</v>
          </cell>
          <cell r="G1539" t="str">
            <v xml:space="preserve">Side panel  - Ván hông </v>
          </cell>
          <cell r="H1539" t="str">
            <v>MDF Veneer</v>
          </cell>
          <cell r="I1539">
            <v>6</v>
          </cell>
        </row>
        <row r="1540">
          <cell r="A1540" t="str">
            <v>B557840/A</v>
          </cell>
          <cell r="B1540" t="str">
            <v>CZ130M190</v>
          </cell>
          <cell r="C1540">
            <v>3</v>
          </cell>
          <cell r="D1540">
            <v>577.72</v>
          </cell>
          <cell r="E1540">
            <v>1733.16</v>
          </cell>
          <cell r="F1540" t="str">
            <v>A1-S4</v>
          </cell>
          <cell r="G1540" t="str">
            <v xml:space="preserve">Side rail  - Đố hông </v>
          </cell>
          <cell r="H1540" t="str">
            <v>Wood Hard Maple - 1 COM, Sap and Better - T25mm x L2.0m up</v>
          </cell>
          <cell r="I1540">
            <v>6</v>
          </cell>
        </row>
        <row r="1541">
          <cell r="A1541" t="str">
            <v>B557840/A</v>
          </cell>
          <cell r="B1541" t="str">
            <v>CZ130M190</v>
          </cell>
          <cell r="C1541">
            <v>3</v>
          </cell>
          <cell r="D1541">
            <v>577.72</v>
          </cell>
          <cell r="E1541">
            <v>1733.16</v>
          </cell>
          <cell r="F1541" t="str">
            <v>A1-S5</v>
          </cell>
          <cell r="G1541" t="str">
            <v>Patching wood - Gỗ đắp</v>
          </cell>
          <cell r="H1541" t="str">
            <v>Wood Hard Maple - 1 COM, Sap and Better - T38mm x L2.0m up</v>
          </cell>
          <cell r="I1541">
            <v>6</v>
          </cell>
        </row>
        <row r="1542">
          <cell r="A1542" t="str">
            <v>B557840/A</v>
          </cell>
          <cell r="B1542" t="str">
            <v>CZ130M190</v>
          </cell>
          <cell r="C1542">
            <v>3</v>
          </cell>
          <cell r="D1542">
            <v>577.72</v>
          </cell>
          <cell r="E1542">
            <v>1733.16</v>
          </cell>
          <cell r="F1542" t="str">
            <v>A2-S1</v>
          </cell>
          <cell r="G1542" t="str">
            <v>Front Bottom Rail  - Đố đáy trước</v>
          </cell>
          <cell r="H1542" t="str">
            <v>Wd+VN</v>
          </cell>
          <cell r="I1542">
            <v>3</v>
          </cell>
        </row>
        <row r="1543">
          <cell r="A1543" t="str">
            <v>B557840/A</v>
          </cell>
          <cell r="B1543" t="str">
            <v>CZ130M190</v>
          </cell>
          <cell r="C1543">
            <v>3</v>
          </cell>
          <cell r="D1543">
            <v>577.72</v>
          </cell>
          <cell r="E1543">
            <v>1733.16</v>
          </cell>
          <cell r="F1543" t="str">
            <v>A2-S2</v>
          </cell>
          <cell r="G1543" t="str">
            <v>Back bottom rail - Đố hậu đáy</v>
          </cell>
          <cell r="H1543" t="str">
            <v>Wood US Poplar - Straight Edged, 2 COM - T38mm x W100mm Up x L1.8m Up</v>
          </cell>
          <cell r="I1543">
            <v>3</v>
          </cell>
        </row>
        <row r="1544">
          <cell r="A1544" t="str">
            <v>B557840/A</v>
          </cell>
          <cell r="B1544" t="str">
            <v>CZ130M190</v>
          </cell>
          <cell r="C1544">
            <v>3</v>
          </cell>
          <cell r="D1544">
            <v>577.72</v>
          </cell>
          <cell r="E1544">
            <v>1733.16</v>
          </cell>
          <cell r="F1544" t="str">
            <v>A2-S3</v>
          </cell>
          <cell r="G1544" t="str">
            <v>Bottom panel - Ván đáy</v>
          </cell>
          <cell r="H1544" t="str">
            <v>MDF Veneer</v>
          </cell>
          <cell r="I1544">
            <v>3</v>
          </cell>
        </row>
        <row r="1545">
          <cell r="A1545" t="str">
            <v>B557840/A</v>
          </cell>
          <cell r="B1545" t="str">
            <v>CZ130M190</v>
          </cell>
          <cell r="C1545">
            <v>3</v>
          </cell>
          <cell r="D1545">
            <v>577.72</v>
          </cell>
          <cell r="E1545">
            <v>1733.16</v>
          </cell>
          <cell r="F1545" t="str">
            <v>A2-S4</v>
          </cell>
          <cell r="G1545" t="str">
            <v>Cleat - Bọ gỗ</v>
          </cell>
          <cell r="H1545" t="str">
            <v>Wood Rubber Laminate Board - 20 x 1220 x 2440mm, Veneer Poplar both Faces</v>
          </cell>
          <cell r="I1545">
            <v>6</v>
          </cell>
        </row>
        <row r="1546">
          <cell r="A1546" t="str">
            <v>B557840/A</v>
          </cell>
          <cell r="B1546" t="str">
            <v>CZ130M190</v>
          </cell>
          <cell r="C1546">
            <v>3</v>
          </cell>
          <cell r="D1546">
            <v>577.72</v>
          </cell>
          <cell r="E1546">
            <v>1733.16</v>
          </cell>
          <cell r="F1546" t="str">
            <v>A3-S3</v>
          </cell>
          <cell r="G1546" t="str">
            <v>Door panel  - Ván cửa</v>
          </cell>
          <cell r="H1546" t="str">
            <v>MDF Veneer</v>
          </cell>
          <cell r="I1546">
            <v>6</v>
          </cell>
        </row>
        <row r="1547">
          <cell r="A1547" t="str">
            <v>B557840/A</v>
          </cell>
          <cell r="B1547" t="str">
            <v>CZ130M190</v>
          </cell>
          <cell r="C1547">
            <v>3</v>
          </cell>
          <cell r="D1547">
            <v>577.72</v>
          </cell>
          <cell r="E1547">
            <v>1733.16</v>
          </cell>
          <cell r="F1547" t="str">
            <v>A3-S4</v>
          </cell>
          <cell r="G1547" t="str">
            <v>Patching moulding - Chỉ đắp</v>
          </cell>
          <cell r="H1547" t="str">
            <v>Wood Hard Maple - 1 COM, Sap and Better - T32mm x L2.0m up</v>
          </cell>
          <cell r="I1547">
            <v>6</v>
          </cell>
        </row>
        <row r="1548">
          <cell r="A1548" t="str">
            <v>B557840/A</v>
          </cell>
          <cell r="B1548" t="str">
            <v>CZ130M190</v>
          </cell>
          <cell r="C1548">
            <v>3</v>
          </cell>
          <cell r="D1548">
            <v>577.72</v>
          </cell>
          <cell r="E1548">
            <v>1733.16</v>
          </cell>
          <cell r="F1548" t="str">
            <v>A3-S5</v>
          </cell>
          <cell r="G1548" t="str">
            <v>Patching moulding - Chỉ đắp</v>
          </cell>
          <cell r="H1548" t="str">
            <v>Wood Hard Maple - 1 COM, Sap and Better - T32mm x L2.0m up</v>
          </cell>
          <cell r="I1548">
            <v>12</v>
          </cell>
        </row>
        <row r="1549">
          <cell r="A1549" t="str">
            <v>B557840/A</v>
          </cell>
          <cell r="B1549" t="str">
            <v>CZ130M190</v>
          </cell>
          <cell r="C1549">
            <v>3</v>
          </cell>
          <cell r="D1549">
            <v>577.72</v>
          </cell>
          <cell r="E1549">
            <v>1733.16</v>
          </cell>
          <cell r="F1549" t="str">
            <v>A3-S6</v>
          </cell>
          <cell r="G1549" t="str">
            <v>Patching moulding - Chỉ đắp</v>
          </cell>
          <cell r="H1549" t="str">
            <v>Wood Hard Maple - 1 COM, Sap and Better - T32mm x L2.0m up</v>
          </cell>
          <cell r="I1549">
            <v>12</v>
          </cell>
        </row>
        <row r="1550">
          <cell r="A1550" t="str">
            <v>B557840/A</v>
          </cell>
          <cell r="B1550" t="str">
            <v>CZ130M190</v>
          </cell>
          <cell r="C1550">
            <v>3</v>
          </cell>
          <cell r="D1550">
            <v>577.72</v>
          </cell>
          <cell r="E1550">
            <v>1733.16</v>
          </cell>
          <cell r="F1550" t="str">
            <v>A3-S7</v>
          </cell>
          <cell r="G1550" t="str">
            <v>Patching moulding - Chỉ đắp</v>
          </cell>
          <cell r="H1550" t="str">
            <v>Wood Hard Maple - 1 COM, Sap and Better - T32mm x L2.0m up</v>
          </cell>
          <cell r="I1550">
            <v>6</v>
          </cell>
        </row>
        <row r="1551">
          <cell r="A1551" t="str">
            <v>B557840/A</v>
          </cell>
          <cell r="B1551" t="str">
            <v>CZ130M190</v>
          </cell>
          <cell r="C1551">
            <v>3</v>
          </cell>
          <cell r="D1551">
            <v>577.72</v>
          </cell>
          <cell r="E1551">
            <v>1733.16</v>
          </cell>
          <cell r="F1551" t="str">
            <v>A3-S8</v>
          </cell>
          <cell r="G1551" t="str">
            <v>Insert Wood - Gỗ chèn</v>
          </cell>
          <cell r="H1551" t="str">
            <v>Poplar off cut</v>
          </cell>
          <cell r="I1551">
            <v>12</v>
          </cell>
        </row>
        <row r="1552">
          <cell r="A1552" t="str">
            <v>B557840/A</v>
          </cell>
          <cell r="B1552" t="str">
            <v>CZ130M190</v>
          </cell>
          <cell r="C1552">
            <v>3</v>
          </cell>
          <cell r="D1552">
            <v>577.72</v>
          </cell>
          <cell r="E1552">
            <v>1733.16</v>
          </cell>
          <cell r="F1552" t="str">
            <v>P01</v>
          </cell>
          <cell r="G1552" t="str">
            <v>Front top rail  - Đố tiền nóc</v>
          </cell>
          <cell r="H1552" t="str">
            <v>Wood laminate</v>
          </cell>
          <cell r="I1552">
            <v>3</v>
          </cell>
        </row>
        <row r="1553">
          <cell r="A1553" t="str">
            <v>B557840/A</v>
          </cell>
          <cell r="B1553" t="str">
            <v>CZ130M190</v>
          </cell>
          <cell r="C1553">
            <v>3</v>
          </cell>
          <cell r="D1553">
            <v>577.72</v>
          </cell>
          <cell r="E1553">
            <v>1733.16</v>
          </cell>
          <cell r="F1553" t="str">
            <v>P02</v>
          </cell>
          <cell r="G1553" t="str">
            <v>Back top rail - Đố hậu nóc</v>
          </cell>
          <cell r="H1553" t="str">
            <v>Wood Hard Maple - 1 COM, Sap and Better - T25mm x L2.0m up</v>
          </cell>
          <cell r="I1553">
            <v>3</v>
          </cell>
        </row>
        <row r="1554">
          <cell r="A1554" t="str">
            <v>B557840/A</v>
          </cell>
          <cell r="B1554" t="str">
            <v>CZ130M190</v>
          </cell>
          <cell r="C1554">
            <v>3</v>
          </cell>
          <cell r="D1554">
            <v>577.72</v>
          </cell>
          <cell r="E1554">
            <v>1733.16</v>
          </cell>
          <cell r="F1554" t="str">
            <v>P03</v>
          </cell>
          <cell r="G1554" t="str">
            <v xml:space="preserve">Top panel  - Ván nóc </v>
          </cell>
          <cell r="H1554" t="str">
            <v>MDF Veneer</v>
          </cell>
          <cell r="I1554">
            <v>3</v>
          </cell>
        </row>
        <row r="1555">
          <cell r="A1555" t="str">
            <v>B557840/A</v>
          </cell>
          <cell r="B1555" t="str">
            <v>CZ130M190</v>
          </cell>
          <cell r="C1555">
            <v>3</v>
          </cell>
          <cell r="D1555">
            <v>577.72</v>
          </cell>
          <cell r="E1555">
            <v>1733.16</v>
          </cell>
          <cell r="F1555" t="str">
            <v>P06</v>
          </cell>
          <cell r="G1555" t="str">
            <v>Adjustable Shelf  - Kệ di động</v>
          </cell>
          <cell r="H1555" t="str">
            <v>Pre-Assembly</v>
          </cell>
          <cell r="I1555">
            <v>3</v>
          </cell>
        </row>
        <row r="1556">
          <cell r="A1556" t="str">
            <v>B557840/A</v>
          </cell>
          <cell r="B1556" t="str">
            <v>CZ130M190</v>
          </cell>
          <cell r="C1556">
            <v>3</v>
          </cell>
          <cell r="D1556">
            <v>577.72</v>
          </cell>
          <cell r="E1556">
            <v>1733.16</v>
          </cell>
          <cell r="F1556" t="str">
            <v>P06-1</v>
          </cell>
          <cell r="G1556" t="str">
            <v>Adjustable Shelf  - Kệ di động</v>
          </cell>
          <cell r="H1556" t="str">
            <v>MDF Veneer</v>
          </cell>
          <cell r="I1556">
            <v>3</v>
          </cell>
        </row>
        <row r="1557">
          <cell r="A1557" t="str">
            <v>B557840/A</v>
          </cell>
          <cell r="B1557" t="str">
            <v>CZ130M190</v>
          </cell>
          <cell r="C1557">
            <v>3</v>
          </cell>
          <cell r="D1557">
            <v>577.72</v>
          </cell>
          <cell r="E1557">
            <v>1733.16</v>
          </cell>
          <cell r="F1557" t="str">
            <v>P06-2</v>
          </cell>
          <cell r="G1557" t="str">
            <v>Adjustable Shelf  - Kệ di động</v>
          </cell>
          <cell r="H1557" t="str">
            <v>Wood Hard Maple - 1 COM, Sap and Better - T25mm x L2.0m up</v>
          </cell>
          <cell r="I1557">
            <v>3</v>
          </cell>
        </row>
        <row r="1558">
          <cell r="A1558" t="str">
            <v>B557840/A</v>
          </cell>
          <cell r="B1558" t="str">
            <v>CZ130M190</v>
          </cell>
          <cell r="C1558">
            <v>3</v>
          </cell>
          <cell r="D1558">
            <v>577.72</v>
          </cell>
          <cell r="E1558">
            <v>1733.16</v>
          </cell>
          <cell r="F1558" t="str">
            <v>P07</v>
          </cell>
          <cell r="G1558" t="str">
            <v>Back panel - Ván hậu</v>
          </cell>
          <cell r="H1558" t="str">
            <v>MDF Veneer</v>
          </cell>
          <cell r="I1558">
            <v>3</v>
          </cell>
        </row>
        <row r="1559">
          <cell r="A1559" t="str">
            <v>B557840/A</v>
          </cell>
          <cell r="B1559" t="str">
            <v>CZ130M190</v>
          </cell>
          <cell r="C1559">
            <v>3</v>
          </cell>
          <cell r="D1559">
            <v>577.72</v>
          </cell>
          <cell r="E1559">
            <v>1733.16</v>
          </cell>
          <cell r="F1559" t="str">
            <v>P08</v>
          </cell>
          <cell r="G1559" t="str">
            <v>Corner block - ke góc</v>
          </cell>
          <cell r="H1559" t="str">
            <v>Poplar off cut</v>
          </cell>
          <cell r="I1559">
            <v>6</v>
          </cell>
        </row>
        <row r="1560">
          <cell r="A1560" t="str">
            <v>B557840/A</v>
          </cell>
          <cell r="B1560" t="str">
            <v>CZ130M190</v>
          </cell>
          <cell r="C1560">
            <v>3</v>
          </cell>
          <cell r="D1560">
            <v>577.72</v>
          </cell>
          <cell r="E1560">
            <v>1733.16</v>
          </cell>
          <cell r="F1560" t="str">
            <v>P09</v>
          </cell>
          <cell r="G1560" t="str">
            <v>Cleat - Bọ gỗ</v>
          </cell>
          <cell r="H1560" t="str">
            <v>Poplar off cut</v>
          </cell>
          <cell r="I1560">
            <v>6</v>
          </cell>
        </row>
        <row r="1561">
          <cell r="A1561" t="str">
            <v>B557840/A</v>
          </cell>
          <cell r="B1561" t="str">
            <v>CZ130M190</v>
          </cell>
          <cell r="C1561">
            <v>3</v>
          </cell>
          <cell r="D1561">
            <v>577.72</v>
          </cell>
          <cell r="E1561">
            <v>1733.16</v>
          </cell>
          <cell r="F1561" t="str">
            <v>P10</v>
          </cell>
          <cell r="G1561" t="str">
            <v>Bottom panel - Ván đáy</v>
          </cell>
          <cell r="H1561" t="str">
            <v>Cement Board - 20 x 1220 x 2440mm, Dark Grey</v>
          </cell>
          <cell r="I1561">
            <v>3</v>
          </cell>
        </row>
        <row r="1562">
          <cell r="A1562" t="str">
            <v>B557840/A</v>
          </cell>
          <cell r="B1562" t="str">
            <v>CZ130M190</v>
          </cell>
          <cell r="C1562">
            <v>3</v>
          </cell>
          <cell r="D1562">
            <v>577.72</v>
          </cell>
          <cell r="E1562">
            <v>1733.16</v>
          </cell>
          <cell r="F1562" t="str">
            <v>P12</v>
          </cell>
          <cell r="G1562" t="str">
            <v>Corner block - ke góc</v>
          </cell>
          <cell r="H1562" t="str">
            <v>Poplar off cut</v>
          </cell>
          <cell r="I1562">
            <v>6</v>
          </cell>
        </row>
        <row r="1563">
          <cell r="A1563" t="str">
            <v>B557840/A</v>
          </cell>
          <cell r="B1563" t="str">
            <v>CZ130M190</v>
          </cell>
          <cell r="C1563">
            <v>3</v>
          </cell>
          <cell r="D1563">
            <v>577.72</v>
          </cell>
          <cell r="E1563">
            <v>1733.16</v>
          </cell>
          <cell r="F1563" t="str">
            <v>P13</v>
          </cell>
          <cell r="G1563" t="str">
            <v>Spline - Lưỡi gà</v>
          </cell>
          <cell r="H1563" t="str">
            <v>Plywood LVD - 06 x 1220 x 2440mm, Bleached Poplar Veneer Both Sides [CARB P2 Compliant]</v>
          </cell>
          <cell r="I1563">
            <v>6</v>
          </cell>
        </row>
        <row r="1564">
          <cell r="A1564" t="str">
            <v>B557840/A</v>
          </cell>
          <cell r="B1564" t="str">
            <v>CZ130M190</v>
          </cell>
          <cell r="C1564">
            <v>3</v>
          </cell>
          <cell r="D1564">
            <v>577.72</v>
          </cell>
          <cell r="E1564">
            <v>1733.16</v>
          </cell>
          <cell r="F1564" t="str">
            <v>P14</v>
          </cell>
          <cell r="G1564" t="str">
            <v>Spline - Lưỡi gà</v>
          </cell>
          <cell r="H1564" t="str">
            <v>Plywood LVD - 06 x 1220 x 2440mm, Bleached Poplar Veneer Both Sides [CARB P2 Compliant]</v>
          </cell>
          <cell r="I1564">
            <v>3</v>
          </cell>
        </row>
        <row r="1565">
          <cell r="A1565" t="str">
            <v>B557840/A</v>
          </cell>
          <cell r="B1565" t="str">
            <v>CZ130M190</v>
          </cell>
          <cell r="C1565">
            <v>3</v>
          </cell>
          <cell r="D1565">
            <v>577.72</v>
          </cell>
          <cell r="E1565">
            <v>1733.16</v>
          </cell>
          <cell r="F1565" t="str">
            <v>P16</v>
          </cell>
          <cell r="G1565" t="str">
            <v>Patching wood - Gỗ đắp</v>
          </cell>
          <cell r="H1565" t="str">
            <v>Poplar off cut</v>
          </cell>
          <cell r="I1565">
            <v>6</v>
          </cell>
        </row>
        <row r="1566">
          <cell r="A1566" t="str">
            <v>B557840/A</v>
          </cell>
          <cell r="B1566" t="str">
            <v>CZ130M190</v>
          </cell>
          <cell r="C1566">
            <v>3</v>
          </cell>
          <cell r="D1566">
            <v>577.72</v>
          </cell>
          <cell r="E1566">
            <v>1733.16</v>
          </cell>
          <cell r="F1566" t="str">
            <v>P17</v>
          </cell>
          <cell r="G1566" t="str">
            <v>Cleat - Bọ gỗ</v>
          </cell>
          <cell r="H1566" t="str">
            <v>TRAM OFF CUT</v>
          </cell>
          <cell r="I1566">
            <v>6</v>
          </cell>
        </row>
        <row r="1567">
          <cell r="A1567" t="str">
            <v>B557844/A</v>
          </cell>
          <cell r="B1567" t="str">
            <v>CZ130M191</v>
          </cell>
          <cell r="C1567">
            <v>4</v>
          </cell>
          <cell r="D1567">
            <v>577.72</v>
          </cell>
          <cell r="E1567">
            <v>2310.88</v>
          </cell>
          <cell r="F1567" t="str">
            <v>A1-S1</v>
          </cell>
          <cell r="G1567" t="str">
            <v>Front leg  - Chần tiền</v>
          </cell>
          <cell r="H1567" t="str">
            <v>Pre-Assembly</v>
          </cell>
          <cell r="I1567">
            <v>8</v>
          </cell>
        </row>
        <row r="1568">
          <cell r="A1568" t="str">
            <v>B557844/A</v>
          </cell>
          <cell r="B1568" t="str">
            <v>CZ130M191</v>
          </cell>
          <cell r="C1568">
            <v>4</v>
          </cell>
          <cell r="D1568">
            <v>577.72</v>
          </cell>
          <cell r="E1568">
            <v>2310.88</v>
          </cell>
          <cell r="F1568" t="str">
            <v>A1-S1-1</v>
          </cell>
          <cell r="G1568" t="str">
            <v>Front leg  - Chần tiền</v>
          </cell>
          <cell r="H1568" t="str">
            <v>Wood laminate</v>
          </cell>
          <cell r="I1568">
            <v>8</v>
          </cell>
        </row>
        <row r="1569">
          <cell r="A1569" t="str">
            <v>B557844/A</v>
          </cell>
          <cell r="B1569" t="str">
            <v>CZ130M191</v>
          </cell>
          <cell r="C1569">
            <v>4</v>
          </cell>
          <cell r="D1569">
            <v>577.72</v>
          </cell>
          <cell r="E1569">
            <v>2310.88</v>
          </cell>
          <cell r="F1569" t="str">
            <v>A1-S1-2</v>
          </cell>
          <cell r="G1569" t="str">
            <v>Wood laminater - Gỗ ghép 1</v>
          </cell>
          <cell r="H1569" t="str">
            <v>TRAM OFF CUT</v>
          </cell>
          <cell r="I1569">
            <v>8</v>
          </cell>
        </row>
        <row r="1570">
          <cell r="A1570" t="str">
            <v>B557844/A</v>
          </cell>
          <cell r="B1570" t="str">
            <v>CZ130M191</v>
          </cell>
          <cell r="C1570">
            <v>4</v>
          </cell>
          <cell r="D1570">
            <v>577.72</v>
          </cell>
          <cell r="E1570">
            <v>2310.88</v>
          </cell>
          <cell r="F1570" t="str">
            <v>A1-S2</v>
          </cell>
          <cell r="G1570" t="str">
            <v>Back leg - Chân hậu</v>
          </cell>
          <cell r="H1570" t="str">
            <v>Beech 2 COM</v>
          </cell>
          <cell r="I1570">
            <v>8</v>
          </cell>
        </row>
        <row r="1571">
          <cell r="A1571" t="str">
            <v>B557844/A</v>
          </cell>
          <cell r="B1571" t="str">
            <v>CZ130M191</v>
          </cell>
          <cell r="C1571">
            <v>4</v>
          </cell>
          <cell r="D1571">
            <v>577.72</v>
          </cell>
          <cell r="E1571">
            <v>2310.88</v>
          </cell>
          <cell r="F1571" t="str">
            <v>A1-S3</v>
          </cell>
          <cell r="G1571" t="str">
            <v xml:space="preserve">Side panel  - Ván hông </v>
          </cell>
          <cell r="H1571" t="str">
            <v>MDF Veneer</v>
          </cell>
          <cell r="I1571">
            <v>8</v>
          </cell>
        </row>
        <row r="1572">
          <cell r="A1572" t="str">
            <v>B557844/A</v>
          </cell>
          <cell r="B1572" t="str">
            <v>CZ130M191</v>
          </cell>
          <cell r="C1572">
            <v>4</v>
          </cell>
          <cell r="D1572">
            <v>577.72</v>
          </cell>
          <cell r="E1572">
            <v>2310.88</v>
          </cell>
          <cell r="F1572" t="str">
            <v>A1-S4</v>
          </cell>
          <cell r="G1572" t="str">
            <v xml:space="preserve">Side rail  - Đố hông </v>
          </cell>
          <cell r="H1572" t="str">
            <v>Wood Rubber Laminate Board - 20 x 1220 x 2440mm, Veneer Poplar both Faces</v>
          </cell>
          <cell r="I1572">
            <v>8</v>
          </cell>
        </row>
        <row r="1573">
          <cell r="A1573" t="str">
            <v>B557844/A</v>
          </cell>
          <cell r="B1573" t="str">
            <v>CZ130M191</v>
          </cell>
          <cell r="C1573">
            <v>4</v>
          </cell>
          <cell r="D1573">
            <v>577.72</v>
          </cell>
          <cell r="E1573">
            <v>2310.88</v>
          </cell>
          <cell r="F1573" t="str">
            <v>A1-S5</v>
          </cell>
          <cell r="G1573" t="str">
            <v>Patching wood - Gỗ đắp</v>
          </cell>
          <cell r="H1573" t="str">
            <v>Wood US Poplar - Straight Edged, 2 COM - T38mm x W100mm Up x L1.8m Up</v>
          </cell>
          <cell r="I1573">
            <v>8</v>
          </cell>
        </row>
        <row r="1574">
          <cell r="A1574" t="str">
            <v>B557844/A</v>
          </cell>
          <cell r="B1574" t="str">
            <v>CZ130M191</v>
          </cell>
          <cell r="C1574">
            <v>4</v>
          </cell>
          <cell r="D1574">
            <v>577.72</v>
          </cell>
          <cell r="E1574">
            <v>2310.88</v>
          </cell>
          <cell r="F1574" t="str">
            <v>A2-S1</v>
          </cell>
          <cell r="G1574" t="str">
            <v>Front Bottom Rail  - Đố đáy trước</v>
          </cell>
          <cell r="H1574" t="str">
            <v>Standard Wood - ALDER/ASPEN/LENGA/US POPLAR, 2 COM - T32 W120mm+ L2m+</v>
          </cell>
          <cell r="I1574">
            <v>4</v>
          </cell>
        </row>
        <row r="1575">
          <cell r="A1575" t="str">
            <v>B557844/A</v>
          </cell>
          <cell r="B1575" t="str">
            <v>CZ130M191</v>
          </cell>
          <cell r="C1575">
            <v>4</v>
          </cell>
          <cell r="D1575">
            <v>577.72</v>
          </cell>
          <cell r="E1575">
            <v>2310.88</v>
          </cell>
          <cell r="F1575" t="str">
            <v>A2-S2</v>
          </cell>
          <cell r="G1575" t="str">
            <v>Back bottom rail - Đố hậu đáy</v>
          </cell>
          <cell r="H1575" t="str">
            <v>Wood US Poplar - Straight Edged, 2 COM - T38mm x W100mm Up x L1.8m Up</v>
          </cell>
          <cell r="I1575">
            <v>4</v>
          </cell>
        </row>
        <row r="1576">
          <cell r="A1576" t="str">
            <v>B557844/A</v>
          </cell>
          <cell r="B1576" t="str">
            <v>CZ130M191</v>
          </cell>
          <cell r="C1576">
            <v>4</v>
          </cell>
          <cell r="D1576">
            <v>577.72</v>
          </cell>
          <cell r="E1576">
            <v>2310.88</v>
          </cell>
          <cell r="F1576" t="str">
            <v>A2-S3</v>
          </cell>
          <cell r="G1576" t="str">
            <v>Bottom panel - Ván đáy</v>
          </cell>
          <cell r="H1576" t="str">
            <v>MDF Veneer</v>
          </cell>
          <cell r="I1576">
            <v>4</v>
          </cell>
        </row>
        <row r="1577">
          <cell r="A1577" t="str">
            <v>B557844/A</v>
          </cell>
          <cell r="B1577" t="str">
            <v>CZ130M191</v>
          </cell>
          <cell r="C1577">
            <v>4</v>
          </cell>
          <cell r="D1577">
            <v>577.72</v>
          </cell>
          <cell r="E1577">
            <v>2310.88</v>
          </cell>
          <cell r="F1577" t="str">
            <v>A2-S4</v>
          </cell>
          <cell r="G1577" t="str">
            <v>Cleat - Bọ gỗ</v>
          </cell>
          <cell r="H1577" t="str">
            <v>Wood Rubber Laminate Board - 20 x 1220 x 2440mm, Veneer Poplar both Faces</v>
          </cell>
          <cell r="I1577">
            <v>8</v>
          </cell>
        </row>
        <row r="1578">
          <cell r="A1578" t="str">
            <v>B557844/A</v>
          </cell>
          <cell r="B1578" t="str">
            <v>CZ130M191</v>
          </cell>
          <cell r="C1578">
            <v>4</v>
          </cell>
          <cell r="D1578">
            <v>577.72</v>
          </cell>
          <cell r="E1578">
            <v>2310.88</v>
          </cell>
          <cell r="F1578" t="str">
            <v>A3-S3</v>
          </cell>
          <cell r="G1578" t="str">
            <v>Door panel  - Ván cửa</v>
          </cell>
          <cell r="H1578" t="str">
            <v>MDF Veneer</v>
          </cell>
          <cell r="I1578">
            <v>8</v>
          </cell>
        </row>
        <row r="1579">
          <cell r="A1579" t="str">
            <v>B557844/A</v>
          </cell>
          <cell r="B1579" t="str">
            <v>CZ130M191</v>
          </cell>
          <cell r="C1579">
            <v>4</v>
          </cell>
          <cell r="D1579">
            <v>577.72</v>
          </cell>
          <cell r="E1579">
            <v>2310.88</v>
          </cell>
          <cell r="F1579" t="str">
            <v>A3-S4</v>
          </cell>
          <cell r="G1579" t="str">
            <v>Patching moulding - Chỉ đắp</v>
          </cell>
          <cell r="H1579" t="str">
            <v>Wood US Poplar - Straight Edged, 2 COM - T38mm x W100mm Up x L1.8m Up</v>
          </cell>
          <cell r="I1579">
            <v>8</v>
          </cell>
        </row>
        <row r="1580">
          <cell r="A1580" t="str">
            <v>B557844/A</v>
          </cell>
          <cell r="B1580" t="str">
            <v>CZ130M191</v>
          </cell>
          <cell r="C1580">
            <v>4</v>
          </cell>
          <cell r="D1580">
            <v>577.72</v>
          </cell>
          <cell r="E1580">
            <v>2310.88</v>
          </cell>
          <cell r="F1580" t="str">
            <v>A3-S5</v>
          </cell>
          <cell r="G1580" t="str">
            <v>Patching moulding - Chỉ đắp</v>
          </cell>
          <cell r="H1580" t="str">
            <v>Wood US Poplar - Straight Edged, 2 COM - T38mm x W100mm Up x L1.8m Up</v>
          </cell>
          <cell r="I1580">
            <v>16</v>
          </cell>
        </row>
        <row r="1581">
          <cell r="A1581" t="str">
            <v>B557844/A</v>
          </cell>
          <cell r="B1581" t="str">
            <v>CZ130M191</v>
          </cell>
          <cell r="C1581">
            <v>4</v>
          </cell>
          <cell r="D1581">
            <v>577.72</v>
          </cell>
          <cell r="E1581">
            <v>2310.88</v>
          </cell>
          <cell r="F1581" t="str">
            <v>A3-S6</v>
          </cell>
          <cell r="G1581" t="str">
            <v>Patching moulding - Chỉ đắp</v>
          </cell>
          <cell r="H1581" t="str">
            <v>TRAM OFF CUT</v>
          </cell>
          <cell r="I1581">
            <v>16</v>
          </cell>
        </row>
        <row r="1582">
          <cell r="A1582" t="str">
            <v>B557844/A</v>
          </cell>
          <cell r="B1582" t="str">
            <v>CZ130M191</v>
          </cell>
          <cell r="C1582">
            <v>4</v>
          </cell>
          <cell r="D1582">
            <v>577.72</v>
          </cell>
          <cell r="E1582">
            <v>2310.88</v>
          </cell>
          <cell r="F1582" t="str">
            <v>A3-S7</v>
          </cell>
          <cell r="G1582" t="str">
            <v>Patching moulding - Chỉ đắp</v>
          </cell>
          <cell r="H1582" t="str">
            <v>Wood US Poplar - Straight Edged, 2 COM - T38mm x W100mm Up x L1.8m Up</v>
          </cell>
          <cell r="I1582">
            <v>8</v>
          </cell>
        </row>
        <row r="1583">
          <cell r="A1583" t="str">
            <v>B557844/A</v>
          </cell>
          <cell r="B1583" t="str">
            <v>CZ130M191</v>
          </cell>
          <cell r="C1583">
            <v>4</v>
          </cell>
          <cell r="D1583">
            <v>577.72</v>
          </cell>
          <cell r="E1583">
            <v>2310.88</v>
          </cell>
          <cell r="F1583" t="str">
            <v>A3-S8</v>
          </cell>
          <cell r="G1583" t="str">
            <v>Insert Wood - Gỗ chèn</v>
          </cell>
          <cell r="H1583" t="str">
            <v>Beech off cut</v>
          </cell>
          <cell r="I1583">
            <v>16</v>
          </cell>
        </row>
        <row r="1584">
          <cell r="A1584" t="str">
            <v>B557844/A</v>
          </cell>
          <cell r="B1584" t="str">
            <v>CZ130M191</v>
          </cell>
          <cell r="C1584">
            <v>4</v>
          </cell>
          <cell r="D1584">
            <v>577.72</v>
          </cell>
          <cell r="E1584">
            <v>2310.88</v>
          </cell>
          <cell r="F1584" t="str">
            <v>P01</v>
          </cell>
          <cell r="G1584" t="str">
            <v>Front top rail  - Đố tiền nóc</v>
          </cell>
          <cell r="H1584" t="str">
            <v>Wood laminate</v>
          </cell>
          <cell r="I1584">
            <v>4</v>
          </cell>
        </row>
        <row r="1585">
          <cell r="A1585" t="str">
            <v>B557844/A</v>
          </cell>
          <cell r="B1585" t="str">
            <v>CZ130M191</v>
          </cell>
          <cell r="C1585">
            <v>4</v>
          </cell>
          <cell r="D1585">
            <v>577.72</v>
          </cell>
          <cell r="E1585">
            <v>2310.88</v>
          </cell>
          <cell r="F1585" t="str">
            <v>P02</v>
          </cell>
          <cell r="G1585" t="str">
            <v>Back top rail - Đố hậu nóc</v>
          </cell>
          <cell r="H1585" t="str">
            <v>Wood Rubber Laminate Board - 20 x 1220 x 2440mm, Veneer Poplar both Faces</v>
          </cell>
          <cell r="I1585">
            <v>4</v>
          </cell>
        </row>
        <row r="1586">
          <cell r="A1586" t="str">
            <v>B557844/A</v>
          </cell>
          <cell r="B1586" t="str">
            <v>CZ130M191</v>
          </cell>
          <cell r="C1586">
            <v>4</v>
          </cell>
          <cell r="D1586">
            <v>577.72</v>
          </cell>
          <cell r="E1586">
            <v>2310.88</v>
          </cell>
          <cell r="F1586" t="str">
            <v>P03</v>
          </cell>
          <cell r="G1586" t="str">
            <v xml:space="preserve">Top panel  - Ván nóc </v>
          </cell>
          <cell r="H1586" t="str">
            <v>MDF Veneer</v>
          </cell>
          <cell r="I1586">
            <v>4</v>
          </cell>
        </row>
        <row r="1587">
          <cell r="A1587" t="str">
            <v>B557844/A</v>
          </cell>
          <cell r="B1587" t="str">
            <v>CZ130M191</v>
          </cell>
          <cell r="C1587">
            <v>4</v>
          </cell>
          <cell r="D1587">
            <v>577.72</v>
          </cell>
          <cell r="E1587">
            <v>2310.88</v>
          </cell>
          <cell r="F1587" t="str">
            <v>P06</v>
          </cell>
          <cell r="G1587" t="str">
            <v>Adjustable Shelf  - Kệ di động</v>
          </cell>
          <cell r="H1587" t="str">
            <v>Pre-Assembly</v>
          </cell>
          <cell r="I1587">
            <v>4</v>
          </cell>
        </row>
        <row r="1588">
          <cell r="A1588" t="str">
            <v>B557844/A</v>
          </cell>
          <cell r="B1588" t="str">
            <v>CZ130M191</v>
          </cell>
          <cell r="C1588">
            <v>4</v>
          </cell>
          <cell r="D1588">
            <v>577.72</v>
          </cell>
          <cell r="E1588">
            <v>2310.88</v>
          </cell>
          <cell r="F1588" t="str">
            <v>P06-1</v>
          </cell>
          <cell r="G1588" t="str">
            <v>Adjustable Shelf  - Kệ di động</v>
          </cell>
          <cell r="H1588" t="str">
            <v>MDF Veneer</v>
          </cell>
          <cell r="I1588">
            <v>4</v>
          </cell>
        </row>
        <row r="1589">
          <cell r="A1589" t="str">
            <v>B557844/A</v>
          </cell>
          <cell r="B1589" t="str">
            <v>CZ130M191</v>
          </cell>
          <cell r="C1589">
            <v>4</v>
          </cell>
          <cell r="D1589">
            <v>577.72</v>
          </cell>
          <cell r="E1589">
            <v>2310.88</v>
          </cell>
          <cell r="F1589" t="str">
            <v>P06-2</v>
          </cell>
          <cell r="G1589" t="str">
            <v>Adjustable Shelf  - Kệ di động</v>
          </cell>
          <cell r="H1589" t="str">
            <v>Standard Wood - ALDER/ASPEN/LENGA/US POPLAR, 2 COM - T25 W120mm+ L2m+</v>
          </cell>
          <cell r="I1589">
            <v>4</v>
          </cell>
        </row>
        <row r="1590">
          <cell r="A1590" t="str">
            <v>B557844/A</v>
          </cell>
          <cell r="B1590" t="str">
            <v>CZ130M191</v>
          </cell>
          <cell r="C1590">
            <v>4</v>
          </cell>
          <cell r="D1590">
            <v>577.72</v>
          </cell>
          <cell r="E1590">
            <v>2310.88</v>
          </cell>
          <cell r="F1590" t="str">
            <v>P07</v>
          </cell>
          <cell r="G1590" t="str">
            <v>Back panel - Ván hậu</v>
          </cell>
          <cell r="H1590" t="str">
            <v>MDF Veneer</v>
          </cell>
          <cell r="I1590">
            <v>4</v>
          </cell>
        </row>
        <row r="1591">
          <cell r="A1591" t="str">
            <v>B557844/A</v>
          </cell>
          <cell r="B1591" t="str">
            <v>CZ130M191</v>
          </cell>
          <cell r="C1591">
            <v>4</v>
          </cell>
          <cell r="D1591">
            <v>577.72</v>
          </cell>
          <cell r="E1591">
            <v>2310.88</v>
          </cell>
          <cell r="F1591" t="str">
            <v>P08</v>
          </cell>
          <cell r="G1591" t="str">
            <v>Corner block - ke góc</v>
          </cell>
          <cell r="H1591" t="str">
            <v>Poplar off cut</v>
          </cell>
          <cell r="I1591">
            <v>8</v>
          </cell>
        </row>
        <row r="1592">
          <cell r="A1592" t="str">
            <v>B557844/A</v>
          </cell>
          <cell r="B1592" t="str">
            <v>CZ130M191</v>
          </cell>
          <cell r="C1592">
            <v>4</v>
          </cell>
          <cell r="D1592">
            <v>577.72</v>
          </cell>
          <cell r="E1592">
            <v>2310.88</v>
          </cell>
          <cell r="F1592" t="str">
            <v>P09</v>
          </cell>
          <cell r="G1592" t="str">
            <v>Corner block - ke góc</v>
          </cell>
          <cell r="H1592" t="str">
            <v>Poplar off cut</v>
          </cell>
          <cell r="I1592">
            <v>8</v>
          </cell>
        </row>
        <row r="1593">
          <cell r="A1593" t="str">
            <v>B557844/A</v>
          </cell>
          <cell r="B1593" t="str">
            <v>CZ130M191</v>
          </cell>
          <cell r="C1593">
            <v>4</v>
          </cell>
          <cell r="D1593">
            <v>577.72</v>
          </cell>
          <cell r="E1593">
            <v>2310.88</v>
          </cell>
          <cell r="F1593" t="str">
            <v>P10</v>
          </cell>
          <cell r="G1593" t="str">
            <v>Bottom panel - Ván đáy</v>
          </cell>
          <cell r="H1593" t="str">
            <v>Cement Board - 20 x 1220 x 2440mm, Dark Grey</v>
          </cell>
          <cell r="I1593">
            <v>4</v>
          </cell>
        </row>
        <row r="1594">
          <cell r="A1594" t="str">
            <v>B557844/A</v>
          </cell>
          <cell r="B1594" t="str">
            <v>CZ130M191</v>
          </cell>
          <cell r="C1594">
            <v>4</v>
          </cell>
          <cell r="D1594">
            <v>577.72</v>
          </cell>
          <cell r="E1594">
            <v>2310.88</v>
          </cell>
          <cell r="F1594" t="str">
            <v>P12</v>
          </cell>
          <cell r="G1594" t="str">
            <v>Corner block - ke góc</v>
          </cell>
          <cell r="H1594" t="str">
            <v>Poplar off cut</v>
          </cell>
          <cell r="I1594">
            <v>8</v>
          </cell>
        </row>
        <row r="1595">
          <cell r="A1595" t="str">
            <v>B557844/A</v>
          </cell>
          <cell r="B1595" t="str">
            <v>CZ130M191</v>
          </cell>
          <cell r="C1595">
            <v>4</v>
          </cell>
          <cell r="D1595">
            <v>577.72</v>
          </cell>
          <cell r="E1595">
            <v>2310.88</v>
          </cell>
          <cell r="F1595" t="str">
            <v>P13</v>
          </cell>
          <cell r="G1595" t="str">
            <v>Spline - Lưỡi gà</v>
          </cell>
          <cell r="H1595" t="str">
            <v>Plywood LVD - 06 x 1220 x 2440mm, Bleached Poplar Veneer Both Sides [CARB P2 Compliant]</v>
          </cell>
          <cell r="I1595">
            <v>8</v>
          </cell>
        </row>
        <row r="1596">
          <cell r="A1596" t="str">
            <v>B557844/A</v>
          </cell>
          <cell r="B1596" t="str">
            <v>CZ130M191</v>
          </cell>
          <cell r="C1596">
            <v>4</v>
          </cell>
          <cell r="D1596">
            <v>577.72</v>
          </cell>
          <cell r="E1596">
            <v>2310.88</v>
          </cell>
          <cell r="F1596" t="str">
            <v>P14</v>
          </cell>
          <cell r="G1596" t="str">
            <v>Spline - Lưỡi gà</v>
          </cell>
          <cell r="H1596" t="str">
            <v>Plywood LVD - 06 x 1220 x 2440mm, Bleached Poplar Veneer Both Sides [CARB P2 Compliant]</v>
          </cell>
          <cell r="I1596">
            <v>4</v>
          </cell>
        </row>
        <row r="1597">
          <cell r="A1597" t="str">
            <v>B557844/A</v>
          </cell>
          <cell r="B1597" t="str">
            <v>CZ130M191</v>
          </cell>
          <cell r="C1597">
            <v>4</v>
          </cell>
          <cell r="D1597">
            <v>577.72</v>
          </cell>
          <cell r="E1597">
            <v>2310.88</v>
          </cell>
          <cell r="F1597" t="str">
            <v>P16</v>
          </cell>
          <cell r="G1597" t="str">
            <v>Patching wood - Gỗ đắp</v>
          </cell>
          <cell r="H1597" t="str">
            <v>wood off cut</v>
          </cell>
          <cell r="I1597">
            <v>8</v>
          </cell>
        </row>
        <row r="1598">
          <cell r="A1598" t="str">
            <v>B557844/A</v>
          </cell>
          <cell r="B1598" t="str">
            <v>CZ130M191</v>
          </cell>
          <cell r="C1598">
            <v>4</v>
          </cell>
          <cell r="D1598">
            <v>577.72</v>
          </cell>
          <cell r="E1598">
            <v>2310.88</v>
          </cell>
          <cell r="F1598" t="str">
            <v>P17</v>
          </cell>
          <cell r="G1598" t="str">
            <v>Cleat - Bọ gỗ</v>
          </cell>
          <cell r="H1598" t="str">
            <v>TRAM OFF CUT</v>
          </cell>
          <cell r="I1598">
            <v>8</v>
          </cell>
        </row>
        <row r="1599">
          <cell r="A1599" t="str">
            <v>B557849/A</v>
          </cell>
          <cell r="B1599" t="str">
            <v>CZ551</v>
          </cell>
          <cell r="C1599">
            <v>50</v>
          </cell>
          <cell r="D1599">
            <v>315.12</v>
          </cell>
          <cell r="E1599">
            <v>15756</v>
          </cell>
          <cell r="F1599" t="str">
            <v>A1-S1</v>
          </cell>
          <cell r="G1599" t="str">
            <v>Front Vertical rail  - Trụ tiền</v>
          </cell>
          <cell r="H1599" t="str">
            <v>Pre-Assembly</v>
          </cell>
          <cell r="I1599">
            <v>100</v>
          </cell>
        </row>
        <row r="1600">
          <cell r="A1600" t="str">
            <v>B557849/A</v>
          </cell>
          <cell r="B1600" t="str">
            <v>CZ551</v>
          </cell>
          <cell r="C1600">
            <v>50</v>
          </cell>
          <cell r="D1600">
            <v>315.12</v>
          </cell>
          <cell r="E1600">
            <v>15756</v>
          </cell>
          <cell r="F1600" t="str">
            <v>A1-S1-1</v>
          </cell>
          <cell r="G1600" t="str">
            <v>Front rail  - Đố tiền</v>
          </cell>
          <cell r="H1600" t="str">
            <v>Wood Rubber Laminate Board - 20 x 1220 x 2440mm, Veneer Poplar both Faces</v>
          </cell>
          <cell r="I1600">
            <v>100</v>
          </cell>
        </row>
        <row r="1601">
          <cell r="A1601" t="str">
            <v>B557849/A</v>
          </cell>
          <cell r="B1601" t="str">
            <v>CZ551</v>
          </cell>
          <cell r="C1601">
            <v>50</v>
          </cell>
          <cell r="D1601">
            <v>315.12</v>
          </cell>
          <cell r="E1601">
            <v>15756</v>
          </cell>
          <cell r="F1601" t="str">
            <v>A1-S1-2</v>
          </cell>
          <cell r="G1601" t="str">
            <v>Patching wood - Gỗ đắp</v>
          </cell>
          <cell r="H1601" t="str">
            <v>TRAM OFF CUT</v>
          </cell>
          <cell r="I1601">
            <v>100</v>
          </cell>
        </row>
        <row r="1602">
          <cell r="A1602" t="str">
            <v>B557849/A</v>
          </cell>
          <cell r="B1602" t="str">
            <v>CZ551</v>
          </cell>
          <cell r="C1602">
            <v>50</v>
          </cell>
          <cell r="D1602">
            <v>315.12</v>
          </cell>
          <cell r="E1602">
            <v>15756</v>
          </cell>
          <cell r="F1602" t="str">
            <v>A1-S2</v>
          </cell>
          <cell r="G1602" t="str">
            <v>Back leg - Chân hậu</v>
          </cell>
          <cell r="H1602" t="str">
            <v>Beech 2 COM</v>
          </cell>
          <cell r="I1602">
            <v>100</v>
          </cell>
        </row>
        <row r="1603">
          <cell r="A1603" t="str">
            <v>B557849/A</v>
          </cell>
          <cell r="B1603" t="str">
            <v>CZ551</v>
          </cell>
          <cell r="C1603">
            <v>50</v>
          </cell>
          <cell r="D1603">
            <v>315.12</v>
          </cell>
          <cell r="E1603">
            <v>15756</v>
          </cell>
          <cell r="F1603" t="str">
            <v>A1-S3</v>
          </cell>
          <cell r="G1603" t="str">
            <v xml:space="preserve">Side panel  - Ván hông </v>
          </cell>
          <cell r="H1603" t="str">
            <v>MDF - 15 x 1830 x 2440mm [CARB P2 Compliant]</v>
          </cell>
          <cell r="I1603">
            <v>100</v>
          </cell>
        </row>
        <row r="1604">
          <cell r="A1604" t="str">
            <v>B557849/A</v>
          </cell>
          <cell r="B1604" t="str">
            <v>CZ551</v>
          </cell>
          <cell r="C1604">
            <v>50</v>
          </cell>
          <cell r="D1604">
            <v>315.12</v>
          </cell>
          <cell r="E1604">
            <v>15756</v>
          </cell>
          <cell r="F1604" t="str">
            <v>A1-S4</v>
          </cell>
          <cell r="G1604" t="str">
            <v>Cleat - Bọ gỗ</v>
          </cell>
          <cell r="H1604" t="str">
            <v>Wood Rubber Laminate Board - 20 x 1220 x 2440mm, Veneer Poplar both Faces</v>
          </cell>
          <cell r="I1604">
            <v>100</v>
          </cell>
        </row>
        <row r="1605">
          <cell r="A1605" t="str">
            <v>B557849/A</v>
          </cell>
          <cell r="B1605" t="str">
            <v>CZ551</v>
          </cell>
          <cell r="C1605">
            <v>50</v>
          </cell>
          <cell r="D1605">
            <v>315.12</v>
          </cell>
          <cell r="E1605">
            <v>15756</v>
          </cell>
          <cell r="F1605" t="str">
            <v>A1-S5</v>
          </cell>
          <cell r="G1605" t="str">
            <v>side rail inside with note finger - Đố trong ghép finger</v>
          </cell>
          <cell r="H1605" t="str">
            <v>Pre-Assembly</v>
          </cell>
          <cell r="I1605">
            <v>200</v>
          </cell>
        </row>
        <row r="1606">
          <cell r="A1606" t="str">
            <v>B557849/A</v>
          </cell>
          <cell r="B1606" t="str">
            <v>CZ551</v>
          </cell>
          <cell r="C1606">
            <v>50</v>
          </cell>
          <cell r="D1606">
            <v>315.12</v>
          </cell>
          <cell r="E1606">
            <v>15756</v>
          </cell>
          <cell r="F1606" t="str">
            <v>A1-S5-1</v>
          </cell>
          <cell r="G1606" t="str">
            <v xml:space="preserve">Side rail  - Đố hông </v>
          </cell>
          <cell r="H1606" t="str">
            <v>Wood US Poplar - Straight Edged, 2 COM - T25mm x W100mm Up x L1.8m Up</v>
          </cell>
          <cell r="I1606">
            <v>200</v>
          </cell>
        </row>
        <row r="1607">
          <cell r="A1607" t="str">
            <v>B557849/A</v>
          </cell>
          <cell r="B1607" t="str">
            <v>CZ551</v>
          </cell>
          <cell r="C1607">
            <v>50</v>
          </cell>
          <cell r="D1607">
            <v>315.12</v>
          </cell>
          <cell r="E1607">
            <v>15756</v>
          </cell>
          <cell r="F1607" t="str">
            <v>A1-S5-2</v>
          </cell>
          <cell r="G1607" t="str">
            <v>Patching wood - Gỗ đắp</v>
          </cell>
          <cell r="H1607" t="str">
            <v>wood off cut</v>
          </cell>
          <cell r="I1607">
            <v>400</v>
          </cell>
        </row>
        <row r="1608">
          <cell r="A1608" t="str">
            <v>B557849/A</v>
          </cell>
          <cell r="B1608" t="str">
            <v>CZ551</v>
          </cell>
          <cell r="C1608">
            <v>50</v>
          </cell>
          <cell r="D1608">
            <v>315.12</v>
          </cell>
          <cell r="E1608">
            <v>15756</v>
          </cell>
          <cell r="F1608" t="str">
            <v>A4-S1</v>
          </cell>
          <cell r="G1608" t="str">
            <v>Front Bottom Rail  - Đố đáy trước</v>
          </cell>
          <cell r="H1608" t="str">
            <v>Wood Rubber Laminate Board - 20 x 1220 x 2440mm, Veneer Poplar both Faces</v>
          </cell>
          <cell r="I1608">
            <v>50</v>
          </cell>
        </row>
        <row r="1609">
          <cell r="A1609" t="str">
            <v>B557849/A</v>
          </cell>
          <cell r="B1609" t="str">
            <v>CZ551</v>
          </cell>
          <cell r="C1609">
            <v>50</v>
          </cell>
          <cell r="D1609">
            <v>315.12</v>
          </cell>
          <cell r="E1609">
            <v>15756</v>
          </cell>
          <cell r="F1609" t="str">
            <v>A4-S2</v>
          </cell>
          <cell r="G1609" t="str">
            <v>Back bottom rail - Đố hậu đáy</v>
          </cell>
          <cell r="H1609" t="str">
            <v>Wood Rubber Laminate Board - 20 x 1220 x 2440mm, Veneer Poplar both Faces</v>
          </cell>
          <cell r="I1609">
            <v>50</v>
          </cell>
        </row>
        <row r="1610">
          <cell r="A1610" t="str">
            <v>B557849/A</v>
          </cell>
          <cell r="B1610" t="str">
            <v>CZ551</v>
          </cell>
          <cell r="C1610">
            <v>50</v>
          </cell>
          <cell r="D1610">
            <v>315.12</v>
          </cell>
          <cell r="E1610">
            <v>15756</v>
          </cell>
          <cell r="F1610" t="str">
            <v>A4-S4</v>
          </cell>
          <cell r="G1610" t="str">
            <v>Dust board Panel  - Ván quét bụi</v>
          </cell>
          <cell r="H1610" t="str">
            <v>MDF - 06 x 1830 x 2440mm [CARB P2 Compliant]</v>
          </cell>
          <cell r="I1610">
            <v>50</v>
          </cell>
        </row>
        <row r="1611">
          <cell r="A1611" t="str">
            <v>B557849/A</v>
          </cell>
          <cell r="B1611" t="str">
            <v>CZ551</v>
          </cell>
          <cell r="C1611">
            <v>50</v>
          </cell>
          <cell r="D1611">
            <v>315.12</v>
          </cell>
          <cell r="E1611">
            <v>15756</v>
          </cell>
          <cell r="F1611" t="str">
            <v>A6-S1</v>
          </cell>
          <cell r="G1611" t="str">
            <v xml:space="preserve">Drawer front - Mặt hộc kéo </v>
          </cell>
          <cell r="H1611" t="str">
            <v>MDF Veneer</v>
          </cell>
          <cell r="I1611">
            <v>100</v>
          </cell>
        </row>
        <row r="1612">
          <cell r="A1612" t="str">
            <v>B557849/A</v>
          </cell>
          <cell r="B1612" t="str">
            <v>CZ551</v>
          </cell>
          <cell r="C1612">
            <v>50</v>
          </cell>
          <cell r="D1612">
            <v>315.12</v>
          </cell>
          <cell r="E1612">
            <v>15756</v>
          </cell>
          <cell r="F1612" t="str">
            <v>A6-S2</v>
          </cell>
          <cell r="G1612" t="str">
            <v>Drawer side - Hông hộc kéo</v>
          </cell>
          <cell r="H1612" t="str">
            <v>MDF-N - 12 x 1220 x 2440mm, Veneer Okoume 0.3mm Both Faces [CARB P2 Compliant]</v>
          </cell>
          <cell r="I1612">
            <v>200</v>
          </cell>
        </row>
        <row r="1613">
          <cell r="A1613" t="str">
            <v>B557849/A</v>
          </cell>
          <cell r="B1613" t="str">
            <v>CZ551</v>
          </cell>
          <cell r="C1613">
            <v>50</v>
          </cell>
          <cell r="D1613">
            <v>315.12</v>
          </cell>
          <cell r="E1613">
            <v>15756</v>
          </cell>
          <cell r="F1613" t="str">
            <v>A6-S3</v>
          </cell>
          <cell r="G1613" t="str">
            <v>Drawer back - Hậu hộc kéo</v>
          </cell>
          <cell r="H1613" t="str">
            <v>MDF - 12 x 1220 x 2440mm, Veneer Okoume 0.3mm Both Faces [CARB P2 Compliant]</v>
          </cell>
          <cell r="I1613">
            <v>100</v>
          </cell>
        </row>
        <row r="1614">
          <cell r="A1614" t="str">
            <v>B557849/A</v>
          </cell>
          <cell r="B1614" t="str">
            <v>CZ551</v>
          </cell>
          <cell r="C1614">
            <v>50</v>
          </cell>
          <cell r="D1614">
            <v>315.12</v>
          </cell>
          <cell r="E1614">
            <v>15756</v>
          </cell>
          <cell r="F1614" t="str">
            <v>A6-S4</v>
          </cell>
          <cell r="G1614" t="str">
            <v>Drawer bottom  - Đáy hộc kéo</v>
          </cell>
          <cell r="H1614" t="str">
            <v>MDF - 06 x 1220 x 2440mm, Veneer Okoume 0.3mm Both Faces [CARB P2 Compliant]</v>
          </cell>
          <cell r="I1614">
            <v>100</v>
          </cell>
        </row>
        <row r="1615">
          <cell r="A1615" t="str">
            <v>B557849/A</v>
          </cell>
          <cell r="B1615" t="str">
            <v>CZ551</v>
          </cell>
          <cell r="C1615">
            <v>50</v>
          </cell>
          <cell r="D1615">
            <v>315.12</v>
          </cell>
          <cell r="E1615">
            <v>15756</v>
          </cell>
          <cell r="F1615" t="str">
            <v>P01</v>
          </cell>
          <cell r="G1615" t="str">
            <v>Front top rail  - Đố tiền nóc</v>
          </cell>
          <cell r="H1615" t="str">
            <v>Wood Rubber Laminate Board - 20 x 1220 x 2440mm, Veneer Poplar both Faces</v>
          </cell>
          <cell r="I1615">
            <v>50</v>
          </cell>
        </row>
        <row r="1616">
          <cell r="A1616" t="str">
            <v>B557849/A</v>
          </cell>
          <cell r="B1616" t="str">
            <v>CZ551</v>
          </cell>
          <cell r="C1616">
            <v>50</v>
          </cell>
          <cell r="D1616">
            <v>315.12</v>
          </cell>
          <cell r="E1616">
            <v>15756</v>
          </cell>
          <cell r="F1616" t="str">
            <v>P02</v>
          </cell>
          <cell r="G1616" t="str">
            <v>Back rail with note finger - đố hậu</v>
          </cell>
          <cell r="H1616" t="str">
            <v>Wood Rubber Laminate Board - 20 x 1220 x 2440mm, Veneer Poplar both Faces</v>
          </cell>
          <cell r="I1616">
            <v>50</v>
          </cell>
        </row>
        <row r="1617">
          <cell r="A1617" t="str">
            <v>B557849/A</v>
          </cell>
          <cell r="B1617" t="str">
            <v>CZ551</v>
          </cell>
          <cell r="C1617">
            <v>50</v>
          </cell>
          <cell r="D1617">
            <v>315.12</v>
          </cell>
          <cell r="E1617">
            <v>15756</v>
          </cell>
          <cell r="F1617" t="str">
            <v>P03</v>
          </cell>
          <cell r="G1617" t="str">
            <v xml:space="preserve">Top panel  - Ván nóc </v>
          </cell>
          <cell r="H1617" t="str">
            <v>MDF - 15 x 1830 x 2440mm [CARB P2 Compliant]</v>
          </cell>
          <cell r="I1617">
            <v>50</v>
          </cell>
        </row>
        <row r="1618">
          <cell r="A1618" t="str">
            <v>B557849/A</v>
          </cell>
          <cell r="B1618" t="str">
            <v>CZ551</v>
          </cell>
          <cell r="C1618">
            <v>50</v>
          </cell>
          <cell r="D1618">
            <v>315.12</v>
          </cell>
          <cell r="E1618">
            <v>15756</v>
          </cell>
          <cell r="F1618" t="str">
            <v>P04</v>
          </cell>
          <cell r="G1618" t="str">
            <v>Spline - Lưỡi gà</v>
          </cell>
          <cell r="H1618" t="str">
            <v>Plywood LVD - 06 x 1220 x 2440mm, Bleached Poplar Veneer Both Sides [CARB P2 Compliant]</v>
          </cell>
          <cell r="I1618">
            <v>50</v>
          </cell>
        </row>
        <row r="1619">
          <cell r="A1619" t="str">
            <v>B557849/A</v>
          </cell>
          <cell r="B1619" t="str">
            <v>CZ551</v>
          </cell>
          <cell r="C1619">
            <v>50</v>
          </cell>
          <cell r="D1619">
            <v>315.12</v>
          </cell>
          <cell r="E1619">
            <v>15756</v>
          </cell>
          <cell r="F1619" t="str">
            <v>P05</v>
          </cell>
          <cell r="G1619" t="str">
            <v>Spline - Lưỡi gà</v>
          </cell>
          <cell r="H1619" t="str">
            <v>Plywood LVD - 06 x 1220 x 2440mm, Bleached Poplar Veneer Both Sides [CARB P2 Compliant]</v>
          </cell>
          <cell r="I1619">
            <v>100</v>
          </cell>
        </row>
        <row r="1620">
          <cell r="A1620" t="str">
            <v>B557849/A</v>
          </cell>
          <cell r="B1620" t="str">
            <v>CZ551</v>
          </cell>
          <cell r="C1620">
            <v>50</v>
          </cell>
          <cell r="D1620">
            <v>315.12</v>
          </cell>
          <cell r="E1620">
            <v>15756</v>
          </cell>
          <cell r="F1620" t="str">
            <v>P10</v>
          </cell>
          <cell r="G1620" t="str">
            <v>Back panel - Ván hậu</v>
          </cell>
          <cell r="H1620" t="str">
            <v>MDF - 06 x 1220 x 2440mm, Veneer Okoume 0.3mm Both Faces [CARB P2 Compliant]</v>
          </cell>
          <cell r="I1620">
            <v>50</v>
          </cell>
        </row>
        <row r="1621">
          <cell r="A1621" t="str">
            <v>B557849/A</v>
          </cell>
          <cell r="B1621" t="str">
            <v>CZ551</v>
          </cell>
          <cell r="C1621">
            <v>50</v>
          </cell>
          <cell r="D1621">
            <v>315.12</v>
          </cell>
          <cell r="E1621">
            <v>15756</v>
          </cell>
          <cell r="F1621" t="str">
            <v>P12</v>
          </cell>
          <cell r="G1621" t="str">
            <v>Corner block - ke góc</v>
          </cell>
          <cell r="H1621" t="str">
            <v>wood off cut</v>
          </cell>
          <cell r="I1621">
            <v>100</v>
          </cell>
        </row>
        <row r="1622">
          <cell r="A1622" t="str">
            <v>B557849/A</v>
          </cell>
          <cell r="B1622" t="str">
            <v>CZ551</v>
          </cell>
          <cell r="C1622">
            <v>50</v>
          </cell>
          <cell r="D1622">
            <v>315.12</v>
          </cell>
          <cell r="E1622">
            <v>15756</v>
          </cell>
          <cell r="F1622" t="str">
            <v>P13</v>
          </cell>
          <cell r="G1622" t="str">
            <v>Cleat - Bọ gỗ</v>
          </cell>
          <cell r="H1622" t="str">
            <v>Wood US Poplar - Straight Edged, 2 COM - T25mm x W100mm Up x L1.8m Up</v>
          </cell>
          <cell r="I1622">
            <v>100</v>
          </cell>
        </row>
        <row r="1623">
          <cell r="A1623" t="str">
            <v>B557849/A</v>
          </cell>
          <cell r="B1623" t="str">
            <v>CZ551</v>
          </cell>
          <cell r="C1623">
            <v>50</v>
          </cell>
          <cell r="D1623">
            <v>315.12</v>
          </cell>
          <cell r="E1623">
            <v>15756</v>
          </cell>
          <cell r="F1623" t="str">
            <v>P14</v>
          </cell>
          <cell r="G1623" t="str">
            <v>Drawer stop - Dừng hộc</v>
          </cell>
          <cell r="H1623" t="str">
            <v>Poplar off cut</v>
          </cell>
          <cell r="I1623">
            <v>200</v>
          </cell>
        </row>
        <row r="1624">
          <cell r="A1624" t="str">
            <v>B557849/A</v>
          </cell>
          <cell r="B1624" t="str">
            <v>CZ551</v>
          </cell>
          <cell r="C1624">
            <v>50</v>
          </cell>
          <cell r="D1624">
            <v>315.12</v>
          </cell>
          <cell r="E1624">
            <v>15756</v>
          </cell>
          <cell r="F1624" t="str">
            <v>P15</v>
          </cell>
          <cell r="G1624" t="str">
            <v>Front rail  - Đố tiền</v>
          </cell>
          <cell r="H1624" t="str">
            <v>Wood US Poplar - Straight Edged, 2 COM - T25mm x W100mm Up x L1.8m Up</v>
          </cell>
          <cell r="I1624">
            <v>50</v>
          </cell>
        </row>
        <row r="1625">
          <cell r="A1625" t="str">
            <v>B557857/A</v>
          </cell>
          <cell r="B1625" t="str">
            <v>CZ551M191</v>
          </cell>
          <cell r="C1625">
            <v>7</v>
          </cell>
          <cell r="D1625">
            <v>315.12</v>
          </cell>
          <cell r="E1625">
            <v>2205.84</v>
          </cell>
          <cell r="F1625" t="str">
            <v>A1-S1</v>
          </cell>
          <cell r="G1625" t="str">
            <v>Front Vertical rail  - Trụ tiền</v>
          </cell>
          <cell r="H1625" t="str">
            <v>Pre-Assembly</v>
          </cell>
          <cell r="I1625">
            <v>14</v>
          </cell>
        </row>
        <row r="1626">
          <cell r="A1626" t="str">
            <v>B557857/A</v>
          </cell>
          <cell r="B1626" t="str">
            <v>CZ551M191</v>
          </cell>
          <cell r="C1626">
            <v>7</v>
          </cell>
          <cell r="D1626">
            <v>315.12</v>
          </cell>
          <cell r="E1626">
            <v>2205.84</v>
          </cell>
          <cell r="F1626" t="str">
            <v>A1-S1-1</v>
          </cell>
          <cell r="G1626" t="str">
            <v>Front rail  - Đố tiền</v>
          </cell>
          <cell r="H1626" t="str">
            <v>Wood Rubber Laminate Board - 20 x 1220 x 2440mm, Veneer Poplar both Faces</v>
          </cell>
          <cell r="I1626">
            <v>14</v>
          </cell>
        </row>
        <row r="1627">
          <cell r="A1627" t="str">
            <v>B557857/A</v>
          </cell>
          <cell r="B1627" t="str">
            <v>CZ551M191</v>
          </cell>
          <cell r="C1627">
            <v>7</v>
          </cell>
          <cell r="D1627">
            <v>315.12</v>
          </cell>
          <cell r="E1627">
            <v>2205.84</v>
          </cell>
          <cell r="F1627" t="str">
            <v>A1-S1-2</v>
          </cell>
          <cell r="G1627" t="str">
            <v>Patching wood - Gỗ đắp</v>
          </cell>
          <cell r="H1627" t="str">
            <v>TRAM OFF CUT</v>
          </cell>
          <cell r="I1627">
            <v>14</v>
          </cell>
        </row>
        <row r="1628">
          <cell r="A1628" t="str">
            <v>B557857/A</v>
          </cell>
          <cell r="B1628" t="str">
            <v>CZ551M191</v>
          </cell>
          <cell r="C1628">
            <v>7</v>
          </cell>
          <cell r="D1628">
            <v>315.12</v>
          </cell>
          <cell r="E1628">
            <v>2205.84</v>
          </cell>
          <cell r="F1628" t="str">
            <v>A1-S2</v>
          </cell>
          <cell r="G1628" t="str">
            <v>Back leg - Chân hậu</v>
          </cell>
          <cell r="H1628" t="str">
            <v>Beech 2 COM</v>
          </cell>
          <cell r="I1628">
            <v>14</v>
          </cell>
        </row>
        <row r="1629">
          <cell r="A1629" t="str">
            <v>B557857/A</v>
          </cell>
          <cell r="B1629" t="str">
            <v>CZ551M191</v>
          </cell>
          <cell r="C1629">
            <v>7</v>
          </cell>
          <cell r="D1629">
            <v>315.12</v>
          </cell>
          <cell r="E1629">
            <v>2205.84</v>
          </cell>
          <cell r="F1629" t="str">
            <v>A1-S3</v>
          </cell>
          <cell r="G1629" t="str">
            <v xml:space="preserve">Side panel  - Ván hông </v>
          </cell>
          <cell r="H1629" t="str">
            <v>MDF - 15 x 1830 x 2440mm [CARB P2 Compliant]</v>
          </cell>
          <cell r="I1629">
            <v>14</v>
          </cell>
        </row>
        <row r="1630">
          <cell r="A1630" t="str">
            <v>B557857/A</v>
          </cell>
          <cell r="B1630" t="str">
            <v>CZ551M191</v>
          </cell>
          <cell r="C1630">
            <v>7</v>
          </cell>
          <cell r="D1630">
            <v>315.12</v>
          </cell>
          <cell r="E1630">
            <v>2205.84</v>
          </cell>
          <cell r="F1630" t="str">
            <v>A1-S4</v>
          </cell>
          <cell r="G1630" t="str">
            <v>Cleat - Bọ gỗ</v>
          </cell>
          <cell r="H1630" t="str">
            <v>Wood Rubber Laminate Board - 20 x 1220 x 2440mm, Veneer Poplar both Faces</v>
          </cell>
          <cell r="I1630">
            <v>14</v>
          </cell>
        </row>
        <row r="1631">
          <cell r="A1631" t="str">
            <v>B557857/A</v>
          </cell>
          <cell r="B1631" t="str">
            <v>CZ551M191</v>
          </cell>
          <cell r="C1631">
            <v>7</v>
          </cell>
          <cell r="D1631">
            <v>315.12</v>
          </cell>
          <cell r="E1631">
            <v>2205.84</v>
          </cell>
          <cell r="F1631" t="str">
            <v>A1-S5</v>
          </cell>
          <cell r="G1631" t="str">
            <v>side rail inside with note finger - Đố trong ghép finger</v>
          </cell>
          <cell r="H1631" t="str">
            <v>Pre-Assembly</v>
          </cell>
          <cell r="I1631">
            <v>28</v>
          </cell>
        </row>
        <row r="1632">
          <cell r="A1632" t="str">
            <v>B557857/A</v>
          </cell>
          <cell r="B1632" t="str">
            <v>CZ551M191</v>
          </cell>
          <cell r="C1632">
            <v>7</v>
          </cell>
          <cell r="D1632">
            <v>315.12</v>
          </cell>
          <cell r="E1632">
            <v>2205.84</v>
          </cell>
          <cell r="F1632" t="str">
            <v>A1-S5-1</v>
          </cell>
          <cell r="G1632" t="str">
            <v xml:space="preserve">Side rail  - Đố hông </v>
          </cell>
          <cell r="H1632" t="str">
            <v>Wood US Poplar - Straight Edged, 2 COM - T25mm x W100mm Up x L1.8m Up</v>
          </cell>
          <cell r="I1632">
            <v>28</v>
          </cell>
        </row>
        <row r="1633">
          <cell r="A1633" t="str">
            <v>B557857/A</v>
          </cell>
          <cell r="B1633" t="str">
            <v>CZ551M191</v>
          </cell>
          <cell r="C1633">
            <v>7</v>
          </cell>
          <cell r="D1633">
            <v>315.12</v>
          </cell>
          <cell r="E1633">
            <v>2205.84</v>
          </cell>
          <cell r="F1633" t="str">
            <v>A1-S5-2</v>
          </cell>
          <cell r="G1633" t="str">
            <v>Patching wood - Gỗ đắp</v>
          </cell>
          <cell r="H1633" t="str">
            <v>wood off cut</v>
          </cell>
          <cell r="I1633">
            <v>56</v>
          </cell>
        </row>
        <row r="1634">
          <cell r="A1634" t="str">
            <v>B557857/A</v>
          </cell>
          <cell r="B1634" t="str">
            <v>CZ551M191</v>
          </cell>
          <cell r="C1634">
            <v>7</v>
          </cell>
          <cell r="D1634">
            <v>315.12</v>
          </cell>
          <cell r="E1634">
            <v>2205.84</v>
          </cell>
          <cell r="F1634" t="str">
            <v>A4-S1</v>
          </cell>
          <cell r="G1634" t="str">
            <v>Front Bottom Rail  - Đố đáy trước</v>
          </cell>
          <cell r="H1634" t="str">
            <v>Wood Rubber Laminate Board - 20 x 1220 x 2440mm, Veneer Poplar both Faces</v>
          </cell>
          <cell r="I1634">
            <v>7</v>
          </cell>
        </row>
        <row r="1635">
          <cell r="A1635" t="str">
            <v>B557857/A</v>
          </cell>
          <cell r="B1635" t="str">
            <v>CZ551M191</v>
          </cell>
          <cell r="C1635">
            <v>7</v>
          </cell>
          <cell r="D1635">
            <v>315.12</v>
          </cell>
          <cell r="E1635">
            <v>2205.84</v>
          </cell>
          <cell r="F1635" t="str">
            <v>A4-S2</v>
          </cell>
          <cell r="G1635" t="str">
            <v>Back bottom rail - Đố hậu đáy</v>
          </cell>
          <cell r="H1635" t="str">
            <v>Wood Rubber Laminate Board - 20 x 1220 x 2440mm, Veneer Poplar both Faces</v>
          </cell>
          <cell r="I1635">
            <v>7</v>
          </cell>
        </row>
        <row r="1636">
          <cell r="A1636" t="str">
            <v>B557857/A</v>
          </cell>
          <cell r="B1636" t="str">
            <v>CZ551M191</v>
          </cell>
          <cell r="C1636">
            <v>7</v>
          </cell>
          <cell r="D1636">
            <v>315.12</v>
          </cell>
          <cell r="E1636">
            <v>2205.84</v>
          </cell>
          <cell r="F1636" t="str">
            <v>A4-S4</v>
          </cell>
          <cell r="G1636" t="str">
            <v>Dust board Panel  - Ván quét bụi</v>
          </cell>
          <cell r="H1636" t="str">
            <v>MDF - 06 x 1830 x 2440mm [CARB P2 Compliant]</v>
          </cell>
          <cell r="I1636">
            <v>7</v>
          </cell>
        </row>
        <row r="1637">
          <cell r="A1637" t="str">
            <v>B557857/A</v>
          </cell>
          <cell r="B1637" t="str">
            <v>CZ551M191</v>
          </cell>
          <cell r="C1637">
            <v>7</v>
          </cell>
          <cell r="D1637">
            <v>315.12</v>
          </cell>
          <cell r="E1637">
            <v>2205.84</v>
          </cell>
          <cell r="F1637" t="str">
            <v>A6-S1</v>
          </cell>
          <cell r="G1637" t="str">
            <v xml:space="preserve">Drawer front - Mặt hộc kéo </v>
          </cell>
          <cell r="H1637" t="str">
            <v>MDF Veneer</v>
          </cell>
          <cell r="I1637">
            <v>14</v>
          </cell>
        </row>
        <row r="1638">
          <cell r="A1638" t="str">
            <v>B557857/A</v>
          </cell>
          <cell r="B1638" t="str">
            <v>CZ551M191</v>
          </cell>
          <cell r="C1638">
            <v>7</v>
          </cell>
          <cell r="D1638">
            <v>315.12</v>
          </cell>
          <cell r="E1638">
            <v>2205.84</v>
          </cell>
          <cell r="F1638" t="str">
            <v>A6-S2</v>
          </cell>
          <cell r="G1638" t="str">
            <v>Drawer side - Hông hộc kéo</v>
          </cell>
          <cell r="H1638" t="str">
            <v>MDF-N - 12 x 1220 x 2440mm, Veneer Okoume 0.3mm Both Faces [CARB P2 Compliant]</v>
          </cell>
          <cell r="I1638">
            <v>28</v>
          </cell>
        </row>
        <row r="1639">
          <cell r="A1639" t="str">
            <v>B557857/A</v>
          </cell>
          <cell r="B1639" t="str">
            <v>CZ551M191</v>
          </cell>
          <cell r="C1639">
            <v>7</v>
          </cell>
          <cell r="D1639">
            <v>315.12</v>
          </cell>
          <cell r="E1639">
            <v>2205.84</v>
          </cell>
          <cell r="F1639" t="str">
            <v>A6-S3</v>
          </cell>
          <cell r="G1639" t="str">
            <v>Drawer back - Hậu hộc kéo</v>
          </cell>
          <cell r="H1639" t="str">
            <v>MDF - 12 x 1220 x 2440mm, Veneer Okoume 0.3mm Both Faces [CARB P2 Compliant]</v>
          </cell>
          <cell r="I1639">
            <v>14</v>
          </cell>
        </row>
        <row r="1640">
          <cell r="A1640" t="str">
            <v>B557857/A</v>
          </cell>
          <cell r="B1640" t="str">
            <v>CZ551M191</v>
          </cell>
          <cell r="C1640">
            <v>7</v>
          </cell>
          <cell r="D1640">
            <v>315.12</v>
          </cell>
          <cell r="E1640">
            <v>2205.84</v>
          </cell>
          <cell r="F1640" t="str">
            <v>A6-S4</v>
          </cell>
          <cell r="G1640" t="str">
            <v>Drawer bottom  - Đáy hộc kéo</v>
          </cell>
          <cell r="H1640" t="str">
            <v>MDF - 06 x 1220 x 2440mm, Veneer Okoume 0.3mm Both Faces [CARB P2 Compliant]</v>
          </cell>
          <cell r="I1640">
            <v>14</v>
          </cell>
        </row>
        <row r="1641">
          <cell r="A1641" t="str">
            <v>B557857/A</v>
          </cell>
          <cell r="B1641" t="str">
            <v>CZ551M191</v>
          </cell>
          <cell r="C1641">
            <v>7</v>
          </cell>
          <cell r="D1641">
            <v>315.12</v>
          </cell>
          <cell r="E1641">
            <v>2205.84</v>
          </cell>
          <cell r="F1641" t="str">
            <v>P01</v>
          </cell>
          <cell r="G1641" t="str">
            <v>Front top rail  - Đố tiền nóc</v>
          </cell>
          <cell r="H1641" t="str">
            <v>Wood Rubber Laminate Board - 20 x 1220 x 2440mm, Veneer Poplar both Faces</v>
          </cell>
          <cell r="I1641">
            <v>7</v>
          </cell>
        </row>
        <row r="1642">
          <cell r="A1642" t="str">
            <v>B557857/A</v>
          </cell>
          <cell r="B1642" t="str">
            <v>CZ551M191</v>
          </cell>
          <cell r="C1642">
            <v>7</v>
          </cell>
          <cell r="D1642">
            <v>315.12</v>
          </cell>
          <cell r="E1642">
            <v>2205.84</v>
          </cell>
          <cell r="F1642" t="str">
            <v>P02</v>
          </cell>
          <cell r="G1642" t="str">
            <v>Back rail with note finger - đố hậu</v>
          </cell>
          <cell r="H1642" t="str">
            <v>Wood Rubber Laminate Board - 20 x 1220 x 2440mm, Veneer Poplar both Faces</v>
          </cell>
          <cell r="I1642">
            <v>7</v>
          </cell>
        </row>
        <row r="1643">
          <cell r="A1643" t="str">
            <v>B557857/A</v>
          </cell>
          <cell r="B1643" t="str">
            <v>CZ551M191</v>
          </cell>
          <cell r="C1643">
            <v>7</v>
          </cell>
          <cell r="D1643">
            <v>315.12</v>
          </cell>
          <cell r="E1643">
            <v>2205.84</v>
          </cell>
          <cell r="F1643" t="str">
            <v>P03</v>
          </cell>
          <cell r="G1643" t="str">
            <v xml:space="preserve">Top panel  - Ván nóc </v>
          </cell>
          <cell r="H1643" t="str">
            <v>MDF - 15 x 1830 x 2440mm [CARB P2 Compliant]</v>
          </cell>
          <cell r="I1643">
            <v>7</v>
          </cell>
        </row>
        <row r="1644">
          <cell r="A1644" t="str">
            <v>B557857/A</v>
          </cell>
          <cell r="B1644" t="str">
            <v>CZ551M191</v>
          </cell>
          <cell r="C1644">
            <v>7</v>
          </cell>
          <cell r="D1644">
            <v>315.12</v>
          </cell>
          <cell r="E1644">
            <v>2205.84</v>
          </cell>
          <cell r="F1644" t="str">
            <v>P04</v>
          </cell>
          <cell r="G1644" t="str">
            <v>Spline - Lưỡi gà</v>
          </cell>
          <cell r="H1644" t="str">
            <v>Plywood LVD - 06 x 1220 x 2440mm, Bleached Poplar Veneer Both Sides [CARB P2 Compliant]</v>
          </cell>
          <cell r="I1644">
            <v>7</v>
          </cell>
        </row>
        <row r="1645">
          <cell r="A1645" t="str">
            <v>B557857/A</v>
          </cell>
          <cell r="B1645" t="str">
            <v>CZ551M191</v>
          </cell>
          <cell r="C1645">
            <v>7</v>
          </cell>
          <cell r="D1645">
            <v>315.12</v>
          </cell>
          <cell r="E1645">
            <v>2205.84</v>
          </cell>
          <cell r="F1645" t="str">
            <v>P05</v>
          </cell>
          <cell r="G1645" t="str">
            <v>Spline - Lưỡi gà</v>
          </cell>
          <cell r="H1645" t="str">
            <v>Plywood LVD - 06 x 1220 x 2440mm, Bleached Poplar Veneer Both Sides [CARB P2 Compliant]</v>
          </cell>
          <cell r="I1645">
            <v>14</v>
          </cell>
        </row>
        <row r="1646">
          <cell r="A1646" t="str">
            <v>B557857/A</v>
          </cell>
          <cell r="B1646" t="str">
            <v>CZ551M191</v>
          </cell>
          <cell r="C1646">
            <v>7</v>
          </cell>
          <cell r="D1646">
            <v>315.12</v>
          </cell>
          <cell r="E1646">
            <v>2205.84</v>
          </cell>
          <cell r="F1646" t="str">
            <v>P10</v>
          </cell>
          <cell r="G1646" t="str">
            <v>Back panel - Ván hậu</v>
          </cell>
          <cell r="H1646" t="str">
            <v>MDF - 06 x 1220 x 2440mm, Veneer Okoume 0.3mm Both Faces [CARB P2 Compliant]</v>
          </cell>
          <cell r="I1646">
            <v>7</v>
          </cell>
        </row>
        <row r="1647">
          <cell r="A1647" t="str">
            <v>B557857/A</v>
          </cell>
          <cell r="B1647" t="str">
            <v>CZ551M191</v>
          </cell>
          <cell r="C1647">
            <v>7</v>
          </cell>
          <cell r="D1647">
            <v>315.12</v>
          </cell>
          <cell r="E1647">
            <v>2205.84</v>
          </cell>
          <cell r="F1647" t="str">
            <v>P12</v>
          </cell>
          <cell r="G1647" t="str">
            <v>Corner block - ke góc</v>
          </cell>
          <cell r="H1647" t="str">
            <v>wood off cut</v>
          </cell>
          <cell r="I1647">
            <v>14</v>
          </cell>
        </row>
        <row r="1648">
          <cell r="A1648" t="str">
            <v>B557857/A</v>
          </cell>
          <cell r="B1648" t="str">
            <v>CZ551M191</v>
          </cell>
          <cell r="C1648">
            <v>7</v>
          </cell>
          <cell r="D1648">
            <v>315.12</v>
          </cell>
          <cell r="E1648">
            <v>2205.84</v>
          </cell>
          <cell r="F1648" t="str">
            <v>P13</v>
          </cell>
          <cell r="G1648" t="str">
            <v>Cleat - Bọ gỗ</v>
          </cell>
          <cell r="H1648" t="str">
            <v>Wood US Poplar - Straight Edged, 2 COM - T25mm x W100mm Up x L1.8m Up</v>
          </cell>
          <cell r="I1648">
            <v>14</v>
          </cell>
        </row>
        <row r="1649">
          <cell r="A1649" t="str">
            <v>B557857/A</v>
          </cell>
          <cell r="B1649" t="str">
            <v>CZ551M191</v>
          </cell>
          <cell r="C1649">
            <v>7</v>
          </cell>
          <cell r="D1649">
            <v>315.12</v>
          </cell>
          <cell r="E1649">
            <v>2205.84</v>
          </cell>
          <cell r="F1649" t="str">
            <v>P14</v>
          </cell>
          <cell r="G1649" t="str">
            <v>Drawer stop - Dừng hộc</v>
          </cell>
          <cell r="H1649" t="str">
            <v>Poplar off cut</v>
          </cell>
          <cell r="I1649">
            <v>28</v>
          </cell>
        </row>
        <row r="1650">
          <cell r="A1650" t="str">
            <v>B557857/A</v>
          </cell>
          <cell r="B1650" t="str">
            <v>CZ551M191</v>
          </cell>
          <cell r="C1650">
            <v>7</v>
          </cell>
          <cell r="D1650">
            <v>315.12</v>
          </cell>
          <cell r="E1650">
            <v>2205.84</v>
          </cell>
          <cell r="F1650" t="str">
            <v>P15</v>
          </cell>
          <cell r="G1650" t="str">
            <v>Front rail  - Đố tiền</v>
          </cell>
          <cell r="H1650" t="str">
            <v>Wood US Poplar - Straight Edged, 2 COM - T25mm x W100mm Up x L1.8m Up</v>
          </cell>
          <cell r="I1650">
            <v>7</v>
          </cell>
        </row>
        <row r="1651">
          <cell r="A1651" t="str">
            <v>B557861/A</v>
          </cell>
          <cell r="B1651" t="str">
            <v>CZ557</v>
          </cell>
          <cell r="C1651">
            <v>27</v>
          </cell>
          <cell r="D1651">
            <v>698.19</v>
          </cell>
          <cell r="E1651">
            <v>18851.13</v>
          </cell>
          <cell r="F1651" t="str">
            <v>A01-S01</v>
          </cell>
          <cell r="G1651" t="str">
            <v>Front leg  - Chần tiền</v>
          </cell>
          <cell r="H1651" t="str">
            <v>Pre-Assembly</v>
          </cell>
          <cell r="I1651">
            <v>54</v>
          </cell>
        </row>
        <row r="1652">
          <cell r="A1652" t="str">
            <v>B557861/A</v>
          </cell>
          <cell r="B1652" t="str">
            <v>CZ557</v>
          </cell>
          <cell r="C1652">
            <v>27</v>
          </cell>
          <cell r="D1652">
            <v>698.19</v>
          </cell>
          <cell r="E1652">
            <v>18851.13</v>
          </cell>
          <cell r="F1652" t="str">
            <v>A01-S01-1</v>
          </cell>
          <cell r="G1652" t="str">
            <v>Wood laminater - Gỗ ghép 1</v>
          </cell>
          <cell r="H1652" t="str">
            <v>Wood US Poplar - Straight Edged, 2 COM - T25mm x W100mm Up x L1.8m Up</v>
          </cell>
          <cell r="I1652">
            <v>54</v>
          </cell>
        </row>
        <row r="1653">
          <cell r="A1653" t="str">
            <v>B557861/A</v>
          </cell>
          <cell r="B1653" t="str">
            <v>CZ557</v>
          </cell>
          <cell r="C1653">
            <v>27</v>
          </cell>
          <cell r="D1653">
            <v>698.19</v>
          </cell>
          <cell r="E1653">
            <v>18851.13</v>
          </cell>
          <cell r="F1653" t="str">
            <v>A01-S01-2</v>
          </cell>
          <cell r="G1653" t="str">
            <v>Wood laminater - Gỗ ghép 1</v>
          </cell>
          <cell r="H1653" t="str">
            <v>Poplar off cut</v>
          </cell>
          <cell r="I1653">
            <v>54</v>
          </cell>
        </row>
        <row r="1654">
          <cell r="A1654" t="str">
            <v>B557861/A</v>
          </cell>
          <cell r="B1654" t="str">
            <v>CZ557</v>
          </cell>
          <cell r="C1654">
            <v>27</v>
          </cell>
          <cell r="D1654">
            <v>698.19</v>
          </cell>
          <cell r="E1654">
            <v>18851.13</v>
          </cell>
          <cell r="F1654" t="str">
            <v>A01-S02</v>
          </cell>
          <cell r="G1654" t="str">
            <v>Back leg - Chân hậu</v>
          </cell>
          <cell r="H1654" t="str">
            <v>Beech 2 COM</v>
          </cell>
          <cell r="I1654">
            <v>54</v>
          </cell>
        </row>
        <row r="1655">
          <cell r="A1655" t="str">
            <v>B557861/A</v>
          </cell>
          <cell r="B1655" t="str">
            <v>CZ557</v>
          </cell>
          <cell r="C1655">
            <v>27</v>
          </cell>
          <cell r="D1655">
            <v>698.19</v>
          </cell>
          <cell r="E1655">
            <v>18851.13</v>
          </cell>
          <cell r="F1655" t="str">
            <v>A01-S03</v>
          </cell>
          <cell r="G1655" t="str">
            <v xml:space="preserve">Side panel  - Ván hông </v>
          </cell>
          <cell r="H1655" t="str">
            <v>MDF - 15 x 1830 x 2440mm [CARB P2 Compliant]</v>
          </cell>
          <cell r="I1655">
            <v>54</v>
          </cell>
        </row>
        <row r="1656">
          <cell r="A1656" t="str">
            <v>B557861/A</v>
          </cell>
          <cell r="B1656" t="str">
            <v>CZ557</v>
          </cell>
          <cell r="C1656">
            <v>27</v>
          </cell>
          <cell r="D1656">
            <v>698.19</v>
          </cell>
          <cell r="E1656">
            <v>18851.13</v>
          </cell>
          <cell r="F1656" t="str">
            <v>A01-S04</v>
          </cell>
          <cell r="G1656" t="str">
            <v xml:space="preserve">Side rail  - Đố hông </v>
          </cell>
          <cell r="H1656" t="str">
            <v>Pre-Assembly</v>
          </cell>
          <cell r="I1656">
            <v>270</v>
          </cell>
        </row>
        <row r="1657">
          <cell r="A1657" t="str">
            <v>B557861/A</v>
          </cell>
          <cell r="B1657" t="str">
            <v>CZ557</v>
          </cell>
          <cell r="C1657">
            <v>27</v>
          </cell>
          <cell r="D1657">
            <v>698.19</v>
          </cell>
          <cell r="E1657">
            <v>18851.13</v>
          </cell>
          <cell r="F1657" t="str">
            <v>A01-S04-1</v>
          </cell>
          <cell r="G1657" t="str">
            <v xml:space="preserve">Side rail  - Đố hông </v>
          </cell>
          <cell r="H1657" t="str">
            <v>Standard Wood - ALDER/ASPEN/LENGA/US POPLAR, 2 COM - T25 W120mm+ L2m+</v>
          </cell>
          <cell r="I1657">
            <v>270</v>
          </cell>
        </row>
        <row r="1658">
          <cell r="A1658" t="str">
            <v>B557861/A</v>
          </cell>
          <cell r="B1658" t="str">
            <v>CZ557</v>
          </cell>
          <cell r="C1658">
            <v>27</v>
          </cell>
          <cell r="D1658">
            <v>698.19</v>
          </cell>
          <cell r="E1658">
            <v>18851.13</v>
          </cell>
          <cell r="F1658" t="str">
            <v>A01-S04-2</v>
          </cell>
          <cell r="G1658" t="str">
            <v>Patching wood - Gỗ đắp</v>
          </cell>
          <cell r="H1658" t="str">
            <v>wood off cut</v>
          </cell>
          <cell r="I1658">
            <v>540</v>
          </cell>
        </row>
        <row r="1659">
          <cell r="A1659" t="str">
            <v>B557861/A</v>
          </cell>
          <cell r="B1659" t="str">
            <v>CZ557</v>
          </cell>
          <cell r="C1659">
            <v>27</v>
          </cell>
          <cell r="D1659">
            <v>698.19</v>
          </cell>
          <cell r="E1659">
            <v>18851.13</v>
          </cell>
          <cell r="F1659" t="str">
            <v>A03-S01</v>
          </cell>
          <cell r="G1659" t="str">
            <v>Front Bottom Rail  - Đố đáy trước</v>
          </cell>
          <cell r="H1659" t="str">
            <v>Wood Rubber Laminate Board - 20 x 1220 x 2440mm, Veneer Poplar both Faces</v>
          </cell>
          <cell r="I1659">
            <v>27</v>
          </cell>
        </row>
        <row r="1660">
          <cell r="A1660" t="str">
            <v>B557861/A</v>
          </cell>
          <cell r="B1660" t="str">
            <v>CZ557</v>
          </cell>
          <cell r="C1660">
            <v>27</v>
          </cell>
          <cell r="D1660">
            <v>698.19</v>
          </cell>
          <cell r="E1660">
            <v>18851.13</v>
          </cell>
          <cell r="F1660" t="str">
            <v>A03-S02</v>
          </cell>
          <cell r="G1660" t="str">
            <v>Back bottom rail - Đố hậu đáy</v>
          </cell>
          <cell r="H1660" t="str">
            <v>Wood Rubber Laminate Board - 20 x 1220 x 2440mm, Veneer Poplar both Faces</v>
          </cell>
          <cell r="I1660">
            <v>27</v>
          </cell>
        </row>
        <row r="1661">
          <cell r="A1661" t="str">
            <v>B557861/A</v>
          </cell>
          <cell r="B1661" t="str">
            <v>CZ557</v>
          </cell>
          <cell r="C1661">
            <v>27</v>
          </cell>
          <cell r="D1661">
            <v>698.19</v>
          </cell>
          <cell r="E1661">
            <v>18851.13</v>
          </cell>
          <cell r="F1661" t="str">
            <v>A03-S03</v>
          </cell>
          <cell r="G1661" t="str">
            <v>Center bottom rail - Đố đáy giữa</v>
          </cell>
          <cell r="H1661" t="str">
            <v>Wood Rubber Laminate Board - 20 x 1220 x 2440mm, Veneer Poplar both Faces</v>
          </cell>
          <cell r="I1661">
            <v>27</v>
          </cell>
        </row>
        <row r="1662">
          <cell r="A1662" t="str">
            <v>B557861/A</v>
          </cell>
          <cell r="B1662" t="str">
            <v>CZ557</v>
          </cell>
          <cell r="C1662">
            <v>27</v>
          </cell>
          <cell r="D1662">
            <v>698.19</v>
          </cell>
          <cell r="E1662">
            <v>18851.13</v>
          </cell>
          <cell r="F1662" t="str">
            <v>A03-S04</v>
          </cell>
          <cell r="G1662" t="str">
            <v>Dust board Panel  - Ván quét bụi</v>
          </cell>
          <cell r="H1662" t="str">
            <v>MDF - 06 x 1830 x 2440mm [CARB P2 Compliant]</v>
          </cell>
          <cell r="I1662">
            <v>27</v>
          </cell>
        </row>
        <row r="1663">
          <cell r="A1663" t="str">
            <v>B557861/A</v>
          </cell>
          <cell r="B1663" t="str">
            <v>CZ557</v>
          </cell>
          <cell r="C1663">
            <v>27</v>
          </cell>
          <cell r="D1663">
            <v>698.19</v>
          </cell>
          <cell r="E1663">
            <v>18851.13</v>
          </cell>
          <cell r="F1663" t="str">
            <v>A04-S01</v>
          </cell>
          <cell r="G1663" t="str">
            <v xml:space="preserve">Drawer front - Mặt hộc kéo </v>
          </cell>
          <cell r="H1663" t="str">
            <v>MDF Veneer</v>
          </cell>
          <cell r="I1663">
            <v>135</v>
          </cell>
        </row>
        <row r="1664">
          <cell r="A1664" t="str">
            <v>B557861/A</v>
          </cell>
          <cell r="B1664" t="str">
            <v>CZ557</v>
          </cell>
          <cell r="C1664">
            <v>27</v>
          </cell>
          <cell r="D1664">
            <v>698.19</v>
          </cell>
          <cell r="E1664">
            <v>18851.13</v>
          </cell>
          <cell r="F1664" t="str">
            <v>A04-S02</v>
          </cell>
          <cell r="G1664" t="str">
            <v>Drawer side - Hông hộc kéo</v>
          </cell>
          <cell r="H1664" t="str">
            <v>MDF-N - 12 x 1220 x 2440mm, Veneer Okoume 0.3mm Both Faces [CARB P2 Compliant]</v>
          </cell>
          <cell r="I1664">
            <v>270</v>
          </cell>
        </row>
        <row r="1665">
          <cell r="A1665" t="str">
            <v>B557861/A</v>
          </cell>
          <cell r="B1665" t="str">
            <v>CZ557</v>
          </cell>
          <cell r="C1665">
            <v>27</v>
          </cell>
          <cell r="D1665">
            <v>698.19</v>
          </cell>
          <cell r="E1665">
            <v>18851.13</v>
          </cell>
          <cell r="F1665" t="str">
            <v>A04-S03</v>
          </cell>
          <cell r="G1665" t="str">
            <v>Drawer back - Hậu hộc kéo</v>
          </cell>
          <cell r="H1665" t="str">
            <v>MDF - 12 x 1220 x 2440mm, Veneer Okoume 0.3mm Both Faces [CARB P2 Compliant]</v>
          </cell>
          <cell r="I1665">
            <v>135</v>
          </cell>
        </row>
        <row r="1666">
          <cell r="A1666" t="str">
            <v>B557861/A</v>
          </cell>
          <cell r="B1666" t="str">
            <v>CZ557</v>
          </cell>
          <cell r="C1666">
            <v>27</v>
          </cell>
          <cell r="D1666">
            <v>698.19</v>
          </cell>
          <cell r="E1666">
            <v>18851.13</v>
          </cell>
          <cell r="F1666" t="str">
            <v>A04-S04</v>
          </cell>
          <cell r="G1666" t="str">
            <v>Drawer bottom  - Đáy hộc kéo</v>
          </cell>
          <cell r="H1666" t="str">
            <v>MDF - 06 x 1220 x 2440mm, Veneer Okoume 0.3mm Both Faces [CARB P2 Compliant]</v>
          </cell>
          <cell r="I1666">
            <v>135</v>
          </cell>
        </row>
        <row r="1667">
          <cell r="A1667" t="str">
            <v>B557861/A</v>
          </cell>
          <cell r="B1667" t="str">
            <v>CZ557</v>
          </cell>
          <cell r="C1667">
            <v>27</v>
          </cell>
          <cell r="D1667">
            <v>698.19</v>
          </cell>
          <cell r="E1667">
            <v>18851.13</v>
          </cell>
          <cell r="F1667" t="str">
            <v>A04-S06</v>
          </cell>
          <cell r="G1667" t="str">
            <v>cleat support under drawer - Đỡ đáy hộc kéo</v>
          </cell>
          <cell r="H1667" t="str">
            <v>Plywood LVD - 12 x 1220 x 2440mm, Bleached Poplar Veneer Both Sides [CARB P2 Compliant]</v>
          </cell>
          <cell r="I1667">
            <v>135</v>
          </cell>
        </row>
        <row r="1668">
          <cell r="A1668" t="str">
            <v>B557861/A</v>
          </cell>
          <cell r="B1668" t="str">
            <v>CZ557</v>
          </cell>
          <cell r="C1668">
            <v>27</v>
          </cell>
          <cell r="D1668">
            <v>698.19</v>
          </cell>
          <cell r="E1668">
            <v>18851.13</v>
          </cell>
          <cell r="F1668" t="str">
            <v>P01</v>
          </cell>
          <cell r="G1668" t="str">
            <v>Front rail  - Đố tiền</v>
          </cell>
          <cell r="H1668" t="str">
            <v>Wood Rubber Laminate Board - 20 x 1220 x 2440mm, Veneer Poplar both Faces</v>
          </cell>
          <cell r="I1668">
            <v>27</v>
          </cell>
        </row>
        <row r="1669">
          <cell r="A1669" t="str">
            <v>B557861/A</v>
          </cell>
          <cell r="B1669" t="str">
            <v>CZ557</v>
          </cell>
          <cell r="C1669">
            <v>27</v>
          </cell>
          <cell r="D1669">
            <v>698.19</v>
          </cell>
          <cell r="E1669">
            <v>18851.13</v>
          </cell>
          <cell r="F1669" t="str">
            <v>P02</v>
          </cell>
          <cell r="G1669" t="str">
            <v>back rail - Đố hậu</v>
          </cell>
          <cell r="H1669" t="str">
            <v>Wood Rubber Laminate Board - 20 x 1220 x 2440mm, Veneer Poplar both Faces</v>
          </cell>
          <cell r="I1669">
            <v>27</v>
          </cell>
        </row>
        <row r="1670">
          <cell r="A1670" t="str">
            <v>B557861/A</v>
          </cell>
          <cell r="B1670" t="str">
            <v>CZ557</v>
          </cell>
          <cell r="C1670">
            <v>27</v>
          </cell>
          <cell r="D1670">
            <v>698.19</v>
          </cell>
          <cell r="E1670">
            <v>18851.13</v>
          </cell>
          <cell r="F1670" t="str">
            <v>P03</v>
          </cell>
          <cell r="G1670" t="str">
            <v>Center rail - Đố giữa</v>
          </cell>
          <cell r="H1670" t="str">
            <v>Wood Rubber Laminate Board - 20 x 1220 x 2440mm, Veneer Poplar both Faces</v>
          </cell>
          <cell r="I1670">
            <v>27</v>
          </cell>
        </row>
        <row r="1671">
          <cell r="A1671" t="str">
            <v>B557861/A</v>
          </cell>
          <cell r="B1671" t="str">
            <v>CZ557</v>
          </cell>
          <cell r="C1671">
            <v>27</v>
          </cell>
          <cell r="D1671">
            <v>698.19</v>
          </cell>
          <cell r="E1671">
            <v>18851.13</v>
          </cell>
          <cell r="F1671" t="str">
            <v>P04</v>
          </cell>
          <cell r="G1671" t="str">
            <v xml:space="preserve">Top panel  - Ván nóc </v>
          </cell>
          <cell r="H1671" t="str">
            <v>MDF - 15 x 1830 x 2440mm [CARB P2 Compliant]</v>
          </cell>
          <cell r="I1671">
            <v>27</v>
          </cell>
        </row>
        <row r="1672">
          <cell r="A1672" t="str">
            <v>B557861/A</v>
          </cell>
          <cell r="B1672" t="str">
            <v>CZ557</v>
          </cell>
          <cell r="C1672">
            <v>27</v>
          </cell>
          <cell r="D1672">
            <v>698.19</v>
          </cell>
          <cell r="E1672">
            <v>18851.13</v>
          </cell>
          <cell r="F1672" t="str">
            <v>P05</v>
          </cell>
          <cell r="G1672" t="str">
            <v>Back panel - Ván hậu</v>
          </cell>
          <cell r="H1672" t="str">
            <v>MDF Veneer</v>
          </cell>
          <cell r="I1672">
            <v>27</v>
          </cell>
        </row>
        <row r="1673">
          <cell r="A1673" t="str">
            <v>B557861/A</v>
          </cell>
          <cell r="B1673" t="str">
            <v>CZ557</v>
          </cell>
          <cell r="C1673">
            <v>27</v>
          </cell>
          <cell r="D1673">
            <v>698.19</v>
          </cell>
          <cell r="E1673">
            <v>18851.13</v>
          </cell>
          <cell r="F1673" t="str">
            <v>P10</v>
          </cell>
          <cell r="G1673" t="str">
            <v>Corner block - ke góc</v>
          </cell>
          <cell r="H1673" t="str">
            <v>Poplar off cut</v>
          </cell>
          <cell r="I1673">
            <v>54</v>
          </cell>
        </row>
        <row r="1674">
          <cell r="A1674" t="str">
            <v>B557861/A</v>
          </cell>
          <cell r="B1674" t="str">
            <v>CZ557</v>
          </cell>
          <cell r="C1674">
            <v>27</v>
          </cell>
          <cell r="D1674">
            <v>698.19</v>
          </cell>
          <cell r="E1674">
            <v>18851.13</v>
          </cell>
          <cell r="F1674" t="str">
            <v>P12</v>
          </cell>
          <cell r="G1674" t="str">
            <v>Spline - Lưỡi gà</v>
          </cell>
          <cell r="H1674" t="str">
            <v>Plywood LVD - 06 x 1220 x 2440mm, Bleached Poplar Veneer Both Sides [CARB P2 Compliant]</v>
          </cell>
          <cell r="I1674">
            <v>54</v>
          </cell>
        </row>
        <row r="1675">
          <cell r="A1675" t="str">
            <v>B557861/A</v>
          </cell>
          <cell r="B1675" t="str">
            <v>CZ557</v>
          </cell>
          <cell r="C1675">
            <v>27</v>
          </cell>
          <cell r="D1675">
            <v>698.19</v>
          </cell>
          <cell r="E1675">
            <v>18851.13</v>
          </cell>
          <cell r="F1675" t="str">
            <v>P13</v>
          </cell>
          <cell r="G1675" t="str">
            <v>Spline - Lưỡi gà</v>
          </cell>
          <cell r="H1675" t="str">
            <v>Plywood LVD - 06 x 1220 x 2440mm, Bleached Poplar Veneer Both Sides [CARB P2 Compliant]</v>
          </cell>
          <cell r="I1675">
            <v>27</v>
          </cell>
        </row>
        <row r="1676">
          <cell r="A1676" t="str">
            <v>B557861/A</v>
          </cell>
          <cell r="B1676" t="str">
            <v>CZ557</v>
          </cell>
          <cell r="C1676">
            <v>27</v>
          </cell>
          <cell r="D1676">
            <v>698.19</v>
          </cell>
          <cell r="E1676">
            <v>18851.13</v>
          </cell>
          <cell r="F1676" t="str">
            <v>P14</v>
          </cell>
          <cell r="G1676" t="str">
            <v>Cleat - Bọ gỗ</v>
          </cell>
          <cell r="H1676" t="str">
            <v>Wood Rubber Laminate Board - 20 x 1220 x 2440mm, Veneer Poplar both Faces</v>
          </cell>
          <cell r="I1676">
            <v>54</v>
          </cell>
        </row>
        <row r="1677">
          <cell r="A1677" t="str">
            <v>B557861/A</v>
          </cell>
          <cell r="B1677" t="str">
            <v>CZ557</v>
          </cell>
          <cell r="C1677">
            <v>27</v>
          </cell>
          <cell r="D1677">
            <v>698.19</v>
          </cell>
          <cell r="E1677">
            <v>18851.13</v>
          </cell>
          <cell r="F1677" t="str">
            <v>P15</v>
          </cell>
          <cell r="G1677" t="str">
            <v>Cleat - Bọ gỗ</v>
          </cell>
          <cell r="H1677" t="str">
            <v>Wood Rubber Laminate Board - 20 x 1220 x 2440mm, Veneer Poplar both Faces</v>
          </cell>
          <cell r="I1677">
            <v>54</v>
          </cell>
        </row>
        <row r="1678">
          <cell r="A1678" t="str">
            <v>B557861/A</v>
          </cell>
          <cell r="B1678" t="str">
            <v>CZ557</v>
          </cell>
          <cell r="C1678">
            <v>27</v>
          </cell>
          <cell r="D1678">
            <v>698.19</v>
          </cell>
          <cell r="E1678">
            <v>18851.13</v>
          </cell>
          <cell r="F1678" t="str">
            <v>P17</v>
          </cell>
          <cell r="G1678" t="str">
            <v>Front rail  - Đố tiền</v>
          </cell>
          <cell r="H1678" t="str">
            <v>Wood Rubber Laminate Board - 20 x 1220 x 2440mm, Veneer Poplar both Faces</v>
          </cell>
          <cell r="I1678">
            <v>108</v>
          </cell>
        </row>
        <row r="1679">
          <cell r="A1679" t="str">
            <v>B557861/A</v>
          </cell>
          <cell r="B1679" t="str">
            <v>CZ557</v>
          </cell>
          <cell r="C1679">
            <v>27</v>
          </cell>
          <cell r="D1679">
            <v>698.19</v>
          </cell>
          <cell r="E1679">
            <v>18851.13</v>
          </cell>
          <cell r="F1679" t="str">
            <v>P17A</v>
          </cell>
          <cell r="G1679" t="str">
            <v>back rail - Đố hậu</v>
          </cell>
          <cell r="H1679" t="str">
            <v>Wood Rubber Laminate Board - 20 x 1220 x 2440mm, Veneer Poplar both Faces</v>
          </cell>
          <cell r="I1679">
            <v>27</v>
          </cell>
        </row>
        <row r="1680">
          <cell r="A1680" t="str">
            <v>B557861/A</v>
          </cell>
          <cell r="B1680" t="str">
            <v>CZ557</v>
          </cell>
          <cell r="C1680">
            <v>27</v>
          </cell>
          <cell r="D1680">
            <v>698.19</v>
          </cell>
          <cell r="E1680">
            <v>18851.13</v>
          </cell>
          <cell r="F1680" t="str">
            <v>P18</v>
          </cell>
          <cell r="G1680" t="str">
            <v>Patching wood - Gỗ đắp</v>
          </cell>
          <cell r="H1680" t="str">
            <v>Wood Rubber Laminate Board - 20 x 1220 x 2440mm, Veneer Poplar both Faces</v>
          </cell>
          <cell r="I1680">
            <v>54</v>
          </cell>
        </row>
        <row r="1681">
          <cell r="A1681" t="str">
            <v>B557861/A</v>
          </cell>
          <cell r="B1681" t="str">
            <v>CZ557</v>
          </cell>
          <cell r="C1681">
            <v>27</v>
          </cell>
          <cell r="D1681">
            <v>698.19</v>
          </cell>
          <cell r="E1681">
            <v>18851.13</v>
          </cell>
          <cell r="F1681" t="str">
            <v>P19</v>
          </cell>
          <cell r="G1681" t="str">
            <v>Back panel - Ván hậu</v>
          </cell>
          <cell r="H1681" t="str">
            <v>Cement Board - 18 x 1220 x 2440mm, Dark Grey</v>
          </cell>
          <cell r="I1681">
            <v>27</v>
          </cell>
        </row>
        <row r="1682">
          <cell r="A1682" t="str">
            <v>B557861/A</v>
          </cell>
          <cell r="B1682" t="str">
            <v>CZ557</v>
          </cell>
          <cell r="C1682">
            <v>27</v>
          </cell>
          <cell r="D1682">
            <v>698.19</v>
          </cell>
          <cell r="E1682">
            <v>18851.13</v>
          </cell>
          <cell r="F1682" t="str">
            <v>P20</v>
          </cell>
          <cell r="G1682" t="str">
            <v>Drawer stop - Dừng hộc</v>
          </cell>
          <cell r="H1682" t="str">
            <v>Poplar off cut</v>
          </cell>
          <cell r="I1682">
            <v>270</v>
          </cell>
        </row>
        <row r="1683">
          <cell r="A1683" t="str">
            <v>B557865/A</v>
          </cell>
          <cell r="B1683" t="str">
            <v>CZ568</v>
          </cell>
          <cell r="C1683">
            <v>37</v>
          </cell>
          <cell r="D1683">
            <v>934.86</v>
          </cell>
          <cell r="E1683">
            <v>34589.82</v>
          </cell>
          <cell r="F1683" t="str">
            <v>A1-S1</v>
          </cell>
          <cell r="G1683" t="str">
            <v>Front leg  - Chần tiền</v>
          </cell>
          <cell r="H1683" t="str">
            <v>Pre-Assembly</v>
          </cell>
          <cell r="I1683">
            <v>74</v>
          </cell>
        </row>
        <row r="1684">
          <cell r="A1684" t="str">
            <v>B557865/A</v>
          </cell>
          <cell r="B1684" t="str">
            <v>CZ568</v>
          </cell>
          <cell r="C1684">
            <v>37</v>
          </cell>
          <cell r="D1684">
            <v>934.86</v>
          </cell>
          <cell r="E1684">
            <v>34589.82</v>
          </cell>
          <cell r="F1684" t="str">
            <v>A1-S1-1</v>
          </cell>
          <cell r="G1684" t="str">
            <v>Front rail  - Đố tiền</v>
          </cell>
          <cell r="H1684" t="str">
            <v>Wood laminate</v>
          </cell>
          <cell r="I1684">
            <v>74</v>
          </cell>
        </row>
        <row r="1685">
          <cell r="A1685" t="str">
            <v>B557865/A</v>
          </cell>
          <cell r="B1685" t="str">
            <v>CZ568</v>
          </cell>
          <cell r="C1685">
            <v>37</v>
          </cell>
          <cell r="D1685">
            <v>934.86</v>
          </cell>
          <cell r="E1685">
            <v>34589.82</v>
          </cell>
          <cell r="F1685" t="str">
            <v>A1-S1-2</v>
          </cell>
          <cell r="G1685" t="str">
            <v>Wood laminater - Gỗ ghép 1</v>
          </cell>
          <cell r="H1685" t="str">
            <v>TRAM OFF CUT</v>
          </cell>
          <cell r="I1685">
            <v>74</v>
          </cell>
        </row>
        <row r="1686">
          <cell r="A1686" t="str">
            <v>B557865/A</v>
          </cell>
          <cell r="B1686" t="str">
            <v>CZ568</v>
          </cell>
          <cell r="C1686">
            <v>37</v>
          </cell>
          <cell r="D1686">
            <v>934.86</v>
          </cell>
          <cell r="E1686">
            <v>34589.82</v>
          </cell>
          <cell r="F1686" t="str">
            <v>A1-S2</v>
          </cell>
          <cell r="G1686" t="str">
            <v>Back leg - Chân hậu</v>
          </cell>
          <cell r="H1686" t="str">
            <v>Beech 2 COM</v>
          </cell>
          <cell r="I1686">
            <v>74</v>
          </cell>
        </row>
        <row r="1687">
          <cell r="A1687" t="str">
            <v>B557865/A</v>
          </cell>
          <cell r="B1687" t="str">
            <v>CZ568</v>
          </cell>
          <cell r="C1687">
            <v>37</v>
          </cell>
          <cell r="D1687">
            <v>934.86</v>
          </cell>
          <cell r="E1687">
            <v>34589.82</v>
          </cell>
          <cell r="F1687" t="str">
            <v>A1-S3</v>
          </cell>
          <cell r="G1687" t="str">
            <v xml:space="preserve">Side panel  - Ván hông </v>
          </cell>
          <cell r="H1687" t="str">
            <v>MDF Veneer</v>
          </cell>
          <cell r="I1687">
            <v>74</v>
          </cell>
        </row>
        <row r="1688">
          <cell r="A1688" t="str">
            <v>B557865/A</v>
          </cell>
          <cell r="B1688" t="str">
            <v>CZ568</v>
          </cell>
          <cell r="C1688">
            <v>37</v>
          </cell>
          <cell r="D1688">
            <v>934.86</v>
          </cell>
          <cell r="E1688">
            <v>34589.82</v>
          </cell>
          <cell r="F1688" t="str">
            <v>A1-S4</v>
          </cell>
          <cell r="G1688" t="str">
            <v>Patching wood - Gỗ đắp</v>
          </cell>
          <cell r="H1688" t="str">
            <v>Wood US Poplar - Straight Edged, 2 COM - T38mm x W100mm Up x L1.8m Up</v>
          </cell>
          <cell r="I1688">
            <v>74</v>
          </cell>
        </row>
        <row r="1689">
          <cell r="A1689" t="str">
            <v>B557865/A</v>
          </cell>
          <cell r="B1689" t="str">
            <v>CZ568</v>
          </cell>
          <cell r="C1689">
            <v>37</v>
          </cell>
          <cell r="D1689">
            <v>934.86</v>
          </cell>
          <cell r="E1689">
            <v>34589.82</v>
          </cell>
          <cell r="F1689" t="str">
            <v>A1-S5</v>
          </cell>
          <cell r="G1689" t="str">
            <v>Cleat - Bọ gỗ</v>
          </cell>
          <cell r="H1689" t="str">
            <v>Wood Rubber Laminate Board - 20 x 1220 x 2440mm, Veneer Poplar both Faces</v>
          </cell>
          <cell r="I1689">
            <v>74</v>
          </cell>
        </row>
        <row r="1690">
          <cell r="A1690" t="str">
            <v>B557865/A</v>
          </cell>
          <cell r="B1690" t="str">
            <v>CZ568</v>
          </cell>
          <cell r="C1690">
            <v>37</v>
          </cell>
          <cell r="D1690">
            <v>934.86</v>
          </cell>
          <cell r="E1690">
            <v>34589.82</v>
          </cell>
          <cell r="F1690" t="str">
            <v>A2-S1</v>
          </cell>
          <cell r="G1690" t="str">
            <v>Front Bottom Rail  - Đố đáy trước</v>
          </cell>
          <cell r="H1690" t="str">
            <v>Standard Wood - ALDER/ASPEN/LENGA/US POPLAR, 2 COM - T32 W120mm+ L2m+</v>
          </cell>
          <cell r="I1690">
            <v>37</v>
          </cell>
        </row>
        <row r="1691">
          <cell r="A1691" t="str">
            <v>B557865/A</v>
          </cell>
          <cell r="B1691" t="str">
            <v>CZ568</v>
          </cell>
          <cell r="C1691">
            <v>37</v>
          </cell>
          <cell r="D1691">
            <v>934.86</v>
          </cell>
          <cell r="E1691">
            <v>34589.82</v>
          </cell>
          <cell r="F1691" t="str">
            <v>A2-S2</v>
          </cell>
          <cell r="G1691" t="str">
            <v>Back bottom rail - Đố hậu đáy</v>
          </cell>
          <cell r="H1691" t="str">
            <v>Wood US Poplar - Straight Edged, 2 COM - T38mm x W100mm Up x L1.8m Up</v>
          </cell>
          <cell r="I1691">
            <v>37</v>
          </cell>
        </row>
        <row r="1692">
          <cell r="A1692" t="str">
            <v>B557865/A</v>
          </cell>
          <cell r="B1692" t="str">
            <v>CZ568</v>
          </cell>
          <cell r="C1692">
            <v>37</v>
          </cell>
          <cell r="D1692">
            <v>934.86</v>
          </cell>
          <cell r="E1692">
            <v>34589.82</v>
          </cell>
          <cell r="F1692" t="str">
            <v>A2-S3</v>
          </cell>
          <cell r="G1692" t="str">
            <v>Center bottom rail - Đố đáy giữa</v>
          </cell>
          <cell r="H1692" t="str">
            <v>Wood US Poplar - Straight Edged, 2 COM - T38mm x W100mm Up x L1.8m Up</v>
          </cell>
          <cell r="I1692">
            <v>74</v>
          </cell>
        </row>
        <row r="1693">
          <cell r="A1693" t="str">
            <v>B557865/A</v>
          </cell>
          <cell r="B1693" t="str">
            <v>CZ568</v>
          </cell>
          <cell r="C1693">
            <v>37</v>
          </cell>
          <cell r="D1693">
            <v>934.86</v>
          </cell>
          <cell r="E1693">
            <v>34589.82</v>
          </cell>
          <cell r="F1693" t="str">
            <v>A2-S4</v>
          </cell>
          <cell r="G1693" t="str">
            <v>Center bottom rail - Đố đáy giữa</v>
          </cell>
          <cell r="H1693" t="str">
            <v>Wood laminate</v>
          </cell>
          <cell r="I1693">
            <v>37</v>
          </cell>
        </row>
        <row r="1694">
          <cell r="A1694" t="str">
            <v>B557865/A</v>
          </cell>
          <cell r="B1694" t="str">
            <v>CZ568</v>
          </cell>
          <cell r="C1694">
            <v>37</v>
          </cell>
          <cell r="D1694">
            <v>934.86</v>
          </cell>
          <cell r="E1694">
            <v>34589.82</v>
          </cell>
          <cell r="F1694" t="str">
            <v>A2-S5</v>
          </cell>
          <cell r="G1694" t="str">
            <v>Bottom panel - Ván đáy</v>
          </cell>
          <cell r="H1694" t="str">
            <v>MDF Veneer</v>
          </cell>
          <cell r="I1694">
            <v>74</v>
          </cell>
        </row>
        <row r="1695">
          <cell r="A1695" t="str">
            <v>B557865/A</v>
          </cell>
          <cell r="B1695" t="str">
            <v>CZ568</v>
          </cell>
          <cell r="C1695">
            <v>37</v>
          </cell>
          <cell r="D1695">
            <v>934.86</v>
          </cell>
          <cell r="E1695">
            <v>34589.82</v>
          </cell>
          <cell r="F1695" t="str">
            <v>A2-S6</v>
          </cell>
          <cell r="G1695" t="str">
            <v>Cleat - Bọ gỗ</v>
          </cell>
          <cell r="H1695" t="str">
            <v>Wood Rubber Laminate Board - 20 x 1220 x 2440mm, Veneer Poplar both Faces</v>
          </cell>
          <cell r="I1695">
            <v>74</v>
          </cell>
        </row>
        <row r="1696">
          <cell r="A1696" t="str">
            <v>B557865/A</v>
          </cell>
          <cell r="B1696" t="str">
            <v>CZ568</v>
          </cell>
          <cell r="C1696">
            <v>37</v>
          </cell>
          <cell r="D1696">
            <v>934.86</v>
          </cell>
          <cell r="E1696">
            <v>34589.82</v>
          </cell>
          <cell r="F1696" t="str">
            <v>A2-S7</v>
          </cell>
          <cell r="G1696" t="str">
            <v>Dust board Panel  - Ván quét bụi</v>
          </cell>
          <cell r="H1696" t="str">
            <v>MDF - 06 x 1830 x 2440mm [CARB P2 Compliant]</v>
          </cell>
          <cell r="I1696">
            <v>37</v>
          </cell>
        </row>
        <row r="1697">
          <cell r="A1697" t="str">
            <v>B557865/A</v>
          </cell>
          <cell r="B1697" t="str">
            <v>CZ568</v>
          </cell>
          <cell r="C1697">
            <v>37</v>
          </cell>
          <cell r="D1697">
            <v>934.86</v>
          </cell>
          <cell r="E1697">
            <v>34589.82</v>
          </cell>
          <cell r="F1697" t="str">
            <v>A3-S1</v>
          </cell>
          <cell r="G1697" t="str">
            <v xml:space="preserve">Drawer front - Mặt hộc kéo </v>
          </cell>
          <cell r="H1697" t="str">
            <v>MDF Veneer</v>
          </cell>
          <cell r="I1697">
            <v>111</v>
          </cell>
        </row>
        <row r="1698">
          <cell r="A1698" t="str">
            <v>B557865/A</v>
          </cell>
          <cell r="B1698" t="str">
            <v>CZ568</v>
          </cell>
          <cell r="C1698">
            <v>37</v>
          </cell>
          <cell r="D1698">
            <v>934.86</v>
          </cell>
          <cell r="E1698">
            <v>34589.82</v>
          </cell>
          <cell r="F1698" t="str">
            <v>A3-S2</v>
          </cell>
          <cell r="G1698" t="str">
            <v>Drawer side - Hông hộc kéo</v>
          </cell>
          <cell r="H1698" t="str">
            <v>MDF-N - 12 x 1220 x 2440mm, Veneer Okoume 0.3mm Both Faces [CARB P2 Compliant]</v>
          </cell>
          <cell r="I1698">
            <v>222</v>
          </cell>
        </row>
        <row r="1699">
          <cell r="A1699" t="str">
            <v>B557865/A</v>
          </cell>
          <cell r="B1699" t="str">
            <v>CZ568</v>
          </cell>
          <cell r="C1699">
            <v>37</v>
          </cell>
          <cell r="D1699">
            <v>934.86</v>
          </cell>
          <cell r="E1699">
            <v>34589.82</v>
          </cell>
          <cell r="F1699" t="str">
            <v>A3-S3</v>
          </cell>
          <cell r="G1699" t="str">
            <v>Drawer back - Hậu hộc kéo</v>
          </cell>
          <cell r="H1699" t="str">
            <v>MDF - 12 x 1220 x 2440mm, Veneer Okoume 0.3mm Both Faces [CARB P2 Compliant]</v>
          </cell>
          <cell r="I1699">
            <v>111</v>
          </cell>
        </row>
        <row r="1700">
          <cell r="A1700" t="str">
            <v>B557865/A</v>
          </cell>
          <cell r="B1700" t="str">
            <v>CZ568</v>
          </cell>
          <cell r="C1700">
            <v>37</v>
          </cell>
          <cell r="D1700">
            <v>934.86</v>
          </cell>
          <cell r="E1700">
            <v>34589.82</v>
          </cell>
          <cell r="F1700" t="str">
            <v>A3-S4</v>
          </cell>
          <cell r="G1700" t="str">
            <v>Drawer bottom  - Đáy hộc kéo</v>
          </cell>
          <cell r="H1700" t="str">
            <v>MDF - 06 x 1220 x 2440mm, Veneer Okoume 0.3mm Both Faces [CARB P2 Compliant]</v>
          </cell>
          <cell r="I1700">
            <v>111</v>
          </cell>
        </row>
        <row r="1701">
          <cell r="A1701" t="str">
            <v>B557865/A</v>
          </cell>
          <cell r="B1701" t="str">
            <v>CZ568</v>
          </cell>
          <cell r="C1701">
            <v>37</v>
          </cell>
          <cell r="D1701">
            <v>934.86</v>
          </cell>
          <cell r="E1701">
            <v>34589.82</v>
          </cell>
          <cell r="F1701" t="str">
            <v>A5-3</v>
          </cell>
          <cell r="G1701" t="str">
            <v>Door panel  - Ván cửa</v>
          </cell>
          <cell r="H1701" t="str">
            <v>MDF Veneer</v>
          </cell>
          <cell r="I1701">
            <v>148</v>
          </cell>
        </row>
        <row r="1702">
          <cell r="A1702" t="str">
            <v>B557865/A</v>
          </cell>
          <cell r="B1702" t="str">
            <v>CZ568</v>
          </cell>
          <cell r="C1702">
            <v>37</v>
          </cell>
          <cell r="D1702">
            <v>934.86</v>
          </cell>
          <cell r="E1702">
            <v>34589.82</v>
          </cell>
          <cell r="F1702" t="str">
            <v>A5-4</v>
          </cell>
          <cell r="G1702" t="str">
            <v>Patching moulding - Chỉ đắp</v>
          </cell>
          <cell r="H1702" t="str">
            <v>Wood US Poplar - Straight Edged, 2 COM - T38mm x W100mm Up x L1.8m Up</v>
          </cell>
          <cell r="I1702">
            <v>148</v>
          </cell>
        </row>
        <row r="1703">
          <cell r="A1703" t="str">
            <v>B557865/A</v>
          </cell>
          <cell r="B1703" t="str">
            <v>CZ568</v>
          </cell>
          <cell r="C1703">
            <v>37</v>
          </cell>
          <cell r="D1703">
            <v>934.86</v>
          </cell>
          <cell r="E1703">
            <v>34589.82</v>
          </cell>
          <cell r="F1703" t="str">
            <v>A5-5</v>
          </cell>
          <cell r="G1703" t="str">
            <v>Patching moulding - Chỉ đắp</v>
          </cell>
          <cell r="H1703" t="str">
            <v>Wood US Poplar - Straight Edged, 2 COM - T38mm x W100mm Up x L1.8m Up</v>
          </cell>
          <cell r="I1703">
            <v>296</v>
          </cell>
        </row>
        <row r="1704">
          <cell r="A1704" t="str">
            <v>B557865/A</v>
          </cell>
          <cell r="B1704" t="str">
            <v>CZ568</v>
          </cell>
          <cell r="C1704">
            <v>37</v>
          </cell>
          <cell r="D1704">
            <v>934.86</v>
          </cell>
          <cell r="E1704">
            <v>34589.82</v>
          </cell>
          <cell r="F1704" t="str">
            <v>A5-6</v>
          </cell>
          <cell r="G1704" t="str">
            <v>Patching moulding - Chỉ đắp</v>
          </cell>
          <cell r="H1704" t="str">
            <v>TRAM OFF CUT</v>
          </cell>
          <cell r="I1704">
            <v>296</v>
          </cell>
        </row>
        <row r="1705">
          <cell r="A1705" t="str">
            <v>B557865/A</v>
          </cell>
          <cell r="B1705" t="str">
            <v>CZ568</v>
          </cell>
          <cell r="C1705">
            <v>37</v>
          </cell>
          <cell r="D1705">
            <v>934.86</v>
          </cell>
          <cell r="E1705">
            <v>34589.82</v>
          </cell>
          <cell r="F1705" t="str">
            <v>A5-7</v>
          </cell>
          <cell r="G1705" t="str">
            <v>Patching moulding - Chỉ đắp</v>
          </cell>
          <cell r="H1705" t="str">
            <v>Wood US Poplar - Straight Edged, 2 COM - T38mm x W100mm Up x L1.8m Up</v>
          </cell>
          <cell r="I1705">
            <v>148</v>
          </cell>
        </row>
        <row r="1706">
          <cell r="A1706" t="str">
            <v>B557865/A</v>
          </cell>
          <cell r="B1706" t="str">
            <v>CZ568</v>
          </cell>
          <cell r="C1706">
            <v>37</v>
          </cell>
          <cell r="D1706">
            <v>934.86</v>
          </cell>
          <cell r="E1706">
            <v>34589.82</v>
          </cell>
          <cell r="F1706" t="str">
            <v>A5-8</v>
          </cell>
          <cell r="G1706" t="str">
            <v>Insert Wood - Gỗ chèn</v>
          </cell>
          <cell r="H1706" t="str">
            <v>Beech off cut</v>
          </cell>
          <cell r="I1706">
            <v>444</v>
          </cell>
        </row>
        <row r="1707">
          <cell r="A1707" t="str">
            <v>B557865/A</v>
          </cell>
          <cell r="B1707" t="str">
            <v>CZ568</v>
          </cell>
          <cell r="C1707">
            <v>37</v>
          </cell>
          <cell r="D1707">
            <v>934.86</v>
          </cell>
          <cell r="E1707">
            <v>34589.82</v>
          </cell>
          <cell r="F1707" t="str">
            <v>P01</v>
          </cell>
          <cell r="G1707" t="str">
            <v>Front top rail  - Đố tiền nóc</v>
          </cell>
          <cell r="H1707" t="str">
            <v>Wood laminate</v>
          </cell>
          <cell r="I1707">
            <v>37</v>
          </cell>
        </row>
        <row r="1708">
          <cell r="A1708" t="str">
            <v>B557865/A</v>
          </cell>
          <cell r="B1708" t="str">
            <v>CZ568</v>
          </cell>
          <cell r="C1708">
            <v>37</v>
          </cell>
          <cell r="D1708">
            <v>934.86</v>
          </cell>
          <cell r="E1708">
            <v>34589.82</v>
          </cell>
          <cell r="F1708" t="str">
            <v>P02</v>
          </cell>
          <cell r="G1708" t="str">
            <v>Back rail with note finger - đố hậu</v>
          </cell>
          <cell r="H1708" t="str">
            <v>Standard Wood - ALDER/ASPEN/LENGA/US POPLAR, 2 COM - T25 W120mm+ L2m+</v>
          </cell>
          <cell r="I1708">
            <v>37</v>
          </cell>
        </row>
        <row r="1709">
          <cell r="A1709" t="str">
            <v>B557865/A</v>
          </cell>
          <cell r="B1709" t="str">
            <v>CZ568</v>
          </cell>
          <cell r="C1709">
            <v>37</v>
          </cell>
          <cell r="D1709">
            <v>934.86</v>
          </cell>
          <cell r="E1709">
            <v>34589.82</v>
          </cell>
          <cell r="F1709" t="str">
            <v>P03</v>
          </cell>
          <cell r="G1709" t="str">
            <v xml:space="preserve">Top panel  - Ván nóc </v>
          </cell>
          <cell r="H1709" t="str">
            <v>MDF Veneer</v>
          </cell>
          <cell r="I1709">
            <v>37</v>
          </cell>
        </row>
        <row r="1710">
          <cell r="A1710" t="str">
            <v>B557865/A</v>
          </cell>
          <cell r="B1710" t="str">
            <v>CZ568</v>
          </cell>
          <cell r="C1710">
            <v>37</v>
          </cell>
          <cell r="D1710">
            <v>934.86</v>
          </cell>
          <cell r="E1710">
            <v>34589.82</v>
          </cell>
          <cell r="F1710" t="str">
            <v>P04</v>
          </cell>
          <cell r="G1710" t="str">
            <v>Cleat - Bọ gỗ</v>
          </cell>
          <cell r="H1710" t="str">
            <v>Wood Rubber Laminate Board - 20 x 1220 x 2440mm, Veneer Poplar both Faces</v>
          </cell>
          <cell r="I1710">
            <v>74</v>
          </cell>
        </row>
        <row r="1711">
          <cell r="A1711" t="str">
            <v>B557865/A</v>
          </cell>
          <cell r="B1711" t="str">
            <v>CZ568</v>
          </cell>
          <cell r="C1711">
            <v>37</v>
          </cell>
          <cell r="D1711">
            <v>934.86</v>
          </cell>
          <cell r="E1711">
            <v>34589.82</v>
          </cell>
          <cell r="F1711" t="str">
            <v>P08</v>
          </cell>
          <cell r="G1711" t="str">
            <v>Adjustable Shelf  - Kệ di động</v>
          </cell>
          <cell r="H1711" t="str">
            <v>Pre-Assembly</v>
          </cell>
          <cell r="I1711">
            <v>74</v>
          </cell>
        </row>
        <row r="1712">
          <cell r="A1712" t="str">
            <v>B557865/A</v>
          </cell>
          <cell r="B1712" t="str">
            <v>CZ568</v>
          </cell>
          <cell r="C1712">
            <v>37</v>
          </cell>
          <cell r="D1712">
            <v>934.86</v>
          </cell>
          <cell r="E1712">
            <v>34589.82</v>
          </cell>
          <cell r="F1712" t="str">
            <v>P08-1</v>
          </cell>
          <cell r="G1712" t="str">
            <v>Adjustable Shelf  - Kệ di động</v>
          </cell>
          <cell r="H1712" t="str">
            <v>MDF Veneer</v>
          </cell>
          <cell r="I1712">
            <v>74</v>
          </cell>
        </row>
        <row r="1713">
          <cell r="A1713" t="str">
            <v>B557865/A</v>
          </cell>
          <cell r="B1713" t="str">
            <v>CZ568</v>
          </cell>
          <cell r="C1713">
            <v>37</v>
          </cell>
          <cell r="D1713">
            <v>934.86</v>
          </cell>
          <cell r="E1713">
            <v>34589.82</v>
          </cell>
          <cell r="F1713" t="str">
            <v>P08-2</v>
          </cell>
          <cell r="G1713" t="str">
            <v>Adjustable Shelf  - Kệ di động</v>
          </cell>
          <cell r="H1713" t="str">
            <v>Wood US Poplar - Straight Edged, 2 COM - T25mm x W100mm Up x L1.8m Up</v>
          </cell>
          <cell r="I1713">
            <v>74</v>
          </cell>
        </row>
        <row r="1714">
          <cell r="A1714" t="str">
            <v>B557865/A</v>
          </cell>
          <cell r="B1714" t="str">
            <v>CZ568</v>
          </cell>
          <cell r="C1714">
            <v>37</v>
          </cell>
          <cell r="D1714">
            <v>934.86</v>
          </cell>
          <cell r="E1714">
            <v>34589.82</v>
          </cell>
          <cell r="F1714" t="str">
            <v>P09</v>
          </cell>
          <cell r="G1714" t="str">
            <v>Partition panel - Vách ngăn</v>
          </cell>
          <cell r="H1714" t="str">
            <v>MDF Veneer</v>
          </cell>
          <cell r="I1714">
            <v>74</v>
          </cell>
        </row>
        <row r="1715">
          <cell r="A1715" t="str">
            <v>B557865/A</v>
          </cell>
          <cell r="B1715" t="str">
            <v>CZ568</v>
          </cell>
          <cell r="C1715">
            <v>37</v>
          </cell>
          <cell r="D1715">
            <v>934.86</v>
          </cell>
          <cell r="E1715">
            <v>34589.82</v>
          </cell>
          <cell r="F1715" t="str">
            <v>P11</v>
          </cell>
          <cell r="G1715" t="str">
            <v>Back panel - Ván hậu</v>
          </cell>
          <cell r="H1715" t="str">
            <v>MDF Veneer</v>
          </cell>
          <cell r="I1715">
            <v>37</v>
          </cell>
        </row>
        <row r="1716">
          <cell r="A1716" t="str">
            <v>B557865/A</v>
          </cell>
          <cell r="B1716" t="str">
            <v>CZ568</v>
          </cell>
          <cell r="C1716">
            <v>37</v>
          </cell>
          <cell r="D1716">
            <v>934.86</v>
          </cell>
          <cell r="E1716">
            <v>34589.82</v>
          </cell>
          <cell r="F1716" t="str">
            <v>P12</v>
          </cell>
          <cell r="G1716" t="str">
            <v>Back panel - Ván hậu</v>
          </cell>
          <cell r="H1716" t="str">
            <v>MDF Veneer</v>
          </cell>
          <cell r="I1716">
            <v>37</v>
          </cell>
        </row>
        <row r="1717">
          <cell r="A1717" t="str">
            <v>B557865/A</v>
          </cell>
          <cell r="B1717" t="str">
            <v>CZ568</v>
          </cell>
          <cell r="C1717">
            <v>37</v>
          </cell>
          <cell r="D1717">
            <v>934.86</v>
          </cell>
          <cell r="E1717">
            <v>34589.82</v>
          </cell>
          <cell r="F1717" t="str">
            <v>P13</v>
          </cell>
          <cell r="G1717" t="str">
            <v>Center leg - Chân giữa</v>
          </cell>
          <cell r="H1717" t="str">
            <v>Poplar off cut</v>
          </cell>
          <cell r="I1717">
            <v>37</v>
          </cell>
        </row>
        <row r="1718">
          <cell r="A1718" t="str">
            <v>B557865/A</v>
          </cell>
          <cell r="B1718" t="str">
            <v>CZ568</v>
          </cell>
          <cell r="C1718">
            <v>37</v>
          </cell>
          <cell r="D1718">
            <v>934.86</v>
          </cell>
          <cell r="E1718">
            <v>34589.82</v>
          </cell>
          <cell r="F1718" t="str">
            <v>P14</v>
          </cell>
          <cell r="G1718" t="str">
            <v>Patching wood - Gỗ đắp</v>
          </cell>
          <cell r="H1718" t="str">
            <v>Wood US Poplar - Straight Edged, 2 COM - T38mm x W100mm Up x L1.8m Up</v>
          </cell>
          <cell r="I1718">
            <v>222</v>
          </cell>
        </row>
        <row r="1719">
          <cell r="A1719" t="str">
            <v>B557865/A</v>
          </cell>
          <cell r="B1719" t="str">
            <v>CZ568</v>
          </cell>
          <cell r="C1719">
            <v>37</v>
          </cell>
          <cell r="D1719">
            <v>934.86</v>
          </cell>
          <cell r="E1719">
            <v>34589.82</v>
          </cell>
          <cell r="F1719" t="str">
            <v>P16</v>
          </cell>
          <cell r="G1719" t="str">
            <v>Corner block - ke góc</v>
          </cell>
          <cell r="H1719" t="str">
            <v>Poplar off cut</v>
          </cell>
          <cell r="I1719">
            <v>74</v>
          </cell>
        </row>
        <row r="1720">
          <cell r="A1720" t="str">
            <v>B557865/A</v>
          </cell>
          <cell r="B1720" t="str">
            <v>CZ568</v>
          </cell>
          <cell r="C1720">
            <v>37</v>
          </cell>
          <cell r="D1720">
            <v>934.86</v>
          </cell>
          <cell r="E1720">
            <v>34589.82</v>
          </cell>
          <cell r="F1720" t="str">
            <v>P17</v>
          </cell>
          <cell r="G1720" t="str">
            <v>Corner block - ke góc</v>
          </cell>
          <cell r="H1720" t="str">
            <v>Poplar off cut</v>
          </cell>
          <cell r="I1720">
            <v>74</v>
          </cell>
        </row>
        <row r="1721">
          <cell r="A1721" t="str">
            <v>B557865/A</v>
          </cell>
          <cell r="B1721" t="str">
            <v>CZ568</v>
          </cell>
          <cell r="C1721">
            <v>37</v>
          </cell>
          <cell r="D1721">
            <v>934.86</v>
          </cell>
          <cell r="E1721">
            <v>34589.82</v>
          </cell>
          <cell r="F1721" t="str">
            <v>P19</v>
          </cell>
          <cell r="G1721" t="str">
            <v>Corner block - ke góc</v>
          </cell>
          <cell r="H1721" t="str">
            <v>Poplar off cut</v>
          </cell>
          <cell r="I1721">
            <v>74</v>
          </cell>
        </row>
        <row r="1722">
          <cell r="A1722" t="str">
            <v>B557865/A</v>
          </cell>
          <cell r="B1722" t="str">
            <v>CZ568</v>
          </cell>
          <cell r="C1722">
            <v>37</v>
          </cell>
          <cell r="D1722">
            <v>934.86</v>
          </cell>
          <cell r="E1722">
            <v>34589.82</v>
          </cell>
          <cell r="F1722" t="str">
            <v>P20</v>
          </cell>
          <cell r="G1722" t="str">
            <v>Spline - Lưỡi gà</v>
          </cell>
          <cell r="H1722" t="str">
            <v>Plywood LVD - 06 x 1220 x 2440mm, Bleached Poplar Veneer Both Sides [CARB P2 Compliant]</v>
          </cell>
          <cell r="I1722">
            <v>74</v>
          </cell>
        </row>
        <row r="1723">
          <cell r="A1723" t="str">
            <v>B557865/A</v>
          </cell>
          <cell r="B1723" t="str">
            <v>CZ568</v>
          </cell>
          <cell r="C1723">
            <v>37</v>
          </cell>
          <cell r="D1723">
            <v>934.86</v>
          </cell>
          <cell r="E1723">
            <v>34589.82</v>
          </cell>
          <cell r="F1723" t="str">
            <v>P21</v>
          </cell>
          <cell r="G1723" t="str">
            <v>Spline - Lưỡi gà</v>
          </cell>
          <cell r="H1723" t="str">
            <v>Plywood LVD - 06 x 1220 x 2440mm, Bleached Poplar Veneer Both Sides [CARB P2 Compliant]</v>
          </cell>
          <cell r="I1723">
            <v>37</v>
          </cell>
        </row>
        <row r="1724">
          <cell r="A1724" t="str">
            <v>B557865/A</v>
          </cell>
          <cell r="B1724" t="str">
            <v>CZ568</v>
          </cell>
          <cell r="C1724">
            <v>37</v>
          </cell>
          <cell r="D1724">
            <v>934.86</v>
          </cell>
          <cell r="E1724">
            <v>34589.82</v>
          </cell>
          <cell r="F1724" t="str">
            <v>P22</v>
          </cell>
          <cell r="G1724" t="str">
            <v>Front rail  - Đố tiền</v>
          </cell>
          <cell r="H1724" t="str">
            <v>Wood Rubber Laminate Board - 20 x 1220 x 2440mm, Veneer Poplar both Faces</v>
          </cell>
          <cell r="I1724">
            <v>74</v>
          </cell>
        </row>
        <row r="1725">
          <cell r="A1725" t="str">
            <v>B557865/A</v>
          </cell>
          <cell r="B1725" t="str">
            <v>CZ568</v>
          </cell>
          <cell r="C1725">
            <v>37</v>
          </cell>
          <cell r="D1725">
            <v>934.86</v>
          </cell>
          <cell r="E1725">
            <v>34589.82</v>
          </cell>
          <cell r="F1725" t="str">
            <v>P23</v>
          </cell>
          <cell r="G1725" t="str">
            <v>Patching wood - Gỗ đắp</v>
          </cell>
          <cell r="H1725" t="str">
            <v>wood off cut</v>
          </cell>
          <cell r="I1725">
            <v>74</v>
          </cell>
        </row>
        <row r="1726">
          <cell r="A1726" t="str">
            <v>B557865/A</v>
          </cell>
          <cell r="B1726" t="str">
            <v>CZ568</v>
          </cell>
          <cell r="C1726">
            <v>37</v>
          </cell>
          <cell r="D1726">
            <v>934.86</v>
          </cell>
          <cell r="E1726">
            <v>34589.82</v>
          </cell>
          <cell r="F1726" t="str">
            <v>P24</v>
          </cell>
          <cell r="G1726" t="str">
            <v>Drawer stop - Dừng hộc</v>
          </cell>
          <cell r="H1726" t="str">
            <v>Poplar off cut</v>
          </cell>
          <cell r="I1726">
            <v>222</v>
          </cell>
        </row>
        <row r="1727">
          <cell r="A1727" t="str">
            <v>B557872/A</v>
          </cell>
          <cell r="B1727" t="str">
            <v>CZ568M191</v>
          </cell>
          <cell r="C1727">
            <v>1</v>
          </cell>
          <cell r="D1727">
            <v>934.86</v>
          </cell>
          <cell r="E1727">
            <v>934.86</v>
          </cell>
          <cell r="F1727" t="str">
            <v>A1-S1</v>
          </cell>
          <cell r="G1727" t="str">
            <v>Front leg  - Chần tiền</v>
          </cell>
          <cell r="H1727" t="str">
            <v>Pre-Assembly</v>
          </cell>
          <cell r="I1727">
            <v>2</v>
          </cell>
        </row>
        <row r="1728">
          <cell r="A1728" t="str">
            <v>B557872/A</v>
          </cell>
          <cell r="B1728" t="str">
            <v>CZ568M191</v>
          </cell>
          <cell r="C1728">
            <v>1</v>
          </cell>
          <cell r="D1728">
            <v>934.86</v>
          </cell>
          <cell r="E1728">
            <v>934.86</v>
          </cell>
          <cell r="F1728" t="str">
            <v>A1-S1-1</v>
          </cell>
          <cell r="G1728" t="str">
            <v>Front rail  - Đố tiền</v>
          </cell>
          <cell r="H1728" t="str">
            <v>Wood laminate</v>
          </cell>
          <cell r="I1728">
            <v>2</v>
          </cell>
        </row>
        <row r="1729">
          <cell r="A1729" t="str">
            <v>B557872/A</v>
          </cell>
          <cell r="B1729" t="str">
            <v>CZ568M191</v>
          </cell>
          <cell r="C1729">
            <v>1</v>
          </cell>
          <cell r="D1729">
            <v>934.86</v>
          </cell>
          <cell r="E1729">
            <v>934.86</v>
          </cell>
          <cell r="F1729" t="str">
            <v>A1-S1-2</v>
          </cell>
          <cell r="G1729" t="str">
            <v>Wood laminater - Gỗ ghép 1</v>
          </cell>
          <cell r="H1729" t="str">
            <v>TRAM OFF CUT</v>
          </cell>
          <cell r="I1729">
            <v>2</v>
          </cell>
        </row>
        <row r="1730">
          <cell r="A1730" t="str">
            <v>B557872/A</v>
          </cell>
          <cell r="B1730" t="str">
            <v>CZ568M191</v>
          </cell>
          <cell r="C1730">
            <v>1</v>
          </cell>
          <cell r="D1730">
            <v>934.86</v>
          </cell>
          <cell r="E1730">
            <v>934.86</v>
          </cell>
          <cell r="F1730" t="str">
            <v>A1-S2</v>
          </cell>
          <cell r="G1730" t="str">
            <v>Back leg - Chân hậu</v>
          </cell>
          <cell r="H1730" t="str">
            <v>Beech 2 COM</v>
          </cell>
          <cell r="I1730">
            <v>2</v>
          </cell>
        </row>
        <row r="1731">
          <cell r="A1731" t="str">
            <v>B557872/A</v>
          </cell>
          <cell r="B1731" t="str">
            <v>CZ568M191</v>
          </cell>
          <cell r="C1731">
            <v>1</v>
          </cell>
          <cell r="D1731">
            <v>934.86</v>
          </cell>
          <cell r="E1731">
            <v>934.86</v>
          </cell>
          <cell r="F1731" t="str">
            <v>A1-S3</v>
          </cell>
          <cell r="G1731" t="str">
            <v xml:space="preserve">Side panel  - Ván hông </v>
          </cell>
          <cell r="H1731" t="str">
            <v>MDF Veneer</v>
          </cell>
          <cell r="I1731">
            <v>2</v>
          </cell>
        </row>
        <row r="1732">
          <cell r="A1732" t="str">
            <v>B557872/A</v>
          </cell>
          <cell r="B1732" t="str">
            <v>CZ568M191</v>
          </cell>
          <cell r="C1732">
            <v>1</v>
          </cell>
          <cell r="D1732">
            <v>934.86</v>
          </cell>
          <cell r="E1732">
            <v>934.86</v>
          </cell>
          <cell r="F1732" t="str">
            <v>A1-S4</v>
          </cell>
          <cell r="G1732" t="str">
            <v>Patching wood - Gỗ đắp</v>
          </cell>
          <cell r="H1732" t="str">
            <v>Wood US Poplar - Straight Edged, 2 COM - T38mm x W100mm Up x L1.8m Up</v>
          </cell>
          <cell r="I1732">
            <v>2</v>
          </cell>
        </row>
        <row r="1733">
          <cell r="A1733" t="str">
            <v>B557872/A</v>
          </cell>
          <cell r="B1733" t="str">
            <v>CZ568M191</v>
          </cell>
          <cell r="C1733">
            <v>1</v>
          </cell>
          <cell r="D1733">
            <v>934.86</v>
          </cell>
          <cell r="E1733">
            <v>934.86</v>
          </cell>
          <cell r="F1733" t="str">
            <v>A1-S5</v>
          </cell>
          <cell r="G1733" t="str">
            <v>Cleat - Bọ gỗ</v>
          </cell>
          <cell r="H1733" t="str">
            <v>Wood Rubber Laminate Board - 20 x 1220 x 2440mm, Veneer Poplar both Faces</v>
          </cell>
          <cell r="I1733">
            <v>2</v>
          </cell>
        </row>
        <row r="1734">
          <cell r="A1734" t="str">
            <v>B557872/A</v>
          </cell>
          <cell r="B1734" t="str">
            <v>CZ568M191</v>
          </cell>
          <cell r="C1734">
            <v>1</v>
          </cell>
          <cell r="D1734">
            <v>934.86</v>
          </cell>
          <cell r="E1734">
            <v>934.86</v>
          </cell>
          <cell r="F1734" t="str">
            <v>A2-S1</v>
          </cell>
          <cell r="G1734" t="str">
            <v>Front Bottom Rail  - Đố đáy trước</v>
          </cell>
          <cell r="H1734" t="str">
            <v>Standard Wood - ALDER/ASPEN/LENGA/US POPLAR, 2 COM - T32 W120mm+ L2m+</v>
          </cell>
          <cell r="I1734">
            <v>1</v>
          </cell>
        </row>
        <row r="1735">
          <cell r="A1735" t="str">
            <v>B557872/A</v>
          </cell>
          <cell r="B1735" t="str">
            <v>CZ568M191</v>
          </cell>
          <cell r="C1735">
            <v>1</v>
          </cell>
          <cell r="D1735">
            <v>934.86</v>
          </cell>
          <cell r="E1735">
            <v>934.86</v>
          </cell>
          <cell r="F1735" t="str">
            <v>A2-S2</v>
          </cell>
          <cell r="G1735" t="str">
            <v>Back bottom rail - Đố hậu đáy</v>
          </cell>
          <cell r="H1735" t="str">
            <v>Wood US Poplar - Straight Edged, 2 COM - T38mm x W100mm Up x L1.8m Up</v>
          </cell>
          <cell r="I1735">
            <v>1</v>
          </cell>
        </row>
        <row r="1736">
          <cell r="A1736" t="str">
            <v>B557872/A</v>
          </cell>
          <cell r="B1736" t="str">
            <v>CZ568M191</v>
          </cell>
          <cell r="C1736">
            <v>1</v>
          </cell>
          <cell r="D1736">
            <v>934.86</v>
          </cell>
          <cell r="E1736">
            <v>934.86</v>
          </cell>
          <cell r="F1736" t="str">
            <v>A2-S3</v>
          </cell>
          <cell r="G1736" t="str">
            <v>Center bottom rail - Đố đáy giữa</v>
          </cell>
          <cell r="H1736" t="str">
            <v>Wood US Poplar - Straight Edged, 2 COM - T38mm x W100mm Up x L1.8m Up</v>
          </cell>
          <cell r="I1736">
            <v>2</v>
          </cell>
        </row>
        <row r="1737">
          <cell r="A1737" t="str">
            <v>B557872/A</v>
          </cell>
          <cell r="B1737" t="str">
            <v>CZ568M191</v>
          </cell>
          <cell r="C1737">
            <v>1</v>
          </cell>
          <cell r="D1737">
            <v>934.86</v>
          </cell>
          <cell r="E1737">
            <v>934.86</v>
          </cell>
          <cell r="F1737" t="str">
            <v>A2-S4</v>
          </cell>
          <cell r="G1737" t="str">
            <v>Center bottom rail - Đố đáy giữa</v>
          </cell>
          <cell r="H1737" t="str">
            <v>Wood laminate</v>
          </cell>
          <cell r="I1737">
            <v>1</v>
          </cell>
        </row>
        <row r="1738">
          <cell r="A1738" t="str">
            <v>B557872/A</v>
          </cell>
          <cell r="B1738" t="str">
            <v>CZ568M191</v>
          </cell>
          <cell r="C1738">
            <v>1</v>
          </cell>
          <cell r="D1738">
            <v>934.86</v>
          </cell>
          <cell r="E1738">
            <v>934.86</v>
          </cell>
          <cell r="F1738" t="str">
            <v>A2-S5</v>
          </cell>
          <cell r="G1738" t="str">
            <v>Bottom panel - Ván đáy</v>
          </cell>
          <cell r="H1738" t="str">
            <v>MDF Veneer</v>
          </cell>
          <cell r="I1738">
            <v>2</v>
          </cell>
        </row>
        <row r="1739">
          <cell r="A1739" t="str">
            <v>B557872/A</v>
          </cell>
          <cell r="B1739" t="str">
            <v>CZ568M191</v>
          </cell>
          <cell r="C1739">
            <v>1</v>
          </cell>
          <cell r="D1739">
            <v>934.86</v>
          </cell>
          <cell r="E1739">
            <v>934.86</v>
          </cell>
          <cell r="F1739" t="str">
            <v>A2-S6</v>
          </cell>
          <cell r="G1739" t="str">
            <v>Cleat - Bọ gỗ</v>
          </cell>
          <cell r="H1739" t="str">
            <v>Wood Rubber Laminate Board - 20 x 1220 x 2440mm, Veneer Poplar both Faces</v>
          </cell>
          <cell r="I1739">
            <v>2</v>
          </cell>
        </row>
        <row r="1740">
          <cell r="A1740" t="str">
            <v>B557872/A</v>
          </cell>
          <cell r="B1740" t="str">
            <v>CZ568M191</v>
          </cell>
          <cell r="C1740">
            <v>1</v>
          </cell>
          <cell r="D1740">
            <v>934.86</v>
          </cell>
          <cell r="E1740">
            <v>934.86</v>
          </cell>
          <cell r="F1740" t="str">
            <v>A2-S7</v>
          </cell>
          <cell r="G1740" t="str">
            <v>Dust board Panel  - Ván quét bụi</v>
          </cell>
          <cell r="H1740" t="str">
            <v>MDF - 06 x 1830 x 2440mm [CARB P2 Compliant]</v>
          </cell>
          <cell r="I1740">
            <v>1</v>
          </cell>
        </row>
        <row r="1741">
          <cell r="A1741" t="str">
            <v>B557872/A</v>
          </cell>
          <cell r="B1741" t="str">
            <v>CZ568M191</v>
          </cell>
          <cell r="C1741">
            <v>1</v>
          </cell>
          <cell r="D1741">
            <v>934.86</v>
          </cell>
          <cell r="E1741">
            <v>934.86</v>
          </cell>
          <cell r="F1741" t="str">
            <v>A3-S1</v>
          </cell>
          <cell r="G1741" t="str">
            <v xml:space="preserve">Drawer front - Mặt hộc kéo </v>
          </cell>
          <cell r="H1741" t="str">
            <v>MDF Veneer</v>
          </cell>
          <cell r="I1741">
            <v>3</v>
          </cell>
        </row>
        <row r="1742">
          <cell r="A1742" t="str">
            <v>B557872/A</v>
          </cell>
          <cell r="B1742" t="str">
            <v>CZ568M191</v>
          </cell>
          <cell r="C1742">
            <v>1</v>
          </cell>
          <cell r="D1742">
            <v>934.86</v>
          </cell>
          <cell r="E1742">
            <v>934.86</v>
          </cell>
          <cell r="F1742" t="str">
            <v>A3-S2</v>
          </cell>
          <cell r="G1742" t="str">
            <v>Drawer side - Hông hộc kéo</v>
          </cell>
          <cell r="H1742" t="str">
            <v>MDF-N - 12 x 1220 x 2440mm, Veneer Okoume 0.3mm Both Faces [CARB P2 Compliant]</v>
          </cell>
          <cell r="I1742">
            <v>6</v>
          </cell>
        </row>
        <row r="1743">
          <cell r="A1743" t="str">
            <v>B557872/A</v>
          </cell>
          <cell r="B1743" t="str">
            <v>CZ568M191</v>
          </cell>
          <cell r="C1743">
            <v>1</v>
          </cell>
          <cell r="D1743">
            <v>934.86</v>
          </cell>
          <cell r="E1743">
            <v>934.86</v>
          </cell>
          <cell r="F1743" t="str">
            <v>A3-S3</v>
          </cell>
          <cell r="G1743" t="str">
            <v>Drawer back - Hậu hộc kéo</v>
          </cell>
          <cell r="H1743" t="str">
            <v>MDF - 12 x 1220 x 2440mm, Veneer Okoume 0.3mm Both Faces [CARB P2 Compliant]</v>
          </cell>
          <cell r="I1743">
            <v>3</v>
          </cell>
        </row>
        <row r="1744">
          <cell r="A1744" t="str">
            <v>B557872/A</v>
          </cell>
          <cell r="B1744" t="str">
            <v>CZ568M191</v>
          </cell>
          <cell r="C1744">
            <v>1</v>
          </cell>
          <cell r="D1744">
            <v>934.86</v>
          </cell>
          <cell r="E1744">
            <v>934.86</v>
          </cell>
          <cell r="F1744" t="str">
            <v>A3-S4</v>
          </cell>
          <cell r="G1744" t="str">
            <v>Drawer bottom  - Đáy hộc kéo</v>
          </cell>
          <cell r="H1744" t="str">
            <v>MDF - 06 x 1220 x 2440mm, Veneer Okoume 0.3mm Both Faces [CARB P2 Compliant]</v>
          </cell>
          <cell r="I1744">
            <v>3</v>
          </cell>
        </row>
        <row r="1745">
          <cell r="A1745" t="str">
            <v>B557872/A</v>
          </cell>
          <cell r="B1745" t="str">
            <v>CZ568M191</v>
          </cell>
          <cell r="C1745">
            <v>1</v>
          </cell>
          <cell r="D1745">
            <v>934.86</v>
          </cell>
          <cell r="E1745">
            <v>934.86</v>
          </cell>
          <cell r="F1745" t="str">
            <v>A5-3</v>
          </cell>
          <cell r="G1745" t="str">
            <v>Door panel  - Ván cửa</v>
          </cell>
          <cell r="H1745" t="str">
            <v>MDF Veneer</v>
          </cell>
          <cell r="I1745">
            <v>4</v>
          </cell>
        </row>
        <row r="1746">
          <cell r="A1746" t="str">
            <v>B557872/A</v>
          </cell>
          <cell r="B1746" t="str">
            <v>CZ568M191</v>
          </cell>
          <cell r="C1746">
            <v>1</v>
          </cell>
          <cell r="D1746">
            <v>934.86</v>
          </cell>
          <cell r="E1746">
            <v>934.86</v>
          </cell>
          <cell r="F1746" t="str">
            <v>A5-4</v>
          </cell>
          <cell r="G1746" t="str">
            <v>Patching moulding - Chỉ đắp</v>
          </cell>
          <cell r="H1746" t="str">
            <v>Wood US Poplar - Straight Edged, 2 COM - T38mm x W100mm Up x L1.8m Up</v>
          </cell>
          <cell r="I1746">
            <v>4</v>
          </cell>
        </row>
        <row r="1747">
          <cell r="A1747" t="str">
            <v>B557872/A</v>
          </cell>
          <cell r="B1747" t="str">
            <v>CZ568M191</v>
          </cell>
          <cell r="C1747">
            <v>1</v>
          </cell>
          <cell r="D1747">
            <v>934.86</v>
          </cell>
          <cell r="E1747">
            <v>934.86</v>
          </cell>
          <cell r="F1747" t="str">
            <v>A5-5</v>
          </cell>
          <cell r="G1747" t="str">
            <v>Patching moulding - Chỉ đắp</v>
          </cell>
          <cell r="H1747" t="str">
            <v>Wood US Poplar - Straight Edged, 2 COM - T38mm x W100mm Up x L1.8m Up</v>
          </cell>
          <cell r="I1747">
            <v>8</v>
          </cell>
        </row>
        <row r="1748">
          <cell r="A1748" t="str">
            <v>B557872/A</v>
          </cell>
          <cell r="B1748" t="str">
            <v>CZ568M191</v>
          </cell>
          <cell r="C1748">
            <v>1</v>
          </cell>
          <cell r="D1748">
            <v>934.86</v>
          </cell>
          <cell r="E1748">
            <v>934.86</v>
          </cell>
          <cell r="F1748" t="str">
            <v>A5-6</v>
          </cell>
          <cell r="G1748" t="str">
            <v>Patching moulding - Chỉ đắp</v>
          </cell>
          <cell r="H1748" t="str">
            <v>TRAM OFF CUT</v>
          </cell>
          <cell r="I1748">
            <v>8</v>
          </cell>
        </row>
        <row r="1749">
          <cell r="A1749" t="str">
            <v>B557872/A</v>
          </cell>
          <cell r="B1749" t="str">
            <v>CZ568M191</v>
          </cell>
          <cell r="C1749">
            <v>1</v>
          </cell>
          <cell r="D1749">
            <v>934.86</v>
          </cell>
          <cell r="E1749">
            <v>934.86</v>
          </cell>
          <cell r="F1749" t="str">
            <v>A5-7</v>
          </cell>
          <cell r="G1749" t="str">
            <v>Patching moulding - Chỉ đắp</v>
          </cell>
          <cell r="H1749" t="str">
            <v>Wood US Poplar - Straight Edged, 2 COM - T38mm x W100mm Up x L1.8m Up</v>
          </cell>
          <cell r="I1749">
            <v>4</v>
          </cell>
        </row>
        <row r="1750">
          <cell r="A1750" t="str">
            <v>B557872/A</v>
          </cell>
          <cell r="B1750" t="str">
            <v>CZ568M191</v>
          </cell>
          <cell r="C1750">
            <v>1</v>
          </cell>
          <cell r="D1750">
            <v>934.86</v>
          </cell>
          <cell r="E1750">
            <v>934.86</v>
          </cell>
          <cell r="F1750" t="str">
            <v>A5-8</v>
          </cell>
          <cell r="G1750" t="str">
            <v>Insert Wood - Gỗ chèn</v>
          </cell>
          <cell r="H1750" t="str">
            <v>Beech off cut</v>
          </cell>
          <cell r="I1750">
            <v>12</v>
          </cell>
        </row>
        <row r="1751">
          <cell r="A1751" t="str">
            <v>B557872/A</v>
          </cell>
          <cell r="B1751" t="str">
            <v>CZ568M191</v>
          </cell>
          <cell r="C1751">
            <v>1</v>
          </cell>
          <cell r="D1751">
            <v>934.86</v>
          </cell>
          <cell r="E1751">
            <v>934.86</v>
          </cell>
          <cell r="F1751" t="str">
            <v>P01</v>
          </cell>
          <cell r="G1751" t="str">
            <v>Front top rail  - Đố tiền nóc</v>
          </cell>
          <cell r="H1751" t="str">
            <v>Wood laminate</v>
          </cell>
          <cell r="I1751">
            <v>1</v>
          </cell>
        </row>
        <row r="1752">
          <cell r="A1752" t="str">
            <v>B557872/A</v>
          </cell>
          <cell r="B1752" t="str">
            <v>CZ568M191</v>
          </cell>
          <cell r="C1752">
            <v>1</v>
          </cell>
          <cell r="D1752">
            <v>934.86</v>
          </cell>
          <cell r="E1752">
            <v>934.86</v>
          </cell>
          <cell r="F1752" t="str">
            <v>P02</v>
          </cell>
          <cell r="G1752" t="str">
            <v>Back rail with note finger - đố hậu</v>
          </cell>
          <cell r="H1752" t="str">
            <v>Standard Wood - ALDER/ASPEN/LENGA/US POPLAR, 2 COM - T25 W120mm+ L2m+</v>
          </cell>
          <cell r="I1752">
            <v>1</v>
          </cell>
        </row>
        <row r="1753">
          <cell r="A1753" t="str">
            <v>B557872/A</v>
          </cell>
          <cell r="B1753" t="str">
            <v>CZ568M191</v>
          </cell>
          <cell r="C1753">
            <v>1</v>
          </cell>
          <cell r="D1753">
            <v>934.86</v>
          </cell>
          <cell r="E1753">
            <v>934.86</v>
          </cell>
          <cell r="F1753" t="str">
            <v>P03</v>
          </cell>
          <cell r="G1753" t="str">
            <v xml:space="preserve">Top panel  - Ván nóc </v>
          </cell>
          <cell r="H1753" t="str">
            <v>MDF Veneer</v>
          </cell>
          <cell r="I1753">
            <v>1</v>
          </cell>
        </row>
        <row r="1754">
          <cell r="A1754" t="str">
            <v>B557872/A</v>
          </cell>
          <cell r="B1754" t="str">
            <v>CZ568M191</v>
          </cell>
          <cell r="C1754">
            <v>1</v>
          </cell>
          <cell r="D1754">
            <v>934.86</v>
          </cell>
          <cell r="E1754">
            <v>934.86</v>
          </cell>
          <cell r="F1754" t="str">
            <v>P04</v>
          </cell>
          <cell r="G1754" t="str">
            <v>Cleat - Bọ gỗ</v>
          </cell>
          <cell r="H1754" t="str">
            <v>Wood Rubber Laminate Board - 20 x 1220 x 2440mm, Veneer Poplar both Faces</v>
          </cell>
          <cell r="I1754">
            <v>2</v>
          </cell>
        </row>
        <row r="1755">
          <cell r="A1755" t="str">
            <v>B557872/A</v>
          </cell>
          <cell r="B1755" t="str">
            <v>CZ568M191</v>
          </cell>
          <cell r="C1755">
            <v>1</v>
          </cell>
          <cell r="D1755">
            <v>934.86</v>
          </cell>
          <cell r="E1755">
            <v>934.86</v>
          </cell>
          <cell r="F1755" t="str">
            <v>P08</v>
          </cell>
          <cell r="G1755" t="str">
            <v>Adjustable Shelf  - Kệ di động</v>
          </cell>
          <cell r="H1755" t="str">
            <v>Pre-Assembly</v>
          </cell>
          <cell r="I1755">
            <v>2</v>
          </cell>
        </row>
        <row r="1756">
          <cell r="A1756" t="str">
            <v>B557872/A</v>
          </cell>
          <cell r="B1756" t="str">
            <v>CZ568M191</v>
          </cell>
          <cell r="C1756">
            <v>1</v>
          </cell>
          <cell r="D1756">
            <v>934.86</v>
          </cell>
          <cell r="E1756">
            <v>934.86</v>
          </cell>
          <cell r="F1756" t="str">
            <v>P08-1</v>
          </cell>
          <cell r="G1756" t="str">
            <v>Adjustable Shelf  - Kệ di động</v>
          </cell>
          <cell r="H1756" t="str">
            <v>MDF Veneer</v>
          </cell>
          <cell r="I1756">
            <v>2</v>
          </cell>
        </row>
        <row r="1757">
          <cell r="A1757" t="str">
            <v>B557872/A</v>
          </cell>
          <cell r="B1757" t="str">
            <v>CZ568M191</v>
          </cell>
          <cell r="C1757">
            <v>1</v>
          </cell>
          <cell r="D1757">
            <v>934.86</v>
          </cell>
          <cell r="E1757">
            <v>934.86</v>
          </cell>
          <cell r="F1757" t="str">
            <v>P08-2</v>
          </cell>
          <cell r="G1757" t="str">
            <v>Adjustable Shelf  - Kệ di động</v>
          </cell>
          <cell r="H1757" t="str">
            <v>Wood US Poplar - Straight Edged, 2 COM - T25mm x W100mm Up x L1.8m Up</v>
          </cell>
          <cell r="I1757">
            <v>2</v>
          </cell>
        </row>
        <row r="1758">
          <cell r="A1758" t="str">
            <v>B557872/A</v>
          </cell>
          <cell r="B1758" t="str">
            <v>CZ568M191</v>
          </cell>
          <cell r="C1758">
            <v>1</v>
          </cell>
          <cell r="D1758">
            <v>934.86</v>
          </cell>
          <cell r="E1758">
            <v>934.86</v>
          </cell>
          <cell r="F1758" t="str">
            <v>P09</v>
          </cell>
          <cell r="G1758" t="str">
            <v>Partition panel - Vách ngăn</v>
          </cell>
          <cell r="H1758" t="str">
            <v>MDF Veneer</v>
          </cell>
          <cell r="I1758">
            <v>2</v>
          </cell>
        </row>
        <row r="1759">
          <cell r="A1759" t="str">
            <v>B557872/A</v>
          </cell>
          <cell r="B1759" t="str">
            <v>CZ568M191</v>
          </cell>
          <cell r="C1759">
            <v>1</v>
          </cell>
          <cell r="D1759">
            <v>934.86</v>
          </cell>
          <cell r="E1759">
            <v>934.86</v>
          </cell>
          <cell r="F1759" t="str">
            <v>P11</v>
          </cell>
          <cell r="G1759" t="str">
            <v>Back panel - Ván hậu</v>
          </cell>
          <cell r="H1759" t="str">
            <v>MDF Veneer</v>
          </cell>
          <cell r="I1759">
            <v>1</v>
          </cell>
        </row>
        <row r="1760">
          <cell r="A1760" t="str">
            <v>B557872/A</v>
          </cell>
          <cell r="B1760" t="str">
            <v>CZ568M191</v>
          </cell>
          <cell r="C1760">
            <v>1</v>
          </cell>
          <cell r="D1760">
            <v>934.86</v>
          </cell>
          <cell r="E1760">
            <v>934.86</v>
          </cell>
          <cell r="F1760" t="str">
            <v>P12</v>
          </cell>
          <cell r="G1760" t="str">
            <v>Back panel - Ván hậu</v>
          </cell>
          <cell r="H1760" t="str">
            <v>MDF Veneer</v>
          </cell>
          <cell r="I1760">
            <v>1</v>
          </cell>
        </row>
        <row r="1761">
          <cell r="A1761" t="str">
            <v>B557872/A</v>
          </cell>
          <cell r="B1761" t="str">
            <v>CZ568M191</v>
          </cell>
          <cell r="C1761">
            <v>1</v>
          </cell>
          <cell r="D1761">
            <v>934.86</v>
          </cell>
          <cell r="E1761">
            <v>934.86</v>
          </cell>
          <cell r="F1761" t="str">
            <v>P13</v>
          </cell>
          <cell r="G1761" t="str">
            <v>Center leg - Chân giữa</v>
          </cell>
          <cell r="H1761" t="str">
            <v>Poplar off cut</v>
          </cell>
          <cell r="I1761">
            <v>1</v>
          </cell>
        </row>
        <row r="1762">
          <cell r="A1762" t="str">
            <v>B557872/A</v>
          </cell>
          <cell r="B1762" t="str">
            <v>CZ568M191</v>
          </cell>
          <cell r="C1762">
            <v>1</v>
          </cell>
          <cell r="D1762">
            <v>934.86</v>
          </cell>
          <cell r="E1762">
            <v>934.86</v>
          </cell>
          <cell r="F1762" t="str">
            <v>P14</v>
          </cell>
          <cell r="G1762" t="str">
            <v>Patching wood - Gỗ đắp</v>
          </cell>
          <cell r="H1762" t="str">
            <v>Wood US Poplar - Straight Edged, 2 COM - T38mm x W100mm Up x L1.8m Up</v>
          </cell>
          <cell r="I1762">
            <v>6</v>
          </cell>
        </row>
        <row r="1763">
          <cell r="A1763" t="str">
            <v>B557872/A</v>
          </cell>
          <cell r="B1763" t="str">
            <v>CZ568M191</v>
          </cell>
          <cell r="C1763">
            <v>1</v>
          </cell>
          <cell r="D1763">
            <v>934.86</v>
          </cell>
          <cell r="E1763">
            <v>934.86</v>
          </cell>
          <cell r="F1763" t="str">
            <v>P16</v>
          </cell>
          <cell r="G1763" t="str">
            <v>Corner block - ke góc</v>
          </cell>
          <cell r="H1763" t="str">
            <v>Poplar off cut</v>
          </cell>
          <cell r="I1763">
            <v>2</v>
          </cell>
        </row>
        <row r="1764">
          <cell r="A1764" t="str">
            <v>B557872/A</v>
          </cell>
          <cell r="B1764" t="str">
            <v>CZ568M191</v>
          </cell>
          <cell r="C1764">
            <v>1</v>
          </cell>
          <cell r="D1764">
            <v>934.86</v>
          </cell>
          <cell r="E1764">
            <v>934.86</v>
          </cell>
          <cell r="F1764" t="str">
            <v>P17</v>
          </cell>
          <cell r="G1764" t="str">
            <v>Corner block - ke góc</v>
          </cell>
          <cell r="H1764" t="str">
            <v>Poplar off cut</v>
          </cell>
          <cell r="I1764">
            <v>2</v>
          </cell>
        </row>
        <row r="1765">
          <cell r="A1765" t="str">
            <v>B557872/A</v>
          </cell>
          <cell r="B1765" t="str">
            <v>CZ568M191</v>
          </cell>
          <cell r="C1765">
            <v>1</v>
          </cell>
          <cell r="D1765">
            <v>934.86</v>
          </cell>
          <cell r="E1765">
            <v>934.86</v>
          </cell>
          <cell r="F1765" t="str">
            <v>P19</v>
          </cell>
          <cell r="G1765" t="str">
            <v>Corner block - ke góc</v>
          </cell>
          <cell r="H1765" t="str">
            <v>Poplar off cut</v>
          </cell>
          <cell r="I1765">
            <v>2</v>
          </cell>
        </row>
        <row r="1766">
          <cell r="A1766" t="str">
            <v>B557872/A</v>
          </cell>
          <cell r="B1766" t="str">
            <v>CZ568M191</v>
          </cell>
          <cell r="C1766">
            <v>1</v>
          </cell>
          <cell r="D1766">
            <v>934.86</v>
          </cell>
          <cell r="E1766">
            <v>934.86</v>
          </cell>
          <cell r="F1766" t="str">
            <v>P20</v>
          </cell>
          <cell r="G1766" t="str">
            <v>Spline - Lưỡi gà</v>
          </cell>
          <cell r="H1766" t="str">
            <v>Plywood LVD - 06 x 1220 x 2440mm, Bleached Poplar Veneer Both Sides [CARB P2 Compliant]</v>
          </cell>
          <cell r="I1766">
            <v>2</v>
          </cell>
        </row>
        <row r="1767">
          <cell r="A1767" t="str">
            <v>B557872/A</v>
          </cell>
          <cell r="B1767" t="str">
            <v>CZ568M191</v>
          </cell>
          <cell r="C1767">
            <v>1</v>
          </cell>
          <cell r="D1767">
            <v>934.86</v>
          </cell>
          <cell r="E1767">
            <v>934.86</v>
          </cell>
          <cell r="F1767" t="str">
            <v>P21</v>
          </cell>
          <cell r="G1767" t="str">
            <v>Spline - Lưỡi gà</v>
          </cell>
          <cell r="H1767" t="str">
            <v>Plywood LVD - 06 x 1220 x 2440mm, Bleached Poplar Veneer Both Sides [CARB P2 Compliant]</v>
          </cell>
          <cell r="I1767">
            <v>1</v>
          </cell>
        </row>
        <row r="1768">
          <cell r="A1768" t="str">
            <v>B557872/A</v>
          </cell>
          <cell r="B1768" t="str">
            <v>CZ568M191</v>
          </cell>
          <cell r="C1768">
            <v>1</v>
          </cell>
          <cell r="D1768">
            <v>934.86</v>
          </cell>
          <cell r="E1768">
            <v>934.86</v>
          </cell>
          <cell r="F1768" t="str">
            <v>P22</v>
          </cell>
          <cell r="G1768" t="str">
            <v>Front rail  - Đố tiền</v>
          </cell>
          <cell r="H1768" t="str">
            <v>Wood Rubber Laminate Board - 20 x 1220 x 2440mm, Veneer Poplar both Faces</v>
          </cell>
          <cell r="I1768">
            <v>2</v>
          </cell>
        </row>
        <row r="1769">
          <cell r="A1769" t="str">
            <v>B557872/A</v>
          </cell>
          <cell r="B1769" t="str">
            <v>CZ568M191</v>
          </cell>
          <cell r="C1769">
            <v>1</v>
          </cell>
          <cell r="D1769">
            <v>934.86</v>
          </cell>
          <cell r="E1769">
            <v>934.86</v>
          </cell>
          <cell r="F1769" t="str">
            <v>P23</v>
          </cell>
          <cell r="G1769" t="str">
            <v>Patching wood - Gỗ đắp</v>
          </cell>
          <cell r="H1769" t="str">
            <v>wood off cut</v>
          </cell>
          <cell r="I1769">
            <v>2</v>
          </cell>
        </row>
        <row r="1770">
          <cell r="A1770" t="str">
            <v>B557872/A</v>
          </cell>
          <cell r="B1770" t="str">
            <v>CZ568M191</v>
          </cell>
          <cell r="C1770">
            <v>1</v>
          </cell>
          <cell r="D1770">
            <v>934.86</v>
          </cell>
          <cell r="E1770">
            <v>934.86</v>
          </cell>
          <cell r="F1770" t="str">
            <v>P24</v>
          </cell>
          <cell r="G1770" t="str">
            <v>Drawer stop - Dừng hộc</v>
          </cell>
          <cell r="H1770" t="str">
            <v>Poplar off cut</v>
          </cell>
          <cell r="I1770">
            <v>6</v>
          </cell>
        </row>
        <row r="1771">
          <cell r="A1771" t="str">
            <v>B552535/A</v>
          </cell>
          <cell r="B1771" t="str">
            <v>CZ641</v>
          </cell>
          <cell r="C1771">
            <v>21</v>
          </cell>
          <cell r="D1771">
            <v>808.26</v>
          </cell>
          <cell r="E1771">
            <v>16973.46</v>
          </cell>
          <cell r="F1771" t="str">
            <v>A1-S01</v>
          </cell>
          <cell r="G1771" t="str">
            <v>Top rail - Đố nóc</v>
          </cell>
          <cell r="H1771" t="str">
            <v>Poplar 2 COM</v>
          </cell>
          <cell r="I1771">
            <v>21</v>
          </cell>
        </row>
        <row r="1772">
          <cell r="A1772" t="str">
            <v>B552535/A</v>
          </cell>
          <cell r="B1772" t="str">
            <v>CZ641</v>
          </cell>
          <cell r="C1772">
            <v>21</v>
          </cell>
          <cell r="D1772">
            <v>808.26</v>
          </cell>
          <cell r="E1772">
            <v>16973.46</v>
          </cell>
          <cell r="F1772" t="str">
            <v>A1-S02</v>
          </cell>
          <cell r="G1772" t="str">
            <v>the post - trụ</v>
          </cell>
          <cell r="H1772" t="str">
            <v>Poplar 2 COM</v>
          </cell>
          <cell r="I1772">
            <v>42</v>
          </cell>
        </row>
        <row r="1773">
          <cell r="A1773" t="str">
            <v>B552535/A</v>
          </cell>
          <cell r="B1773" t="str">
            <v>CZ641</v>
          </cell>
          <cell r="C1773">
            <v>21</v>
          </cell>
          <cell r="D1773">
            <v>808.26</v>
          </cell>
          <cell r="E1773">
            <v>16973.46</v>
          </cell>
          <cell r="F1773" t="str">
            <v>A1-S03</v>
          </cell>
          <cell r="G1773" t="str">
            <v>Head board panel  - Ván đầu giường</v>
          </cell>
          <cell r="H1773" t="str">
            <v>MDF Veneer</v>
          </cell>
          <cell r="I1773">
            <v>21</v>
          </cell>
        </row>
        <row r="1774">
          <cell r="A1774" t="str">
            <v>B552535/A</v>
          </cell>
          <cell r="B1774" t="str">
            <v>CZ641</v>
          </cell>
          <cell r="C1774">
            <v>21</v>
          </cell>
          <cell r="D1774">
            <v>808.26</v>
          </cell>
          <cell r="E1774">
            <v>16973.46</v>
          </cell>
          <cell r="F1774" t="str">
            <v>A1-S08</v>
          </cell>
          <cell r="G1774" t="str">
            <v>Cleat - Bọ gỗ</v>
          </cell>
          <cell r="H1774" t="str">
            <v>Poplar off cut</v>
          </cell>
          <cell r="I1774">
            <v>84</v>
          </cell>
        </row>
        <row r="1775">
          <cell r="A1775" t="str">
            <v>B552535/A</v>
          </cell>
          <cell r="B1775" t="str">
            <v>CZ641</v>
          </cell>
          <cell r="C1775">
            <v>21</v>
          </cell>
          <cell r="D1775">
            <v>808.26</v>
          </cell>
          <cell r="E1775">
            <v>16973.46</v>
          </cell>
          <cell r="F1775" t="str">
            <v>A1-S09</v>
          </cell>
          <cell r="G1775" t="str">
            <v>Bottom rail inside - Đố tiền đáy</v>
          </cell>
          <cell r="H1775" t="str">
            <v>Standard Wood - ALDER/ASPEN/LENGA/US POPLAR, 2 COM - T50 W120mm+ L2m+</v>
          </cell>
          <cell r="I1775">
            <v>21</v>
          </cell>
        </row>
        <row r="1776">
          <cell r="A1776" t="str">
            <v>B552535/A</v>
          </cell>
          <cell r="B1776" t="str">
            <v>CZ641</v>
          </cell>
          <cell r="C1776">
            <v>21</v>
          </cell>
          <cell r="D1776">
            <v>808.26</v>
          </cell>
          <cell r="E1776">
            <v>16973.46</v>
          </cell>
          <cell r="F1776" t="str">
            <v>A1-S10</v>
          </cell>
          <cell r="G1776" t="str">
            <v>Vertical rail 1 - Đố đứng 1</v>
          </cell>
          <cell r="H1776" t="str">
            <v>Standard Wood - ALDER/ASPEN/LENGA/US POPLAR, 2 COM - T25 W120mm+ L2m+</v>
          </cell>
          <cell r="I1776">
            <v>21</v>
          </cell>
        </row>
        <row r="1777">
          <cell r="A1777" t="str">
            <v>B552535/A</v>
          </cell>
          <cell r="B1777" t="str">
            <v>CZ641</v>
          </cell>
          <cell r="C1777">
            <v>21</v>
          </cell>
          <cell r="D1777">
            <v>808.26</v>
          </cell>
          <cell r="E1777">
            <v>16973.46</v>
          </cell>
          <cell r="F1777" t="str">
            <v>A2-S01</v>
          </cell>
          <cell r="G1777" t="str">
            <v>the post - trụ</v>
          </cell>
          <cell r="H1777" t="str">
            <v>Wood laminate</v>
          </cell>
          <cell r="I1777">
            <v>42</v>
          </cell>
        </row>
        <row r="1778">
          <cell r="A1778" t="str">
            <v>B552535/A</v>
          </cell>
          <cell r="B1778" t="str">
            <v>CZ641</v>
          </cell>
          <cell r="C1778">
            <v>21</v>
          </cell>
          <cell r="D1778">
            <v>808.26</v>
          </cell>
          <cell r="E1778">
            <v>16973.46</v>
          </cell>
          <cell r="F1778" t="str">
            <v>A2-S02</v>
          </cell>
          <cell r="G1778" t="str">
            <v>Side Frame - Khung hông</v>
          </cell>
          <cell r="H1778" t="str">
            <v>Pre-Assembly</v>
          </cell>
          <cell r="I1778">
            <v>21</v>
          </cell>
        </row>
        <row r="1779">
          <cell r="A1779" t="str">
            <v>B552535/A</v>
          </cell>
          <cell r="B1779" t="str">
            <v>CZ641</v>
          </cell>
          <cell r="C1779">
            <v>21</v>
          </cell>
          <cell r="D1779">
            <v>808.26</v>
          </cell>
          <cell r="E1779">
            <v>16973.46</v>
          </cell>
          <cell r="F1779" t="str">
            <v>A2-S02-1</v>
          </cell>
          <cell r="G1779" t="str">
            <v>Horizontal rail 1 - Đố ngang 1</v>
          </cell>
          <cell r="H1779" t="str">
            <v>Standard Wood - ALDER/ASPEN/LENGA/US POPLAR, 2 COM - T25 W120mm+ L2m+</v>
          </cell>
          <cell r="I1779">
            <v>42</v>
          </cell>
        </row>
        <row r="1780">
          <cell r="A1780" t="str">
            <v>B552535/A</v>
          </cell>
          <cell r="B1780" t="str">
            <v>CZ641</v>
          </cell>
          <cell r="C1780">
            <v>21</v>
          </cell>
          <cell r="D1780">
            <v>808.26</v>
          </cell>
          <cell r="E1780">
            <v>16973.46</v>
          </cell>
          <cell r="F1780" t="str">
            <v>A2-S02-2</v>
          </cell>
          <cell r="G1780" t="str">
            <v>Vertical rail 1 - Đố đứng 1</v>
          </cell>
          <cell r="H1780" t="str">
            <v>Wood laminate</v>
          </cell>
          <cell r="I1780">
            <v>42</v>
          </cell>
        </row>
        <row r="1781">
          <cell r="A1781" t="str">
            <v>B552535/A</v>
          </cell>
          <cell r="B1781" t="str">
            <v>CZ641</v>
          </cell>
          <cell r="C1781">
            <v>21</v>
          </cell>
          <cell r="D1781">
            <v>808.26</v>
          </cell>
          <cell r="E1781">
            <v>16973.46</v>
          </cell>
          <cell r="F1781" t="str">
            <v>A2-S02-3</v>
          </cell>
          <cell r="G1781" t="str">
            <v>Vertical rail 1 - Đố đứng 1</v>
          </cell>
          <cell r="H1781" t="str">
            <v>Standard Wood - ALDER/ASPEN/LENGA/US POPLAR, 2 COM - T50 W120mm+ L2m+</v>
          </cell>
          <cell r="I1781">
            <v>42</v>
          </cell>
        </row>
        <row r="1782">
          <cell r="A1782" t="str">
            <v>B552535/A</v>
          </cell>
          <cell r="B1782" t="str">
            <v>CZ641</v>
          </cell>
          <cell r="C1782">
            <v>21</v>
          </cell>
          <cell r="D1782">
            <v>808.26</v>
          </cell>
          <cell r="E1782">
            <v>16973.46</v>
          </cell>
          <cell r="F1782" t="str">
            <v>A2-S02-4</v>
          </cell>
          <cell r="G1782" t="str">
            <v>Front top rail  - Đố tiền nóc</v>
          </cell>
          <cell r="H1782" t="str">
            <v>MDF Veneer</v>
          </cell>
          <cell r="I1782">
            <v>42</v>
          </cell>
        </row>
        <row r="1783">
          <cell r="A1783" t="str">
            <v>B552535/A</v>
          </cell>
          <cell r="B1783" t="str">
            <v>CZ641</v>
          </cell>
          <cell r="C1783">
            <v>21</v>
          </cell>
          <cell r="D1783">
            <v>808.26</v>
          </cell>
          <cell r="E1783">
            <v>16973.46</v>
          </cell>
          <cell r="F1783" t="str">
            <v>A2-S03</v>
          </cell>
          <cell r="G1783" t="str">
            <v>Insert Wood - Gỗ chèn</v>
          </cell>
          <cell r="H1783" t="str">
            <v>Beech off cut</v>
          </cell>
          <cell r="I1783">
            <v>42</v>
          </cell>
        </row>
        <row r="1784">
          <cell r="A1784" t="str">
            <v>B552535/A</v>
          </cell>
          <cell r="B1784" t="str">
            <v>CZ641</v>
          </cell>
          <cell r="C1784">
            <v>21</v>
          </cell>
          <cell r="D1784">
            <v>808.26</v>
          </cell>
          <cell r="E1784">
            <v>16973.46</v>
          </cell>
          <cell r="F1784" t="str">
            <v>A3</v>
          </cell>
          <cell r="G1784" t="str">
            <v xml:space="preserve">Side rail  - Đố hông </v>
          </cell>
          <cell r="H1784" t="str">
            <v>Pre-Assembly</v>
          </cell>
          <cell r="I1784">
            <v>42</v>
          </cell>
        </row>
        <row r="1785">
          <cell r="A1785" t="str">
            <v>B552535/A</v>
          </cell>
          <cell r="B1785" t="str">
            <v>CZ641</v>
          </cell>
          <cell r="C1785">
            <v>21</v>
          </cell>
          <cell r="D1785">
            <v>808.26</v>
          </cell>
          <cell r="E1785">
            <v>16973.46</v>
          </cell>
          <cell r="F1785" t="str">
            <v>A3-S01</v>
          </cell>
          <cell r="G1785" t="str">
            <v xml:space="preserve">Side rail  - Đố hông </v>
          </cell>
          <cell r="H1785" t="str">
            <v>MDF - 18 x 1830 x 2440mm [CARB P2 Compliant]</v>
          </cell>
          <cell r="I1785">
            <v>84</v>
          </cell>
        </row>
        <row r="1786">
          <cell r="A1786" t="str">
            <v>B552535/A</v>
          </cell>
          <cell r="B1786" t="str">
            <v>CZ641</v>
          </cell>
          <cell r="C1786">
            <v>21</v>
          </cell>
          <cell r="D1786">
            <v>808.26</v>
          </cell>
          <cell r="E1786">
            <v>16973.46</v>
          </cell>
          <cell r="F1786" t="str">
            <v>A3-S02</v>
          </cell>
          <cell r="G1786" t="str">
            <v>Vertical rail 1 - Đố đứng 1</v>
          </cell>
          <cell r="H1786" t="str">
            <v>Plywood off cut</v>
          </cell>
          <cell r="I1786">
            <v>168</v>
          </cell>
        </row>
        <row r="1787">
          <cell r="A1787" t="str">
            <v>B552535/A</v>
          </cell>
          <cell r="B1787" t="str">
            <v>CZ641</v>
          </cell>
          <cell r="C1787">
            <v>21</v>
          </cell>
          <cell r="D1787">
            <v>808.26</v>
          </cell>
          <cell r="E1787">
            <v>16973.46</v>
          </cell>
          <cell r="F1787" t="str">
            <v>A3-S03</v>
          </cell>
          <cell r="G1787" t="str">
            <v>Side top rail - Đố hông trên</v>
          </cell>
          <cell r="H1787" t="str">
            <v>MDF Veneer</v>
          </cell>
          <cell r="I1787">
            <v>84</v>
          </cell>
        </row>
        <row r="1788">
          <cell r="A1788" t="str">
            <v>B552535/A</v>
          </cell>
          <cell r="B1788" t="str">
            <v>CZ641</v>
          </cell>
          <cell r="C1788">
            <v>21</v>
          </cell>
          <cell r="D1788">
            <v>808.26</v>
          </cell>
          <cell r="E1788">
            <v>16973.46</v>
          </cell>
          <cell r="F1788" t="str">
            <v>A3-S04</v>
          </cell>
          <cell r="G1788" t="str">
            <v>Vertical rail 1 - Đố đứng 1</v>
          </cell>
          <cell r="H1788" t="str">
            <v>MDF laminate</v>
          </cell>
          <cell r="I1788">
            <v>84</v>
          </cell>
        </row>
        <row r="1789">
          <cell r="A1789" t="str">
            <v>B552535/A</v>
          </cell>
          <cell r="B1789" t="str">
            <v>CZ641</v>
          </cell>
          <cell r="C1789">
            <v>21</v>
          </cell>
          <cell r="D1789">
            <v>808.26</v>
          </cell>
          <cell r="E1789">
            <v>16973.46</v>
          </cell>
          <cell r="F1789" t="str">
            <v>A3-S05</v>
          </cell>
          <cell r="G1789" t="str">
            <v>Slat Support  - Đỡ dạt giường</v>
          </cell>
          <cell r="H1789" t="str">
            <v>Wood US Poplar - Straight Edged, 1 COM - T32mm x W100mm Up x L1.8m Up</v>
          </cell>
          <cell r="I1789">
            <v>42</v>
          </cell>
        </row>
        <row r="1790">
          <cell r="A1790" t="str">
            <v>B552535/A</v>
          </cell>
          <cell r="B1790" t="str">
            <v>CZ641</v>
          </cell>
          <cell r="C1790">
            <v>21</v>
          </cell>
          <cell r="D1790">
            <v>808.26</v>
          </cell>
          <cell r="E1790">
            <v>16973.46</v>
          </cell>
          <cell r="F1790" t="str">
            <v>P01</v>
          </cell>
          <cell r="G1790" t="str">
            <v>Slat Support  - Đỡ dạt giường</v>
          </cell>
          <cell r="H1790" t="str">
            <v>Wood US Poplar - Straight Edged, 1 COM - T38mm x W100mm Up x L1.8m Up</v>
          </cell>
          <cell r="I1790">
            <v>42</v>
          </cell>
        </row>
        <row r="1791">
          <cell r="A1791" t="str">
            <v>B552535/A</v>
          </cell>
          <cell r="B1791" t="str">
            <v>CZ641</v>
          </cell>
          <cell r="C1791">
            <v>21</v>
          </cell>
          <cell r="D1791">
            <v>808.26</v>
          </cell>
          <cell r="E1791">
            <v>16973.46</v>
          </cell>
          <cell r="F1791" t="str">
            <v>P02</v>
          </cell>
          <cell r="G1791" t="str">
            <v>slat buy - dạt mua từ nhà cung</v>
          </cell>
          <cell r="H1791" t="str">
            <v>Slat buy</v>
          </cell>
          <cell r="I1791">
            <v>273</v>
          </cell>
        </row>
        <row r="1792">
          <cell r="A1792" t="str">
            <v>B557254/A</v>
          </cell>
          <cell r="B1792" t="str">
            <v>CZ641M191</v>
          </cell>
          <cell r="C1792">
            <v>24</v>
          </cell>
          <cell r="D1792">
            <v>808.26</v>
          </cell>
          <cell r="E1792">
            <v>19398.239999999998</v>
          </cell>
          <cell r="F1792" t="str">
            <v>A1-S01</v>
          </cell>
          <cell r="G1792" t="str">
            <v>Top rail - Đố nóc</v>
          </cell>
          <cell r="H1792" t="str">
            <v>Poplar 2 COM</v>
          </cell>
          <cell r="I1792">
            <v>24</v>
          </cell>
        </row>
        <row r="1793">
          <cell r="A1793" t="str">
            <v>B557254/A</v>
          </cell>
          <cell r="B1793" t="str">
            <v>CZ641M191</v>
          </cell>
          <cell r="C1793">
            <v>24</v>
          </cell>
          <cell r="D1793">
            <v>808.26</v>
          </cell>
          <cell r="E1793">
            <v>19398.239999999998</v>
          </cell>
          <cell r="F1793" t="str">
            <v>A1-S02</v>
          </cell>
          <cell r="G1793" t="str">
            <v>the post - trụ</v>
          </cell>
          <cell r="H1793" t="str">
            <v>Poplar 2 COM</v>
          </cell>
          <cell r="I1793">
            <v>48</v>
          </cell>
        </row>
        <row r="1794">
          <cell r="A1794" t="str">
            <v>B557254/A</v>
          </cell>
          <cell r="B1794" t="str">
            <v>CZ641M191</v>
          </cell>
          <cell r="C1794">
            <v>24</v>
          </cell>
          <cell r="D1794">
            <v>808.26</v>
          </cell>
          <cell r="E1794">
            <v>19398.239999999998</v>
          </cell>
          <cell r="F1794" t="str">
            <v>A1-S03</v>
          </cell>
          <cell r="G1794" t="str">
            <v>Head board panel  - Ván đầu giường</v>
          </cell>
          <cell r="H1794" t="str">
            <v>MDF Veneer</v>
          </cell>
          <cell r="I1794">
            <v>24</v>
          </cell>
        </row>
        <row r="1795">
          <cell r="A1795" t="str">
            <v>B557254/A</v>
          </cell>
          <cell r="B1795" t="str">
            <v>CZ641M191</v>
          </cell>
          <cell r="C1795">
            <v>24</v>
          </cell>
          <cell r="D1795">
            <v>808.26</v>
          </cell>
          <cell r="E1795">
            <v>19398.239999999998</v>
          </cell>
          <cell r="F1795" t="str">
            <v>A1-S08</v>
          </cell>
          <cell r="G1795" t="str">
            <v>Cleat - Bọ gỗ</v>
          </cell>
          <cell r="H1795" t="str">
            <v>Poplar off cut</v>
          </cell>
          <cell r="I1795">
            <v>96</v>
          </cell>
        </row>
        <row r="1796">
          <cell r="A1796" t="str">
            <v>B557254/A</v>
          </cell>
          <cell r="B1796" t="str">
            <v>CZ641M191</v>
          </cell>
          <cell r="C1796">
            <v>24</v>
          </cell>
          <cell r="D1796">
            <v>808.26</v>
          </cell>
          <cell r="E1796">
            <v>19398.239999999998</v>
          </cell>
          <cell r="F1796" t="str">
            <v>A1-S09</v>
          </cell>
          <cell r="G1796" t="str">
            <v>Bottom rail inside - Đố tiền đáy</v>
          </cell>
          <cell r="H1796" t="str">
            <v>Standard Wood - ALDER/ASPEN/LENGA/US POPLAR, 2 COM - T50 W120mm+ L2m+</v>
          </cell>
          <cell r="I1796">
            <v>24</v>
          </cell>
        </row>
        <row r="1797">
          <cell r="A1797" t="str">
            <v>B557254/A</v>
          </cell>
          <cell r="B1797" t="str">
            <v>CZ641M191</v>
          </cell>
          <cell r="C1797">
            <v>24</v>
          </cell>
          <cell r="D1797">
            <v>808.26</v>
          </cell>
          <cell r="E1797">
            <v>19398.239999999998</v>
          </cell>
          <cell r="F1797" t="str">
            <v>A1-S10</v>
          </cell>
          <cell r="G1797" t="str">
            <v>Vertical rail 1 - Đố đứng 1</v>
          </cell>
          <cell r="H1797" t="str">
            <v>Standard Wood - ALDER/ASPEN/LENGA/US POPLAR, 2 COM - T25 W120mm+ L2m+</v>
          </cell>
          <cell r="I1797">
            <v>24</v>
          </cell>
        </row>
        <row r="1798">
          <cell r="A1798" t="str">
            <v>B557254/A</v>
          </cell>
          <cell r="B1798" t="str">
            <v>CZ641M191</v>
          </cell>
          <cell r="C1798">
            <v>24</v>
          </cell>
          <cell r="D1798">
            <v>808.26</v>
          </cell>
          <cell r="E1798">
            <v>19398.239999999998</v>
          </cell>
          <cell r="F1798" t="str">
            <v>A2-S01</v>
          </cell>
          <cell r="G1798" t="str">
            <v>the post - trụ</v>
          </cell>
          <cell r="H1798" t="str">
            <v>Wood laminate</v>
          </cell>
          <cell r="I1798">
            <v>48</v>
          </cell>
        </row>
        <row r="1799">
          <cell r="A1799" t="str">
            <v>B557254/A</v>
          </cell>
          <cell r="B1799" t="str">
            <v>CZ641M191</v>
          </cell>
          <cell r="C1799">
            <v>24</v>
          </cell>
          <cell r="D1799">
            <v>808.26</v>
          </cell>
          <cell r="E1799">
            <v>19398.239999999998</v>
          </cell>
          <cell r="F1799" t="str">
            <v>A2-S02</v>
          </cell>
          <cell r="G1799" t="str">
            <v>Side Frame - Khung hông</v>
          </cell>
          <cell r="H1799" t="str">
            <v>Pre-Assembly</v>
          </cell>
          <cell r="I1799">
            <v>24</v>
          </cell>
        </row>
        <row r="1800">
          <cell r="A1800" t="str">
            <v>B557254/A</v>
          </cell>
          <cell r="B1800" t="str">
            <v>CZ641M191</v>
          </cell>
          <cell r="C1800">
            <v>24</v>
          </cell>
          <cell r="D1800">
            <v>808.26</v>
          </cell>
          <cell r="E1800">
            <v>19398.239999999998</v>
          </cell>
          <cell r="F1800" t="str">
            <v>A2-S02-1</v>
          </cell>
          <cell r="G1800" t="str">
            <v>Horizontal rail 1 - Đố ngang 1</v>
          </cell>
          <cell r="H1800" t="str">
            <v>Standard Wood - ALDER/ASPEN/LENGA/US POPLAR, 2 COM - T25 W120mm+ L2m+</v>
          </cell>
          <cell r="I1800">
            <v>48</v>
          </cell>
        </row>
        <row r="1801">
          <cell r="A1801" t="str">
            <v>B557254/A</v>
          </cell>
          <cell r="B1801" t="str">
            <v>CZ641M191</v>
          </cell>
          <cell r="C1801">
            <v>24</v>
          </cell>
          <cell r="D1801">
            <v>808.26</v>
          </cell>
          <cell r="E1801">
            <v>19398.239999999998</v>
          </cell>
          <cell r="F1801" t="str">
            <v>A2-S02-2</v>
          </cell>
          <cell r="G1801" t="str">
            <v>Vertical rail 1 - Đố đứng 1</v>
          </cell>
          <cell r="H1801" t="str">
            <v>Wood laminate</v>
          </cell>
          <cell r="I1801">
            <v>48</v>
          </cell>
        </row>
        <row r="1802">
          <cell r="A1802" t="str">
            <v>B557254/A</v>
          </cell>
          <cell r="B1802" t="str">
            <v>CZ641M191</v>
          </cell>
          <cell r="C1802">
            <v>24</v>
          </cell>
          <cell r="D1802">
            <v>808.26</v>
          </cell>
          <cell r="E1802">
            <v>19398.239999999998</v>
          </cell>
          <cell r="F1802" t="str">
            <v>A2-S02-3</v>
          </cell>
          <cell r="G1802" t="str">
            <v>Vertical rail 1 - Đố đứng 1</v>
          </cell>
          <cell r="H1802" t="str">
            <v>Standard Wood - ALDER/ASPEN/LENGA/US POPLAR, 2 COM - T50 W120mm+ L2m+</v>
          </cell>
          <cell r="I1802">
            <v>48</v>
          </cell>
        </row>
        <row r="1803">
          <cell r="A1803" t="str">
            <v>B557254/A</v>
          </cell>
          <cell r="B1803" t="str">
            <v>CZ641M191</v>
          </cell>
          <cell r="C1803">
            <v>24</v>
          </cell>
          <cell r="D1803">
            <v>808.26</v>
          </cell>
          <cell r="E1803">
            <v>19398.239999999998</v>
          </cell>
          <cell r="F1803" t="str">
            <v>A2-S02-4</v>
          </cell>
          <cell r="G1803" t="str">
            <v>Front top rail  - Đố tiền nóc</v>
          </cell>
          <cell r="H1803" t="str">
            <v>MDF Veneer</v>
          </cell>
          <cell r="I1803">
            <v>48</v>
          </cell>
        </row>
        <row r="1804">
          <cell r="A1804" t="str">
            <v>B557254/A</v>
          </cell>
          <cell r="B1804" t="str">
            <v>CZ641M191</v>
          </cell>
          <cell r="C1804">
            <v>24</v>
          </cell>
          <cell r="D1804">
            <v>808.26</v>
          </cell>
          <cell r="E1804">
            <v>19398.239999999998</v>
          </cell>
          <cell r="F1804" t="str">
            <v>A2-S03</v>
          </cell>
          <cell r="G1804" t="str">
            <v>Insert Wood - Gỗ chèn</v>
          </cell>
          <cell r="H1804" t="str">
            <v>Beech off cut</v>
          </cell>
          <cell r="I1804">
            <v>48</v>
          </cell>
        </row>
        <row r="1805">
          <cell r="A1805" t="str">
            <v>B557254/A</v>
          </cell>
          <cell r="B1805" t="str">
            <v>CZ641M191</v>
          </cell>
          <cell r="C1805">
            <v>24</v>
          </cell>
          <cell r="D1805">
            <v>808.26</v>
          </cell>
          <cell r="E1805">
            <v>19398.239999999998</v>
          </cell>
          <cell r="F1805" t="str">
            <v>A3</v>
          </cell>
          <cell r="G1805" t="str">
            <v xml:space="preserve">Side rail  - Đố hông </v>
          </cell>
          <cell r="H1805" t="str">
            <v>Pre-Assembly</v>
          </cell>
          <cell r="I1805">
            <v>48</v>
          </cell>
        </row>
        <row r="1806">
          <cell r="A1806" t="str">
            <v>B557254/A</v>
          </cell>
          <cell r="B1806" t="str">
            <v>CZ641M191</v>
          </cell>
          <cell r="C1806">
            <v>24</v>
          </cell>
          <cell r="D1806">
            <v>808.26</v>
          </cell>
          <cell r="E1806">
            <v>19398.239999999998</v>
          </cell>
          <cell r="F1806" t="str">
            <v>A3-S01</v>
          </cell>
          <cell r="G1806" t="str">
            <v xml:space="preserve">Side rail  - Đố hông </v>
          </cell>
          <cell r="H1806" t="str">
            <v>MDF - 18 x 1830 x 2440mm [CARB P2 Compliant]</v>
          </cell>
          <cell r="I1806">
            <v>96</v>
          </cell>
        </row>
        <row r="1807">
          <cell r="A1807" t="str">
            <v>B557254/A</v>
          </cell>
          <cell r="B1807" t="str">
            <v>CZ641M191</v>
          </cell>
          <cell r="C1807">
            <v>24</v>
          </cell>
          <cell r="D1807">
            <v>808.26</v>
          </cell>
          <cell r="E1807">
            <v>19398.239999999998</v>
          </cell>
          <cell r="F1807" t="str">
            <v>A3-S02</v>
          </cell>
          <cell r="G1807" t="str">
            <v>Vertical rail 1 - Đố đứng 1</v>
          </cell>
          <cell r="H1807" t="str">
            <v>Plywood off cut</v>
          </cell>
          <cell r="I1807">
            <v>192</v>
          </cell>
        </row>
        <row r="1808">
          <cell r="A1808" t="str">
            <v>B557254/A</v>
          </cell>
          <cell r="B1808" t="str">
            <v>CZ641M191</v>
          </cell>
          <cell r="C1808">
            <v>24</v>
          </cell>
          <cell r="D1808">
            <v>808.26</v>
          </cell>
          <cell r="E1808">
            <v>19398.239999999998</v>
          </cell>
          <cell r="F1808" t="str">
            <v>A3-S03</v>
          </cell>
          <cell r="G1808" t="str">
            <v>Side top rail - Đố hông trên</v>
          </cell>
          <cell r="H1808" t="str">
            <v>MDF Veneer</v>
          </cell>
          <cell r="I1808">
            <v>96</v>
          </cell>
        </row>
        <row r="1809">
          <cell r="A1809" t="str">
            <v>B557254/A</v>
          </cell>
          <cell r="B1809" t="str">
            <v>CZ641M191</v>
          </cell>
          <cell r="C1809">
            <v>24</v>
          </cell>
          <cell r="D1809">
            <v>808.26</v>
          </cell>
          <cell r="E1809">
            <v>19398.239999999998</v>
          </cell>
          <cell r="F1809" t="str">
            <v>A3-S04</v>
          </cell>
          <cell r="G1809" t="str">
            <v>Vertical rail 1 - Đố đứng 1</v>
          </cell>
          <cell r="H1809" t="str">
            <v>MDF laminate</v>
          </cell>
          <cell r="I1809">
            <v>96</v>
          </cell>
        </row>
        <row r="1810">
          <cell r="A1810" t="str">
            <v>B557254/A</v>
          </cell>
          <cell r="B1810" t="str">
            <v>CZ641M191</v>
          </cell>
          <cell r="C1810">
            <v>24</v>
          </cell>
          <cell r="D1810">
            <v>808.26</v>
          </cell>
          <cell r="E1810">
            <v>19398.239999999998</v>
          </cell>
          <cell r="F1810" t="str">
            <v>A3-S05</v>
          </cell>
          <cell r="G1810" t="str">
            <v>Slat Support  - Đỡ dạt giường</v>
          </cell>
          <cell r="H1810" t="str">
            <v>Wood US Poplar - Straight Edged, 1 COM - T32mm x W100mm Up x L1.8m Up</v>
          </cell>
          <cell r="I1810">
            <v>48</v>
          </cell>
        </row>
        <row r="1811">
          <cell r="A1811" t="str">
            <v>B557254/A</v>
          </cell>
          <cell r="B1811" t="str">
            <v>CZ641M191</v>
          </cell>
          <cell r="C1811">
            <v>24</v>
          </cell>
          <cell r="D1811">
            <v>808.26</v>
          </cell>
          <cell r="E1811">
            <v>19398.239999999998</v>
          </cell>
          <cell r="F1811" t="str">
            <v>P01</v>
          </cell>
          <cell r="G1811" t="str">
            <v>Slat Support  - Đỡ dạt giường</v>
          </cell>
          <cell r="H1811" t="str">
            <v>Wood US Poplar - Straight Edged, 1 COM - T38mm x W100mm Up x L1.8m Up</v>
          </cell>
          <cell r="I1811">
            <v>48</v>
          </cell>
        </row>
        <row r="1812">
          <cell r="A1812" t="str">
            <v>B557254/A</v>
          </cell>
          <cell r="B1812" t="str">
            <v>CZ641M191</v>
          </cell>
          <cell r="C1812">
            <v>24</v>
          </cell>
          <cell r="D1812">
            <v>808.26</v>
          </cell>
          <cell r="E1812">
            <v>19398.239999999998</v>
          </cell>
          <cell r="F1812" t="str">
            <v>P02</v>
          </cell>
          <cell r="G1812" t="str">
            <v>slat buy - dạt mua từ nhà cung</v>
          </cell>
          <cell r="H1812" t="str">
            <v>Slat buy</v>
          </cell>
          <cell r="I1812">
            <v>312</v>
          </cell>
        </row>
        <row r="1813">
          <cell r="A1813" t="str">
            <v>B557256/A</v>
          </cell>
          <cell r="B1813" t="str">
            <v>CZ642M09</v>
          </cell>
          <cell r="C1813">
            <v>17</v>
          </cell>
          <cell r="D1813">
            <v>808.26</v>
          </cell>
          <cell r="E1813">
            <v>13740.42</v>
          </cell>
          <cell r="F1813" t="str">
            <v>A1-S01</v>
          </cell>
          <cell r="G1813" t="str">
            <v>Top rail - Đố nóc</v>
          </cell>
          <cell r="H1813" t="str">
            <v>Poplar 2 COM</v>
          </cell>
          <cell r="I1813">
            <v>17</v>
          </cell>
        </row>
        <row r="1814">
          <cell r="A1814" t="str">
            <v>B557256/A</v>
          </cell>
          <cell r="B1814" t="str">
            <v>CZ642M09</v>
          </cell>
          <cell r="C1814">
            <v>17</v>
          </cell>
          <cell r="D1814">
            <v>808.26</v>
          </cell>
          <cell r="E1814">
            <v>13740.42</v>
          </cell>
          <cell r="F1814" t="str">
            <v>A1-S02</v>
          </cell>
          <cell r="G1814" t="str">
            <v>the post - trụ</v>
          </cell>
          <cell r="H1814" t="str">
            <v>Poplar 2 COM</v>
          </cell>
          <cell r="I1814">
            <v>34</v>
          </cell>
        </row>
        <row r="1815">
          <cell r="A1815" t="str">
            <v>B557256/A</v>
          </cell>
          <cell r="B1815" t="str">
            <v>CZ642M09</v>
          </cell>
          <cell r="C1815">
            <v>17</v>
          </cell>
          <cell r="D1815">
            <v>808.26</v>
          </cell>
          <cell r="E1815">
            <v>13740.42</v>
          </cell>
          <cell r="F1815" t="str">
            <v>A1-S03</v>
          </cell>
          <cell r="G1815" t="str">
            <v>Head board panel  - Ván đầu giường</v>
          </cell>
          <cell r="H1815" t="str">
            <v>MDF Veneer</v>
          </cell>
          <cell r="I1815">
            <v>17</v>
          </cell>
        </row>
        <row r="1816">
          <cell r="A1816" t="str">
            <v>B557256/A</v>
          </cell>
          <cell r="B1816" t="str">
            <v>CZ642M09</v>
          </cell>
          <cell r="C1816">
            <v>17</v>
          </cell>
          <cell r="D1816">
            <v>808.26</v>
          </cell>
          <cell r="E1816">
            <v>13740.42</v>
          </cell>
          <cell r="F1816" t="str">
            <v>A1-S03-1</v>
          </cell>
          <cell r="G1816" t="str">
            <v>Insert Wood - Gỗ chèn</v>
          </cell>
          <cell r="H1816" t="str">
            <v>Beech off cut</v>
          </cell>
          <cell r="I1816">
            <v>34</v>
          </cell>
        </row>
        <row r="1817">
          <cell r="A1817" t="str">
            <v>B557256/A</v>
          </cell>
          <cell r="B1817" t="str">
            <v>CZ642M09</v>
          </cell>
          <cell r="C1817">
            <v>17</v>
          </cell>
          <cell r="D1817">
            <v>808.26</v>
          </cell>
          <cell r="E1817">
            <v>13740.42</v>
          </cell>
          <cell r="F1817" t="str">
            <v>A1-S08</v>
          </cell>
          <cell r="G1817" t="str">
            <v xml:space="preserve">Panel - Ván </v>
          </cell>
          <cell r="H1817" t="str">
            <v>MDF Veneer</v>
          </cell>
          <cell r="I1817">
            <v>34</v>
          </cell>
        </row>
        <row r="1818">
          <cell r="A1818" t="str">
            <v>B557256/A</v>
          </cell>
          <cell r="B1818" t="str">
            <v>CZ642M09</v>
          </cell>
          <cell r="C1818">
            <v>17</v>
          </cell>
          <cell r="D1818">
            <v>808.26</v>
          </cell>
          <cell r="E1818">
            <v>13740.42</v>
          </cell>
          <cell r="F1818" t="str">
            <v>A1-S09</v>
          </cell>
          <cell r="G1818" t="str">
            <v>Bottom rail inside - Đố tiền đáy</v>
          </cell>
          <cell r="H1818" t="str">
            <v>Standard Wood - ALDER/ASPEN/LENGA/US POPLAR, 2 COM - T50 W120mm+ L2m+</v>
          </cell>
          <cell r="I1818">
            <v>17</v>
          </cell>
        </row>
        <row r="1819">
          <cell r="A1819" t="str">
            <v>B557256/A</v>
          </cell>
          <cell r="B1819" t="str">
            <v>CZ642M09</v>
          </cell>
          <cell r="C1819">
            <v>17</v>
          </cell>
          <cell r="D1819">
            <v>808.26</v>
          </cell>
          <cell r="E1819">
            <v>13740.42</v>
          </cell>
          <cell r="F1819" t="str">
            <v>A1-S10</v>
          </cell>
          <cell r="G1819" t="str">
            <v xml:space="preserve">Vertical panel  - ván đứng </v>
          </cell>
          <cell r="H1819" t="str">
            <v>Standard Wood - ALDER/ASPEN/LENGA/US POPLAR, 2 COM - T25 W120mm+ L2m+</v>
          </cell>
          <cell r="I1819">
            <v>17</v>
          </cell>
        </row>
        <row r="1820">
          <cell r="A1820" t="str">
            <v>B557256/A</v>
          </cell>
          <cell r="B1820" t="str">
            <v>CZ642M09</v>
          </cell>
          <cell r="C1820">
            <v>17</v>
          </cell>
          <cell r="D1820">
            <v>808.26</v>
          </cell>
          <cell r="E1820">
            <v>13740.42</v>
          </cell>
          <cell r="F1820" t="str">
            <v>A2-S01</v>
          </cell>
          <cell r="G1820" t="str">
            <v>the post - trụ</v>
          </cell>
          <cell r="H1820" t="str">
            <v>Wood laminate</v>
          </cell>
          <cell r="I1820">
            <v>34</v>
          </cell>
        </row>
        <row r="1821">
          <cell r="A1821" t="str">
            <v>B557256/A</v>
          </cell>
          <cell r="B1821" t="str">
            <v>CZ642M09</v>
          </cell>
          <cell r="C1821">
            <v>17</v>
          </cell>
          <cell r="D1821">
            <v>808.26</v>
          </cell>
          <cell r="E1821">
            <v>13740.42</v>
          </cell>
          <cell r="F1821" t="str">
            <v>A2-S02</v>
          </cell>
          <cell r="G1821" t="str">
            <v>Side Frame - Khung hông</v>
          </cell>
          <cell r="H1821" t="str">
            <v>Pre-Assembly</v>
          </cell>
          <cell r="I1821">
            <v>17</v>
          </cell>
        </row>
        <row r="1822">
          <cell r="A1822" t="str">
            <v>B557256/A</v>
          </cell>
          <cell r="B1822" t="str">
            <v>CZ642M09</v>
          </cell>
          <cell r="C1822">
            <v>17</v>
          </cell>
          <cell r="D1822">
            <v>808.26</v>
          </cell>
          <cell r="E1822">
            <v>13740.42</v>
          </cell>
          <cell r="F1822" t="str">
            <v>A2-S02-1</v>
          </cell>
          <cell r="G1822" t="str">
            <v>Horizontal rail 1 - Đố ngang 1</v>
          </cell>
          <cell r="H1822" t="str">
            <v>Standard Wood - ALDER/ASPEN/LENGA/US POPLAR, 2 COM - T25 W120mm+ L2m+</v>
          </cell>
          <cell r="I1822">
            <v>34</v>
          </cell>
        </row>
        <row r="1823">
          <cell r="A1823" t="str">
            <v>B557256/A</v>
          </cell>
          <cell r="B1823" t="str">
            <v>CZ642M09</v>
          </cell>
          <cell r="C1823">
            <v>17</v>
          </cell>
          <cell r="D1823">
            <v>808.26</v>
          </cell>
          <cell r="E1823">
            <v>13740.42</v>
          </cell>
          <cell r="F1823" t="str">
            <v>A2-S02-2</v>
          </cell>
          <cell r="G1823" t="str">
            <v>Vertical rail 1 - Đố đứng 1</v>
          </cell>
          <cell r="H1823" t="str">
            <v>Wood laminate</v>
          </cell>
          <cell r="I1823">
            <v>34</v>
          </cell>
        </row>
        <row r="1824">
          <cell r="A1824" t="str">
            <v>B557256/A</v>
          </cell>
          <cell r="B1824" t="str">
            <v>CZ642M09</v>
          </cell>
          <cell r="C1824">
            <v>17</v>
          </cell>
          <cell r="D1824">
            <v>808.26</v>
          </cell>
          <cell r="E1824">
            <v>13740.42</v>
          </cell>
          <cell r="F1824" t="str">
            <v>A2-S02-3</v>
          </cell>
          <cell r="G1824" t="str">
            <v>Vertical rail 1 - Đố đứng 1</v>
          </cell>
          <cell r="H1824" t="str">
            <v>Standard Wood - ALDER/ASPEN/LENGA/US POPLAR, 2 COM - T38 W120mm+ L2m+</v>
          </cell>
          <cell r="I1824">
            <v>34</v>
          </cell>
        </row>
        <row r="1825">
          <cell r="A1825" t="str">
            <v>B557256/A</v>
          </cell>
          <cell r="B1825" t="str">
            <v>CZ642M09</v>
          </cell>
          <cell r="C1825">
            <v>17</v>
          </cell>
          <cell r="D1825">
            <v>808.26</v>
          </cell>
          <cell r="E1825">
            <v>13740.42</v>
          </cell>
          <cell r="F1825" t="str">
            <v>A2-S02-4</v>
          </cell>
          <cell r="G1825" t="str">
            <v>Back panel - Ván hậu</v>
          </cell>
          <cell r="H1825" t="str">
            <v>MDF Veneer</v>
          </cell>
          <cell r="I1825">
            <v>34</v>
          </cell>
        </row>
        <row r="1826">
          <cell r="A1826" t="str">
            <v>B557256/A</v>
          </cell>
          <cell r="B1826" t="str">
            <v>CZ642M09</v>
          </cell>
          <cell r="C1826">
            <v>17</v>
          </cell>
          <cell r="D1826">
            <v>808.26</v>
          </cell>
          <cell r="E1826">
            <v>13740.42</v>
          </cell>
          <cell r="F1826" t="str">
            <v>A2-S03</v>
          </cell>
          <cell r="G1826" t="str">
            <v>Spline - Lưỡi gà</v>
          </cell>
          <cell r="H1826" t="str">
            <v>Beech off cut</v>
          </cell>
          <cell r="I1826">
            <v>34</v>
          </cell>
        </row>
        <row r="1827">
          <cell r="A1827" t="str">
            <v>B557256/A</v>
          </cell>
          <cell r="B1827" t="str">
            <v>CZ642M09</v>
          </cell>
          <cell r="C1827">
            <v>17</v>
          </cell>
          <cell r="D1827">
            <v>808.26</v>
          </cell>
          <cell r="E1827">
            <v>13740.42</v>
          </cell>
          <cell r="F1827" t="str">
            <v>A3</v>
          </cell>
          <cell r="G1827" t="str">
            <v xml:space="preserve">Side rail  - Đố hông </v>
          </cell>
          <cell r="H1827" t="str">
            <v>Pre-Assembly</v>
          </cell>
          <cell r="I1827">
            <v>34</v>
          </cell>
        </row>
        <row r="1828">
          <cell r="A1828" t="str">
            <v>B557256/A</v>
          </cell>
          <cell r="B1828" t="str">
            <v>CZ642M09</v>
          </cell>
          <cell r="C1828">
            <v>17</v>
          </cell>
          <cell r="D1828">
            <v>808.26</v>
          </cell>
          <cell r="E1828">
            <v>13740.42</v>
          </cell>
          <cell r="F1828" t="str">
            <v>A3-S01</v>
          </cell>
          <cell r="G1828" t="str">
            <v xml:space="preserve">Side rail  - Đố hông </v>
          </cell>
          <cell r="H1828" t="str">
            <v>MDF - 18 x 1830 x 2440mm [CARB P2 Compliant]</v>
          </cell>
          <cell r="I1828">
            <v>68</v>
          </cell>
        </row>
        <row r="1829">
          <cell r="A1829" t="str">
            <v>B557256/A</v>
          </cell>
          <cell r="B1829" t="str">
            <v>CZ642M09</v>
          </cell>
          <cell r="C1829">
            <v>17</v>
          </cell>
          <cell r="D1829">
            <v>808.26</v>
          </cell>
          <cell r="E1829">
            <v>13740.42</v>
          </cell>
          <cell r="F1829" t="str">
            <v>A3-S02</v>
          </cell>
          <cell r="G1829" t="str">
            <v>Vertical rail 1 - Đố đứng 1</v>
          </cell>
          <cell r="H1829" t="str">
            <v>Plywood off cut</v>
          </cell>
          <cell r="I1829">
            <v>136</v>
          </cell>
        </row>
        <row r="1830">
          <cell r="A1830" t="str">
            <v>B557256/A</v>
          </cell>
          <cell r="B1830" t="str">
            <v>CZ642M09</v>
          </cell>
          <cell r="C1830">
            <v>17</v>
          </cell>
          <cell r="D1830">
            <v>808.26</v>
          </cell>
          <cell r="E1830">
            <v>13740.42</v>
          </cell>
          <cell r="F1830" t="str">
            <v>A3-S03</v>
          </cell>
          <cell r="G1830" t="str">
            <v>Side top rail - Đố hông trên</v>
          </cell>
          <cell r="H1830" t="str">
            <v>MDF Veneer</v>
          </cell>
          <cell r="I1830">
            <v>68</v>
          </cell>
        </row>
        <row r="1831">
          <cell r="A1831" t="str">
            <v>B557256/A</v>
          </cell>
          <cell r="B1831" t="str">
            <v>CZ642M09</v>
          </cell>
          <cell r="C1831">
            <v>17</v>
          </cell>
          <cell r="D1831">
            <v>808.26</v>
          </cell>
          <cell r="E1831">
            <v>13740.42</v>
          </cell>
          <cell r="F1831" t="str">
            <v>A3-S04</v>
          </cell>
          <cell r="G1831" t="str">
            <v>Vertical rail 1 - Đố đứng 1</v>
          </cell>
          <cell r="H1831" t="str">
            <v>MDF laminate</v>
          </cell>
          <cell r="I1831">
            <v>68</v>
          </cell>
        </row>
        <row r="1832">
          <cell r="A1832" t="str">
            <v>B557256/A</v>
          </cell>
          <cell r="B1832" t="str">
            <v>CZ642M09</v>
          </cell>
          <cell r="C1832">
            <v>17</v>
          </cell>
          <cell r="D1832">
            <v>808.26</v>
          </cell>
          <cell r="E1832">
            <v>13740.42</v>
          </cell>
          <cell r="F1832" t="str">
            <v>A3-S05</v>
          </cell>
          <cell r="G1832" t="str">
            <v>Slat Support  - Đỡ dạt giường</v>
          </cell>
          <cell r="H1832" t="str">
            <v>Wood US Poplar - Straight Edged, 1 COM - T32mm x W100mm Up x L1.8m Up</v>
          </cell>
          <cell r="I1832">
            <v>34</v>
          </cell>
        </row>
        <row r="1833">
          <cell r="A1833" t="str">
            <v>B557256/A</v>
          </cell>
          <cell r="B1833" t="str">
            <v>CZ642M09</v>
          </cell>
          <cell r="C1833">
            <v>17</v>
          </cell>
          <cell r="D1833">
            <v>808.26</v>
          </cell>
          <cell r="E1833">
            <v>13740.42</v>
          </cell>
          <cell r="F1833" t="str">
            <v>P01</v>
          </cell>
          <cell r="G1833" t="str">
            <v>Slat Support  - Đỡ dạt giường</v>
          </cell>
          <cell r="H1833" t="str">
            <v>Wood US Poplar - Straight Edged, 1 COM - T50mm x W100mm Up x L1.8m Up</v>
          </cell>
          <cell r="I1833">
            <v>34</v>
          </cell>
        </row>
        <row r="1834">
          <cell r="A1834" t="str">
            <v>B557256/A</v>
          </cell>
          <cell r="B1834" t="str">
            <v>CZ642M09</v>
          </cell>
          <cell r="C1834">
            <v>17</v>
          </cell>
          <cell r="D1834">
            <v>808.26</v>
          </cell>
          <cell r="E1834">
            <v>13740.42</v>
          </cell>
          <cell r="F1834" t="str">
            <v>P02</v>
          </cell>
          <cell r="G1834" t="str">
            <v>slat buy - dạt mua từ nhà cung</v>
          </cell>
          <cell r="H1834" t="str">
            <v>Slat buy</v>
          </cell>
          <cell r="I1834">
            <v>221</v>
          </cell>
        </row>
        <row r="1835">
          <cell r="A1835" t="str">
            <v>B557992/A</v>
          </cell>
          <cell r="B1835" t="str">
            <v>CZ642M191</v>
          </cell>
          <cell r="C1835">
            <v>3</v>
          </cell>
          <cell r="D1835">
            <v>808.26</v>
          </cell>
          <cell r="E1835">
            <v>2424.7799999999997</v>
          </cell>
          <cell r="F1835" t="str">
            <v>A1-S01</v>
          </cell>
          <cell r="G1835" t="str">
            <v>Top rail - Đố nóc</v>
          </cell>
          <cell r="H1835" t="str">
            <v>Poplar 2 COM</v>
          </cell>
          <cell r="I1835">
            <v>3</v>
          </cell>
        </row>
        <row r="1836">
          <cell r="A1836" t="str">
            <v>B557992/A</v>
          </cell>
          <cell r="B1836" t="str">
            <v>CZ642M191</v>
          </cell>
          <cell r="C1836">
            <v>3</v>
          </cell>
          <cell r="D1836">
            <v>808.26</v>
          </cell>
          <cell r="E1836">
            <v>2424.7799999999997</v>
          </cell>
          <cell r="F1836" t="str">
            <v>A1-S02</v>
          </cell>
          <cell r="G1836" t="str">
            <v>the post - trụ</v>
          </cell>
          <cell r="H1836" t="str">
            <v>Poplar 2 COM</v>
          </cell>
          <cell r="I1836">
            <v>6</v>
          </cell>
        </row>
        <row r="1837">
          <cell r="A1837" t="str">
            <v>B557992/A</v>
          </cell>
          <cell r="B1837" t="str">
            <v>CZ642M191</v>
          </cell>
          <cell r="C1837">
            <v>3</v>
          </cell>
          <cell r="D1837">
            <v>808.26</v>
          </cell>
          <cell r="E1837">
            <v>2424.7799999999997</v>
          </cell>
          <cell r="F1837" t="str">
            <v>A1-S03</v>
          </cell>
          <cell r="G1837" t="str">
            <v>Head board panel  - Ván đầu giường</v>
          </cell>
          <cell r="H1837" t="str">
            <v>MDF Veneer</v>
          </cell>
          <cell r="I1837">
            <v>3</v>
          </cell>
        </row>
        <row r="1838">
          <cell r="A1838" t="str">
            <v>B557992/A</v>
          </cell>
          <cell r="B1838" t="str">
            <v>CZ642M191</v>
          </cell>
          <cell r="C1838">
            <v>3</v>
          </cell>
          <cell r="D1838">
            <v>808.26</v>
          </cell>
          <cell r="E1838">
            <v>2424.7799999999997</v>
          </cell>
          <cell r="F1838" t="str">
            <v>A1-S03-1</v>
          </cell>
          <cell r="G1838" t="str">
            <v>Insert Wood - Gỗ chèn</v>
          </cell>
          <cell r="H1838" t="str">
            <v>Beech off cut</v>
          </cell>
          <cell r="I1838">
            <v>6</v>
          </cell>
        </row>
        <row r="1839">
          <cell r="A1839" t="str">
            <v>B557992/A</v>
          </cell>
          <cell r="B1839" t="str">
            <v>CZ642M191</v>
          </cell>
          <cell r="C1839">
            <v>3</v>
          </cell>
          <cell r="D1839">
            <v>808.26</v>
          </cell>
          <cell r="E1839">
            <v>2424.7799999999997</v>
          </cell>
          <cell r="F1839" t="str">
            <v>A1-S08</v>
          </cell>
          <cell r="G1839" t="str">
            <v xml:space="preserve">Panel - Ván </v>
          </cell>
          <cell r="H1839" t="str">
            <v>MDF Veneer</v>
          </cell>
          <cell r="I1839">
            <v>6</v>
          </cell>
        </row>
        <row r="1840">
          <cell r="A1840" t="str">
            <v>B557992/A</v>
          </cell>
          <cell r="B1840" t="str">
            <v>CZ642M191</v>
          </cell>
          <cell r="C1840">
            <v>3</v>
          </cell>
          <cell r="D1840">
            <v>808.26</v>
          </cell>
          <cell r="E1840">
            <v>2424.7799999999997</v>
          </cell>
          <cell r="F1840" t="str">
            <v>A1-S09</v>
          </cell>
          <cell r="G1840" t="str">
            <v>Bottom rail inside - Đố tiền đáy</v>
          </cell>
          <cell r="H1840" t="str">
            <v>Standard Wood - ALDER/ASPEN/LENGA/US POPLAR, 2 COM - T50 W120mm+ L2m+</v>
          </cell>
          <cell r="I1840">
            <v>3</v>
          </cell>
        </row>
        <row r="1841">
          <cell r="A1841" t="str">
            <v>B557992/A</v>
          </cell>
          <cell r="B1841" t="str">
            <v>CZ642M191</v>
          </cell>
          <cell r="C1841">
            <v>3</v>
          </cell>
          <cell r="D1841">
            <v>808.26</v>
          </cell>
          <cell r="E1841">
            <v>2424.7799999999997</v>
          </cell>
          <cell r="F1841" t="str">
            <v>A1-S10</v>
          </cell>
          <cell r="G1841" t="str">
            <v xml:space="preserve">Vertical panel  - ván đứng </v>
          </cell>
          <cell r="H1841" t="str">
            <v>Standard Wood - ALDER/ASPEN/LENGA/US POPLAR, 2 COM - T25 W120mm+ L2m+</v>
          </cell>
          <cell r="I1841">
            <v>3</v>
          </cell>
        </row>
        <row r="1842">
          <cell r="A1842" t="str">
            <v>B557992/A</v>
          </cell>
          <cell r="B1842" t="str">
            <v>CZ642M191</v>
          </cell>
          <cell r="C1842">
            <v>3</v>
          </cell>
          <cell r="D1842">
            <v>808.26</v>
          </cell>
          <cell r="E1842">
            <v>2424.7799999999997</v>
          </cell>
          <cell r="F1842" t="str">
            <v>A2-S01</v>
          </cell>
          <cell r="G1842" t="str">
            <v>the post - trụ</v>
          </cell>
          <cell r="H1842" t="str">
            <v>Wood laminate</v>
          </cell>
          <cell r="I1842">
            <v>6</v>
          </cell>
        </row>
        <row r="1843">
          <cell r="A1843" t="str">
            <v>B557992/A</v>
          </cell>
          <cell r="B1843" t="str">
            <v>CZ642M191</v>
          </cell>
          <cell r="C1843">
            <v>3</v>
          </cell>
          <cell r="D1843">
            <v>808.26</v>
          </cell>
          <cell r="E1843">
            <v>2424.7799999999997</v>
          </cell>
          <cell r="F1843" t="str">
            <v>A2-S02</v>
          </cell>
          <cell r="G1843" t="str">
            <v>Side Frame - Khung hông</v>
          </cell>
          <cell r="H1843" t="str">
            <v>Pre-Assembly</v>
          </cell>
          <cell r="I1843">
            <v>3</v>
          </cell>
        </row>
        <row r="1844">
          <cell r="A1844" t="str">
            <v>B557992/A</v>
          </cell>
          <cell r="B1844" t="str">
            <v>CZ642M191</v>
          </cell>
          <cell r="C1844">
            <v>3</v>
          </cell>
          <cell r="D1844">
            <v>808.26</v>
          </cell>
          <cell r="E1844">
            <v>2424.7799999999997</v>
          </cell>
          <cell r="F1844" t="str">
            <v>A2-S02-1</v>
          </cell>
          <cell r="G1844" t="str">
            <v>Horizontal rail 1 - Đố ngang 1</v>
          </cell>
          <cell r="H1844" t="str">
            <v>Standard Wood - ALDER/ASPEN/LENGA/US POPLAR, 2 COM - T25 W120mm+ L2m+</v>
          </cell>
          <cell r="I1844">
            <v>6</v>
          </cell>
        </row>
        <row r="1845">
          <cell r="A1845" t="str">
            <v>B557992/A</v>
          </cell>
          <cell r="B1845" t="str">
            <v>CZ642M191</v>
          </cell>
          <cell r="C1845">
            <v>3</v>
          </cell>
          <cell r="D1845">
            <v>808.26</v>
          </cell>
          <cell r="E1845">
            <v>2424.7799999999997</v>
          </cell>
          <cell r="F1845" t="str">
            <v>A2-S02-2</v>
          </cell>
          <cell r="G1845" t="str">
            <v>Vertical rail 1 - Đố đứng 1</v>
          </cell>
          <cell r="H1845" t="str">
            <v>Wood laminate</v>
          </cell>
          <cell r="I1845">
            <v>6</v>
          </cell>
        </row>
        <row r="1846">
          <cell r="A1846" t="str">
            <v>B557992/A</v>
          </cell>
          <cell r="B1846" t="str">
            <v>CZ642M191</v>
          </cell>
          <cell r="C1846">
            <v>3</v>
          </cell>
          <cell r="D1846">
            <v>808.26</v>
          </cell>
          <cell r="E1846">
            <v>2424.7799999999997</v>
          </cell>
          <cell r="F1846" t="str">
            <v>A2-S02-3</v>
          </cell>
          <cell r="G1846" t="str">
            <v>Vertical rail 1 - Đố đứng 1</v>
          </cell>
          <cell r="H1846" t="str">
            <v>Standard Wood - ALDER/ASPEN/LENGA/US POPLAR, 2 COM - T38 W120mm+ L2m+</v>
          </cell>
          <cell r="I1846">
            <v>6</v>
          </cell>
        </row>
        <row r="1847">
          <cell r="A1847" t="str">
            <v>B557992/A</v>
          </cell>
          <cell r="B1847" t="str">
            <v>CZ642M191</v>
          </cell>
          <cell r="C1847">
            <v>3</v>
          </cell>
          <cell r="D1847">
            <v>808.26</v>
          </cell>
          <cell r="E1847">
            <v>2424.7799999999997</v>
          </cell>
          <cell r="F1847" t="str">
            <v>A2-S02-4</v>
          </cell>
          <cell r="G1847" t="str">
            <v>Back panel - Ván hậu</v>
          </cell>
          <cell r="H1847" t="str">
            <v>MDF Veneer</v>
          </cell>
          <cell r="I1847">
            <v>6</v>
          </cell>
        </row>
        <row r="1848">
          <cell r="A1848" t="str">
            <v>B557992/A</v>
          </cell>
          <cell r="B1848" t="str">
            <v>CZ642M191</v>
          </cell>
          <cell r="C1848">
            <v>3</v>
          </cell>
          <cell r="D1848">
            <v>808.26</v>
          </cell>
          <cell r="E1848">
            <v>2424.7799999999997</v>
          </cell>
          <cell r="F1848" t="str">
            <v>A2-S03</v>
          </cell>
          <cell r="G1848" t="str">
            <v>Spline - Lưỡi gà</v>
          </cell>
          <cell r="H1848" t="str">
            <v>Beech off cut</v>
          </cell>
          <cell r="I1848">
            <v>6</v>
          </cell>
        </row>
        <row r="1849">
          <cell r="A1849" t="str">
            <v>B557992/A</v>
          </cell>
          <cell r="B1849" t="str">
            <v>CZ642M191</v>
          </cell>
          <cell r="C1849">
            <v>3</v>
          </cell>
          <cell r="D1849">
            <v>808.26</v>
          </cell>
          <cell r="E1849">
            <v>2424.7799999999997</v>
          </cell>
          <cell r="F1849" t="str">
            <v>A3</v>
          </cell>
          <cell r="G1849" t="str">
            <v xml:space="preserve">Side rail  - Đố hông </v>
          </cell>
          <cell r="H1849" t="str">
            <v>Pre-Assembly</v>
          </cell>
          <cell r="I1849">
            <v>6</v>
          </cell>
        </row>
        <row r="1850">
          <cell r="A1850" t="str">
            <v>B557992/A</v>
          </cell>
          <cell r="B1850" t="str">
            <v>CZ642M191</v>
          </cell>
          <cell r="C1850">
            <v>3</v>
          </cell>
          <cell r="D1850">
            <v>808.26</v>
          </cell>
          <cell r="E1850">
            <v>2424.7799999999997</v>
          </cell>
          <cell r="F1850" t="str">
            <v>A3-S01</v>
          </cell>
          <cell r="G1850" t="str">
            <v xml:space="preserve">Side rail  - Đố hông </v>
          </cell>
          <cell r="H1850" t="str">
            <v>MDF - 18 x 1830 x 2440mm [CARB P2 Compliant]</v>
          </cell>
          <cell r="I1850">
            <v>12</v>
          </cell>
        </row>
        <row r="1851">
          <cell r="A1851" t="str">
            <v>B557992/A</v>
          </cell>
          <cell r="B1851" t="str">
            <v>CZ642M191</v>
          </cell>
          <cell r="C1851">
            <v>3</v>
          </cell>
          <cell r="D1851">
            <v>808.26</v>
          </cell>
          <cell r="E1851">
            <v>2424.7799999999997</v>
          </cell>
          <cell r="F1851" t="str">
            <v>A3-S02</v>
          </cell>
          <cell r="G1851" t="str">
            <v>Vertical rail 1 - Đố đứng 1</v>
          </cell>
          <cell r="H1851" t="str">
            <v>Plywood off cut</v>
          </cell>
          <cell r="I1851">
            <v>24</v>
          </cell>
        </row>
        <row r="1852">
          <cell r="A1852" t="str">
            <v>B557992/A</v>
          </cell>
          <cell r="B1852" t="str">
            <v>CZ642M191</v>
          </cell>
          <cell r="C1852">
            <v>3</v>
          </cell>
          <cell r="D1852">
            <v>808.26</v>
          </cell>
          <cell r="E1852">
            <v>2424.7799999999997</v>
          </cell>
          <cell r="F1852" t="str">
            <v>A3-S03</v>
          </cell>
          <cell r="G1852" t="str">
            <v>Side top rail - Đố hông trên</v>
          </cell>
          <cell r="H1852" t="str">
            <v>MDF Veneer</v>
          </cell>
          <cell r="I1852">
            <v>12</v>
          </cell>
        </row>
        <row r="1853">
          <cell r="A1853" t="str">
            <v>B557992/A</v>
          </cell>
          <cell r="B1853" t="str">
            <v>CZ642M191</v>
          </cell>
          <cell r="C1853">
            <v>3</v>
          </cell>
          <cell r="D1853">
            <v>808.26</v>
          </cell>
          <cell r="E1853">
            <v>2424.7799999999997</v>
          </cell>
          <cell r="F1853" t="str">
            <v>A3-S04</v>
          </cell>
          <cell r="G1853" t="str">
            <v>Vertical rail 1 - Đố đứng 1</v>
          </cell>
          <cell r="H1853" t="str">
            <v>MDF laminate</v>
          </cell>
          <cell r="I1853">
            <v>12</v>
          </cell>
        </row>
        <row r="1854">
          <cell r="A1854" t="str">
            <v>B557992/A</v>
          </cell>
          <cell r="B1854" t="str">
            <v>CZ642M191</v>
          </cell>
          <cell r="C1854">
            <v>3</v>
          </cell>
          <cell r="D1854">
            <v>808.26</v>
          </cell>
          <cell r="E1854">
            <v>2424.7799999999997</v>
          </cell>
          <cell r="F1854" t="str">
            <v>A3-S05</v>
          </cell>
          <cell r="G1854" t="str">
            <v>Slat Support  - Đỡ dạt giường</v>
          </cell>
          <cell r="H1854" t="str">
            <v>Wood US Poplar - Straight Edged, 1 COM - T32mm x W100mm Up x L1.8m Up</v>
          </cell>
          <cell r="I1854">
            <v>6</v>
          </cell>
        </row>
        <row r="1855">
          <cell r="A1855" t="str">
            <v>B557992/A</v>
          </cell>
          <cell r="B1855" t="str">
            <v>CZ642M191</v>
          </cell>
          <cell r="C1855">
            <v>3</v>
          </cell>
          <cell r="D1855">
            <v>808.26</v>
          </cell>
          <cell r="E1855">
            <v>2424.7799999999997</v>
          </cell>
          <cell r="F1855" t="str">
            <v>P01</v>
          </cell>
          <cell r="G1855" t="str">
            <v>Slat Support  - Đỡ dạt giường</v>
          </cell>
          <cell r="H1855" t="str">
            <v>Wood US Poplar - Straight Edged, 1 COM - T50mm x W100mm Up x L1.8m Up</v>
          </cell>
          <cell r="I1855">
            <v>6</v>
          </cell>
        </row>
        <row r="1856">
          <cell r="A1856" t="str">
            <v>B557992/A</v>
          </cell>
          <cell r="B1856" t="str">
            <v>CZ642M191</v>
          </cell>
          <cell r="C1856">
            <v>3</v>
          </cell>
          <cell r="D1856">
            <v>808.26</v>
          </cell>
          <cell r="E1856">
            <v>2424.7799999999997</v>
          </cell>
          <cell r="F1856" t="str">
            <v>P02</v>
          </cell>
          <cell r="G1856" t="str">
            <v>slat buy - dạt mua từ nhà cung</v>
          </cell>
          <cell r="H1856" t="str">
            <v>Slat buy</v>
          </cell>
          <cell r="I1856">
            <v>39</v>
          </cell>
        </row>
        <row r="1857">
          <cell r="A1857" t="str">
            <v>B558275/A</v>
          </cell>
          <cell r="B1857" t="str">
            <v>CZ823NM409</v>
          </cell>
          <cell r="C1857">
            <v>5</v>
          </cell>
          <cell r="D1857">
            <v>1884.9</v>
          </cell>
          <cell r="E1857">
            <v>9424.5</v>
          </cell>
          <cell r="F1857" t="str">
            <v>A1.A</v>
          </cell>
          <cell r="G1857" t="str">
            <v xml:space="preserve">Panel - Ván </v>
          </cell>
          <cell r="H1857" t="str">
            <v>Wd+MDF+VN</v>
          </cell>
          <cell r="I1857">
            <v>5</v>
          </cell>
        </row>
        <row r="1858">
          <cell r="A1858" t="str">
            <v>B558275/A</v>
          </cell>
          <cell r="B1858" t="str">
            <v>CZ823NM409</v>
          </cell>
          <cell r="C1858">
            <v>5</v>
          </cell>
          <cell r="D1858">
            <v>1884.9</v>
          </cell>
          <cell r="E1858">
            <v>9424.5</v>
          </cell>
          <cell r="F1858" t="str">
            <v>A1-1</v>
          </cell>
          <cell r="G1858" t="str">
            <v>Insert Wood - Gỗ chèn</v>
          </cell>
          <cell r="H1858" t="str">
            <v>Wood White Oak - Straight/Waving Edged, 1 COM - T25mm x W100mm Up x L1.8m Up</v>
          </cell>
          <cell r="I1858">
            <v>50</v>
          </cell>
        </row>
        <row r="1859">
          <cell r="A1859" t="str">
            <v>B558275/A</v>
          </cell>
          <cell r="B1859" t="str">
            <v>CZ823NM409</v>
          </cell>
          <cell r="C1859">
            <v>5</v>
          </cell>
          <cell r="D1859">
            <v>1884.9</v>
          </cell>
          <cell r="E1859">
            <v>9424.5</v>
          </cell>
          <cell r="F1859" t="str">
            <v>A1-S1</v>
          </cell>
          <cell r="G1859" t="str">
            <v xml:space="preserve">Drawer front - Mặt hộc kéo </v>
          </cell>
          <cell r="H1859" t="str">
            <v>Wd+MDF+VN</v>
          </cell>
          <cell r="I1859">
            <v>10</v>
          </cell>
        </row>
        <row r="1860">
          <cell r="A1860" t="str">
            <v>B558275/A</v>
          </cell>
          <cell r="B1860" t="str">
            <v>CZ823NM409</v>
          </cell>
          <cell r="C1860">
            <v>5</v>
          </cell>
          <cell r="D1860">
            <v>1884.9</v>
          </cell>
          <cell r="E1860">
            <v>9424.5</v>
          </cell>
          <cell r="F1860" t="str">
            <v>A1-S2</v>
          </cell>
          <cell r="G1860" t="str">
            <v xml:space="preserve">Drawer front 1 - Mặt hộc kéo </v>
          </cell>
          <cell r="H1860" t="str">
            <v>Wd+VN</v>
          </cell>
          <cell r="I1860">
            <v>10</v>
          </cell>
        </row>
        <row r="1861">
          <cell r="A1861" t="str">
            <v>B558275/A</v>
          </cell>
          <cell r="B1861" t="str">
            <v>CZ823NM409</v>
          </cell>
          <cell r="C1861">
            <v>5</v>
          </cell>
          <cell r="D1861">
            <v>1884.9</v>
          </cell>
          <cell r="E1861">
            <v>9424.5</v>
          </cell>
          <cell r="F1861" t="str">
            <v>A1-S3</v>
          </cell>
          <cell r="G1861" t="str">
            <v>Drawer side - Hông hộc kéo</v>
          </cell>
          <cell r="H1861" t="str">
            <v>MDF Veneer</v>
          </cell>
          <cell r="I1861">
            <v>20</v>
          </cell>
        </row>
        <row r="1862">
          <cell r="A1862" t="str">
            <v>B558275/A</v>
          </cell>
          <cell r="B1862" t="str">
            <v>CZ823NM409</v>
          </cell>
          <cell r="C1862">
            <v>5</v>
          </cell>
          <cell r="D1862">
            <v>1884.9</v>
          </cell>
          <cell r="E1862">
            <v>9424.5</v>
          </cell>
          <cell r="F1862" t="str">
            <v>A1-S4</v>
          </cell>
          <cell r="G1862" t="str">
            <v>Drawer back - Hậu hộc kéo</v>
          </cell>
          <cell r="H1862" t="str">
            <v>Wd+VN</v>
          </cell>
          <cell r="I1862">
            <v>10</v>
          </cell>
        </row>
        <row r="1863">
          <cell r="A1863" t="str">
            <v>B558275/A</v>
          </cell>
          <cell r="B1863" t="str">
            <v>CZ823NM409</v>
          </cell>
          <cell r="C1863">
            <v>5</v>
          </cell>
          <cell r="D1863">
            <v>1884.9</v>
          </cell>
          <cell r="E1863">
            <v>9424.5</v>
          </cell>
          <cell r="F1863" t="str">
            <v>A1-S5</v>
          </cell>
          <cell r="G1863" t="str">
            <v>Drawer bottom  - Đáy hộc kéo</v>
          </cell>
          <cell r="H1863" t="str">
            <v>MDF Veneer</v>
          </cell>
          <cell r="I1863">
            <v>50</v>
          </cell>
        </row>
        <row r="1864">
          <cell r="A1864" t="str">
            <v>B558275/A</v>
          </cell>
          <cell r="B1864" t="str">
            <v>CZ823NM409</v>
          </cell>
          <cell r="C1864">
            <v>5</v>
          </cell>
          <cell r="D1864">
            <v>1884.9</v>
          </cell>
          <cell r="E1864">
            <v>9424.5</v>
          </cell>
          <cell r="F1864" t="str">
            <v>A1-S6</v>
          </cell>
          <cell r="G1864" t="str">
            <v>cleat support under drawer - Đỡ đáy hộc kéo</v>
          </cell>
          <cell r="H1864" t="str">
            <v>Plywood LVD - 12 x 1220 x 2440mm, Bleached Poplar Veneer Both Sides [CARB P2 Compliant]</v>
          </cell>
          <cell r="I1864">
            <v>100</v>
          </cell>
        </row>
        <row r="1865">
          <cell r="A1865" t="str">
            <v>B558275/A</v>
          </cell>
          <cell r="B1865" t="str">
            <v>CZ823NM409</v>
          </cell>
          <cell r="C1865">
            <v>5</v>
          </cell>
          <cell r="D1865">
            <v>1884.9</v>
          </cell>
          <cell r="E1865">
            <v>9424.5</v>
          </cell>
          <cell r="F1865" t="str">
            <v>A2.A</v>
          </cell>
          <cell r="G1865" t="str">
            <v xml:space="preserve">Panel - Ván </v>
          </cell>
          <cell r="H1865" t="str">
            <v>MDF Veneer</v>
          </cell>
          <cell r="I1865">
            <v>5</v>
          </cell>
        </row>
        <row r="1866">
          <cell r="A1866" t="str">
            <v>B558275/A</v>
          </cell>
          <cell r="B1866" t="str">
            <v>CZ823NM409</v>
          </cell>
          <cell r="C1866">
            <v>5</v>
          </cell>
          <cell r="D1866">
            <v>1884.9</v>
          </cell>
          <cell r="E1866">
            <v>9424.5</v>
          </cell>
          <cell r="F1866" t="str">
            <v>A2-S1</v>
          </cell>
          <cell r="G1866" t="str">
            <v xml:space="preserve">Drawer front - Mặt hộc kéo </v>
          </cell>
          <cell r="H1866" t="str">
            <v>Wd+MDF+VN</v>
          </cell>
          <cell r="I1866">
            <v>10</v>
          </cell>
        </row>
        <row r="1867">
          <cell r="A1867" t="str">
            <v>B558275/A</v>
          </cell>
          <cell r="B1867" t="str">
            <v>CZ823NM409</v>
          </cell>
          <cell r="C1867">
            <v>5</v>
          </cell>
          <cell r="D1867">
            <v>1884.9</v>
          </cell>
          <cell r="E1867">
            <v>9424.5</v>
          </cell>
          <cell r="F1867" t="str">
            <v>A2-S2</v>
          </cell>
          <cell r="G1867" t="str">
            <v xml:space="preserve">Drawer front 1 - Mặt hộc kéo </v>
          </cell>
          <cell r="H1867" t="str">
            <v>MDF Veneer</v>
          </cell>
          <cell r="I1867">
            <v>10</v>
          </cell>
        </row>
        <row r="1868">
          <cell r="A1868" t="str">
            <v>B558275/A</v>
          </cell>
          <cell r="B1868" t="str">
            <v>CZ823NM409</v>
          </cell>
          <cell r="C1868">
            <v>5</v>
          </cell>
          <cell r="D1868">
            <v>1884.9</v>
          </cell>
          <cell r="E1868">
            <v>9424.5</v>
          </cell>
          <cell r="F1868" t="str">
            <v>A2-S3</v>
          </cell>
          <cell r="G1868" t="str">
            <v>Drawer side - Hông hộc kéo</v>
          </cell>
          <cell r="H1868" t="str">
            <v>MDF Veneer</v>
          </cell>
          <cell r="I1868">
            <v>20</v>
          </cell>
        </row>
        <row r="1869">
          <cell r="A1869" t="str">
            <v>B558275/A</v>
          </cell>
          <cell r="B1869" t="str">
            <v>CZ823NM409</v>
          </cell>
          <cell r="C1869">
            <v>5</v>
          </cell>
          <cell r="D1869">
            <v>1884.9</v>
          </cell>
          <cell r="E1869">
            <v>9424.5</v>
          </cell>
          <cell r="F1869" t="str">
            <v>A2-S4</v>
          </cell>
          <cell r="G1869" t="str">
            <v>Drawer back - Hậu hộc kéo</v>
          </cell>
          <cell r="H1869" t="str">
            <v>MDF Veneer</v>
          </cell>
          <cell r="I1869">
            <v>10</v>
          </cell>
        </row>
        <row r="1870">
          <cell r="A1870" t="str">
            <v>B558275/A</v>
          </cell>
          <cell r="B1870" t="str">
            <v>CZ823NM409</v>
          </cell>
          <cell r="C1870">
            <v>5</v>
          </cell>
          <cell r="D1870">
            <v>1884.9</v>
          </cell>
          <cell r="E1870">
            <v>9424.5</v>
          </cell>
          <cell r="F1870" t="str">
            <v>A4-S1</v>
          </cell>
          <cell r="G1870" t="str">
            <v>Vertical rail 1 - Đố đứng 1</v>
          </cell>
          <cell r="H1870" t="str">
            <v>Wd+VN</v>
          </cell>
          <cell r="I1870">
            <v>10</v>
          </cell>
        </row>
        <row r="1871">
          <cell r="A1871" t="str">
            <v>B558275/A</v>
          </cell>
          <cell r="B1871" t="str">
            <v>CZ823NM409</v>
          </cell>
          <cell r="C1871">
            <v>5</v>
          </cell>
          <cell r="D1871">
            <v>1884.9</v>
          </cell>
          <cell r="E1871">
            <v>9424.5</v>
          </cell>
          <cell r="F1871" t="str">
            <v>A4-S2</v>
          </cell>
          <cell r="G1871" t="str">
            <v xml:space="preserve">Side panel  - Ván hông </v>
          </cell>
          <cell r="H1871" t="str">
            <v>MDF Veneer</v>
          </cell>
          <cell r="I1871">
            <v>10</v>
          </cell>
        </row>
        <row r="1872">
          <cell r="A1872" t="str">
            <v>B558275/A</v>
          </cell>
          <cell r="B1872" t="str">
            <v>CZ823NM409</v>
          </cell>
          <cell r="C1872">
            <v>5</v>
          </cell>
          <cell r="D1872">
            <v>1884.9</v>
          </cell>
          <cell r="E1872">
            <v>9424.5</v>
          </cell>
          <cell r="F1872" t="str">
            <v>A4-S3</v>
          </cell>
          <cell r="G1872" t="str">
            <v>Patching wood - Gỗ đắp</v>
          </cell>
          <cell r="H1872" t="str">
            <v>Wood laminate</v>
          </cell>
          <cell r="I1872">
            <v>50</v>
          </cell>
        </row>
        <row r="1873">
          <cell r="A1873" t="str">
            <v>B558275/A</v>
          </cell>
          <cell r="B1873" t="str">
            <v>CZ823NM409</v>
          </cell>
          <cell r="C1873">
            <v>5</v>
          </cell>
          <cell r="D1873">
            <v>1884.9</v>
          </cell>
          <cell r="E1873">
            <v>9424.5</v>
          </cell>
          <cell r="F1873" t="str">
            <v>A5-S1</v>
          </cell>
          <cell r="G1873" t="str">
            <v>Front Bottom Rail  - Đố đáy trước</v>
          </cell>
          <cell r="H1873" t="str">
            <v>Wood White Oak - Straight/Waving Edged, 2 COM - T32mm x W100mm Up x L1.5m Up</v>
          </cell>
          <cell r="I1873">
            <v>10</v>
          </cell>
        </row>
        <row r="1874">
          <cell r="A1874" t="str">
            <v>B558275/A</v>
          </cell>
          <cell r="B1874" t="str">
            <v>CZ823NM409</v>
          </cell>
          <cell r="C1874">
            <v>5</v>
          </cell>
          <cell r="D1874">
            <v>1884.9</v>
          </cell>
          <cell r="E1874">
            <v>9424.5</v>
          </cell>
          <cell r="F1874" t="str">
            <v>A5-S2</v>
          </cell>
          <cell r="G1874" t="str">
            <v>Side bottom rail - Đố hông dưới</v>
          </cell>
          <cell r="H1874" t="str">
            <v>Wood White Oak - Straight/Waving Edged, 2 COM - T32mm x W100mm Up x L1.5m Up</v>
          </cell>
          <cell r="I1874">
            <v>10</v>
          </cell>
        </row>
        <row r="1875">
          <cell r="A1875" t="str">
            <v>B558275/A</v>
          </cell>
          <cell r="B1875" t="str">
            <v>CZ823NM409</v>
          </cell>
          <cell r="C1875">
            <v>5</v>
          </cell>
          <cell r="D1875">
            <v>1884.9</v>
          </cell>
          <cell r="E1875">
            <v>9424.5</v>
          </cell>
          <cell r="F1875" t="str">
            <v>A5-S3</v>
          </cell>
          <cell r="G1875" t="str">
            <v>Side bottom rail - Đố hông dưới</v>
          </cell>
          <cell r="H1875" t="str">
            <v>Standard Wood - ALDER/ASPEN/LENGA/US POPLAR, 2 COM - T38 W120mm+ L2m+</v>
          </cell>
          <cell r="I1875">
            <v>5</v>
          </cell>
        </row>
        <row r="1876">
          <cell r="A1876" t="str">
            <v>B558275/A</v>
          </cell>
          <cell r="B1876" t="str">
            <v>CZ823NM409</v>
          </cell>
          <cell r="C1876">
            <v>5</v>
          </cell>
          <cell r="D1876">
            <v>1884.9</v>
          </cell>
          <cell r="E1876">
            <v>9424.5</v>
          </cell>
          <cell r="F1876" t="str">
            <v>A6.A</v>
          </cell>
          <cell r="G1876" t="str">
            <v xml:space="preserve">Panel - Ván </v>
          </cell>
          <cell r="H1876" t="str">
            <v>MDF Veneer</v>
          </cell>
          <cell r="I1876">
            <v>15</v>
          </cell>
        </row>
        <row r="1877">
          <cell r="A1877" t="str">
            <v>B558275/A</v>
          </cell>
          <cell r="B1877" t="str">
            <v>CZ823NM409</v>
          </cell>
          <cell r="C1877">
            <v>5</v>
          </cell>
          <cell r="D1877">
            <v>1884.9</v>
          </cell>
          <cell r="E1877">
            <v>9424.5</v>
          </cell>
          <cell r="F1877" t="str">
            <v>A6-S1</v>
          </cell>
          <cell r="G1877" t="str">
            <v xml:space="preserve">Drawer front - Mặt hộc kéo </v>
          </cell>
          <cell r="H1877" t="str">
            <v>Wd+MDF+VN</v>
          </cell>
          <cell r="I1877">
            <v>30</v>
          </cell>
        </row>
        <row r="1878">
          <cell r="A1878" t="str">
            <v>B558275/A</v>
          </cell>
          <cell r="B1878" t="str">
            <v>CZ823NM409</v>
          </cell>
          <cell r="C1878">
            <v>5</v>
          </cell>
          <cell r="D1878">
            <v>1884.9</v>
          </cell>
          <cell r="E1878">
            <v>9424.5</v>
          </cell>
          <cell r="F1878" t="str">
            <v>A6-S2</v>
          </cell>
          <cell r="G1878" t="str">
            <v xml:space="preserve">Drawer front 1 - Mặt hộc kéo </v>
          </cell>
          <cell r="H1878" t="str">
            <v>MDF Veneer</v>
          </cell>
          <cell r="I1878">
            <v>30</v>
          </cell>
        </row>
        <row r="1879">
          <cell r="A1879" t="str">
            <v>B558275/A</v>
          </cell>
          <cell r="B1879" t="str">
            <v>CZ823NM409</v>
          </cell>
          <cell r="C1879">
            <v>5</v>
          </cell>
          <cell r="D1879">
            <v>1884.9</v>
          </cell>
          <cell r="E1879">
            <v>9424.5</v>
          </cell>
          <cell r="F1879" t="str">
            <v>A6-S3</v>
          </cell>
          <cell r="G1879" t="str">
            <v>Drawer side - Hông hộc kéo</v>
          </cell>
          <cell r="H1879" t="str">
            <v>MDF Veneer</v>
          </cell>
          <cell r="I1879">
            <v>60</v>
          </cell>
        </row>
        <row r="1880">
          <cell r="A1880" t="str">
            <v>B558275/A</v>
          </cell>
          <cell r="B1880" t="str">
            <v>CZ823NM409</v>
          </cell>
          <cell r="C1880">
            <v>5</v>
          </cell>
          <cell r="D1880">
            <v>1884.9</v>
          </cell>
          <cell r="E1880">
            <v>9424.5</v>
          </cell>
          <cell r="F1880" t="str">
            <v>A6-S4</v>
          </cell>
          <cell r="G1880" t="str">
            <v>Drawer back - Hậu hộc kéo</v>
          </cell>
          <cell r="H1880" t="str">
            <v>MDF Veneer</v>
          </cell>
          <cell r="I1880">
            <v>30</v>
          </cell>
        </row>
        <row r="1881">
          <cell r="A1881" t="str">
            <v>B558275/A</v>
          </cell>
          <cell r="B1881" t="str">
            <v>CZ823NM409</v>
          </cell>
          <cell r="C1881">
            <v>5</v>
          </cell>
          <cell r="D1881">
            <v>1884.9</v>
          </cell>
          <cell r="E1881">
            <v>9424.5</v>
          </cell>
          <cell r="F1881" t="str">
            <v>P01</v>
          </cell>
          <cell r="G1881" t="str">
            <v xml:space="preserve">Top panel  - Ván nóc </v>
          </cell>
          <cell r="H1881" t="str">
            <v>MDF Veneer</v>
          </cell>
          <cell r="I1881">
            <v>5</v>
          </cell>
        </row>
        <row r="1882">
          <cell r="A1882" t="str">
            <v>B558275/A</v>
          </cell>
          <cell r="B1882" t="str">
            <v>CZ823NM409</v>
          </cell>
          <cell r="C1882">
            <v>5</v>
          </cell>
          <cell r="D1882">
            <v>1884.9</v>
          </cell>
          <cell r="E1882">
            <v>9424.5</v>
          </cell>
          <cell r="F1882" t="str">
            <v>P02</v>
          </cell>
          <cell r="G1882" t="str">
            <v>Front rail  - Đố tiền</v>
          </cell>
          <cell r="H1882" t="str">
            <v>Wood Rubber Laminate Board - 20 x 1220 x 2440mm, Veneer Poplar both Faces</v>
          </cell>
          <cell r="I1882">
            <v>5</v>
          </cell>
        </row>
        <row r="1883">
          <cell r="A1883" t="str">
            <v>B558275/A</v>
          </cell>
          <cell r="B1883" t="str">
            <v>CZ823NM409</v>
          </cell>
          <cell r="C1883">
            <v>5</v>
          </cell>
          <cell r="D1883">
            <v>1884.9</v>
          </cell>
          <cell r="E1883">
            <v>9424.5</v>
          </cell>
          <cell r="F1883" t="str">
            <v>P04</v>
          </cell>
          <cell r="G1883" t="str">
            <v>Bottom panel - Ván đáy</v>
          </cell>
          <cell r="H1883" t="str">
            <v>MDF Veneer</v>
          </cell>
          <cell r="I1883">
            <v>5</v>
          </cell>
        </row>
        <row r="1884">
          <cell r="A1884" t="str">
            <v>B558275/A</v>
          </cell>
          <cell r="B1884" t="str">
            <v>CZ823NM409</v>
          </cell>
          <cell r="C1884">
            <v>5</v>
          </cell>
          <cell r="D1884">
            <v>1884.9</v>
          </cell>
          <cell r="E1884">
            <v>9424.5</v>
          </cell>
          <cell r="F1884" t="str">
            <v>P05</v>
          </cell>
          <cell r="G1884" t="str">
            <v>back rail - Đố hậu</v>
          </cell>
          <cell r="H1884" t="str">
            <v>Wood Rubber Laminate Board - 20 x 1220 x 2440mm, Veneer Poplar both Faces</v>
          </cell>
          <cell r="I1884">
            <v>5</v>
          </cell>
        </row>
        <row r="1885">
          <cell r="A1885" t="str">
            <v>B558275/A</v>
          </cell>
          <cell r="B1885" t="str">
            <v>CZ823NM409</v>
          </cell>
          <cell r="C1885">
            <v>5</v>
          </cell>
          <cell r="D1885">
            <v>1884.9</v>
          </cell>
          <cell r="E1885">
            <v>9424.5</v>
          </cell>
          <cell r="F1885" t="str">
            <v>P06</v>
          </cell>
          <cell r="G1885" t="str">
            <v>Back panel - Ván hậu</v>
          </cell>
          <cell r="H1885" t="str">
            <v>MDF Veneer</v>
          </cell>
          <cell r="I1885">
            <v>5</v>
          </cell>
        </row>
        <row r="1886">
          <cell r="A1886" t="str">
            <v>B558275/A</v>
          </cell>
          <cell r="B1886" t="str">
            <v>CZ823NM409</v>
          </cell>
          <cell r="C1886">
            <v>5</v>
          </cell>
          <cell r="D1886">
            <v>1884.9</v>
          </cell>
          <cell r="E1886">
            <v>9424.5</v>
          </cell>
          <cell r="F1886" t="str">
            <v>P07</v>
          </cell>
          <cell r="G1886" t="str">
            <v>Back bottom rail - Đố hậu đáy</v>
          </cell>
          <cell r="H1886" t="str">
            <v>Wood Rubber Laminate Board - 20 x 1220 x 2440mm, Veneer Poplar both Faces</v>
          </cell>
          <cell r="I1886">
            <v>5</v>
          </cell>
        </row>
        <row r="1887">
          <cell r="A1887" t="str">
            <v>B558275/A</v>
          </cell>
          <cell r="B1887" t="str">
            <v>CZ823NM409</v>
          </cell>
          <cell r="C1887">
            <v>5</v>
          </cell>
          <cell r="D1887">
            <v>1884.9</v>
          </cell>
          <cell r="E1887">
            <v>9424.5</v>
          </cell>
          <cell r="F1887" t="str">
            <v>P08</v>
          </cell>
          <cell r="G1887" t="str">
            <v>Partition panel - Vách ngăn</v>
          </cell>
          <cell r="H1887" t="str">
            <v>MDF Veneer</v>
          </cell>
          <cell r="I1887">
            <v>5</v>
          </cell>
        </row>
        <row r="1888">
          <cell r="A1888" t="str">
            <v>B558275/A</v>
          </cell>
          <cell r="B1888" t="str">
            <v>CZ823NM409</v>
          </cell>
          <cell r="C1888">
            <v>5</v>
          </cell>
          <cell r="D1888">
            <v>1884.9</v>
          </cell>
          <cell r="E1888">
            <v>9424.5</v>
          </cell>
          <cell r="F1888" t="str">
            <v>P09</v>
          </cell>
          <cell r="G1888" t="str">
            <v>Back panel - Ván hậu</v>
          </cell>
          <cell r="H1888" t="str">
            <v>Cement Board - 18 x 1220 x 2440mm, Dark Grey</v>
          </cell>
          <cell r="I1888">
            <v>10</v>
          </cell>
        </row>
        <row r="1889">
          <cell r="A1889" t="str">
            <v>B558275/A</v>
          </cell>
          <cell r="B1889" t="str">
            <v>CZ823NM409</v>
          </cell>
          <cell r="C1889">
            <v>5</v>
          </cell>
          <cell r="D1889">
            <v>1884.9</v>
          </cell>
          <cell r="E1889">
            <v>9424.5</v>
          </cell>
          <cell r="F1889" t="str">
            <v>P10</v>
          </cell>
          <cell r="G1889" t="str">
            <v>Front rail  - Đố tiền</v>
          </cell>
          <cell r="H1889" t="str">
            <v>Wood Rubber Laminate Board - 20 x 1220 x 2440mm, Veneer Poplar both Faces</v>
          </cell>
          <cell r="I1889">
            <v>40</v>
          </cell>
        </row>
        <row r="1890">
          <cell r="A1890" t="str">
            <v>B558275/A</v>
          </cell>
          <cell r="B1890" t="str">
            <v>CZ823NM409</v>
          </cell>
          <cell r="C1890">
            <v>5</v>
          </cell>
          <cell r="D1890">
            <v>1884.9</v>
          </cell>
          <cell r="E1890">
            <v>9424.5</v>
          </cell>
          <cell r="F1890" t="str">
            <v>P11</v>
          </cell>
          <cell r="G1890" t="str">
            <v>Back rail with note finger - đố hậu</v>
          </cell>
          <cell r="H1890" t="str">
            <v>Wood Rubber Laminate Board - 20 x 1220 x 2440mm, Veneer Poplar both Faces</v>
          </cell>
          <cell r="I1890">
            <v>10</v>
          </cell>
        </row>
        <row r="1891">
          <cell r="A1891" t="str">
            <v>B558275/A</v>
          </cell>
          <cell r="B1891" t="str">
            <v>CZ823NM409</v>
          </cell>
          <cell r="C1891">
            <v>5</v>
          </cell>
          <cell r="D1891">
            <v>1884.9</v>
          </cell>
          <cell r="E1891">
            <v>9424.5</v>
          </cell>
          <cell r="F1891" t="str">
            <v>P12</v>
          </cell>
          <cell r="G1891" t="str">
            <v>Drawer stop - Dừng hộc</v>
          </cell>
          <cell r="H1891" t="str">
            <v>Poplar off cut</v>
          </cell>
          <cell r="I1891">
            <v>100</v>
          </cell>
        </row>
        <row r="1892">
          <cell r="A1892" t="str">
            <v>B558275/A</v>
          </cell>
          <cell r="B1892" t="str">
            <v>CZ823NM409</v>
          </cell>
          <cell r="C1892">
            <v>5</v>
          </cell>
          <cell r="D1892">
            <v>1884.9</v>
          </cell>
          <cell r="E1892">
            <v>9424.5</v>
          </cell>
          <cell r="F1892" t="str">
            <v>P13</v>
          </cell>
          <cell r="G1892" t="str">
            <v>Corner block - ke góc</v>
          </cell>
          <cell r="H1892" t="str">
            <v>Poplar off cut</v>
          </cell>
          <cell r="I1892">
            <v>40</v>
          </cell>
        </row>
        <row r="1893">
          <cell r="A1893" t="str">
            <v>B558176/A</v>
          </cell>
          <cell r="B1893" t="str">
            <v>CZ842M188</v>
          </cell>
          <cell r="C1893">
            <v>1</v>
          </cell>
          <cell r="D1893">
            <v>978.2</v>
          </cell>
          <cell r="E1893">
            <v>978.2</v>
          </cell>
          <cell r="F1893" t="str">
            <v>A1-S01</v>
          </cell>
          <cell r="G1893" t="str">
            <v>Top rail - Đố nóc</v>
          </cell>
          <cell r="H1893" t="str">
            <v>Wood Red Oak - Straight/Waving Edged, 1 COM - T38mm x W100mm Up x L1.8m Up</v>
          </cell>
          <cell r="I1893">
            <v>1</v>
          </cell>
        </row>
        <row r="1894">
          <cell r="A1894" t="str">
            <v>B558176/A</v>
          </cell>
          <cell r="B1894" t="str">
            <v>CZ842M188</v>
          </cell>
          <cell r="C1894">
            <v>1</v>
          </cell>
          <cell r="D1894">
            <v>978.2</v>
          </cell>
          <cell r="E1894">
            <v>978.2</v>
          </cell>
          <cell r="F1894" t="str">
            <v>A1-S02</v>
          </cell>
          <cell r="G1894" t="str">
            <v xml:space="preserve">Side rail  - Đố hông </v>
          </cell>
          <cell r="H1894" t="str">
            <v>Wood laminate</v>
          </cell>
          <cell r="I1894">
            <v>2</v>
          </cell>
        </row>
        <row r="1895">
          <cell r="A1895" t="str">
            <v>B558176/A</v>
          </cell>
          <cell r="B1895" t="str">
            <v>CZ842M188</v>
          </cell>
          <cell r="C1895">
            <v>1</v>
          </cell>
          <cell r="D1895">
            <v>978.2</v>
          </cell>
          <cell r="E1895">
            <v>978.2</v>
          </cell>
          <cell r="F1895" t="str">
            <v>A1-S03</v>
          </cell>
          <cell r="G1895" t="str">
            <v xml:space="preserve">Panel - Ván </v>
          </cell>
          <cell r="H1895" t="str">
            <v>MDF - 15 x 1830 x 2440mm [CARB P2 Compliant]</v>
          </cell>
          <cell r="I1895">
            <v>1</v>
          </cell>
        </row>
        <row r="1896">
          <cell r="A1896" t="str">
            <v>B558176/A</v>
          </cell>
          <cell r="B1896" t="str">
            <v>CZ842M188</v>
          </cell>
          <cell r="C1896">
            <v>1</v>
          </cell>
          <cell r="D1896">
            <v>978.2</v>
          </cell>
          <cell r="E1896">
            <v>978.2</v>
          </cell>
          <cell r="F1896" t="str">
            <v>A1-S04</v>
          </cell>
          <cell r="G1896" t="str">
            <v>Back panel - Ván hậu</v>
          </cell>
          <cell r="H1896" t="str">
            <v>MDF Veneer</v>
          </cell>
          <cell r="I1896">
            <v>1</v>
          </cell>
        </row>
        <row r="1897">
          <cell r="A1897" t="str">
            <v>B558176/A</v>
          </cell>
          <cell r="B1897" t="str">
            <v>CZ842M188</v>
          </cell>
          <cell r="C1897">
            <v>1</v>
          </cell>
          <cell r="D1897">
            <v>978.2</v>
          </cell>
          <cell r="E1897">
            <v>978.2</v>
          </cell>
          <cell r="F1897" t="str">
            <v>A1-S05</v>
          </cell>
          <cell r="G1897" t="str">
            <v>Vertical rail 1 - Đố đứng 1</v>
          </cell>
          <cell r="H1897" t="str">
            <v>Wood Rubber Laminate Board - 20 x 1220 x 2440mm, Veneer Poplar both Faces</v>
          </cell>
          <cell r="I1897">
            <v>2</v>
          </cell>
        </row>
        <row r="1898">
          <cell r="A1898" t="str">
            <v>B558176/A</v>
          </cell>
          <cell r="B1898" t="str">
            <v>CZ842M188</v>
          </cell>
          <cell r="C1898">
            <v>1</v>
          </cell>
          <cell r="D1898">
            <v>978.2</v>
          </cell>
          <cell r="E1898">
            <v>978.2</v>
          </cell>
          <cell r="F1898" t="str">
            <v>A1-S06</v>
          </cell>
          <cell r="G1898" t="str">
            <v>Horizontal rail 1 - Đố ngang 1</v>
          </cell>
          <cell r="H1898" t="str">
            <v>Wood Rubber Laminate Board - 20 x 1220 x 2440mm, Veneer Poplar both Faces</v>
          </cell>
          <cell r="I1898">
            <v>1</v>
          </cell>
        </row>
        <row r="1899">
          <cell r="A1899" t="str">
            <v>B558176/A</v>
          </cell>
          <cell r="B1899" t="str">
            <v>CZ842M188</v>
          </cell>
          <cell r="C1899">
            <v>1</v>
          </cell>
          <cell r="D1899">
            <v>978.2</v>
          </cell>
          <cell r="E1899">
            <v>978.2</v>
          </cell>
          <cell r="F1899" t="str">
            <v>A1-S07</v>
          </cell>
          <cell r="G1899" t="str">
            <v>Horizontal rail 1 - Đố ngang 1</v>
          </cell>
          <cell r="H1899" t="str">
            <v>Wood Rubber Laminate Board - 20 x 1220 x 2440mm, Veneer Poplar both Faces</v>
          </cell>
          <cell r="I1899">
            <v>2</v>
          </cell>
        </row>
        <row r="1900">
          <cell r="A1900" t="str">
            <v>B558176/A</v>
          </cell>
          <cell r="B1900" t="str">
            <v>CZ842M188</v>
          </cell>
          <cell r="C1900">
            <v>1</v>
          </cell>
          <cell r="D1900">
            <v>978.2</v>
          </cell>
          <cell r="E1900">
            <v>978.2</v>
          </cell>
          <cell r="F1900" t="str">
            <v>A1-S08</v>
          </cell>
          <cell r="G1900" t="str">
            <v>Horizontal rail 1 - Đố ngang 1</v>
          </cell>
          <cell r="H1900" t="str">
            <v>Standard Wood - ALDER/ASPEN/LENGA/US POPLAR, 2 COM - T50 W120mm+ L2m+</v>
          </cell>
          <cell r="I1900">
            <v>1</v>
          </cell>
        </row>
        <row r="1901">
          <cell r="A1901" t="str">
            <v>B558176/A</v>
          </cell>
          <cell r="B1901" t="str">
            <v>CZ842M188</v>
          </cell>
          <cell r="C1901">
            <v>1</v>
          </cell>
          <cell r="D1901">
            <v>978.2</v>
          </cell>
          <cell r="E1901">
            <v>978.2</v>
          </cell>
          <cell r="F1901" t="str">
            <v>A1-S09</v>
          </cell>
          <cell r="G1901" t="str">
            <v>Cleat - Bọ gỗ</v>
          </cell>
          <cell r="H1901" t="str">
            <v>Beech off cut</v>
          </cell>
          <cell r="I1901">
            <v>4</v>
          </cell>
        </row>
        <row r="1902">
          <cell r="A1902" t="str">
            <v>B558176/A</v>
          </cell>
          <cell r="B1902" t="str">
            <v>CZ842M188</v>
          </cell>
          <cell r="C1902">
            <v>1</v>
          </cell>
          <cell r="D1902">
            <v>978.2</v>
          </cell>
          <cell r="E1902">
            <v>978.2</v>
          </cell>
          <cell r="F1902" t="str">
            <v>A1-S10</v>
          </cell>
          <cell r="G1902" t="str">
            <v xml:space="preserve">Front panel  - Ván tiền </v>
          </cell>
          <cell r="H1902" t="str">
            <v>MDF Veneer</v>
          </cell>
          <cell r="I1902">
            <v>1</v>
          </cell>
        </row>
        <row r="1903">
          <cell r="A1903" t="str">
            <v>B558176/A</v>
          </cell>
          <cell r="B1903" t="str">
            <v>CZ842M188</v>
          </cell>
          <cell r="C1903">
            <v>1</v>
          </cell>
          <cell r="D1903">
            <v>978.2</v>
          </cell>
          <cell r="E1903">
            <v>978.2</v>
          </cell>
          <cell r="F1903" t="str">
            <v>A1-S10-1</v>
          </cell>
          <cell r="G1903" t="str">
            <v>Patching wood - Gỗ đắp</v>
          </cell>
          <cell r="H1903" t="str">
            <v>Beech off cut</v>
          </cell>
          <cell r="I1903">
            <v>2</v>
          </cell>
        </row>
        <row r="1904">
          <cell r="A1904" t="str">
            <v>B558176/A</v>
          </cell>
          <cell r="B1904" t="str">
            <v>CZ842M188</v>
          </cell>
          <cell r="C1904">
            <v>1</v>
          </cell>
          <cell r="D1904">
            <v>978.2</v>
          </cell>
          <cell r="E1904">
            <v>978.2</v>
          </cell>
          <cell r="F1904" t="str">
            <v>A1-S11</v>
          </cell>
          <cell r="G1904" t="str">
            <v>Bottom rail inside - Đố tiền đáy</v>
          </cell>
          <cell r="H1904" t="str">
            <v>Wood Red Oak - Straight/Waving Edged, 2 COM - T32mm x W100mm Up x L1.5m Up</v>
          </cell>
          <cell r="I1904">
            <v>1</v>
          </cell>
        </row>
        <row r="1905">
          <cell r="A1905" t="str">
            <v>B558176/A</v>
          </cell>
          <cell r="B1905" t="str">
            <v>CZ842M188</v>
          </cell>
          <cell r="C1905">
            <v>1</v>
          </cell>
          <cell r="D1905">
            <v>978.2</v>
          </cell>
          <cell r="E1905">
            <v>978.2</v>
          </cell>
          <cell r="F1905" t="str">
            <v>A1-S12</v>
          </cell>
          <cell r="G1905" t="str">
            <v>Bottom rail inside - Đố tiền đáy</v>
          </cell>
          <cell r="H1905" t="str">
            <v>Wood laminate</v>
          </cell>
          <cell r="I1905">
            <v>2</v>
          </cell>
        </row>
        <row r="1906">
          <cell r="A1906" t="str">
            <v>B558176/A</v>
          </cell>
          <cell r="B1906" t="str">
            <v>CZ842M188</v>
          </cell>
          <cell r="C1906">
            <v>1</v>
          </cell>
          <cell r="D1906">
            <v>978.2</v>
          </cell>
          <cell r="E1906">
            <v>978.2</v>
          </cell>
          <cell r="F1906" t="str">
            <v>A1-S13</v>
          </cell>
          <cell r="G1906" t="str">
            <v>Vertical rail 1 - Đố đứng 1</v>
          </cell>
          <cell r="H1906" t="str">
            <v>Wood Rubber Laminate Board - 20 x 1220 x 2440mm, Veneer Poplar both Faces</v>
          </cell>
          <cell r="I1906">
            <v>2</v>
          </cell>
        </row>
        <row r="1907">
          <cell r="A1907" t="str">
            <v>B558176/A</v>
          </cell>
          <cell r="B1907" t="str">
            <v>CZ842M188</v>
          </cell>
          <cell r="C1907">
            <v>1</v>
          </cell>
          <cell r="D1907">
            <v>978.2</v>
          </cell>
          <cell r="E1907">
            <v>978.2</v>
          </cell>
          <cell r="F1907" t="str">
            <v>A1-S14</v>
          </cell>
          <cell r="G1907" t="str">
            <v>Vertical rail 1 - Đố đứng 1</v>
          </cell>
          <cell r="H1907" t="str">
            <v>Wood Rubber Laminate Board - 20 x 1220 x 2440mm, Veneer Poplar both Faces</v>
          </cell>
          <cell r="I1907">
            <v>6</v>
          </cell>
        </row>
        <row r="1908">
          <cell r="A1908" t="str">
            <v>B558176/A</v>
          </cell>
          <cell r="B1908" t="str">
            <v>CZ842M188</v>
          </cell>
          <cell r="C1908">
            <v>1</v>
          </cell>
          <cell r="D1908">
            <v>978.2</v>
          </cell>
          <cell r="E1908">
            <v>978.2</v>
          </cell>
          <cell r="F1908" t="str">
            <v>A1-S15</v>
          </cell>
          <cell r="G1908" t="str">
            <v>Vertical rail 1 - Đố đứng 1</v>
          </cell>
          <cell r="H1908" t="str">
            <v>Wood Rubber Laminate Board - 20 x 1220 x 2440mm, Veneer Poplar both Faces</v>
          </cell>
          <cell r="I1908">
            <v>2</v>
          </cell>
        </row>
        <row r="1909">
          <cell r="A1909" t="str">
            <v>B558176/A</v>
          </cell>
          <cell r="B1909" t="str">
            <v>CZ842M188</v>
          </cell>
          <cell r="C1909">
            <v>1</v>
          </cell>
          <cell r="D1909">
            <v>978.2</v>
          </cell>
          <cell r="E1909">
            <v>978.2</v>
          </cell>
          <cell r="F1909" t="str">
            <v>A1-S17</v>
          </cell>
          <cell r="G1909" t="str">
            <v>Vertical rail 1 - Đố đứng 1</v>
          </cell>
          <cell r="H1909" t="str">
            <v>MDF OFF CUT</v>
          </cell>
          <cell r="I1909">
            <v>9</v>
          </cell>
        </row>
        <row r="1910">
          <cell r="A1910" t="str">
            <v>B558176/A</v>
          </cell>
          <cell r="B1910" t="str">
            <v>CZ842M188</v>
          </cell>
          <cell r="C1910">
            <v>1</v>
          </cell>
          <cell r="D1910">
            <v>978.2</v>
          </cell>
          <cell r="E1910">
            <v>978.2</v>
          </cell>
          <cell r="F1910" t="str">
            <v>A1-S18</v>
          </cell>
          <cell r="G1910" t="str">
            <v>Vertical rail 1 - Đố đứng 1</v>
          </cell>
          <cell r="H1910" t="str">
            <v>MDF OFF CUT</v>
          </cell>
          <cell r="I1910">
            <v>3</v>
          </cell>
        </row>
        <row r="1911">
          <cell r="A1911" t="str">
            <v>B558176/A</v>
          </cell>
          <cell r="B1911" t="str">
            <v>CZ842M188</v>
          </cell>
          <cell r="C1911">
            <v>1</v>
          </cell>
          <cell r="D1911">
            <v>978.2</v>
          </cell>
          <cell r="E1911">
            <v>978.2</v>
          </cell>
          <cell r="F1911" t="str">
            <v>A2-S01</v>
          </cell>
          <cell r="G1911" t="str">
            <v>Top rail - Đố nóc</v>
          </cell>
          <cell r="H1911" t="str">
            <v>Wood laminate</v>
          </cell>
          <cell r="I1911">
            <v>1</v>
          </cell>
        </row>
        <row r="1912">
          <cell r="A1912" t="str">
            <v>B558176/A</v>
          </cell>
          <cell r="B1912" t="str">
            <v>CZ842M188</v>
          </cell>
          <cell r="C1912">
            <v>1</v>
          </cell>
          <cell r="D1912">
            <v>978.2</v>
          </cell>
          <cell r="E1912">
            <v>978.2</v>
          </cell>
          <cell r="F1912" t="str">
            <v>A2-S02</v>
          </cell>
          <cell r="G1912" t="str">
            <v>Vertical rail 1 - Đố đứng 1</v>
          </cell>
          <cell r="H1912" t="str">
            <v>Wood laminate</v>
          </cell>
          <cell r="I1912">
            <v>2</v>
          </cell>
        </row>
        <row r="1913">
          <cell r="A1913" t="str">
            <v>B558176/A</v>
          </cell>
          <cell r="B1913" t="str">
            <v>CZ842M188</v>
          </cell>
          <cell r="C1913">
            <v>1</v>
          </cell>
          <cell r="D1913">
            <v>978.2</v>
          </cell>
          <cell r="E1913">
            <v>978.2</v>
          </cell>
          <cell r="F1913" t="str">
            <v>A2-S03</v>
          </cell>
          <cell r="G1913" t="str">
            <v>Foot board panel  - Ván đuôi giường</v>
          </cell>
          <cell r="H1913" t="str">
            <v>MDF laminate</v>
          </cell>
          <cell r="I1913">
            <v>1</v>
          </cell>
        </row>
        <row r="1914">
          <cell r="A1914" t="str">
            <v>B558176/A</v>
          </cell>
          <cell r="B1914" t="str">
            <v>CZ842M188</v>
          </cell>
          <cell r="C1914">
            <v>1</v>
          </cell>
          <cell r="D1914">
            <v>978.2</v>
          </cell>
          <cell r="E1914">
            <v>978.2</v>
          </cell>
          <cell r="F1914" t="str">
            <v>A2-S04</v>
          </cell>
          <cell r="G1914" t="str">
            <v>Bottom rail inside - Đố tiền đáy</v>
          </cell>
          <cell r="H1914" t="str">
            <v>Wood laminate</v>
          </cell>
          <cell r="I1914">
            <v>1</v>
          </cell>
        </row>
        <row r="1915">
          <cell r="A1915" t="str">
            <v>B558176/A</v>
          </cell>
          <cell r="B1915" t="str">
            <v>CZ842M188</v>
          </cell>
          <cell r="C1915">
            <v>1</v>
          </cell>
          <cell r="D1915">
            <v>978.2</v>
          </cell>
          <cell r="E1915">
            <v>978.2</v>
          </cell>
          <cell r="F1915" t="str">
            <v>A3-S01</v>
          </cell>
          <cell r="G1915" t="str">
            <v xml:space="preserve">Side rail  - Đố hông </v>
          </cell>
          <cell r="H1915" t="str">
            <v>Wood Red Oak - Straight/Waving Edged, 1 COM - T38mm x W100mm Up x L1.8m Up</v>
          </cell>
          <cell r="I1915">
            <v>2</v>
          </cell>
        </row>
        <row r="1916">
          <cell r="A1916" t="str">
            <v>B558176/A</v>
          </cell>
          <cell r="B1916" t="str">
            <v>CZ842M188</v>
          </cell>
          <cell r="C1916">
            <v>1</v>
          </cell>
          <cell r="D1916">
            <v>978.2</v>
          </cell>
          <cell r="E1916">
            <v>978.2</v>
          </cell>
          <cell r="F1916" t="str">
            <v>A3-S02</v>
          </cell>
          <cell r="G1916" t="str">
            <v>Side bed - Hông giường</v>
          </cell>
          <cell r="H1916" t="str">
            <v>MDF Veneer</v>
          </cell>
          <cell r="I1916">
            <v>2</v>
          </cell>
        </row>
        <row r="1917">
          <cell r="A1917" t="str">
            <v>B558176/A</v>
          </cell>
          <cell r="B1917" t="str">
            <v>CZ842M188</v>
          </cell>
          <cell r="C1917">
            <v>1</v>
          </cell>
          <cell r="D1917">
            <v>978.2</v>
          </cell>
          <cell r="E1917">
            <v>978.2</v>
          </cell>
          <cell r="F1917" t="str">
            <v>A3-S02-1</v>
          </cell>
          <cell r="G1917" t="str">
            <v>Insert Wood - Gỗ chèn</v>
          </cell>
          <cell r="H1917" t="str">
            <v>Beech off cut</v>
          </cell>
          <cell r="I1917">
            <v>4</v>
          </cell>
        </row>
        <row r="1918">
          <cell r="A1918" t="str">
            <v>B558176/A</v>
          </cell>
          <cell r="B1918" t="str">
            <v>CZ842M188</v>
          </cell>
          <cell r="C1918">
            <v>1</v>
          </cell>
          <cell r="D1918">
            <v>978.2</v>
          </cell>
          <cell r="E1918">
            <v>978.2</v>
          </cell>
          <cell r="F1918" t="str">
            <v>A3-S03</v>
          </cell>
          <cell r="G1918" t="str">
            <v>Slat Support  - Đỡ dạt giường</v>
          </cell>
          <cell r="H1918" t="str">
            <v>Wood EU Beech - Straight/Waving Edged AB, 1 COM - T32mm x W100mm up x L1.8m up</v>
          </cell>
          <cell r="I1918">
            <v>2</v>
          </cell>
        </row>
        <row r="1919">
          <cell r="A1919" t="str">
            <v>B558176/A</v>
          </cell>
          <cell r="B1919" t="str">
            <v>CZ842M188</v>
          </cell>
          <cell r="C1919">
            <v>1</v>
          </cell>
          <cell r="D1919">
            <v>978.2</v>
          </cell>
          <cell r="E1919">
            <v>978.2</v>
          </cell>
          <cell r="F1919" t="str">
            <v>A3-S04</v>
          </cell>
          <cell r="G1919" t="str">
            <v>Front Bottom Rail  - Đố đáy trước</v>
          </cell>
          <cell r="H1919" t="str">
            <v>Wood Red Oak - Straight/Waving Edged, 1 COM - T32mm x W100mm Up x L1.8m Up</v>
          </cell>
          <cell r="I1919">
            <v>2</v>
          </cell>
        </row>
        <row r="1920">
          <cell r="A1920" t="str">
            <v>B558176/A</v>
          </cell>
          <cell r="B1920" t="str">
            <v>CZ842M188</v>
          </cell>
          <cell r="C1920">
            <v>1</v>
          </cell>
          <cell r="D1920">
            <v>978.2</v>
          </cell>
          <cell r="E1920">
            <v>978.2</v>
          </cell>
          <cell r="F1920" t="str">
            <v>P01</v>
          </cell>
          <cell r="G1920" t="str">
            <v>slat buy - dạt mua từ nhà cung</v>
          </cell>
          <cell r="H1920" t="str">
            <v>Slat buy</v>
          </cell>
          <cell r="I1920">
            <v>13</v>
          </cell>
        </row>
        <row r="1921">
          <cell r="A1921" t="str">
            <v>B558176/A</v>
          </cell>
          <cell r="B1921" t="str">
            <v>CZ842M188</v>
          </cell>
          <cell r="C1921">
            <v>1</v>
          </cell>
          <cell r="D1921">
            <v>978.2</v>
          </cell>
          <cell r="E1921">
            <v>978.2</v>
          </cell>
          <cell r="F1921" t="str">
            <v>P03</v>
          </cell>
          <cell r="G1921" t="str">
            <v>Slat Support  - Đỡ dạt giường</v>
          </cell>
          <cell r="H1921" t="str">
            <v>Wood US Poplar - Straight Edged, 1 COM - T38mm x W100mm Up x L1.8m Up</v>
          </cell>
          <cell r="I1921">
            <v>2</v>
          </cell>
        </row>
        <row r="1922">
          <cell r="A1922" t="str">
            <v>B558178/A</v>
          </cell>
          <cell r="B1922" t="str">
            <v>CZ842M409</v>
          </cell>
          <cell r="C1922">
            <v>14</v>
          </cell>
          <cell r="D1922">
            <v>978.2</v>
          </cell>
          <cell r="E1922">
            <v>13694.800000000001</v>
          </cell>
          <cell r="F1922" t="str">
            <v>A1-S01</v>
          </cell>
          <cell r="G1922" t="str">
            <v>Top rail - Đố nóc</v>
          </cell>
          <cell r="H1922" t="str">
            <v>Wood White Oak - Straight/Waving Edged, 1 COM - T38mm x W100mm Up x L1.8m Up</v>
          </cell>
          <cell r="I1922">
            <v>14</v>
          </cell>
        </row>
        <row r="1923">
          <cell r="A1923" t="str">
            <v>B558178/A</v>
          </cell>
          <cell r="B1923" t="str">
            <v>CZ842M409</v>
          </cell>
          <cell r="C1923">
            <v>14</v>
          </cell>
          <cell r="D1923">
            <v>978.2</v>
          </cell>
          <cell r="E1923">
            <v>13694.800000000001</v>
          </cell>
          <cell r="F1923" t="str">
            <v>A1-S02</v>
          </cell>
          <cell r="G1923" t="str">
            <v xml:space="preserve">Side rail  - Đố hông </v>
          </cell>
          <cell r="H1923" t="str">
            <v>Wood laminate</v>
          </cell>
          <cell r="I1923">
            <v>28</v>
          </cell>
        </row>
        <row r="1924">
          <cell r="A1924" t="str">
            <v>B558178/A</v>
          </cell>
          <cell r="B1924" t="str">
            <v>CZ842M409</v>
          </cell>
          <cell r="C1924">
            <v>14</v>
          </cell>
          <cell r="D1924">
            <v>978.2</v>
          </cell>
          <cell r="E1924">
            <v>13694.800000000001</v>
          </cell>
          <cell r="F1924" t="str">
            <v>A1-S03</v>
          </cell>
          <cell r="G1924" t="str">
            <v xml:space="preserve">Panel - Ván </v>
          </cell>
          <cell r="H1924" t="str">
            <v>MDF - 15 x 1830 x 2440mm [CARB P2 Compliant]</v>
          </cell>
          <cell r="I1924">
            <v>14</v>
          </cell>
        </row>
        <row r="1925">
          <cell r="A1925" t="str">
            <v>B558178/A</v>
          </cell>
          <cell r="B1925" t="str">
            <v>CZ842M409</v>
          </cell>
          <cell r="C1925">
            <v>14</v>
          </cell>
          <cell r="D1925">
            <v>978.2</v>
          </cell>
          <cell r="E1925">
            <v>13694.800000000001</v>
          </cell>
          <cell r="F1925" t="str">
            <v>A1-S04</v>
          </cell>
          <cell r="G1925" t="str">
            <v>Back panel - Ván hậu</v>
          </cell>
          <cell r="H1925" t="str">
            <v>MDF Veneer</v>
          </cell>
          <cell r="I1925">
            <v>14</v>
          </cell>
        </row>
        <row r="1926">
          <cell r="A1926" t="str">
            <v>B558178/A</v>
          </cell>
          <cell r="B1926" t="str">
            <v>CZ842M409</v>
          </cell>
          <cell r="C1926">
            <v>14</v>
          </cell>
          <cell r="D1926">
            <v>978.2</v>
          </cell>
          <cell r="E1926">
            <v>13694.800000000001</v>
          </cell>
          <cell r="F1926" t="str">
            <v>A1-S05</v>
          </cell>
          <cell r="G1926" t="str">
            <v>Vertical rail 1 - Đố đứng 1</v>
          </cell>
          <cell r="H1926" t="str">
            <v>Wood Rubber Laminate Board - 20 x 1220 x 2440mm, Veneer Poplar both Faces</v>
          </cell>
          <cell r="I1926">
            <v>28</v>
          </cell>
        </row>
        <row r="1927">
          <cell r="A1927" t="str">
            <v>B558178/A</v>
          </cell>
          <cell r="B1927" t="str">
            <v>CZ842M409</v>
          </cell>
          <cell r="C1927">
            <v>14</v>
          </cell>
          <cell r="D1927">
            <v>978.2</v>
          </cell>
          <cell r="E1927">
            <v>13694.800000000001</v>
          </cell>
          <cell r="F1927" t="str">
            <v>A1-S06</v>
          </cell>
          <cell r="G1927" t="str">
            <v>Horizontal rail 1 - Đố ngang 1</v>
          </cell>
          <cell r="H1927" t="str">
            <v>Wood Rubber Laminate Board - 20 x 1220 x 2440mm, Veneer Poplar both Faces</v>
          </cell>
          <cell r="I1927">
            <v>14</v>
          </cell>
        </row>
        <row r="1928">
          <cell r="A1928" t="str">
            <v>B558178/A</v>
          </cell>
          <cell r="B1928" t="str">
            <v>CZ842M409</v>
          </cell>
          <cell r="C1928">
            <v>14</v>
          </cell>
          <cell r="D1928">
            <v>978.2</v>
          </cell>
          <cell r="E1928">
            <v>13694.800000000001</v>
          </cell>
          <cell r="F1928" t="str">
            <v>A1-S07</v>
          </cell>
          <cell r="G1928" t="str">
            <v>Horizontal rail 1 - Đố ngang 1</v>
          </cell>
          <cell r="H1928" t="str">
            <v>Wood Rubber Laminate Board - 20 x 1220 x 2440mm, Veneer Poplar both Faces</v>
          </cell>
          <cell r="I1928">
            <v>28</v>
          </cell>
        </row>
        <row r="1929">
          <cell r="A1929" t="str">
            <v>B558178/A</v>
          </cell>
          <cell r="B1929" t="str">
            <v>CZ842M409</v>
          </cell>
          <cell r="C1929">
            <v>14</v>
          </cell>
          <cell r="D1929">
            <v>978.2</v>
          </cell>
          <cell r="E1929">
            <v>13694.800000000001</v>
          </cell>
          <cell r="F1929" t="str">
            <v>A1-S08</v>
          </cell>
          <cell r="G1929" t="str">
            <v>Horizontal rail 1 - Đố ngang 1</v>
          </cell>
          <cell r="H1929" t="str">
            <v>Standard Wood - ALDER/ASPEN/LENGA/US POPLAR, 2 COM - T50 W120mm+ L2m+</v>
          </cell>
          <cell r="I1929">
            <v>14</v>
          </cell>
        </row>
        <row r="1930">
          <cell r="A1930" t="str">
            <v>B558178/A</v>
          </cell>
          <cell r="B1930" t="str">
            <v>CZ842M409</v>
          </cell>
          <cell r="C1930">
            <v>14</v>
          </cell>
          <cell r="D1930">
            <v>978.2</v>
          </cell>
          <cell r="E1930">
            <v>13694.800000000001</v>
          </cell>
          <cell r="F1930" t="str">
            <v>A1-S09</v>
          </cell>
          <cell r="G1930" t="str">
            <v>Cleat - Bọ gỗ</v>
          </cell>
          <cell r="H1930" t="str">
            <v>Beech off cut</v>
          </cell>
          <cell r="I1930">
            <v>56</v>
          </cell>
        </row>
        <row r="1931">
          <cell r="A1931" t="str">
            <v>B558178/A</v>
          </cell>
          <cell r="B1931" t="str">
            <v>CZ842M409</v>
          </cell>
          <cell r="C1931">
            <v>14</v>
          </cell>
          <cell r="D1931">
            <v>978.2</v>
          </cell>
          <cell r="E1931">
            <v>13694.800000000001</v>
          </cell>
          <cell r="F1931" t="str">
            <v>A1-S10</v>
          </cell>
          <cell r="G1931" t="str">
            <v xml:space="preserve">Front panel  - Ván tiền </v>
          </cell>
          <cell r="H1931" t="str">
            <v>MDF Veneer</v>
          </cell>
          <cell r="I1931">
            <v>14</v>
          </cell>
        </row>
        <row r="1932">
          <cell r="A1932" t="str">
            <v>B558178/A</v>
          </cell>
          <cell r="B1932" t="str">
            <v>CZ842M409</v>
          </cell>
          <cell r="C1932">
            <v>14</v>
          </cell>
          <cell r="D1932">
            <v>978.2</v>
          </cell>
          <cell r="E1932">
            <v>13694.800000000001</v>
          </cell>
          <cell r="F1932" t="str">
            <v>A1-S10-1</v>
          </cell>
          <cell r="G1932" t="str">
            <v>Patching wood - Gỗ đắp</v>
          </cell>
          <cell r="H1932" t="str">
            <v>Beech off cut</v>
          </cell>
          <cell r="I1932">
            <v>28</v>
          </cell>
        </row>
        <row r="1933">
          <cell r="A1933" t="str">
            <v>B558178/A</v>
          </cell>
          <cell r="B1933" t="str">
            <v>CZ842M409</v>
          </cell>
          <cell r="C1933">
            <v>14</v>
          </cell>
          <cell r="D1933">
            <v>978.2</v>
          </cell>
          <cell r="E1933">
            <v>13694.800000000001</v>
          </cell>
          <cell r="F1933" t="str">
            <v>A1-S11</v>
          </cell>
          <cell r="G1933" t="str">
            <v>Bottom rail inside - Đố tiền đáy</v>
          </cell>
          <cell r="H1933" t="str">
            <v>Wood White Oak - Straight/Waving Edged, 2 COM - T32mm x W100mm Up x L1.5m Up</v>
          </cell>
          <cell r="I1933">
            <v>14</v>
          </cell>
        </row>
        <row r="1934">
          <cell r="A1934" t="str">
            <v>B558178/A</v>
          </cell>
          <cell r="B1934" t="str">
            <v>CZ842M409</v>
          </cell>
          <cell r="C1934">
            <v>14</v>
          </cell>
          <cell r="D1934">
            <v>978.2</v>
          </cell>
          <cell r="E1934">
            <v>13694.800000000001</v>
          </cell>
          <cell r="F1934" t="str">
            <v>A1-S12</v>
          </cell>
          <cell r="G1934" t="str">
            <v>Bottom rail inside - Đố tiền đáy</v>
          </cell>
          <cell r="H1934" t="str">
            <v>Wood laminate</v>
          </cell>
          <cell r="I1934">
            <v>28</v>
          </cell>
        </row>
        <row r="1935">
          <cell r="A1935" t="str">
            <v>B558178/A</v>
          </cell>
          <cell r="B1935" t="str">
            <v>CZ842M409</v>
          </cell>
          <cell r="C1935">
            <v>14</v>
          </cell>
          <cell r="D1935">
            <v>978.2</v>
          </cell>
          <cell r="E1935">
            <v>13694.800000000001</v>
          </cell>
          <cell r="F1935" t="str">
            <v>A1-S13</v>
          </cell>
          <cell r="G1935" t="str">
            <v>Vertical rail 1 - Đố đứng 1</v>
          </cell>
          <cell r="H1935" t="str">
            <v>Wood Rubber Laminate Board - 20 x 1220 x 2440mm, Veneer Poplar both Faces</v>
          </cell>
          <cell r="I1935">
            <v>28</v>
          </cell>
        </row>
        <row r="1936">
          <cell r="A1936" t="str">
            <v>B558178/A</v>
          </cell>
          <cell r="B1936" t="str">
            <v>CZ842M409</v>
          </cell>
          <cell r="C1936">
            <v>14</v>
          </cell>
          <cell r="D1936">
            <v>978.2</v>
          </cell>
          <cell r="E1936">
            <v>13694.800000000001</v>
          </cell>
          <cell r="F1936" t="str">
            <v>A1-S14</v>
          </cell>
          <cell r="G1936" t="str">
            <v>Vertical rail 1 - Đố đứng 1</v>
          </cell>
          <cell r="H1936" t="str">
            <v>Wood Rubber Laminate Board - 20 x 1220 x 2440mm, Veneer Poplar both Faces</v>
          </cell>
          <cell r="I1936">
            <v>84</v>
          </cell>
        </row>
        <row r="1937">
          <cell r="A1937" t="str">
            <v>B558178/A</v>
          </cell>
          <cell r="B1937" t="str">
            <v>CZ842M409</v>
          </cell>
          <cell r="C1937">
            <v>14</v>
          </cell>
          <cell r="D1937">
            <v>978.2</v>
          </cell>
          <cell r="E1937">
            <v>13694.800000000001</v>
          </cell>
          <cell r="F1937" t="str">
            <v>A1-S15</v>
          </cell>
          <cell r="G1937" t="str">
            <v>Vertical rail 1 - Đố đứng 1</v>
          </cell>
          <cell r="H1937" t="str">
            <v>Wood Rubber Laminate Board - 20 x 1220 x 2440mm, Veneer Poplar both Faces</v>
          </cell>
          <cell r="I1937">
            <v>28</v>
          </cell>
        </row>
        <row r="1938">
          <cell r="A1938" t="str">
            <v>B558178/A</v>
          </cell>
          <cell r="B1938" t="str">
            <v>CZ842M409</v>
          </cell>
          <cell r="C1938">
            <v>14</v>
          </cell>
          <cell r="D1938">
            <v>978.2</v>
          </cell>
          <cell r="E1938">
            <v>13694.800000000001</v>
          </cell>
          <cell r="F1938" t="str">
            <v>A1-S17</v>
          </cell>
          <cell r="G1938" t="str">
            <v>Vertical rail 1 - Đố đứng 1</v>
          </cell>
          <cell r="H1938" t="str">
            <v>MDF OFF CUT</v>
          </cell>
          <cell r="I1938">
            <v>126</v>
          </cell>
        </row>
        <row r="1939">
          <cell r="A1939" t="str">
            <v>B558178/A</v>
          </cell>
          <cell r="B1939" t="str">
            <v>CZ842M409</v>
          </cell>
          <cell r="C1939">
            <v>14</v>
          </cell>
          <cell r="D1939">
            <v>978.2</v>
          </cell>
          <cell r="E1939">
            <v>13694.800000000001</v>
          </cell>
          <cell r="F1939" t="str">
            <v>A1-S18</v>
          </cell>
          <cell r="G1939" t="str">
            <v>Vertical rail 1 - Đố đứng 1</v>
          </cell>
          <cell r="H1939" t="str">
            <v>MDF OFF CUT</v>
          </cell>
          <cell r="I1939">
            <v>42</v>
          </cell>
        </row>
        <row r="1940">
          <cell r="A1940" t="str">
            <v>B558178/A</v>
          </cell>
          <cell r="B1940" t="str">
            <v>CZ842M409</v>
          </cell>
          <cell r="C1940">
            <v>14</v>
          </cell>
          <cell r="D1940">
            <v>978.2</v>
          </cell>
          <cell r="E1940">
            <v>13694.800000000001</v>
          </cell>
          <cell r="F1940" t="str">
            <v>A2-S01</v>
          </cell>
          <cell r="G1940" t="str">
            <v>Top rail - Đố nóc</v>
          </cell>
          <cell r="H1940" t="str">
            <v>Wood laminate</v>
          </cell>
          <cell r="I1940">
            <v>14</v>
          </cell>
        </row>
        <row r="1941">
          <cell r="A1941" t="str">
            <v>B558178/A</v>
          </cell>
          <cell r="B1941" t="str">
            <v>CZ842M409</v>
          </cell>
          <cell r="C1941">
            <v>14</v>
          </cell>
          <cell r="D1941">
            <v>978.2</v>
          </cell>
          <cell r="E1941">
            <v>13694.800000000001</v>
          </cell>
          <cell r="F1941" t="str">
            <v>A2-S02</v>
          </cell>
          <cell r="G1941" t="str">
            <v>Vertical rail 1 - Đố đứng 1</v>
          </cell>
          <cell r="H1941" t="str">
            <v>Wood laminate</v>
          </cell>
          <cell r="I1941">
            <v>28</v>
          </cell>
        </row>
        <row r="1942">
          <cell r="A1942" t="str">
            <v>B558178/A</v>
          </cell>
          <cell r="B1942" t="str">
            <v>CZ842M409</v>
          </cell>
          <cell r="C1942">
            <v>14</v>
          </cell>
          <cell r="D1942">
            <v>978.2</v>
          </cell>
          <cell r="E1942">
            <v>13694.800000000001</v>
          </cell>
          <cell r="F1942" t="str">
            <v>A2-S03</v>
          </cell>
          <cell r="G1942" t="str">
            <v>Foot board panel  - Ván đuôi giường</v>
          </cell>
          <cell r="H1942" t="str">
            <v>MDF laminate</v>
          </cell>
          <cell r="I1942">
            <v>14</v>
          </cell>
        </row>
        <row r="1943">
          <cell r="A1943" t="str">
            <v>B558178/A</v>
          </cell>
          <cell r="B1943" t="str">
            <v>CZ842M409</v>
          </cell>
          <cell r="C1943">
            <v>14</v>
          </cell>
          <cell r="D1943">
            <v>978.2</v>
          </cell>
          <cell r="E1943">
            <v>13694.800000000001</v>
          </cell>
          <cell r="F1943" t="str">
            <v>A2-S04</v>
          </cell>
          <cell r="G1943" t="str">
            <v>Bottom rail inside - Đố tiền đáy</v>
          </cell>
          <cell r="H1943" t="str">
            <v>Wood laminate</v>
          </cell>
          <cell r="I1943">
            <v>14</v>
          </cell>
        </row>
        <row r="1944">
          <cell r="A1944" t="str">
            <v>B558178/A</v>
          </cell>
          <cell r="B1944" t="str">
            <v>CZ842M409</v>
          </cell>
          <cell r="C1944">
            <v>14</v>
          </cell>
          <cell r="D1944">
            <v>978.2</v>
          </cell>
          <cell r="E1944">
            <v>13694.800000000001</v>
          </cell>
          <cell r="F1944" t="str">
            <v>A3-S01</v>
          </cell>
          <cell r="G1944" t="str">
            <v xml:space="preserve">Side rail  - Đố hông </v>
          </cell>
          <cell r="H1944" t="str">
            <v>Wood White Oak - Straight/Waving Edged, 1 COM - T38mm x W100mm Up x L1.8m Up</v>
          </cell>
          <cell r="I1944">
            <v>28</v>
          </cell>
        </row>
        <row r="1945">
          <cell r="A1945" t="str">
            <v>B558178/A</v>
          </cell>
          <cell r="B1945" t="str">
            <v>CZ842M409</v>
          </cell>
          <cell r="C1945">
            <v>14</v>
          </cell>
          <cell r="D1945">
            <v>978.2</v>
          </cell>
          <cell r="E1945">
            <v>13694.800000000001</v>
          </cell>
          <cell r="F1945" t="str">
            <v>A3-S02</v>
          </cell>
          <cell r="G1945" t="str">
            <v>Side bed - Hông giường</v>
          </cell>
          <cell r="H1945" t="str">
            <v>MDF Veneer</v>
          </cell>
          <cell r="I1945">
            <v>28</v>
          </cell>
        </row>
        <row r="1946">
          <cell r="A1946" t="str">
            <v>B558178/A</v>
          </cell>
          <cell r="B1946" t="str">
            <v>CZ842M409</v>
          </cell>
          <cell r="C1946">
            <v>14</v>
          </cell>
          <cell r="D1946">
            <v>978.2</v>
          </cell>
          <cell r="E1946">
            <v>13694.800000000001</v>
          </cell>
          <cell r="F1946" t="str">
            <v>A3-S02-1</v>
          </cell>
          <cell r="G1946" t="str">
            <v>Insert Wood - Gỗ chèn</v>
          </cell>
          <cell r="H1946" t="str">
            <v>Beech off cut</v>
          </cell>
          <cell r="I1946">
            <v>56</v>
          </cell>
        </row>
        <row r="1947">
          <cell r="A1947" t="str">
            <v>B558178/A</v>
          </cell>
          <cell r="B1947" t="str">
            <v>CZ842M409</v>
          </cell>
          <cell r="C1947">
            <v>14</v>
          </cell>
          <cell r="D1947">
            <v>978.2</v>
          </cell>
          <cell r="E1947">
            <v>13694.800000000001</v>
          </cell>
          <cell r="F1947" t="str">
            <v>A3-S03</v>
          </cell>
          <cell r="G1947" t="str">
            <v>Slat Support  - Đỡ dạt giường</v>
          </cell>
          <cell r="H1947" t="str">
            <v>Wood EU Beech - Straight/Waving Edged AB, 1 COM - T32mm x W100mm up x L1.8m up</v>
          </cell>
          <cell r="I1947">
            <v>28</v>
          </cell>
        </row>
        <row r="1948">
          <cell r="A1948" t="str">
            <v>B558178/A</v>
          </cell>
          <cell r="B1948" t="str">
            <v>CZ842M409</v>
          </cell>
          <cell r="C1948">
            <v>14</v>
          </cell>
          <cell r="D1948">
            <v>978.2</v>
          </cell>
          <cell r="E1948">
            <v>13694.800000000001</v>
          </cell>
          <cell r="F1948" t="str">
            <v>A3-S04</v>
          </cell>
          <cell r="G1948" t="str">
            <v>Front Bottom Rail  - Đố đáy trước</v>
          </cell>
          <cell r="H1948" t="str">
            <v>Wood White Oak - Straight/Waving Edged, 1 COM - T32mm x W100mm Up x L1.8m Up</v>
          </cell>
          <cell r="I1948">
            <v>28</v>
          </cell>
        </row>
        <row r="1949">
          <cell r="A1949" t="str">
            <v>B558178/A</v>
          </cell>
          <cell r="B1949" t="str">
            <v>CZ842M409</v>
          </cell>
          <cell r="C1949">
            <v>14</v>
          </cell>
          <cell r="D1949">
            <v>978.2</v>
          </cell>
          <cell r="E1949">
            <v>13694.800000000001</v>
          </cell>
          <cell r="F1949" t="str">
            <v>P01</v>
          </cell>
          <cell r="G1949" t="str">
            <v>slat buy - dạt mua từ nhà cung</v>
          </cell>
          <cell r="H1949" t="str">
            <v>Slat buy</v>
          </cell>
          <cell r="I1949">
            <v>182</v>
          </cell>
        </row>
        <row r="1950">
          <cell r="A1950" t="str">
            <v>B558178/A</v>
          </cell>
          <cell r="B1950" t="str">
            <v>CZ842M409</v>
          </cell>
          <cell r="C1950">
            <v>14</v>
          </cell>
          <cell r="D1950">
            <v>978.2</v>
          </cell>
          <cell r="E1950">
            <v>13694.800000000001</v>
          </cell>
          <cell r="F1950" t="str">
            <v>P03</v>
          </cell>
          <cell r="G1950" t="str">
            <v>Slat Support  - Đỡ dạt giường</v>
          </cell>
          <cell r="H1950" t="str">
            <v>Wood US Poplar - Straight Edged, 1 COM - T38mm x W100mm Up x L1.8m Up</v>
          </cell>
          <cell r="I1950">
            <v>28</v>
          </cell>
        </row>
        <row r="1951">
          <cell r="A1951" t="str">
            <v>B558278/A</v>
          </cell>
          <cell r="B1951" t="str">
            <v>CZ854M381</v>
          </cell>
          <cell r="C1951">
            <v>5</v>
          </cell>
          <cell r="D1951">
            <v>1656.16</v>
          </cell>
          <cell r="E1951">
            <v>8280.8000000000011</v>
          </cell>
          <cell r="F1951" t="str">
            <v>A1-S01</v>
          </cell>
          <cell r="G1951" t="str">
            <v>Top rail - Đố nóc</v>
          </cell>
          <cell r="H1951" t="str">
            <v>Wood EU Beech - Straight/Waving Edged ABC, 2 COM - T38mm x W100mm up x L1.8m up</v>
          </cell>
          <cell r="I1951">
            <v>5</v>
          </cell>
        </row>
        <row r="1952">
          <cell r="A1952" t="str">
            <v>B558278/A</v>
          </cell>
          <cell r="B1952" t="str">
            <v>CZ854M381</v>
          </cell>
          <cell r="C1952">
            <v>5</v>
          </cell>
          <cell r="D1952">
            <v>1656.16</v>
          </cell>
          <cell r="E1952">
            <v>8280.8000000000011</v>
          </cell>
          <cell r="F1952" t="str">
            <v>A1-S02</v>
          </cell>
          <cell r="G1952" t="str">
            <v xml:space="preserve">Side rail  - Đố hông </v>
          </cell>
          <cell r="H1952" t="str">
            <v>Wood EU Beech - Straight/Waving Edged AB, 1 COM - T38mm x W100mm up x L1.8m up</v>
          </cell>
          <cell r="I1952">
            <v>10</v>
          </cell>
        </row>
        <row r="1953">
          <cell r="A1953" t="str">
            <v>B558278/A</v>
          </cell>
          <cell r="B1953" t="str">
            <v>CZ854M381</v>
          </cell>
          <cell r="C1953">
            <v>5</v>
          </cell>
          <cell r="D1953">
            <v>1656.16</v>
          </cell>
          <cell r="E1953">
            <v>8280.8000000000011</v>
          </cell>
          <cell r="F1953" t="str">
            <v>A1-S03</v>
          </cell>
          <cell r="G1953" t="str">
            <v xml:space="preserve">Front panel  - Ván tiền </v>
          </cell>
          <cell r="H1953" t="str">
            <v>MDF - 12 x 1830 x 2440mm [CARB P2 Compliant]</v>
          </cell>
          <cell r="I1953">
            <v>5</v>
          </cell>
        </row>
        <row r="1954">
          <cell r="A1954" t="str">
            <v>B558278/A</v>
          </cell>
          <cell r="B1954" t="str">
            <v>CZ854M381</v>
          </cell>
          <cell r="C1954">
            <v>5</v>
          </cell>
          <cell r="D1954">
            <v>1656.16</v>
          </cell>
          <cell r="E1954">
            <v>8280.8000000000011</v>
          </cell>
          <cell r="F1954" t="str">
            <v>A1-S04</v>
          </cell>
          <cell r="G1954" t="str">
            <v>Back panel - Ván hậu</v>
          </cell>
          <cell r="H1954" t="str">
            <v>MDF Veneer</v>
          </cell>
          <cell r="I1954">
            <v>5</v>
          </cell>
        </row>
        <row r="1955">
          <cell r="A1955" t="str">
            <v>B558278/A</v>
          </cell>
          <cell r="B1955" t="str">
            <v>CZ854M381</v>
          </cell>
          <cell r="C1955">
            <v>5</v>
          </cell>
          <cell r="D1955">
            <v>1656.16</v>
          </cell>
          <cell r="E1955">
            <v>8280.8000000000011</v>
          </cell>
          <cell r="F1955" t="str">
            <v>A1-S05</v>
          </cell>
          <cell r="G1955" t="str">
            <v>Center rail - Đố giữa</v>
          </cell>
          <cell r="H1955" t="str">
            <v>Standard Wood - ALDER/ASPEN/LENGA/US POPLAR, 2 COM - T25 W120mm+ L2m+</v>
          </cell>
          <cell r="I1955">
            <v>10</v>
          </cell>
        </row>
        <row r="1956">
          <cell r="A1956" t="str">
            <v>B558278/A</v>
          </cell>
          <cell r="B1956" t="str">
            <v>CZ854M381</v>
          </cell>
          <cell r="C1956">
            <v>5</v>
          </cell>
          <cell r="D1956">
            <v>1656.16</v>
          </cell>
          <cell r="E1956">
            <v>8280.8000000000011</v>
          </cell>
          <cell r="F1956" t="str">
            <v>A1-S05-1</v>
          </cell>
          <cell r="G1956" t="str">
            <v>Center rail - Đố giữa</v>
          </cell>
          <cell r="H1956" t="str">
            <v>Standard Wood - ALDER/ASPEN/LENGA/US POPLAR, 2 COM - T25 W120mm+ L2m+</v>
          </cell>
          <cell r="I1956">
            <v>15</v>
          </cell>
        </row>
        <row r="1957">
          <cell r="A1957" t="str">
            <v>B558278/A</v>
          </cell>
          <cell r="B1957" t="str">
            <v>CZ854M381</v>
          </cell>
          <cell r="C1957">
            <v>5</v>
          </cell>
          <cell r="D1957">
            <v>1656.16</v>
          </cell>
          <cell r="E1957">
            <v>8280.8000000000011</v>
          </cell>
          <cell r="F1957" t="str">
            <v>A1-S06</v>
          </cell>
          <cell r="G1957" t="str">
            <v xml:space="preserve">Front panel  - Ván tiền </v>
          </cell>
          <cell r="H1957" t="str">
            <v>MDF Veneer</v>
          </cell>
          <cell r="I1957">
            <v>5</v>
          </cell>
        </row>
        <row r="1958">
          <cell r="A1958" t="str">
            <v>B558278/A</v>
          </cell>
          <cell r="B1958" t="str">
            <v>CZ854M381</v>
          </cell>
          <cell r="C1958">
            <v>5</v>
          </cell>
          <cell r="D1958">
            <v>1656.16</v>
          </cell>
          <cell r="E1958">
            <v>8280.8000000000011</v>
          </cell>
          <cell r="F1958" t="str">
            <v>A1-S06-1</v>
          </cell>
          <cell r="G1958" t="str">
            <v>Insert Wood - Gỗ chèn</v>
          </cell>
          <cell r="H1958" t="str">
            <v>Beech off cut</v>
          </cell>
          <cell r="I1958">
            <v>30</v>
          </cell>
        </row>
        <row r="1959">
          <cell r="A1959" t="str">
            <v>B558278/A</v>
          </cell>
          <cell r="B1959" t="str">
            <v>CZ854M381</v>
          </cell>
          <cell r="C1959">
            <v>5</v>
          </cell>
          <cell r="D1959">
            <v>1656.16</v>
          </cell>
          <cell r="E1959">
            <v>8280.8000000000011</v>
          </cell>
          <cell r="F1959" t="str">
            <v>A1-S07-1</v>
          </cell>
          <cell r="G1959" t="str">
            <v>Patching wood - Gỗ đắp</v>
          </cell>
          <cell r="H1959" t="str">
            <v>Wood White Oak - Straight/Waving Edged, 1 COM - T25mm x W100mm Up x L1.8m Up</v>
          </cell>
          <cell r="I1959">
            <v>10</v>
          </cell>
        </row>
        <row r="1960">
          <cell r="A1960" t="str">
            <v>B558278/A</v>
          </cell>
          <cell r="B1960" t="str">
            <v>CZ854M381</v>
          </cell>
          <cell r="C1960">
            <v>5</v>
          </cell>
          <cell r="D1960">
            <v>1656.16</v>
          </cell>
          <cell r="E1960">
            <v>8280.8000000000011</v>
          </cell>
          <cell r="F1960" t="str">
            <v>A1-S08</v>
          </cell>
          <cell r="G1960" t="str">
            <v>Horizontal rail 1 - Đố ngang 1</v>
          </cell>
          <cell r="H1960" t="str">
            <v>Wood US Poplar - Straight Edged, 2 COM - T25mm x W100mm Up x L1.8m Up</v>
          </cell>
          <cell r="I1960">
            <v>10</v>
          </cell>
        </row>
        <row r="1961">
          <cell r="A1961" t="str">
            <v>B558278/A</v>
          </cell>
          <cell r="B1961" t="str">
            <v>CZ854M381</v>
          </cell>
          <cell r="C1961">
            <v>5</v>
          </cell>
          <cell r="D1961">
            <v>1656.16</v>
          </cell>
          <cell r="E1961">
            <v>8280.8000000000011</v>
          </cell>
          <cell r="F1961" t="str">
            <v>A1-S10</v>
          </cell>
          <cell r="G1961" t="str">
            <v>The leg  - Chân</v>
          </cell>
          <cell r="H1961" t="str">
            <v>Wood laminate</v>
          </cell>
          <cell r="I1961">
            <v>10</v>
          </cell>
        </row>
        <row r="1962">
          <cell r="A1962" t="str">
            <v>B558278/A</v>
          </cell>
          <cell r="B1962" t="str">
            <v>CZ854M381</v>
          </cell>
          <cell r="C1962">
            <v>5</v>
          </cell>
          <cell r="D1962">
            <v>1656.16</v>
          </cell>
          <cell r="E1962">
            <v>8280.8000000000011</v>
          </cell>
          <cell r="F1962" t="str">
            <v>A1-S11</v>
          </cell>
          <cell r="G1962" t="str">
            <v>Center rail - Đố giữa</v>
          </cell>
          <cell r="H1962" t="str">
            <v>MDF OFF CUT</v>
          </cell>
          <cell r="I1962">
            <v>10</v>
          </cell>
        </row>
        <row r="1963">
          <cell r="A1963" t="str">
            <v>B558278/A</v>
          </cell>
          <cell r="B1963" t="str">
            <v>CZ854M381</v>
          </cell>
          <cell r="C1963">
            <v>5</v>
          </cell>
          <cell r="D1963">
            <v>1656.16</v>
          </cell>
          <cell r="E1963">
            <v>8280.8000000000011</v>
          </cell>
          <cell r="F1963" t="str">
            <v>A1-S12</v>
          </cell>
          <cell r="G1963" t="str">
            <v>Cleat - Bọ gỗ</v>
          </cell>
          <cell r="H1963" t="str">
            <v>Beech off cut</v>
          </cell>
          <cell r="I1963">
            <v>20</v>
          </cell>
        </row>
        <row r="1964">
          <cell r="A1964" t="str">
            <v>B558278/A</v>
          </cell>
          <cell r="B1964" t="str">
            <v>CZ854M381</v>
          </cell>
          <cell r="C1964">
            <v>5</v>
          </cell>
          <cell r="D1964">
            <v>1656.16</v>
          </cell>
          <cell r="E1964">
            <v>8280.8000000000011</v>
          </cell>
          <cell r="F1964" t="str">
            <v>A1-S13</v>
          </cell>
          <cell r="G1964" t="str">
            <v>Corner block - ke góc</v>
          </cell>
          <cell r="H1964" t="str">
            <v>Beech off cut</v>
          </cell>
          <cell r="I1964">
            <v>70</v>
          </cell>
        </row>
        <row r="1965">
          <cell r="A1965" t="str">
            <v>B558278/A</v>
          </cell>
          <cell r="B1965" t="str">
            <v>CZ854M381</v>
          </cell>
          <cell r="C1965">
            <v>5</v>
          </cell>
          <cell r="D1965">
            <v>1656.16</v>
          </cell>
          <cell r="E1965">
            <v>8280.8000000000011</v>
          </cell>
          <cell r="F1965" t="str">
            <v>A1-S14</v>
          </cell>
          <cell r="G1965" t="str">
            <v>Patching wood - Gỗ đắp</v>
          </cell>
          <cell r="H1965" t="str">
            <v>Beech off cut</v>
          </cell>
          <cell r="I1965">
            <v>10</v>
          </cell>
        </row>
        <row r="1966">
          <cell r="A1966" t="str">
            <v>B558278/A</v>
          </cell>
          <cell r="B1966" t="str">
            <v>CZ854M381</v>
          </cell>
          <cell r="C1966">
            <v>5</v>
          </cell>
          <cell r="D1966">
            <v>1656.16</v>
          </cell>
          <cell r="E1966">
            <v>8280.8000000000011</v>
          </cell>
          <cell r="F1966" t="str">
            <v>A1-S15</v>
          </cell>
          <cell r="G1966" t="str">
            <v>Patching wood - Gỗ đắp</v>
          </cell>
          <cell r="H1966" t="str">
            <v>Wood laminate</v>
          </cell>
          <cell r="I1966">
            <v>40</v>
          </cell>
        </row>
        <row r="1967">
          <cell r="A1967" t="str">
            <v>B558278/A</v>
          </cell>
          <cell r="B1967" t="str">
            <v>CZ854M381</v>
          </cell>
          <cell r="C1967">
            <v>5</v>
          </cell>
          <cell r="D1967">
            <v>1656.16</v>
          </cell>
          <cell r="E1967">
            <v>8280.8000000000011</v>
          </cell>
          <cell r="F1967" t="str">
            <v>A1-S16</v>
          </cell>
          <cell r="G1967" t="str">
            <v>Cleat - Bọ gỗ</v>
          </cell>
          <cell r="H1967" t="str">
            <v>Plywood LVD - 18 x 1220 x 2440mm, Bleached Poplar Veneer Both Sides [CARB P2 Compliant]</v>
          </cell>
          <cell r="I1967">
            <v>30</v>
          </cell>
        </row>
        <row r="1968">
          <cell r="A1968" t="str">
            <v>B558278/A</v>
          </cell>
          <cell r="B1968" t="str">
            <v>CZ854M381</v>
          </cell>
          <cell r="C1968">
            <v>5</v>
          </cell>
          <cell r="D1968">
            <v>1656.16</v>
          </cell>
          <cell r="E1968">
            <v>8280.8000000000011</v>
          </cell>
          <cell r="F1968" t="str">
            <v>A1-S17</v>
          </cell>
          <cell r="G1968" t="str">
            <v>Cleat - Bọ gỗ</v>
          </cell>
          <cell r="H1968" t="str">
            <v>Plywood LVD - 18 x 1220 x 2440mm, Bleached Poplar Veneer Both Sides [CARB P2 Compliant]</v>
          </cell>
          <cell r="I1968">
            <v>10</v>
          </cell>
        </row>
        <row r="1969">
          <cell r="A1969" t="str">
            <v>B558278/A</v>
          </cell>
          <cell r="B1969" t="str">
            <v>CZ854M381</v>
          </cell>
          <cell r="C1969">
            <v>5</v>
          </cell>
          <cell r="D1969">
            <v>1656.16</v>
          </cell>
          <cell r="E1969">
            <v>8280.8000000000011</v>
          </cell>
          <cell r="F1969" t="str">
            <v>A2-S1</v>
          </cell>
          <cell r="G1969" t="str">
            <v>Top rail - Đố nóc</v>
          </cell>
          <cell r="H1969" t="str">
            <v>Wood White Oak - Straight/Waving Edged, 1 COM - T38mm x W100mm Up x L1.8m Up</v>
          </cell>
          <cell r="I1969">
            <v>5</v>
          </cell>
        </row>
        <row r="1970">
          <cell r="A1970" t="str">
            <v>B558278/A</v>
          </cell>
          <cell r="B1970" t="str">
            <v>CZ854M381</v>
          </cell>
          <cell r="C1970">
            <v>5</v>
          </cell>
          <cell r="D1970">
            <v>1656.16</v>
          </cell>
          <cell r="E1970">
            <v>8280.8000000000011</v>
          </cell>
          <cell r="F1970" t="str">
            <v>A2-S2</v>
          </cell>
          <cell r="G1970" t="str">
            <v xml:space="preserve">Front panel  - Ván tiền </v>
          </cell>
          <cell r="H1970" t="str">
            <v>Pre-Assembly</v>
          </cell>
          <cell r="I1970">
            <v>5</v>
          </cell>
        </row>
        <row r="1971">
          <cell r="A1971" t="str">
            <v>B558278/A</v>
          </cell>
          <cell r="B1971" t="str">
            <v>CZ854M381</v>
          </cell>
          <cell r="C1971">
            <v>5</v>
          </cell>
          <cell r="D1971">
            <v>1656.16</v>
          </cell>
          <cell r="E1971">
            <v>8280.8000000000011</v>
          </cell>
          <cell r="F1971" t="str">
            <v>A2-S2-1</v>
          </cell>
          <cell r="G1971" t="str">
            <v xml:space="preserve">Panel - Ván </v>
          </cell>
          <cell r="H1971" t="str">
            <v>MDF - 18 x 1830 x 2440mm [CARB P2 Compliant]</v>
          </cell>
          <cell r="I1971">
            <v>5</v>
          </cell>
        </row>
        <row r="1972">
          <cell r="A1972" t="str">
            <v>B558278/A</v>
          </cell>
          <cell r="B1972" t="str">
            <v>CZ854M381</v>
          </cell>
          <cell r="C1972">
            <v>5</v>
          </cell>
          <cell r="D1972">
            <v>1656.16</v>
          </cell>
          <cell r="E1972">
            <v>8280.8000000000011</v>
          </cell>
          <cell r="F1972" t="str">
            <v>A2-S2-2</v>
          </cell>
          <cell r="G1972" t="str">
            <v>Patching wood - Gỗ đắp</v>
          </cell>
          <cell r="H1972" t="str">
            <v>Wood White Oak - Straight/Waving Edged, 2 COM - T25mm x W100mm Up x L1.5m Up</v>
          </cell>
          <cell r="I1972">
            <v>10</v>
          </cell>
        </row>
        <row r="1973">
          <cell r="A1973" t="str">
            <v>B558278/A</v>
          </cell>
          <cell r="B1973" t="str">
            <v>CZ854M381</v>
          </cell>
          <cell r="C1973">
            <v>5</v>
          </cell>
          <cell r="D1973">
            <v>1656.16</v>
          </cell>
          <cell r="E1973">
            <v>8280.8000000000011</v>
          </cell>
          <cell r="F1973" t="str">
            <v>A2-S3</v>
          </cell>
          <cell r="G1973" t="str">
            <v>Cleat - Bọ gỗ</v>
          </cell>
          <cell r="H1973" t="str">
            <v>Wood White Oak - Straight/Waving Edged, 1 COM - T38mm x W100mm Up x L1.8m Up</v>
          </cell>
          <cell r="I1973">
            <v>30</v>
          </cell>
        </row>
        <row r="1974">
          <cell r="A1974" t="str">
            <v>B558278/A</v>
          </cell>
          <cell r="B1974" t="str">
            <v>CZ854M381</v>
          </cell>
          <cell r="C1974">
            <v>5</v>
          </cell>
          <cell r="D1974">
            <v>1656.16</v>
          </cell>
          <cell r="E1974">
            <v>8280.8000000000011</v>
          </cell>
          <cell r="F1974" t="str">
            <v>A2-S4</v>
          </cell>
          <cell r="G1974" t="str">
            <v>Patching wood - Gỗ đắp</v>
          </cell>
          <cell r="H1974" t="str">
            <v>Wood White Oak - Straight/Waving Edged, 2 COM - T25mm x W100mm Up x L1.5m Up</v>
          </cell>
          <cell r="I1974">
            <v>5</v>
          </cell>
        </row>
        <row r="1975">
          <cell r="A1975" t="str">
            <v>B558278/A</v>
          </cell>
          <cell r="B1975" t="str">
            <v>CZ854M381</v>
          </cell>
          <cell r="C1975">
            <v>5</v>
          </cell>
          <cell r="D1975">
            <v>1656.16</v>
          </cell>
          <cell r="E1975">
            <v>8280.8000000000011</v>
          </cell>
          <cell r="F1975" t="str">
            <v>A3-S1</v>
          </cell>
          <cell r="G1975" t="str">
            <v xml:space="preserve">Side rail  - Đố hông </v>
          </cell>
          <cell r="H1975" t="str">
            <v>Wood White Oak - Straight/Waving Edged, 1 COM - T38mm x W100mm Up x L1.8m Up</v>
          </cell>
          <cell r="I1975">
            <v>10</v>
          </cell>
        </row>
        <row r="1976">
          <cell r="A1976" t="str">
            <v>B558278/A</v>
          </cell>
          <cell r="B1976" t="str">
            <v>CZ854M381</v>
          </cell>
          <cell r="C1976">
            <v>5</v>
          </cell>
          <cell r="D1976">
            <v>1656.16</v>
          </cell>
          <cell r="E1976">
            <v>8280.8000000000011</v>
          </cell>
          <cell r="F1976" t="str">
            <v>A3-S2</v>
          </cell>
          <cell r="G1976" t="str">
            <v xml:space="preserve">Side panel  - Ván hông </v>
          </cell>
          <cell r="H1976" t="str">
            <v>Pre-Assembly</v>
          </cell>
          <cell r="I1976">
            <v>10</v>
          </cell>
        </row>
        <row r="1977">
          <cell r="A1977" t="str">
            <v>B558278/A</v>
          </cell>
          <cell r="B1977" t="str">
            <v>CZ854M381</v>
          </cell>
          <cell r="C1977">
            <v>5</v>
          </cell>
          <cell r="D1977">
            <v>1656.16</v>
          </cell>
          <cell r="E1977">
            <v>8280.8000000000011</v>
          </cell>
          <cell r="F1977" t="str">
            <v>A3-S2-1</v>
          </cell>
          <cell r="G1977" t="str">
            <v xml:space="preserve">Panel - Ván </v>
          </cell>
          <cell r="H1977" t="str">
            <v>MDF - 18 x 1830 x 2440mm [CARB P2 Compliant]</v>
          </cell>
          <cell r="I1977">
            <v>10</v>
          </cell>
        </row>
        <row r="1978">
          <cell r="A1978" t="str">
            <v>B558278/A</v>
          </cell>
          <cell r="B1978" t="str">
            <v>CZ854M381</v>
          </cell>
          <cell r="C1978">
            <v>5</v>
          </cell>
          <cell r="D1978">
            <v>1656.16</v>
          </cell>
          <cell r="E1978">
            <v>8280.8000000000011</v>
          </cell>
          <cell r="F1978" t="str">
            <v>A3-S2-2</v>
          </cell>
          <cell r="G1978" t="str">
            <v>Insert Wood - Gỗ chèn</v>
          </cell>
          <cell r="H1978" t="str">
            <v>Wood EU Beech - Straight/Waving Edged ABC, 2 COM - T38mm x W100mm up x L1.8m up</v>
          </cell>
          <cell r="I1978">
            <v>20</v>
          </cell>
        </row>
        <row r="1979">
          <cell r="A1979" t="str">
            <v>B558278/A</v>
          </cell>
          <cell r="B1979" t="str">
            <v>CZ854M381</v>
          </cell>
          <cell r="C1979">
            <v>5</v>
          </cell>
          <cell r="D1979">
            <v>1656.16</v>
          </cell>
          <cell r="E1979">
            <v>8280.8000000000011</v>
          </cell>
          <cell r="F1979" t="str">
            <v>A3-S2-3</v>
          </cell>
          <cell r="G1979" t="str">
            <v>Patching wood - Gỗ đắp</v>
          </cell>
          <cell r="H1979" t="str">
            <v>Wood White Oak - Straight/Waving Edged, 2 COM - T25mm x W100mm Up x L1.5m Up</v>
          </cell>
          <cell r="I1979">
            <v>20</v>
          </cell>
        </row>
        <row r="1980">
          <cell r="A1980" t="str">
            <v>B558278/A</v>
          </cell>
          <cell r="B1980" t="str">
            <v>CZ854M381</v>
          </cell>
          <cell r="C1980">
            <v>5</v>
          </cell>
          <cell r="D1980">
            <v>1656.16</v>
          </cell>
          <cell r="E1980">
            <v>8280.8000000000011</v>
          </cell>
          <cell r="F1980" t="str">
            <v>A3-S3</v>
          </cell>
          <cell r="G1980" t="str">
            <v>Slat Support  - Đỡ dạt giường</v>
          </cell>
          <cell r="H1980" t="str">
            <v>Wood EU Beech - Straight/Waving Edged AB, 1 COM - T50mm x W100mm up x L1.8m up</v>
          </cell>
          <cell r="I1980">
            <v>10</v>
          </cell>
        </row>
        <row r="1981">
          <cell r="A1981" t="str">
            <v>B558278/A</v>
          </cell>
          <cell r="B1981" t="str">
            <v>CZ854M381</v>
          </cell>
          <cell r="C1981">
            <v>5</v>
          </cell>
          <cell r="D1981">
            <v>1656.16</v>
          </cell>
          <cell r="E1981">
            <v>8280.8000000000011</v>
          </cell>
          <cell r="F1981" t="str">
            <v>A3-S4</v>
          </cell>
          <cell r="G1981" t="str">
            <v>The leg  - Chân</v>
          </cell>
          <cell r="H1981" t="str">
            <v>Wood White Oak - Straight/Waving Edged, 1 COM - T25mm x W100mm Up x L1.8m Up</v>
          </cell>
          <cell r="I1981">
            <v>10</v>
          </cell>
        </row>
        <row r="1982">
          <cell r="A1982" t="str">
            <v>B558278/A</v>
          </cell>
          <cell r="B1982" t="str">
            <v>CZ854M381</v>
          </cell>
          <cell r="C1982">
            <v>5</v>
          </cell>
          <cell r="D1982">
            <v>1656.16</v>
          </cell>
          <cell r="E1982">
            <v>8280.8000000000011</v>
          </cell>
          <cell r="F1982" t="str">
            <v>P01</v>
          </cell>
          <cell r="G1982" t="str">
            <v>slat buy - dạt mua từ nhà cung</v>
          </cell>
          <cell r="H1982" t="str">
            <v>Slat buy</v>
          </cell>
          <cell r="I1982">
            <v>65</v>
          </cell>
        </row>
        <row r="1983">
          <cell r="A1983" t="str">
            <v>B558278/A</v>
          </cell>
          <cell r="B1983" t="str">
            <v>CZ854M381</v>
          </cell>
          <cell r="C1983">
            <v>5</v>
          </cell>
          <cell r="D1983">
            <v>1656.16</v>
          </cell>
          <cell r="E1983">
            <v>8280.8000000000011</v>
          </cell>
          <cell r="F1983" t="str">
            <v>P02</v>
          </cell>
          <cell r="G1983" t="str">
            <v>Slat Support  - Đỡ dạt giường</v>
          </cell>
          <cell r="H1983" t="str">
            <v>Wood US Poplar - Straight Edged, 1 COM - T38mm x W100mm Up x L1.8m Up</v>
          </cell>
          <cell r="I1983">
            <v>10</v>
          </cell>
        </row>
        <row r="1984">
          <cell r="A1984" t="str">
            <v>B558278/A</v>
          </cell>
          <cell r="B1984" t="str">
            <v>CZ854M381</v>
          </cell>
          <cell r="C1984">
            <v>5</v>
          </cell>
          <cell r="D1984">
            <v>1656.16</v>
          </cell>
          <cell r="E1984">
            <v>8280.8000000000011</v>
          </cell>
          <cell r="F1984" t="str">
            <v>P03</v>
          </cell>
          <cell r="G1984" t="str">
            <v>Top rail - Đố nóc</v>
          </cell>
          <cell r="H1984" t="str">
            <v>Wood laminate</v>
          </cell>
          <cell r="I1984">
            <v>5</v>
          </cell>
        </row>
        <row r="1985">
          <cell r="A1985" t="str">
            <v>B558278/A</v>
          </cell>
          <cell r="B1985" t="str">
            <v>CZ854M381</v>
          </cell>
          <cell r="C1985">
            <v>5</v>
          </cell>
          <cell r="D1985">
            <v>1656.16</v>
          </cell>
          <cell r="E1985">
            <v>8280.8000000000011</v>
          </cell>
          <cell r="F1985" t="str">
            <v>P04</v>
          </cell>
          <cell r="G1985" t="str">
            <v>Top rail - Đố nóc</v>
          </cell>
          <cell r="H1985" t="str">
            <v>Wood laminate</v>
          </cell>
          <cell r="I1985">
            <v>5</v>
          </cell>
        </row>
        <row r="1986">
          <cell r="A1986" t="str">
            <v>B558278/A</v>
          </cell>
          <cell r="B1986" t="str">
            <v>CZ854M381</v>
          </cell>
          <cell r="C1986">
            <v>5</v>
          </cell>
          <cell r="D1986">
            <v>1656.16</v>
          </cell>
          <cell r="E1986">
            <v>8280.8000000000011</v>
          </cell>
          <cell r="F1986" t="str">
            <v>P05</v>
          </cell>
          <cell r="G1986" t="str">
            <v>Vertical rail 1 - Đố đứng 1</v>
          </cell>
          <cell r="H1986" t="str">
            <v>Pre-Assembly</v>
          </cell>
          <cell r="I1986">
            <v>10</v>
          </cell>
        </row>
        <row r="1987">
          <cell r="A1987" t="str">
            <v>B558278/A</v>
          </cell>
          <cell r="B1987" t="str">
            <v>CZ854M381</v>
          </cell>
          <cell r="C1987">
            <v>5</v>
          </cell>
          <cell r="D1987">
            <v>1656.16</v>
          </cell>
          <cell r="E1987">
            <v>8280.8000000000011</v>
          </cell>
          <cell r="F1987" t="str">
            <v>P05-1</v>
          </cell>
          <cell r="G1987" t="str">
            <v>Vertical rail 1 - Đố đứng 1</v>
          </cell>
          <cell r="H1987" t="str">
            <v>Wd+VN</v>
          </cell>
          <cell r="I1987">
            <v>10</v>
          </cell>
        </row>
        <row r="1988">
          <cell r="A1988" t="str">
            <v>B558278/A</v>
          </cell>
          <cell r="B1988" t="str">
            <v>CZ854M381</v>
          </cell>
          <cell r="C1988">
            <v>5</v>
          </cell>
          <cell r="D1988">
            <v>1656.16</v>
          </cell>
          <cell r="E1988">
            <v>8280.8000000000011</v>
          </cell>
          <cell r="F1988" t="str">
            <v>P05-2</v>
          </cell>
          <cell r="G1988" t="str">
            <v>Patching wood - Gỗ đắp</v>
          </cell>
          <cell r="H1988" t="str">
            <v>Wood laminate</v>
          </cell>
          <cell r="I1988">
            <v>20</v>
          </cell>
        </row>
        <row r="1989">
          <cell r="A1989" t="str">
            <v>B558278/A</v>
          </cell>
          <cell r="B1989" t="str">
            <v>CZ854M381</v>
          </cell>
          <cell r="C1989">
            <v>5</v>
          </cell>
          <cell r="D1989">
            <v>1656.16</v>
          </cell>
          <cell r="E1989">
            <v>8280.8000000000011</v>
          </cell>
          <cell r="F1989" t="str">
            <v>P06</v>
          </cell>
          <cell r="G1989" t="str">
            <v>Wood laminater - Gỗ ghép 1</v>
          </cell>
          <cell r="H1989" t="str">
            <v>Pre-Assembly</v>
          </cell>
          <cell r="I1989">
            <v>10</v>
          </cell>
        </row>
        <row r="1990">
          <cell r="A1990" t="str">
            <v>B558278/A</v>
          </cell>
          <cell r="B1990" t="str">
            <v>CZ854M381</v>
          </cell>
          <cell r="C1990">
            <v>5</v>
          </cell>
          <cell r="D1990">
            <v>1656.16</v>
          </cell>
          <cell r="E1990">
            <v>8280.8000000000011</v>
          </cell>
          <cell r="F1990" t="str">
            <v>P06-1</v>
          </cell>
          <cell r="G1990" t="str">
            <v>Wood laminater - Gỗ ghép 1</v>
          </cell>
          <cell r="H1990" t="str">
            <v>Wd+VN</v>
          </cell>
          <cell r="I1990">
            <v>10</v>
          </cell>
        </row>
        <row r="1991">
          <cell r="A1991" t="str">
            <v>B558185/A</v>
          </cell>
          <cell r="B1991" t="str">
            <v>CZ891M196</v>
          </cell>
          <cell r="C1991">
            <v>7</v>
          </cell>
          <cell r="D1991">
            <v>499.55</v>
          </cell>
          <cell r="E1991">
            <v>3496.85</v>
          </cell>
          <cell r="F1991" t="str">
            <v>A1</v>
          </cell>
          <cell r="G1991" t="str">
            <v>Top Frame - Khung nóc</v>
          </cell>
          <cell r="H1991" t="str">
            <v>Pre-Assembly</v>
          </cell>
          <cell r="I1991">
            <v>7</v>
          </cell>
        </row>
        <row r="1992">
          <cell r="A1992" t="str">
            <v>B558185/A</v>
          </cell>
          <cell r="B1992" t="str">
            <v>CZ891M196</v>
          </cell>
          <cell r="C1992">
            <v>7</v>
          </cell>
          <cell r="D1992">
            <v>499.55</v>
          </cell>
          <cell r="E1992">
            <v>3496.85</v>
          </cell>
          <cell r="F1992" t="str">
            <v>A1-S01</v>
          </cell>
          <cell r="G1992" t="str">
            <v xml:space="preserve">Panel - Ván </v>
          </cell>
          <cell r="H1992" t="str">
            <v>MDF - 25 x 1830 x 2440mm [CARB P2 Compliant]</v>
          </cell>
          <cell r="I1992">
            <v>7</v>
          </cell>
        </row>
        <row r="1993">
          <cell r="A1993" t="str">
            <v>B558185/A</v>
          </cell>
          <cell r="B1993" t="str">
            <v>CZ891M196</v>
          </cell>
          <cell r="C1993">
            <v>7</v>
          </cell>
          <cell r="D1993">
            <v>499.55</v>
          </cell>
          <cell r="E1993">
            <v>3496.85</v>
          </cell>
          <cell r="F1993" t="str">
            <v>A1-S02</v>
          </cell>
          <cell r="G1993" t="str">
            <v xml:space="preserve">Panel - Ván </v>
          </cell>
          <cell r="H1993" t="str">
            <v>MDF - 25 x 1830 x 2440mm [CARB P2 Compliant]</v>
          </cell>
          <cell r="I1993">
            <v>7</v>
          </cell>
        </row>
        <row r="1994">
          <cell r="A1994" t="str">
            <v>B558185/A</v>
          </cell>
          <cell r="B1994" t="str">
            <v>CZ891M196</v>
          </cell>
          <cell r="C1994">
            <v>7</v>
          </cell>
          <cell r="D1994">
            <v>499.55</v>
          </cell>
          <cell r="E1994">
            <v>3496.85</v>
          </cell>
          <cell r="F1994" t="str">
            <v>A1-S03</v>
          </cell>
          <cell r="G1994" t="str">
            <v>Insert Wood - Gỗ chèn</v>
          </cell>
          <cell r="H1994" t="str">
            <v>Wood EU Beech - Straight/Waving Edged ABC, 2 COM - T26mm x W100mm up x L1.8m up</v>
          </cell>
          <cell r="I1994">
            <v>28</v>
          </cell>
        </row>
        <row r="1995">
          <cell r="A1995" t="str">
            <v>B558185/A</v>
          </cell>
          <cell r="B1995" t="str">
            <v>CZ891M196</v>
          </cell>
          <cell r="C1995">
            <v>7</v>
          </cell>
          <cell r="D1995">
            <v>499.55</v>
          </cell>
          <cell r="E1995">
            <v>3496.85</v>
          </cell>
          <cell r="F1995" t="str">
            <v>A2-S01</v>
          </cell>
          <cell r="G1995" t="str">
            <v>Center rail - Đố giữa</v>
          </cell>
          <cell r="H1995" t="str">
            <v>Wood Red Oak - Straight/Waving Edged, 1 COM - T32mm x W100mm Up x L1.8m Up</v>
          </cell>
          <cell r="I1995">
            <v>7</v>
          </cell>
        </row>
        <row r="1996">
          <cell r="A1996" t="str">
            <v>B558185/A</v>
          </cell>
          <cell r="B1996" t="str">
            <v>CZ891M196</v>
          </cell>
          <cell r="C1996">
            <v>7</v>
          </cell>
          <cell r="D1996">
            <v>499.55</v>
          </cell>
          <cell r="E1996">
            <v>3496.85</v>
          </cell>
          <cell r="F1996" t="str">
            <v>A2-S01-1</v>
          </cell>
          <cell r="G1996" t="str">
            <v>Center rail - Đố giữa</v>
          </cell>
          <cell r="H1996" t="str">
            <v>Wood Red Oak - Straight/Waving Edged, 1 COM - T32mm x W100mm Up x L1.8m Up</v>
          </cell>
          <cell r="I1996">
            <v>7</v>
          </cell>
        </row>
        <row r="1997">
          <cell r="A1997" t="str">
            <v>B558185/A</v>
          </cell>
          <cell r="B1997" t="str">
            <v>CZ891M196</v>
          </cell>
          <cell r="C1997">
            <v>7</v>
          </cell>
          <cell r="D1997">
            <v>499.55</v>
          </cell>
          <cell r="E1997">
            <v>3496.85</v>
          </cell>
          <cell r="F1997" t="str">
            <v>A2-S02</v>
          </cell>
          <cell r="G1997" t="str">
            <v>The leg  - Chân</v>
          </cell>
          <cell r="H1997" t="str">
            <v>Pre-Assembly</v>
          </cell>
          <cell r="I1997">
            <v>14</v>
          </cell>
        </row>
        <row r="1998">
          <cell r="A1998" t="str">
            <v>B558185/A</v>
          </cell>
          <cell r="B1998" t="str">
            <v>CZ891M196</v>
          </cell>
          <cell r="C1998">
            <v>7</v>
          </cell>
          <cell r="D1998">
            <v>499.55</v>
          </cell>
          <cell r="E1998">
            <v>3496.85</v>
          </cell>
          <cell r="F1998" t="str">
            <v>A2-S02-1</v>
          </cell>
          <cell r="G1998" t="str">
            <v>The leg  - Chân</v>
          </cell>
          <cell r="H1998" t="str">
            <v>Pre-Assembly</v>
          </cell>
          <cell r="I1998">
            <v>7</v>
          </cell>
        </row>
        <row r="1999">
          <cell r="A1999" t="str">
            <v>B558185/A</v>
          </cell>
          <cell r="B1999" t="str">
            <v>CZ891M196</v>
          </cell>
          <cell r="C1999">
            <v>7</v>
          </cell>
          <cell r="D1999">
            <v>499.55</v>
          </cell>
          <cell r="E1999">
            <v>3496.85</v>
          </cell>
          <cell r="F1999" t="str">
            <v>A2-S02-2</v>
          </cell>
          <cell r="G1999" t="str">
            <v>The leg  - Chân</v>
          </cell>
          <cell r="H1999" t="str">
            <v>Pre-Assembly</v>
          </cell>
          <cell r="I1999">
            <v>7</v>
          </cell>
        </row>
        <row r="2000">
          <cell r="A2000" t="str">
            <v>B558185/A</v>
          </cell>
          <cell r="B2000" t="str">
            <v>CZ891M196</v>
          </cell>
          <cell r="C2000">
            <v>7</v>
          </cell>
          <cell r="D2000">
            <v>499.55</v>
          </cell>
          <cell r="E2000">
            <v>3496.85</v>
          </cell>
          <cell r="F2000" t="str">
            <v>A2-S02A</v>
          </cell>
          <cell r="G2000" t="str">
            <v>The leg  - Chân</v>
          </cell>
          <cell r="H2000" t="str">
            <v>MDF laminate</v>
          </cell>
          <cell r="I2000">
            <v>14</v>
          </cell>
        </row>
        <row r="2001">
          <cell r="A2001" t="str">
            <v>B558185/A</v>
          </cell>
          <cell r="B2001" t="str">
            <v>CZ891M196</v>
          </cell>
          <cell r="C2001">
            <v>7</v>
          </cell>
          <cell r="D2001">
            <v>499.55</v>
          </cell>
          <cell r="E2001">
            <v>3496.85</v>
          </cell>
          <cell r="F2001" t="str">
            <v>A2-S02B</v>
          </cell>
          <cell r="G2001" t="str">
            <v>Patching wood - Gỗ đắp</v>
          </cell>
          <cell r="H2001" t="str">
            <v>Wood Red Oak - Straight/Waving Edged, 1 COM - T38mm x W100mm Up x L1.8m Up</v>
          </cell>
          <cell r="I2001">
            <v>28</v>
          </cell>
        </row>
        <row r="2002">
          <cell r="A2002" t="str">
            <v>B558191/A</v>
          </cell>
          <cell r="B2002" t="str">
            <v>CZ891M381</v>
          </cell>
          <cell r="C2002">
            <v>9</v>
          </cell>
          <cell r="D2002">
            <v>499.55</v>
          </cell>
          <cell r="E2002">
            <v>4495.95</v>
          </cell>
          <cell r="F2002" t="str">
            <v>A1</v>
          </cell>
          <cell r="G2002" t="str">
            <v>Top Frame - Khung nóc</v>
          </cell>
          <cell r="H2002" t="str">
            <v>Pre-Assembly</v>
          </cell>
          <cell r="I2002">
            <v>9</v>
          </cell>
        </row>
        <row r="2003">
          <cell r="A2003" t="str">
            <v>B558191/A</v>
          </cell>
          <cell r="B2003" t="str">
            <v>CZ891M381</v>
          </cell>
          <cell r="C2003">
            <v>9</v>
          </cell>
          <cell r="D2003">
            <v>499.55</v>
          </cell>
          <cell r="E2003">
            <v>4495.95</v>
          </cell>
          <cell r="F2003" t="str">
            <v>A1-S01</v>
          </cell>
          <cell r="G2003" t="str">
            <v xml:space="preserve">Panel - Ván </v>
          </cell>
          <cell r="H2003" t="str">
            <v>MDF - 25 x 1830 x 2440mm [CARB P2 Compliant]</v>
          </cell>
          <cell r="I2003">
            <v>9</v>
          </cell>
        </row>
        <row r="2004">
          <cell r="A2004" t="str">
            <v>B558191/A</v>
          </cell>
          <cell r="B2004" t="str">
            <v>CZ891M381</v>
          </cell>
          <cell r="C2004">
            <v>9</v>
          </cell>
          <cell r="D2004">
            <v>499.55</v>
          </cell>
          <cell r="E2004">
            <v>4495.95</v>
          </cell>
          <cell r="F2004" t="str">
            <v>A1-S02</v>
          </cell>
          <cell r="G2004" t="str">
            <v xml:space="preserve">Panel - Ván </v>
          </cell>
          <cell r="H2004" t="str">
            <v>MDF - 25 x 1830 x 2440mm [CARB P2 Compliant]</v>
          </cell>
          <cell r="I2004">
            <v>9</v>
          </cell>
        </row>
        <row r="2005">
          <cell r="A2005" t="str">
            <v>B558191/A</v>
          </cell>
          <cell r="B2005" t="str">
            <v>CZ891M381</v>
          </cell>
          <cell r="C2005">
            <v>9</v>
          </cell>
          <cell r="D2005">
            <v>499.55</v>
          </cell>
          <cell r="E2005">
            <v>4495.95</v>
          </cell>
          <cell r="F2005" t="str">
            <v>A1-S03</v>
          </cell>
          <cell r="G2005" t="str">
            <v>Insert Wood - Gỗ chèn</v>
          </cell>
          <cell r="H2005" t="str">
            <v>Wood EU Beech - Straight/Waving Edged ABC, 2 COM - T26mm x W100mm up x L1.8m up</v>
          </cell>
          <cell r="I2005">
            <v>36</v>
          </cell>
        </row>
        <row r="2006">
          <cell r="A2006" t="str">
            <v>B558191/A</v>
          </cell>
          <cell r="B2006" t="str">
            <v>CZ891M381</v>
          </cell>
          <cell r="C2006">
            <v>9</v>
          </cell>
          <cell r="D2006">
            <v>499.55</v>
          </cell>
          <cell r="E2006">
            <v>4495.95</v>
          </cell>
          <cell r="F2006" t="str">
            <v>A2-S01</v>
          </cell>
          <cell r="G2006" t="str">
            <v>Center rail - Đố giữa</v>
          </cell>
          <cell r="H2006" t="str">
            <v>Wood White Oak - Straight/Waving Edged, 1 COM - T32mm x W100mm Up x L1.8m Up</v>
          </cell>
          <cell r="I2006">
            <v>9</v>
          </cell>
        </row>
        <row r="2007">
          <cell r="A2007" t="str">
            <v>B558191/A</v>
          </cell>
          <cell r="B2007" t="str">
            <v>CZ891M381</v>
          </cell>
          <cell r="C2007">
            <v>9</v>
          </cell>
          <cell r="D2007">
            <v>499.55</v>
          </cell>
          <cell r="E2007">
            <v>4495.95</v>
          </cell>
          <cell r="F2007" t="str">
            <v>A2-S01-1</v>
          </cell>
          <cell r="G2007" t="str">
            <v>Center rail - Đố giữa</v>
          </cell>
          <cell r="H2007" t="str">
            <v>Wood White Oak - Straight/Waving Edged, 1 COM - T32mm x W100mm Up x L1.8m Up</v>
          </cell>
          <cell r="I2007">
            <v>9</v>
          </cell>
        </row>
        <row r="2008">
          <cell r="A2008" t="str">
            <v>B558191/A</v>
          </cell>
          <cell r="B2008" t="str">
            <v>CZ891M381</v>
          </cell>
          <cell r="C2008">
            <v>9</v>
          </cell>
          <cell r="D2008">
            <v>499.55</v>
          </cell>
          <cell r="E2008">
            <v>4495.95</v>
          </cell>
          <cell r="F2008" t="str">
            <v>A2-S02</v>
          </cell>
          <cell r="G2008" t="str">
            <v>The leg  - Chân</v>
          </cell>
          <cell r="H2008" t="str">
            <v>Pre-Assembly</v>
          </cell>
          <cell r="I2008">
            <v>18</v>
          </cell>
        </row>
        <row r="2009">
          <cell r="A2009" t="str">
            <v>B558191/A</v>
          </cell>
          <cell r="B2009" t="str">
            <v>CZ891M381</v>
          </cell>
          <cell r="C2009">
            <v>9</v>
          </cell>
          <cell r="D2009">
            <v>499.55</v>
          </cell>
          <cell r="E2009">
            <v>4495.95</v>
          </cell>
          <cell r="F2009" t="str">
            <v>A2-S02-1</v>
          </cell>
          <cell r="G2009" t="str">
            <v>The leg  - Chân</v>
          </cell>
          <cell r="H2009" t="str">
            <v>Pre-Assembly</v>
          </cell>
          <cell r="I2009">
            <v>9</v>
          </cell>
        </row>
        <row r="2010">
          <cell r="A2010" t="str">
            <v>B558191/A</v>
          </cell>
          <cell r="B2010" t="str">
            <v>CZ891M381</v>
          </cell>
          <cell r="C2010">
            <v>9</v>
          </cell>
          <cell r="D2010">
            <v>499.55</v>
          </cell>
          <cell r="E2010">
            <v>4495.95</v>
          </cell>
          <cell r="F2010" t="str">
            <v>A2-S02-2</v>
          </cell>
          <cell r="G2010" t="str">
            <v>The leg  - Chân</v>
          </cell>
          <cell r="H2010" t="str">
            <v>Pre-Assembly</v>
          </cell>
          <cell r="I2010">
            <v>9</v>
          </cell>
        </row>
        <row r="2011">
          <cell r="A2011" t="str">
            <v>B558191/A</v>
          </cell>
          <cell r="B2011" t="str">
            <v>CZ891M381</v>
          </cell>
          <cell r="C2011">
            <v>9</v>
          </cell>
          <cell r="D2011">
            <v>499.55</v>
          </cell>
          <cell r="E2011">
            <v>4495.95</v>
          </cell>
          <cell r="F2011" t="str">
            <v>A2-S02A</v>
          </cell>
          <cell r="G2011" t="str">
            <v>The leg  - Chân</v>
          </cell>
          <cell r="H2011" t="str">
            <v>MDF laminate</v>
          </cell>
          <cell r="I2011">
            <v>18</v>
          </cell>
        </row>
        <row r="2012">
          <cell r="A2012" t="str">
            <v>B558191/A</v>
          </cell>
          <cell r="B2012" t="str">
            <v>CZ891M381</v>
          </cell>
          <cell r="C2012">
            <v>9</v>
          </cell>
          <cell r="D2012">
            <v>499.55</v>
          </cell>
          <cell r="E2012">
            <v>4495.95</v>
          </cell>
          <cell r="F2012" t="str">
            <v>A2-S02B</v>
          </cell>
          <cell r="G2012" t="str">
            <v>Patching wood - Gỗ đắp</v>
          </cell>
          <cell r="H2012" t="str">
            <v>Wood White Oak - Straight/Waving Edged, 1 COM - T38mm x W100mm Up x L1.8m Up</v>
          </cell>
          <cell r="I2012">
            <v>36</v>
          </cell>
        </row>
        <row r="2013">
          <cell r="A2013" t="str">
            <v>B558194/A</v>
          </cell>
          <cell r="B2013" t="str">
            <v>CZ891M409</v>
          </cell>
          <cell r="C2013">
            <v>2</v>
          </cell>
          <cell r="D2013">
            <v>499.55</v>
          </cell>
          <cell r="E2013">
            <v>999.1</v>
          </cell>
          <cell r="F2013" t="str">
            <v>A1</v>
          </cell>
          <cell r="G2013" t="str">
            <v>Top Frame - Khung nóc</v>
          </cell>
          <cell r="H2013" t="str">
            <v>Pre-Assembly</v>
          </cell>
          <cell r="I2013">
            <v>2</v>
          </cell>
        </row>
        <row r="2014">
          <cell r="A2014" t="str">
            <v>B558194/A</v>
          </cell>
          <cell r="B2014" t="str">
            <v>CZ891M409</v>
          </cell>
          <cell r="C2014">
            <v>2</v>
          </cell>
          <cell r="D2014">
            <v>499.55</v>
          </cell>
          <cell r="E2014">
            <v>999.1</v>
          </cell>
          <cell r="F2014" t="str">
            <v>A1-S01</v>
          </cell>
          <cell r="G2014" t="str">
            <v xml:space="preserve">Panel - Ván </v>
          </cell>
          <cell r="H2014" t="str">
            <v>MDF - 25 x 1830 x 2440mm [CARB P2 Compliant]</v>
          </cell>
          <cell r="I2014">
            <v>2</v>
          </cell>
        </row>
        <row r="2015">
          <cell r="A2015" t="str">
            <v>B558194/A</v>
          </cell>
          <cell r="B2015" t="str">
            <v>CZ891M409</v>
          </cell>
          <cell r="C2015">
            <v>2</v>
          </cell>
          <cell r="D2015">
            <v>499.55</v>
          </cell>
          <cell r="E2015">
            <v>999.1</v>
          </cell>
          <cell r="F2015" t="str">
            <v>A1-S02</v>
          </cell>
          <cell r="G2015" t="str">
            <v xml:space="preserve">Panel - Ván </v>
          </cell>
          <cell r="H2015" t="str">
            <v>MDF - 25 x 1830 x 2440mm [CARB P2 Compliant]</v>
          </cell>
          <cell r="I2015">
            <v>2</v>
          </cell>
        </row>
        <row r="2016">
          <cell r="A2016" t="str">
            <v>B558194/A</v>
          </cell>
          <cell r="B2016" t="str">
            <v>CZ891M409</v>
          </cell>
          <cell r="C2016">
            <v>2</v>
          </cell>
          <cell r="D2016">
            <v>499.55</v>
          </cell>
          <cell r="E2016">
            <v>999.1</v>
          </cell>
          <cell r="F2016" t="str">
            <v>A1-S03</v>
          </cell>
          <cell r="G2016" t="str">
            <v>Insert Wood - Gỗ chèn</v>
          </cell>
          <cell r="H2016" t="str">
            <v>Wood EU Beech - Straight/Waving Edged ABC, 2 COM - T26mm x W100mm up x L1.8m up</v>
          </cell>
          <cell r="I2016">
            <v>8</v>
          </cell>
        </row>
        <row r="2017">
          <cell r="A2017" t="str">
            <v>B558194/A</v>
          </cell>
          <cell r="B2017" t="str">
            <v>CZ891M409</v>
          </cell>
          <cell r="C2017">
            <v>2</v>
          </cell>
          <cell r="D2017">
            <v>499.55</v>
          </cell>
          <cell r="E2017">
            <v>999.1</v>
          </cell>
          <cell r="F2017" t="str">
            <v>A2-S01</v>
          </cell>
          <cell r="G2017" t="str">
            <v>Center rail - Đố giữa</v>
          </cell>
          <cell r="H2017" t="str">
            <v>Wood White Oak - Straight/Waving Edged, 1 COM - T32mm x W100mm Up x L1.8m Up</v>
          </cell>
          <cell r="I2017">
            <v>2</v>
          </cell>
        </row>
        <row r="2018">
          <cell r="A2018" t="str">
            <v>B558194/A</v>
          </cell>
          <cell r="B2018" t="str">
            <v>CZ891M409</v>
          </cell>
          <cell r="C2018">
            <v>2</v>
          </cell>
          <cell r="D2018">
            <v>499.55</v>
          </cell>
          <cell r="E2018">
            <v>999.1</v>
          </cell>
          <cell r="F2018" t="str">
            <v>A2-S01-1</v>
          </cell>
          <cell r="G2018" t="str">
            <v>Center rail - Đố giữa</v>
          </cell>
          <cell r="H2018" t="str">
            <v>Wood White Oak - Straight/Waving Edged, 1 COM - T32mm x W100mm Up x L1.8m Up</v>
          </cell>
          <cell r="I2018">
            <v>2</v>
          </cell>
        </row>
        <row r="2019">
          <cell r="A2019" t="str">
            <v>B558194/A</v>
          </cell>
          <cell r="B2019" t="str">
            <v>CZ891M409</v>
          </cell>
          <cell r="C2019">
            <v>2</v>
          </cell>
          <cell r="D2019">
            <v>499.55</v>
          </cell>
          <cell r="E2019">
            <v>999.1</v>
          </cell>
          <cell r="F2019" t="str">
            <v>A2-S02</v>
          </cell>
          <cell r="G2019" t="str">
            <v>The leg  - Chân</v>
          </cell>
          <cell r="H2019" t="str">
            <v>Pre-Assembly</v>
          </cell>
          <cell r="I2019">
            <v>4</v>
          </cell>
        </row>
        <row r="2020">
          <cell r="A2020" t="str">
            <v>B558194/A</v>
          </cell>
          <cell r="B2020" t="str">
            <v>CZ891M409</v>
          </cell>
          <cell r="C2020">
            <v>2</v>
          </cell>
          <cell r="D2020">
            <v>499.55</v>
          </cell>
          <cell r="E2020">
            <v>999.1</v>
          </cell>
          <cell r="F2020" t="str">
            <v>A2-S02-1</v>
          </cell>
          <cell r="G2020" t="str">
            <v>The leg  - Chân</v>
          </cell>
          <cell r="H2020" t="str">
            <v>Pre-Assembly</v>
          </cell>
          <cell r="I2020">
            <v>2</v>
          </cell>
        </row>
        <row r="2021">
          <cell r="A2021" t="str">
            <v>B558194/A</v>
          </cell>
          <cell r="B2021" t="str">
            <v>CZ891M409</v>
          </cell>
          <cell r="C2021">
            <v>2</v>
          </cell>
          <cell r="D2021">
            <v>499.55</v>
          </cell>
          <cell r="E2021">
            <v>999.1</v>
          </cell>
          <cell r="F2021" t="str">
            <v>A2-S02-2</v>
          </cell>
          <cell r="G2021" t="str">
            <v>The leg  - Chân</v>
          </cell>
          <cell r="H2021" t="str">
            <v>Pre-Assembly</v>
          </cell>
          <cell r="I2021">
            <v>2</v>
          </cell>
        </row>
        <row r="2022">
          <cell r="A2022" t="str">
            <v>B558194/A</v>
          </cell>
          <cell r="B2022" t="str">
            <v>CZ891M409</v>
          </cell>
          <cell r="C2022">
            <v>2</v>
          </cell>
          <cell r="D2022">
            <v>499.55</v>
          </cell>
          <cell r="E2022">
            <v>999.1</v>
          </cell>
          <cell r="F2022" t="str">
            <v>A2-S02A</v>
          </cell>
          <cell r="G2022" t="str">
            <v>The leg  - Chân</v>
          </cell>
          <cell r="H2022" t="str">
            <v>MDF laminate</v>
          </cell>
          <cell r="I2022">
            <v>4</v>
          </cell>
        </row>
        <row r="2023">
          <cell r="A2023" t="str">
            <v>B558194/A</v>
          </cell>
          <cell r="B2023" t="str">
            <v>CZ891M409</v>
          </cell>
          <cell r="C2023">
            <v>2</v>
          </cell>
          <cell r="D2023">
            <v>499.55</v>
          </cell>
          <cell r="E2023">
            <v>999.1</v>
          </cell>
          <cell r="F2023" t="str">
            <v>A2-S02B</v>
          </cell>
          <cell r="G2023" t="str">
            <v>Patching wood - Gỗ đắp</v>
          </cell>
          <cell r="H2023" t="str">
            <v>Wood White Oak - Straight/Waving Edged, 1 COM - T38mm x W100mm Up x L1.8m Up</v>
          </cell>
          <cell r="I2023">
            <v>8</v>
          </cell>
        </row>
        <row r="2024">
          <cell r="A2024" t="str">
            <v>B558197/A</v>
          </cell>
          <cell r="B2024" t="str">
            <v>CZ898NM381</v>
          </cell>
          <cell r="C2024">
            <v>1</v>
          </cell>
          <cell r="D2024">
            <v>847.81</v>
          </cell>
          <cell r="E2024">
            <v>847.81</v>
          </cell>
          <cell r="F2024" t="str">
            <v>A1</v>
          </cell>
          <cell r="G2024" t="str">
            <v xml:space="preserve">Drawer front - Mặt hộc kéo </v>
          </cell>
          <cell r="H2024" t="str">
            <v>MDF Veneer</v>
          </cell>
          <cell r="I2024">
            <v>1</v>
          </cell>
        </row>
        <row r="2025">
          <cell r="A2025" t="str">
            <v>B558197/A</v>
          </cell>
          <cell r="B2025" t="str">
            <v>CZ898NM381</v>
          </cell>
          <cell r="C2025">
            <v>1</v>
          </cell>
          <cell r="D2025">
            <v>847.81</v>
          </cell>
          <cell r="E2025">
            <v>847.81</v>
          </cell>
          <cell r="F2025" t="str">
            <v>A1-S01</v>
          </cell>
          <cell r="G2025" t="str">
            <v xml:space="preserve">Drawer front - Mặt hộc kéo </v>
          </cell>
          <cell r="H2025" t="str">
            <v>Pre-Assembly</v>
          </cell>
          <cell r="I2025">
            <v>2</v>
          </cell>
        </row>
        <row r="2026">
          <cell r="A2026" t="str">
            <v>B558197/A</v>
          </cell>
          <cell r="B2026" t="str">
            <v>CZ898NM381</v>
          </cell>
          <cell r="C2026">
            <v>1</v>
          </cell>
          <cell r="D2026">
            <v>847.81</v>
          </cell>
          <cell r="E2026">
            <v>847.81</v>
          </cell>
          <cell r="F2026" t="str">
            <v>A1-S01-B</v>
          </cell>
          <cell r="G2026" t="str">
            <v>Patching wood - Gỗ đắp</v>
          </cell>
          <cell r="H2026" t="str">
            <v>Wood White Oak - Straight/Waving Edged, 1 COM - T25mm x W100mm Up x L1.8m Up</v>
          </cell>
          <cell r="I2026">
            <v>8</v>
          </cell>
        </row>
        <row r="2027">
          <cell r="A2027" t="str">
            <v>B558197/A</v>
          </cell>
          <cell r="B2027" t="str">
            <v>CZ898NM381</v>
          </cell>
          <cell r="C2027">
            <v>1</v>
          </cell>
          <cell r="D2027">
            <v>847.81</v>
          </cell>
          <cell r="E2027">
            <v>847.81</v>
          </cell>
          <cell r="F2027" t="str">
            <v>A1-S02</v>
          </cell>
          <cell r="G2027" t="str">
            <v xml:space="preserve">Drawer front 1 - Mặt hộc kéo </v>
          </cell>
          <cell r="H2027" t="str">
            <v>MDF Veneer</v>
          </cell>
          <cell r="I2027">
            <v>2</v>
          </cell>
        </row>
        <row r="2028">
          <cell r="A2028" t="str">
            <v>B558197/A</v>
          </cell>
          <cell r="B2028" t="str">
            <v>CZ898NM381</v>
          </cell>
          <cell r="C2028">
            <v>1</v>
          </cell>
          <cell r="D2028">
            <v>847.81</v>
          </cell>
          <cell r="E2028">
            <v>847.81</v>
          </cell>
          <cell r="F2028" t="str">
            <v>A1-S03</v>
          </cell>
          <cell r="G2028" t="str">
            <v>Drawer side - Hông hộc kéo</v>
          </cell>
          <cell r="H2028" t="str">
            <v>MDF Veneer</v>
          </cell>
          <cell r="I2028">
            <v>4</v>
          </cell>
        </row>
        <row r="2029">
          <cell r="A2029" t="str">
            <v>B558197/A</v>
          </cell>
          <cell r="B2029" t="str">
            <v>CZ898NM381</v>
          </cell>
          <cell r="C2029">
            <v>1</v>
          </cell>
          <cell r="D2029">
            <v>847.81</v>
          </cell>
          <cell r="E2029">
            <v>847.81</v>
          </cell>
          <cell r="F2029" t="str">
            <v>A1-S04</v>
          </cell>
          <cell r="G2029" t="str">
            <v>Drawer back - Hậu hộc kéo</v>
          </cell>
          <cell r="H2029" t="str">
            <v>MDF Veneer</v>
          </cell>
          <cell r="I2029">
            <v>2</v>
          </cell>
        </row>
        <row r="2030">
          <cell r="A2030" t="str">
            <v>B558197/A</v>
          </cell>
          <cell r="B2030" t="str">
            <v>CZ898NM381</v>
          </cell>
          <cell r="C2030">
            <v>1</v>
          </cell>
          <cell r="D2030">
            <v>847.81</v>
          </cell>
          <cell r="E2030">
            <v>847.81</v>
          </cell>
          <cell r="F2030" t="str">
            <v>A1-S05</v>
          </cell>
          <cell r="G2030" t="str">
            <v>Drawer bottom  - Đáy hộc kéo</v>
          </cell>
          <cell r="H2030" t="str">
            <v>MDF Veneer</v>
          </cell>
          <cell r="I2030">
            <v>2</v>
          </cell>
        </row>
        <row r="2031">
          <cell r="A2031" t="str">
            <v>B558197/A</v>
          </cell>
          <cell r="B2031" t="str">
            <v>CZ898NM381</v>
          </cell>
          <cell r="C2031">
            <v>1</v>
          </cell>
          <cell r="D2031">
            <v>847.81</v>
          </cell>
          <cell r="E2031">
            <v>847.81</v>
          </cell>
          <cell r="F2031" t="str">
            <v>A2-S01</v>
          </cell>
          <cell r="G2031" t="str">
            <v xml:space="preserve">Drawer front - Mặt hộc kéo </v>
          </cell>
          <cell r="H2031" t="str">
            <v>Pre-Assembly</v>
          </cell>
          <cell r="I2031">
            <v>3</v>
          </cell>
        </row>
        <row r="2032">
          <cell r="A2032" t="str">
            <v>B558197/A</v>
          </cell>
          <cell r="B2032" t="str">
            <v>CZ898NM381</v>
          </cell>
          <cell r="C2032">
            <v>1</v>
          </cell>
          <cell r="D2032">
            <v>847.81</v>
          </cell>
          <cell r="E2032">
            <v>847.81</v>
          </cell>
          <cell r="F2032" t="str">
            <v>A2-S02</v>
          </cell>
          <cell r="G2032" t="str">
            <v xml:space="preserve">Drawer front 1 - Mặt hộc kéo </v>
          </cell>
          <cell r="H2032" t="str">
            <v>MDF Veneer</v>
          </cell>
          <cell r="I2032">
            <v>3</v>
          </cell>
        </row>
        <row r="2033">
          <cell r="A2033" t="str">
            <v>B558197/A</v>
          </cell>
          <cell r="B2033" t="str">
            <v>CZ898NM381</v>
          </cell>
          <cell r="C2033">
            <v>1</v>
          </cell>
          <cell r="D2033">
            <v>847.81</v>
          </cell>
          <cell r="E2033">
            <v>847.81</v>
          </cell>
          <cell r="F2033" t="str">
            <v>A2-S03</v>
          </cell>
          <cell r="G2033" t="str">
            <v>Drawer side - Hông hộc kéo</v>
          </cell>
          <cell r="H2033" t="str">
            <v>MDF Veneer</v>
          </cell>
          <cell r="I2033">
            <v>6</v>
          </cell>
        </row>
        <row r="2034">
          <cell r="A2034" t="str">
            <v>B558197/A</v>
          </cell>
          <cell r="B2034" t="str">
            <v>CZ898NM381</v>
          </cell>
          <cell r="C2034">
            <v>1</v>
          </cell>
          <cell r="D2034">
            <v>847.81</v>
          </cell>
          <cell r="E2034">
            <v>847.81</v>
          </cell>
          <cell r="F2034" t="str">
            <v>A2-S04</v>
          </cell>
          <cell r="G2034" t="str">
            <v>Drawer back - Hậu hộc kéo</v>
          </cell>
          <cell r="H2034" t="str">
            <v>MDF Veneer</v>
          </cell>
          <cell r="I2034">
            <v>3</v>
          </cell>
        </row>
        <row r="2035">
          <cell r="A2035" t="str">
            <v>B558197/A</v>
          </cell>
          <cell r="B2035" t="str">
            <v>CZ898NM381</v>
          </cell>
          <cell r="C2035">
            <v>1</v>
          </cell>
          <cell r="D2035">
            <v>847.81</v>
          </cell>
          <cell r="E2035">
            <v>847.81</v>
          </cell>
          <cell r="F2035" t="str">
            <v>A2-S05</v>
          </cell>
          <cell r="G2035" t="str">
            <v>Drawer bottom  - Đáy hộc kéo</v>
          </cell>
          <cell r="H2035" t="str">
            <v>MDF Veneer</v>
          </cell>
          <cell r="I2035">
            <v>3</v>
          </cell>
        </row>
        <row r="2036">
          <cell r="A2036" t="str">
            <v>B558197/A</v>
          </cell>
          <cell r="B2036" t="str">
            <v>CZ898NM381</v>
          </cell>
          <cell r="C2036">
            <v>1</v>
          </cell>
          <cell r="D2036">
            <v>847.81</v>
          </cell>
          <cell r="E2036">
            <v>847.81</v>
          </cell>
          <cell r="F2036" t="str">
            <v>A2-S06</v>
          </cell>
          <cell r="G2036" t="str">
            <v>Patching wood - Gỗ đắp</v>
          </cell>
          <cell r="H2036" t="str">
            <v>Wood EU Beech - Straight/Waving Edged ABC, 2 COM - T38mm x W100mm up x L1.8m up</v>
          </cell>
          <cell r="I2036">
            <v>3</v>
          </cell>
        </row>
        <row r="2037">
          <cell r="A2037" t="str">
            <v>B558197/A</v>
          </cell>
          <cell r="B2037" t="str">
            <v>CZ898NM381</v>
          </cell>
          <cell r="C2037">
            <v>1</v>
          </cell>
          <cell r="D2037">
            <v>847.81</v>
          </cell>
          <cell r="E2037">
            <v>847.81</v>
          </cell>
          <cell r="F2037" t="str">
            <v>A5-S01</v>
          </cell>
          <cell r="G2037" t="str">
            <v>Vertical rail 1 - Đố đứng 1</v>
          </cell>
          <cell r="H2037" t="str">
            <v>Wd+VN</v>
          </cell>
          <cell r="I2037">
            <v>2</v>
          </cell>
        </row>
        <row r="2038">
          <cell r="A2038" t="str">
            <v>B558197/A</v>
          </cell>
          <cell r="B2038" t="str">
            <v>CZ898NM381</v>
          </cell>
          <cell r="C2038">
            <v>1</v>
          </cell>
          <cell r="D2038">
            <v>847.81</v>
          </cell>
          <cell r="E2038">
            <v>847.81</v>
          </cell>
          <cell r="F2038" t="str">
            <v>A5-S02</v>
          </cell>
          <cell r="G2038" t="str">
            <v xml:space="preserve">Side panel  - Ván hông </v>
          </cell>
          <cell r="H2038" t="str">
            <v>MDF Veneer</v>
          </cell>
          <cell r="I2038">
            <v>2</v>
          </cell>
        </row>
        <row r="2039">
          <cell r="A2039" t="str">
            <v>B558197/A</v>
          </cell>
          <cell r="B2039" t="str">
            <v>CZ898NM381</v>
          </cell>
          <cell r="C2039">
            <v>1</v>
          </cell>
          <cell r="D2039">
            <v>847.81</v>
          </cell>
          <cell r="E2039">
            <v>847.81</v>
          </cell>
          <cell r="F2039" t="str">
            <v>A5-S03</v>
          </cell>
          <cell r="G2039" t="str">
            <v xml:space="preserve">Side rail  - Đố hông </v>
          </cell>
          <cell r="H2039" t="str">
            <v>Wood laminate</v>
          </cell>
          <cell r="I2039">
            <v>8</v>
          </cell>
        </row>
        <row r="2040">
          <cell r="A2040" t="str">
            <v>B558197/A</v>
          </cell>
          <cell r="B2040" t="str">
            <v>CZ898NM381</v>
          </cell>
          <cell r="C2040">
            <v>1</v>
          </cell>
          <cell r="D2040">
            <v>847.81</v>
          </cell>
          <cell r="E2040">
            <v>847.81</v>
          </cell>
          <cell r="F2040" t="str">
            <v>A6-S01</v>
          </cell>
          <cell r="G2040" t="str">
            <v>Front Bottom Rail  - Đố đáy trước</v>
          </cell>
          <cell r="H2040" t="str">
            <v>Wood White Oak - Straight/Waving Edged, 2 COM - T32mm x W100mm Up x L1.5m Up</v>
          </cell>
          <cell r="I2040">
            <v>2</v>
          </cell>
        </row>
        <row r="2041">
          <cell r="A2041" t="str">
            <v>B558197/A</v>
          </cell>
          <cell r="B2041" t="str">
            <v>CZ898NM381</v>
          </cell>
          <cell r="C2041">
            <v>1</v>
          </cell>
          <cell r="D2041">
            <v>847.81</v>
          </cell>
          <cell r="E2041">
            <v>847.81</v>
          </cell>
          <cell r="F2041" t="str">
            <v>A6-S02</v>
          </cell>
          <cell r="G2041" t="str">
            <v>Side bottom rail - Đố hông dưới</v>
          </cell>
          <cell r="H2041" t="str">
            <v>Wood White Oak - Straight/Waving Edged, 2 COM - T32mm x W100mm Up x L1.5m Up</v>
          </cell>
          <cell r="I2041">
            <v>2</v>
          </cell>
        </row>
        <row r="2042">
          <cell r="A2042" t="str">
            <v>B558197/A</v>
          </cell>
          <cell r="B2042" t="str">
            <v>CZ898NM381</v>
          </cell>
          <cell r="C2042">
            <v>1</v>
          </cell>
          <cell r="D2042">
            <v>847.81</v>
          </cell>
          <cell r="E2042">
            <v>847.81</v>
          </cell>
          <cell r="F2042" t="str">
            <v>A6-S03</v>
          </cell>
          <cell r="G2042" t="str">
            <v>Center bottom rail - Đố đáy giữa</v>
          </cell>
          <cell r="H2042" t="str">
            <v>Wood White Oak - Straight/Waving Edged, 2 COM - T32mm x W100mm Up x L1.5m Up</v>
          </cell>
          <cell r="I2042">
            <v>1</v>
          </cell>
        </row>
        <row r="2043">
          <cell r="A2043" t="str">
            <v>B558197/A</v>
          </cell>
          <cell r="B2043" t="str">
            <v>CZ898NM381</v>
          </cell>
          <cell r="C2043">
            <v>1</v>
          </cell>
          <cell r="D2043">
            <v>847.81</v>
          </cell>
          <cell r="E2043">
            <v>847.81</v>
          </cell>
          <cell r="F2043" t="str">
            <v>P01</v>
          </cell>
          <cell r="G2043" t="str">
            <v xml:space="preserve">Top panel  - Ván nóc </v>
          </cell>
          <cell r="H2043" t="str">
            <v>MDF Veneer</v>
          </cell>
          <cell r="I2043">
            <v>1</v>
          </cell>
        </row>
        <row r="2044">
          <cell r="A2044" t="str">
            <v>B558197/A</v>
          </cell>
          <cell r="B2044" t="str">
            <v>CZ898NM381</v>
          </cell>
          <cell r="C2044">
            <v>1</v>
          </cell>
          <cell r="D2044">
            <v>847.81</v>
          </cell>
          <cell r="E2044">
            <v>847.81</v>
          </cell>
          <cell r="F2044" t="str">
            <v>P02</v>
          </cell>
          <cell r="G2044" t="str">
            <v>Front top rail  - Đố tiền nóc</v>
          </cell>
          <cell r="H2044" t="str">
            <v>Wood laminate</v>
          </cell>
          <cell r="I2044">
            <v>1</v>
          </cell>
        </row>
        <row r="2045">
          <cell r="A2045" t="str">
            <v>B558197/A</v>
          </cell>
          <cell r="B2045" t="str">
            <v>CZ898NM381</v>
          </cell>
          <cell r="C2045">
            <v>1</v>
          </cell>
          <cell r="D2045">
            <v>847.81</v>
          </cell>
          <cell r="E2045">
            <v>847.81</v>
          </cell>
          <cell r="F2045" t="str">
            <v>P04</v>
          </cell>
          <cell r="G2045" t="str">
            <v>Bottom panel - Ván đáy</v>
          </cell>
          <cell r="H2045" t="str">
            <v>MDF Veneer</v>
          </cell>
          <cell r="I2045">
            <v>1</v>
          </cell>
        </row>
        <row r="2046">
          <cell r="A2046" t="str">
            <v>B558197/A</v>
          </cell>
          <cell r="B2046" t="str">
            <v>CZ898NM381</v>
          </cell>
          <cell r="C2046">
            <v>1</v>
          </cell>
          <cell r="D2046">
            <v>847.81</v>
          </cell>
          <cell r="E2046">
            <v>847.81</v>
          </cell>
          <cell r="F2046" t="str">
            <v>P05</v>
          </cell>
          <cell r="G2046" t="str">
            <v>back rail - Đố hậu</v>
          </cell>
          <cell r="H2046" t="str">
            <v>Wood Rubber Laminate Board - 20 x 1220 x 2440mm, Veneer Poplar both Faces</v>
          </cell>
          <cell r="I2046">
            <v>1</v>
          </cell>
        </row>
        <row r="2047">
          <cell r="A2047" t="str">
            <v>B558197/A</v>
          </cell>
          <cell r="B2047" t="str">
            <v>CZ898NM381</v>
          </cell>
          <cell r="C2047">
            <v>1</v>
          </cell>
          <cell r="D2047">
            <v>847.81</v>
          </cell>
          <cell r="E2047">
            <v>847.81</v>
          </cell>
          <cell r="F2047" t="str">
            <v>P06</v>
          </cell>
          <cell r="G2047" t="str">
            <v>Back panel - Ván hậu</v>
          </cell>
          <cell r="H2047" t="str">
            <v>MDF Veneer</v>
          </cell>
          <cell r="I2047">
            <v>1</v>
          </cell>
        </row>
        <row r="2048">
          <cell r="A2048" t="str">
            <v>B558197/A</v>
          </cell>
          <cell r="B2048" t="str">
            <v>CZ898NM381</v>
          </cell>
          <cell r="C2048">
            <v>1</v>
          </cell>
          <cell r="D2048">
            <v>847.81</v>
          </cell>
          <cell r="E2048">
            <v>847.81</v>
          </cell>
          <cell r="F2048" t="str">
            <v>P07</v>
          </cell>
          <cell r="G2048" t="str">
            <v>Back bottom rail - Đố hậu đáy</v>
          </cell>
          <cell r="H2048" t="str">
            <v>Wood Rubber Laminate Board - 20 x 1220 x 2440mm, Veneer Poplar both Faces</v>
          </cell>
          <cell r="I2048">
            <v>1</v>
          </cell>
        </row>
        <row r="2049">
          <cell r="A2049" t="str">
            <v>B558197/A</v>
          </cell>
          <cell r="B2049" t="str">
            <v>CZ898NM381</v>
          </cell>
          <cell r="C2049">
            <v>1</v>
          </cell>
          <cell r="D2049">
            <v>847.81</v>
          </cell>
          <cell r="E2049">
            <v>847.81</v>
          </cell>
          <cell r="F2049" t="str">
            <v>P08</v>
          </cell>
          <cell r="G2049" t="str">
            <v xml:space="preserve">Vertical panel  - ván đứng </v>
          </cell>
          <cell r="H2049" t="str">
            <v>MDF Veneer</v>
          </cell>
          <cell r="I2049">
            <v>1</v>
          </cell>
        </row>
        <row r="2050">
          <cell r="A2050" t="str">
            <v>B558197/A</v>
          </cell>
          <cell r="B2050" t="str">
            <v>CZ898NM381</v>
          </cell>
          <cell r="C2050">
            <v>1</v>
          </cell>
          <cell r="D2050">
            <v>847.81</v>
          </cell>
          <cell r="E2050">
            <v>847.81</v>
          </cell>
          <cell r="F2050" t="str">
            <v>P09</v>
          </cell>
          <cell r="G2050" t="str">
            <v>Front rail  - Đố tiền</v>
          </cell>
          <cell r="H2050" t="str">
            <v>Wood Rubber Laminate Board - 20 x 1220 x 2440mm, Veneer Poplar both Faces</v>
          </cell>
          <cell r="I2050">
            <v>3</v>
          </cell>
        </row>
        <row r="2051">
          <cell r="A2051" t="str">
            <v>B558197/A</v>
          </cell>
          <cell r="B2051" t="str">
            <v>CZ898NM381</v>
          </cell>
          <cell r="C2051">
            <v>1</v>
          </cell>
          <cell r="D2051">
            <v>847.81</v>
          </cell>
          <cell r="E2051">
            <v>847.81</v>
          </cell>
          <cell r="F2051" t="str">
            <v>P10</v>
          </cell>
          <cell r="G2051" t="str">
            <v>back rail - Đố hậu</v>
          </cell>
          <cell r="H2051" t="str">
            <v>Wood Rubber Laminate Board - 20 x 1220 x 2440mm, Veneer Poplar both Faces</v>
          </cell>
          <cell r="I2051">
            <v>1</v>
          </cell>
        </row>
        <row r="2052">
          <cell r="A2052" t="str">
            <v>B558197/A</v>
          </cell>
          <cell r="B2052" t="str">
            <v>CZ898NM381</v>
          </cell>
          <cell r="C2052">
            <v>1</v>
          </cell>
          <cell r="D2052">
            <v>847.81</v>
          </cell>
          <cell r="E2052">
            <v>847.81</v>
          </cell>
          <cell r="F2052" t="str">
            <v>P11</v>
          </cell>
          <cell r="G2052" t="str">
            <v>Corner block - ke góc</v>
          </cell>
          <cell r="H2052" t="str">
            <v>Poplar off cut</v>
          </cell>
          <cell r="I2052">
            <v>6</v>
          </cell>
        </row>
        <row r="2053">
          <cell r="A2053" t="str">
            <v>B558197/A</v>
          </cell>
          <cell r="B2053" t="str">
            <v>CZ898NM381</v>
          </cell>
          <cell r="C2053">
            <v>1</v>
          </cell>
          <cell r="D2053">
            <v>847.81</v>
          </cell>
          <cell r="E2053">
            <v>847.81</v>
          </cell>
          <cell r="F2053" t="str">
            <v>P12</v>
          </cell>
          <cell r="G2053" t="str">
            <v>Back panel - Ván hậu</v>
          </cell>
          <cell r="H2053" t="str">
            <v>Cement Board - 18 x 1220 x 2440mm, Dark Grey</v>
          </cell>
          <cell r="I2053">
            <v>1</v>
          </cell>
        </row>
        <row r="2054">
          <cell r="A2054" t="str">
            <v>B558197/A</v>
          </cell>
          <cell r="B2054" t="str">
            <v>CZ898NM381</v>
          </cell>
          <cell r="C2054">
            <v>1</v>
          </cell>
          <cell r="D2054">
            <v>847.81</v>
          </cell>
          <cell r="E2054">
            <v>847.81</v>
          </cell>
          <cell r="F2054" t="str">
            <v>P13</v>
          </cell>
          <cell r="G2054" t="str">
            <v>Drawer stop - Dừng hộc</v>
          </cell>
          <cell r="H2054" t="str">
            <v>Poplar off cut</v>
          </cell>
          <cell r="I2054">
            <v>10</v>
          </cell>
        </row>
        <row r="2055">
          <cell r="A2055" t="str">
            <v>B558200/A</v>
          </cell>
          <cell r="B2055" t="str">
            <v>CZ898NM409</v>
          </cell>
          <cell r="C2055">
            <v>15</v>
          </cell>
          <cell r="D2055">
            <v>932.59</v>
          </cell>
          <cell r="E2055">
            <v>13988.85</v>
          </cell>
          <cell r="F2055" t="str">
            <v>A1</v>
          </cell>
          <cell r="G2055" t="str">
            <v xml:space="preserve">Drawer front - Mặt hộc kéo </v>
          </cell>
          <cell r="H2055" t="str">
            <v>MDF Veneer</v>
          </cell>
          <cell r="I2055">
            <v>15</v>
          </cell>
        </row>
        <row r="2056">
          <cell r="A2056" t="str">
            <v>B558200/A</v>
          </cell>
          <cell r="B2056" t="str">
            <v>CZ898NM409</v>
          </cell>
          <cell r="C2056">
            <v>15</v>
          </cell>
          <cell r="D2056">
            <v>932.59</v>
          </cell>
          <cell r="E2056">
            <v>13988.85</v>
          </cell>
          <cell r="F2056" t="str">
            <v>A1-S01</v>
          </cell>
          <cell r="G2056" t="str">
            <v xml:space="preserve">Drawer front - Mặt hộc kéo </v>
          </cell>
          <cell r="H2056" t="str">
            <v>Pre-Assembly</v>
          </cell>
          <cell r="I2056">
            <v>30</v>
          </cell>
        </row>
        <row r="2057">
          <cell r="A2057" t="str">
            <v>B558200/A</v>
          </cell>
          <cell r="B2057" t="str">
            <v>CZ898NM409</v>
          </cell>
          <cell r="C2057">
            <v>15</v>
          </cell>
          <cell r="D2057">
            <v>932.59</v>
          </cell>
          <cell r="E2057">
            <v>13988.85</v>
          </cell>
          <cell r="F2057" t="str">
            <v>A1-S01-B</v>
          </cell>
          <cell r="G2057" t="str">
            <v>Patching wood - Gỗ đắp</v>
          </cell>
          <cell r="H2057" t="str">
            <v>Wood White Oak - Straight/Waving Edged, 1 COM - T25mm x W100mm Up x L1.8m Up</v>
          </cell>
          <cell r="I2057">
            <v>120</v>
          </cell>
        </row>
        <row r="2058">
          <cell r="A2058" t="str">
            <v>B558200/A</v>
          </cell>
          <cell r="B2058" t="str">
            <v>CZ898NM409</v>
          </cell>
          <cell r="C2058">
            <v>15</v>
          </cell>
          <cell r="D2058">
            <v>932.59</v>
          </cell>
          <cell r="E2058">
            <v>13988.85</v>
          </cell>
          <cell r="F2058" t="str">
            <v>A1-S02</v>
          </cell>
          <cell r="G2058" t="str">
            <v xml:space="preserve">Drawer front 1 - Mặt hộc kéo </v>
          </cell>
          <cell r="H2058" t="str">
            <v>MDF Veneer</v>
          </cell>
          <cell r="I2058">
            <v>30</v>
          </cell>
        </row>
        <row r="2059">
          <cell r="A2059" t="str">
            <v>B558200/A</v>
          </cell>
          <cell r="B2059" t="str">
            <v>CZ898NM409</v>
          </cell>
          <cell r="C2059">
            <v>15</v>
          </cell>
          <cell r="D2059">
            <v>932.59</v>
          </cell>
          <cell r="E2059">
            <v>13988.85</v>
          </cell>
          <cell r="F2059" t="str">
            <v>A1-S03</v>
          </cell>
          <cell r="G2059" t="str">
            <v>Drawer side - Hông hộc kéo</v>
          </cell>
          <cell r="H2059" t="str">
            <v>MDF Veneer</v>
          </cell>
          <cell r="I2059">
            <v>60</v>
          </cell>
        </row>
        <row r="2060">
          <cell r="A2060" t="str">
            <v>B558200/A</v>
          </cell>
          <cell r="B2060" t="str">
            <v>CZ898NM409</v>
          </cell>
          <cell r="C2060">
            <v>15</v>
          </cell>
          <cell r="D2060">
            <v>932.59</v>
          </cell>
          <cell r="E2060">
            <v>13988.85</v>
          </cell>
          <cell r="F2060" t="str">
            <v>A1-S04</v>
          </cell>
          <cell r="G2060" t="str">
            <v>Drawer back - Hậu hộc kéo</v>
          </cell>
          <cell r="H2060" t="str">
            <v>MDF Veneer</v>
          </cell>
          <cell r="I2060">
            <v>30</v>
          </cell>
        </row>
        <row r="2061">
          <cell r="A2061" t="str">
            <v>B558200/A</v>
          </cell>
          <cell r="B2061" t="str">
            <v>CZ898NM409</v>
          </cell>
          <cell r="C2061">
            <v>15</v>
          </cell>
          <cell r="D2061">
            <v>932.59</v>
          </cell>
          <cell r="E2061">
            <v>13988.85</v>
          </cell>
          <cell r="F2061" t="str">
            <v>A1-S05</v>
          </cell>
          <cell r="G2061" t="str">
            <v>Drawer bottom  - Đáy hộc kéo</v>
          </cell>
          <cell r="H2061" t="str">
            <v>MDF Veneer</v>
          </cell>
          <cell r="I2061">
            <v>30</v>
          </cell>
        </row>
        <row r="2062">
          <cell r="A2062" t="str">
            <v>B558200/A</v>
          </cell>
          <cell r="B2062" t="str">
            <v>CZ898NM409</v>
          </cell>
          <cell r="C2062">
            <v>15</v>
          </cell>
          <cell r="D2062">
            <v>932.59</v>
          </cell>
          <cell r="E2062">
            <v>13988.85</v>
          </cell>
          <cell r="F2062" t="str">
            <v>A2-S01</v>
          </cell>
          <cell r="G2062" t="str">
            <v xml:space="preserve">Drawer front - Mặt hộc kéo </v>
          </cell>
          <cell r="H2062" t="str">
            <v>Pre-Assembly</v>
          </cell>
          <cell r="I2062">
            <v>45</v>
          </cell>
        </row>
        <row r="2063">
          <cell r="A2063" t="str">
            <v>B558200/A</v>
          </cell>
          <cell r="B2063" t="str">
            <v>CZ898NM409</v>
          </cell>
          <cell r="C2063">
            <v>15</v>
          </cell>
          <cell r="D2063">
            <v>932.59</v>
          </cell>
          <cell r="E2063">
            <v>13988.85</v>
          </cell>
          <cell r="F2063" t="str">
            <v>A2-S02</v>
          </cell>
          <cell r="G2063" t="str">
            <v xml:space="preserve">Drawer front 1 - Mặt hộc kéo </v>
          </cell>
          <cell r="H2063" t="str">
            <v>MDF Veneer</v>
          </cell>
          <cell r="I2063">
            <v>45</v>
          </cell>
        </row>
        <row r="2064">
          <cell r="A2064" t="str">
            <v>B558200/A</v>
          </cell>
          <cell r="B2064" t="str">
            <v>CZ898NM409</v>
          </cell>
          <cell r="C2064">
            <v>15</v>
          </cell>
          <cell r="D2064">
            <v>932.59</v>
          </cell>
          <cell r="E2064">
            <v>13988.85</v>
          </cell>
          <cell r="F2064" t="str">
            <v>A2-S03</v>
          </cell>
          <cell r="G2064" t="str">
            <v>Drawer side - Hông hộc kéo</v>
          </cell>
          <cell r="H2064" t="str">
            <v>MDF Veneer</v>
          </cell>
          <cell r="I2064">
            <v>90</v>
          </cell>
        </row>
        <row r="2065">
          <cell r="A2065" t="str">
            <v>B558200/A</v>
          </cell>
          <cell r="B2065" t="str">
            <v>CZ898NM409</v>
          </cell>
          <cell r="C2065">
            <v>15</v>
          </cell>
          <cell r="D2065">
            <v>932.59</v>
          </cell>
          <cell r="E2065">
            <v>13988.85</v>
          </cell>
          <cell r="F2065" t="str">
            <v>A2-S04</v>
          </cell>
          <cell r="G2065" t="str">
            <v>Drawer back - Hậu hộc kéo</v>
          </cell>
          <cell r="H2065" t="str">
            <v>MDF Veneer</v>
          </cell>
          <cell r="I2065">
            <v>45</v>
          </cell>
        </row>
        <row r="2066">
          <cell r="A2066" t="str">
            <v>B558200/A</v>
          </cell>
          <cell r="B2066" t="str">
            <v>CZ898NM409</v>
          </cell>
          <cell r="C2066">
            <v>15</v>
          </cell>
          <cell r="D2066">
            <v>932.59</v>
          </cell>
          <cell r="E2066">
            <v>13988.85</v>
          </cell>
          <cell r="F2066" t="str">
            <v>A2-S05</v>
          </cell>
          <cell r="G2066" t="str">
            <v>Drawer bottom  - Đáy hộc kéo</v>
          </cell>
          <cell r="H2066" t="str">
            <v>MDF Veneer</v>
          </cell>
          <cell r="I2066">
            <v>45</v>
          </cell>
        </row>
        <row r="2067">
          <cell r="A2067" t="str">
            <v>B558200/A</v>
          </cell>
          <cell r="B2067" t="str">
            <v>CZ898NM409</v>
          </cell>
          <cell r="C2067">
            <v>15</v>
          </cell>
          <cell r="D2067">
            <v>932.59</v>
          </cell>
          <cell r="E2067">
            <v>13988.85</v>
          </cell>
          <cell r="F2067" t="str">
            <v>A2-S06</v>
          </cell>
          <cell r="G2067" t="str">
            <v>Patching wood - Gỗ đắp</v>
          </cell>
          <cell r="H2067" t="str">
            <v>Wood EU Beech - Straight/Waving Edged ABC, 2 COM - T38mm x W100mm up x L1.8m up</v>
          </cell>
          <cell r="I2067">
            <v>45</v>
          </cell>
        </row>
        <row r="2068">
          <cell r="A2068" t="str">
            <v>B558200/A</v>
          </cell>
          <cell r="B2068" t="str">
            <v>CZ898NM409</v>
          </cell>
          <cell r="C2068">
            <v>15</v>
          </cell>
          <cell r="D2068">
            <v>932.59</v>
          </cell>
          <cell r="E2068">
            <v>13988.85</v>
          </cell>
          <cell r="F2068" t="str">
            <v>A5-S01</v>
          </cell>
          <cell r="G2068" t="str">
            <v>Vertical rail 1 - Đố đứng 1</v>
          </cell>
          <cell r="H2068" t="str">
            <v>Wd+VN</v>
          </cell>
          <cell r="I2068">
            <v>30</v>
          </cell>
        </row>
        <row r="2069">
          <cell r="A2069" t="str">
            <v>B558200/A</v>
          </cell>
          <cell r="B2069" t="str">
            <v>CZ898NM409</v>
          </cell>
          <cell r="C2069">
            <v>15</v>
          </cell>
          <cell r="D2069">
            <v>932.59</v>
          </cell>
          <cell r="E2069">
            <v>13988.85</v>
          </cell>
          <cell r="F2069" t="str">
            <v>A5-S02</v>
          </cell>
          <cell r="G2069" t="str">
            <v xml:space="preserve">Side panel  - Ván hông </v>
          </cell>
          <cell r="H2069" t="str">
            <v>MDF Veneer</v>
          </cell>
          <cell r="I2069">
            <v>30</v>
          </cell>
        </row>
        <row r="2070">
          <cell r="A2070" t="str">
            <v>B558200/A</v>
          </cell>
          <cell r="B2070" t="str">
            <v>CZ898NM409</v>
          </cell>
          <cell r="C2070">
            <v>15</v>
          </cell>
          <cell r="D2070">
            <v>932.59</v>
          </cell>
          <cell r="E2070">
            <v>13988.85</v>
          </cell>
          <cell r="F2070" t="str">
            <v>A5-S03</v>
          </cell>
          <cell r="G2070" t="str">
            <v xml:space="preserve">Side rail  - Đố hông </v>
          </cell>
          <cell r="H2070" t="str">
            <v>Wood laminate</v>
          </cell>
          <cell r="I2070">
            <v>120</v>
          </cell>
        </row>
        <row r="2071">
          <cell r="A2071" t="str">
            <v>B558200/A</v>
          </cell>
          <cell r="B2071" t="str">
            <v>CZ898NM409</v>
          </cell>
          <cell r="C2071">
            <v>15</v>
          </cell>
          <cell r="D2071">
            <v>932.59</v>
          </cell>
          <cell r="E2071">
            <v>13988.85</v>
          </cell>
          <cell r="F2071" t="str">
            <v>A6-S01</v>
          </cell>
          <cell r="G2071" t="str">
            <v>Front Bottom Rail  - Đố đáy trước</v>
          </cell>
          <cell r="H2071" t="str">
            <v>Wood White Oak - Straight/Waving Edged, 2 COM - T32mm x W100mm Up x L1.5m Up</v>
          </cell>
          <cell r="I2071">
            <v>30</v>
          </cell>
        </row>
        <row r="2072">
          <cell r="A2072" t="str">
            <v>B558200/A</v>
          </cell>
          <cell r="B2072" t="str">
            <v>CZ898NM409</v>
          </cell>
          <cell r="C2072">
            <v>15</v>
          </cell>
          <cell r="D2072">
            <v>932.59</v>
          </cell>
          <cell r="E2072">
            <v>13988.85</v>
          </cell>
          <cell r="F2072" t="str">
            <v>A6-S02</v>
          </cell>
          <cell r="G2072" t="str">
            <v>Side bottom rail - Đố hông dưới</v>
          </cell>
          <cell r="H2072" t="str">
            <v>Wood White Oak - Straight/Waving Edged, 2 COM - T32mm x W100mm Up x L1.5m Up</v>
          </cell>
          <cell r="I2072">
            <v>30</v>
          </cell>
        </row>
        <row r="2073">
          <cell r="A2073" t="str">
            <v>B558200/A</v>
          </cell>
          <cell r="B2073" t="str">
            <v>CZ898NM409</v>
          </cell>
          <cell r="C2073">
            <v>15</v>
          </cell>
          <cell r="D2073">
            <v>932.59</v>
          </cell>
          <cell r="E2073">
            <v>13988.85</v>
          </cell>
          <cell r="F2073" t="str">
            <v>A6-S03</v>
          </cell>
          <cell r="G2073" t="str">
            <v>Center bottom rail - Đố đáy giữa</v>
          </cell>
          <cell r="H2073" t="str">
            <v>Wood White Oak - Straight/Waving Edged, 2 COM - T32mm x W100mm Up x L1.5m Up</v>
          </cell>
          <cell r="I2073">
            <v>15</v>
          </cell>
        </row>
        <row r="2074">
          <cell r="A2074" t="str">
            <v>B558200/A</v>
          </cell>
          <cell r="B2074" t="str">
            <v>CZ898NM409</v>
          </cell>
          <cell r="C2074">
            <v>15</v>
          </cell>
          <cell r="D2074">
            <v>932.59</v>
          </cell>
          <cell r="E2074">
            <v>13988.85</v>
          </cell>
          <cell r="F2074" t="str">
            <v>P01</v>
          </cell>
          <cell r="G2074" t="str">
            <v xml:space="preserve">Top panel  - Ván nóc </v>
          </cell>
          <cell r="H2074" t="str">
            <v>MDF Veneer</v>
          </cell>
          <cell r="I2074">
            <v>15</v>
          </cell>
        </row>
        <row r="2075">
          <cell r="A2075" t="str">
            <v>B558200/A</v>
          </cell>
          <cell r="B2075" t="str">
            <v>CZ898NM409</v>
          </cell>
          <cell r="C2075">
            <v>15</v>
          </cell>
          <cell r="D2075">
            <v>932.59</v>
          </cell>
          <cell r="E2075">
            <v>13988.85</v>
          </cell>
          <cell r="F2075" t="str">
            <v>P02</v>
          </cell>
          <cell r="G2075" t="str">
            <v>Front top rail  - Đố tiền nóc</v>
          </cell>
          <cell r="H2075" t="str">
            <v>Wood laminate</v>
          </cell>
          <cell r="I2075">
            <v>15</v>
          </cell>
        </row>
        <row r="2076">
          <cell r="A2076" t="str">
            <v>B558200/A</v>
          </cell>
          <cell r="B2076" t="str">
            <v>CZ898NM409</v>
          </cell>
          <cell r="C2076">
            <v>15</v>
          </cell>
          <cell r="D2076">
            <v>932.59</v>
          </cell>
          <cell r="E2076">
            <v>13988.85</v>
          </cell>
          <cell r="F2076" t="str">
            <v>P04</v>
          </cell>
          <cell r="G2076" t="str">
            <v>Bottom panel - Ván đáy</v>
          </cell>
          <cell r="H2076" t="str">
            <v>MDF Veneer</v>
          </cell>
          <cell r="I2076">
            <v>15</v>
          </cell>
        </row>
        <row r="2077">
          <cell r="A2077" t="str">
            <v>B558200/A</v>
          </cell>
          <cell r="B2077" t="str">
            <v>CZ898NM409</v>
          </cell>
          <cell r="C2077">
            <v>15</v>
          </cell>
          <cell r="D2077">
            <v>932.59</v>
          </cell>
          <cell r="E2077">
            <v>13988.85</v>
          </cell>
          <cell r="F2077" t="str">
            <v>P05</v>
          </cell>
          <cell r="G2077" t="str">
            <v>back rail - Đố hậu</v>
          </cell>
          <cell r="H2077" t="str">
            <v>Wood Rubber Laminate Board - 20 x 1220 x 2440mm, Veneer Poplar both Faces</v>
          </cell>
          <cell r="I2077">
            <v>15</v>
          </cell>
        </row>
        <row r="2078">
          <cell r="A2078" t="str">
            <v>B558200/A</v>
          </cell>
          <cell r="B2078" t="str">
            <v>CZ898NM409</v>
          </cell>
          <cell r="C2078">
            <v>15</v>
          </cell>
          <cell r="D2078">
            <v>932.59</v>
          </cell>
          <cell r="E2078">
            <v>13988.85</v>
          </cell>
          <cell r="F2078" t="str">
            <v>P06</v>
          </cell>
          <cell r="G2078" t="str">
            <v>Back panel - Ván hậu</v>
          </cell>
          <cell r="H2078" t="str">
            <v>MDF Veneer</v>
          </cell>
          <cell r="I2078">
            <v>15</v>
          </cell>
        </row>
        <row r="2079">
          <cell r="A2079" t="str">
            <v>B558200/A</v>
          </cell>
          <cell r="B2079" t="str">
            <v>CZ898NM409</v>
          </cell>
          <cell r="C2079">
            <v>15</v>
          </cell>
          <cell r="D2079">
            <v>932.59</v>
          </cell>
          <cell r="E2079">
            <v>13988.85</v>
          </cell>
          <cell r="F2079" t="str">
            <v>P07</v>
          </cell>
          <cell r="G2079" t="str">
            <v>Back bottom rail - Đố hậu đáy</v>
          </cell>
          <cell r="H2079" t="str">
            <v>Wood Rubber Laminate Board - 20 x 1220 x 2440mm, Veneer Poplar both Faces</v>
          </cell>
          <cell r="I2079">
            <v>15</v>
          </cell>
        </row>
        <row r="2080">
          <cell r="A2080" t="str">
            <v>B558200/A</v>
          </cell>
          <cell r="B2080" t="str">
            <v>CZ898NM409</v>
          </cell>
          <cell r="C2080">
            <v>15</v>
          </cell>
          <cell r="D2080">
            <v>932.59</v>
          </cell>
          <cell r="E2080">
            <v>13988.85</v>
          </cell>
          <cell r="F2080" t="str">
            <v>P08</v>
          </cell>
          <cell r="G2080" t="str">
            <v xml:space="preserve">Vertical panel  - ván đứng </v>
          </cell>
          <cell r="H2080" t="str">
            <v>MDF Veneer</v>
          </cell>
          <cell r="I2080">
            <v>15</v>
          </cell>
        </row>
        <row r="2081">
          <cell r="A2081" t="str">
            <v>B558200/A</v>
          </cell>
          <cell r="B2081" t="str">
            <v>CZ898NM409</v>
          </cell>
          <cell r="C2081">
            <v>15</v>
          </cell>
          <cell r="D2081">
            <v>932.59</v>
          </cell>
          <cell r="E2081">
            <v>13988.85</v>
          </cell>
          <cell r="F2081" t="str">
            <v>P09</v>
          </cell>
          <cell r="G2081" t="str">
            <v>Front rail  - Đố tiền</v>
          </cell>
          <cell r="H2081" t="str">
            <v>Wood Rubber Laminate Board - 20 x 1220 x 2440mm, Veneer Poplar both Faces</v>
          </cell>
          <cell r="I2081">
            <v>45</v>
          </cell>
        </row>
        <row r="2082">
          <cell r="A2082" t="str">
            <v>B558200/A</v>
          </cell>
          <cell r="B2082" t="str">
            <v>CZ898NM409</v>
          </cell>
          <cell r="C2082">
            <v>15</v>
          </cell>
          <cell r="D2082">
            <v>932.59</v>
          </cell>
          <cell r="E2082">
            <v>13988.85</v>
          </cell>
          <cell r="F2082" t="str">
            <v>P10</v>
          </cell>
          <cell r="G2082" t="str">
            <v>back rail - Đố hậu</v>
          </cell>
          <cell r="H2082" t="str">
            <v>Wood Rubber Laminate Board - 20 x 1220 x 2440mm, Veneer Poplar both Faces</v>
          </cell>
          <cell r="I2082">
            <v>15</v>
          </cell>
        </row>
        <row r="2083">
          <cell r="A2083" t="str">
            <v>B558200/A</v>
          </cell>
          <cell r="B2083" t="str">
            <v>CZ898NM409</v>
          </cell>
          <cell r="C2083">
            <v>15</v>
          </cell>
          <cell r="D2083">
            <v>932.59</v>
          </cell>
          <cell r="E2083">
            <v>13988.85</v>
          </cell>
          <cell r="F2083" t="str">
            <v>P11</v>
          </cell>
          <cell r="G2083" t="str">
            <v>Corner block - ke góc</v>
          </cell>
          <cell r="H2083" t="str">
            <v>Poplar off cut</v>
          </cell>
          <cell r="I2083">
            <v>90</v>
          </cell>
        </row>
        <row r="2084">
          <cell r="A2084" t="str">
            <v>B558200/A</v>
          </cell>
          <cell r="B2084" t="str">
            <v>CZ898NM409</v>
          </cell>
          <cell r="C2084">
            <v>15</v>
          </cell>
          <cell r="D2084">
            <v>932.59</v>
          </cell>
          <cell r="E2084">
            <v>13988.85</v>
          </cell>
          <cell r="F2084" t="str">
            <v>P12</v>
          </cell>
          <cell r="G2084" t="str">
            <v>Back panel - Ván hậu</v>
          </cell>
          <cell r="H2084" t="str">
            <v>Cement Board - 18 x 1220 x 2440mm, Dark Grey</v>
          </cell>
          <cell r="I2084">
            <v>15</v>
          </cell>
        </row>
        <row r="2085">
          <cell r="A2085" t="str">
            <v>B558200/A</v>
          </cell>
          <cell r="B2085" t="str">
            <v>CZ898NM409</v>
          </cell>
          <cell r="C2085">
            <v>15</v>
          </cell>
          <cell r="D2085">
            <v>932.59</v>
          </cell>
          <cell r="E2085">
            <v>13988.85</v>
          </cell>
          <cell r="F2085" t="str">
            <v>P13</v>
          </cell>
          <cell r="G2085" t="str">
            <v>Drawer stop - Dừng hộc</v>
          </cell>
          <cell r="H2085" t="str">
            <v>Poplar off cut</v>
          </cell>
          <cell r="I2085">
            <v>150</v>
          </cell>
        </row>
        <row r="2086">
          <cell r="A2086" t="str">
            <v>B558204/A</v>
          </cell>
          <cell r="B2086" t="str">
            <v>CZ899M196</v>
          </cell>
          <cell r="C2086">
            <v>14</v>
          </cell>
          <cell r="D2086">
            <v>375.95</v>
          </cell>
          <cell r="E2086">
            <v>5263.3</v>
          </cell>
          <cell r="F2086" t="str">
            <v>A1-S1</v>
          </cell>
          <cell r="G2086" t="str">
            <v xml:space="preserve">Drawer front - Mặt hộc kéo </v>
          </cell>
          <cell r="H2086" t="str">
            <v>Pre-Assembly</v>
          </cell>
          <cell r="I2086">
            <v>42</v>
          </cell>
        </row>
        <row r="2087">
          <cell r="A2087" t="str">
            <v>B558204/A</v>
          </cell>
          <cell r="B2087" t="str">
            <v>CZ899M196</v>
          </cell>
          <cell r="C2087">
            <v>14</v>
          </cell>
          <cell r="D2087">
            <v>375.95</v>
          </cell>
          <cell r="E2087">
            <v>5263.3</v>
          </cell>
          <cell r="F2087" t="str">
            <v>A1-S1-2</v>
          </cell>
          <cell r="G2087" t="str">
            <v>Patching wood - Gỗ đắp</v>
          </cell>
          <cell r="H2087" t="str">
            <v>Wood Red Oak - Straight/Waving Edged, 1 COM - T25mm x W100mm Up x L1.8m Up</v>
          </cell>
          <cell r="I2087">
            <v>42</v>
          </cell>
        </row>
        <row r="2088">
          <cell r="A2088" t="str">
            <v>B558204/A</v>
          </cell>
          <cell r="B2088" t="str">
            <v>CZ899M196</v>
          </cell>
          <cell r="C2088">
            <v>14</v>
          </cell>
          <cell r="D2088">
            <v>375.95</v>
          </cell>
          <cell r="E2088">
            <v>5263.3</v>
          </cell>
          <cell r="F2088" t="str">
            <v>A1-S2</v>
          </cell>
          <cell r="G2088" t="str">
            <v xml:space="preserve">Drawer front 1 - Mặt hộc kéo </v>
          </cell>
          <cell r="H2088" t="str">
            <v>MDF Veneer</v>
          </cell>
          <cell r="I2088">
            <v>42</v>
          </cell>
        </row>
        <row r="2089">
          <cell r="A2089" t="str">
            <v>B558204/A</v>
          </cell>
          <cell r="B2089" t="str">
            <v>CZ899M196</v>
          </cell>
          <cell r="C2089">
            <v>14</v>
          </cell>
          <cell r="D2089">
            <v>375.95</v>
          </cell>
          <cell r="E2089">
            <v>5263.3</v>
          </cell>
          <cell r="F2089" t="str">
            <v>A1-S3</v>
          </cell>
          <cell r="G2089" t="str">
            <v>Drawer side - Hông hộc kéo</v>
          </cell>
          <cell r="H2089" t="str">
            <v>MDF Veneer</v>
          </cell>
          <cell r="I2089">
            <v>84</v>
          </cell>
        </row>
        <row r="2090">
          <cell r="A2090" t="str">
            <v>B558204/A</v>
          </cell>
          <cell r="B2090" t="str">
            <v>CZ899M196</v>
          </cell>
          <cell r="C2090">
            <v>14</v>
          </cell>
          <cell r="D2090">
            <v>375.95</v>
          </cell>
          <cell r="E2090">
            <v>5263.3</v>
          </cell>
          <cell r="F2090" t="str">
            <v>A1-S4</v>
          </cell>
          <cell r="G2090" t="str">
            <v>Drawer back - Hậu hộc kéo</v>
          </cell>
          <cell r="H2090" t="str">
            <v>MDF Veneer</v>
          </cell>
          <cell r="I2090">
            <v>42</v>
          </cell>
        </row>
        <row r="2091">
          <cell r="A2091" t="str">
            <v>B558204/A</v>
          </cell>
          <cell r="B2091" t="str">
            <v>CZ899M196</v>
          </cell>
          <cell r="C2091">
            <v>14</v>
          </cell>
          <cell r="D2091">
            <v>375.95</v>
          </cell>
          <cell r="E2091">
            <v>5263.3</v>
          </cell>
          <cell r="F2091" t="str">
            <v>A1-S5</v>
          </cell>
          <cell r="G2091" t="str">
            <v>Drawer bottom  - Đáy hộc kéo</v>
          </cell>
          <cell r="H2091" t="str">
            <v>MDF Veneer</v>
          </cell>
          <cell r="I2091">
            <v>42</v>
          </cell>
        </row>
        <row r="2092">
          <cell r="A2092" t="str">
            <v>B558204/A</v>
          </cell>
          <cell r="B2092" t="str">
            <v>CZ899M196</v>
          </cell>
          <cell r="C2092">
            <v>14</v>
          </cell>
          <cell r="D2092">
            <v>375.95</v>
          </cell>
          <cell r="E2092">
            <v>5263.3</v>
          </cell>
          <cell r="F2092" t="str">
            <v>A2-S1</v>
          </cell>
          <cell r="G2092" t="str">
            <v>Bottom rail inside - Đố tiền đáy</v>
          </cell>
          <cell r="H2092" t="str">
            <v>Wood Red Oak - Straight/Waving Edged, 2 COM - T32mm x W100mm Up x L1.5m Up</v>
          </cell>
          <cell r="I2092">
            <v>28</v>
          </cell>
        </row>
        <row r="2093">
          <cell r="A2093" t="str">
            <v>B558204/A</v>
          </cell>
          <cell r="B2093" t="str">
            <v>CZ899M196</v>
          </cell>
          <cell r="C2093">
            <v>14</v>
          </cell>
          <cell r="D2093">
            <v>375.95</v>
          </cell>
          <cell r="E2093">
            <v>5263.3</v>
          </cell>
          <cell r="F2093" t="str">
            <v>A2-S2</v>
          </cell>
          <cell r="G2093" t="str">
            <v>Side bottom rail - Đố hông dưới</v>
          </cell>
          <cell r="H2093" t="str">
            <v>Wood Red Oak - Straight/Waving Edged, 2 COM - T32mm x W100mm Up x L1.5m Up</v>
          </cell>
          <cell r="I2093">
            <v>28</v>
          </cell>
        </row>
        <row r="2094">
          <cell r="A2094" t="str">
            <v>B558204/A</v>
          </cell>
          <cell r="B2094" t="str">
            <v>CZ899M196</v>
          </cell>
          <cell r="C2094">
            <v>14</v>
          </cell>
          <cell r="D2094">
            <v>375.95</v>
          </cell>
          <cell r="E2094">
            <v>5263.3</v>
          </cell>
          <cell r="F2094" t="str">
            <v>A4-S1</v>
          </cell>
          <cell r="G2094" t="str">
            <v>Front leg  - Chần tiền</v>
          </cell>
          <cell r="H2094" t="str">
            <v>Wd+VN</v>
          </cell>
          <cell r="I2094">
            <v>28</v>
          </cell>
        </row>
        <row r="2095">
          <cell r="A2095" t="str">
            <v>B558204/A</v>
          </cell>
          <cell r="B2095" t="str">
            <v>CZ899M196</v>
          </cell>
          <cell r="C2095">
            <v>14</v>
          </cell>
          <cell r="D2095">
            <v>375.95</v>
          </cell>
          <cell r="E2095">
            <v>5263.3</v>
          </cell>
          <cell r="F2095" t="str">
            <v>A4-S2</v>
          </cell>
          <cell r="G2095" t="str">
            <v xml:space="preserve">Side panel  - Ván hông </v>
          </cell>
          <cell r="H2095" t="str">
            <v>MDF Veneer</v>
          </cell>
          <cell r="I2095">
            <v>28</v>
          </cell>
        </row>
        <row r="2096">
          <cell r="A2096" t="str">
            <v>B558204/A</v>
          </cell>
          <cell r="B2096" t="str">
            <v>CZ899M196</v>
          </cell>
          <cell r="C2096">
            <v>14</v>
          </cell>
          <cell r="D2096">
            <v>375.95</v>
          </cell>
          <cell r="E2096">
            <v>5263.3</v>
          </cell>
          <cell r="F2096" t="str">
            <v>A4-S3</v>
          </cell>
          <cell r="G2096" t="str">
            <v xml:space="preserve">Side rail  - Đố hông </v>
          </cell>
          <cell r="H2096" t="str">
            <v>Wood laminate</v>
          </cell>
          <cell r="I2096">
            <v>84</v>
          </cell>
        </row>
        <row r="2097">
          <cell r="A2097" t="str">
            <v>B558204/A</v>
          </cell>
          <cell r="B2097" t="str">
            <v>CZ899M196</v>
          </cell>
          <cell r="C2097">
            <v>14</v>
          </cell>
          <cell r="D2097">
            <v>375.95</v>
          </cell>
          <cell r="E2097">
            <v>5263.3</v>
          </cell>
          <cell r="F2097" t="str">
            <v>P01</v>
          </cell>
          <cell r="G2097" t="str">
            <v xml:space="preserve">Top panel  - Ván nóc </v>
          </cell>
          <cell r="H2097" t="str">
            <v>MDF Veneer</v>
          </cell>
          <cell r="I2097">
            <v>14</v>
          </cell>
        </row>
        <row r="2098">
          <cell r="A2098" t="str">
            <v>B558204/A</v>
          </cell>
          <cell r="B2098" t="str">
            <v>CZ899M196</v>
          </cell>
          <cell r="C2098">
            <v>14</v>
          </cell>
          <cell r="D2098">
            <v>375.95</v>
          </cell>
          <cell r="E2098">
            <v>5263.3</v>
          </cell>
          <cell r="F2098" t="str">
            <v>P02</v>
          </cell>
          <cell r="G2098" t="str">
            <v>Bottom panel - Ván đáy</v>
          </cell>
          <cell r="H2098" t="str">
            <v>MDF Veneer</v>
          </cell>
          <cell r="I2098">
            <v>14</v>
          </cell>
        </row>
        <row r="2099">
          <cell r="A2099" t="str">
            <v>B558204/A</v>
          </cell>
          <cell r="B2099" t="str">
            <v>CZ899M196</v>
          </cell>
          <cell r="C2099">
            <v>14</v>
          </cell>
          <cell r="D2099">
            <v>375.95</v>
          </cell>
          <cell r="E2099">
            <v>5263.3</v>
          </cell>
          <cell r="F2099" t="str">
            <v>P04</v>
          </cell>
          <cell r="G2099" t="str">
            <v>Back panel - Ván hậu</v>
          </cell>
          <cell r="H2099" t="str">
            <v>MDF Veneer</v>
          </cell>
          <cell r="I2099">
            <v>14</v>
          </cell>
        </row>
        <row r="2100">
          <cell r="A2100" t="str">
            <v>B558204/A</v>
          </cell>
          <cell r="B2100" t="str">
            <v>CZ899M196</v>
          </cell>
          <cell r="C2100">
            <v>14</v>
          </cell>
          <cell r="D2100">
            <v>375.95</v>
          </cell>
          <cell r="E2100">
            <v>5263.3</v>
          </cell>
          <cell r="F2100" t="str">
            <v>P05</v>
          </cell>
          <cell r="G2100" t="str">
            <v>Front top rail  - Đố tiền nóc</v>
          </cell>
          <cell r="H2100" t="str">
            <v>Wood Rubber Laminate Board - 20 x 1220 x 2440mm, Veneer Poplar both Faces</v>
          </cell>
          <cell r="I2100">
            <v>14</v>
          </cell>
        </row>
        <row r="2101">
          <cell r="A2101" t="str">
            <v>B558204/A</v>
          </cell>
          <cell r="B2101" t="str">
            <v>CZ899M196</v>
          </cell>
          <cell r="C2101">
            <v>14</v>
          </cell>
          <cell r="D2101">
            <v>375.95</v>
          </cell>
          <cell r="E2101">
            <v>5263.3</v>
          </cell>
          <cell r="F2101" t="str">
            <v>P06</v>
          </cell>
          <cell r="G2101" t="str">
            <v>Back rail with note finger - đố hậu</v>
          </cell>
          <cell r="H2101" t="str">
            <v>Wood Rubber Laminate Board - 20 x 1220 x 2440mm, Veneer Poplar both Faces</v>
          </cell>
          <cell r="I2101">
            <v>14</v>
          </cell>
        </row>
        <row r="2102">
          <cell r="A2102" t="str">
            <v>B558204/A</v>
          </cell>
          <cell r="B2102" t="str">
            <v>CZ899M196</v>
          </cell>
          <cell r="C2102">
            <v>14</v>
          </cell>
          <cell r="D2102">
            <v>375.95</v>
          </cell>
          <cell r="E2102">
            <v>5263.3</v>
          </cell>
          <cell r="F2102" t="str">
            <v>P06-1</v>
          </cell>
          <cell r="G2102" t="str">
            <v>Back bottom rail - Đố hậu đáy</v>
          </cell>
          <cell r="H2102" t="str">
            <v>Wood Rubber Laminate Board - 20 x 1220 x 2440mm, Veneer Poplar both Faces</v>
          </cell>
          <cell r="I2102">
            <v>14</v>
          </cell>
        </row>
        <row r="2103">
          <cell r="A2103" t="str">
            <v>B558204/A</v>
          </cell>
          <cell r="B2103" t="str">
            <v>CZ899M196</v>
          </cell>
          <cell r="C2103">
            <v>14</v>
          </cell>
          <cell r="D2103">
            <v>375.95</v>
          </cell>
          <cell r="E2103">
            <v>5263.3</v>
          </cell>
          <cell r="F2103" t="str">
            <v>P07</v>
          </cell>
          <cell r="G2103" t="str">
            <v>Front rail  - Đố tiền</v>
          </cell>
          <cell r="H2103" t="str">
            <v>Wood Rubber Laminate Board - 20 x 1220 x 2440mm, Veneer Poplar both Faces</v>
          </cell>
          <cell r="I2103">
            <v>28</v>
          </cell>
        </row>
        <row r="2104">
          <cell r="A2104" t="str">
            <v>B558204/A</v>
          </cell>
          <cell r="B2104" t="str">
            <v>CZ899M196</v>
          </cell>
          <cell r="C2104">
            <v>14</v>
          </cell>
          <cell r="D2104">
            <v>375.95</v>
          </cell>
          <cell r="E2104">
            <v>5263.3</v>
          </cell>
          <cell r="F2104" t="str">
            <v>P08</v>
          </cell>
          <cell r="G2104" t="str">
            <v>Drawer stop - Dừng hộc</v>
          </cell>
          <cell r="H2104" t="str">
            <v>Poplar off cut</v>
          </cell>
          <cell r="I2104">
            <v>28</v>
          </cell>
        </row>
        <row r="2105">
          <cell r="A2105" t="str">
            <v>B558208/A</v>
          </cell>
          <cell r="B2105" t="str">
            <v>CZ899M409</v>
          </cell>
          <cell r="C2105">
            <v>7</v>
          </cell>
          <cell r="D2105">
            <v>375.95</v>
          </cell>
          <cell r="E2105">
            <v>2631.65</v>
          </cell>
          <cell r="F2105" t="str">
            <v>A1-S1</v>
          </cell>
          <cell r="G2105" t="str">
            <v xml:space="preserve">Drawer front - Mặt hộc kéo </v>
          </cell>
          <cell r="H2105" t="str">
            <v>Pre-Assembly</v>
          </cell>
          <cell r="I2105">
            <v>21</v>
          </cell>
        </row>
        <row r="2106">
          <cell r="A2106" t="str">
            <v>B558208/A</v>
          </cell>
          <cell r="B2106" t="str">
            <v>CZ899M409</v>
          </cell>
          <cell r="C2106">
            <v>7</v>
          </cell>
          <cell r="D2106">
            <v>375.95</v>
          </cell>
          <cell r="E2106">
            <v>2631.65</v>
          </cell>
          <cell r="F2106" t="str">
            <v>A1-S1-2</v>
          </cell>
          <cell r="G2106" t="str">
            <v>Patching wood - Gỗ đắp</v>
          </cell>
          <cell r="H2106" t="str">
            <v>Wood White Oak - Straight/Waving Edged, 1 COM - T25mm x W100mm Up x L1.8m Up</v>
          </cell>
          <cell r="I2106">
            <v>21</v>
          </cell>
        </row>
        <row r="2107">
          <cell r="A2107" t="str">
            <v>B558208/A</v>
          </cell>
          <cell r="B2107" t="str">
            <v>CZ899M409</v>
          </cell>
          <cell r="C2107">
            <v>7</v>
          </cell>
          <cell r="D2107">
            <v>375.95</v>
          </cell>
          <cell r="E2107">
            <v>2631.65</v>
          </cell>
          <cell r="F2107" t="str">
            <v>A1-S2</v>
          </cell>
          <cell r="G2107" t="str">
            <v xml:space="preserve">Drawer front 1 - Mặt hộc kéo </v>
          </cell>
          <cell r="H2107" t="str">
            <v>MDF Veneer</v>
          </cell>
          <cell r="I2107">
            <v>21</v>
          </cell>
        </row>
        <row r="2108">
          <cell r="A2108" t="str">
            <v>B558208/A</v>
          </cell>
          <cell r="B2108" t="str">
            <v>CZ899M409</v>
          </cell>
          <cell r="C2108">
            <v>7</v>
          </cell>
          <cell r="D2108">
            <v>375.95</v>
          </cell>
          <cell r="E2108">
            <v>2631.65</v>
          </cell>
          <cell r="F2108" t="str">
            <v>A1-S3</v>
          </cell>
          <cell r="G2108" t="str">
            <v>Drawer side - Hông hộc kéo</v>
          </cell>
          <cell r="H2108" t="str">
            <v>MDF Veneer</v>
          </cell>
          <cell r="I2108">
            <v>42</v>
          </cell>
        </row>
        <row r="2109">
          <cell r="A2109" t="str">
            <v>B558208/A</v>
          </cell>
          <cell r="B2109" t="str">
            <v>CZ899M409</v>
          </cell>
          <cell r="C2109">
            <v>7</v>
          </cell>
          <cell r="D2109">
            <v>375.95</v>
          </cell>
          <cell r="E2109">
            <v>2631.65</v>
          </cell>
          <cell r="F2109" t="str">
            <v>A1-S4</v>
          </cell>
          <cell r="G2109" t="str">
            <v>Drawer back - Hậu hộc kéo</v>
          </cell>
          <cell r="H2109" t="str">
            <v>MDF Veneer</v>
          </cell>
          <cell r="I2109">
            <v>21</v>
          </cell>
        </row>
        <row r="2110">
          <cell r="A2110" t="str">
            <v>B558208/A</v>
          </cell>
          <cell r="B2110" t="str">
            <v>CZ899M409</v>
          </cell>
          <cell r="C2110">
            <v>7</v>
          </cell>
          <cell r="D2110">
            <v>375.95</v>
          </cell>
          <cell r="E2110">
            <v>2631.65</v>
          </cell>
          <cell r="F2110" t="str">
            <v>A1-S5</v>
          </cell>
          <cell r="G2110" t="str">
            <v>Drawer bottom  - Đáy hộc kéo</v>
          </cell>
          <cell r="H2110" t="str">
            <v>MDF Veneer</v>
          </cell>
          <cell r="I2110">
            <v>21</v>
          </cell>
        </row>
        <row r="2111">
          <cell r="A2111" t="str">
            <v>B558208/A</v>
          </cell>
          <cell r="B2111" t="str">
            <v>CZ899M409</v>
          </cell>
          <cell r="C2111">
            <v>7</v>
          </cell>
          <cell r="D2111">
            <v>375.95</v>
          </cell>
          <cell r="E2111">
            <v>2631.65</v>
          </cell>
          <cell r="F2111" t="str">
            <v>A2-S1</v>
          </cell>
          <cell r="G2111" t="str">
            <v>Bottom rail inside - Đố tiền đáy</v>
          </cell>
          <cell r="H2111" t="str">
            <v>Wood White Oak - Straight/Waving Edged, 2 COM - T32mm x W100mm Up x L1.5m Up</v>
          </cell>
          <cell r="I2111">
            <v>14</v>
          </cell>
        </row>
        <row r="2112">
          <cell r="A2112" t="str">
            <v>B558208/A</v>
          </cell>
          <cell r="B2112" t="str">
            <v>CZ899M409</v>
          </cell>
          <cell r="C2112">
            <v>7</v>
          </cell>
          <cell r="D2112">
            <v>375.95</v>
          </cell>
          <cell r="E2112">
            <v>2631.65</v>
          </cell>
          <cell r="F2112" t="str">
            <v>A2-S2</v>
          </cell>
          <cell r="G2112" t="str">
            <v>Side bottom rail - Đố hông dưới</v>
          </cell>
          <cell r="H2112" t="str">
            <v>Wood White Oak - Straight/Waving Edged, 2 COM - T32mm x W100mm Up x L1.5m Up</v>
          </cell>
          <cell r="I2112">
            <v>14</v>
          </cell>
        </row>
        <row r="2113">
          <cell r="A2113" t="str">
            <v>B558208/A</v>
          </cell>
          <cell r="B2113" t="str">
            <v>CZ899M409</v>
          </cell>
          <cell r="C2113">
            <v>7</v>
          </cell>
          <cell r="D2113">
            <v>375.95</v>
          </cell>
          <cell r="E2113">
            <v>2631.65</v>
          </cell>
          <cell r="F2113" t="str">
            <v>A4-S1</v>
          </cell>
          <cell r="G2113" t="str">
            <v>Front leg  - Chần tiền</v>
          </cell>
          <cell r="H2113" t="str">
            <v>Wd+VN</v>
          </cell>
          <cell r="I2113">
            <v>14</v>
          </cell>
        </row>
        <row r="2114">
          <cell r="A2114" t="str">
            <v>B558208/A</v>
          </cell>
          <cell r="B2114" t="str">
            <v>CZ899M409</v>
          </cell>
          <cell r="C2114">
            <v>7</v>
          </cell>
          <cell r="D2114">
            <v>375.95</v>
          </cell>
          <cell r="E2114">
            <v>2631.65</v>
          </cell>
          <cell r="F2114" t="str">
            <v>A4-S2</v>
          </cell>
          <cell r="G2114" t="str">
            <v xml:space="preserve">Side panel  - Ván hông </v>
          </cell>
          <cell r="H2114" t="str">
            <v>MDF Veneer</v>
          </cell>
          <cell r="I2114">
            <v>14</v>
          </cell>
        </row>
        <row r="2115">
          <cell r="A2115" t="str">
            <v>B558208/A</v>
          </cell>
          <cell r="B2115" t="str">
            <v>CZ899M409</v>
          </cell>
          <cell r="C2115">
            <v>7</v>
          </cell>
          <cell r="D2115">
            <v>375.95</v>
          </cell>
          <cell r="E2115">
            <v>2631.65</v>
          </cell>
          <cell r="F2115" t="str">
            <v>A4-S3</v>
          </cell>
          <cell r="G2115" t="str">
            <v xml:space="preserve">Side rail  - Đố hông </v>
          </cell>
          <cell r="H2115" t="str">
            <v>Wood laminate</v>
          </cell>
          <cell r="I2115">
            <v>42</v>
          </cell>
        </row>
        <row r="2116">
          <cell r="A2116" t="str">
            <v>B558208/A</v>
          </cell>
          <cell r="B2116" t="str">
            <v>CZ899M409</v>
          </cell>
          <cell r="C2116">
            <v>7</v>
          </cell>
          <cell r="D2116">
            <v>375.95</v>
          </cell>
          <cell r="E2116">
            <v>2631.65</v>
          </cell>
          <cell r="F2116" t="str">
            <v>P01</v>
          </cell>
          <cell r="G2116" t="str">
            <v xml:space="preserve">Top panel  - Ván nóc </v>
          </cell>
          <cell r="H2116" t="str">
            <v>MDF Veneer</v>
          </cell>
          <cell r="I2116">
            <v>7</v>
          </cell>
        </row>
        <row r="2117">
          <cell r="A2117" t="str">
            <v>B558208/A</v>
          </cell>
          <cell r="B2117" t="str">
            <v>CZ899M409</v>
          </cell>
          <cell r="C2117">
            <v>7</v>
          </cell>
          <cell r="D2117">
            <v>375.95</v>
          </cell>
          <cell r="E2117">
            <v>2631.65</v>
          </cell>
          <cell r="F2117" t="str">
            <v>P02</v>
          </cell>
          <cell r="G2117" t="str">
            <v>Bottom panel - Ván đáy</v>
          </cell>
          <cell r="H2117" t="str">
            <v>MDF Veneer</v>
          </cell>
          <cell r="I2117">
            <v>7</v>
          </cell>
        </row>
        <row r="2118">
          <cell r="A2118" t="str">
            <v>B558208/A</v>
          </cell>
          <cell r="B2118" t="str">
            <v>CZ899M409</v>
          </cell>
          <cell r="C2118">
            <v>7</v>
          </cell>
          <cell r="D2118">
            <v>375.95</v>
          </cell>
          <cell r="E2118">
            <v>2631.65</v>
          </cell>
          <cell r="F2118" t="str">
            <v>P04</v>
          </cell>
          <cell r="G2118" t="str">
            <v>Back panel - Ván hậu</v>
          </cell>
          <cell r="H2118" t="str">
            <v>MDF Veneer</v>
          </cell>
          <cell r="I2118">
            <v>7</v>
          </cell>
        </row>
        <row r="2119">
          <cell r="A2119" t="str">
            <v>B558208/A</v>
          </cell>
          <cell r="B2119" t="str">
            <v>CZ899M409</v>
          </cell>
          <cell r="C2119">
            <v>7</v>
          </cell>
          <cell r="D2119">
            <v>375.95</v>
          </cell>
          <cell r="E2119">
            <v>2631.65</v>
          </cell>
          <cell r="F2119" t="str">
            <v>P05</v>
          </cell>
          <cell r="G2119" t="str">
            <v>Front top rail  - Đố tiền nóc</v>
          </cell>
          <cell r="H2119" t="str">
            <v>Wood Rubber Laminate Board - 20 x 1220 x 2440mm, Veneer Poplar both Faces</v>
          </cell>
          <cell r="I2119">
            <v>7</v>
          </cell>
        </row>
        <row r="2120">
          <cell r="A2120" t="str">
            <v>B558208/A</v>
          </cell>
          <cell r="B2120" t="str">
            <v>CZ899M409</v>
          </cell>
          <cell r="C2120">
            <v>7</v>
          </cell>
          <cell r="D2120">
            <v>375.95</v>
          </cell>
          <cell r="E2120">
            <v>2631.65</v>
          </cell>
          <cell r="F2120" t="str">
            <v>P06</v>
          </cell>
          <cell r="G2120" t="str">
            <v>Back rail with note finger - đố hậu</v>
          </cell>
          <cell r="H2120" t="str">
            <v>Wood Rubber Laminate Board - 20 x 1220 x 2440mm, Veneer Poplar both Faces</v>
          </cell>
          <cell r="I2120">
            <v>7</v>
          </cell>
        </row>
        <row r="2121">
          <cell r="A2121" t="str">
            <v>B558208/A</v>
          </cell>
          <cell r="B2121" t="str">
            <v>CZ899M409</v>
          </cell>
          <cell r="C2121">
            <v>7</v>
          </cell>
          <cell r="D2121">
            <v>375.95</v>
          </cell>
          <cell r="E2121">
            <v>2631.65</v>
          </cell>
          <cell r="F2121" t="str">
            <v>P06-1</v>
          </cell>
          <cell r="G2121" t="str">
            <v>Back bottom rail - Đố hậu đáy</v>
          </cell>
          <cell r="H2121" t="str">
            <v>Wood Rubber Laminate Board - 20 x 1220 x 2440mm, Veneer Poplar both Faces</v>
          </cell>
          <cell r="I2121">
            <v>7</v>
          </cell>
        </row>
        <row r="2122">
          <cell r="A2122" t="str">
            <v>B558208/A</v>
          </cell>
          <cell r="B2122" t="str">
            <v>CZ899M409</v>
          </cell>
          <cell r="C2122">
            <v>7</v>
          </cell>
          <cell r="D2122">
            <v>375.95</v>
          </cell>
          <cell r="E2122">
            <v>2631.65</v>
          </cell>
          <cell r="F2122" t="str">
            <v>P07</v>
          </cell>
          <cell r="G2122" t="str">
            <v>Front rail  - Đố tiền</v>
          </cell>
          <cell r="H2122" t="str">
            <v>Wood Rubber Laminate Board - 20 x 1220 x 2440mm, Veneer Poplar both Faces</v>
          </cell>
          <cell r="I2122">
            <v>14</v>
          </cell>
        </row>
        <row r="2123">
          <cell r="A2123" t="str">
            <v>B558208/A</v>
          </cell>
          <cell r="B2123" t="str">
            <v>CZ899M409</v>
          </cell>
          <cell r="C2123">
            <v>7</v>
          </cell>
          <cell r="D2123">
            <v>375.95</v>
          </cell>
          <cell r="E2123">
            <v>2631.65</v>
          </cell>
          <cell r="F2123" t="str">
            <v>P08</v>
          </cell>
          <cell r="G2123" t="str">
            <v>Drawer stop - Dừng hộc</v>
          </cell>
          <cell r="H2123" t="str">
            <v>Poplar off cut</v>
          </cell>
          <cell r="I2123">
            <v>42</v>
          </cell>
        </row>
        <row r="2124">
          <cell r="A2124" t="str">
            <v>B558212/A</v>
          </cell>
          <cell r="B2124" t="str">
            <v>CZ905M188</v>
          </cell>
          <cell r="C2124">
            <v>21</v>
          </cell>
          <cell r="D2124">
            <v>185.4</v>
          </cell>
          <cell r="E2124">
            <v>3893.4</v>
          </cell>
          <cell r="F2124" t="str">
            <v>P01</v>
          </cell>
          <cell r="G2124" t="str">
            <v xml:space="preserve">Top panel  - Ván nóc </v>
          </cell>
          <cell r="H2124" t="str">
            <v>MDF Veneer</v>
          </cell>
          <cell r="I2124">
            <v>21</v>
          </cell>
        </row>
        <row r="2125">
          <cell r="A2125" t="str">
            <v>B558212/A</v>
          </cell>
          <cell r="B2125" t="str">
            <v>CZ905M188</v>
          </cell>
          <cell r="C2125">
            <v>21</v>
          </cell>
          <cell r="D2125">
            <v>185.4</v>
          </cell>
          <cell r="E2125">
            <v>3893.4</v>
          </cell>
          <cell r="F2125" t="str">
            <v>P02</v>
          </cell>
          <cell r="G2125" t="str">
            <v>the post - trụ</v>
          </cell>
          <cell r="H2125" t="str">
            <v>Wood laminate</v>
          </cell>
          <cell r="I2125">
            <v>84</v>
          </cell>
        </row>
        <row r="2126">
          <cell r="A2126" t="str">
            <v>B558212/A</v>
          </cell>
          <cell r="B2126" t="str">
            <v>CZ905M188</v>
          </cell>
          <cell r="C2126">
            <v>21</v>
          </cell>
          <cell r="D2126">
            <v>185.4</v>
          </cell>
          <cell r="E2126">
            <v>3893.4</v>
          </cell>
          <cell r="F2126" t="str">
            <v>P03</v>
          </cell>
          <cell r="G2126" t="str">
            <v>The leg  - Chân</v>
          </cell>
          <cell r="H2126" t="str">
            <v>Wood laminate</v>
          </cell>
          <cell r="I2126">
            <v>21</v>
          </cell>
        </row>
        <row r="2127">
          <cell r="A2127" t="str">
            <v>B558212/A</v>
          </cell>
          <cell r="B2127" t="str">
            <v>CZ905M188</v>
          </cell>
          <cell r="C2127">
            <v>21</v>
          </cell>
          <cell r="D2127">
            <v>185.4</v>
          </cell>
          <cell r="E2127">
            <v>3893.4</v>
          </cell>
          <cell r="F2127" t="str">
            <v>P04</v>
          </cell>
          <cell r="G2127" t="str">
            <v>The leg  - Chân</v>
          </cell>
          <cell r="H2127" t="str">
            <v>Wood laminate</v>
          </cell>
          <cell r="I2127">
            <v>21</v>
          </cell>
        </row>
        <row r="2128">
          <cell r="A2128" t="str">
            <v>B558260/A</v>
          </cell>
          <cell r="B2128" t="str">
            <v>RH836M29</v>
          </cell>
          <cell r="C2128">
            <v>25</v>
          </cell>
          <cell r="D2128">
            <v>176.38</v>
          </cell>
          <cell r="E2128">
            <v>4409.5</v>
          </cell>
          <cell r="F2128" t="str">
            <v>A2-S1</v>
          </cell>
          <cell r="G2128" t="str">
            <v xml:space="preserve">Drawer front - Mặt hộc kéo </v>
          </cell>
          <cell r="H2128" t="str">
            <v>Wood Acacia - Straight/Waving Edged - T30mm x W100mm Up x L1m Up</v>
          </cell>
          <cell r="I2128">
            <v>100</v>
          </cell>
        </row>
        <row r="2129">
          <cell r="A2129" t="str">
            <v>B558260/A</v>
          </cell>
          <cell r="B2129" t="str">
            <v>RH836M29</v>
          </cell>
          <cell r="C2129">
            <v>25</v>
          </cell>
          <cell r="D2129">
            <v>176.38</v>
          </cell>
          <cell r="E2129">
            <v>4409.5</v>
          </cell>
          <cell r="F2129" t="str">
            <v>A2-S2</v>
          </cell>
          <cell r="G2129" t="str">
            <v>Drawer side - Hông hộc kéo</v>
          </cell>
          <cell r="H2129" t="str">
            <v>MDF Veneer</v>
          </cell>
          <cell r="I2129">
            <v>200</v>
          </cell>
        </row>
        <row r="2130">
          <cell r="A2130" t="str">
            <v>B558260/A</v>
          </cell>
          <cell r="B2130" t="str">
            <v>RH836M29</v>
          </cell>
          <cell r="C2130">
            <v>25</v>
          </cell>
          <cell r="D2130">
            <v>176.38</v>
          </cell>
          <cell r="E2130">
            <v>4409.5</v>
          </cell>
          <cell r="F2130" t="str">
            <v>A2-S3</v>
          </cell>
          <cell r="G2130" t="str">
            <v>Drawer back - Hậu hộc kéo</v>
          </cell>
          <cell r="H2130" t="str">
            <v>MDF Veneer</v>
          </cell>
          <cell r="I2130">
            <v>75</v>
          </cell>
        </row>
        <row r="2131">
          <cell r="A2131" t="str">
            <v>B558260/A</v>
          </cell>
          <cell r="B2131" t="str">
            <v>RH836M29</v>
          </cell>
          <cell r="C2131">
            <v>25</v>
          </cell>
          <cell r="D2131">
            <v>176.38</v>
          </cell>
          <cell r="E2131">
            <v>4409.5</v>
          </cell>
          <cell r="F2131" t="str">
            <v>A2-S4</v>
          </cell>
          <cell r="G2131" t="str">
            <v>Drawer bottom  - Đáy hộc kéo</v>
          </cell>
          <cell r="H2131" t="str">
            <v>MDF - 06 x 1220 x 2440mm, Veneer Tram 0.3mm + Veneer Engineering 0.3mm [CARB P2 Compliant]</v>
          </cell>
          <cell r="I2131">
            <v>100</v>
          </cell>
        </row>
        <row r="2132">
          <cell r="A2132" t="str">
            <v>B558260/A</v>
          </cell>
          <cell r="B2132" t="str">
            <v>RH836M29</v>
          </cell>
          <cell r="C2132">
            <v>25</v>
          </cell>
          <cell r="D2132">
            <v>176.38</v>
          </cell>
          <cell r="E2132">
            <v>4409.5</v>
          </cell>
          <cell r="F2132" t="str">
            <v>A2-S7</v>
          </cell>
          <cell r="G2132" t="str">
            <v>Drawer stop - Dừng hộc</v>
          </cell>
          <cell r="H2132" t="str">
            <v>wood off cut</v>
          </cell>
          <cell r="I2132">
            <v>150</v>
          </cell>
        </row>
        <row r="2133">
          <cell r="A2133" t="str">
            <v>B558260/A</v>
          </cell>
          <cell r="B2133" t="str">
            <v>RH836M29</v>
          </cell>
          <cell r="C2133">
            <v>25</v>
          </cell>
          <cell r="D2133">
            <v>176.38</v>
          </cell>
          <cell r="E2133">
            <v>4409.5</v>
          </cell>
          <cell r="F2133" t="str">
            <v>A3-S1</v>
          </cell>
          <cell r="G2133" t="str">
            <v>Drawer back - Hậu hộc kéo</v>
          </cell>
          <cell r="H2133" t="str">
            <v>Wood Acacia - Straight/Waving Edged - T35mm x W100mm Up x L1.5m Up</v>
          </cell>
          <cell r="I2133">
            <v>25</v>
          </cell>
        </row>
        <row r="2134">
          <cell r="A2134" t="str">
            <v>B558260/A</v>
          </cell>
          <cell r="B2134" t="str">
            <v>RH836M29</v>
          </cell>
          <cell r="C2134">
            <v>25</v>
          </cell>
          <cell r="D2134">
            <v>176.38</v>
          </cell>
          <cell r="E2134">
            <v>4409.5</v>
          </cell>
          <cell r="F2134" t="str">
            <v>A3-S2</v>
          </cell>
          <cell r="G2134" t="str">
            <v>Patching wood - Gỗ đắp</v>
          </cell>
          <cell r="H2134" t="str">
            <v>Veneer laminate</v>
          </cell>
          <cell r="I2134">
            <v>200</v>
          </cell>
        </row>
        <row r="2135">
          <cell r="A2135" t="str">
            <v>B558260/A</v>
          </cell>
          <cell r="B2135" t="str">
            <v>RH836M29</v>
          </cell>
          <cell r="C2135">
            <v>25</v>
          </cell>
          <cell r="D2135">
            <v>176.38</v>
          </cell>
          <cell r="E2135">
            <v>4409.5</v>
          </cell>
          <cell r="F2135" t="str">
            <v>A3-S3</v>
          </cell>
          <cell r="G2135" t="str">
            <v>Patching wood - Gỗ đắp</v>
          </cell>
          <cell r="H2135" t="str">
            <v>Poplar off cut</v>
          </cell>
          <cell r="I2135">
            <v>25</v>
          </cell>
        </row>
        <row r="2136">
          <cell r="A2136" t="str">
            <v>B558260/A</v>
          </cell>
          <cell r="B2136" t="str">
            <v>RH836M29</v>
          </cell>
          <cell r="C2136">
            <v>25</v>
          </cell>
          <cell r="D2136">
            <v>176.38</v>
          </cell>
          <cell r="E2136">
            <v>4409.5</v>
          </cell>
          <cell r="F2136" t="str">
            <v>A4-S1</v>
          </cell>
          <cell r="G2136" t="str">
            <v xml:space="preserve">Drawer front - Mặt hộc kéo </v>
          </cell>
          <cell r="H2136" t="str">
            <v>Wood Acacia - Straight/Waving Edged - T30mm x W100mm Up x L1m Up</v>
          </cell>
          <cell r="I2136">
            <v>50</v>
          </cell>
        </row>
        <row r="2137">
          <cell r="A2137" t="str">
            <v>B558260/A</v>
          </cell>
          <cell r="B2137" t="str">
            <v>RH836M29</v>
          </cell>
          <cell r="C2137">
            <v>25</v>
          </cell>
          <cell r="D2137">
            <v>176.38</v>
          </cell>
          <cell r="E2137">
            <v>4409.5</v>
          </cell>
          <cell r="F2137" t="str">
            <v>A4-S2</v>
          </cell>
          <cell r="G2137" t="str">
            <v>Drawer side - Hông hộc kéo</v>
          </cell>
          <cell r="H2137" t="str">
            <v>Wood Acacia - Straight/Waving Edged - T35mm x W100mm Up x L1.5m Up</v>
          </cell>
          <cell r="I2137">
            <v>100</v>
          </cell>
        </row>
        <row r="2138">
          <cell r="A2138" t="str">
            <v>B558260/A</v>
          </cell>
          <cell r="B2138" t="str">
            <v>RH836M29</v>
          </cell>
          <cell r="C2138">
            <v>25</v>
          </cell>
          <cell r="D2138">
            <v>176.38</v>
          </cell>
          <cell r="E2138">
            <v>4409.5</v>
          </cell>
          <cell r="F2138" t="str">
            <v>A4-S3</v>
          </cell>
          <cell r="G2138" t="str">
            <v>Drawer back - Hậu hộc kéo</v>
          </cell>
          <cell r="H2138" t="str">
            <v>Wood Acacia - Straight/Waving Edged - T35mm x W100mm Up x L1.5m Up</v>
          </cell>
          <cell r="I2138">
            <v>50</v>
          </cell>
        </row>
        <row r="2139">
          <cell r="A2139" t="str">
            <v>B558260/A</v>
          </cell>
          <cell r="B2139" t="str">
            <v>RH836M29</v>
          </cell>
          <cell r="C2139">
            <v>25</v>
          </cell>
          <cell r="D2139">
            <v>176.38</v>
          </cell>
          <cell r="E2139">
            <v>4409.5</v>
          </cell>
          <cell r="F2139" t="str">
            <v>A4-S4</v>
          </cell>
          <cell r="G2139" t="str">
            <v>Drawer bottom  - Đáy hộc kéo</v>
          </cell>
          <cell r="H2139" t="str">
            <v>Wood Acacia - Straight/Waving Edged - T35mm x W100mm Up x L1m Up</v>
          </cell>
          <cell r="I2139">
            <v>50</v>
          </cell>
        </row>
        <row r="2140">
          <cell r="A2140" t="str">
            <v>B558260/A</v>
          </cell>
          <cell r="B2140" t="str">
            <v>RH836M29</v>
          </cell>
          <cell r="C2140">
            <v>25</v>
          </cell>
          <cell r="D2140">
            <v>176.38</v>
          </cell>
          <cell r="E2140">
            <v>4409.5</v>
          </cell>
          <cell r="F2140" t="str">
            <v>A4-S5</v>
          </cell>
          <cell r="G2140" t="str">
            <v>Patching wood - Gỗ đắp</v>
          </cell>
          <cell r="H2140" t="str">
            <v>Veneer Okoume - Rotary Backing - T2.1 x W1220 x L2440 mm (B Grade)</v>
          </cell>
          <cell r="I2140">
            <v>50</v>
          </cell>
        </row>
        <row r="2141">
          <cell r="A2141" t="str">
            <v>B558260/A</v>
          </cell>
          <cell r="B2141" t="str">
            <v>RH836M29</v>
          </cell>
          <cell r="C2141">
            <v>25</v>
          </cell>
          <cell r="D2141">
            <v>176.38</v>
          </cell>
          <cell r="E2141">
            <v>4409.5</v>
          </cell>
          <cell r="F2141" t="str">
            <v>P08</v>
          </cell>
          <cell r="G2141" t="str">
            <v xml:space="preserve">Side panel  - Ván hông </v>
          </cell>
          <cell r="H2141" t="str">
            <v>Wood Acacia - Straight/Waving Edged - T25mm x W100mm Up x L1m Up</v>
          </cell>
          <cell r="I2141">
            <v>50</v>
          </cell>
        </row>
        <row r="2142">
          <cell r="A2142" t="str">
            <v>B558260/A</v>
          </cell>
          <cell r="B2142" t="str">
            <v>RH836M29</v>
          </cell>
          <cell r="C2142">
            <v>25</v>
          </cell>
          <cell r="D2142">
            <v>176.38</v>
          </cell>
          <cell r="E2142">
            <v>4409.5</v>
          </cell>
          <cell r="F2142" t="str">
            <v>P09</v>
          </cell>
          <cell r="G2142" t="str">
            <v>Center panel - Ván giữa</v>
          </cell>
          <cell r="H2142" t="str">
            <v>Wood Acacia - Straight/Waving Edged - T25mm x W100mm Up x L1m Up</v>
          </cell>
          <cell r="I2142">
            <v>50</v>
          </cell>
        </row>
        <row r="2143">
          <cell r="A2143" t="str">
            <v>B558260/A</v>
          </cell>
          <cell r="B2143" t="str">
            <v>RH836M29</v>
          </cell>
          <cell r="C2143">
            <v>25</v>
          </cell>
          <cell r="D2143">
            <v>176.38</v>
          </cell>
          <cell r="E2143">
            <v>4409.5</v>
          </cell>
          <cell r="F2143" t="str">
            <v>P10</v>
          </cell>
          <cell r="G2143" t="str">
            <v>Center panel - Ván giữa</v>
          </cell>
          <cell r="H2143" t="str">
            <v>Wood Acacia - Straight/Waving Edged - T25mm x W100mm Up x L1m Up</v>
          </cell>
          <cell r="I2143">
            <v>25</v>
          </cell>
        </row>
        <row r="2144">
          <cell r="A2144" t="str">
            <v>B558260/A</v>
          </cell>
          <cell r="B2144" t="str">
            <v>RH836M29</v>
          </cell>
          <cell r="C2144">
            <v>25</v>
          </cell>
          <cell r="D2144">
            <v>176.38</v>
          </cell>
          <cell r="E2144">
            <v>4409.5</v>
          </cell>
          <cell r="F2144" t="str">
            <v>P11</v>
          </cell>
          <cell r="G2144" t="str">
            <v>Center panel - Ván giữa</v>
          </cell>
          <cell r="H2144" t="str">
            <v>Wood Acacia - Straight/Waving Edged - T25mm x W100mm Up x L1m Up</v>
          </cell>
          <cell r="I2144">
            <v>100</v>
          </cell>
        </row>
        <row r="2145">
          <cell r="A2145" t="str">
            <v>B558260/A</v>
          </cell>
          <cell r="B2145" t="str">
            <v>RH836M29</v>
          </cell>
          <cell r="C2145">
            <v>25</v>
          </cell>
          <cell r="D2145">
            <v>176.38</v>
          </cell>
          <cell r="E2145">
            <v>4409.5</v>
          </cell>
          <cell r="F2145" t="str">
            <v>P13</v>
          </cell>
          <cell r="G2145" t="str">
            <v>Center panel - Ván giữa</v>
          </cell>
          <cell r="H2145" t="str">
            <v>Pre-Assembly</v>
          </cell>
          <cell r="I2145">
            <v>25</v>
          </cell>
        </row>
        <row r="2146">
          <cell r="A2146" t="str">
            <v>B558260/A</v>
          </cell>
          <cell r="B2146" t="str">
            <v>RH836M29</v>
          </cell>
          <cell r="C2146">
            <v>25</v>
          </cell>
          <cell r="D2146">
            <v>176.38</v>
          </cell>
          <cell r="E2146">
            <v>4409.5</v>
          </cell>
          <cell r="F2146" t="str">
            <v>P13-1</v>
          </cell>
          <cell r="G2146" t="str">
            <v xml:space="preserve">Panel - Ván </v>
          </cell>
          <cell r="H2146" t="str">
            <v>MDF Veneer</v>
          </cell>
          <cell r="I2146">
            <v>25</v>
          </cell>
        </row>
        <row r="2147">
          <cell r="A2147" t="str">
            <v>B558260/A</v>
          </cell>
          <cell r="B2147" t="str">
            <v>RH836M29</v>
          </cell>
          <cell r="C2147">
            <v>25</v>
          </cell>
          <cell r="D2147">
            <v>176.38</v>
          </cell>
          <cell r="E2147">
            <v>4409.5</v>
          </cell>
          <cell r="F2147" t="str">
            <v>P13-2</v>
          </cell>
          <cell r="G2147" t="str">
            <v>Front moulding  - Chỉ tiền</v>
          </cell>
          <cell r="H2147" t="str">
            <v>Wood Acacia - Straight/Waving Edged - T35mm x W100mm Up x L1m Up</v>
          </cell>
          <cell r="I2147">
            <v>25</v>
          </cell>
        </row>
        <row r="2148">
          <cell r="A2148" t="str">
            <v>B558260/A</v>
          </cell>
          <cell r="B2148" t="str">
            <v>RH836M29</v>
          </cell>
          <cell r="C2148">
            <v>25</v>
          </cell>
          <cell r="D2148">
            <v>176.38</v>
          </cell>
          <cell r="E2148">
            <v>4409.5</v>
          </cell>
          <cell r="F2148" t="str">
            <v>P15</v>
          </cell>
          <cell r="G2148" t="str">
            <v>Back panel - Ván hậu</v>
          </cell>
          <cell r="H2148" t="str">
            <v>MDF Veneer</v>
          </cell>
          <cell r="I2148">
            <v>25</v>
          </cell>
        </row>
        <row r="2149">
          <cell r="A2149" t="str">
            <v>B558260/A</v>
          </cell>
          <cell r="B2149" t="str">
            <v>RH836M29</v>
          </cell>
          <cell r="C2149">
            <v>25</v>
          </cell>
          <cell r="D2149">
            <v>176.38</v>
          </cell>
          <cell r="E2149">
            <v>4409.5</v>
          </cell>
          <cell r="F2149" t="str">
            <v>P16</v>
          </cell>
          <cell r="G2149" t="str">
            <v>Patching wood - Gỗ đắp</v>
          </cell>
          <cell r="H2149" t="str">
            <v>Wood US Poplar - Straight Edged, 2 COM - T38mm x W100mm Up x L1.8m Up</v>
          </cell>
          <cell r="I2149">
            <v>25</v>
          </cell>
        </row>
        <row r="2150">
          <cell r="A2150" t="str">
            <v>B558260/A</v>
          </cell>
          <cell r="B2150" t="str">
            <v>RH836M29</v>
          </cell>
          <cell r="C2150">
            <v>25</v>
          </cell>
          <cell r="D2150">
            <v>176.38</v>
          </cell>
          <cell r="E2150">
            <v>4409.5</v>
          </cell>
          <cell r="F2150" t="str">
            <v>P17</v>
          </cell>
          <cell r="G2150" t="str">
            <v xml:space="preserve">Top panel  - Ván nóc </v>
          </cell>
          <cell r="H2150" t="str">
            <v>MDF Veneer</v>
          </cell>
          <cell r="I2150">
            <v>25</v>
          </cell>
        </row>
        <row r="2151">
          <cell r="A2151" t="str">
            <v>B558372/A</v>
          </cell>
          <cell r="B2151" t="str">
            <v>RH899AM02</v>
          </cell>
          <cell r="C2151">
            <v>5</v>
          </cell>
          <cell r="D2151">
            <v>874.7</v>
          </cell>
          <cell r="E2151">
            <v>4373.5</v>
          </cell>
          <cell r="F2151" t="str">
            <v>A1A</v>
          </cell>
          <cell r="G2151" t="str">
            <v>Top Frame - Khung nóc</v>
          </cell>
          <cell r="H2151" t="str">
            <v>Pre-Assembly</v>
          </cell>
          <cell r="I2151">
            <v>10</v>
          </cell>
        </row>
        <row r="2152">
          <cell r="A2152" t="str">
            <v>B558372/A</v>
          </cell>
          <cell r="B2152" t="str">
            <v>RH899AM02</v>
          </cell>
          <cell r="C2152">
            <v>5</v>
          </cell>
          <cell r="D2152">
            <v>874.7</v>
          </cell>
          <cell r="E2152">
            <v>4373.5</v>
          </cell>
          <cell r="F2152" t="str">
            <v>A1A-1</v>
          </cell>
          <cell r="G2152" t="str">
            <v xml:space="preserve">Top panel  - Ván nóc </v>
          </cell>
          <cell r="H2152" t="str">
            <v>Pre-Assembly</v>
          </cell>
          <cell r="I2152">
            <v>10</v>
          </cell>
        </row>
        <row r="2153">
          <cell r="A2153" t="str">
            <v>B558372/A</v>
          </cell>
          <cell r="B2153" t="str">
            <v>RH899AM02</v>
          </cell>
          <cell r="C2153">
            <v>5</v>
          </cell>
          <cell r="D2153">
            <v>874.7</v>
          </cell>
          <cell r="E2153">
            <v>4373.5</v>
          </cell>
          <cell r="F2153" t="str">
            <v>A1-S01</v>
          </cell>
          <cell r="G2153" t="str">
            <v xml:space="preserve">Top panel  - Ván nóc </v>
          </cell>
          <cell r="H2153" t="str">
            <v>MDF Veneer</v>
          </cell>
          <cell r="I2153">
            <v>10</v>
          </cell>
        </row>
        <row r="2154">
          <cell r="A2154" t="str">
            <v>B558372/A</v>
          </cell>
          <cell r="B2154" t="str">
            <v>RH899AM02</v>
          </cell>
          <cell r="C2154">
            <v>5</v>
          </cell>
          <cell r="D2154">
            <v>874.7</v>
          </cell>
          <cell r="E2154">
            <v>4373.5</v>
          </cell>
          <cell r="F2154" t="str">
            <v>A1-S02</v>
          </cell>
          <cell r="G2154" t="str">
            <v>Top moulding  - Chỉ nóc</v>
          </cell>
          <cell r="H2154" t="str">
            <v>Wood US Poplar - Straight Edged, 2 COM - T50mm x W100mm Up x L1.8m Up</v>
          </cell>
          <cell r="I2154">
            <v>10</v>
          </cell>
        </row>
        <row r="2155">
          <cell r="A2155" t="str">
            <v>B558372/A</v>
          </cell>
          <cell r="B2155" t="str">
            <v>RH899AM02</v>
          </cell>
          <cell r="C2155">
            <v>5</v>
          </cell>
          <cell r="D2155">
            <v>874.7</v>
          </cell>
          <cell r="E2155">
            <v>4373.5</v>
          </cell>
          <cell r="F2155" t="str">
            <v>A1-S03</v>
          </cell>
          <cell r="G2155" t="str">
            <v>Top moulding  - Chỉ nóc</v>
          </cell>
          <cell r="H2155" t="str">
            <v>Wood US Poplar - Straight Edged, 2 COM - T50mm x W100mm Up x L1.8m Up</v>
          </cell>
          <cell r="I2155">
            <v>20</v>
          </cell>
        </row>
        <row r="2156">
          <cell r="A2156" t="str">
            <v>B558372/A</v>
          </cell>
          <cell r="B2156" t="str">
            <v>RH899AM02</v>
          </cell>
          <cell r="C2156">
            <v>5</v>
          </cell>
          <cell r="D2156">
            <v>874.7</v>
          </cell>
          <cell r="E2156">
            <v>4373.5</v>
          </cell>
          <cell r="F2156" t="str">
            <v>A1-S06</v>
          </cell>
          <cell r="G2156" t="str">
            <v>Front top rail  - Đố tiền nóc</v>
          </cell>
          <cell r="H2156" t="str">
            <v>Wood US Poplar - Straight Edged, 2 COM - T32mm x W100mm Up x L1.8m Up</v>
          </cell>
          <cell r="I2156">
            <v>20</v>
          </cell>
        </row>
        <row r="2157">
          <cell r="A2157" t="str">
            <v>B558372/A</v>
          </cell>
          <cell r="B2157" t="str">
            <v>RH899AM02</v>
          </cell>
          <cell r="C2157">
            <v>5</v>
          </cell>
          <cell r="D2157">
            <v>874.7</v>
          </cell>
          <cell r="E2157">
            <v>4373.5</v>
          </cell>
          <cell r="F2157" t="str">
            <v>A1-S07</v>
          </cell>
          <cell r="G2157" t="str">
            <v>Front top rail  - Đố tiền nóc</v>
          </cell>
          <cell r="H2157" t="str">
            <v>Wood US Poplar - Straight Edged, 2 COM - T32mm x W100mm Up x L1.8m Up</v>
          </cell>
          <cell r="I2157">
            <v>10</v>
          </cell>
        </row>
        <row r="2158">
          <cell r="A2158" t="str">
            <v>B558372/A</v>
          </cell>
          <cell r="B2158" t="str">
            <v>RH899AM02</v>
          </cell>
          <cell r="C2158">
            <v>5</v>
          </cell>
          <cell r="D2158">
            <v>874.7</v>
          </cell>
          <cell r="E2158">
            <v>4373.5</v>
          </cell>
          <cell r="F2158" t="str">
            <v>A1-S08</v>
          </cell>
          <cell r="G2158" t="str">
            <v xml:space="preserve">Side rail  - Đố hông </v>
          </cell>
          <cell r="H2158" t="str">
            <v>Wood US Poplar - Straight Edged, 2 COM - T25mm x W100mm Up x L1.8m Up</v>
          </cell>
          <cell r="I2158">
            <v>30</v>
          </cell>
        </row>
        <row r="2159">
          <cell r="A2159" t="str">
            <v>B558372/A</v>
          </cell>
          <cell r="B2159" t="str">
            <v>RH899AM02</v>
          </cell>
          <cell r="C2159">
            <v>5</v>
          </cell>
          <cell r="D2159">
            <v>874.7</v>
          </cell>
          <cell r="E2159">
            <v>4373.5</v>
          </cell>
          <cell r="F2159" t="str">
            <v>A1-S09</v>
          </cell>
          <cell r="G2159" t="str">
            <v>Top moulding  - Chỉ nóc</v>
          </cell>
          <cell r="H2159" t="str">
            <v>Moulding Poplar wood (400-800mm - 40%)and (800mm up - 60%)</v>
          </cell>
          <cell r="I2159">
            <v>10</v>
          </cell>
        </row>
        <row r="2160">
          <cell r="A2160" t="str">
            <v>B558372/A</v>
          </cell>
          <cell r="B2160" t="str">
            <v>RH899AM02</v>
          </cell>
          <cell r="C2160">
            <v>5</v>
          </cell>
          <cell r="D2160">
            <v>874.7</v>
          </cell>
          <cell r="E2160">
            <v>4373.5</v>
          </cell>
          <cell r="F2160" t="str">
            <v>A1-S10</v>
          </cell>
          <cell r="G2160" t="str">
            <v>Top moulding  - Chỉ nóc</v>
          </cell>
          <cell r="H2160" t="str">
            <v>Moulding Poplar wood (400-800mm - 40%)and (800mm up - 60%)</v>
          </cell>
          <cell r="I2160">
            <v>20</v>
          </cell>
        </row>
        <row r="2161">
          <cell r="A2161" t="str">
            <v>B558372/A</v>
          </cell>
          <cell r="B2161" t="str">
            <v>RH899AM02</v>
          </cell>
          <cell r="C2161">
            <v>5</v>
          </cell>
          <cell r="D2161">
            <v>874.7</v>
          </cell>
          <cell r="E2161">
            <v>4373.5</v>
          </cell>
          <cell r="F2161" t="str">
            <v>A2A</v>
          </cell>
          <cell r="G2161" t="str">
            <v>Top Frame - Khung nóc</v>
          </cell>
          <cell r="H2161" t="str">
            <v>Pre-Assembly</v>
          </cell>
          <cell r="I2161">
            <v>10</v>
          </cell>
        </row>
        <row r="2162">
          <cell r="A2162" t="str">
            <v>B558372/A</v>
          </cell>
          <cell r="B2162" t="str">
            <v>RH899AM02</v>
          </cell>
          <cell r="C2162">
            <v>5</v>
          </cell>
          <cell r="D2162">
            <v>874.7</v>
          </cell>
          <cell r="E2162">
            <v>4373.5</v>
          </cell>
          <cell r="F2162" t="str">
            <v>A2A-1</v>
          </cell>
          <cell r="G2162" t="str">
            <v xml:space="preserve">Top panel  - Ván nóc </v>
          </cell>
          <cell r="H2162" t="str">
            <v>Pre-Assembly</v>
          </cell>
          <cell r="I2162">
            <v>10</v>
          </cell>
        </row>
        <row r="2163">
          <cell r="A2163" t="str">
            <v>B558372/A</v>
          </cell>
          <cell r="B2163" t="str">
            <v>RH899AM02</v>
          </cell>
          <cell r="C2163">
            <v>5</v>
          </cell>
          <cell r="D2163">
            <v>874.7</v>
          </cell>
          <cell r="E2163">
            <v>4373.5</v>
          </cell>
          <cell r="F2163" t="str">
            <v>A2-S1</v>
          </cell>
          <cell r="G2163" t="str">
            <v xml:space="preserve">Top panel  - Ván nóc </v>
          </cell>
          <cell r="H2163" t="str">
            <v>MDF Veneer</v>
          </cell>
          <cell r="I2163">
            <v>10</v>
          </cell>
        </row>
        <row r="2164">
          <cell r="A2164" t="str">
            <v>B558372/A</v>
          </cell>
          <cell r="B2164" t="str">
            <v>RH899AM02</v>
          </cell>
          <cell r="C2164">
            <v>5</v>
          </cell>
          <cell r="D2164">
            <v>874.7</v>
          </cell>
          <cell r="E2164">
            <v>4373.5</v>
          </cell>
          <cell r="F2164" t="str">
            <v>A2-S2</v>
          </cell>
          <cell r="G2164" t="str">
            <v>Front top rail  - Đố tiền nóc</v>
          </cell>
          <cell r="H2164" t="str">
            <v>Wood Acacia - Straight/Waving Edged - T30mm x W100mm Up x L1m Up</v>
          </cell>
          <cell r="I2164">
            <v>20</v>
          </cell>
        </row>
        <row r="2165">
          <cell r="A2165" t="str">
            <v>B558372/A</v>
          </cell>
          <cell r="B2165" t="str">
            <v>RH899AM02</v>
          </cell>
          <cell r="C2165">
            <v>5</v>
          </cell>
          <cell r="D2165">
            <v>874.7</v>
          </cell>
          <cell r="E2165">
            <v>4373.5</v>
          </cell>
          <cell r="F2165" t="str">
            <v>A2-S3</v>
          </cell>
          <cell r="G2165" t="str">
            <v>Top moulding  - Chỉ nóc</v>
          </cell>
          <cell r="H2165" t="str">
            <v>Wood - Acacia</v>
          </cell>
          <cell r="I2165">
            <v>20</v>
          </cell>
        </row>
        <row r="2166">
          <cell r="A2166" t="str">
            <v>B558372/A</v>
          </cell>
          <cell r="B2166" t="str">
            <v>RH899AM02</v>
          </cell>
          <cell r="C2166">
            <v>5</v>
          </cell>
          <cell r="D2166">
            <v>874.7</v>
          </cell>
          <cell r="E2166">
            <v>4373.5</v>
          </cell>
          <cell r="F2166" t="str">
            <v>A2-S5</v>
          </cell>
          <cell r="G2166" t="str">
            <v>Top moulding  - Chỉ nóc</v>
          </cell>
          <cell r="H2166" t="str">
            <v>Moulding Poplar wood (400-800mm - 40%)and (800mm up - 60%)</v>
          </cell>
          <cell r="I2166">
            <v>20</v>
          </cell>
        </row>
        <row r="2167">
          <cell r="A2167" t="str">
            <v>B558372/A</v>
          </cell>
          <cell r="B2167" t="str">
            <v>RH899AM02</v>
          </cell>
          <cell r="C2167">
            <v>5</v>
          </cell>
          <cell r="D2167">
            <v>874.7</v>
          </cell>
          <cell r="E2167">
            <v>4373.5</v>
          </cell>
          <cell r="F2167" t="str">
            <v>A2-S7</v>
          </cell>
          <cell r="G2167" t="str">
            <v>Top moulding  - Chỉ nóc</v>
          </cell>
          <cell r="H2167" t="str">
            <v>Wood Acacia - Straight/Waving Edged - T35mm x W100mm Up x L1.5m Up</v>
          </cell>
          <cell r="I2167">
            <v>20</v>
          </cell>
        </row>
        <row r="2168">
          <cell r="A2168" t="str">
            <v>B558372/A</v>
          </cell>
          <cell r="B2168" t="str">
            <v>RH899AM02</v>
          </cell>
          <cell r="C2168">
            <v>5</v>
          </cell>
          <cell r="D2168">
            <v>874.7</v>
          </cell>
          <cell r="E2168">
            <v>4373.5</v>
          </cell>
          <cell r="F2168" t="str">
            <v>A3-S1</v>
          </cell>
          <cell r="G2168" t="str">
            <v>Front Top rail 1 - Đố nóc trước 1</v>
          </cell>
          <cell r="H2168" t="str">
            <v>Wood US Poplar - Straight Edged, 2 COM - T32mm x W100mm Up x L1.8m Up</v>
          </cell>
          <cell r="I2168">
            <v>10</v>
          </cell>
        </row>
        <row r="2169">
          <cell r="A2169" t="str">
            <v>B558372/A</v>
          </cell>
          <cell r="B2169" t="str">
            <v>RH899AM02</v>
          </cell>
          <cell r="C2169">
            <v>5</v>
          </cell>
          <cell r="D2169">
            <v>874.7</v>
          </cell>
          <cell r="E2169">
            <v>4373.5</v>
          </cell>
          <cell r="F2169" t="str">
            <v>A3-S2</v>
          </cell>
          <cell r="G2169" t="str">
            <v xml:space="preserve">Side rail  - Đố hông </v>
          </cell>
          <cell r="H2169" t="str">
            <v>Wood Acacia - Straight/Waving Edged - T30mm x W100mm Up x L1m Up</v>
          </cell>
          <cell r="I2169">
            <v>10</v>
          </cell>
        </row>
        <row r="2170">
          <cell r="A2170" t="str">
            <v>B558372/A</v>
          </cell>
          <cell r="B2170" t="str">
            <v>RH899AM02</v>
          </cell>
          <cell r="C2170">
            <v>5</v>
          </cell>
          <cell r="D2170">
            <v>874.7</v>
          </cell>
          <cell r="E2170">
            <v>4373.5</v>
          </cell>
          <cell r="F2170" t="str">
            <v>A3-S4</v>
          </cell>
          <cell r="G2170" t="str">
            <v>Center rail - Đố giữa</v>
          </cell>
          <cell r="H2170" t="str">
            <v>Wood Acacia - Straight/Waving Edged - T30mm x W100mm Up x L1m Up</v>
          </cell>
          <cell r="I2170">
            <v>10</v>
          </cell>
        </row>
        <row r="2171">
          <cell r="A2171" t="str">
            <v>B558372/A</v>
          </cell>
          <cell r="B2171" t="str">
            <v>RH899AM02</v>
          </cell>
          <cell r="C2171">
            <v>5</v>
          </cell>
          <cell r="D2171">
            <v>874.7</v>
          </cell>
          <cell r="E2171">
            <v>4373.5</v>
          </cell>
          <cell r="F2171" t="str">
            <v>A3-S5</v>
          </cell>
          <cell r="G2171" t="str">
            <v xml:space="preserve">Side rail  - Đố hông </v>
          </cell>
          <cell r="H2171" t="str">
            <v>Wood Acacia - Straight/Waving Edged - T30mm x W100mm Up x L1m Up</v>
          </cell>
          <cell r="I2171">
            <v>10</v>
          </cell>
        </row>
        <row r="2172">
          <cell r="A2172" t="str">
            <v>B558372/A</v>
          </cell>
          <cell r="B2172" t="str">
            <v>RH899AM02</v>
          </cell>
          <cell r="C2172">
            <v>5</v>
          </cell>
          <cell r="D2172">
            <v>874.7</v>
          </cell>
          <cell r="E2172">
            <v>4373.5</v>
          </cell>
          <cell r="F2172" t="str">
            <v>A4</v>
          </cell>
          <cell r="G2172" t="str">
            <v>Bottom rail inside - Đố tiền đáy</v>
          </cell>
          <cell r="H2172" t="str">
            <v>Wood laminate</v>
          </cell>
          <cell r="I2172">
            <v>5</v>
          </cell>
        </row>
        <row r="2173">
          <cell r="A2173" t="str">
            <v>B558372/A</v>
          </cell>
          <cell r="B2173" t="str">
            <v>RH899AM02</v>
          </cell>
          <cell r="C2173">
            <v>5</v>
          </cell>
          <cell r="D2173">
            <v>874.7</v>
          </cell>
          <cell r="E2173">
            <v>4373.5</v>
          </cell>
          <cell r="F2173" t="str">
            <v>A4-S5</v>
          </cell>
          <cell r="G2173" t="str">
            <v>Corner block - ke góc</v>
          </cell>
          <cell r="H2173" t="str">
            <v>TRAM OFF CUT</v>
          </cell>
          <cell r="I2173">
            <v>40</v>
          </cell>
        </row>
        <row r="2174">
          <cell r="A2174" t="str">
            <v>B558372/A</v>
          </cell>
          <cell r="B2174" t="str">
            <v>RH899AM02</v>
          </cell>
          <cell r="C2174">
            <v>5</v>
          </cell>
          <cell r="D2174">
            <v>874.7</v>
          </cell>
          <cell r="E2174">
            <v>4373.5</v>
          </cell>
          <cell r="F2174" t="str">
            <v>A4-S6</v>
          </cell>
          <cell r="G2174" t="str">
            <v>Corner block - ke góc</v>
          </cell>
          <cell r="H2174" t="str">
            <v>TRAM OFF CUT</v>
          </cell>
          <cell r="I2174">
            <v>30</v>
          </cell>
        </row>
        <row r="2175">
          <cell r="A2175" t="str">
            <v>B558372/A</v>
          </cell>
          <cell r="B2175" t="str">
            <v>RH899AM02</v>
          </cell>
          <cell r="C2175">
            <v>5</v>
          </cell>
          <cell r="D2175">
            <v>874.7</v>
          </cell>
          <cell r="E2175">
            <v>4373.5</v>
          </cell>
          <cell r="F2175" t="str">
            <v>A5-S01</v>
          </cell>
          <cell r="G2175" t="str">
            <v>The leg  - Chân</v>
          </cell>
          <cell r="H2175" t="str">
            <v>Pre-Assembly</v>
          </cell>
          <cell r="I2175">
            <v>20</v>
          </cell>
        </row>
        <row r="2176">
          <cell r="A2176" t="str">
            <v>B558372/A</v>
          </cell>
          <cell r="B2176" t="str">
            <v>RH899AM02</v>
          </cell>
          <cell r="C2176">
            <v>5</v>
          </cell>
          <cell r="D2176">
            <v>874.7</v>
          </cell>
          <cell r="E2176">
            <v>4373.5</v>
          </cell>
          <cell r="F2176" t="str">
            <v>A5-S01-1</v>
          </cell>
          <cell r="G2176" t="str">
            <v xml:space="preserve">Turning foot  - Chân tiện </v>
          </cell>
          <cell r="H2176" t="str">
            <v>Wood - Acacia</v>
          </cell>
          <cell r="I2176">
            <v>20</v>
          </cell>
        </row>
        <row r="2177">
          <cell r="A2177" t="str">
            <v>B558372/A</v>
          </cell>
          <cell r="B2177" t="str">
            <v>RH899AM02</v>
          </cell>
          <cell r="C2177">
            <v>5</v>
          </cell>
          <cell r="D2177">
            <v>874.7</v>
          </cell>
          <cell r="E2177">
            <v>4373.5</v>
          </cell>
          <cell r="F2177" t="str">
            <v>A5-S01-2</v>
          </cell>
          <cell r="G2177" t="str">
            <v>The leg  - Chân</v>
          </cell>
          <cell r="H2177" t="str">
            <v>TRAM OFF CUT</v>
          </cell>
          <cell r="I2177">
            <v>20</v>
          </cell>
        </row>
        <row r="2178">
          <cell r="A2178" t="str">
            <v>B558372/A</v>
          </cell>
          <cell r="B2178" t="str">
            <v>RH899AM02</v>
          </cell>
          <cell r="C2178">
            <v>5</v>
          </cell>
          <cell r="D2178">
            <v>874.7</v>
          </cell>
          <cell r="E2178">
            <v>4373.5</v>
          </cell>
          <cell r="F2178" t="str">
            <v>A5-S01-3</v>
          </cell>
          <cell r="G2178" t="str">
            <v>Tenon - Mộng cấy</v>
          </cell>
          <cell r="H2178" t="str">
            <v>TRAM OFF CUT</v>
          </cell>
          <cell r="I2178">
            <v>40</v>
          </cell>
        </row>
        <row r="2179">
          <cell r="A2179" t="str">
            <v>B558372/A</v>
          </cell>
          <cell r="B2179" t="str">
            <v>RH899AM02</v>
          </cell>
          <cell r="C2179">
            <v>5</v>
          </cell>
          <cell r="D2179">
            <v>874.7</v>
          </cell>
          <cell r="E2179">
            <v>4373.5</v>
          </cell>
          <cell r="F2179" t="str">
            <v>A5-S02</v>
          </cell>
          <cell r="G2179" t="str">
            <v>Side top rail - Đố hông trên</v>
          </cell>
          <cell r="H2179" t="str">
            <v>Wood Acacia - Straight/Waving Edged - T30mm x W100mm Up x L1m Up</v>
          </cell>
          <cell r="I2179">
            <v>10</v>
          </cell>
        </row>
        <row r="2180">
          <cell r="A2180" t="str">
            <v>B558372/A</v>
          </cell>
          <cell r="B2180" t="str">
            <v>RH899AM02</v>
          </cell>
          <cell r="C2180">
            <v>5</v>
          </cell>
          <cell r="D2180">
            <v>874.7</v>
          </cell>
          <cell r="E2180">
            <v>4373.5</v>
          </cell>
          <cell r="F2180" t="str">
            <v>A5-S03</v>
          </cell>
          <cell r="G2180" t="str">
            <v>Side moulding - Chỉ hông</v>
          </cell>
          <cell r="H2180" t="str">
            <v>Wood - Acacia</v>
          </cell>
          <cell r="I2180">
            <v>20</v>
          </cell>
        </row>
        <row r="2181">
          <cell r="A2181" t="str">
            <v>B558372/A</v>
          </cell>
          <cell r="B2181" t="str">
            <v>RH899AM02</v>
          </cell>
          <cell r="C2181">
            <v>5</v>
          </cell>
          <cell r="D2181">
            <v>874.7</v>
          </cell>
          <cell r="E2181">
            <v>4373.5</v>
          </cell>
          <cell r="F2181" t="str">
            <v>A5-S04</v>
          </cell>
          <cell r="G2181" t="str">
            <v>Front moulding  - Chỉ tiền</v>
          </cell>
          <cell r="H2181" t="str">
            <v>Wood US Poplar - Straight Edged, 2 COM - T50mm x W100mm Up x L1.8m Up</v>
          </cell>
          <cell r="I2181">
            <v>10</v>
          </cell>
        </row>
        <row r="2182">
          <cell r="A2182" t="str">
            <v>B558372/A</v>
          </cell>
          <cell r="B2182" t="str">
            <v>RH899AM02</v>
          </cell>
          <cell r="C2182">
            <v>5</v>
          </cell>
          <cell r="D2182">
            <v>874.7</v>
          </cell>
          <cell r="E2182">
            <v>4373.5</v>
          </cell>
          <cell r="F2182" t="str">
            <v>A5-S05</v>
          </cell>
          <cell r="G2182" t="str">
            <v>Back moulding - Chỉ hậu</v>
          </cell>
          <cell r="H2182" t="str">
            <v>Wood - Acacia</v>
          </cell>
          <cell r="I2182">
            <v>20</v>
          </cell>
        </row>
        <row r="2183">
          <cell r="A2183" t="str">
            <v>B558372/A</v>
          </cell>
          <cell r="B2183" t="str">
            <v>RH899AM02</v>
          </cell>
          <cell r="C2183">
            <v>5</v>
          </cell>
          <cell r="D2183">
            <v>874.7</v>
          </cell>
          <cell r="E2183">
            <v>4373.5</v>
          </cell>
          <cell r="F2183" t="str">
            <v>A5-S06</v>
          </cell>
          <cell r="G2183" t="str">
            <v>Bottom panel - Ván đáy</v>
          </cell>
          <cell r="H2183" t="str">
            <v>Wood Acacia - Straight/Waving Edged - T25mm x W100mm Up x L1m Up</v>
          </cell>
          <cell r="I2183">
            <v>10</v>
          </cell>
        </row>
        <row r="2184">
          <cell r="A2184" t="str">
            <v>B558372/A</v>
          </cell>
          <cell r="B2184" t="str">
            <v>RH899AM02</v>
          </cell>
          <cell r="C2184">
            <v>5</v>
          </cell>
          <cell r="D2184">
            <v>874.7</v>
          </cell>
          <cell r="E2184">
            <v>4373.5</v>
          </cell>
          <cell r="F2184" t="str">
            <v>A5-S07</v>
          </cell>
          <cell r="G2184" t="str">
            <v>Front Bottom Rail  - Đố đáy trước</v>
          </cell>
          <cell r="H2184" t="str">
            <v>Wood Acacia - Straight/Waving Edged - T25mm x W100mm Up x L1m Up</v>
          </cell>
          <cell r="I2184">
            <v>10</v>
          </cell>
        </row>
        <row r="2185">
          <cell r="A2185" t="str">
            <v>B558372/A</v>
          </cell>
          <cell r="B2185" t="str">
            <v>RH899AM02</v>
          </cell>
          <cell r="C2185">
            <v>5</v>
          </cell>
          <cell r="D2185">
            <v>874.7</v>
          </cell>
          <cell r="E2185">
            <v>4373.5</v>
          </cell>
          <cell r="F2185" t="str">
            <v>A5-S08</v>
          </cell>
          <cell r="G2185" t="str">
            <v>Side moulding - Chỉ hông</v>
          </cell>
          <cell r="H2185" t="str">
            <v>Wood Acacia - Straight/Waving Edged - T25mm x W100mm Up x L1m Up</v>
          </cell>
          <cell r="I2185">
            <v>80</v>
          </cell>
        </row>
        <row r="2186">
          <cell r="A2186" t="str">
            <v>B558372/A</v>
          </cell>
          <cell r="B2186" t="str">
            <v>RH899AM02</v>
          </cell>
          <cell r="C2186">
            <v>5</v>
          </cell>
          <cell r="D2186">
            <v>874.7</v>
          </cell>
          <cell r="E2186">
            <v>4373.5</v>
          </cell>
          <cell r="F2186" t="str">
            <v>A5-S10</v>
          </cell>
          <cell r="G2186" t="str">
            <v>Patching wood - Gỗ đắp</v>
          </cell>
          <cell r="H2186" t="str">
            <v>TRAM OFF CUT</v>
          </cell>
          <cell r="I2186">
            <v>20</v>
          </cell>
        </row>
        <row r="2187">
          <cell r="A2187" t="str">
            <v>B558372/A</v>
          </cell>
          <cell r="B2187" t="str">
            <v>RH899AM02</v>
          </cell>
          <cell r="C2187">
            <v>5</v>
          </cell>
          <cell r="D2187">
            <v>874.7</v>
          </cell>
          <cell r="E2187">
            <v>4373.5</v>
          </cell>
          <cell r="F2187" t="str">
            <v>P1</v>
          </cell>
          <cell r="G2187" t="str">
            <v>Cleat - Bọ gỗ</v>
          </cell>
          <cell r="H2187" t="str">
            <v>TRAM OFF CUT</v>
          </cell>
          <cell r="I2187">
            <v>40</v>
          </cell>
        </row>
        <row r="2188">
          <cell r="A2188" t="str">
            <v>B558375/A</v>
          </cell>
          <cell r="B2188" t="str">
            <v>RH899AM03</v>
          </cell>
          <cell r="C2188">
            <v>14</v>
          </cell>
          <cell r="D2188">
            <v>874.7</v>
          </cell>
          <cell r="E2188">
            <v>12245.800000000001</v>
          </cell>
          <cell r="F2188" t="str">
            <v>A1A</v>
          </cell>
          <cell r="G2188" t="str">
            <v>Top Frame - Khung nóc</v>
          </cell>
          <cell r="H2188" t="str">
            <v>Pre-Assembly</v>
          </cell>
          <cell r="I2188">
            <v>28</v>
          </cell>
        </row>
        <row r="2189">
          <cell r="A2189" t="str">
            <v>B558375/A</v>
          </cell>
          <cell r="B2189" t="str">
            <v>RH899AM03</v>
          </cell>
          <cell r="C2189">
            <v>14</v>
          </cell>
          <cell r="D2189">
            <v>874.7</v>
          </cell>
          <cell r="E2189">
            <v>12245.800000000001</v>
          </cell>
          <cell r="F2189" t="str">
            <v>A1A-1</v>
          </cell>
          <cell r="G2189" t="str">
            <v xml:space="preserve">Top panel  - Ván nóc </v>
          </cell>
          <cell r="H2189" t="str">
            <v>Pre-Assembly</v>
          </cell>
          <cell r="I2189">
            <v>28</v>
          </cell>
        </row>
        <row r="2190">
          <cell r="A2190" t="str">
            <v>B558375/A</v>
          </cell>
          <cell r="B2190" t="str">
            <v>RH899AM03</v>
          </cell>
          <cell r="C2190">
            <v>14</v>
          </cell>
          <cell r="D2190">
            <v>874.7</v>
          </cell>
          <cell r="E2190">
            <v>12245.800000000001</v>
          </cell>
          <cell r="F2190" t="str">
            <v>A1-S00</v>
          </cell>
          <cell r="G2190" t="str">
            <v>VN - Veneer</v>
          </cell>
          <cell r="H2190" t="str">
            <v>Veneer laminate</v>
          </cell>
          <cell r="I2190">
            <v>14</v>
          </cell>
        </row>
        <row r="2191">
          <cell r="A2191" t="str">
            <v>B558375/A</v>
          </cell>
          <cell r="B2191" t="str">
            <v>RH899AM03</v>
          </cell>
          <cell r="C2191">
            <v>14</v>
          </cell>
          <cell r="D2191">
            <v>874.7</v>
          </cell>
          <cell r="E2191">
            <v>12245.800000000001</v>
          </cell>
          <cell r="F2191" t="str">
            <v>A1-S01</v>
          </cell>
          <cell r="G2191" t="str">
            <v xml:space="preserve">Top panel  - Ván nóc </v>
          </cell>
          <cell r="H2191" t="str">
            <v>MDF Veneer</v>
          </cell>
          <cell r="I2191">
            <v>28</v>
          </cell>
        </row>
        <row r="2192">
          <cell r="A2192" t="str">
            <v>B558375/A</v>
          </cell>
          <cell r="B2192" t="str">
            <v>RH899AM03</v>
          </cell>
          <cell r="C2192">
            <v>14</v>
          </cell>
          <cell r="D2192">
            <v>874.7</v>
          </cell>
          <cell r="E2192">
            <v>12245.800000000001</v>
          </cell>
          <cell r="F2192" t="str">
            <v>A1-S02</v>
          </cell>
          <cell r="G2192" t="str">
            <v>Top moulding  - Chỉ nóc</v>
          </cell>
          <cell r="H2192" t="str">
            <v>Wood US Poplar - Straight Edged, 2 COM - T50mm x W100mm Up x L1.8m Up</v>
          </cell>
          <cell r="I2192">
            <v>28</v>
          </cell>
        </row>
        <row r="2193">
          <cell r="A2193" t="str">
            <v>B558375/A</v>
          </cell>
          <cell r="B2193" t="str">
            <v>RH899AM03</v>
          </cell>
          <cell r="C2193">
            <v>14</v>
          </cell>
          <cell r="D2193">
            <v>874.7</v>
          </cell>
          <cell r="E2193">
            <v>12245.800000000001</v>
          </cell>
          <cell r="F2193" t="str">
            <v>A1-S03</v>
          </cell>
          <cell r="G2193" t="str">
            <v>Top moulding  - Chỉ nóc</v>
          </cell>
          <cell r="H2193" t="str">
            <v>Wood US Poplar - Straight Edged, 2 COM - T50mm x W100mm Up x L1.8m Up</v>
          </cell>
          <cell r="I2193">
            <v>56</v>
          </cell>
        </row>
        <row r="2194">
          <cell r="A2194" t="str">
            <v>B558375/A</v>
          </cell>
          <cell r="B2194" t="str">
            <v>RH899AM03</v>
          </cell>
          <cell r="C2194">
            <v>14</v>
          </cell>
          <cell r="D2194">
            <v>874.7</v>
          </cell>
          <cell r="E2194">
            <v>12245.800000000001</v>
          </cell>
          <cell r="F2194" t="str">
            <v>A1-S06</v>
          </cell>
          <cell r="G2194" t="str">
            <v>Front top rail  - Đố tiền nóc</v>
          </cell>
          <cell r="H2194" t="str">
            <v>Wood Acacia - Straight/Waving Edged - T30mm x W100mm Up x L1.5m Up</v>
          </cell>
          <cell r="I2194">
            <v>56</v>
          </cell>
        </row>
        <row r="2195">
          <cell r="A2195" t="str">
            <v>B558375/A</v>
          </cell>
          <cell r="B2195" t="str">
            <v>RH899AM03</v>
          </cell>
          <cell r="C2195">
            <v>14</v>
          </cell>
          <cell r="D2195">
            <v>874.7</v>
          </cell>
          <cell r="E2195">
            <v>12245.800000000001</v>
          </cell>
          <cell r="F2195" t="str">
            <v>A1-S07</v>
          </cell>
          <cell r="G2195" t="str">
            <v>Front top rail  - Đố tiền nóc</v>
          </cell>
          <cell r="H2195" t="str">
            <v>Wood Acacia - Straight/Waving Edged - T30mm x W100mm Up x L1m Up</v>
          </cell>
          <cell r="I2195">
            <v>28</v>
          </cell>
        </row>
        <row r="2196">
          <cell r="A2196" t="str">
            <v>B558375/A</v>
          </cell>
          <cell r="B2196" t="str">
            <v>RH899AM03</v>
          </cell>
          <cell r="C2196">
            <v>14</v>
          </cell>
          <cell r="D2196">
            <v>874.7</v>
          </cell>
          <cell r="E2196">
            <v>12245.800000000001</v>
          </cell>
          <cell r="F2196" t="str">
            <v>A1-S08</v>
          </cell>
          <cell r="G2196" t="str">
            <v>Center rail - Đố giữa</v>
          </cell>
          <cell r="H2196" t="str">
            <v>Wood US Poplar - Straight Edged, 2 COM - T25mm x W100mm Up x L1.8m Up</v>
          </cell>
          <cell r="I2196">
            <v>84</v>
          </cell>
        </row>
        <row r="2197">
          <cell r="A2197" t="str">
            <v>B558375/A</v>
          </cell>
          <cell r="B2197" t="str">
            <v>RH899AM03</v>
          </cell>
          <cell r="C2197">
            <v>14</v>
          </cell>
          <cell r="D2197">
            <v>874.7</v>
          </cell>
          <cell r="E2197">
            <v>12245.800000000001</v>
          </cell>
          <cell r="F2197" t="str">
            <v>A1-S09</v>
          </cell>
          <cell r="G2197" t="str">
            <v>Top moulding  - Chỉ nóc</v>
          </cell>
          <cell r="H2197" t="str">
            <v>Moulding Poplar wood (400-800mm - 40%)and (800mm up - 60%)</v>
          </cell>
          <cell r="I2197">
            <v>28</v>
          </cell>
        </row>
        <row r="2198">
          <cell r="A2198" t="str">
            <v>B558375/A</v>
          </cell>
          <cell r="B2198" t="str">
            <v>RH899AM03</v>
          </cell>
          <cell r="C2198">
            <v>14</v>
          </cell>
          <cell r="D2198">
            <v>874.7</v>
          </cell>
          <cell r="E2198">
            <v>12245.800000000001</v>
          </cell>
          <cell r="F2198" t="str">
            <v>A1-S10</v>
          </cell>
          <cell r="G2198" t="str">
            <v>Top moulding  - Chỉ nóc</v>
          </cell>
          <cell r="H2198" t="str">
            <v>Moulding Poplar wood (400-800mm - 40%)and (800mm up - 60%)</v>
          </cell>
          <cell r="I2198">
            <v>56</v>
          </cell>
        </row>
        <row r="2199">
          <cell r="A2199" t="str">
            <v>B558375/A</v>
          </cell>
          <cell r="B2199" t="str">
            <v>RH899AM03</v>
          </cell>
          <cell r="C2199">
            <v>14</v>
          </cell>
          <cell r="D2199">
            <v>874.7</v>
          </cell>
          <cell r="E2199">
            <v>12245.800000000001</v>
          </cell>
          <cell r="F2199" t="str">
            <v>A2A</v>
          </cell>
          <cell r="G2199" t="str">
            <v>Top Frame - Khung nóc</v>
          </cell>
          <cell r="H2199" t="str">
            <v>Pre-Assembly</v>
          </cell>
          <cell r="I2199">
            <v>28</v>
          </cell>
        </row>
        <row r="2200">
          <cell r="A2200" t="str">
            <v>B558375/A</v>
          </cell>
          <cell r="B2200" t="str">
            <v>RH899AM03</v>
          </cell>
          <cell r="C2200">
            <v>14</v>
          </cell>
          <cell r="D2200">
            <v>874.7</v>
          </cell>
          <cell r="E2200">
            <v>12245.800000000001</v>
          </cell>
          <cell r="F2200" t="str">
            <v>A2A-1</v>
          </cell>
          <cell r="G2200" t="str">
            <v xml:space="preserve">Top panel  - Ván nóc </v>
          </cell>
          <cell r="H2200" t="str">
            <v>Pre-Assembly</v>
          </cell>
          <cell r="I2200">
            <v>28</v>
          </cell>
        </row>
        <row r="2201">
          <cell r="A2201" t="str">
            <v>B558375/A</v>
          </cell>
          <cell r="B2201" t="str">
            <v>RH899AM03</v>
          </cell>
          <cell r="C2201">
            <v>14</v>
          </cell>
          <cell r="D2201">
            <v>874.7</v>
          </cell>
          <cell r="E2201">
            <v>12245.800000000001</v>
          </cell>
          <cell r="F2201" t="str">
            <v>A2-S1</v>
          </cell>
          <cell r="G2201" t="str">
            <v xml:space="preserve">Top panel  - Ván nóc </v>
          </cell>
          <cell r="H2201" t="str">
            <v>MDF Veneer</v>
          </cell>
          <cell r="I2201">
            <v>28</v>
          </cell>
        </row>
        <row r="2202">
          <cell r="A2202" t="str">
            <v>B558375/A</v>
          </cell>
          <cell r="B2202" t="str">
            <v>RH899AM03</v>
          </cell>
          <cell r="C2202">
            <v>14</v>
          </cell>
          <cell r="D2202">
            <v>874.7</v>
          </cell>
          <cell r="E2202">
            <v>12245.800000000001</v>
          </cell>
          <cell r="F2202" t="str">
            <v>A2-S2</v>
          </cell>
          <cell r="G2202" t="str">
            <v>Front top rail  - Đố tiền nóc</v>
          </cell>
          <cell r="H2202" t="str">
            <v>Wood Acacia - Straight/Waving Edged - T30mm x W100mm Up x L1m Up</v>
          </cell>
          <cell r="I2202">
            <v>56</v>
          </cell>
        </row>
        <row r="2203">
          <cell r="A2203" t="str">
            <v>B558375/A</v>
          </cell>
          <cell r="B2203" t="str">
            <v>RH899AM03</v>
          </cell>
          <cell r="C2203">
            <v>14</v>
          </cell>
          <cell r="D2203">
            <v>874.7</v>
          </cell>
          <cell r="E2203">
            <v>12245.800000000001</v>
          </cell>
          <cell r="F2203" t="str">
            <v>A2-S3</v>
          </cell>
          <cell r="G2203" t="str">
            <v>Top moulding  - Chỉ nóc</v>
          </cell>
          <cell r="H2203" t="str">
            <v>Wood US Poplar - Straight Edged, 2 COM - T50mm x W100mm Up x L1.8m Up</v>
          </cell>
          <cell r="I2203">
            <v>56</v>
          </cell>
        </row>
        <row r="2204">
          <cell r="A2204" t="str">
            <v>B558375/A</v>
          </cell>
          <cell r="B2204" t="str">
            <v>RH899AM03</v>
          </cell>
          <cell r="C2204">
            <v>14</v>
          </cell>
          <cell r="D2204">
            <v>874.7</v>
          </cell>
          <cell r="E2204">
            <v>12245.800000000001</v>
          </cell>
          <cell r="F2204" t="str">
            <v>A2-S5</v>
          </cell>
          <cell r="G2204" t="str">
            <v>Top moulding  - Chỉ nóc</v>
          </cell>
          <cell r="H2204" t="str">
            <v>Moulding Poplar wood (400-800mm - 40%)and (800mm up - 60%)</v>
          </cell>
          <cell r="I2204">
            <v>56</v>
          </cell>
        </row>
        <row r="2205">
          <cell r="A2205" t="str">
            <v>B558375/A</v>
          </cell>
          <cell r="B2205" t="str">
            <v>RH899AM03</v>
          </cell>
          <cell r="C2205">
            <v>14</v>
          </cell>
          <cell r="D2205">
            <v>874.7</v>
          </cell>
          <cell r="E2205">
            <v>12245.800000000001</v>
          </cell>
          <cell r="F2205" t="str">
            <v>A2-S7</v>
          </cell>
          <cell r="G2205" t="str">
            <v>Patching wood - Gỗ đắp</v>
          </cell>
          <cell r="H2205" t="str">
            <v>Wood Acacia - Straight/Waving Edged - T35mm x W100mm Up x L1m Up</v>
          </cell>
          <cell r="I2205">
            <v>56</v>
          </cell>
        </row>
        <row r="2206">
          <cell r="A2206" t="str">
            <v>B558375/A</v>
          </cell>
          <cell r="B2206" t="str">
            <v>RH899AM03</v>
          </cell>
          <cell r="C2206">
            <v>14</v>
          </cell>
          <cell r="D2206">
            <v>874.7</v>
          </cell>
          <cell r="E2206">
            <v>12245.800000000001</v>
          </cell>
          <cell r="F2206" t="str">
            <v>A3-S1</v>
          </cell>
          <cell r="G2206" t="str">
            <v>Front Top rail 1 - Đố nóc trước 1</v>
          </cell>
          <cell r="H2206" t="str">
            <v>Wood US Poplar - Straight Edged, 2 COM - T32mm x W100mm Up x L1.8m Up</v>
          </cell>
          <cell r="I2206">
            <v>28</v>
          </cell>
        </row>
        <row r="2207">
          <cell r="A2207" t="str">
            <v>B558375/A</v>
          </cell>
          <cell r="B2207" t="str">
            <v>RH899AM03</v>
          </cell>
          <cell r="C2207">
            <v>14</v>
          </cell>
          <cell r="D2207">
            <v>874.7</v>
          </cell>
          <cell r="E2207">
            <v>12245.800000000001</v>
          </cell>
          <cell r="F2207" t="str">
            <v>A3-S2</v>
          </cell>
          <cell r="G2207" t="str">
            <v xml:space="preserve">Side rail  - Đố hông </v>
          </cell>
          <cell r="H2207" t="str">
            <v>Wood Acacia - Straight/Waving Edged - T30mm x W100mm Up x L1m Up</v>
          </cell>
          <cell r="I2207">
            <v>28</v>
          </cell>
        </row>
        <row r="2208">
          <cell r="A2208" t="str">
            <v>B558375/A</v>
          </cell>
          <cell r="B2208" t="str">
            <v>RH899AM03</v>
          </cell>
          <cell r="C2208">
            <v>14</v>
          </cell>
          <cell r="D2208">
            <v>874.7</v>
          </cell>
          <cell r="E2208">
            <v>12245.800000000001</v>
          </cell>
          <cell r="F2208" t="str">
            <v>A3-S4</v>
          </cell>
          <cell r="G2208" t="str">
            <v>Center rail - Đố giữa</v>
          </cell>
          <cell r="H2208" t="str">
            <v>Wood Acacia - Straight/Waving Edged - T30mm x W100mm Up x L1m Up</v>
          </cell>
          <cell r="I2208">
            <v>28</v>
          </cell>
        </row>
        <row r="2209">
          <cell r="A2209" t="str">
            <v>B558375/A</v>
          </cell>
          <cell r="B2209" t="str">
            <v>RH899AM03</v>
          </cell>
          <cell r="C2209">
            <v>14</v>
          </cell>
          <cell r="D2209">
            <v>874.7</v>
          </cell>
          <cell r="E2209">
            <v>12245.800000000001</v>
          </cell>
          <cell r="F2209" t="str">
            <v>A3-S5</v>
          </cell>
          <cell r="G2209" t="str">
            <v xml:space="preserve">Side rail  - Đố hông </v>
          </cell>
          <cell r="H2209" t="str">
            <v>Wood Acacia - Straight/Waving Edged - T30mm x W100mm Up x L1m Up</v>
          </cell>
          <cell r="I2209">
            <v>28</v>
          </cell>
        </row>
        <row r="2210">
          <cell r="A2210" t="str">
            <v>B558375/A</v>
          </cell>
          <cell r="B2210" t="str">
            <v>RH899AM03</v>
          </cell>
          <cell r="C2210">
            <v>14</v>
          </cell>
          <cell r="D2210">
            <v>874.7</v>
          </cell>
          <cell r="E2210">
            <v>12245.800000000001</v>
          </cell>
          <cell r="F2210" t="str">
            <v>A4-1</v>
          </cell>
          <cell r="G2210" t="str">
            <v>Bottom rail inside - Đố tiền đáy</v>
          </cell>
          <cell r="H2210" t="str">
            <v>Wood laminate</v>
          </cell>
          <cell r="I2210">
            <v>14</v>
          </cell>
        </row>
        <row r="2211">
          <cell r="A2211" t="str">
            <v>B558375/A</v>
          </cell>
          <cell r="B2211" t="str">
            <v>RH899AM03</v>
          </cell>
          <cell r="C2211">
            <v>14</v>
          </cell>
          <cell r="D2211">
            <v>874.7</v>
          </cell>
          <cell r="E2211">
            <v>12245.800000000001</v>
          </cell>
          <cell r="F2211" t="str">
            <v>A4-S5</v>
          </cell>
          <cell r="G2211" t="str">
            <v>Corner moulding - Chỉ góc</v>
          </cell>
          <cell r="H2211" t="str">
            <v>TRAM OFF CUT</v>
          </cell>
          <cell r="I2211">
            <v>112</v>
          </cell>
        </row>
        <row r="2212">
          <cell r="A2212" t="str">
            <v>B558375/A</v>
          </cell>
          <cell r="B2212" t="str">
            <v>RH899AM03</v>
          </cell>
          <cell r="C2212">
            <v>14</v>
          </cell>
          <cell r="D2212">
            <v>874.7</v>
          </cell>
          <cell r="E2212">
            <v>12245.800000000001</v>
          </cell>
          <cell r="F2212" t="str">
            <v>A4-S6</v>
          </cell>
          <cell r="G2212" t="str">
            <v>Corner moulding - Chỉ góc</v>
          </cell>
          <cell r="H2212" t="str">
            <v>TRAM OFF CUT</v>
          </cell>
          <cell r="I2212">
            <v>84</v>
          </cell>
        </row>
        <row r="2213">
          <cell r="A2213" t="str">
            <v>B558375/A</v>
          </cell>
          <cell r="B2213" t="str">
            <v>RH899AM03</v>
          </cell>
          <cell r="C2213">
            <v>14</v>
          </cell>
          <cell r="D2213">
            <v>874.7</v>
          </cell>
          <cell r="E2213">
            <v>12245.800000000001</v>
          </cell>
          <cell r="F2213" t="str">
            <v>A5-S01</v>
          </cell>
          <cell r="G2213" t="str">
            <v>The leg  - Chân</v>
          </cell>
          <cell r="H2213" t="str">
            <v>Pre-Assembly</v>
          </cell>
          <cell r="I2213">
            <v>56</v>
          </cell>
        </row>
        <row r="2214">
          <cell r="A2214" t="str">
            <v>B558375/A</v>
          </cell>
          <cell r="B2214" t="str">
            <v>RH899AM03</v>
          </cell>
          <cell r="C2214">
            <v>14</v>
          </cell>
          <cell r="D2214">
            <v>874.7</v>
          </cell>
          <cell r="E2214">
            <v>12245.800000000001</v>
          </cell>
          <cell r="F2214" t="str">
            <v>A5-S01-1</v>
          </cell>
          <cell r="G2214" t="str">
            <v>The leg  - Chân</v>
          </cell>
          <cell r="H2214" t="str">
            <v>Wood - Acacia</v>
          </cell>
          <cell r="I2214">
            <v>56</v>
          </cell>
        </row>
        <row r="2215">
          <cell r="A2215" t="str">
            <v>B558375/A</v>
          </cell>
          <cell r="B2215" t="str">
            <v>RH899AM03</v>
          </cell>
          <cell r="C2215">
            <v>14</v>
          </cell>
          <cell r="D2215">
            <v>874.7</v>
          </cell>
          <cell r="E2215">
            <v>12245.800000000001</v>
          </cell>
          <cell r="F2215" t="str">
            <v>A5-S01-2</v>
          </cell>
          <cell r="G2215" t="str">
            <v>The leg  - Chân</v>
          </cell>
          <cell r="H2215" t="str">
            <v>TRAM OFF CUT</v>
          </cell>
          <cell r="I2215">
            <v>56</v>
          </cell>
        </row>
        <row r="2216">
          <cell r="A2216" t="str">
            <v>B558375/A</v>
          </cell>
          <cell r="B2216" t="str">
            <v>RH899AM03</v>
          </cell>
          <cell r="C2216">
            <v>14</v>
          </cell>
          <cell r="D2216">
            <v>874.7</v>
          </cell>
          <cell r="E2216">
            <v>12245.800000000001</v>
          </cell>
          <cell r="F2216" t="str">
            <v>A5-S01-3</v>
          </cell>
          <cell r="G2216" t="str">
            <v>Tenon - Mộng cấy</v>
          </cell>
          <cell r="H2216" t="str">
            <v>TRAM OFF CUT</v>
          </cell>
          <cell r="I2216">
            <v>112</v>
          </cell>
        </row>
        <row r="2217">
          <cell r="A2217" t="str">
            <v>B558375/A</v>
          </cell>
          <cell r="B2217" t="str">
            <v>RH899AM03</v>
          </cell>
          <cell r="C2217">
            <v>14</v>
          </cell>
          <cell r="D2217">
            <v>874.7</v>
          </cell>
          <cell r="E2217">
            <v>12245.800000000001</v>
          </cell>
          <cell r="F2217" t="str">
            <v>A5-S02</v>
          </cell>
          <cell r="G2217" t="str">
            <v>Side top rail - Đố hông trên</v>
          </cell>
          <cell r="H2217" t="str">
            <v>Wood Acacia - Straight/Waving Edged - T30mm x W100mm Up x L1m Up</v>
          </cell>
          <cell r="I2217">
            <v>28</v>
          </cell>
        </row>
        <row r="2218">
          <cell r="A2218" t="str">
            <v>B558375/A</v>
          </cell>
          <cell r="B2218" t="str">
            <v>RH899AM03</v>
          </cell>
          <cell r="C2218">
            <v>14</v>
          </cell>
          <cell r="D2218">
            <v>874.7</v>
          </cell>
          <cell r="E2218">
            <v>12245.800000000001</v>
          </cell>
          <cell r="F2218" t="str">
            <v>A5-S03</v>
          </cell>
          <cell r="G2218" t="str">
            <v>Side moulding - Chỉ hông</v>
          </cell>
          <cell r="H2218" t="str">
            <v>Wood - Acacia</v>
          </cell>
          <cell r="I2218">
            <v>56</v>
          </cell>
        </row>
        <row r="2219">
          <cell r="A2219" t="str">
            <v>B558375/A</v>
          </cell>
          <cell r="B2219" t="str">
            <v>RH899AM03</v>
          </cell>
          <cell r="C2219">
            <v>14</v>
          </cell>
          <cell r="D2219">
            <v>874.7</v>
          </cell>
          <cell r="E2219">
            <v>12245.800000000001</v>
          </cell>
          <cell r="F2219" t="str">
            <v>A5-S04</v>
          </cell>
          <cell r="G2219" t="str">
            <v>Front moulding  - Chỉ tiền</v>
          </cell>
          <cell r="H2219" t="str">
            <v>Wood - Acacia</v>
          </cell>
          <cell r="I2219">
            <v>28</v>
          </cell>
        </row>
        <row r="2220">
          <cell r="A2220" t="str">
            <v>B558375/A</v>
          </cell>
          <cell r="B2220" t="str">
            <v>RH899AM03</v>
          </cell>
          <cell r="C2220">
            <v>14</v>
          </cell>
          <cell r="D2220">
            <v>874.7</v>
          </cell>
          <cell r="E2220">
            <v>12245.800000000001</v>
          </cell>
          <cell r="F2220" t="str">
            <v>A5-S05</v>
          </cell>
          <cell r="G2220" t="str">
            <v>Back moulding - Chỉ hậu</v>
          </cell>
          <cell r="H2220" t="str">
            <v>Wood - Acacia</v>
          </cell>
          <cell r="I2220">
            <v>56</v>
          </cell>
        </row>
        <row r="2221">
          <cell r="A2221" t="str">
            <v>B558375/A</v>
          </cell>
          <cell r="B2221" t="str">
            <v>RH899AM03</v>
          </cell>
          <cell r="C2221">
            <v>14</v>
          </cell>
          <cell r="D2221">
            <v>874.7</v>
          </cell>
          <cell r="E2221">
            <v>12245.800000000001</v>
          </cell>
          <cell r="F2221" t="str">
            <v>A5-S06</v>
          </cell>
          <cell r="G2221" t="str">
            <v>Bottom panel - Ván đáy</v>
          </cell>
          <cell r="H2221" t="str">
            <v>Wood Acacia - Straight/Waving Edged - T25mm x W100mm Up x L1m Up</v>
          </cell>
          <cell r="I2221">
            <v>28</v>
          </cell>
        </row>
        <row r="2222">
          <cell r="A2222" t="str">
            <v>B558375/A</v>
          </cell>
          <cell r="B2222" t="str">
            <v>RH899AM03</v>
          </cell>
          <cell r="C2222">
            <v>14</v>
          </cell>
          <cell r="D2222">
            <v>874.7</v>
          </cell>
          <cell r="E2222">
            <v>12245.800000000001</v>
          </cell>
          <cell r="F2222" t="str">
            <v>A5-S07</v>
          </cell>
          <cell r="G2222" t="str">
            <v>Front Bottom Rail  - Đố đáy trước</v>
          </cell>
          <cell r="H2222" t="str">
            <v>Wood Acacia - Straight/Waving Edged - T25mm x W100mm Up x L1m Up</v>
          </cell>
          <cell r="I2222">
            <v>28</v>
          </cell>
        </row>
        <row r="2223">
          <cell r="A2223" t="str">
            <v>B558375/A</v>
          </cell>
          <cell r="B2223" t="str">
            <v>RH899AM03</v>
          </cell>
          <cell r="C2223">
            <v>14</v>
          </cell>
          <cell r="D2223">
            <v>874.7</v>
          </cell>
          <cell r="E2223">
            <v>12245.800000000001</v>
          </cell>
          <cell r="F2223" t="str">
            <v>A5-S08</v>
          </cell>
          <cell r="G2223" t="str">
            <v>Side moulding - Chỉ hông</v>
          </cell>
          <cell r="H2223" t="str">
            <v>Wood Acacia - Straight/Waving Edged - T25mm x W100mm Up x L1m Up</v>
          </cell>
          <cell r="I2223">
            <v>224</v>
          </cell>
        </row>
        <row r="2224">
          <cell r="A2224" t="str">
            <v>B558375/A</v>
          </cell>
          <cell r="B2224" t="str">
            <v>RH899AM03</v>
          </cell>
          <cell r="C2224">
            <v>14</v>
          </cell>
          <cell r="D2224">
            <v>874.7</v>
          </cell>
          <cell r="E2224">
            <v>12245.800000000001</v>
          </cell>
          <cell r="F2224" t="str">
            <v>A5-S10</v>
          </cell>
          <cell r="G2224" t="str">
            <v>Patching wood - Gỗ đắp</v>
          </cell>
          <cell r="H2224" t="str">
            <v>TRAM OFF CUT</v>
          </cell>
          <cell r="I2224">
            <v>56</v>
          </cell>
        </row>
        <row r="2225">
          <cell r="A2225" t="str">
            <v>B558375/A</v>
          </cell>
          <cell r="B2225" t="str">
            <v>RH899AM03</v>
          </cell>
          <cell r="C2225">
            <v>14</v>
          </cell>
          <cell r="D2225">
            <v>874.7</v>
          </cell>
          <cell r="E2225">
            <v>12245.800000000001</v>
          </cell>
          <cell r="F2225" t="str">
            <v>P1</v>
          </cell>
          <cell r="G2225" t="str">
            <v>Cleat - Bọ gỗ</v>
          </cell>
          <cell r="H2225" t="str">
            <v>TRAM OFF CUT</v>
          </cell>
          <cell r="I2225">
            <v>112</v>
          </cell>
        </row>
        <row r="2226">
          <cell r="A2226" t="str">
            <v>B557390/A</v>
          </cell>
          <cell r="B2226" t="str">
            <v>RH10033M423</v>
          </cell>
          <cell r="C2226">
            <v>11</v>
          </cell>
          <cell r="D2226">
            <v>1400</v>
          </cell>
          <cell r="E2226">
            <v>15400</v>
          </cell>
          <cell r="F2226" t="str">
            <v>A1-S01</v>
          </cell>
          <cell r="G2226" t="str">
            <v>vaccumn veneer kyoto - cảo bich veneer</v>
          </cell>
          <cell r="H2226" t="str">
            <v>Pre-Assembly</v>
          </cell>
          <cell r="I2226">
            <v>44</v>
          </cell>
        </row>
        <row r="2227">
          <cell r="A2227" t="str">
            <v>B557390/A</v>
          </cell>
          <cell r="B2227" t="str">
            <v>RH10033M423</v>
          </cell>
          <cell r="C2227">
            <v>11</v>
          </cell>
          <cell r="D2227">
            <v>1400</v>
          </cell>
          <cell r="E2227">
            <v>15400</v>
          </cell>
          <cell r="F2227" t="str">
            <v>A1-S01-1</v>
          </cell>
          <cell r="G2227" t="str">
            <v>Vertical rail 1 - Đố đứng 1</v>
          </cell>
          <cell r="H2227" t="str">
            <v>MDF laminate</v>
          </cell>
          <cell r="I2227">
            <v>88</v>
          </cell>
        </row>
        <row r="2228">
          <cell r="A2228" t="str">
            <v>B557390/A</v>
          </cell>
          <cell r="B2228" t="str">
            <v>RH10033M423</v>
          </cell>
          <cell r="C2228">
            <v>11</v>
          </cell>
          <cell r="D2228">
            <v>1400</v>
          </cell>
          <cell r="E2228">
            <v>15400</v>
          </cell>
          <cell r="F2228" t="str">
            <v>A1-S01-2</v>
          </cell>
          <cell r="G2228" t="str">
            <v>Vertical rail 1 - Đố đứng 1</v>
          </cell>
          <cell r="H2228" t="str">
            <v>MDF laminate</v>
          </cell>
          <cell r="I2228">
            <v>88</v>
          </cell>
        </row>
        <row r="2229">
          <cell r="A2229" t="str">
            <v>B557390/A</v>
          </cell>
          <cell r="B2229" t="str">
            <v>RH10033M423</v>
          </cell>
          <cell r="C2229">
            <v>11</v>
          </cell>
          <cell r="D2229">
            <v>1400</v>
          </cell>
          <cell r="E2229">
            <v>15400</v>
          </cell>
          <cell r="F2229" t="str">
            <v>A1-S01-5</v>
          </cell>
          <cell r="G2229" t="str">
            <v>Spline - Lưỡi gà</v>
          </cell>
          <cell r="H2229" t="str">
            <v>Plywood LVD - 09 x 1220 x 2440mm, Bleached Poplar Veneer Both Sides [CARB P2 Compliant]</v>
          </cell>
          <cell r="I2229">
            <v>132</v>
          </cell>
        </row>
        <row r="2230">
          <cell r="A2230" t="str">
            <v>B557390/A</v>
          </cell>
          <cell r="B2230" t="str">
            <v>RH10033M423</v>
          </cell>
          <cell r="C2230">
            <v>11</v>
          </cell>
          <cell r="D2230">
            <v>1400</v>
          </cell>
          <cell r="E2230">
            <v>15400</v>
          </cell>
          <cell r="F2230" t="str">
            <v>A1-S02</v>
          </cell>
          <cell r="G2230" t="str">
            <v>Cleat - Bọ gỗ</v>
          </cell>
          <cell r="H2230" t="str">
            <v>Plywood LVD - 18 x 1220 x 2440mm, Bleached Poplar Veneer Both Sides [CARB P2 Compliant]</v>
          </cell>
          <cell r="I2230">
            <v>11</v>
          </cell>
        </row>
        <row r="2231">
          <cell r="A2231" t="str">
            <v>B557390/A</v>
          </cell>
          <cell r="B2231" t="str">
            <v>RH10033M423</v>
          </cell>
          <cell r="C2231">
            <v>11</v>
          </cell>
          <cell r="D2231">
            <v>1400</v>
          </cell>
          <cell r="E2231">
            <v>15400</v>
          </cell>
          <cell r="F2231" t="str">
            <v>A1-S03</v>
          </cell>
          <cell r="G2231" t="str">
            <v>Bottom panel - Ván đáy</v>
          </cell>
          <cell r="H2231" t="str">
            <v>Plywood - 25 x 1220 x 2440mm, Okoume Veneer on Both Faces [CARB P2 Compliant]</v>
          </cell>
          <cell r="I2231">
            <v>11</v>
          </cell>
        </row>
        <row r="2232">
          <cell r="A2232" t="str">
            <v>B557390/A</v>
          </cell>
          <cell r="B2232" t="str">
            <v>RH10033M423</v>
          </cell>
          <cell r="C2232">
            <v>11</v>
          </cell>
          <cell r="D2232">
            <v>1400</v>
          </cell>
          <cell r="E2232">
            <v>15400</v>
          </cell>
          <cell r="F2232" t="str">
            <v>A1-S04</v>
          </cell>
          <cell r="G2232" t="str">
            <v>Spline - Lưỡi gà</v>
          </cell>
          <cell r="H2232" t="str">
            <v>Plywood LVD - 09 x 1220 x 2440mm, Bleached Poplar Veneer Both Sides [CARB P2 Compliant]</v>
          </cell>
          <cell r="I2232">
            <v>44</v>
          </cell>
        </row>
        <row r="2233">
          <cell r="A2233" t="str">
            <v>B557390/A</v>
          </cell>
          <cell r="B2233" t="str">
            <v>RH10033M423</v>
          </cell>
          <cell r="C2233">
            <v>11</v>
          </cell>
          <cell r="D2233">
            <v>1400</v>
          </cell>
          <cell r="E2233">
            <v>15400</v>
          </cell>
          <cell r="F2233" t="str">
            <v>A1-S05</v>
          </cell>
          <cell r="G2233" t="str">
            <v>Cleat - Bọ gỗ</v>
          </cell>
          <cell r="H2233" t="str">
            <v>Beech off cut</v>
          </cell>
          <cell r="I2233">
            <v>132</v>
          </cell>
        </row>
        <row r="2234">
          <cell r="A2234" t="str">
            <v>B557390/A</v>
          </cell>
          <cell r="B2234" t="str">
            <v>RH10033M423</v>
          </cell>
          <cell r="C2234">
            <v>11</v>
          </cell>
          <cell r="D2234">
            <v>1400</v>
          </cell>
          <cell r="E2234">
            <v>15400</v>
          </cell>
          <cell r="F2234" t="str">
            <v>A1-S07</v>
          </cell>
          <cell r="G2234" t="str">
            <v>Cleat - Bọ gỗ</v>
          </cell>
          <cell r="H2234" t="str">
            <v>Beech off cut</v>
          </cell>
          <cell r="I2234">
            <v>88</v>
          </cell>
        </row>
        <row r="2235">
          <cell r="A2235" t="str">
            <v>B558294/A</v>
          </cell>
          <cell r="B2235" t="str">
            <v>RH10275M342</v>
          </cell>
          <cell r="C2235">
            <v>16</v>
          </cell>
          <cell r="D2235">
            <v>745.68</v>
          </cell>
          <cell r="E2235">
            <v>11930.88</v>
          </cell>
          <cell r="F2235" t="str">
            <v>A1-S01</v>
          </cell>
          <cell r="G2235" t="str">
            <v xml:space="preserve">Drawer front - Mặt hộc kéo </v>
          </cell>
          <cell r="H2235" t="str">
            <v>MDF Veneer</v>
          </cell>
          <cell r="I2235">
            <v>32</v>
          </cell>
        </row>
        <row r="2236">
          <cell r="A2236" t="str">
            <v>B558294/A</v>
          </cell>
          <cell r="B2236" t="str">
            <v>RH10275M342</v>
          </cell>
          <cell r="C2236">
            <v>16</v>
          </cell>
          <cell r="D2236">
            <v>745.68</v>
          </cell>
          <cell r="E2236">
            <v>11930.88</v>
          </cell>
          <cell r="F2236" t="str">
            <v>A1-S02</v>
          </cell>
          <cell r="G2236" t="str">
            <v xml:space="preserve">Drawer front 1 - Mặt hộc kéo </v>
          </cell>
          <cell r="H2236" t="str">
            <v>MDF Veneer</v>
          </cell>
          <cell r="I2236">
            <v>32</v>
          </cell>
        </row>
        <row r="2237">
          <cell r="A2237" t="str">
            <v>B558294/A</v>
          </cell>
          <cell r="B2237" t="str">
            <v>RH10275M342</v>
          </cell>
          <cell r="C2237">
            <v>16</v>
          </cell>
          <cell r="D2237">
            <v>745.68</v>
          </cell>
          <cell r="E2237">
            <v>11930.88</v>
          </cell>
          <cell r="F2237" t="str">
            <v>A1-S03</v>
          </cell>
          <cell r="G2237" t="str">
            <v>Drawer side - Hông hộc kéo</v>
          </cell>
          <cell r="H2237" t="str">
            <v>MDF Veneer</v>
          </cell>
          <cell r="I2237">
            <v>64</v>
          </cell>
        </row>
        <row r="2238">
          <cell r="A2238" t="str">
            <v>B558294/A</v>
          </cell>
          <cell r="B2238" t="str">
            <v>RH10275M342</v>
          </cell>
          <cell r="C2238">
            <v>16</v>
          </cell>
          <cell r="D2238">
            <v>745.68</v>
          </cell>
          <cell r="E2238">
            <v>11930.88</v>
          </cell>
          <cell r="F2238" t="str">
            <v>A1-S04</v>
          </cell>
          <cell r="G2238" t="str">
            <v>Drawer back - Hậu hộc kéo</v>
          </cell>
          <cell r="H2238" t="str">
            <v>MDF Veneer</v>
          </cell>
          <cell r="I2238">
            <v>32</v>
          </cell>
        </row>
        <row r="2239">
          <cell r="A2239" t="str">
            <v>B558294/A</v>
          </cell>
          <cell r="B2239" t="str">
            <v>RH10275M342</v>
          </cell>
          <cell r="C2239">
            <v>16</v>
          </cell>
          <cell r="D2239">
            <v>745.68</v>
          </cell>
          <cell r="E2239">
            <v>11930.88</v>
          </cell>
          <cell r="F2239" t="str">
            <v>A1-S05</v>
          </cell>
          <cell r="G2239" t="str">
            <v>Drawer bottom  - Đáy hộc kéo</v>
          </cell>
          <cell r="H2239" t="str">
            <v>MDF Veneer</v>
          </cell>
          <cell r="I2239">
            <v>32</v>
          </cell>
        </row>
        <row r="2240">
          <cell r="A2240" t="str">
            <v>B558294/A</v>
          </cell>
          <cell r="B2240" t="str">
            <v>RH10275M342</v>
          </cell>
          <cell r="C2240">
            <v>16</v>
          </cell>
          <cell r="D2240">
            <v>745.68</v>
          </cell>
          <cell r="E2240">
            <v>11930.88</v>
          </cell>
          <cell r="F2240" t="str">
            <v>A2-S01</v>
          </cell>
          <cell r="G2240" t="str">
            <v xml:space="preserve">Side panel left  - Ván hông trái </v>
          </cell>
          <cell r="H2240" t="str">
            <v>MDF Veneer</v>
          </cell>
          <cell r="I2240">
            <v>16</v>
          </cell>
        </row>
        <row r="2241">
          <cell r="A2241" t="str">
            <v>B558294/A</v>
          </cell>
          <cell r="B2241" t="str">
            <v>RH10275M342</v>
          </cell>
          <cell r="C2241">
            <v>16</v>
          </cell>
          <cell r="D2241">
            <v>745.68</v>
          </cell>
          <cell r="E2241">
            <v>11930.88</v>
          </cell>
          <cell r="F2241" t="str">
            <v>A2-S01-1</v>
          </cell>
          <cell r="G2241" t="str">
            <v>Insert Wood - Gỗ chèn</v>
          </cell>
          <cell r="H2241" t="str">
            <v>Beech off cut</v>
          </cell>
          <cell r="I2241">
            <v>64</v>
          </cell>
        </row>
        <row r="2242">
          <cell r="A2242" t="str">
            <v>B558294/A</v>
          </cell>
          <cell r="B2242" t="str">
            <v>RH10275M342</v>
          </cell>
          <cell r="C2242">
            <v>16</v>
          </cell>
          <cell r="D2242">
            <v>745.68</v>
          </cell>
          <cell r="E2242">
            <v>11930.88</v>
          </cell>
          <cell r="F2242" t="str">
            <v>A2-S02</v>
          </cell>
          <cell r="G2242" t="str">
            <v xml:space="preserve">Side rail  - Đố hông </v>
          </cell>
          <cell r="H2242" t="str">
            <v>Plywood LVD - 18 x 1220 x 2440mm, Bleached Poplar Veneer Both Sides [CARB P2 Compliant]</v>
          </cell>
          <cell r="I2242">
            <v>64</v>
          </cell>
        </row>
        <row r="2243">
          <cell r="A2243" t="str">
            <v>B558294/A</v>
          </cell>
          <cell r="B2243" t="str">
            <v>RH10275M342</v>
          </cell>
          <cell r="C2243">
            <v>16</v>
          </cell>
          <cell r="D2243">
            <v>745.68</v>
          </cell>
          <cell r="E2243">
            <v>11930.88</v>
          </cell>
          <cell r="F2243" t="str">
            <v>A3-S01</v>
          </cell>
          <cell r="G2243" t="str">
            <v xml:space="preserve">Side panel right  - Ván hông phải </v>
          </cell>
          <cell r="H2243" t="str">
            <v>MDF Veneer</v>
          </cell>
          <cell r="I2243">
            <v>16</v>
          </cell>
        </row>
        <row r="2244">
          <cell r="A2244" t="str">
            <v>B558294/A</v>
          </cell>
          <cell r="B2244" t="str">
            <v>RH10275M342</v>
          </cell>
          <cell r="C2244">
            <v>16</v>
          </cell>
          <cell r="D2244">
            <v>745.68</v>
          </cell>
          <cell r="E2244">
            <v>11930.88</v>
          </cell>
          <cell r="F2244" t="str">
            <v>P0</v>
          </cell>
          <cell r="G2244" t="str">
            <v>VN - Veneer</v>
          </cell>
          <cell r="H2244" t="str">
            <v>Veneer laminate</v>
          </cell>
          <cell r="I2244">
            <v>16</v>
          </cell>
        </row>
        <row r="2245">
          <cell r="A2245" t="str">
            <v>B558294/A</v>
          </cell>
          <cell r="B2245" t="str">
            <v>RH10275M342</v>
          </cell>
          <cell r="C2245">
            <v>16</v>
          </cell>
          <cell r="D2245">
            <v>745.68</v>
          </cell>
          <cell r="E2245">
            <v>11930.88</v>
          </cell>
          <cell r="F2245" t="str">
            <v>P01</v>
          </cell>
          <cell r="G2245" t="str">
            <v xml:space="preserve">Top panel  - Ván nóc </v>
          </cell>
          <cell r="H2245" t="str">
            <v>MDF Veneer</v>
          </cell>
          <cell r="I2245">
            <v>16</v>
          </cell>
        </row>
        <row r="2246">
          <cell r="A2246" t="str">
            <v>B558294/A</v>
          </cell>
          <cell r="B2246" t="str">
            <v>RH10275M342</v>
          </cell>
          <cell r="C2246">
            <v>16</v>
          </cell>
          <cell r="D2246">
            <v>745.68</v>
          </cell>
          <cell r="E2246">
            <v>11930.88</v>
          </cell>
          <cell r="F2246" t="str">
            <v>P03</v>
          </cell>
          <cell r="G2246" t="str">
            <v>Back panel - Ván hậu</v>
          </cell>
          <cell r="H2246" t="str">
            <v>MDF - 06 x 1220 x 2440mm, Veneer Okoume 0.3mm Both Faces [CARB P2 Compliant]</v>
          </cell>
          <cell r="I2246">
            <v>16</v>
          </cell>
        </row>
        <row r="2247">
          <cell r="A2247" t="str">
            <v>B558294/A</v>
          </cell>
          <cell r="B2247" t="str">
            <v>RH10275M342</v>
          </cell>
          <cell r="C2247">
            <v>16</v>
          </cell>
          <cell r="D2247">
            <v>745.68</v>
          </cell>
          <cell r="E2247">
            <v>11930.88</v>
          </cell>
          <cell r="F2247" t="str">
            <v>P04</v>
          </cell>
          <cell r="G2247" t="str">
            <v>Center rail - Đố giữa</v>
          </cell>
          <cell r="H2247" t="str">
            <v>Wood Rubber Laminate Board - 20 x 1220 x 2440mm, Veneer Poplar both Faces</v>
          </cell>
          <cell r="I2247">
            <v>16</v>
          </cell>
        </row>
        <row r="2248">
          <cell r="A2248" t="str">
            <v>B558294/A</v>
          </cell>
          <cell r="B2248" t="str">
            <v>RH10275M342</v>
          </cell>
          <cell r="C2248">
            <v>16</v>
          </cell>
          <cell r="D2248">
            <v>745.68</v>
          </cell>
          <cell r="E2248">
            <v>11930.88</v>
          </cell>
          <cell r="F2248" t="str">
            <v>P05</v>
          </cell>
          <cell r="G2248" t="str">
            <v>back rail - Đố hậu</v>
          </cell>
          <cell r="H2248" t="str">
            <v>Wood Rubber Laminate Board - 20 x 1220 x 2440mm, Veneer Poplar both Faces</v>
          </cell>
          <cell r="I2248">
            <v>16</v>
          </cell>
        </row>
        <row r="2249">
          <cell r="A2249" t="str">
            <v>B558294/A</v>
          </cell>
          <cell r="B2249" t="str">
            <v>RH10275M342</v>
          </cell>
          <cell r="C2249">
            <v>16</v>
          </cell>
          <cell r="D2249">
            <v>745.68</v>
          </cell>
          <cell r="E2249">
            <v>11930.88</v>
          </cell>
          <cell r="F2249" t="str">
            <v>P06</v>
          </cell>
          <cell r="G2249" t="str">
            <v>Bottom panel - Ván đáy</v>
          </cell>
          <cell r="H2249" t="str">
            <v>MDF - 15 x 1220 x 2440mm, Veneer Okoume 0.3mm Both Faces [CARB P2 Compliant]</v>
          </cell>
          <cell r="I2249">
            <v>16</v>
          </cell>
        </row>
        <row r="2250">
          <cell r="A2250" t="str">
            <v>B558294/A</v>
          </cell>
          <cell r="B2250" t="str">
            <v>RH10275M342</v>
          </cell>
          <cell r="C2250">
            <v>16</v>
          </cell>
          <cell r="D2250">
            <v>745.68</v>
          </cell>
          <cell r="E2250">
            <v>11930.88</v>
          </cell>
          <cell r="F2250" t="str">
            <v>P07</v>
          </cell>
          <cell r="G2250" t="str">
            <v>Insert Wood - Gỗ chèn</v>
          </cell>
          <cell r="H2250" t="str">
            <v>Beech off cut</v>
          </cell>
          <cell r="I2250">
            <v>64</v>
          </cell>
        </row>
        <row r="2251">
          <cell r="A2251" t="str">
            <v>B558294/A</v>
          </cell>
          <cell r="B2251" t="str">
            <v>RH10275M342</v>
          </cell>
          <cell r="C2251">
            <v>16</v>
          </cell>
          <cell r="D2251">
            <v>745.68</v>
          </cell>
          <cell r="E2251">
            <v>11930.88</v>
          </cell>
          <cell r="F2251" t="str">
            <v>P08</v>
          </cell>
          <cell r="G2251" t="str">
            <v>Back bottom rail - Đố hậu đáy</v>
          </cell>
          <cell r="H2251" t="str">
            <v>Wood Rubber Laminate Board - 20 x 1220 x 2440mm, Veneer Poplar both Faces</v>
          </cell>
          <cell r="I2251">
            <v>16</v>
          </cell>
        </row>
        <row r="2252">
          <cell r="A2252" t="str">
            <v>B558294/A</v>
          </cell>
          <cell r="B2252" t="str">
            <v>RH10275M342</v>
          </cell>
          <cell r="C2252">
            <v>16</v>
          </cell>
          <cell r="D2252">
            <v>745.68</v>
          </cell>
          <cell r="E2252">
            <v>11930.88</v>
          </cell>
          <cell r="F2252" t="str">
            <v>P09</v>
          </cell>
          <cell r="G2252" t="str">
            <v>Top rail - Đố nóc</v>
          </cell>
          <cell r="H2252" t="str">
            <v>Wood Rubber Laminate Board - 20 x 1220 x 2440mm, Veneer Poplar both Faces</v>
          </cell>
          <cell r="I2252">
            <v>16</v>
          </cell>
        </row>
        <row r="2253">
          <cell r="A2253" t="str">
            <v>B558294/A</v>
          </cell>
          <cell r="B2253" t="str">
            <v>RH10275M342</v>
          </cell>
          <cell r="C2253">
            <v>16</v>
          </cell>
          <cell r="D2253">
            <v>745.68</v>
          </cell>
          <cell r="E2253">
            <v>11930.88</v>
          </cell>
          <cell r="F2253" t="str">
            <v>P11</v>
          </cell>
          <cell r="G2253" t="str">
            <v>Cleat - Bọ gỗ</v>
          </cell>
          <cell r="H2253" t="str">
            <v>Wood Rubber Laminate Board - 20 x 1220 x 2440mm, Veneer Poplar both Faces</v>
          </cell>
          <cell r="I2253">
            <v>32</v>
          </cell>
        </row>
        <row r="2254">
          <cell r="A2254" t="str">
            <v>B558294/A</v>
          </cell>
          <cell r="B2254" t="str">
            <v>RH10275M342</v>
          </cell>
          <cell r="C2254">
            <v>16</v>
          </cell>
          <cell r="D2254">
            <v>745.68</v>
          </cell>
          <cell r="E2254">
            <v>11930.88</v>
          </cell>
          <cell r="F2254" t="str">
            <v>P12</v>
          </cell>
          <cell r="G2254" t="str">
            <v>Cleat - Bọ gỗ</v>
          </cell>
          <cell r="H2254" t="str">
            <v>Rubber board off cut</v>
          </cell>
          <cell r="I2254">
            <v>64</v>
          </cell>
        </row>
        <row r="2255">
          <cell r="A2255" t="str">
            <v>B558296/A</v>
          </cell>
          <cell r="B2255" t="str">
            <v>RH10276M342</v>
          </cell>
          <cell r="C2255">
            <v>10</v>
          </cell>
          <cell r="D2255">
            <v>745.68</v>
          </cell>
          <cell r="E2255">
            <v>7456.7999999999993</v>
          </cell>
          <cell r="F2255" t="str">
            <v>A1-S01</v>
          </cell>
          <cell r="G2255" t="str">
            <v xml:space="preserve">Drawer front - Mặt hộc kéo </v>
          </cell>
          <cell r="H2255" t="str">
            <v>MDF Veneer</v>
          </cell>
          <cell r="I2255">
            <v>20</v>
          </cell>
        </row>
        <row r="2256">
          <cell r="A2256" t="str">
            <v>B558296/A</v>
          </cell>
          <cell r="B2256" t="str">
            <v>RH10276M342</v>
          </cell>
          <cell r="C2256">
            <v>10</v>
          </cell>
          <cell r="D2256">
            <v>745.68</v>
          </cell>
          <cell r="E2256">
            <v>7456.7999999999993</v>
          </cell>
          <cell r="F2256" t="str">
            <v>A1-S02</v>
          </cell>
          <cell r="G2256" t="str">
            <v xml:space="preserve">Drawer front 1 - Mặt hộc kéo </v>
          </cell>
          <cell r="H2256" t="str">
            <v>MDF Veneer</v>
          </cell>
          <cell r="I2256">
            <v>20</v>
          </cell>
        </row>
        <row r="2257">
          <cell r="A2257" t="str">
            <v>B558296/A</v>
          </cell>
          <cell r="B2257" t="str">
            <v>RH10276M342</v>
          </cell>
          <cell r="C2257">
            <v>10</v>
          </cell>
          <cell r="D2257">
            <v>745.68</v>
          </cell>
          <cell r="E2257">
            <v>7456.7999999999993</v>
          </cell>
          <cell r="F2257" t="str">
            <v>A1-S03</v>
          </cell>
          <cell r="G2257" t="str">
            <v>Drawer side - Hông hộc kéo</v>
          </cell>
          <cell r="H2257" t="str">
            <v>MDF Veneer</v>
          </cell>
          <cell r="I2257">
            <v>40</v>
          </cell>
        </row>
        <row r="2258">
          <cell r="A2258" t="str">
            <v>B558296/A</v>
          </cell>
          <cell r="B2258" t="str">
            <v>RH10276M342</v>
          </cell>
          <cell r="C2258">
            <v>10</v>
          </cell>
          <cell r="D2258">
            <v>745.68</v>
          </cell>
          <cell r="E2258">
            <v>7456.7999999999993</v>
          </cell>
          <cell r="F2258" t="str">
            <v>A1-S04</v>
          </cell>
          <cell r="G2258" t="str">
            <v>Drawer back - Hậu hộc kéo</v>
          </cell>
          <cell r="H2258" t="str">
            <v>MDF Veneer</v>
          </cell>
          <cell r="I2258">
            <v>20</v>
          </cell>
        </row>
        <row r="2259">
          <cell r="A2259" t="str">
            <v>B558296/A</v>
          </cell>
          <cell r="B2259" t="str">
            <v>RH10276M342</v>
          </cell>
          <cell r="C2259">
            <v>10</v>
          </cell>
          <cell r="D2259">
            <v>745.68</v>
          </cell>
          <cell r="E2259">
            <v>7456.7999999999993</v>
          </cell>
          <cell r="F2259" t="str">
            <v>A1-S05</v>
          </cell>
          <cell r="G2259" t="str">
            <v>Drawer bottom  - Đáy hộc kéo</v>
          </cell>
          <cell r="H2259" t="str">
            <v>MDF Veneer</v>
          </cell>
          <cell r="I2259">
            <v>20</v>
          </cell>
        </row>
        <row r="2260">
          <cell r="A2260" t="str">
            <v>B558296/A</v>
          </cell>
          <cell r="B2260" t="str">
            <v>RH10276M342</v>
          </cell>
          <cell r="C2260">
            <v>10</v>
          </cell>
          <cell r="D2260">
            <v>745.68</v>
          </cell>
          <cell r="E2260">
            <v>7456.7999999999993</v>
          </cell>
          <cell r="F2260" t="str">
            <v>A2-S01</v>
          </cell>
          <cell r="G2260" t="str">
            <v xml:space="preserve">Side panel left  - Ván hông trái </v>
          </cell>
          <cell r="H2260" t="str">
            <v>MDF Veneer</v>
          </cell>
          <cell r="I2260">
            <v>10</v>
          </cell>
        </row>
        <row r="2261">
          <cell r="A2261" t="str">
            <v>B558296/A</v>
          </cell>
          <cell r="B2261" t="str">
            <v>RH10276M342</v>
          </cell>
          <cell r="C2261">
            <v>10</v>
          </cell>
          <cell r="D2261">
            <v>745.68</v>
          </cell>
          <cell r="E2261">
            <v>7456.7999999999993</v>
          </cell>
          <cell r="F2261" t="str">
            <v>A2-S01-1</v>
          </cell>
          <cell r="G2261" t="str">
            <v>Insert Wood - Gỗ chèn</v>
          </cell>
          <cell r="H2261" t="str">
            <v>Beech off cut</v>
          </cell>
          <cell r="I2261">
            <v>40</v>
          </cell>
        </row>
        <row r="2262">
          <cell r="A2262" t="str">
            <v>B558296/A</v>
          </cell>
          <cell r="B2262" t="str">
            <v>RH10276M342</v>
          </cell>
          <cell r="C2262">
            <v>10</v>
          </cell>
          <cell r="D2262">
            <v>745.68</v>
          </cell>
          <cell r="E2262">
            <v>7456.7999999999993</v>
          </cell>
          <cell r="F2262" t="str">
            <v>A2-S02</v>
          </cell>
          <cell r="G2262" t="str">
            <v xml:space="preserve">Side rail  - Đố hông </v>
          </cell>
          <cell r="H2262" t="str">
            <v>Plywood LVD - 18 x 1220 x 2440mm, Bleached Poplar Veneer Both Sides [CARB P2 Compliant]</v>
          </cell>
          <cell r="I2262">
            <v>40</v>
          </cell>
        </row>
        <row r="2263">
          <cell r="A2263" t="str">
            <v>B558296/A</v>
          </cell>
          <cell r="B2263" t="str">
            <v>RH10276M342</v>
          </cell>
          <cell r="C2263">
            <v>10</v>
          </cell>
          <cell r="D2263">
            <v>745.68</v>
          </cell>
          <cell r="E2263">
            <v>7456.7999999999993</v>
          </cell>
          <cell r="F2263" t="str">
            <v>A3-S01</v>
          </cell>
          <cell r="G2263" t="str">
            <v xml:space="preserve">Side panel right  - Ván hông phải </v>
          </cell>
          <cell r="H2263" t="str">
            <v>MDF Veneer</v>
          </cell>
          <cell r="I2263">
            <v>10</v>
          </cell>
        </row>
        <row r="2264">
          <cell r="A2264" t="str">
            <v>B558296/A</v>
          </cell>
          <cell r="B2264" t="str">
            <v>RH10276M342</v>
          </cell>
          <cell r="C2264">
            <v>10</v>
          </cell>
          <cell r="D2264">
            <v>745.68</v>
          </cell>
          <cell r="E2264">
            <v>7456.7999999999993</v>
          </cell>
          <cell r="F2264" t="str">
            <v>P0</v>
          </cell>
          <cell r="G2264" t="str">
            <v>VN - Veneer</v>
          </cell>
          <cell r="H2264" t="str">
            <v>Veneer laminate</v>
          </cell>
          <cell r="I2264">
            <v>10</v>
          </cell>
        </row>
        <row r="2265">
          <cell r="A2265" t="str">
            <v>B558296/A</v>
          </cell>
          <cell r="B2265" t="str">
            <v>RH10276M342</v>
          </cell>
          <cell r="C2265">
            <v>10</v>
          </cell>
          <cell r="D2265">
            <v>745.68</v>
          </cell>
          <cell r="E2265">
            <v>7456.7999999999993</v>
          </cell>
          <cell r="F2265" t="str">
            <v>P01</v>
          </cell>
          <cell r="G2265" t="str">
            <v xml:space="preserve">Top panel  - Ván nóc </v>
          </cell>
          <cell r="H2265" t="str">
            <v>MDF Veneer</v>
          </cell>
          <cell r="I2265">
            <v>10</v>
          </cell>
        </row>
        <row r="2266">
          <cell r="A2266" t="str">
            <v>B558296/A</v>
          </cell>
          <cell r="B2266" t="str">
            <v>RH10276M342</v>
          </cell>
          <cell r="C2266">
            <v>10</v>
          </cell>
          <cell r="D2266">
            <v>745.68</v>
          </cell>
          <cell r="E2266">
            <v>7456.7999999999993</v>
          </cell>
          <cell r="F2266" t="str">
            <v>P03</v>
          </cell>
          <cell r="G2266" t="str">
            <v>Back panel - Ván hậu</v>
          </cell>
          <cell r="H2266" t="str">
            <v>MDF - 06 x 1220 x 2440mm, Veneer Okoume 0.3mm Both Faces [CARB P2 Compliant]</v>
          </cell>
          <cell r="I2266">
            <v>10</v>
          </cell>
        </row>
        <row r="2267">
          <cell r="A2267" t="str">
            <v>B558296/A</v>
          </cell>
          <cell r="B2267" t="str">
            <v>RH10276M342</v>
          </cell>
          <cell r="C2267">
            <v>10</v>
          </cell>
          <cell r="D2267">
            <v>745.68</v>
          </cell>
          <cell r="E2267">
            <v>7456.7999999999993</v>
          </cell>
          <cell r="F2267" t="str">
            <v>P04</v>
          </cell>
          <cell r="G2267" t="str">
            <v>Center rail - Đố giữa</v>
          </cell>
          <cell r="H2267" t="str">
            <v>Wood Rubber Laminate Board - 20 x 1220 x 2440mm, Veneer Poplar both Faces</v>
          </cell>
          <cell r="I2267">
            <v>10</v>
          </cell>
        </row>
        <row r="2268">
          <cell r="A2268" t="str">
            <v>B558296/A</v>
          </cell>
          <cell r="B2268" t="str">
            <v>RH10276M342</v>
          </cell>
          <cell r="C2268">
            <v>10</v>
          </cell>
          <cell r="D2268">
            <v>745.68</v>
          </cell>
          <cell r="E2268">
            <v>7456.7999999999993</v>
          </cell>
          <cell r="F2268" t="str">
            <v>P05</v>
          </cell>
          <cell r="G2268" t="str">
            <v>back rail - Đố hậu</v>
          </cell>
          <cell r="H2268" t="str">
            <v>Wood Rubber Laminate Board - 20 x 1220 x 2440mm, Veneer Poplar both Faces</v>
          </cell>
          <cell r="I2268">
            <v>10</v>
          </cell>
        </row>
        <row r="2269">
          <cell r="A2269" t="str">
            <v>B558296/A</v>
          </cell>
          <cell r="B2269" t="str">
            <v>RH10276M342</v>
          </cell>
          <cell r="C2269">
            <v>10</v>
          </cell>
          <cell r="D2269">
            <v>745.68</v>
          </cell>
          <cell r="E2269">
            <v>7456.7999999999993</v>
          </cell>
          <cell r="F2269" t="str">
            <v>P06</v>
          </cell>
          <cell r="G2269" t="str">
            <v>Bottom panel - Ván đáy</v>
          </cell>
          <cell r="H2269" t="str">
            <v>MDF - 15 x 1220 x 2440mm, Veneer Okoume 0.3mm Both Faces [CARB P2 Compliant]</v>
          </cell>
          <cell r="I2269">
            <v>10</v>
          </cell>
        </row>
        <row r="2270">
          <cell r="A2270" t="str">
            <v>B558296/A</v>
          </cell>
          <cell r="B2270" t="str">
            <v>RH10276M342</v>
          </cell>
          <cell r="C2270">
            <v>10</v>
          </cell>
          <cell r="D2270">
            <v>745.68</v>
          </cell>
          <cell r="E2270">
            <v>7456.7999999999993</v>
          </cell>
          <cell r="F2270" t="str">
            <v>P07</v>
          </cell>
          <cell r="G2270" t="str">
            <v>Insert Wood - Gỗ chèn</v>
          </cell>
          <cell r="H2270" t="str">
            <v>Beech off cut</v>
          </cell>
          <cell r="I2270">
            <v>40</v>
          </cell>
        </row>
        <row r="2271">
          <cell r="A2271" t="str">
            <v>B558296/A</v>
          </cell>
          <cell r="B2271" t="str">
            <v>RH10276M342</v>
          </cell>
          <cell r="C2271">
            <v>10</v>
          </cell>
          <cell r="D2271">
            <v>745.68</v>
          </cell>
          <cell r="E2271">
            <v>7456.7999999999993</v>
          </cell>
          <cell r="F2271" t="str">
            <v>P08</v>
          </cell>
          <cell r="G2271" t="str">
            <v>Back bottom rail - Đố hậu đáy</v>
          </cell>
          <cell r="H2271" t="str">
            <v>Wood Rubber Laminate Board - 20 x 1220 x 2440mm, Veneer Poplar both Faces</v>
          </cell>
          <cell r="I2271">
            <v>10</v>
          </cell>
        </row>
        <row r="2272">
          <cell r="A2272" t="str">
            <v>B558296/A</v>
          </cell>
          <cell r="B2272" t="str">
            <v>RH10276M342</v>
          </cell>
          <cell r="C2272">
            <v>10</v>
          </cell>
          <cell r="D2272">
            <v>745.68</v>
          </cell>
          <cell r="E2272">
            <v>7456.7999999999993</v>
          </cell>
          <cell r="F2272" t="str">
            <v>P09</v>
          </cell>
          <cell r="G2272" t="str">
            <v>Top rail - Đố nóc</v>
          </cell>
          <cell r="H2272" t="str">
            <v>Wood Rubber Laminate Board - 20 x 1220 x 2440mm, Veneer Poplar both Faces</v>
          </cell>
          <cell r="I2272">
            <v>10</v>
          </cell>
        </row>
        <row r="2273">
          <cell r="A2273" t="str">
            <v>B558296/A</v>
          </cell>
          <cell r="B2273" t="str">
            <v>RH10276M342</v>
          </cell>
          <cell r="C2273">
            <v>10</v>
          </cell>
          <cell r="D2273">
            <v>745.68</v>
          </cell>
          <cell r="E2273">
            <v>7456.7999999999993</v>
          </cell>
          <cell r="F2273" t="str">
            <v>P11</v>
          </cell>
          <cell r="G2273" t="str">
            <v>Cleat - Bọ gỗ</v>
          </cell>
          <cell r="H2273" t="str">
            <v>Wood Rubber Laminate Board - 20 x 1220 x 2440mm, Veneer Poplar both Faces</v>
          </cell>
          <cell r="I2273">
            <v>20</v>
          </cell>
        </row>
        <row r="2274">
          <cell r="A2274" t="str">
            <v>B558296/A</v>
          </cell>
          <cell r="B2274" t="str">
            <v>RH10276M342</v>
          </cell>
          <cell r="C2274">
            <v>10</v>
          </cell>
          <cell r="D2274">
            <v>745.68</v>
          </cell>
          <cell r="E2274">
            <v>7456.7999999999993</v>
          </cell>
          <cell r="F2274" t="str">
            <v>P12</v>
          </cell>
          <cell r="G2274" t="str">
            <v>Cleat - Bọ gỗ</v>
          </cell>
          <cell r="H2274" t="str">
            <v>Rubber board off cut</v>
          </cell>
          <cell r="I2274">
            <v>40</v>
          </cell>
        </row>
        <row r="2275">
          <cell r="A2275" t="str">
            <v>B558298/A</v>
          </cell>
          <cell r="B2275" t="str">
            <v>RH10277M342</v>
          </cell>
          <cell r="C2275">
            <v>11</v>
          </cell>
          <cell r="D2275">
            <v>773.53</v>
          </cell>
          <cell r="E2275">
            <v>8508.83</v>
          </cell>
          <cell r="F2275" t="str">
            <v>A1-S01</v>
          </cell>
          <cell r="G2275" t="str">
            <v xml:space="preserve">Drawer front - Mặt hộc kéo </v>
          </cell>
          <cell r="H2275" t="str">
            <v>MDF Veneer</v>
          </cell>
          <cell r="I2275">
            <v>22</v>
          </cell>
        </row>
        <row r="2276">
          <cell r="A2276" t="str">
            <v>B558298/A</v>
          </cell>
          <cell r="B2276" t="str">
            <v>RH10277M342</v>
          </cell>
          <cell r="C2276">
            <v>11</v>
          </cell>
          <cell r="D2276">
            <v>773.53</v>
          </cell>
          <cell r="E2276">
            <v>8508.83</v>
          </cell>
          <cell r="F2276" t="str">
            <v>A1-S02</v>
          </cell>
          <cell r="G2276" t="str">
            <v xml:space="preserve">Drawer front 1 - Mặt hộc kéo </v>
          </cell>
          <cell r="H2276" t="str">
            <v>MDF Veneer</v>
          </cell>
          <cell r="I2276">
            <v>22</v>
          </cell>
        </row>
        <row r="2277">
          <cell r="A2277" t="str">
            <v>B558298/A</v>
          </cell>
          <cell r="B2277" t="str">
            <v>RH10277M342</v>
          </cell>
          <cell r="C2277">
            <v>11</v>
          </cell>
          <cell r="D2277">
            <v>773.53</v>
          </cell>
          <cell r="E2277">
            <v>8508.83</v>
          </cell>
          <cell r="F2277" t="str">
            <v>A1-S03</v>
          </cell>
          <cell r="G2277" t="str">
            <v>Drawer side - Hông hộc kéo</v>
          </cell>
          <cell r="H2277" t="str">
            <v>MDF Veneer</v>
          </cell>
          <cell r="I2277">
            <v>44</v>
          </cell>
        </row>
        <row r="2278">
          <cell r="A2278" t="str">
            <v>B558298/A</v>
          </cell>
          <cell r="B2278" t="str">
            <v>RH10277M342</v>
          </cell>
          <cell r="C2278">
            <v>11</v>
          </cell>
          <cell r="D2278">
            <v>773.53</v>
          </cell>
          <cell r="E2278">
            <v>8508.83</v>
          </cell>
          <cell r="F2278" t="str">
            <v>A1-S04</v>
          </cell>
          <cell r="G2278" t="str">
            <v>Drawer back - Hậu hộc kéo</v>
          </cell>
          <cell r="H2278" t="str">
            <v>MDF Veneer</v>
          </cell>
          <cell r="I2278">
            <v>22</v>
          </cell>
        </row>
        <row r="2279">
          <cell r="A2279" t="str">
            <v>B558298/A</v>
          </cell>
          <cell r="B2279" t="str">
            <v>RH10277M342</v>
          </cell>
          <cell r="C2279">
            <v>11</v>
          </cell>
          <cell r="D2279">
            <v>773.53</v>
          </cell>
          <cell r="E2279">
            <v>8508.83</v>
          </cell>
          <cell r="F2279" t="str">
            <v>A1-S05</v>
          </cell>
          <cell r="G2279" t="str">
            <v>Drawer bottom  - Đáy hộc kéo</v>
          </cell>
          <cell r="H2279" t="str">
            <v>MDF Veneer</v>
          </cell>
          <cell r="I2279">
            <v>22</v>
          </cell>
        </row>
        <row r="2280">
          <cell r="A2280" t="str">
            <v>B558298/A</v>
          </cell>
          <cell r="B2280" t="str">
            <v>RH10277M342</v>
          </cell>
          <cell r="C2280">
            <v>11</v>
          </cell>
          <cell r="D2280">
            <v>773.53</v>
          </cell>
          <cell r="E2280">
            <v>8508.83</v>
          </cell>
          <cell r="F2280" t="str">
            <v>A2-S01</v>
          </cell>
          <cell r="G2280" t="str">
            <v xml:space="preserve">Side panel left  - Ván hông trái </v>
          </cell>
          <cell r="H2280" t="str">
            <v>MDF Veneer</v>
          </cell>
          <cell r="I2280">
            <v>11</v>
          </cell>
        </row>
        <row r="2281">
          <cell r="A2281" t="str">
            <v>B558298/A</v>
          </cell>
          <cell r="B2281" t="str">
            <v>RH10277M342</v>
          </cell>
          <cell r="C2281">
            <v>11</v>
          </cell>
          <cell r="D2281">
            <v>773.53</v>
          </cell>
          <cell r="E2281">
            <v>8508.83</v>
          </cell>
          <cell r="F2281" t="str">
            <v>A2-S01-1</v>
          </cell>
          <cell r="G2281" t="str">
            <v>Insert Wood - Gỗ chèn</v>
          </cell>
          <cell r="H2281" t="str">
            <v>Beech off cut</v>
          </cell>
          <cell r="I2281">
            <v>44</v>
          </cell>
        </row>
        <row r="2282">
          <cell r="A2282" t="str">
            <v>B558298/A</v>
          </cell>
          <cell r="B2282" t="str">
            <v>RH10277M342</v>
          </cell>
          <cell r="C2282">
            <v>11</v>
          </cell>
          <cell r="D2282">
            <v>773.53</v>
          </cell>
          <cell r="E2282">
            <v>8508.83</v>
          </cell>
          <cell r="F2282" t="str">
            <v>A2-S02</v>
          </cell>
          <cell r="G2282" t="str">
            <v xml:space="preserve">Side rail  - Đố hông </v>
          </cell>
          <cell r="H2282" t="str">
            <v>Plywood LVD - 18 x 1220 x 2440mm, Bleached Poplar Veneer Both Sides [CARB P2 Compliant]</v>
          </cell>
          <cell r="I2282">
            <v>44</v>
          </cell>
        </row>
        <row r="2283">
          <cell r="A2283" t="str">
            <v>B558298/A</v>
          </cell>
          <cell r="B2283" t="str">
            <v>RH10277M342</v>
          </cell>
          <cell r="C2283">
            <v>11</v>
          </cell>
          <cell r="D2283">
            <v>773.53</v>
          </cell>
          <cell r="E2283">
            <v>8508.83</v>
          </cell>
          <cell r="F2283" t="str">
            <v>A3-S01</v>
          </cell>
          <cell r="G2283" t="str">
            <v xml:space="preserve">Side panel right  - Ván hông phải </v>
          </cell>
          <cell r="H2283" t="str">
            <v>MDF Veneer</v>
          </cell>
          <cell r="I2283">
            <v>11</v>
          </cell>
        </row>
        <row r="2284">
          <cell r="A2284" t="str">
            <v>B558298/A</v>
          </cell>
          <cell r="B2284" t="str">
            <v>RH10277M342</v>
          </cell>
          <cell r="C2284">
            <v>11</v>
          </cell>
          <cell r="D2284">
            <v>773.53</v>
          </cell>
          <cell r="E2284">
            <v>8508.83</v>
          </cell>
          <cell r="F2284" t="str">
            <v>P0</v>
          </cell>
          <cell r="G2284" t="str">
            <v>VN - Veneer</v>
          </cell>
          <cell r="H2284" t="str">
            <v>Veneer laminate</v>
          </cell>
          <cell r="I2284">
            <v>11</v>
          </cell>
        </row>
        <row r="2285">
          <cell r="A2285" t="str">
            <v>B558298/A</v>
          </cell>
          <cell r="B2285" t="str">
            <v>RH10277M342</v>
          </cell>
          <cell r="C2285">
            <v>11</v>
          </cell>
          <cell r="D2285">
            <v>773.53</v>
          </cell>
          <cell r="E2285">
            <v>8508.83</v>
          </cell>
          <cell r="F2285" t="str">
            <v>P01</v>
          </cell>
          <cell r="G2285" t="str">
            <v xml:space="preserve">Top panel  - Ván nóc </v>
          </cell>
          <cell r="H2285" t="str">
            <v>MDF Veneer</v>
          </cell>
          <cell r="I2285">
            <v>11</v>
          </cell>
        </row>
        <row r="2286">
          <cell r="A2286" t="str">
            <v>B558298/A</v>
          </cell>
          <cell r="B2286" t="str">
            <v>RH10277M342</v>
          </cell>
          <cell r="C2286">
            <v>11</v>
          </cell>
          <cell r="D2286">
            <v>773.53</v>
          </cell>
          <cell r="E2286">
            <v>8508.83</v>
          </cell>
          <cell r="F2286" t="str">
            <v>P03</v>
          </cell>
          <cell r="G2286" t="str">
            <v>Back panel - Ván hậu</v>
          </cell>
          <cell r="H2286" t="str">
            <v>MDF - 06 x 1220 x 2440mm, Veneer Okoume 0.3mm Both Faces [CARB P2 Compliant]</v>
          </cell>
          <cell r="I2286">
            <v>11</v>
          </cell>
        </row>
        <row r="2287">
          <cell r="A2287" t="str">
            <v>B558298/A</v>
          </cell>
          <cell r="B2287" t="str">
            <v>RH10277M342</v>
          </cell>
          <cell r="C2287">
            <v>11</v>
          </cell>
          <cell r="D2287">
            <v>773.53</v>
          </cell>
          <cell r="E2287">
            <v>8508.83</v>
          </cell>
          <cell r="F2287" t="str">
            <v>P04</v>
          </cell>
          <cell r="G2287" t="str">
            <v>Center rail - Đố giữa</v>
          </cell>
          <cell r="H2287" t="str">
            <v>Wood Rubber Laminate Board - 20 x 1220 x 2440mm, Veneer Poplar both Faces</v>
          </cell>
          <cell r="I2287">
            <v>11</v>
          </cell>
        </row>
        <row r="2288">
          <cell r="A2288" t="str">
            <v>B558298/A</v>
          </cell>
          <cell r="B2288" t="str">
            <v>RH10277M342</v>
          </cell>
          <cell r="C2288">
            <v>11</v>
          </cell>
          <cell r="D2288">
            <v>773.53</v>
          </cell>
          <cell r="E2288">
            <v>8508.83</v>
          </cell>
          <cell r="F2288" t="str">
            <v>P05</v>
          </cell>
          <cell r="G2288" t="str">
            <v>back rail - Đố hậu</v>
          </cell>
          <cell r="H2288" t="str">
            <v>Wood Rubber Laminate Board - 20 x 1220 x 2440mm, Veneer Poplar both Faces</v>
          </cell>
          <cell r="I2288">
            <v>11</v>
          </cell>
        </row>
        <row r="2289">
          <cell r="A2289" t="str">
            <v>B558298/A</v>
          </cell>
          <cell r="B2289" t="str">
            <v>RH10277M342</v>
          </cell>
          <cell r="C2289">
            <v>11</v>
          </cell>
          <cell r="D2289">
            <v>773.53</v>
          </cell>
          <cell r="E2289">
            <v>8508.83</v>
          </cell>
          <cell r="F2289" t="str">
            <v>P06</v>
          </cell>
          <cell r="G2289" t="str">
            <v>Bottom panel - Ván đáy</v>
          </cell>
          <cell r="H2289" t="str">
            <v>MDF - 15 x 1220 x 2440mm, Veneer Okoume 0.3mm Both Faces [CARB P2 Compliant]</v>
          </cell>
          <cell r="I2289">
            <v>11</v>
          </cell>
        </row>
        <row r="2290">
          <cell r="A2290" t="str">
            <v>B558298/A</v>
          </cell>
          <cell r="B2290" t="str">
            <v>RH10277M342</v>
          </cell>
          <cell r="C2290">
            <v>11</v>
          </cell>
          <cell r="D2290">
            <v>773.53</v>
          </cell>
          <cell r="E2290">
            <v>8508.83</v>
          </cell>
          <cell r="F2290" t="str">
            <v>P07</v>
          </cell>
          <cell r="G2290" t="str">
            <v>Insert Wood - Gỗ chèn</v>
          </cell>
          <cell r="H2290" t="str">
            <v>Beech off cut</v>
          </cell>
          <cell r="I2290">
            <v>44</v>
          </cell>
        </row>
        <row r="2291">
          <cell r="A2291" t="str">
            <v>B558298/A</v>
          </cell>
          <cell r="B2291" t="str">
            <v>RH10277M342</v>
          </cell>
          <cell r="C2291">
            <v>11</v>
          </cell>
          <cell r="D2291">
            <v>773.53</v>
          </cell>
          <cell r="E2291">
            <v>8508.83</v>
          </cell>
          <cell r="F2291" t="str">
            <v>P08</v>
          </cell>
          <cell r="G2291" t="str">
            <v>Back bottom rail - Đố hậu đáy</v>
          </cell>
          <cell r="H2291" t="str">
            <v>Wood Rubber Laminate Board - 20 x 1220 x 2440mm, Veneer Poplar both Faces</v>
          </cell>
          <cell r="I2291">
            <v>11</v>
          </cell>
        </row>
        <row r="2292">
          <cell r="A2292" t="str">
            <v>B558298/A</v>
          </cell>
          <cell r="B2292" t="str">
            <v>RH10277M342</v>
          </cell>
          <cell r="C2292">
            <v>11</v>
          </cell>
          <cell r="D2292">
            <v>773.53</v>
          </cell>
          <cell r="E2292">
            <v>8508.83</v>
          </cell>
          <cell r="F2292" t="str">
            <v>P09</v>
          </cell>
          <cell r="G2292" t="str">
            <v>Top rail - Đố nóc</v>
          </cell>
          <cell r="H2292" t="str">
            <v>Wood Rubber Laminate Board - 20 x 1220 x 2440mm, Veneer Poplar both Faces</v>
          </cell>
          <cell r="I2292">
            <v>11</v>
          </cell>
        </row>
        <row r="2293">
          <cell r="A2293" t="str">
            <v>B558298/A</v>
          </cell>
          <cell r="B2293" t="str">
            <v>RH10277M342</v>
          </cell>
          <cell r="C2293">
            <v>11</v>
          </cell>
          <cell r="D2293">
            <v>773.53</v>
          </cell>
          <cell r="E2293">
            <v>8508.83</v>
          </cell>
          <cell r="F2293" t="str">
            <v>P11</v>
          </cell>
          <cell r="G2293" t="str">
            <v>Cleat - Bọ gỗ</v>
          </cell>
          <cell r="H2293" t="str">
            <v>Wood Rubber Laminate Board - 20 x 1220 x 2440mm, Veneer Poplar both Faces</v>
          </cell>
          <cell r="I2293">
            <v>22</v>
          </cell>
        </row>
        <row r="2294">
          <cell r="A2294" t="str">
            <v>B558298/A</v>
          </cell>
          <cell r="B2294" t="str">
            <v>RH10277M342</v>
          </cell>
          <cell r="C2294">
            <v>11</v>
          </cell>
          <cell r="D2294">
            <v>773.53</v>
          </cell>
          <cell r="E2294">
            <v>8508.83</v>
          </cell>
          <cell r="F2294" t="str">
            <v>P12</v>
          </cell>
          <cell r="G2294" t="str">
            <v>Cleat - Bọ gỗ</v>
          </cell>
          <cell r="H2294" t="str">
            <v>Rubber board off cut</v>
          </cell>
          <cell r="I2294">
            <v>44</v>
          </cell>
        </row>
        <row r="2295">
          <cell r="A2295" t="str">
            <v>B558300/A</v>
          </cell>
          <cell r="B2295" t="str">
            <v>RH10278M342</v>
          </cell>
          <cell r="C2295">
            <v>16</v>
          </cell>
          <cell r="D2295">
            <v>775.53</v>
          </cell>
          <cell r="E2295">
            <v>12408.48</v>
          </cell>
          <cell r="F2295" t="str">
            <v>A1-S01</v>
          </cell>
          <cell r="G2295" t="str">
            <v xml:space="preserve">Drawer front - Mặt hộc kéo </v>
          </cell>
          <cell r="H2295" t="str">
            <v>MDF Veneer</v>
          </cell>
          <cell r="I2295">
            <v>32</v>
          </cell>
        </row>
        <row r="2296">
          <cell r="A2296" t="str">
            <v>B558300/A</v>
          </cell>
          <cell r="B2296" t="str">
            <v>RH10278M342</v>
          </cell>
          <cell r="C2296">
            <v>16</v>
          </cell>
          <cell r="D2296">
            <v>775.53</v>
          </cell>
          <cell r="E2296">
            <v>12408.48</v>
          </cell>
          <cell r="F2296" t="str">
            <v>A1-S02</v>
          </cell>
          <cell r="G2296" t="str">
            <v xml:space="preserve">Drawer front 1 - Mặt hộc kéo </v>
          </cell>
          <cell r="H2296" t="str">
            <v>MDF Veneer</v>
          </cell>
          <cell r="I2296">
            <v>32</v>
          </cell>
        </row>
        <row r="2297">
          <cell r="A2297" t="str">
            <v>B558300/A</v>
          </cell>
          <cell r="B2297" t="str">
            <v>RH10278M342</v>
          </cell>
          <cell r="C2297">
            <v>16</v>
          </cell>
          <cell r="D2297">
            <v>775.53</v>
          </cell>
          <cell r="E2297">
            <v>12408.48</v>
          </cell>
          <cell r="F2297" t="str">
            <v>A1-S03</v>
          </cell>
          <cell r="G2297" t="str">
            <v>Drawer side - Hông hộc kéo</v>
          </cell>
          <cell r="H2297" t="str">
            <v>MDF Veneer</v>
          </cell>
          <cell r="I2297">
            <v>64</v>
          </cell>
        </row>
        <row r="2298">
          <cell r="A2298" t="str">
            <v>B558300/A</v>
          </cell>
          <cell r="B2298" t="str">
            <v>RH10278M342</v>
          </cell>
          <cell r="C2298">
            <v>16</v>
          </cell>
          <cell r="D2298">
            <v>775.53</v>
          </cell>
          <cell r="E2298">
            <v>12408.48</v>
          </cell>
          <cell r="F2298" t="str">
            <v>A1-S04</v>
          </cell>
          <cell r="G2298" t="str">
            <v>Drawer back - Hậu hộc kéo</v>
          </cell>
          <cell r="H2298" t="str">
            <v>MDF Veneer</v>
          </cell>
          <cell r="I2298">
            <v>32</v>
          </cell>
        </row>
        <row r="2299">
          <cell r="A2299" t="str">
            <v>B558300/A</v>
          </cell>
          <cell r="B2299" t="str">
            <v>RH10278M342</v>
          </cell>
          <cell r="C2299">
            <v>16</v>
          </cell>
          <cell r="D2299">
            <v>775.53</v>
          </cell>
          <cell r="E2299">
            <v>12408.48</v>
          </cell>
          <cell r="F2299" t="str">
            <v>A1-S05</v>
          </cell>
          <cell r="G2299" t="str">
            <v>Drawer bottom  - Đáy hộc kéo</v>
          </cell>
          <cell r="H2299" t="str">
            <v>MDF Veneer</v>
          </cell>
          <cell r="I2299">
            <v>32</v>
          </cell>
        </row>
        <row r="2300">
          <cell r="A2300" t="str">
            <v>B558300/A</v>
          </cell>
          <cell r="B2300" t="str">
            <v>RH10278M342</v>
          </cell>
          <cell r="C2300">
            <v>16</v>
          </cell>
          <cell r="D2300">
            <v>775.53</v>
          </cell>
          <cell r="E2300">
            <v>12408.48</v>
          </cell>
          <cell r="F2300" t="str">
            <v>A2-S01</v>
          </cell>
          <cell r="G2300" t="str">
            <v xml:space="preserve">Side panel left  - Ván hông trái </v>
          </cell>
          <cell r="H2300" t="str">
            <v>MDF Veneer</v>
          </cell>
          <cell r="I2300">
            <v>16</v>
          </cell>
        </row>
        <row r="2301">
          <cell r="A2301" t="str">
            <v>B558300/A</v>
          </cell>
          <cell r="B2301" t="str">
            <v>RH10278M342</v>
          </cell>
          <cell r="C2301">
            <v>16</v>
          </cell>
          <cell r="D2301">
            <v>775.53</v>
          </cell>
          <cell r="E2301">
            <v>12408.48</v>
          </cell>
          <cell r="F2301" t="str">
            <v>A2-S01-1</v>
          </cell>
          <cell r="G2301" t="str">
            <v>Insert Wood - Gỗ chèn</v>
          </cell>
          <cell r="H2301" t="str">
            <v>Beech off cut</v>
          </cell>
          <cell r="I2301">
            <v>64</v>
          </cell>
        </row>
        <row r="2302">
          <cell r="A2302" t="str">
            <v>B558300/A</v>
          </cell>
          <cell r="B2302" t="str">
            <v>RH10278M342</v>
          </cell>
          <cell r="C2302">
            <v>16</v>
          </cell>
          <cell r="D2302">
            <v>775.53</v>
          </cell>
          <cell r="E2302">
            <v>12408.48</v>
          </cell>
          <cell r="F2302" t="str">
            <v>A2-S02</v>
          </cell>
          <cell r="G2302" t="str">
            <v xml:space="preserve">Side rail  - Đố hông </v>
          </cell>
          <cell r="H2302" t="str">
            <v>Plywood LVD - 18 x 1220 x 2440mm, Bleached Poplar Veneer Both Sides [CARB P2 Compliant]</v>
          </cell>
          <cell r="I2302">
            <v>64</v>
          </cell>
        </row>
        <row r="2303">
          <cell r="A2303" t="str">
            <v>B558300/A</v>
          </cell>
          <cell r="B2303" t="str">
            <v>RH10278M342</v>
          </cell>
          <cell r="C2303">
            <v>16</v>
          </cell>
          <cell r="D2303">
            <v>775.53</v>
          </cell>
          <cell r="E2303">
            <v>12408.48</v>
          </cell>
          <cell r="F2303" t="str">
            <v>A3-S01</v>
          </cell>
          <cell r="G2303" t="str">
            <v xml:space="preserve">Side panel right  - Ván hông phải </v>
          </cell>
          <cell r="H2303" t="str">
            <v>MDF Veneer</v>
          </cell>
          <cell r="I2303">
            <v>16</v>
          </cell>
        </row>
        <row r="2304">
          <cell r="A2304" t="str">
            <v>B558300/A</v>
          </cell>
          <cell r="B2304" t="str">
            <v>RH10278M342</v>
          </cell>
          <cell r="C2304">
            <v>16</v>
          </cell>
          <cell r="D2304">
            <v>775.53</v>
          </cell>
          <cell r="E2304">
            <v>12408.48</v>
          </cell>
          <cell r="F2304" t="str">
            <v>P0</v>
          </cell>
          <cell r="G2304" t="str">
            <v>VN - Veneer</v>
          </cell>
          <cell r="H2304" t="str">
            <v>Veneer laminate</v>
          </cell>
          <cell r="I2304">
            <v>16</v>
          </cell>
        </row>
        <row r="2305">
          <cell r="A2305" t="str">
            <v>B558300/A</v>
          </cell>
          <cell r="B2305" t="str">
            <v>RH10278M342</v>
          </cell>
          <cell r="C2305">
            <v>16</v>
          </cell>
          <cell r="D2305">
            <v>775.53</v>
          </cell>
          <cell r="E2305">
            <v>12408.48</v>
          </cell>
          <cell r="F2305" t="str">
            <v>P01</v>
          </cell>
          <cell r="G2305" t="str">
            <v xml:space="preserve">Top panel  - Ván nóc </v>
          </cell>
          <cell r="H2305" t="str">
            <v>MDF Veneer</v>
          </cell>
          <cell r="I2305">
            <v>16</v>
          </cell>
        </row>
        <row r="2306">
          <cell r="A2306" t="str">
            <v>B558300/A</v>
          </cell>
          <cell r="B2306" t="str">
            <v>RH10278M342</v>
          </cell>
          <cell r="C2306">
            <v>16</v>
          </cell>
          <cell r="D2306">
            <v>775.53</v>
          </cell>
          <cell r="E2306">
            <v>12408.48</v>
          </cell>
          <cell r="F2306" t="str">
            <v>P03</v>
          </cell>
          <cell r="G2306" t="str">
            <v>Back panel - Ván hậu</v>
          </cell>
          <cell r="H2306" t="str">
            <v>MDF - 06 x 1220 x 2440mm, Veneer Okoume 0.3mm Both Faces [CARB P2 Compliant]</v>
          </cell>
          <cell r="I2306">
            <v>16</v>
          </cell>
        </row>
        <row r="2307">
          <cell r="A2307" t="str">
            <v>B558300/A</v>
          </cell>
          <cell r="B2307" t="str">
            <v>RH10278M342</v>
          </cell>
          <cell r="C2307">
            <v>16</v>
          </cell>
          <cell r="D2307">
            <v>775.53</v>
          </cell>
          <cell r="E2307">
            <v>12408.48</v>
          </cell>
          <cell r="F2307" t="str">
            <v>P04</v>
          </cell>
          <cell r="G2307" t="str">
            <v>Center rail - Đố giữa</v>
          </cell>
          <cell r="H2307" t="str">
            <v>Wood Rubber Laminate Board - 20 x 1220 x 2440mm, Veneer Poplar both Faces</v>
          </cell>
          <cell r="I2307">
            <v>16</v>
          </cell>
        </row>
        <row r="2308">
          <cell r="A2308" t="str">
            <v>B558300/A</v>
          </cell>
          <cell r="B2308" t="str">
            <v>RH10278M342</v>
          </cell>
          <cell r="C2308">
            <v>16</v>
          </cell>
          <cell r="D2308">
            <v>775.53</v>
          </cell>
          <cell r="E2308">
            <v>12408.48</v>
          </cell>
          <cell r="F2308" t="str">
            <v>P05</v>
          </cell>
          <cell r="G2308" t="str">
            <v>back rail - Đố hậu</v>
          </cell>
          <cell r="H2308" t="str">
            <v>Wood Rubber Laminate Board - 20 x 1220 x 2440mm, Veneer Poplar both Faces</v>
          </cell>
          <cell r="I2308">
            <v>16</v>
          </cell>
        </row>
        <row r="2309">
          <cell r="A2309" t="str">
            <v>B558300/A</v>
          </cell>
          <cell r="B2309" t="str">
            <v>RH10278M342</v>
          </cell>
          <cell r="C2309">
            <v>16</v>
          </cell>
          <cell r="D2309">
            <v>775.53</v>
          </cell>
          <cell r="E2309">
            <v>12408.48</v>
          </cell>
          <cell r="F2309" t="str">
            <v>P06</v>
          </cell>
          <cell r="G2309" t="str">
            <v>Bottom panel - Ván đáy</v>
          </cell>
          <cell r="H2309" t="str">
            <v>MDF - 15 x 1220 x 2440mm, Veneer Okoume 0.3mm Both Faces [CARB P2 Compliant]</v>
          </cell>
          <cell r="I2309">
            <v>16</v>
          </cell>
        </row>
        <row r="2310">
          <cell r="A2310" t="str">
            <v>B558300/A</v>
          </cell>
          <cell r="B2310" t="str">
            <v>RH10278M342</v>
          </cell>
          <cell r="C2310">
            <v>16</v>
          </cell>
          <cell r="D2310">
            <v>775.53</v>
          </cell>
          <cell r="E2310">
            <v>12408.48</v>
          </cell>
          <cell r="F2310" t="str">
            <v>P07</v>
          </cell>
          <cell r="G2310" t="str">
            <v>Insert Wood - Gỗ chèn</v>
          </cell>
          <cell r="H2310" t="str">
            <v>Beech off cut</v>
          </cell>
          <cell r="I2310">
            <v>64</v>
          </cell>
        </row>
        <row r="2311">
          <cell r="A2311" t="str">
            <v>B558300/A</v>
          </cell>
          <cell r="B2311" t="str">
            <v>RH10278M342</v>
          </cell>
          <cell r="C2311">
            <v>16</v>
          </cell>
          <cell r="D2311">
            <v>775.53</v>
          </cell>
          <cell r="E2311">
            <v>12408.48</v>
          </cell>
          <cell r="F2311" t="str">
            <v>P08</v>
          </cell>
          <cell r="G2311" t="str">
            <v>Back bottom rail - Đố hậu đáy</v>
          </cell>
          <cell r="H2311" t="str">
            <v>Wood Rubber Laminate Board - 20 x 1220 x 2440mm, Veneer Poplar both Faces</v>
          </cell>
          <cell r="I2311">
            <v>16</v>
          </cell>
        </row>
        <row r="2312">
          <cell r="A2312" t="str">
            <v>B558300/A</v>
          </cell>
          <cell r="B2312" t="str">
            <v>RH10278M342</v>
          </cell>
          <cell r="C2312">
            <v>16</v>
          </cell>
          <cell r="D2312">
            <v>775.53</v>
          </cell>
          <cell r="E2312">
            <v>12408.48</v>
          </cell>
          <cell r="F2312" t="str">
            <v>P09</v>
          </cell>
          <cell r="G2312" t="str">
            <v>Top rail - Đố nóc</v>
          </cell>
          <cell r="H2312" t="str">
            <v>Wood Rubber Laminate Board - 20 x 1220 x 2440mm, Veneer Poplar both Faces</v>
          </cell>
          <cell r="I2312">
            <v>16</v>
          </cell>
        </row>
        <row r="2313">
          <cell r="A2313" t="str">
            <v>B558300/A</v>
          </cell>
          <cell r="B2313" t="str">
            <v>RH10278M342</v>
          </cell>
          <cell r="C2313">
            <v>16</v>
          </cell>
          <cell r="D2313">
            <v>775.53</v>
          </cell>
          <cell r="E2313">
            <v>12408.48</v>
          </cell>
          <cell r="F2313" t="str">
            <v>P11</v>
          </cell>
          <cell r="G2313" t="str">
            <v>Cleat - Bọ gỗ</v>
          </cell>
          <cell r="H2313" t="str">
            <v>Wood Rubber Laminate Board - 20 x 1220 x 2440mm, Veneer Poplar both Faces</v>
          </cell>
          <cell r="I2313">
            <v>32</v>
          </cell>
        </row>
        <row r="2314">
          <cell r="A2314" t="str">
            <v>B558300/A</v>
          </cell>
          <cell r="B2314" t="str">
            <v>RH10278M342</v>
          </cell>
          <cell r="C2314">
            <v>16</v>
          </cell>
          <cell r="D2314">
            <v>775.53</v>
          </cell>
          <cell r="E2314">
            <v>12408.48</v>
          </cell>
          <cell r="F2314" t="str">
            <v>P12</v>
          </cell>
          <cell r="G2314" t="str">
            <v>Cleat - Bọ gỗ</v>
          </cell>
          <cell r="H2314" t="str">
            <v>Rubber board off cut</v>
          </cell>
          <cell r="I2314">
            <v>64</v>
          </cell>
        </row>
        <row r="2315">
          <cell r="A2315" t="str">
            <v>B558302/A</v>
          </cell>
          <cell r="B2315" t="str">
            <v>RH1157NM26</v>
          </cell>
          <cell r="C2315">
            <v>1</v>
          </cell>
          <cell r="D2315">
            <v>724.67</v>
          </cell>
          <cell r="E2315">
            <v>724.67</v>
          </cell>
          <cell r="F2315" t="str">
            <v>A1</v>
          </cell>
          <cell r="G2315" t="str">
            <v>Adjustable Shelf  - Kệ di động</v>
          </cell>
          <cell r="H2315" t="str">
            <v>Pre-Assembly</v>
          </cell>
          <cell r="I2315">
            <v>2</v>
          </cell>
        </row>
        <row r="2316">
          <cell r="A2316" t="str">
            <v>B558302/A</v>
          </cell>
          <cell r="B2316" t="str">
            <v>RH1157NM26</v>
          </cell>
          <cell r="C2316">
            <v>1</v>
          </cell>
          <cell r="D2316">
            <v>724.67</v>
          </cell>
          <cell r="E2316">
            <v>724.67</v>
          </cell>
          <cell r="F2316" t="str">
            <v>A1-S1</v>
          </cell>
          <cell r="G2316" t="str">
            <v>Shelf panel  - Ván kệ</v>
          </cell>
          <cell r="H2316" t="str">
            <v>MDF Veneer</v>
          </cell>
          <cell r="I2316">
            <v>2</v>
          </cell>
        </row>
        <row r="2317">
          <cell r="A2317" t="str">
            <v>B558302/A</v>
          </cell>
          <cell r="B2317" t="str">
            <v>RH1157NM26</v>
          </cell>
          <cell r="C2317">
            <v>1</v>
          </cell>
          <cell r="D2317">
            <v>724.67</v>
          </cell>
          <cell r="E2317">
            <v>724.67</v>
          </cell>
          <cell r="F2317" t="str">
            <v>A1-S2</v>
          </cell>
          <cell r="G2317" t="str">
            <v>Shelf moulding - Chỉ đắp kệ</v>
          </cell>
          <cell r="H2317" t="str">
            <v>Wood US Poplar - Straight Edged, 2 COM - T32mm x W100mm Up x L1.8m Up</v>
          </cell>
          <cell r="I2317">
            <v>4</v>
          </cell>
        </row>
        <row r="2318">
          <cell r="A2318" t="str">
            <v>B558302/A</v>
          </cell>
          <cell r="B2318" t="str">
            <v>RH1157NM26</v>
          </cell>
          <cell r="C2318">
            <v>1</v>
          </cell>
          <cell r="D2318">
            <v>724.67</v>
          </cell>
          <cell r="E2318">
            <v>724.67</v>
          </cell>
          <cell r="F2318" t="str">
            <v>A2</v>
          </cell>
          <cell r="G2318" t="str">
            <v>Door Frame - Khung cửa</v>
          </cell>
          <cell r="H2318" t="str">
            <v>Pre-Assembly</v>
          </cell>
          <cell r="I2318">
            <v>2</v>
          </cell>
        </row>
        <row r="2319">
          <cell r="A2319" t="str">
            <v>B558302/A</v>
          </cell>
          <cell r="B2319" t="str">
            <v>RH1157NM26</v>
          </cell>
          <cell r="C2319">
            <v>1</v>
          </cell>
          <cell r="D2319">
            <v>724.67</v>
          </cell>
          <cell r="E2319">
            <v>724.67</v>
          </cell>
          <cell r="F2319" t="str">
            <v>A2-S01</v>
          </cell>
          <cell r="G2319" t="str">
            <v>Door Horizontal rail  - Đố cửa ngang</v>
          </cell>
          <cell r="H2319" t="str">
            <v>Wood US Poplar - Straight Edged, 2 COM - T32mm x W100mm Up x L1.8m Up</v>
          </cell>
          <cell r="I2319">
            <v>2</v>
          </cell>
        </row>
        <row r="2320">
          <cell r="A2320" t="str">
            <v>B558302/A</v>
          </cell>
          <cell r="B2320" t="str">
            <v>RH1157NM26</v>
          </cell>
          <cell r="C2320">
            <v>1</v>
          </cell>
          <cell r="D2320">
            <v>724.67</v>
          </cell>
          <cell r="E2320">
            <v>724.67</v>
          </cell>
          <cell r="F2320" t="str">
            <v>A2-S01-1</v>
          </cell>
          <cell r="G2320" t="str">
            <v>Door center rail  - Đố cửa giữa</v>
          </cell>
          <cell r="H2320" t="str">
            <v>Wood US Poplar - Straight Edged, 2 COM - T32mm x W100mm Up x L1.8m Up</v>
          </cell>
          <cell r="I2320">
            <v>2</v>
          </cell>
        </row>
        <row r="2321">
          <cell r="A2321" t="str">
            <v>B558302/A</v>
          </cell>
          <cell r="B2321" t="str">
            <v>RH1157NM26</v>
          </cell>
          <cell r="C2321">
            <v>1</v>
          </cell>
          <cell r="D2321">
            <v>724.67</v>
          </cell>
          <cell r="E2321">
            <v>724.67</v>
          </cell>
          <cell r="F2321" t="str">
            <v>A2-S02</v>
          </cell>
          <cell r="G2321" t="str">
            <v>Door vertical rail  - Đố cửa đứng</v>
          </cell>
          <cell r="H2321" t="str">
            <v>Wood US Poplar - Straight Edged, 2 COM - T32mm x W100mm Up x L1.8m Up</v>
          </cell>
          <cell r="I2321">
            <v>2</v>
          </cell>
        </row>
        <row r="2322">
          <cell r="A2322" t="str">
            <v>B558302/A</v>
          </cell>
          <cell r="B2322" t="str">
            <v>RH1157NM26</v>
          </cell>
          <cell r="C2322">
            <v>1</v>
          </cell>
          <cell r="D2322">
            <v>724.67</v>
          </cell>
          <cell r="E2322">
            <v>724.67</v>
          </cell>
          <cell r="F2322" t="str">
            <v>A2-S03</v>
          </cell>
          <cell r="G2322" t="str">
            <v>Door vertical rail  - Đố cửa đứng</v>
          </cell>
          <cell r="H2322" t="str">
            <v>Wood US Poplar - Straight Edged, 2 COM - T32mm x W100mm Up x L1.8m Up</v>
          </cell>
          <cell r="I2322">
            <v>1</v>
          </cell>
        </row>
        <row r="2323">
          <cell r="A2323" t="str">
            <v>B558302/A</v>
          </cell>
          <cell r="B2323" t="str">
            <v>RH1157NM26</v>
          </cell>
          <cell r="C2323">
            <v>1</v>
          </cell>
          <cell r="D2323">
            <v>724.67</v>
          </cell>
          <cell r="E2323">
            <v>724.67</v>
          </cell>
          <cell r="F2323" t="str">
            <v>A2-S03-1</v>
          </cell>
          <cell r="G2323" t="str">
            <v>Vertical rail 1 - Đố đứng 1</v>
          </cell>
          <cell r="H2323" t="str">
            <v>Wood US Poplar - Straight Edged, 2 COM - T32mm x W100mm Up x L1.8m Up</v>
          </cell>
          <cell r="I2323">
            <v>1</v>
          </cell>
        </row>
        <row r="2324">
          <cell r="A2324" t="str">
            <v>B558302/A</v>
          </cell>
          <cell r="B2324" t="str">
            <v>RH1157NM26</v>
          </cell>
          <cell r="C2324">
            <v>1</v>
          </cell>
          <cell r="D2324">
            <v>724.67</v>
          </cell>
          <cell r="E2324">
            <v>724.67</v>
          </cell>
          <cell r="F2324" t="str">
            <v>A2-S04</v>
          </cell>
          <cell r="G2324" t="str">
            <v>Door panel  - Ván cửa</v>
          </cell>
          <cell r="H2324" t="str">
            <v>MDF Veneer</v>
          </cell>
          <cell r="I2324">
            <v>2</v>
          </cell>
        </row>
        <row r="2325">
          <cell r="A2325" t="str">
            <v>B558302/A</v>
          </cell>
          <cell r="B2325" t="str">
            <v>RH1157NM26</v>
          </cell>
          <cell r="C2325">
            <v>1</v>
          </cell>
          <cell r="D2325">
            <v>724.67</v>
          </cell>
          <cell r="E2325">
            <v>724.67</v>
          </cell>
          <cell r="F2325" t="str">
            <v>A2-S05</v>
          </cell>
          <cell r="G2325" t="str">
            <v>Panel outside - Ván phía ngoài</v>
          </cell>
          <cell r="H2325" t="str">
            <v>MDF Veneer</v>
          </cell>
          <cell r="I2325">
            <v>2</v>
          </cell>
        </row>
        <row r="2326">
          <cell r="A2326" t="str">
            <v>B558302/A</v>
          </cell>
          <cell r="B2326" t="str">
            <v>RH1157NM26</v>
          </cell>
          <cell r="C2326">
            <v>1</v>
          </cell>
          <cell r="D2326">
            <v>724.67</v>
          </cell>
          <cell r="E2326">
            <v>724.67</v>
          </cell>
          <cell r="F2326" t="str">
            <v>A2-S06</v>
          </cell>
          <cell r="G2326" t="str">
            <v>Panel outside - Ván phía ngoài</v>
          </cell>
          <cell r="H2326" t="str">
            <v>MDF Veneer</v>
          </cell>
          <cell r="I2326">
            <v>2</v>
          </cell>
        </row>
        <row r="2327">
          <cell r="A2327" t="str">
            <v>B558302/A</v>
          </cell>
          <cell r="B2327" t="str">
            <v>RH1157NM26</v>
          </cell>
          <cell r="C2327">
            <v>1</v>
          </cell>
          <cell r="D2327">
            <v>724.67</v>
          </cell>
          <cell r="E2327">
            <v>724.67</v>
          </cell>
          <cell r="F2327" t="str">
            <v>A2-S07</v>
          </cell>
          <cell r="G2327" t="str">
            <v>Patching wood - Gỗ đắp</v>
          </cell>
          <cell r="H2327" t="str">
            <v>Wood US Poplar - Straight Edged, 2 COM - T32mm x W100mm Up x L1.8m Up</v>
          </cell>
          <cell r="I2327">
            <v>2</v>
          </cell>
        </row>
        <row r="2328">
          <cell r="A2328" t="str">
            <v>B558302/A</v>
          </cell>
          <cell r="B2328" t="str">
            <v>RH1157NM26</v>
          </cell>
          <cell r="C2328">
            <v>1</v>
          </cell>
          <cell r="D2328">
            <v>724.67</v>
          </cell>
          <cell r="E2328">
            <v>724.67</v>
          </cell>
          <cell r="F2328" t="str">
            <v>A2-S08</v>
          </cell>
          <cell r="G2328" t="str">
            <v>Insert Wood - Gỗ chèn</v>
          </cell>
          <cell r="H2328" t="str">
            <v>Wood US Poplar - Straight Edged, 2 COM - T25mm x W100mm Up x L1.8m Up</v>
          </cell>
          <cell r="I2328">
            <v>2</v>
          </cell>
        </row>
        <row r="2329">
          <cell r="A2329" t="str">
            <v>B558302/A</v>
          </cell>
          <cell r="B2329" t="str">
            <v>RH1157NM26</v>
          </cell>
          <cell r="C2329">
            <v>1</v>
          </cell>
          <cell r="D2329">
            <v>724.67</v>
          </cell>
          <cell r="E2329">
            <v>724.67</v>
          </cell>
          <cell r="F2329" t="str">
            <v>A2-S09</v>
          </cell>
          <cell r="G2329" t="str">
            <v>Front moulding  - Chỉ tiền</v>
          </cell>
          <cell r="H2329" t="str">
            <v>Wood US Poplar - Straight Edged, 2 COM - T38mm x W100mm Up x L1.8m Up</v>
          </cell>
          <cell r="I2329">
            <v>2</v>
          </cell>
        </row>
        <row r="2330">
          <cell r="A2330" t="str">
            <v>B558302/A</v>
          </cell>
          <cell r="B2330" t="str">
            <v>RH1157NM26</v>
          </cell>
          <cell r="C2330">
            <v>1</v>
          </cell>
          <cell r="D2330">
            <v>724.67</v>
          </cell>
          <cell r="E2330">
            <v>724.67</v>
          </cell>
          <cell r="F2330" t="str">
            <v>A2-S10</v>
          </cell>
          <cell r="G2330" t="str">
            <v>Front moulding  - Chỉ tiền</v>
          </cell>
          <cell r="H2330" t="str">
            <v>TRAM OFF CUT</v>
          </cell>
          <cell r="I2330">
            <v>4</v>
          </cell>
        </row>
        <row r="2331">
          <cell r="A2331" t="str">
            <v>B558302/A</v>
          </cell>
          <cell r="B2331" t="str">
            <v>RH1157NM26</v>
          </cell>
          <cell r="C2331">
            <v>1</v>
          </cell>
          <cell r="D2331">
            <v>724.67</v>
          </cell>
          <cell r="E2331">
            <v>724.67</v>
          </cell>
          <cell r="F2331" t="str">
            <v>A2-S11</v>
          </cell>
          <cell r="G2331" t="str">
            <v>Front moulding  - Chỉ tiền</v>
          </cell>
          <cell r="H2331" t="str">
            <v>TRAM OFF CUT</v>
          </cell>
          <cell r="I2331">
            <v>4</v>
          </cell>
        </row>
        <row r="2332">
          <cell r="A2332" t="str">
            <v>B558302/A</v>
          </cell>
          <cell r="B2332" t="str">
            <v>RH1157NM26</v>
          </cell>
          <cell r="C2332">
            <v>1</v>
          </cell>
          <cell r="D2332">
            <v>724.67</v>
          </cell>
          <cell r="E2332">
            <v>724.67</v>
          </cell>
          <cell r="F2332" t="str">
            <v>A2-S12</v>
          </cell>
          <cell r="G2332" t="str">
            <v>Front moulding  - Chỉ tiền</v>
          </cell>
          <cell r="H2332" t="str">
            <v>Wood US Poplar - Straight Edged, 2 COM - T38mm x W100mm Up x L1.8m Up</v>
          </cell>
          <cell r="I2332">
            <v>4</v>
          </cell>
        </row>
        <row r="2333">
          <cell r="A2333" t="str">
            <v>B558302/A</v>
          </cell>
          <cell r="B2333" t="str">
            <v>RH1157NM26</v>
          </cell>
          <cell r="C2333">
            <v>1</v>
          </cell>
          <cell r="D2333">
            <v>724.67</v>
          </cell>
          <cell r="E2333">
            <v>724.67</v>
          </cell>
          <cell r="F2333" t="str">
            <v>A2-S13</v>
          </cell>
          <cell r="G2333" t="str">
            <v>Front moulding  - Chỉ tiền</v>
          </cell>
          <cell r="H2333" t="str">
            <v>TRAM OFF CUT</v>
          </cell>
          <cell r="I2333">
            <v>4</v>
          </cell>
        </row>
        <row r="2334">
          <cell r="A2334" t="str">
            <v>B558302/A</v>
          </cell>
          <cell r="B2334" t="str">
            <v>RH1157NM26</v>
          </cell>
          <cell r="C2334">
            <v>1</v>
          </cell>
          <cell r="D2334">
            <v>724.67</v>
          </cell>
          <cell r="E2334">
            <v>724.67</v>
          </cell>
          <cell r="F2334" t="str">
            <v>A2-S14</v>
          </cell>
          <cell r="G2334" t="str">
            <v>Front moulding  - Chỉ tiền</v>
          </cell>
          <cell r="H2334" t="str">
            <v>TRAM OFF CUT</v>
          </cell>
          <cell r="I2334">
            <v>4</v>
          </cell>
        </row>
        <row r="2335">
          <cell r="A2335" t="str">
            <v>B558302/A</v>
          </cell>
          <cell r="B2335" t="str">
            <v>RH1157NM26</v>
          </cell>
          <cell r="C2335">
            <v>1</v>
          </cell>
          <cell r="D2335">
            <v>724.67</v>
          </cell>
          <cell r="E2335">
            <v>724.67</v>
          </cell>
          <cell r="F2335" t="str">
            <v>A2-S15</v>
          </cell>
          <cell r="G2335" t="str">
            <v>Front moulding  - Chỉ tiền</v>
          </cell>
          <cell r="H2335" t="str">
            <v>TRAM OFF CUT</v>
          </cell>
          <cell r="I2335">
            <v>4</v>
          </cell>
        </row>
        <row r="2336">
          <cell r="A2336" t="str">
            <v>B558302/A</v>
          </cell>
          <cell r="B2336" t="str">
            <v>RH1157NM26</v>
          </cell>
          <cell r="C2336">
            <v>1</v>
          </cell>
          <cell r="D2336">
            <v>724.67</v>
          </cell>
          <cell r="E2336">
            <v>724.67</v>
          </cell>
          <cell r="F2336" t="str">
            <v>A2-S16</v>
          </cell>
          <cell r="G2336" t="str">
            <v>Front moulding  - Chỉ tiền</v>
          </cell>
          <cell r="H2336" t="str">
            <v>TRAM OFF CUT</v>
          </cell>
          <cell r="I2336">
            <v>4</v>
          </cell>
        </row>
        <row r="2337">
          <cell r="A2337" t="str">
            <v>B558302/A</v>
          </cell>
          <cell r="B2337" t="str">
            <v>RH1157NM26</v>
          </cell>
          <cell r="C2337">
            <v>1</v>
          </cell>
          <cell r="D2337">
            <v>724.67</v>
          </cell>
          <cell r="E2337">
            <v>724.67</v>
          </cell>
          <cell r="F2337" t="str">
            <v>A2-S17</v>
          </cell>
          <cell r="G2337" t="str">
            <v>Front moulding  - Chỉ tiền</v>
          </cell>
          <cell r="H2337" t="str">
            <v>Wood US Poplar - Straight Edged, 2 COM - T38mm x W100mm Up x L1.8m Up</v>
          </cell>
          <cell r="I2337">
            <v>4</v>
          </cell>
        </row>
        <row r="2338">
          <cell r="A2338" t="str">
            <v>B558302/A</v>
          </cell>
          <cell r="B2338" t="str">
            <v>RH1157NM26</v>
          </cell>
          <cell r="C2338">
            <v>1</v>
          </cell>
          <cell r="D2338">
            <v>724.67</v>
          </cell>
          <cell r="E2338">
            <v>724.67</v>
          </cell>
          <cell r="F2338" t="str">
            <v>A2-S18</v>
          </cell>
          <cell r="G2338" t="str">
            <v>Front moulding  - Chỉ tiền</v>
          </cell>
          <cell r="H2338" t="str">
            <v>TRAM OFF CUT</v>
          </cell>
          <cell r="I2338">
            <v>4</v>
          </cell>
        </row>
        <row r="2339">
          <cell r="A2339" t="str">
            <v>B558302/A</v>
          </cell>
          <cell r="B2339" t="str">
            <v>RH1157NM26</v>
          </cell>
          <cell r="C2339">
            <v>1</v>
          </cell>
          <cell r="D2339">
            <v>724.67</v>
          </cell>
          <cell r="E2339">
            <v>724.67</v>
          </cell>
          <cell r="F2339" t="str">
            <v>A2-S21</v>
          </cell>
          <cell r="G2339" t="str">
            <v>Front moulding  - Chỉ tiền</v>
          </cell>
          <cell r="H2339" t="str">
            <v>Wood US Poplar - Straight Edged, 2 COM - T38mm x W100mm Up x L1.8m Up</v>
          </cell>
          <cell r="I2339">
            <v>4</v>
          </cell>
        </row>
        <row r="2340">
          <cell r="A2340" t="str">
            <v>B558302/A</v>
          </cell>
          <cell r="B2340" t="str">
            <v>RH1157NM26</v>
          </cell>
          <cell r="C2340">
            <v>1</v>
          </cell>
          <cell r="D2340">
            <v>724.67</v>
          </cell>
          <cell r="E2340">
            <v>724.67</v>
          </cell>
          <cell r="F2340" t="str">
            <v>A2-S22</v>
          </cell>
          <cell r="G2340" t="str">
            <v>Patching wood - Gỗ đắp</v>
          </cell>
          <cell r="H2340" t="str">
            <v>Wood US Poplar - Straight Edged, 2 COM - T38mm x W100mm Up x L1.8m Up</v>
          </cell>
          <cell r="I2340">
            <v>2</v>
          </cell>
        </row>
        <row r="2341">
          <cell r="A2341" t="str">
            <v>B558302/A</v>
          </cell>
          <cell r="B2341" t="str">
            <v>RH1157NM26</v>
          </cell>
          <cell r="C2341">
            <v>1</v>
          </cell>
          <cell r="D2341">
            <v>724.67</v>
          </cell>
          <cell r="E2341">
            <v>724.67</v>
          </cell>
          <cell r="F2341" t="str">
            <v>A2-S22-1</v>
          </cell>
          <cell r="G2341" t="str">
            <v>Front moulding  - Chỉ tiền</v>
          </cell>
          <cell r="H2341" t="str">
            <v>Wood US Poplar - Straight Edged, 2 COM - T25mm x W100mm Up x L1.8m Up</v>
          </cell>
          <cell r="I2341">
            <v>8</v>
          </cell>
        </row>
        <row r="2342">
          <cell r="A2342" t="str">
            <v>B558302/A</v>
          </cell>
          <cell r="B2342" t="str">
            <v>RH1157NM26</v>
          </cell>
          <cell r="C2342">
            <v>1</v>
          </cell>
          <cell r="D2342">
            <v>724.67</v>
          </cell>
          <cell r="E2342">
            <v>724.67</v>
          </cell>
          <cell r="F2342" t="str">
            <v>A2-S23</v>
          </cell>
          <cell r="G2342" t="str">
            <v>Front moulding  - Chỉ tiền</v>
          </cell>
          <cell r="H2342" t="str">
            <v>Wood US Poplar - Straight Edged, 2 COM - T38mm x W100mm Up x L1.8m Up</v>
          </cell>
          <cell r="I2342">
            <v>2</v>
          </cell>
        </row>
        <row r="2343">
          <cell r="A2343" t="str">
            <v>B558302/A</v>
          </cell>
          <cell r="B2343" t="str">
            <v>RH1157NM26</v>
          </cell>
          <cell r="C2343">
            <v>1</v>
          </cell>
          <cell r="D2343">
            <v>724.67</v>
          </cell>
          <cell r="E2343">
            <v>724.67</v>
          </cell>
          <cell r="F2343" t="str">
            <v>A2-S24</v>
          </cell>
          <cell r="G2343" t="str">
            <v>Patching wood - Gỗ đắp</v>
          </cell>
          <cell r="H2343" t="str">
            <v>Wood US Poplar - Straight Edged, 2 COM - T38mm x W100mm Up x L1.8m Up</v>
          </cell>
          <cell r="I2343">
            <v>4</v>
          </cell>
        </row>
        <row r="2344">
          <cell r="A2344" t="str">
            <v>B558302/A</v>
          </cell>
          <cell r="B2344" t="str">
            <v>RH1157NM26</v>
          </cell>
          <cell r="C2344">
            <v>1</v>
          </cell>
          <cell r="D2344">
            <v>724.67</v>
          </cell>
          <cell r="E2344">
            <v>724.67</v>
          </cell>
          <cell r="F2344" t="str">
            <v>A2-S25</v>
          </cell>
          <cell r="G2344" t="str">
            <v>Patching wood - Gỗ đắp</v>
          </cell>
          <cell r="H2344" t="str">
            <v>Wood US Poplar - Straight Edged, 2 COM - T38mm x W100mm Up x L1.8m Up</v>
          </cell>
          <cell r="I2344">
            <v>4</v>
          </cell>
        </row>
        <row r="2345">
          <cell r="A2345" t="str">
            <v>B558302/A</v>
          </cell>
          <cell r="B2345" t="str">
            <v>RH1157NM26</v>
          </cell>
          <cell r="C2345">
            <v>1</v>
          </cell>
          <cell r="D2345">
            <v>724.67</v>
          </cell>
          <cell r="E2345">
            <v>724.67</v>
          </cell>
          <cell r="F2345" t="str">
            <v>A2-S26</v>
          </cell>
          <cell r="G2345" t="str">
            <v>Patching wood - Gỗ đắp</v>
          </cell>
          <cell r="H2345" t="str">
            <v>Wood US Poplar - Straight Edged, 2 COM - T38mm x W100mm Up x L1.8m Up</v>
          </cell>
          <cell r="I2345">
            <v>4</v>
          </cell>
        </row>
        <row r="2346">
          <cell r="A2346" t="str">
            <v>B558302/A</v>
          </cell>
          <cell r="B2346" t="str">
            <v>RH1157NM26</v>
          </cell>
          <cell r="C2346">
            <v>1</v>
          </cell>
          <cell r="D2346">
            <v>724.67</v>
          </cell>
          <cell r="E2346">
            <v>724.67</v>
          </cell>
          <cell r="F2346" t="str">
            <v>A2-S27</v>
          </cell>
          <cell r="G2346" t="str">
            <v>Patching wood - Gỗ đắp</v>
          </cell>
          <cell r="H2346" t="str">
            <v>Wood US Poplar - Straight Edged, 2 COM - T38mm x W100mm Up x L1.8m Up</v>
          </cell>
          <cell r="I2346">
            <v>4</v>
          </cell>
        </row>
        <row r="2347">
          <cell r="A2347" t="str">
            <v>B558302/A</v>
          </cell>
          <cell r="B2347" t="str">
            <v>RH1157NM26</v>
          </cell>
          <cell r="C2347">
            <v>1</v>
          </cell>
          <cell r="D2347">
            <v>724.67</v>
          </cell>
          <cell r="E2347">
            <v>724.67</v>
          </cell>
          <cell r="F2347" t="str">
            <v>A2-S28</v>
          </cell>
          <cell r="G2347" t="str">
            <v>Patching wood - Gỗ đắp</v>
          </cell>
          <cell r="H2347" t="str">
            <v>Wood US Poplar - Straight Edged, 2 COM - T38mm x W100mm Up x L1.8m Up</v>
          </cell>
          <cell r="I2347">
            <v>4</v>
          </cell>
        </row>
        <row r="2348">
          <cell r="A2348" t="str">
            <v>B558302/A</v>
          </cell>
          <cell r="B2348" t="str">
            <v>RH1157NM26</v>
          </cell>
          <cell r="C2348">
            <v>1</v>
          </cell>
          <cell r="D2348">
            <v>724.67</v>
          </cell>
          <cell r="E2348">
            <v>724.67</v>
          </cell>
          <cell r="F2348" t="str">
            <v>A2-S29</v>
          </cell>
          <cell r="G2348" t="str">
            <v>Front moulding  - Chỉ tiền</v>
          </cell>
          <cell r="H2348" t="str">
            <v>Wood US Poplar - Straight Edged, 2 COM - T25mm x W100mm Up x L1.8m Up</v>
          </cell>
          <cell r="I2348">
            <v>2</v>
          </cell>
        </row>
        <row r="2349">
          <cell r="A2349" t="str">
            <v>B558302/A</v>
          </cell>
          <cell r="B2349" t="str">
            <v>RH1157NM26</v>
          </cell>
          <cell r="C2349">
            <v>1</v>
          </cell>
          <cell r="D2349">
            <v>724.67</v>
          </cell>
          <cell r="E2349">
            <v>724.67</v>
          </cell>
          <cell r="F2349" t="str">
            <v>A3-S1</v>
          </cell>
          <cell r="G2349" t="str">
            <v>Front rail  - Đố tiền</v>
          </cell>
          <cell r="H2349" t="str">
            <v>Wood US Poplar - Straight Edged, 2 COM - T32mm x W100mm Up x L1.8m Up</v>
          </cell>
          <cell r="I2349">
            <v>1</v>
          </cell>
        </row>
        <row r="2350">
          <cell r="A2350" t="str">
            <v>B558302/A</v>
          </cell>
          <cell r="B2350" t="str">
            <v>RH1157NM26</v>
          </cell>
          <cell r="C2350">
            <v>1</v>
          </cell>
          <cell r="D2350">
            <v>724.67</v>
          </cell>
          <cell r="E2350">
            <v>724.67</v>
          </cell>
          <cell r="F2350" t="str">
            <v>A3-S2</v>
          </cell>
          <cell r="G2350" t="str">
            <v>Back rail - Đố hậu</v>
          </cell>
          <cell r="H2350" t="str">
            <v>Wood US Poplar - Straight Edged, 2 COM - T38mm x W100mm Up x L1.8m Up</v>
          </cell>
          <cell r="I2350">
            <v>1</v>
          </cell>
        </row>
        <row r="2351">
          <cell r="A2351" t="str">
            <v>B558302/A</v>
          </cell>
          <cell r="B2351" t="str">
            <v>RH1157NM26</v>
          </cell>
          <cell r="C2351">
            <v>1</v>
          </cell>
          <cell r="D2351">
            <v>724.67</v>
          </cell>
          <cell r="E2351">
            <v>724.67</v>
          </cell>
          <cell r="F2351" t="str">
            <v>A3-S3</v>
          </cell>
          <cell r="G2351" t="str">
            <v>Center rail - Đố giữa</v>
          </cell>
          <cell r="H2351" t="str">
            <v>Wood US Poplar - Straight Edged, 2 COM - T25mm x W100mm Up x L1.8m Up</v>
          </cell>
          <cell r="I2351">
            <v>4</v>
          </cell>
        </row>
        <row r="2352">
          <cell r="A2352" t="str">
            <v>B558302/A</v>
          </cell>
          <cell r="B2352" t="str">
            <v>RH1157NM26</v>
          </cell>
          <cell r="C2352">
            <v>1</v>
          </cell>
          <cell r="D2352">
            <v>724.67</v>
          </cell>
          <cell r="E2352">
            <v>724.67</v>
          </cell>
          <cell r="F2352" t="str">
            <v>A3-S4</v>
          </cell>
          <cell r="G2352" t="str">
            <v>Bottom panel - Ván đáy</v>
          </cell>
          <cell r="H2352" t="str">
            <v>MDF - 03 x 1220 x 2440mm [CARB P2 Compliant]</v>
          </cell>
          <cell r="I2352">
            <v>1</v>
          </cell>
        </row>
        <row r="2353">
          <cell r="A2353" t="str">
            <v>B558302/A</v>
          </cell>
          <cell r="B2353" t="str">
            <v>RH1157NM26</v>
          </cell>
          <cell r="C2353">
            <v>1</v>
          </cell>
          <cell r="D2353">
            <v>724.67</v>
          </cell>
          <cell r="E2353">
            <v>724.67</v>
          </cell>
          <cell r="F2353" t="str">
            <v>A4-S1</v>
          </cell>
          <cell r="G2353" t="str">
            <v xml:space="preserve">Drawer front - Mặt hộc kéo </v>
          </cell>
          <cell r="H2353" t="str">
            <v>Wood Acacia - Straight/Waving Edged - T25mm x W100mm Up x L1.5m Up</v>
          </cell>
          <cell r="I2353">
            <v>2</v>
          </cell>
        </row>
        <row r="2354">
          <cell r="A2354" t="str">
            <v>B558302/A</v>
          </cell>
          <cell r="B2354" t="str">
            <v>RH1157NM26</v>
          </cell>
          <cell r="C2354">
            <v>1</v>
          </cell>
          <cell r="D2354">
            <v>724.67</v>
          </cell>
          <cell r="E2354">
            <v>724.67</v>
          </cell>
          <cell r="F2354" t="str">
            <v>A4-S2</v>
          </cell>
          <cell r="G2354" t="str">
            <v>Drawer back - Hậu hộc kéo</v>
          </cell>
          <cell r="H2354" t="str">
            <v>MDF Veneer</v>
          </cell>
          <cell r="I2354">
            <v>2</v>
          </cell>
        </row>
        <row r="2355">
          <cell r="A2355" t="str">
            <v>B558302/A</v>
          </cell>
          <cell r="B2355" t="str">
            <v>RH1157NM26</v>
          </cell>
          <cell r="C2355">
            <v>1</v>
          </cell>
          <cell r="D2355">
            <v>724.67</v>
          </cell>
          <cell r="E2355">
            <v>724.67</v>
          </cell>
          <cell r="F2355" t="str">
            <v>A4-S3</v>
          </cell>
          <cell r="G2355" t="str">
            <v>Drawer side - Hông hộc kéo</v>
          </cell>
          <cell r="H2355" t="str">
            <v>MDF Veneer</v>
          </cell>
          <cell r="I2355">
            <v>4</v>
          </cell>
        </row>
        <row r="2356">
          <cell r="A2356" t="str">
            <v>B558302/A</v>
          </cell>
          <cell r="B2356" t="str">
            <v>RH1157NM26</v>
          </cell>
          <cell r="C2356">
            <v>1</v>
          </cell>
          <cell r="D2356">
            <v>724.67</v>
          </cell>
          <cell r="E2356">
            <v>724.67</v>
          </cell>
          <cell r="F2356" t="str">
            <v>A4-S4</v>
          </cell>
          <cell r="G2356" t="str">
            <v>Drawer bottom  - Đáy hộc kéo</v>
          </cell>
          <cell r="H2356" t="str">
            <v>MDF - 06 x 1220 x 2440mm, Veneer Tram 0.3mm + Veneer Engineering 0.3mm [CARB P2 Compliant]</v>
          </cell>
          <cell r="I2356">
            <v>2</v>
          </cell>
        </row>
        <row r="2357">
          <cell r="A2357" t="str">
            <v>B558302/A</v>
          </cell>
          <cell r="B2357" t="str">
            <v>RH1157NM26</v>
          </cell>
          <cell r="C2357">
            <v>1</v>
          </cell>
          <cell r="D2357">
            <v>724.67</v>
          </cell>
          <cell r="E2357">
            <v>724.67</v>
          </cell>
          <cell r="F2357" t="str">
            <v>A4-S5</v>
          </cell>
          <cell r="G2357" t="str">
            <v>Drawer runner - Ray trượt âm</v>
          </cell>
          <cell r="H2357" t="str">
            <v>Runner - Beech Wood - 15x22x410mm (guide) 15x49x400mm (runner)</v>
          </cell>
          <cell r="I2357">
            <v>4</v>
          </cell>
        </row>
        <row r="2358">
          <cell r="A2358" t="str">
            <v>B558302/A</v>
          </cell>
          <cell r="B2358" t="str">
            <v>RH1157NM26</v>
          </cell>
          <cell r="C2358">
            <v>1</v>
          </cell>
          <cell r="D2358">
            <v>724.67</v>
          </cell>
          <cell r="E2358">
            <v>724.67</v>
          </cell>
          <cell r="F2358" t="str">
            <v>A4-S6</v>
          </cell>
          <cell r="G2358" t="str">
            <v>Drawer guide - Ray trượt dương</v>
          </cell>
          <cell r="H2358" t="str">
            <v>Runner - Beech Wood - 15x22x410mm (guide) 15x49x400mm (runner)</v>
          </cell>
          <cell r="I2358">
            <v>4</v>
          </cell>
        </row>
        <row r="2359">
          <cell r="A2359" t="str">
            <v>B558302/A</v>
          </cell>
          <cell r="B2359" t="str">
            <v>RH1157NM26</v>
          </cell>
          <cell r="C2359">
            <v>1</v>
          </cell>
          <cell r="D2359">
            <v>724.67</v>
          </cell>
          <cell r="E2359">
            <v>724.67</v>
          </cell>
          <cell r="F2359" t="str">
            <v>A5-S1</v>
          </cell>
          <cell r="G2359" t="str">
            <v>Front rail  - Đố tiền</v>
          </cell>
          <cell r="H2359" t="str">
            <v>Wood US Poplar - Straight Edged, 2 COM - T32mm x W100mm Up x L1.8m Up</v>
          </cell>
          <cell r="I2359">
            <v>1</v>
          </cell>
        </row>
        <row r="2360">
          <cell r="A2360" t="str">
            <v>B558302/A</v>
          </cell>
          <cell r="B2360" t="str">
            <v>RH1157NM26</v>
          </cell>
          <cell r="C2360">
            <v>1</v>
          </cell>
          <cell r="D2360">
            <v>724.67</v>
          </cell>
          <cell r="E2360">
            <v>724.67</v>
          </cell>
          <cell r="F2360" t="str">
            <v>A5-S2</v>
          </cell>
          <cell r="G2360" t="str">
            <v>back rail - Đố hậu</v>
          </cell>
          <cell r="H2360" t="str">
            <v>Standard Wood - ALDER/ASPEN/LENGA/US POPLAR, 2 COM - T25 W120mm+ L2m+</v>
          </cell>
          <cell r="I2360">
            <v>1</v>
          </cell>
        </row>
        <row r="2361">
          <cell r="A2361" t="str">
            <v>B558302/A</v>
          </cell>
          <cell r="B2361" t="str">
            <v>RH1157NM26</v>
          </cell>
          <cell r="C2361">
            <v>1</v>
          </cell>
          <cell r="D2361">
            <v>724.67</v>
          </cell>
          <cell r="E2361">
            <v>724.67</v>
          </cell>
          <cell r="F2361" t="str">
            <v>A5-S3</v>
          </cell>
          <cell r="G2361" t="str">
            <v>Bottom panel - Ván đáy</v>
          </cell>
          <cell r="H2361" t="str">
            <v>MDF - 03 x 1220 x 2440mm [CARB P2 Compliant]</v>
          </cell>
          <cell r="I2361">
            <v>1</v>
          </cell>
        </row>
        <row r="2362">
          <cell r="A2362" t="str">
            <v>B558302/A</v>
          </cell>
          <cell r="B2362" t="str">
            <v>RH1157NM26</v>
          </cell>
          <cell r="C2362">
            <v>1</v>
          </cell>
          <cell r="D2362">
            <v>724.67</v>
          </cell>
          <cell r="E2362">
            <v>724.67</v>
          </cell>
          <cell r="F2362" t="str">
            <v>P01</v>
          </cell>
          <cell r="G2362" t="str">
            <v>Front top rail  - Đố tiền nóc</v>
          </cell>
          <cell r="H2362" t="str">
            <v>Poplar 2 COM</v>
          </cell>
          <cell r="I2362">
            <v>1</v>
          </cell>
        </row>
        <row r="2363">
          <cell r="A2363" t="str">
            <v>B558302/A</v>
          </cell>
          <cell r="B2363" t="str">
            <v>RH1157NM26</v>
          </cell>
          <cell r="C2363">
            <v>1</v>
          </cell>
          <cell r="D2363">
            <v>724.67</v>
          </cell>
          <cell r="E2363">
            <v>724.67</v>
          </cell>
          <cell r="F2363" t="str">
            <v>P02</v>
          </cell>
          <cell r="G2363" t="str">
            <v>Side moulding - Chỉ hông</v>
          </cell>
          <cell r="H2363" t="str">
            <v>Poplar 2 COM</v>
          </cell>
          <cell r="I2363">
            <v>2</v>
          </cell>
        </row>
        <row r="2364">
          <cell r="A2364" t="str">
            <v>B558302/A</v>
          </cell>
          <cell r="B2364" t="str">
            <v>RH1157NM26</v>
          </cell>
          <cell r="C2364">
            <v>1</v>
          </cell>
          <cell r="D2364">
            <v>724.67</v>
          </cell>
          <cell r="E2364">
            <v>724.67</v>
          </cell>
          <cell r="F2364" t="str">
            <v>P03</v>
          </cell>
          <cell r="G2364" t="str">
            <v xml:space="preserve">Top panel  - Ván nóc </v>
          </cell>
          <cell r="H2364" t="str">
            <v>MDF Veneer</v>
          </cell>
          <cell r="I2364">
            <v>1</v>
          </cell>
        </row>
        <row r="2365">
          <cell r="A2365" t="str">
            <v>B558302/A</v>
          </cell>
          <cell r="B2365" t="str">
            <v>RH1157NM26</v>
          </cell>
          <cell r="C2365">
            <v>1</v>
          </cell>
          <cell r="D2365">
            <v>724.67</v>
          </cell>
          <cell r="E2365">
            <v>724.67</v>
          </cell>
          <cell r="F2365" t="str">
            <v>P05</v>
          </cell>
          <cell r="G2365" t="str">
            <v xml:space="preserve">Side rail  - Đố hông </v>
          </cell>
          <cell r="H2365" t="str">
            <v>Wood US Poplar - Straight Edged, 2 COM - T25mm x W100mm Up x L1.8m Up</v>
          </cell>
          <cell r="I2365">
            <v>2</v>
          </cell>
        </row>
        <row r="2366">
          <cell r="A2366" t="str">
            <v>B558302/A</v>
          </cell>
          <cell r="B2366" t="str">
            <v>RH1157NM26</v>
          </cell>
          <cell r="C2366">
            <v>1</v>
          </cell>
          <cell r="D2366">
            <v>724.67</v>
          </cell>
          <cell r="E2366">
            <v>724.67</v>
          </cell>
          <cell r="F2366" t="str">
            <v>P07</v>
          </cell>
          <cell r="G2366" t="str">
            <v>Center panel - Ván giữa</v>
          </cell>
          <cell r="H2366" t="str">
            <v>Pre-Assembly</v>
          </cell>
          <cell r="I2366">
            <v>1</v>
          </cell>
        </row>
        <row r="2367">
          <cell r="A2367" t="str">
            <v>B558302/A</v>
          </cell>
          <cell r="B2367" t="str">
            <v>RH1157NM26</v>
          </cell>
          <cell r="C2367">
            <v>1</v>
          </cell>
          <cell r="D2367">
            <v>724.67</v>
          </cell>
          <cell r="E2367">
            <v>724.67</v>
          </cell>
          <cell r="F2367" t="str">
            <v>P07-1</v>
          </cell>
          <cell r="G2367" t="str">
            <v>Center panel - Ván giữa</v>
          </cell>
          <cell r="H2367" t="str">
            <v>MDF Veneer</v>
          </cell>
          <cell r="I2367">
            <v>1</v>
          </cell>
        </row>
        <row r="2368">
          <cell r="A2368" t="str">
            <v>B558302/A</v>
          </cell>
          <cell r="B2368" t="str">
            <v>RH1157NM26</v>
          </cell>
          <cell r="C2368">
            <v>1</v>
          </cell>
          <cell r="D2368">
            <v>724.67</v>
          </cell>
          <cell r="E2368">
            <v>724.67</v>
          </cell>
          <cell r="F2368" t="str">
            <v>P07-2</v>
          </cell>
          <cell r="G2368" t="str">
            <v>Front rail  - Đố tiền</v>
          </cell>
          <cell r="H2368" t="str">
            <v>Wood US Poplar - Straight Edged, 2 COM - T32mm x W100mm Up x L1.8m Up</v>
          </cell>
          <cell r="I2368">
            <v>1</v>
          </cell>
        </row>
        <row r="2369">
          <cell r="A2369" t="str">
            <v>B558302/A</v>
          </cell>
          <cell r="B2369" t="str">
            <v>RH1157NM26</v>
          </cell>
          <cell r="C2369">
            <v>1</v>
          </cell>
          <cell r="D2369">
            <v>724.67</v>
          </cell>
          <cell r="E2369">
            <v>724.67</v>
          </cell>
          <cell r="F2369" t="str">
            <v>P08</v>
          </cell>
          <cell r="G2369" t="str">
            <v>Back panel - Ván hậu</v>
          </cell>
          <cell r="H2369" t="str">
            <v>Pre-Assembly</v>
          </cell>
          <cell r="I2369">
            <v>1</v>
          </cell>
        </row>
        <row r="2370">
          <cell r="A2370" t="str">
            <v>B558302/A</v>
          </cell>
          <cell r="B2370" t="str">
            <v>RH1157NM26</v>
          </cell>
          <cell r="C2370">
            <v>1</v>
          </cell>
          <cell r="D2370">
            <v>724.67</v>
          </cell>
          <cell r="E2370">
            <v>724.67</v>
          </cell>
          <cell r="F2370" t="str">
            <v>P08-1</v>
          </cell>
          <cell r="G2370" t="str">
            <v>Back panel - Ván hậu</v>
          </cell>
          <cell r="H2370" t="str">
            <v>MDF Veneer</v>
          </cell>
          <cell r="I2370">
            <v>1</v>
          </cell>
        </row>
        <row r="2371">
          <cell r="A2371" t="str">
            <v>B558302/A</v>
          </cell>
          <cell r="B2371" t="str">
            <v>RH1157NM26</v>
          </cell>
          <cell r="C2371">
            <v>1</v>
          </cell>
          <cell r="D2371">
            <v>724.67</v>
          </cell>
          <cell r="E2371">
            <v>724.67</v>
          </cell>
          <cell r="F2371" t="str">
            <v>P08-2</v>
          </cell>
          <cell r="G2371" t="str">
            <v>Back moulding - Chỉ hậu</v>
          </cell>
          <cell r="H2371" t="str">
            <v>Wood US Poplar - Straight Edged, 2 COM - T25mm x W100mm Up x L1.8m Up</v>
          </cell>
          <cell r="I2371">
            <v>1</v>
          </cell>
        </row>
        <row r="2372">
          <cell r="A2372" t="str">
            <v>B558302/A</v>
          </cell>
          <cell r="B2372" t="str">
            <v>RH1157NM26</v>
          </cell>
          <cell r="C2372">
            <v>1</v>
          </cell>
          <cell r="D2372">
            <v>724.67</v>
          </cell>
          <cell r="E2372">
            <v>724.67</v>
          </cell>
          <cell r="F2372" t="str">
            <v>P08-3</v>
          </cell>
          <cell r="G2372" t="str">
            <v>Back moulding - Chỉ hậu</v>
          </cell>
          <cell r="H2372" t="str">
            <v>Wood US Poplar - Straight Edged, 2 COM - T25mm x W100mm Up x L1.8m Up</v>
          </cell>
          <cell r="I2372">
            <v>2</v>
          </cell>
        </row>
        <row r="2373">
          <cell r="A2373" t="str">
            <v>B558302/A</v>
          </cell>
          <cell r="B2373" t="str">
            <v>RH1157NM26</v>
          </cell>
          <cell r="C2373">
            <v>1</v>
          </cell>
          <cell r="D2373">
            <v>724.67</v>
          </cell>
          <cell r="E2373">
            <v>724.67</v>
          </cell>
          <cell r="F2373" t="str">
            <v>P08-4</v>
          </cell>
          <cell r="G2373" t="str">
            <v>Back panel - Ván hậu</v>
          </cell>
          <cell r="H2373" t="str">
            <v>MDF Veneer</v>
          </cell>
          <cell r="I2373">
            <v>1</v>
          </cell>
        </row>
        <row r="2374">
          <cell r="A2374" t="str">
            <v>B558302/A</v>
          </cell>
          <cell r="B2374" t="str">
            <v>RH1157NM26</v>
          </cell>
          <cell r="C2374">
            <v>1</v>
          </cell>
          <cell r="D2374">
            <v>724.67</v>
          </cell>
          <cell r="E2374">
            <v>724.67</v>
          </cell>
          <cell r="F2374" t="str">
            <v>P09</v>
          </cell>
          <cell r="G2374" t="str">
            <v>Front top rail  - Đố tiền nóc</v>
          </cell>
          <cell r="H2374" t="str">
            <v>Poplar 2 COM</v>
          </cell>
          <cell r="I2374">
            <v>1</v>
          </cell>
        </row>
        <row r="2375">
          <cell r="A2375" t="str">
            <v>B558302/A</v>
          </cell>
          <cell r="B2375" t="str">
            <v>RH1157NM26</v>
          </cell>
          <cell r="C2375">
            <v>1</v>
          </cell>
          <cell r="D2375">
            <v>724.67</v>
          </cell>
          <cell r="E2375">
            <v>724.67</v>
          </cell>
          <cell r="F2375" t="str">
            <v>P10</v>
          </cell>
          <cell r="G2375" t="str">
            <v>Back top rail - Đố hậu nóc</v>
          </cell>
          <cell r="H2375" t="str">
            <v>Wood US Poplar - Straight Edged, 2 COM - T25mm x W100mm Up x L1.8m Up</v>
          </cell>
          <cell r="I2375">
            <v>1</v>
          </cell>
        </row>
        <row r="2376">
          <cell r="A2376" t="str">
            <v>B558302/A</v>
          </cell>
          <cell r="B2376" t="str">
            <v>RH1157NM26</v>
          </cell>
          <cell r="C2376">
            <v>1</v>
          </cell>
          <cell r="D2376">
            <v>724.67</v>
          </cell>
          <cell r="E2376">
            <v>724.67</v>
          </cell>
          <cell r="F2376" t="str">
            <v>P11</v>
          </cell>
          <cell r="G2376" t="str">
            <v>Door stop - Dừng cửa</v>
          </cell>
          <cell r="H2376" t="str">
            <v>Wood EU Beech - Straight/Waving Edged ABC, 2 COM - T38mm x W100mm up x L1.8m up</v>
          </cell>
          <cell r="I2376">
            <v>1</v>
          </cell>
        </row>
        <row r="2377">
          <cell r="A2377" t="str">
            <v>B558302/A</v>
          </cell>
          <cell r="B2377" t="str">
            <v>RH1157NM26</v>
          </cell>
          <cell r="C2377">
            <v>1</v>
          </cell>
          <cell r="D2377">
            <v>724.67</v>
          </cell>
          <cell r="E2377">
            <v>724.67</v>
          </cell>
          <cell r="F2377" t="str">
            <v>P12</v>
          </cell>
          <cell r="G2377" t="str">
            <v>Center rail - Đố giữa</v>
          </cell>
          <cell r="H2377" t="str">
            <v>Standard Wood - ALDER/ASPEN/LENGA/US POPLAR, 2 COM - T25 W120mm+ L2m+</v>
          </cell>
          <cell r="I2377">
            <v>1</v>
          </cell>
        </row>
        <row r="2378">
          <cell r="A2378" t="str">
            <v>B558302/A</v>
          </cell>
          <cell r="B2378" t="str">
            <v>RH1157NM26</v>
          </cell>
          <cell r="C2378">
            <v>1</v>
          </cell>
          <cell r="D2378">
            <v>724.67</v>
          </cell>
          <cell r="E2378">
            <v>724.67</v>
          </cell>
          <cell r="F2378" t="str">
            <v>P13</v>
          </cell>
          <cell r="G2378" t="str">
            <v xml:space="preserve">Side rail  - Đố hông </v>
          </cell>
          <cell r="H2378" t="str">
            <v>Wood US Poplar - Straight Edged, 2 COM - T25mm x W100mm Up x L1.8m Up</v>
          </cell>
          <cell r="I2378">
            <v>2</v>
          </cell>
        </row>
        <row r="2379">
          <cell r="A2379" t="str">
            <v>B558302/A</v>
          </cell>
          <cell r="B2379" t="str">
            <v>RH1157NM26</v>
          </cell>
          <cell r="C2379">
            <v>1</v>
          </cell>
          <cell r="D2379">
            <v>724.67</v>
          </cell>
          <cell r="E2379">
            <v>724.67</v>
          </cell>
          <cell r="F2379" t="str">
            <v>P16</v>
          </cell>
          <cell r="G2379" t="str">
            <v>Front Bottom Rail  - Đố đáy trước</v>
          </cell>
          <cell r="H2379" t="str">
            <v>Poplar 2 COM</v>
          </cell>
          <cell r="I2379">
            <v>1</v>
          </cell>
        </row>
        <row r="2380">
          <cell r="A2380" t="str">
            <v>B558302/A</v>
          </cell>
          <cell r="B2380" t="str">
            <v>RH1157NM26</v>
          </cell>
          <cell r="C2380">
            <v>1</v>
          </cell>
          <cell r="D2380">
            <v>724.67</v>
          </cell>
          <cell r="E2380">
            <v>724.67</v>
          </cell>
          <cell r="F2380" t="str">
            <v>P18</v>
          </cell>
          <cell r="G2380" t="str">
            <v>Insert Wood - Gỗ chèn</v>
          </cell>
          <cell r="H2380" t="str">
            <v>Poplar off cut</v>
          </cell>
          <cell r="I2380">
            <v>4</v>
          </cell>
        </row>
        <row r="2381">
          <cell r="A2381" t="str">
            <v>B558302/A</v>
          </cell>
          <cell r="B2381" t="str">
            <v>RH1157NM26</v>
          </cell>
          <cell r="C2381">
            <v>1</v>
          </cell>
          <cell r="D2381">
            <v>724.67</v>
          </cell>
          <cell r="E2381">
            <v>724.67</v>
          </cell>
          <cell r="F2381" t="str">
            <v>P19</v>
          </cell>
          <cell r="G2381" t="str">
            <v xml:space="preserve">Side rail  - Đố hông </v>
          </cell>
          <cell r="H2381" t="str">
            <v>Wood US Poplar - Straight Edged, 2 COM - T25mm x W100mm Up x L1.8m Up</v>
          </cell>
          <cell r="I2381">
            <v>4</v>
          </cell>
        </row>
        <row r="2382">
          <cell r="A2382" t="str">
            <v>B558302/A</v>
          </cell>
          <cell r="B2382" t="str">
            <v>RH1157NM26</v>
          </cell>
          <cell r="C2382">
            <v>1</v>
          </cell>
          <cell r="D2382">
            <v>724.67</v>
          </cell>
          <cell r="E2382">
            <v>724.67</v>
          </cell>
          <cell r="F2382" t="str">
            <v>P20</v>
          </cell>
          <cell r="G2382" t="str">
            <v>Front Top rail 1 - Đố nóc trước 1</v>
          </cell>
          <cell r="H2382" t="str">
            <v>Wood EU Beech - Straight/Waving Edged ABC, 2 COM - T38mm x W100mm up x L1.8m up</v>
          </cell>
          <cell r="I2382">
            <v>1</v>
          </cell>
        </row>
        <row r="2383">
          <cell r="A2383" t="str">
            <v>B558302/A</v>
          </cell>
          <cell r="B2383" t="str">
            <v>RH1157NM26</v>
          </cell>
          <cell r="C2383">
            <v>1</v>
          </cell>
          <cell r="D2383">
            <v>724.67</v>
          </cell>
          <cell r="E2383">
            <v>724.67</v>
          </cell>
          <cell r="F2383" t="str">
            <v>P21</v>
          </cell>
          <cell r="G2383" t="str">
            <v xml:space="preserve">Side panel  - Ván hông </v>
          </cell>
          <cell r="H2383" t="str">
            <v>Pre-Assembly</v>
          </cell>
          <cell r="I2383">
            <v>2</v>
          </cell>
        </row>
        <row r="2384">
          <cell r="A2384" t="str">
            <v>B558302/A</v>
          </cell>
          <cell r="B2384" t="str">
            <v>RH1157NM26</v>
          </cell>
          <cell r="C2384">
            <v>1</v>
          </cell>
          <cell r="D2384">
            <v>724.67</v>
          </cell>
          <cell r="E2384">
            <v>724.67</v>
          </cell>
          <cell r="F2384" t="str">
            <v>P21-1</v>
          </cell>
          <cell r="G2384" t="str">
            <v>Patching wood - Gỗ đắp</v>
          </cell>
          <cell r="H2384" t="str">
            <v>Wood US Poplar - Straight Edged, 2 COM - T38mm x W100mm Up x L1.8m Up</v>
          </cell>
          <cell r="I2384">
            <v>2</v>
          </cell>
        </row>
        <row r="2385">
          <cell r="A2385" t="str">
            <v>B558302/A</v>
          </cell>
          <cell r="B2385" t="str">
            <v>RH1157NM26</v>
          </cell>
          <cell r="C2385">
            <v>1</v>
          </cell>
          <cell r="D2385">
            <v>724.67</v>
          </cell>
          <cell r="E2385">
            <v>724.67</v>
          </cell>
          <cell r="F2385" t="str">
            <v>P21-4</v>
          </cell>
          <cell r="G2385" t="str">
            <v xml:space="preserve">Side panel  - Ván hông </v>
          </cell>
          <cell r="H2385" t="str">
            <v>Pre-Assembly</v>
          </cell>
          <cell r="I2385">
            <v>2</v>
          </cell>
        </row>
        <row r="2386">
          <cell r="A2386" t="str">
            <v>B558302/A</v>
          </cell>
          <cell r="B2386" t="str">
            <v>RH1157NM26</v>
          </cell>
          <cell r="C2386">
            <v>1</v>
          </cell>
          <cell r="D2386">
            <v>724.67</v>
          </cell>
          <cell r="E2386">
            <v>724.67</v>
          </cell>
          <cell r="F2386" t="str">
            <v>P21-4A</v>
          </cell>
          <cell r="G2386" t="str">
            <v>MDF - MDF</v>
          </cell>
          <cell r="H2386" t="str">
            <v>MDF - 18 x 1830 x 2440mm [CARB P2 Compliant]</v>
          </cell>
          <cell r="I2386">
            <v>2</v>
          </cell>
        </row>
        <row r="2387">
          <cell r="A2387" t="str">
            <v>B558302/A</v>
          </cell>
          <cell r="B2387" t="str">
            <v>RH1157NM26</v>
          </cell>
          <cell r="C2387">
            <v>1</v>
          </cell>
          <cell r="D2387">
            <v>724.67</v>
          </cell>
          <cell r="E2387">
            <v>724.67</v>
          </cell>
          <cell r="F2387" t="str">
            <v>P21-4B</v>
          </cell>
          <cell r="G2387" t="str">
            <v>Insert Wood - Gỗ chèn</v>
          </cell>
          <cell r="H2387" t="str">
            <v>Wood US Poplar - Straight Edged, 2 COM - T25mm x W100mm Up x L1.8m Up</v>
          </cell>
          <cell r="I2387">
            <v>2</v>
          </cell>
        </row>
        <row r="2388">
          <cell r="A2388" t="str">
            <v>B558302/A</v>
          </cell>
          <cell r="B2388" t="str">
            <v>RH1157NM26</v>
          </cell>
          <cell r="C2388">
            <v>1</v>
          </cell>
          <cell r="D2388">
            <v>724.67</v>
          </cell>
          <cell r="E2388">
            <v>724.67</v>
          </cell>
          <cell r="F2388" t="str">
            <v>P21a</v>
          </cell>
          <cell r="G2388" t="str">
            <v>Patching wood - Gỗ đắp</v>
          </cell>
          <cell r="H2388" t="str">
            <v>Wood US Poplar - Straight Edged, 2 COM - T38mm x W100mm Up x L1.8m Up</v>
          </cell>
          <cell r="I2388">
            <v>2</v>
          </cell>
        </row>
        <row r="2389">
          <cell r="A2389" t="str">
            <v>B558302/A</v>
          </cell>
          <cell r="B2389" t="str">
            <v>RH1157NM26</v>
          </cell>
          <cell r="C2389">
            <v>1</v>
          </cell>
          <cell r="D2389">
            <v>724.67</v>
          </cell>
          <cell r="E2389">
            <v>724.67</v>
          </cell>
          <cell r="F2389" t="str">
            <v>P22</v>
          </cell>
          <cell r="G2389" t="str">
            <v xml:space="preserve">Side rail  - Đố hông </v>
          </cell>
          <cell r="H2389" t="str">
            <v>Wood US Poplar - Straight Edged, 2 COM - T50mm x W100mm Up x L1.8m Up</v>
          </cell>
          <cell r="I2389">
            <v>2</v>
          </cell>
        </row>
        <row r="2390">
          <cell r="A2390" t="str">
            <v>B558302/A</v>
          </cell>
          <cell r="B2390" t="str">
            <v>RH1157NM26</v>
          </cell>
          <cell r="C2390">
            <v>1</v>
          </cell>
          <cell r="D2390">
            <v>724.67</v>
          </cell>
          <cell r="E2390">
            <v>724.67</v>
          </cell>
          <cell r="F2390" t="str">
            <v>P23</v>
          </cell>
          <cell r="G2390" t="str">
            <v>Front Bottom Rail  - Đố đáy trước</v>
          </cell>
          <cell r="H2390" t="str">
            <v>Wood US Poplar - Straight Edged, 2 COM - T50mm x W100mm Up x L1.8m Up</v>
          </cell>
          <cell r="I2390">
            <v>1</v>
          </cell>
        </row>
        <row r="2391">
          <cell r="A2391" t="str">
            <v>B558302/A</v>
          </cell>
          <cell r="B2391" t="str">
            <v>RH1157NM26</v>
          </cell>
          <cell r="C2391">
            <v>1</v>
          </cell>
          <cell r="D2391">
            <v>724.67</v>
          </cell>
          <cell r="E2391">
            <v>724.67</v>
          </cell>
          <cell r="F2391" t="str">
            <v>P24</v>
          </cell>
          <cell r="G2391" t="str">
            <v>Drawer side - Hông hộc kéo</v>
          </cell>
          <cell r="H2391" t="str">
            <v>Wood US Poplar - Straight Edged, 2 COM - T25mm x W100mm Up x L1.8m Up</v>
          </cell>
          <cell r="I2391">
            <v>4</v>
          </cell>
        </row>
        <row r="2392">
          <cell r="A2392" t="str">
            <v>B558132/A</v>
          </cell>
          <cell r="B2392" t="str">
            <v>RH1922M26-STZ</v>
          </cell>
          <cell r="C2392">
            <v>2</v>
          </cell>
          <cell r="D2392">
            <v>14</v>
          </cell>
          <cell r="E2392">
            <v>28</v>
          </cell>
          <cell r="F2392" t="str">
            <v>p1</v>
          </cell>
          <cell r="G2392" t="str">
            <v>Slats  - Dạt giường</v>
          </cell>
          <cell r="H2392" t="str">
            <v>Wood EU Beech - Straight/Waving Edged ABC, 2 COM - T26mm x W100mm up x L1.8m up</v>
          </cell>
          <cell r="I2392">
            <v>2</v>
          </cell>
        </row>
        <row r="2393">
          <cell r="A2393" t="str">
            <v>B558305/A</v>
          </cell>
          <cell r="B2393" t="str">
            <v>RH2000AM13</v>
          </cell>
          <cell r="C2393">
            <v>25</v>
          </cell>
          <cell r="D2393">
            <v>924.2</v>
          </cell>
          <cell r="E2393">
            <v>23105</v>
          </cell>
          <cell r="F2393" t="str">
            <v>A1-S1</v>
          </cell>
          <cell r="G2393" t="str">
            <v>Vertical rail 1 - Đố đứng 1</v>
          </cell>
          <cell r="H2393" t="str">
            <v>Wood EU Beech - Straight/Waving Edged AB, 1 COM - T32mm x W100mm up x L1.8m up</v>
          </cell>
          <cell r="I2393">
            <v>50</v>
          </cell>
        </row>
        <row r="2394">
          <cell r="A2394" t="str">
            <v>B558305/A</v>
          </cell>
          <cell r="B2394" t="str">
            <v>RH2000AM13</v>
          </cell>
          <cell r="C2394">
            <v>25</v>
          </cell>
          <cell r="D2394">
            <v>924.2</v>
          </cell>
          <cell r="E2394">
            <v>23105</v>
          </cell>
          <cell r="F2394" t="str">
            <v>A1-S2</v>
          </cell>
          <cell r="G2394" t="str">
            <v>Horizontal rail 1 - Đố ngang 1</v>
          </cell>
          <cell r="H2394" t="str">
            <v>Wood EU Beech - Straight/Waving Edged ABC, 2 COM - T32mm x W100mm up x L1.8m up</v>
          </cell>
          <cell r="I2394">
            <v>125</v>
          </cell>
        </row>
        <row r="2395">
          <cell r="A2395" t="str">
            <v>B558305/A</v>
          </cell>
          <cell r="B2395" t="str">
            <v>RH2000AM13</v>
          </cell>
          <cell r="C2395">
            <v>25</v>
          </cell>
          <cell r="D2395">
            <v>924.2</v>
          </cell>
          <cell r="E2395">
            <v>23105</v>
          </cell>
          <cell r="F2395" t="str">
            <v>A2-S01</v>
          </cell>
          <cell r="G2395" t="str">
            <v>Horizontal rail 1 - Đố ngang 1</v>
          </cell>
          <cell r="H2395" t="str">
            <v>Wood US Poplar - Straight Edged, 2 COM - T38mm x W100mm Up x L1.8m Up</v>
          </cell>
          <cell r="I2395">
            <v>100</v>
          </cell>
        </row>
        <row r="2396">
          <cell r="A2396" t="str">
            <v>B558305/A</v>
          </cell>
          <cell r="B2396" t="str">
            <v>RH2000AM13</v>
          </cell>
          <cell r="C2396">
            <v>25</v>
          </cell>
          <cell r="D2396">
            <v>924.2</v>
          </cell>
          <cell r="E2396">
            <v>23105</v>
          </cell>
          <cell r="F2396" t="str">
            <v>A2-S02</v>
          </cell>
          <cell r="G2396" t="str">
            <v>Vertical rail 2 - Đố đứng 2</v>
          </cell>
          <cell r="H2396" t="str">
            <v>Pre-Assembly</v>
          </cell>
          <cell r="I2396">
            <v>100</v>
          </cell>
        </row>
        <row r="2397">
          <cell r="A2397" t="str">
            <v>B558305/A</v>
          </cell>
          <cell r="B2397" t="str">
            <v>RH2000AM13</v>
          </cell>
          <cell r="C2397">
            <v>25</v>
          </cell>
          <cell r="D2397">
            <v>924.2</v>
          </cell>
          <cell r="E2397">
            <v>23105</v>
          </cell>
          <cell r="F2397" t="str">
            <v>A2-S03</v>
          </cell>
          <cell r="G2397" t="str">
            <v>Center rail - Đố giữa</v>
          </cell>
          <cell r="H2397" t="str">
            <v>Wood US Poplar - Straight Edged, 2 COM - T38mm x W100mm Up x L1.8m Up</v>
          </cell>
          <cell r="I2397">
            <v>50</v>
          </cell>
        </row>
        <row r="2398">
          <cell r="A2398" t="str">
            <v>B558305/A</v>
          </cell>
          <cell r="B2398" t="str">
            <v>RH2000AM13</v>
          </cell>
          <cell r="C2398">
            <v>25</v>
          </cell>
          <cell r="D2398">
            <v>924.2</v>
          </cell>
          <cell r="E2398">
            <v>23105</v>
          </cell>
          <cell r="F2398" t="str">
            <v>A2-S04</v>
          </cell>
          <cell r="G2398" t="str">
            <v>Horizontal rail 2 - Đố ngang 2</v>
          </cell>
          <cell r="H2398" t="str">
            <v>Wood US Poplar - Straight Edged, 2 COM - T32mm x W100mm Up x L1.8m Up</v>
          </cell>
          <cell r="I2398">
            <v>100</v>
          </cell>
        </row>
        <row r="2399">
          <cell r="A2399" t="str">
            <v>B558305/A</v>
          </cell>
          <cell r="B2399" t="str">
            <v>RH2000AM13</v>
          </cell>
          <cell r="C2399">
            <v>25</v>
          </cell>
          <cell r="D2399">
            <v>924.2</v>
          </cell>
          <cell r="E2399">
            <v>23105</v>
          </cell>
          <cell r="F2399" t="str">
            <v>A2-S05</v>
          </cell>
          <cell r="G2399" t="str">
            <v>Slat Support  - Đỡ dạt giường</v>
          </cell>
          <cell r="H2399" t="str">
            <v>Wood US Poplar - Straight Edged, 1 COM - T38mm x W100mm Up x L1.8m Up</v>
          </cell>
          <cell r="I2399">
            <v>50</v>
          </cell>
        </row>
        <row r="2400">
          <cell r="A2400" t="str">
            <v>B558305/A</v>
          </cell>
          <cell r="B2400" t="str">
            <v>RH2000AM13</v>
          </cell>
          <cell r="C2400">
            <v>25</v>
          </cell>
          <cell r="D2400">
            <v>924.2</v>
          </cell>
          <cell r="E2400">
            <v>23105</v>
          </cell>
          <cell r="F2400" t="str">
            <v>A2-S07</v>
          </cell>
          <cell r="G2400" t="str">
            <v>Front Bottom Rail  - Đố đáy trước</v>
          </cell>
          <cell r="H2400" t="str">
            <v>Wood US Poplar - Straight Edged, 2 COM - T32mm x W100mm Up x L1.8m Up</v>
          </cell>
          <cell r="I2400">
            <v>50</v>
          </cell>
        </row>
        <row r="2401">
          <cell r="A2401" t="str">
            <v>B558305/A</v>
          </cell>
          <cell r="B2401" t="str">
            <v>RH2000AM13</v>
          </cell>
          <cell r="C2401">
            <v>25</v>
          </cell>
          <cell r="D2401">
            <v>924.2</v>
          </cell>
          <cell r="E2401">
            <v>23105</v>
          </cell>
          <cell r="F2401" t="str">
            <v>A2-S08</v>
          </cell>
          <cell r="G2401" t="str">
            <v>Cleat - Bọ gỗ</v>
          </cell>
          <cell r="H2401" t="str">
            <v>Poplar off cut</v>
          </cell>
          <cell r="I2401">
            <v>100</v>
          </cell>
        </row>
        <row r="2402">
          <cell r="A2402" t="str">
            <v>B558305/A</v>
          </cell>
          <cell r="B2402" t="str">
            <v>RH2000AM13</v>
          </cell>
          <cell r="C2402">
            <v>25</v>
          </cell>
          <cell r="D2402">
            <v>924.2</v>
          </cell>
          <cell r="E2402">
            <v>23105</v>
          </cell>
          <cell r="F2402" t="str">
            <v>A3-S1</v>
          </cell>
          <cell r="G2402" t="str">
            <v>Side top rail - Đố hông trên</v>
          </cell>
          <cell r="H2402" t="str">
            <v>Wood US Poplar - Straight Edged, 2 COM - T38mm x W100mm Up x L1.8m Up</v>
          </cell>
          <cell r="I2402">
            <v>25</v>
          </cell>
        </row>
        <row r="2403">
          <cell r="A2403" t="str">
            <v>B558305/A</v>
          </cell>
          <cell r="B2403" t="str">
            <v>RH2000AM13</v>
          </cell>
          <cell r="C2403">
            <v>25</v>
          </cell>
          <cell r="D2403">
            <v>924.2</v>
          </cell>
          <cell r="E2403">
            <v>23105</v>
          </cell>
          <cell r="F2403" t="str">
            <v>A3-S2</v>
          </cell>
          <cell r="G2403" t="str">
            <v>Side bottom rail - Đố hông dưới</v>
          </cell>
          <cell r="H2403" t="str">
            <v>Wood US Poplar - Straight Edged, 2 COM - T38mm x W100mm Up x L1.8m Up</v>
          </cell>
          <cell r="I2403">
            <v>75</v>
          </cell>
        </row>
        <row r="2404">
          <cell r="A2404" t="str">
            <v>B558305/A</v>
          </cell>
          <cell r="B2404" t="str">
            <v>RH2000AM13</v>
          </cell>
          <cell r="C2404">
            <v>25</v>
          </cell>
          <cell r="D2404">
            <v>924.2</v>
          </cell>
          <cell r="E2404">
            <v>23105</v>
          </cell>
          <cell r="F2404" t="str">
            <v>A3-S3</v>
          </cell>
          <cell r="G2404" t="str">
            <v>Vertical rail 1 - Đố đứng 1</v>
          </cell>
          <cell r="H2404" t="str">
            <v>Pre-Assembly</v>
          </cell>
          <cell r="I2404">
            <v>25</v>
          </cell>
        </row>
        <row r="2405">
          <cell r="A2405" t="str">
            <v>B558305/A</v>
          </cell>
          <cell r="B2405" t="str">
            <v>RH2000AM13</v>
          </cell>
          <cell r="C2405">
            <v>25</v>
          </cell>
          <cell r="D2405">
            <v>924.2</v>
          </cell>
          <cell r="E2405">
            <v>23105</v>
          </cell>
          <cell r="F2405" t="str">
            <v>A3-S4</v>
          </cell>
          <cell r="G2405" t="str">
            <v>Vertical rail 2 - Đố đứng 2</v>
          </cell>
          <cell r="H2405" t="str">
            <v>Pre-Assembly</v>
          </cell>
          <cell r="I2405">
            <v>25</v>
          </cell>
        </row>
        <row r="2406">
          <cell r="A2406" t="str">
            <v>B558305/A</v>
          </cell>
          <cell r="B2406" t="str">
            <v>RH2000AM13</v>
          </cell>
          <cell r="C2406">
            <v>25</v>
          </cell>
          <cell r="D2406">
            <v>924.2</v>
          </cell>
          <cell r="E2406">
            <v>23105</v>
          </cell>
          <cell r="F2406" t="str">
            <v>A3-S5</v>
          </cell>
          <cell r="G2406" t="str">
            <v>Center rail - Đố giữa</v>
          </cell>
          <cell r="H2406" t="str">
            <v>Wood US Poplar - Straight Edged, 2 COM - T38mm x W100mm Up x L1.8m Up</v>
          </cell>
          <cell r="I2406">
            <v>25</v>
          </cell>
        </row>
        <row r="2407">
          <cell r="A2407" t="str">
            <v>B558305/A</v>
          </cell>
          <cell r="B2407" t="str">
            <v>RH2000AM13</v>
          </cell>
          <cell r="C2407">
            <v>25</v>
          </cell>
          <cell r="D2407">
            <v>924.2</v>
          </cell>
          <cell r="E2407">
            <v>23105</v>
          </cell>
          <cell r="F2407" t="str">
            <v>A3-S6</v>
          </cell>
          <cell r="G2407" t="str">
            <v>Side bottom rail - Đố hông dưới</v>
          </cell>
          <cell r="H2407" t="str">
            <v>Wood US Poplar - Straight Edged, 2 COM - T32mm x W100mm Up x L1.8m Up</v>
          </cell>
          <cell r="I2407">
            <v>50</v>
          </cell>
        </row>
        <row r="2408">
          <cell r="A2408" t="str">
            <v>B558305/A</v>
          </cell>
          <cell r="B2408" t="str">
            <v>RH2000AM13</v>
          </cell>
          <cell r="C2408">
            <v>25</v>
          </cell>
          <cell r="D2408">
            <v>924.2</v>
          </cell>
          <cell r="E2408">
            <v>23105</v>
          </cell>
          <cell r="F2408" t="str">
            <v>A3-S7</v>
          </cell>
          <cell r="G2408" t="str">
            <v>Front rail  - Đố tiền</v>
          </cell>
          <cell r="H2408" t="str">
            <v>Wood US Poplar - Straight Edged, 2 COM - T38mm x W100mm Up x L1.8m Up</v>
          </cell>
          <cell r="I2408">
            <v>25</v>
          </cell>
        </row>
        <row r="2409">
          <cell r="A2409" t="str">
            <v>B558305/A</v>
          </cell>
          <cell r="B2409" t="str">
            <v>RH2000AM13</v>
          </cell>
          <cell r="C2409">
            <v>25</v>
          </cell>
          <cell r="D2409">
            <v>924.2</v>
          </cell>
          <cell r="E2409">
            <v>23105</v>
          </cell>
          <cell r="F2409" t="str">
            <v>A4-S1</v>
          </cell>
          <cell r="G2409" t="str">
            <v>Center rail - Đố giữa</v>
          </cell>
          <cell r="H2409" t="str">
            <v>Wood US Poplar - Straight Edged, 2 COM - T38mm x W100mm Up x L1.8m Up</v>
          </cell>
          <cell r="I2409">
            <v>25</v>
          </cell>
        </row>
        <row r="2410">
          <cell r="A2410" t="str">
            <v>B558305/A</v>
          </cell>
          <cell r="B2410" t="str">
            <v>RH2000AM13</v>
          </cell>
          <cell r="C2410">
            <v>25</v>
          </cell>
          <cell r="D2410">
            <v>924.2</v>
          </cell>
          <cell r="E2410">
            <v>23105</v>
          </cell>
          <cell r="F2410" t="str">
            <v>A4-S2</v>
          </cell>
          <cell r="G2410" t="str">
            <v>Vertical rail 1 - Đố đứng 1</v>
          </cell>
          <cell r="H2410" t="str">
            <v>Pre-Assembly</v>
          </cell>
          <cell r="I2410">
            <v>50</v>
          </cell>
        </row>
        <row r="2411">
          <cell r="A2411" t="str">
            <v>B558305/A</v>
          </cell>
          <cell r="B2411" t="str">
            <v>RH2000AM13</v>
          </cell>
          <cell r="C2411">
            <v>25</v>
          </cell>
          <cell r="D2411">
            <v>924.2</v>
          </cell>
          <cell r="E2411">
            <v>23105</v>
          </cell>
          <cell r="F2411" t="str">
            <v>A4-S2-1</v>
          </cell>
          <cell r="G2411" t="str">
            <v>VN outside - Veneer phía ngoài</v>
          </cell>
          <cell r="H2411" t="str">
            <v>Veneer laminate</v>
          </cell>
          <cell r="I2411">
            <v>200</v>
          </cell>
        </row>
        <row r="2412">
          <cell r="A2412" t="str">
            <v>B558305/A</v>
          </cell>
          <cell r="B2412" t="str">
            <v>RH2000AM13</v>
          </cell>
          <cell r="C2412">
            <v>25</v>
          </cell>
          <cell r="D2412">
            <v>924.2</v>
          </cell>
          <cell r="E2412">
            <v>23105</v>
          </cell>
          <cell r="F2412" t="str">
            <v>A4-S2-3</v>
          </cell>
          <cell r="G2412" t="str">
            <v>Wood laminater - Gỗ ghép 1</v>
          </cell>
          <cell r="H2412" t="str">
            <v>Wood laminate</v>
          </cell>
          <cell r="I2412">
            <v>200</v>
          </cell>
        </row>
        <row r="2413">
          <cell r="A2413" t="str">
            <v>B558305/A</v>
          </cell>
          <cell r="B2413" t="str">
            <v>RH2000AM13</v>
          </cell>
          <cell r="C2413">
            <v>25</v>
          </cell>
          <cell r="D2413">
            <v>924.2</v>
          </cell>
          <cell r="E2413">
            <v>23105</v>
          </cell>
          <cell r="F2413" t="str">
            <v>P01</v>
          </cell>
          <cell r="G2413" t="str">
            <v>slat buy - dạt mua từ nhà cung</v>
          </cell>
          <cell r="H2413" t="str">
            <v>Slat buy</v>
          </cell>
          <cell r="I2413">
            <v>325</v>
          </cell>
        </row>
        <row r="2414">
          <cell r="A2414" t="str">
            <v>B558305/A</v>
          </cell>
          <cell r="B2414" t="str">
            <v>RH2000AM13</v>
          </cell>
          <cell r="C2414">
            <v>25</v>
          </cell>
          <cell r="D2414">
            <v>924.2</v>
          </cell>
          <cell r="E2414">
            <v>23105</v>
          </cell>
          <cell r="F2414" t="str">
            <v>P02</v>
          </cell>
          <cell r="G2414" t="str">
            <v>slat buy - dạt mua từ nhà cung</v>
          </cell>
          <cell r="H2414" t="str">
            <v>Slat buy</v>
          </cell>
          <cell r="I2414">
            <v>125</v>
          </cell>
        </row>
        <row r="2415">
          <cell r="A2415" t="str">
            <v>B558305/A</v>
          </cell>
          <cell r="B2415" t="str">
            <v>RH2000AM13</v>
          </cell>
          <cell r="C2415">
            <v>25</v>
          </cell>
          <cell r="D2415">
            <v>924.2</v>
          </cell>
          <cell r="E2415">
            <v>23105</v>
          </cell>
          <cell r="F2415" t="str">
            <v>P03</v>
          </cell>
          <cell r="G2415" t="str">
            <v>panel platform - ván sàn giường</v>
          </cell>
          <cell r="H2415" t="str">
            <v>MDF Veneer</v>
          </cell>
          <cell r="I2415">
            <v>50</v>
          </cell>
        </row>
        <row r="2416">
          <cell r="A2416" t="str">
            <v>B558225/A</v>
          </cell>
          <cell r="B2416" t="str">
            <v>RH2021M95</v>
          </cell>
          <cell r="C2416">
            <v>35</v>
          </cell>
          <cell r="D2416">
            <v>975.62</v>
          </cell>
          <cell r="E2416">
            <v>34146.699999999997</v>
          </cell>
          <cell r="F2416" t="str">
            <v>A1</v>
          </cell>
          <cell r="G2416" t="str">
            <v>Foot board  - Đuôi giường</v>
          </cell>
          <cell r="H2416" t="str">
            <v>Pre-Assembly</v>
          </cell>
          <cell r="I2416">
            <v>35</v>
          </cell>
        </row>
        <row r="2417">
          <cell r="A2417" t="str">
            <v>B558225/A</v>
          </cell>
          <cell r="B2417" t="str">
            <v>RH2021M95</v>
          </cell>
          <cell r="C2417">
            <v>35</v>
          </cell>
          <cell r="D2417">
            <v>975.62</v>
          </cell>
          <cell r="E2417">
            <v>34146.699999999997</v>
          </cell>
          <cell r="F2417" t="str">
            <v>A1-S01</v>
          </cell>
          <cell r="G2417" t="str">
            <v>the post - trụ</v>
          </cell>
          <cell r="H2417" t="str">
            <v>Wood laminate</v>
          </cell>
          <cell r="I2417">
            <v>70</v>
          </cell>
        </row>
        <row r="2418">
          <cell r="A2418" t="str">
            <v>B558225/A</v>
          </cell>
          <cell r="B2418" t="str">
            <v>RH2021M95</v>
          </cell>
          <cell r="C2418">
            <v>35</v>
          </cell>
          <cell r="D2418">
            <v>975.62</v>
          </cell>
          <cell r="E2418">
            <v>34146.699999999997</v>
          </cell>
          <cell r="F2418" t="str">
            <v>A1-S02</v>
          </cell>
          <cell r="G2418" t="str">
            <v xml:space="preserve">Side rail  - Đố hông </v>
          </cell>
          <cell r="H2418" t="str">
            <v>Wood EU Beech - Straight/Waving Edged ABC, 2 COM - T50mm x W100mm up x L1.8m up</v>
          </cell>
          <cell r="I2418">
            <v>70</v>
          </cell>
        </row>
        <row r="2419">
          <cell r="A2419" t="str">
            <v>B558225/A</v>
          </cell>
          <cell r="B2419" t="str">
            <v>RH2021M95</v>
          </cell>
          <cell r="C2419">
            <v>35</v>
          </cell>
          <cell r="D2419">
            <v>975.62</v>
          </cell>
          <cell r="E2419">
            <v>34146.699999999997</v>
          </cell>
          <cell r="F2419" t="str">
            <v>A1-S03</v>
          </cell>
          <cell r="G2419" t="str">
            <v xml:space="preserve">Side rail  - Đố hông </v>
          </cell>
          <cell r="H2419" t="str">
            <v>Wood laminate</v>
          </cell>
          <cell r="I2419">
            <v>70</v>
          </cell>
        </row>
        <row r="2420">
          <cell r="A2420" t="str">
            <v>B558225/A</v>
          </cell>
          <cell r="B2420" t="str">
            <v>RH2021M95</v>
          </cell>
          <cell r="C2420">
            <v>35</v>
          </cell>
          <cell r="D2420">
            <v>975.62</v>
          </cell>
          <cell r="E2420">
            <v>34146.699999999997</v>
          </cell>
          <cell r="F2420" t="str">
            <v>A1-S04</v>
          </cell>
          <cell r="G2420" t="str">
            <v>Head board  - Đầu giường</v>
          </cell>
          <cell r="H2420" t="str">
            <v>Pre-Assembly</v>
          </cell>
          <cell r="I2420">
            <v>70</v>
          </cell>
        </row>
        <row r="2421">
          <cell r="A2421" t="str">
            <v>B558225/A</v>
          </cell>
          <cell r="B2421" t="str">
            <v>RH2021M95</v>
          </cell>
          <cell r="C2421">
            <v>35</v>
          </cell>
          <cell r="D2421">
            <v>975.62</v>
          </cell>
          <cell r="E2421">
            <v>34146.699999999997</v>
          </cell>
          <cell r="F2421" t="str">
            <v>A1-S04-1</v>
          </cell>
          <cell r="G2421" t="str">
            <v xml:space="preserve">Panel - Ván </v>
          </cell>
          <cell r="H2421" t="str">
            <v>MDF - 18 x 1830 x 2440mm [CARB P2 Compliant]</v>
          </cell>
          <cell r="I2421">
            <v>70</v>
          </cell>
        </row>
        <row r="2422">
          <cell r="A2422" t="str">
            <v>B558225/A</v>
          </cell>
          <cell r="B2422" t="str">
            <v>RH2021M95</v>
          </cell>
          <cell r="C2422">
            <v>35</v>
          </cell>
          <cell r="D2422">
            <v>975.62</v>
          </cell>
          <cell r="E2422">
            <v>34146.699999999997</v>
          </cell>
          <cell r="F2422" t="str">
            <v>A1-S04-2</v>
          </cell>
          <cell r="G2422" t="str">
            <v xml:space="preserve">Panel - Ván </v>
          </cell>
          <cell r="H2422" t="str">
            <v>MDF Veneer</v>
          </cell>
          <cell r="I2422">
            <v>70</v>
          </cell>
        </row>
        <row r="2423">
          <cell r="A2423" t="str">
            <v>B558225/A</v>
          </cell>
          <cell r="B2423" t="str">
            <v>RH2021M95</v>
          </cell>
          <cell r="C2423">
            <v>35</v>
          </cell>
          <cell r="D2423">
            <v>975.62</v>
          </cell>
          <cell r="E2423">
            <v>34146.699999999997</v>
          </cell>
          <cell r="F2423" t="str">
            <v>A1-S04-3</v>
          </cell>
          <cell r="G2423" t="str">
            <v>Insert Wood - Gỗ chèn</v>
          </cell>
          <cell r="H2423" t="str">
            <v>Wood US Poplar - Straight Edged, 2 COM - T25mm x W100mm Up x L1.8m Up</v>
          </cell>
          <cell r="I2423">
            <v>280</v>
          </cell>
        </row>
        <row r="2424">
          <cell r="A2424" t="str">
            <v>B558225/A</v>
          </cell>
          <cell r="B2424" t="str">
            <v>RH2021M95</v>
          </cell>
          <cell r="C2424">
            <v>35</v>
          </cell>
          <cell r="D2424">
            <v>975.62</v>
          </cell>
          <cell r="E2424">
            <v>34146.699999999997</v>
          </cell>
          <cell r="F2424" t="str">
            <v>A1-S05</v>
          </cell>
          <cell r="G2424" t="str">
            <v>Back bottom rail - Đố hậu đáy</v>
          </cell>
          <cell r="H2424" t="str">
            <v>Wood EU Beech - Straight/Waving Edged ABC, 2 COM - T26mm x W100mm up x L1.8m up</v>
          </cell>
          <cell r="I2424">
            <v>35</v>
          </cell>
        </row>
        <row r="2425">
          <cell r="A2425" t="str">
            <v>B558225/A</v>
          </cell>
          <cell r="B2425" t="str">
            <v>RH2021M95</v>
          </cell>
          <cell r="C2425">
            <v>35</v>
          </cell>
          <cell r="D2425">
            <v>975.62</v>
          </cell>
          <cell r="E2425">
            <v>34146.699999999997</v>
          </cell>
          <cell r="F2425" t="str">
            <v>A1-S06</v>
          </cell>
          <cell r="G2425" t="str">
            <v xml:space="preserve">Side rail  - Đố hông </v>
          </cell>
          <cell r="H2425" t="str">
            <v>Wood EU Beech - Straight/Waving Edged ABC, 2 COM - T32mm x W100mm up x L1.8m up</v>
          </cell>
          <cell r="I2425">
            <v>70</v>
          </cell>
        </row>
        <row r="2426">
          <cell r="A2426" t="str">
            <v>B558225/A</v>
          </cell>
          <cell r="B2426" t="str">
            <v>RH2021M95</v>
          </cell>
          <cell r="C2426">
            <v>35</v>
          </cell>
          <cell r="D2426">
            <v>975.62</v>
          </cell>
          <cell r="E2426">
            <v>34146.699999999997</v>
          </cell>
          <cell r="F2426" t="str">
            <v>A1-S08</v>
          </cell>
          <cell r="G2426" t="str">
            <v xml:space="preserve">Side rail  - Đố hông </v>
          </cell>
          <cell r="H2426" t="str">
            <v>Wood EU Beech - Straight/Waving Edged ABC, 2 COM - T38mm x W100mm up x L1.8m up</v>
          </cell>
          <cell r="I2426">
            <v>35</v>
          </cell>
        </row>
        <row r="2427">
          <cell r="A2427" t="str">
            <v>B558225/A</v>
          </cell>
          <cell r="B2427" t="str">
            <v>RH2021M95</v>
          </cell>
          <cell r="C2427">
            <v>35</v>
          </cell>
          <cell r="D2427">
            <v>975.62</v>
          </cell>
          <cell r="E2427">
            <v>34146.699999999997</v>
          </cell>
          <cell r="F2427" t="str">
            <v>A1-S09</v>
          </cell>
          <cell r="G2427" t="str">
            <v xml:space="preserve">Side rail  - Đố hông </v>
          </cell>
          <cell r="H2427" t="str">
            <v>Wood EU Beech - Straight/Waving Edged ABC, 2 COM - T38mm x W100mm up x L1.8m up</v>
          </cell>
          <cell r="I2427">
            <v>70</v>
          </cell>
        </row>
        <row r="2428">
          <cell r="A2428" t="str">
            <v>B558225/A</v>
          </cell>
          <cell r="B2428" t="str">
            <v>RH2021M95</v>
          </cell>
          <cell r="C2428">
            <v>35</v>
          </cell>
          <cell r="D2428">
            <v>975.62</v>
          </cell>
          <cell r="E2428">
            <v>34146.699999999997</v>
          </cell>
          <cell r="F2428" t="str">
            <v>A2-S01</v>
          </cell>
          <cell r="G2428" t="str">
            <v xml:space="preserve">Side panel  - Ván hông </v>
          </cell>
          <cell r="H2428" t="str">
            <v>Pre-Assembly</v>
          </cell>
          <cell r="I2428">
            <v>35</v>
          </cell>
        </row>
        <row r="2429">
          <cell r="A2429" t="str">
            <v>B558225/A</v>
          </cell>
          <cell r="B2429" t="str">
            <v>RH2021M95</v>
          </cell>
          <cell r="C2429">
            <v>35</v>
          </cell>
          <cell r="D2429">
            <v>975.62</v>
          </cell>
          <cell r="E2429">
            <v>34146.699999999997</v>
          </cell>
          <cell r="F2429" t="str">
            <v>A2-S01-1</v>
          </cell>
          <cell r="G2429" t="str">
            <v xml:space="preserve">Side panel  - Ván hông </v>
          </cell>
          <cell r="H2429" t="str">
            <v>MDF - 18 x 1830 x 2440mm [CARB P2 Compliant]</v>
          </cell>
          <cell r="I2429">
            <v>35</v>
          </cell>
        </row>
        <row r="2430">
          <cell r="A2430" t="str">
            <v>B558225/A</v>
          </cell>
          <cell r="B2430" t="str">
            <v>RH2021M95</v>
          </cell>
          <cell r="C2430">
            <v>35</v>
          </cell>
          <cell r="D2430">
            <v>975.62</v>
          </cell>
          <cell r="E2430">
            <v>34146.699999999997</v>
          </cell>
          <cell r="F2430" t="str">
            <v>A2-S01-2</v>
          </cell>
          <cell r="G2430" t="str">
            <v>Patching wood - Gỗ đắp</v>
          </cell>
          <cell r="H2430" t="str">
            <v>MDF - 12 x 1830 x 2440mm [CARB P2 Compliant]</v>
          </cell>
          <cell r="I2430">
            <v>35</v>
          </cell>
        </row>
        <row r="2431">
          <cell r="A2431" t="str">
            <v>B558225/A</v>
          </cell>
          <cell r="B2431" t="str">
            <v>RH2021M95</v>
          </cell>
          <cell r="C2431">
            <v>35</v>
          </cell>
          <cell r="D2431">
            <v>975.62</v>
          </cell>
          <cell r="E2431">
            <v>34146.699999999997</v>
          </cell>
          <cell r="F2431" t="str">
            <v>A2-S01-3</v>
          </cell>
          <cell r="G2431" t="str">
            <v>Patching wood - Gỗ đắp</v>
          </cell>
          <cell r="H2431" t="str">
            <v>MDF - 12 x 1830 x 2440mm [CARB P2 Compliant]</v>
          </cell>
          <cell r="I2431">
            <v>35</v>
          </cell>
        </row>
        <row r="2432">
          <cell r="A2432" t="str">
            <v>B558225/A</v>
          </cell>
          <cell r="B2432" t="str">
            <v>RH2021M95</v>
          </cell>
          <cell r="C2432">
            <v>35</v>
          </cell>
          <cell r="D2432">
            <v>975.62</v>
          </cell>
          <cell r="E2432">
            <v>34146.699999999997</v>
          </cell>
          <cell r="F2432" t="str">
            <v>A2-S01-4</v>
          </cell>
          <cell r="G2432" t="str">
            <v>Patching wood - Gỗ đắp</v>
          </cell>
          <cell r="H2432" t="str">
            <v>MDF - 12 x 1830 x 2440mm [CARB P2 Compliant]</v>
          </cell>
          <cell r="I2432">
            <v>70</v>
          </cell>
        </row>
        <row r="2433">
          <cell r="A2433" t="str">
            <v>B558225/A</v>
          </cell>
          <cell r="B2433" t="str">
            <v>RH2021M95</v>
          </cell>
          <cell r="C2433">
            <v>35</v>
          </cell>
          <cell r="D2433">
            <v>975.62</v>
          </cell>
          <cell r="E2433">
            <v>34146.699999999997</v>
          </cell>
          <cell r="F2433" t="str">
            <v>A2-S02</v>
          </cell>
          <cell r="G2433" t="str">
            <v xml:space="preserve">Side rail  - Đố hông </v>
          </cell>
          <cell r="H2433" t="str">
            <v>Wood EU Beech - Straight/Waving Edged ABC, 2 COM - T38mm x W100mm up x L1.8m up</v>
          </cell>
          <cell r="I2433">
            <v>70</v>
          </cell>
        </row>
        <row r="2434">
          <cell r="A2434" t="str">
            <v>B558225/A</v>
          </cell>
          <cell r="B2434" t="str">
            <v>RH2021M95</v>
          </cell>
          <cell r="C2434">
            <v>35</v>
          </cell>
          <cell r="D2434">
            <v>975.62</v>
          </cell>
          <cell r="E2434">
            <v>34146.699999999997</v>
          </cell>
          <cell r="F2434" t="str">
            <v>A2-S03</v>
          </cell>
          <cell r="G2434" t="str">
            <v>Bottom rail inside - Đố tiền đáy</v>
          </cell>
          <cell r="H2434" t="str">
            <v>Wood EU Beech - Straight/Waving Edged ABC, 2 COM - T38mm x W100mm up x L1.8m up</v>
          </cell>
          <cell r="I2434">
            <v>35</v>
          </cell>
        </row>
        <row r="2435">
          <cell r="A2435" t="str">
            <v>B558225/A</v>
          </cell>
          <cell r="B2435" t="str">
            <v>RH2021M95</v>
          </cell>
          <cell r="C2435">
            <v>35</v>
          </cell>
          <cell r="D2435">
            <v>975.62</v>
          </cell>
          <cell r="E2435">
            <v>34146.699999999997</v>
          </cell>
          <cell r="F2435" t="str">
            <v>A2-S4</v>
          </cell>
          <cell r="G2435" t="str">
            <v xml:space="preserve">Side rail  - Đố hông </v>
          </cell>
          <cell r="H2435" t="str">
            <v>Wood US Poplar - Straight Edged, 2 COM - T50mm x W100mm Up x L1.8m Up</v>
          </cell>
          <cell r="I2435">
            <v>35</v>
          </cell>
        </row>
        <row r="2436">
          <cell r="A2436" t="str">
            <v>B558225/A</v>
          </cell>
          <cell r="B2436" t="str">
            <v>RH2021M95</v>
          </cell>
          <cell r="C2436">
            <v>35</v>
          </cell>
          <cell r="D2436">
            <v>975.62</v>
          </cell>
          <cell r="E2436">
            <v>34146.699999999997</v>
          </cell>
          <cell r="F2436" t="str">
            <v>A3-S01</v>
          </cell>
          <cell r="G2436" t="str">
            <v>Drawer stop - Dừng hộc</v>
          </cell>
          <cell r="H2436" t="str">
            <v>TRAM OFF CUT</v>
          </cell>
          <cell r="I2436">
            <v>210</v>
          </cell>
        </row>
        <row r="2437">
          <cell r="A2437" t="str">
            <v>B558225/A</v>
          </cell>
          <cell r="B2437" t="str">
            <v>RH2021M95</v>
          </cell>
          <cell r="C2437">
            <v>35</v>
          </cell>
          <cell r="D2437">
            <v>975.62</v>
          </cell>
          <cell r="E2437">
            <v>34146.699999999997</v>
          </cell>
          <cell r="F2437" t="str">
            <v>A3-S02</v>
          </cell>
          <cell r="G2437" t="str">
            <v xml:space="preserve">Side panel  - Ván hông </v>
          </cell>
          <cell r="H2437" t="str">
            <v>MDF Veneer</v>
          </cell>
          <cell r="I2437">
            <v>35</v>
          </cell>
        </row>
        <row r="2438">
          <cell r="A2438" t="str">
            <v>B558225/A</v>
          </cell>
          <cell r="B2438" t="str">
            <v>RH2021M95</v>
          </cell>
          <cell r="C2438">
            <v>35</v>
          </cell>
          <cell r="D2438">
            <v>975.62</v>
          </cell>
          <cell r="E2438">
            <v>34146.699999999997</v>
          </cell>
          <cell r="F2438" t="str">
            <v>A3-S03</v>
          </cell>
          <cell r="G2438" t="str">
            <v>Cleat - Bọ gỗ</v>
          </cell>
          <cell r="H2438" t="str">
            <v>TRAM OFF CUT</v>
          </cell>
          <cell r="I2438">
            <v>280</v>
          </cell>
        </row>
        <row r="2439">
          <cell r="A2439" t="str">
            <v>B558225/A</v>
          </cell>
          <cell r="B2439" t="str">
            <v>RH2021M95</v>
          </cell>
          <cell r="C2439">
            <v>35</v>
          </cell>
          <cell r="D2439">
            <v>975.62</v>
          </cell>
          <cell r="E2439">
            <v>34146.699999999997</v>
          </cell>
          <cell r="F2439" t="str">
            <v>A3-S04</v>
          </cell>
          <cell r="G2439" t="str">
            <v>Front Bottom Rail  - Đố đáy trước</v>
          </cell>
          <cell r="H2439" t="str">
            <v>Wood EU Beech - Straight/Waving Edged ABC, 2 COM - T32mm x W100mm up x L1.8m up</v>
          </cell>
          <cell r="I2439">
            <v>35</v>
          </cell>
        </row>
        <row r="2440">
          <cell r="A2440" t="str">
            <v>B558225/A</v>
          </cell>
          <cell r="B2440" t="str">
            <v>RH2021M95</v>
          </cell>
          <cell r="C2440">
            <v>35</v>
          </cell>
          <cell r="D2440">
            <v>975.62</v>
          </cell>
          <cell r="E2440">
            <v>34146.699999999997</v>
          </cell>
          <cell r="F2440" t="str">
            <v>A3-S07</v>
          </cell>
          <cell r="G2440" t="str">
            <v>Center rail - Đố giữa</v>
          </cell>
          <cell r="H2440" t="str">
            <v>Wood US Poplar - Straight Edged, 2 COM - T38mm x W100mm Up x L1.8m Up</v>
          </cell>
          <cell r="I2440">
            <v>70</v>
          </cell>
        </row>
        <row r="2441">
          <cell r="A2441" t="str">
            <v>B558225/A</v>
          </cell>
          <cell r="B2441" t="str">
            <v>RH2021M95</v>
          </cell>
          <cell r="C2441">
            <v>35</v>
          </cell>
          <cell r="D2441">
            <v>975.62</v>
          </cell>
          <cell r="E2441">
            <v>34146.699999999997</v>
          </cell>
          <cell r="F2441" t="str">
            <v>A3-S08</v>
          </cell>
          <cell r="G2441" t="str">
            <v>Back rail with note finger - đố hậu</v>
          </cell>
          <cell r="H2441" t="str">
            <v>Wood US Poplar - Straight Edged, 2 COM - T25mm x W100mm Up x L1.8m Up</v>
          </cell>
          <cell r="I2441">
            <v>70</v>
          </cell>
        </row>
        <row r="2442">
          <cell r="A2442" t="str">
            <v>B558225/A</v>
          </cell>
          <cell r="B2442" t="str">
            <v>RH2021M95</v>
          </cell>
          <cell r="C2442">
            <v>35</v>
          </cell>
          <cell r="D2442">
            <v>975.62</v>
          </cell>
          <cell r="E2442">
            <v>34146.699999999997</v>
          </cell>
          <cell r="F2442" t="str">
            <v>A3-S09</v>
          </cell>
          <cell r="G2442" t="str">
            <v>Center bottom rail - Đố đáy giữa</v>
          </cell>
          <cell r="H2442" t="str">
            <v>Wood US Poplar - Straight Edged, 2 COM - T25mm x W100mm Up x L1.8m Up</v>
          </cell>
          <cell r="I2442">
            <v>105</v>
          </cell>
        </row>
        <row r="2443">
          <cell r="A2443" t="str">
            <v>B558225/A</v>
          </cell>
          <cell r="B2443" t="str">
            <v>RH2021M95</v>
          </cell>
          <cell r="C2443">
            <v>35</v>
          </cell>
          <cell r="D2443">
            <v>975.62</v>
          </cell>
          <cell r="E2443">
            <v>34146.699999999997</v>
          </cell>
          <cell r="F2443" t="str">
            <v>A3-S09A</v>
          </cell>
          <cell r="G2443" t="str">
            <v>center rail with note - đố giữa</v>
          </cell>
          <cell r="H2443" t="str">
            <v>MDF OFF CUT</v>
          </cell>
          <cell r="I2443">
            <v>70</v>
          </cell>
        </row>
        <row r="2444">
          <cell r="A2444" t="str">
            <v>B558225/A</v>
          </cell>
          <cell r="B2444" t="str">
            <v>RH2021M95</v>
          </cell>
          <cell r="C2444">
            <v>35</v>
          </cell>
          <cell r="D2444">
            <v>975.62</v>
          </cell>
          <cell r="E2444">
            <v>34146.699999999997</v>
          </cell>
          <cell r="F2444" t="str">
            <v>A3-S10</v>
          </cell>
          <cell r="G2444" t="str">
            <v>Back bottom rail - Đố hậu đáy</v>
          </cell>
          <cell r="H2444" t="str">
            <v>Wood EU Beech - Straight/Waving Edged ABC, 2 COM - T26mm x W100mm up x L1.8m up</v>
          </cell>
          <cell r="I2444">
            <v>35</v>
          </cell>
        </row>
        <row r="2445">
          <cell r="A2445" t="str">
            <v>B558225/A</v>
          </cell>
          <cell r="B2445" t="str">
            <v>RH2021M95</v>
          </cell>
          <cell r="C2445">
            <v>35</v>
          </cell>
          <cell r="D2445">
            <v>975.62</v>
          </cell>
          <cell r="E2445">
            <v>34146.699999999997</v>
          </cell>
          <cell r="F2445" t="str">
            <v>A3-S11</v>
          </cell>
          <cell r="G2445" t="str">
            <v>Back top rail - Đố hậu nóc</v>
          </cell>
          <cell r="H2445" t="str">
            <v>Wood EU Beech - Straight/Waving Edged ABC, 2 COM - T26mm x W100mm up x L1.8m up</v>
          </cell>
          <cell r="I2445">
            <v>35</v>
          </cell>
        </row>
        <row r="2446">
          <cell r="A2446" t="str">
            <v>B558225/A</v>
          </cell>
          <cell r="B2446" t="str">
            <v>RH2021M95</v>
          </cell>
          <cell r="C2446">
            <v>35</v>
          </cell>
          <cell r="D2446">
            <v>975.62</v>
          </cell>
          <cell r="E2446">
            <v>34146.699999999997</v>
          </cell>
          <cell r="F2446" t="str">
            <v>A3-S12</v>
          </cell>
          <cell r="G2446" t="str">
            <v xml:space="preserve">Top panel  - Ván nóc </v>
          </cell>
          <cell r="H2446" t="str">
            <v>MDF Veneer</v>
          </cell>
          <cell r="I2446">
            <v>35</v>
          </cell>
        </row>
        <row r="2447">
          <cell r="A2447" t="str">
            <v>B558225/A</v>
          </cell>
          <cell r="B2447" t="str">
            <v>RH2021M95</v>
          </cell>
          <cell r="C2447">
            <v>35</v>
          </cell>
          <cell r="D2447">
            <v>975.62</v>
          </cell>
          <cell r="E2447">
            <v>34146.699999999997</v>
          </cell>
          <cell r="F2447" t="str">
            <v>A3-S13</v>
          </cell>
          <cell r="G2447" t="str">
            <v>Bottom panel - Ván đáy</v>
          </cell>
          <cell r="H2447" t="str">
            <v>MDF - 06 x 1830 x 2440mm [CARB P2 Compliant]</v>
          </cell>
          <cell r="I2447">
            <v>35</v>
          </cell>
        </row>
        <row r="2448">
          <cell r="A2448" t="str">
            <v>B558225/A</v>
          </cell>
          <cell r="B2448" t="str">
            <v>RH2021M95</v>
          </cell>
          <cell r="C2448">
            <v>35</v>
          </cell>
          <cell r="D2448">
            <v>975.62</v>
          </cell>
          <cell r="E2448">
            <v>34146.699999999997</v>
          </cell>
          <cell r="F2448" t="str">
            <v>A3-S14</v>
          </cell>
          <cell r="G2448" t="str">
            <v>Back panel - Ván hậu</v>
          </cell>
          <cell r="H2448" t="str">
            <v>MDF - 06 x 1220 x 2440mm, Veneer Okoume 0.3mm Both Faces [CARB P2 Compliant]</v>
          </cell>
          <cell r="I2448">
            <v>35</v>
          </cell>
        </row>
        <row r="2449">
          <cell r="A2449" t="str">
            <v>B558225/A</v>
          </cell>
          <cell r="B2449" t="str">
            <v>RH2021M95</v>
          </cell>
          <cell r="C2449">
            <v>35</v>
          </cell>
          <cell r="D2449">
            <v>975.62</v>
          </cell>
          <cell r="E2449">
            <v>34146.699999999997</v>
          </cell>
          <cell r="F2449" t="str">
            <v>A3-S15</v>
          </cell>
          <cell r="G2449" t="str">
            <v xml:space="preserve">Side panel  - Ván hông </v>
          </cell>
          <cell r="H2449" t="str">
            <v>MDF Veneer</v>
          </cell>
          <cell r="I2449">
            <v>70</v>
          </cell>
        </row>
        <row r="2450">
          <cell r="A2450" t="str">
            <v>B558225/A</v>
          </cell>
          <cell r="B2450" t="str">
            <v>RH2021M95</v>
          </cell>
          <cell r="C2450">
            <v>35</v>
          </cell>
          <cell r="D2450">
            <v>975.62</v>
          </cell>
          <cell r="E2450">
            <v>34146.699999999997</v>
          </cell>
          <cell r="F2450" t="str">
            <v>A3-S16A</v>
          </cell>
          <cell r="G2450" t="str">
            <v xml:space="preserve">Side rail  - Đố hông </v>
          </cell>
          <cell r="H2450" t="str">
            <v>Wood US Poplar - Straight Edged, 2 COM - T25mm x W100mm Up x L1.8m Up</v>
          </cell>
          <cell r="I2450">
            <v>70</v>
          </cell>
        </row>
        <row r="2451">
          <cell r="A2451" t="str">
            <v>B558225/A</v>
          </cell>
          <cell r="B2451" t="str">
            <v>RH2021M95</v>
          </cell>
          <cell r="C2451">
            <v>35</v>
          </cell>
          <cell r="D2451">
            <v>975.62</v>
          </cell>
          <cell r="E2451">
            <v>34146.699999999997</v>
          </cell>
          <cell r="F2451" t="str">
            <v>A3-S18</v>
          </cell>
          <cell r="G2451" t="str">
            <v>Cleat - Bọ gỗ</v>
          </cell>
          <cell r="H2451" t="str">
            <v>Wood laminate</v>
          </cell>
          <cell r="I2451">
            <v>105</v>
          </cell>
        </row>
        <row r="2452">
          <cell r="A2452" t="str">
            <v>B558225/A</v>
          </cell>
          <cell r="B2452" t="str">
            <v>RH2021M95</v>
          </cell>
          <cell r="C2452">
            <v>35</v>
          </cell>
          <cell r="D2452">
            <v>975.62</v>
          </cell>
          <cell r="E2452">
            <v>34146.699999999997</v>
          </cell>
          <cell r="F2452" t="str">
            <v>A3-S19</v>
          </cell>
          <cell r="G2452" t="str">
            <v xml:space="preserve">Side rail  - Đố hông </v>
          </cell>
          <cell r="H2452" t="str">
            <v>Wood US Poplar - Straight Edged, 2 COM - T50mm x W100mm Up x L1.8m Up</v>
          </cell>
          <cell r="I2452">
            <v>35</v>
          </cell>
        </row>
        <row r="2453">
          <cell r="A2453" t="str">
            <v>B558225/A</v>
          </cell>
          <cell r="B2453" t="str">
            <v>RH2021M95</v>
          </cell>
          <cell r="C2453">
            <v>35</v>
          </cell>
          <cell r="D2453">
            <v>975.62</v>
          </cell>
          <cell r="E2453">
            <v>34146.699999999997</v>
          </cell>
          <cell r="F2453" t="str">
            <v>A3-S20</v>
          </cell>
          <cell r="G2453" t="str">
            <v>Cleat - Bọ gỗ</v>
          </cell>
          <cell r="H2453" t="str">
            <v>Poplar off cut</v>
          </cell>
          <cell r="I2453">
            <v>70</v>
          </cell>
        </row>
        <row r="2454">
          <cell r="A2454" t="str">
            <v>B558225/A</v>
          </cell>
          <cell r="B2454" t="str">
            <v>RH2021M95</v>
          </cell>
          <cell r="C2454">
            <v>35</v>
          </cell>
          <cell r="D2454">
            <v>975.62</v>
          </cell>
          <cell r="E2454">
            <v>34146.699999999997</v>
          </cell>
          <cell r="F2454" t="str">
            <v>A4</v>
          </cell>
          <cell r="G2454" t="str">
            <v>Foot board  - Đuôi giường</v>
          </cell>
          <cell r="H2454" t="str">
            <v>Pre-Assembly</v>
          </cell>
          <cell r="I2454">
            <v>35</v>
          </cell>
        </row>
        <row r="2455">
          <cell r="A2455" t="str">
            <v>B558225/A</v>
          </cell>
          <cell r="B2455" t="str">
            <v>RH2021M95</v>
          </cell>
          <cell r="C2455">
            <v>35</v>
          </cell>
          <cell r="D2455">
            <v>975.62</v>
          </cell>
          <cell r="E2455">
            <v>34146.699999999997</v>
          </cell>
          <cell r="F2455" t="str">
            <v>A4-S01</v>
          </cell>
          <cell r="G2455" t="str">
            <v>the post - trụ</v>
          </cell>
          <cell r="H2455" t="str">
            <v>Wood laminate</v>
          </cell>
          <cell r="I2455">
            <v>70</v>
          </cell>
        </row>
        <row r="2456">
          <cell r="A2456" t="str">
            <v>B558225/A</v>
          </cell>
          <cell r="B2456" t="str">
            <v>RH2021M95</v>
          </cell>
          <cell r="C2456">
            <v>35</v>
          </cell>
          <cell r="D2456">
            <v>975.62</v>
          </cell>
          <cell r="E2456">
            <v>34146.699999999997</v>
          </cell>
          <cell r="F2456" t="str">
            <v>A4-S02</v>
          </cell>
          <cell r="G2456" t="str">
            <v>Side top rail - Đố hông trên</v>
          </cell>
          <cell r="H2456" t="str">
            <v>Wood EU Beech - Straight/Waving Edged ABC, 2 COM - T38mm x W100mm up x L1.8m up</v>
          </cell>
          <cell r="I2456">
            <v>35</v>
          </cell>
        </row>
        <row r="2457">
          <cell r="A2457" t="str">
            <v>B558225/A</v>
          </cell>
          <cell r="B2457" t="str">
            <v>RH2021M95</v>
          </cell>
          <cell r="C2457">
            <v>35</v>
          </cell>
          <cell r="D2457">
            <v>975.62</v>
          </cell>
          <cell r="E2457">
            <v>34146.699999999997</v>
          </cell>
          <cell r="F2457" t="str">
            <v>A4-S04</v>
          </cell>
          <cell r="G2457" t="str">
            <v>Front Bottom Rail  - Đố đáy trước</v>
          </cell>
          <cell r="H2457" t="str">
            <v>Wood EU Beech - Straight/Waving Edged ABC, 2 COM - T26mm x W100mm up x L1.8m up</v>
          </cell>
          <cell r="I2457">
            <v>35</v>
          </cell>
        </row>
        <row r="2458">
          <cell r="A2458" t="str">
            <v>B558225/A</v>
          </cell>
          <cell r="B2458" t="str">
            <v>RH2021M95</v>
          </cell>
          <cell r="C2458">
            <v>35</v>
          </cell>
          <cell r="D2458">
            <v>975.62</v>
          </cell>
          <cell r="E2458">
            <v>34146.699999999997</v>
          </cell>
          <cell r="F2458" t="str">
            <v>A5-S01</v>
          </cell>
          <cell r="G2458" t="str">
            <v>the post - trụ</v>
          </cell>
          <cell r="H2458" t="str">
            <v>Wood EU Beech - Straight/Waving Edged ABC, 2 COM - T50mm x W100mm up x L1.8m up</v>
          </cell>
          <cell r="I2458">
            <v>70</v>
          </cell>
        </row>
        <row r="2459">
          <cell r="A2459" t="str">
            <v>B558225/A</v>
          </cell>
          <cell r="B2459" t="str">
            <v>RH2021M95</v>
          </cell>
          <cell r="C2459">
            <v>35</v>
          </cell>
          <cell r="D2459">
            <v>975.62</v>
          </cell>
          <cell r="E2459">
            <v>34146.699999999997</v>
          </cell>
          <cell r="F2459" t="str">
            <v>A5-S02</v>
          </cell>
          <cell r="G2459" t="str">
            <v xml:space="preserve">Side rail  - Đố hông </v>
          </cell>
          <cell r="H2459" t="str">
            <v>Wood EU Beech - Straight/Waving Edged ABC, 2 COM - T32mm x W100mm up x L1.8m up</v>
          </cell>
          <cell r="I2459">
            <v>70</v>
          </cell>
        </row>
        <row r="2460">
          <cell r="A2460" t="str">
            <v>B558225/A</v>
          </cell>
          <cell r="B2460" t="str">
            <v>RH2021M95</v>
          </cell>
          <cell r="C2460">
            <v>35</v>
          </cell>
          <cell r="D2460">
            <v>975.62</v>
          </cell>
          <cell r="E2460">
            <v>34146.699999999997</v>
          </cell>
          <cell r="F2460" t="str">
            <v>A6-S01</v>
          </cell>
          <cell r="G2460" t="str">
            <v xml:space="preserve">Side rail  - Đố hông </v>
          </cell>
          <cell r="H2460" t="str">
            <v>Wood EU Beech - Straight/Waving Edged ABC, 2 COM - T38mm x W100mm up x L1.8m up</v>
          </cell>
          <cell r="I2460">
            <v>70</v>
          </cell>
        </row>
        <row r="2461">
          <cell r="A2461" t="str">
            <v>B558225/A</v>
          </cell>
          <cell r="B2461" t="str">
            <v>RH2021M95</v>
          </cell>
          <cell r="C2461">
            <v>35</v>
          </cell>
          <cell r="D2461">
            <v>975.62</v>
          </cell>
          <cell r="E2461">
            <v>34146.699999999997</v>
          </cell>
          <cell r="F2461" t="str">
            <v>A6-S02</v>
          </cell>
          <cell r="G2461" t="str">
            <v>Slat Support  - Đỡ dạt giường</v>
          </cell>
          <cell r="H2461" t="str">
            <v>Wood US Poplar - Straight Edged, 1 COM - T38mm x W100mm Up x L1.8m Up</v>
          </cell>
          <cell r="I2461">
            <v>70</v>
          </cell>
        </row>
        <row r="2462">
          <cell r="A2462" t="str">
            <v>B558225/A</v>
          </cell>
          <cell r="B2462" t="str">
            <v>RH2021M95</v>
          </cell>
          <cell r="C2462">
            <v>35</v>
          </cell>
          <cell r="D2462">
            <v>975.62</v>
          </cell>
          <cell r="E2462">
            <v>34146.699999999997</v>
          </cell>
          <cell r="F2462" t="str">
            <v>A6-S03</v>
          </cell>
          <cell r="G2462" t="str">
            <v>Side top rail - Đố hông trên</v>
          </cell>
          <cell r="H2462" t="str">
            <v>Wood EU Beech - Straight/Waving Edged ABC, 2 COM - T32mm x W100mm up x L1.8m up</v>
          </cell>
          <cell r="I2462">
            <v>70</v>
          </cell>
        </row>
        <row r="2463">
          <cell r="A2463" t="str">
            <v>B558225/A</v>
          </cell>
          <cell r="B2463" t="str">
            <v>RH2021M95</v>
          </cell>
          <cell r="C2463">
            <v>35</v>
          </cell>
          <cell r="D2463">
            <v>975.62</v>
          </cell>
          <cell r="E2463">
            <v>34146.699999999997</v>
          </cell>
          <cell r="F2463" t="str">
            <v>A6-S04</v>
          </cell>
          <cell r="G2463" t="str">
            <v xml:space="preserve">Side rail  - Đố hông </v>
          </cell>
          <cell r="H2463" t="str">
            <v>Wood EU Beech - Straight/Waving Edged ABC, 2 COM - T32mm x W100mm up x L1.8m up</v>
          </cell>
          <cell r="I2463">
            <v>70</v>
          </cell>
        </row>
        <row r="2464">
          <cell r="A2464" t="str">
            <v>B558225/A</v>
          </cell>
          <cell r="B2464" t="str">
            <v>RH2021M95</v>
          </cell>
          <cell r="C2464">
            <v>35</v>
          </cell>
          <cell r="D2464">
            <v>975.62</v>
          </cell>
          <cell r="E2464">
            <v>34146.699999999997</v>
          </cell>
          <cell r="F2464" t="str">
            <v>A6-S05</v>
          </cell>
          <cell r="G2464" t="str">
            <v>Vertical rail 1 - Đố đứng 1</v>
          </cell>
          <cell r="H2464" t="str">
            <v>Wood EU Beech - Straight/Waving Edged ABC, 2 COM - T32mm x W100mm up x L1.8m up</v>
          </cell>
          <cell r="I2464">
            <v>140</v>
          </cell>
        </row>
        <row r="2465">
          <cell r="A2465" t="str">
            <v>B558225/A</v>
          </cell>
          <cell r="B2465" t="str">
            <v>RH2021M95</v>
          </cell>
          <cell r="C2465">
            <v>35</v>
          </cell>
          <cell r="D2465">
            <v>975.62</v>
          </cell>
          <cell r="E2465">
            <v>34146.699999999997</v>
          </cell>
          <cell r="F2465" t="str">
            <v>A6-S06</v>
          </cell>
          <cell r="G2465" t="str">
            <v>Cleat - Bọ gỗ</v>
          </cell>
          <cell r="H2465" t="str">
            <v>Wood EU Beech - Straight/Waving Edged ABC, 2 COM - T32mm x W100mm up x L1.8m up</v>
          </cell>
          <cell r="I2465">
            <v>140</v>
          </cell>
        </row>
        <row r="2466">
          <cell r="A2466" t="str">
            <v>B558225/A</v>
          </cell>
          <cell r="B2466" t="str">
            <v>RH2021M95</v>
          </cell>
          <cell r="C2466">
            <v>35</v>
          </cell>
          <cell r="D2466">
            <v>975.62</v>
          </cell>
          <cell r="E2466">
            <v>34146.699999999997</v>
          </cell>
          <cell r="F2466" t="str">
            <v>A8-S01</v>
          </cell>
          <cell r="G2466" t="str">
            <v xml:space="preserve">Drawer front - Mặt hộc kéo </v>
          </cell>
          <cell r="H2466" t="str">
            <v>MDF Veneer</v>
          </cell>
          <cell r="I2466">
            <v>105</v>
          </cell>
        </row>
        <row r="2467">
          <cell r="A2467" t="str">
            <v>B558225/A</v>
          </cell>
          <cell r="B2467" t="str">
            <v>RH2021M95</v>
          </cell>
          <cell r="C2467">
            <v>35</v>
          </cell>
          <cell r="D2467">
            <v>975.62</v>
          </cell>
          <cell r="E2467">
            <v>34146.699999999997</v>
          </cell>
          <cell r="F2467" t="str">
            <v>A8-S02</v>
          </cell>
          <cell r="G2467" t="str">
            <v>Drawer back - Hậu hộc kéo</v>
          </cell>
          <cell r="H2467" t="str">
            <v>MDF Veneer</v>
          </cell>
          <cell r="I2467">
            <v>105</v>
          </cell>
        </row>
        <row r="2468">
          <cell r="A2468" t="str">
            <v>B558225/A</v>
          </cell>
          <cell r="B2468" t="str">
            <v>RH2021M95</v>
          </cell>
          <cell r="C2468">
            <v>35</v>
          </cell>
          <cell r="D2468">
            <v>975.62</v>
          </cell>
          <cell r="E2468">
            <v>34146.699999999997</v>
          </cell>
          <cell r="F2468" t="str">
            <v>A8-S03</v>
          </cell>
          <cell r="G2468" t="str">
            <v>Drawer side - Hông hộc kéo</v>
          </cell>
          <cell r="H2468" t="str">
            <v>MDF Veneer</v>
          </cell>
          <cell r="I2468">
            <v>210</v>
          </cell>
        </row>
        <row r="2469">
          <cell r="A2469" t="str">
            <v>B558225/A</v>
          </cell>
          <cell r="B2469" t="str">
            <v>RH2021M95</v>
          </cell>
          <cell r="C2469">
            <v>35</v>
          </cell>
          <cell r="D2469">
            <v>975.62</v>
          </cell>
          <cell r="E2469">
            <v>34146.699999999997</v>
          </cell>
          <cell r="F2469" t="str">
            <v>A8-S04</v>
          </cell>
          <cell r="G2469" t="str">
            <v>Drawer bottom  - Đáy hộc kéo</v>
          </cell>
          <cell r="H2469" t="str">
            <v>MDF - 06 x 1830 x 2440mm [CARB P2 Compliant]</v>
          </cell>
          <cell r="I2469">
            <v>105</v>
          </cell>
        </row>
        <row r="2470">
          <cell r="A2470" t="str">
            <v>B558225/A</v>
          </cell>
          <cell r="B2470" t="str">
            <v>RH2021M95</v>
          </cell>
          <cell r="C2470">
            <v>35</v>
          </cell>
          <cell r="D2470">
            <v>975.62</v>
          </cell>
          <cell r="E2470">
            <v>34146.699999999997</v>
          </cell>
          <cell r="F2470" t="str">
            <v>A9-S1</v>
          </cell>
          <cell r="G2470" t="str">
            <v>Vertical rail 1 - Đố đứng 1</v>
          </cell>
          <cell r="H2470" t="str">
            <v>Wood EU Beech - Straight/Waving Edged ABC, 2 COM - T32mm x W100mm up x L1.8m up</v>
          </cell>
          <cell r="I2470">
            <v>70</v>
          </cell>
        </row>
        <row r="2471">
          <cell r="A2471" t="str">
            <v>B558225/A</v>
          </cell>
          <cell r="B2471" t="str">
            <v>RH2021M95</v>
          </cell>
          <cell r="C2471">
            <v>35</v>
          </cell>
          <cell r="D2471">
            <v>975.62</v>
          </cell>
          <cell r="E2471">
            <v>34146.699999999997</v>
          </cell>
          <cell r="F2471" t="str">
            <v>A9-S2</v>
          </cell>
          <cell r="G2471" t="str">
            <v>Horizontal rail 1 - Đố ngang 1</v>
          </cell>
          <cell r="H2471" t="str">
            <v>Wood EU Beech - Straight/Waving Edged ABC, 2 COM - T32mm x W100mm up x L1.8m up</v>
          </cell>
          <cell r="I2471">
            <v>175</v>
          </cell>
        </row>
        <row r="2472">
          <cell r="A2472" t="str">
            <v>B558225/A</v>
          </cell>
          <cell r="B2472" t="str">
            <v>RH2021M95</v>
          </cell>
          <cell r="C2472">
            <v>35</v>
          </cell>
          <cell r="D2472">
            <v>975.62</v>
          </cell>
          <cell r="E2472">
            <v>34146.699999999997</v>
          </cell>
          <cell r="F2472" t="str">
            <v>A9-S3</v>
          </cell>
          <cell r="G2472" t="str">
            <v>Patching wood - Gỗ đắp</v>
          </cell>
          <cell r="H2472" t="str">
            <v>Wood EU Beech - Straight/Waving Edged ABC, 2 COM - T38mm x W100mm up x L1.8m up</v>
          </cell>
          <cell r="I2472">
            <v>70</v>
          </cell>
        </row>
        <row r="2473">
          <cell r="A2473" t="str">
            <v>B558225/A</v>
          </cell>
          <cell r="B2473" t="str">
            <v>RH2021M95</v>
          </cell>
          <cell r="C2473">
            <v>35</v>
          </cell>
          <cell r="D2473">
            <v>975.62</v>
          </cell>
          <cell r="E2473">
            <v>34146.699999999997</v>
          </cell>
          <cell r="F2473" t="str">
            <v>A9-S4</v>
          </cell>
          <cell r="G2473" t="str">
            <v>Patching wood - Gỗ đắp</v>
          </cell>
          <cell r="H2473" t="str">
            <v>Beech off cut</v>
          </cell>
          <cell r="I2473">
            <v>70</v>
          </cell>
        </row>
        <row r="2474">
          <cell r="A2474" t="str">
            <v>B558225/A</v>
          </cell>
          <cell r="B2474" t="str">
            <v>RH2021M95</v>
          </cell>
          <cell r="C2474">
            <v>35</v>
          </cell>
          <cell r="D2474">
            <v>975.62</v>
          </cell>
          <cell r="E2474">
            <v>34146.699999999997</v>
          </cell>
          <cell r="F2474" t="str">
            <v>P01</v>
          </cell>
          <cell r="G2474" t="str">
            <v>panel platform - ván sàn giường</v>
          </cell>
          <cell r="H2474" t="str">
            <v>MDF Veneer</v>
          </cell>
          <cell r="I2474">
            <v>70</v>
          </cell>
        </row>
        <row r="2475">
          <cell r="A2475" t="str">
            <v>B558225/A</v>
          </cell>
          <cell r="B2475" t="str">
            <v>RH2021M95</v>
          </cell>
          <cell r="C2475">
            <v>35</v>
          </cell>
          <cell r="D2475">
            <v>975.62</v>
          </cell>
          <cell r="E2475">
            <v>34146.699999999997</v>
          </cell>
          <cell r="F2475" t="str">
            <v>P03</v>
          </cell>
          <cell r="G2475" t="str">
            <v>panel platform - ván sàn giường</v>
          </cell>
          <cell r="H2475" t="str">
            <v>MDF Veneer</v>
          </cell>
          <cell r="I2475">
            <v>35</v>
          </cell>
        </row>
        <row r="2476">
          <cell r="A2476" t="str">
            <v>B558225/A</v>
          </cell>
          <cell r="B2476" t="str">
            <v>RH2021M95</v>
          </cell>
          <cell r="C2476">
            <v>35</v>
          </cell>
          <cell r="D2476">
            <v>975.62</v>
          </cell>
          <cell r="E2476">
            <v>34146.699999999997</v>
          </cell>
          <cell r="F2476" t="str">
            <v>P2</v>
          </cell>
          <cell r="G2476" t="str">
            <v>slat buy - dạt mua từ nhà cung</v>
          </cell>
          <cell r="H2476" t="str">
            <v>Slat buy</v>
          </cell>
          <cell r="I2476">
            <v>175</v>
          </cell>
        </row>
        <row r="2477">
          <cell r="A2477" t="str">
            <v>B558225/A</v>
          </cell>
          <cell r="B2477" t="str">
            <v>RH2021M95</v>
          </cell>
          <cell r="C2477">
            <v>35</v>
          </cell>
          <cell r="D2477">
            <v>975.62</v>
          </cell>
          <cell r="E2477">
            <v>34146.699999999997</v>
          </cell>
          <cell r="F2477" t="str">
            <v>P4</v>
          </cell>
          <cell r="G2477" t="str">
            <v>slat buy - dạt mua từ nhà cung</v>
          </cell>
          <cell r="H2477" t="str">
            <v>Slat buy</v>
          </cell>
          <cell r="I2477">
            <v>105</v>
          </cell>
        </row>
        <row r="2478">
          <cell r="A2478" t="str">
            <v>B558228/A</v>
          </cell>
          <cell r="B2478" t="str">
            <v>RH2670M398</v>
          </cell>
          <cell r="C2478">
            <v>5</v>
          </cell>
          <cell r="D2478">
            <v>355</v>
          </cell>
          <cell r="E2478">
            <v>1775</v>
          </cell>
          <cell r="F2478" t="str">
            <v>A1-S01</v>
          </cell>
          <cell r="G2478" t="str">
            <v>Side bottom rail - Đố hông dưới</v>
          </cell>
          <cell r="H2478" t="str">
            <v>Wood laminate</v>
          </cell>
          <cell r="I2478">
            <v>10</v>
          </cell>
        </row>
        <row r="2479">
          <cell r="A2479" t="str">
            <v>B558228/A</v>
          </cell>
          <cell r="B2479" t="str">
            <v>RH2670M398</v>
          </cell>
          <cell r="C2479">
            <v>5</v>
          </cell>
          <cell r="D2479">
            <v>355</v>
          </cell>
          <cell r="E2479">
            <v>1775</v>
          </cell>
          <cell r="F2479" t="str">
            <v>A1-S02</v>
          </cell>
          <cell r="G2479" t="str">
            <v>Front Bottom Rail  - Đố đáy trước</v>
          </cell>
          <cell r="H2479" t="str">
            <v>Wood laminate</v>
          </cell>
          <cell r="I2479">
            <v>10</v>
          </cell>
        </row>
        <row r="2480">
          <cell r="A2480" t="str">
            <v>B558228/A</v>
          </cell>
          <cell r="B2480" t="str">
            <v>RH2670M398</v>
          </cell>
          <cell r="C2480">
            <v>5</v>
          </cell>
          <cell r="D2480">
            <v>355</v>
          </cell>
          <cell r="E2480">
            <v>1775</v>
          </cell>
          <cell r="F2480" t="str">
            <v>A1-S03</v>
          </cell>
          <cell r="G2480" t="str">
            <v>Bottom panel - Ván đáy</v>
          </cell>
          <cell r="H2480" t="str">
            <v>MDF Veneer</v>
          </cell>
          <cell r="I2480">
            <v>5</v>
          </cell>
        </row>
        <row r="2481">
          <cell r="A2481" t="str">
            <v>B558228/A</v>
          </cell>
          <cell r="B2481" t="str">
            <v>RH2670M398</v>
          </cell>
          <cell r="C2481">
            <v>5</v>
          </cell>
          <cell r="D2481">
            <v>355</v>
          </cell>
          <cell r="E2481">
            <v>1775</v>
          </cell>
          <cell r="F2481" t="str">
            <v>P01</v>
          </cell>
          <cell r="G2481" t="str">
            <v>Top Frame - Khung nóc</v>
          </cell>
          <cell r="H2481" t="str">
            <v>Pre-Assembly</v>
          </cell>
          <cell r="I2481">
            <v>5</v>
          </cell>
        </row>
        <row r="2482">
          <cell r="A2482" t="str">
            <v>B558228/A</v>
          </cell>
          <cell r="B2482" t="str">
            <v>RH2670M398</v>
          </cell>
          <cell r="C2482">
            <v>5</v>
          </cell>
          <cell r="D2482">
            <v>355</v>
          </cell>
          <cell r="E2482">
            <v>1775</v>
          </cell>
          <cell r="F2482" t="str">
            <v>P01-1</v>
          </cell>
          <cell r="G2482" t="str">
            <v xml:space="preserve">Top panel  - Ván nóc </v>
          </cell>
          <cell r="H2482" t="str">
            <v>MDF Veneer</v>
          </cell>
          <cell r="I2482">
            <v>5</v>
          </cell>
        </row>
        <row r="2483">
          <cell r="A2483" t="str">
            <v>B558228/A</v>
          </cell>
          <cell r="B2483" t="str">
            <v>RH2670M398</v>
          </cell>
          <cell r="C2483">
            <v>5</v>
          </cell>
          <cell r="D2483">
            <v>355</v>
          </cell>
          <cell r="E2483">
            <v>1775</v>
          </cell>
          <cell r="F2483" t="str">
            <v>P01-2</v>
          </cell>
          <cell r="G2483" t="str">
            <v xml:space="preserve">Panel - Ván </v>
          </cell>
          <cell r="H2483" t="str">
            <v>MDF Veneer</v>
          </cell>
          <cell r="I2483">
            <v>10</v>
          </cell>
        </row>
        <row r="2484">
          <cell r="A2484" t="str">
            <v>B558228/A</v>
          </cell>
          <cell r="B2484" t="str">
            <v>RH2670M398</v>
          </cell>
          <cell r="C2484">
            <v>5</v>
          </cell>
          <cell r="D2484">
            <v>355</v>
          </cell>
          <cell r="E2484">
            <v>1775</v>
          </cell>
          <cell r="F2484" t="str">
            <v>P01-3</v>
          </cell>
          <cell r="G2484" t="str">
            <v xml:space="preserve">Panel - Ván </v>
          </cell>
          <cell r="H2484" t="str">
            <v>MDF Veneer</v>
          </cell>
          <cell r="I2484">
            <v>10</v>
          </cell>
        </row>
        <row r="2485">
          <cell r="A2485" t="str">
            <v>B558228/A</v>
          </cell>
          <cell r="B2485" t="str">
            <v>RH2670M398</v>
          </cell>
          <cell r="C2485">
            <v>5</v>
          </cell>
          <cell r="D2485">
            <v>355</v>
          </cell>
          <cell r="E2485">
            <v>1775</v>
          </cell>
          <cell r="F2485" t="str">
            <v>P01-4</v>
          </cell>
          <cell r="G2485" t="str">
            <v>Center top rail - Đố nóc giữa</v>
          </cell>
          <cell r="H2485" t="str">
            <v>Wood laminate</v>
          </cell>
          <cell r="I2485">
            <v>15</v>
          </cell>
        </row>
        <row r="2486">
          <cell r="A2486" t="str">
            <v>B558228/A</v>
          </cell>
          <cell r="B2486" t="str">
            <v>RH2670M398</v>
          </cell>
          <cell r="C2486">
            <v>5</v>
          </cell>
          <cell r="D2486">
            <v>355</v>
          </cell>
          <cell r="E2486">
            <v>1775</v>
          </cell>
          <cell r="F2486" t="str">
            <v>P01-5</v>
          </cell>
          <cell r="G2486" t="str">
            <v>Corner block - ke góc</v>
          </cell>
          <cell r="H2486" t="str">
            <v>Poplar off cut</v>
          </cell>
          <cell r="I2486">
            <v>30</v>
          </cell>
        </row>
        <row r="2487">
          <cell r="A2487" t="str">
            <v>B558228/A</v>
          </cell>
          <cell r="B2487" t="str">
            <v>RH2670M398</v>
          </cell>
          <cell r="C2487">
            <v>5</v>
          </cell>
          <cell r="D2487">
            <v>355</v>
          </cell>
          <cell r="E2487">
            <v>1775</v>
          </cell>
          <cell r="F2487" t="str">
            <v>P02</v>
          </cell>
          <cell r="G2487" t="str">
            <v>vaccumn veneer - cảo bich veneer</v>
          </cell>
          <cell r="H2487" t="str">
            <v>MDF Veneer</v>
          </cell>
          <cell r="I2487">
            <v>10</v>
          </cell>
        </row>
        <row r="2488">
          <cell r="A2488" t="str">
            <v>B558228/A</v>
          </cell>
          <cell r="B2488" t="str">
            <v>RH2670M398</v>
          </cell>
          <cell r="C2488">
            <v>5</v>
          </cell>
          <cell r="D2488">
            <v>355</v>
          </cell>
          <cell r="E2488">
            <v>1775</v>
          </cell>
          <cell r="F2488" t="str">
            <v>P02-1</v>
          </cell>
          <cell r="G2488" t="str">
            <v>Panel outside - Ván phía ngoài</v>
          </cell>
          <cell r="H2488" t="str">
            <v>MDF Veneer</v>
          </cell>
          <cell r="I2488">
            <v>10</v>
          </cell>
        </row>
        <row r="2489">
          <cell r="A2489" t="str">
            <v>B558228/A</v>
          </cell>
          <cell r="B2489" t="str">
            <v>RH2670M398</v>
          </cell>
          <cell r="C2489">
            <v>5</v>
          </cell>
          <cell r="D2489">
            <v>355</v>
          </cell>
          <cell r="E2489">
            <v>1775</v>
          </cell>
          <cell r="F2489" t="str">
            <v>P02-2</v>
          </cell>
          <cell r="G2489" t="str">
            <v>Panel outside - Ván phía ngoài</v>
          </cell>
          <cell r="H2489" t="str">
            <v>MDF - 12 x 1830 x 2440mm [CARB P2 Compliant]</v>
          </cell>
          <cell r="I2489">
            <v>10</v>
          </cell>
        </row>
        <row r="2490">
          <cell r="A2490" t="str">
            <v>B558228/A</v>
          </cell>
          <cell r="B2490" t="str">
            <v>RH2670M398</v>
          </cell>
          <cell r="C2490">
            <v>5</v>
          </cell>
          <cell r="D2490">
            <v>355</v>
          </cell>
          <cell r="E2490">
            <v>1775</v>
          </cell>
          <cell r="F2490" t="str">
            <v>P02-3</v>
          </cell>
          <cell r="G2490" t="str">
            <v>Panel outside - Ván phía ngoài</v>
          </cell>
          <cell r="H2490" t="str">
            <v>MDF - 18 x 1830 x 2440mm [CARB P2 Compliant]</v>
          </cell>
          <cell r="I2490">
            <v>20</v>
          </cell>
        </row>
        <row r="2491">
          <cell r="A2491" t="str">
            <v>B558228/A</v>
          </cell>
          <cell r="B2491" t="str">
            <v>RH2670M398</v>
          </cell>
          <cell r="C2491">
            <v>5</v>
          </cell>
          <cell r="D2491">
            <v>355</v>
          </cell>
          <cell r="E2491">
            <v>1775</v>
          </cell>
          <cell r="F2491" t="str">
            <v>P02-4</v>
          </cell>
          <cell r="G2491" t="str">
            <v>Panel inside - Ván hông</v>
          </cell>
          <cell r="H2491" t="str">
            <v>MDF laminate</v>
          </cell>
          <cell r="I2491">
            <v>30</v>
          </cell>
        </row>
        <row r="2492">
          <cell r="A2492" t="str">
            <v>B558228/A</v>
          </cell>
          <cell r="B2492" t="str">
            <v>RH2670M398</v>
          </cell>
          <cell r="C2492">
            <v>5</v>
          </cell>
          <cell r="D2492">
            <v>355</v>
          </cell>
          <cell r="E2492">
            <v>1775</v>
          </cell>
          <cell r="F2492" t="str">
            <v>P02-5</v>
          </cell>
          <cell r="G2492" t="str">
            <v>Panel inside - Ván hông</v>
          </cell>
          <cell r="H2492" t="str">
            <v>MDF laminate</v>
          </cell>
          <cell r="I2492">
            <v>20</v>
          </cell>
        </row>
        <row r="2493">
          <cell r="A2493" t="str">
            <v>B558228/A</v>
          </cell>
          <cell r="B2493" t="str">
            <v>RH2670M398</v>
          </cell>
          <cell r="C2493">
            <v>5</v>
          </cell>
          <cell r="D2493">
            <v>355</v>
          </cell>
          <cell r="E2493">
            <v>1775</v>
          </cell>
          <cell r="F2493" t="str">
            <v>P02-6</v>
          </cell>
          <cell r="G2493" t="str">
            <v>MDF - MDF</v>
          </cell>
          <cell r="H2493" t="str">
            <v>MDF OFF CUT</v>
          </cell>
          <cell r="I2493">
            <v>80</v>
          </cell>
        </row>
        <row r="2494">
          <cell r="A2494" t="str">
            <v>B558228/A</v>
          </cell>
          <cell r="B2494" t="str">
            <v>RH2670M398</v>
          </cell>
          <cell r="C2494">
            <v>5</v>
          </cell>
          <cell r="D2494">
            <v>355</v>
          </cell>
          <cell r="E2494">
            <v>1775</v>
          </cell>
          <cell r="F2494" t="str">
            <v>P03</v>
          </cell>
          <cell r="G2494" t="str">
            <v>Spline - Lưỡi gà</v>
          </cell>
          <cell r="H2494" t="str">
            <v>Plywood LVD - 09 x 1220 x 2440mm, Bleached Poplar Veneer Both Sides [CARB P2 Compliant]</v>
          </cell>
          <cell r="I2494">
            <v>40</v>
          </cell>
        </row>
        <row r="2495">
          <cell r="A2495" t="str">
            <v>B558230/A</v>
          </cell>
          <cell r="B2495" t="str">
            <v>RH2670M410</v>
          </cell>
          <cell r="C2495">
            <v>15</v>
          </cell>
          <cell r="D2495">
            <v>355</v>
          </cell>
          <cell r="E2495">
            <v>5325</v>
          </cell>
          <cell r="F2495" t="str">
            <v>A1-S01</v>
          </cell>
          <cell r="G2495" t="str">
            <v>Side bottom rail - Đố hông dưới</v>
          </cell>
          <cell r="H2495" t="str">
            <v>Wood laminate</v>
          </cell>
          <cell r="I2495">
            <v>30</v>
          </cell>
        </row>
        <row r="2496">
          <cell r="A2496" t="str">
            <v>B558230/A</v>
          </cell>
          <cell r="B2496" t="str">
            <v>RH2670M410</v>
          </cell>
          <cell r="C2496">
            <v>15</v>
          </cell>
          <cell r="D2496">
            <v>355</v>
          </cell>
          <cell r="E2496">
            <v>5325</v>
          </cell>
          <cell r="F2496" t="str">
            <v>A1-S02</v>
          </cell>
          <cell r="G2496" t="str">
            <v>Front Bottom Rail  - Đố đáy trước</v>
          </cell>
          <cell r="H2496" t="str">
            <v>Wood laminate</v>
          </cell>
          <cell r="I2496">
            <v>30</v>
          </cell>
        </row>
        <row r="2497">
          <cell r="A2497" t="str">
            <v>B558230/A</v>
          </cell>
          <cell r="B2497" t="str">
            <v>RH2670M410</v>
          </cell>
          <cell r="C2497">
            <v>15</v>
          </cell>
          <cell r="D2497">
            <v>355</v>
          </cell>
          <cell r="E2497">
            <v>5325</v>
          </cell>
          <cell r="F2497" t="str">
            <v>A1-S03</v>
          </cell>
          <cell r="G2497" t="str">
            <v>Bottom panel - Ván đáy</v>
          </cell>
          <cell r="H2497" t="str">
            <v>MDF Veneer</v>
          </cell>
          <cell r="I2497">
            <v>15</v>
          </cell>
        </row>
        <row r="2498">
          <cell r="A2498" t="str">
            <v>B558230/A</v>
          </cell>
          <cell r="B2498" t="str">
            <v>RH2670M410</v>
          </cell>
          <cell r="C2498">
            <v>15</v>
          </cell>
          <cell r="D2498">
            <v>355</v>
          </cell>
          <cell r="E2498">
            <v>5325</v>
          </cell>
          <cell r="F2498" t="str">
            <v>P01</v>
          </cell>
          <cell r="G2498" t="str">
            <v>Top Frame - Khung nóc</v>
          </cell>
          <cell r="H2498" t="str">
            <v>Pre-Assembly</v>
          </cell>
          <cell r="I2498">
            <v>15</v>
          </cell>
        </row>
        <row r="2499">
          <cell r="A2499" t="str">
            <v>B558230/A</v>
          </cell>
          <cell r="B2499" t="str">
            <v>RH2670M410</v>
          </cell>
          <cell r="C2499">
            <v>15</v>
          </cell>
          <cell r="D2499">
            <v>355</v>
          </cell>
          <cell r="E2499">
            <v>5325</v>
          </cell>
          <cell r="F2499" t="str">
            <v>P01-1</v>
          </cell>
          <cell r="G2499" t="str">
            <v xml:space="preserve">Top panel  - Ván nóc </v>
          </cell>
          <cell r="H2499" t="str">
            <v>MDF Veneer</v>
          </cell>
          <cell r="I2499">
            <v>15</v>
          </cell>
        </row>
        <row r="2500">
          <cell r="A2500" t="str">
            <v>B558230/A</v>
          </cell>
          <cell r="B2500" t="str">
            <v>RH2670M410</v>
          </cell>
          <cell r="C2500">
            <v>15</v>
          </cell>
          <cell r="D2500">
            <v>355</v>
          </cell>
          <cell r="E2500">
            <v>5325</v>
          </cell>
          <cell r="F2500" t="str">
            <v>P01-2</v>
          </cell>
          <cell r="G2500" t="str">
            <v xml:space="preserve">Panel - Ván </v>
          </cell>
          <cell r="H2500" t="str">
            <v>MDF Veneer</v>
          </cell>
          <cell r="I2500">
            <v>30</v>
          </cell>
        </row>
        <row r="2501">
          <cell r="A2501" t="str">
            <v>B558230/A</v>
          </cell>
          <cell r="B2501" t="str">
            <v>RH2670M410</v>
          </cell>
          <cell r="C2501">
            <v>15</v>
          </cell>
          <cell r="D2501">
            <v>355</v>
          </cell>
          <cell r="E2501">
            <v>5325</v>
          </cell>
          <cell r="F2501" t="str">
            <v>P01-3</v>
          </cell>
          <cell r="G2501" t="str">
            <v xml:space="preserve">Panel - Ván </v>
          </cell>
          <cell r="H2501" t="str">
            <v>MDF Veneer</v>
          </cell>
          <cell r="I2501">
            <v>30</v>
          </cell>
        </row>
        <row r="2502">
          <cell r="A2502" t="str">
            <v>B558230/A</v>
          </cell>
          <cell r="B2502" t="str">
            <v>RH2670M410</v>
          </cell>
          <cell r="C2502">
            <v>15</v>
          </cell>
          <cell r="D2502">
            <v>355</v>
          </cell>
          <cell r="E2502">
            <v>5325</v>
          </cell>
          <cell r="F2502" t="str">
            <v>P01-4</v>
          </cell>
          <cell r="G2502" t="str">
            <v>Center top rail - Đố nóc giữa</v>
          </cell>
          <cell r="H2502" t="str">
            <v>Wood laminate</v>
          </cell>
          <cell r="I2502">
            <v>45</v>
          </cell>
        </row>
        <row r="2503">
          <cell r="A2503" t="str">
            <v>B558230/A</v>
          </cell>
          <cell r="B2503" t="str">
            <v>RH2670M410</v>
          </cell>
          <cell r="C2503">
            <v>15</v>
          </cell>
          <cell r="D2503">
            <v>355</v>
          </cell>
          <cell r="E2503">
            <v>5325</v>
          </cell>
          <cell r="F2503" t="str">
            <v>P01-5</v>
          </cell>
          <cell r="G2503" t="str">
            <v>Corner block - ke góc</v>
          </cell>
          <cell r="H2503" t="str">
            <v>Poplar off cut</v>
          </cell>
          <cell r="I2503">
            <v>90</v>
          </cell>
        </row>
        <row r="2504">
          <cell r="A2504" t="str">
            <v>B558230/A</v>
          </cell>
          <cell r="B2504" t="str">
            <v>RH2670M410</v>
          </cell>
          <cell r="C2504">
            <v>15</v>
          </cell>
          <cell r="D2504">
            <v>355</v>
          </cell>
          <cell r="E2504">
            <v>5325</v>
          </cell>
          <cell r="F2504" t="str">
            <v>P02</v>
          </cell>
          <cell r="G2504" t="str">
            <v>vaccumn veneer - cảo bich veneer</v>
          </cell>
          <cell r="H2504" t="str">
            <v>MDF Veneer</v>
          </cell>
          <cell r="I2504">
            <v>30</v>
          </cell>
        </row>
        <row r="2505">
          <cell r="A2505" t="str">
            <v>B558230/A</v>
          </cell>
          <cell r="B2505" t="str">
            <v>RH2670M410</v>
          </cell>
          <cell r="C2505">
            <v>15</v>
          </cell>
          <cell r="D2505">
            <v>355</v>
          </cell>
          <cell r="E2505">
            <v>5325</v>
          </cell>
          <cell r="F2505" t="str">
            <v>P02-1</v>
          </cell>
          <cell r="G2505" t="str">
            <v>Panel outside - Ván phía ngoài</v>
          </cell>
          <cell r="H2505" t="str">
            <v>MDF Veneer</v>
          </cell>
          <cell r="I2505">
            <v>30</v>
          </cell>
        </row>
        <row r="2506">
          <cell r="A2506" t="str">
            <v>B558230/A</v>
          </cell>
          <cell r="B2506" t="str">
            <v>RH2670M410</v>
          </cell>
          <cell r="C2506">
            <v>15</v>
          </cell>
          <cell r="D2506">
            <v>355</v>
          </cell>
          <cell r="E2506">
            <v>5325</v>
          </cell>
          <cell r="F2506" t="str">
            <v>P02-2</v>
          </cell>
          <cell r="G2506" t="str">
            <v>Panel outside - Ván phía ngoài</v>
          </cell>
          <cell r="H2506" t="str">
            <v>MDF - 12 x 1830 x 2440mm [CARB P2 Compliant]</v>
          </cell>
          <cell r="I2506">
            <v>30</v>
          </cell>
        </row>
        <row r="2507">
          <cell r="A2507" t="str">
            <v>B558230/A</v>
          </cell>
          <cell r="B2507" t="str">
            <v>RH2670M410</v>
          </cell>
          <cell r="C2507">
            <v>15</v>
          </cell>
          <cell r="D2507">
            <v>355</v>
          </cell>
          <cell r="E2507">
            <v>5325</v>
          </cell>
          <cell r="F2507" t="str">
            <v>P02-3</v>
          </cell>
          <cell r="G2507" t="str">
            <v>Panel outside - Ván phía ngoài</v>
          </cell>
          <cell r="H2507" t="str">
            <v>MDF - 18 x 1830 x 2440mm [CARB P2 Compliant]</v>
          </cell>
          <cell r="I2507">
            <v>60</v>
          </cell>
        </row>
        <row r="2508">
          <cell r="A2508" t="str">
            <v>B558230/A</v>
          </cell>
          <cell r="B2508" t="str">
            <v>RH2670M410</v>
          </cell>
          <cell r="C2508">
            <v>15</v>
          </cell>
          <cell r="D2508">
            <v>355</v>
          </cell>
          <cell r="E2508">
            <v>5325</v>
          </cell>
          <cell r="F2508" t="str">
            <v>P02-4</v>
          </cell>
          <cell r="G2508" t="str">
            <v>Panel inside - Ván hông</v>
          </cell>
          <cell r="H2508" t="str">
            <v>MDF laminate</v>
          </cell>
          <cell r="I2508">
            <v>90</v>
          </cell>
        </row>
        <row r="2509">
          <cell r="A2509" t="str">
            <v>B558230/A</v>
          </cell>
          <cell r="B2509" t="str">
            <v>RH2670M410</v>
          </cell>
          <cell r="C2509">
            <v>15</v>
          </cell>
          <cell r="D2509">
            <v>355</v>
          </cell>
          <cell r="E2509">
            <v>5325</v>
          </cell>
          <cell r="F2509" t="str">
            <v>P02-5</v>
          </cell>
          <cell r="G2509" t="str">
            <v>Panel inside - Ván hông</v>
          </cell>
          <cell r="H2509" t="str">
            <v>MDF laminate</v>
          </cell>
          <cell r="I2509">
            <v>60</v>
          </cell>
        </row>
        <row r="2510">
          <cell r="A2510" t="str">
            <v>B558230/A</v>
          </cell>
          <cell r="B2510" t="str">
            <v>RH2670M410</v>
          </cell>
          <cell r="C2510">
            <v>15</v>
          </cell>
          <cell r="D2510">
            <v>355</v>
          </cell>
          <cell r="E2510">
            <v>5325</v>
          </cell>
          <cell r="F2510" t="str">
            <v>P02-6</v>
          </cell>
          <cell r="G2510" t="str">
            <v>MDF - MDF</v>
          </cell>
          <cell r="H2510" t="str">
            <v>MDF OFF CUT</v>
          </cell>
          <cell r="I2510">
            <v>240</v>
          </cell>
        </row>
        <row r="2511">
          <cell r="A2511" t="str">
            <v>B558230/A</v>
          </cell>
          <cell r="B2511" t="str">
            <v>RH2670M410</v>
          </cell>
          <cell r="C2511">
            <v>15</v>
          </cell>
          <cell r="D2511">
            <v>355</v>
          </cell>
          <cell r="E2511">
            <v>5325</v>
          </cell>
          <cell r="F2511" t="str">
            <v>P03</v>
          </cell>
          <cell r="G2511" t="str">
            <v>Spline - Lưỡi gà</v>
          </cell>
          <cell r="H2511" t="str">
            <v>Plywood LVD - 09 x 1220 x 2440mm, Bleached Poplar Veneer Both Sides [CARB P2 Compliant]</v>
          </cell>
          <cell r="I2511">
            <v>120</v>
          </cell>
        </row>
        <row r="2512">
          <cell r="A2512" t="str">
            <v>B558308/A</v>
          </cell>
          <cell r="B2512" t="str">
            <v>RH2684M398</v>
          </cell>
          <cell r="C2512">
            <v>5</v>
          </cell>
          <cell r="D2512">
            <v>425</v>
          </cell>
          <cell r="E2512">
            <v>2125</v>
          </cell>
          <cell r="F2512" t="str">
            <v>A1-S01</v>
          </cell>
          <cell r="G2512" t="str">
            <v>Side bottom rail - Đố hông dưới</v>
          </cell>
          <cell r="H2512" t="str">
            <v>Wood laminate</v>
          </cell>
          <cell r="I2512">
            <v>10</v>
          </cell>
        </row>
        <row r="2513">
          <cell r="A2513" t="str">
            <v>B558308/A</v>
          </cell>
          <cell r="B2513" t="str">
            <v>RH2684M398</v>
          </cell>
          <cell r="C2513">
            <v>5</v>
          </cell>
          <cell r="D2513">
            <v>425</v>
          </cell>
          <cell r="E2513">
            <v>2125</v>
          </cell>
          <cell r="F2513" t="str">
            <v>A1-S02</v>
          </cell>
          <cell r="G2513" t="str">
            <v>Front Bottom Rail  - Đố đáy trước</v>
          </cell>
          <cell r="H2513" t="str">
            <v>Wood laminate</v>
          </cell>
          <cell r="I2513">
            <v>10</v>
          </cell>
        </row>
        <row r="2514">
          <cell r="A2514" t="str">
            <v>B558308/A</v>
          </cell>
          <cell r="B2514" t="str">
            <v>RH2684M398</v>
          </cell>
          <cell r="C2514">
            <v>5</v>
          </cell>
          <cell r="D2514">
            <v>425</v>
          </cell>
          <cell r="E2514">
            <v>2125</v>
          </cell>
          <cell r="F2514" t="str">
            <v>A1-S03</v>
          </cell>
          <cell r="G2514" t="str">
            <v>Bottom panel - Ván đáy</v>
          </cell>
          <cell r="H2514" t="str">
            <v>MDF Veneer</v>
          </cell>
          <cell r="I2514">
            <v>5</v>
          </cell>
        </row>
        <row r="2515">
          <cell r="A2515" t="str">
            <v>B558308/A</v>
          </cell>
          <cell r="B2515" t="str">
            <v>RH2684M398</v>
          </cell>
          <cell r="C2515">
            <v>5</v>
          </cell>
          <cell r="D2515">
            <v>425</v>
          </cell>
          <cell r="E2515">
            <v>2125</v>
          </cell>
          <cell r="F2515" t="str">
            <v>P01</v>
          </cell>
          <cell r="G2515" t="str">
            <v>Top Frame - Khung nóc</v>
          </cell>
          <cell r="H2515" t="str">
            <v>Pre-Assembly</v>
          </cell>
          <cell r="I2515">
            <v>5</v>
          </cell>
        </row>
        <row r="2516">
          <cell r="A2516" t="str">
            <v>B558308/A</v>
          </cell>
          <cell r="B2516" t="str">
            <v>RH2684M398</v>
          </cell>
          <cell r="C2516">
            <v>5</v>
          </cell>
          <cell r="D2516">
            <v>425</v>
          </cell>
          <cell r="E2516">
            <v>2125</v>
          </cell>
          <cell r="F2516" t="str">
            <v>P01-1</v>
          </cell>
          <cell r="G2516" t="str">
            <v xml:space="preserve">Top panel  - Ván nóc </v>
          </cell>
          <cell r="H2516" t="str">
            <v>MDF Veneer</v>
          </cell>
          <cell r="I2516">
            <v>5</v>
          </cell>
        </row>
        <row r="2517">
          <cell r="A2517" t="str">
            <v>B558308/A</v>
          </cell>
          <cell r="B2517" t="str">
            <v>RH2684M398</v>
          </cell>
          <cell r="C2517">
            <v>5</v>
          </cell>
          <cell r="D2517">
            <v>425</v>
          </cell>
          <cell r="E2517">
            <v>2125</v>
          </cell>
          <cell r="F2517" t="str">
            <v>P01-2</v>
          </cell>
          <cell r="G2517" t="str">
            <v xml:space="preserve">Panel - Ván </v>
          </cell>
          <cell r="H2517" t="str">
            <v>MDF Veneer</v>
          </cell>
          <cell r="I2517">
            <v>10</v>
          </cell>
        </row>
        <row r="2518">
          <cell r="A2518" t="str">
            <v>B558308/A</v>
          </cell>
          <cell r="B2518" t="str">
            <v>RH2684M398</v>
          </cell>
          <cell r="C2518">
            <v>5</v>
          </cell>
          <cell r="D2518">
            <v>425</v>
          </cell>
          <cell r="E2518">
            <v>2125</v>
          </cell>
          <cell r="F2518" t="str">
            <v>P01-3</v>
          </cell>
          <cell r="G2518" t="str">
            <v xml:space="preserve">Panel - Ván </v>
          </cell>
          <cell r="H2518" t="str">
            <v>MDF Veneer</v>
          </cell>
          <cell r="I2518">
            <v>10</v>
          </cell>
        </row>
        <row r="2519">
          <cell r="A2519" t="str">
            <v>B558308/A</v>
          </cell>
          <cell r="B2519" t="str">
            <v>RH2684M398</v>
          </cell>
          <cell r="C2519">
            <v>5</v>
          </cell>
          <cell r="D2519">
            <v>425</v>
          </cell>
          <cell r="E2519">
            <v>2125</v>
          </cell>
          <cell r="F2519" t="str">
            <v>P01-4</v>
          </cell>
          <cell r="G2519" t="str">
            <v>Center top rail - Đố nóc giữa</v>
          </cell>
          <cell r="H2519" t="str">
            <v>Wood laminate</v>
          </cell>
          <cell r="I2519">
            <v>15</v>
          </cell>
        </row>
        <row r="2520">
          <cell r="A2520" t="str">
            <v>B558308/A</v>
          </cell>
          <cell r="B2520" t="str">
            <v>RH2684M398</v>
          </cell>
          <cell r="C2520">
            <v>5</v>
          </cell>
          <cell r="D2520">
            <v>425</v>
          </cell>
          <cell r="E2520">
            <v>2125</v>
          </cell>
          <cell r="F2520" t="str">
            <v>P01-5</v>
          </cell>
          <cell r="G2520" t="str">
            <v>Corner block - ke góc</v>
          </cell>
          <cell r="H2520" t="str">
            <v>Poplar off cut</v>
          </cell>
          <cell r="I2520">
            <v>30</v>
          </cell>
        </row>
        <row r="2521">
          <cell r="A2521" t="str">
            <v>B558308/A</v>
          </cell>
          <cell r="B2521" t="str">
            <v>RH2684M398</v>
          </cell>
          <cell r="C2521">
            <v>5</v>
          </cell>
          <cell r="D2521">
            <v>425</v>
          </cell>
          <cell r="E2521">
            <v>2125</v>
          </cell>
          <cell r="F2521" t="str">
            <v>P02</v>
          </cell>
          <cell r="G2521" t="str">
            <v>vaccumn veneer - cảo bich veneer</v>
          </cell>
          <cell r="H2521" t="str">
            <v>MDF Veneer</v>
          </cell>
          <cell r="I2521">
            <v>10</v>
          </cell>
        </row>
        <row r="2522">
          <cell r="A2522" t="str">
            <v>B558308/A</v>
          </cell>
          <cell r="B2522" t="str">
            <v>RH2684M398</v>
          </cell>
          <cell r="C2522">
            <v>5</v>
          </cell>
          <cell r="D2522">
            <v>425</v>
          </cell>
          <cell r="E2522">
            <v>2125</v>
          </cell>
          <cell r="F2522" t="str">
            <v>P02-1</v>
          </cell>
          <cell r="G2522" t="str">
            <v>Panel outside - Ván phía ngoài</v>
          </cell>
          <cell r="H2522" t="str">
            <v>MDF Veneer</v>
          </cell>
          <cell r="I2522">
            <v>10</v>
          </cell>
        </row>
        <row r="2523">
          <cell r="A2523" t="str">
            <v>B558308/A</v>
          </cell>
          <cell r="B2523" t="str">
            <v>RH2684M398</v>
          </cell>
          <cell r="C2523">
            <v>5</v>
          </cell>
          <cell r="D2523">
            <v>425</v>
          </cell>
          <cell r="E2523">
            <v>2125</v>
          </cell>
          <cell r="F2523" t="str">
            <v>P02-2</v>
          </cell>
          <cell r="G2523" t="str">
            <v>Panel outside - Ván phía ngoài</v>
          </cell>
          <cell r="H2523" t="str">
            <v>MDF - 12 x 1830 x 2440mm [CARB P2 Compliant]</v>
          </cell>
          <cell r="I2523">
            <v>10</v>
          </cell>
        </row>
        <row r="2524">
          <cell r="A2524" t="str">
            <v>B558308/A</v>
          </cell>
          <cell r="B2524" t="str">
            <v>RH2684M398</v>
          </cell>
          <cell r="C2524">
            <v>5</v>
          </cell>
          <cell r="D2524">
            <v>425</v>
          </cell>
          <cell r="E2524">
            <v>2125</v>
          </cell>
          <cell r="F2524" t="str">
            <v>P02-3</v>
          </cell>
          <cell r="G2524" t="str">
            <v>Panel outside - Ván phía ngoài</v>
          </cell>
          <cell r="H2524" t="str">
            <v>MDF - 18 x 1830 x 2440mm [CARB P2 Compliant]</v>
          </cell>
          <cell r="I2524">
            <v>20</v>
          </cell>
        </row>
        <row r="2525">
          <cell r="A2525" t="str">
            <v>B558308/A</v>
          </cell>
          <cell r="B2525" t="str">
            <v>RH2684M398</v>
          </cell>
          <cell r="C2525">
            <v>5</v>
          </cell>
          <cell r="D2525">
            <v>425</v>
          </cell>
          <cell r="E2525">
            <v>2125</v>
          </cell>
          <cell r="F2525" t="str">
            <v>P02-4</v>
          </cell>
          <cell r="G2525" t="str">
            <v>Panel inside - Ván hông</v>
          </cell>
          <cell r="H2525" t="str">
            <v>MDF laminate</v>
          </cell>
          <cell r="I2525">
            <v>30</v>
          </cell>
        </row>
        <row r="2526">
          <cell r="A2526" t="str">
            <v>B558308/A</v>
          </cell>
          <cell r="B2526" t="str">
            <v>RH2684M398</v>
          </cell>
          <cell r="C2526">
            <v>5</v>
          </cell>
          <cell r="D2526">
            <v>425</v>
          </cell>
          <cell r="E2526">
            <v>2125</v>
          </cell>
          <cell r="F2526" t="str">
            <v>P02-5</v>
          </cell>
          <cell r="G2526" t="str">
            <v>Panel inside - Ván hông</v>
          </cell>
          <cell r="H2526" t="str">
            <v>MDF laminate</v>
          </cell>
          <cell r="I2526">
            <v>20</v>
          </cell>
        </row>
        <row r="2527">
          <cell r="A2527" t="str">
            <v>B558308/A</v>
          </cell>
          <cell r="B2527" t="str">
            <v>RH2684M398</v>
          </cell>
          <cell r="C2527">
            <v>5</v>
          </cell>
          <cell r="D2527">
            <v>425</v>
          </cell>
          <cell r="E2527">
            <v>2125</v>
          </cell>
          <cell r="F2527" t="str">
            <v>P02-6</v>
          </cell>
          <cell r="G2527" t="str">
            <v>MDF - MDF</v>
          </cell>
          <cell r="H2527" t="str">
            <v>MDF OFF CUT</v>
          </cell>
          <cell r="I2527">
            <v>80</v>
          </cell>
        </row>
        <row r="2528">
          <cell r="A2528" t="str">
            <v>B558308/A</v>
          </cell>
          <cell r="B2528" t="str">
            <v>RH2684M398</v>
          </cell>
          <cell r="C2528">
            <v>5</v>
          </cell>
          <cell r="D2528">
            <v>425</v>
          </cell>
          <cell r="E2528">
            <v>2125</v>
          </cell>
          <cell r="F2528" t="str">
            <v>P03</v>
          </cell>
          <cell r="G2528" t="str">
            <v>Spline - Lưỡi gà</v>
          </cell>
          <cell r="H2528" t="str">
            <v>Plywood LVD - 09 x 1220 x 2440mm, Bleached Poplar Veneer Both Sides [CARB P2 Compliant]</v>
          </cell>
          <cell r="I2528">
            <v>40</v>
          </cell>
        </row>
        <row r="2529">
          <cell r="A2529" t="str">
            <v>B558311/A</v>
          </cell>
          <cell r="B2529" t="str">
            <v>RH2684M410</v>
          </cell>
          <cell r="C2529">
            <v>24</v>
          </cell>
          <cell r="D2529">
            <v>425</v>
          </cell>
          <cell r="E2529">
            <v>10200</v>
          </cell>
          <cell r="F2529" t="str">
            <v>A1-S01</v>
          </cell>
          <cell r="G2529" t="str">
            <v>Side bottom rail - Đố hông dưới</v>
          </cell>
          <cell r="H2529" t="str">
            <v>Wood laminate</v>
          </cell>
          <cell r="I2529">
            <v>48</v>
          </cell>
        </row>
        <row r="2530">
          <cell r="A2530" t="str">
            <v>B558311/A</v>
          </cell>
          <cell r="B2530" t="str">
            <v>RH2684M410</v>
          </cell>
          <cell r="C2530">
            <v>24</v>
          </cell>
          <cell r="D2530">
            <v>425</v>
          </cell>
          <cell r="E2530">
            <v>10200</v>
          </cell>
          <cell r="F2530" t="str">
            <v>A1-S02</v>
          </cell>
          <cell r="G2530" t="str">
            <v>Front Bottom Rail  - Đố đáy trước</v>
          </cell>
          <cell r="H2530" t="str">
            <v>Wood laminate</v>
          </cell>
          <cell r="I2530">
            <v>48</v>
          </cell>
        </row>
        <row r="2531">
          <cell r="A2531" t="str">
            <v>B558311/A</v>
          </cell>
          <cell r="B2531" t="str">
            <v>RH2684M410</v>
          </cell>
          <cell r="C2531">
            <v>24</v>
          </cell>
          <cell r="D2531">
            <v>425</v>
          </cell>
          <cell r="E2531">
            <v>10200</v>
          </cell>
          <cell r="F2531" t="str">
            <v>A1-S03</v>
          </cell>
          <cell r="G2531" t="str">
            <v>Bottom panel - Ván đáy</v>
          </cell>
          <cell r="H2531" t="str">
            <v>MDF Veneer</v>
          </cell>
          <cell r="I2531">
            <v>24</v>
          </cell>
        </row>
        <row r="2532">
          <cell r="A2532" t="str">
            <v>B558311/A</v>
          </cell>
          <cell r="B2532" t="str">
            <v>RH2684M410</v>
          </cell>
          <cell r="C2532">
            <v>24</v>
          </cell>
          <cell r="D2532">
            <v>425</v>
          </cell>
          <cell r="E2532">
            <v>10200</v>
          </cell>
          <cell r="F2532" t="str">
            <v>P01</v>
          </cell>
          <cell r="G2532" t="str">
            <v>Top Frame - Khung nóc</v>
          </cell>
          <cell r="H2532" t="str">
            <v>Pre-Assembly</v>
          </cell>
          <cell r="I2532">
            <v>24</v>
          </cell>
        </row>
        <row r="2533">
          <cell r="A2533" t="str">
            <v>B558311/A</v>
          </cell>
          <cell r="B2533" t="str">
            <v>RH2684M410</v>
          </cell>
          <cell r="C2533">
            <v>24</v>
          </cell>
          <cell r="D2533">
            <v>425</v>
          </cell>
          <cell r="E2533">
            <v>10200</v>
          </cell>
          <cell r="F2533" t="str">
            <v>P01-1</v>
          </cell>
          <cell r="G2533" t="str">
            <v xml:space="preserve">Top panel  - Ván nóc </v>
          </cell>
          <cell r="H2533" t="str">
            <v>MDF Veneer</v>
          </cell>
          <cell r="I2533">
            <v>24</v>
          </cell>
        </row>
        <row r="2534">
          <cell r="A2534" t="str">
            <v>B558311/A</v>
          </cell>
          <cell r="B2534" t="str">
            <v>RH2684M410</v>
          </cell>
          <cell r="C2534">
            <v>24</v>
          </cell>
          <cell r="D2534">
            <v>425</v>
          </cell>
          <cell r="E2534">
            <v>10200</v>
          </cell>
          <cell r="F2534" t="str">
            <v>P01-2</v>
          </cell>
          <cell r="G2534" t="str">
            <v xml:space="preserve">Panel - Ván </v>
          </cell>
          <cell r="H2534" t="str">
            <v>MDF Veneer</v>
          </cell>
          <cell r="I2534">
            <v>48</v>
          </cell>
        </row>
        <row r="2535">
          <cell r="A2535" t="str">
            <v>B558311/A</v>
          </cell>
          <cell r="B2535" t="str">
            <v>RH2684M410</v>
          </cell>
          <cell r="C2535">
            <v>24</v>
          </cell>
          <cell r="D2535">
            <v>425</v>
          </cell>
          <cell r="E2535">
            <v>10200</v>
          </cell>
          <cell r="F2535" t="str">
            <v>P01-3</v>
          </cell>
          <cell r="G2535" t="str">
            <v xml:space="preserve">Panel - Ván </v>
          </cell>
          <cell r="H2535" t="str">
            <v>MDF Veneer</v>
          </cell>
          <cell r="I2535">
            <v>48</v>
          </cell>
        </row>
        <row r="2536">
          <cell r="A2536" t="str">
            <v>B558311/A</v>
          </cell>
          <cell r="B2536" t="str">
            <v>RH2684M410</v>
          </cell>
          <cell r="C2536">
            <v>24</v>
          </cell>
          <cell r="D2536">
            <v>425</v>
          </cell>
          <cell r="E2536">
            <v>10200</v>
          </cell>
          <cell r="F2536" t="str">
            <v>P01-4</v>
          </cell>
          <cell r="G2536" t="str">
            <v>Center top rail - Đố nóc giữa</v>
          </cell>
          <cell r="H2536" t="str">
            <v>Wood laminate</v>
          </cell>
          <cell r="I2536">
            <v>72</v>
          </cell>
        </row>
        <row r="2537">
          <cell r="A2537" t="str">
            <v>B558311/A</v>
          </cell>
          <cell r="B2537" t="str">
            <v>RH2684M410</v>
          </cell>
          <cell r="C2537">
            <v>24</v>
          </cell>
          <cell r="D2537">
            <v>425</v>
          </cell>
          <cell r="E2537">
            <v>10200</v>
          </cell>
          <cell r="F2537" t="str">
            <v>P01-5</v>
          </cell>
          <cell r="G2537" t="str">
            <v>Corner block - ke góc</v>
          </cell>
          <cell r="H2537" t="str">
            <v>Poplar off cut</v>
          </cell>
          <cell r="I2537">
            <v>144</v>
          </cell>
        </row>
        <row r="2538">
          <cell r="A2538" t="str">
            <v>B558311/A</v>
          </cell>
          <cell r="B2538" t="str">
            <v>RH2684M410</v>
          </cell>
          <cell r="C2538">
            <v>24</v>
          </cell>
          <cell r="D2538">
            <v>425</v>
          </cell>
          <cell r="E2538">
            <v>10200</v>
          </cell>
          <cell r="F2538" t="str">
            <v>P02</v>
          </cell>
          <cell r="G2538" t="str">
            <v>vaccumn veneer - cảo bich veneer</v>
          </cell>
          <cell r="H2538" t="str">
            <v>MDF Veneer</v>
          </cell>
          <cell r="I2538">
            <v>48</v>
          </cell>
        </row>
        <row r="2539">
          <cell r="A2539" t="str">
            <v>B558311/A</v>
          </cell>
          <cell r="B2539" t="str">
            <v>RH2684M410</v>
          </cell>
          <cell r="C2539">
            <v>24</v>
          </cell>
          <cell r="D2539">
            <v>425</v>
          </cell>
          <cell r="E2539">
            <v>10200</v>
          </cell>
          <cell r="F2539" t="str">
            <v>P02-1</v>
          </cell>
          <cell r="G2539" t="str">
            <v>Panel outside - Ván phía ngoài</v>
          </cell>
          <cell r="H2539" t="str">
            <v>MDF Veneer</v>
          </cell>
          <cell r="I2539">
            <v>48</v>
          </cell>
        </row>
        <row r="2540">
          <cell r="A2540" t="str">
            <v>B558311/A</v>
          </cell>
          <cell r="B2540" t="str">
            <v>RH2684M410</v>
          </cell>
          <cell r="C2540">
            <v>24</v>
          </cell>
          <cell r="D2540">
            <v>425</v>
          </cell>
          <cell r="E2540">
            <v>10200</v>
          </cell>
          <cell r="F2540" t="str">
            <v>P02-2</v>
          </cell>
          <cell r="G2540" t="str">
            <v>Panel outside - Ván phía ngoài</v>
          </cell>
          <cell r="H2540" t="str">
            <v>MDF - 12 x 1830 x 2440mm [CARB P2 Compliant]</v>
          </cell>
          <cell r="I2540">
            <v>48</v>
          </cell>
        </row>
        <row r="2541">
          <cell r="A2541" t="str">
            <v>B558311/A</v>
          </cell>
          <cell r="B2541" t="str">
            <v>RH2684M410</v>
          </cell>
          <cell r="C2541">
            <v>24</v>
          </cell>
          <cell r="D2541">
            <v>425</v>
          </cell>
          <cell r="E2541">
            <v>10200</v>
          </cell>
          <cell r="F2541" t="str">
            <v>P02-3</v>
          </cell>
          <cell r="G2541" t="str">
            <v>Panel outside - Ván phía ngoài</v>
          </cell>
          <cell r="H2541" t="str">
            <v>MDF - 18 x 1830 x 2440mm [CARB P2 Compliant]</v>
          </cell>
          <cell r="I2541">
            <v>96</v>
          </cell>
        </row>
        <row r="2542">
          <cell r="A2542" t="str">
            <v>B558311/A</v>
          </cell>
          <cell r="B2542" t="str">
            <v>RH2684M410</v>
          </cell>
          <cell r="C2542">
            <v>24</v>
          </cell>
          <cell r="D2542">
            <v>425</v>
          </cell>
          <cell r="E2542">
            <v>10200</v>
          </cell>
          <cell r="F2542" t="str">
            <v>P02-4</v>
          </cell>
          <cell r="G2542" t="str">
            <v>Panel inside - Ván hông</v>
          </cell>
          <cell r="H2542" t="str">
            <v>MDF laminate</v>
          </cell>
          <cell r="I2542">
            <v>144</v>
          </cell>
        </row>
        <row r="2543">
          <cell r="A2543" t="str">
            <v>B558311/A</v>
          </cell>
          <cell r="B2543" t="str">
            <v>RH2684M410</v>
          </cell>
          <cell r="C2543">
            <v>24</v>
          </cell>
          <cell r="D2543">
            <v>425</v>
          </cell>
          <cell r="E2543">
            <v>10200</v>
          </cell>
          <cell r="F2543" t="str">
            <v>P02-5</v>
          </cell>
          <cell r="G2543" t="str">
            <v>Panel inside - Ván hông</v>
          </cell>
          <cell r="H2543" t="str">
            <v>MDF laminate</v>
          </cell>
          <cell r="I2543">
            <v>96</v>
          </cell>
        </row>
        <row r="2544">
          <cell r="A2544" t="str">
            <v>B558311/A</v>
          </cell>
          <cell r="B2544" t="str">
            <v>RH2684M410</v>
          </cell>
          <cell r="C2544">
            <v>24</v>
          </cell>
          <cell r="D2544">
            <v>425</v>
          </cell>
          <cell r="E2544">
            <v>10200</v>
          </cell>
          <cell r="F2544" t="str">
            <v>P02-6</v>
          </cell>
          <cell r="G2544" t="str">
            <v>MDF - MDF</v>
          </cell>
          <cell r="H2544" t="str">
            <v>MDF OFF CUT</v>
          </cell>
          <cell r="I2544">
            <v>384</v>
          </cell>
        </row>
        <row r="2545">
          <cell r="A2545" t="str">
            <v>B558311/A</v>
          </cell>
          <cell r="B2545" t="str">
            <v>RH2684M410</v>
          </cell>
          <cell r="C2545">
            <v>24</v>
          </cell>
          <cell r="D2545">
            <v>425</v>
          </cell>
          <cell r="E2545">
            <v>10200</v>
          </cell>
          <cell r="F2545" t="str">
            <v>P03</v>
          </cell>
          <cell r="G2545" t="str">
            <v>Spline - Lưỡi gà</v>
          </cell>
          <cell r="H2545" t="str">
            <v>Plywood LVD - 09 x 1220 x 2440mm, Bleached Poplar Veneer Both Sides [CARB P2 Compliant]</v>
          </cell>
          <cell r="I2545">
            <v>192</v>
          </cell>
        </row>
        <row r="2546">
          <cell r="A2546" t="str">
            <v>B558134/A</v>
          </cell>
          <cell r="B2546" t="str">
            <v>RH2690M08CZ</v>
          </cell>
          <cell r="C2546">
            <v>13</v>
          </cell>
          <cell r="D2546">
            <v>271</v>
          </cell>
          <cell r="E2546">
            <v>3523</v>
          </cell>
          <cell r="F2546" t="str">
            <v>P01</v>
          </cell>
          <cell r="G2546" t="str">
            <v xml:space="preserve">Top panel  - Ván nóc </v>
          </cell>
          <cell r="H2546" t="str">
            <v>MDF - 18 x 1830 x 2440mm [CARB P2 Compliant]</v>
          </cell>
          <cell r="I2546">
            <v>13</v>
          </cell>
        </row>
        <row r="2547">
          <cell r="A2547" t="str">
            <v>B558134/A</v>
          </cell>
          <cell r="B2547" t="str">
            <v>RH2690M08CZ</v>
          </cell>
          <cell r="C2547">
            <v>13</v>
          </cell>
          <cell r="D2547">
            <v>271</v>
          </cell>
          <cell r="E2547">
            <v>3523</v>
          </cell>
          <cell r="F2547" t="str">
            <v>P01-A</v>
          </cell>
          <cell r="G2547" t="str">
            <v>Bottom panel - Ván đáy</v>
          </cell>
          <cell r="H2547" t="str">
            <v>MDF - 18 x 1830 x 2440mm [CARB P2 Compliant]</v>
          </cell>
          <cell r="I2547">
            <v>13</v>
          </cell>
        </row>
        <row r="2548">
          <cell r="A2548" t="str">
            <v>B558134/A</v>
          </cell>
          <cell r="B2548" t="str">
            <v>RH2690M08CZ</v>
          </cell>
          <cell r="C2548">
            <v>13</v>
          </cell>
          <cell r="D2548">
            <v>271</v>
          </cell>
          <cell r="E2548">
            <v>3523</v>
          </cell>
          <cell r="F2548" t="str">
            <v>P02</v>
          </cell>
          <cell r="G2548" t="str">
            <v xml:space="preserve">Front panel  - Ván tiền </v>
          </cell>
          <cell r="H2548" t="str">
            <v>MDF Veneer</v>
          </cell>
          <cell r="I2548">
            <v>39</v>
          </cell>
        </row>
        <row r="2549">
          <cell r="A2549" t="str">
            <v>B558134/A</v>
          </cell>
          <cell r="B2549" t="str">
            <v>RH2690M08CZ</v>
          </cell>
          <cell r="C2549">
            <v>13</v>
          </cell>
          <cell r="D2549">
            <v>271</v>
          </cell>
          <cell r="E2549">
            <v>3523</v>
          </cell>
          <cell r="F2549" t="str">
            <v>P03</v>
          </cell>
          <cell r="G2549" t="str">
            <v>Cleat - Bọ gỗ</v>
          </cell>
          <cell r="H2549" t="str">
            <v>TRAM OFF CUT</v>
          </cell>
          <cell r="I2549">
            <v>130</v>
          </cell>
        </row>
        <row r="2550">
          <cell r="A2550" t="str">
            <v>B558134/A</v>
          </cell>
          <cell r="B2550" t="str">
            <v>RH2690M08CZ</v>
          </cell>
          <cell r="C2550">
            <v>13</v>
          </cell>
          <cell r="D2550">
            <v>271</v>
          </cell>
          <cell r="E2550">
            <v>3523</v>
          </cell>
          <cell r="F2550" t="str">
            <v>P03-A</v>
          </cell>
          <cell r="G2550" t="str">
            <v>Cleat - Bọ gỗ</v>
          </cell>
          <cell r="H2550" t="str">
            <v>TRAM OFF CUT</v>
          </cell>
          <cell r="I2550">
            <v>78</v>
          </cell>
        </row>
        <row r="2551">
          <cell r="A2551" t="str">
            <v>B558134/A</v>
          </cell>
          <cell r="B2551" t="str">
            <v>RH2690M08CZ</v>
          </cell>
          <cell r="C2551">
            <v>13</v>
          </cell>
          <cell r="D2551">
            <v>271</v>
          </cell>
          <cell r="E2551">
            <v>3523</v>
          </cell>
          <cell r="F2551" t="str">
            <v>P04</v>
          </cell>
          <cell r="G2551" t="str">
            <v>Spline - Lưỡi gà</v>
          </cell>
          <cell r="H2551" t="str">
            <v>Plywood LVD - 06 x 1220 x 2440mm, Bleached Poplar Veneer Both Sides [CARB P2 Compliant]</v>
          </cell>
          <cell r="I2551">
            <v>39</v>
          </cell>
        </row>
        <row r="2552">
          <cell r="A2552" t="str">
            <v>B558134/A</v>
          </cell>
          <cell r="B2552" t="str">
            <v>RH2690M08CZ</v>
          </cell>
          <cell r="C2552">
            <v>13</v>
          </cell>
          <cell r="D2552">
            <v>271</v>
          </cell>
          <cell r="E2552">
            <v>3523</v>
          </cell>
          <cell r="F2552" t="str">
            <v>P05</v>
          </cell>
          <cell r="G2552" t="str">
            <v>Center panel - Ván giữa</v>
          </cell>
          <cell r="H2552" t="str">
            <v>MDF - 18 x 1830 x 2440mm [CARB P2 Compliant]</v>
          </cell>
          <cell r="I2552">
            <v>26</v>
          </cell>
        </row>
        <row r="2553">
          <cell r="A2553" t="str">
            <v>B558137/A</v>
          </cell>
          <cell r="B2553" t="str">
            <v>RH2690M09CZ</v>
          </cell>
          <cell r="C2553">
            <v>18</v>
          </cell>
          <cell r="D2553">
            <v>271</v>
          </cell>
          <cell r="E2553">
            <v>4878</v>
          </cell>
          <cell r="F2553" t="str">
            <v>P01</v>
          </cell>
          <cell r="G2553" t="str">
            <v xml:space="preserve">Top panel  - Ván nóc </v>
          </cell>
          <cell r="H2553" t="str">
            <v>MDF - 18 x 1830 x 2440mm [CARB P2 Compliant]</v>
          </cell>
          <cell r="I2553">
            <v>18</v>
          </cell>
        </row>
        <row r="2554">
          <cell r="A2554" t="str">
            <v>B558137/A</v>
          </cell>
          <cell r="B2554" t="str">
            <v>RH2690M09CZ</v>
          </cell>
          <cell r="C2554">
            <v>18</v>
          </cell>
          <cell r="D2554">
            <v>271</v>
          </cell>
          <cell r="E2554">
            <v>4878</v>
          </cell>
          <cell r="F2554" t="str">
            <v>P01-A</v>
          </cell>
          <cell r="G2554" t="str">
            <v>Bottom panel - Ván đáy</v>
          </cell>
          <cell r="H2554" t="str">
            <v>MDF - 18 x 1830 x 2440mm [CARB P2 Compliant]</v>
          </cell>
          <cell r="I2554">
            <v>18</v>
          </cell>
        </row>
        <row r="2555">
          <cell r="A2555" t="str">
            <v>B558137/A</v>
          </cell>
          <cell r="B2555" t="str">
            <v>RH2690M09CZ</v>
          </cell>
          <cell r="C2555">
            <v>18</v>
          </cell>
          <cell r="D2555">
            <v>271</v>
          </cell>
          <cell r="E2555">
            <v>4878</v>
          </cell>
          <cell r="F2555" t="str">
            <v>P02</v>
          </cell>
          <cell r="G2555" t="str">
            <v xml:space="preserve">Front panel  - Ván tiền </v>
          </cell>
          <cell r="H2555" t="str">
            <v>MDF Veneer</v>
          </cell>
          <cell r="I2555">
            <v>54</v>
          </cell>
        </row>
        <row r="2556">
          <cell r="A2556" t="str">
            <v>B558137/A</v>
          </cell>
          <cell r="B2556" t="str">
            <v>RH2690M09CZ</v>
          </cell>
          <cell r="C2556">
            <v>18</v>
          </cell>
          <cell r="D2556">
            <v>271</v>
          </cell>
          <cell r="E2556">
            <v>4878</v>
          </cell>
          <cell r="F2556" t="str">
            <v>P03</v>
          </cell>
          <cell r="G2556" t="str">
            <v>Cleat - Bọ gỗ</v>
          </cell>
          <cell r="H2556" t="str">
            <v>TRAM OFF CUT</v>
          </cell>
          <cell r="I2556">
            <v>180</v>
          </cell>
        </row>
        <row r="2557">
          <cell r="A2557" t="str">
            <v>B558137/A</v>
          </cell>
          <cell r="B2557" t="str">
            <v>RH2690M09CZ</v>
          </cell>
          <cell r="C2557">
            <v>18</v>
          </cell>
          <cell r="D2557">
            <v>271</v>
          </cell>
          <cell r="E2557">
            <v>4878</v>
          </cell>
          <cell r="F2557" t="str">
            <v>P03-A</v>
          </cell>
          <cell r="G2557" t="str">
            <v>Cleat - Bọ gỗ</v>
          </cell>
          <cell r="H2557" t="str">
            <v>TRAM OFF CUT</v>
          </cell>
          <cell r="I2557">
            <v>108</v>
          </cell>
        </row>
        <row r="2558">
          <cell r="A2558" t="str">
            <v>B558137/A</v>
          </cell>
          <cell r="B2558" t="str">
            <v>RH2690M09CZ</v>
          </cell>
          <cell r="C2558">
            <v>18</v>
          </cell>
          <cell r="D2558">
            <v>271</v>
          </cell>
          <cell r="E2558">
            <v>4878</v>
          </cell>
          <cell r="F2558" t="str">
            <v>P04</v>
          </cell>
          <cell r="G2558" t="str">
            <v>Spline - Lưỡi gà</v>
          </cell>
          <cell r="H2558" t="str">
            <v>Plywood LVD - 06 x 1220 x 2440mm, Bleached Poplar Veneer Both Sides [CARB P2 Compliant]</v>
          </cell>
          <cell r="I2558">
            <v>54</v>
          </cell>
        </row>
        <row r="2559">
          <cell r="A2559" t="str">
            <v>B558137/A</v>
          </cell>
          <cell r="B2559" t="str">
            <v>RH2690M09CZ</v>
          </cell>
          <cell r="C2559">
            <v>18</v>
          </cell>
          <cell r="D2559">
            <v>271</v>
          </cell>
          <cell r="E2559">
            <v>4878</v>
          </cell>
          <cell r="F2559" t="str">
            <v>P05</v>
          </cell>
          <cell r="G2559" t="str">
            <v>Center panel - Ván giữa</v>
          </cell>
          <cell r="H2559" t="str">
            <v>MDF - 18 x 1830 x 2440mm [CARB P2 Compliant]</v>
          </cell>
          <cell r="I2559">
            <v>36</v>
          </cell>
        </row>
        <row r="2560">
          <cell r="A2560" t="str">
            <v>B558141/A</v>
          </cell>
          <cell r="B2560" t="str">
            <v>RH2690M191</v>
          </cell>
          <cell r="C2560">
            <v>11</v>
          </cell>
          <cell r="D2560">
            <v>271</v>
          </cell>
          <cell r="E2560">
            <v>2981</v>
          </cell>
          <cell r="F2560" t="str">
            <v>P01</v>
          </cell>
          <cell r="G2560" t="str">
            <v xml:space="preserve">Top panel  - Ván nóc </v>
          </cell>
          <cell r="H2560" t="str">
            <v>MDF - 18 x 1830 x 2440mm [CARB P2 Compliant]</v>
          </cell>
          <cell r="I2560">
            <v>11</v>
          </cell>
        </row>
        <row r="2561">
          <cell r="A2561" t="str">
            <v>B558141/A</v>
          </cell>
          <cell r="B2561" t="str">
            <v>RH2690M191</v>
          </cell>
          <cell r="C2561">
            <v>11</v>
          </cell>
          <cell r="D2561">
            <v>271</v>
          </cell>
          <cell r="E2561">
            <v>2981</v>
          </cell>
          <cell r="F2561" t="str">
            <v>P01-A</v>
          </cell>
          <cell r="G2561" t="str">
            <v>Bottom panel - Ván đáy</v>
          </cell>
          <cell r="H2561" t="str">
            <v>MDF - 18 x 1830 x 2440mm [CARB P2 Compliant]</v>
          </cell>
          <cell r="I2561">
            <v>11</v>
          </cell>
        </row>
        <row r="2562">
          <cell r="A2562" t="str">
            <v>B558141/A</v>
          </cell>
          <cell r="B2562" t="str">
            <v>RH2690M191</v>
          </cell>
          <cell r="C2562">
            <v>11</v>
          </cell>
          <cell r="D2562">
            <v>271</v>
          </cell>
          <cell r="E2562">
            <v>2981</v>
          </cell>
          <cell r="F2562" t="str">
            <v>P02</v>
          </cell>
          <cell r="G2562" t="str">
            <v xml:space="preserve">Front panel  - Ván tiền </v>
          </cell>
          <cell r="H2562" t="str">
            <v>MDF Veneer</v>
          </cell>
          <cell r="I2562">
            <v>33</v>
          </cell>
        </row>
        <row r="2563">
          <cell r="A2563" t="str">
            <v>B558141/A</v>
          </cell>
          <cell r="B2563" t="str">
            <v>RH2690M191</v>
          </cell>
          <cell r="C2563">
            <v>11</v>
          </cell>
          <cell r="D2563">
            <v>271</v>
          </cell>
          <cell r="E2563">
            <v>2981</v>
          </cell>
          <cell r="F2563" t="str">
            <v>P03</v>
          </cell>
          <cell r="G2563" t="str">
            <v>Cleat - Bọ gỗ</v>
          </cell>
          <cell r="H2563" t="str">
            <v>TRAM OFF CUT</v>
          </cell>
          <cell r="I2563">
            <v>110</v>
          </cell>
        </row>
        <row r="2564">
          <cell r="A2564" t="str">
            <v>B558141/A</v>
          </cell>
          <cell r="B2564" t="str">
            <v>RH2690M191</v>
          </cell>
          <cell r="C2564">
            <v>11</v>
          </cell>
          <cell r="D2564">
            <v>271</v>
          </cell>
          <cell r="E2564">
            <v>2981</v>
          </cell>
          <cell r="F2564" t="str">
            <v>P03-A</v>
          </cell>
          <cell r="G2564" t="str">
            <v>Cleat - Bọ gỗ</v>
          </cell>
          <cell r="H2564" t="str">
            <v>TRAM OFF CUT</v>
          </cell>
          <cell r="I2564">
            <v>66</v>
          </cell>
        </row>
        <row r="2565">
          <cell r="A2565" t="str">
            <v>B558141/A</v>
          </cell>
          <cell r="B2565" t="str">
            <v>RH2690M191</v>
          </cell>
          <cell r="C2565">
            <v>11</v>
          </cell>
          <cell r="D2565">
            <v>271</v>
          </cell>
          <cell r="E2565">
            <v>2981</v>
          </cell>
          <cell r="F2565" t="str">
            <v>P04</v>
          </cell>
          <cell r="G2565" t="str">
            <v>Spline - Lưỡi gà</v>
          </cell>
          <cell r="H2565" t="str">
            <v>Plywood LVD - 06 x 1220 x 2440mm, Bleached Poplar Veneer Both Sides [CARB P2 Compliant]</v>
          </cell>
          <cell r="I2565">
            <v>33</v>
          </cell>
        </row>
        <row r="2566">
          <cell r="A2566" t="str">
            <v>B558141/A</v>
          </cell>
          <cell r="B2566" t="str">
            <v>RH2690M191</v>
          </cell>
          <cell r="C2566">
            <v>11</v>
          </cell>
          <cell r="D2566">
            <v>271</v>
          </cell>
          <cell r="E2566">
            <v>2981</v>
          </cell>
          <cell r="F2566" t="str">
            <v>P05</v>
          </cell>
          <cell r="G2566" t="str">
            <v>Center panel - Ván giữa</v>
          </cell>
          <cell r="H2566" t="str">
            <v>MDF - 18 x 1830 x 2440mm [CARB P2 Compliant]</v>
          </cell>
          <cell r="I2566">
            <v>22</v>
          </cell>
        </row>
        <row r="2567">
          <cell r="A2567" t="str">
            <v>B558315/A</v>
          </cell>
          <cell r="B2567" t="str">
            <v>RH2751M18</v>
          </cell>
          <cell r="C2567">
            <v>45</v>
          </cell>
          <cell r="D2567">
            <v>381.43</v>
          </cell>
          <cell r="E2567">
            <v>17164.349999999999</v>
          </cell>
          <cell r="F2567" t="str">
            <v>A1</v>
          </cell>
          <cell r="G2567" t="str">
            <v>Top Frame - Khung nóc</v>
          </cell>
          <cell r="H2567" t="str">
            <v>Assembly</v>
          </cell>
          <cell r="I2567">
            <v>45</v>
          </cell>
        </row>
        <row r="2568">
          <cell r="A2568" t="str">
            <v>B558315/A</v>
          </cell>
          <cell r="B2568" t="str">
            <v>RH2751M18</v>
          </cell>
          <cell r="C2568">
            <v>45</v>
          </cell>
          <cell r="D2568">
            <v>381.43</v>
          </cell>
          <cell r="E2568">
            <v>17164.349999999999</v>
          </cell>
          <cell r="F2568" t="str">
            <v>A1-S1</v>
          </cell>
          <cell r="G2568" t="str">
            <v>Top Frame - Khung nóc</v>
          </cell>
          <cell r="H2568" t="str">
            <v>Pre-Assembly</v>
          </cell>
          <cell r="I2568">
            <v>45</v>
          </cell>
        </row>
        <row r="2569">
          <cell r="A2569" t="str">
            <v>B558315/A</v>
          </cell>
          <cell r="B2569" t="str">
            <v>RH2751M18</v>
          </cell>
          <cell r="C2569">
            <v>45</v>
          </cell>
          <cell r="D2569">
            <v>381.43</v>
          </cell>
          <cell r="E2569">
            <v>17164.349999999999</v>
          </cell>
          <cell r="F2569" t="str">
            <v>A1-S1-1</v>
          </cell>
          <cell r="G2569" t="str">
            <v xml:space="preserve">Top panel  - Ván nóc </v>
          </cell>
          <cell r="H2569" t="str">
            <v>MDF Veneer</v>
          </cell>
          <cell r="I2569">
            <v>45</v>
          </cell>
        </row>
        <row r="2570">
          <cell r="A2570" t="str">
            <v>B558315/A</v>
          </cell>
          <cell r="B2570" t="str">
            <v>RH2751M18</v>
          </cell>
          <cell r="C2570">
            <v>45</v>
          </cell>
          <cell r="D2570">
            <v>381.43</v>
          </cell>
          <cell r="E2570">
            <v>17164.349999999999</v>
          </cell>
          <cell r="F2570" t="str">
            <v>A1-S1-1-A</v>
          </cell>
          <cell r="G2570" t="str">
            <v>VN - Veneer</v>
          </cell>
          <cell r="H2570" t="str">
            <v>Veneer laminate</v>
          </cell>
          <cell r="I2570">
            <v>45</v>
          </cell>
        </row>
        <row r="2571">
          <cell r="A2571" t="str">
            <v>B558315/A</v>
          </cell>
          <cell r="B2571" t="str">
            <v>RH2751M18</v>
          </cell>
          <cell r="C2571">
            <v>45</v>
          </cell>
          <cell r="D2571">
            <v>381.43</v>
          </cell>
          <cell r="E2571">
            <v>17164.349999999999</v>
          </cell>
          <cell r="F2571" t="str">
            <v>A1-S1-2</v>
          </cell>
          <cell r="G2571" t="str">
            <v>Front top rail  - Đố tiền nóc</v>
          </cell>
          <cell r="H2571" t="str">
            <v>Wood US Poplar - Straight Edged, 2 COM - T25mm x W100mm Up x L1.8m Up</v>
          </cell>
          <cell r="I2571">
            <v>90</v>
          </cell>
        </row>
        <row r="2572">
          <cell r="A2572" t="str">
            <v>B558315/A</v>
          </cell>
          <cell r="B2572" t="str">
            <v>RH2751M18</v>
          </cell>
          <cell r="C2572">
            <v>45</v>
          </cell>
          <cell r="D2572">
            <v>381.43</v>
          </cell>
          <cell r="E2572">
            <v>17164.349999999999</v>
          </cell>
          <cell r="F2572" t="str">
            <v>A1-S1-3</v>
          </cell>
          <cell r="G2572" t="str">
            <v>Side top rail - Đố hông trên</v>
          </cell>
          <cell r="H2572" t="str">
            <v>Wood US Poplar - Straight Edged, 2 COM - T25mm x W100mm Up x L1.8m Up</v>
          </cell>
          <cell r="I2572">
            <v>90</v>
          </cell>
        </row>
        <row r="2573">
          <cell r="A2573" t="str">
            <v>B558315/A</v>
          </cell>
          <cell r="B2573" t="str">
            <v>RH2751M18</v>
          </cell>
          <cell r="C2573">
            <v>45</v>
          </cell>
          <cell r="D2573">
            <v>381.43</v>
          </cell>
          <cell r="E2573">
            <v>17164.349999999999</v>
          </cell>
          <cell r="F2573" t="str">
            <v>A1-S2</v>
          </cell>
          <cell r="G2573" t="str">
            <v>Top moulding  - Chỉ nóc</v>
          </cell>
          <cell r="H2573" t="str">
            <v>Wood US Poplar - Straight Edged, 1 COM - T32mm x W100mm Up x L1.8m Up</v>
          </cell>
          <cell r="I2573">
            <v>90</v>
          </cell>
        </row>
        <row r="2574">
          <cell r="A2574" t="str">
            <v>B558315/A</v>
          </cell>
          <cell r="B2574" t="str">
            <v>RH2751M18</v>
          </cell>
          <cell r="C2574">
            <v>45</v>
          </cell>
          <cell r="D2574">
            <v>381.43</v>
          </cell>
          <cell r="E2574">
            <v>17164.349999999999</v>
          </cell>
          <cell r="F2574" t="str">
            <v>A1-S3</v>
          </cell>
          <cell r="G2574" t="str">
            <v>Top moulding  - Chỉ nóc</v>
          </cell>
          <cell r="H2574" t="str">
            <v>Wood US Poplar - Straight Edged, 1 COM - T32mm x W100mm Up x L1.8m Up</v>
          </cell>
          <cell r="I2574">
            <v>90</v>
          </cell>
        </row>
        <row r="2575">
          <cell r="A2575" t="str">
            <v>B558315/A</v>
          </cell>
          <cell r="B2575" t="str">
            <v>RH2751M18</v>
          </cell>
          <cell r="C2575">
            <v>45</v>
          </cell>
          <cell r="D2575">
            <v>381.43</v>
          </cell>
          <cell r="E2575">
            <v>17164.349999999999</v>
          </cell>
          <cell r="F2575" t="str">
            <v>A2-S1</v>
          </cell>
          <cell r="G2575" t="str">
            <v>Front leg  - Chần tiền</v>
          </cell>
          <cell r="H2575" t="str">
            <v>Poplar 1 COM</v>
          </cell>
          <cell r="I2575">
            <v>90</v>
          </cell>
        </row>
        <row r="2576">
          <cell r="A2576" t="str">
            <v>B558315/A</v>
          </cell>
          <cell r="B2576" t="str">
            <v>RH2751M18</v>
          </cell>
          <cell r="C2576">
            <v>45</v>
          </cell>
          <cell r="D2576">
            <v>381.43</v>
          </cell>
          <cell r="E2576">
            <v>17164.349999999999</v>
          </cell>
          <cell r="F2576" t="str">
            <v>A2-S2</v>
          </cell>
          <cell r="G2576" t="str">
            <v>Back leg - Chân hậu</v>
          </cell>
          <cell r="H2576" t="str">
            <v>Poplar 1 COM</v>
          </cell>
          <cell r="I2576">
            <v>90</v>
          </cell>
        </row>
        <row r="2577">
          <cell r="A2577" t="str">
            <v>B558315/A</v>
          </cell>
          <cell r="B2577" t="str">
            <v>RH2751M18</v>
          </cell>
          <cell r="C2577">
            <v>45</v>
          </cell>
          <cell r="D2577">
            <v>381.43</v>
          </cell>
          <cell r="E2577">
            <v>17164.349999999999</v>
          </cell>
          <cell r="F2577" t="str">
            <v>A2-S3</v>
          </cell>
          <cell r="G2577" t="str">
            <v xml:space="preserve">Side panel  - Ván hông </v>
          </cell>
          <cell r="H2577" t="str">
            <v>Wood US Poplar - Straight Edged, 1 COM - T25mm x W100mm Up x L1.8m Up</v>
          </cell>
          <cell r="I2577">
            <v>90</v>
          </cell>
        </row>
        <row r="2578">
          <cell r="A2578" t="str">
            <v>B558315/A</v>
          </cell>
          <cell r="B2578" t="str">
            <v>RH2751M18</v>
          </cell>
          <cell r="C2578">
            <v>45</v>
          </cell>
          <cell r="D2578">
            <v>381.43</v>
          </cell>
          <cell r="E2578">
            <v>17164.349999999999</v>
          </cell>
          <cell r="F2578" t="str">
            <v>A2-S5</v>
          </cell>
          <cell r="G2578" t="str">
            <v>The leg  - Chân</v>
          </cell>
          <cell r="H2578" t="str">
            <v>Poplar 1 COM</v>
          </cell>
          <cell r="I2578">
            <v>180</v>
          </cell>
        </row>
        <row r="2579">
          <cell r="A2579" t="str">
            <v>B558315/A</v>
          </cell>
          <cell r="B2579" t="str">
            <v>RH2751M18</v>
          </cell>
          <cell r="C2579">
            <v>45</v>
          </cell>
          <cell r="D2579">
            <v>381.43</v>
          </cell>
          <cell r="E2579">
            <v>17164.349999999999</v>
          </cell>
          <cell r="F2579" t="str">
            <v>A2-S6</v>
          </cell>
          <cell r="G2579" t="str">
            <v>Side bottom rail - Đố hông dưới</v>
          </cell>
          <cell r="H2579" t="str">
            <v>Wood US Poplar - Straight Edged, 2 COM - T32mm x W100mm Up x L1.8m Up</v>
          </cell>
          <cell r="I2579">
            <v>90</v>
          </cell>
        </row>
        <row r="2580">
          <cell r="A2580" t="str">
            <v>B558315/A</v>
          </cell>
          <cell r="B2580" t="str">
            <v>RH2751M18</v>
          </cell>
          <cell r="C2580">
            <v>45</v>
          </cell>
          <cell r="D2580">
            <v>381.43</v>
          </cell>
          <cell r="E2580">
            <v>17164.349999999999</v>
          </cell>
          <cell r="F2580" t="str">
            <v>A3A</v>
          </cell>
          <cell r="G2580" t="str">
            <v xml:space="preserve">Drawer front - Mặt hộc kéo </v>
          </cell>
          <cell r="H2580" t="str">
            <v>Assembly</v>
          </cell>
          <cell r="I2580">
            <v>45</v>
          </cell>
        </row>
        <row r="2581">
          <cell r="A2581" t="str">
            <v>B558315/A</v>
          </cell>
          <cell r="B2581" t="str">
            <v>RH2751M18</v>
          </cell>
          <cell r="C2581">
            <v>45</v>
          </cell>
          <cell r="D2581">
            <v>381.43</v>
          </cell>
          <cell r="E2581">
            <v>17164.349999999999</v>
          </cell>
          <cell r="F2581" t="str">
            <v>A3-S01</v>
          </cell>
          <cell r="G2581" t="str">
            <v xml:space="preserve">Drawer front - Mặt hộc kéo </v>
          </cell>
          <cell r="H2581" t="str">
            <v>Wood US Poplar - Straight Edged, 1 COM - T25mm x W100mm Up x L1.8m Up</v>
          </cell>
          <cell r="I2581">
            <v>45</v>
          </cell>
        </row>
        <row r="2582">
          <cell r="A2582" t="str">
            <v>B558315/A</v>
          </cell>
          <cell r="B2582" t="str">
            <v>RH2751M18</v>
          </cell>
          <cell r="C2582">
            <v>45</v>
          </cell>
          <cell r="D2582">
            <v>381.43</v>
          </cell>
          <cell r="E2582">
            <v>17164.349999999999</v>
          </cell>
          <cell r="F2582" t="str">
            <v>A3-S02</v>
          </cell>
          <cell r="G2582" t="str">
            <v xml:space="preserve">Drawer front - Mặt hộc kéo </v>
          </cell>
          <cell r="H2582" t="str">
            <v>Wood US Poplar - Straight Edged, 2 COM - T25mm x W100mm Up x L1.8m Up</v>
          </cell>
          <cell r="I2582">
            <v>45</v>
          </cell>
        </row>
        <row r="2583">
          <cell r="A2583" t="str">
            <v>B558315/A</v>
          </cell>
          <cell r="B2583" t="str">
            <v>RH2751M18</v>
          </cell>
          <cell r="C2583">
            <v>45</v>
          </cell>
          <cell r="D2583">
            <v>381.43</v>
          </cell>
          <cell r="E2583">
            <v>17164.349999999999</v>
          </cell>
          <cell r="F2583" t="str">
            <v>A3-S03</v>
          </cell>
          <cell r="G2583" t="str">
            <v>Drawer side - Hông hộc kéo</v>
          </cell>
          <cell r="H2583" t="str">
            <v>Wood US Poplar - Straight Edged, 2 COM - T25mm x W100mm Up x L1.8m Up</v>
          </cell>
          <cell r="I2583">
            <v>90</v>
          </cell>
        </row>
        <row r="2584">
          <cell r="A2584" t="str">
            <v>B558315/A</v>
          </cell>
          <cell r="B2584" t="str">
            <v>RH2751M18</v>
          </cell>
          <cell r="C2584">
            <v>45</v>
          </cell>
          <cell r="D2584">
            <v>381.43</v>
          </cell>
          <cell r="E2584">
            <v>17164.349999999999</v>
          </cell>
          <cell r="F2584" t="str">
            <v>A3-S04</v>
          </cell>
          <cell r="G2584" t="str">
            <v>Drawer back - Hậu hộc kéo</v>
          </cell>
          <cell r="H2584" t="str">
            <v>Wood US Poplar - Straight Edged, 2 COM - T38mm x W100mm Up x L1.8m Up</v>
          </cell>
          <cell r="I2584">
            <v>45</v>
          </cell>
        </row>
        <row r="2585">
          <cell r="A2585" t="str">
            <v>B558315/A</v>
          </cell>
          <cell r="B2585" t="str">
            <v>RH2751M18</v>
          </cell>
          <cell r="C2585">
            <v>45</v>
          </cell>
          <cell r="D2585">
            <v>381.43</v>
          </cell>
          <cell r="E2585">
            <v>17164.349999999999</v>
          </cell>
          <cell r="F2585" t="str">
            <v>A3-S05</v>
          </cell>
          <cell r="G2585" t="str">
            <v>Drawer bottom  - Đáy hộc kéo</v>
          </cell>
          <cell r="H2585" t="str">
            <v>MDF - 06 x 1220 x 2440mm, Veneer Poplar 0.42mm + Veneer Engineering 0.3mm [CARB P2 Compliant]</v>
          </cell>
          <cell r="I2585">
            <v>45</v>
          </cell>
        </row>
        <row r="2586">
          <cell r="A2586" t="str">
            <v>B558315/A</v>
          </cell>
          <cell r="B2586" t="str">
            <v>RH2751M18</v>
          </cell>
          <cell r="C2586">
            <v>45</v>
          </cell>
          <cell r="D2586">
            <v>381.43</v>
          </cell>
          <cell r="E2586">
            <v>17164.349999999999</v>
          </cell>
          <cell r="F2586" t="str">
            <v>A3-S06</v>
          </cell>
          <cell r="G2586" t="str">
            <v>Front moulding  - Chỉ tiền</v>
          </cell>
          <cell r="H2586" t="str">
            <v>Wood US Poplar - Straight Edged, 1 COM - T38mm x W100mm Up x L1.8m Up</v>
          </cell>
          <cell r="I2586">
            <v>90</v>
          </cell>
        </row>
        <row r="2587">
          <cell r="A2587" t="str">
            <v>B558315/A</v>
          </cell>
          <cell r="B2587" t="str">
            <v>RH2751M18</v>
          </cell>
          <cell r="C2587">
            <v>45</v>
          </cell>
          <cell r="D2587">
            <v>381.43</v>
          </cell>
          <cell r="E2587">
            <v>17164.349999999999</v>
          </cell>
          <cell r="F2587" t="str">
            <v>A3-S07</v>
          </cell>
          <cell r="G2587" t="str">
            <v>Side moulding - Chỉ hông</v>
          </cell>
          <cell r="H2587" t="str">
            <v>Wood US Poplar - Straight Edged, 1 COM - T38mm x W100mm Up x L1.8m Up</v>
          </cell>
          <cell r="I2587">
            <v>90</v>
          </cell>
        </row>
        <row r="2588">
          <cell r="A2588" t="str">
            <v>B558315/A</v>
          </cell>
          <cell r="B2588" t="str">
            <v>RH2751M18</v>
          </cell>
          <cell r="C2588">
            <v>45</v>
          </cell>
          <cell r="D2588">
            <v>381.43</v>
          </cell>
          <cell r="E2588">
            <v>17164.349999999999</v>
          </cell>
          <cell r="F2588" t="str">
            <v>A3-S09</v>
          </cell>
          <cell r="G2588" t="str">
            <v>Insert Wood - Gỗ chèn</v>
          </cell>
          <cell r="H2588" t="str">
            <v>Wood US Poplar - Straight Edged, 2 COM - T38mm x W100mm Up x L1.8m Up</v>
          </cell>
          <cell r="I2588">
            <v>90</v>
          </cell>
        </row>
        <row r="2589">
          <cell r="A2589" t="str">
            <v>B558315/A</v>
          </cell>
          <cell r="B2589" t="str">
            <v>RH2751M18</v>
          </cell>
          <cell r="C2589">
            <v>45</v>
          </cell>
          <cell r="D2589">
            <v>381.43</v>
          </cell>
          <cell r="E2589">
            <v>17164.349999999999</v>
          </cell>
          <cell r="F2589" t="str">
            <v>P01</v>
          </cell>
          <cell r="G2589" t="str">
            <v>back rail - Đố hậu</v>
          </cell>
          <cell r="H2589" t="str">
            <v>Wood US Poplar - Straight Edged, 1 COM - T38mm x W100mm Up x L1.8m Up</v>
          </cell>
          <cell r="I2589">
            <v>45</v>
          </cell>
        </row>
        <row r="2590">
          <cell r="A2590" t="str">
            <v>B558315/A</v>
          </cell>
          <cell r="B2590" t="str">
            <v>RH2751M18</v>
          </cell>
          <cell r="C2590">
            <v>45</v>
          </cell>
          <cell r="D2590">
            <v>381.43</v>
          </cell>
          <cell r="E2590">
            <v>17164.349999999999</v>
          </cell>
          <cell r="F2590" t="str">
            <v>P02</v>
          </cell>
          <cell r="G2590" t="str">
            <v>Bottom panel - Ván đáy</v>
          </cell>
          <cell r="H2590" t="str">
            <v>MDF Veneer</v>
          </cell>
          <cell r="I2590">
            <v>45</v>
          </cell>
        </row>
        <row r="2591">
          <cell r="A2591" t="str">
            <v>B558315/A</v>
          </cell>
          <cell r="B2591" t="str">
            <v>RH2751M18</v>
          </cell>
          <cell r="C2591">
            <v>45</v>
          </cell>
          <cell r="D2591">
            <v>381.43</v>
          </cell>
          <cell r="E2591">
            <v>17164.349999999999</v>
          </cell>
          <cell r="F2591" t="str">
            <v>P03</v>
          </cell>
          <cell r="G2591" t="str">
            <v>Back top rail - Đố hậu nóc</v>
          </cell>
          <cell r="H2591" t="str">
            <v>Wood US Poplar - Straight Edged, 2 COM - T25mm x W100mm Up x L1.8m Up</v>
          </cell>
          <cell r="I2591">
            <v>45</v>
          </cell>
        </row>
        <row r="2592">
          <cell r="A2592" t="str">
            <v>B558232/A</v>
          </cell>
          <cell r="B2592" t="str">
            <v>RH2772M396</v>
          </cell>
          <cell r="C2592">
            <v>1</v>
          </cell>
          <cell r="D2592">
            <v>315</v>
          </cell>
          <cell r="E2592">
            <v>315</v>
          </cell>
          <cell r="F2592" t="str">
            <v>A1-S0</v>
          </cell>
          <cell r="G2592" t="str">
            <v>vaccumn veneer - cảo bich veneer</v>
          </cell>
          <cell r="H2592" t="str">
            <v>Pre-Assembly</v>
          </cell>
          <cell r="I2592">
            <v>1</v>
          </cell>
        </row>
        <row r="2593">
          <cell r="A2593" t="str">
            <v>B558232/A</v>
          </cell>
          <cell r="B2593" t="str">
            <v>RH2772M396</v>
          </cell>
          <cell r="C2593">
            <v>1</v>
          </cell>
          <cell r="D2593">
            <v>315</v>
          </cell>
          <cell r="E2593">
            <v>315</v>
          </cell>
          <cell r="F2593" t="str">
            <v>A1-S01</v>
          </cell>
          <cell r="G2593" t="str">
            <v xml:space="preserve">Drawer front 1 - Mặt hộc kéo </v>
          </cell>
          <cell r="H2593" t="str">
            <v>Wd+MDF+VN</v>
          </cell>
          <cell r="I2593">
            <v>1</v>
          </cell>
        </row>
        <row r="2594">
          <cell r="A2594" t="str">
            <v>B558232/A</v>
          </cell>
          <cell r="B2594" t="str">
            <v>RH2772M396</v>
          </cell>
          <cell r="C2594">
            <v>1</v>
          </cell>
          <cell r="D2594">
            <v>315</v>
          </cell>
          <cell r="E2594">
            <v>315</v>
          </cell>
          <cell r="F2594" t="str">
            <v>A1-S01-1</v>
          </cell>
          <cell r="G2594" t="str">
            <v>Vertical rail 1 - Đố đứng 1</v>
          </cell>
          <cell r="H2594" t="str">
            <v>MDF laminate</v>
          </cell>
          <cell r="I2594">
            <v>2</v>
          </cell>
        </row>
        <row r="2595">
          <cell r="A2595" t="str">
            <v>B558232/A</v>
          </cell>
          <cell r="B2595" t="str">
            <v>RH2772M396</v>
          </cell>
          <cell r="C2595">
            <v>1</v>
          </cell>
          <cell r="D2595">
            <v>315</v>
          </cell>
          <cell r="E2595">
            <v>315</v>
          </cell>
          <cell r="F2595" t="str">
            <v>A1-S01-2</v>
          </cell>
          <cell r="G2595" t="str">
            <v>MDF - MDF</v>
          </cell>
          <cell r="H2595" t="str">
            <v>MDF - 25 x 1830 x 2440mm [CARB P2 Compliant]</v>
          </cell>
          <cell r="I2595">
            <v>1</v>
          </cell>
        </row>
        <row r="2596">
          <cell r="A2596" t="str">
            <v>B558232/A</v>
          </cell>
          <cell r="B2596" t="str">
            <v>RH2772M396</v>
          </cell>
          <cell r="C2596">
            <v>1</v>
          </cell>
          <cell r="D2596">
            <v>315</v>
          </cell>
          <cell r="E2596">
            <v>315</v>
          </cell>
          <cell r="F2596" t="str">
            <v>A1-S01-3</v>
          </cell>
          <cell r="G2596" t="str">
            <v>Insert Wood - Gỗ chèn</v>
          </cell>
          <cell r="H2596" t="str">
            <v>Wood White Oak - Straight/Waving Edged, 2 COM - T25mm x W100mm Up x L1.5m Up</v>
          </cell>
          <cell r="I2596">
            <v>1</v>
          </cell>
        </row>
        <row r="2597">
          <cell r="A2597" t="str">
            <v>B558232/A</v>
          </cell>
          <cell r="B2597" t="str">
            <v>RH2772M396</v>
          </cell>
          <cell r="C2597">
            <v>1</v>
          </cell>
          <cell r="D2597">
            <v>315</v>
          </cell>
          <cell r="E2597">
            <v>315</v>
          </cell>
          <cell r="F2597" t="str">
            <v>A1-S02</v>
          </cell>
          <cell r="G2597" t="str">
            <v>Drawer side - Hông hộc kéo</v>
          </cell>
          <cell r="H2597" t="str">
            <v>MDF-N - 12 x 1220 x 2440mm, Veneer Ash Straigh Grain 0.45mm Both Faces [CARB P2 Compliant]</v>
          </cell>
          <cell r="I2597">
            <v>2</v>
          </cell>
        </row>
        <row r="2598">
          <cell r="A2598" t="str">
            <v>B558232/A</v>
          </cell>
          <cell r="B2598" t="str">
            <v>RH2772M396</v>
          </cell>
          <cell r="C2598">
            <v>1</v>
          </cell>
          <cell r="D2598">
            <v>315</v>
          </cell>
          <cell r="E2598">
            <v>315</v>
          </cell>
          <cell r="F2598" t="str">
            <v>A1-S03</v>
          </cell>
          <cell r="G2598" t="str">
            <v>Drawer back - Hậu hộc kéo</v>
          </cell>
          <cell r="H2598" t="str">
            <v>MDF-N - 12 x 1220 x 2440mm, Veneer Ash Straigh Grain 0.45mm Both Faces [CARB P2 Compliant]</v>
          </cell>
          <cell r="I2598">
            <v>1</v>
          </cell>
        </row>
        <row r="2599">
          <cell r="A2599" t="str">
            <v>B558232/A</v>
          </cell>
          <cell r="B2599" t="str">
            <v>RH2772M396</v>
          </cell>
          <cell r="C2599">
            <v>1</v>
          </cell>
          <cell r="D2599">
            <v>315</v>
          </cell>
          <cell r="E2599">
            <v>315</v>
          </cell>
          <cell r="F2599" t="str">
            <v>A1-S04</v>
          </cell>
          <cell r="G2599" t="str">
            <v>Drawer bottom  - Đáy hộc kéo</v>
          </cell>
          <cell r="H2599" t="str">
            <v>MDF Veneer</v>
          </cell>
          <cell r="I2599">
            <v>1</v>
          </cell>
        </row>
        <row r="2600">
          <cell r="A2600" t="str">
            <v>B558232/A</v>
          </cell>
          <cell r="B2600" t="str">
            <v>RH2772M396</v>
          </cell>
          <cell r="C2600">
            <v>1</v>
          </cell>
          <cell r="D2600">
            <v>315</v>
          </cell>
          <cell r="E2600">
            <v>315</v>
          </cell>
          <cell r="F2600" t="str">
            <v>A1-S05</v>
          </cell>
          <cell r="G2600" t="str">
            <v>Patching wood - Gỗ đắp</v>
          </cell>
          <cell r="H2600" t="str">
            <v>Standard Wood - ALDER/ASPEN/LENGA/US POPLAR, 2 COM - T38 W120mm+ L2m+</v>
          </cell>
          <cell r="I2600">
            <v>1</v>
          </cell>
        </row>
        <row r="2601">
          <cell r="A2601" t="str">
            <v>B558232/A</v>
          </cell>
          <cell r="B2601" t="str">
            <v>RH2772M396</v>
          </cell>
          <cell r="C2601">
            <v>1</v>
          </cell>
          <cell r="D2601">
            <v>315</v>
          </cell>
          <cell r="E2601">
            <v>315</v>
          </cell>
          <cell r="F2601" t="str">
            <v>A1-S06</v>
          </cell>
          <cell r="G2601" t="str">
            <v>Patching wood - Gỗ đắp</v>
          </cell>
          <cell r="H2601" t="str">
            <v>Beech off cut</v>
          </cell>
          <cell r="I2601">
            <v>2</v>
          </cell>
        </row>
        <row r="2602">
          <cell r="A2602" t="str">
            <v>B558232/A</v>
          </cell>
          <cell r="B2602" t="str">
            <v>RH2772M396</v>
          </cell>
          <cell r="C2602">
            <v>1</v>
          </cell>
          <cell r="D2602">
            <v>315</v>
          </cell>
          <cell r="E2602">
            <v>315</v>
          </cell>
          <cell r="F2602" t="str">
            <v>A2-S01</v>
          </cell>
          <cell r="G2602" t="str">
            <v>Bottom frame - Khung dưới</v>
          </cell>
          <cell r="H2602" t="str">
            <v>Pre-Assembly</v>
          </cell>
          <cell r="I2602">
            <v>1</v>
          </cell>
        </row>
        <row r="2603">
          <cell r="A2603" t="str">
            <v>B558232/A</v>
          </cell>
          <cell r="B2603" t="str">
            <v>RH2772M396</v>
          </cell>
          <cell r="C2603">
            <v>1</v>
          </cell>
          <cell r="D2603">
            <v>315</v>
          </cell>
          <cell r="E2603">
            <v>315</v>
          </cell>
          <cell r="F2603" t="str">
            <v>A2-S01-1</v>
          </cell>
          <cell r="G2603" t="str">
            <v>Front Bottom Rail  - Đố đáy trước</v>
          </cell>
          <cell r="H2603" t="str">
            <v>Wood laminate</v>
          </cell>
          <cell r="I2603">
            <v>1</v>
          </cell>
        </row>
        <row r="2604">
          <cell r="A2604" t="str">
            <v>B558232/A</v>
          </cell>
          <cell r="B2604" t="str">
            <v>RH2772M396</v>
          </cell>
          <cell r="C2604">
            <v>1</v>
          </cell>
          <cell r="D2604">
            <v>315</v>
          </cell>
          <cell r="E2604">
            <v>315</v>
          </cell>
          <cell r="F2604" t="str">
            <v>A2-S01-2</v>
          </cell>
          <cell r="G2604" t="str">
            <v>Side bottom rail - Đố hông dưới</v>
          </cell>
          <cell r="H2604" t="str">
            <v>Wood laminate</v>
          </cell>
          <cell r="I2604">
            <v>2</v>
          </cell>
        </row>
        <row r="2605">
          <cell r="A2605" t="str">
            <v>B558232/A</v>
          </cell>
          <cell r="B2605" t="str">
            <v>RH2772M396</v>
          </cell>
          <cell r="C2605">
            <v>1</v>
          </cell>
          <cell r="D2605">
            <v>315</v>
          </cell>
          <cell r="E2605">
            <v>315</v>
          </cell>
          <cell r="F2605" t="str">
            <v>A2-S01-3</v>
          </cell>
          <cell r="G2605" t="str">
            <v>Back bottom rail - Đố hậu đáy</v>
          </cell>
          <cell r="H2605" t="str">
            <v>Wood laminate</v>
          </cell>
          <cell r="I2605">
            <v>1</v>
          </cell>
        </row>
        <row r="2606">
          <cell r="A2606" t="str">
            <v>B558232/A</v>
          </cell>
          <cell r="B2606" t="str">
            <v>RH2772M396</v>
          </cell>
          <cell r="C2606">
            <v>1</v>
          </cell>
          <cell r="D2606">
            <v>315</v>
          </cell>
          <cell r="E2606">
            <v>315</v>
          </cell>
          <cell r="F2606" t="str">
            <v>A2-S03</v>
          </cell>
          <cell r="G2606" t="str">
            <v>Bottom panel - Ván đáy</v>
          </cell>
          <cell r="H2606" t="str">
            <v>MDF Veneer</v>
          </cell>
          <cell r="I2606">
            <v>1</v>
          </cell>
        </row>
        <row r="2607">
          <cell r="A2607" t="str">
            <v>B558232/A</v>
          </cell>
          <cell r="B2607" t="str">
            <v>RH2772M396</v>
          </cell>
          <cell r="C2607">
            <v>1</v>
          </cell>
          <cell r="D2607">
            <v>315</v>
          </cell>
          <cell r="E2607">
            <v>315</v>
          </cell>
          <cell r="F2607" t="str">
            <v>P01</v>
          </cell>
          <cell r="G2607" t="str">
            <v xml:space="preserve">Top panel  - Ván nóc </v>
          </cell>
          <cell r="H2607" t="str">
            <v>MDF Veneer</v>
          </cell>
          <cell r="I2607">
            <v>1</v>
          </cell>
        </row>
        <row r="2608">
          <cell r="A2608" t="str">
            <v>B558232/A</v>
          </cell>
          <cell r="B2608" t="str">
            <v>RH2772M396</v>
          </cell>
          <cell r="C2608">
            <v>1</v>
          </cell>
          <cell r="D2608">
            <v>315</v>
          </cell>
          <cell r="E2608">
            <v>315</v>
          </cell>
          <cell r="F2608" t="str">
            <v>P02</v>
          </cell>
          <cell r="G2608" t="str">
            <v>vaccumn veneer - cảo bich veneer</v>
          </cell>
          <cell r="H2608" t="str">
            <v>Wd+VN</v>
          </cell>
          <cell r="I2608">
            <v>2</v>
          </cell>
        </row>
        <row r="2609">
          <cell r="A2609" t="str">
            <v>B558232/A</v>
          </cell>
          <cell r="B2609" t="str">
            <v>RH2772M396</v>
          </cell>
          <cell r="C2609">
            <v>1</v>
          </cell>
          <cell r="D2609">
            <v>315</v>
          </cell>
          <cell r="E2609">
            <v>315</v>
          </cell>
          <cell r="F2609" t="str">
            <v>P02-1</v>
          </cell>
          <cell r="G2609" t="str">
            <v>MDF - MDF</v>
          </cell>
          <cell r="H2609" t="str">
            <v>MDF laminate</v>
          </cell>
          <cell r="I2609">
            <v>2</v>
          </cell>
        </row>
        <row r="2610">
          <cell r="A2610" t="str">
            <v>B558232/A</v>
          </cell>
          <cell r="B2610" t="str">
            <v>RH2772M396</v>
          </cell>
          <cell r="C2610">
            <v>1</v>
          </cell>
          <cell r="D2610">
            <v>315</v>
          </cell>
          <cell r="E2610">
            <v>315</v>
          </cell>
          <cell r="F2610" t="str">
            <v>P02-2</v>
          </cell>
          <cell r="G2610" t="str">
            <v>Insert Wood - Gỗ chèn</v>
          </cell>
          <cell r="H2610" t="str">
            <v>Wood EU Beech - Straight/Waving Edged ABC, 2 COM - T50mm x W100mm up x L1.8m up</v>
          </cell>
          <cell r="I2610">
            <v>2</v>
          </cell>
        </row>
        <row r="2611">
          <cell r="A2611" t="str">
            <v>B558232/A</v>
          </cell>
          <cell r="B2611" t="str">
            <v>RH2772M396</v>
          </cell>
          <cell r="C2611">
            <v>1</v>
          </cell>
          <cell r="D2611">
            <v>315</v>
          </cell>
          <cell r="E2611">
            <v>315</v>
          </cell>
          <cell r="F2611" t="str">
            <v>P02-3</v>
          </cell>
          <cell r="G2611" t="str">
            <v>Insert Wood - Gỗ chèn</v>
          </cell>
          <cell r="H2611" t="str">
            <v>Wood EU Beech - Straight/Waving Edged ABC, 2 COM - T50mm x W100mm up x L1.8m up</v>
          </cell>
          <cell r="I2611">
            <v>2</v>
          </cell>
        </row>
        <row r="2612">
          <cell r="A2612" t="str">
            <v>B558232/A</v>
          </cell>
          <cell r="B2612" t="str">
            <v>RH2772M396</v>
          </cell>
          <cell r="C2612">
            <v>1</v>
          </cell>
          <cell r="D2612">
            <v>315</v>
          </cell>
          <cell r="E2612">
            <v>315</v>
          </cell>
          <cell r="F2612" t="str">
            <v>P04</v>
          </cell>
          <cell r="G2612" t="str">
            <v>Top rail - Đố nóc</v>
          </cell>
          <cell r="H2612" t="str">
            <v>Wood EU Beech - Straight/Waving Edged ABC, 2 COM - T26mm x W100mm up x L1.8m up</v>
          </cell>
          <cell r="I2612">
            <v>1</v>
          </cell>
        </row>
        <row r="2613">
          <cell r="A2613" t="str">
            <v>B558232/A</v>
          </cell>
          <cell r="B2613" t="str">
            <v>RH2772M396</v>
          </cell>
          <cell r="C2613">
            <v>1</v>
          </cell>
          <cell r="D2613">
            <v>315</v>
          </cell>
          <cell r="E2613">
            <v>315</v>
          </cell>
          <cell r="F2613" t="str">
            <v>P05</v>
          </cell>
          <cell r="G2613" t="str">
            <v>back rail - Đố hậu</v>
          </cell>
          <cell r="H2613" t="str">
            <v>Standard Wood - ALDER/ASPEN/LENGA/US POPLAR, 2 COM - T25 W120mm+ L2m+</v>
          </cell>
          <cell r="I2613">
            <v>1</v>
          </cell>
        </row>
        <row r="2614">
          <cell r="A2614" t="str">
            <v>B558232/A</v>
          </cell>
          <cell r="B2614" t="str">
            <v>RH2772M396</v>
          </cell>
          <cell r="C2614">
            <v>1</v>
          </cell>
          <cell r="D2614">
            <v>315</v>
          </cell>
          <cell r="E2614">
            <v>315</v>
          </cell>
          <cell r="F2614" t="str">
            <v>P06</v>
          </cell>
          <cell r="G2614" t="str">
            <v>Back panel - Ván hậu</v>
          </cell>
          <cell r="H2614" t="str">
            <v>MDF Veneer</v>
          </cell>
          <cell r="I2614">
            <v>1</v>
          </cell>
        </row>
        <row r="2615">
          <cell r="A2615" t="str">
            <v>B558232/A</v>
          </cell>
          <cell r="B2615" t="str">
            <v>RH2772M396</v>
          </cell>
          <cell r="C2615">
            <v>1</v>
          </cell>
          <cell r="D2615">
            <v>315</v>
          </cell>
          <cell r="E2615">
            <v>315</v>
          </cell>
          <cell r="F2615" t="str">
            <v>P07</v>
          </cell>
          <cell r="G2615" t="str">
            <v>Drawer stop - Dừng hộc</v>
          </cell>
          <cell r="H2615" t="str">
            <v>Poplar off cut</v>
          </cell>
          <cell r="I2615">
            <v>2</v>
          </cell>
        </row>
        <row r="2616">
          <cell r="A2616" t="str">
            <v>B558232/A</v>
          </cell>
          <cell r="B2616" t="str">
            <v>RH2772M396</v>
          </cell>
          <cell r="C2616">
            <v>1</v>
          </cell>
          <cell r="D2616">
            <v>315</v>
          </cell>
          <cell r="E2616">
            <v>315</v>
          </cell>
          <cell r="F2616" t="str">
            <v>P08</v>
          </cell>
          <cell r="G2616" t="str">
            <v>support Top - đỡ nóc</v>
          </cell>
          <cell r="H2616" t="str">
            <v>Beech off cut</v>
          </cell>
          <cell r="I2616">
            <v>2</v>
          </cell>
        </row>
        <row r="2617">
          <cell r="A2617" t="str">
            <v>B558232/A</v>
          </cell>
          <cell r="B2617" t="str">
            <v>RH2772M396</v>
          </cell>
          <cell r="C2617">
            <v>1</v>
          </cell>
          <cell r="D2617">
            <v>315</v>
          </cell>
          <cell r="E2617">
            <v>315</v>
          </cell>
          <cell r="F2617" t="str">
            <v>P09</v>
          </cell>
          <cell r="G2617" t="str">
            <v>Center panel - Ván giữa</v>
          </cell>
          <cell r="H2617" t="str">
            <v>MDF Veneer</v>
          </cell>
          <cell r="I2617">
            <v>1</v>
          </cell>
        </row>
        <row r="2618">
          <cell r="A2618" t="str">
            <v>B558234/A</v>
          </cell>
          <cell r="B2618" t="str">
            <v>RH2772M398</v>
          </cell>
          <cell r="C2618">
            <v>10</v>
          </cell>
          <cell r="D2618">
            <v>315</v>
          </cell>
          <cell r="E2618">
            <v>3150</v>
          </cell>
          <cell r="F2618" t="str">
            <v>A1-S0</v>
          </cell>
          <cell r="G2618" t="str">
            <v>vaccumn veneer - cảo bich veneer</v>
          </cell>
          <cell r="H2618" t="str">
            <v>Pre-Assembly</v>
          </cell>
          <cell r="I2618">
            <v>10</v>
          </cell>
        </row>
        <row r="2619">
          <cell r="A2619" t="str">
            <v>B558234/A</v>
          </cell>
          <cell r="B2619" t="str">
            <v>RH2772M398</v>
          </cell>
          <cell r="C2619">
            <v>10</v>
          </cell>
          <cell r="D2619">
            <v>315</v>
          </cell>
          <cell r="E2619">
            <v>3150</v>
          </cell>
          <cell r="F2619" t="str">
            <v>A1-S01</v>
          </cell>
          <cell r="G2619" t="str">
            <v xml:space="preserve">Drawer front 1 - Mặt hộc kéo </v>
          </cell>
          <cell r="H2619" t="str">
            <v>Wd+MDF+VN</v>
          </cell>
          <cell r="I2619">
            <v>10</v>
          </cell>
        </row>
        <row r="2620">
          <cell r="A2620" t="str">
            <v>B558234/A</v>
          </cell>
          <cell r="B2620" t="str">
            <v>RH2772M398</v>
          </cell>
          <cell r="C2620">
            <v>10</v>
          </cell>
          <cell r="D2620">
            <v>315</v>
          </cell>
          <cell r="E2620">
            <v>3150</v>
          </cell>
          <cell r="F2620" t="str">
            <v>A1-S01-1</v>
          </cell>
          <cell r="G2620" t="str">
            <v>Vertical rail 1 - Đố đứng 1</v>
          </cell>
          <cell r="H2620" t="str">
            <v>MDF laminate</v>
          </cell>
          <cell r="I2620">
            <v>20</v>
          </cell>
        </row>
        <row r="2621">
          <cell r="A2621" t="str">
            <v>B558234/A</v>
          </cell>
          <cell r="B2621" t="str">
            <v>RH2772M398</v>
          </cell>
          <cell r="C2621">
            <v>10</v>
          </cell>
          <cell r="D2621">
            <v>315</v>
          </cell>
          <cell r="E2621">
            <v>3150</v>
          </cell>
          <cell r="F2621" t="str">
            <v>A1-S01-2</v>
          </cell>
          <cell r="G2621" t="str">
            <v>MDF - MDF</v>
          </cell>
          <cell r="H2621" t="str">
            <v>MDF - 25 x 1830 x 2440mm [CARB P2 Compliant]</v>
          </cell>
          <cell r="I2621">
            <v>10</v>
          </cell>
        </row>
        <row r="2622">
          <cell r="A2622" t="str">
            <v>B558234/A</v>
          </cell>
          <cell r="B2622" t="str">
            <v>RH2772M398</v>
          </cell>
          <cell r="C2622">
            <v>10</v>
          </cell>
          <cell r="D2622">
            <v>315</v>
          </cell>
          <cell r="E2622">
            <v>3150</v>
          </cell>
          <cell r="F2622" t="str">
            <v>A1-S01-3</v>
          </cell>
          <cell r="G2622" t="str">
            <v>Insert Wood - Gỗ chèn</v>
          </cell>
          <cell r="H2622" t="str">
            <v>Wood White Oak - Straight/Waving Edged, 2 COM - T25mm x W100mm Up x L1.5m Up</v>
          </cell>
          <cell r="I2622">
            <v>10</v>
          </cell>
        </row>
        <row r="2623">
          <cell r="A2623" t="str">
            <v>B558234/A</v>
          </cell>
          <cell r="B2623" t="str">
            <v>RH2772M398</v>
          </cell>
          <cell r="C2623">
            <v>10</v>
          </cell>
          <cell r="D2623">
            <v>315</v>
          </cell>
          <cell r="E2623">
            <v>3150</v>
          </cell>
          <cell r="F2623" t="str">
            <v>A1-S02</v>
          </cell>
          <cell r="G2623" t="str">
            <v>Drawer side - Hông hộc kéo</v>
          </cell>
          <cell r="H2623" t="str">
            <v>MDF-N - 12 x 1220 x 2440mm, Veneer Ash Straigh Grain 0.45mm Both Faces [CARB P2 Compliant]</v>
          </cell>
          <cell r="I2623">
            <v>20</v>
          </cell>
        </row>
        <row r="2624">
          <cell r="A2624" t="str">
            <v>B558234/A</v>
          </cell>
          <cell r="B2624" t="str">
            <v>RH2772M398</v>
          </cell>
          <cell r="C2624">
            <v>10</v>
          </cell>
          <cell r="D2624">
            <v>315</v>
          </cell>
          <cell r="E2624">
            <v>3150</v>
          </cell>
          <cell r="F2624" t="str">
            <v>A1-S03</v>
          </cell>
          <cell r="G2624" t="str">
            <v>Drawer back - Hậu hộc kéo</v>
          </cell>
          <cell r="H2624" t="str">
            <v>MDF-N - 12 x 1220 x 2440mm, Veneer Ash Straigh Grain 0.45mm Both Faces [CARB P2 Compliant]</v>
          </cell>
          <cell r="I2624">
            <v>10</v>
          </cell>
        </row>
        <row r="2625">
          <cell r="A2625" t="str">
            <v>B558234/A</v>
          </cell>
          <cell r="B2625" t="str">
            <v>RH2772M398</v>
          </cell>
          <cell r="C2625">
            <v>10</v>
          </cell>
          <cell r="D2625">
            <v>315</v>
          </cell>
          <cell r="E2625">
            <v>3150</v>
          </cell>
          <cell r="F2625" t="str">
            <v>A1-S04</v>
          </cell>
          <cell r="G2625" t="str">
            <v>Drawer bottom  - Đáy hộc kéo</v>
          </cell>
          <cell r="H2625" t="str">
            <v>MDF Veneer</v>
          </cell>
          <cell r="I2625">
            <v>10</v>
          </cell>
        </row>
        <row r="2626">
          <cell r="A2626" t="str">
            <v>B558234/A</v>
          </cell>
          <cell r="B2626" t="str">
            <v>RH2772M398</v>
          </cell>
          <cell r="C2626">
            <v>10</v>
          </cell>
          <cell r="D2626">
            <v>315</v>
          </cell>
          <cell r="E2626">
            <v>3150</v>
          </cell>
          <cell r="F2626" t="str">
            <v>A1-S05</v>
          </cell>
          <cell r="G2626" t="str">
            <v>Patching wood - Gỗ đắp</v>
          </cell>
          <cell r="H2626" t="str">
            <v>Standard Wood - ALDER/ASPEN/LENGA/US POPLAR, 2 COM - T38 W120mm+ L2m+</v>
          </cell>
          <cell r="I2626">
            <v>10</v>
          </cell>
        </row>
        <row r="2627">
          <cell r="A2627" t="str">
            <v>B558234/A</v>
          </cell>
          <cell r="B2627" t="str">
            <v>RH2772M398</v>
          </cell>
          <cell r="C2627">
            <v>10</v>
          </cell>
          <cell r="D2627">
            <v>315</v>
          </cell>
          <cell r="E2627">
            <v>3150</v>
          </cell>
          <cell r="F2627" t="str">
            <v>A1-S06</v>
          </cell>
          <cell r="G2627" t="str">
            <v>Patching wood - Gỗ đắp</v>
          </cell>
          <cell r="H2627" t="str">
            <v>Beech off cut</v>
          </cell>
          <cell r="I2627">
            <v>20</v>
          </cell>
        </row>
        <row r="2628">
          <cell r="A2628" t="str">
            <v>B558234/A</v>
          </cell>
          <cell r="B2628" t="str">
            <v>RH2772M398</v>
          </cell>
          <cell r="C2628">
            <v>10</v>
          </cell>
          <cell r="D2628">
            <v>315</v>
          </cell>
          <cell r="E2628">
            <v>3150</v>
          </cell>
          <cell r="F2628" t="str">
            <v>A2-S01</v>
          </cell>
          <cell r="G2628" t="str">
            <v>Bottom frame - Khung dưới</v>
          </cell>
          <cell r="H2628" t="str">
            <v>Pre-Assembly</v>
          </cell>
          <cell r="I2628">
            <v>10</v>
          </cell>
        </row>
        <row r="2629">
          <cell r="A2629" t="str">
            <v>B558234/A</v>
          </cell>
          <cell r="B2629" t="str">
            <v>RH2772M398</v>
          </cell>
          <cell r="C2629">
            <v>10</v>
          </cell>
          <cell r="D2629">
            <v>315</v>
          </cell>
          <cell r="E2629">
            <v>3150</v>
          </cell>
          <cell r="F2629" t="str">
            <v>A2-S01-1</v>
          </cell>
          <cell r="G2629" t="str">
            <v>Front Bottom Rail  - Đố đáy trước</v>
          </cell>
          <cell r="H2629" t="str">
            <v>Wood laminate</v>
          </cell>
          <cell r="I2629">
            <v>10</v>
          </cell>
        </row>
        <row r="2630">
          <cell r="A2630" t="str">
            <v>B558234/A</v>
          </cell>
          <cell r="B2630" t="str">
            <v>RH2772M398</v>
          </cell>
          <cell r="C2630">
            <v>10</v>
          </cell>
          <cell r="D2630">
            <v>315</v>
          </cell>
          <cell r="E2630">
            <v>3150</v>
          </cell>
          <cell r="F2630" t="str">
            <v>A2-S01-2</v>
          </cell>
          <cell r="G2630" t="str">
            <v>Side bottom rail - Đố hông dưới</v>
          </cell>
          <cell r="H2630" t="str">
            <v>Wood laminate</v>
          </cell>
          <cell r="I2630">
            <v>20</v>
          </cell>
        </row>
        <row r="2631">
          <cell r="A2631" t="str">
            <v>B558234/A</v>
          </cell>
          <cell r="B2631" t="str">
            <v>RH2772M398</v>
          </cell>
          <cell r="C2631">
            <v>10</v>
          </cell>
          <cell r="D2631">
            <v>315</v>
          </cell>
          <cell r="E2631">
            <v>3150</v>
          </cell>
          <cell r="F2631" t="str">
            <v>A2-S01-3</v>
          </cell>
          <cell r="G2631" t="str">
            <v>Back bottom rail - Đố hậu đáy</v>
          </cell>
          <cell r="H2631" t="str">
            <v>Wood laminate</v>
          </cell>
          <cell r="I2631">
            <v>10</v>
          </cell>
        </row>
        <row r="2632">
          <cell r="A2632" t="str">
            <v>B558234/A</v>
          </cell>
          <cell r="B2632" t="str">
            <v>RH2772M398</v>
          </cell>
          <cell r="C2632">
            <v>10</v>
          </cell>
          <cell r="D2632">
            <v>315</v>
          </cell>
          <cell r="E2632">
            <v>3150</v>
          </cell>
          <cell r="F2632" t="str">
            <v>A2-S03</v>
          </cell>
          <cell r="G2632" t="str">
            <v>Bottom panel - Ván đáy</v>
          </cell>
          <cell r="H2632" t="str">
            <v>MDF Veneer</v>
          </cell>
          <cell r="I2632">
            <v>10</v>
          </cell>
        </row>
        <row r="2633">
          <cell r="A2633" t="str">
            <v>B558234/A</v>
          </cell>
          <cell r="B2633" t="str">
            <v>RH2772M398</v>
          </cell>
          <cell r="C2633">
            <v>10</v>
          </cell>
          <cell r="D2633">
            <v>315</v>
          </cell>
          <cell r="E2633">
            <v>3150</v>
          </cell>
          <cell r="F2633" t="str">
            <v>P01</v>
          </cell>
          <cell r="G2633" t="str">
            <v xml:space="preserve">Top panel  - Ván nóc </v>
          </cell>
          <cell r="H2633" t="str">
            <v>MDF Veneer</v>
          </cell>
          <cell r="I2633">
            <v>10</v>
          </cell>
        </row>
        <row r="2634">
          <cell r="A2634" t="str">
            <v>B558234/A</v>
          </cell>
          <cell r="B2634" t="str">
            <v>RH2772M398</v>
          </cell>
          <cell r="C2634">
            <v>10</v>
          </cell>
          <cell r="D2634">
            <v>315</v>
          </cell>
          <cell r="E2634">
            <v>3150</v>
          </cell>
          <cell r="F2634" t="str">
            <v>P02</v>
          </cell>
          <cell r="G2634" t="str">
            <v>vaccumn veneer - cảo bich veneer</v>
          </cell>
          <cell r="H2634" t="str">
            <v>Wd+VN</v>
          </cell>
          <cell r="I2634">
            <v>20</v>
          </cell>
        </row>
        <row r="2635">
          <cell r="A2635" t="str">
            <v>B558234/A</v>
          </cell>
          <cell r="B2635" t="str">
            <v>RH2772M398</v>
          </cell>
          <cell r="C2635">
            <v>10</v>
          </cell>
          <cell r="D2635">
            <v>315</v>
          </cell>
          <cell r="E2635">
            <v>3150</v>
          </cell>
          <cell r="F2635" t="str">
            <v>P02-1</v>
          </cell>
          <cell r="G2635" t="str">
            <v>MDF - MDF</v>
          </cell>
          <cell r="H2635" t="str">
            <v>MDF laminate</v>
          </cell>
          <cell r="I2635">
            <v>20</v>
          </cell>
        </row>
        <row r="2636">
          <cell r="A2636" t="str">
            <v>B558234/A</v>
          </cell>
          <cell r="B2636" t="str">
            <v>RH2772M398</v>
          </cell>
          <cell r="C2636">
            <v>10</v>
          </cell>
          <cell r="D2636">
            <v>315</v>
          </cell>
          <cell r="E2636">
            <v>3150</v>
          </cell>
          <cell r="F2636" t="str">
            <v>P02-2</v>
          </cell>
          <cell r="G2636" t="str">
            <v>Insert Wood - Gỗ chèn</v>
          </cell>
          <cell r="H2636" t="str">
            <v>Wood EU Beech - Straight/Waving Edged ABC, 2 COM - T50mm x W100mm up x L1.8m up</v>
          </cell>
          <cell r="I2636">
            <v>20</v>
          </cell>
        </row>
        <row r="2637">
          <cell r="A2637" t="str">
            <v>B558234/A</v>
          </cell>
          <cell r="B2637" t="str">
            <v>RH2772M398</v>
          </cell>
          <cell r="C2637">
            <v>10</v>
          </cell>
          <cell r="D2637">
            <v>315</v>
          </cell>
          <cell r="E2637">
            <v>3150</v>
          </cell>
          <cell r="F2637" t="str">
            <v>P02-3</v>
          </cell>
          <cell r="G2637" t="str">
            <v>Insert Wood - Gỗ chèn</v>
          </cell>
          <cell r="H2637" t="str">
            <v>Wood EU Beech - Straight/Waving Edged ABC, 2 COM - T50mm x W100mm up x L1.8m up</v>
          </cell>
          <cell r="I2637">
            <v>20</v>
          </cell>
        </row>
        <row r="2638">
          <cell r="A2638" t="str">
            <v>B558234/A</v>
          </cell>
          <cell r="B2638" t="str">
            <v>RH2772M398</v>
          </cell>
          <cell r="C2638">
            <v>10</v>
          </cell>
          <cell r="D2638">
            <v>315</v>
          </cell>
          <cell r="E2638">
            <v>3150</v>
          </cell>
          <cell r="F2638" t="str">
            <v>P04</v>
          </cell>
          <cell r="G2638" t="str">
            <v>Top rail - Đố nóc</v>
          </cell>
          <cell r="H2638" t="str">
            <v>Wood EU Beech - Straight/Waving Edged ABC, 2 COM - T26mm x W100mm up x L1.8m up</v>
          </cell>
          <cell r="I2638">
            <v>10</v>
          </cell>
        </row>
        <row r="2639">
          <cell r="A2639" t="str">
            <v>B558234/A</v>
          </cell>
          <cell r="B2639" t="str">
            <v>RH2772M398</v>
          </cell>
          <cell r="C2639">
            <v>10</v>
          </cell>
          <cell r="D2639">
            <v>315</v>
          </cell>
          <cell r="E2639">
            <v>3150</v>
          </cell>
          <cell r="F2639" t="str">
            <v>P05</v>
          </cell>
          <cell r="G2639" t="str">
            <v>back rail - Đố hậu</v>
          </cell>
          <cell r="H2639" t="str">
            <v>Standard Wood - ALDER/ASPEN/LENGA/US POPLAR, 2 COM - T25 W120mm+ L2m+</v>
          </cell>
          <cell r="I2639">
            <v>10</v>
          </cell>
        </row>
        <row r="2640">
          <cell r="A2640" t="str">
            <v>B558234/A</v>
          </cell>
          <cell r="B2640" t="str">
            <v>RH2772M398</v>
          </cell>
          <cell r="C2640">
            <v>10</v>
          </cell>
          <cell r="D2640">
            <v>315</v>
          </cell>
          <cell r="E2640">
            <v>3150</v>
          </cell>
          <cell r="F2640" t="str">
            <v>P06</v>
          </cell>
          <cell r="G2640" t="str">
            <v>Back panel - Ván hậu</v>
          </cell>
          <cell r="H2640" t="str">
            <v>MDF Veneer</v>
          </cell>
          <cell r="I2640">
            <v>10</v>
          </cell>
        </row>
        <row r="2641">
          <cell r="A2641" t="str">
            <v>B558234/A</v>
          </cell>
          <cell r="B2641" t="str">
            <v>RH2772M398</v>
          </cell>
          <cell r="C2641">
            <v>10</v>
          </cell>
          <cell r="D2641">
            <v>315</v>
          </cell>
          <cell r="E2641">
            <v>3150</v>
          </cell>
          <cell r="F2641" t="str">
            <v>P07</v>
          </cell>
          <cell r="G2641" t="str">
            <v>Drawer stop - Dừng hộc</v>
          </cell>
          <cell r="H2641" t="str">
            <v>Poplar off cut</v>
          </cell>
          <cell r="I2641">
            <v>20</v>
          </cell>
        </row>
        <row r="2642">
          <cell r="A2642" t="str">
            <v>B558234/A</v>
          </cell>
          <cell r="B2642" t="str">
            <v>RH2772M398</v>
          </cell>
          <cell r="C2642">
            <v>10</v>
          </cell>
          <cell r="D2642">
            <v>315</v>
          </cell>
          <cell r="E2642">
            <v>3150</v>
          </cell>
          <cell r="F2642" t="str">
            <v>P08</v>
          </cell>
          <cell r="G2642" t="str">
            <v>support Top - đỡ nóc</v>
          </cell>
          <cell r="H2642" t="str">
            <v>Beech off cut</v>
          </cell>
          <cell r="I2642">
            <v>20</v>
          </cell>
        </row>
        <row r="2643">
          <cell r="A2643" t="str">
            <v>B558234/A</v>
          </cell>
          <cell r="B2643" t="str">
            <v>RH2772M398</v>
          </cell>
          <cell r="C2643">
            <v>10</v>
          </cell>
          <cell r="D2643">
            <v>315</v>
          </cell>
          <cell r="E2643">
            <v>3150</v>
          </cell>
          <cell r="F2643" t="str">
            <v>P09</v>
          </cell>
          <cell r="G2643" t="str">
            <v>Center panel - Ván giữa</v>
          </cell>
          <cell r="H2643" t="str">
            <v>MDF Veneer</v>
          </cell>
          <cell r="I2643">
            <v>10</v>
          </cell>
        </row>
        <row r="2644">
          <cell r="A2644" t="str">
            <v>B558236/A</v>
          </cell>
          <cell r="B2644" t="str">
            <v>RH2772M410</v>
          </cell>
          <cell r="C2644">
            <v>14</v>
          </cell>
          <cell r="D2644">
            <v>315</v>
          </cell>
          <cell r="E2644">
            <v>4410</v>
          </cell>
          <cell r="F2644" t="str">
            <v>A1-S0</v>
          </cell>
          <cell r="G2644" t="str">
            <v>vaccumn veneer - cảo bich veneer</v>
          </cell>
          <cell r="H2644" t="str">
            <v>Pre-Assembly</v>
          </cell>
          <cell r="I2644">
            <v>14</v>
          </cell>
        </row>
        <row r="2645">
          <cell r="A2645" t="str">
            <v>B558236/A</v>
          </cell>
          <cell r="B2645" t="str">
            <v>RH2772M410</v>
          </cell>
          <cell r="C2645">
            <v>14</v>
          </cell>
          <cell r="D2645">
            <v>315</v>
          </cell>
          <cell r="E2645">
            <v>4410</v>
          </cell>
          <cell r="F2645" t="str">
            <v>A1-S01</v>
          </cell>
          <cell r="G2645" t="str">
            <v xml:space="preserve">Drawer front 1 - Mặt hộc kéo </v>
          </cell>
          <cell r="H2645" t="str">
            <v>Wd+MDF+VN</v>
          </cell>
          <cell r="I2645">
            <v>14</v>
          </cell>
        </row>
        <row r="2646">
          <cell r="A2646" t="str">
            <v>B558236/A</v>
          </cell>
          <cell r="B2646" t="str">
            <v>RH2772M410</v>
          </cell>
          <cell r="C2646">
            <v>14</v>
          </cell>
          <cell r="D2646">
            <v>315</v>
          </cell>
          <cell r="E2646">
            <v>4410</v>
          </cell>
          <cell r="F2646" t="str">
            <v>A1-S01-1</v>
          </cell>
          <cell r="G2646" t="str">
            <v>Vertical rail 1 - Đố đứng 1</v>
          </cell>
          <cell r="H2646" t="str">
            <v>MDF laminate</v>
          </cell>
          <cell r="I2646">
            <v>28</v>
          </cell>
        </row>
        <row r="2647">
          <cell r="A2647" t="str">
            <v>B558236/A</v>
          </cell>
          <cell r="B2647" t="str">
            <v>RH2772M410</v>
          </cell>
          <cell r="C2647">
            <v>14</v>
          </cell>
          <cell r="D2647">
            <v>315</v>
          </cell>
          <cell r="E2647">
            <v>4410</v>
          </cell>
          <cell r="F2647" t="str">
            <v>A1-S01-2</v>
          </cell>
          <cell r="G2647" t="str">
            <v>MDF - MDF</v>
          </cell>
          <cell r="H2647" t="str">
            <v>MDF - 25 x 1830 x 2440mm [CARB P2 Compliant]</v>
          </cell>
          <cell r="I2647">
            <v>14</v>
          </cell>
        </row>
        <row r="2648">
          <cell r="A2648" t="str">
            <v>B558236/A</v>
          </cell>
          <cell r="B2648" t="str">
            <v>RH2772M410</v>
          </cell>
          <cell r="C2648">
            <v>14</v>
          </cell>
          <cell r="D2648">
            <v>315</v>
          </cell>
          <cell r="E2648">
            <v>4410</v>
          </cell>
          <cell r="F2648" t="str">
            <v>A1-S01-3</v>
          </cell>
          <cell r="G2648" t="str">
            <v>Insert Wood - Gỗ chèn</v>
          </cell>
          <cell r="H2648" t="str">
            <v>Wood White Oak - Straight/Waving Edged, 2 COM - T25mm x W100mm Up x L1.5m Up</v>
          </cell>
          <cell r="I2648">
            <v>14</v>
          </cell>
        </row>
        <row r="2649">
          <cell r="A2649" t="str">
            <v>B558236/A</v>
          </cell>
          <cell r="B2649" t="str">
            <v>RH2772M410</v>
          </cell>
          <cell r="C2649">
            <v>14</v>
          </cell>
          <cell r="D2649">
            <v>315</v>
          </cell>
          <cell r="E2649">
            <v>4410</v>
          </cell>
          <cell r="F2649" t="str">
            <v>A1-S02</v>
          </cell>
          <cell r="G2649" t="str">
            <v>Drawer side - Hông hộc kéo</v>
          </cell>
          <cell r="H2649" t="str">
            <v>MDF-N - 12 x 1220 x 2440mm, Veneer Ash Straigh Grain 0.45mm Both Faces [CARB P2 Compliant]</v>
          </cell>
          <cell r="I2649">
            <v>28</v>
          </cell>
        </row>
        <row r="2650">
          <cell r="A2650" t="str">
            <v>B558236/A</v>
          </cell>
          <cell r="B2650" t="str">
            <v>RH2772M410</v>
          </cell>
          <cell r="C2650">
            <v>14</v>
          </cell>
          <cell r="D2650">
            <v>315</v>
          </cell>
          <cell r="E2650">
            <v>4410</v>
          </cell>
          <cell r="F2650" t="str">
            <v>A1-S03</v>
          </cell>
          <cell r="G2650" t="str">
            <v>Drawer back - Hậu hộc kéo</v>
          </cell>
          <cell r="H2650" t="str">
            <v>MDF-N - 12 x 1220 x 2440mm, Veneer Ash Straigh Grain 0.45mm Both Faces [CARB P2 Compliant]</v>
          </cell>
          <cell r="I2650">
            <v>14</v>
          </cell>
        </row>
        <row r="2651">
          <cell r="A2651" t="str">
            <v>B558236/A</v>
          </cell>
          <cell r="B2651" t="str">
            <v>RH2772M410</v>
          </cell>
          <cell r="C2651">
            <v>14</v>
          </cell>
          <cell r="D2651">
            <v>315</v>
          </cell>
          <cell r="E2651">
            <v>4410</v>
          </cell>
          <cell r="F2651" t="str">
            <v>A1-S04</v>
          </cell>
          <cell r="G2651" t="str">
            <v>Drawer bottom  - Đáy hộc kéo</v>
          </cell>
          <cell r="H2651" t="str">
            <v>MDF Veneer</v>
          </cell>
          <cell r="I2651">
            <v>14</v>
          </cell>
        </row>
        <row r="2652">
          <cell r="A2652" t="str">
            <v>B558236/A</v>
          </cell>
          <cell r="B2652" t="str">
            <v>RH2772M410</v>
          </cell>
          <cell r="C2652">
            <v>14</v>
          </cell>
          <cell r="D2652">
            <v>315</v>
          </cell>
          <cell r="E2652">
            <v>4410</v>
          </cell>
          <cell r="F2652" t="str">
            <v>A1-S05</v>
          </cell>
          <cell r="G2652" t="str">
            <v>Patching wood - Gỗ đắp</v>
          </cell>
          <cell r="H2652" t="str">
            <v>Standard Wood - ALDER/ASPEN/LENGA/US POPLAR, 2 COM - T38 W120mm+ L2m+</v>
          </cell>
          <cell r="I2652">
            <v>14</v>
          </cell>
        </row>
        <row r="2653">
          <cell r="A2653" t="str">
            <v>B558236/A</v>
          </cell>
          <cell r="B2653" t="str">
            <v>RH2772M410</v>
          </cell>
          <cell r="C2653">
            <v>14</v>
          </cell>
          <cell r="D2653">
            <v>315</v>
          </cell>
          <cell r="E2653">
            <v>4410</v>
          </cell>
          <cell r="F2653" t="str">
            <v>A1-S06</v>
          </cell>
          <cell r="G2653" t="str">
            <v>Patching wood - Gỗ đắp</v>
          </cell>
          <cell r="H2653" t="str">
            <v>Beech off cut</v>
          </cell>
          <cell r="I2653">
            <v>28</v>
          </cell>
        </row>
        <row r="2654">
          <cell r="A2654" t="str">
            <v>B558236/A</v>
          </cell>
          <cell r="B2654" t="str">
            <v>RH2772M410</v>
          </cell>
          <cell r="C2654">
            <v>14</v>
          </cell>
          <cell r="D2654">
            <v>315</v>
          </cell>
          <cell r="E2654">
            <v>4410</v>
          </cell>
          <cell r="F2654" t="str">
            <v>A2-S01</v>
          </cell>
          <cell r="G2654" t="str">
            <v>Bottom frame - Khung dưới</v>
          </cell>
          <cell r="H2654" t="str">
            <v>Pre-Assembly</v>
          </cell>
          <cell r="I2654">
            <v>14</v>
          </cell>
        </row>
        <row r="2655">
          <cell r="A2655" t="str">
            <v>B558236/A</v>
          </cell>
          <cell r="B2655" t="str">
            <v>RH2772M410</v>
          </cell>
          <cell r="C2655">
            <v>14</v>
          </cell>
          <cell r="D2655">
            <v>315</v>
          </cell>
          <cell r="E2655">
            <v>4410</v>
          </cell>
          <cell r="F2655" t="str">
            <v>A2-S01-1</v>
          </cell>
          <cell r="G2655" t="str">
            <v>Front Bottom Rail  - Đố đáy trước</v>
          </cell>
          <cell r="H2655" t="str">
            <v>Wood laminate</v>
          </cell>
          <cell r="I2655">
            <v>14</v>
          </cell>
        </row>
        <row r="2656">
          <cell r="A2656" t="str">
            <v>B558236/A</v>
          </cell>
          <cell r="B2656" t="str">
            <v>RH2772M410</v>
          </cell>
          <cell r="C2656">
            <v>14</v>
          </cell>
          <cell r="D2656">
            <v>315</v>
          </cell>
          <cell r="E2656">
            <v>4410</v>
          </cell>
          <cell r="F2656" t="str">
            <v>A2-S01-2</v>
          </cell>
          <cell r="G2656" t="str">
            <v>Side bottom rail - Đố hông dưới</v>
          </cell>
          <cell r="H2656" t="str">
            <v>Wood laminate</v>
          </cell>
          <cell r="I2656">
            <v>28</v>
          </cell>
        </row>
        <row r="2657">
          <cell r="A2657" t="str">
            <v>B558236/A</v>
          </cell>
          <cell r="B2657" t="str">
            <v>RH2772M410</v>
          </cell>
          <cell r="C2657">
            <v>14</v>
          </cell>
          <cell r="D2657">
            <v>315</v>
          </cell>
          <cell r="E2657">
            <v>4410</v>
          </cell>
          <cell r="F2657" t="str">
            <v>A2-S01-3</v>
          </cell>
          <cell r="G2657" t="str">
            <v>Back bottom rail - Đố hậu đáy</v>
          </cell>
          <cell r="H2657" t="str">
            <v>Wood laminate</v>
          </cell>
          <cell r="I2657">
            <v>14</v>
          </cell>
        </row>
        <row r="2658">
          <cell r="A2658" t="str">
            <v>B558236/A</v>
          </cell>
          <cell r="B2658" t="str">
            <v>RH2772M410</v>
          </cell>
          <cell r="C2658">
            <v>14</v>
          </cell>
          <cell r="D2658">
            <v>315</v>
          </cell>
          <cell r="E2658">
            <v>4410</v>
          </cell>
          <cell r="F2658" t="str">
            <v>A2-S03</v>
          </cell>
          <cell r="G2658" t="str">
            <v>Bottom panel - Ván đáy</v>
          </cell>
          <cell r="H2658" t="str">
            <v>MDF Veneer</v>
          </cell>
          <cell r="I2658">
            <v>14</v>
          </cell>
        </row>
        <row r="2659">
          <cell r="A2659" t="str">
            <v>B558236/A</v>
          </cell>
          <cell r="B2659" t="str">
            <v>RH2772M410</v>
          </cell>
          <cell r="C2659">
            <v>14</v>
          </cell>
          <cell r="D2659">
            <v>315</v>
          </cell>
          <cell r="E2659">
            <v>4410</v>
          </cell>
          <cell r="F2659" t="str">
            <v>P01</v>
          </cell>
          <cell r="G2659" t="str">
            <v xml:space="preserve">Top panel  - Ván nóc </v>
          </cell>
          <cell r="H2659" t="str">
            <v>MDF Veneer</v>
          </cell>
          <cell r="I2659">
            <v>14</v>
          </cell>
        </row>
        <row r="2660">
          <cell r="A2660" t="str">
            <v>B558236/A</v>
          </cell>
          <cell r="B2660" t="str">
            <v>RH2772M410</v>
          </cell>
          <cell r="C2660">
            <v>14</v>
          </cell>
          <cell r="D2660">
            <v>315</v>
          </cell>
          <cell r="E2660">
            <v>4410</v>
          </cell>
          <cell r="F2660" t="str">
            <v>P02</v>
          </cell>
          <cell r="G2660" t="str">
            <v>vaccumn veneer - cảo bich veneer</v>
          </cell>
          <cell r="H2660" t="str">
            <v>Wd+VN</v>
          </cell>
          <cell r="I2660">
            <v>28</v>
          </cell>
        </row>
        <row r="2661">
          <cell r="A2661" t="str">
            <v>B558236/A</v>
          </cell>
          <cell r="B2661" t="str">
            <v>RH2772M410</v>
          </cell>
          <cell r="C2661">
            <v>14</v>
          </cell>
          <cell r="D2661">
            <v>315</v>
          </cell>
          <cell r="E2661">
            <v>4410</v>
          </cell>
          <cell r="F2661" t="str">
            <v>P02-1</v>
          </cell>
          <cell r="G2661" t="str">
            <v>MDF - MDF</v>
          </cell>
          <cell r="H2661" t="str">
            <v>MDF laminate</v>
          </cell>
          <cell r="I2661">
            <v>28</v>
          </cell>
        </row>
        <row r="2662">
          <cell r="A2662" t="str">
            <v>B558236/A</v>
          </cell>
          <cell r="B2662" t="str">
            <v>RH2772M410</v>
          </cell>
          <cell r="C2662">
            <v>14</v>
          </cell>
          <cell r="D2662">
            <v>315</v>
          </cell>
          <cell r="E2662">
            <v>4410</v>
          </cell>
          <cell r="F2662" t="str">
            <v>P02-2</v>
          </cell>
          <cell r="G2662" t="str">
            <v>Insert Wood - Gỗ chèn</v>
          </cell>
          <cell r="H2662" t="str">
            <v>Wood EU Beech - Straight/Waving Edged ABC, 2 COM - T50mm x W100mm up x L1.8m up</v>
          </cell>
          <cell r="I2662">
            <v>28</v>
          </cell>
        </row>
        <row r="2663">
          <cell r="A2663" t="str">
            <v>B558236/A</v>
          </cell>
          <cell r="B2663" t="str">
            <v>RH2772M410</v>
          </cell>
          <cell r="C2663">
            <v>14</v>
          </cell>
          <cell r="D2663">
            <v>315</v>
          </cell>
          <cell r="E2663">
            <v>4410</v>
          </cell>
          <cell r="F2663" t="str">
            <v>P02-3</v>
          </cell>
          <cell r="G2663" t="str">
            <v>Insert Wood - Gỗ chèn</v>
          </cell>
          <cell r="H2663" t="str">
            <v>Wood EU Beech - Straight/Waving Edged ABC, 2 COM - T50mm x W100mm up x L1.8m up</v>
          </cell>
          <cell r="I2663">
            <v>28</v>
          </cell>
        </row>
        <row r="2664">
          <cell r="A2664" t="str">
            <v>B558236/A</v>
          </cell>
          <cell r="B2664" t="str">
            <v>RH2772M410</v>
          </cell>
          <cell r="C2664">
            <v>14</v>
          </cell>
          <cell r="D2664">
            <v>315</v>
          </cell>
          <cell r="E2664">
            <v>4410</v>
          </cell>
          <cell r="F2664" t="str">
            <v>P04</v>
          </cell>
          <cell r="G2664" t="str">
            <v>Top rail - Đố nóc</v>
          </cell>
          <cell r="H2664" t="str">
            <v>Wood EU Beech - Straight/Waving Edged ABC, 2 COM - T26mm x W100mm up x L1.8m up</v>
          </cell>
          <cell r="I2664">
            <v>14</v>
          </cell>
        </row>
        <row r="2665">
          <cell r="A2665" t="str">
            <v>B558236/A</v>
          </cell>
          <cell r="B2665" t="str">
            <v>RH2772M410</v>
          </cell>
          <cell r="C2665">
            <v>14</v>
          </cell>
          <cell r="D2665">
            <v>315</v>
          </cell>
          <cell r="E2665">
            <v>4410</v>
          </cell>
          <cell r="F2665" t="str">
            <v>P05</v>
          </cell>
          <cell r="G2665" t="str">
            <v>back rail - Đố hậu</v>
          </cell>
          <cell r="H2665" t="str">
            <v>Standard Wood - ALDER/ASPEN/LENGA/US POPLAR, 2 COM - T25 W120mm+ L2m+</v>
          </cell>
          <cell r="I2665">
            <v>14</v>
          </cell>
        </row>
        <row r="2666">
          <cell r="A2666" t="str">
            <v>B558236/A</v>
          </cell>
          <cell r="B2666" t="str">
            <v>RH2772M410</v>
          </cell>
          <cell r="C2666">
            <v>14</v>
          </cell>
          <cell r="D2666">
            <v>315</v>
          </cell>
          <cell r="E2666">
            <v>4410</v>
          </cell>
          <cell r="F2666" t="str">
            <v>P06</v>
          </cell>
          <cell r="G2666" t="str">
            <v>Back panel - Ván hậu</v>
          </cell>
          <cell r="H2666" t="str">
            <v>MDF Veneer</v>
          </cell>
          <cell r="I2666">
            <v>14</v>
          </cell>
        </row>
        <row r="2667">
          <cell r="A2667" t="str">
            <v>B558236/A</v>
          </cell>
          <cell r="B2667" t="str">
            <v>RH2772M410</v>
          </cell>
          <cell r="C2667">
            <v>14</v>
          </cell>
          <cell r="D2667">
            <v>315</v>
          </cell>
          <cell r="E2667">
            <v>4410</v>
          </cell>
          <cell r="F2667" t="str">
            <v>P07</v>
          </cell>
          <cell r="G2667" t="str">
            <v>Drawer stop - Dừng hộc</v>
          </cell>
          <cell r="H2667" t="str">
            <v>Poplar off cut</v>
          </cell>
          <cell r="I2667">
            <v>28</v>
          </cell>
        </row>
        <row r="2668">
          <cell r="A2668" t="str">
            <v>B558236/A</v>
          </cell>
          <cell r="B2668" t="str">
            <v>RH2772M410</v>
          </cell>
          <cell r="C2668">
            <v>14</v>
          </cell>
          <cell r="D2668">
            <v>315</v>
          </cell>
          <cell r="E2668">
            <v>4410</v>
          </cell>
          <cell r="F2668" t="str">
            <v>P08</v>
          </cell>
          <cell r="G2668" t="str">
            <v>support Top - đỡ nóc</v>
          </cell>
          <cell r="H2668" t="str">
            <v>Beech off cut</v>
          </cell>
          <cell r="I2668">
            <v>28</v>
          </cell>
        </row>
        <row r="2669">
          <cell r="A2669" t="str">
            <v>B558236/A</v>
          </cell>
          <cell r="B2669" t="str">
            <v>RH2772M410</v>
          </cell>
          <cell r="C2669">
            <v>14</v>
          </cell>
          <cell r="D2669">
            <v>315</v>
          </cell>
          <cell r="E2669">
            <v>4410</v>
          </cell>
          <cell r="F2669" t="str">
            <v>P09</v>
          </cell>
          <cell r="G2669" t="str">
            <v>Center panel - Ván giữa</v>
          </cell>
          <cell r="H2669" t="str">
            <v>MDF Veneer</v>
          </cell>
          <cell r="I2669">
            <v>14</v>
          </cell>
        </row>
        <row r="2670">
          <cell r="A2670" t="str">
            <v>B558239/A</v>
          </cell>
          <cell r="B2670" t="str">
            <v>RH2802M373</v>
          </cell>
          <cell r="C2670">
            <v>19</v>
          </cell>
          <cell r="D2670">
            <v>360</v>
          </cell>
          <cell r="E2670">
            <v>6840</v>
          </cell>
          <cell r="F2670" t="str">
            <v>A1</v>
          </cell>
          <cell r="G2670" t="str">
            <v>The leg  - Chân</v>
          </cell>
          <cell r="H2670" t="str">
            <v>Pre-Assembly</v>
          </cell>
          <cell r="I2670">
            <v>38</v>
          </cell>
        </row>
        <row r="2671">
          <cell r="A2671" t="str">
            <v>B558239/A</v>
          </cell>
          <cell r="B2671" t="str">
            <v>RH2802M373</v>
          </cell>
          <cell r="C2671">
            <v>19</v>
          </cell>
          <cell r="D2671">
            <v>360</v>
          </cell>
          <cell r="E2671">
            <v>6840</v>
          </cell>
          <cell r="F2671" t="str">
            <v>A1-S00</v>
          </cell>
          <cell r="G2671" t="str">
            <v xml:space="preserve">Curve part hot press  - chi tiết cảo cong </v>
          </cell>
          <cell r="H2671" t="str">
            <v>MDF Veneer</v>
          </cell>
          <cell r="I2671">
            <v>38</v>
          </cell>
        </row>
        <row r="2672">
          <cell r="A2672" t="str">
            <v>B558239/A</v>
          </cell>
          <cell r="B2672" t="str">
            <v>RH2802M373</v>
          </cell>
          <cell r="C2672">
            <v>19</v>
          </cell>
          <cell r="D2672">
            <v>360</v>
          </cell>
          <cell r="E2672">
            <v>6840</v>
          </cell>
          <cell r="F2672" t="str">
            <v>A1-S00-1</v>
          </cell>
          <cell r="G2672" t="str">
            <v>Panel outside - Ván phía ngoài</v>
          </cell>
          <cell r="H2672" t="str">
            <v>MDF Veneer</v>
          </cell>
          <cell r="I2672">
            <v>38</v>
          </cell>
        </row>
        <row r="2673">
          <cell r="A2673" t="str">
            <v>B558239/A</v>
          </cell>
          <cell r="B2673" t="str">
            <v>RH2802M373</v>
          </cell>
          <cell r="C2673">
            <v>19</v>
          </cell>
          <cell r="D2673">
            <v>360</v>
          </cell>
          <cell r="E2673">
            <v>6840</v>
          </cell>
          <cell r="F2673" t="str">
            <v>A1-S01</v>
          </cell>
          <cell r="G2673" t="str">
            <v xml:space="preserve">Side panel  - Ván hông </v>
          </cell>
          <cell r="H2673" t="str">
            <v>MDF Veneer</v>
          </cell>
          <cell r="I2673">
            <v>38</v>
          </cell>
        </row>
        <row r="2674">
          <cell r="A2674" t="str">
            <v>B558239/A</v>
          </cell>
          <cell r="B2674" t="str">
            <v>RH2802M373</v>
          </cell>
          <cell r="C2674">
            <v>19</v>
          </cell>
          <cell r="D2674">
            <v>360</v>
          </cell>
          <cell r="E2674">
            <v>6840</v>
          </cell>
          <cell r="F2674" t="str">
            <v>A1-S03</v>
          </cell>
          <cell r="G2674" t="str">
            <v xml:space="preserve">Top panel  - Ván nóc </v>
          </cell>
          <cell r="H2674" t="str">
            <v>Plywood LVD - 25 x 1220 x 2440mm, Bleached Poplar Veneer Both Sides [CARB P2 Compliant]</v>
          </cell>
          <cell r="I2674">
            <v>38</v>
          </cell>
        </row>
        <row r="2675">
          <cell r="A2675" t="str">
            <v>B558239/A</v>
          </cell>
          <cell r="B2675" t="str">
            <v>RH2802M373</v>
          </cell>
          <cell r="C2675">
            <v>19</v>
          </cell>
          <cell r="D2675">
            <v>360</v>
          </cell>
          <cell r="E2675">
            <v>6840</v>
          </cell>
          <cell r="F2675" t="str">
            <v>A1-S04</v>
          </cell>
          <cell r="G2675" t="str">
            <v>Bottom panel - Ván đáy</v>
          </cell>
          <cell r="H2675" t="str">
            <v>Plywood LVD - 25 x 1220 x 2440mm, Bleached Poplar Veneer Both Sides [CARB P2 Compliant]</v>
          </cell>
          <cell r="I2675">
            <v>38</v>
          </cell>
        </row>
        <row r="2676">
          <cell r="A2676" t="str">
            <v>B558239/A</v>
          </cell>
          <cell r="B2676" t="str">
            <v>RH2802M373</v>
          </cell>
          <cell r="C2676">
            <v>19</v>
          </cell>
          <cell r="D2676">
            <v>360</v>
          </cell>
          <cell r="E2676">
            <v>6840</v>
          </cell>
          <cell r="F2676" t="str">
            <v>A1-S09</v>
          </cell>
          <cell r="G2676" t="str">
            <v>Spline - Lưỡi gà</v>
          </cell>
          <cell r="H2676" t="str">
            <v>Plywood LVD - 06 x 1220 x 2440mm, Bleached Poplar Veneer Both Sides [CARB P2 Compliant]</v>
          </cell>
          <cell r="I2676">
            <v>76</v>
          </cell>
        </row>
        <row r="2677">
          <cell r="A2677" t="str">
            <v>B558239/A</v>
          </cell>
          <cell r="B2677" t="str">
            <v>RH2802M373</v>
          </cell>
          <cell r="C2677">
            <v>19</v>
          </cell>
          <cell r="D2677">
            <v>360</v>
          </cell>
          <cell r="E2677">
            <v>6840</v>
          </cell>
          <cell r="F2677" t="str">
            <v>P01</v>
          </cell>
          <cell r="G2677" t="str">
            <v>Top Frame - Khung nóc</v>
          </cell>
          <cell r="H2677" t="str">
            <v>Plywood VN</v>
          </cell>
          <cell r="I2677">
            <v>19</v>
          </cell>
        </row>
        <row r="2678">
          <cell r="A2678" t="str">
            <v>B558239/A</v>
          </cell>
          <cell r="B2678" t="str">
            <v>RH2802M373</v>
          </cell>
          <cell r="C2678">
            <v>19</v>
          </cell>
          <cell r="D2678">
            <v>360</v>
          </cell>
          <cell r="E2678">
            <v>6840</v>
          </cell>
          <cell r="F2678" t="str">
            <v>P03</v>
          </cell>
          <cell r="G2678" t="str">
            <v>Bottom rail inside - Đố tiền đáy</v>
          </cell>
          <cell r="H2678" t="str">
            <v>MDF - 18 x 1830 x 2440mm [CARB P2 Compliant]</v>
          </cell>
          <cell r="I2678">
            <v>38</v>
          </cell>
        </row>
        <row r="2679">
          <cell r="A2679" t="str">
            <v>B558244/A</v>
          </cell>
          <cell r="B2679" t="str">
            <v>RH2802M374</v>
          </cell>
          <cell r="C2679">
            <v>6</v>
          </cell>
          <cell r="D2679">
            <v>360</v>
          </cell>
          <cell r="E2679">
            <v>2160</v>
          </cell>
          <cell r="F2679" t="str">
            <v>A1</v>
          </cell>
          <cell r="G2679" t="str">
            <v>The leg  - Chân</v>
          </cell>
          <cell r="H2679" t="str">
            <v>Pre-Assembly</v>
          </cell>
          <cell r="I2679">
            <v>12</v>
          </cell>
        </row>
        <row r="2680">
          <cell r="A2680" t="str">
            <v>B558244/A</v>
          </cell>
          <cell r="B2680" t="str">
            <v>RH2802M374</v>
          </cell>
          <cell r="C2680">
            <v>6</v>
          </cell>
          <cell r="D2680">
            <v>360</v>
          </cell>
          <cell r="E2680">
            <v>2160</v>
          </cell>
          <cell r="F2680" t="str">
            <v>A1-S00</v>
          </cell>
          <cell r="G2680" t="str">
            <v xml:space="preserve">Curve part hot press  - chi tiết cảo cong </v>
          </cell>
          <cell r="H2680" t="str">
            <v>MDF Veneer</v>
          </cell>
          <cell r="I2680">
            <v>12</v>
          </cell>
        </row>
        <row r="2681">
          <cell r="A2681" t="str">
            <v>B558244/A</v>
          </cell>
          <cell r="B2681" t="str">
            <v>RH2802M374</v>
          </cell>
          <cell r="C2681">
            <v>6</v>
          </cell>
          <cell r="D2681">
            <v>360</v>
          </cell>
          <cell r="E2681">
            <v>2160</v>
          </cell>
          <cell r="F2681" t="str">
            <v>A1-S00-1</v>
          </cell>
          <cell r="G2681" t="str">
            <v>Panel outside - Ván phía ngoài</v>
          </cell>
          <cell r="H2681" t="str">
            <v>MDF Veneer</v>
          </cell>
          <cell r="I2681">
            <v>12</v>
          </cell>
        </row>
        <row r="2682">
          <cell r="A2682" t="str">
            <v>B558244/A</v>
          </cell>
          <cell r="B2682" t="str">
            <v>RH2802M374</v>
          </cell>
          <cell r="C2682">
            <v>6</v>
          </cell>
          <cell r="D2682">
            <v>360</v>
          </cell>
          <cell r="E2682">
            <v>2160</v>
          </cell>
          <cell r="F2682" t="str">
            <v>A1-S01</v>
          </cell>
          <cell r="G2682" t="str">
            <v xml:space="preserve">Side panel  - Ván hông </v>
          </cell>
          <cell r="H2682" t="str">
            <v>MDF Veneer</v>
          </cell>
          <cell r="I2682">
            <v>12</v>
          </cell>
        </row>
        <row r="2683">
          <cell r="A2683" t="str">
            <v>B558244/A</v>
          </cell>
          <cell r="B2683" t="str">
            <v>RH2802M374</v>
          </cell>
          <cell r="C2683">
            <v>6</v>
          </cell>
          <cell r="D2683">
            <v>360</v>
          </cell>
          <cell r="E2683">
            <v>2160</v>
          </cell>
          <cell r="F2683" t="str">
            <v>A1-S03</v>
          </cell>
          <cell r="G2683" t="str">
            <v xml:space="preserve">Top panel  - Ván nóc </v>
          </cell>
          <cell r="H2683" t="str">
            <v>Plywood LVD - 25 x 1220 x 2440mm, Bleached Poplar Veneer Both Sides [CARB P2 Compliant]</v>
          </cell>
          <cell r="I2683">
            <v>12</v>
          </cell>
        </row>
        <row r="2684">
          <cell r="A2684" t="str">
            <v>B558244/A</v>
          </cell>
          <cell r="B2684" t="str">
            <v>RH2802M374</v>
          </cell>
          <cell r="C2684">
            <v>6</v>
          </cell>
          <cell r="D2684">
            <v>360</v>
          </cell>
          <cell r="E2684">
            <v>2160</v>
          </cell>
          <cell r="F2684" t="str">
            <v>A1-S04</v>
          </cell>
          <cell r="G2684" t="str">
            <v>Bottom panel - Ván đáy</v>
          </cell>
          <cell r="H2684" t="str">
            <v>Plywood LVD - 25 x 1220 x 2440mm, Bleached Poplar Veneer Both Sides [CARB P2 Compliant]</v>
          </cell>
          <cell r="I2684">
            <v>12</v>
          </cell>
        </row>
        <row r="2685">
          <cell r="A2685" t="str">
            <v>B558244/A</v>
          </cell>
          <cell r="B2685" t="str">
            <v>RH2802M374</v>
          </cell>
          <cell r="C2685">
            <v>6</v>
          </cell>
          <cell r="D2685">
            <v>360</v>
          </cell>
          <cell r="E2685">
            <v>2160</v>
          </cell>
          <cell r="F2685" t="str">
            <v>A1-S09</v>
          </cell>
          <cell r="G2685" t="str">
            <v>Spline - Lưỡi gà</v>
          </cell>
          <cell r="H2685" t="str">
            <v>Plywood LVD - 06 x 1220 x 2440mm, Bleached Poplar Veneer Both Sides [CARB P2 Compliant]</v>
          </cell>
          <cell r="I2685">
            <v>24</v>
          </cell>
        </row>
        <row r="2686">
          <cell r="A2686" t="str">
            <v>B558244/A</v>
          </cell>
          <cell r="B2686" t="str">
            <v>RH2802M374</v>
          </cell>
          <cell r="C2686">
            <v>6</v>
          </cell>
          <cell r="D2686">
            <v>360</v>
          </cell>
          <cell r="E2686">
            <v>2160</v>
          </cell>
          <cell r="F2686" t="str">
            <v>P01</v>
          </cell>
          <cell r="G2686" t="str">
            <v>Top Frame - Khung nóc</v>
          </cell>
          <cell r="H2686" t="str">
            <v>Plywood VN</v>
          </cell>
          <cell r="I2686">
            <v>6</v>
          </cell>
        </row>
        <row r="2687">
          <cell r="A2687" t="str">
            <v>B558244/A</v>
          </cell>
          <cell r="B2687" t="str">
            <v>RH2802M374</v>
          </cell>
          <cell r="C2687">
            <v>6</v>
          </cell>
          <cell r="D2687">
            <v>360</v>
          </cell>
          <cell r="E2687">
            <v>2160</v>
          </cell>
          <cell r="F2687" t="str">
            <v>P03</v>
          </cell>
          <cell r="G2687" t="str">
            <v>Bottom rail inside - Đố tiền đáy</v>
          </cell>
          <cell r="H2687" t="str">
            <v>MDF - 18 x 1830 x 2440mm [CARB P2 Compliant]</v>
          </cell>
          <cell r="I2687">
            <v>12</v>
          </cell>
        </row>
        <row r="2688">
          <cell r="A2688" t="str">
            <v>B558145/A</v>
          </cell>
          <cell r="B2688" t="str">
            <v>RH3451M112</v>
          </cell>
          <cell r="C2688">
            <v>20</v>
          </cell>
          <cell r="D2688">
            <v>268.24</v>
          </cell>
          <cell r="E2688">
            <v>5364.8</v>
          </cell>
          <cell r="F2688" t="str">
            <v>A1-S01</v>
          </cell>
          <cell r="G2688" t="str">
            <v xml:space="preserve">Drawer front - Mặt hộc kéo </v>
          </cell>
          <cell r="H2688" t="str">
            <v>MDF laminate</v>
          </cell>
          <cell r="I2688">
            <v>60</v>
          </cell>
        </row>
        <row r="2689">
          <cell r="A2689" t="str">
            <v>B558145/A</v>
          </cell>
          <cell r="B2689" t="str">
            <v>RH3451M112</v>
          </cell>
          <cell r="C2689">
            <v>20</v>
          </cell>
          <cell r="D2689">
            <v>268.24</v>
          </cell>
          <cell r="E2689">
            <v>5364.8</v>
          </cell>
          <cell r="F2689" t="str">
            <v>A1-S02</v>
          </cell>
          <cell r="G2689" t="str">
            <v>Drawer side - Hông hộc kéo</v>
          </cell>
          <cell r="H2689" t="str">
            <v>MDF Veneer</v>
          </cell>
          <cell r="I2689">
            <v>120</v>
          </cell>
        </row>
        <row r="2690">
          <cell r="A2690" t="str">
            <v>B558145/A</v>
          </cell>
          <cell r="B2690" t="str">
            <v>RH3451M112</v>
          </cell>
          <cell r="C2690">
            <v>20</v>
          </cell>
          <cell r="D2690">
            <v>268.24</v>
          </cell>
          <cell r="E2690">
            <v>5364.8</v>
          </cell>
          <cell r="F2690" t="str">
            <v>A1-S03</v>
          </cell>
          <cell r="G2690" t="str">
            <v>Drawer back - Hậu hộc kéo</v>
          </cell>
          <cell r="H2690" t="str">
            <v>MDF Veneer</v>
          </cell>
          <cell r="I2690">
            <v>60</v>
          </cell>
        </row>
        <row r="2691">
          <cell r="A2691" t="str">
            <v>B558145/A</v>
          </cell>
          <cell r="B2691" t="str">
            <v>RH3451M112</v>
          </cell>
          <cell r="C2691">
            <v>20</v>
          </cell>
          <cell r="D2691">
            <v>268.24</v>
          </cell>
          <cell r="E2691">
            <v>5364.8</v>
          </cell>
          <cell r="F2691" t="str">
            <v>A1-S04</v>
          </cell>
          <cell r="G2691" t="str">
            <v>Drawer bottom  - Đáy hộc kéo</v>
          </cell>
          <cell r="H2691" t="str">
            <v>MDF - 06 x 1220 x 2440mm, Veneer Poplar 0.42mm + Veneer Engineering 0.3mm [CARB P2 Compliant]</v>
          </cell>
          <cell r="I2691">
            <v>60</v>
          </cell>
        </row>
        <row r="2692">
          <cell r="A2692" t="str">
            <v>B558145/A</v>
          </cell>
          <cell r="B2692" t="str">
            <v>RH3451M112</v>
          </cell>
          <cell r="C2692">
            <v>20</v>
          </cell>
          <cell r="D2692">
            <v>268.24</v>
          </cell>
          <cell r="E2692">
            <v>5364.8</v>
          </cell>
          <cell r="F2692" t="str">
            <v>A1-S06</v>
          </cell>
          <cell r="G2692" t="str">
            <v>Patching wood - Gỗ đắp</v>
          </cell>
          <cell r="H2692" t="str">
            <v>Poplar off cut</v>
          </cell>
          <cell r="I2692">
            <v>60</v>
          </cell>
        </row>
        <row r="2693">
          <cell r="A2693" t="str">
            <v>B558145/A</v>
          </cell>
          <cell r="B2693" t="str">
            <v>RH3451M112</v>
          </cell>
          <cell r="C2693">
            <v>20</v>
          </cell>
          <cell r="D2693">
            <v>268.24</v>
          </cell>
          <cell r="E2693">
            <v>5364.8</v>
          </cell>
          <cell r="F2693" t="str">
            <v>A1-S07</v>
          </cell>
          <cell r="G2693" t="str">
            <v>Patching wood - Gỗ đắp</v>
          </cell>
          <cell r="H2693" t="str">
            <v>Poplar off cut</v>
          </cell>
          <cell r="I2693">
            <v>120</v>
          </cell>
        </row>
        <row r="2694">
          <cell r="A2694" t="str">
            <v>B558145/A</v>
          </cell>
          <cell r="B2694" t="str">
            <v>RH3451M112</v>
          </cell>
          <cell r="C2694">
            <v>20</v>
          </cell>
          <cell r="D2694">
            <v>268.24</v>
          </cell>
          <cell r="E2694">
            <v>5364.8</v>
          </cell>
          <cell r="F2694" t="str">
            <v>P01</v>
          </cell>
          <cell r="G2694" t="str">
            <v xml:space="preserve">Top panel  - Ván nóc </v>
          </cell>
          <cell r="H2694" t="str">
            <v>MDF laminate</v>
          </cell>
          <cell r="I2694">
            <v>40</v>
          </cell>
        </row>
        <row r="2695">
          <cell r="A2695" t="str">
            <v>B558145/A</v>
          </cell>
          <cell r="B2695" t="str">
            <v>RH3451M112</v>
          </cell>
          <cell r="C2695">
            <v>20</v>
          </cell>
          <cell r="D2695">
            <v>268.24</v>
          </cell>
          <cell r="E2695">
            <v>5364.8</v>
          </cell>
          <cell r="F2695" t="str">
            <v>P02</v>
          </cell>
          <cell r="G2695" t="str">
            <v xml:space="preserve">Side panel  - Ván hông </v>
          </cell>
          <cell r="H2695" t="str">
            <v>MDF laminate</v>
          </cell>
          <cell r="I2695">
            <v>40</v>
          </cell>
        </row>
        <row r="2696">
          <cell r="A2696" t="str">
            <v>B558145/A</v>
          </cell>
          <cell r="B2696" t="str">
            <v>RH3451M112</v>
          </cell>
          <cell r="C2696">
            <v>20</v>
          </cell>
          <cell r="D2696">
            <v>268.24</v>
          </cell>
          <cell r="E2696">
            <v>5364.8</v>
          </cell>
          <cell r="F2696" t="str">
            <v>P03</v>
          </cell>
          <cell r="G2696" t="str">
            <v xml:space="preserve">Side panel  - Ván hông </v>
          </cell>
          <cell r="H2696" t="str">
            <v>MDF - 15 x 1830 x 2440mm [CARB P2 Compliant]</v>
          </cell>
          <cell r="I2696">
            <v>40</v>
          </cell>
        </row>
        <row r="2697">
          <cell r="A2697" t="str">
            <v>B558145/A</v>
          </cell>
          <cell r="B2697" t="str">
            <v>RH3451M112</v>
          </cell>
          <cell r="C2697">
            <v>20</v>
          </cell>
          <cell r="D2697">
            <v>268.24</v>
          </cell>
          <cell r="E2697">
            <v>5364.8</v>
          </cell>
          <cell r="F2697" t="str">
            <v>P06</v>
          </cell>
          <cell r="G2697" t="str">
            <v>Cleat - Bọ gỗ</v>
          </cell>
          <cell r="H2697" t="str">
            <v>Wood Acacia - Straight/Waving Edged - T25mm x W100mm Up x L1m Up</v>
          </cell>
          <cell r="I2697">
            <v>40</v>
          </cell>
        </row>
        <row r="2698">
          <cell r="A2698" t="str">
            <v>B558145/A</v>
          </cell>
          <cell r="B2698" t="str">
            <v>RH3451M112</v>
          </cell>
          <cell r="C2698">
            <v>20</v>
          </cell>
          <cell r="D2698">
            <v>268.24</v>
          </cell>
          <cell r="E2698">
            <v>5364.8</v>
          </cell>
          <cell r="F2698" t="str">
            <v>P08</v>
          </cell>
          <cell r="G2698" t="str">
            <v>Cleat - Bọ gỗ</v>
          </cell>
          <cell r="H2698" t="str">
            <v>Poplar off cut</v>
          </cell>
          <cell r="I2698">
            <v>40</v>
          </cell>
        </row>
        <row r="2699">
          <cell r="A2699" t="str">
            <v>B558145/A</v>
          </cell>
          <cell r="B2699" t="str">
            <v>RH3451M112</v>
          </cell>
          <cell r="C2699">
            <v>20</v>
          </cell>
          <cell r="D2699">
            <v>268.24</v>
          </cell>
          <cell r="E2699">
            <v>5364.8</v>
          </cell>
          <cell r="F2699" t="str">
            <v>P08-1</v>
          </cell>
          <cell r="G2699" t="str">
            <v>Cleat - Bọ gỗ</v>
          </cell>
          <cell r="H2699" t="str">
            <v>Poplar off cut</v>
          </cell>
          <cell r="I2699">
            <v>40</v>
          </cell>
        </row>
        <row r="2700">
          <cell r="A2700" t="str">
            <v>B558145/A</v>
          </cell>
          <cell r="B2700" t="str">
            <v>RH3451M112</v>
          </cell>
          <cell r="C2700">
            <v>20</v>
          </cell>
          <cell r="D2700">
            <v>268.24</v>
          </cell>
          <cell r="E2700">
            <v>5364.8</v>
          </cell>
          <cell r="F2700" t="str">
            <v>P11</v>
          </cell>
          <cell r="G2700" t="str">
            <v>Spline - Lưỡi gà</v>
          </cell>
          <cell r="H2700" t="str">
            <v>Plywood LVD - 06 x 1220 x 2440mm, Bleached Poplar Veneer Both Sides [CARB P2 Compliant]</v>
          </cell>
          <cell r="I2700">
            <v>20</v>
          </cell>
        </row>
        <row r="2701">
          <cell r="A2701" t="str">
            <v>B558145/A</v>
          </cell>
          <cell r="B2701" t="str">
            <v>RH3451M112</v>
          </cell>
          <cell r="C2701">
            <v>20</v>
          </cell>
          <cell r="D2701">
            <v>268.24</v>
          </cell>
          <cell r="E2701">
            <v>5364.8</v>
          </cell>
          <cell r="F2701" t="str">
            <v>P12</v>
          </cell>
          <cell r="G2701" t="str">
            <v>Bottom panel - Ván đáy</v>
          </cell>
          <cell r="H2701" t="str">
            <v>MDF laminate</v>
          </cell>
          <cell r="I2701">
            <v>20</v>
          </cell>
        </row>
        <row r="2702">
          <cell r="A2702" t="str">
            <v>B558145/A</v>
          </cell>
          <cell r="B2702" t="str">
            <v>RH3451M112</v>
          </cell>
          <cell r="C2702">
            <v>20</v>
          </cell>
          <cell r="D2702">
            <v>268.24</v>
          </cell>
          <cell r="E2702">
            <v>5364.8</v>
          </cell>
          <cell r="F2702" t="str">
            <v>P13</v>
          </cell>
          <cell r="G2702" t="str">
            <v>Drawer stop - Dừng hộc</v>
          </cell>
          <cell r="H2702" t="str">
            <v>Poplar off cut</v>
          </cell>
          <cell r="I2702">
            <v>120</v>
          </cell>
        </row>
        <row r="2703">
          <cell r="A2703" t="str">
            <v>B558149/A</v>
          </cell>
          <cell r="B2703" t="str">
            <v>RH3451M113</v>
          </cell>
          <cell r="C2703">
            <v>20</v>
          </cell>
          <cell r="D2703">
            <v>268.24</v>
          </cell>
          <cell r="E2703">
            <v>5364.8</v>
          </cell>
          <cell r="F2703" t="str">
            <v>A1-S01</v>
          </cell>
          <cell r="G2703" t="str">
            <v xml:space="preserve">Drawer front - Mặt hộc kéo </v>
          </cell>
          <cell r="H2703" t="str">
            <v>MDF laminate</v>
          </cell>
          <cell r="I2703">
            <v>60</v>
          </cell>
        </row>
        <row r="2704">
          <cell r="A2704" t="str">
            <v>B558149/A</v>
          </cell>
          <cell r="B2704" t="str">
            <v>RH3451M113</v>
          </cell>
          <cell r="C2704">
            <v>20</v>
          </cell>
          <cell r="D2704">
            <v>268.24</v>
          </cell>
          <cell r="E2704">
            <v>5364.8</v>
          </cell>
          <cell r="F2704" t="str">
            <v>A1-S02</v>
          </cell>
          <cell r="G2704" t="str">
            <v>Drawer side - Hông hộc kéo</v>
          </cell>
          <cell r="H2704" t="str">
            <v>MDF Veneer</v>
          </cell>
          <cell r="I2704">
            <v>120</v>
          </cell>
        </row>
        <row r="2705">
          <cell r="A2705" t="str">
            <v>B558149/A</v>
          </cell>
          <cell r="B2705" t="str">
            <v>RH3451M113</v>
          </cell>
          <cell r="C2705">
            <v>20</v>
          </cell>
          <cell r="D2705">
            <v>268.24</v>
          </cell>
          <cell r="E2705">
            <v>5364.8</v>
          </cell>
          <cell r="F2705" t="str">
            <v>A1-S03</v>
          </cell>
          <cell r="G2705" t="str">
            <v>Drawer back - Hậu hộc kéo</v>
          </cell>
          <cell r="H2705" t="str">
            <v>MDF Veneer</v>
          </cell>
          <cell r="I2705">
            <v>60</v>
          </cell>
        </row>
        <row r="2706">
          <cell r="A2706" t="str">
            <v>B558149/A</v>
          </cell>
          <cell r="B2706" t="str">
            <v>RH3451M113</v>
          </cell>
          <cell r="C2706">
            <v>20</v>
          </cell>
          <cell r="D2706">
            <v>268.24</v>
          </cell>
          <cell r="E2706">
            <v>5364.8</v>
          </cell>
          <cell r="F2706" t="str">
            <v>A1-S04</v>
          </cell>
          <cell r="G2706" t="str">
            <v>Drawer bottom  - Đáy hộc kéo</v>
          </cell>
          <cell r="H2706" t="str">
            <v>MDF - 06 x 1220 x 2440mm, Veneer Poplar 0.42mm + Veneer Engineering 0.3mm [CARB P2 Compliant]</v>
          </cell>
          <cell r="I2706">
            <v>60</v>
          </cell>
        </row>
        <row r="2707">
          <cell r="A2707" t="str">
            <v>B558149/A</v>
          </cell>
          <cell r="B2707" t="str">
            <v>RH3451M113</v>
          </cell>
          <cell r="C2707">
            <v>20</v>
          </cell>
          <cell r="D2707">
            <v>268.24</v>
          </cell>
          <cell r="E2707">
            <v>5364.8</v>
          </cell>
          <cell r="F2707" t="str">
            <v>A1-S06</v>
          </cell>
          <cell r="G2707" t="str">
            <v>Patching wood - Gỗ đắp</v>
          </cell>
          <cell r="H2707" t="str">
            <v>Poplar off cut</v>
          </cell>
          <cell r="I2707">
            <v>60</v>
          </cell>
        </row>
        <row r="2708">
          <cell r="A2708" t="str">
            <v>B558149/A</v>
          </cell>
          <cell r="B2708" t="str">
            <v>RH3451M113</v>
          </cell>
          <cell r="C2708">
            <v>20</v>
          </cell>
          <cell r="D2708">
            <v>268.24</v>
          </cell>
          <cell r="E2708">
            <v>5364.8</v>
          </cell>
          <cell r="F2708" t="str">
            <v>A1-S07</v>
          </cell>
          <cell r="G2708" t="str">
            <v>Patching wood - Gỗ đắp</v>
          </cell>
          <cell r="H2708" t="str">
            <v>Poplar off cut</v>
          </cell>
          <cell r="I2708">
            <v>120</v>
          </cell>
        </row>
        <row r="2709">
          <cell r="A2709" t="str">
            <v>B558149/A</v>
          </cell>
          <cell r="B2709" t="str">
            <v>RH3451M113</v>
          </cell>
          <cell r="C2709">
            <v>20</v>
          </cell>
          <cell r="D2709">
            <v>268.24</v>
          </cell>
          <cell r="E2709">
            <v>5364.8</v>
          </cell>
          <cell r="F2709" t="str">
            <v>P01</v>
          </cell>
          <cell r="G2709" t="str">
            <v xml:space="preserve">Top panel  - Ván nóc </v>
          </cell>
          <cell r="H2709" t="str">
            <v>MDF laminate</v>
          </cell>
          <cell r="I2709">
            <v>40</v>
          </cell>
        </row>
        <row r="2710">
          <cell r="A2710" t="str">
            <v>B558149/A</v>
          </cell>
          <cell r="B2710" t="str">
            <v>RH3451M113</v>
          </cell>
          <cell r="C2710">
            <v>20</v>
          </cell>
          <cell r="D2710">
            <v>268.24</v>
          </cell>
          <cell r="E2710">
            <v>5364.8</v>
          </cell>
          <cell r="F2710" t="str">
            <v>P02</v>
          </cell>
          <cell r="G2710" t="str">
            <v xml:space="preserve">Side panel  - Ván hông </v>
          </cell>
          <cell r="H2710" t="str">
            <v>MDF laminate</v>
          </cell>
          <cell r="I2710">
            <v>40</v>
          </cell>
        </row>
        <row r="2711">
          <cell r="A2711" t="str">
            <v>B558149/A</v>
          </cell>
          <cell r="B2711" t="str">
            <v>RH3451M113</v>
          </cell>
          <cell r="C2711">
            <v>20</v>
          </cell>
          <cell r="D2711">
            <v>268.24</v>
          </cell>
          <cell r="E2711">
            <v>5364.8</v>
          </cell>
          <cell r="F2711" t="str">
            <v>P03</v>
          </cell>
          <cell r="G2711" t="str">
            <v xml:space="preserve">Side panel  - Ván hông </v>
          </cell>
          <cell r="H2711" t="str">
            <v>MDF - 15 x 1830 x 2440mm [CARB P2 Compliant]</v>
          </cell>
          <cell r="I2711">
            <v>40</v>
          </cell>
        </row>
        <row r="2712">
          <cell r="A2712" t="str">
            <v>B558149/A</v>
          </cell>
          <cell r="B2712" t="str">
            <v>RH3451M113</v>
          </cell>
          <cell r="C2712">
            <v>20</v>
          </cell>
          <cell r="D2712">
            <v>268.24</v>
          </cell>
          <cell r="E2712">
            <v>5364.8</v>
          </cell>
          <cell r="F2712" t="str">
            <v>P06</v>
          </cell>
          <cell r="G2712" t="str">
            <v>Cleat - Bọ gỗ</v>
          </cell>
          <cell r="H2712" t="str">
            <v>Wood Acacia - Straight/Waving Edged - T25mm x W100mm Up x L1m Up</v>
          </cell>
          <cell r="I2712">
            <v>40</v>
          </cell>
        </row>
        <row r="2713">
          <cell r="A2713" t="str">
            <v>B558149/A</v>
          </cell>
          <cell r="B2713" t="str">
            <v>RH3451M113</v>
          </cell>
          <cell r="C2713">
            <v>20</v>
          </cell>
          <cell r="D2713">
            <v>268.24</v>
          </cell>
          <cell r="E2713">
            <v>5364.8</v>
          </cell>
          <cell r="F2713" t="str">
            <v>P08</v>
          </cell>
          <cell r="G2713" t="str">
            <v>Cleat - Bọ gỗ</v>
          </cell>
          <cell r="H2713" t="str">
            <v>Poplar off cut</v>
          </cell>
          <cell r="I2713">
            <v>40</v>
          </cell>
        </row>
        <row r="2714">
          <cell r="A2714" t="str">
            <v>B558149/A</v>
          </cell>
          <cell r="B2714" t="str">
            <v>RH3451M113</v>
          </cell>
          <cell r="C2714">
            <v>20</v>
          </cell>
          <cell r="D2714">
            <v>268.24</v>
          </cell>
          <cell r="E2714">
            <v>5364.8</v>
          </cell>
          <cell r="F2714" t="str">
            <v>P08-1</v>
          </cell>
          <cell r="G2714" t="str">
            <v>Cleat - Bọ gỗ</v>
          </cell>
          <cell r="H2714" t="str">
            <v>Poplar off cut</v>
          </cell>
          <cell r="I2714">
            <v>40</v>
          </cell>
        </row>
        <row r="2715">
          <cell r="A2715" t="str">
            <v>B558149/A</v>
          </cell>
          <cell r="B2715" t="str">
            <v>RH3451M113</v>
          </cell>
          <cell r="C2715">
            <v>20</v>
          </cell>
          <cell r="D2715">
            <v>268.24</v>
          </cell>
          <cell r="E2715">
            <v>5364.8</v>
          </cell>
          <cell r="F2715" t="str">
            <v>P11</v>
          </cell>
          <cell r="G2715" t="str">
            <v>Spline - Lưỡi gà</v>
          </cell>
          <cell r="H2715" t="str">
            <v>Plywood LVD - 06 x 1220 x 2440mm, Bleached Poplar Veneer Both Sides [CARB P2 Compliant]</v>
          </cell>
          <cell r="I2715">
            <v>20</v>
          </cell>
        </row>
        <row r="2716">
          <cell r="A2716" t="str">
            <v>B558149/A</v>
          </cell>
          <cell r="B2716" t="str">
            <v>RH3451M113</v>
          </cell>
          <cell r="C2716">
            <v>20</v>
          </cell>
          <cell r="D2716">
            <v>268.24</v>
          </cell>
          <cell r="E2716">
            <v>5364.8</v>
          </cell>
          <cell r="F2716" t="str">
            <v>P12</v>
          </cell>
          <cell r="G2716" t="str">
            <v>Bottom panel - Ván đáy</v>
          </cell>
          <cell r="H2716" t="str">
            <v>MDF laminate</v>
          </cell>
          <cell r="I2716">
            <v>20</v>
          </cell>
        </row>
        <row r="2717">
          <cell r="A2717" t="str">
            <v>B558149/A</v>
          </cell>
          <cell r="B2717" t="str">
            <v>RH3451M113</v>
          </cell>
          <cell r="C2717">
            <v>20</v>
          </cell>
          <cell r="D2717">
            <v>268.24</v>
          </cell>
          <cell r="E2717">
            <v>5364.8</v>
          </cell>
          <cell r="F2717" t="str">
            <v>P13</v>
          </cell>
          <cell r="G2717" t="str">
            <v>Drawer stop - Dừng hộc</v>
          </cell>
          <cell r="H2717" t="str">
            <v>Poplar off cut</v>
          </cell>
          <cell r="I2717">
            <v>120</v>
          </cell>
        </row>
        <row r="2718">
          <cell r="A2718" t="str">
            <v>B558153/A</v>
          </cell>
          <cell r="B2718" t="str">
            <v>RH3451M152</v>
          </cell>
          <cell r="C2718">
            <v>40</v>
          </cell>
          <cell r="D2718">
            <v>268.24</v>
          </cell>
          <cell r="E2718">
            <v>10729.6</v>
          </cell>
          <cell r="F2718" t="str">
            <v>A1-S01</v>
          </cell>
          <cell r="G2718" t="str">
            <v xml:space="preserve">Drawer front - Mặt hộc kéo </v>
          </cell>
          <cell r="H2718" t="str">
            <v>MDF laminate</v>
          </cell>
          <cell r="I2718">
            <v>120</v>
          </cell>
        </row>
        <row r="2719">
          <cell r="A2719" t="str">
            <v>B558153/A</v>
          </cell>
          <cell r="B2719" t="str">
            <v>RH3451M152</v>
          </cell>
          <cell r="C2719">
            <v>40</v>
          </cell>
          <cell r="D2719">
            <v>268.24</v>
          </cell>
          <cell r="E2719">
            <v>10729.6</v>
          </cell>
          <cell r="F2719" t="str">
            <v>A1-S02</v>
          </cell>
          <cell r="G2719" t="str">
            <v>Drawer side - Hông hộc kéo</v>
          </cell>
          <cell r="H2719" t="str">
            <v>MDF Veneer</v>
          </cell>
          <cell r="I2719">
            <v>240</v>
          </cell>
        </row>
        <row r="2720">
          <cell r="A2720" t="str">
            <v>B558153/A</v>
          </cell>
          <cell r="B2720" t="str">
            <v>RH3451M152</v>
          </cell>
          <cell r="C2720">
            <v>40</v>
          </cell>
          <cell r="D2720">
            <v>268.24</v>
          </cell>
          <cell r="E2720">
            <v>10729.6</v>
          </cell>
          <cell r="F2720" t="str">
            <v>A1-S03</v>
          </cell>
          <cell r="G2720" t="str">
            <v>Drawer back - Hậu hộc kéo</v>
          </cell>
          <cell r="H2720" t="str">
            <v>MDF Veneer</v>
          </cell>
          <cell r="I2720">
            <v>120</v>
          </cell>
        </row>
        <row r="2721">
          <cell r="A2721" t="str">
            <v>B558153/A</v>
          </cell>
          <cell r="B2721" t="str">
            <v>RH3451M152</v>
          </cell>
          <cell r="C2721">
            <v>40</v>
          </cell>
          <cell r="D2721">
            <v>268.24</v>
          </cell>
          <cell r="E2721">
            <v>10729.6</v>
          </cell>
          <cell r="F2721" t="str">
            <v>A1-S04</v>
          </cell>
          <cell r="G2721" t="str">
            <v>Drawer bottom  - Đáy hộc kéo</v>
          </cell>
          <cell r="H2721" t="str">
            <v>MDF - 06 x 1220 x 2440mm, Veneer Poplar 0.42mm + Veneer Engineering 0.3mm [CARB P2 Compliant]</v>
          </cell>
          <cell r="I2721">
            <v>120</v>
          </cell>
        </row>
        <row r="2722">
          <cell r="A2722" t="str">
            <v>B558153/A</v>
          </cell>
          <cell r="B2722" t="str">
            <v>RH3451M152</v>
          </cell>
          <cell r="C2722">
            <v>40</v>
          </cell>
          <cell r="D2722">
            <v>268.24</v>
          </cell>
          <cell r="E2722">
            <v>10729.6</v>
          </cell>
          <cell r="F2722" t="str">
            <v>A1-S06</v>
          </cell>
          <cell r="G2722" t="str">
            <v>Patching wood - Gỗ đắp</v>
          </cell>
          <cell r="H2722" t="str">
            <v>Poplar off cut</v>
          </cell>
          <cell r="I2722">
            <v>120</v>
          </cell>
        </row>
        <row r="2723">
          <cell r="A2723" t="str">
            <v>B558153/A</v>
          </cell>
          <cell r="B2723" t="str">
            <v>RH3451M152</v>
          </cell>
          <cell r="C2723">
            <v>40</v>
          </cell>
          <cell r="D2723">
            <v>268.24</v>
          </cell>
          <cell r="E2723">
            <v>10729.6</v>
          </cell>
          <cell r="F2723" t="str">
            <v>A1-S07</v>
          </cell>
          <cell r="G2723" t="str">
            <v>Patching wood - Gỗ đắp</v>
          </cell>
          <cell r="H2723" t="str">
            <v>Poplar off cut</v>
          </cell>
          <cell r="I2723">
            <v>240</v>
          </cell>
        </row>
        <row r="2724">
          <cell r="A2724" t="str">
            <v>B558153/A</v>
          </cell>
          <cell r="B2724" t="str">
            <v>RH3451M152</v>
          </cell>
          <cell r="C2724">
            <v>40</v>
          </cell>
          <cell r="D2724">
            <v>268.24</v>
          </cell>
          <cell r="E2724">
            <v>10729.6</v>
          </cell>
          <cell r="F2724" t="str">
            <v>P01</v>
          </cell>
          <cell r="G2724" t="str">
            <v xml:space="preserve">Top panel  - Ván nóc </v>
          </cell>
          <cell r="H2724" t="str">
            <v>MDF laminate</v>
          </cell>
          <cell r="I2724">
            <v>80</v>
          </cell>
        </row>
        <row r="2725">
          <cell r="A2725" t="str">
            <v>B558153/A</v>
          </cell>
          <cell r="B2725" t="str">
            <v>RH3451M152</v>
          </cell>
          <cell r="C2725">
            <v>40</v>
          </cell>
          <cell r="D2725">
            <v>268.24</v>
          </cell>
          <cell r="E2725">
            <v>10729.6</v>
          </cell>
          <cell r="F2725" t="str">
            <v>P02</v>
          </cell>
          <cell r="G2725" t="str">
            <v xml:space="preserve">Side panel  - Ván hông </v>
          </cell>
          <cell r="H2725" t="str">
            <v>MDF laminate</v>
          </cell>
          <cell r="I2725">
            <v>80</v>
          </cell>
        </row>
        <row r="2726">
          <cell r="A2726" t="str">
            <v>B558153/A</v>
          </cell>
          <cell r="B2726" t="str">
            <v>RH3451M152</v>
          </cell>
          <cell r="C2726">
            <v>40</v>
          </cell>
          <cell r="D2726">
            <v>268.24</v>
          </cell>
          <cell r="E2726">
            <v>10729.6</v>
          </cell>
          <cell r="F2726" t="str">
            <v>P03</v>
          </cell>
          <cell r="G2726" t="str">
            <v xml:space="preserve">Side panel  - Ván hông </v>
          </cell>
          <cell r="H2726" t="str">
            <v>MDF - 15 x 1830 x 2440mm [CARB P2 Compliant]</v>
          </cell>
          <cell r="I2726">
            <v>80</v>
          </cell>
        </row>
        <row r="2727">
          <cell r="A2727" t="str">
            <v>B558153/A</v>
          </cell>
          <cell r="B2727" t="str">
            <v>RH3451M152</v>
          </cell>
          <cell r="C2727">
            <v>40</v>
          </cell>
          <cell r="D2727">
            <v>268.24</v>
          </cell>
          <cell r="E2727">
            <v>10729.6</v>
          </cell>
          <cell r="F2727" t="str">
            <v>P06</v>
          </cell>
          <cell r="G2727" t="str">
            <v>Cleat - Bọ gỗ</v>
          </cell>
          <cell r="H2727" t="str">
            <v>Wood Acacia - Straight/Waving Edged - T25mm x W100mm Up x L1m Up</v>
          </cell>
          <cell r="I2727">
            <v>80</v>
          </cell>
        </row>
        <row r="2728">
          <cell r="A2728" t="str">
            <v>B558153/A</v>
          </cell>
          <cell r="B2728" t="str">
            <v>RH3451M152</v>
          </cell>
          <cell r="C2728">
            <v>40</v>
          </cell>
          <cell r="D2728">
            <v>268.24</v>
          </cell>
          <cell r="E2728">
            <v>10729.6</v>
          </cell>
          <cell r="F2728" t="str">
            <v>P08</v>
          </cell>
          <cell r="G2728" t="str">
            <v>Cleat - Bọ gỗ</v>
          </cell>
          <cell r="H2728" t="str">
            <v>Poplar off cut</v>
          </cell>
          <cell r="I2728">
            <v>80</v>
          </cell>
        </row>
        <row r="2729">
          <cell r="A2729" t="str">
            <v>B558153/A</v>
          </cell>
          <cell r="B2729" t="str">
            <v>RH3451M152</v>
          </cell>
          <cell r="C2729">
            <v>40</v>
          </cell>
          <cell r="D2729">
            <v>268.24</v>
          </cell>
          <cell r="E2729">
            <v>10729.6</v>
          </cell>
          <cell r="F2729" t="str">
            <v>P08-1</v>
          </cell>
          <cell r="G2729" t="str">
            <v>Cleat - Bọ gỗ</v>
          </cell>
          <cell r="H2729" t="str">
            <v>Poplar off cut</v>
          </cell>
          <cell r="I2729">
            <v>80</v>
          </cell>
        </row>
        <row r="2730">
          <cell r="A2730" t="str">
            <v>B558153/A</v>
          </cell>
          <cell r="B2730" t="str">
            <v>RH3451M152</v>
          </cell>
          <cell r="C2730">
            <v>40</v>
          </cell>
          <cell r="D2730">
            <v>268.24</v>
          </cell>
          <cell r="E2730">
            <v>10729.6</v>
          </cell>
          <cell r="F2730" t="str">
            <v>P11</v>
          </cell>
          <cell r="G2730" t="str">
            <v>Spline - Lưỡi gà</v>
          </cell>
          <cell r="H2730" t="str">
            <v>Plywood LVD - 06 x 1220 x 2440mm, Bleached Poplar Veneer Both Sides [CARB P2 Compliant]</v>
          </cell>
          <cell r="I2730">
            <v>40</v>
          </cell>
        </row>
        <row r="2731">
          <cell r="A2731" t="str">
            <v>B558153/A</v>
          </cell>
          <cell r="B2731" t="str">
            <v>RH3451M152</v>
          </cell>
          <cell r="C2731">
            <v>40</v>
          </cell>
          <cell r="D2731">
            <v>268.24</v>
          </cell>
          <cell r="E2731">
            <v>10729.6</v>
          </cell>
          <cell r="F2731" t="str">
            <v>P12</v>
          </cell>
          <cell r="G2731" t="str">
            <v>Bottom panel - Ván đáy</v>
          </cell>
          <cell r="H2731" t="str">
            <v>MDF laminate</v>
          </cell>
          <cell r="I2731">
            <v>40</v>
          </cell>
        </row>
        <row r="2732">
          <cell r="A2732" t="str">
            <v>B558153/A</v>
          </cell>
          <cell r="B2732" t="str">
            <v>RH3451M152</v>
          </cell>
          <cell r="C2732">
            <v>40</v>
          </cell>
          <cell r="D2732">
            <v>268.24</v>
          </cell>
          <cell r="E2732">
            <v>10729.6</v>
          </cell>
          <cell r="F2732" t="str">
            <v>P13</v>
          </cell>
          <cell r="G2732" t="str">
            <v>Drawer stop - Dừng hộc</v>
          </cell>
          <cell r="H2732" t="str">
            <v>Poplar off cut</v>
          </cell>
          <cell r="I2732">
            <v>240</v>
          </cell>
        </row>
        <row r="2733">
          <cell r="A2733" t="str">
            <v>B558157/A</v>
          </cell>
          <cell r="B2733" t="str">
            <v>RH3451M153</v>
          </cell>
          <cell r="C2733">
            <v>10</v>
          </cell>
          <cell r="D2733">
            <v>268.24</v>
          </cell>
          <cell r="E2733">
            <v>2682.4</v>
          </cell>
          <cell r="F2733" t="str">
            <v>A1-S01</v>
          </cell>
          <cell r="G2733" t="str">
            <v xml:space="preserve">Drawer front - Mặt hộc kéo </v>
          </cell>
          <cell r="H2733" t="str">
            <v>MDF laminate</v>
          </cell>
          <cell r="I2733">
            <v>30</v>
          </cell>
        </row>
        <row r="2734">
          <cell r="A2734" t="str">
            <v>B558157/A</v>
          </cell>
          <cell r="B2734" t="str">
            <v>RH3451M153</v>
          </cell>
          <cell r="C2734">
            <v>10</v>
          </cell>
          <cell r="D2734">
            <v>268.24</v>
          </cell>
          <cell r="E2734">
            <v>2682.4</v>
          </cell>
          <cell r="F2734" t="str">
            <v>A1-S02</v>
          </cell>
          <cell r="G2734" t="str">
            <v>Drawer side - Hông hộc kéo</v>
          </cell>
          <cell r="H2734" t="str">
            <v>MDF Veneer</v>
          </cell>
          <cell r="I2734">
            <v>60</v>
          </cell>
        </row>
        <row r="2735">
          <cell r="A2735" t="str">
            <v>B558157/A</v>
          </cell>
          <cell r="B2735" t="str">
            <v>RH3451M153</v>
          </cell>
          <cell r="C2735">
            <v>10</v>
          </cell>
          <cell r="D2735">
            <v>268.24</v>
          </cell>
          <cell r="E2735">
            <v>2682.4</v>
          </cell>
          <cell r="F2735" t="str">
            <v>A1-S03</v>
          </cell>
          <cell r="G2735" t="str">
            <v>Drawer back - Hậu hộc kéo</v>
          </cell>
          <cell r="H2735" t="str">
            <v>MDF Veneer</v>
          </cell>
          <cell r="I2735">
            <v>30</v>
          </cell>
        </row>
        <row r="2736">
          <cell r="A2736" t="str">
            <v>B558157/A</v>
          </cell>
          <cell r="B2736" t="str">
            <v>RH3451M153</v>
          </cell>
          <cell r="C2736">
            <v>10</v>
          </cell>
          <cell r="D2736">
            <v>268.24</v>
          </cell>
          <cell r="E2736">
            <v>2682.4</v>
          </cell>
          <cell r="F2736" t="str">
            <v>A1-S04</v>
          </cell>
          <cell r="G2736" t="str">
            <v>Drawer bottom  - Đáy hộc kéo</v>
          </cell>
          <cell r="H2736" t="str">
            <v>MDF - 06 x 1220 x 2440mm, Veneer Poplar 0.42mm + Veneer Engineering 0.3mm [CARB P2 Compliant]</v>
          </cell>
          <cell r="I2736">
            <v>30</v>
          </cell>
        </row>
        <row r="2737">
          <cell r="A2737" t="str">
            <v>B558157/A</v>
          </cell>
          <cell r="B2737" t="str">
            <v>RH3451M153</v>
          </cell>
          <cell r="C2737">
            <v>10</v>
          </cell>
          <cell r="D2737">
            <v>268.24</v>
          </cell>
          <cell r="E2737">
            <v>2682.4</v>
          </cell>
          <cell r="F2737" t="str">
            <v>A1-S06</v>
          </cell>
          <cell r="G2737" t="str">
            <v>Patching wood - Gỗ đắp</v>
          </cell>
          <cell r="H2737" t="str">
            <v>Poplar off cut</v>
          </cell>
          <cell r="I2737">
            <v>30</v>
          </cell>
        </row>
        <row r="2738">
          <cell r="A2738" t="str">
            <v>B558157/A</v>
          </cell>
          <cell r="B2738" t="str">
            <v>RH3451M153</v>
          </cell>
          <cell r="C2738">
            <v>10</v>
          </cell>
          <cell r="D2738">
            <v>268.24</v>
          </cell>
          <cell r="E2738">
            <v>2682.4</v>
          </cell>
          <cell r="F2738" t="str">
            <v>A1-S07</v>
          </cell>
          <cell r="G2738" t="str">
            <v>Patching wood - Gỗ đắp</v>
          </cell>
          <cell r="H2738" t="str">
            <v>Poplar off cut</v>
          </cell>
          <cell r="I2738">
            <v>60</v>
          </cell>
        </row>
        <row r="2739">
          <cell r="A2739" t="str">
            <v>B558157/A</v>
          </cell>
          <cell r="B2739" t="str">
            <v>RH3451M153</v>
          </cell>
          <cell r="C2739">
            <v>10</v>
          </cell>
          <cell r="D2739">
            <v>268.24</v>
          </cell>
          <cell r="E2739">
            <v>2682.4</v>
          </cell>
          <cell r="F2739" t="str">
            <v>P01</v>
          </cell>
          <cell r="G2739" t="str">
            <v xml:space="preserve">Top panel  - Ván nóc </v>
          </cell>
          <cell r="H2739" t="str">
            <v>MDF laminate</v>
          </cell>
          <cell r="I2739">
            <v>20</v>
          </cell>
        </row>
        <row r="2740">
          <cell r="A2740" t="str">
            <v>B558157/A</v>
          </cell>
          <cell r="B2740" t="str">
            <v>RH3451M153</v>
          </cell>
          <cell r="C2740">
            <v>10</v>
          </cell>
          <cell r="D2740">
            <v>268.24</v>
          </cell>
          <cell r="E2740">
            <v>2682.4</v>
          </cell>
          <cell r="F2740" t="str">
            <v>P02</v>
          </cell>
          <cell r="G2740" t="str">
            <v xml:space="preserve">Side panel  - Ván hông </v>
          </cell>
          <cell r="H2740" t="str">
            <v>MDF laminate</v>
          </cell>
          <cell r="I2740">
            <v>20</v>
          </cell>
        </row>
        <row r="2741">
          <cell r="A2741" t="str">
            <v>B558157/A</v>
          </cell>
          <cell r="B2741" t="str">
            <v>RH3451M153</v>
          </cell>
          <cell r="C2741">
            <v>10</v>
          </cell>
          <cell r="D2741">
            <v>268.24</v>
          </cell>
          <cell r="E2741">
            <v>2682.4</v>
          </cell>
          <cell r="F2741" t="str">
            <v>P03</v>
          </cell>
          <cell r="G2741" t="str">
            <v xml:space="preserve">Side panel  - Ván hông </v>
          </cell>
          <cell r="H2741" t="str">
            <v>MDF - 15 x 1830 x 2440mm [CARB P2 Compliant]</v>
          </cell>
          <cell r="I2741">
            <v>20</v>
          </cell>
        </row>
        <row r="2742">
          <cell r="A2742" t="str">
            <v>B558157/A</v>
          </cell>
          <cell r="B2742" t="str">
            <v>RH3451M153</v>
          </cell>
          <cell r="C2742">
            <v>10</v>
          </cell>
          <cell r="D2742">
            <v>268.24</v>
          </cell>
          <cell r="E2742">
            <v>2682.4</v>
          </cell>
          <cell r="F2742" t="str">
            <v>P06</v>
          </cell>
          <cell r="G2742" t="str">
            <v>Cleat - Bọ gỗ</v>
          </cell>
          <cell r="H2742" t="str">
            <v>Wood Acacia - Straight/Waving Edged - T25mm x W100mm Up x L1m Up</v>
          </cell>
          <cell r="I2742">
            <v>20</v>
          </cell>
        </row>
        <row r="2743">
          <cell r="A2743" t="str">
            <v>B558157/A</v>
          </cell>
          <cell r="B2743" t="str">
            <v>RH3451M153</v>
          </cell>
          <cell r="C2743">
            <v>10</v>
          </cell>
          <cell r="D2743">
            <v>268.24</v>
          </cell>
          <cell r="E2743">
            <v>2682.4</v>
          </cell>
          <cell r="F2743" t="str">
            <v>P08</v>
          </cell>
          <cell r="G2743" t="str">
            <v>Cleat - Bọ gỗ</v>
          </cell>
          <cell r="H2743" t="str">
            <v>Poplar off cut</v>
          </cell>
          <cell r="I2743">
            <v>20</v>
          </cell>
        </row>
        <row r="2744">
          <cell r="A2744" t="str">
            <v>B558157/A</v>
          </cell>
          <cell r="B2744" t="str">
            <v>RH3451M153</v>
          </cell>
          <cell r="C2744">
            <v>10</v>
          </cell>
          <cell r="D2744">
            <v>268.24</v>
          </cell>
          <cell r="E2744">
            <v>2682.4</v>
          </cell>
          <cell r="F2744" t="str">
            <v>P08-1</v>
          </cell>
          <cell r="G2744" t="str">
            <v>Cleat - Bọ gỗ</v>
          </cell>
          <cell r="H2744" t="str">
            <v>Poplar off cut</v>
          </cell>
          <cell r="I2744">
            <v>20</v>
          </cell>
        </row>
        <row r="2745">
          <cell r="A2745" t="str">
            <v>B558157/A</v>
          </cell>
          <cell r="B2745" t="str">
            <v>RH3451M153</v>
          </cell>
          <cell r="C2745">
            <v>10</v>
          </cell>
          <cell r="D2745">
            <v>268.24</v>
          </cell>
          <cell r="E2745">
            <v>2682.4</v>
          </cell>
          <cell r="F2745" t="str">
            <v>P11</v>
          </cell>
          <cell r="G2745" t="str">
            <v>Spline - Lưỡi gà</v>
          </cell>
          <cell r="H2745" t="str">
            <v>Plywood LVD - 06 x 1220 x 2440mm, Bleached Poplar Veneer Both Sides [CARB P2 Compliant]</v>
          </cell>
          <cell r="I2745">
            <v>10</v>
          </cell>
        </row>
        <row r="2746">
          <cell r="A2746" t="str">
            <v>B558157/A</v>
          </cell>
          <cell r="B2746" t="str">
            <v>RH3451M153</v>
          </cell>
          <cell r="C2746">
            <v>10</v>
          </cell>
          <cell r="D2746">
            <v>268.24</v>
          </cell>
          <cell r="E2746">
            <v>2682.4</v>
          </cell>
          <cell r="F2746" t="str">
            <v>P12</v>
          </cell>
          <cell r="G2746" t="str">
            <v>Bottom panel - Ván đáy</v>
          </cell>
          <cell r="H2746" t="str">
            <v>MDF laminate</v>
          </cell>
          <cell r="I2746">
            <v>10</v>
          </cell>
        </row>
        <row r="2747">
          <cell r="A2747" t="str">
            <v>B558157/A</v>
          </cell>
          <cell r="B2747" t="str">
            <v>RH3451M153</v>
          </cell>
          <cell r="C2747">
            <v>10</v>
          </cell>
          <cell r="D2747">
            <v>268.24</v>
          </cell>
          <cell r="E2747">
            <v>2682.4</v>
          </cell>
          <cell r="F2747" t="str">
            <v>P13</v>
          </cell>
          <cell r="G2747" t="str">
            <v>Drawer stop - Dừng hộc</v>
          </cell>
          <cell r="H2747" t="str">
            <v>Poplar off cut</v>
          </cell>
          <cell r="I2747">
            <v>60</v>
          </cell>
        </row>
        <row r="2748">
          <cell r="A2748" t="str">
            <v>B558318/A</v>
          </cell>
          <cell r="B2748" t="str">
            <v>RH3490M29</v>
          </cell>
          <cell r="C2748">
            <v>20</v>
          </cell>
          <cell r="D2748">
            <v>717.76</v>
          </cell>
          <cell r="E2748">
            <v>14355.2</v>
          </cell>
          <cell r="F2748" t="str">
            <v>A1-S01</v>
          </cell>
          <cell r="G2748" t="str">
            <v>Top rail - Đố nóc</v>
          </cell>
          <cell r="H2748" t="str">
            <v>Wood laminate</v>
          </cell>
          <cell r="I2748">
            <v>40</v>
          </cell>
        </row>
        <row r="2749">
          <cell r="A2749" t="str">
            <v>B558318/A</v>
          </cell>
          <cell r="B2749" t="str">
            <v>RH3490M29</v>
          </cell>
          <cell r="C2749">
            <v>20</v>
          </cell>
          <cell r="D2749">
            <v>717.76</v>
          </cell>
          <cell r="E2749">
            <v>14355.2</v>
          </cell>
          <cell r="F2749" t="str">
            <v>A1-S02</v>
          </cell>
          <cell r="G2749" t="str">
            <v xml:space="preserve">Side rail  - Đố hông </v>
          </cell>
          <cell r="H2749" t="str">
            <v>Wood laminate</v>
          </cell>
          <cell r="I2749">
            <v>80</v>
          </cell>
        </row>
        <row r="2750">
          <cell r="A2750" t="str">
            <v>B558318/A</v>
          </cell>
          <cell r="B2750" t="str">
            <v>RH3490M29</v>
          </cell>
          <cell r="C2750">
            <v>20</v>
          </cell>
          <cell r="D2750">
            <v>717.76</v>
          </cell>
          <cell r="E2750">
            <v>14355.2</v>
          </cell>
          <cell r="F2750" t="str">
            <v>A1-S03</v>
          </cell>
          <cell r="G2750" t="str">
            <v>Vertical rail 1 - Đố đứng 1</v>
          </cell>
          <cell r="H2750" t="str">
            <v>Pre-Assembly</v>
          </cell>
          <cell r="I2750">
            <v>80</v>
          </cell>
        </row>
        <row r="2751">
          <cell r="A2751" t="str">
            <v>B558318/A</v>
          </cell>
          <cell r="B2751" t="str">
            <v>RH3490M29</v>
          </cell>
          <cell r="C2751">
            <v>20</v>
          </cell>
          <cell r="D2751">
            <v>717.76</v>
          </cell>
          <cell r="E2751">
            <v>14355.2</v>
          </cell>
          <cell r="F2751" t="str">
            <v>A1-S03-1</v>
          </cell>
          <cell r="G2751" t="str">
            <v>Vertical rail 1 - Đố đứng 1</v>
          </cell>
          <cell r="H2751" t="str">
            <v>Wood EU Beech - Straight/Waving Edged ABC, 2 COM - T50mm x W100mm up x L1.8m up</v>
          </cell>
          <cell r="I2751">
            <v>80</v>
          </cell>
        </row>
        <row r="2752">
          <cell r="A2752" t="str">
            <v>B558318/A</v>
          </cell>
          <cell r="B2752" t="str">
            <v>RH3490M29</v>
          </cell>
          <cell r="C2752">
            <v>20</v>
          </cell>
          <cell r="D2752">
            <v>717.76</v>
          </cell>
          <cell r="E2752">
            <v>14355.2</v>
          </cell>
          <cell r="F2752" t="str">
            <v>A1-S03-2</v>
          </cell>
          <cell r="G2752" t="str">
            <v>Carving Part - Gỗ chạm</v>
          </cell>
          <cell r="H2752" t="str">
            <v>Beech off cut</v>
          </cell>
          <cell r="I2752">
            <v>320</v>
          </cell>
        </row>
        <row r="2753">
          <cell r="A2753" t="str">
            <v>B558318/A</v>
          </cell>
          <cell r="B2753" t="str">
            <v>RH3490M29</v>
          </cell>
          <cell r="C2753">
            <v>20</v>
          </cell>
          <cell r="D2753">
            <v>717.76</v>
          </cell>
          <cell r="E2753">
            <v>14355.2</v>
          </cell>
          <cell r="F2753" t="str">
            <v>A1-S04</v>
          </cell>
          <cell r="G2753" t="str">
            <v>Side bottom rail - Đố hông dưới</v>
          </cell>
          <cell r="H2753" t="str">
            <v>Wood laminate</v>
          </cell>
          <cell r="I2753">
            <v>80</v>
          </cell>
        </row>
        <row r="2754">
          <cell r="A2754" t="str">
            <v>B558318/A</v>
          </cell>
          <cell r="B2754" t="str">
            <v>RH3490M29</v>
          </cell>
          <cell r="C2754">
            <v>20</v>
          </cell>
          <cell r="D2754">
            <v>717.76</v>
          </cell>
          <cell r="E2754">
            <v>14355.2</v>
          </cell>
          <cell r="F2754" t="str">
            <v>A1-S05</v>
          </cell>
          <cell r="G2754" t="str">
            <v>Bottom rail inside - Đố tiền đáy</v>
          </cell>
          <cell r="H2754" t="str">
            <v>Wood EU Beech - Straight/Waving Edged ABC, 2 COM - T50mm x W100mm up x L1.8m up</v>
          </cell>
          <cell r="I2754">
            <v>40</v>
          </cell>
        </row>
        <row r="2755">
          <cell r="A2755" t="str">
            <v>B558318/A</v>
          </cell>
          <cell r="B2755" t="str">
            <v>RH3490M29</v>
          </cell>
          <cell r="C2755">
            <v>20</v>
          </cell>
          <cell r="D2755">
            <v>717.76</v>
          </cell>
          <cell r="E2755">
            <v>14355.2</v>
          </cell>
          <cell r="F2755" t="str">
            <v>A1-S06</v>
          </cell>
          <cell r="G2755" t="str">
            <v>Slat Support  - Đỡ dạt giường</v>
          </cell>
          <cell r="H2755" t="str">
            <v>Wood EU Beech - Straight/Waving Edged ABC, 2 COM - T32mm x W100mm up x L1.8m up</v>
          </cell>
          <cell r="I2755">
            <v>40</v>
          </cell>
        </row>
        <row r="2756">
          <cell r="A2756" t="str">
            <v>B558318/A</v>
          </cell>
          <cell r="B2756" t="str">
            <v>RH3490M29</v>
          </cell>
          <cell r="C2756">
            <v>20</v>
          </cell>
          <cell r="D2756">
            <v>717.76</v>
          </cell>
          <cell r="E2756">
            <v>14355.2</v>
          </cell>
          <cell r="F2756" t="str">
            <v>A1-S07</v>
          </cell>
          <cell r="G2756" t="str">
            <v xml:space="preserve">Side rail  - Đố hông </v>
          </cell>
          <cell r="H2756" t="str">
            <v>Wood EU Beech - Straight/Waving Edged ABC, 2 COM - T50mm x W100mm up x L1.8m up</v>
          </cell>
          <cell r="I2756">
            <v>80</v>
          </cell>
        </row>
        <row r="2757">
          <cell r="A2757" t="str">
            <v>B558318/A</v>
          </cell>
          <cell r="B2757" t="str">
            <v>RH3490M29</v>
          </cell>
          <cell r="C2757">
            <v>20</v>
          </cell>
          <cell r="D2757">
            <v>717.76</v>
          </cell>
          <cell r="E2757">
            <v>14355.2</v>
          </cell>
          <cell r="F2757" t="str">
            <v>A1-S08</v>
          </cell>
          <cell r="G2757" t="str">
            <v>Vertical rail 2 - Đố đứng 2</v>
          </cell>
          <cell r="H2757" t="str">
            <v>Wood EU Beech - Straight/Waving Edged ABC, 2 COM - T50mm x W100mm up x L1.8m up</v>
          </cell>
          <cell r="I2757">
            <v>80</v>
          </cell>
        </row>
        <row r="2758">
          <cell r="A2758" t="str">
            <v>B558318/A</v>
          </cell>
          <cell r="B2758" t="str">
            <v>RH3490M29</v>
          </cell>
          <cell r="C2758">
            <v>20</v>
          </cell>
          <cell r="D2758">
            <v>717.76</v>
          </cell>
          <cell r="E2758">
            <v>14355.2</v>
          </cell>
          <cell r="F2758" t="str">
            <v>A1-S10</v>
          </cell>
          <cell r="G2758" t="str">
            <v>Head board panel  - Ván đầu giường</v>
          </cell>
          <cell r="H2758" t="str">
            <v>Plywood lamilated</v>
          </cell>
          <cell r="I2758">
            <v>40</v>
          </cell>
        </row>
        <row r="2759">
          <cell r="A2759" t="str">
            <v>B558318/A</v>
          </cell>
          <cell r="B2759" t="str">
            <v>RH3490M29</v>
          </cell>
          <cell r="C2759">
            <v>20</v>
          </cell>
          <cell r="D2759">
            <v>717.76</v>
          </cell>
          <cell r="E2759">
            <v>14355.2</v>
          </cell>
          <cell r="F2759" t="str">
            <v>A1-S14</v>
          </cell>
          <cell r="G2759" t="str">
            <v>The leg  - Chân</v>
          </cell>
          <cell r="H2759" t="str">
            <v>Wood laminate</v>
          </cell>
          <cell r="I2759">
            <v>80</v>
          </cell>
        </row>
        <row r="2760">
          <cell r="A2760" t="str">
            <v>B558318/A</v>
          </cell>
          <cell r="B2760" t="str">
            <v>RH3490M29</v>
          </cell>
          <cell r="C2760">
            <v>20</v>
          </cell>
          <cell r="D2760">
            <v>717.76</v>
          </cell>
          <cell r="E2760">
            <v>14355.2</v>
          </cell>
          <cell r="F2760" t="str">
            <v>A1-S15</v>
          </cell>
          <cell r="G2760" t="str">
            <v>Tenon - Mộng cấy</v>
          </cell>
          <cell r="H2760" t="str">
            <v>Beech off cut</v>
          </cell>
          <cell r="I2760">
            <v>160</v>
          </cell>
        </row>
        <row r="2761">
          <cell r="A2761" t="str">
            <v>B558318/A</v>
          </cell>
          <cell r="B2761" t="str">
            <v>RH3490M29</v>
          </cell>
          <cell r="C2761">
            <v>20</v>
          </cell>
          <cell r="D2761">
            <v>717.76</v>
          </cell>
          <cell r="E2761">
            <v>14355.2</v>
          </cell>
          <cell r="F2761" t="str">
            <v>A1-S16</v>
          </cell>
          <cell r="G2761" t="str">
            <v>Cleat - Bọ gỗ</v>
          </cell>
          <cell r="H2761" t="str">
            <v>Beech off cut</v>
          </cell>
          <cell r="I2761">
            <v>80</v>
          </cell>
        </row>
        <row r="2762">
          <cell r="A2762" t="str">
            <v>B558318/A</v>
          </cell>
          <cell r="B2762" t="str">
            <v>RH3490M29</v>
          </cell>
          <cell r="C2762">
            <v>20</v>
          </cell>
          <cell r="D2762">
            <v>717.76</v>
          </cell>
          <cell r="E2762">
            <v>14355.2</v>
          </cell>
          <cell r="F2762" t="str">
            <v>A1-S17</v>
          </cell>
          <cell r="G2762" t="str">
            <v>Spline - Lưỡi gà</v>
          </cell>
          <cell r="H2762" t="str">
            <v>Plywood</v>
          </cell>
          <cell r="I2762">
            <v>80</v>
          </cell>
        </row>
        <row r="2763">
          <cell r="A2763" t="str">
            <v>B558318/A</v>
          </cell>
          <cell r="B2763" t="str">
            <v>RH3490M29</v>
          </cell>
          <cell r="C2763">
            <v>20</v>
          </cell>
          <cell r="D2763">
            <v>717.76</v>
          </cell>
          <cell r="E2763">
            <v>14355.2</v>
          </cell>
          <cell r="F2763" t="str">
            <v>A2-S01</v>
          </cell>
          <cell r="G2763" t="str">
            <v>Top rail - Đố nóc</v>
          </cell>
          <cell r="H2763" t="str">
            <v>Wood EU Beech - Straight/Waving Edged ABC, 2 COM - T50mm x W100mm up x L1.8m up</v>
          </cell>
          <cell r="I2763">
            <v>40</v>
          </cell>
        </row>
        <row r="2764">
          <cell r="A2764" t="str">
            <v>B558318/A</v>
          </cell>
          <cell r="B2764" t="str">
            <v>RH3490M29</v>
          </cell>
          <cell r="C2764">
            <v>20</v>
          </cell>
          <cell r="D2764">
            <v>717.76</v>
          </cell>
          <cell r="E2764">
            <v>14355.2</v>
          </cell>
          <cell r="F2764" t="str">
            <v>A2-S02</v>
          </cell>
          <cell r="G2764" t="str">
            <v>Top rail - Đố nóc</v>
          </cell>
          <cell r="H2764" t="str">
            <v>Wood EU Beech - Straight/Waving Edged ABC, 2 COM - T50mm x W100mm up x L1.8m up</v>
          </cell>
          <cell r="I2764">
            <v>40</v>
          </cell>
        </row>
        <row r="2765">
          <cell r="A2765" t="str">
            <v>B558318/A</v>
          </cell>
          <cell r="B2765" t="str">
            <v>RH3490M29</v>
          </cell>
          <cell r="C2765">
            <v>20</v>
          </cell>
          <cell r="D2765">
            <v>717.76</v>
          </cell>
          <cell r="E2765">
            <v>14355.2</v>
          </cell>
          <cell r="F2765" t="str">
            <v>A2-S03</v>
          </cell>
          <cell r="G2765" t="str">
            <v>Vertical rail 1 - Đố đứng 1</v>
          </cell>
          <cell r="H2765" t="str">
            <v>Wood EU Beech - Straight/Waving Edged AB, 1 COM - T38mm x W100mm up x L1.8m up</v>
          </cell>
          <cell r="I2765">
            <v>80</v>
          </cell>
        </row>
        <row r="2766">
          <cell r="A2766" t="str">
            <v>B558318/A</v>
          </cell>
          <cell r="B2766" t="str">
            <v>RH3490M29</v>
          </cell>
          <cell r="C2766">
            <v>20</v>
          </cell>
          <cell r="D2766">
            <v>717.76</v>
          </cell>
          <cell r="E2766">
            <v>14355.2</v>
          </cell>
          <cell r="F2766" t="str">
            <v>A2-S04</v>
          </cell>
          <cell r="G2766" t="str">
            <v>Vertical rail 2 - Đố đứng 2</v>
          </cell>
          <cell r="H2766" t="str">
            <v>Wood EU Beech - Straight/Waving Edged AB, 1 COM - T50mm x W100mm up x L1.8m up</v>
          </cell>
          <cell r="I2766">
            <v>520</v>
          </cell>
        </row>
        <row r="2767">
          <cell r="A2767" t="str">
            <v>B558318/A</v>
          </cell>
          <cell r="B2767" t="str">
            <v>RH3490M29</v>
          </cell>
          <cell r="C2767">
            <v>20</v>
          </cell>
          <cell r="D2767">
            <v>717.76</v>
          </cell>
          <cell r="E2767">
            <v>14355.2</v>
          </cell>
          <cell r="F2767" t="str">
            <v>P01</v>
          </cell>
          <cell r="G2767" t="str">
            <v>Slat Support  - Đỡ dạt giường</v>
          </cell>
          <cell r="H2767" t="str">
            <v>Wood EU Beech - Straight/Waving Edged AB, 1 COM - T32mm x W100mm up x L1.8m up</v>
          </cell>
          <cell r="I2767">
            <v>40</v>
          </cell>
        </row>
        <row r="2768">
          <cell r="A2768" t="str">
            <v>B558321/A</v>
          </cell>
          <cell r="B2768" t="str">
            <v>RH3494M29</v>
          </cell>
          <cell r="C2768">
            <v>20</v>
          </cell>
          <cell r="D2768">
            <v>726.71</v>
          </cell>
          <cell r="E2768">
            <v>14534.2</v>
          </cell>
          <cell r="F2768" t="str">
            <v>A1-S01</v>
          </cell>
          <cell r="G2768" t="str">
            <v>Top rail - Đố nóc</v>
          </cell>
          <cell r="H2768" t="str">
            <v>Wood laminate</v>
          </cell>
          <cell r="I2768">
            <v>20</v>
          </cell>
        </row>
        <row r="2769">
          <cell r="A2769" t="str">
            <v>B558321/A</v>
          </cell>
          <cell r="B2769" t="str">
            <v>RH3494M29</v>
          </cell>
          <cell r="C2769">
            <v>20</v>
          </cell>
          <cell r="D2769">
            <v>726.71</v>
          </cell>
          <cell r="E2769">
            <v>14534.2</v>
          </cell>
          <cell r="F2769" t="str">
            <v>A1-S02</v>
          </cell>
          <cell r="G2769" t="str">
            <v xml:space="preserve">Side rail  - Đố hông </v>
          </cell>
          <cell r="H2769" t="str">
            <v>Wood laminate</v>
          </cell>
          <cell r="I2769">
            <v>40</v>
          </cell>
        </row>
        <row r="2770">
          <cell r="A2770" t="str">
            <v>B558321/A</v>
          </cell>
          <cell r="B2770" t="str">
            <v>RH3494M29</v>
          </cell>
          <cell r="C2770">
            <v>20</v>
          </cell>
          <cell r="D2770">
            <v>726.71</v>
          </cell>
          <cell r="E2770">
            <v>14534.2</v>
          </cell>
          <cell r="F2770" t="str">
            <v>A1-S03</v>
          </cell>
          <cell r="G2770" t="str">
            <v>Vertical rail 1 - Đố đứng 1</v>
          </cell>
          <cell r="H2770" t="str">
            <v>Pre-Assembly</v>
          </cell>
          <cell r="I2770">
            <v>40</v>
          </cell>
        </row>
        <row r="2771">
          <cell r="A2771" t="str">
            <v>B558321/A</v>
          </cell>
          <cell r="B2771" t="str">
            <v>RH3494M29</v>
          </cell>
          <cell r="C2771">
            <v>20</v>
          </cell>
          <cell r="D2771">
            <v>726.71</v>
          </cell>
          <cell r="E2771">
            <v>14534.2</v>
          </cell>
          <cell r="F2771" t="str">
            <v>A1-S03-1</v>
          </cell>
          <cell r="G2771" t="str">
            <v>Vertical rail 1 - Đố đứng 1</v>
          </cell>
          <cell r="H2771" t="str">
            <v>Wood EU Beech - Straight/Waving Edged ABC, 2 COM - T50mm x W100mm up x L1.8m up</v>
          </cell>
          <cell r="I2771">
            <v>40</v>
          </cell>
        </row>
        <row r="2772">
          <cell r="A2772" t="str">
            <v>B558321/A</v>
          </cell>
          <cell r="B2772" t="str">
            <v>RH3494M29</v>
          </cell>
          <cell r="C2772">
            <v>20</v>
          </cell>
          <cell r="D2772">
            <v>726.71</v>
          </cell>
          <cell r="E2772">
            <v>14534.2</v>
          </cell>
          <cell r="F2772" t="str">
            <v>A1-S03-2</v>
          </cell>
          <cell r="G2772" t="str">
            <v>Carving Part - Gỗ chạm</v>
          </cell>
          <cell r="H2772" t="str">
            <v>Beech off cut</v>
          </cell>
          <cell r="I2772">
            <v>160</v>
          </cell>
        </row>
        <row r="2773">
          <cell r="A2773" t="str">
            <v>B558321/A</v>
          </cell>
          <cell r="B2773" t="str">
            <v>RH3494M29</v>
          </cell>
          <cell r="C2773">
            <v>20</v>
          </cell>
          <cell r="D2773">
            <v>726.71</v>
          </cell>
          <cell r="E2773">
            <v>14534.2</v>
          </cell>
          <cell r="F2773" t="str">
            <v>A1-S04</v>
          </cell>
          <cell r="G2773" t="str">
            <v>Side bottom rail - Đố hông dưới</v>
          </cell>
          <cell r="H2773" t="str">
            <v>Wood laminate</v>
          </cell>
          <cell r="I2773">
            <v>80</v>
          </cell>
        </row>
        <row r="2774">
          <cell r="A2774" t="str">
            <v>B558321/A</v>
          </cell>
          <cell r="B2774" t="str">
            <v>RH3494M29</v>
          </cell>
          <cell r="C2774">
            <v>20</v>
          </cell>
          <cell r="D2774">
            <v>726.71</v>
          </cell>
          <cell r="E2774">
            <v>14534.2</v>
          </cell>
          <cell r="F2774" t="str">
            <v>A1-S05</v>
          </cell>
          <cell r="G2774" t="str">
            <v>Bottom rail inside - Đố tiền đáy</v>
          </cell>
          <cell r="H2774" t="str">
            <v>Wood EU Beech - Straight/Waving Edged ABC, 2 COM - T50mm x W100mm up x L1.8m up</v>
          </cell>
          <cell r="I2774">
            <v>20</v>
          </cell>
        </row>
        <row r="2775">
          <cell r="A2775" t="str">
            <v>B558321/A</v>
          </cell>
          <cell r="B2775" t="str">
            <v>RH3494M29</v>
          </cell>
          <cell r="C2775">
            <v>20</v>
          </cell>
          <cell r="D2775">
            <v>726.71</v>
          </cell>
          <cell r="E2775">
            <v>14534.2</v>
          </cell>
          <cell r="F2775" t="str">
            <v>A1-S06</v>
          </cell>
          <cell r="G2775" t="str">
            <v>Vertical rail 2 - Đố đứng 2</v>
          </cell>
          <cell r="H2775" t="str">
            <v>Pre-Assembly</v>
          </cell>
          <cell r="I2775">
            <v>40</v>
          </cell>
        </row>
        <row r="2776">
          <cell r="A2776" t="str">
            <v>B558321/A</v>
          </cell>
          <cell r="B2776" t="str">
            <v>RH3494M29</v>
          </cell>
          <cell r="C2776">
            <v>20</v>
          </cell>
          <cell r="D2776">
            <v>726.71</v>
          </cell>
          <cell r="E2776">
            <v>14534.2</v>
          </cell>
          <cell r="F2776" t="str">
            <v>A1-S06-1</v>
          </cell>
          <cell r="G2776" t="str">
            <v>Vertical rail 2 - Đố đứng 2</v>
          </cell>
          <cell r="H2776" t="str">
            <v>Wood EU Beech - Straight/Waving Edged ABC, 2 COM - T50mm x W100mm up x L1.8m up</v>
          </cell>
          <cell r="I2776">
            <v>40</v>
          </cell>
        </row>
        <row r="2777">
          <cell r="A2777" t="str">
            <v>B558321/A</v>
          </cell>
          <cell r="B2777" t="str">
            <v>RH3494M29</v>
          </cell>
          <cell r="C2777">
            <v>20</v>
          </cell>
          <cell r="D2777">
            <v>726.71</v>
          </cell>
          <cell r="E2777">
            <v>14534.2</v>
          </cell>
          <cell r="F2777" t="str">
            <v>A1-S06-2</v>
          </cell>
          <cell r="G2777" t="str">
            <v>Carving Part - Gỗ chạm</v>
          </cell>
          <cell r="H2777" t="str">
            <v>Beech off cut</v>
          </cell>
          <cell r="I2777">
            <v>160</v>
          </cell>
        </row>
        <row r="2778">
          <cell r="A2778" t="str">
            <v>B558321/A</v>
          </cell>
          <cell r="B2778" t="str">
            <v>RH3494M29</v>
          </cell>
          <cell r="C2778">
            <v>20</v>
          </cell>
          <cell r="D2778">
            <v>726.71</v>
          </cell>
          <cell r="E2778">
            <v>14534.2</v>
          </cell>
          <cell r="F2778" t="str">
            <v>A1-S07</v>
          </cell>
          <cell r="G2778" t="str">
            <v>Vertical rail 2 - Đố đứng 2</v>
          </cell>
          <cell r="H2778" t="str">
            <v>Wood EU Beech - Straight/Waving Edged ABC, 2 COM - T26mm x W100mm up x L1.8m up</v>
          </cell>
          <cell r="I2778">
            <v>40</v>
          </cell>
        </row>
        <row r="2779">
          <cell r="A2779" t="str">
            <v>B558321/A</v>
          </cell>
          <cell r="B2779" t="str">
            <v>RH3494M29</v>
          </cell>
          <cell r="C2779">
            <v>20</v>
          </cell>
          <cell r="D2779">
            <v>726.71</v>
          </cell>
          <cell r="E2779">
            <v>14534.2</v>
          </cell>
          <cell r="F2779" t="str">
            <v>A1-S08</v>
          </cell>
          <cell r="G2779" t="str">
            <v>Horizontal rail 1 - Đố ngang 1</v>
          </cell>
          <cell r="H2779" t="str">
            <v>Beech off cut</v>
          </cell>
          <cell r="I2779">
            <v>40</v>
          </cell>
        </row>
        <row r="2780">
          <cell r="A2780" t="str">
            <v>B558321/A</v>
          </cell>
          <cell r="B2780" t="str">
            <v>RH3494M29</v>
          </cell>
          <cell r="C2780">
            <v>20</v>
          </cell>
          <cell r="D2780">
            <v>726.71</v>
          </cell>
          <cell r="E2780">
            <v>14534.2</v>
          </cell>
          <cell r="F2780" t="str">
            <v>A1-S09</v>
          </cell>
          <cell r="G2780" t="str">
            <v>Vertical rail 2 - Đố đứng 2</v>
          </cell>
          <cell r="H2780" t="str">
            <v>Wood EU Beech - Straight/Waving Edged ABC, 2 COM - T32mm x W100mm up x L1.8m up</v>
          </cell>
          <cell r="I2780">
            <v>20</v>
          </cell>
        </row>
        <row r="2781">
          <cell r="A2781" t="str">
            <v>B558321/A</v>
          </cell>
          <cell r="B2781" t="str">
            <v>RH3494M29</v>
          </cell>
          <cell r="C2781">
            <v>20</v>
          </cell>
          <cell r="D2781">
            <v>726.71</v>
          </cell>
          <cell r="E2781">
            <v>14534.2</v>
          </cell>
          <cell r="F2781" t="str">
            <v>A1-S09-1</v>
          </cell>
          <cell r="G2781" t="str">
            <v>Vertical rail 2 - Đố đứng 2</v>
          </cell>
          <cell r="H2781" t="str">
            <v>Beech off cut</v>
          </cell>
          <cell r="I2781">
            <v>20</v>
          </cell>
        </row>
        <row r="2782">
          <cell r="A2782" t="str">
            <v>B558321/A</v>
          </cell>
          <cell r="B2782" t="str">
            <v>RH3494M29</v>
          </cell>
          <cell r="C2782">
            <v>20</v>
          </cell>
          <cell r="D2782">
            <v>726.71</v>
          </cell>
          <cell r="E2782">
            <v>14534.2</v>
          </cell>
          <cell r="F2782" t="str">
            <v>A1-S11</v>
          </cell>
          <cell r="G2782" t="str">
            <v>Corner block - ke góc</v>
          </cell>
          <cell r="H2782" t="str">
            <v>Beech off cut</v>
          </cell>
          <cell r="I2782">
            <v>40</v>
          </cell>
        </row>
        <row r="2783">
          <cell r="A2783" t="str">
            <v>B558321/A</v>
          </cell>
          <cell r="B2783" t="str">
            <v>RH3494M29</v>
          </cell>
          <cell r="C2783">
            <v>20</v>
          </cell>
          <cell r="D2783">
            <v>726.71</v>
          </cell>
          <cell r="E2783">
            <v>14534.2</v>
          </cell>
          <cell r="F2783" t="str">
            <v>A1-S12</v>
          </cell>
          <cell r="G2783" t="str">
            <v xml:space="preserve">Side panel  - Ván hông </v>
          </cell>
          <cell r="H2783" t="str">
            <v>Veneer laminate</v>
          </cell>
          <cell r="I2783">
            <v>40</v>
          </cell>
        </row>
        <row r="2784">
          <cell r="A2784" t="str">
            <v>B558321/A</v>
          </cell>
          <cell r="B2784" t="str">
            <v>RH3494M29</v>
          </cell>
          <cell r="C2784">
            <v>20</v>
          </cell>
          <cell r="D2784">
            <v>726.71</v>
          </cell>
          <cell r="E2784">
            <v>14534.2</v>
          </cell>
          <cell r="F2784" t="str">
            <v>A1-S12-1</v>
          </cell>
          <cell r="G2784" t="str">
            <v xml:space="preserve">Side panel  - Ván hông </v>
          </cell>
          <cell r="H2784" t="str">
            <v>Veneer laminate</v>
          </cell>
          <cell r="I2784">
            <v>40</v>
          </cell>
        </row>
        <row r="2785">
          <cell r="A2785" t="str">
            <v>B558321/A</v>
          </cell>
          <cell r="B2785" t="str">
            <v>RH3494M29</v>
          </cell>
          <cell r="C2785">
            <v>20</v>
          </cell>
          <cell r="D2785">
            <v>726.71</v>
          </cell>
          <cell r="E2785">
            <v>14534.2</v>
          </cell>
          <cell r="F2785" t="str">
            <v>A1-S13</v>
          </cell>
          <cell r="G2785" t="str">
            <v>Back panel - Ván hậu</v>
          </cell>
          <cell r="H2785" t="str">
            <v>MDF - 06 x 1220 x 2440mm, Veneer Okoume 0.3mm Both Faces [CARB P2 Compliant]</v>
          </cell>
          <cell r="I2785">
            <v>40</v>
          </cell>
        </row>
        <row r="2786">
          <cell r="A2786" t="str">
            <v>B558321/A</v>
          </cell>
          <cell r="B2786" t="str">
            <v>RH3494M29</v>
          </cell>
          <cell r="C2786">
            <v>20</v>
          </cell>
          <cell r="D2786">
            <v>726.71</v>
          </cell>
          <cell r="E2786">
            <v>14534.2</v>
          </cell>
          <cell r="F2786" t="str">
            <v>A1-S13-1</v>
          </cell>
          <cell r="G2786" t="str">
            <v>Back panel - Ván hậu</v>
          </cell>
          <cell r="H2786" t="str">
            <v>MDF - 06 x 1220 x 2440mm, Veneer Okoume 0.3mm Both Faces [CARB P2 Compliant]</v>
          </cell>
          <cell r="I2786">
            <v>40</v>
          </cell>
        </row>
        <row r="2787">
          <cell r="A2787" t="str">
            <v>B558321/A</v>
          </cell>
          <cell r="B2787" t="str">
            <v>RH3494M29</v>
          </cell>
          <cell r="C2787">
            <v>20</v>
          </cell>
          <cell r="D2787">
            <v>726.71</v>
          </cell>
          <cell r="E2787">
            <v>14534.2</v>
          </cell>
          <cell r="F2787" t="str">
            <v>A1-S15</v>
          </cell>
          <cell r="G2787" t="str">
            <v>Cleat - Bọ gỗ</v>
          </cell>
          <cell r="H2787" t="str">
            <v>Wood EU Beech - Straight/Waving Edged ABC, 2 COM - T38mm x W100mm up x L1.8m up</v>
          </cell>
          <cell r="I2787">
            <v>80</v>
          </cell>
        </row>
        <row r="2788">
          <cell r="A2788" t="str">
            <v>B558321/A</v>
          </cell>
          <cell r="B2788" t="str">
            <v>RH3494M29</v>
          </cell>
          <cell r="C2788">
            <v>20</v>
          </cell>
          <cell r="D2788">
            <v>726.71</v>
          </cell>
          <cell r="E2788">
            <v>14534.2</v>
          </cell>
          <cell r="F2788" t="str">
            <v>A1-S16</v>
          </cell>
          <cell r="G2788" t="str">
            <v>The leg  - Chân</v>
          </cell>
          <cell r="H2788" t="str">
            <v>Wood laminate</v>
          </cell>
          <cell r="I2788">
            <v>160</v>
          </cell>
        </row>
        <row r="2789">
          <cell r="A2789" t="str">
            <v>B558321/A</v>
          </cell>
          <cell r="B2789" t="str">
            <v>RH3494M29</v>
          </cell>
          <cell r="C2789">
            <v>20</v>
          </cell>
          <cell r="D2789">
            <v>726.71</v>
          </cell>
          <cell r="E2789">
            <v>14534.2</v>
          </cell>
          <cell r="F2789" t="str">
            <v>A1-S18</v>
          </cell>
          <cell r="G2789" t="str">
            <v>Tenon - Mộng cấy</v>
          </cell>
          <cell r="H2789" t="str">
            <v>Beech off cut</v>
          </cell>
          <cell r="I2789">
            <v>160</v>
          </cell>
        </row>
        <row r="2790">
          <cell r="A2790" t="str">
            <v>B558321/A</v>
          </cell>
          <cell r="B2790" t="str">
            <v>RH3494M29</v>
          </cell>
          <cell r="C2790">
            <v>20</v>
          </cell>
          <cell r="D2790">
            <v>726.71</v>
          </cell>
          <cell r="E2790">
            <v>14534.2</v>
          </cell>
          <cell r="F2790" t="str">
            <v>A1-S20</v>
          </cell>
          <cell r="G2790" t="str">
            <v>Cleat - Bọ gỗ</v>
          </cell>
          <cell r="H2790" t="str">
            <v>Beech off cut</v>
          </cell>
          <cell r="I2790">
            <v>80</v>
          </cell>
        </row>
        <row r="2791">
          <cell r="A2791" t="str">
            <v>B558321/A</v>
          </cell>
          <cell r="B2791" t="str">
            <v>RH3494M29</v>
          </cell>
          <cell r="C2791">
            <v>20</v>
          </cell>
          <cell r="D2791">
            <v>726.71</v>
          </cell>
          <cell r="E2791">
            <v>14534.2</v>
          </cell>
          <cell r="F2791" t="str">
            <v>A1-S21</v>
          </cell>
          <cell r="G2791" t="str">
            <v>Bottom rail inside - Đố tiền đáy</v>
          </cell>
          <cell r="H2791" t="str">
            <v>Wood EU Beech - Straight/Waving Edged ABC, 2 COM - T38mm x W100mm up x L1.8m up</v>
          </cell>
          <cell r="I2791">
            <v>40</v>
          </cell>
        </row>
        <row r="2792">
          <cell r="A2792" t="str">
            <v>B558321/A</v>
          </cell>
          <cell r="B2792" t="str">
            <v>RH3494M29</v>
          </cell>
          <cell r="C2792">
            <v>20</v>
          </cell>
          <cell r="D2792">
            <v>726.71</v>
          </cell>
          <cell r="E2792">
            <v>14534.2</v>
          </cell>
          <cell r="F2792" t="str">
            <v>A1-S22</v>
          </cell>
          <cell r="G2792" t="str">
            <v>Bottom rail inside - Đố tiền đáy</v>
          </cell>
          <cell r="H2792" t="str">
            <v>Wood EU Beech - Straight/Waving Edged ABC, 2 COM - T38mm x W100mm up x L1.8m up</v>
          </cell>
          <cell r="I2792">
            <v>80</v>
          </cell>
        </row>
        <row r="2793">
          <cell r="A2793" t="str">
            <v>B558321/A</v>
          </cell>
          <cell r="B2793" t="str">
            <v>RH3494M29</v>
          </cell>
          <cell r="C2793">
            <v>20</v>
          </cell>
          <cell r="D2793">
            <v>726.71</v>
          </cell>
          <cell r="E2793">
            <v>14534.2</v>
          </cell>
          <cell r="F2793" t="str">
            <v>A1-S23</v>
          </cell>
          <cell r="G2793" t="str">
            <v>Center rail - Đố giữa</v>
          </cell>
          <cell r="H2793" t="str">
            <v>Wood EU Beech - Straight/Waving Edged ABC, 2 COM - T26mm x W100mm up x L1.8m up</v>
          </cell>
          <cell r="I2793">
            <v>20</v>
          </cell>
        </row>
        <row r="2794">
          <cell r="A2794" t="str">
            <v>B558321/A</v>
          </cell>
          <cell r="B2794" t="str">
            <v>RH3494M29</v>
          </cell>
          <cell r="C2794">
            <v>20</v>
          </cell>
          <cell r="D2794">
            <v>726.71</v>
          </cell>
          <cell r="E2794">
            <v>14534.2</v>
          </cell>
          <cell r="F2794" t="str">
            <v>A1-S24</v>
          </cell>
          <cell r="G2794" t="str">
            <v xml:space="preserve">Panel - Ván </v>
          </cell>
          <cell r="H2794" t="str">
            <v>Honeycomb laminate</v>
          </cell>
          <cell r="I2794">
            <v>40</v>
          </cell>
        </row>
        <row r="2795">
          <cell r="A2795" t="str">
            <v>B558321/A</v>
          </cell>
          <cell r="B2795" t="str">
            <v>RH3494M29</v>
          </cell>
          <cell r="C2795">
            <v>20</v>
          </cell>
          <cell r="D2795">
            <v>726.71</v>
          </cell>
          <cell r="E2795">
            <v>14534.2</v>
          </cell>
          <cell r="F2795" t="str">
            <v>A1-S25</v>
          </cell>
          <cell r="G2795" t="str">
            <v xml:space="preserve">Panel - Ván </v>
          </cell>
          <cell r="H2795" t="str">
            <v>Honeycomb laminate</v>
          </cell>
          <cell r="I2795">
            <v>40</v>
          </cell>
        </row>
        <row r="2796">
          <cell r="A2796" t="str">
            <v>B558321/A</v>
          </cell>
          <cell r="B2796" t="str">
            <v>RH3494M29</v>
          </cell>
          <cell r="C2796">
            <v>20</v>
          </cell>
          <cell r="D2796">
            <v>726.71</v>
          </cell>
          <cell r="E2796">
            <v>14534.2</v>
          </cell>
          <cell r="F2796" t="str">
            <v>A2-S01</v>
          </cell>
          <cell r="G2796" t="str">
            <v>Top rail - Đố nóc</v>
          </cell>
          <cell r="H2796" t="str">
            <v>Wood EU Beech - Straight/Waving Edged ABC, 2 COM - T50mm x W100mm up x L1.8m up</v>
          </cell>
          <cell r="I2796">
            <v>20</v>
          </cell>
        </row>
        <row r="2797">
          <cell r="A2797" t="str">
            <v>B558321/A</v>
          </cell>
          <cell r="B2797" t="str">
            <v>RH3494M29</v>
          </cell>
          <cell r="C2797">
            <v>20</v>
          </cell>
          <cell r="D2797">
            <v>726.71</v>
          </cell>
          <cell r="E2797">
            <v>14534.2</v>
          </cell>
          <cell r="F2797" t="str">
            <v>A2-S02</v>
          </cell>
          <cell r="G2797" t="str">
            <v xml:space="preserve">Side rail  - Đố hông </v>
          </cell>
          <cell r="H2797" t="str">
            <v>Wood laminate</v>
          </cell>
          <cell r="I2797">
            <v>40</v>
          </cell>
        </row>
        <row r="2798">
          <cell r="A2798" t="str">
            <v>B558321/A</v>
          </cell>
          <cell r="B2798" t="str">
            <v>RH3494M29</v>
          </cell>
          <cell r="C2798">
            <v>20</v>
          </cell>
          <cell r="D2798">
            <v>726.71</v>
          </cell>
          <cell r="E2798">
            <v>14534.2</v>
          </cell>
          <cell r="F2798" t="str">
            <v>A2-S03</v>
          </cell>
          <cell r="G2798" t="str">
            <v>Front vertical center  - Trụ tiền giữa</v>
          </cell>
          <cell r="H2798" t="str">
            <v>Pre-Assembly</v>
          </cell>
          <cell r="I2798">
            <v>40</v>
          </cell>
        </row>
        <row r="2799">
          <cell r="A2799" t="str">
            <v>B558321/A</v>
          </cell>
          <cell r="B2799" t="str">
            <v>RH3494M29</v>
          </cell>
          <cell r="C2799">
            <v>20</v>
          </cell>
          <cell r="D2799">
            <v>726.71</v>
          </cell>
          <cell r="E2799">
            <v>14534.2</v>
          </cell>
          <cell r="F2799" t="str">
            <v>A2-S03-1</v>
          </cell>
          <cell r="G2799" t="str">
            <v>Front vertical center  - Trụ tiền giữa</v>
          </cell>
          <cell r="H2799" t="str">
            <v>Wood EU Beech - Straight/Waving Edged ABC, 2 COM - T50mm x W100mm up x L1.8m up</v>
          </cell>
          <cell r="I2799">
            <v>40</v>
          </cell>
        </row>
        <row r="2800">
          <cell r="A2800" t="str">
            <v>B558321/A</v>
          </cell>
          <cell r="B2800" t="str">
            <v>RH3494M29</v>
          </cell>
          <cell r="C2800">
            <v>20</v>
          </cell>
          <cell r="D2800">
            <v>726.71</v>
          </cell>
          <cell r="E2800">
            <v>14534.2</v>
          </cell>
          <cell r="F2800" t="str">
            <v>A2-S04</v>
          </cell>
          <cell r="G2800" t="str">
            <v>Vertical rail 1 - Đố đứng 1</v>
          </cell>
          <cell r="H2800" t="str">
            <v>Pre-Assembly</v>
          </cell>
          <cell r="I2800">
            <v>40</v>
          </cell>
        </row>
        <row r="2801">
          <cell r="A2801" t="str">
            <v>B558321/A</v>
          </cell>
          <cell r="B2801" t="str">
            <v>RH3494M29</v>
          </cell>
          <cell r="C2801">
            <v>20</v>
          </cell>
          <cell r="D2801">
            <v>726.71</v>
          </cell>
          <cell r="E2801">
            <v>14534.2</v>
          </cell>
          <cell r="F2801" t="str">
            <v>A2-S04-1</v>
          </cell>
          <cell r="G2801" t="str">
            <v>Vertical rail 1 - Đố đứng 1</v>
          </cell>
          <cell r="H2801" t="str">
            <v>Wood EU Beech - Straight/Waving Edged ABC, 2 COM - T50mm x W100mm up x L1.8m up</v>
          </cell>
          <cell r="I2801">
            <v>40</v>
          </cell>
        </row>
        <row r="2802">
          <cell r="A2802" t="str">
            <v>B558321/A</v>
          </cell>
          <cell r="B2802" t="str">
            <v>RH3494M29</v>
          </cell>
          <cell r="C2802">
            <v>20</v>
          </cell>
          <cell r="D2802">
            <v>726.71</v>
          </cell>
          <cell r="E2802">
            <v>14534.2</v>
          </cell>
          <cell r="F2802" t="str">
            <v>A2-S05</v>
          </cell>
          <cell r="G2802" t="str">
            <v>Vertical rail 2 - Đố đứng 2</v>
          </cell>
          <cell r="H2802" t="str">
            <v>Wood EU Beech - Straight/Waving Edged ABC, 2 COM - T26mm x W100mm up x L1.8m up</v>
          </cell>
          <cell r="I2802">
            <v>40</v>
          </cell>
        </row>
        <row r="2803">
          <cell r="A2803" t="str">
            <v>B558321/A</v>
          </cell>
          <cell r="B2803" t="str">
            <v>RH3494M29</v>
          </cell>
          <cell r="C2803">
            <v>20</v>
          </cell>
          <cell r="D2803">
            <v>726.71</v>
          </cell>
          <cell r="E2803">
            <v>14534.2</v>
          </cell>
          <cell r="F2803" t="str">
            <v>A2-S07</v>
          </cell>
          <cell r="G2803" t="str">
            <v xml:space="preserve">Side panel  - Ván hông </v>
          </cell>
          <cell r="H2803" t="str">
            <v>Veneer laminate</v>
          </cell>
          <cell r="I2803">
            <v>40</v>
          </cell>
        </row>
        <row r="2804">
          <cell r="A2804" t="str">
            <v>B558321/A</v>
          </cell>
          <cell r="B2804" t="str">
            <v>RH3494M29</v>
          </cell>
          <cell r="C2804">
            <v>20</v>
          </cell>
          <cell r="D2804">
            <v>726.71</v>
          </cell>
          <cell r="E2804">
            <v>14534.2</v>
          </cell>
          <cell r="F2804" t="str">
            <v>A2-S07-1</v>
          </cell>
          <cell r="G2804" t="str">
            <v xml:space="preserve">Side panel  - Ván hông </v>
          </cell>
          <cell r="H2804" t="str">
            <v>Veneer laminate</v>
          </cell>
          <cell r="I2804">
            <v>40</v>
          </cell>
        </row>
        <row r="2805">
          <cell r="A2805" t="str">
            <v>B558321/A</v>
          </cell>
          <cell r="B2805" t="str">
            <v>RH3494M29</v>
          </cell>
          <cell r="C2805">
            <v>20</v>
          </cell>
          <cell r="D2805">
            <v>726.71</v>
          </cell>
          <cell r="E2805">
            <v>14534.2</v>
          </cell>
          <cell r="F2805" t="str">
            <v>A2-S08</v>
          </cell>
          <cell r="G2805" t="str">
            <v>Back panel - Ván hậu</v>
          </cell>
          <cell r="H2805" t="str">
            <v>MDF - 06 x 1220 x 2440mm, Veneer Okoume 0.3mm Both Faces [CARB P2 Compliant]</v>
          </cell>
          <cell r="I2805">
            <v>40</v>
          </cell>
        </row>
        <row r="2806">
          <cell r="A2806" t="str">
            <v>B558321/A</v>
          </cell>
          <cell r="B2806" t="str">
            <v>RH3494M29</v>
          </cell>
          <cell r="C2806">
            <v>20</v>
          </cell>
          <cell r="D2806">
            <v>726.71</v>
          </cell>
          <cell r="E2806">
            <v>14534.2</v>
          </cell>
          <cell r="F2806" t="str">
            <v>A2-S09</v>
          </cell>
          <cell r="G2806" t="str">
            <v>Bottom rail inside - Đố tiền đáy</v>
          </cell>
          <cell r="H2806" t="str">
            <v>Wood EU Beech - Straight/Waving Edged ABC, 2 COM - T50mm x W100mm up x L1.8m up</v>
          </cell>
          <cell r="I2806">
            <v>20</v>
          </cell>
        </row>
        <row r="2807">
          <cell r="A2807" t="str">
            <v>B558321/A</v>
          </cell>
          <cell r="B2807" t="str">
            <v>RH3494M29</v>
          </cell>
          <cell r="C2807">
            <v>20</v>
          </cell>
          <cell r="D2807">
            <v>726.71</v>
          </cell>
          <cell r="E2807">
            <v>14534.2</v>
          </cell>
          <cell r="F2807" t="str">
            <v>A2-S10</v>
          </cell>
          <cell r="G2807" t="str">
            <v>Vertical rail 1 - Đố đứng 1</v>
          </cell>
          <cell r="H2807" t="str">
            <v>Beech off cut</v>
          </cell>
          <cell r="I2807">
            <v>20</v>
          </cell>
        </row>
        <row r="2808">
          <cell r="A2808" t="str">
            <v>B558321/A</v>
          </cell>
          <cell r="B2808" t="str">
            <v>RH3494M29</v>
          </cell>
          <cell r="C2808">
            <v>20</v>
          </cell>
          <cell r="D2808">
            <v>726.71</v>
          </cell>
          <cell r="E2808">
            <v>14534.2</v>
          </cell>
          <cell r="F2808" t="str">
            <v>A2-S11</v>
          </cell>
          <cell r="G2808" t="str">
            <v xml:space="preserve">Panel - Ván </v>
          </cell>
          <cell r="H2808" t="str">
            <v>Honeycomb laminate</v>
          </cell>
          <cell r="I2808">
            <v>40</v>
          </cell>
        </row>
        <row r="2809">
          <cell r="A2809" t="str">
            <v>B558321/A</v>
          </cell>
          <cell r="B2809" t="str">
            <v>RH3494M29</v>
          </cell>
          <cell r="C2809">
            <v>20</v>
          </cell>
          <cell r="D2809">
            <v>726.71</v>
          </cell>
          <cell r="E2809">
            <v>14534.2</v>
          </cell>
          <cell r="F2809" t="str">
            <v>A3-S01</v>
          </cell>
          <cell r="G2809" t="str">
            <v>Side bed - Hông giường</v>
          </cell>
          <cell r="H2809" t="str">
            <v>Wood EU Beech - Straight/Waving Edged ABC, 2 COM - T50mm x W100mm up x L1.8m up</v>
          </cell>
          <cell r="I2809">
            <v>40</v>
          </cell>
        </row>
        <row r="2810">
          <cell r="A2810" t="str">
            <v>B558321/A</v>
          </cell>
          <cell r="B2810" t="str">
            <v>RH3494M29</v>
          </cell>
          <cell r="C2810">
            <v>20</v>
          </cell>
          <cell r="D2810">
            <v>726.71</v>
          </cell>
          <cell r="E2810">
            <v>14534.2</v>
          </cell>
          <cell r="F2810" t="str">
            <v>A3-S02</v>
          </cell>
          <cell r="G2810" t="str">
            <v xml:space="preserve">Side rail  - Đố hông </v>
          </cell>
          <cell r="H2810" t="str">
            <v>Wood EU Beech - Straight/Waving Edged ABC, 2 COM - T38mm x W100mm up x L1.8m up</v>
          </cell>
          <cell r="I2810">
            <v>40</v>
          </cell>
        </row>
        <row r="2811">
          <cell r="A2811" t="str">
            <v>B558321/A</v>
          </cell>
          <cell r="B2811" t="str">
            <v>RH3494M29</v>
          </cell>
          <cell r="C2811">
            <v>20</v>
          </cell>
          <cell r="D2811">
            <v>726.71</v>
          </cell>
          <cell r="E2811">
            <v>14534.2</v>
          </cell>
          <cell r="F2811" t="str">
            <v>A3-S03</v>
          </cell>
          <cell r="G2811" t="str">
            <v xml:space="preserve">Side rail  - Đố hông </v>
          </cell>
          <cell r="H2811" t="str">
            <v>Beech off cut</v>
          </cell>
          <cell r="I2811">
            <v>80</v>
          </cell>
        </row>
        <row r="2812">
          <cell r="A2812" t="str">
            <v>B558321/A</v>
          </cell>
          <cell r="B2812" t="str">
            <v>RH3494M29</v>
          </cell>
          <cell r="C2812">
            <v>20</v>
          </cell>
          <cell r="D2812">
            <v>726.71</v>
          </cell>
          <cell r="E2812">
            <v>14534.2</v>
          </cell>
          <cell r="F2812" t="str">
            <v>P01</v>
          </cell>
          <cell r="G2812" t="str">
            <v>slat buy - dạt mua từ nhà cung</v>
          </cell>
          <cell r="H2812" t="str">
            <v>Slat buy</v>
          </cell>
          <cell r="I2812">
            <v>260</v>
          </cell>
        </row>
        <row r="2813">
          <cell r="A2813" t="str">
            <v>B558248/A</v>
          </cell>
          <cell r="B2813" t="str">
            <v>RH3541M40</v>
          </cell>
          <cell r="C2813">
            <v>70</v>
          </cell>
          <cell r="D2813">
            <v>524.59</v>
          </cell>
          <cell r="E2813">
            <v>36721.300000000003</v>
          </cell>
          <cell r="F2813" t="str">
            <v>A2-S1</v>
          </cell>
          <cell r="G2813" t="str">
            <v>Front Top rail 1 - Đố nóc trước 1</v>
          </cell>
          <cell r="H2813" t="str">
            <v>Wood laminate</v>
          </cell>
          <cell r="I2813">
            <v>140</v>
          </cell>
        </row>
        <row r="2814">
          <cell r="A2814" t="str">
            <v>B558248/A</v>
          </cell>
          <cell r="B2814" t="str">
            <v>RH3541M40</v>
          </cell>
          <cell r="C2814">
            <v>70</v>
          </cell>
          <cell r="D2814">
            <v>524.59</v>
          </cell>
          <cell r="E2814">
            <v>36721.300000000003</v>
          </cell>
          <cell r="F2814" t="str">
            <v>A2-S2</v>
          </cell>
          <cell r="G2814" t="str">
            <v>the post - trụ</v>
          </cell>
          <cell r="H2814" t="str">
            <v>Wood laminate</v>
          </cell>
          <cell r="I2814">
            <v>140</v>
          </cell>
        </row>
        <row r="2815">
          <cell r="A2815" t="str">
            <v>B558248/A</v>
          </cell>
          <cell r="B2815" t="str">
            <v>RH3541M40</v>
          </cell>
          <cell r="C2815">
            <v>70</v>
          </cell>
          <cell r="D2815">
            <v>524.59</v>
          </cell>
          <cell r="E2815">
            <v>36721.300000000003</v>
          </cell>
          <cell r="F2815" t="str">
            <v>A2-S3</v>
          </cell>
          <cell r="G2815" t="str">
            <v>Front Bottom Rail  - Đố đáy trước</v>
          </cell>
          <cell r="H2815" t="str">
            <v>Wood laminate</v>
          </cell>
          <cell r="I2815">
            <v>70</v>
          </cell>
        </row>
        <row r="2816">
          <cell r="A2816" t="str">
            <v>B558248/A</v>
          </cell>
          <cell r="B2816" t="str">
            <v>RH3541M40</v>
          </cell>
          <cell r="C2816">
            <v>70</v>
          </cell>
          <cell r="D2816">
            <v>524.59</v>
          </cell>
          <cell r="E2816">
            <v>36721.300000000003</v>
          </cell>
          <cell r="F2816" t="str">
            <v>A2-S4</v>
          </cell>
          <cell r="G2816" t="str">
            <v>Center rail - Đố giữa</v>
          </cell>
          <cell r="H2816" t="str">
            <v>Wood US Poplar - Straight Edged, 2 COM - T32mm x W100mm Up x L1.8m Up</v>
          </cell>
          <cell r="I2816">
            <v>140</v>
          </cell>
        </row>
        <row r="2817">
          <cell r="A2817" t="str">
            <v>B558248/A</v>
          </cell>
          <cell r="B2817" t="str">
            <v>RH3541M40</v>
          </cell>
          <cell r="C2817">
            <v>70</v>
          </cell>
          <cell r="D2817">
            <v>524.59</v>
          </cell>
          <cell r="E2817">
            <v>36721.300000000003</v>
          </cell>
          <cell r="F2817" t="str">
            <v>A2-S5</v>
          </cell>
          <cell r="G2817" t="str">
            <v>Center panel - Ván giữa</v>
          </cell>
          <cell r="H2817" t="str">
            <v>MDF Veneer</v>
          </cell>
          <cell r="I2817">
            <v>70</v>
          </cell>
        </row>
        <row r="2818">
          <cell r="A2818" t="str">
            <v>B558248/A</v>
          </cell>
          <cell r="B2818" t="str">
            <v>RH3541M40</v>
          </cell>
          <cell r="C2818">
            <v>70</v>
          </cell>
          <cell r="D2818">
            <v>524.59</v>
          </cell>
          <cell r="E2818">
            <v>36721.300000000003</v>
          </cell>
          <cell r="F2818" t="str">
            <v>A2-S6</v>
          </cell>
          <cell r="G2818" t="str">
            <v>Center panel - Ván giữa</v>
          </cell>
          <cell r="H2818" t="str">
            <v>MDF Veneer</v>
          </cell>
          <cell r="I2818">
            <v>70</v>
          </cell>
        </row>
        <row r="2819">
          <cell r="A2819" t="str">
            <v>B558248/A</v>
          </cell>
          <cell r="B2819" t="str">
            <v>RH3541M40</v>
          </cell>
          <cell r="C2819">
            <v>70</v>
          </cell>
          <cell r="D2819">
            <v>524.59</v>
          </cell>
          <cell r="E2819">
            <v>36721.300000000003</v>
          </cell>
          <cell r="F2819" t="str">
            <v>A2-S7</v>
          </cell>
          <cell r="G2819" t="str">
            <v>Cleat - Bọ gỗ</v>
          </cell>
          <cell r="H2819" t="str">
            <v>Wood US Poplar - Straight Edged, 2 COM - T38mm x W100mm Up x L1.8m Up</v>
          </cell>
          <cell r="I2819">
            <v>140</v>
          </cell>
        </row>
        <row r="2820">
          <cell r="A2820" t="str">
            <v>B558248/A</v>
          </cell>
          <cell r="B2820" t="str">
            <v>RH3541M40</v>
          </cell>
          <cell r="C2820">
            <v>70</v>
          </cell>
          <cell r="D2820">
            <v>524.59</v>
          </cell>
          <cell r="E2820">
            <v>36721.300000000003</v>
          </cell>
          <cell r="F2820" t="str">
            <v>A5-S1</v>
          </cell>
          <cell r="G2820" t="str">
            <v>the post - trụ</v>
          </cell>
          <cell r="H2820" t="str">
            <v>Wood laminate</v>
          </cell>
          <cell r="I2820">
            <v>140</v>
          </cell>
        </row>
        <row r="2821">
          <cell r="A2821" t="str">
            <v>B558248/A</v>
          </cell>
          <cell r="B2821" t="str">
            <v>RH3541M40</v>
          </cell>
          <cell r="C2821">
            <v>70</v>
          </cell>
          <cell r="D2821">
            <v>524.59</v>
          </cell>
          <cell r="E2821">
            <v>36721.300000000003</v>
          </cell>
          <cell r="F2821" t="str">
            <v>A5-S2</v>
          </cell>
          <cell r="G2821" t="str">
            <v>Center rail - Đố giữa</v>
          </cell>
          <cell r="H2821" t="str">
            <v>Wood US Poplar - Straight Edged, 2 COM - T32mm x W100mm Up x L1.8m Up</v>
          </cell>
          <cell r="I2821">
            <v>140</v>
          </cell>
        </row>
        <row r="2822">
          <cell r="A2822" t="str">
            <v>B558248/A</v>
          </cell>
          <cell r="B2822" t="str">
            <v>RH3541M40</v>
          </cell>
          <cell r="C2822">
            <v>70</v>
          </cell>
          <cell r="D2822">
            <v>524.59</v>
          </cell>
          <cell r="E2822">
            <v>36721.300000000003</v>
          </cell>
          <cell r="F2822" t="str">
            <v>A5-S3</v>
          </cell>
          <cell r="G2822" t="str">
            <v>Center panel - Ván giữa</v>
          </cell>
          <cell r="H2822" t="str">
            <v>MDF Veneer</v>
          </cell>
          <cell r="I2822">
            <v>70</v>
          </cell>
        </row>
        <row r="2823">
          <cell r="A2823" t="str">
            <v>B558248/A</v>
          </cell>
          <cell r="B2823" t="str">
            <v>RH3541M40</v>
          </cell>
          <cell r="C2823">
            <v>70</v>
          </cell>
          <cell r="D2823">
            <v>524.59</v>
          </cell>
          <cell r="E2823">
            <v>36721.300000000003</v>
          </cell>
          <cell r="F2823" t="str">
            <v>A5-S4</v>
          </cell>
          <cell r="G2823" t="str">
            <v>Center panel - Ván giữa</v>
          </cell>
          <cell r="H2823" t="str">
            <v>MDF Veneer</v>
          </cell>
          <cell r="I2823">
            <v>70</v>
          </cell>
        </row>
        <row r="2824">
          <cell r="A2824" t="str">
            <v>B558248/A</v>
          </cell>
          <cell r="B2824" t="str">
            <v>RH3541M40</v>
          </cell>
          <cell r="C2824">
            <v>70</v>
          </cell>
          <cell r="D2824">
            <v>524.59</v>
          </cell>
          <cell r="E2824">
            <v>36721.300000000003</v>
          </cell>
          <cell r="F2824" t="str">
            <v>A5-S5</v>
          </cell>
          <cell r="G2824" t="str">
            <v>Front Bottom Rail  - Đố đáy trước</v>
          </cell>
          <cell r="H2824" t="str">
            <v>Wood laminate</v>
          </cell>
          <cell r="I2824">
            <v>70</v>
          </cell>
        </row>
        <row r="2825">
          <cell r="A2825" t="str">
            <v>B558248/A</v>
          </cell>
          <cell r="B2825" t="str">
            <v>RH3541M40</v>
          </cell>
          <cell r="C2825">
            <v>70</v>
          </cell>
          <cell r="D2825">
            <v>524.59</v>
          </cell>
          <cell r="E2825">
            <v>36721.300000000003</v>
          </cell>
          <cell r="F2825" t="str">
            <v>A6</v>
          </cell>
          <cell r="G2825" t="str">
            <v>Side bed - Hông giường</v>
          </cell>
          <cell r="H2825" t="str">
            <v>Pre-Assembly</v>
          </cell>
          <cell r="I2825">
            <v>140</v>
          </cell>
        </row>
        <row r="2826">
          <cell r="A2826" t="str">
            <v>B558248/A</v>
          </cell>
          <cell r="B2826" t="str">
            <v>RH3541M40</v>
          </cell>
          <cell r="C2826">
            <v>70</v>
          </cell>
          <cell r="D2826">
            <v>524.59</v>
          </cell>
          <cell r="E2826">
            <v>36721.300000000003</v>
          </cell>
          <cell r="F2826" t="str">
            <v>A6-S01</v>
          </cell>
          <cell r="G2826" t="str">
            <v xml:space="preserve">Side rail  - Đố hông </v>
          </cell>
          <cell r="H2826" t="str">
            <v>Wood laminate</v>
          </cell>
          <cell r="I2826">
            <v>280</v>
          </cell>
        </row>
        <row r="2827">
          <cell r="A2827" t="str">
            <v>B558248/A</v>
          </cell>
          <cell r="B2827" t="str">
            <v>RH3541M40</v>
          </cell>
          <cell r="C2827">
            <v>70</v>
          </cell>
          <cell r="D2827">
            <v>524.59</v>
          </cell>
          <cell r="E2827">
            <v>36721.300000000003</v>
          </cell>
          <cell r="F2827" t="str">
            <v>A6-S02</v>
          </cell>
          <cell r="G2827" t="str">
            <v>Vertical rail 1 - Đố đứng 1</v>
          </cell>
          <cell r="H2827" t="str">
            <v>Wood US Poplar - Straight Edged, 2 COM - T32mm x W100mm Up x L1.8m Up</v>
          </cell>
          <cell r="I2827">
            <v>280</v>
          </cell>
        </row>
        <row r="2828">
          <cell r="A2828" t="str">
            <v>B558248/A</v>
          </cell>
          <cell r="B2828" t="str">
            <v>RH3541M40</v>
          </cell>
          <cell r="C2828">
            <v>70</v>
          </cell>
          <cell r="D2828">
            <v>524.59</v>
          </cell>
          <cell r="E2828">
            <v>36721.300000000003</v>
          </cell>
          <cell r="F2828" t="str">
            <v>A6-S03</v>
          </cell>
          <cell r="G2828" t="str">
            <v>Vertical rail 1 - Đố đứng 1</v>
          </cell>
          <cell r="H2828" t="str">
            <v>Wood US Poplar - Straight Edged, 2 COM - T32mm x W100mm Up x L1.8m Up</v>
          </cell>
          <cell r="I2828">
            <v>420</v>
          </cell>
        </row>
        <row r="2829">
          <cell r="A2829" t="str">
            <v>B558248/A</v>
          </cell>
          <cell r="B2829" t="str">
            <v>RH3541M40</v>
          </cell>
          <cell r="C2829">
            <v>70</v>
          </cell>
          <cell r="D2829">
            <v>524.59</v>
          </cell>
          <cell r="E2829">
            <v>36721.300000000003</v>
          </cell>
          <cell r="F2829" t="str">
            <v>A6-S04</v>
          </cell>
          <cell r="G2829" t="str">
            <v>Side bed panel - Ván hông giường</v>
          </cell>
          <cell r="H2829" t="str">
            <v>MDF Veneer</v>
          </cell>
          <cell r="I2829">
            <v>140</v>
          </cell>
        </row>
        <row r="2830">
          <cell r="A2830" t="str">
            <v>B558248/A</v>
          </cell>
          <cell r="B2830" t="str">
            <v>RH3541M40</v>
          </cell>
          <cell r="C2830">
            <v>70</v>
          </cell>
          <cell r="D2830">
            <v>524.59</v>
          </cell>
          <cell r="E2830">
            <v>36721.300000000003</v>
          </cell>
          <cell r="F2830" t="str">
            <v>A6-S05</v>
          </cell>
          <cell r="G2830" t="str">
            <v>Side bed panel - Ván hông giường</v>
          </cell>
          <cell r="H2830" t="str">
            <v>MDF Veneer</v>
          </cell>
          <cell r="I2830">
            <v>140</v>
          </cell>
        </row>
        <row r="2831">
          <cell r="A2831" t="str">
            <v>B558248/A</v>
          </cell>
          <cell r="B2831" t="str">
            <v>RH3541M40</v>
          </cell>
          <cell r="C2831">
            <v>70</v>
          </cell>
          <cell r="D2831">
            <v>524.59</v>
          </cell>
          <cell r="E2831">
            <v>36721.300000000003</v>
          </cell>
          <cell r="F2831" t="str">
            <v>A6-S07</v>
          </cell>
          <cell r="G2831" t="str">
            <v>Slat Support  - Đỡ dạt giường</v>
          </cell>
          <cell r="H2831" t="str">
            <v>Wood US Poplar - Straight Edged, 1 COM - T38mm x W100mm Up x L1.8m Up</v>
          </cell>
          <cell r="I2831">
            <v>140</v>
          </cell>
        </row>
        <row r="2832">
          <cell r="A2832" t="str">
            <v>B558248/A</v>
          </cell>
          <cell r="B2832" t="str">
            <v>RH3541M40</v>
          </cell>
          <cell r="C2832">
            <v>70</v>
          </cell>
          <cell r="D2832">
            <v>524.59</v>
          </cell>
          <cell r="E2832">
            <v>36721.300000000003</v>
          </cell>
          <cell r="F2832" t="str">
            <v>P03</v>
          </cell>
          <cell r="G2832" t="str">
            <v>panel platform - ván sàn giường</v>
          </cell>
          <cell r="H2832" t="str">
            <v>MDF Veneer</v>
          </cell>
          <cell r="I2832">
            <v>140</v>
          </cell>
        </row>
        <row r="2833">
          <cell r="A2833" t="str">
            <v>B558248/A</v>
          </cell>
          <cell r="B2833" t="str">
            <v>RH3541M40</v>
          </cell>
          <cell r="C2833">
            <v>70</v>
          </cell>
          <cell r="D2833">
            <v>524.59</v>
          </cell>
          <cell r="E2833">
            <v>36721.300000000003</v>
          </cell>
          <cell r="F2833" t="str">
            <v>P04</v>
          </cell>
          <cell r="G2833" t="str">
            <v>slat buy - dạt mua từ nhà cung</v>
          </cell>
          <cell r="H2833" t="str">
            <v>Slat buy</v>
          </cell>
          <cell r="I2833">
            <v>210</v>
          </cell>
        </row>
        <row r="2834">
          <cell r="A2834" t="str">
            <v>B558248/A</v>
          </cell>
          <cell r="B2834" t="str">
            <v>RH3541M40</v>
          </cell>
          <cell r="C2834">
            <v>70</v>
          </cell>
          <cell r="D2834">
            <v>524.59</v>
          </cell>
          <cell r="E2834">
            <v>36721.300000000003</v>
          </cell>
          <cell r="F2834" t="str">
            <v>P05</v>
          </cell>
          <cell r="G2834" t="str">
            <v>Center leg - Chân giữa</v>
          </cell>
          <cell r="H2834" t="str">
            <v>Poplar 2 COM</v>
          </cell>
          <cell r="I2834">
            <v>210</v>
          </cell>
        </row>
        <row r="2835">
          <cell r="A2835" t="str">
            <v>B558160/A</v>
          </cell>
          <cell r="B2835" t="str">
            <v>RH4095M112</v>
          </cell>
          <cell r="C2835">
            <v>10</v>
          </cell>
          <cell r="D2835">
            <v>631.91999999999996</v>
          </cell>
          <cell r="E2835">
            <v>6319.2</v>
          </cell>
          <cell r="F2835" t="str">
            <v>A2-S1</v>
          </cell>
          <cell r="G2835" t="str">
            <v xml:space="preserve">Side rail  - Đố hông </v>
          </cell>
          <cell r="H2835" t="str">
            <v>Wood US Poplar - Straight Edged, 2 COM - T25mm x W100mm Up x L1.8m Up</v>
          </cell>
          <cell r="I2835">
            <v>20</v>
          </cell>
        </row>
        <row r="2836">
          <cell r="A2836" t="str">
            <v>B558160/A</v>
          </cell>
          <cell r="B2836" t="str">
            <v>RH4095M112</v>
          </cell>
          <cell r="C2836">
            <v>10</v>
          </cell>
          <cell r="D2836">
            <v>631.91999999999996</v>
          </cell>
          <cell r="E2836">
            <v>6319.2</v>
          </cell>
          <cell r="F2836" t="str">
            <v>A2-S2</v>
          </cell>
          <cell r="G2836" t="str">
            <v xml:space="preserve">Side panel  - Ván hông </v>
          </cell>
          <cell r="H2836" t="str">
            <v>MDF - 18 x 1830 x 2440mm [CARB P2 Compliant]</v>
          </cell>
          <cell r="I2836">
            <v>20</v>
          </cell>
        </row>
        <row r="2837">
          <cell r="A2837" t="str">
            <v>B558160/A</v>
          </cell>
          <cell r="B2837" t="str">
            <v>RH4095M112</v>
          </cell>
          <cell r="C2837">
            <v>10</v>
          </cell>
          <cell r="D2837">
            <v>631.91999999999996</v>
          </cell>
          <cell r="E2837">
            <v>6319.2</v>
          </cell>
          <cell r="F2837" t="str">
            <v>A3.1A</v>
          </cell>
          <cell r="G2837" t="str">
            <v xml:space="preserve">Side panel right  - Ván hông phải </v>
          </cell>
          <cell r="H2837" t="str">
            <v>MDF - 18 x 1830 x 2440mm [CARB P2 Compliant]</v>
          </cell>
          <cell r="I2837">
            <v>10</v>
          </cell>
        </row>
        <row r="2838">
          <cell r="A2838" t="str">
            <v>B558160/A</v>
          </cell>
          <cell r="B2838" t="str">
            <v>RH4095M112</v>
          </cell>
          <cell r="C2838">
            <v>10</v>
          </cell>
          <cell r="D2838">
            <v>631.91999999999996</v>
          </cell>
          <cell r="E2838">
            <v>6319.2</v>
          </cell>
          <cell r="F2838" t="str">
            <v>A3-S1</v>
          </cell>
          <cell r="G2838" t="str">
            <v>Center rail - Đố giữa</v>
          </cell>
          <cell r="H2838" t="str">
            <v>Wood US Poplar - Straight Edged, 2 COM - T25mm x W100mm Up x L1.8m Up</v>
          </cell>
          <cell r="I2838">
            <v>20</v>
          </cell>
        </row>
        <row r="2839">
          <cell r="A2839" t="str">
            <v>B558160/A</v>
          </cell>
          <cell r="B2839" t="str">
            <v>RH4095M112</v>
          </cell>
          <cell r="C2839">
            <v>10</v>
          </cell>
          <cell r="D2839">
            <v>631.91999999999996</v>
          </cell>
          <cell r="E2839">
            <v>6319.2</v>
          </cell>
          <cell r="F2839" t="str">
            <v>A3-S2</v>
          </cell>
          <cell r="G2839" t="str">
            <v xml:space="preserve">Side panel left  - Ván hông trái </v>
          </cell>
          <cell r="H2839" t="str">
            <v>MDF - 18 x 1830 x 2440mm [CARB P2 Compliant]</v>
          </cell>
          <cell r="I2839">
            <v>10</v>
          </cell>
        </row>
        <row r="2840">
          <cell r="A2840" t="str">
            <v>B558160/A</v>
          </cell>
          <cell r="B2840" t="str">
            <v>RH4095M112</v>
          </cell>
          <cell r="C2840">
            <v>10</v>
          </cell>
          <cell r="D2840">
            <v>631.91999999999996</v>
          </cell>
          <cell r="E2840">
            <v>6319.2</v>
          </cell>
          <cell r="F2840" t="str">
            <v>A4-S1</v>
          </cell>
          <cell r="G2840" t="str">
            <v>Front Bottom Rail  - Đố đáy trước</v>
          </cell>
          <cell r="H2840" t="str">
            <v>Wood US Poplar - Straight Edged, 2 COM - T50mm x W100mm Up x L1.8m Up</v>
          </cell>
          <cell r="I2840">
            <v>20</v>
          </cell>
        </row>
        <row r="2841">
          <cell r="A2841" t="str">
            <v>B558160/A</v>
          </cell>
          <cell r="B2841" t="str">
            <v>RH4095M112</v>
          </cell>
          <cell r="C2841">
            <v>10</v>
          </cell>
          <cell r="D2841">
            <v>631.91999999999996</v>
          </cell>
          <cell r="E2841">
            <v>6319.2</v>
          </cell>
          <cell r="F2841" t="str">
            <v>A4-S2</v>
          </cell>
          <cell r="G2841" t="str">
            <v>Center rail - Đố giữa</v>
          </cell>
          <cell r="H2841" t="str">
            <v>Wood US Poplar - Straight Edged, 2 COM - T25mm x W100mm Up x L1.8m Up</v>
          </cell>
          <cell r="I2841">
            <v>40</v>
          </cell>
        </row>
        <row r="2842">
          <cell r="A2842" t="str">
            <v>B558160/A</v>
          </cell>
          <cell r="B2842" t="str">
            <v>RH4095M112</v>
          </cell>
          <cell r="C2842">
            <v>10</v>
          </cell>
          <cell r="D2842">
            <v>631.91999999999996</v>
          </cell>
          <cell r="E2842">
            <v>6319.2</v>
          </cell>
          <cell r="F2842" t="str">
            <v>A4-S3</v>
          </cell>
          <cell r="G2842" t="str">
            <v>Dust board Panel  - Ván quét bụi</v>
          </cell>
          <cell r="H2842" t="str">
            <v>MDF - 06 x 1830 x 2440mm [CARB P2 Compliant]</v>
          </cell>
          <cell r="I2842">
            <v>10</v>
          </cell>
        </row>
        <row r="2843">
          <cell r="A2843" t="str">
            <v>B558160/A</v>
          </cell>
          <cell r="B2843" t="str">
            <v>RH4095M112</v>
          </cell>
          <cell r="C2843">
            <v>10</v>
          </cell>
          <cell r="D2843">
            <v>631.91999999999996</v>
          </cell>
          <cell r="E2843">
            <v>6319.2</v>
          </cell>
          <cell r="F2843" t="str">
            <v>A4-S3-1</v>
          </cell>
          <cell r="G2843" t="str">
            <v>Dust board Panel  - Ván quét bụi</v>
          </cell>
          <cell r="H2843" t="str">
            <v>MDF - 06 x 1830 x 2440mm [CARB P2 Compliant]</v>
          </cell>
          <cell r="I2843">
            <v>10</v>
          </cell>
        </row>
        <row r="2844">
          <cell r="A2844" t="str">
            <v>B558160/A</v>
          </cell>
          <cell r="B2844" t="str">
            <v>RH4095M112</v>
          </cell>
          <cell r="C2844">
            <v>10</v>
          </cell>
          <cell r="D2844">
            <v>631.91999999999996</v>
          </cell>
          <cell r="E2844">
            <v>6319.2</v>
          </cell>
          <cell r="F2844" t="str">
            <v>A4-S4</v>
          </cell>
          <cell r="G2844" t="str">
            <v>Front Bottom Rail  - Đố đáy trước</v>
          </cell>
          <cell r="H2844" t="str">
            <v>Wood US Poplar - Straight Edged, 2 COM - T50mm x W100mm Up x L1.8m Up</v>
          </cell>
          <cell r="I2844">
            <v>20</v>
          </cell>
        </row>
        <row r="2845">
          <cell r="A2845" t="str">
            <v>B558160/A</v>
          </cell>
          <cell r="B2845" t="str">
            <v>RH4095M112</v>
          </cell>
          <cell r="C2845">
            <v>10</v>
          </cell>
          <cell r="D2845">
            <v>631.91999999999996</v>
          </cell>
          <cell r="E2845">
            <v>6319.2</v>
          </cell>
          <cell r="F2845" t="str">
            <v>A5-S1</v>
          </cell>
          <cell r="G2845" t="str">
            <v>Horizontal rail 1 - Đố ngang 1</v>
          </cell>
          <cell r="H2845" t="str">
            <v>Wood US Poplar - Straight Edged, 2 COM - T25mm x W100mm Up x L1.8m Up</v>
          </cell>
          <cell r="I2845">
            <v>80</v>
          </cell>
        </row>
        <row r="2846">
          <cell r="A2846" t="str">
            <v>B558160/A</v>
          </cell>
          <cell r="B2846" t="str">
            <v>RH4095M112</v>
          </cell>
          <cell r="C2846">
            <v>10</v>
          </cell>
          <cell r="D2846">
            <v>631.91999999999996</v>
          </cell>
          <cell r="E2846">
            <v>6319.2</v>
          </cell>
          <cell r="F2846" t="str">
            <v>A6.A-S1</v>
          </cell>
          <cell r="G2846" t="str">
            <v xml:space="preserve">Side rail  - Đố hông </v>
          </cell>
          <cell r="H2846" t="str">
            <v>Wood US Poplar - Straight Edged, 2 COM - T32mm x W100mm Up x L1.8m Up</v>
          </cell>
          <cell r="I2846">
            <v>10</v>
          </cell>
        </row>
        <row r="2847">
          <cell r="A2847" t="str">
            <v>B558160/A</v>
          </cell>
          <cell r="B2847" t="str">
            <v>RH4095M112</v>
          </cell>
          <cell r="C2847">
            <v>10</v>
          </cell>
          <cell r="D2847">
            <v>631.91999999999996</v>
          </cell>
          <cell r="E2847">
            <v>6319.2</v>
          </cell>
          <cell r="F2847" t="str">
            <v>A6-S1</v>
          </cell>
          <cell r="G2847" t="str">
            <v>Bottom rail inside - Đố tiền đáy</v>
          </cell>
          <cell r="H2847" t="str">
            <v>Wood US Poplar - Straight Edged, 2 COM - T32mm x W100mm Up x L1.8m Up</v>
          </cell>
          <cell r="I2847">
            <v>30</v>
          </cell>
        </row>
        <row r="2848">
          <cell r="A2848" t="str">
            <v>B558160/A</v>
          </cell>
          <cell r="B2848" t="str">
            <v>RH4095M112</v>
          </cell>
          <cell r="C2848">
            <v>10</v>
          </cell>
          <cell r="D2848">
            <v>631.91999999999996</v>
          </cell>
          <cell r="E2848">
            <v>6319.2</v>
          </cell>
          <cell r="F2848" t="str">
            <v>A6-S2</v>
          </cell>
          <cell r="G2848" t="str">
            <v xml:space="preserve">Side rail  - Đố hông </v>
          </cell>
          <cell r="H2848" t="str">
            <v>Wood US Poplar - Straight Edged, 2 COM - T32mm x W100mm Up x L1.8m Up</v>
          </cell>
          <cell r="I2848">
            <v>40</v>
          </cell>
        </row>
        <row r="2849">
          <cell r="A2849" t="str">
            <v>B558160/A</v>
          </cell>
          <cell r="B2849" t="str">
            <v>RH4095M112</v>
          </cell>
          <cell r="C2849">
            <v>10</v>
          </cell>
          <cell r="D2849">
            <v>631.91999999999996</v>
          </cell>
          <cell r="E2849">
            <v>6319.2</v>
          </cell>
          <cell r="F2849" t="str">
            <v>A7-S1</v>
          </cell>
          <cell r="G2849" t="str">
            <v xml:space="preserve">Front panel  - Ván tiền </v>
          </cell>
          <cell r="H2849" t="str">
            <v>MDF Veneer</v>
          </cell>
          <cell r="I2849">
            <v>10</v>
          </cell>
        </row>
        <row r="2850">
          <cell r="A2850" t="str">
            <v>B558160/A</v>
          </cell>
          <cell r="B2850" t="str">
            <v>RH4095M112</v>
          </cell>
          <cell r="C2850">
            <v>10</v>
          </cell>
          <cell r="D2850">
            <v>631.91999999999996</v>
          </cell>
          <cell r="E2850">
            <v>6319.2</v>
          </cell>
          <cell r="F2850" t="str">
            <v>A7-S2</v>
          </cell>
          <cell r="G2850" t="str">
            <v>Back panel - Ván hậu</v>
          </cell>
          <cell r="H2850" t="str">
            <v>Wood US Poplar - Straight Edged, 2 COM - T25mm x W100mm Up x L1.8m Up</v>
          </cell>
          <cell r="I2850">
            <v>10</v>
          </cell>
        </row>
        <row r="2851">
          <cell r="A2851" t="str">
            <v>B558160/A</v>
          </cell>
          <cell r="B2851" t="str">
            <v>RH4095M112</v>
          </cell>
          <cell r="C2851">
            <v>10</v>
          </cell>
          <cell r="D2851">
            <v>631.91999999999996</v>
          </cell>
          <cell r="E2851">
            <v>6319.2</v>
          </cell>
          <cell r="F2851" t="str">
            <v>A7-S3</v>
          </cell>
          <cell r="G2851" t="str">
            <v>Center panel - Ván giữa</v>
          </cell>
          <cell r="H2851" t="str">
            <v>MDF Veneer</v>
          </cell>
          <cell r="I2851">
            <v>10</v>
          </cell>
        </row>
        <row r="2852">
          <cell r="A2852" t="str">
            <v>B558160/A</v>
          </cell>
          <cell r="B2852" t="str">
            <v>RH4095M112</v>
          </cell>
          <cell r="C2852">
            <v>10</v>
          </cell>
          <cell r="D2852">
            <v>631.91999999999996</v>
          </cell>
          <cell r="E2852">
            <v>6319.2</v>
          </cell>
          <cell r="F2852" t="str">
            <v>A7-S5</v>
          </cell>
          <cell r="G2852" t="str">
            <v>Bottom panel - Ván đáy</v>
          </cell>
          <cell r="H2852" t="str">
            <v>MDF - 06 x 1220 x 2440mm, Veneer Okoume 0.3mm Both Faces [CARB P2 Compliant]</v>
          </cell>
          <cell r="I2852">
            <v>10</v>
          </cell>
        </row>
        <row r="2853">
          <cell r="A2853" t="str">
            <v>B558160/A</v>
          </cell>
          <cell r="B2853" t="str">
            <v>RH4095M112</v>
          </cell>
          <cell r="C2853">
            <v>10</v>
          </cell>
          <cell r="D2853">
            <v>631.91999999999996</v>
          </cell>
          <cell r="E2853">
            <v>6319.2</v>
          </cell>
          <cell r="F2853" t="str">
            <v>A7-S6</v>
          </cell>
          <cell r="G2853" t="str">
            <v xml:space="preserve">Side rail  - Đố hông </v>
          </cell>
          <cell r="H2853" t="str">
            <v>Wood US Poplar - Straight Edged, 2 COM - T25mm x W100mm Up x L1.8m Up</v>
          </cell>
          <cell r="I2853">
            <v>10</v>
          </cell>
        </row>
        <row r="2854">
          <cell r="A2854" t="str">
            <v>B558160/A</v>
          </cell>
          <cell r="B2854" t="str">
            <v>RH4095M112</v>
          </cell>
          <cell r="C2854">
            <v>10</v>
          </cell>
          <cell r="D2854">
            <v>631.91999999999996</v>
          </cell>
          <cell r="E2854">
            <v>6319.2</v>
          </cell>
          <cell r="F2854" t="str">
            <v>A7-S6-1</v>
          </cell>
          <cell r="G2854" t="str">
            <v xml:space="preserve">Side rail  - Đố hông </v>
          </cell>
          <cell r="H2854" t="str">
            <v>Wood US Poplar - Straight Edged, 2 COM - T25mm x W100mm Up x L1.8m Up</v>
          </cell>
          <cell r="I2854">
            <v>10</v>
          </cell>
        </row>
        <row r="2855">
          <cell r="A2855" t="str">
            <v>B558160/A</v>
          </cell>
          <cell r="B2855" t="str">
            <v>RH4095M112</v>
          </cell>
          <cell r="C2855">
            <v>10</v>
          </cell>
          <cell r="D2855">
            <v>631.91999999999996</v>
          </cell>
          <cell r="E2855">
            <v>6319.2</v>
          </cell>
          <cell r="F2855" t="str">
            <v>A8-S1</v>
          </cell>
          <cell r="G2855" t="str">
            <v xml:space="preserve">Drawer front - Mặt hộc kéo </v>
          </cell>
          <cell r="H2855" t="str">
            <v>MDF Veneer</v>
          </cell>
          <cell r="I2855">
            <v>20</v>
          </cell>
        </row>
        <row r="2856">
          <cell r="A2856" t="str">
            <v>B558160/A</v>
          </cell>
          <cell r="B2856" t="str">
            <v>RH4095M112</v>
          </cell>
          <cell r="C2856">
            <v>10</v>
          </cell>
          <cell r="D2856">
            <v>631.91999999999996</v>
          </cell>
          <cell r="E2856">
            <v>6319.2</v>
          </cell>
          <cell r="F2856" t="str">
            <v>A8-S2</v>
          </cell>
          <cell r="G2856" t="str">
            <v>Drawer side - Hông hộc kéo</v>
          </cell>
          <cell r="H2856" t="str">
            <v>MDF-N - 12 x 1220 x 2440mm, Veneer Poplar Rotary 0.45mm Both Faces [CARB P2 Compliant]</v>
          </cell>
          <cell r="I2856">
            <v>40</v>
          </cell>
        </row>
        <row r="2857">
          <cell r="A2857" t="str">
            <v>B558160/A</v>
          </cell>
          <cell r="B2857" t="str">
            <v>RH4095M112</v>
          </cell>
          <cell r="C2857">
            <v>10</v>
          </cell>
          <cell r="D2857">
            <v>631.91999999999996</v>
          </cell>
          <cell r="E2857">
            <v>6319.2</v>
          </cell>
          <cell r="F2857" t="str">
            <v>A8-S3</v>
          </cell>
          <cell r="G2857" t="str">
            <v xml:space="preserve">Drawer front 1 - Mặt hộc kéo </v>
          </cell>
          <cell r="H2857" t="str">
            <v>MDF-N - 12 x 1220 x 2440mm, Veneer Poplar Rotary 0.45mm Both Faces [CARB P2 Compliant]</v>
          </cell>
          <cell r="I2857">
            <v>20</v>
          </cell>
        </row>
        <row r="2858">
          <cell r="A2858" t="str">
            <v>B558160/A</v>
          </cell>
          <cell r="B2858" t="str">
            <v>RH4095M112</v>
          </cell>
          <cell r="C2858">
            <v>10</v>
          </cell>
          <cell r="D2858">
            <v>631.91999999999996</v>
          </cell>
          <cell r="E2858">
            <v>6319.2</v>
          </cell>
          <cell r="F2858" t="str">
            <v>A8-S4</v>
          </cell>
          <cell r="G2858" t="str">
            <v>Drawer back - Hậu hộc kéo</v>
          </cell>
          <cell r="H2858" t="str">
            <v>MDF-N - 12 x 1220 x 2440mm, Veneer Poplar Rotary 0.45mm Both Faces [CARB P2 Compliant]</v>
          </cell>
          <cell r="I2858">
            <v>20</v>
          </cell>
        </row>
        <row r="2859">
          <cell r="A2859" t="str">
            <v>B558160/A</v>
          </cell>
          <cell r="B2859" t="str">
            <v>RH4095M112</v>
          </cell>
          <cell r="C2859">
            <v>10</v>
          </cell>
          <cell r="D2859">
            <v>631.91999999999996</v>
          </cell>
          <cell r="E2859">
            <v>6319.2</v>
          </cell>
          <cell r="F2859" t="str">
            <v>A8-S5</v>
          </cell>
          <cell r="G2859" t="str">
            <v>Drawer bottom  - Đáy hộc kéo</v>
          </cell>
          <cell r="H2859" t="str">
            <v>MDF - 06 x 1220 x 2440mm, Veneer Poplar 0.42mm + Veneer Engineering 0.3mm [CARB P2 Compliant]</v>
          </cell>
          <cell r="I2859">
            <v>60</v>
          </cell>
        </row>
        <row r="2860">
          <cell r="A2860" t="str">
            <v>B558160/A</v>
          </cell>
          <cell r="B2860" t="str">
            <v>RH4095M112</v>
          </cell>
          <cell r="C2860">
            <v>10</v>
          </cell>
          <cell r="D2860">
            <v>631.91999999999996</v>
          </cell>
          <cell r="E2860">
            <v>6319.2</v>
          </cell>
          <cell r="F2860" t="str">
            <v>A8-S6</v>
          </cell>
          <cell r="G2860" t="str">
            <v>Corner block - ke góc</v>
          </cell>
          <cell r="H2860" t="str">
            <v>Poplar off cut</v>
          </cell>
          <cell r="I2860">
            <v>120</v>
          </cell>
        </row>
        <row r="2861">
          <cell r="A2861" t="str">
            <v>B558160/A</v>
          </cell>
          <cell r="B2861" t="str">
            <v>RH4095M112</v>
          </cell>
          <cell r="C2861">
            <v>10</v>
          </cell>
          <cell r="D2861">
            <v>631.91999999999996</v>
          </cell>
          <cell r="E2861">
            <v>6319.2</v>
          </cell>
          <cell r="F2861" t="str">
            <v>A8-S7</v>
          </cell>
          <cell r="G2861" t="str">
            <v>Patching wood - Gỗ đắp</v>
          </cell>
          <cell r="H2861" t="str">
            <v>Poplar off cut</v>
          </cell>
          <cell r="I2861">
            <v>120</v>
          </cell>
        </row>
        <row r="2862">
          <cell r="A2862" t="str">
            <v>B558160/A</v>
          </cell>
          <cell r="B2862" t="str">
            <v>RH4095M112</v>
          </cell>
          <cell r="C2862">
            <v>10</v>
          </cell>
          <cell r="D2862">
            <v>631.91999999999996</v>
          </cell>
          <cell r="E2862">
            <v>6319.2</v>
          </cell>
          <cell r="F2862" t="str">
            <v>A9-S1</v>
          </cell>
          <cell r="G2862" t="str">
            <v xml:space="preserve">Drawer front - Mặt hộc kéo </v>
          </cell>
          <cell r="H2862" t="str">
            <v>MDF Veneer</v>
          </cell>
          <cell r="I2862">
            <v>40</v>
          </cell>
        </row>
        <row r="2863">
          <cell r="A2863" t="str">
            <v>B558160/A</v>
          </cell>
          <cell r="B2863" t="str">
            <v>RH4095M112</v>
          </cell>
          <cell r="C2863">
            <v>10</v>
          </cell>
          <cell r="D2863">
            <v>631.91999999999996</v>
          </cell>
          <cell r="E2863">
            <v>6319.2</v>
          </cell>
          <cell r="F2863" t="str">
            <v>A9-S2</v>
          </cell>
          <cell r="G2863" t="str">
            <v>Drawer side - Hông hộc kéo</v>
          </cell>
          <cell r="H2863" t="str">
            <v>MDF-N - 12 x 1220 x 2440mm, Veneer Poplar Rotary 0.45mm Both Faces [CARB P2 Compliant]</v>
          </cell>
          <cell r="I2863">
            <v>80</v>
          </cell>
        </row>
        <row r="2864">
          <cell r="A2864" t="str">
            <v>B558160/A</v>
          </cell>
          <cell r="B2864" t="str">
            <v>RH4095M112</v>
          </cell>
          <cell r="C2864">
            <v>10</v>
          </cell>
          <cell r="D2864">
            <v>631.91999999999996</v>
          </cell>
          <cell r="E2864">
            <v>6319.2</v>
          </cell>
          <cell r="F2864" t="str">
            <v>A9-S3</v>
          </cell>
          <cell r="G2864" t="str">
            <v xml:space="preserve">Drawer front 1 - Mặt hộc kéo </v>
          </cell>
          <cell r="H2864" t="str">
            <v>MDF-N - 12 x 1220 x 2440mm, Veneer Poplar Rotary 0.45mm Both Faces [CARB P2 Compliant]</v>
          </cell>
          <cell r="I2864">
            <v>40</v>
          </cell>
        </row>
        <row r="2865">
          <cell r="A2865" t="str">
            <v>B558160/A</v>
          </cell>
          <cell r="B2865" t="str">
            <v>RH4095M112</v>
          </cell>
          <cell r="C2865">
            <v>10</v>
          </cell>
          <cell r="D2865">
            <v>631.91999999999996</v>
          </cell>
          <cell r="E2865">
            <v>6319.2</v>
          </cell>
          <cell r="F2865" t="str">
            <v>A9-S4</v>
          </cell>
          <cell r="G2865" t="str">
            <v>Drawer back - Hậu hộc kéo</v>
          </cell>
          <cell r="H2865" t="str">
            <v>MDF-N - 12 x 1220 x 2440mm, Veneer Poplar Rotary 0.45mm Both Faces [CARB P2 Compliant]</v>
          </cell>
          <cell r="I2865">
            <v>40</v>
          </cell>
        </row>
        <row r="2866">
          <cell r="A2866" t="str">
            <v>B558160/A</v>
          </cell>
          <cell r="B2866" t="str">
            <v>RH4095M112</v>
          </cell>
          <cell r="C2866">
            <v>10</v>
          </cell>
          <cell r="D2866">
            <v>631.91999999999996</v>
          </cell>
          <cell r="E2866">
            <v>6319.2</v>
          </cell>
          <cell r="F2866" t="str">
            <v>P01</v>
          </cell>
          <cell r="G2866" t="str">
            <v>Back panel - Ván hậu</v>
          </cell>
          <cell r="H2866" t="str">
            <v>MDF - 18 x 1830 x 2440mm [CARB P2 Compliant]</v>
          </cell>
          <cell r="I2866">
            <v>20</v>
          </cell>
        </row>
        <row r="2867">
          <cell r="A2867" t="str">
            <v>B558160/A</v>
          </cell>
          <cell r="B2867" t="str">
            <v>RH4095M112</v>
          </cell>
          <cell r="C2867">
            <v>10</v>
          </cell>
          <cell r="D2867">
            <v>631.91999999999996</v>
          </cell>
          <cell r="E2867">
            <v>6319.2</v>
          </cell>
          <cell r="F2867" t="str">
            <v>P02</v>
          </cell>
          <cell r="G2867" t="str">
            <v>Cleat - Bọ gỗ</v>
          </cell>
          <cell r="H2867" t="str">
            <v>Wood US Poplar - Straight Edged, 2 COM - T25mm x W100mm Up x L1.8m Up</v>
          </cell>
          <cell r="I2867">
            <v>40</v>
          </cell>
        </row>
        <row r="2868">
          <cell r="A2868" t="str">
            <v>B558160/A</v>
          </cell>
          <cell r="B2868" t="str">
            <v>RH4095M112</v>
          </cell>
          <cell r="C2868">
            <v>10</v>
          </cell>
          <cell r="D2868">
            <v>631.91999999999996</v>
          </cell>
          <cell r="E2868">
            <v>6319.2</v>
          </cell>
          <cell r="F2868" t="str">
            <v>P03</v>
          </cell>
          <cell r="G2868" t="str">
            <v>Cleat - Bọ gỗ</v>
          </cell>
          <cell r="H2868" t="str">
            <v>Wood US Poplar - Straight Edged, 2 COM - T25mm x W100mm Up x L1.8m Up</v>
          </cell>
          <cell r="I2868">
            <v>40</v>
          </cell>
        </row>
        <row r="2869">
          <cell r="A2869" t="str">
            <v>B558160/A</v>
          </cell>
          <cell r="B2869" t="str">
            <v>RH4095M112</v>
          </cell>
          <cell r="C2869">
            <v>10</v>
          </cell>
          <cell r="D2869">
            <v>631.91999999999996</v>
          </cell>
          <cell r="E2869">
            <v>6319.2</v>
          </cell>
          <cell r="F2869" t="str">
            <v>P03-1</v>
          </cell>
          <cell r="G2869" t="str">
            <v>Cleat - Bọ gỗ</v>
          </cell>
          <cell r="H2869" t="str">
            <v>Wood US Poplar - Straight Edged, 2 COM - T25mm x W100mm Up x L1.8m Up</v>
          </cell>
          <cell r="I2869">
            <v>40</v>
          </cell>
        </row>
        <row r="2870">
          <cell r="A2870" t="str">
            <v>B558160/A</v>
          </cell>
          <cell r="B2870" t="str">
            <v>RH4095M112</v>
          </cell>
          <cell r="C2870">
            <v>10</v>
          </cell>
          <cell r="D2870">
            <v>631.91999999999996</v>
          </cell>
          <cell r="E2870">
            <v>6319.2</v>
          </cell>
          <cell r="F2870" t="str">
            <v>P05</v>
          </cell>
          <cell r="G2870" t="str">
            <v>Patching wood - Gỗ đắp</v>
          </cell>
          <cell r="H2870" t="str">
            <v>Wood US Poplar - Straight Edged, 2 COM - T32mm x W100mm Up x L1.8m Up</v>
          </cell>
          <cell r="I2870">
            <v>110</v>
          </cell>
        </row>
        <row r="2871">
          <cell r="A2871" t="str">
            <v>B558160/A</v>
          </cell>
          <cell r="B2871" t="str">
            <v>RH4095M112</v>
          </cell>
          <cell r="C2871">
            <v>10</v>
          </cell>
          <cell r="D2871">
            <v>631.91999999999996</v>
          </cell>
          <cell r="E2871">
            <v>6319.2</v>
          </cell>
          <cell r="F2871" t="str">
            <v>P05-1</v>
          </cell>
          <cell r="G2871" t="str">
            <v>Patching wood - Gỗ đắp</v>
          </cell>
          <cell r="H2871" t="str">
            <v>Wood US Poplar - Straight Edged, 2 COM - T32mm x W100mm Up x L1.8m Up</v>
          </cell>
          <cell r="I2871">
            <v>10</v>
          </cell>
        </row>
        <row r="2872">
          <cell r="A2872" t="str">
            <v>B558160/A</v>
          </cell>
          <cell r="B2872" t="str">
            <v>RH4095M112</v>
          </cell>
          <cell r="C2872">
            <v>10</v>
          </cell>
          <cell r="D2872">
            <v>631.91999999999996</v>
          </cell>
          <cell r="E2872">
            <v>6319.2</v>
          </cell>
          <cell r="F2872" t="str">
            <v>P06</v>
          </cell>
          <cell r="G2872" t="str">
            <v>Corner block - ke góc</v>
          </cell>
          <cell r="H2872" t="str">
            <v>Poplar off cut</v>
          </cell>
          <cell r="I2872">
            <v>240</v>
          </cell>
        </row>
        <row r="2873">
          <cell r="A2873" t="str">
            <v>B558160/A</v>
          </cell>
          <cell r="B2873" t="str">
            <v>RH4095M112</v>
          </cell>
          <cell r="C2873">
            <v>10</v>
          </cell>
          <cell r="D2873">
            <v>631.91999999999996</v>
          </cell>
          <cell r="E2873">
            <v>6319.2</v>
          </cell>
          <cell r="F2873" t="str">
            <v>P07</v>
          </cell>
          <cell r="G2873" t="str">
            <v xml:space="preserve">Top panel  - Ván nóc </v>
          </cell>
          <cell r="H2873" t="str">
            <v>MDF - 18 x 1830 x 2440mm [CARB P2 Compliant]</v>
          </cell>
          <cell r="I2873">
            <v>10</v>
          </cell>
        </row>
        <row r="2874">
          <cell r="A2874" t="str">
            <v>B558160/A</v>
          </cell>
          <cell r="B2874" t="str">
            <v>RH4095M112</v>
          </cell>
          <cell r="C2874">
            <v>10</v>
          </cell>
          <cell r="D2874">
            <v>631.91999999999996</v>
          </cell>
          <cell r="E2874">
            <v>6319.2</v>
          </cell>
          <cell r="F2874" t="str">
            <v>P07-1</v>
          </cell>
          <cell r="G2874" t="str">
            <v>Tenon - Mộng cấy</v>
          </cell>
          <cell r="H2874" t="str">
            <v>Beech off cut</v>
          </cell>
          <cell r="I2874">
            <v>20</v>
          </cell>
        </row>
        <row r="2875">
          <cell r="A2875" t="str">
            <v>B558160/A</v>
          </cell>
          <cell r="B2875" t="str">
            <v>RH4095M112</v>
          </cell>
          <cell r="C2875">
            <v>10</v>
          </cell>
          <cell r="D2875">
            <v>631.91999999999996</v>
          </cell>
          <cell r="E2875">
            <v>6319.2</v>
          </cell>
          <cell r="F2875" t="str">
            <v>P08</v>
          </cell>
          <cell r="G2875" t="str">
            <v>Front top rail  - Đố tiền nóc</v>
          </cell>
          <cell r="H2875" t="str">
            <v>Wood US Poplar - Straight Edged, 2 COM - T32mm x W100mm Up x L1.8m Up</v>
          </cell>
          <cell r="I2875">
            <v>10</v>
          </cell>
        </row>
        <row r="2876">
          <cell r="A2876" t="str">
            <v>B558160/A</v>
          </cell>
          <cell r="B2876" t="str">
            <v>RH4095M112</v>
          </cell>
          <cell r="C2876">
            <v>10</v>
          </cell>
          <cell r="D2876">
            <v>631.91999999999996</v>
          </cell>
          <cell r="E2876">
            <v>6319.2</v>
          </cell>
          <cell r="F2876" t="str">
            <v>P09</v>
          </cell>
          <cell r="G2876" t="str">
            <v>Back top rail - Đố hậu nóc</v>
          </cell>
          <cell r="H2876" t="str">
            <v>Wood US Poplar - Straight Edged, 2 COM - T25mm x W100mm Up x L1.8m Up</v>
          </cell>
          <cell r="I2876">
            <v>20</v>
          </cell>
        </row>
        <row r="2877">
          <cell r="A2877" t="str">
            <v>B558160/A</v>
          </cell>
          <cell r="B2877" t="str">
            <v>RH4095M112</v>
          </cell>
          <cell r="C2877">
            <v>10</v>
          </cell>
          <cell r="D2877">
            <v>631.91999999999996</v>
          </cell>
          <cell r="E2877">
            <v>6319.2</v>
          </cell>
          <cell r="F2877" t="str">
            <v>P12</v>
          </cell>
          <cell r="G2877" t="str">
            <v xml:space="preserve">Top panel  - Ván nóc </v>
          </cell>
          <cell r="H2877" t="str">
            <v>Wood US Poplar - Straight Edged, 2 COM - T25mm x W100mm Up x L1.8m Up</v>
          </cell>
          <cell r="I2877">
            <v>10</v>
          </cell>
        </row>
        <row r="2878">
          <cell r="A2878" t="str">
            <v>B558160/A</v>
          </cell>
          <cell r="B2878" t="str">
            <v>RH4095M112</v>
          </cell>
          <cell r="C2878">
            <v>10</v>
          </cell>
          <cell r="D2878">
            <v>631.91999999999996</v>
          </cell>
          <cell r="E2878">
            <v>6319.2</v>
          </cell>
          <cell r="F2878" t="str">
            <v>P13</v>
          </cell>
          <cell r="G2878" t="str">
            <v>Drawer stop - Dừng hộc</v>
          </cell>
          <cell r="H2878" t="str">
            <v>Poplar off cut</v>
          </cell>
          <cell r="I2878">
            <v>120</v>
          </cell>
        </row>
        <row r="2879">
          <cell r="A2879" t="str">
            <v>B558163/A</v>
          </cell>
          <cell r="B2879" t="str">
            <v>RH4095M152</v>
          </cell>
          <cell r="C2879">
            <v>10</v>
          </cell>
          <cell r="D2879">
            <v>631.91999999999996</v>
          </cell>
          <cell r="E2879">
            <v>6319.2</v>
          </cell>
          <cell r="F2879" t="str">
            <v>A2-S1</v>
          </cell>
          <cell r="G2879" t="str">
            <v xml:space="preserve">Side rail  - Đố hông </v>
          </cell>
          <cell r="H2879" t="str">
            <v>Wood US Poplar - Straight Edged, 2 COM - T25mm x W100mm Up x L1.8m Up</v>
          </cell>
          <cell r="I2879">
            <v>20</v>
          </cell>
        </row>
        <row r="2880">
          <cell r="A2880" t="str">
            <v>B558163/A</v>
          </cell>
          <cell r="B2880" t="str">
            <v>RH4095M152</v>
          </cell>
          <cell r="C2880">
            <v>10</v>
          </cell>
          <cell r="D2880">
            <v>631.91999999999996</v>
          </cell>
          <cell r="E2880">
            <v>6319.2</v>
          </cell>
          <cell r="F2880" t="str">
            <v>A2-S2</v>
          </cell>
          <cell r="G2880" t="str">
            <v xml:space="preserve">Side panel  - Ván hông </v>
          </cell>
          <cell r="H2880" t="str">
            <v>MDF - 18 x 1830 x 2440mm [CARB P2 Compliant]</v>
          </cell>
          <cell r="I2880">
            <v>20</v>
          </cell>
        </row>
        <row r="2881">
          <cell r="A2881" t="str">
            <v>B558163/A</v>
          </cell>
          <cell r="B2881" t="str">
            <v>RH4095M152</v>
          </cell>
          <cell r="C2881">
            <v>10</v>
          </cell>
          <cell r="D2881">
            <v>631.91999999999996</v>
          </cell>
          <cell r="E2881">
            <v>6319.2</v>
          </cell>
          <cell r="F2881" t="str">
            <v>A3.1A</v>
          </cell>
          <cell r="G2881" t="str">
            <v xml:space="preserve">Side panel right  - Ván hông phải </v>
          </cell>
          <cell r="H2881" t="str">
            <v>MDF - 18 x 1830 x 2440mm [CARB P2 Compliant]</v>
          </cell>
          <cell r="I2881">
            <v>10</v>
          </cell>
        </row>
        <row r="2882">
          <cell r="A2882" t="str">
            <v>B558163/A</v>
          </cell>
          <cell r="B2882" t="str">
            <v>RH4095M152</v>
          </cell>
          <cell r="C2882">
            <v>10</v>
          </cell>
          <cell r="D2882">
            <v>631.91999999999996</v>
          </cell>
          <cell r="E2882">
            <v>6319.2</v>
          </cell>
          <cell r="F2882" t="str">
            <v>A3-S1</v>
          </cell>
          <cell r="G2882" t="str">
            <v>Center rail - Đố giữa</v>
          </cell>
          <cell r="H2882" t="str">
            <v>Wood US Poplar - Straight Edged, 2 COM - T25mm x W100mm Up x L1.8m Up</v>
          </cell>
          <cell r="I2882">
            <v>20</v>
          </cell>
        </row>
        <row r="2883">
          <cell r="A2883" t="str">
            <v>B558163/A</v>
          </cell>
          <cell r="B2883" t="str">
            <v>RH4095M152</v>
          </cell>
          <cell r="C2883">
            <v>10</v>
          </cell>
          <cell r="D2883">
            <v>631.91999999999996</v>
          </cell>
          <cell r="E2883">
            <v>6319.2</v>
          </cell>
          <cell r="F2883" t="str">
            <v>A3-S2</v>
          </cell>
          <cell r="G2883" t="str">
            <v xml:space="preserve">Side panel left  - Ván hông trái </v>
          </cell>
          <cell r="H2883" t="str">
            <v>MDF - 18 x 1830 x 2440mm [CARB P2 Compliant]</v>
          </cell>
          <cell r="I2883">
            <v>10</v>
          </cell>
        </row>
        <row r="2884">
          <cell r="A2884" t="str">
            <v>B558163/A</v>
          </cell>
          <cell r="B2884" t="str">
            <v>RH4095M152</v>
          </cell>
          <cell r="C2884">
            <v>10</v>
          </cell>
          <cell r="D2884">
            <v>631.91999999999996</v>
          </cell>
          <cell r="E2884">
            <v>6319.2</v>
          </cell>
          <cell r="F2884" t="str">
            <v>A4-S1</v>
          </cell>
          <cell r="G2884" t="str">
            <v>Front Bottom Rail  - Đố đáy trước</v>
          </cell>
          <cell r="H2884" t="str">
            <v>Wood US Poplar - Straight Edged, 2 COM - T50mm x W100mm Up x L1.8m Up</v>
          </cell>
          <cell r="I2884">
            <v>20</v>
          </cell>
        </row>
        <row r="2885">
          <cell r="A2885" t="str">
            <v>B558163/A</v>
          </cell>
          <cell r="B2885" t="str">
            <v>RH4095M152</v>
          </cell>
          <cell r="C2885">
            <v>10</v>
          </cell>
          <cell r="D2885">
            <v>631.91999999999996</v>
          </cell>
          <cell r="E2885">
            <v>6319.2</v>
          </cell>
          <cell r="F2885" t="str">
            <v>A4-S2</v>
          </cell>
          <cell r="G2885" t="str">
            <v>Center rail - Đố giữa</v>
          </cell>
          <cell r="H2885" t="str">
            <v>Wood US Poplar - Straight Edged, 2 COM - T25mm x W100mm Up x L1.8m Up</v>
          </cell>
          <cell r="I2885">
            <v>40</v>
          </cell>
        </row>
        <row r="2886">
          <cell r="A2886" t="str">
            <v>B558163/A</v>
          </cell>
          <cell r="B2886" t="str">
            <v>RH4095M152</v>
          </cell>
          <cell r="C2886">
            <v>10</v>
          </cell>
          <cell r="D2886">
            <v>631.91999999999996</v>
          </cell>
          <cell r="E2886">
            <v>6319.2</v>
          </cell>
          <cell r="F2886" t="str">
            <v>A4-S3</v>
          </cell>
          <cell r="G2886" t="str">
            <v>Dust board Panel  - Ván quét bụi</v>
          </cell>
          <cell r="H2886" t="str">
            <v>MDF - 06 x 1830 x 2440mm [CARB P2 Compliant]</v>
          </cell>
          <cell r="I2886">
            <v>10</v>
          </cell>
        </row>
        <row r="2887">
          <cell r="A2887" t="str">
            <v>B558163/A</v>
          </cell>
          <cell r="B2887" t="str">
            <v>RH4095M152</v>
          </cell>
          <cell r="C2887">
            <v>10</v>
          </cell>
          <cell r="D2887">
            <v>631.91999999999996</v>
          </cell>
          <cell r="E2887">
            <v>6319.2</v>
          </cell>
          <cell r="F2887" t="str">
            <v>A4-S3-1</v>
          </cell>
          <cell r="G2887" t="str">
            <v>Dust board Panel  - Ván quét bụi</v>
          </cell>
          <cell r="H2887" t="str">
            <v>MDF - 06 x 1830 x 2440mm [CARB P2 Compliant]</v>
          </cell>
          <cell r="I2887">
            <v>10</v>
          </cell>
        </row>
        <row r="2888">
          <cell r="A2888" t="str">
            <v>B558163/A</v>
          </cell>
          <cell r="B2888" t="str">
            <v>RH4095M152</v>
          </cell>
          <cell r="C2888">
            <v>10</v>
          </cell>
          <cell r="D2888">
            <v>631.91999999999996</v>
          </cell>
          <cell r="E2888">
            <v>6319.2</v>
          </cell>
          <cell r="F2888" t="str">
            <v>A4-S4</v>
          </cell>
          <cell r="G2888" t="str">
            <v>Front Bottom Rail  - Đố đáy trước</v>
          </cell>
          <cell r="H2888" t="str">
            <v>Wood US Poplar - Straight Edged, 2 COM - T50mm x W100mm Up x L1.8m Up</v>
          </cell>
          <cell r="I2888">
            <v>20</v>
          </cell>
        </row>
        <row r="2889">
          <cell r="A2889" t="str">
            <v>B558163/A</v>
          </cell>
          <cell r="B2889" t="str">
            <v>RH4095M152</v>
          </cell>
          <cell r="C2889">
            <v>10</v>
          </cell>
          <cell r="D2889">
            <v>631.91999999999996</v>
          </cell>
          <cell r="E2889">
            <v>6319.2</v>
          </cell>
          <cell r="F2889" t="str">
            <v>A5-S1</v>
          </cell>
          <cell r="G2889" t="str">
            <v>Horizontal rail 1 - Đố ngang 1</v>
          </cell>
          <cell r="H2889" t="str">
            <v>Wood US Poplar - Straight Edged, 2 COM - T25mm x W100mm Up x L1.8m Up</v>
          </cell>
          <cell r="I2889">
            <v>80</v>
          </cell>
        </row>
        <row r="2890">
          <cell r="A2890" t="str">
            <v>B558163/A</v>
          </cell>
          <cell r="B2890" t="str">
            <v>RH4095M152</v>
          </cell>
          <cell r="C2890">
            <v>10</v>
          </cell>
          <cell r="D2890">
            <v>631.91999999999996</v>
          </cell>
          <cell r="E2890">
            <v>6319.2</v>
          </cell>
          <cell r="F2890" t="str">
            <v>A6.A-S1</v>
          </cell>
          <cell r="G2890" t="str">
            <v xml:space="preserve">Side rail  - Đố hông </v>
          </cell>
          <cell r="H2890" t="str">
            <v>Wood US Poplar - Straight Edged, 2 COM - T32mm x W100mm Up x L1.8m Up</v>
          </cell>
          <cell r="I2890">
            <v>10</v>
          </cell>
        </row>
        <row r="2891">
          <cell r="A2891" t="str">
            <v>B558163/A</v>
          </cell>
          <cell r="B2891" t="str">
            <v>RH4095M152</v>
          </cell>
          <cell r="C2891">
            <v>10</v>
          </cell>
          <cell r="D2891">
            <v>631.91999999999996</v>
          </cell>
          <cell r="E2891">
            <v>6319.2</v>
          </cell>
          <cell r="F2891" t="str">
            <v>A6-S1</v>
          </cell>
          <cell r="G2891" t="str">
            <v>Bottom rail inside - Đố tiền đáy</v>
          </cell>
          <cell r="H2891" t="str">
            <v>Wood US Poplar - Straight Edged, 2 COM - T32mm x W100mm Up x L1.8m Up</v>
          </cell>
          <cell r="I2891">
            <v>30</v>
          </cell>
        </row>
        <row r="2892">
          <cell r="A2892" t="str">
            <v>B558163/A</v>
          </cell>
          <cell r="B2892" t="str">
            <v>RH4095M152</v>
          </cell>
          <cell r="C2892">
            <v>10</v>
          </cell>
          <cell r="D2892">
            <v>631.91999999999996</v>
          </cell>
          <cell r="E2892">
            <v>6319.2</v>
          </cell>
          <cell r="F2892" t="str">
            <v>A6-S2</v>
          </cell>
          <cell r="G2892" t="str">
            <v xml:space="preserve">Side rail  - Đố hông </v>
          </cell>
          <cell r="H2892" t="str">
            <v>Wood US Poplar - Straight Edged, 2 COM - T32mm x W100mm Up x L1.8m Up</v>
          </cell>
          <cell r="I2892">
            <v>40</v>
          </cell>
        </row>
        <row r="2893">
          <cell r="A2893" t="str">
            <v>B558163/A</v>
          </cell>
          <cell r="B2893" t="str">
            <v>RH4095M152</v>
          </cell>
          <cell r="C2893">
            <v>10</v>
          </cell>
          <cell r="D2893">
            <v>631.91999999999996</v>
          </cell>
          <cell r="E2893">
            <v>6319.2</v>
          </cell>
          <cell r="F2893" t="str">
            <v>A7-S1</v>
          </cell>
          <cell r="G2893" t="str">
            <v xml:space="preserve">Front panel  - Ván tiền </v>
          </cell>
          <cell r="H2893" t="str">
            <v>MDF Veneer</v>
          </cell>
          <cell r="I2893">
            <v>10</v>
          </cell>
        </row>
        <row r="2894">
          <cell r="A2894" t="str">
            <v>B558163/A</v>
          </cell>
          <cell r="B2894" t="str">
            <v>RH4095M152</v>
          </cell>
          <cell r="C2894">
            <v>10</v>
          </cell>
          <cell r="D2894">
            <v>631.91999999999996</v>
          </cell>
          <cell r="E2894">
            <v>6319.2</v>
          </cell>
          <cell r="F2894" t="str">
            <v>A7-S2</v>
          </cell>
          <cell r="G2894" t="str">
            <v>Back panel - Ván hậu</v>
          </cell>
          <cell r="H2894" t="str">
            <v>Wood US Poplar - Straight Edged, 2 COM - T25mm x W100mm Up x L1.8m Up</v>
          </cell>
          <cell r="I2894">
            <v>10</v>
          </cell>
        </row>
        <row r="2895">
          <cell r="A2895" t="str">
            <v>B558163/A</v>
          </cell>
          <cell r="B2895" t="str">
            <v>RH4095M152</v>
          </cell>
          <cell r="C2895">
            <v>10</v>
          </cell>
          <cell r="D2895">
            <v>631.91999999999996</v>
          </cell>
          <cell r="E2895">
            <v>6319.2</v>
          </cell>
          <cell r="F2895" t="str">
            <v>A7-S3</v>
          </cell>
          <cell r="G2895" t="str">
            <v>Center panel - Ván giữa</v>
          </cell>
          <cell r="H2895" t="str">
            <v>MDF Veneer</v>
          </cell>
          <cell r="I2895">
            <v>10</v>
          </cell>
        </row>
        <row r="2896">
          <cell r="A2896" t="str">
            <v>B558163/A</v>
          </cell>
          <cell r="B2896" t="str">
            <v>RH4095M152</v>
          </cell>
          <cell r="C2896">
            <v>10</v>
          </cell>
          <cell r="D2896">
            <v>631.91999999999996</v>
          </cell>
          <cell r="E2896">
            <v>6319.2</v>
          </cell>
          <cell r="F2896" t="str">
            <v>A7-S5</v>
          </cell>
          <cell r="G2896" t="str">
            <v>Bottom panel - Ván đáy</v>
          </cell>
          <cell r="H2896" t="str">
            <v>MDF - 06 x 1220 x 2440mm, Veneer Okoume 0.3mm Both Faces [CARB P2 Compliant]</v>
          </cell>
          <cell r="I2896">
            <v>10</v>
          </cell>
        </row>
        <row r="2897">
          <cell r="A2897" t="str">
            <v>B558163/A</v>
          </cell>
          <cell r="B2897" t="str">
            <v>RH4095M152</v>
          </cell>
          <cell r="C2897">
            <v>10</v>
          </cell>
          <cell r="D2897">
            <v>631.91999999999996</v>
          </cell>
          <cell r="E2897">
            <v>6319.2</v>
          </cell>
          <cell r="F2897" t="str">
            <v>A7-S6</v>
          </cell>
          <cell r="G2897" t="str">
            <v xml:space="preserve">Side rail  - Đố hông </v>
          </cell>
          <cell r="H2897" t="str">
            <v>Wood US Poplar - Straight Edged, 2 COM - T25mm x W100mm Up x L1.8m Up</v>
          </cell>
          <cell r="I2897">
            <v>10</v>
          </cell>
        </row>
        <row r="2898">
          <cell r="A2898" t="str">
            <v>B558163/A</v>
          </cell>
          <cell r="B2898" t="str">
            <v>RH4095M152</v>
          </cell>
          <cell r="C2898">
            <v>10</v>
          </cell>
          <cell r="D2898">
            <v>631.91999999999996</v>
          </cell>
          <cell r="E2898">
            <v>6319.2</v>
          </cell>
          <cell r="F2898" t="str">
            <v>A7-S6-1</v>
          </cell>
          <cell r="G2898" t="str">
            <v xml:space="preserve">Side rail  - Đố hông </v>
          </cell>
          <cell r="H2898" t="str">
            <v>Wood US Poplar - Straight Edged, 2 COM - T25mm x W100mm Up x L1.8m Up</v>
          </cell>
          <cell r="I2898">
            <v>10</v>
          </cell>
        </row>
        <row r="2899">
          <cell r="A2899" t="str">
            <v>B558163/A</v>
          </cell>
          <cell r="B2899" t="str">
            <v>RH4095M152</v>
          </cell>
          <cell r="C2899">
            <v>10</v>
          </cell>
          <cell r="D2899">
            <v>631.91999999999996</v>
          </cell>
          <cell r="E2899">
            <v>6319.2</v>
          </cell>
          <cell r="F2899" t="str">
            <v>A8-S1</v>
          </cell>
          <cell r="G2899" t="str">
            <v xml:space="preserve">Drawer front - Mặt hộc kéo </v>
          </cell>
          <cell r="H2899" t="str">
            <v>MDF Veneer</v>
          </cell>
          <cell r="I2899">
            <v>20</v>
          </cell>
        </row>
        <row r="2900">
          <cell r="A2900" t="str">
            <v>B558163/A</v>
          </cell>
          <cell r="B2900" t="str">
            <v>RH4095M152</v>
          </cell>
          <cell r="C2900">
            <v>10</v>
          </cell>
          <cell r="D2900">
            <v>631.91999999999996</v>
          </cell>
          <cell r="E2900">
            <v>6319.2</v>
          </cell>
          <cell r="F2900" t="str">
            <v>A8-S2</v>
          </cell>
          <cell r="G2900" t="str">
            <v>Drawer side - Hông hộc kéo</v>
          </cell>
          <cell r="H2900" t="str">
            <v>MDF-N - 12 x 1220 x 2440mm, Veneer Poplar Rotary 0.45mm Both Faces [CARB P2 Compliant]</v>
          </cell>
          <cell r="I2900">
            <v>40</v>
          </cell>
        </row>
        <row r="2901">
          <cell r="A2901" t="str">
            <v>B558163/A</v>
          </cell>
          <cell r="B2901" t="str">
            <v>RH4095M152</v>
          </cell>
          <cell r="C2901">
            <v>10</v>
          </cell>
          <cell r="D2901">
            <v>631.91999999999996</v>
          </cell>
          <cell r="E2901">
            <v>6319.2</v>
          </cell>
          <cell r="F2901" t="str">
            <v>A8-S3</v>
          </cell>
          <cell r="G2901" t="str">
            <v xml:space="preserve">Drawer front 1 - Mặt hộc kéo </v>
          </cell>
          <cell r="H2901" t="str">
            <v>MDF-N - 12 x 1220 x 2440mm, Veneer Poplar Rotary 0.45mm Both Faces [CARB P2 Compliant]</v>
          </cell>
          <cell r="I2901">
            <v>20</v>
          </cell>
        </row>
        <row r="2902">
          <cell r="A2902" t="str">
            <v>B558163/A</v>
          </cell>
          <cell r="B2902" t="str">
            <v>RH4095M152</v>
          </cell>
          <cell r="C2902">
            <v>10</v>
          </cell>
          <cell r="D2902">
            <v>631.91999999999996</v>
          </cell>
          <cell r="E2902">
            <v>6319.2</v>
          </cell>
          <cell r="F2902" t="str">
            <v>A8-S4</v>
          </cell>
          <cell r="G2902" t="str">
            <v>Drawer back - Hậu hộc kéo</v>
          </cell>
          <cell r="H2902" t="str">
            <v>MDF-N - 12 x 1220 x 2440mm, Veneer Poplar Rotary 0.45mm Both Faces [CARB P2 Compliant]</v>
          </cell>
          <cell r="I2902">
            <v>20</v>
          </cell>
        </row>
        <row r="2903">
          <cell r="A2903" t="str">
            <v>B558163/A</v>
          </cell>
          <cell r="B2903" t="str">
            <v>RH4095M152</v>
          </cell>
          <cell r="C2903">
            <v>10</v>
          </cell>
          <cell r="D2903">
            <v>631.91999999999996</v>
          </cell>
          <cell r="E2903">
            <v>6319.2</v>
          </cell>
          <cell r="F2903" t="str">
            <v>A8-S5</v>
          </cell>
          <cell r="G2903" t="str">
            <v>Drawer bottom  - Đáy hộc kéo</v>
          </cell>
          <cell r="H2903" t="str">
            <v>MDF - 06 x 1220 x 2440mm, Veneer Poplar 0.42mm + Veneer Engineering 0.3mm [CARB P2 Compliant]</v>
          </cell>
          <cell r="I2903">
            <v>60</v>
          </cell>
        </row>
        <row r="2904">
          <cell r="A2904" t="str">
            <v>B558163/A</v>
          </cell>
          <cell r="B2904" t="str">
            <v>RH4095M152</v>
          </cell>
          <cell r="C2904">
            <v>10</v>
          </cell>
          <cell r="D2904">
            <v>631.91999999999996</v>
          </cell>
          <cell r="E2904">
            <v>6319.2</v>
          </cell>
          <cell r="F2904" t="str">
            <v>A8-S6</v>
          </cell>
          <cell r="G2904" t="str">
            <v>Corner block - ke góc</v>
          </cell>
          <cell r="H2904" t="str">
            <v>Poplar off cut</v>
          </cell>
          <cell r="I2904">
            <v>120</v>
          </cell>
        </row>
        <row r="2905">
          <cell r="A2905" t="str">
            <v>B558163/A</v>
          </cell>
          <cell r="B2905" t="str">
            <v>RH4095M152</v>
          </cell>
          <cell r="C2905">
            <v>10</v>
          </cell>
          <cell r="D2905">
            <v>631.91999999999996</v>
          </cell>
          <cell r="E2905">
            <v>6319.2</v>
          </cell>
          <cell r="F2905" t="str">
            <v>A8-S7</v>
          </cell>
          <cell r="G2905" t="str">
            <v>Patching wood - Gỗ đắp</v>
          </cell>
          <cell r="H2905" t="str">
            <v>Poplar off cut</v>
          </cell>
          <cell r="I2905">
            <v>120</v>
          </cell>
        </row>
        <row r="2906">
          <cell r="A2906" t="str">
            <v>B558163/A</v>
          </cell>
          <cell r="B2906" t="str">
            <v>RH4095M152</v>
          </cell>
          <cell r="C2906">
            <v>10</v>
          </cell>
          <cell r="D2906">
            <v>631.91999999999996</v>
          </cell>
          <cell r="E2906">
            <v>6319.2</v>
          </cell>
          <cell r="F2906" t="str">
            <v>A9-S1</v>
          </cell>
          <cell r="G2906" t="str">
            <v xml:space="preserve">Drawer front - Mặt hộc kéo </v>
          </cell>
          <cell r="H2906" t="str">
            <v>MDF Veneer</v>
          </cell>
          <cell r="I2906">
            <v>40</v>
          </cell>
        </row>
        <row r="2907">
          <cell r="A2907" t="str">
            <v>B558163/A</v>
          </cell>
          <cell r="B2907" t="str">
            <v>RH4095M152</v>
          </cell>
          <cell r="C2907">
            <v>10</v>
          </cell>
          <cell r="D2907">
            <v>631.91999999999996</v>
          </cell>
          <cell r="E2907">
            <v>6319.2</v>
          </cell>
          <cell r="F2907" t="str">
            <v>A9-S2</v>
          </cell>
          <cell r="G2907" t="str">
            <v>Drawer side - Hông hộc kéo</v>
          </cell>
          <cell r="H2907" t="str">
            <v>MDF-N - 12 x 1220 x 2440mm, Veneer Poplar Rotary 0.45mm Both Faces [CARB P2 Compliant]</v>
          </cell>
          <cell r="I2907">
            <v>80</v>
          </cell>
        </row>
        <row r="2908">
          <cell r="A2908" t="str">
            <v>B558163/A</v>
          </cell>
          <cell r="B2908" t="str">
            <v>RH4095M152</v>
          </cell>
          <cell r="C2908">
            <v>10</v>
          </cell>
          <cell r="D2908">
            <v>631.91999999999996</v>
          </cell>
          <cell r="E2908">
            <v>6319.2</v>
          </cell>
          <cell r="F2908" t="str">
            <v>A9-S3</v>
          </cell>
          <cell r="G2908" t="str">
            <v xml:space="preserve">Drawer front 1 - Mặt hộc kéo </v>
          </cell>
          <cell r="H2908" t="str">
            <v>MDF-N - 12 x 1220 x 2440mm, Veneer Poplar Rotary 0.45mm Both Faces [CARB P2 Compliant]</v>
          </cell>
          <cell r="I2908">
            <v>40</v>
          </cell>
        </row>
        <row r="2909">
          <cell r="A2909" t="str">
            <v>B558163/A</v>
          </cell>
          <cell r="B2909" t="str">
            <v>RH4095M152</v>
          </cell>
          <cell r="C2909">
            <v>10</v>
          </cell>
          <cell r="D2909">
            <v>631.91999999999996</v>
          </cell>
          <cell r="E2909">
            <v>6319.2</v>
          </cell>
          <cell r="F2909" t="str">
            <v>A9-S4</v>
          </cell>
          <cell r="G2909" t="str">
            <v>Drawer back - Hậu hộc kéo</v>
          </cell>
          <cell r="H2909" t="str">
            <v>MDF-N - 12 x 1220 x 2440mm, Veneer Poplar Rotary 0.45mm Both Faces [CARB P2 Compliant]</v>
          </cell>
          <cell r="I2909">
            <v>40</v>
          </cell>
        </row>
        <row r="2910">
          <cell r="A2910" t="str">
            <v>B558163/A</v>
          </cell>
          <cell r="B2910" t="str">
            <v>RH4095M152</v>
          </cell>
          <cell r="C2910">
            <v>10</v>
          </cell>
          <cell r="D2910">
            <v>631.91999999999996</v>
          </cell>
          <cell r="E2910">
            <v>6319.2</v>
          </cell>
          <cell r="F2910" t="str">
            <v>P01</v>
          </cell>
          <cell r="G2910" t="str">
            <v>Back panel - Ván hậu</v>
          </cell>
          <cell r="H2910" t="str">
            <v>MDF - 18 x 1830 x 2440mm [CARB P2 Compliant]</v>
          </cell>
          <cell r="I2910">
            <v>20</v>
          </cell>
        </row>
        <row r="2911">
          <cell r="A2911" t="str">
            <v>B558163/A</v>
          </cell>
          <cell r="B2911" t="str">
            <v>RH4095M152</v>
          </cell>
          <cell r="C2911">
            <v>10</v>
          </cell>
          <cell r="D2911">
            <v>631.91999999999996</v>
          </cell>
          <cell r="E2911">
            <v>6319.2</v>
          </cell>
          <cell r="F2911" t="str">
            <v>P02</v>
          </cell>
          <cell r="G2911" t="str">
            <v>Cleat - Bọ gỗ</v>
          </cell>
          <cell r="H2911" t="str">
            <v>Wood US Poplar - Straight Edged, 2 COM - T25mm x W100mm Up x L1.8m Up</v>
          </cell>
          <cell r="I2911">
            <v>40</v>
          </cell>
        </row>
        <row r="2912">
          <cell r="A2912" t="str">
            <v>B558163/A</v>
          </cell>
          <cell r="B2912" t="str">
            <v>RH4095M152</v>
          </cell>
          <cell r="C2912">
            <v>10</v>
          </cell>
          <cell r="D2912">
            <v>631.91999999999996</v>
          </cell>
          <cell r="E2912">
            <v>6319.2</v>
          </cell>
          <cell r="F2912" t="str">
            <v>P03</v>
          </cell>
          <cell r="G2912" t="str">
            <v>Cleat - Bọ gỗ</v>
          </cell>
          <cell r="H2912" t="str">
            <v>Wood US Poplar - Straight Edged, 2 COM - T25mm x W100mm Up x L1.8m Up</v>
          </cell>
          <cell r="I2912">
            <v>40</v>
          </cell>
        </row>
        <row r="2913">
          <cell r="A2913" t="str">
            <v>B558163/A</v>
          </cell>
          <cell r="B2913" t="str">
            <v>RH4095M152</v>
          </cell>
          <cell r="C2913">
            <v>10</v>
          </cell>
          <cell r="D2913">
            <v>631.91999999999996</v>
          </cell>
          <cell r="E2913">
            <v>6319.2</v>
          </cell>
          <cell r="F2913" t="str">
            <v>P03-1</v>
          </cell>
          <cell r="G2913" t="str">
            <v>Cleat - Bọ gỗ</v>
          </cell>
          <cell r="H2913" t="str">
            <v>Wood US Poplar - Straight Edged, 2 COM - T25mm x W100mm Up x L1.8m Up</v>
          </cell>
          <cell r="I2913">
            <v>40</v>
          </cell>
        </row>
        <row r="2914">
          <cell r="A2914" t="str">
            <v>B558163/A</v>
          </cell>
          <cell r="B2914" t="str">
            <v>RH4095M152</v>
          </cell>
          <cell r="C2914">
            <v>10</v>
          </cell>
          <cell r="D2914">
            <v>631.91999999999996</v>
          </cell>
          <cell r="E2914">
            <v>6319.2</v>
          </cell>
          <cell r="F2914" t="str">
            <v>P05</v>
          </cell>
          <cell r="G2914" t="str">
            <v>Patching wood - Gỗ đắp</v>
          </cell>
          <cell r="H2914" t="str">
            <v>Wood US Poplar - Straight Edged, 2 COM - T32mm x W100mm Up x L1.8m Up</v>
          </cell>
          <cell r="I2914">
            <v>110</v>
          </cell>
        </row>
        <row r="2915">
          <cell r="A2915" t="str">
            <v>B558163/A</v>
          </cell>
          <cell r="B2915" t="str">
            <v>RH4095M152</v>
          </cell>
          <cell r="C2915">
            <v>10</v>
          </cell>
          <cell r="D2915">
            <v>631.91999999999996</v>
          </cell>
          <cell r="E2915">
            <v>6319.2</v>
          </cell>
          <cell r="F2915" t="str">
            <v>P05-1</v>
          </cell>
          <cell r="G2915" t="str">
            <v>Patching wood - Gỗ đắp</v>
          </cell>
          <cell r="H2915" t="str">
            <v>Wood US Poplar - Straight Edged, 2 COM - T32mm x W100mm Up x L1.8m Up</v>
          </cell>
          <cell r="I2915">
            <v>10</v>
          </cell>
        </row>
        <row r="2916">
          <cell r="A2916" t="str">
            <v>B558163/A</v>
          </cell>
          <cell r="B2916" t="str">
            <v>RH4095M152</v>
          </cell>
          <cell r="C2916">
            <v>10</v>
          </cell>
          <cell r="D2916">
            <v>631.91999999999996</v>
          </cell>
          <cell r="E2916">
            <v>6319.2</v>
          </cell>
          <cell r="F2916" t="str">
            <v>P06</v>
          </cell>
          <cell r="G2916" t="str">
            <v>Corner block - ke góc</v>
          </cell>
          <cell r="H2916" t="str">
            <v>Poplar off cut</v>
          </cell>
          <cell r="I2916">
            <v>240</v>
          </cell>
        </row>
        <row r="2917">
          <cell r="A2917" t="str">
            <v>B558163/A</v>
          </cell>
          <cell r="B2917" t="str">
            <v>RH4095M152</v>
          </cell>
          <cell r="C2917">
            <v>10</v>
          </cell>
          <cell r="D2917">
            <v>631.91999999999996</v>
          </cell>
          <cell r="E2917">
            <v>6319.2</v>
          </cell>
          <cell r="F2917" t="str">
            <v>P07</v>
          </cell>
          <cell r="G2917" t="str">
            <v xml:space="preserve">Top panel  - Ván nóc </v>
          </cell>
          <cell r="H2917" t="str">
            <v>MDF - 18 x 1830 x 2440mm [CARB P2 Compliant]</v>
          </cell>
          <cell r="I2917">
            <v>10</v>
          </cell>
        </row>
        <row r="2918">
          <cell r="A2918" t="str">
            <v>B558163/A</v>
          </cell>
          <cell r="B2918" t="str">
            <v>RH4095M152</v>
          </cell>
          <cell r="C2918">
            <v>10</v>
          </cell>
          <cell r="D2918">
            <v>631.91999999999996</v>
          </cell>
          <cell r="E2918">
            <v>6319.2</v>
          </cell>
          <cell r="F2918" t="str">
            <v>P07-1</v>
          </cell>
          <cell r="G2918" t="str">
            <v>Tenon - Mộng cấy</v>
          </cell>
          <cell r="H2918" t="str">
            <v>Beech off cut</v>
          </cell>
          <cell r="I2918">
            <v>20</v>
          </cell>
        </row>
        <row r="2919">
          <cell r="A2919" t="str">
            <v>B558163/A</v>
          </cell>
          <cell r="B2919" t="str">
            <v>RH4095M152</v>
          </cell>
          <cell r="C2919">
            <v>10</v>
          </cell>
          <cell r="D2919">
            <v>631.91999999999996</v>
          </cell>
          <cell r="E2919">
            <v>6319.2</v>
          </cell>
          <cell r="F2919" t="str">
            <v>P08</v>
          </cell>
          <cell r="G2919" t="str">
            <v>Front top rail  - Đố tiền nóc</v>
          </cell>
          <cell r="H2919" t="str">
            <v>Wood US Poplar - Straight Edged, 2 COM - T32mm x W100mm Up x L1.8m Up</v>
          </cell>
          <cell r="I2919">
            <v>10</v>
          </cell>
        </row>
        <row r="2920">
          <cell r="A2920" t="str">
            <v>B558163/A</v>
          </cell>
          <cell r="B2920" t="str">
            <v>RH4095M152</v>
          </cell>
          <cell r="C2920">
            <v>10</v>
          </cell>
          <cell r="D2920">
            <v>631.91999999999996</v>
          </cell>
          <cell r="E2920">
            <v>6319.2</v>
          </cell>
          <cell r="F2920" t="str">
            <v>P09</v>
          </cell>
          <cell r="G2920" t="str">
            <v>Back top rail - Đố hậu nóc</v>
          </cell>
          <cell r="H2920" t="str">
            <v>Wood US Poplar - Straight Edged, 2 COM - T25mm x W100mm Up x L1.8m Up</v>
          </cell>
          <cell r="I2920">
            <v>20</v>
          </cell>
        </row>
        <row r="2921">
          <cell r="A2921" t="str">
            <v>B558163/A</v>
          </cell>
          <cell r="B2921" t="str">
            <v>RH4095M152</v>
          </cell>
          <cell r="C2921">
            <v>10</v>
          </cell>
          <cell r="D2921">
            <v>631.91999999999996</v>
          </cell>
          <cell r="E2921">
            <v>6319.2</v>
          </cell>
          <cell r="F2921" t="str">
            <v>P12</v>
          </cell>
          <cell r="G2921" t="str">
            <v xml:space="preserve">Top panel  - Ván nóc </v>
          </cell>
          <cell r="H2921" t="str">
            <v>Wood US Poplar - Straight Edged, 2 COM - T25mm x W100mm Up x L1.8m Up</v>
          </cell>
          <cell r="I2921">
            <v>10</v>
          </cell>
        </row>
        <row r="2922">
          <cell r="A2922" t="str">
            <v>B558163/A</v>
          </cell>
          <cell r="B2922" t="str">
            <v>RH4095M152</v>
          </cell>
          <cell r="C2922">
            <v>10</v>
          </cell>
          <cell r="D2922">
            <v>631.91999999999996</v>
          </cell>
          <cell r="E2922">
            <v>6319.2</v>
          </cell>
          <cell r="F2922" t="str">
            <v>P13</v>
          </cell>
          <cell r="G2922" t="str">
            <v>Drawer stop - Dừng hộc</v>
          </cell>
          <cell r="H2922" t="str">
            <v>Poplar off cut</v>
          </cell>
          <cell r="I2922">
            <v>120</v>
          </cell>
        </row>
        <row r="2923">
          <cell r="A2923" t="str">
            <v>B558324/A</v>
          </cell>
          <cell r="B2923" t="str">
            <v>RH4511M381</v>
          </cell>
          <cell r="C2923">
            <v>12</v>
          </cell>
          <cell r="D2923">
            <v>550</v>
          </cell>
          <cell r="E2923">
            <v>6600</v>
          </cell>
          <cell r="F2923" t="str">
            <v>A1-S01</v>
          </cell>
          <cell r="G2923" t="str">
            <v>Vertical rail 1 - Đố đứng 1</v>
          </cell>
          <cell r="H2923" t="str">
            <v>Wood laminate</v>
          </cell>
          <cell r="I2923">
            <v>48</v>
          </cell>
        </row>
        <row r="2924">
          <cell r="A2924" t="str">
            <v>B558324/A</v>
          </cell>
          <cell r="B2924" t="str">
            <v>RH4511M381</v>
          </cell>
          <cell r="C2924">
            <v>12</v>
          </cell>
          <cell r="D2924">
            <v>550</v>
          </cell>
          <cell r="E2924">
            <v>6600</v>
          </cell>
          <cell r="F2924" t="str">
            <v>A1-S02</v>
          </cell>
          <cell r="G2924" t="str">
            <v>Side top rail - Đố hông trên</v>
          </cell>
          <cell r="H2924" t="str">
            <v>Wood White Oak - Straight/Waving Edged, 1 COM - T32mm x W100mm Up x L1.8m Up</v>
          </cell>
          <cell r="I2924">
            <v>24</v>
          </cell>
        </row>
        <row r="2925">
          <cell r="A2925" t="str">
            <v>B558324/A</v>
          </cell>
          <cell r="B2925" t="str">
            <v>RH4511M381</v>
          </cell>
          <cell r="C2925">
            <v>12</v>
          </cell>
          <cell r="D2925">
            <v>550</v>
          </cell>
          <cell r="E2925">
            <v>6600</v>
          </cell>
          <cell r="F2925" t="str">
            <v>A1-S03</v>
          </cell>
          <cell r="G2925" t="str">
            <v>Side bottom rail - Đố hông dưới</v>
          </cell>
          <cell r="H2925" t="str">
            <v>Wood White Oak - Straight/Waving Edged, 1 COM - T32mm x W100mm Up x L1.8m Up</v>
          </cell>
          <cell r="I2925">
            <v>24</v>
          </cell>
        </row>
        <row r="2926">
          <cell r="A2926" t="str">
            <v>B558324/A</v>
          </cell>
          <cell r="B2926" t="str">
            <v>RH4511M381</v>
          </cell>
          <cell r="C2926">
            <v>12</v>
          </cell>
          <cell r="D2926">
            <v>550</v>
          </cell>
          <cell r="E2926">
            <v>6600</v>
          </cell>
          <cell r="F2926" t="str">
            <v>P01</v>
          </cell>
          <cell r="G2926" t="str">
            <v xml:space="preserve">Top panel  - Ván nóc </v>
          </cell>
          <cell r="H2926" t="str">
            <v>MDF Veneer</v>
          </cell>
          <cell r="I2926">
            <v>12</v>
          </cell>
        </row>
        <row r="2927">
          <cell r="A2927" t="str">
            <v>B558324/A</v>
          </cell>
          <cell r="B2927" t="str">
            <v>RH4511M381</v>
          </cell>
          <cell r="C2927">
            <v>12</v>
          </cell>
          <cell r="D2927">
            <v>550</v>
          </cell>
          <cell r="E2927">
            <v>6600</v>
          </cell>
          <cell r="F2927" t="str">
            <v>P02</v>
          </cell>
          <cell r="G2927" t="str">
            <v>Top rail - Đố nóc</v>
          </cell>
          <cell r="H2927" t="str">
            <v>Wood White Oak - Straight/Waving Edged, 1 COM - T32mm x W100mm Up x L1.8m Up</v>
          </cell>
          <cell r="I2927">
            <v>24</v>
          </cell>
        </row>
        <row r="2928">
          <cell r="A2928" t="str">
            <v>B558324/A</v>
          </cell>
          <cell r="B2928" t="str">
            <v>RH4511M381</v>
          </cell>
          <cell r="C2928">
            <v>12</v>
          </cell>
          <cell r="D2928">
            <v>550</v>
          </cell>
          <cell r="E2928">
            <v>6600</v>
          </cell>
          <cell r="F2928" t="str">
            <v>P03</v>
          </cell>
          <cell r="G2928" t="str">
            <v>Bottom panel - Ván đáy</v>
          </cell>
          <cell r="H2928" t="str">
            <v>MDF Veneer</v>
          </cell>
          <cell r="I2928">
            <v>12</v>
          </cell>
        </row>
        <row r="2929">
          <cell r="A2929" t="str">
            <v>B558324/A</v>
          </cell>
          <cell r="B2929" t="str">
            <v>RH4511M381</v>
          </cell>
          <cell r="C2929">
            <v>12</v>
          </cell>
          <cell r="D2929">
            <v>550</v>
          </cell>
          <cell r="E2929">
            <v>6600</v>
          </cell>
          <cell r="F2929" t="str">
            <v>P04</v>
          </cell>
          <cell r="G2929" t="str">
            <v>Front Bottom Rail  - Đố đáy trước</v>
          </cell>
          <cell r="H2929" t="str">
            <v>Wood White Oak - Straight/Waving Edged, 1 COM - T32mm x W100mm Up x L1.8m Up</v>
          </cell>
          <cell r="I2929">
            <v>24</v>
          </cell>
        </row>
        <row r="2930">
          <cell r="A2930" t="str">
            <v>B558324/A</v>
          </cell>
          <cell r="B2930" t="str">
            <v>RH4511M381</v>
          </cell>
          <cell r="C2930">
            <v>12</v>
          </cell>
          <cell r="D2930">
            <v>550</v>
          </cell>
          <cell r="E2930">
            <v>6600</v>
          </cell>
          <cell r="F2930" t="str">
            <v>P05</v>
          </cell>
          <cell r="G2930" t="str">
            <v>Fixed Shelf  - Kệ bắt chết</v>
          </cell>
          <cell r="H2930" t="str">
            <v>MDF Veneer</v>
          </cell>
          <cell r="I2930">
            <v>48</v>
          </cell>
        </row>
        <row r="2931">
          <cell r="A2931" t="str">
            <v>B558326/A</v>
          </cell>
          <cell r="B2931" t="str">
            <v>RH4511M383</v>
          </cell>
          <cell r="C2931">
            <v>10</v>
          </cell>
          <cell r="D2931">
            <v>550</v>
          </cell>
          <cell r="E2931">
            <v>5500</v>
          </cell>
          <cell r="F2931" t="str">
            <v>A1-S01</v>
          </cell>
          <cell r="G2931" t="str">
            <v>Vertical rail 1 - Đố đứng 1</v>
          </cell>
          <cell r="H2931" t="str">
            <v>Wood laminate</v>
          </cell>
          <cell r="I2931">
            <v>40</v>
          </cell>
        </row>
        <row r="2932">
          <cell r="A2932" t="str">
            <v>B558326/A</v>
          </cell>
          <cell r="B2932" t="str">
            <v>RH4511M383</v>
          </cell>
          <cell r="C2932">
            <v>10</v>
          </cell>
          <cell r="D2932">
            <v>550</v>
          </cell>
          <cell r="E2932">
            <v>5500</v>
          </cell>
          <cell r="F2932" t="str">
            <v>A1-S02</v>
          </cell>
          <cell r="G2932" t="str">
            <v>Side top rail - Đố hông trên</v>
          </cell>
          <cell r="H2932" t="str">
            <v>Wood White Oak - Straight/Waving Edged, 1 COM - T32mm x W100mm Up x L1.8m Up</v>
          </cell>
          <cell r="I2932">
            <v>20</v>
          </cell>
        </row>
        <row r="2933">
          <cell r="A2933" t="str">
            <v>B558326/A</v>
          </cell>
          <cell r="B2933" t="str">
            <v>RH4511M383</v>
          </cell>
          <cell r="C2933">
            <v>10</v>
          </cell>
          <cell r="D2933">
            <v>550</v>
          </cell>
          <cell r="E2933">
            <v>5500</v>
          </cell>
          <cell r="F2933" t="str">
            <v>A1-S03</v>
          </cell>
          <cell r="G2933" t="str">
            <v>Side bottom rail - Đố hông dưới</v>
          </cell>
          <cell r="H2933" t="str">
            <v>Wood White Oak - Straight/Waving Edged, 1 COM - T32mm x W100mm Up x L1.8m Up</v>
          </cell>
          <cell r="I2933">
            <v>20</v>
          </cell>
        </row>
        <row r="2934">
          <cell r="A2934" t="str">
            <v>B558326/A</v>
          </cell>
          <cell r="B2934" t="str">
            <v>RH4511M383</v>
          </cell>
          <cell r="C2934">
            <v>10</v>
          </cell>
          <cell r="D2934">
            <v>550</v>
          </cell>
          <cell r="E2934">
            <v>5500</v>
          </cell>
          <cell r="F2934" t="str">
            <v>P01</v>
          </cell>
          <cell r="G2934" t="str">
            <v xml:space="preserve">Top panel  - Ván nóc </v>
          </cell>
          <cell r="H2934" t="str">
            <v>MDF Veneer</v>
          </cell>
          <cell r="I2934">
            <v>10</v>
          </cell>
        </row>
        <row r="2935">
          <cell r="A2935" t="str">
            <v>B558326/A</v>
          </cell>
          <cell r="B2935" t="str">
            <v>RH4511M383</v>
          </cell>
          <cell r="C2935">
            <v>10</v>
          </cell>
          <cell r="D2935">
            <v>550</v>
          </cell>
          <cell r="E2935">
            <v>5500</v>
          </cell>
          <cell r="F2935" t="str">
            <v>P02</v>
          </cell>
          <cell r="G2935" t="str">
            <v>Top rail - Đố nóc</v>
          </cell>
          <cell r="H2935" t="str">
            <v>Wood White Oak - Straight/Waving Edged, 1 COM - T32mm x W100mm Up x L1.8m Up</v>
          </cell>
          <cell r="I2935">
            <v>20</v>
          </cell>
        </row>
        <row r="2936">
          <cell r="A2936" t="str">
            <v>B558326/A</v>
          </cell>
          <cell r="B2936" t="str">
            <v>RH4511M383</v>
          </cell>
          <cell r="C2936">
            <v>10</v>
          </cell>
          <cell r="D2936">
            <v>550</v>
          </cell>
          <cell r="E2936">
            <v>5500</v>
          </cell>
          <cell r="F2936" t="str">
            <v>P03</v>
          </cell>
          <cell r="G2936" t="str">
            <v>Bottom panel - Ván đáy</v>
          </cell>
          <cell r="H2936" t="str">
            <v>MDF Veneer</v>
          </cell>
          <cell r="I2936">
            <v>10</v>
          </cell>
        </row>
        <row r="2937">
          <cell r="A2937" t="str">
            <v>B558326/A</v>
          </cell>
          <cell r="B2937" t="str">
            <v>RH4511M383</v>
          </cell>
          <cell r="C2937">
            <v>10</v>
          </cell>
          <cell r="D2937">
            <v>550</v>
          </cell>
          <cell r="E2937">
            <v>5500</v>
          </cell>
          <cell r="F2937" t="str">
            <v>P04</v>
          </cell>
          <cell r="G2937" t="str">
            <v>Front Bottom Rail  - Đố đáy trước</v>
          </cell>
          <cell r="H2937" t="str">
            <v>Wood White Oak - Straight/Waving Edged, 1 COM - T32mm x W100mm Up x L1.8m Up</v>
          </cell>
          <cell r="I2937">
            <v>20</v>
          </cell>
        </row>
        <row r="2938">
          <cell r="A2938" t="str">
            <v>B558326/A</v>
          </cell>
          <cell r="B2938" t="str">
            <v>RH4511M383</v>
          </cell>
          <cell r="C2938">
            <v>10</v>
          </cell>
          <cell r="D2938">
            <v>550</v>
          </cell>
          <cell r="E2938">
            <v>5500</v>
          </cell>
          <cell r="F2938" t="str">
            <v>P05</v>
          </cell>
          <cell r="G2938" t="str">
            <v>Fixed Shelf  - Kệ bắt chết</v>
          </cell>
          <cell r="H2938" t="str">
            <v>MDF Veneer</v>
          </cell>
          <cell r="I2938">
            <v>40</v>
          </cell>
        </row>
        <row r="2939">
          <cell r="A2939" t="str">
            <v>B558328/A</v>
          </cell>
          <cell r="B2939" t="str">
            <v>RH4511M409</v>
          </cell>
          <cell r="C2939">
            <v>7</v>
          </cell>
          <cell r="D2939">
            <v>550</v>
          </cell>
          <cell r="E2939">
            <v>3850</v>
          </cell>
          <cell r="F2939" t="str">
            <v>A1-S01</v>
          </cell>
          <cell r="G2939" t="str">
            <v>Vertical rail 1 - Đố đứng 1</v>
          </cell>
          <cell r="H2939" t="str">
            <v>Wood laminate</v>
          </cell>
          <cell r="I2939">
            <v>28</v>
          </cell>
        </row>
        <row r="2940">
          <cell r="A2940" t="str">
            <v>B558328/A</v>
          </cell>
          <cell r="B2940" t="str">
            <v>RH4511M409</v>
          </cell>
          <cell r="C2940">
            <v>7</v>
          </cell>
          <cell r="D2940">
            <v>550</v>
          </cell>
          <cell r="E2940">
            <v>3850</v>
          </cell>
          <cell r="F2940" t="str">
            <v>A1-S02</v>
          </cell>
          <cell r="G2940" t="str">
            <v>Side top rail - Đố hông trên</v>
          </cell>
          <cell r="H2940" t="str">
            <v>Wood White Oak - Straight/Waving Edged, 1 COM - T32mm x W100mm Up x L1.8m Up</v>
          </cell>
          <cell r="I2940">
            <v>14</v>
          </cell>
        </row>
        <row r="2941">
          <cell r="A2941" t="str">
            <v>B558328/A</v>
          </cell>
          <cell r="B2941" t="str">
            <v>RH4511M409</v>
          </cell>
          <cell r="C2941">
            <v>7</v>
          </cell>
          <cell r="D2941">
            <v>550</v>
          </cell>
          <cell r="E2941">
            <v>3850</v>
          </cell>
          <cell r="F2941" t="str">
            <v>A1-S03</v>
          </cell>
          <cell r="G2941" t="str">
            <v>Side bottom rail - Đố hông dưới</v>
          </cell>
          <cell r="H2941" t="str">
            <v>Wood White Oak - Straight/Waving Edged, 1 COM - T32mm x W100mm Up x L1.8m Up</v>
          </cell>
          <cell r="I2941">
            <v>14</v>
          </cell>
        </row>
        <row r="2942">
          <cell r="A2942" t="str">
            <v>B558328/A</v>
          </cell>
          <cell r="B2942" t="str">
            <v>RH4511M409</v>
          </cell>
          <cell r="C2942">
            <v>7</v>
          </cell>
          <cell r="D2942">
            <v>550</v>
          </cell>
          <cell r="E2942">
            <v>3850</v>
          </cell>
          <cell r="F2942" t="str">
            <v>P01</v>
          </cell>
          <cell r="G2942" t="str">
            <v xml:space="preserve">Top panel  - Ván nóc </v>
          </cell>
          <cell r="H2942" t="str">
            <v>MDF Veneer</v>
          </cell>
          <cell r="I2942">
            <v>7</v>
          </cell>
        </row>
        <row r="2943">
          <cell r="A2943" t="str">
            <v>B558328/A</v>
          </cell>
          <cell r="B2943" t="str">
            <v>RH4511M409</v>
          </cell>
          <cell r="C2943">
            <v>7</v>
          </cell>
          <cell r="D2943">
            <v>550</v>
          </cell>
          <cell r="E2943">
            <v>3850</v>
          </cell>
          <cell r="F2943" t="str">
            <v>P02</v>
          </cell>
          <cell r="G2943" t="str">
            <v>Top rail - Đố nóc</v>
          </cell>
          <cell r="H2943" t="str">
            <v>Wood White Oak - Straight/Waving Edged, 1 COM - T32mm x W100mm Up x L1.8m Up</v>
          </cell>
          <cell r="I2943">
            <v>14</v>
          </cell>
        </row>
        <row r="2944">
          <cell r="A2944" t="str">
            <v>B558328/A</v>
          </cell>
          <cell r="B2944" t="str">
            <v>RH4511M409</v>
          </cell>
          <cell r="C2944">
            <v>7</v>
          </cell>
          <cell r="D2944">
            <v>550</v>
          </cell>
          <cell r="E2944">
            <v>3850</v>
          </cell>
          <cell r="F2944" t="str">
            <v>P03</v>
          </cell>
          <cell r="G2944" t="str">
            <v>Bottom panel - Ván đáy</v>
          </cell>
          <cell r="H2944" t="str">
            <v>MDF Veneer</v>
          </cell>
          <cell r="I2944">
            <v>7</v>
          </cell>
        </row>
        <row r="2945">
          <cell r="A2945" t="str">
            <v>B558328/A</v>
          </cell>
          <cell r="B2945" t="str">
            <v>RH4511M409</v>
          </cell>
          <cell r="C2945">
            <v>7</v>
          </cell>
          <cell r="D2945">
            <v>550</v>
          </cell>
          <cell r="E2945">
            <v>3850</v>
          </cell>
          <cell r="F2945" t="str">
            <v>P04</v>
          </cell>
          <cell r="G2945" t="str">
            <v>Front Bottom Rail  - Đố đáy trước</v>
          </cell>
          <cell r="H2945" t="str">
            <v>Wood White Oak - Straight/Waving Edged, 1 COM - T32mm x W100mm Up x L1.8m Up</v>
          </cell>
          <cell r="I2945">
            <v>14</v>
          </cell>
        </row>
        <row r="2946">
          <cell r="A2946" t="str">
            <v>B558328/A</v>
          </cell>
          <cell r="B2946" t="str">
            <v>RH4511M409</v>
          </cell>
          <cell r="C2946">
            <v>7</v>
          </cell>
          <cell r="D2946">
            <v>550</v>
          </cell>
          <cell r="E2946">
            <v>3850</v>
          </cell>
          <cell r="F2946" t="str">
            <v>P05</v>
          </cell>
          <cell r="G2946" t="str">
            <v>Fixed Shelf  - Kệ bắt chết</v>
          </cell>
          <cell r="H2946" t="str">
            <v>MDF Veneer</v>
          </cell>
          <cell r="I2946">
            <v>28</v>
          </cell>
        </row>
        <row r="2947">
          <cell r="A2947" t="str">
            <v>B558331/A</v>
          </cell>
          <cell r="B2947" t="str">
            <v>RH5194M29</v>
          </cell>
          <cell r="C2947">
            <v>20</v>
          </cell>
          <cell r="D2947">
            <v>165.49</v>
          </cell>
          <cell r="E2947">
            <v>3309.8</v>
          </cell>
          <cell r="F2947" t="str">
            <v>P01</v>
          </cell>
          <cell r="G2947" t="str">
            <v xml:space="preserve">Top panel  - Ván nóc </v>
          </cell>
          <cell r="H2947" t="str">
            <v>MDF Veneer</v>
          </cell>
          <cell r="I2947">
            <v>20</v>
          </cell>
        </row>
        <row r="2948">
          <cell r="A2948" t="str">
            <v>B558331/A</v>
          </cell>
          <cell r="B2948" t="str">
            <v>RH5194M29</v>
          </cell>
          <cell r="C2948">
            <v>20</v>
          </cell>
          <cell r="D2948">
            <v>165.49</v>
          </cell>
          <cell r="E2948">
            <v>3309.8</v>
          </cell>
          <cell r="F2948" t="str">
            <v>P02</v>
          </cell>
          <cell r="G2948" t="str">
            <v>Patching wood - Gỗ đắp</v>
          </cell>
          <cell r="H2948" t="str">
            <v>Wood laminate</v>
          </cell>
          <cell r="I2948">
            <v>40</v>
          </cell>
        </row>
        <row r="2949">
          <cell r="A2949" t="str">
            <v>B558331/A</v>
          </cell>
          <cell r="B2949" t="str">
            <v>RH5194M29</v>
          </cell>
          <cell r="C2949">
            <v>20</v>
          </cell>
          <cell r="D2949">
            <v>165.49</v>
          </cell>
          <cell r="E2949">
            <v>3309.8</v>
          </cell>
          <cell r="F2949" t="str">
            <v>P03</v>
          </cell>
          <cell r="G2949" t="str">
            <v>Patching wood - Gỗ đắp</v>
          </cell>
          <cell r="H2949" t="str">
            <v>Wood laminate</v>
          </cell>
          <cell r="I2949">
            <v>40</v>
          </cell>
        </row>
        <row r="2950">
          <cell r="A2950" t="str">
            <v>B558331/A</v>
          </cell>
          <cell r="B2950" t="str">
            <v>RH5194M29</v>
          </cell>
          <cell r="C2950">
            <v>20</v>
          </cell>
          <cell r="D2950">
            <v>165.49</v>
          </cell>
          <cell r="E2950">
            <v>3309.8</v>
          </cell>
          <cell r="F2950" t="str">
            <v>P06</v>
          </cell>
          <cell r="G2950" t="str">
            <v>The leg  - Chân</v>
          </cell>
          <cell r="H2950" t="str">
            <v>Wood EU Beech - Straight/Waving Edged ABC, 2 COM - T50mm x W100mm up x L1.8m up</v>
          </cell>
          <cell r="I2950">
            <v>80</v>
          </cell>
        </row>
        <row r="2951">
          <cell r="A2951" t="str">
            <v>B558331/A</v>
          </cell>
          <cell r="B2951" t="str">
            <v>RH5194M29</v>
          </cell>
          <cell r="C2951">
            <v>20</v>
          </cell>
          <cell r="D2951">
            <v>165.49</v>
          </cell>
          <cell r="E2951">
            <v>3309.8</v>
          </cell>
          <cell r="F2951" t="str">
            <v>P07</v>
          </cell>
          <cell r="G2951" t="str">
            <v>Shelf panel  - Ván kệ</v>
          </cell>
          <cell r="H2951" t="str">
            <v>Wood EU Beech - Straight/Waving Edged ABC, 2 COM - T32mm x W100mm up x L1.8m up</v>
          </cell>
          <cell r="I2951">
            <v>20</v>
          </cell>
        </row>
        <row r="2952">
          <cell r="A2952" t="str">
            <v>B558167/A</v>
          </cell>
          <cell r="B2952" t="str">
            <v>RH5574M112</v>
          </cell>
          <cell r="C2952">
            <v>10</v>
          </cell>
          <cell r="D2952">
            <v>489</v>
          </cell>
          <cell r="E2952">
            <v>4890</v>
          </cell>
          <cell r="F2952" t="str">
            <v>A1</v>
          </cell>
          <cell r="G2952" t="str">
            <v>Top Frame - Khung nóc</v>
          </cell>
          <cell r="H2952" t="str">
            <v>Pre-Assembly</v>
          </cell>
          <cell r="I2952">
            <v>10</v>
          </cell>
        </row>
        <row r="2953">
          <cell r="A2953" t="str">
            <v>B558167/A</v>
          </cell>
          <cell r="B2953" t="str">
            <v>RH5574M112</v>
          </cell>
          <cell r="C2953">
            <v>10</v>
          </cell>
          <cell r="D2953">
            <v>489</v>
          </cell>
          <cell r="E2953">
            <v>4890</v>
          </cell>
          <cell r="F2953" t="str">
            <v>A1-S01</v>
          </cell>
          <cell r="G2953" t="str">
            <v xml:space="preserve">Panel - Ván </v>
          </cell>
          <cell r="H2953" t="str">
            <v>MDF - 12 x 1830 x 2440mm [CARB P2 Compliant]</v>
          </cell>
          <cell r="I2953">
            <v>20</v>
          </cell>
        </row>
        <row r="2954">
          <cell r="A2954" t="str">
            <v>B558167/A</v>
          </cell>
          <cell r="B2954" t="str">
            <v>RH5574M112</v>
          </cell>
          <cell r="C2954">
            <v>10</v>
          </cell>
          <cell r="D2954">
            <v>489</v>
          </cell>
          <cell r="E2954">
            <v>4890</v>
          </cell>
          <cell r="F2954" t="str">
            <v>A1-S02</v>
          </cell>
          <cell r="G2954" t="str">
            <v xml:space="preserve">Side rail  - Đố hông </v>
          </cell>
          <cell r="H2954" t="str">
            <v>MDF - 18 x 1830 x 2440mm [CARB P2 Compliant]</v>
          </cell>
          <cell r="I2954">
            <v>20</v>
          </cell>
        </row>
        <row r="2955">
          <cell r="A2955" t="str">
            <v>B558167/A</v>
          </cell>
          <cell r="B2955" t="str">
            <v>RH5574M112</v>
          </cell>
          <cell r="C2955">
            <v>10</v>
          </cell>
          <cell r="D2955">
            <v>489</v>
          </cell>
          <cell r="E2955">
            <v>4890</v>
          </cell>
          <cell r="F2955" t="str">
            <v>A1-S03</v>
          </cell>
          <cell r="G2955" t="str">
            <v>Center rail - Đố giữa</v>
          </cell>
          <cell r="H2955" t="str">
            <v>MDF - 18 x 1830 x 2440mm [CARB P2 Compliant]</v>
          </cell>
          <cell r="I2955">
            <v>150</v>
          </cell>
        </row>
        <row r="2956">
          <cell r="A2956" t="str">
            <v>B558167/A</v>
          </cell>
          <cell r="B2956" t="str">
            <v>RH5574M112</v>
          </cell>
          <cell r="C2956">
            <v>10</v>
          </cell>
          <cell r="D2956">
            <v>489</v>
          </cell>
          <cell r="E2956">
            <v>4890</v>
          </cell>
          <cell r="F2956" t="str">
            <v>A2</v>
          </cell>
          <cell r="G2956" t="str">
            <v>Side Frame - Khung hông</v>
          </cell>
          <cell r="H2956" t="str">
            <v>Pre-Assembly</v>
          </cell>
          <cell r="I2956">
            <v>20</v>
          </cell>
        </row>
        <row r="2957">
          <cell r="A2957" t="str">
            <v>B558167/A</v>
          </cell>
          <cell r="B2957" t="str">
            <v>RH5574M112</v>
          </cell>
          <cell r="C2957">
            <v>10</v>
          </cell>
          <cell r="D2957">
            <v>489</v>
          </cell>
          <cell r="E2957">
            <v>4890</v>
          </cell>
          <cell r="F2957" t="str">
            <v>A2-S01</v>
          </cell>
          <cell r="G2957" t="str">
            <v xml:space="preserve">Side panel  - Ván hông </v>
          </cell>
          <cell r="H2957" t="str">
            <v>MDF - 12 x 1830 x 2440mm [CARB P2 Compliant]</v>
          </cell>
          <cell r="I2957">
            <v>40</v>
          </cell>
        </row>
        <row r="2958">
          <cell r="A2958" t="str">
            <v>B558167/A</v>
          </cell>
          <cell r="B2958" t="str">
            <v>RH5574M112</v>
          </cell>
          <cell r="C2958">
            <v>10</v>
          </cell>
          <cell r="D2958">
            <v>489</v>
          </cell>
          <cell r="E2958">
            <v>4890</v>
          </cell>
          <cell r="F2958" t="str">
            <v>A2-S02</v>
          </cell>
          <cell r="G2958" t="str">
            <v xml:space="preserve">Side rail  - Đố hông </v>
          </cell>
          <cell r="H2958" t="str">
            <v>MDF - 18 x 1830 x 2440mm [CARB P2 Compliant]</v>
          </cell>
          <cell r="I2958">
            <v>40</v>
          </cell>
        </row>
        <row r="2959">
          <cell r="A2959" t="str">
            <v>B558167/A</v>
          </cell>
          <cell r="B2959" t="str">
            <v>RH5574M112</v>
          </cell>
          <cell r="C2959">
            <v>10</v>
          </cell>
          <cell r="D2959">
            <v>489</v>
          </cell>
          <cell r="E2959">
            <v>4890</v>
          </cell>
          <cell r="F2959" t="str">
            <v>A3-S01</v>
          </cell>
          <cell r="G2959" t="str">
            <v>Front Bottom Rail  - Đố đáy trước</v>
          </cell>
          <cell r="H2959" t="str">
            <v>Wood EU Beech - Straight/Waving Edged ABC, 2 COM - T32mm x W100mm up x L1.8m up</v>
          </cell>
          <cell r="I2959">
            <v>20</v>
          </cell>
        </row>
        <row r="2960">
          <cell r="A2960" t="str">
            <v>B558167/A</v>
          </cell>
          <cell r="B2960" t="str">
            <v>RH5574M112</v>
          </cell>
          <cell r="C2960">
            <v>10</v>
          </cell>
          <cell r="D2960">
            <v>489</v>
          </cell>
          <cell r="E2960">
            <v>4890</v>
          </cell>
          <cell r="F2960" t="str">
            <v>A3-S02</v>
          </cell>
          <cell r="G2960" t="str">
            <v>Side bottom rail - Đố hông dưới</v>
          </cell>
          <cell r="H2960" t="str">
            <v>Wood EU Beech - Straight/Waving Edged ABC, 2 COM - T32mm x W100mm up x L1.8m up</v>
          </cell>
          <cell r="I2960">
            <v>20</v>
          </cell>
        </row>
        <row r="2961">
          <cell r="A2961" t="str">
            <v>B558167/A</v>
          </cell>
          <cell r="B2961" t="str">
            <v>RH5574M112</v>
          </cell>
          <cell r="C2961">
            <v>10</v>
          </cell>
          <cell r="D2961">
            <v>489</v>
          </cell>
          <cell r="E2961">
            <v>4890</v>
          </cell>
          <cell r="F2961" t="str">
            <v>A4-S01</v>
          </cell>
          <cell r="G2961" t="str">
            <v xml:space="preserve">Drawer front - Mặt hộc kéo </v>
          </cell>
          <cell r="H2961" t="str">
            <v>MDF Veneer</v>
          </cell>
          <cell r="I2961">
            <v>10</v>
          </cell>
        </row>
        <row r="2962">
          <cell r="A2962" t="str">
            <v>B558167/A</v>
          </cell>
          <cell r="B2962" t="str">
            <v>RH5574M112</v>
          </cell>
          <cell r="C2962">
            <v>10</v>
          </cell>
          <cell r="D2962">
            <v>489</v>
          </cell>
          <cell r="E2962">
            <v>4890</v>
          </cell>
          <cell r="F2962" t="str">
            <v>A4-S02</v>
          </cell>
          <cell r="G2962" t="str">
            <v xml:space="preserve">Drawer front 1 - Mặt hộc kéo </v>
          </cell>
          <cell r="H2962" t="str">
            <v>MDF-N - 12 x 1220 x 2440mm, Veneer Poplar Rotary 0.45mm Both Faces [CARB P2 Compliant]</v>
          </cell>
          <cell r="I2962">
            <v>10</v>
          </cell>
        </row>
        <row r="2963">
          <cell r="A2963" t="str">
            <v>B558167/A</v>
          </cell>
          <cell r="B2963" t="str">
            <v>RH5574M112</v>
          </cell>
          <cell r="C2963">
            <v>10</v>
          </cell>
          <cell r="D2963">
            <v>489</v>
          </cell>
          <cell r="E2963">
            <v>4890</v>
          </cell>
          <cell r="F2963" t="str">
            <v>A4-S03</v>
          </cell>
          <cell r="G2963" t="str">
            <v>Drawer back - Hậu hộc kéo</v>
          </cell>
          <cell r="H2963" t="str">
            <v>MDF-N - 12 x 1220 x 2440mm, Veneer Poplar Rotary 0.45mm Both Faces [CARB P2 Compliant]</v>
          </cell>
          <cell r="I2963">
            <v>10</v>
          </cell>
        </row>
        <row r="2964">
          <cell r="A2964" t="str">
            <v>B558167/A</v>
          </cell>
          <cell r="B2964" t="str">
            <v>RH5574M112</v>
          </cell>
          <cell r="C2964">
            <v>10</v>
          </cell>
          <cell r="D2964">
            <v>489</v>
          </cell>
          <cell r="E2964">
            <v>4890</v>
          </cell>
          <cell r="F2964" t="str">
            <v>A4-S04</v>
          </cell>
          <cell r="G2964" t="str">
            <v>Drawer side - Hông hộc kéo</v>
          </cell>
          <cell r="H2964" t="str">
            <v>MDF-N - 12 x 1220 x 2440mm, Veneer Poplar Rotary 0.45mm Both Faces [CARB P2 Compliant]</v>
          </cell>
          <cell r="I2964">
            <v>20</v>
          </cell>
        </row>
        <row r="2965">
          <cell r="A2965" t="str">
            <v>B558167/A</v>
          </cell>
          <cell r="B2965" t="str">
            <v>RH5574M112</v>
          </cell>
          <cell r="C2965">
            <v>10</v>
          </cell>
          <cell r="D2965">
            <v>489</v>
          </cell>
          <cell r="E2965">
            <v>4890</v>
          </cell>
          <cell r="F2965" t="str">
            <v>A4-S05</v>
          </cell>
          <cell r="G2965" t="str">
            <v>Drawer bottom  - Đáy hộc kéo</v>
          </cell>
          <cell r="H2965" t="str">
            <v>MDF - 06 x 1220 x 2440mm, Veneer Poplar 0.42mm + Veneer Engineering 0.3mm [CARB P2 Compliant]</v>
          </cell>
          <cell r="I2965">
            <v>30</v>
          </cell>
        </row>
        <row r="2966">
          <cell r="A2966" t="str">
            <v>B558167/A</v>
          </cell>
          <cell r="B2966" t="str">
            <v>RH5574M112</v>
          </cell>
          <cell r="C2966">
            <v>10</v>
          </cell>
          <cell r="D2966">
            <v>489</v>
          </cell>
          <cell r="E2966">
            <v>4890</v>
          </cell>
          <cell r="F2966" t="str">
            <v>A4-S06</v>
          </cell>
          <cell r="G2966" t="str">
            <v>Patching moulding - Chỉ đắp</v>
          </cell>
          <cell r="H2966" t="str">
            <v>Beech off cut</v>
          </cell>
          <cell r="I2966">
            <v>60</v>
          </cell>
        </row>
        <row r="2967">
          <cell r="A2967" t="str">
            <v>B558167/A</v>
          </cell>
          <cell r="B2967" t="str">
            <v>RH5574M112</v>
          </cell>
          <cell r="C2967">
            <v>10</v>
          </cell>
          <cell r="D2967">
            <v>489</v>
          </cell>
          <cell r="E2967">
            <v>4890</v>
          </cell>
          <cell r="F2967" t="str">
            <v>A5-S01</v>
          </cell>
          <cell r="G2967" t="str">
            <v xml:space="preserve">Drawer front - Mặt hộc kéo </v>
          </cell>
          <cell r="H2967" t="str">
            <v>MDF Veneer</v>
          </cell>
          <cell r="I2967">
            <v>20</v>
          </cell>
        </row>
        <row r="2968">
          <cell r="A2968" t="str">
            <v>B558167/A</v>
          </cell>
          <cell r="B2968" t="str">
            <v>RH5574M112</v>
          </cell>
          <cell r="C2968">
            <v>10</v>
          </cell>
          <cell r="D2968">
            <v>489</v>
          </cell>
          <cell r="E2968">
            <v>4890</v>
          </cell>
          <cell r="F2968" t="str">
            <v>A5-S02</v>
          </cell>
          <cell r="G2968" t="str">
            <v xml:space="preserve">Drawer front 1 - Mặt hộc kéo </v>
          </cell>
          <cell r="H2968" t="str">
            <v>MDF-N - 12 x 1220 x 2440mm, Veneer Poplar Rotary 0.45mm Both Faces [CARB P2 Compliant]</v>
          </cell>
          <cell r="I2968">
            <v>20</v>
          </cell>
        </row>
        <row r="2969">
          <cell r="A2969" t="str">
            <v>B558167/A</v>
          </cell>
          <cell r="B2969" t="str">
            <v>RH5574M112</v>
          </cell>
          <cell r="C2969">
            <v>10</v>
          </cell>
          <cell r="D2969">
            <v>489</v>
          </cell>
          <cell r="E2969">
            <v>4890</v>
          </cell>
          <cell r="F2969" t="str">
            <v>A5-S03</v>
          </cell>
          <cell r="G2969" t="str">
            <v>Drawer back - Hậu hộc kéo</v>
          </cell>
          <cell r="H2969" t="str">
            <v>MDF-N - 12 x 1220 x 2440mm, Veneer Poplar Rotary 0.45mm Both Faces [CARB P2 Compliant]</v>
          </cell>
          <cell r="I2969">
            <v>20</v>
          </cell>
        </row>
        <row r="2970">
          <cell r="A2970" t="str">
            <v>B558167/A</v>
          </cell>
          <cell r="B2970" t="str">
            <v>RH5574M112</v>
          </cell>
          <cell r="C2970">
            <v>10</v>
          </cell>
          <cell r="D2970">
            <v>489</v>
          </cell>
          <cell r="E2970">
            <v>4890</v>
          </cell>
          <cell r="F2970" t="str">
            <v>A5-S04</v>
          </cell>
          <cell r="G2970" t="str">
            <v>Drawer side - Hông hộc kéo</v>
          </cell>
          <cell r="H2970" t="str">
            <v>MDF-N - 12 x 1220 x 2440mm, Veneer Poplar Rotary 0.45mm Both Faces [CARB P2 Compliant]</v>
          </cell>
          <cell r="I2970">
            <v>40</v>
          </cell>
        </row>
        <row r="2971">
          <cell r="A2971" t="str">
            <v>B558167/A</v>
          </cell>
          <cell r="B2971" t="str">
            <v>RH5574M112</v>
          </cell>
          <cell r="C2971">
            <v>10</v>
          </cell>
          <cell r="D2971">
            <v>489</v>
          </cell>
          <cell r="E2971">
            <v>4890</v>
          </cell>
          <cell r="F2971" t="str">
            <v>P01</v>
          </cell>
          <cell r="G2971" t="str">
            <v>Front rail  - Đố tiền</v>
          </cell>
          <cell r="H2971" t="str">
            <v>Wood EU Beech - Straight/Waving Edged ABC, 2 COM - T32mm x W100mm up x L1.8m up</v>
          </cell>
          <cell r="I2971">
            <v>20</v>
          </cell>
        </row>
        <row r="2972">
          <cell r="A2972" t="str">
            <v>B558167/A</v>
          </cell>
          <cell r="B2972" t="str">
            <v>RH5574M112</v>
          </cell>
          <cell r="C2972">
            <v>10</v>
          </cell>
          <cell r="D2972">
            <v>489</v>
          </cell>
          <cell r="E2972">
            <v>4890</v>
          </cell>
          <cell r="F2972" t="str">
            <v>P02</v>
          </cell>
          <cell r="G2972" t="str">
            <v>Bottom panel - Ván đáy</v>
          </cell>
          <cell r="H2972" t="str">
            <v>MDF - 18 x 1830 x 2440mm [CARB P2 Compliant]</v>
          </cell>
          <cell r="I2972">
            <v>10</v>
          </cell>
        </row>
        <row r="2973">
          <cell r="A2973" t="str">
            <v>B558167/A</v>
          </cell>
          <cell r="B2973" t="str">
            <v>RH5574M112</v>
          </cell>
          <cell r="C2973">
            <v>10</v>
          </cell>
          <cell r="D2973">
            <v>489</v>
          </cell>
          <cell r="E2973">
            <v>4890</v>
          </cell>
          <cell r="F2973" t="str">
            <v>P03</v>
          </cell>
          <cell r="G2973" t="str">
            <v>Fixed Shelf  - Kệ bắt chết</v>
          </cell>
          <cell r="H2973" t="str">
            <v>MDF - 18 x 1830 x 2440mm [CARB P2 Compliant]</v>
          </cell>
          <cell r="I2973">
            <v>10</v>
          </cell>
        </row>
        <row r="2974">
          <cell r="A2974" t="str">
            <v>B558167/A</v>
          </cell>
          <cell r="B2974" t="str">
            <v>RH5574M112</v>
          </cell>
          <cell r="C2974">
            <v>10</v>
          </cell>
          <cell r="D2974">
            <v>489</v>
          </cell>
          <cell r="E2974">
            <v>4890</v>
          </cell>
          <cell r="F2974" t="str">
            <v>P04</v>
          </cell>
          <cell r="G2974" t="str">
            <v>back rail - Đố hậu</v>
          </cell>
          <cell r="H2974" t="str">
            <v>Standard Wood - ALDER/ASPEN/LENGA/US POPLAR, 2 COM - T25 W120mm+ L2m+</v>
          </cell>
          <cell r="I2974">
            <v>10</v>
          </cell>
        </row>
        <row r="2975">
          <cell r="A2975" t="str">
            <v>B558167/A</v>
          </cell>
          <cell r="B2975" t="str">
            <v>RH5574M112</v>
          </cell>
          <cell r="C2975">
            <v>10</v>
          </cell>
          <cell r="D2975">
            <v>489</v>
          </cell>
          <cell r="E2975">
            <v>4890</v>
          </cell>
          <cell r="F2975" t="str">
            <v>P05</v>
          </cell>
          <cell r="G2975" t="str">
            <v>Back bottom rail - Đố hậu đáy</v>
          </cell>
          <cell r="H2975" t="str">
            <v>Standard Wood - ALDER/ASPEN/LENGA/US POPLAR, 2 COM - T25 W120mm+ L2m+</v>
          </cell>
          <cell r="I2975">
            <v>10</v>
          </cell>
        </row>
        <row r="2976">
          <cell r="A2976" t="str">
            <v>B558167/A</v>
          </cell>
          <cell r="B2976" t="str">
            <v>RH5574M112</v>
          </cell>
          <cell r="C2976">
            <v>10</v>
          </cell>
          <cell r="D2976">
            <v>489</v>
          </cell>
          <cell r="E2976">
            <v>4890</v>
          </cell>
          <cell r="F2976" t="str">
            <v>P06</v>
          </cell>
          <cell r="G2976" t="str">
            <v>Adjustable Shelf  - Kệ di động</v>
          </cell>
          <cell r="H2976" t="str">
            <v>MDF - 25 x 1830 x 2440mm [CARB P2 Compliant]</v>
          </cell>
          <cell r="I2976">
            <v>20</v>
          </cell>
        </row>
        <row r="2977">
          <cell r="A2977" t="str">
            <v>B558167/A</v>
          </cell>
          <cell r="B2977" t="str">
            <v>RH5574M112</v>
          </cell>
          <cell r="C2977">
            <v>10</v>
          </cell>
          <cell r="D2977">
            <v>489</v>
          </cell>
          <cell r="E2977">
            <v>4890</v>
          </cell>
          <cell r="F2977" t="str">
            <v>P07</v>
          </cell>
          <cell r="G2977" t="str">
            <v>Spline - Lưỡi gà</v>
          </cell>
          <cell r="H2977" t="str">
            <v>Plywood LVD - 09 x 1220 x 2440mm, Bleached Poplar Veneer Both Sides [CARB P2 Compliant]</v>
          </cell>
          <cell r="I2977">
            <v>20</v>
          </cell>
        </row>
        <row r="2978">
          <cell r="A2978" t="str">
            <v>B558167/A</v>
          </cell>
          <cell r="B2978" t="str">
            <v>RH5574M112</v>
          </cell>
          <cell r="C2978">
            <v>10</v>
          </cell>
          <cell r="D2978">
            <v>489</v>
          </cell>
          <cell r="E2978">
            <v>4890</v>
          </cell>
          <cell r="F2978" t="str">
            <v>P08</v>
          </cell>
          <cell r="G2978" t="str">
            <v>Back panel - Ván hậu</v>
          </cell>
          <cell r="H2978" t="str">
            <v>MDF Veneer</v>
          </cell>
          <cell r="I2978">
            <v>10</v>
          </cell>
        </row>
        <row r="2979">
          <cell r="A2979" t="str">
            <v>B558167/A</v>
          </cell>
          <cell r="B2979" t="str">
            <v>RH5574M112</v>
          </cell>
          <cell r="C2979">
            <v>10</v>
          </cell>
          <cell r="D2979">
            <v>489</v>
          </cell>
          <cell r="E2979">
            <v>4890</v>
          </cell>
          <cell r="F2979" t="str">
            <v>P09</v>
          </cell>
          <cell r="G2979" t="str">
            <v>Cleat - Bọ gỗ</v>
          </cell>
          <cell r="H2979" t="str">
            <v>Poplar off cut</v>
          </cell>
          <cell r="I2979">
            <v>20</v>
          </cell>
        </row>
        <row r="2980">
          <cell r="A2980" t="str">
            <v>B558167/A</v>
          </cell>
          <cell r="B2980" t="str">
            <v>RH5574M112</v>
          </cell>
          <cell r="C2980">
            <v>10</v>
          </cell>
          <cell r="D2980">
            <v>489</v>
          </cell>
          <cell r="E2980">
            <v>4890</v>
          </cell>
          <cell r="F2980" t="str">
            <v>P09-1</v>
          </cell>
          <cell r="G2980" t="str">
            <v>Cleat - Bọ gỗ</v>
          </cell>
          <cell r="H2980" t="str">
            <v>Wood US Poplar - Straight Edged, 2 COM - T25mm x W100mm Up x L1.8m Up</v>
          </cell>
          <cell r="I2980">
            <v>20</v>
          </cell>
        </row>
        <row r="2981">
          <cell r="A2981" t="str">
            <v>B558167/A</v>
          </cell>
          <cell r="B2981" t="str">
            <v>RH5574M112</v>
          </cell>
          <cell r="C2981">
            <v>10</v>
          </cell>
          <cell r="D2981">
            <v>489</v>
          </cell>
          <cell r="E2981">
            <v>4890</v>
          </cell>
          <cell r="F2981" t="str">
            <v>P10</v>
          </cell>
          <cell r="G2981" t="str">
            <v>Front rail  - Đố tiền</v>
          </cell>
          <cell r="H2981" t="str">
            <v>Wood EU Beech - Straight/Waving Edged ABC, 2 COM - T32mm x W100mm up x L1.8m up</v>
          </cell>
          <cell r="I2981">
            <v>20</v>
          </cell>
        </row>
        <row r="2982">
          <cell r="A2982" t="str">
            <v>B558167/A</v>
          </cell>
          <cell r="B2982" t="str">
            <v>RH5574M112</v>
          </cell>
          <cell r="C2982">
            <v>10</v>
          </cell>
          <cell r="D2982">
            <v>489</v>
          </cell>
          <cell r="E2982">
            <v>4890</v>
          </cell>
          <cell r="F2982" t="str">
            <v>P11</v>
          </cell>
          <cell r="G2982" t="str">
            <v>back rail - Đố hậu</v>
          </cell>
          <cell r="H2982" t="str">
            <v>Standard Wood - ALDER/ASPEN/LENGA/US POPLAR, 2 COM - T25 W120mm+ L2m+</v>
          </cell>
          <cell r="I2982">
            <v>10</v>
          </cell>
        </row>
        <row r="2983">
          <cell r="A2983" t="str">
            <v>B558167/A</v>
          </cell>
          <cell r="B2983" t="str">
            <v>RH5574M112</v>
          </cell>
          <cell r="C2983">
            <v>10</v>
          </cell>
          <cell r="D2983">
            <v>489</v>
          </cell>
          <cell r="E2983">
            <v>4890</v>
          </cell>
          <cell r="F2983" t="str">
            <v>P12</v>
          </cell>
          <cell r="G2983" t="str">
            <v>Drawer stop - Dừng hộc</v>
          </cell>
          <cell r="H2983" t="str">
            <v>Poplar off cut</v>
          </cell>
          <cell r="I2983">
            <v>60</v>
          </cell>
        </row>
        <row r="2984">
          <cell r="A2984" t="str">
            <v>B558170/A</v>
          </cell>
          <cell r="B2984" t="str">
            <v>RH5574M113</v>
          </cell>
          <cell r="C2984">
            <v>10</v>
          </cell>
          <cell r="D2984">
            <v>489</v>
          </cell>
          <cell r="E2984">
            <v>4890</v>
          </cell>
          <cell r="F2984" t="str">
            <v>A1</v>
          </cell>
          <cell r="G2984" t="str">
            <v>Top Frame - Khung nóc</v>
          </cell>
          <cell r="H2984" t="str">
            <v>Pre-Assembly</v>
          </cell>
          <cell r="I2984">
            <v>10</v>
          </cell>
        </row>
        <row r="2985">
          <cell r="A2985" t="str">
            <v>B558170/A</v>
          </cell>
          <cell r="B2985" t="str">
            <v>RH5574M113</v>
          </cell>
          <cell r="C2985">
            <v>10</v>
          </cell>
          <cell r="D2985">
            <v>489</v>
          </cell>
          <cell r="E2985">
            <v>4890</v>
          </cell>
          <cell r="F2985" t="str">
            <v>A1-S01</v>
          </cell>
          <cell r="G2985" t="str">
            <v xml:space="preserve">Panel - Ván </v>
          </cell>
          <cell r="H2985" t="str">
            <v>MDF - 12 x 1830 x 2440mm [CARB P2 Compliant]</v>
          </cell>
          <cell r="I2985">
            <v>20</v>
          </cell>
        </row>
        <row r="2986">
          <cell r="A2986" t="str">
            <v>B558170/A</v>
          </cell>
          <cell r="B2986" t="str">
            <v>RH5574M113</v>
          </cell>
          <cell r="C2986">
            <v>10</v>
          </cell>
          <cell r="D2986">
            <v>489</v>
          </cell>
          <cell r="E2986">
            <v>4890</v>
          </cell>
          <cell r="F2986" t="str">
            <v>A1-S02</v>
          </cell>
          <cell r="G2986" t="str">
            <v xml:space="preserve">Side rail  - Đố hông </v>
          </cell>
          <cell r="H2986" t="str">
            <v>MDF - 18 x 1830 x 2440mm [CARB P2 Compliant]</v>
          </cell>
          <cell r="I2986">
            <v>20</v>
          </cell>
        </row>
        <row r="2987">
          <cell r="A2987" t="str">
            <v>B558170/A</v>
          </cell>
          <cell r="B2987" t="str">
            <v>RH5574M113</v>
          </cell>
          <cell r="C2987">
            <v>10</v>
          </cell>
          <cell r="D2987">
            <v>489</v>
          </cell>
          <cell r="E2987">
            <v>4890</v>
          </cell>
          <cell r="F2987" t="str">
            <v>A1-S03</v>
          </cell>
          <cell r="G2987" t="str">
            <v>Center rail - Đố giữa</v>
          </cell>
          <cell r="H2987" t="str">
            <v>MDF - 18 x 1830 x 2440mm [CARB P2 Compliant]</v>
          </cell>
          <cell r="I2987">
            <v>150</v>
          </cell>
        </row>
        <row r="2988">
          <cell r="A2988" t="str">
            <v>B558170/A</v>
          </cell>
          <cell r="B2988" t="str">
            <v>RH5574M113</v>
          </cell>
          <cell r="C2988">
            <v>10</v>
          </cell>
          <cell r="D2988">
            <v>489</v>
          </cell>
          <cell r="E2988">
            <v>4890</v>
          </cell>
          <cell r="F2988" t="str">
            <v>A2</v>
          </cell>
          <cell r="G2988" t="str">
            <v>Side Frame - Khung hông</v>
          </cell>
          <cell r="H2988" t="str">
            <v>Pre-Assembly</v>
          </cell>
          <cell r="I2988">
            <v>20</v>
          </cell>
        </row>
        <row r="2989">
          <cell r="A2989" t="str">
            <v>B558170/A</v>
          </cell>
          <cell r="B2989" t="str">
            <v>RH5574M113</v>
          </cell>
          <cell r="C2989">
            <v>10</v>
          </cell>
          <cell r="D2989">
            <v>489</v>
          </cell>
          <cell r="E2989">
            <v>4890</v>
          </cell>
          <cell r="F2989" t="str">
            <v>A2-S01</v>
          </cell>
          <cell r="G2989" t="str">
            <v xml:space="preserve">Side panel  - Ván hông </v>
          </cell>
          <cell r="H2989" t="str">
            <v>MDF - 12 x 1830 x 2440mm [CARB P2 Compliant]</v>
          </cell>
          <cell r="I2989">
            <v>40</v>
          </cell>
        </row>
        <row r="2990">
          <cell r="A2990" t="str">
            <v>B558170/A</v>
          </cell>
          <cell r="B2990" t="str">
            <v>RH5574M113</v>
          </cell>
          <cell r="C2990">
            <v>10</v>
          </cell>
          <cell r="D2990">
            <v>489</v>
          </cell>
          <cell r="E2990">
            <v>4890</v>
          </cell>
          <cell r="F2990" t="str">
            <v>A2-S02</v>
          </cell>
          <cell r="G2990" t="str">
            <v xml:space="preserve">Side rail  - Đố hông </v>
          </cell>
          <cell r="H2990" t="str">
            <v>MDF - 18 x 1830 x 2440mm [CARB P2 Compliant]</v>
          </cell>
          <cell r="I2990">
            <v>40</v>
          </cell>
        </row>
        <row r="2991">
          <cell r="A2991" t="str">
            <v>B558170/A</v>
          </cell>
          <cell r="B2991" t="str">
            <v>RH5574M113</v>
          </cell>
          <cell r="C2991">
            <v>10</v>
          </cell>
          <cell r="D2991">
            <v>489</v>
          </cell>
          <cell r="E2991">
            <v>4890</v>
          </cell>
          <cell r="F2991" t="str">
            <v>A3-S01</v>
          </cell>
          <cell r="G2991" t="str">
            <v>Front Bottom Rail  - Đố đáy trước</v>
          </cell>
          <cell r="H2991" t="str">
            <v>Wood EU Beech - Straight/Waving Edged ABC, 2 COM - T32mm x W100mm up x L1.8m up</v>
          </cell>
          <cell r="I2991">
            <v>20</v>
          </cell>
        </row>
        <row r="2992">
          <cell r="A2992" t="str">
            <v>B558170/A</v>
          </cell>
          <cell r="B2992" t="str">
            <v>RH5574M113</v>
          </cell>
          <cell r="C2992">
            <v>10</v>
          </cell>
          <cell r="D2992">
            <v>489</v>
          </cell>
          <cell r="E2992">
            <v>4890</v>
          </cell>
          <cell r="F2992" t="str">
            <v>A3-S02</v>
          </cell>
          <cell r="G2992" t="str">
            <v>Side bottom rail - Đố hông dưới</v>
          </cell>
          <cell r="H2992" t="str">
            <v>Wood EU Beech - Straight/Waving Edged ABC, 2 COM - T32mm x W100mm up x L1.8m up</v>
          </cell>
          <cell r="I2992">
            <v>20</v>
          </cell>
        </row>
        <row r="2993">
          <cell r="A2993" t="str">
            <v>B558170/A</v>
          </cell>
          <cell r="B2993" t="str">
            <v>RH5574M113</v>
          </cell>
          <cell r="C2993">
            <v>10</v>
          </cell>
          <cell r="D2993">
            <v>489</v>
          </cell>
          <cell r="E2993">
            <v>4890</v>
          </cell>
          <cell r="F2993" t="str">
            <v>A4-S01</v>
          </cell>
          <cell r="G2993" t="str">
            <v xml:space="preserve">Drawer front - Mặt hộc kéo </v>
          </cell>
          <cell r="H2993" t="str">
            <v>MDF Veneer</v>
          </cell>
          <cell r="I2993">
            <v>10</v>
          </cell>
        </row>
        <row r="2994">
          <cell r="A2994" t="str">
            <v>B558170/A</v>
          </cell>
          <cell r="B2994" t="str">
            <v>RH5574M113</v>
          </cell>
          <cell r="C2994">
            <v>10</v>
          </cell>
          <cell r="D2994">
            <v>489</v>
          </cell>
          <cell r="E2994">
            <v>4890</v>
          </cell>
          <cell r="F2994" t="str">
            <v>A4-S02</v>
          </cell>
          <cell r="G2994" t="str">
            <v xml:space="preserve">Drawer front 1 - Mặt hộc kéo </v>
          </cell>
          <cell r="H2994" t="str">
            <v>MDF-N - 12 x 1220 x 2440mm, Veneer Poplar Rotary 0.45mm Both Faces [CARB P2 Compliant]</v>
          </cell>
          <cell r="I2994">
            <v>10</v>
          </cell>
        </row>
        <row r="2995">
          <cell r="A2995" t="str">
            <v>B558170/A</v>
          </cell>
          <cell r="B2995" t="str">
            <v>RH5574M113</v>
          </cell>
          <cell r="C2995">
            <v>10</v>
          </cell>
          <cell r="D2995">
            <v>489</v>
          </cell>
          <cell r="E2995">
            <v>4890</v>
          </cell>
          <cell r="F2995" t="str">
            <v>A4-S03</v>
          </cell>
          <cell r="G2995" t="str">
            <v>Drawer back - Hậu hộc kéo</v>
          </cell>
          <cell r="H2995" t="str">
            <v>MDF-N - 12 x 1220 x 2440mm, Veneer Poplar Rotary 0.45mm Both Faces [CARB P2 Compliant]</v>
          </cell>
          <cell r="I2995">
            <v>10</v>
          </cell>
        </row>
        <row r="2996">
          <cell r="A2996" t="str">
            <v>B558170/A</v>
          </cell>
          <cell r="B2996" t="str">
            <v>RH5574M113</v>
          </cell>
          <cell r="C2996">
            <v>10</v>
          </cell>
          <cell r="D2996">
            <v>489</v>
          </cell>
          <cell r="E2996">
            <v>4890</v>
          </cell>
          <cell r="F2996" t="str">
            <v>A4-S04</v>
          </cell>
          <cell r="G2996" t="str">
            <v>Drawer side - Hông hộc kéo</v>
          </cell>
          <cell r="H2996" t="str">
            <v>MDF-N - 12 x 1220 x 2440mm, Veneer Poplar Rotary 0.45mm Both Faces [CARB P2 Compliant]</v>
          </cell>
          <cell r="I2996">
            <v>20</v>
          </cell>
        </row>
        <row r="2997">
          <cell r="A2997" t="str">
            <v>B558170/A</v>
          </cell>
          <cell r="B2997" t="str">
            <v>RH5574M113</v>
          </cell>
          <cell r="C2997">
            <v>10</v>
          </cell>
          <cell r="D2997">
            <v>489</v>
          </cell>
          <cell r="E2997">
            <v>4890</v>
          </cell>
          <cell r="F2997" t="str">
            <v>A4-S05</v>
          </cell>
          <cell r="G2997" t="str">
            <v>Drawer bottom  - Đáy hộc kéo</v>
          </cell>
          <cell r="H2997" t="str">
            <v>MDF - 06 x 1220 x 2440mm, Veneer Poplar 0.42mm + Veneer Engineering 0.3mm [CARB P2 Compliant]</v>
          </cell>
          <cell r="I2997">
            <v>30</v>
          </cell>
        </row>
        <row r="2998">
          <cell r="A2998" t="str">
            <v>B558170/A</v>
          </cell>
          <cell r="B2998" t="str">
            <v>RH5574M113</v>
          </cell>
          <cell r="C2998">
            <v>10</v>
          </cell>
          <cell r="D2998">
            <v>489</v>
          </cell>
          <cell r="E2998">
            <v>4890</v>
          </cell>
          <cell r="F2998" t="str">
            <v>A4-S06</v>
          </cell>
          <cell r="G2998" t="str">
            <v>Patching moulding - Chỉ đắp</v>
          </cell>
          <cell r="H2998" t="str">
            <v>Beech off cut</v>
          </cell>
          <cell r="I2998">
            <v>60</v>
          </cell>
        </row>
        <row r="2999">
          <cell r="A2999" t="str">
            <v>B558170/A</v>
          </cell>
          <cell r="B2999" t="str">
            <v>RH5574M113</v>
          </cell>
          <cell r="C2999">
            <v>10</v>
          </cell>
          <cell r="D2999">
            <v>489</v>
          </cell>
          <cell r="E2999">
            <v>4890</v>
          </cell>
          <cell r="F2999" t="str">
            <v>A5-S01</v>
          </cell>
          <cell r="G2999" t="str">
            <v xml:space="preserve">Drawer front - Mặt hộc kéo </v>
          </cell>
          <cell r="H2999" t="str">
            <v>MDF Veneer</v>
          </cell>
          <cell r="I2999">
            <v>20</v>
          </cell>
        </row>
        <row r="3000">
          <cell r="A3000" t="str">
            <v>B558170/A</v>
          </cell>
          <cell r="B3000" t="str">
            <v>RH5574M113</v>
          </cell>
          <cell r="C3000">
            <v>10</v>
          </cell>
          <cell r="D3000">
            <v>489</v>
          </cell>
          <cell r="E3000">
            <v>4890</v>
          </cell>
          <cell r="F3000" t="str">
            <v>A5-S02</v>
          </cell>
          <cell r="G3000" t="str">
            <v xml:space="preserve">Drawer front 1 - Mặt hộc kéo </v>
          </cell>
          <cell r="H3000" t="str">
            <v>MDF-N - 12 x 1220 x 2440mm, Veneer Poplar Rotary 0.45mm Both Faces [CARB P2 Compliant]</v>
          </cell>
          <cell r="I3000">
            <v>20</v>
          </cell>
        </row>
        <row r="3001">
          <cell r="A3001" t="str">
            <v>B558170/A</v>
          </cell>
          <cell r="B3001" t="str">
            <v>RH5574M113</v>
          </cell>
          <cell r="C3001">
            <v>10</v>
          </cell>
          <cell r="D3001">
            <v>489</v>
          </cell>
          <cell r="E3001">
            <v>4890</v>
          </cell>
          <cell r="F3001" t="str">
            <v>A5-S03</v>
          </cell>
          <cell r="G3001" t="str">
            <v>Drawer back - Hậu hộc kéo</v>
          </cell>
          <cell r="H3001" t="str">
            <v>MDF-N - 12 x 1220 x 2440mm, Veneer Poplar Rotary 0.45mm Both Faces [CARB P2 Compliant]</v>
          </cell>
          <cell r="I3001">
            <v>20</v>
          </cell>
        </row>
        <row r="3002">
          <cell r="A3002" t="str">
            <v>B558170/A</v>
          </cell>
          <cell r="B3002" t="str">
            <v>RH5574M113</v>
          </cell>
          <cell r="C3002">
            <v>10</v>
          </cell>
          <cell r="D3002">
            <v>489</v>
          </cell>
          <cell r="E3002">
            <v>4890</v>
          </cell>
          <cell r="F3002" t="str">
            <v>A5-S04</v>
          </cell>
          <cell r="G3002" t="str">
            <v>Drawer side - Hông hộc kéo</v>
          </cell>
          <cell r="H3002" t="str">
            <v>MDF-N - 12 x 1220 x 2440mm, Veneer Poplar Rotary 0.45mm Both Faces [CARB P2 Compliant]</v>
          </cell>
          <cell r="I3002">
            <v>40</v>
          </cell>
        </row>
        <row r="3003">
          <cell r="A3003" t="str">
            <v>B558170/A</v>
          </cell>
          <cell r="B3003" t="str">
            <v>RH5574M113</v>
          </cell>
          <cell r="C3003">
            <v>10</v>
          </cell>
          <cell r="D3003">
            <v>489</v>
          </cell>
          <cell r="E3003">
            <v>4890</v>
          </cell>
          <cell r="F3003" t="str">
            <v>P01</v>
          </cell>
          <cell r="G3003" t="str">
            <v>Front rail  - Đố tiền</v>
          </cell>
          <cell r="H3003" t="str">
            <v>Wood EU Beech - Straight/Waving Edged ABC, 2 COM - T32mm x W100mm up x L1.8m up</v>
          </cell>
          <cell r="I3003">
            <v>20</v>
          </cell>
        </row>
        <row r="3004">
          <cell r="A3004" t="str">
            <v>B558170/A</v>
          </cell>
          <cell r="B3004" t="str">
            <v>RH5574M113</v>
          </cell>
          <cell r="C3004">
            <v>10</v>
          </cell>
          <cell r="D3004">
            <v>489</v>
          </cell>
          <cell r="E3004">
            <v>4890</v>
          </cell>
          <cell r="F3004" t="str">
            <v>P02</v>
          </cell>
          <cell r="G3004" t="str">
            <v>Bottom panel - Ván đáy</v>
          </cell>
          <cell r="H3004" t="str">
            <v>MDF - 18 x 1830 x 2440mm [CARB P2 Compliant]</v>
          </cell>
          <cell r="I3004">
            <v>10</v>
          </cell>
        </row>
        <row r="3005">
          <cell r="A3005" t="str">
            <v>B558170/A</v>
          </cell>
          <cell r="B3005" t="str">
            <v>RH5574M113</v>
          </cell>
          <cell r="C3005">
            <v>10</v>
          </cell>
          <cell r="D3005">
            <v>489</v>
          </cell>
          <cell r="E3005">
            <v>4890</v>
          </cell>
          <cell r="F3005" t="str">
            <v>P03</v>
          </cell>
          <cell r="G3005" t="str">
            <v>Fixed Shelf  - Kệ bắt chết</v>
          </cell>
          <cell r="H3005" t="str">
            <v>MDF - 18 x 1830 x 2440mm [CARB P2 Compliant]</v>
          </cell>
          <cell r="I3005">
            <v>10</v>
          </cell>
        </row>
        <row r="3006">
          <cell r="A3006" t="str">
            <v>B558170/A</v>
          </cell>
          <cell r="B3006" t="str">
            <v>RH5574M113</v>
          </cell>
          <cell r="C3006">
            <v>10</v>
          </cell>
          <cell r="D3006">
            <v>489</v>
          </cell>
          <cell r="E3006">
            <v>4890</v>
          </cell>
          <cell r="F3006" t="str">
            <v>P04</v>
          </cell>
          <cell r="G3006" t="str">
            <v>back rail - Đố hậu</v>
          </cell>
          <cell r="H3006" t="str">
            <v>Standard Wood - ALDER/ASPEN/LENGA/US POPLAR, 2 COM - T25 W120mm+ L2m+</v>
          </cell>
          <cell r="I3006">
            <v>10</v>
          </cell>
        </row>
        <row r="3007">
          <cell r="A3007" t="str">
            <v>B558170/A</v>
          </cell>
          <cell r="B3007" t="str">
            <v>RH5574M113</v>
          </cell>
          <cell r="C3007">
            <v>10</v>
          </cell>
          <cell r="D3007">
            <v>489</v>
          </cell>
          <cell r="E3007">
            <v>4890</v>
          </cell>
          <cell r="F3007" t="str">
            <v>P05</v>
          </cell>
          <cell r="G3007" t="str">
            <v>Back bottom rail - Đố hậu đáy</v>
          </cell>
          <cell r="H3007" t="str">
            <v>Standard Wood - ALDER/ASPEN/LENGA/US POPLAR, 2 COM - T25 W120mm+ L2m+</v>
          </cell>
          <cell r="I3007">
            <v>10</v>
          </cell>
        </row>
        <row r="3008">
          <cell r="A3008" t="str">
            <v>B558170/A</v>
          </cell>
          <cell r="B3008" t="str">
            <v>RH5574M113</v>
          </cell>
          <cell r="C3008">
            <v>10</v>
          </cell>
          <cell r="D3008">
            <v>489</v>
          </cell>
          <cell r="E3008">
            <v>4890</v>
          </cell>
          <cell r="F3008" t="str">
            <v>P06</v>
          </cell>
          <cell r="G3008" t="str">
            <v>Adjustable Shelf  - Kệ di động</v>
          </cell>
          <cell r="H3008" t="str">
            <v>MDF - 25 x 1830 x 2440mm [CARB P2 Compliant]</v>
          </cell>
          <cell r="I3008">
            <v>20</v>
          </cell>
        </row>
        <row r="3009">
          <cell r="A3009" t="str">
            <v>B558170/A</v>
          </cell>
          <cell r="B3009" t="str">
            <v>RH5574M113</v>
          </cell>
          <cell r="C3009">
            <v>10</v>
          </cell>
          <cell r="D3009">
            <v>489</v>
          </cell>
          <cell r="E3009">
            <v>4890</v>
          </cell>
          <cell r="F3009" t="str">
            <v>P07</v>
          </cell>
          <cell r="G3009" t="str">
            <v>Spline - Lưỡi gà</v>
          </cell>
          <cell r="H3009" t="str">
            <v>Plywood LVD - 09 x 1220 x 2440mm, Bleached Poplar Veneer Both Sides [CARB P2 Compliant]</v>
          </cell>
          <cell r="I3009">
            <v>20</v>
          </cell>
        </row>
        <row r="3010">
          <cell r="A3010" t="str">
            <v>B558170/A</v>
          </cell>
          <cell r="B3010" t="str">
            <v>RH5574M113</v>
          </cell>
          <cell r="C3010">
            <v>10</v>
          </cell>
          <cell r="D3010">
            <v>489</v>
          </cell>
          <cell r="E3010">
            <v>4890</v>
          </cell>
          <cell r="F3010" t="str">
            <v>P08</v>
          </cell>
          <cell r="G3010" t="str">
            <v>Back panel - Ván hậu</v>
          </cell>
          <cell r="H3010" t="str">
            <v>MDF Veneer</v>
          </cell>
          <cell r="I3010">
            <v>10</v>
          </cell>
        </row>
        <row r="3011">
          <cell r="A3011" t="str">
            <v>B558170/A</v>
          </cell>
          <cell r="B3011" t="str">
            <v>RH5574M113</v>
          </cell>
          <cell r="C3011">
            <v>10</v>
          </cell>
          <cell r="D3011">
            <v>489</v>
          </cell>
          <cell r="E3011">
            <v>4890</v>
          </cell>
          <cell r="F3011" t="str">
            <v>P09</v>
          </cell>
          <cell r="G3011" t="str">
            <v>Cleat - Bọ gỗ</v>
          </cell>
          <cell r="H3011" t="str">
            <v>Poplar off cut</v>
          </cell>
          <cell r="I3011">
            <v>20</v>
          </cell>
        </row>
        <row r="3012">
          <cell r="A3012" t="str">
            <v>B558170/A</v>
          </cell>
          <cell r="B3012" t="str">
            <v>RH5574M113</v>
          </cell>
          <cell r="C3012">
            <v>10</v>
          </cell>
          <cell r="D3012">
            <v>489</v>
          </cell>
          <cell r="E3012">
            <v>4890</v>
          </cell>
          <cell r="F3012" t="str">
            <v>P09-1</v>
          </cell>
          <cell r="G3012" t="str">
            <v>Cleat - Bọ gỗ</v>
          </cell>
          <cell r="H3012" t="str">
            <v>Wood US Poplar - Straight Edged, 2 COM - T25mm x W100mm Up x L1.8m Up</v>
          </cell>
          <cell r="I3012">
            <v>20</v>
          </cell>
        </row>
        <row r="3013">
          <cell r="A3013" t="str">
            <v>B558170/A</v>
          </cell>
          <cell r="B3013" t="str">
            <v>RH5574M113</v>
          </cell>
          <cell r="C3013">
            <v>10</v>
          </cell>
          <cell r="D3013">
            <v>489</v>
          </cell>
          <cell r="E3013">
            <v>4890</v>
          </cell>
          <cell r="F3013" t="str">
            <v>P10</v>
          </cell>
          <cell r="G3013" t="str">
            <v>Front rail  - Đố tiền</v>
          </cell>
          <cell r="H3013" t="str">
            <v>Wood EU Beech - Straight/Waving Edged ABC, 2 COM - T32mm x W100mm up x L1.8m up</v>
          </cell>
          <cell r="I3013">
            <v>20</v>
          </cell>
        </row>
        <row r="3014">
          <cell r="A3014" t="str">
            <v>B558170/A</v>
          </cell>
          <cell r="B3014" t="str">
            <v>RH5574M113</v>
          </cell>
          <cell r="C3014">
            <v>10</v>
          </cell>
          <cell r="D3014">
            <v>489</v>
          </cell>
          <cell r="E3014">
            <v>4890</v>
          </cell>
          <cell r="F3014" t="str">
            <v>P11</v>
          </cell>
          <cell r="G3014" t="str">
            <v>back rail - Đố hậu</v>
          </cell>
          <cell r="H3014" t="str">
            <v>Standard Wood - ALDER/ASPEN/LENGA/US POPLAR, 2 COM - T25 W120mm+ L2m+</v>
          </cell>
          <cell r="I3014">
            <v>10</v>
          </cell>
        </row>
        <row r="3015">
          <cell r="A3015" t="str">
            <v>B558170/A</v>
          </cell>
          <cell r="B3015" t="str">
            <v>RH5574M113</v>
          </cell>
          <cell r="C3015">
            <v>10</v>
          </cell>
          <cell r="D3015">
            <v>489</v>
          </cell>
          <cell r="E3015">
            <v>4890</v>
          </cell>
          <cell r="F3015" t="str">
            <v>P12</v>
          </cell>
          <cell r="G3015" t="str">
            <v>Drawer stop - Dừng hộc</v>
          </cell>
          <cell r="H3015" t="str">
            <v>Poplar off cut</v>
          </cell>
          <cell r="I3015">
            <v>60</v>
          </cell>
        </row>
        <row r="3016">
          <cell r="A3016" t="str">
            <v>B558173/A</v>
          </cell>
          <cell r="B3016" t="str">
            <v>RH5574M152</v>
          </cell>
          <cell r="C3016">
            <v>10</v>
          </cell>
          <cell r="D3016">
            <v>489</v>
          </cell>
          <cell r="E3016">
            <v>4890</v>
          </cell>
          <cell r="F3016" t="str">
            <v>A1</v>
          </cell>
          <cell r="G3016" t="str">
            <v>Top Frame - Khung nóc</v>
          </cell>
          <cell r="H3016" t="str">
            <v>Pre-Assembly</v>
          </cell>
          <cell r="I3016">
            <v>10</v>
          </cell>
        </row>
        <row r="3017">
          <cell r="A3017" t="str">
            <v>B558173/A</v>
          </cell>
          <cell r="B3017" t="str">
            <v>RH5574M152</v>
          </cell>
          <cell r="C3017">
            <v>10</v>
          </cell>
          <cell r="D3017">
            <v>489</v>
          </cell>
          <cell r="E3017">
            <v>4890</v>
          </cell>
          <cell r="F3017" t="str">
            <v>A1-S01</v>
          </cell>
          <cell r="G3017" t="str">
            <v xml:space="preserve">Panel - Ván </v>
          </cell>
          <cell r="H3017" t="str">
            <v>MDF - 12 x 1830 x 2440mm [CARB P2 Compliant]</v>
          </cell>
          <cell r="I3017">
            <v>20</v>
          </cell>
        </row>
        <row r="3018">
          <cell r="A3018" t="str">
            <v>B558173/A</v>
          </cell>
          <cell r="B3018" t="str">
            <v>RH5574M152</v>
          </cell>
          <cell r="C3018">
            <v>10</v>
          </cell>
          <cell r="D3018">
            <v>489</v>
          </cell>
          <cell r="E3018">
            <v>4890</v>
          </cell>
          <cell r="F3018" t="str">
            <v>A1-S02</v>
          </cell>
          <cell r="G3018" t="str">
            <v xml:space="preserve">Side rail  - Đố hông </v>
          </cell>
          <cell r="H3018" t="str">
            <v>MDF - 18 x 1830 x 2440mm [CARB P2 Compliant]</v>
          </cell>
          <cell r="I3018">
            <v>20</v>
          </cell>
        </row>
        <row r="3019">
          <cell r="A3019" t="str">
            <v>B558173/A</v>
          </cell>
          <cell r="B3019" t="str">
            <v>RH5574M152</v>
          </cell>
          <cell r="C3019">
            <v>10</v>
          </cell>
          <cell r="D3019">
            <v>489</v>
          </cell>
          <cell r="E3019">
            <v>4890</v>
          </cell>
          <cell r="F3019" t="str">
            <v>A1-S03</v>
          </cell>
          <cell r="G3019" t="str">
            <v>Center rail - Đố giữa</v>
          </cell>
          <cell r="H3019" t="str">
            <v>MDF - 18 x 1830 x 2440mm [CARB P2 Compliant]</v>
          </cell>
          <cell r="I3019">
            <v>150</v>
          </cell>
        </row>
        <row r="3020">
          <cell r="A3020" t="str">
            <v>B558173/A</v>
          </cell>
          <cell r="B3020" t="str">
            <v>RH5574M152</v>
          </cell>
          <cell r="C3020">
            <v>10</v>
          </cell>
          <cell r="D3020">
            <v>489</v>
          </cell>
          <cell r="E3020">
            <v>4890</v>
          </cell>
          <cell r="F3020" t="str">
            <v>A2</v>
          </cell>
          <cell r="G3020" t="str">
            <v>Side Frame - Khung hông</v>
          </cell>
          <cell r="H3020" t="str">
            <v>Pre-Assembly</v>
          </cell>
          <cell r="I3020">
            <v>20</v>
          </cell>
        </row>
        <row r="3021">
          <cell r="A3021" t="str">
            <v>B558173/A</v>
          </cell>
          <cell r="B3021" t="str">
            <v>RH5574M152</v>
          </cell>
          <cell r="C3021">
            <v>10</v>
          </cell>
          <cell r="D3021">
            <v>489</v>
          </cell>
          <cell r="E3021">
            <v>4890</v>
          </cell>
          <cell r="F3021" t="str">
            <v>A2-S01</v>
          </cell>
          <cell r="G3021" t="str">
            <v xml:space="preserve">Side panel  - Ván hông </v>
          </cell>
          <cell r="H3021" t="str">
            <v>MDF - 12 x 1830 x 2440mm [CARB P2 Compliant]</v>
          </cell>
          <cell r="I3021">
            <v>40</v>
          </cell>
        </row>
        <row r="3022">
          <cell r="A3022" t="str">
            <v>B558173/A</v>
          </cell>
          <cell r="B3022" t="str">
            <v>RH5574M152</v>
          </cell>
          <cell r="C3022">
            <v>10</v>
          </cell>
          <cell r="D3022">
            <v>489</v>
          </cell>
          <cell r="E3022">
            <v>4890</v>
          </cell>
          <cell r="F3022" t="str">
            <v>A2-S02</v>
          </cell>
          <cell r="G3022" t="str">
            <v xml:space="preserve">Side rail  - Đố hông </v>
          </cell>
          <cell r="H3022" t="str">
            <v>MDF - 18 x 1830 x 2440mm [CARB P2 Compliant]</v>
          </cell>
          <cell r="I3022">
            <v>40</v>
          </cell>
        </row>
        <row r="3023">
          <cell r="A3023" t="str">
            <v>B558173/A</v>
          </cell>
          <cell r="B3023" t="str">
            <v>RH5574M152</v>
          </cell>
          <cell r="C3023">
            <v>10</v>
          </cell>
          <cell r="D3023">
            <v>489</v>
          </cell>
          <cell r="E3023">
            <v>4890</v>
          </cell>
          <cell r="F3023" t="str">
            <v>A3-S01</v>
          </cell>
          <cell r="G3023" t="str">
            <v>Front Bottom Rail  - Đố đáy trước</v>
          </cell>
          <cell r="H3023" t="str">
            <v>Wood EU Beech - Straight/Waving Edged ABC, 2 COM - T32mm x W100mm up x L1.8m up</v>
          </cell>
          <cell r="I3023">
            <v>20</v>
          </cell>
        </row>
        <row r="3024">
          <cell r="A3024" t="str">
            <v>B558173/A</v>
          </cell>
          <cell r="B3024" t="str">
            <v>RH5574M152</v>
          </cell>
          <cell r="C3024">
            <v>10</v>
          </cell>
          <cell r="D3024">
            <v>489</v>
          </cell>
          <cell r="E3024">
            <v>4890</v>
          </cell>
          <cell r="F3024" t="str">
            <v>A3-S02</v>
          </cell>
          <cell r="G3024" t="str">
            <v>Side bottom rail - Đố hông dưới</v>
          </cell>
          <cell r="H3024" t="str">
            <v>Wood EU Beech - Straight/Waving Edged ABC, 2 COM - T32mm x W100mm up x L1.8m up</v>
          </cell>
          <cell r="I3024">
            <v>20</v>
          </cell>
        </row>
        <row r="3025">
          <cell r="A3025" t="str">
            <v>B558173/A</v>
          </cell>
          <cell r="B3025" t="str">
            <v>RH5574M152</v>
          </cell>
          <cell r="C3025">
            <v>10</v>
          </cell>
          <cell r="D3025">
            <v>489</v>
          </cell>
          <cell r="E3025">
            <v>4890</v>
          </cell>
          <cell r="F3025" t="str">
            <v>A4-S01</v>
          </cell>
          <cell r="G3025" t="str">
            <v xml:space="preserve">Drawer front - Mặt hộc kéo </v>
          </cell>
          <cell r="H3025" t="str">
            <v>MDF Veneer</v>
          </cell>
          <cell r="I3025">
            <v>10</v>
          </cell>
        </row>
        <row r="3026">
          <cell r="A3026" t="str">
            <v>B558173/A</v>
          </cell>
          <cell r="B3026" t="str">
            <v>RH5574M152</v>
          </cell>
          <cell r="C3026">
            <v>10</v>
          </cell>
          <cell r="D3026">
            <v>489</v>
          </cell>
          <cell r="E3026">
            <v>4890</v>
          </cell>
          <cell r="F3026" t="str">
            <v>A4-S02</v>
          </cell>
          <cell r="G3026" t="str">
            <v xml:space="preserve">Drawer front 1 - Mặt hộc kéo </v>
          </cell>
          <cell r="H3026" t="str">
            <v>MDF-N - 12 x 1220 x 2440mm, Veneer Poplar Rotary 0.45mm Both Faces [CARB P2 Compliant]</v>
          </cell>
          <cell r="I3026">
            <v>10</v>
          </cell>
        </row>
        <row r="3027">
          <cell r="A3027" t="str">
            <v>B558173/A</v>
          </cell>
          <cell r="B3027" t="str">
            <v>RH5574M152</v>
          </cell>
          <cell r="C3027">
            <v>10</v>
          </cell>
          <cell r="D3027">
            <v>489</v>
          </cell>
          <cell r="E3027">
            <v>4890</v>
          </cell>
          <cell r="F3027" t="str">
            <v>A4-S03</v>
          </cell>
          <cell r="G3027" t="str">
            <v>Drawer back - Hậu hộc kéo</v>
          </cell>
          <cell r="H3027" t="str">
            <v>MDF-N - 12 x 1220 x 2440mm, Veneer Poplar Rotary 0.45mm Both Faces [CARB P2 Compliant]</v>
          </cell>
          <cell r="I3027">
            <v>10</v>
          </cell>
        </row>
        <row r="3028">
          <cell r="A3028" t="str">
            <v>B558173/A</v>
          </cell>
          <cell r="B3028" t="str">
            <v>RH5574M152</v>
          </cell>
          <cell r="C3028">
            <v>10</v>
          </cell>
          <cell r="D3028">
            <v>489</v>
          </cell>
          <cell r="E3028">
            <v>4890</v>
          </cell>
          <cell r="F3028" t="str">
            <v>A4-S04</v>
          </cell>
          <cell r="G3028" t="str">
            <v>Drawer side - Hông hộc kéo</v>
          </cell>
          <cell r="H3028" t="str">
            <v>MDF-N - 12 x 1220 x 2440mm, Veneer Poplar Rotary 0.45mm Both Faces [CARB P2 Compliant]</v>
          </cell>
          <cell r="I3028">
            <v>20</v>
          </cell>
        </row>
        <row r="3029">
          <cell r="A3029" t="str">
            <v>B558173/A</v>
          </cell>
          <cell r="B3029" t="str">
            <v>RH5574M152</v>
          </cell>
          <cell r="C3029">
            <v>10</v>
          </cell>
          <cell r="D3029">
            <v>489</v>
          </cell>
          <cell r="E3029">
            <v>4890</v>
          </cell>
          <cell r="F3029" t="str">
            <v>A4-S05</v>
          </cell>
          <cell r="G3029" t="str">
            <v>Drawer bottom  - Đáy hộc kéo</v>
          </cell>
          <cell r="H3029" t="str">
            <v>MDF - 06 x 1220 x 2440mm, Veneer Poplar 0.42mm + Veneer Engineering 0.3mm [CARB P2 Compliant]</v>
          </cell>
          <cell r="I3029">
            <v>30</v>
          </cell>
        </row>
        <row r="3030">
          <cell r="A3030" t="str">
            <v>B558173/A</v>
          </cell>
          <cell r="B3030" t="str">
            <v>RH5574M152</v>
          </cell>
          <cell r="C3030">
            <v>10</v>
          </cell>
          <cell r="D3030">
            <v>489</v>
          </cell>
          <cell r="E3030">
            <v>4890</v>
          </cell>
          <cell r="F3030" t="str">
            <v>A4-S06</v>
          </cell>
          <cell r="G3030" t="str">
            <v>Patching moulding - Chỉ đắp</v>
          </cell>
          <cell r="H3030" t="str">
            <v>Beech off cut</v>
          </cell>
          <cell r="I3030">
            <v>60</v>
          </cell>
        </row>
        <row r="3031">
          <cell r="A3031" t="str">
            <v>B558173/A</v>
          </cell>
          <cell r="B3031" t="str">
            <v>RH5574M152</v>
          </cell>
          <cell r="C3031">
            <v>10</v>
          </cell>
          <cell r="D3031">
            <v>489</v>
          </cell>
          <cell r="E3031">
            <v>4890</v>
          </cell>
          <cell r="F3031" t="str">
            <v>A5-S01</v>
          </cell>
          <cell r="G3031" t="str">
            <v xml:space="preserve">Drawer front - Mặt hộc kéo </v>
          </cell>
          <cell r="H3031" t="str">
            <v>MDF Veneer</v>
          </cell>
          <cell r="I3031">
            <v>20</v>
          </cell>
        </row>
        <row r="3032">
          <cell r="A3032" t="str">
            <v>B558173/A</v>
          </cell>
          <cell r="B3032" t="str">
            <v>RH5574M152</v>
          </cell>
          <cell r="C3032">
            <v>10</v>
          </cell>
          <cell r="D3032">
            <v>489</v>
          </cell>
          <cell r="E3032">
            <v>4890</v>
          </cell>
          <cell r="F3032" t="str">
            <v>A5-S02</v>
          </cell>
          <cell r="G3032" t="str">
            <v xml:space="preserve">Drawer front 1 - Mặt hộc kéo </v>
          </cell>
          <cell r="H3032" t="str">
            <v>MDF-N - 12 x 1220 x 2440mm, Veneer Poplar Rotary 0.45mm Both Faces [CARB P2 Compliant]</v>
          </cell>
          <cell r="I3032">
            <v>20</v>
          </cell>
        </row>
        <row r="3033">
          <cell r="A3033" t="str">
            <v>B558173/A</v>
          </cell>
          <cell r="B3033" t="str">
            <v>RH5574M152</v>
          </cell>
          <cell r="C3033">
            <v>10</v>
          </cell>
          <cell r="D3033">
            <v>489</v>
          </cell>
          <cell r="E3033">
            <v>4890</v>
          </cell>
          <cell r="F3033" t="str">
            <v>A5-S03</v>
          </cell>
          <cell r="G3033" t="str">
            <v>Drawer back - Hậu hộc kéo</v>
          </cell>
          <cell r="H3033" t="str">
            <v>MDF-N - 12 x 1220 x 2440mm, Veneer Poplar Rotary 0.45mm Both Faces [CARB P2 Compliant]</v>
          </cell>
          <cell r="I3033">
            <v>20</v>
          </cell>
        </row>
        <row r="3034">
          <cell r="A3034" t="str">
            <v>B558173/A</v>
          </cell>
          <cell r="B3034" t="str">
            <v>RH5574M152</v>
          </cell>
          <cell r="C3034">
            <v>10</v>
          </cell>
          <cell r="D3034">
            <v>489</v>
          </cell>
          <cell r="E3034">
            <v>4890</v>
          </cell>
          <cell r="F3034" t="str">
            <v>A5-S04</v>
          </cell>
          <cell r="G3034" t="str">
            <v>Drawer side - Hông hộc kéo</v>
          </cell>
          <cell r="H3034" t="str">
            <v>MDF-N - 12 x 1220 x 2440mm, Veneer Poplar Rotary 0.45mm Both Faces [CARB P2 Compliant]</v>
          </cell>
          <cell r="I3034">
            <v>40</v>
          </cell>
        </row>
        <row r="3035">
          <cell r="A3035" t="str">
            <v>B558173/A</v>
          </cell>
          <cell r="B3035" t="str">
            <v>RH5574M152</v>
          </cell>
          <cell r="C3035">
            <v>10</v>
          </cell>
          <cell r="D3035">
            <v>489</v>
          </cell>
          <cell r="E3035">
            <v>4890</v>
          </cell>
          <cell r="F3035" t="str">
            <v>P01</v>
          </cell>
          <cell r="G3035" t="str">
            <v>Front rail  - Đố tiền</v>
          </cell>
          <cell r="H3035" t="str">
            <v>Wood EU Beech - Straight/Waving Edged ABC, 2 COM - T32mm x W100mm up x L1.8m up</v>
          </cell>
          <cell r="I3035">
            <v>20</v>
          </cell>
        </row>
        <row r="3036">
          <cell r="A3036" t="str">
            <v>B558173/A</v>
          </cell>
          <cell r="B3036" t="str">
            <v>RH5574M152</v>
          </cell>
          <cell r="C3036">
            <v>10</v>
          </cell>
          <cell r="D3036">
            <v>489</v>
          </cell>
          <cell r="E3036">
            <v>4890</v>
          </cell>
          <cell r="F3036" t="str">
            <v>P02</v>
          </cell>
          <cell r="G3036" t="str">
            <v>Bottom panel - Ván đáy</v>
          </cell>
          <cell r="H3036" t="str">
            <v>MDF - 18 x 1830 x 2440mm [CARB P2 Compliant]</v>
          </cell>
          <cell r="I3036">
            <v>10</v>
          </cell>
        </row>
        <row r="3037">
          <cell r="A3037" t="str">
            <v>B558173/A</v>
          </cell>
          <cell r="B3037" t="str">
            <v>RH5574M152</v>
          </cell>
          <cell r="C3037">
            <v>10</v>
          </cell>
          <cell r="D3037">
            <v>489</v>
          </cell>
          <cell r="E3037">
            <v>4890</v>
          </cell>
          <cell r="F3037" t="str">
            <v>P03</v>
          </cell>
          <cell r="G3037" t="str">
            <v>Fixed Shelf  - Kệ bắt chết</v>
          </cell>
          <cell r="H3037" t="str">
            <v>MDF - 18 x 1830 x 2440mm [CARB P2 Compliant]</v>
          </cell>
          <cell r="I3037">
            <v>10</v>
          </cell>
        </row>
        <row r="3038">
          <cell r="A3038" t="str">
            <v>B558173/A</v>
          </cell>
          <cell r="B3038" t="str">
            <v>RH5574M152</v>
          </cell>
          <cell r="C3038">
            <v>10</v>
          </cell>
          <cell r="D3038">
            <v>489</v>
          </cell>
          <cell r="E3038">
            <v>4890</v>
          </cell>
          <cell r="F3038" t="str">
            <v>P04</v>
          </cell>
          <cell r="G3038" t="str">
            <v>back rail - Đố hậu</v>
          </cell>
          <cell r="H3038" t="str">
            <v>Standard Wood - ALDER/ASPEN/LENGA/US POPLAR, 2 COM - T25 W120mm+ L2m+</v>
          </cell>
          <cell r="I3038">
            <v>10</v>
          </cell>
        </row>
        <row r="3039">
          <cell r="A3039" t="str">
            <v>B558173/A</v>
          </cell>
          <cell r="B3039" t="str">
            <v>RH5574M152</v>
          </cell>
          <cell r="C3039">
            <v>10</v>
          </cell>
          <cell r="D3039">
            <v>489</v>
          </cell>
          <cell r="E3039">
            <v>4890</v>
          </cell>
          <cell r="F3039" t="str">
            <v>P05</v>
          </cell>
          <cell r="G3039" t="str">
            <v>Back bottom rail - Đố hậu đáy</v>
          </cell>
          <cell r="H3039" t="str">
            <v>Standard Wood - ALDER/ASPEN/LENGA/US POPLAR, 2 COM - T25 W120mm+ L2m+</v>
          </cell>
          <cell r="I3039">
            <v>10</v>
          </cell>
        </row>
        <row r="3040">
          <cell r="A3040" t="str">
            <v>B558173/A</v>
          </cell>
          <cell r="B3040" t="str">
            <v>RH5574M152</v>
          </cell>
          <cell r="C3040">
            <v>10</v>
          </cell>
          <cell r="D3040">
            <v>489</v>
          </cell>
          <cell r="E3040">
            <v>4890</v>
          </cell>
          <cell r="F3040" t="str">
            <v>P06</v>
          </cell>
          <cell r="G3040" t="str">
            <v>Adjustable Shelf  - Kệ di động</v>
          </cell>
          <cell r="H3040" t="str">
            <v>MDF - 25 x 1830 x 2440mm [CARB P2 Compliant]</v>
          </cell>
          <cell r="I3040">
            <v>20</v>
          </cell>
        </row>
        <row r="3041">
          <cell r="A3041" t="str">
            <v>B558173/A</v>
          </cell>
          <cell r="B3041" t="str">
            <v>RH5574M152</v>
          </cell>
          <cell r="C3041">
            <v>10</v>
          </cell>
          <cell r="D3041">
            <v>489</v>
          </cell>
          <cell r="E3041">
            <v>4890</v>
          </cell>
          <cell r="F3041" t="str">
            <v>P07</v>
          </cell>
          <cell r="G3041" t="str">
            <v>Spline - Lưỡi gà</v>
          </cell>
          <cell r="H3041" t="str">
            <v>Plywood LVD - 09 x 1220 x 2440mm, Bleached Poplar Veneer Both Sides [CARB P2 Compliant]</v>
          </cell>
          <cell r="I3041">
            <v>20</v>
          </cell>
        </row>
        <row r="3042">
          <cell r="A3042" t="str">
            <v>B558173/A</v>
          </cell>
          <cell r="B3042" t="str">
            <v>RH5574M152</v>
          </cell>
          <cell r="C3042">
            <v>10</v>
          </cell>
          <cell r="D3042">
            <v>489</v>
          </cell>
          <cell r="E3042">
            <v>4890</v>
          </cell>
          <cell r="F3042" t="str">
            <v>P08</v>
          </cell>
          <cell r="G3042" t="str">
            <v>Back panel - Ván hậu</v>
          </cell>
          <cell r="H3042" t="str">
            <v>MDF Veneer</v>
          </cell>
          <cell r="I3042">
            <v>10</v>
          </cell>
        </row>
        <row r="3043">
          <cell r="A3043" t="str">
            <v>B558173/A</v>
          </cell>
          <cell r="B3043" t="str">
            <v>RH5574M152</v>
          </cell>
          <cell r="C3043">
            <v>10</v>
          </cell>
          <cell r="D3043">
            <v>489</v>
          </cell>
          <cell r="E3043">
            <v>4890</v>
          </cell>
          <cell r="F3043" t="str">
            <v>P09</v>
          </cell>
          <cell r="G3043" t="str">
            <v>Cleat - Bọ gỗ</v>
          </cell>
          <cell r="H3043" t="str">
            <v>Poplar off cut</v>
          </cell>
          <cell r="I3043">
            <v>20</v>
          </cell>
        </row>
        <row r="3044">
          <cell r="A3044" t="str">
            <v>B558173/A</v>
          </cell>
          <cell r="B3044" t="str">
            <v>RH5574M152</v>
          </cell>
          <cell r="C3044">
            <v>10</v>
          </cell>
          <cell r="D3044">
            <v>489</v>
          </cell>
          <cell r="E3044">
            <v>4890</v>
          </cell>
          <cell r="F3044" t="str">
            <v>P09-1</v>
          </cell>
          <cell r="G3044" t="str">
            <v>Cleat - Bọ gỗ</v>
          </cell>
          <cell r="H3044" t="str">
            <v>Wood US Poplar - Straight Edged, 2 COM - T25mm x W100mm Up x L1.8m Up</v>
          </cell>
          <cell r="I3044">
            <v>20</v>
          </cell>
        </row>
        <row r="3045">
          <cell r="A3045" t="str">
            <v>B558173/A</v>
          </cell>
          <cell r="B3045" t="str">
            <v>RH5574M152</v>
          </cell>
          <cell r="C3045">
            <v>10</v>
          </cell>
          <cell r="D3045">
            <v>489</v>
          </cell>
          <cell r="E3045">
            <v>4890</v>
          </cell>
          <cell r="F3045" t="str">
            <v>P10</v>
          </cell>
          <cell r="G3045" t="str">
            <v>Front rail  - Đố tiền</v>
          </cell>
          <cell r="H3045" t="str">
            <v>Wood EU Beech - Straight/Waving Edged ABC, 2 COM - T32mm x W100mm up x L1.8m up</v>
          </cell>
          <cell r="I3045">
            <v>20</v>
          </cell>
        </row>
        <row r="3046">
          <cell r="A3046" t="str">
            <v>B558173/A</v>
          </cell>
          <cell r="B3046" t="str">
            <v>RH5574M152</v>
          </cell>
          <cell r="C3046">
            <v>10</v>
          </cell>
          <cell r="D3046">
            <v>489</v>
          </cell>
          <cell r="E3046">
            <v>4890</v>
          </cell>
          <cell r="F3046" t="str">
            <v>P11</v>
          </cell>
          <cell r="G3046" t="str">
            <v>back rail - Đố hậu</v>
          </cell>
          <cell r="H3046" t="str">
            <v>Standard Wood - ALDER/ASPEN/LENGA/US POPLAR, 2 COM - T25 W120mm+ L2m+</v>
          </cell>
          <cell r="I3046">
            <v>10</v>
          </cell>
        </row>
        <row r="3047">
          <cell r="A3047" t="str">
            <v>B558173/A</v>
          </cell>
          <cell r="B3047" t="str">
            <v>RH5574M152</v>
          </cell>
          <cell r="C3047">
            <v>10</v>
          </cell>
          <cell r="D3047">
            <v>489</v>
          </cell>
          <cell r="E3047">
            <v>4890</v>
          </cell>
          <cell r="F3047" t="str">
            <v>P12</v>
          </cell>
          <cell r="G3047" t="str">
            <v>Drawer stop - Dừng hộc</v>
          </cell>
          <cell r="H3047" t="str">
            <v>Poplar off cut</v>
          </cell>
          <cell r="I3047">
            <v>60</v>
          </cell>
        </row>
        <row r="3048">
          <cell r="A3048" t="str">
            <v>B558337/A</v>
          </cell>
          <cell r="B3048" t="str">
            <v>RH6352M29</v>
          </cell>
          <cell r="C3048">
            <v>65</v>
          </cell>
          <cell r="D3048">
            <v>412.1</v>
          </cell>
          <cell r="E3048">
            <v>26786.5</v>
          </cell>
          <cell r="F3048" t="str">
            <v>A02-S1</v>
          </cell>
          <cell r="G3048" t="str">
            <v xml:space="preserve">Drawer front - Mặt hộc kéo </v>
          </cell>
          <cell r="H3048" t="str">
            <v>Wood Acacia - Straight/Waving Edged - T30mm x W100mm Up x L1m Up</v>
          </cell>
          <cell r="I3048">
            <v>130</v>
          </cell>
        </row>
        <row r="3049">
          <cell r="A3049" t="str">
            <v>B558337/A</v>
          </cell>
          <cell r="B3049" t="str">
            <v>RH6352M29</v>
          </cell>
          <cell r="C3049">
            <v>65</v>
          </cell>
          <cell r="D3049">
            <v>412.1</v>
          </cell>
          <cell r="E3049">
            <v>26786.5</v>
          </cell>
          <cell r="F3049" t="str">
            <v>A02-S2</v>
          </cell>
          <cell r="G3049" t="str">
            <v>Drawer side - Hông hộc kéo</v>
          </cell>
          <cell r="H3049" t="str">
            <v>MDF-N - 12 x 1220 x 2440mm, Veneer Poplar Rotary 0.45mm Both Faces [CARB P2 Compliant]</v>
          </cell>
          <cell r="I3049">
            <v>260</v>
          </cell>
        </row>
        <row r="3050">
          <cell r="A3050" t="str">
            <v>B558337/A</v>
          </cell>
          <cell r="B3050" t="str">
            <v>RH6352M29</v>
          </cell>
          <cell r="C3050">
            <v>65</v>
          </cell>
          <cell r="D3050">
            <v>412.1</v>
          </cell>
          <cell r="E3050">
            <v>26786.5</v>
          </cell>
          <cell r="F3050" t="str">
            <v>A02-S3</v>
          </cell>
          <cell r="G3050" t="str">
            <v>Drawer back - Hậu hộc kéo</v>
          </cell>
          <cell r="H3050" t="str">
            <v>MDF-N - 12 x 1220 x 2440mm, Veneer Poplar Rotary 0.45mm Both Faces [CARB P2 Compliant]</v>
          </cell>
          <cell r="I3050">
            <v>65</v>
          </cell>
        </row>
        <row r="3051">
          <cell r="A3051" t="str">
            <v>B558337/A</v>
          </cell>
          <cell r="B3051" t="str">
            <v>RH6352M29</v>
          </cell>
          <cell r="C3051">
            <v>65</v>
          </cell>
          <cell r="D3051">
            <v>412.1</v>
          </cell>
          <cell r="E3051">
            <v>26786.5</v>
          </cell>
          <cell r="F3051" t="str">
            <v>A02-S3-1</v>
          </cell>
          <cell r="G3051" t="str">
            <v>Drawer back - Hậu hộc kéo</v>
          </cell>
          <cell r="H3051" t="str">
            <v>MDF-N - 12 x 1220 x 2440mm, Veneer Poplar Rotary 0.45mm Both Faces [CARB P2 Compliant]</v>
          </cell>
          <cell r="I3051">
            <v>65</v>
          </cell>
        </row>
        <row r="3052">
          <cell r="A3052" t="str">
            <v>B558337/A</v>
          </cell>
          <cell r="B3052" t="str">
            <v>RH6352M29</v>
          </cell>
          <cell r="C3052">
            <v>65</v>
          </cell>
          <cell r="D3052">
            <v>412.1</v>
          </cell>
          <cell r="E3052">
            <v>26786.5</v>
          </cell>
          <cell r="F3052" t="str">
            <v>A02-S4</v>
          </cell>
          <cell r="G3052" t="str">
            <v>Drawer bottom  - Đáy hộc kéo</v>
          </cell>
          <cell r="H3052" t="str">
            <v>MDF - 06 x 1220 x 2440mm, Veneer Poplar 0.42mm + Veneer Engineering 0.3mm [CARB P2 Compliant]</v>
          </cell>
          <cell r="I3052">
            <v>390</v>
          </cell>
        </row>
        <row r="3053">
          <cell r="A3053" t="str">
            <v>B558337/A</v>
          </cell>
          <cell r="B3053" t="str">
            <v>RH6352M29</v>
          </cell>
          <cell r="C3053">
            <v>65</v>
          </cell>
          <cell r="D3053">
            <v>412.1</v>
          </cell>
          <cell r="E3053">
            <v>26786.5</v>
          </cell>
          <cell r="F3053" t="str">
            <v>A02-S8</v>
          </cell>
          <cell r="G3053" t="str">
            <v>Patching wood - Gỗ đắp</v>
          </cell>
          <cell r="H3053" t="str">
            <v>TRAM OFF CUT</v>
          </cell>
          <cell r="I3053">
            <v>65</v>
          </cell>
        </row>
        <row r="3054">
          <cell r="A3054" t="str">
            <v>B558337/A</v>
          </cell>
          <cell r="B3054" t="str">
            <v>RH6352M29</v>
          </cell>
          <cell r="C3054">
            <v>65</v>
          </cell>
          <cell r="D3054">
            <v>412.1</v>
          </cell>
          <cell r="E3054">
            <v>26786.5</v>
          </cell>
          <cell r="F3054" t="str">
            <v>a03-s1</v>
          </cell>
          <cell r="G3054" t="str">
            <v xml:space="preserve">Drawer front - Mặt hộc kéo </v>
          </cell>
          <cell r="H3054" t="str">
            <v>Wood Acacia - Straight/Waving Edged - T30mm x W100mm Up x L1m Up</v>
          </cell>
          <cell r="I3054">
            <v>260</v>
          </cell>
        </row>
        <row r="3055">
          <cell r="A3055" t="str">
            <v>B558337/A</v>
          </cell>
          <cell r="B3055" t="str">
            <v>RH6352M29</v>
          </cell>
          <cell r="C3055">
            <v>65</v>
          </cell>
          <cell r="D3055">
            <v>412.1</v>
          </cell>
          <cell r="E3055">
            <v>26786.5</v>
          </cell>
          <cell r="F3055" t="str">
            <v>A03-S2</v>
          </cell>
          <cell r="G3055" t="str">
            <v>Drawer side - Hông hộc kéo</v>
          </cell>
          <cell r="H3055" t="str">
            <v>MDF-N - 12 x 1220 x 2440mm, Veneer Poplar Rotary 0.45mm Both Faces [CARB P2 Compliant]</v>
          </cell>
          <cell r="I3055">
            <v>520</v>
          </cell>
        </row>
        <row r="3056">
          <cell r="A3056" t="str">
            <v>B558337/A</v>
          </cell>
          <cell r="B3056" t="str">
            <v>RH6352M29</v>
          </cell>
          <cell r="C3056">
            <v>65</v>
          </cell>
          <cell r="D3056">
            <v>412.1</v>
          </cell>
          <cell r="E3056">
            <v>26786.5</v>
          </cell>
          <cell r="F3056" t="str">
            <v>A03-S3</v>
          </cell>
          <cell r="G3056" t="str">
            <v>Drawer back - Hậu hộc kéo</v>
          </cell>
          <cell r="H3056" t="str">
            <v>MDF-N - 12 x 1220 x 2440mm, Veneer Poplar Rotary 0.45mm Both Faces [CARB P2 Compliant]</v>
          </cell>
          <cell r="I3056">
            <v>260</v>
          </cell>
        </row>
        <row r="3057">
          <cell r="A3057" t="str">
            <v>B558337/A</v>
          </cell>
          <cell r="B3057" t="str">
            <v>RH6352M29</v>
          </cell>
          <cell r="C3057">
            <v>65</v>
          </cell>
          <cell r="D3057">
            <v>412.1</v>
          </cell>
          <cell r="E3057">
            <v>26786.5</v>
          </cell>
          <cell r="F3057" t="str">
            <v>a05-s1</v>
          </cell>
          <cell r="G3057" t="str">
            <v xml:space="preserve">Drawer front - Mặt hộc kéo </v>
          </cell>
          <cell r="H3057" t="str">
            <v>Wood Acacia - Straight/Waving Edged - T30mm x W100mm Up x L1m Up</v>
          </cell>
          <cell r="I3057">
            <v>65</v>
          </cell>
        </row>
        <row r="3058">
          <cell r="A3058" t="str">
            <v>B558337/A</v>
          </cell>
          <cell r="B3058" t="str">
            <v>RH6352M29</v>
          </cell>
          <cell r="C3058">
            <v>65</v>
          </cell>
          <cell r="D3058">
            <v>412.1</v>
          </cell>
          <cell r="E3058">
            <v>26786.5</v>
          </cell>
          <cell r="F3058" t="str">
            <v>A05-S2</v>
          </cell>
          <cell r="G3058" t="str">
            <v>Drawer back - Hậu hộc kéo</v>
          </cell>
          <cell r="H3058" t="str">
            <v>MDF-N - 12 x 1220 x 2440mm, Veneer Poplar Rotary 0.45mm Both Faces [CARB P2 Compliant]</v>
          </cell>
          <cell r="I3058">
            <v>65</v>
          </cell>
        </row>
        <row r="3059">
          <cell r="A3059" t="str">
            <v>B558337/A</v>
          </cell>
          <cell r="B3059" t="str">
            <v>RH6352M29</v>
          </cell>
          <cell r="C3059">
            <v>65</v>
          </cell>
          <cell r="D3059">
            <v>412.1</v>
          </cell>
          <cell r="E3059">
            <v>26786.5</v>
          </cell>
          <cell r="F3059" t="str">
            <v>A05-S3</v>
          </cell>
          <cell r="G3059" t="str">
            <v>Drawer bottom  - Đáy hộc kéo</v>
          </cell>
          <cell r="H3059" t="str">
            <v>MDF - 06 x 1220 x 2440mm, Veneer Poplar 0.42mm + Veneer Engineering 0.3mm [CARB P2 Compliant]</v>
          </cell>
          <cell r="I3059">
            <v>65</v>
          </cell>
        </row>
        <row r="3060">
          <cell r="A3060" t="str">
            <v>B558337/A</v>
          </cell>
          <cell r="B3060" t="str">
            <v>RH6352M29</v>
          </cell>
          <cell r="C3060">
            <v>65</v>
          </cell>
          <cell r="D3060">
            <v>412.1</v>
          </cell>
          <cell r="E3060">
            <v>26786.5</v>
          </cell>
          <cell r="F3060" t="str">
            <v>A05-S4</v>
          </cell>
          <cell r="G3060" t="str">
            <v>Drawer side - Hông hộc kéo</v>
          </cell>
          <cell r="H3060" t="str">
            <v>MDF-N - 12 x 1220 x 2440mm, Veneer Poplar Rotary 0.45mm Both Faces [CARB P2 Compliant]</v>
          </cell>
          <cell r="I3060">
            <v>130</v>
          </cell>
        </row>
        <row r="3061">
          <cell r="A3061" t="str">
            <v>B558337/A</v>
          </cell>
          <cell r="B3061" t="str">
            <v>RH6352M29</v>
          </cell>
          <cell r="C3061">
            <v>65</v>
          </cell>
          <cell r="D3061">
            <v>412.1</v>
          </cell>
          <cell r="E3061">
            <v>26786.5</v>
          </cell>
          <cell r="F3061" t="str">
            <v>a06-s1</v>
          </cell>
          <cell r="G3061" t="str">
            <v xml:space="preserve">Side panel  - Ván hông </v>
          </cell>
          <cell r="H3061" t="str">
            <v>MDF Veneer</v>
          </cell>
          <cell r="I3061">
            <v>130</v>
          </cell>
        </row>
        <row r="3062">
          <cell r="A3062" t="str">
            <v>B558337/A</v>
          </cell>
          <cell r="B3062" t="str">
            <v>RH6352M29</v>
          </cell>
          <cell r="C3062">
            <v>65</v>
          </cell>
          <cell r="D3062">
            <v>412.1</v>
          </cell>
          <cell r="E3062">
            <v>26786.5</v>
          </cell>
          <cell r="F3062" t="str">
            <v>a06-s2</v>
          </cell>
          <cell r="G3062" t="str">
            <v>Front leg  - Chần tiền</v>
          </cell>
          <cell r="H3062" t="str">
            <v>Wood US Poplar - Straight Edged, 2 COM - T50mm x W100mm Up x L1.8m Up</v>
          </cell>
          <cell r="I3062">
            <v>130</v>
          </cell>
        </row>
        <row r="3063">
          <cell r="A3063" t="str">
            <v>B558337/A</v>
          </cell>
          <cell r="B3063" t="str">
            <v>RH6352M29</v>
          </cell>
          <cell r="C3063">
            <v>65</v>
          </cell>
          <cell r="D3063">
            <v>412.1</v>
          </cell>
          <cell r="E3063">
            <v>26786.5</v>
          </cell>
          <cell r="F3063" t="str">
            <v>a06-s3</v>
          </cell>
          <cell r="G3063" t="str">
            <v>Back leg - Chân hậu</v>
          </cell>
          <cell r="H3063" t="str">
            <v>Wood US Poplar - Straight Edged, 2 COM - T50mm x W100mm Up x L1.8m Up</v>
          </cell>
          <cell r="I3063">
            <v>130</v>
          </cell>
        </row>
        <row r="3064">
          <cell r="A3064" t="str">
            <v>B558337/A</v>
          </cell>
          <cell r="B3064" t="str">
            <v>RH6352M29</v>
          </cell>
          <cell r="C3064">
            <v>65</v>
          </cell>
          <cell r="D3064">
            <v>412.1</v>
          </cell>
          <cell r="E3064">
            <v>26786.5</v>
          </cell>
          <cell r="F3064" t="str">
            <v>a06-s3-1</v>
          </cell>
          <cell r="G3064" t="str">
            <v>Patching wood - Gỗ đắp</v>
          </cell>
          <cell r="H3064" t="str">
            <v>Wood Acacia - Straight/Waving Edged - T35mm x W100mm Up x L1m Up</v>
          </cell>
          <cell r="I3064">
            <v>520</v>
          </cell>
        </row>
        <row r="3065">
          <cell r="A3065" t="str">
            <v>B558337/A</v>
          </cell>
          <cell r="B3065" t="str">
            <v>RH6352M29</v>
          </cell>
          <cell r="C3065">
            <v>65</v>
          </cell>
          <cell r="D3065">
            <v>412.1</v>
          </cell>
          <cell r="E3065">
            <v>26786.5</v>
          </cell>
          <cell r="F3065" t="str">
            <v>a06-s3-1a</v>
          </cell>
          <cell r="G3065" t="str">
            <v>Patching wood - Gỗ đắp</v>
          </cell>
          <cell r="H3065" t="str">
            <v>Wood Acacia - Straight/Waving Edged - T35mm x W100mm Up x L1m Up</v>
          </cell>
          <cell r="I3065">
            <v>260</v>
          </cell>
        </row>
        <row r="3066">
          <cell r="A3066" t="str">
            <v>B558337/A</v>
          </cell>
          <cell r="B3066" t="str">
            <v>RH6352M29</v>
          </cell>
          <cell r="C3066">
            <v>65</v>
          </cell>
          <cell r="D3066">
            <v>412.1</v>
          </cell>
          <cell r="E3066">
            <v>26786.5</v>
          </cell>
          <cell r="F3066" t="str">
            <v>A06-S5</v>
          </cell>
          <cell r="G3066" t="str">
            <v xml:space="preserve">Side rail  - Đố hông </v>
          </cell>
          <cell r="H3066" t="str">
            <v>Wood Acacia - Straight/Waving Edged - T25mm x W100mm Up x L1m Up</v>
          </cell>
          <cell r="I3066">
            <v>260</v>
          </cell>
        </row>
        <row r="3067">
          <cell r="A3067" t="str">
            <v>B558337/A</v>
          </cell>
          <cell r="B3067" t="str">
            <v>RH6352M29</v>
          </cell>
          <cell r="C3067">
            <v>65</v>
          </cell>
          <cell r="D3067">
            <v>412.1</v>
          </cell>
          <cell r="E3067">
            <v>26786.5</v>
          </cell>
          <cell r="F3067" t="str">
            <v>a06-s6</v>
          </cell>
          <cell r="G3067" t="str">
            <v xml:space="preserve">Side rail  - Đố hông </v>
          </cell>
          <cell r="H3067" t="str">
            <v>Wood Acacia - Straight/Waving Edged - T30mm x W100mm Up x L1m Up</v>
          </cell>
          <cell r="I3067">
            <v>780</v>
          </cell>
        </row>
        <row r="3068">
          <cell r="A3068" t="str">
            <v>B558337/A</v>
          </cell>
          <cell r="B3068" t="str">
            <v>RH6352M29</v>
          </cell>
          <cell r="C3068">
            <v>65</v>
          </cell>
          <cell r="D3068">
            <v>412.1</v>
          </cell>
          <cell r="E3068">
            <v>26786.5</v>
          </cell>
          <cell r="F3068" t="str">
            <v>a07-s1</v>
          </cell>
          <cell r="G3068" t="str">
            <v>Vertical Panel inside  - Ván đứng trong</v>
          </cell>
          <cell r="H3068" t="str">
            <v>MDF Veneer</v>
          </cell>
          <cell r="I3068">
            <v>130</v>
          </cell>
        </row>
        <row r="3069">
          <cell r="A3069" t="str">
            <v>B558337/A</v>
          </cell>
          <cell r="B3069" t="str">
            <v>RH6352M29</v>
          </cell>
          <cell r="C3069">
            <v>65</v>
          </cell>
          <cell r="D3069">
            <v>412.1</v>
          </cell>
          <cell r="E3069">
            <v>26786.5</v>
          </cell>
          <cell r="F3069" t="str">
            <v>a07-s2</v>
          </cell>
          <cell r="G3069" t="str">
            <v>Vertical rail 1 - Đố đứng 1</v>
          </cell>
          <cell r="H3069" t="str">
            <v>Wood US Poplar - Straight Edged, 2 COM - T50mm x W100mm Up x L1.8m Up</v>
          </cell>
          <cell r="I3069">
            <v>130</v>
          </cell>
        </row>
        <row r="3070">
          <cell r="A3070" t="str">
            <v>B558337/A</v>
          </cell>
          <cell r="B3070" t="str">
            <v>RH6352M29</v>
          </cell>
          <cell r="C3070">
            <v>65</v>
          </cell>
          <cell r="D3070">
            <v>412.1</v>
          </cell>
          <cell r="E3070">
            <v>26786.5</v>
          </cell>
          <cell r="F3070" t="str">
            <v>a07-s3</v>
          </cell>
          <cell r="G3070" t="str">
            <v>Vertical rail 1 - Đố đứng 1</v>
          </cell>
          <cell r="H3070" t="str">
            <v>Wood US Poplar - Straight Edged, 2 COM - T50mm x W100mm Up x L1.8m Up</v>
          </cell>
          <cell r="I3070">
            <v>130</v>
          </cell>
        </row>
        <row r="3071">
          <cell r="A3071" t="str">
            <v>B558337/A</v>
          </cell>
          <cell r="B3071" t="str">
            <v>RH6352M29</v>
          </cell>
          <cell r="C3071">
            <v>65</v>
          </cell>
          <cell r="D3071">
            <v>412.1</v>
          </cell>
          <cell r="E3071">
            <v>26786.5</v>
          </cell>
          <cell r="F3071" t="str">
            <v>a07-s4</v>
          </cell>
          <cell r="G3071" t="str">
            <v>Patching wood - Gỗ đắp</v>
          </cell>
          <cell r="H3071" t="str">
            <v>Wood Acacia - Straight/Waving Edged - T35mm x W100mm Up x L1m Up</v>
          </cell>
          <cell r="I3071">
            <v>130</v>
          </cell>
        </row>
        <row r="3072">
          <cell r="A3072" t="str">
            <v>B558337/A</v>
          </cell>
          <cell r="B3072" t="str">
            <v>RH6352M29</v>
          </cell>
          <cell r="C3072">
            <v>65</v>
          </cell>
          <cell r="D3072">
            <v>412.1</v>
          </cell>
          <cell r="E3072">
            <v>26786.5</v>
          </cell>
          <cell r="F3072" t="str">
            <v>a10-s1</v>
          </cell>
          <cell r="G3072" t="str">
            <v>Bottom rail inside - Đố tiền đáy</v>
          </cell>
          <cell r="H3072" t="str">
            <v>Wood US Poplar - Straight Edged, 2 COM - T38mm x W100mm Up x L1.8m Up</v>
          </cell>
          <cell r="I3072">
            <v>130</v>
          </cell>
        </row>
        <row r="3073">
          <cell r="A3073" t="str">
            <v>B558337/A</v>
          </cell>
          <cell r="B3073" t="str">
            <v>RH6352M29</v>
          </cell>
          <cell r="C3073">
            <v>65</v>
          </cell>
          <cell r="D3073">
            <v>412.1</v>
          </cell>
          <cell r="E3073">
            <v>26786.5</v>
          </cell>
          <cell r="F3073" t="str">
            <v>a10-s2</v>
          </cell>
          <cell r="G3073" t="str">
            <v>Back bottom rail - Đố hậu đáy</v>
          </cell>
          <cell r="H3073" t="str">
            <v>Wood US Poplar - Straight Edged, 2 COM - T38mm x W100mm Up x L1.8m Up</v>
          </cell>
          <cell r="I3073">
            <v>130</v>
          </cell>
        </row>
        <row r="3074">
          <cell r="A3074" t="str">
            <v>B558337/A</v>
          </cell>
          <cell r="B3074" t="str">
            <v>RH6352M29</v>
          </cell>
          <cell r="C3074">
            <v>65</v>
          </cell>
          <cell r="D3074">
            <v>412.1</v>
          </cell>
          <cell r="E3074">
            <v>26786.5</v>
          </cell>
          <cell r="F3074" t="str">
            <v>A10-S3</v>
          </cell>
          <cell r="G3074" t="str">
            <v>Dust board Panel  - Ván quét bụi</v>
          </cell>
          <cell r="H3074" t="str">
            <v>MDF - 06 x 1830 x 2440mm [CARB P2 Compliant]</v>
          </cell>
          <cell r="I3074">
            <v>130</v>
          </cell>
        </row>
        <row r="3075">
          <cell r="A3075" t="str">
            <v>B558337/A</v>
          </cell>
          <cell r="B3075" t="str">
            <v>RH6352M29</v>
          </cell>
          <cell r="C3075">
            <v>65</v>
          </cell>
          <cell r="D3075">
            <v>412.1</v>
          </cell>
          <cell r="E3075">
            <v>26786.5</v>
          </cell>
          <cell r="F3075" t="str">
            <v>p01</v>
          </cell>
          <cell r="G3075" t="str">
            <v>Front top rail  - Đố tiền nóc</v>
          </cell>
          <cell r="H3075" t="str">
            <v>Wood Acacia - Straight/Waving Edged - T30mm x W100mm Up x L1m Up</v>
          </cell>
          <cell r="I3075">
            <v>130</v>
          </cell>
        </row>
        <row r="3076">
          <cell r="A3076" t="str">
            <v>B558337/A</v>
          </cell>
          <cell r="B3076" t="str">
            <v>RH6352M29</v>
          </cell>
          <cell r="C3076">
            <v>65</v>
          </cell>
          <cell r="D3076">
            <v>412.1</v>
          </cell>
          <cell r="E3076">
            <v>26786.5</v>
          </cell>
          <cell r="F3076" t="str">
            <v>p02</v>
          </cell>
          <cell r="G3076" t="str">
            <v>Front top rail  - Đố tiền nóc</v>
          </cell>
          <cell r="H3076" t="str">
            <v>Wood Acacia - Straight/Waving Edged - T30mm x W100mm Up x L1m Up</v>
          </cell>
          <cell r="I3076">
            <v>65</v>
          </cell>
        </row>
        <row r="3077">
          <cell r="A3077" t="str">
            <v>B558337/A</v>
          </cell>
          <cell r="B3077" t="str">
            <v>RH6352M29</v>
          </cell>
          <cell r="C3077">
            <v>65</v>
          </cell>
          <cell r="D3077">
            <v>412.1</v>
          </cell>
          <cell r="E3077">
            <v>26786.5</v>
          </cell>
          <cell r="F3077" t="str">
            <v>p03</v>
          </cell>
          <cell r="G3077" t="str">
            <v>Back panel - Ván hậu</v>
          </cell>
          <cell r="H3077" t="str">
            <v>MDF - 06 x 1220 x 2440mm, Veneer Okoume 0.3mm Both Faces [CARB P2 Compliant]</v>
          </cell>
          <cell r="I3077">
            <v>65</v>
          </cell>
        </row>
        <row r="3078">
          <cell r="A3078" t="str">
            <v>B558337/A</v>
          </cell>
          <cell r="B3078" t="str">
            <v>RH6352M29</v>
          </cell>
          <cell r="C3078">
            <v>65</v>
          </cell>
          <cell r="D3078">
            <v>412.1</v>
          </cell>
          <cell r="E3078">
            <v>26786.5</v>
          </cell>
          <cell r="F3078" t="str">
            <v>p03-1</v>
          </cell>
          <cell r="G3078" t="str">
            <v>Back panel - Ván hậu</v>
          </cell>
          <cell r="H3078" t="str">
            <v>MDF - 06 x 1220 x 2440mm, Veneer Okoume 0.3mm Both Faces [CARB P2 Compliant]</v>
          </cell>
          <cell r="I3078">
            <v>65</v>
          </cell>
        </row>
        <row r="3079">
          <cell r="A3079" t="str">
            <v>B558337/A</v>
          </cell>
          <cell r="B3079" t="str">
            <v>RH6352M29</v>
          </cell>
          <cell r="C3079">
            <v>65</v>
          </cell>
          <cell r="D3079">
            <v>412.1</v>
          </cell>
          <cell r="E3079">
            <v>26786.5</v>
          </cell>
          <cell r="F3079" t="str">
            <v>p04</v>
          </cell>
          <cell r="G3079" t="str">
            <v>Back panel - Ván hậu</v>
          </cell>
          <cell r="H3079" t="str">
            <v>MDF - 06 x 1220 x 2440mm, Veneer Okoume 0.3mm Both Faces [CARB P2 Compliant]</v>
          </cell>
          <cell r="I3079">
            <v>65</v>
          </cell>
        </row>
        <row r="3080">
          <cell r="A3080" t="str">
            <v>B558337/A</v>
          </cell>
          <cell r="B3080" t="str">
            <v>RH6352M29</v>
          </cell>
          <cell r="C3080">
            <v>65</v>
          </cell>
          <cell r="D3080">
            <v>412.1</v>
          </cell>
          <cell r="E3080">
            <v>26786.5</v>
          </cell>
          <cell r="F3080" t="str">
            <v>p05</v>
          </cell>
          <cell r="G3080" t="str">
            <v>Back top rail - Đố hậu nóc</v>
          </cell>
          <cell r="H3080" t="str">
            <v>Wood Acacia - Straight/Waving Edged - T25mm x W100mm Up x L1m Up</v>
          </cell>
          <cell r="I3080">
            <v>130</v>
          </cell>
        </row>
        <row r="3081">
          <cell r="A3081" t="str">
            <v>B558337/A</v>
          </cell>
          <cell r="B3081" t="str">
            <v>RH6352M29</v>
          </cell>
          <cell r="C3081">
            <v>65</v>
          </cell>
          <cell r="D3081">
            <v>412.1</v>
          </cell>
          <cell r="E3081">
            <v>26786.5</v>
          </cell>
          <cell r="F3081" t="str">
            <v>p06</v>
          </cell>
          <cell r="G3081" t="str">
            <v>Back top rail - Đố hậu nóc</v>
          </cell>
          <cell r="H3081" t="str">
            <v>Wood Acacia - Straight/Waving Edged - T25mm x W100mm Up x L1m Up</v>
          </cell>
          <cell r="I3081">
            <v>65</v>
          </cell>
        </row>
        <row r="3082">
          <cell r="A3082" t="str">
            <v>B558337/A</v>
          </cell>
          <cell r="B3082" t="str">
            <v>RH6352M29</v>
          </cell>
          <cell r="C3082">
            <v>65</v>
          </cell>
          <cell r="D3082">
            <v>412.1</v>
          </cell>
          <cell r="E3082">
            <v>26786.5</v>
          </cell>
          <cell r="F3082" t="str">
            <v>p07</v>
          </cell>
          <cell r="G3082" t="str">
            <v>Corner block - ke góc</v>
          </cell>
          <cell r="H3082" t="str">
            <v>Wood Acacia - Straight/Waving Edged - T25mm x W100mm Up x L1m Up</v>
          </cell>
          <cell r="I3082">
            <v>130</v>
          </cell>
        </row>
        <row r="3083">
          <cell r="A3083" t="str">
            <v>B558337/A</v>
          </cell>
          <cell r="B3083" t="str">
            <v>RH6352M29</v>
          </cell>
          <cell r="C3083">
            <v>65</v>
          </cell>
          <cell r="D3083">
            <v>412.1</v>
          </cell>
          <cell r="E3083">
            <v>26786.5</v>
          </cell>
          <cell r="F3083" t="str">
            <v>p10</v>
          </cell>
          <cell r="G3083" t="str">
            <v>Front leg  - Chần tiền</v>
          </cell>
          <cell r="H3083" t="str">
            <v>Wood EU Beech - Straight/Waving Edged ABC, 2 COM - T50mm x W100mm up x L1.8m up</v>
          </cell>
          <cell r="I3083">
            <v>520</v>
          </cell>
        </row>
        <row r="3084">
          <cell r="A3084" t="str">
            <v>B558337/A</v>
          </cell>
          <cell r="B3084" t="str">
            <v>RH6352M29</v>
          </cell>
          <cell r="C3084">
            <v>65</v>
          </cell>
          <cell r="D3084">
            <v>412.1</v>
          </cell>
          <cell r="E3084">
            <v>26786.5</v>
          </cell>
          <cell r="F3084" t="str">
            <v>p11</v>
          </cell>
          <cell r="G3084" t="str">
            <v>Drawer stop - Dừng hộc</v>
          </cell>
          <cell r="H3084" t="str">
            <v>Wood Acacia - Straight/Waving Edged - T25mm x W100mm Up x L1m Up</v>
          </cell>
          <cell r="I3084">
            <v>910</v>
          </cell>
        </row>
        <row r="3085">
          <cell r="A3085" t="str">
            <v>B558337/A</v>
          </cell>
          <cell r="B3085" t="str">
            <v>RH6352M29</v>
          </cell>
          <cell r="C3085">
            <v>65</v>
          </cell>
          <cell r="D3085">
            <v>412.1</v>
          </cell>
          <cell r="E3085">
            <v>26786.5</v>
          </cell>
          <cell r="F3085" t="str">
            <v>p13</v>
          </cell>
          <cell r="G3085" t="str">
            <v>Bottom panel - Ván đáy</v>
          </cell>
          <cell r="H3085" t="str">
            <v>MDF Veneer</v>
          </cell>
          <cell r="I3085">
            <v>65</v>
          </cell>
        </row>
        <row r="3086">
          <cell r="A3086" t="str">
            <v>B558337/A</v>
          </cell>
          <cell r="B3086" t="str">
            <v>RH6352M29</v>
          </cell>
          <cell r="C3086">
            <v>65</v>
          </cell>
          <cell r="D3086">
            <v>412.1</v>
          </cell>
          <cell r="E3086">
            <v>26786.5</v>
          </cell>
          <cell r="F3086" t="str">
            <v>P14</v>
          </cell>
          <cell r="G3086" t="str">
            <v xml:space="preserve">Top panel  - Ván nóc </v>
          </cell>
          <cell r="H3086" t="str">
            <v>MDF Veneer</v>
          </cell>
          <cell r="I3086">
            <v>65</v>
          </cell>
        </row>
        <row r="3087">
          <cell r="A3087" t="str">
            <v>B558337/A</v>
          </cell>
          <cell r="B3087" t="str">
            <v>RH6352M29</v>
          </cell>
          <cell r="C3087">
            <v>65</v>
          </cell>
          <cell r="D3087">
            <v>412.1</v>
          </cell>
          <cell r="E3087">
            <v>26786.5</v>
          </cell>
          <cell r="F3087" t="str">
            <v>P15</v>
          </cell>
          <cell r="G3087" t="str">
            <v>Corner block - ke góc</v>
          </cell>
          <cell r="H3087" t="str">
            <v>Poplar off cut</v>
          </cell>
          <cell r="I3087">
            <v>520</v>
          </cell>
        </row>
        <row r="3088">
          <cell r="A3088" t="str">
            <v>B558337/A</v>
          </cell>
          <cell r="B3088" t="str">
            <v>RH6352M29</v>
          </cell>
          <cell r="C3088">
            <v>65</v>
          </cell>
          <cell r="D3088">
            <v>412.1</v>
          </cell>
          <cell r="E3088">
            <v>26786.5</v>
          </cell>
          <cell r="F3088" t="str">
            <v>P16</v>
          </cell>
          <cell r="G3088" t="str">
            <v>Front rail  - Đố tiền</v>
          </cell>
          <cell r="H3088" t="str">
            <v>Wood Acacia - Straight/Waving Edged - T25mm x W100mm Up x L1m Up</v>
          </cell>
          <cell r="I3088">
            <v>260</v>
          </cell>
        </row>
        <row r="3089">
          <cell r="A3089" t="str">
            <v>B558337/A</v>
          </cell>
          <cell r="B3089" t="str">
            <v>RH6352M29</v>
          </cell>
          <cell r="C3089">
            <v>65</v>
          </cell>
          <cell r="D3089">
            <v>412.1</v>
          </cell>
          <cell r="E3089">
            <v>26786.5</v>
          </cell>
          <cell r="F3089" t="str">
            <v>P17</v>
          </cell>
          <cell r="G3089" t="str">
            <v>back rail - Đố hậu</v>
          </cell>
          <cell r="H3089" t="str">
            <v>Wood Acacia - Straight/Waving Edged - T25mm x W100mm Up x L1m Up</v>
          </cell>
          <cell r="I3089">
            <v>130</v>
          </cell>
        </row>
        <row r="3090">
          <cell r="A3090" t="str">
            <v>B558340/A</v>
          </cell>
          <cell r="B3090" t="str">
            <v>RH6680M40</v>
          </cell>
          <cell r="C3090">
            <v>20</v>
          </cell>
          <cell r="D3090">
            <v>580</v>
          </cell>
          <cell r="E3090">
            <v>11600</v>
          </cell>
          <cell r="F3090" t="str">
            <v>A1-S01</v>
          </cell>
          <cell r="G3090" t="str">
            <v>Front top rail  - Đố tiền nóc</v>
          </cell>
          <cell r="H3090" t="str">
            <v>Wood - Hem Fir 2 COM</v>
          </cell>
          <cell r="I3090">
            <v>20</v>
          </cell>
        </row>
        <row r="3091">
          <cell r="A3091" t="str">
            <v>B558340/A</v>
          </cell>
          <cell r="B3091" t="str">
            <v>RH6680M40</v>
          </cell>
          <cell r="C3091">
            <v>20</v>
          </cell>
          <cell r="D3091">
            <v>580</v>
          </cell>
          <cell r="E3091">
            <v>11600</v>
          </cell>
          <cell r="F3091" t="str">
            <v>A1-S02</v>
          </cell>
          <cell r="G3091" t="str">
            <v xml:space="preserve">Side rail  - Đố hông </v>
          </cell>
          <cell r="H3091" t="str">
            <v>Wood - Hem Fir 2 COM</v>
          </cell>
          <cell r="I3091">
            <v>40</v>
          </cell>
        </row>
        <row r="3092">
          <cell r="A3092" t="str">
            <v>B558340/A</v>
          </cell>
          <cell r="B3092" t="str">
            <v>RH6680M40</v>
          </cell>
          <cell r="C3092">
            <v>20</v>
          </cell>
          <cell r="D3092">
            <v>580</v>
          </cell>
          <cell r="E3092">
            <v>11600</v>
          </cell>
          <cell r="F3092" t="str">
            <v>A1-S03</v>
          </cell>
          <cell r="G3092" t="str">
            <v>back rail - Đố hậu</v>
          </cell>
          <cell r="H3092" t="str">
            <v>Wood White Spruce - Straight Edged, 1-5 grade - T32mm x W125mm Up x L2m Up</v>
          </cell>
          <cell r="I3092">
            <v>20</v>
          </cell>
        </row>
        <row r="3093">
          <cell r="A3093" t="str">
            <v>B558340/A</v>
          </cell>
          <cell r="B3093" t="str">
            <v>RH6680M40</v>
          </cell>
          <cell r="C3093">
            <v>20</v>
          </cell>
          <cell r="D3093">
            <v>580</v>
          </cell>
          <cell r="E3093">
            <v>11600</v>
          </cell>
          <cell r="F3093" t="str">
            <v>A1-S04</v>
          </cell>
          <cell r="G3093" t="str">
            <v xml:space="preserve">Top panel  - Ván nóc </v>
          </cell>
          <cell r="H3093" t="str">
            <v>MDF Veneer</v>
          </cell>
          <cell r="I3093">
            <v>20</v>
          </cell>
        </row>
        <row r="3094">
          <cell r="A3094" t="str">
            <v>B558340/A</v>
          </cell>
          <cell r="B3094" t="str">
            <v>RH6680M40</v>
          </cell>
          <cell r="C3094">
            <v>20</v>
          </cell>
          <cell r="D3094">
            <v>580</v>
          </cell>
          <cell r="E3094">
            <v>11600</v>
          </cell>
          <cell r="F3094" t="str">
            <v>A1-S05</v>
          </cell>
          <cell r="G3094" t="str">
            <v>Back rail 1 - đố sau 1</v>
          </cell>
          <cell r="H3094" t="str">
            <v>Wood White Spruce - Straight Edged, 1-5 grade - T32mm x W125mm Up x L2m Up</v>
          </cell>
          <cell r="I3094">
            <v>20</v>
          </cell>
        </row>
        <row r="3095">
          <cell r="A3095" t="str">
            <v>B558340/A</v>
          </cell>
          <cell r="B3095" t="str">
            <v>RH6680M40</v>
          </cell>
          <cell r="C3095">
            <v>20</v>
          </cell>
          <cell r="D3095">
            <v>580</v>
          </cell>
          <cell r="E3095">
            <v>11600</v>
          </cell>
          <cell r="F3095" t="str">
            <v>A2-S01</v>
          </cell>
          <cell r="G3095" t="str">
            <v>Bottom rail inside - Đố tiền đáy</v>
          </cell>
          <cell r="H3095" t="str">
            <v>Wood White Spruce - Straight Edged, 1-5 grade - T32mm x W125mm Up x L2m Up</v>
          </cell>
          <cell r="I3095">
            <v>20</v>
          </cell>
        </row>
        <row r="3096">
          <cell r="A3096" t="str">
            <v>B558340/A</v>
          </cell>
          <cell r="B3096" t="str">
            <v>RH6680M40</v>
          </cell>
          <cell r="C3096">
            <v>20</v>
          </cell>
          <cell r="D3096">
            <v>580</v>
          </cell>
          <cell r="E3096">
            <v>11600</v>
          </cell>
          <cell r="F3096" t="str">
            <v>A2-S02</v>
          </cell>
          <cell r="G3096" t="str">
            <v>Back rail with note finger - đố hậu</v>
          </cell>
          <cell r="H3096" t="str">
            <v>Wood EU Beech - Straight/Waving Edged ABC, 2 COM - T26mm x W100mm up x L1.8m up</v>
          </cell>
          <cell r="I3096">
            <v>20</v>
          </cell>
        </row>
        <row r="3097">
          <cell r="A3097" t="str">
            <v>B558340/A</v>
          </cell>
          <cell r="B3097" t="str">
            <v>RH6680M40</v>
          </cell>
          <cell r="C3097">
            <v>20</v>
          </cell>
          <cell r="D3097">
            <v>580</v>
          </cell>
          <cell r="E3097">
            <v>11600</v>
          </cell>
          <cell r="F3097" t="str">
            <v>A2-S04</v>
          </cell>
          <cell r="G3097" t="str">
            <v>Bottom panel - Ván đáy</v>
          </cell>
          <cell r="H3097" t="str">
            <v>MDF Veneer</v>
          </cell>
          <cell r="I3097">
            <v>20</v>
          </cell>
        </row>
        <row r="3098">
          <cell r="A3098" t="str">
            <v>B558340/A</v>
          </cell>
          <cell r="B3098" t="str">
            <v>RH6680M40</v>
          </cell>
          <cell r="C3098">
            <v>20</v>
          </cell>
          <cell r="D3098">
            <v>580</v>
          </cell>
          <cell r="E3098">
            <v>11600</v>
          </cell>
          <cell r="F3098" t="str">
            <v>A3-S01</v>
          </cell>
          <cell r="G3098" t="str">
            <v>Front Vertical rail  - Trụ tiền</v>
          </cell>
          <cell r="H3098" t="str">
            <v>Wood - Hem Fir 2 COM</v>
          </cell>
          <cell r="I3098">
            <v>40</v>
          </cell>
        </row>
        <row r="3099">
          <cell r="A3099" t="str">
            <v>B558340/A</v>
          </cell>
          <cell r="B3099" t="str">
            <v>RH6680M40</v>
          </cell>
          <cell r="C3099">
            <v>20</v>
          </cell>
          <cell r="D3099">
            <v>580</v>
          </cell>
          <cell r="E3099">
            <v>11600</v>
          </cell>
          <cell r="F3099" t="str">
            <v>A3-S02</v>
          </cell>
          <cell r="G3099" t="str">
            <v>Back Vertical rail - Trụ hậu</v>
          </cell>
          <cell r="H3099" t="str">
            <v>Wood White Spruce - Straight Edged, 1-5 grade - T32mm x W125mm Up x L2m Up</v>
          </cell>
          <cell r="I3099">
            <v>40</v>
          </cell>
        </row>
        <row r="3100">
          <cell r="A3100" t="str">
            <v>B558340/A</v>
          </cell>
          <cell r="B3100" t="str">
            <v>RH6680M40</v>
          </cell>
          <cell r="C3100">
            <v>20</v>
          </cell>
          <cell r="D3100">
            <v>580</v>
          </cell>
          <cell r="E3100">
            <v>11600</v>
          </cell>
          <cell r="F3100" t="str">
            <v>A3-S03</v>
          </cell>
          <cell r="G3100" t="str">
            <v xml:space="preserve">Side panel  - Ván hông </v>
          </cell>
          <cell r="H3100" t="str">
            <v>MDF Veneer</v>
          </cell>
          <cell r="I3100">
            <v>40</v>
          </cell>
        </row>
        <row r="3101">
          <cell r="A3101" t="str">
            <v>B558340/A</v>
          </cell>
          <cell r="B3101" t="str">
            <v>RH6680M40</v>
          </cell>
          <cell r="C3101">
            <v>20</v>
          </cell>
          <cell r="D3101">
            <v>580</v>
          </cell>
          <cell r="E3101">
            <v>11600</v>
          </cell>
          <cell r="F3101" t="str">
            <v>A3-S04</v>
          </cell>
          <cell r="G3101" t="str">
            <v>Bottom rail inside - Đố tiền đáy</v>
          </cell>
          <cell r="H3101" t="str">
            <v>Wood White Spruce - Straight Edged, 1-5 grade - T32mm x W125mm Up x L2m Up</v>
          </cell>
          <cell r="I3101">
            <v>40</v>
          </cell>
        </row>
        <row r="3102">
          <cell r="A3102" t="str">
            <v>B558340/A</v>
          </cell>
          <cell r="B3102" t="str">
            <v>RH6680M40</v>
          </cell>
          <cell r="C3102">
            <v>20</v>
          </cell>
          <cell r="D3102">
            <v>580</v>
          </cell>
          <cell r="E3102">
            <v>11600</v>
          </cell>
          <cell r="F3102" t="str">
            <v>A3-S05</v>
          </cell>
          <cell r="G3102" t="str">
            <v>Front rail 1 - đố trước 1</v>
          </cell>
          <cell r="H3102" t="str">
            <v>Wood White Spruce - PICEA ABIES, 1-5 grade - T38mm x W125mm up x Length 2m up</v>
          </cell>
          <cell r="I3102">
            <v>40</v>
          </cell>
        </row>
        <row r="3103">
          <cell r="A3103" t="str">
            <v>B558340/A</v>
          </cell>
          <cell r="B3103" t="str">
            <v>RH6680M40</v>
          </cell>
          <cell r="C3103">
            <v>20</v>
          </cell>
          <cell r="D3103">
            <v>580</v>
          </cell>
          <cell r="E3103">
            <v>11600</v>
          </cell>
          <cell r="F3103" t="str">
            <v>A3-S06</v>
          </cell>
          <cell r="G3103" t="str">
            <v>Cleat - Bọ gỗ</v>
          </cell>
          <cell r="H3103" t="str">
            <v>Wood White Spruce - Straight Edged, 1-5 grade - T32mm x W125mm Up x L2m Up</v>
          </cell>
          <cell r="I3103">
            <v>40</v>
          </cell>
        </row>
        <row r="3104">
          <cell r="A3104" t="str">
            <v>B558340/A</v>
          </cell>
          <cell r="B3104" t="str">
            <v>RH6680M40</v>
          </cell>
          <cell r="C3104">
            <v>20</v>
          </cell>
          <cell r="D3104">
            <v>580</v>
          </cell>
          <cell r="E3104">
            <v>11600</v>
          </cell>
          <cell r="F3104" t="str">
            <v>P01</v>
          </cell>
          <cell r="G3104" t="str">
            <v>Adjustable Shelf  - Kệ di động</v>
          </cell>
          <cell r="H3104" t="str">
            <v>Pre-Assembly</v>
          </cell>
          <cell r="I3104">
            <v>20</v>
          </cell>
        </row>
        <row r="3105">
          <cell r="A3105" t="str">
            <v>B558340/A</v>
          </cell>
          <cell r="B3105" t="str">
            <v>RH6680M40</v>
          </cell>
          <cell r="C3105">
            <v>20</v>
          </cell>
          <cell r="D3105">
            <v>580</v>
          </cell>
          <cell r="E3105">
            <v>11600</v>
          </cell>
          <cell r="F3105" t="str">
            <v>P01-1</v>
          </cell>
          <cell r="G3105" t="str">
            <v>Adjustable Shelf  - Kệ di động</v>
          </cell>
          <cell r="H3105" t="str">
            <v>Wood White Spruce - Straight Edged, 1-5 grade - T32mm x W125mm Up x L2m Up</v>
          </cell>
          <cell r="I3105">
            <v>80</v>
          </cell>
        </row>
        <row r="3106">
          <cell r="A3106" t="str">
            <v>B558340/A</v>
          </cell>
          <cell r="B3106" t="str">
            <v>RH6680M40</v>
          </cell>
          <cell r="C3106">
            <v>20</v>
          </cell>
          <cell r="D3106">
            <v>580</v>
          </cell>
          <cell r="E3106">
            <v>11600</v>
          </cell>
          <cell r="F3106" t="str">
            <v>P01-2</v>
          </cell>
          <cell r="G3106" t="str">
            <v>Adjustable Shelf  - Kệ di động</v>
          </cell>
          <cell r="H3106" t="str">
            <v>MDF Veneer</v>
          </cell>
          <cell r="I3106">
            <v>20</v>
          </cell>
        </row>
        <row r="3107">
          <cell r="A3107" t="str">
            <v>B558340/A</v>
          </cell>
          <cell r="B3107" t="str">
            <v>RH6680M40</v>
          </cell>
          <cell r="C3107">
            <v>20</v>
          </cell>
          <cell r="D3107">
            <v>580</v>
          </cell>
          <cell r="E3107">
            <v>11600</v>
          </cell>
          <cell r="F3107" t="str">
            <v>P02</v>
          </cell>
          <cell r="G3107" t="str">
            <v>Adjustable Shelf  - Kệ di động</v>
          </cell>
          <cell r="H3107" t="str">
            <v>Pre-Assembly</v>
          </cell>
          <cell r="I3107">
            <v>60</v>
          </cell>
        </row>
        <row r="3108">
          <cell r="A3108" t="str">
            <v>B558340/A</v>
          </cell>
          <cell r="B3108" t="str">
            <v>RH6680M40</v>
          </cell>
          <cell r="C3108">
            <v>20</v>
          </cell>
          <cell r="D3108">
            <v>580</v>
          </cell>
          <cell r="E3108">
            <v>11600</v>
          </cell>
          <cell r="F3108" t="str">
            <v>P02-2</v>
          </cell>
          <cell r="G3108" t="str">
            <v>Adjustable Shelf  - Kệ di động</v>
          </cell>
          <cell r="H3108" t="str">
            <v>MDF Veneer</v>
          </cell>
          <cell r="I3108">
            <v>60</v>
          </cell>
        </row>
        <row r="3109">
          <cell r="A3109" t="str">
            <v>B558340/A</v>
          </cell>
          <cell r="B3109" t="str">
            <v>RH6680M40</v>
          </cell>
          <cell r="C3109">
            <v>20</v>
          </cell>
          <cell r="D3109">
            <v>580</v>
          </cell>
          <cell r="E3109">
            <v>11600</v>
          </cell>
          <cell r="F3109" t="str">
            <v>P03</v>
          </cell>
          <cell r="G3109" t="str">
            <v>Front rail 1 - đố trước 1</v>
          </cell>
          <cell r="H3109" t="str">
            <v>Wood - Hem Fir 2 COM</v>
          </cell>
          <cell r="I3109">
            <v>20</v>
          </cell>
        </row>
        <row r="3110">
          <cell r="A3110" t="str">
            <v>B558340/A</v>
          </cell>
          <cell r="B3110" t="str">
            <v>RH6680M40</v>
          </cell>
          <cell r="C3110">
            <v>20</v>
          </cell>
          <cell r="D3110">
            <v>580</v>
          </cell>
          <cell r="E3110">
            <v>11600</v>
          </cell>
          <cell r="F3110" t="str">
            <v>P04</v>
          </cell>
          <cell r="G3110" t="str">
            <v>Center panel - Ván giữa</v>
          </cell>
          <cell r="H3110" t="str">
            <v>MDF Veneer</v>
          </cell>
          <cell r="I3110">
            <v>20</v>
          </cell>
        </row>
        <row r="3111">
          <cell r="A3111" t="str">
            <v>B558340/A</v>
          </cell>
          <cell r="B3111" t="str">
            <v>RH6680M40</v>
          </cell>
          <cell r="C3111">
            <v>20</v>
          </cell>
          <cell r="D3111">
            <v>580</v>
          </cell>
          <cell r="E3111">
            <v>11600</v>
          </cell>
          <cell r="F3111" t="str">
            <v>P06</v>
          </cell>
          <cell r="G3111" t="str">
            <v>Back panel - Ván hậu</v>
          </cell>
          <cell r="H3111" t="str">
            <v>MDF Veneer</v>
          </cell>
          <cell r="I3111">
            <v>20</v>
          </cell>
        </row>
        <row r="3112">
          <cell r="A3112" t="str">
            <v>B558340/A</v>
          </cell>
          <cell r="B3112" t="str">
            <v>RH6680M40</v>
          </cell>
          <cell r="C3112">
            <v>20</v>
          </cell>
          <cell r="D3112">
            <v>580</v>
          </cell>
          <cell r="E3112">
            <v>11600</v>
          </cell>
          <cell r="F3112" t="str">
            <v>P07</v>
          </cell>
          <cell r="G3112" t="str">
            <v>Front rail 1 - đố trước 1</v>
          </cell>
          <cell r="H3112" t="str">
            <v>Wood White Spruce - Straight Edged, 1-5 grade - T32mm x W125mm Up x L2m Up</v>
          </cell>
          <cell r="I3112">
            <v>20</v>
          </cell>
        </row>
        <row r="3113">
          <cell r="A3113" t="str">
            <v>B558340/A</v>
          </cell>
          <cell r="B3113" t="str">
            <v>RH6680M40</v>
          </cell>
          <cell r="C3113">
            <v>20</v>
          </cell>
          <cell r="D3113">
            <v>580</v>
          </cell>
          <cell r="E3113">
            <v>11600</v>
          </cell>
          <cell r="F3113" t="str">
            <v>P08</v>
          </cell>
          <cell r="G3113" t="str">
            <v>back rail - Đố hậu</v>
          </cell>
          <cell r="H3113" t="str">
            <v>Wood White Spruce - Straight Edged, 1-5 grade - T32mm x W125mm Up x L2m Up</v>
          </cell>
          <cell r="I3113">
            <v>20</v>
          </cell>
        </row>
        <row r="3114">
          <cell r="A3114" t="str">
            <v>B558340/A</v>
          </cell>
          <cell r="B3114" t="str">
            <v>RH6680M40</v>
          </cell>
          <cell r="C3114">
            <v>20</v>
          </cell>
          <cell r="D3114">
            <v>580</v>
          </cell>
          <cell r="E3114">
            <v>11600</v>
          </cell>
          <cell r="F3114" t="str">
            <v>P09</v>
          </cell>
          <cell r="G3114" t="str">
            <v>Insert Wood - Gỗ chèn</v>
          </cell>
          <cell r="H3114" t="str">
            <v>Beech off cut</v>
          </cell>
          <cell r="I3114">
            <v>80</v>
          </cell>
        </row>
        <row r="3115">
          <cell r="A3115" t="str">
            <v>B558340/A</v>
          </cell>
          <cell r="B3115" t="str">
            <v>RH6680M40</v>
          </cell>
          <cell r="C3115">
            <v>20</v>
          </cell>
          <cell r="D3115">
            <v>580</v>
          </cell>
          <cell r="E3115">
            <v>11600</v>
          </cell>
          <cell r="F3115" t="str">
            <v>P10</v>
          </cell>
          <cell r="G3115" t="str">
            <v>Door panel  - Ván cửa</v>
          </cell>
          <cell r="H3115" t="str">
            <v>MDF Veneer</v>
          </cell>
          <cell r="I3115">
            <v>40</v>
          </cell>
        </row>
        <row r="3116">
          <cell r="A3116" t="str">
            <v>B558340/A</v>
          </cell>
          <cell r="B3116" t="str">
            <v>RH6680M40</v>
          </cell>
          <cell r="C3116">
            <v>20</v>
          </cell>
          <cell r="D3116">
            <v>580</v>
          </cell>
          <cell r="E3116">
            <v>11600</v>
          </cell>
          <cell r="F3116" t="str">
            <v>P11</v>
          </cell>
          <cell r="G3116" t="str">
            <v>Cleat - Bọ gỗ</v>
          </cell>
          <cell r="H3116" t="str">
            <v>Beech off cut</v>
          </cell>
          <cell r="I3116">
            <v>40</v>
          </cell>
        </row>
        <row r="3117">
          <cell r="A3117" t="str">
            <v>B558340/A</v>
          </cell>
          <cell r="B3117" t="str">
            <v>RH6680M40</v>
          </cell>
          <cell r="C3117">
            <v>20</v>
          </cell>
          <cell r="D3117">
            <v>580</v>
          </cell>
          <cell r="E3117">
            <v>11600</v>
          </cell>
          <cell r="F3117" t="str">
            <v>P12</v>
          </cell>
          <cell r="G3117" t="str">
            <v>Tenon - Mộng cấy</v>
          </cell>
          <cell r="H3117" t="str">
            <v>Beech off cut</v>
          </cell>
          <cell r="I3117">
            <v>40</v>
          </cell>
        </row>
        <row r="3118">
          <cell r="A3118" t="str">
            <v>B558340/A</v>
          </cell>
          <cell r="B3118" t="str">
            <v>RH6680M40</v>
          </cell>
          <cell r="C3118">
            <v>20</v>
          </cell>
          <cell r="D3118">
            <v>580</v>
          </cell>
          <cell r="E3118">
            <v>11600</v>
          </cell>
          <cell r="F3118" t="str">
            <v>P13</v>
          </cell>
          <cell r="G3118" t="str">
            <v>Corner block - ke góc</v>
          </cell>
          <cell r="H3118" t="str">
            <v>Beech off cut</v>
          </cell>
          <cell r="I3118">
            <v>40</v>
          </cell>
        </row>
        <row r="3119">
          <cell r="A3119" t="str">
            <v>B558252/A</v>
          </cell>
          <cell r="B3119" t="str">
            <v>RH6918M370</v>
          </cell>
          <cell r="C3119">
            <v>23</v>
          </cell>
          <cell r="D3119">
            <v>410</v>
          </cell>
          <cell r="E3119">
            <v>9430</v>
          </cell>
          <cell r="F3119" t="str">
            <v>A1-S01</v>
          </cell>
          <cell r="G3119" t="str">
            <v xml:space="preserve">Curve part hot press  - chi tiết cảo cong </v>
          </cell>
          <cell r="H3119" t="str">
            <v>Wd+MDF+VN</v>
          </cell>
          <cell r="I3119">
            <v>69</v>
          </cell>
        </row>
        <row r="3120">
          <cell r="A3120" t="str">
            <v>B558252/A</v>
          </cell>
          <cell r="B3120" t="str">
            <v>RH6918M370</v>
          </cell>
          <cell r="C3120">
            <v>23</v>
          </cell>
          <cell r="D3120">
            <v>410</v>
          </cell>
          <cell r="E3120">
            <v>9430</v>
          </cell>
          <cell r="F3120" t="str">
            <v>A1-S01-1</v>
          </cell>
          <cell r="G3120" t="str">
            <v xml:space="preserve">Curve part hot press  - chi tiết cảo cong </v>
          </cell>
          <cell r="H3120" t="str">
            <v>MDF Veneer</v>
          </cell>
          <cell r="I3120">
            <v>23</v>
          </cell>
        </row>
        <row r="3121">
          <cell r="A3121" t="str">
            <v>B558252/A</v>
          </cell>
          <cell r="B3121" t="str">
            <v>RH6918M370</v>
          </cell>
          <cell r="C3121">
            <v>23</v>
          </cell>
          <cell r="D3121">
            <v>410</v>
          </cell>
          <cell r="E3121">
            <v>9430</v>
          </cell>
          <cell r="F3121" t="str">
            <v>A1-S01-1a</v>
          </cell>
          <cell r="G3121" t="str">
            <v>Panel outside - Ván phía ngoài</v>
          </cell>
          <cell r="H3121" t="str">
            <v>MDF Veneer</v>
          </cell>
          <cell r="I3121">
            <v>23</v>
          </cell>
        </row>
        <row r="3122">
          <cell r="A3122" t="str">
            <v>B558252/A</v>
          </cell>
          <cell r="B3122" t="str">
            <v>RH6918M370</v>
          </cell>
          <cell r="C3122">
            <v>23</v>
          </cell>
          <cell r="D3122">
            <v>410</v>
          </cell>
          <cell r="E3122">
            <v>9430</v>
          </cell>
          <cell r="F3122" t="str">
            <v>A1-S01-2</v>
          </cell>
          <cell r="G3122" t="str">
            <v>Insert Wood - Gỗ chèn</v>
          </cell>
          <cell r="H3122" t="str">
            <v>Wood White Oak - Straight/Waving Edged, 1 COM - T25mm x W100mm Up x L1.8m Up</v>
          </cell>
          <cell r="I3122">
            <v>69</v>
          </cell>
        </row>
        <row r="3123">
          <cell r="A3123" t="str">
            <v>B558252/A</v>
          </cell>
          <cell r="B3123" t="str">
            <v>RH6918M370</v>
          </cell>
          <cell r="C3123">
            <v>23</v>
          </cell>
          <cell r="D3123">
            <v>410</v>
          </cell>
          <cell r="E3123">
            <v>9430</v>
          </cell>
          <cell r="F3123" t="str">
            <v>A1-S02</v>
          </cell>
          <cell r="G3123" t="str">
            <v>Drawer side - Hông hộc kéo</v>
          </cell>
          <cell r="H3123" t="str">
            <v>MDF Veneer</v>
          </cell>
          <cell r="I3123">
            <v>138</v>
          </cell>
        </row>
        <row r="3124">
          <cell r="A3124" t="str">
            <v>B558252/A</v>
          </cell>
          <cell r="B3124" t="str">
            <v>RH6918M370</v>
          </cell>
          <cell r="C3124">
            <v>23</v>
          </cell>
          <cell r="D3124">
            <v>410</v>
          </cell>
          <cell r="E3124">
            <v>9430</v>
          </cell>
          <cell r="F3124" t="str">
            <v>A1-S03</v>
          </cell>
          <cell r="G3124" t="str">
            <v>Drawer back - Hậu hộc kéo</v>
          </cell>
          <cell r="H3124" t="str">
            <v>MDF Veneer</v>
          </cell>
          <cell r="I3124">
            <v>69</v>
          </cell>
        </row>
        <row r="3125">
          <cell r="A3125" t="str">
            <v>B558252/A</v>
          </cell>
          <cell r="B3125" t="str">
            <v>RH6918M370</v>
          </cell>
          <cell r="C3125">
            <v>23</v>
          </cell>
          <cell r="D3125">
            <v>410</v>
          </cell>
          <cell r="E3125">
            <v>9430</v>
          </cell>
          <cell r="F3125" t="str">
            <v>A1-S04</v>
          </cell>
          <cell r="G3125" t="str">
            <v>Drawer bottom  - Đáy hộc kéo</v>
          </cell>
          <cell r="H3125" t="str">
            <v>MDF Veneer</v>
          </cell>
          <cell r="I3125">
            <v>69</v>
          </cell>
        </row>
        <row r="3126">
          <cell r="A3126" t="str">
            <v>B558252/A</v>
          </cell>
          <cell r="B3126" t="str">
            <v>RH6918M370</v>
          </cell>
          <cell r="C3126">
            <v>23</v>
          </cell>
          <cell r="D3126">
            <v>410</v>
          </cell>
          <cell r="E3126">
            <v>9430</v>
          </cell>
          <cell r="F3126" t="str">
            <v>A1-S06</v>
          </cell>
          <cell r="G3126" t="str">
            <v>Patching wood - Gỗ đắp</v>
          </cell>
          <cell r="H3126" t="str">
            <v>Beech off cut</v>
          </cell>
          <cell r="I3126">
            <v>138</v>
          </cell>
        </row>
        <row r="3127">
          <cell r="A3127" t="str">
            <v>B558252/A</v>
          </cell>
          <cell r="B3127" t="str">
            <v>RH6918M370</v>
          </cell>
          <cell r="C3127">
            <v>23</v>
          </cell>
          <cell r="D3127">
            <v>410</v>
          </cell>
          <cell r="E3127">
            <v>9430</v>
          </cell>
          <cell r="F3127" t="str">
            <v>A2-S01</v>
          </cell>
          <cell r="G3127" t="str">
            <v>Insert Wood - Gỗ chèn</v>
          </cell>
          <cell r="H3127" t="str">
            <v>Beech off cut</v>
          </cell>
          <cell r="I3127">
            <v>138</v>
          </cell>
        </row>
        <row r="3128">
          <cell r="A3128" t="str">
            <v>B558252/A</v>
          </cell>
          <cell r="B3128" t="str">
            <v>RH6918M370</v>
          </cell>
          <cell r="C3128">
            <v>23</v>
          </cell>
          <cell r="D3128">
            <v>410</v>
          </cell>
          <cell r="E3128">
            <v>9430</v>
          </cell>
          <cell r="F3128" t="str">
            <v>A2-S03</v>
          </cell>
          <cell r="G3128" t="str">
            <v>Bottom rail inside - Đố tiền đáy</v>
          </cell>
          <cell r="H3128" t="str">
            <v>Wd+VN</v>
          </cell>
          <cell r="I3128">
            <v>46</v>
          </cell>
        </row>
        <row r="3129">
          <cell r="A3129" t="str">
            <v>B558252/A</v>
          </cell>
          <cell r="B3129" t="str">
            <v>RH6918M370</v>
          </cell>
          <cell r="C3129">
            <v>23</v>
          </cell>
          <cell r="D3129">
            <v>410</v>
          </cell>
          <cell r="E3129">
            <v>9430</v>
          </cell>
          <cell r="F3129" t="str">
            <v>A2-S03-1</v>
          </cell>
          <cell r="G3129" t="str">
            <v>Wood laminater - Gỗ ghép 1</v>
          </cell>
          <cell r="H3129" t="str">
            <v>Wood laminate</v>
          </cell>
          <cell r="I3129">
            <v>92</v>
          </cell>
        </row>
        <row r="3130">
          <cell r="A3130" t="str">
            <v>B558252/A</v>
          </cell>
          <cell r="B3130" t="str">
            <v>RH6918M370</v>
          </cell>
          <cell r="C3130">
            <v>23</v>
          </cell>
          <cell r="D3130">
            <v>410</v>
          </cell>
          <cell r="E3130">
            <v>9430</v>
          </cell>
          <cell r="F3130" t="str">
            <v>A2-S03-2</v>
          </cell>
          <cell r="G3130" t="str">
            <v>Wood laminater - Gỗ ghép 1</v>
          </cell>
          <cell r="H3130" t="str">
            <v>Wood US Poplar - Straight Edged, 2 COM - T38mm x W100mm Up x L1.8m Up</v>
          </cell>
          <cell r="I3130">
            <v>46</v>
          </cell>
        </row>
        <row r="3131">
          <cell r="A3131" t="str">
            <v>B558252/A</v>
          </cell>
          <cell r="B3131" t="str">
            <v>RH6918M370</v>
          </cell>
          <cell r="C3131">
            <v>23</v>
          </cell>
          <cell r="D3131">
            <v>410</v>
          </cell>
          <cell r="E3131">
            <v>9430</v>
          </cell>
          <cell r="F3131" t="str">
            <v>P01</v>
          </cell>
          <cell r="G3131" t="str">
            <v xml:space="preserve">Top panel  - Ván nóc </v>
          </cell>
          <cell r="H3131" t="str">
            <v>MDF Veneer</v>
          </cell>
          <cell r="I3131">
            <v>23</v>
          </cell>
        </row>
        <row r="3132">
          <cell r="A3132" t="str">
            <v>B558252/A</v>
          </cell>
          <cell r="B3132" t="str">
            <v>RH6918M370</v>
          </cell>
          <cell r="C3132">
            <v>23</v>
          </cell>
          <cell r="D3132">
            <v>410</v>
          </cell>
          <cell r="E3132">
            <v>9430</v>
          </cell>
          <cell r="F3132" t="str">
            <v>P02</v>
          </cell>
          <cell r="G3132" t="str">
            <v xml:space="preserve">Curve part hot press  - chi tiết cảo cong </v>
          </cell>
          <cell r="H3132" t="str">
            <v>MDF Veneer</v>
          </cell>
          <cell r="I3132">
            <v>46</v>
          </cell>
        </row>
        <row r="3133">
          <cell r="A3133" t="str">
            <v>B558252/A</v>
          </cell>
          <cell r="B3133" t="str">
            <v>RH6918M370</v>
          </cell>
          <cell r="C3133">
            <v>23</v>
          </cell>
          <cell r="D3133">
            <v>410</v>
          </cell>
          <cell r="E3133">
            <v>9430</v>
          </cell>
          <cell r="F3133" t="str">
            <v>P02a</v>
          </cell>
          <cell r="G3133" t="str">
            <v>Panel outside - Ván phía ngoài</v>
          </cell>
          <cell r="H3133" t="str">
            <v>MDF Veneer</v>
          </cell>
          <cell r="I3133">
            <v>46</v>
          </cell>
        </row>
        <row r="3134">
          <cell r="A3134" t="str">
            <v>B558252/A</v>
          </cell>
          <cell r="B3134" t="str">
            <v>RH6918M370</v>
          </cell>
          <cell r="C3134">
            <v>23</v>
          </cell>
          <cell r="D3134">
            <v>410</v>
          </cell>
          <cell r="E3134">
            <v>9430</v>
          </cell>
          <cell r="F3134" t="str">
            <v>P03</v>
          </cell>
          <cell r="G3134" t="str">
            <v>Back panel - Ván hậu</v>
          </cell>
          <cell r="H3134" t="str">
            <v>MDF Veneer</v>
          </cell>
          <cell r="I3134">
            <v>23</v>
          </cell>
        </row>
        <row r="3135">
          <cell r="A3135" t="str">
            <v>B558252/A</v>
          </cell>
          <cell r="B3135" t="str">
            <v>RH6918M370</v>
          </cell>
          <cell r="C3135">
            <v>23</v>
          </cell>
          <cell r="D3135">
            <v>410</v>
          </cell>
          <cell r="E3135">
            <v>9430</v>
          </cell>
          <cell r="F3135" t="str">
            <v>P05</v>
          </cell>
          <cell r="G3135" t="str">
            <v>Bottom panel - Ván đáy</v>
          </cell>
          <cell r="H3135" t="str">
            <v>MDF Veneer</v>
          </cell>
          <cell r="I3135">
            <v>23</v>
          </cell>
        </row>
        <row r="3136">
          <cell r="A3136" t="str">
            <v>B558252/A</v>
          </cell>
          <cell r="B3136" t="str">
            <v>RH6918M370</v>
          </cell>
          <cell r="C3136">
            <v>23</v>
          </cell>
          <cell r="D3136">
            <v>410</v>
          </cell>
          <cell r="E3136">
            <v>9430</v>
          </cell>
          <cell r="F3136" t="str">
            <v>P06</v>
          </cell>
          <cell r="G3136" t="str">
            <v xml:space="preserve">Side panel  - Ván hông </v>
          </cell>
          <cell r="H3136" t="str">
            <v>MDF Veneer</v>
          </cell>
          <cell r="I3136">
            <v>46</v>
          </cell>
        </row>
        <row r="3137">
          <cell r="A3137" t="str">
            <v>B558252/A</v>
          </cell>
          <cell r="B3137" t="str">
            <v>RH6918M370</v>
          </cell>
          <cell r="C3137">
            <v>23</v>
          </cell>
          <cell r="D3137">
            <v>410</v>
          </cell>
          <cell r="E3137">
            <v>9430</v>
          </cell>
          <cell r="F3137" t="str">
            <v>P07</v>
          </cell>
          <cell r="G3137" t="str">
            <v>Front rail  - Đố tiền</v>
          </cell>
          <cell r="H3137" t="str">
            <v>Wood EU Beech - Straight/Waving Edged AB, 1 COM - T26mm x W100mm up x L1.8m up</v>
          </cell>
          <cell r="I3137">
            <v>23</v>
          </cell>
        </row>
        <row r="3138">
          <cell r="A3138" t="str">
            <v>B558252/A</v>
          </cell>
          <cell r="B3138" t="str">
            <v>RH6918M370</v>
          </cell>
          <cell r="C3138">
            <v>23</v>
          </cell>
          <cell r="D3138">
            <v>410</v>
          </cell>
          <cell r="E3138">
            <v>9430</v>
          </cell>
          <cell r="F3138" t="str">
            <v>P08</v>
          </cell>
          <cell r="G3138" t="str">
            <v>Drawer stop - Dừng hộc</v>
          </cell>
          <cell r="H3138" t="str">
            <v>Beech off cut</v>
          </cell>
          <cell r="I3138">
            <v>138</v>
          </cell>
        </row>
        <row r="3139">
          <cell r="A3139" t="str">
            <v>B558256/A</v>
          </cell>
          <cell r="B3139" t="str">
            <v>RH6918M373</v>
          </cell>
          <cell r="C3139">
            <v>11</v>
          </cell>
          <cell r="D3139">
            <v>410</v>
          </cell>
          <cell r="E3139">
            <v>4510</v>
          </cell>
          <cell r="F3139" t="str">
            <v>A1-S01</v>
          </cell>
          <cell r="G3139" t="str">
            <v xml:space="preserve">Curve part hot press  - chi tiết cảo cong </v>
          </cell>
          <cell r="H3139" t="str">
            <v>Wd+MDF+VN</v>
          </cell>
          <cell r="I3139">
            <v>33</v>
          </cell>
        </row>
        <row r="3140">
          <cell r="A3140" t="str">
            <v>B558256/A</v>
          </cell>
          <cell r="B3140" t="str">
            <v>RH6918M373</v>
          </cell>
          <cell r="C3140">
            <v>11</v>
          </cell>
          <cell r="D3140">
            <v>410</v>
          </cell>
          <cell r="E3140">
            <v>4510</v>
          </cell>
          <cell r="F3140" t="str">
            <v>A1-S01-1</v>
          </cell>
          <cell r="G3140" t="str">
            <v xml:space="preserve">Curve part hot press  - chi tiết cảo cong </v>
          </cell>
          <cell r="H3140" t="str">
            <v>MDF Veneer</v>
          </cell>
          <cell r="I3140">
            <v>11</v>
          </cell>
        </row>
        <row r="3141">
          <cell r="A3141" t="str">
            <v>B558256/A</v>
          </cell>
          <cell r="B3141" t="str">
            <v>RH6918M373</v>
          </cell>
          <cell r="C3141">
            <v>11</v>
          </cell>
          <cell r="D3141">
            <v>410</v>
          </cell>
          <cell r="E3141">
            <v>4510</v>
          </cell>
          <cell r="F3141" t="str">
            <v>A1-S01-1a</v>
          </cell>
          <cell r="G3141" t="str">
            <v>Panel outside - Ván phía ngoài</v>
          </cell>
          <cell r="H3141" t="str">
            <v>MDF Veneer</v>
          </cell>
          <cell r="I3141">
            <v>11</v>
          </cell>
        </row>
        <row r="3142">
          <cell r="A3142" t="str">
            <v>B558256/A</v>
          </cell>
          <cell r="B3142" t="str">
            <v>RH6918M373</v>
          </cell>
          <cell r="C3142">
            <v>11</v>
          </cell>
          <cell r="D3142">
            <v>410</v>
          </cell>
          <cell r="E3142">
            <v>4510</v>
          </cell>
          <cell r="F3142" t="str">
            <v>A1-S01-2</v>
          </cell>
          <cell r="G3142" t="str">
            <v>Insert Wood - Gỗ chèn</v>
          </cell>
          <cell r="H3142" t="str">
            <v>Wood White Oak - Straight/Waving Edged, 1 COM - T25mm x W100mm Up x L1.8m Up</v>
          </cell>
          <cell r="I3142">
            <v>33</v>
          </cell>
        </row>
        <row r="3143">
          <cell r="A3143" t="str">
            <v>B558256/A</v>
          </cell>
          <cell r="B3143" t="str">
            <v>RH6918M373</v>
          </cell>
          <cell r="C3143">
            <v>11</v>
          </cell>
          <cell r="D3143">
            <v>410</v>
          </cell>
          <cell r="E3143">
            <v>4510</v>
          </cell>
          <cell r="F3143" t="str">
            <v>A1-S02</v>
          </cell>
          <cell r="G3143" t="str">
            <v>Drawer side - Hông hộc kéo</v>
          </cell>
          <cell r="H3143" t="str">
            <v>MDF Veneer</v>
          </cell>
          <cell r="I3143">
            <v>66</v>
          </cell>
        </row>
        <row r="3144">
          <cell r="A3144" t="str">
            <v>B558256/A</v>
          </cell>
          <cell r="B3144" t="str">
            <v>RH6918M373</v>
          </cell>
          <cell r="C3144">
            <v>11</v>
          </cell>
          <cell r="D3144">
            <v>410</v>
          </cell>
          <cell r="E3144">
            <v>4510</v>
          </cell>
          <cell r="F3144" t="str">
            <v>A1-S03</v>
          </cell>
          <cell r="G3144" t="str">
            <v>Drawer back - Hậu hộc kéo</v>
          </cell>
          <cell r="H3144" t="str">
            <v>MDF Veneer</v>
          </cell>
          <cell r="I3144">
            <v>33</v>
          </cell>
        </row>
        <row r="3145">
          <cell r="A3145" t="str">
            <v>B558256/A</v>
          </cell>
          <cell r="B3145" t="str">
            <v>RH6918M373</v>
          </cell>
          <cell r="C3145">
            <v>11</v>
          </cell>
          <cell r="D3145">
            <v>410</v>
          </cell>
          <cell r="E3145">
            <v>4510</v>
          </cell>
          <cell r="F3145" t="str">
            <v>A1-S04</v>
          </cell>
          <cell r="G3145" t="str">
            <v>Drawer bottom  - Đáy hộc kéo</v>
          </cell>
          <cell r="H3145" t="str">
            <v>MDF Veneer</v>
          </cell>
          <cell r="I3145">
            <v>33</v>
          </cell>
        </row>
        <row r="3146">
          <cell r="A3146" t="str">
            <v>B558256/A</v>
          </cell>
          <cell r="B3146" t="str">
            <v>RH6918M373</v>
          </cell>
          <cell r="C3146">
            <v>11</v>
          </cell>
          <cell r="D3146">
            <v>410</v>
          </cell>
          <cell r="E3146">
            <v>4510</v>
          </cell>
          <cell r="F3146" t="str">
            <v>A1-S06</v>
          </cell>
          <cell r="G3146" t="str">
            <v>Patching wood - Gỗ đắp</v>
          </cell>
          <cell r="H3146" t="str">
            <v>Beech off cut</v>
          </cell>
          <cell r="I3146">
            <v>66</v>
          </cell>
        </row>
        <row r="3147">
          <cell r="A3147" t="str">
            <v>B558256/A</v>
          </cell>
          <cell r="B3147" t="str">
            <v>RH6918M373</v>
          </cell>
          <cell r="C3147">
            <v>11</v>
          </cell>
          <cell r="D3147">
            <v>410</v>
          </cell>
          <cell r="E3147">
            <v>4510</v>
          </cell>
          <cell r="F3147" t="str">
            <v>A2-S01</v>
          </cell>
          <cell r="G3147" t="str">
            <v>Insert Wood - Gỗ chèn</v>
          </cell>
          <cell r="H3147" t="str">
            <v>Beech off cut</v>
          </cell>
          <cell r="I3147">
            <v>66</v>
          </cell>
        </row>
        <row r="3148">
          <cell r="A3148" t="str">
            <v>B558256/A</v>
          </cell>
          <cell r="B3148" t="str">
            <v>RH6918M373</v>
          </cell>
          <cell r="C3148">
            <v>11</v>
          </cell>
          <cell r="D3148">
            <v>410</v>
          </cell>
          <cell r="E3148">
            <v>4510</v>
          </cell>
          <cell r="F3148" t="str">
            <v>A2-S03</v>
          </cell>
          <cell r="G3148" t="str">
            <v>Bottom rail inside - Đố tiền đáy</v>
          </cell>
          <cell r="H3148" t="str">
            <v>Wd+VN</v>
          </cell>
          <cell r="I3148">
            <v>22</v>
          </cell>
        </row>
        <row r="3149">
          <cell r="A3149" t="str">
            <v>B558256/A</v>
          </cell>
          <cell r="B3149" t="str">
            <v>RH6918M373</v>
          </cell>
          <cell r="C3149">
            <v>11</v>
          </cell>
          <cell r="D3149">
            <v>410</v>
          </cell>
          <cell r="E3149">
            <v>4510</v>
          </cell>
          <cell r="F3149" t="str">
            <v>A2-S03-1</v>
          </cell>
          <cell r="G3149" t="str">
            <v>Wood laminater - Gỗ ghép 1</v>
          </cell>
          <cell r="H3149" t="str">
            <v>Wood laminate</v>
          </cell>
          <cell r="I3149">
            <v>44</v>
          </cell>
        </row>
        <row r="3150">
          <cell r="A3150" t="str">
            <v>B558256/A</v>
          </cell>
          <cell r="B3150" t="str">
            <v>RH6918M373</v>
          </cell>
          <cell r="C3150">
            <v>11</v>
          </cell>
          <cell r="D3150">
            <v>410</v>
          </cell>
          <cell r="E3150">
            <v>4510</v>
          </cell>
          <cell r="F3150" t="str">
            <v>A2-S03-2</v>
          </cell>
          <cell r="G3150" t="str">
            <v>Wood laminater - Gỗ ghép 1</v>
          </cell>
          <cell r="H3150" t="str">
            <v>Wood US Poplar - Straight Edged, 2 COM - T38mm x W100mm Up x L1.8m Up</v>
          </cell>
          <cell r="I3150">
            <v>22</v>
          </cell>
        </row>
        <row r="3151">
          <cell r="A3151" t="str">
            <v>B558256/A</v>
          </cell>
          <cell r="B3151" t="str">
            <v>RH6918M373</v>
          </cell>
          <cell r="C3151">
            <v>11</v>
          </cell>
          <cell r="D3151">
            <v>410</v>
          </cell>
          <cell r="E3151">
            <v>4510</v>
          </cell>
          <cell r="F3151" t="str">
            <v>P01</v>
          </cell>
          <cell r="G3151" t="str">
            <v xml:space="preserve">Top panel  - Ván nóc </v>
          </cell>
          <cell r="H3151" t="str">
            <v>MDF Veneer</v>
          </cell>
          <cell r="I3151">
            <v>11</v>
          </cell>
        </row>
        <row r="3152">
          <cell r="A3152" t="str">
            <v>B558256/A</v>
          </cell>
          <cell r="B3152" t="str">
            <v>RH6918M373</v>
          </cell>
          <cell r="C3152">
            <v>11</v>
          </cell>
          <cell r="D3152">
            <v>410</v>
          </cell>
          <cell r="E3152">
            <v>4510</v>
          </cell>
          <cell r="F3152" t="str">
            <v>P02</v>
          </cell>
          <cell r="G3152" t="str">
            <v xml:space="preserve">Curve part hot press  - chi tiết cảo cong </v>
          </cell>
          <cell r="H3152" t="str">
            <v>MDF Veneer</v>
          </cell>
          <cell r="I3152">
            <v>22</v>
          </cell>
        </row>
        <row r="3153">
          <cell r="A3153" t="str">
            <v>B558256/A</v>
          </cell>
          <cell r="B3153" t="str">
            <v>RH6918M373</v>
          </cell>
          <cell r="C3153">
            <v>11</v>
          </cell>
          <cell r="D3153">
            <v>410</v>
          </cell>
          <cell r="E3153">
            <v>4510</v>
          </cell>
          <cell r="F3153" t="str">
            <v>P02a</v>
          </cell>
          <cell r="G3153" t="str">
            <v>Panel outside - Ván phía ngoài</v>
          </cell>
          <cell r="H3153" t="str">
            <v>MDF Veneer</v>
          </cell>
          <cell r="I3153">
            <v>22</v>
          </cell>
        </row>
        <row r="3154">
          <cell r="A3154" t="str">
            <v>B558256/A</v>
          </cell>
          <cell r="B3154" t="str">
            <v>RH6918M373</v>
          </cell>
          <cell r="C3154">
            <v>11</v>
          </cell>
          <cell r="D3154">
            <v>410</v>
          </cell>
          <cell r="E3154">
            <v>4510</v>
          </cell>
          <cell r="F3154" t="str">
            <v>P03</v>
          </cell>
          <cell r="G3154" t="str">
            <v>Back panel - Ván hậu</v>
          </cell>
          <cell r="H3154" t="str">
            <v>MDF Veneer</v>
          </cell>
          <cell r="I3154">
            <v>11</v>
          </cell>
        </row>
        <row r="3155">
          <cell r="A3155" t="str">
            <v>B558256/A</v>
          </cell>
          <cell r="B3155" t="str">
            <v>RH6918M373</v>
          </cell>
          <cell r="C3155">
            <v>11</v>
          </cell>
          <cell r="D3155">
            <v>410</v>
          </cell>
          <cell r="E3155">
            <v>4510</v>
          </cell>
          <cell r="F3155" t="str">
            <v>P05</v>
          </cell>
          <cell r="G3155" t="str">
            <v>Bottom panel - Ván đáy</v>
          </cell>
          <cell r="H3155" t="str">
            <v>MDF Veneer</v>
          </cell>
          <cell r="I3155">
            <v>11</v>
          </cell>
        </row>
        <row r="3156">
          <cell r="A3156" t="str">
            <v>B558256/A</v>
          </cell>
          <cell r="B3156" t="str">
            <v>RH6918M373</v>
          </cell>
          <cell r="C3156">
            <v>11</v>
          </cell>
          <cell r="D3156">
            <v>410</v>
          </cell>
          <cell r="E3156">
            <v>4510</v>
          </cell>
          <cell r="F3156" t="str">
            <v>P06</v>
          </cell>
          <cell r="G3156" t="str">
            <v xml:space="preserve">Side panel  - Ván hông </v>
          </cell>
          <cell r="H3156" t="str">
            <v>MDF Veneer</v>
          </cell>
          <cell r="I3156">
            <v>22</v>
          </cell>
        </row>
        <row r="3157">
          <cell r="A3157" t="str">
            <v>B558256/A</v>
          </cell>
          <cell r="B3157" t="str">
            <v>RH6918M373</v>
          </cell>
          <cell r="C3157">
            <v>11</v>
          </cell>
          <cell r="D3157">
            <v>410</v>
          </cell>
          <cell r="E3157">
            <v>4510</v>
          </cell>
          <cell r="F3157" t="str">
            <v>P07</v>
          </cell>
          <cell r="G3157" t="str">
            <v>Front rail  - Đố tiền</v>
          </cell>
          <cell r="H3157" t="str">
            <v>Wood EU Beech - Straight/Waving Edged AB, 1 COM - T26mm x W100mm up x L1.8m up</v>
          </cell>
          <cell r="I3157">
            <v>11</v>
          </cell>
        </row>
        <row r="3158">
          <cell r="A3158" t="str">
            <v>B558256/A</v>
          </cell>
          <cell r="B3158" t="str">
            <v>RH6918M373</v>
          </cell>
          <cell r="C3158">
            <v>11</v>
          </cell>
          <cell r="D3158">
            <v>410</v>
          </cell>
          <cell r="E3158">
            <v>4510</v>
          </cell>
          <cell r="F3158" t="str">
            <v>P08</v>
          </cell>
          <cell r="G3158" t="str">
            <v>Drawer stop - Dừng hộc</v>
          </cell>
          <cell r="H3158" t="str">
            <v>Beech off cut</v>
          </cell>
          <cell r="I3158">
            <v>66</v>
          </cell>
        </row>
        <row r="3159">
          <cell r="A3159" t="str">
            <v>B558343/A</v>
          </cell>
          <cell r="B3159" t="str">
            <v>RH7270M373</v>
          </cell>
          <cell r="C3159">
            <v>3</v>
          </cell>
          <cell r="D3159">
            <v>735</v>
          </cell>
          <cell r="E3159">
            <v>2205</v>
          </cell>
          <cell r="F3159" t="str">
            <v>A1</v>
          </cell>
          <cell r="G3159" t="str">
            <v>Side Frame - Khung hông</v>
          </cell>
          <cell r="H3159" t="str">
            <v>Pre-Assembly</v>
          </cell>
          <cell r="I3159">
            <v>6</v>
          </cell>
        </row>
        <row r="3160">
          <cell r="A3160" t="str">
            <v>B558343/A</v>
          </cell>
          <cell r="B3160" t="str">
            <v>RH7270M373</v>
          </cell>
          <cell r="C3160">
            <v>3</v>
          </cell>
          <cell r="D3160">
            <v>735</v>
          </cell>
          <cell r="E3160">
            <v>2205</v>
          </cell>
          <cell r="F3160" t="str">
            <v>A1-S0</v>
          </cell>
          <cell r="G3160" t="str">
            <v xml:space="preserve">Panel - Ván </v>
          </cell>
          <cell r="H3160" t="str">
            <v>MDF Veneer</v>
          </cell>
          <cell r="I3160">
            <v>6</v>
          </cell>
        </row>
        <row r="3161">
          <cell r="A3161" t="str">
            <v>B558343/A</v>
          </cell>
          <cell r="B3161" t="str">
            <v>RH7270M373</v>
          </cell>
          <cell r="C3161">
            <v>3</v>
          </cell>
          <cell r="D3161">
            <v>735</v>
          </cell>
          <cell r="E3161">
            <v>2205</v>
          </cell>
          <cell r="F3161" t="str">
            <v>A1-S01</v>
          </cell>
          <cell r="G3161" t="str">
            <v xml:space="preserve">Curve part hot press  - chi tiết cảo cong </v>
          </cell>
          <cell r="H3161" t="str">
            <v>Pre-Assembly</v>
          </cell>
          <cell r="I3161">
            <v>6</v>
          </cell>
        </row>
        <row r="3162">
          <cell r="A3162" t="str">
            <v>B558343/A</v>
          </cell>
          <cell r="B3162" t="str">
            <v>RH7270M373</v>
          </cell>
          <cell r="C3162">
            <v>3</v>
          </cell>
          <cell r="D3162">
            <v>735</v>
          </cell>
          <cell r="E3162">
            <v>2205</v>
          </cell>
          <cell r="F3162" t="str">
            <v>A1-S05</v>
          </cell>
          <cell r="G3162" t="str">
            <v>Patching wood - Gỗ đắp</v>
          </cell>
          <cell r="H3162" t="str">
            <v>Wood White Oak - Straight/Waving Edged, 1 COM - T32mm x W100mm Up x L1.8m Up</v>
          </cell>
          <cell r="I3162">
            <v>6</v>
          </cell>
        </row>
        <row r="3163">
          <cell r="A3163" t="str">
            <v>B558343/A</v>
          </cell>
          <cell r="B3163" t="str">
            <v>RH7270M373</v>
          </cell>
          <cell r="C3163">
            <v>3</v>
          </cell>
          <cell r="D3163">
            <v>735</v>
          </cell>
          <cell r="E3163">
            <v>2205</v>
          </cell>
          <cell r="F3163" t="str">
            <v>A2-S01</v>
          </cell>
          <cell r="G3163" t="str">
            <v xml:space="preserve">Top panel  - Ván nóc </v>
          </cell>
          <cell r="H3163" t="str">
            <v>MDF Veneer</v>
          </cell>
          <cell r="I3163">
            <v>3</v>
          </cell>
        </row>
        <row r="3164">
          <cell r="A3164" t="str">
            <v>B558343/A</v>
          </cell>
          <cell r="B3164" t="str">
            <v>RH7270M373</v>
          </cell>
          <cell r="C3164">
            <v>3</v>
          </cell>
          <cell r="D3164">
            <v>735</v>
          </cell>
          <cell r="E3164">
            <v>2205</v>
          </cell>
          <cell r="F3164" t="str">
            <v>A2-S02</v>
          </cell>
          <cell r="G3164" t="str">
            <v>Top rail - Đố nóc</v>
          </cell>
          <cell r="H3164" t="str">
            <v>Wood laminate</v>
          </cell>
          <cell r="I3164">
            <v>3</v>
          </cell>
        </row>
        <row r="3165">
          <cell r="A3165" t="str">
            <v>B558343/A</v>
          </cell>
          <cell r="B3165" t="str">
            <v>RH7270M373</v>
          </cell>
          <cell r="C3165">
            <v>3</v>
          </cell>
          <cell r="D3165">
            <v>735</v>
          </cell>
          <cell r="E3165">
            <v>2205</v>
          </cell>
          <cell r="F3165" t="str">
            <v>A2-S03</v>
          </cell>
          <cell r="G3165" t="str">
            <v>Top rail - Đố nóc</v>
          </cell>
          <cell r="H3165" t="str">
            <v>Wood laminate</v>
          </cell>
          <cell r="I3165">
            <v>6</v>
          </cell>
        </row>
        <row r="3166">
          <cell r="A3166" t="str">
            <v>B558343/A</v>
          </cell>
          <cell r="B3166" t="str">
            <v>RH7270M373</v>
          </cell>
          <cell r="C3166">
            <v>3</v>
          </cell>
          <cell r="D3166">
            <v>735</v>
          </cell>
          <cell r="E3166">
            <v>2205</v>
          </cell>
          <cell r="F3166" t="str">
            <v>A2-S04</v>
          </cell>
          <cell r="G3166" t="str">
            <v>Front rail  - Đố tiền</v>
          </cell>
          <cell r="H3166" t="str">
            <v>Wood laminate</v>
          </cell>
          <cell r="I3166">
            <v>3</v>
          </cell>
        </row>
        <row r="3167">
          <cell r="A3167" t="str">
            <v>B558343/A</v>
          </cell>
          <cell r="B3167" t="str">
            <v>RH7270M373</v>
          </cell>
          <cell r="C3167">
            <v>3</v>
          </cell>
          <cell r="D3167">
            <v>735</v>
          </cell>
          <cell r="E3167">
            <v>2205</v>
          </cell>
          <cell r="F3167" t="str">
            <v>A2-S05</v>
          </cell>
          <cell r="G3167" t="str">
            <v>Top rail - Đố nóc</v>
          </cell>
          <cell r="H3167" t="str">
            <v>Wood laminate</v>
          </cell>
          <cell r="I3167">
            <v>6</v>
          </cell>
        </row>
        <row r="3168">
          <cell r="A3168" t="str">
            <v>B558343/A</v>
          </cell>
          <cell r="B3168" t="str">
            <v>RH7270M373</v>
          </cell>
          <cell r="C3168">
            <v>3</v>
          </cell>
          <cell r="D3168">
            <v>735</v>
          </cell>
          <cell r="E3168">
            <v>2205</v>
          </cell>
          <cell r="F3168" t="str">
            <v>A2-S06</v>
          </cell>
          <cell r="G3168" t="str">
            <v>support Top - đỡ nóc</v>
          </cell>
          <cell r="H3168" t="str">
            <v>Beech off cut</v>
          </cell>
          <cell r="I3168">
            <v>12</v>
          </cell>
        </row>
        <row r="3169">
          <cell r="A3169" t="str">
            <v>B558343/A</v>
          </cell>
          <cell r="B3169" t="str">
            <v>RH7270M373</v>
          </cell>
          <cell r="C3169">
            <v>3</v>
          </cell>
          <cell r="D3169">
            <v>735</v>
          </cell>
          <cell r="E3169">
            <v>2205</v>
          </cell>
          <cell r="F3169" t="str">
            <v>A2-S07</v>
          </cell>
          <cell r="G3169" t="str">
            <v>support Top - đỡ nóc</v>
          </cell>
          <cell r="H3169" t="str">
            <v>Wood laminate</v>
          </cell>
          <cell r="I3169">
            <v>3</v>
          </cell>
        </row>
        <row r="3170">
          <cell r="A3170" t="str">
            <v>B558343/A</v>
          </cell>
          <cell r="B3170" t="str">
            <v>RH7270M373</v>
          </cell>
          <cell r="C3170">
            <v>3</v>
          </cell>
          <cell r="D3170">
            <v>735</v>
          </cell>
          <cell r="E3170">
            <v>2205</v>
          </cell>
          <cell r="F3170" t="str">
            <v>A3-S0</v>
          </cell>
          <cell r="G3170" t="str">
            <v xml:space="preserve">Panel - Ván </v>
          </cell>
          <cell r="H3170" t="str">
            <v>MDF Veneer</v>
          </cell>
          <cell r="I3170">
            <v>3</v>
          </cell>
        </row>
        <row r="3171">
          <cell r="A3171" t="str">
            <v>B558343/A</v>
          </cell>
          <cell r="B3171" t="str">
            <v>RH7270M373</v>
          </cell>
          <cell r="C3171">
            <v>3</v>
          </cell>
          <cell r="D3171">
            <v>735</v>
          </cell>
          <cell r="E3171">
            <v>2205</v>
          </cell>
          <cell r="F3171" t="str">
            <v>A3-S01</v>
          </cell>
          <cell r="G3171" t="str">
            <v xml:space="preserve">Curve part hot press  - chi tiết cảo cong </v>
          </cell>
          <cell r="H3171" t="str">
            <v>MDF laminate</v>
          </cell>
          <cell r="I3171">
            <v>18</v>
          </cell>
        </row>
        <row r="3172">
          <cell r="A3172" t="str">
            <v>B558343/A</v>
          </cell>
          <cell r="B3172" t="str">
            <v>RH7270M373</v>
          </cell>
          <cell r="C3172">
            <v>3</v>
          </cell>
          <cell r="D3172">
            <v>735</v>
          </cell>
          <cell r="E3172">
            <v>2205</v>
          </cell>
          <cell r="F3172" t="str">
            <v>A3-S02</v>
          </cell>
          <cell r="G3172" t="str">
            <v>Bottom panel - Ván đáy</v>
          </cell>
          <cell r="H3172" t="str">
            <v>MDF Veneer</v>
          </cell>
          <cell r="I3172">
            <v>6</v>
          </cell>
        </row>
        <row r="3173">
          <cell r="A3173" t="str">
            <v>B558343/A</v>
          </cell>
          <cell r="B3173" t="str">
            <v>RH7270M373</v>
          </cell>
          <cell r="C3173">
            <v>3</v>
          </cell>
          <cell r="D3173">
            <v>735</v>
          </cell>
          <cell r="E3173">
            <v>2205</v>
          </cell>
          <cell r="F3173" t="str">
            <v>A3-S03</v>
          </cell>
          <cell r="G3173" t="str">
            <v>Patching wood - Gỗ đắp</v>
          </cell>
          <cell r="H3173" t="str">
            <v>Beech off cut</v>
          </cell>
          <cell r="I3173">
            <v>18</v>
          </cell>
        </row>
        <row r="3174">
          <cell r="A3174" t="str">
            <v>B558343/A</v>
          </cell>
          <cell r="B3174" t="str">
            <v>RH7270M373</v>
          </cell>
          <cell r="C3174">
            <v>3</v>
          </cell>
          <cell r="D3174">
            <v>735</v>
          </cell>
          <cell r="E3174">
            <v>2205</v>
          </cell>
          <cell r="F3174" t="str">
            <v>A4</v>
          </cell>
          <cell r="G3174" t="str">
            <v>Door panel  - Ván cửa</v>
          </cell>
          <cell r="H3174" t="str">
            <v>Pre-Assembly</v>
          </cell>
          <cell r="I3174">
            <v>6</v>
          </cell>
        </row>
        <row r="3175">
          <cell r="A3175" t="str">
            <v>B558343/A</v>
          </cell>
          <cell r="B3175" t="str">
            <v>RH7270M373</v>
          </cell>
          <cell r="C3175">
            <v>3</v>
          </cell>
          <cell r="D3175">
            <v>735</v>
          </cell>
          <cell r="E3175">
            <v>2205</v>
          </cell>
          <cell r="F3175" t="str">
            <v>A4-S0</v>
          </cell>
          <cell r="G3175" t="str">
            <v xml:space="preserve">Panel - Ván </v>
          </cell>
          <cell r="H3175" t="str">
            <v>MDF Veneer</v>
          </cell>
          <cell r="I3175">
            <v>3</v>
          </cell>
        </row>
        <row r="3176">
          <cell r="A3176" t="str">
            <v>B558343/A</v>
          </cell>
          <cell r="B3176" t="str">
            <v>RH7270M373</v>
          </cell>
          <cell r="C3176">
            <v>3</v>
          </cell>
          <cell r="D3176">
            <v>735</v>
          </cell>
          <cell r="E3176">
            <v>2205</v>
          </cell>
          <cell r="F3176" t="str">
            <v>A4-S00</v>
          </cell>
          <cell r="G3176" t="str">
            <v xml:space="preserve">Curve part hot press  - chi tiết cảo cong </v>
          </cell>
          <cell r="H3176" t="str">
            <v>MDF Veneer</v>
          </cell>
          <cell r="I3176">
            <v>3</v>
          </cell>
        </row>
        <row r="3177">
          <cell r="A3177" t="str">
            <v>B558343/A</v>
          </cell>
          <cell r="B3177" t="str">
            <v>RH7270M373</v>
          </cell>
          <cell r="C3177">
            <v>3</v>
          </cell>
          <cell r="D3177">
            <v>735</v>
          </cell>
          <cell r="E3177">
            <v>2205</v>
          </cell>
          <cell r="F3177" t="str">
            <v>A4-S01</v>
          </cell>
          <cell r="G3177" t="str">
            <v>Door panel  - Ván cửa</v>
          </cell>
          <cell r="H3177" t="str">
            <v>MDF Veneer</v>
          </cell>
          <cell r="I3177">
            <v>6</v>
          </cell>
        </row>
        <row r="3178">
          <cell r="A3178" t="str">
            <v>B558343/A</v>
          </cell>
          <cell r="B3178" t="str">
            <v>RH7270M373</v>
          </cell>
          <cell r="C3178">
            <v>3</v>
          </cell>
          <cell r="D3178">
            <v>735</v>
          </cell>
          <cell r="E3178">
            <v>2205</v>
          </cell>
          <cell r="F3178" t="str">
            <v>A4-S02</v>
          </cell>
          <cell r="G3178" t="str">
            <v>Patching wood - Gỗ đắp</v>
          </cell>
          <cell r="H3178" t="str">
            <v>Wood White Oak - Straight/Waving Edged, 1 COM - T32mm x W100mm Up x L1.8m Up</v>
          </cell>
          <cell r="I3178">
            <v>6</v>
          </cell>
        </row>
        <row r="3179">
          <cell r="A3179" t="str">
            <v>B558343/A</v>
          </cell>
          <cell r="B3179" t="str">
            <v>RH7270M373</v>
          </cell>
          <cell r="C3179">
            <v>3</v>
          </cell>
          <cell r="D3179">
            <v>735</v>
          </cell>
          <cell r="E3179">
            <v>2205</v>
          </cell>
          <cell r="F3179" t="str">
            <v>P04</v>
          </cell>
          <cell r="G3179" t="str">
            <v>Door panel  - Ván cửa</v>
          </cell>
          <cell r="H3179" t="str">
            <v>MDF Veneer</v>
          </cell>
          <cell r="I3179">
            <v>12</v>
          </cell>
        </row>
        <row r="3180">
          <cell r="A3180" t="str">
            <v>B558343/A</v>
          </cell>
          <cell r="B3180" t="str">
            <v>RH7270M373</v>
          </cell>
          <cell r="C3180">
            <v>3</v>
          </cell>
          <cell r="D3180">
            <v>735</v>
          </cell>
          <cell r="E3180">
            <v>2205</v>
          </cell>
          <cell r="F3180" t="str">
            <v>P04-1</v>
          </cell>
          <cell r="G3180" t="str">
            <v>Insert Wood - Gỗ chèn</v>
          </cell>
          <cell r="H3180" t="str">
            <v>Beech off cut</v>
          </cell>
          <cell r="I3180">
            <v>36</v>
          </cell>
        </row>
        <row r="3181">
          <cell r="A3181" t="str">
            <v>B558343/A</v>
          </cell>
          <cell r="B3181" t="str">
            <v>RH7270M373</v>
          </cell>
          <cell r="C3181">
            <v>3</v>
          </cell>
          <cell r="D3181">
            <v>735</v>
          </cell>
          <cell r="E3181">
            <v>2205</v>
          </cell>
          <cell r="F3181" t="str">
            <v>P04-2</v>
          </cell>
          <cell r="G3181" t="str">
            <v>Insert Wood - Gỗ chèn</v>
          </cell>
          <cell r="H3181" t="str">
            <v>Wood White Oak - Straight/Waving Edged, 2 COM - T25mm x W100mm Up x L1.5m Up</v>
          </cell>
          <cell r="I3181">
            <v>18</v>
          </cell>
        </row>
        <row r="3182">
          <cell r="A3182" t="str">
            <v>B558343/A</v>
          </cell>
          <cell r="B3182" t="str">
            <v>RH7270M373</v>
          </cell>
          <cell r="C3182">
            <v>3</v>
          </cell>
          <cell r="D3182">
            <v>735</v>
          </cell>
          <cell r="E3182">
            <v>2205</v>
          </cell>
          <cell r="F3182" t="str">
            <v>P06</v>
          </cell>
          <cell r="G3182" t="str">
            <v>Cleat - Bọ gỗ</v>
          </cell>
          <cell r="H3182" t="str">
            <v>Beech off cut</v>
          </cell>
          <cell r="I3182">
            <v>12</v>
          </cell>
        </row>
        <row r="3183">
          <cell r="A3183" t="str">
            <v>B558343/A</v>
          </cell>
          <cell r="B3183" t="str">
            <v>RH7270M373</v>
          </cell>
          <cell r="C3183">
            <v>3</v>
          </cell>
          <cell r="D3183">
            <v>735</v>
          </cell>
          <cell r="E3183">
            <v>2205</v>
          </cell>
          <cell r="F3183" t="str">
            <v>P07</v>
          </cell>
          <cell r="G3183" t="str">
            <v>Bottom panel - Ván đáy</v>
          </cell>
          <cell r="H3183" t="str">
            <v>Plywood VN</v>
          </cell>
          <cell r="I3183">
            <v>3</v>
          </cell>
        </row>
        <row r="3184">
          <cell r="A3184" t="str">
            <v>B558343/A</v>
          </cell>
          <cell r="B3184" t="str">
            <v>RH7270M373</v>
          </cell>
          <cell r="C3184">
            <v>3</v>
          </cell>
          <cell r="D3184">
            <v>735</v>
          </cell>
          <cell r="E3184">
            <v>2205</v>
          </cell>
          <cell r="F3184" t="str">
            <v>P08</v>
          </cell>
          <cell r="G3184" t="str">
            <v>Back panel - Ván hậu</v>
          </cell>
          <cell r="H3184" t="str">
            <v>MDF Veneer</v>
          </cell>
          <cell r="I3184">
            <v>3</v>
          </cell>
        </row>
        <row r="3185">
          <cell r="A3185" t="str">
            <v>B558343/A</v>
          </cell>
          <cell r="B3185" t="str">
            <v>RH7270M373</v>
          </cell>
          <cell r="C3185">
            <v>3</v>
          </cell>
          <cell r="D3185">
            <v>735</v>
          </cell>
          <cell r="E3185">
            <v>2205</v>
          </cell>
          <cell r="F3185" t="str">
            <v>P08-1</v>
          </cell>
          <cell r="G3185" t="str">
            <v>Insert Wood - Gỗ chèn</v>
          </cell>
          <cell r="H3185" t="str">
            <v>oak off cut</v>
          </cell>
          <cell r="I3185">
            <v>9</v>
          </cell>
        </row>
        <row r="3186">
          <cell r="A3186" t="str">
            <v>B558343/A</v>
          </cell>
          <cell r="B3186" t="str">
            <v>RH7270M373</v>
          </cell>
          <cell r="C3186">
            <v>3</v>
          </cell>
          <cell r="D3186">
            <v>735</v>
          </cell>
          <cell r="E3186">
            <v>2205</v>
          </cell>
          <cell r="F3186" t="str">
            <v>P09</v>
          </cell>
          <cell r="G3186" t="str">
            <v>Partition panel - Vách ngăn</v>
          </cell>
          <cell r="H3186" t="str">
            <v>MDF Veneer</v>
          </cell>
          <cell r="I3186">
            <v>6</v>
          </cell>
        </row>
        <row r="3187">
          <cell r="A3187" t="str">
            <v>B558343/A</v>
          </cell>
          <cell r="B3187" t="str">
            <v>RH7270M373</v>
          </cell>
          <cell r="C3187">
            <v>3</v>
          </cell>
          <cell r="D3187">
            <v>735</v>
          </cell>
          <cell r="E3187">
            <v>2205</v>
          </cell>
          <cell r="F3187" t="str">
            <v>P12</v>
          </cell>
          <cell r="G3187" t="str">
            <v>Patching wood - Gỗ đắp</v>
          </cell>
          <cell r="H3187" t="str">
            <v>Wood White Oak - Straight/Waving Edged, 1 COM - T25mm x W100mm Up x L1.8m Up</v>
          </cell>
          <cell r="I3187">
            <v>9</v>
          </cell>
        </row>
        <row r="3188">
          <cell r="A3188" t="str">
            <v>B558343/A</v>
          </cell>
          <cell r="B3188" t="str">
            <v>RH7270M373</v>
          </cell>
          <cell r="C3188">
            <v>3</v>
          </cell>
          <cell r="D3188">
            <v>735</v>
          </cell>
          <cell r="E3188">
            <v>2205</v>
          </cell>
          <cell r="F3188" t="str">
            <v>P13</v>
          </cell>
          <cell r="G3188" t="str">
            <v>Center leg - Chân giữa</v>
          </cell>
          <cell r="H3188" t="str">
            <v>Wood White Oak - Straight/Waving Edged, 1 COM - T38mm x W100mm Up x L1.8m Up</v>
          </cell>
          <cell r="I3188">
            <v>3</v>
          </cell>
        </row>
        <row r="3189">
          <cell r="A3189" t="str">
            <v>B558343/A</v>
          </cell>
          <cell r="B3189" t="str">
            <v>RH7270M373</v>
          </cell>
          <cell r="C3189">
            <v>3</v>
          </cell>
          <cell r="D3189">
            <v>735</v>
          </cell>
          <cell r="E3189">
            <v>2205</v>
          </cell>
          <cell r="F3189" t="str">
            <v>P14</v>
          </cell>
          <cell r="G3189" t="str">
            <v>Fixed Shelf  - Kệ bắt chết</v>
          </cell>
          <cell r="H3189" t="str">
            <v>MDF Veneer</v>
          </cell>
          <cell r="I3189">
            <v>3</v>
          </cell>
        </row>
        <row r="3190">
          <cell r="A3190" t="str">
            <v>B558343/A</v>
          </cell>
          <cell r="B3190" t="str">
            <v>RH7270M373</v>
          </cell>
          <cell r="C3190">
            <v>3</v>
          </cell>
          <cell r="D3190">
            <v>735</v>
          </cell>
          <cell r="E3190">
            <v>2205</v>
          </cell>
          <cell r="F3190" t="str">
            <v>P15</v>
          </cell>
          <cell r="G3190" t="str">
            <v>Fixed Shelf  - Kệ bắt chết</v>
          </cell>
          <cell r="H3190" t="str">
            <v>MDF Veneer</v>
          </cell>
          <cell r="I3190">
            <v>6</v>
          </cell>
        </row>
        <row r="3191">
          <cell r="A3191" t="str">
            <v>B558347/A</v>
          </cell>
          <cell r="B3191" t="str">
            <v>RH7270M374</v>
          </cell>
          <cell r="C3191">
            <v>17</v>
          </cell>
          <cell r="D3191">
            <v>735</v>
          </cell>
          <cell r="E3191">
            <v>12495</v>
          </cell>
          <cell r="F3191" t="str">
            <v>A1</v>
          </cell>
          <cell r="G3191" t="str">
            <v>Side Frame - Khung hông</v>
          </cell>
          <cell r="H3191" t="str">
            <v>Pre-Assembly</v>
          </cell>
          <cell r="I3191">
            <v>34</v>
          </cell>
        </row>
        <row r="3192">
          <cell r="A3192" t="str">
            <v>B558347/A</v>
          </cell>
          <cell r="B3192" t="str">
            <v>RH7270M374</v>
          </cell>
          <cell r="C3192">
            <v>17</v>
          </cell>
          <cell r="D3192">
            <v>735</v>
          </cell>
          <cell r="E3192">
            <v>12495</v>
          </cell>
          <cell r="F3192" t="str">
            <v>A1-S0</v>
          </cell>
          <cell r="G3192" t="str">
            <v xml:space="preserve">Panel - Ván </v>
          </cell>
          <cell r="H3192" t="str">
            <v>MDF Veneer</v>
          </cell>
          <cell r="I3192">
            <v>34</v>
          </cell>
        </row>
        <row r="3193">
          <cell r="A3193" t="str">
            <v>B558347/A</v>
          </cell>
          <cell r="B3193" t="str">
            <v>RH7270M374</v>
          </cell>
          <cell r="C3193">
            <v>17</v>
          </cell>
          <cell r="D3193">
            <v>735</v>
          </cell>
          <cell r="E3193">
            <v>12495</v>
          </cell>
          <cell r="F3193" t="str">
            <v>A1-S01</v>
          </cell>
          <cell r="G3193" t="str">
            <v xml:space="preserve">Curve part hot press  - chi tiết cảo cong </v>
          </cell>
          <cell r="H3193" t="str">
            <v>Pre-Assembly</v>
          </cell>
          <cell r="I3193">
            <v>34</v>
          </cell>
        </row>
        <row r="3194">
          <cell r="A3194" t="str">
            <v>B558347/A</v>
          </cell>
          <cell r="B3194" t="str">
            <v>RH7270M374</v>
          </cell>
          <cell r="C3194">
            <v>17</v>
          </cell>
          <cell r="D3194">
            <v>735</v>
          </cell>
          <cell r="E3194">
            <v>12495</v>
          </cell>
          <cell r="F3194" t="str">
            <v>A1-S05</v>
          </cell>
          <cell r="G3194" t="str">
            <v>Patching wood - Gỗ đắp</v>
          </cell>
          <cell r="H3194" t="str">
            <v>Wood White Oak - Straight/Waving Edged, 1 COM - T32mm x W100mm Up x L1.8m Up</v>
          </cell>
          <cell r="I3194">
            <v>34</v>
          </cell>
        </row>
        <row r="3195">
          <cell r="A3195" t="str">
            <v>B558347/A</v>
          </cell>
          <cell r="B3195" t="str">
            <v>RH7270M374</v>
          </cell>
          <cell r="C3195">
            <v>17</v>
          </cell>
          <cell r="D3195">
            <v>735</v>
          </cell>
          <cell r="E3195">
            <v>12495</v>
          </cell>
          <cell r="F3195" t="str">
            <v>A2-S01</v>
          </cell>
          <cell r="G3195" t="str">
            <v xml:space="preserve">Top panel  - Ván nóc </v>
          </cell>
          <cell r="H3195" t="str">
            <v>MDF Veneer</v>
          </cell>
          <cell r="I3195">
            <v>17</v>
          </cell>
        </row>
        <row r="3196">
          <cell r="A3196" t="str">
            <v>B558347/A</v>
          </cell>
          <cell r="B3196" t="str">
            <v>RH7270M374</v>
          </cell>
          <cell r="C3196">
            <v>17</v>
          </cell>
          <cell r="D3196">
            <v>735</v>
          </cell>
          <cell r="E3196">
            <v>12495</v>
          </cell>
          <cell r="F3196" t="str">
            <v>A2-S02</v>
          </cell>
          <cell r="G3196" t="str">
            <v>Top rail - Đố nóc</v>
          </cell>
          <cell r="H3196" t="str">
            <v>Wood laminate</v>
          </cell>
          <cell r="I3196">
            <v>17</v>
          </cell>
        </row>
        <row r="3197">
          <cell r="A3197" t="str">
            <v>B558347/A</v>
          </cell>
          <cell r="B3197" t="str">
            <v>RH7270M374</v>
          </cell>
          <cell r="C3197">
            <v>17</v>
          </cell>
          <cell r="D3197">
            <v>735</v>
          </cell>
          <cell r="E3197">
            <v>12495</v>
          </cell>
          <cell r="F3197" t="str">
            <v>A2-S03</v>
          </cell>
          <cell r="G3197" t="str">
            <v>Top rail - Đố nóc</v>
          </cell>
          <cell r="H3197" t="str">
            <v>Wood laminate</v>
          </cell>
          <cell r="I3197">
            <v>34</v>
          </cell>
        </row>
        <row r="3198">
          <cell r="A3198" t="str">
            <v>B558347/A</v>
          </cell>
          <cell r="B3198" t="str">
            <v>RH7270M374</v>
          </cell>
          <cell r="C3198">
            <v>17</v>
          </cell>
          <cell r="D3198">
            <v>735</v>
          </cell>
          <cell r="E3198">
            <v>12495</v>
          </cell>
          <cell r="F3198" t="str">
            <v>A2-S04</v>
          </cell>
          <cell r="G3198" t="str">
            <v>Front rail  - Đố tiền</v>
          </cell>
          <cell r="H3198" t="str">
            <v>Wood laminate</v>
          </cell>
          <cell r="I3198">
            <v>17</v>
          </cell>
        </row>
        <row r="3199">
          <cell r="A3199" t="str">
            <v>B558347/A</v>
          </cell>
          <cell r="B3199" t="str">
            <v>RH7270M374</v>
          </cell>
          <cell r="C3199">
            <v>17</v>
          </cell>
          <cell r="D3199">
            <v>735</v>
          </cell>
          <cell r="E3199">
            <v>12495</v>
          </cell>
          <cell r="F3199" t="str">
            <v>A2-S05</v>
          </cell>
          <cell r="G3199" t="str">
            <v>Top rail - Đố nóc</v>
          </cell>
          <cell r="H3199" t="str">
            <v>Wood laminate</v>
          </cell>
          <cell r="I3199">
            <v>34</v>
          </cell>
        </row>
        <row r="3200">
          <cell r="A3200" t="str">
            <v>B558347/A</v>
          </cell>
          <cell r="B3200" t="str">
            <v>RH7270M374</v>
          </cell>
          <cell r="C3200">
            <v>17</v>
          </cell>
          <cell r="D3200">
            <v>735</v>
          </cell>
          <cell r="E3200">
            <v>12495</v>
          </cell>
          <cell r="F3200" t="str">
            <v>A2-S06</v>
          </cell>
          <cell r="G3200" t="str">
            <v>support Top - đỡ nóc</v>
          </cell>
          <cell r="H3200" t="str">
            <v>Beech off cut</v>
          </cell>
          <cell r="I3200">
            <v>68</v>
          </cell>
        </row>
        <row r="3201">
          <cell r="A3201" t="str">
            <v>B558347/A</v>
          </cell>
          <cell r="B3201" t="str">
            <v>RH7270M374</v>
          </cell>
          <cell r="C3201">
            <v>17</v>
          </cell>
          <cell r="D3201">
            <v>735</v>
          </cell>
          <cell r="E3201">
            <v>12495</v>
          </cell>
          <cell r="F3201" t="str">
            <v>A2-S07</v>
          </cell>
          <cell r="G3201" t="str">
            <v>support Top - đỡ nóc</v>
          </cell>
          <cell r="H3201" t="str">
            <v>Wood laminate</v>
          </cell>
          <cell r="I3201">
            <v>17</v>
          </cell>
        </row>
        <row r="3202">
          <cell r="A3202" t="str">
            <v>B558347/A</v>
          </cell>
          <cell r="B3202" t="str">
            <v>RH7270M374</v>
          </cell>
          <cell r="C3202">
            <v>17</v>
          </cell>
          <cell r="D3202">
            <v>735</v>
          </cell>
          <cell r="E3202">
            <v>12495</v>
          </cell>
          <cell r="F3202" t="str">
            <v>A3-S0</v>
          </cell>
          <cell r="G3202" t="str">
            <v xml:space="preserve">Panel - Ván </v>
          </cell>
          <cell r="H3202" t="str">
            <v>MDF Veneer</v>
          </cell>
          <cell r="I3202">
            <v>17</v>
          </cell>
        </row>
        <row r="3203">
          <cell r="A3203" t="str">
            <v>B558347/A</v>
          </cell>
          <cell r="B3203" t="str">
            <v>RH7270M374</v>
          </cell>
          <cell r="C3203">
            <v>17</v>
          </cell>
          <cell r="D3203">
            <v>735</v>
          </cell>
          <cell r="E3203">
            <v>12495</v>
          </cell>
          <cell r="F3203" t="str">
            <v>A3-S01</v>
          </cell>
          <cell r="G3203" t="str">
            <v xml:space="preserve">Curve part hot press  - chi tiết cảo cong </v>
          </cell>
          <cell r="H3203" t="str">
            <v>MDF laminate</v>
          </cell>
          <cell r="I3203">
            <v>102</v>
          </cell>
        </row>
        <row r="3204">
          <cell r="A3204" t="str">
            <v>B558347/A</v>
          </cell>
          <cell r="B3204" t="str">
            <v>RH7270M374</v>
          </cell>
          <cell r="C3204">
            <v>17</v>
          </cell>
          <cell r="D3204">
            <v>735</v>
          </cell>
          <cell r="E3204">
            <v>12495</v>
          </cell>
          <cell r="F3204" t="str">
            <v>A3-S02</v>
          </cell>
          <cell r="G3204" t="str">
            <v>Bottom panel - Ván đáy</v>
          </cell>
          <cell r="H3204" t="str">
            <v>MDF Veneer</v>
          </cell>
          <cell r="I3204">
            <v>34</v>
          </cell>
        </row>
        <row r="3205">
          <cell r="A3205" t="str">
            <v>B558347/A</v>
          </cell>
          <cell r="B3205" t="str">
            <v>RH7270M374</v>
          </cell>
          <cell r="C3205">
            <v>17</v>
          </cell>
          <cell r="D3205">
            <v>735</v>
          </cell>
          <cell r="E3205">
            <v>12495</v>
          </cell>
          <cell r="F3205" t="str">
            <v>A3-S03</v>
          </cell>
          <cell r="G3205" t="str">
            <v>Patching wood - Gỗ đắp</v>
          </cell>
          <cell r="H3205" t="str">
            <v>Beech off cut</v>
          </cell>
          <cell r="I3205">
            <v>102</v>
          </cell>
        </row>
        <row r="3206">
          <cell r="A3206" t="str">
            <v>B558347/A</v>
          </cell>
          <cell r="B3206" t="str">
            <v>RH7270M374</v>
          </cell>
          <cell r="C3206">
            <v>17</v>
          </cell>
          <cell r="D3206">
            <v>735</v>
          </cell>
          <cell r="E3206">
            <v>12495</v>
          </cell>
          <cell r="F3206" t="str">
            <v>A4</v>
          </cell>
          <cell r="G3206" t="str">
            <v>Door panel  - Ván cửa</v>
          </cell>
          <cell r="H3206" t="str">
            <v>Pre-Assembly</v>
          </cell>
          <cell r="I3206">
            <v>34</v>
          </cell>
        </row>
        <row r="3207">
          <cell r="A3207" t="str">
            <v>B558347/A</v>
          </cell>
          <cell r="B3207" t="str">
            <v>RH7270M374</v>
          </cell>
          <cell r="C3207">
            <v>17</v>
          </cell>
          <cell r="D3207">
            <v>735</v>
          </cell>
          <cell r="E3207">
            <v>12495</v>
          </cell>
          <cell r="F3207" t="str">
            <v>A4-S0</v>
          </cell>
          <cell r="G3207" t="str">
            <v xml:space="preserve">Panel - Ván </v>
          </cell>
          <cell r="H3207" t="str">
            <v>MDF Veneer</v>
          </cell>
          <cell r="I3207">
            <v>17</v>
          </cell>
        </row>
        <row r="3208">
          <cell r="A3208" t="str">
            <v>B558347/A</v>
          </cell>
          <cell r="B3208" t="str">
            <v>RH7270M374</v>
          </cell>
          <cell r="C3208">
            <v>17</v>
          </cell>
          <cell r="D3208">
            <v>735</v>
          </cell>
          <cell r="E3208">
            <v>12495</v>
          </cell>
          <cell r="F3208" t="str">
            <v>A4-S00</v>
          </cell>
          <cell r="G3208" t="str">
            <v xml:space="preserve">Curve part hot press  - chi tiết cảo cong </v>
          </cell>
          <cell r="H3208" t="str">
            <v>MDF Veneer</v>
          </cell>
          <cell r="I3208">
            <v>17</v>
          </cell>
        </row>
        <row r="3209">
          <cell r="A3209" t="str">
            <v>B558347/A</v>
          </cell>
          <cell r="B3209" t="str">
            <v>RH7270M374</v>
          </cell>
          <cell r="C3209">
            <v>17</v>
          </cell>
          <cell r="D3209">
            <v>735</v>
          </cell>
          <cell r="E3209">
            <v>12495</v>
          </cell>
          <cell r="F3209" t="str">
            <v>A4-S01</v>
          </cell>
          <cell r="G3209" t="str">
            <v>Door panel  - Ván cửa</v>
          </cell>
          <cell r="H3209" t="str">
            <v>MDF Veneer</v>
          </cell>
          <cell r="I3209">
            <v>34</v>
          </cell>
        </row>
        <row r="3210">
          <cell r="A3210" t="str">
            <v>B558347/A</v>
          </cell>
          <cell r="B3210" t="str">
            <v>RH7270M374</v>
          </cell>
          <cell r="C3210">
            <v>17</v>
          </cell>
          <cell r="D3210">
            <v>735</v>
          </cell>
          <cell r="E3210">
            <v>12495</v>
          </cell>
          <cell r="F3210" t="str">
            <v>A4-S02</v>
          </cell>
          <cell r="G3210" t="str">
            <v>Patching wood - Gỗ đắp</v>
          </cell>
          <cell r="H3210" t="str">
            <v>Wood White Oak - Straight/Waving Edged, 1 COM - T32mm x W100mm Up x L1.8m Up</v>
          </cell>
          <cell r="I3210">
            <v>34</v>
          </cell>
        </row>
        <row r="3211">
          <cell r="A3211" t="str">
            <v>B558347/A</v>
          </cell>
          <cell r="B3211" t="str">
            <v>RH7270M374</v>
          </cell>
          <cell r="C3211">
            <v>17</v>
          </cell>
          <cell r="D3211">
            <v>735</v>
          </cell>
          <cell r="E3211">
            <v>12495</v>
          </cell>
          <cell r="F3211" t="str">
            <v>P04</v>
          </cell>
          <cell r="G3211" t="str">
            <v>Door panel  - Ván cửa</v>
          </cell>
          <cell r="H3211" t="str">
            <v>MDF Veneer</v>
          </cell>
          <cell r="I3211">
            <v>68</v>
          </cell>
        </row>
        <row r="3212">
          <cell r="A3212" t="str">
            <v>B558347/A</v>
          </cell>
          <cell r="B3212" t="str">
            <v>RH7270M374</v>
          </cell>
          <cell r="C3212">
            <v>17</v>
          </cell>
          <cell r="D3212">
            <v>735</v>
          </cell>
          <cell r="E3212">
            <v>12495</v>
          </cell>
          <cell r="F3212" t="str">
            <v>P04-1</v>
          </cell>
          <cell r="G3212" t="str">
            <v>Insert Wood - Gỗ chèn</v>
          </cell>
          <cell r="H3212" t="str">
            <v>Beech off cut</v>
          </cell>
          <cell r="I3212">
            <v>204</v>
          </cell>
        </row>
        <row r="3213">
          <cell r="A3213" t="str">
            <v>B558347/A</v>
          </cell>
          <cell r="B3213" t="str">
            <v>RH7270M374</v>
          </cell>
          <cell r="C3213">
            <v>17</v>
          </cell>
          <cell r="D3213">
            <v>735</v>
          </cell>
          <cell r="E3213">
            <v>12495</v>
          </cell>
          <cell r="F3213" t="str">
            <v>P04-2</v>
          </cell>
          <cell r="G3213" t="str">
            <v>Insert Wood - Gỗ chèn</v>
          </cell>
          <cell r="H3213" t="str">
            <v>Wood White Oak - Straight/Waving Edged, 2 COM - T25mm x W100mm Up x L1.5m Up</v>
          </cell>
          <cell r="I3213">
            <v>102</v>
          </cell>
        </row>
        <row r="3214">
          <cell r="A3214" t="str">
            <v>B558347/A</v>
          </cell>
          <cell r="B3214" t="str">
            <v>RH7270M374</v>
          </cell>
          <cell r="C3214">
            <v>17</v>
          </cell>
          <cell r="D3214">
            <v>735</v>
          </cell>
          <cell r="E3214">
            <v>12495</v>
          </cell>
          <cell r="F3214" t="str">
            <v>P06</v>
          </cell>
          <cell r="G3214" t="str">
            <v>Cleat - Bọ gỗ</v>
          </cell>
          <cell r="H3214" t="str">
            <v>Beech off cut</v>
          </cell>
          <cell r="I3214">
            <v>68</v>
          </cell>
        </row>
        <row r="3215">
          <cell r="A3215" t="str">
            <v>B558347/A</v>
          </cell>
          <cell r="B3215" t="str">
            <v>RH7270M374</v>
          </cell>
          <cell r="C3215">
            <v>17</v>
          </cell>
          <cell r="D3215">
            <v>735</v>
          </cell>
          <cell r="E3215">
            <v>12495</v>
          </cell>
          <cell r="F3215" t="str">
            <v>P07</v>
          </cell>
          <cell r="G3215" t="str">
            <v>Bottom panel - Ván đáy</v>
          </cell>
          <cell r="H3215" t="str">
            <v>Plywood VN</v>
          </cell>
          <cell r="I3215">
            <v>17</v>
          </cell>
        </row>
        <row r="3216">
          <cell r="A3216" t="str">
            <v>B558347/A</v>
          </cell>
          <cell r="B3216" t="str">
            <v>RH7270M374</v>
          </cell>
          <cell r="C3216">
            <v>17</v>
          </cell>
          <cell r="D3216">
            <v>735</v>
          </cell>
          <cell r="E3216">
            <v>12495</v>
          </cell>
          <cell r="F3216" t="str">
            <v>P08</v>
          </cell>
          <cell r="G3216" t="str">
            <v>Back panel - Ván hậu</v>
          </cell>
          <cell r="H3216" t="str">
            <v>MDF Veneer</v>
          </cell>
          <cell r="I3216">
            <v>17</v>
          </cell>
        </row>
        <row r="3217">
          <cell r="A3217" t="str">
            <v>B558347/A</v>
          </cell>
          <cell r="B3217" t="str">
            <v>RH7270M374</v>
          </cell>
          <cell r="C3217">
            <v>17</v>
          </cell>
          <cell r="D3217">
            <v>735</v>
          </cell>
          <cell r="E3217">
            <v>12495</v>
          </cell>
          <cell r="F3217" t="str">
            <v>P08-1</v>
          </cell>
          <cell r="G3217" t="str">
            <v>Insert Wood - Gỗ chèn</v>
          </cell>
          <cell r="H3217" t="str">
            <v>oak off cut</v>
          </cell>
          <cell r="I3217">
            <v>51</v>
          </cell>
        </row>
        <row r="3218">
          <cell r="A3218" t="str">
            <v>B558347/A</v>
          </cell>
          <cell r="B3218" t="str">
            <v>RH7270M374</v>
          </cell>
          <cell r="C3218">
            <v>17</v>
          </cell>
          <cell r="D3218">
            <v>735</v>
          </cell>
          <cell r="E3218">
            <v>12495</v>
          </cell>
          <cell r="F3218" t="str">
            <v>P09</v>
          </cell>
          <cell r="G3218" t="str">
            <v>Partition panel - Vách ngăn</v>
          </cell>
          <cell r="H3218" t="str">
            <v>MDF Veneer</v>
          </cell>
          <cell r="I3218">
            <v>34</v>
          </cell>
        </row>
        <row r="3219">
          <cell r="A3219" t="str">
            <v>B558347/A</v>
          </cell>
          <cell r="B3219" t="str">
            <v>RH7270M374</v>
          </cell>
          <cell r="C3219">
            <v>17</v>
          </cell>
          <cell r="D3219">
            <v>735</v>
          </cell>
          <cell r="E3219">
            <v>12495</v>
          </cell>
          <cell r="F3219" t="str">
            <v>P12</v>
          </cell>
          <cell r="G3219" t="str">
            <v>Patching wood - Gỗ đắp</v>
          </cell>
          <cell r="H3219" t="str">
            <v>Wood White Oak - Straight/Waving Edged, 1 COM - T25mm x W100mm Up x L1.8m Up</v>
          </cell>
          <cell r="I3219">
            <v>51</v>
          </cell>
        </row>
        <row r="3220">
          <cell r="A3220" t="str">
            <v>B558347/A</v>
          </cell>
          <cell r="B3220" t="str">
            <v>RH7270M374</v>
          </cell>
          <cell r="C3220">
            <v>17</v>
          </cell>
          <cell r="D3220">
            <v>735</v>
          </cell>
          <cell r="E3220">
            <v>12495</v>
          </cell>
          <cell r="F3220" t="str">
            <v>P13</v>
          </cell>
          <cell r="G3220" t="str">
            <v>Center leg - Chân giữa</v>
          </cell>
          <cell r="H3220" t="str">
            <v>Wood White Oak - Straight/Waving Edged, 1 COM - T38mm x W100mm Up x L1.8m Up</v>
          </cell>
          <cell r="I3220">
            <v>17</v>
          </cell>
        </row>
        <row r="3221">
          <cell r="A3221" t="str">
            <v>B558347/A</v>
          </cell>
          <cell r="B3221" t="str">
            <v>RH7270M374</v>
          </cell>
          <cell r="C3221">
            <v>17</v>
          </cell>
          <cell r="D3221">
            <v>735</v>
          </cell>
          <cell r="E3221">
            <v>12495</v>
          </cell>
          <cell r="F3221" t="str">
            <v>P14</v>
          </cell>
          <cell r="G3221" t="str">
            <v>Fixed Shelf  - Kệ bắt chết</v>
          </cell>
          <cell r="H3221" t="str">
            <v>MDF Veneer</v>
          </cell>
          <cell r="I3221">
            <v>17</v>
          </cell>
        </row>
        <row r="3222">
          <cell r="A3222" t="str">
            <v>B558347/A</v>
          </cell>
          <cell r="B3222" t="str">
            <v>RH7270M374</v>
          </cell>
          <cell r="C3222">
            <v>17</v>
          </cell>
          <cell r="D3222">
            <v>735</v>
          </cell>
          <cell r="E3222">
            <v>12495</v>
          </cell>
          <cell r="F3222" t="str">
            <v>P15</v>
          </cell>
          <cell r="G3222" t="str">
            <v>Fixed Shelf  - Kệ bắt chết</v>
          </cell>
          <cell r="H3222" t="str">
            <v>MDF Veneer</v>
          </cell>
          <cell r="I3222">
            <v>34</v>
          </cell>
        </row>
        <row r="3223">
          <cell r="A3223" t="str">
            <v>B558350/A</v>
          </cell>
          <cell r="B3223" t="str">
            <v>RH7349M382</v>
          </cell>
          <cell r="C3223">
            <v>24</v>
          </cell>
          <cell r="D3223">
            <v>475</v>
          </cell>
          <cell r="E3223">
            <v>11400</v>
          </cell>
          <cell r="F3223" t="str">
            <v>A1-S01</v>
          </cell>
          <cell r="G3223" t="str">
            <v xml:space="preserve">Top panel  - Ván nóc </v>
          </cell>
          <cell r="H3223" t="str">
            <v>MDF Veneer</v>
          </cell>
          <cell r="I3223">
            <v>24</v>
          </cell>
        </row>
        <row r="3224">
          <cell r="A3224" t="str">
            <v>B558350/A</v>
          </cell>
          <cell r="B3224" t="str">
            <v>RH7349M382</v>
          </cell>
          <cell r="C3224">
            <v>24</v>
          </cell>
          <cell r="D3224">
            <v>475</v>
          </cell>
          <cell r="E3224">
            <v>11400</v>
          </cell>
          <cell r="F3224" t="str">
            <v>A1-S02</v>
          </cell>
          <cell r="G3224" t="str">
            <v>support Top - đỡ nóc</v>
          </cell>
          <cell r="H3224" t="str">
            <v>Wood US Poplar - Straight Edged, 2 COM - T25mm x W100mm Up x L1.8m Up</v>
          </cell>
          <cell r="I3224">
            <v>48</v>
          </cell>
        </row>
        <row r="3225">
          <cell r="A3225" t="str">
            <v>B558350/A</v>
          </cell>
          <cell r="B3225" t="str">
            <v>RH7349M382</v>
          </cell>
          <cell r="C3225">
            <v>24</v>
          </cell>
          <cell r="D3225">
            <v>475</v>
          </cell>
          <cell r="E3225">
            <v>11400</v>
          </cell>
          <cell r="F3225" t="str">
            <v>A1-S03</v>
          </cell>
          <cell r="G3225" t="str">
            <v>support Top - đỡ nóc</v>
          </cell>
          <cell r="H3225" t="str">
            <v>Wood US Poplar - Straight Edged, 2 COM - T25mm x W100mm Up x L1.8m Up</v>
          </cell>
          <cell r="I3225">
            <v>48</v>
          </cell>
        </row>
        <row r="3226">
          <cell r="A3226" t="str">
            <v>B558350/A</v>
          </cell>
          <cell r="B3226" t="str">
            <v>RH7349M382</v>
          </cell>
          <cell r="C3226">
            <v>24</v>
          </cell>
          <cell r="D3226">
            <v>475</v>
          </cell>
          <cell r="E3226">
            <v>11400</v>
          </cell>
          <cell r="F3226" t="str">
            <v>A1-S04</v>
          </cell>
          <cell r="G3226" t="str">
            <v xml:space="preserve">Side rail  - Đố hông </v>
          </cell>
          <cell r="H3226" t="str">
            <v>Wood laminate</v>
          </cell>
          <cell r="I3226">
            <v>96</v>
          </cell>
        </row>
        <row r="3227">
          <cell r="A3227" t="str">
            <v>B558350/A</v>
          </cell>
          <cell r="B3227" t="str">
            <v>RH7349M382</v>
          </cell>
          <cell r="C3227">
            <v>24</v>
          </cell>
          <cell r="D3227">
            <v>475</v>
          </cell>
          <cell r="E3227">
            <v>11400</v>
          </cell>
          <cell r="F3227" t="str">
            <v>A1-S05</v>
          </cell>
          <cell r="G3227" t="str">
            <v>Cleat - Bọ gỗ</v>
          </cell>
          <cell r="H3227" t="str">
            <v>Standard Wood - ALDER/ASPEN/LENGA/US POPLAR, 2 COM - T25 W120mm+ L2m+</v>
          </cell>
          <cell r="I3227">
            <v>192</v>
          </cell>
        </row>
        <row r="3228">
          <cell r="A3228" t="str">
            <v>B558350/A</v>
          </cell>
          <cell r="B3228" t="str">
            <v>RH7349M382</v>
          </cell>
          <cell r="C3228">
            <v>24</v>
          </cell>
          <cell r="D3228">
            <v>475</v>
          </cell>
          <cell r="E3228">
            <v>11400</v>
          </cell>
          <cell r="F3228" t="str">
            <v>A2-S01</v>
          </cell>
          <cell r="G3228" t="str">
            <v>Bottom panel - Ván đáy</v>
          </cell>
          <cell r="H3228" t="str">
            <v>MDF Veneer</v>
          </cell>
          <cell r="I3228">
            <v>24</v>
          </cell>
        </row>
        <row r="3229">
          <cell r="A3229" t="str">
            <v>B558350/A</v>
          </cell>
          <cell r="B3229" t="str">
            <v>RH7349M382</v>
          </cell>
          <cell r="C3229">
            <v>24</v>
          </cell>
          <cell r="D3229">
            <v>475</v>
          </cell>
          <cell r="E3229">
            <v>11400</v>
          </cell>
          <cell r="F3229" t="str">
            <v>A2-S02</v>
          </cell>
          <cell r="G3229" t="str">
            <v>Bottom rail inside - Đố tiền đáy</v>
          </cell>
          <cell r="H3229" t="str">
            <v>Wood laminate</v>
          </cell>
          <cell r="I3229">
            <v>48</v>
          </cell>
        </row>
        <row r="3230">
          <cell r="A3230" t="str">
            <v>B558350/A</v>
          </cell>
          <cell r="B3230" t="str">
            <v>RH7349M382</v>
          </cell>
          <cell r="C3230">
            <v>24</v>
          </cell>
          <cell r="D3230">
            <v>475</v>
          </cell>
          <cell r="E3230">
            <v>11400</v>
          </cell>
          <cell r="F3230" t="str">
            <v>A2-S03</v>
          </cell>
          <cell r="G3230" t="str">
            <v>side rail 1 - đố hông 1</v>
          </cell>
          <cell r="H3230" t="str">
            <v>Wood laminate</v>
          </cell>
          <cell r="I3230">
            <v>48</v>
          </cell>
        </row>
        <row r="3231">
          <cell r="A3231" t="str">
            <v>B558350/A</v>
          </cell>
          <cell r="B3231" t="str">
            <v>RH7349M382</v>
          </cell>
          <cell r="C3231">
            <v>24</v>
          </cell>
          <cell r="D3231">
            <v>475</v>
          </cell>
          <cell r="E3231">
            <v>11400</v>
          </cell>
          <cell r="F3231" t="str">
            <v>P01</v>
          </cell>
          <cell r="G3231" t="str">
            <v>The leg  - Chân</v>
          </cell>
          <cell r="H3231" t="str">
            <v>Wood laminate</v>
          </cell>
          <cell r="I3231">
            <v>96</v>
          </cell>
        </row>
        <row r="3232">
          <cell r="A3232" t="str">
            <v>B558352/A</v>
          </cell>
          <cell r="B3232" t="str">
            <v>RH7349M409</v>
          </cell>
          <cell r="C3232">
            <v>2</v>
          </cell>
          <cell r="D3232">
            <v>475</v>
          </cell>
          <cell r="E3232">
            <v>950</v>
          </cell>
          <cell r="F3232" t="str">
            <v>A1-S01</v>
          </cell>
          <cell r="G3232" t="str">
            <v xml:space="preserve">Top panel  - Ván nóc </v>
          </cell>
          <cell r="H3232" t="str">
            <v>MDF Veneer</v>
          </cell>
          <cell r="I3232">
            <v>2</v>
          </cell>
        </row>
        <row r="3233">
          <cell r="A3233" t="str">
            <v>B558352/A</v>
          </cell>
          <cell r="B3233" t="str">
            <v>RH7349M409</v>
          </cell>
          <cell r="C3233">
            <v>2</v>
          </cell>
          <cell r="D3233">
            <v>475</v>
          </cell>
          <cell r="E3233">
            <v>950</v>
          </cell>
          <cell r="F3233" t="str">
            <v>A1-S02</v>
          </cell>
          <cell r="G3233" t="str">
            <v>support Top - đỡ nóc</v>
          </cell>
          <cell r="H3233" t="str">
            <v>Wood US Poplar - Straight Edged, 2 COM - T25mm x W100mm Up x L1.8m Up</v>
          </cell>
          <cell r="I3233">
            <v>4</v>
          </cell>
        </row>
        <row r="3234">
          <cell r="A3234" t="str">
            <v>B558352/A</v>
          </cell>
          <cell r="B3234" t="str">
            <v>RH7349M409</v>
          </cell>
          <cell r="C3234">
            <v>2</v>
          </cell>
          <cell r="D3234">
            <v>475</v>
          </cell>
          <cell r="E3234">
            <v>950</v>
          </cell>
          <cell r="F3234" t="str">
            <v>A1-S03</v>
          </cell>
          <cell r="G3234" t="str">
            <v>support Top - đỡ nóc</v>
          </cell>
          <cell r="H3234" t="str">
            <v>Wood US Poplar - Straight Edged, 2 COM - T25mm x W100mm Up x L1.8m Up</v>
          </cell>
          <cell r="I3234">
            <v>4</v>
          </cell>
        </row>
        <row r="3235">
          <cell r="A3235" t="str">
            <v>B558352/A</v>
          </cell>
          <cell r="B3235" t="str">
            <v>RH7349M409</v>
          </cell>
          <cell r="C3235">
            <v>2</v>
          </cell>
          <cell r="D3235">
            <v>475</v>
          </cell>
          <cell r="E3235">
            <v>950</v>
          </cell>
          <cell r="F3235" t="str">
            <v>A1-S04</v>
          </cell>
          <cell r="G3235" t="str">
            <v xml:space="preserve">Side rail  - Đố hông </v>
          </cell>
          <cell r="H3235" t="str">
            <v>Wood laminate</v>
          </cell>
          <cell r="I3235">
            <v>8</v>
          </cell>
        </row>
        <row r="3236">
          <cell r="A3236" t="str">
            <v>B558352/A</v>
          </cell>
          <cell r="B3236" t="str">
            <v>RH7349M409</v>
          </cell>
          <cell r="C3236">
            <v>2</v>
          </cell>
          <cell r="D3236">
            <v>475</v>
          </cell>
          <cell r="E3236">
            <v>950</v>
          </cell>
          <cell r="F3236" t="str">
            <v>A1-S05</v>
          </cell>
          <cell r="G3236" t="str">
            <v>Cleat - Bọ gỗ</v>
          </cell>
          <cell r="H3236" t="str">
            <v>Standard Wood - ALDER/ASPEN/LENGA/US POPLAR, 2 COM - T25 W120mm+ L2m+</v>
          </cell>
          <cell r="I3236">
            <v>16</v>
          </cell>
        </row>
        <row r="3237">
          <cell r="A3237" t="str">
            <v>B558352/A</v>
          </cell>
          <cell r="B3237" t="str">
            <v>RH7349M409</v>
          </cell>
          <cell r="C3237">
            <v>2</v>
          </cell>
          <cell r="D3237">
            <v>475</v>
          </cell>
          <cell r="E3237">
            <v>950</v>
          </cell>
          <cell r="F3237" t="str">
            <v>A2-S01</v>
          </cell>
          <cell r="G3237" t="str">
            <v>Bottom panel - Ván đáy</v>
          </cell>
          <cell r="H3237" t="str">
            <v>MDF Veneer</v>
          </cell>
          <cell r="I3237">
            <v>2</v>
          </cell>
        </row>
        <row r="3238">
          <cell r="A3238" t="str">
            <v>B558352/A</v>
          </cell>
          <cell r="B3238" t="str">
            <v>RH7349M409</v>
          </cell>
          <cell r="C3238">
            <v>2</v>
          </cell>
          <cell r="D3238">
            <v>475</v>
          </cell>
          <cell r="E3238">
            <v>950</v>
          </cell>
          <cell r="F3238" t="str">
            <v>A2-S02</v>
          </cell>
          <cell r="G3238" t="str">
            <v>Bottom rail inside - Đố tiền đáy</v>
          </cell>
          <cell r="H3238" t="str">
            <v>Wood laminate</v>
          </cell>
          <cell r="I3238">
            <v>4</v>
          </cell>
        </row>
        <row r="3239">
          <cell r="A3239" t="str">
            <v>B558352/A</v>
          </cell>
          <cell r="B3239" t="str">
            <v>RH7349M409</v>
          </cell>
          <cell r="C3239">
            <v>2</v>
          </cell>
          <cell r="D3239">
            <v>475</v>
          </cell>
          <cell r="E3239">
            <v>950</v>
          </cell>
          <cell r="F3239" t="str">
            <v>A2-S03</v>
          </cell>
          <cell r="G3239" t="str">
            <v>side rail 1 - đố hông 1</v>
          </cell>
          <cell r="H3239" t="str">
            <v>Wood laminate</v>
          </cell>
          <cell r="I3239">
            <v>4</v>
          </cell>
        </row>
        <row r="3240">
          <cell r="A3240" t="str">
            <v>B558352/A</v>
          </cell>
          <cell r="B3240" t="str">
            <v>RH7349M409</v>
          </cell>
          <cell r="C3240">
            <v>2</v>
          </cell>
          <cell r="D3240">
            <v>475</v>
          </cell>
          <cell r="E3240">
            <v>950</v>
          </cell>
          <cell r="F3240" t="str">
            <v>P01</v>
          </cell>
          <cell r="G3240" t="str">
            <v>The leg  - Chân</v>
          </cell>
          <cell r="H3240" t="str">
            <v>Wood laminate</v>
          </cell>
          <cell r="I3240">
            <v>8</v>
          </cell>
        </row>
        <row r="3241">
          <cell r="A3241" t="str">
            <v>B558355/A</v>
          </cell>
          <cell r="B3241" t="str">
            <v>RH7553M372</v>
          </cell>
          <cell r="C3241">
            <v>15</v>
          </cell>
          <cell r="D3241">
            <v>675</v>
          </cell>
          <cell r="E3241">
            <v>10125</v>
          </cell>
          <cell r="F3241" t="str">
            <v>A1</v>
          </cell>
          <cell r="G3241" t="str">
            <v>Side Frame - Khung hông</v>
          </cell>
          <cell r="H3241" t="str">
            <v>Pre-Assembly</v>
          </cell>
          <cell r="I3241">
            <v>30</v>
          </cell>
        </row>
        <row r="3242">
          <cell r="A3242" t="str">
            <v>B558355/A</v>
          </cell>
          <cell r="B3242" t="str">
            <v>RH7553M372</v>
          </cell>
          <cell r="C3242">
            <v>15</v>
          </cell>
          <cell r="D3242">
            <v>675</v>
          </cell>
          <cell r="E3242">
            <v>10125</v>
          </cell>
          <cell r="F3242" t="str">
            <v>A1-S0</v>
          </cell>
          <cell r="G3242" t="str">
            <v xml:space="preserve">Panel - Ván </v>
          </cell>
          <cell r="H3242" t="str">
            <v>MDF Veneer</v>
          </cell>
          <cell r="I3242">
            <v>30</v>
          </cell>
        </row>
        <row r="3243">
          <cell r="A3243" t="str">
            <v>B558355/A</v>
          </cell>
          <cell r="B3243" t="str">
            <v>RH7553M372</v>
          </cell>
          <cell r="C3243">
            <v>15</v>
          </cell>
          <cell r="D3243">
            <v>675</v>
          </cell>
          <cell r="E3243">
            <v>10125</v>
          </cell>
          <cell r="F3243" t="str">
            <v>A1-S01</v>
          </cell>
          <cell r="G3243" t="str">
            <v xml:space="preserve">Curve part hot press  - chi tiết cảo cong </v>
          </cell>
          <cell r="H3243" t="str">
            <v>Pre-Assembly</v>
          </cell>
          <cell r="I3243">
            <v>30</v>
          </cell>
        </row>
        <row r="3244">
          <cell r="A3244" t="str">
            <v>B558355/A</v>
          </cell>
          <cell r="B3244" t="str">
            <v>RH7553M372</v>
          </cell>
          <cell r="C3244">
            <v>15</v>
          </cell>
          <cell r="D3244">
            <v>675</v>
          </cell>
          <cell r="E3244">
            <v>10125</v>
          </cell>
          <cell r="F3244" t="str">
            <v>A1-S05</v>
          </cell>
          <cell r="G3244" t="str">
            <v>Patching wood - Gỗ đắp</v>
          </cell>
          <cell r="H3244" t="str">
            <v>Wood White Oak - Straight/Waving Edged, 1 COM - T32mm x W100mm Up x L1.8m Up</v>
          </cell>
          <cell r="I3244">
            <v>30</v>
          </cell>
        </row>
        <row r="3245">
          <cell r="A3245" t="str">
            <v>B558355/A</v>
          </cell>
          <cell r="B3245" t="str">
            <v>RH7553M372</v>
          </cell>
          <cell r="C3245">
            <v>15</v>
          </cell>
          <cell r="D3245">
            <v>675</v>
          </cell>
          <cell r="E3245">
            <v>10125</v>
          </cell>
          <cell r="F3245" t="str">
            <v>A2-S01</v>
          </cell>
          <cell r="G3245" t="str">
            <v xml:space="preserve">Top panel  - Ván nóc </v>
          </cell>
          <cell r="H3245" t="str">
            <v>MDF Veneer</v>
          </cell>
          <cell r="I3245">
            <v>15</v>
          </cell>
        </row>
        <row r="3246">
          <cell r="A3246" t="str">
            <v>B558355/A</v>
          </cell>
          <cell r="B3246" t="str">
            <v>RH7553M372</v>
          </cell>
          <cell r="C3246">
            <v>15</v>
          </cell>
          <cell r="D3246">
            <v>675</v>
          </cell>
          <cell r="E3246">
            <v>10125</v>
          </cell>
          <cell r="F3246" t="str">
            <v>A2-S02</v>
          </cell>
          <cell r="G3246" t="str">
            <v>Top rail - Đố nóc</v>
          </cell>
          <cell r="H3246" t="str">
            <v>Wood laminate</v>
          </cell>
          <cell r="I3246">
            <v>15</v>
          </cell>
        </row>
        <row r="3247">
          <cell r="A3247" t="str">
            <v>B558355/A</v>
          </cell>
          <cell r="B3247" t="str">
            <v>RH7553M372</v>
          </cell>
          <cell r="C3247">
            <v>15</v>
          </cell>
          <cell r="D3247">
            <v>675</v>
          </cell>
          <cell r="E3247">
            <v>10125</v>
          </cell>
          <cell r="F3247" t="str">
            <v>A2-S03</v>
          </cell>
          <cell r="G3247" t="str">
            <v>Top rail - Đố nóc</v>
          </cell>
          <cell r="H3247" t="str">
            <v>Wd+VN</v>
          </cell>
          <cell r="I3247">
            <v>30</v>
          </cell>
        </row>
        <row r="3248">
          <cell r="A3248" t="str">
            <v>B558355/A</v>
          </cell>
          <cell r="B3248" t="str">
            <v>RH7553M372</v>
          </cell>
          <cell r="C3248">
            <v>15</v>
          </cell>
          <cell r="D3248">
            <v>675</v>
          </cell>
          <cell r="E3248">
            <v>10125</v>
          </cell>
          <cell r="F3248" t="str">
            <v>A2-S04</v>
          </cell>
          <cell r="G3248" t="str">
            <v>Front rail  - Đố tiền</v>
          </cell>
          <cell r="H3248" t="str">
            <v>Wood laminate</v>
          </cell>
          <cell r="I3248">
            <v>15</v>
          </cell>
        </row>
        <row r="3249">
          <cell r="A3249" t="str">
            <v>B558355/A</v>
          </cell>
          <cell r="B3249" t="str">
            <v>RH7553M372</v>
          </cell>
          <cell r="C3249">
            <v>15</v>
          </cell>
          <cell r="D3249">
            <v>675</v>
          </cell>
          <cell r="E3249">
            <v>10125</v>
          </cell>
          <cell r="F3249" t="str">
            <v>A2-S05</v>
          </cell>
          <cell r="G3249" t="str">
            <v>Top rail - Đố nóc</v>
          </cell>
          <cell r="H3249" t="str">
            <v>Wood laminate</v>
          </cell>
          <cell r="I3249">
            <v>30</v>
          </cell>
        </row>
        <row r="3250">
          <cell r="A3250" t="str">
            <v>B558355/A</v>
          </cell>
          <cell r="B3250" t="str">
            <v>RH7553M372</v>
          </cell>
          <cell r="C3250">
            <v>15</v>
          </cell>
          <cell r="D3250">
            <v>675</v>
          </cell>
          <cell r="E3250">
            <v>10125</v>
          </cell>
          <cell r="F3250" t="str">
            <v>A2-S06</v>
          </cell>
          <cell r="G3250" t="str">
            <v>support Top - đỡ nóc</v>
          </cell>
          <cell r="H3250" t="str">
            <v>Beech off cut</v>
          </cell>
          <cell r="I3250">
            <v>60</v>
          </cell>
        </row>
        <row r="3251">
          <cell r="A3251" t="str">
            <v>B558355/A</v>
          </cell>
          <cell r="B3251" t="str">
            <v>RH7553M372</v>
          </cell>
          <cell r="C3251">
            <v>15</v>
          </cell>
          <cell r="D3251">
            <v>675</v>
          </cell>
          <cell r="E3251">
            <v>10125</v>
          </cell>
          <cell r="F3251" t="str">
            <v>A2-S07</v>
          </cell>
          <cell r="G3251" t="str">
            <v>support Top - đỡ nóc</v>
          </cell>
          <cell r="H3251" t="str">
            <v>Wood laminate</v>
          </cell>
          <cell r="I3251">
            <v>15</v>
          </cell>
        </row>
        <row r="3252">
          <cell r="A3252" t="str">
            <v>B558355/A</v>
          </cell>
          <cell r="B3252" t="str">
            <v>RH7553M372</v>
          </cell>
          <cell r="C3252">
            <v>15</v>
          </cell>
          <cell r="D3252">
            <v>675</v>
          </cell>
          <cell r="E3252">
            <v>10125</v>
          </cell>
          <cell r="F3252" t="str">
            <v>A3-S0</v>
          </cell>
          <cell r="G3252" t="str">
            <v xml:space="preserve">Panel - Ván </v>
          </cell>
          <cell r="H3252" t="str">
            <v>MDF Veneer</v>
          </cell>
          <cell r="I3252">
            <v>15</v>
          </cell>
        </row>
        <row r="3253">
          <cell r="A3253" t="str">
            <v>B558355/A</v>
          </cell>
          <cell r="B3253" t="str">
            <v>RH7553M372</v>
          </cell>
          <cell r="C3253">
            <v>15</v>
          </cell>
          <cell r="D3253">
            <v>675</v>
          </cell>
          <cell r="E3253">
            <v>10125</v>
          </cell>
          <cell r="F3253" t="str">
            <v>A3-S01</v>
          </cell>
          <cell r="G3253" t="str">
            <v xml:space="preserve">Curve part hot press  - chi tiết cảo cong </v>
          </cell>
          <cell r="H3253" t="str">
            <v>MDF laminate</v>
          </cell>
          <cell r="I3253">
            <v>90</v>
          </cell>
        </row>
        <row r="3254">
          <cell r="A3254" t="str">
            <v>B558355/A</v>
          </cell>
          <cell r="B3254" t="str">
            <v>RH7553M372</v>
          </cell>
          <cell r="C3254">
            <v>15</v>
          </cell>
          <cell r="D3254">
            <v>675</v>
          </cell>
          <cell r="E3254">
            <v>10125</v>
          </cell>
          <cell r="F3254" t="str">
            <v>A3-S02</v>
          </cell>
          <cell r="G3254" t="str">
            <v>Bottom panel - Ván đáy</v>
          </cell>
          <cell r="H3254" t="str">
            <v>MDF Veneer</v>
          </cell>
          <cell r="I3254">
            <v>30</v>
          </cell>
        </row>
        <row r="3255">
          <cell r="A3255" t="str">
            <v>B558355/A</v>
          </cell>
          <cell r="B3255" t="str">
            <v>RH7553M372</v>
          </cell>
          <cell r="C3255">
            <v>15</v>
          </cell>
          <cell r="D3255">
            <v>675</v>
          </cell>
          <cell r="E3255">
            <v>10125</v>
          </cell>
          <cell r="F3255" t="str">
            <v>A3-S03</v>
          </cell>
          <cell r="G3255" t="str">
            <v>Patching wood - Gỗ đắp</v>
          </cell>
          <cell r="H3255" t="str">
            <v>Beech off cut</v>
          </cell>
          <cell r="I3255">
            <v>90</v>
          </cell>
        </row>
        <row r="3256">
          <cell r="A3256" t="str">
            <v>B558355/A</v>
          </cell>
          <cell r="B3256" t="str">
            <v>RH7553M372</v>
          </cell>
          <cell r="C3256">
            <v>15</v>
          </cell>
          <cell r="D3256">
            <v>675</v>
          </cell>
          <cell r="E3256">
            <v>10125</v>
          </cell>
          <cell r="F3256" t="str">
            <v>A4</v>
          </cell>
          <cell r="G3256" t="str">
            <v>Door panel  - Ván cửa</v>
          </cell>
          <cell r="H3256" t="str">
            <v>Pre-Assembly</v>
          </cell>
          <cell r="I3256">
            <v>30</v>
          </cell>
        </row>
        <row r="3257">
          <cell r="A3257" t="str">
            <v>B558355/A</v>
          </cell>
          <cell r="B3257" t="str">
            <v>RH7553M372</v>
          </cell>
          <cell r="C3257">
            <v>15</v>
          </cell>
          <cell r="D3257">
            <v>675</v>
          </cell>
          <cell r="E3257">
            <v>10125</v>
          </cell>
          <cell r="F3257" t="str">
            <v>A4-S0</v>
          </cell>
          <cell r="G3257" t="str">
            <v xml:space="preserve">Panel - Ván </v>
          </cell>
          <cell r="H3257" t="str">
            <v>MDF Veneer</v>
          </cell>
          <cell r="I3257">
            <v>30</v>
          </cell>
        </row>
        <row r="3258">
          <cell r="A3258" t="str">
            <v>B558355/A</v>
          </cell>
          <cell r="B3258" t="str">
            <v>RH7553M372</v>
          </cell>
          <cell r="C3258">
            <v>15</v>
          </cell>
          <cell r="D3258">
            <v>675</v>
          </cell>
          <cell r="E3258">
            <v>10125</v>
          </cell>
          <cell r="F3258" t="str">
            <v>A4-S00</v>
          </cell>
          <cell r="G3258" t="str">
            <v xml:space="preserve">Curve part hot press  - chi tiết cảo cong </v>
          </cell>
          <cell r="H3258" t="str">
            <v>Pre-Assembly</v>
          </cell>
          <cell r="I3258">
            <v>15</v>
          </cell>
        </row>
        <row r="3259">
          <cell r="A3259" t="str">
            <v>B558355/A</v>
          </cell>
          <cell r="B3259" t="str">
            <v>RH7553M372</v>
          </cell>
          <cell r="C3259">
            <v>15</v>
          </cell>
          <cell r="D3259">
            <v>675</v>
          </cell>
          <cell r="E3259">
            <v>10125</v>
          </cell>
          <cell r="F3259" t="str">
            <v>A4-S01</v>
          </cell>
          <cell r="G3259" t="str">
            <v xml:space="preserve">Curve part hot press  - chi tiết cảo cong </v>
          </cell>
          <cell r="H3259" t="str">
            <v>MDF Veneer</v>
          </cell>
          <cell r="I3259">
            <v>30</v>
          </cell>
        </row>
        <row r="3260">
          <cell r="A3260" t="str">
            <v>B558355/A</v>
          </cell>
          <cell r="B3260" t="str">
            <v>RH7553M372</v>
          </cell>
          <cell r="C3260">
            <v>15</v>
          </cell>
          <cell r="D3260">
            <v>675</v>
          </cell>
          <cell r="E3260">
            <v>10125</v>
          </cell>
          <cell r="F3260" t="str">
            <v>A4-S02</v>
          </cell>
          <cell r="G3260" t="str">
            <v>Patching wood - Gỗ đắp</v>
          </cell>
          <cell r="H3260" t="str">
            <v>Wood White Oak - Straight/Waving Edged, 1 COM - T32mm x W100mm Up x L1.8m Up</v>
          </cell>
          <cell r="I3260">
            <v>30</v>
          </cell>
        </row>
        <row r="3261">
          <cell r="A3261" t="str">
            <v>B558355/A</v>
          </cell>
          <cell r="B3261" t="str">
            <v>RH7553M372</v>
          </cell>
          <cell r="C3261">
            <v>15</v>
          </cell>
          <cell r="D3261">
            <v>675</v>
          </cell>
          <cell r="E3261">
            <v>10125</v>
          </cell>
          <cell r="F3261" t="str">
            <v>P04</v>
          </cell>
          <cell r="G3261" t="str">
            <v>Door panel  - Ván cửa</v>
          </cell>
          <cell r="H3261" t="str">
            <v>MDF Veneer</v>
          </cell>
          <cell r="I3261">
            <v>30</v>
          </cell>
        </row>
        <row r="3262">
          <cell r="A3262" t="str">
            <v>B558355/A</v>
          </cell>
          <cell r="B3262" t="str">
            <v>RH7553M372</v>
          </cell>
          <cell r="C3262">
            <v>15</v>
          </cell>
          <cell r="D3262">
            <v>675</v>
          </cell>
          <cell r="E3262">
            <v>10125</v>
          </cell>
          <cell r="F3262" t="str">
            <v>P04-1</v>
          </cell>
          <cell r="G3262" t="str">
            <v>Insert Wood - Gỗ chèn</v>
          </cell>
          <cell r="H3262" t="str">
            <v>Beech off cut</v>
          </cell>
          <cell r="I3262">
            <v>90</v>
          </cell>
        </row>
        <row r="3263">
          <cell r="A3263" t="str">
            <v>B558355/A</v>
          </cell>
          <cell r="B3263" t="str">
            <v>RH7553M372</v>
          </cell>
          <cell r="C3263">
            <v>15</v>
          </cell>
          <cell r="D3263">
            <v>675</v>
          </cell>
          <cell r="E3263">
            <v>10125</v>
          </cell>
          <cell r="F3263" t="str">
            <v>P04-2</v>
          </cell>
          <cell r="G3263" t="str">
            <v>Insert Wood - Gỗ chèn</v>
          </cell>
          <cell r="H3263" t="str">
            <v>Wood White Oak - Straight/Waving Edged, 2 COM - T25mm x W100mm Up x L1.5m Up</v>
          </cell>
          <cell r="I3263">
            <v>60</v>
          </cell>
        </row>
        <row r="3264">
          <cell r="A3264" t="str">
            <v>B558355/A</v>
          </cell>
          <cell r="B3264" t="str">
            <v>RH7553M372</v>
          </cell>
          <cell r="C3264">
            <v>15</v>
          </cell>
          <cell r="D3264">
            <v>675</v>
          </cell>
          <cell r="E3264">
            <v>10125</v>
          </cell>
          <cell r="F3264" t="str">
            <v>P06</v>
          </cell>
          <cell r="G3264" t="str">
            <v>Cleat - Bọ gỗ</v>
          </cell>
          <cell r="H3264" t="str">
            <v>Beech off cut</v>
          </cell>
          <cell r="I3264">
            <v>30</v>
          </cell>
        </row>
        <row r="3265">
          <cell r="A3265" t="str">
            <v>B558355/A</v>
          </cell>
          <cell r="B3265" t="str">
            <v>RH7553M372</v>
          </cell>
          <cell r="C3265">
            <v>15</v>
          </cell>
          <cell r="D3265">
            <v>675</v>
          </cell>
          <cell r="E3265">
            <v>10125</v>
          </cell>
          <cell r="F3265" t="str">
            <v>P07</v>
          </cell>
          <cell r="G3265" t="str">
            <v>Bottom panel - Ván đáy</v>
          </cell>
          <cell r="H3265" t="str">
            <v>Plywood VN</v>
          </cell>
          <cell r="I3265">
            <v>15</v>
          </cell>
        </row>
        <row r="3266">
          <cell r="A3266" t="str">
            <v>B558355/A</v>
          </cell>
          <cell r="B3266" t="str">
            <v>RH7553M372</v>
          </cell>
          <cell r="C3266">
            <v>15</v>
          </cell>
          <cell r="D3266">
            <v>675</v>
          </cell>
          <cell r="E3266">
            <v>10125</v>
          </cell>
          <cell r="F3266" t="str">
            <v>P08</v>
          </cell>
          <cell r="G3266" t="str">
            <v>Back panel - Ván hậu</v>
          </cell>
          <cell r="H3266" t="str">
            <v>MDF Veneer</v>
          </cell>
          <cell r="I3266">
            <v>15</v>
          </cell>
        </row>
        <row r="3267">
          <cell r="A3267" t="str">
            <v>B558355/A</v>
          </cell>
          <cell r="B3267" t="str">
            <v>RH7553M372</v>
          </cell>
          <cell r="C3267">
            <v>15</v>
          </cell>
          <cell r="D3267">
            <v>675</v>
          </cell>
          <cell r="E3267">
            <v>10125</v>
          </cell>
          <cell r="F3267" t="str">
            <v>P08-1</v>
          </cell>
          <cell r="G3267" t="str">
            <v>Insert Wood - Gỗ chèn</v>
          </cell>
          <cell r="H3267" t="str">
            <v>oak off cut</v>
          </cell>
          <cell r="I3267">
            <v>30</v>
          </cell>
        </row>
        <row r="3268">
          <cell r="A3268" t="str">
            <v>B558355/A</v>
          </cell>
          <cell r="B3268" t="str">
            <v>RH7553M372</v>
          </cell>
          <cell r="C3268">
            <v>15</v>
          </cell>
          <cell r="D3268">
            <v>675</v>
          </cell>
          <cell r="E3268">
            <v>10125</v>
          </cell>
          <cell r="F3268" t="str">
            <v>P09</v>
          </cell>
          <cell r="G3268" t="str">
            <v>Partition panel - Vách ngăn</v>
          </cell>
          <cell r="H3268" t="str">
            <v>MDF Veneer</v>
          </cell>
          <cell r="I3268">
            <v>15</v>
          </cell>
        </row>
        <row r="3269">
          <cell r="A3269" t="str">
            <v>B558355/A</v>
          </cell>
          <cell r="B3269" t="str">
            <v>RH7553M372</v>
          </cell>
          <cell r="C3269">
            <v>15</v>
          </cell>
          <cell r="D3269">
            <v>675</v>
          </cell>
          <cell r="E3269">
            <v>10125</v>
          </cell>
          <cell r="F3269" t="str">
            <v>P12</v>
          </cell>
          <cell r="G3269" t="str">
            <v>Patching wood - Gỗ đắp</v>
          </cell>
          <cell r="H3269" t="str">
            <v>Wood White Oak - Straight/Waving Edged, 1 COM - T25mm x W100mm Up x L1.8m Up</v>
          </cell>
          <cell r="I3269">
            <v>30</v>
          </cell>
        </row>
        <row r="3270">
          <cell r="A3270" t="str">
            <v>B558355/A</v>
          </cell>
          <cell r="B3270" t="str">
            <v>RH7553M372</v>
          </cell>
          <cell r="C3270">
            <v>15</v>
          </cell>
          <cell r="D3270">
            <v>675</v>
          </cell>
          <cell r="E3270">
            <v>10125</v>
          </cell>
          <cell r="F3270" t="str">
            <v>P15</v>
          </cell>
          <cell r="G3270" t="str">
            <v>Shelf panel  - Ván kệ</v>
          </cell>
          <cell r="H3270" t="str">
            <v>MDF Veneer</v>
          </cell>
          <cell r="I3270">
            <v>30</v>
          </cell>
        </row>
        <row r="3271">
          <cell r="A3271" t="str">
            <v>B558359/A</v>
          </cell>
          <cell r="B3271" t="str">
            <v>RH7553M373</v>
          </cell>
          <cell r="C3271">
            <v>5</v>
          </cell>
          <cell r="D3271">
            <v>675</v>
          </cell>
          <cell r="E3271">
            <v>3375</v>
          </cell>
          <cell r="F3271" t="str">
            <v>A1</v>
          </cell>
          <cell r="G3271" t="str">
            <v>Side Frame - Khung hông</v>
          </cell>
          <cell r="H3271" t="str">
            <v>Pre-Assembly</v>
          </cell>
          <cell r="I3271">
            <v>10</v>
          </cell>
        </row>
        <row r="3272">
          <cell r="A3272" t="str">
            <v>B558359/A</v>
          </cell>
          <cell r="B3272" t="str">
            <v>RH7553M373</v>
          </cell>
          <cell r="C3272">
            <v>5</v>
          </cell>
          <cell r="D3272">
            <v>675</v>
          </cell>
          <cell r="E3272">
            <v>3375</v>
          </cell>
          <cell r="F3272" t="str">
            <v>A1-S0</v>
          </cell>
          <cell r="G3272" t="str">
            <v xml:space="preserve">Panel - Ván </v>
          </cell>
          <cell r="H3272" t="str">
            <v>MDF Veneer</v>
          </cell>
          <cell r="I3272">
            <v>10</v>
          </cell>
        </row>
        <row r="3273">
          <cell r="A3273" t="str">
            <v>B558359/A</v>
          </cell>
          <cell r="B3273" t="str">
            <v>RH7553M373</v>
          </cell>
          <cell r="C3273">
            <v>5</v>
          </cell>
          <cell r="D3273">
            <v>675</v>
          </cell>
          <cell r="E3273">
            <v>3375</v>
          </cell>
          <cell r="F3273" t="str">
            <v>A1-S01</v>
          </cell>
          <cell r="G3273" t="str">
            <v xml:space="preserve">Curve part hot press  - chi tiết cảo cong </v>
          </cell>
          <cell r="H3273" t="str">
            <v>Pre-Assembly</v>
          </cell>
          <cell r="I3273">
            <v>10</v>
          </cell>
        </row>
        <row r="3274">
          <cell r="A3274" t="str">
            <v>B558359/A</v>
          </cell>
          <cell r="B3274" t="str">
            <v>RH7553M373</v>
          </cell>
          <cell r="C3274">
            <v>5</v>
          </cell>
          <cell r="D3274">
            <v>675</v>
          </cell>
          <cell r="E3274">
            <v>3375</v>
          </cell>
          <cell r="F3274" t="str">
            <v>A1-S05</v>
          </cell>
          <cell r="G3274" t="str">
            <v>Patching wood - Gỗ đắp</v>
          </cell>
          <cell r="H3274" t="str">
            <v>Wood White Oak - Straight/Waving Edged, 1 COM - T32mm x W100mm Up x L1.8m Up</v>
          </cell>
          <cell r="I3274">
            <v>10</v>
          </cell>
        </row>
        <row r="3275">
          <cell r="A3275" t="str">
            <v>B558359/A</v>
          </cell>
          <cell r="B3275" t="str">
            <v>RH7553M373</v>
          </cell>
          <cell r="C3275">
            <v>5</v>
          </cell>
          <cell r="D3275">
            <v>675</v>
          </cell>
          <cell r="E3275">
            <v>3375</v>
          </cell>
          <cell r="F3275" t="str">
            <v>A2-S01</v>
          </cell>
          <cell r="G3275" t="str">
            <v xml:space="preserve">Top panel  - Ván nóc </v>
          </cell>
          <cell r="H3275" t="str">
            <v>MDF Veneer</v>
          </cell>
          <cell r="I3275">
            <v>5</v>
          </cell>
        </row>
        <row r="3276">
          <cell r="A3276" t="str">
            <v>B558359/A</v>
          </cell>
          <cell r="B3276" t="str">
            <v>RH7553M373</v>
          </cell>
          <cell r="C3276">
            <v>5</v>
          </cell>
          <cell r="D3276">
            <v>675</v>
          </cell>
          <cell r="E3276">
            <v>3375</v>
          </cell>
          <cell r="F3276" t="str">
            <v>A2-S02</v>
          </cell>
          <cell r="G3276" t="str">
            <v>Top rail - Đố nóc</v>
          </cell>
          <cell r="H3276" t="str">
            <v>Wood laminate</v>
          </cell>
          <cell r="I3276">
            <v>5</v>
          </cell>
        </row>
        <row r="3277">
          <cell r="A3277" t="str">
            <v>B558359/A</v>
          </cell>
          <cell r="B3277" t="str">
            <v>RH7553M373</v>
          </cell>
          <cell r="C3277">
            <v>5</v>
          </cell>
          <cell r="D3277">
            <v>675</v>
          </cell>
          <cell r="E3277">
            <v>3375</v>
          </cell>
          <cell r="F3277" t="str">
            <v>A2-S03</v>
          </cell>
          <cell r="G3277" t="str">
            <v>Top rail - Đố nóc</v>
          </cell>
          <cell r="H3277" t="str">
            <v>Wd+VN</v>
          </cell>
          <cell r="I3277">
            <v>10</v>
          </cell>
        </row>
        <row r="3278">
          <cell r="A3278" t="str">
            <v>B558359/A</v>
          </cell>
          <cell r="B3278" t="str">
            <v>RH7553M373</v>
          </cell>
          <cell r="C3278">
            <v>5</v>
          </cell>
          <cell r="D3278">
            <v>675</v>
          </cell>
          <cell r="E3278">
            <v>3375</v>
          </cell>
          <cell r="F3278" t="str">
            <v>A2-S04</v>
          </cell>
          <cell r="G3278" t="str">
            <v>Front rail  - Đố tiền</v>
          </cell>
          <cell r="H3278" t="str">
            <v>Wood laminate</v>
          </cell>
          <cell r="I3278">
            <v>5</v>
          </cell>
        </row>
        <row r="3279">
          <cell r="A3279" t="str">
            <v>B558359/A</v>
          </cell>
          <cell r="B3279" t="str">
            <v>RH7553M373</v>
          </cell>
          <cell r="C3279">
            <v>5</v>
          </cell>
          <cell r="D3279">
            <v>675</v>
          </cell>
          <cell r="E3279">
            <v>3375</v>
          </cell>
          <cell r="F3279" t="str">
            <v>A2-S05</v>
          </cell>
          <cell r="G3279" t="str">
            <v>Top rail - Đố nóc</v>
          </cell>
          <cell r="H3279" t="str">
            <v>Wood laminate</v>
          </cell>
          <cell r="I3279">
            <v>10</v>
          </cell>
        </row>
        <row r="3280">
          <cell r="A3280" t="str">
            <v>B558359/A</v>
          </cell>
          <cell r="B3280" t="str">
            <v>RH7553M373</v>
          </cell>
          <cell r="C3280">
            <v>5</v>
          </cell>
          <cell r="D3280">
            <v>675</v>
          </cell>
          <cell r="E3280">
            <v>3375</v>
          </cell>
          <cell r="F3280" t="str">
            <v>A2-S06</v>
          </cell>
          <cell r="G3280" t="str">
            <v>support Top - đỡ nóc</v>
          </cell>
          <cell r="H3280" t="str">
            <v>Beech off cut</v>
          </cell>
          <cell r="I3280">
            <v>20</v>
          </cell>
        </row>
        <row r="3281">
          <cell r="A3281" t="str">
            <v>B558359/A</v>
          </cell>
          <cell r="B3281" t="str">
            <v>RH7553M373</v>
          </cell>
          <cell r="C3281">
            <v>5</v>
          </cell>
          <cell r="D3281">
            <v>675</v>
          </cell>
          <cell r="E3281">
            <v>3375</v>
          </cell>
          <cell r="F3281" t="str">
            <v>A2-S07</v>
          </cell>
          <cell r="G3281" t="str">
            <v>support Top - đỡ nóc</v>
          </cell>
          <cell r="H3281" t="str">
            <v>Wood laminate</v>
          </cell>
          <cell r="I3281">
            <v>5</v>
          </cell>
        </row>
        <row r="3282">
          <cell r="A3282" t="str">
            <v>B558359/A</v>
          </cell>
          <cell r="B3282" t="str">
            <v>RH7553M373</v>
          </cell>
          <cell r="C3282">
            <v>5</v>
          </cell>
          <cell r="D3282">
            <v>675</v>
          </cell>
          <cell r="E3282">
            <v>3375</v>
          </cell>
          <cell r="F3282" t="str">
            <v>A3-S0</v>
          </cell>
          <cell r="G3282" t="str">
            <v xml:space="preserve">Panel - Ván </v>
          </cell>
          <cell r="H3282" t="str">
            <v>MDF Veneer</v>
          </cell>
          <cell r="I3282">
            <v>5</v>
          </cell>
        </row>
        <row r="3283">
          <cell r="A3283" t="str">
            <v>B558359/A</v>
          </cell>
          <cell r="B3283" t="str">
            <v>RH7553M373</v>
          </cell>
          <cell r="C3283">
            <v>5</v>
          </cell>
          <cell r="D3283">
            <v>675</v>
          </cell>
          <cell r="E3283">
            <v>3375</v>
          </cell>
          <cell r="F3283" t="str">
            <v>A3-S01</v>
          </cell>
          <cell r="G3283" t="str">
            <v xml:space="preserve">Curve part hot press  - chi tiết cảo cong </v>
          </cell>
          <cell r="H3283" t="str">
            <v>MDF laminate</v>
          </cell>
          <cell r="I3283">
            <v>30</v>
          </cell>
        </row>
        <row r="3284">
          <cell r="A3284" t="str">
            <v>B558359/A</v>
          </cell>
          <cell r="B3284" t="str">
            <v>RH7553M373</v>
          </cell>
          <cell r="C3284">
            <v>5</v>
          </cell>
          <cell r="D3284">
            <v>675</v>
          </cell>
          <cell r="E3284">
            <v>3375</v>
          </cell>
          <cell r="F3284" t="str">
            <v>A3-S02</v>
          </cell>
          <cell r="G3284" t="str">
            <v>Bottom panel - Ván đáy</v>
          </cell>
          <cell r="H3284" t="str">
            <v>MDF Veneer</v>
          </cell>
          <cell r="I3284">
            <v>10</v>
          </cell>
        </row>
        <row r="3285">
          <cell r="A3285" t="str">
            <v>B558359/A</v>
          </cell>
          <cell r="B3285" t="str">
            <v>RH7553M373</v>
          </cell>
          <cell r="C3285">
            <v>5</v>
          </cell>
          <cell r="D3285">
            <v>675</v>
          </cell>
          <cell r="E3285">
            <v>3375</v>
          </cell>
          <cell r="F3285" t="str">
            <v>A3-S03</v>
          </cell>
          <cell r="G3285" t="str">
            <v>Patching wood - Gỗ đắp</v>
          </cell>
          <cell r="H3285" t="str">
            <v>Beech off cut</v>
          </cell>
          <cell r="I3285">
            <v>30</v>
          </cell>
        </row>
        <row r="3286">
          <cell r="A3286" t="str">
            <v>B558359/A</v>
          </cell>
          <cell r="B3286" t="str">
            <v>RH7553M373</v>
          </cell>
          <cell r="C3286">
            <v>5</v>
          </cell>
          <cell r="D3286">
            <v>675</v>
          </cell>
          <cell r="E3286">
            <v>3375</v>
          </cell>
          <cell r="F3286" t="str">
            <v>A4</v>
          </cell>
          <cell r="G3286" t="str">
            <v>Door panel  - Ván cửa</v>
          </cell>
          <cell r="H3286" t="str">
            <v>Pre-Assembly</v>
          </cell>
          <cell r="I3286">
            <v>10</v>
          </cell>
        </row>
        <row r="3287">
          <cell r="A3287" t="str">
            <v>B558359/A</v>
          </cell>
          <cell r="B3287" t="str">
            <v>RH7553M373</v>
          </cell>
          <cell r="C3287">
            <v>5</v>
          </cell>
          <cell r="D3287">
            <v>675</v>
          </cell>
          <cell r="E3287">
            <v>3375</v>
          </cell>
          <cell r="F3287" t="str">
            <v>A4-S0</v>
          </cell>
          <cell r="G3287" t="str">
            <v xml:space="preserve">Panel - Ván </v>
          </cell>
          <cell r="H3287" t="str">
            <v>MDF Veneer</v>
          </cell>
          <cell r="I3287">
            <v>10</v>
          </cell>
        </row>
        <row r="3288">
          <cell r="A3288" t="str">
            <v>B558359/A</v>
          </cell>
          <cell r="B3288" t="str">
            <v>RH7553M373</v>
          </cell>
          <cell r="C3288">
            <v>5</v>
          </cell>
          <cell r="D3288">
            <v>675</v>
          </cell>
          <cell r="E3288">
            <v>3375</v>
          </cell>
          <cell r="F3288" t="str">
            <v>A4-S00</v>
          </cell>
          <cell r="G3288" t="str">
            <v xml:space="preserve">Curve part hot press  - chi tiết cảo cong </v>
          </cell>
          <cell r="H3288" t="str">
            <v>Pre-Assembly</v>
          </cell>
          <cell r="I3288">
            <v>5</v>
          </cell>
        </row>
        <row r="3289">
          <cell r="A3289" t="str">
            <v>B558359/A</v>
          </cell>
          <cell r="B3289" t="str">
            <v>RH7553M373</v>
          </cell>
          <cell r="C3289">
            <v>5</v>
          </cell>
          <cell r="D3289">
            <v>675</v>
          </cell>
          <cell r="E3289">
            <v>3375</v>
          </cell>
          <cell r="F3289" t="str">
            <v>A4-S01</v>
          </cell>
          <cell r="G3289" t="str">
            <v xml:space="preserve">Curve part hot press  - chi tiết cảo cong </v>
          </cell>
          <cell r="H3289" t="str">
            <v>MDF Veneer</v>
          </cell>
          <cell r="I3289">
            <v>10</v>
          </cell>
        </row>
        <row r="3290">
          <cell r="A3290" t="str">
            <v>B558359/A</v>
          </cell>
          <cell r="B3290" t="str">
            <v>RH7553M373</v>
          </cell>
          <cell r="C3290">
            <v>5</v>
          </cell>
          <cell r="D3290">
            <v>675</v>
          </cell>
          <cell r="E3290">
            <v>3375</v>
          </cell>
          <cell r="F3290" t="str">
            <v>A4-S02</v>
          </cell>
          <cell r="G3290" t="str">
            <v>Patching wood - Gỗ đắp</v>
          </cell>
          <cell r="H3290" t="str">
            <v>Wood White Oak - Straight/Waving Edged, 1 COM - T32mm x W100mm Up x L1.8m Up</v>
          </cell>
          <cell r="I3290">
            <v>10</v>
          </cell>
        </row>
        <row r="3291">
          <cell r="A3291" t="str">
            <v>B558359/A</v>
          </cell>
          <cell r="B3291" t="str">
            <v>RH7553M373</v>
          </cell>
          <cell r="C3291">
            <v>5</v>
          </cell>
          <cell r="D3291">
            <v>675</v>
          </cell>
          <cell r="E3291">
            <v>3375</v>
          </cell>
          <cell r="F3291" t="str">
            <v>P04</v>
          </cell>
          <cell r="G3291" t="str">
            <v>Door panel  - Ván cửa</v>
          </cell>
          <cell r="H3291" t="str">
            <v>MDF Veneer</v>
          </cell>
          <cell r="I3291">
            <v>10</v>
          </cell>
        </row>
        <row r="3292">
          <cell r="A3292" t="str">
            <v>B558359/A</v>
          </cell>
          <cell r="B3292" t="str">
            <v>RH7553M373</v>
          </cell>
          <cell r="C3292">
            <v>5</v>
          </cell>
          <cell r="D3292">
            <v>675</v>
          </cell>
          <cell r="E3292">
            <v>3375</v>
          </cell>
          <cell r="F3292" t="str">
            <v>P04-1</v>
          </cell>
          <cell r="G3292" t="str">
            <v>Insert Wood - Gỗ chèn</v>
          </cell>
          <cell r="H3292" t="str">
            <v>Beech off cut</v>
          </cell>
          <cell r="I3292">
            <v>30</v>
          </cell>
        </row>
        <row r="3293">
          <cell r="A3293" t="str">
            <v>B558359/A</v>
          </cell>
          <cell r="B3293" t="str">
            <v>RH7553M373</v>
          </cell>
          <cell r="C3293">
            <v>5</v>
          </cell>
          <cell r="D3293">
            <v>675</v>
          </cell>
          <cell r="E3293">
            <v>3375</v>
          </cell>
          <cell r="F3293" t="str">
            <v>P04-2</v>
          </cell>
          <cell r="G3293" t="str">
            <v>Insert Wood - Gỗ chèn</v>
          </cell>
          <cell r="H3293" t="str">
            <v>Wood White Oak - Straight/Waving Edged, 2 COM - T25mm x W100mm Up x L1.5m Up</v>
          </cell>
          <cell r="I3293">
            <v>20</v>
          </cell>
        </row>
        <row r="3294">
          <cell r="A3294" t="str">
            <v>B558359/A</v>
          </cell>
          <cell r="B3294" t="str">
            <v>RH7553M373</v>
          </cell>
          <cell r="C3294">
            <v>5</v>
          </cell>
          <cell r="D3294">
            <v>675</v>
          </cell>
          <cell r="E3294">
            <v>3375</v>
          </cell>
          <cell r="F3294" t="str">
            <v>P06</v>
          </cell>
          <cell r="G3294" t="str">
            <v>Cleat - Bọ gỗ</v>
          </cell>
          <cell r="H3294" t="str">
            <v>Beech off cut</v>
          </cell>
          <cell r="I3294">
            <v>10</v>
          </cell>
        </row>
        <row r="3295">
          <cell r="A3295" t="str">
            <v>B558359/A</v>
          </cell>
          <cell r="B3295" t="str">
            <v>RH7553M373</v>
          </cell>
          <cell r="C3295">
            <v>5</v>
          </cell>
          <cell r="D3295">
            <v>675</v>
          </cell>
          <cell r="E3295">
            <v>3375</v>
          </cell>
          <cell r="F3295" t="str">
            <v>P07</v>
          </cell>
          <cell r="G3295" t="str">
            <v>Bottom panel - Ván đáy</v>
          </cell>
          <cell r="H3295" t="str">
            <v>Plywood VN</v>
          </cell>
          <cell r="I3295">
            <v>5</v>
          </cell>
        </row>
        <row r="3296">
          <cell r="A3296" t="str">
            <v>B558359/A</v>
          </cell>
          <cell r="B3296" t="str">
            <v>RH7553M373</v>
          </cell>
          <cell r="C3296">
            <v>5</v>
          </cell>
          <cell r="D3296">
            <v>675</v>
          </cell>
          <cell r="E3296">
            <v>3375</v>
          </cell>
          <cell r="F3296" t="str">
            <v>P08</v>
          </cell>
          <cell r="G3296" t="str">
            <v>Back panel - Ván hậu</v>
          </cell>
          <cell r="H3296" t="str">
            <v>MDF Veneer</v>
          </cell>
          <cell r="I3296">
            <v>5</v>
          </cell>
        </row>
        <row r="3297">
          <cell r="A3297" t="str">
            <v>B558359/A</v>
          </cell>
          <cell r="B3297" t="str">
            <v>RH7553M373</v>
          </cell>
          <cell r="C3297">
            <v>5</v>
          </cell>
          <cell r="D3297">
            <v>675</v>
          </cell>
          <cell r="E3297">
            <v>3375</v>
          </cell>
          <cell r="F3297" t="str">
            <v>P08-1</v>
          </cell>
          <cell r="G3297" t="str">
            <v>Insert Wood - Gỗ chèn</v>
          </cell>
          <cell r="H3297" t="str">
            <v>oak off cut</v>
          </cell>
          <cell r="I3297">
            <v>10</v>
          </cell>
        </row>
        <row r="3298">
          <cell r="A3298" t="str">
            <v>B558359/A</v>
          </cell>
          <cell r="B3298" t="str">
            <v>RH7553M373</v>
          </cell>
          <cell r="C3298">
            <v>5</v>
          </cell>
          <cell r="D3298">
            <v>675</v>
          </cell>
          <cell r="E3298">
            <v>3375</v>
          </cell>
          <cell r="F3298" t="str">
            <v>P09</v>
          </cell>
          <cell r="G3298" t="str">
            <v>Partition panel - Vách ngăn</v>
          </cell>
          <cell r="H3298" t="str">
            <v>MDF Veneer</v>
          </cell>
          <cell r="I3298">
            <v>5</v>
          </cell>
        </row>
        <row r="3299">
          <cell r="A3299" t="str">
            <v>B558359/A</v>
          </cell>
          <cell r="B3299" t="str">
            <v>RH7553M373</v>
          </cell>
          <cell r="C3299">
            <v>5</v>
          </cell>
          <cell r="D3299">
            <v>675</v>
          </cell>
          <cell r="E3299">
            <v>3375</v>
          </cell>
          <cell r="F3299" t="str">
            <v>P12</v>
          </cell>
          <cell r="G3299" t="str">
            <v>Patching wood - Gỗ đắp</v>
          </cell>
          <cell r="H3299" t="str">
            <v>Wood White Oak - Straight/Waving Edged, 1 COM - T25mm x W100mm Up x L1.8m Up</v>
          </cell>
          <cell r="I3299">
            <v>10</v>
          </cell>
        </row>
        <row r="3300">
          <cell r="A3300" t="str">
            <v>B558359/A</v>
          </cell>
          <cell r="B3300" t="str">
            <v>RH7553M373</v>
          </cell>
          <cell r="C3300">
            <v>5</v>
          </cell>
          <cell r="D3300">
            <v>675</v>
          </cell>
          <cell r="E3300">
            <v>3375</v>
          </cell>
          <cell r="F3300" t="str">
            <v>P15</v>
          </cell>
          <cell r="G3300" t="str">
            <v>Shelf panel  - Ván kệ</v>
          </cell>
          <cell r="H3300" t="str">
            <v>MDF Veneer</v>
          </cell>
          <cell r="I3300">
            <v>10</v>
          </cell>
        </row>
        <row r="3301">
          <cell r="A3301" t="str">
            <v>B558363/A</v>
          </cell>
          <cell r="B3301" t="str">
            <v>RH7637M372</v>
          </cell>
          <cell r="C3301">
            <v>2</v>
          </cell>
          <cell r="D3301">
            <v>250</v>
          </cell>
          <cell r="E3301">
            <v>500</v>
          </cell>
          <cell r="F3301" t="str">
            <v>A1</v>
          </cell>
          <cell r="G3301" t="str">
            <v>The leg  - Chân</v>
          </cell>
          <cell r="H3301" t="str">
            <v>Pre-Assembly</v>
          </cell>
          <cell r="I3301">
            <v>4</v>
          </cell>
        </row>
        <row r="3302">
          <cell r="A3302" t="str">
            <v>B558363/A</v>
          </cell>
          <cell r="B3302" t="str">
            <v>RH7637M372</v>
          </cell>
          <cell r="C3302">
            <v>2</v>
          </cell>
          <cell r="D3302">
            <v>250</v>
          </cell>
          <cell r="E3302">
            <v>500</v>
          </cell>
          <cell r="F3302" t="str">
            <v>A1-S00</v>
          </cell>
          <cell r="G3302" t="str">
            <v xml:space="preserve">Curve part hot press  - chi tiết cảo cong </v>
          </cell>
          <cell r="H3302" t="str">
            <v>MDF Veneer</v>
          </cell>
          <cell r="I3302">
            <v>4</v>
          </cell>
        </row>
        <row r="3303">
          <cell r="A3303" t="str">
            <v>B558363/A</v>
          </cell>
          <cell r="B3303" t="str">
            <v>RH7637M372</v>
          </cell>
          <cell r="C3303">
            <v>2</v>
          </cell>
          <cell r="D3303">
            <v>250</v>
          </cell>
          <cell r="E3303">
            <v>500</v>
          </cell>
          <cell r="F3303" t="str">
            <v>A1-S00-1</v>
          </cell>
          <cell r="G3303" t="str">
            <v>Panel outside - Ván phía ngoài</v>
          </cell>
          <cell r="H3303" t="str">
            <v>MDF Veneer</v>
          </cell>
          <cell r="I3303">
            <v>4</v>
          </cell>
        </row>
        <row r="3304">
          <cell r="A3304" t="str">
            <v>B558363/A</v>
          </cell>
          <cell r="B3304" t="str">
            <v>RH7637M372</v>
          </cell>
          <cell r="C3304">
            <v>2</v>
          </cell>
          <cell r="D3304">
            <v>250</v>
          </cell>
          <cell r="E3304">
            <v>500</v>
          </cell>
          <cell r="F3304" t="str">
            <v>A1-S01</v>
          </cell>
          <cell r="G3304" t="str">
            <v xml:space="preserve">Side panel  - Ván hông </v>
          </cell>
          <cell r="H3304" t="str">
            <v>MDF Veneer</v>
          </cell>
          <cell r="I3304">
            <v>4</v>
          </cell>
        </row>
        <row r="3305">
          <cell r="A3305" t="str">
            <v>B558363/A</v>
          </cell>
          <cell r="B3305" t="str">
            <v>RH7637M372</v>
          </cell>
          <cell r="C3305">
            <v>2</v>
          </cell>
          <cell r="D3305">
            <v>250</v>
          </cell>
          <cell r="E3305">
            <v>500</v>
          </cell>
          <cell r="F3305" t="str">
            <v>A1-S03</v>
          </cell>
          <cell r="G3305" t="str">
            <v xml:space="preserve">Top panel  - Ván nóc </v>
          </cell>
          <cell r="H3305" t="str">
            <v>Plywood LVD - 25 x 1220 x 2440mm, Bleached Poplar Veneer Both Sides [CARB P2 Compliant]</v>
          </cell>
          <cell r="I3305">
            <v>4</v>
          </cell>
        </row>
        <row r="3306">
          <cell r="A3306" t="str">
            <v>B558363/A</v>
          </cell>
          <cell r="B3306" t="str">
            <v>RH7637M372</v>
          </cell>
          <cell r="C3306">
            <v>2</v>
          </cell>
          <cell r="D3306">
            <v>250</v>
          </cell>
          <cell r="E3306">
            <v>500</v>
          </cell>
          <cell r="F3306" t="str">
            <v>A1-S04</v>
          </cell>
          <cell r="G3306" t="str">
            <v>Bottom panel - Ván đáy</v>
          </cell>
          <cell r="H3306" t="str">
            <v>Plywood LVD - 25 x 1220 x 2440mm, Bleached Poplar Veneer Both Sides [CARB P2 Compliant]</v>
          </cell>
          <cell r="I3306">
            <v>4</v>
          </cell>
        </row>
        <row r="3307">
          <cell r="A3307" t="str">
            <v>B558363/A</v>
          </cell>
          <cell r="B3307" t="str">
            <v>RH7637M372</v>
          </cell>
          <cell r="C3307">
            <v>2</v>
          </cell>
          <cell r="D3307">
            <v>250</v>
          </cell>
          <cell r="E3307">
            <v>500</v>
          </cell>
          <cell r="F3307" t="str">
            <v>A1-S09</v>
          </cell>
          <cell r="G3307" t="str">
            <v>Spline - Lưỡi gà</v>
          </cell>
          <cell r="H3307" t="str">
            <v>Plywood LVD - 06 x 1220 x 2440mm, Bleached Poplar Veneer Both Sides [CARB P2 Compliant]</v>
          </cell>
          <cell r="I3307">
            <v>8</v>
          </cell>
        </row>
        <row r="3308">
          <cell r="A3308" t="str">
            <v>B558363/A</v>
          </cell>
          <cell r="B3308" t="str">
            <v>RH7637M372</v>
          </cell>
          <cell r="C3308">
            <v>2</v>
          </cell>
          <cell r="D3308">
            <v>250</v>
          </cell>
          <cell r="E3308">
            <v>500</v>
          </cell>
          <cell r="F3308" t="str">
            <v>P01</v>
          </cell>
          <cell r="G3308" t="str">
            <v>Top Frame - Khung nóc</v>
          </cell>
          <cell r="H3308" t="str">
            <v>Pre-Assembly</v>
          </cell>
          <cell r="I3308">
            <v>2</v>
          </cell>
        </row>
        <row r="3309">
          <cell r="A3309" t="str">
            <v>B558363/A</v>
          </cell>
          <cell r="B3309" t="str">
            <v>RH7637M372</v>
          </cell>
          <cell r="C3309">
            <v>2</v>
          </cell>
          <cell r="D3309">
            <v>250</v>
          </cell>
          <cell r="E3309">
            <v>500</v>
          </cell>
          <cell r="F3309" t="str">
            <v>P03</v>
          </cell>
          <cell r="G3309" t="str">
            <v>Bottom rail inside - Đố tiền đáy</v>
          </cell>
          <cell r="H3309" t="str">
            <v>MDF - 18 x 1830 x 2440mm [CARB P2 Compliant]</v>
          </cell>
          <cell r="I3309">
            <v>4</v>
          </cell>
        </row>
        <row r="3310">
          <cell r="A3310" t="str">
            <v>B558366/A</v>
          </cell>
          <cell r="B3310" t="str">
            <v>RH7637M373</v>
          </cell>
          <cell r="C3310">
            <v>3</v>
          </cell>
          <cell r="D3310">
            <v>250</v>
          </cell>
          <cell r="E3310">
            <v>750</v>
          </cell>
          <cell r="F3310" t="str">
            <v>A1</v>
          </cell>
          <cell r="G3310" t="str">
            <v>The leg  - Chân</v>
          </cell>
          <cell r="H3310" t="str">
            <v>Pre-Assembly</v>
          </cell>
          <cell r="I3310">
            <v>6</v>
          </cell>
        </row>
        <row r="3311">
          <cell r="A3311" t="str">
            <v>B558366/A</v>
          </cell>
          <cell r="B3311" t="str">
            <v>RH7637M373</v>
          </cell>
          <cell r="C3311">
            <v>3</v>
          </cell>
          <cell r="D3311">
            <v>250</v>
          </cell>
          <cell r="E3311">
            <v>750</v>
          </cell>
          <cell r="F3311" t="str">
            <v>A1-S00</v>
          </cell>
          <cell r="G3311" t="str">
            <v xml:space="preserve">Curve part hot press  - chi tiết cảo cong </v>
          </cell>
          <cell r="H3311" t="str">
            <v>MDF Veneer</v>
          </cell>
          <cell r="I3311">
            <v>6</v>
          </cell>
        </row>
        <row r="3312">
          <cell r="A3312" t="str">
            <v>B558366/A</v>
          </cell>
          <cell r="B3312" t="str">
            <v>RH7637M373</v>
          </cell>
          <cell r="C3312">
            <v>3</v>
          </cell>
          <cell r="D3312">
            <v>250</v>
          </cell>
          <cell r="E3312">
            <v>750</v>
          </cell>
          <cell r="F3312" t="str">
            <v>A1-S00-1</v>
          </cell>
          <cell r="G3312" t="str">
            <v>Panel outside - Ván phía ngoài</v>
          </cell>
          <cell r="H3312" t="str">
            <v>MDF Veneer</v>
          </cell>
          <cell r="I3312">
            <v>6</v>
          </cell>
        </row>
        <row r="3313">
          <cell r="A3313" t="str">
            <v>B558366/A</v>
          </cell>
          <cell r="B3313" t="str">
            <v>RH7637M373</v>
          </cell>
          <cell r="C3313">
            <v>3</v>
          </cell>
          <cell r="D3313">
            <v>250</v>
          </cell>
          <cell r="E3313">
            <v>750</v>
          </cell>
          <cell r="F3313" t="str">
            <v>A1-S01</v>
          </cell>
          <cell r="G3313" t="str">
            <v xml:space="preserve">Side panel  - Ván hông </v>
          </cell>
          <cell r="H3313" t="str">
            <v>MDF Veneer</v>
          </cell>
          <cell r="I3313">
            <v>6</v>
          </cell>
        </row>
        <row r="3314">
          <cell r="A3314" t="str">
            <v>B558366/A</v>
          </cell>
          <cell r="B3314" t="str">
            <v>RH7637M373</v>
          </cell>
          <cell r="C3314">
            <v>3</v>
          </cell>
          <cell r="D3314">
            <v>250</v>
          </cell>
          <cell r="E3314">
            <v>750</v>
          </cell>
          <cell r="F3314" t="str">
            <v>A1-S03</v>
          </cell>
          <cell r="G3314" t="str">
            <v xml:space="preserve">Top panel  - Ván nóc </v>
          </cell>
          <cell r="H3314" t="str">
            <v>Plywood LVD - 25 x 1220 x 2440mm, Bleached Poplar Veneer Both Sides [CARB P2 Compliant]</v>
          </cell>
          <cell r="I3314">
            <v>6</v>
          </cell>
        </row>
        <row r="3315">
          <cell r="A3315" t="str">
            <v>B558366/A</v>
          </cell>
          <cell r="B3315" t="str">
            <v>RH7637M373</v>
          </cell>
          <cell r="C3315">
            <v>3</v>
          </cell>
          <cell r="D3315">
            <v>250</v>
          </cell>
          <cell r="E3315">
            <v>750</v>
          </cell>
          <cell r="F3315" t="str">
            <v>A1-S04</v>
          </cell>
          <cell r="G3315" t="str">
            <v>Bottom panel - Ván đáy</v>
          </cell>
          <cell r="H3315" t="str">
            <v>Plywood LVD - 25 x 1220 x 2440mm, Bleached Poplar Veneer Both Sides [CARB P2 Compliant]</v>
          </cell>
          <cell r="I3315">
            <v>6</v>
          </cell>
        </row>
        <row r="3316">
          <cell r="A3316" t="str">
            <v>B558366/A</v>
          </cell>
          <cell r="B3316" t="str">
            <v>RH7637M373</v>
          </cell>
          <cell r="C3316">
            <v>3</v>
          </cell>
          <cell r="D3316">
            <v>250</v>
          </cell>
          <cell r="E3316">
            <v>750</v>
          </cell>
          <cell r="F3316" t="str">
            <v>A1-S09</v>
          </cell>
          <cell r="G3316" t="str">
            <v>Spline - Lưỡi gà</v>
          </cell>
          <cell r="H3316" t="str">
            <v>Plywood LVD - 06 x 1220 x 2440mm, Bleached Poplar Veneer Both Sides [CARB P2 Compliant]</v>
          </cell>
          <cell r="I3316">
            <v>12</v>
          </cell>
        </row>
        <row r="3317">
          <cell r="A3317" t="str">
            <v>B558366/A</v>
          </cell>
          <cell r="B3317" t="str">
            <v>RH7637M373</v>
          </cell>
          <cell r="C3317">
            <v>3</v>
          </cell>
          <cell r="D3317">
            <v>250</v>
          </cell>
          <cell r="E3317">
            <v>750</v>
          </cell>
          <cell r="F3317" t="str">
            <v>P01</v>
          </cell>
          <cell r="G3317" t="str">
            <v>Top Frame - Khung nóc</v>
          </cell>
          <cell r="H3317" t="str">
            <v>Pre-Assembly</v>
          </cell>
          <cell r="I3317">
            <v>3</v>
          </cell>
        </row>
        <row r="3318">
          <cell r="A3318" t="str">
            <v>B558366/A</v>
          </cell>
          <cell r="B3318" t="str">
            <v>RH7637M373</v>
          </cell>
          <cell r="C3318">
            <v>3</v>
          </cell>
          <cell r="D3318">
            <v>250</v>
          </cell>
          <cell r="E3318">
            <v>750</v>
          </cell>
          <cell r="F3318" t="str">
            <v>P03</v>
          </cell>
          <cell r="G3318" t="str">
            <v>Bottom rail inside - Đố tiền đáy</v>
          </cell>
          <cell r="H3318" t="str">
            <v>MDF - 18 x 1830 x 2440mm [CARB P2 Compliant]</v>
          </cell>
          <cell r="I3318">
            <v>6</v>
          </cell>
        </row>
        <row r="3319">
          <cell r="A3319" t="str">
            <v>B558369/A</v>
          </cell>
          <cell r="B3319" t="str">
            <v>RH7637M374</v>
          </cell>
          <cell r="C3319">
            <v>15</v>
          </cell>
          <cell r="D3319">
            <v>250</v>
          </cell>
          <cell r="E3319">
            <v>3750</v>
          </cell>
          <cell r="F3319" t="str">
            <v>A1</v>
          </cell>
          <cell r="G3319" t="str">
            <v>The leg  - Chân</v>
          </cell>
          <cell r="H3319" t="str">
            <v>Pre-Assembly</v>
          </cell>
          <cell r="I3319">
            <v>30</v>
          </cell>
        </row>
        <row r="3320">
          <cell r="A3320" t="str">
            <v>B558369/A</v>
          </cell>
          <cell r="B3320" t="str">
            <v>RH7637M374</v>
          </cell>
          <cell r="C3320">
            <v>15</v>
          </cell>
          <cell r="D3320">
            <v>250</v>
          </cell>
          <cell r="E3320">
            <v>3750</v>
          </cell>
          <cell r="F3320" t="str">
            <v>A1-S00</v>
          </cell>
          <cell r="G3320" t="str">
            <v xml:space="preserve">Curve part hot press  - chi tiết cảo cong </v>
          </cell>
          <cell r="H3320" t="str">
            <v>MDF Veneer</v>
          </cell>
          <cell r="I3320">
            <v>30</v>
          </cell>
        </row>
        <row r="3321">
          <cell r="A3321" t="str">
            <v>B558369/A</v>
          </cell>
          <cell r="B3321" t="str">
            <v>RH7637M374</v>
          </cell>
          <cell r="C3321">
            <v>15</v>
          </cell>
          <cell r="D3321">
            <v>250</v>
          </cell>
          <cell r="E3321">
            <v>3750</v>
          </cell>
          <cell r="F3321" t="str">
            <v>A1-S00-1</v>
          </cell>
          <cell r="G3321" t="str">
            <v>Panel outside - Ván phía ngoài</v>
          </cell>
          <cell r="H3321" t="str">
            <v>MDF Veneer</v>
          </cell>
          <cell r="I3321">
            <v>30</v>
          </cell>
        </row>
        <row r="3322">
          <cell r="A3322" t="str">
            <v>B558369/A</v>
          </cell>
          <cell r="B3322" t="str">
            <v>RH7637M374</v>
          </cell>
          <cell r="C3322">
            <v>15</v>
          </cell>
          <cell r="D3322">
            <v>250</v>
          </cell>
          <cell r="E3322">
            <v>3750</v>
          </cell>
          <cell r="F3322" t="str">
            <v>A1-S01</v>
          </cell>
          <cell r="G3322" t="str">
            <v xml:space="preserve">Side panel  - Ván hông </v>
          </cell>
          <cell r="H3322" t="str">
            <v>MDF Veneer</v>
          </cell>
          <cell r="I3322">
            <v>30</v>
          </cell>
        </row>
        <row r="3323">
          <cell r="A3323" t="str">
            <v>B558369/A</v>
          </cell>
          <cell r="B3323" t="str">
            <v>RH7637M374</v>
          </cell>
          <cell r="C3323">
            <v>15</v>
          </cell>
          <cell r="D3323">
            <v>250</v>
          </cell>
          <cell r="E3323">
            <v>3750</v>
          </cell>
          <cell r="F3323" t="str">
            <v>A1-S03</v>
          </cell>
          <cell r="G3323" t="str">
            <v xml:space="preserve">Top panel  - Ván nóc </v>
          </cell>
          <cell r="H3323" t="str">
            <v>Plywood LVD - 25 x 1220 x 2440mm, Bleached Poplar Veneer Both Sides [CARB P2 Compliant]</v>
          </cell>
          <cell r="I3323">
            <v>30</v>
          </cell>
        </row>
        <row r="3324">
          <cell r="A3324" t="str">
            <v>B558369/A</v>
          </cell>
          <cell r="B3324" t="str">
            <v>RH7637M374</v>
          </cell>
          <cell r="C3324">
            <v>15</v>
          </cell>
          <cell r="D3324">
            <v>250</v>
          </cell>
          <cell r="E3324">
            <v>3750</v>
          </cell>
          <cell r="F3324" t="str">
            <v>A1-S04</v>
          </cell>
          <cell r="G3324" t="str">
            <v>Bottom panel - Ván đáy</v>
          </cell>
          <cell r="H3324" t="str">
            <v>Plywood LVD - 25 x 1220 x 2440mm, Bleached Poplar Veneer Both Sides [CARB P2 Compliant]</v>
          </cell>
          <cell r="I3324">
            <v>30</v>
          </cell>
        </row>
        <row r="3325">
          <cell r="A3325" t="str">
            <v>B558369/A</v>
          </cell>
          <cell r="B3325" t="str">
            <v>RH7637M374</v>
          </cell>
          <cell r="C3325">
            <v>15</v>
          </cell>
          <cell r="D3325">
            <v>250</v>
          </cell>
          <cell r="E3325">
            <v>3750</v>
          </cell>
          <cell r="F3325" t="str">
            <v>A1-S09</v>
          </cell>
          <cell r="G3325" t="str">
            <v>Spline - Lưỡi gà</v>
          </cell>
          <cell r="H3325" t="str">
            <v>Plywood LVD - 06 x 1220 x 2440mm, Bleached Poplar Veneer Both Sides [CARB P2 Compliant]</v>
          </cell>
          <cell r="I3325">
            <v>60</v>
          </cell>
        </row>
        <row r="3326">
          <cell r="A3326" t="str">
            <v>B558369/A</v>
          </cell>
          <cell r="B3326" t="str">
            <v>RH7637M374</v>
          </cell>
          <cell r="C3326">
            <v>15</v>
          </cell>
          <cell r="D3326">
            <v>250</v>
          </cell>
          <cell r="E3326">
            <v>3750</v>
          </cell>
          <cell r="F3326" t="str">
            <v>P01</v>
          </cell>
          <cell r="G3326" t="str">
            <v>Top Frame - Khung nóc</v>
          </cell>
          <cell r="H3326" t="str">
            <v>Pre-Assembly</v>
          </cell>
          <cell r="I3326">
            <v>15</v>
          </cell>
        </row>
        <row r="3327">
          <cell r="A3327" t="str">
            <v>B558369/A</v>
          </cell>
          <cell r="B3327" t="str">
            <v>RH7637M374</v>
          </cell>
          <cell r="C3327">
            <v>15</v>
          </cell>
          <cell r="D3327">
            <v>250</v>
          </cell>
          <cell r="E3327">
            <v>3750</v>
          </cell>
          <cell r="F3327" t="str">
            <v>P03</v>
          </cell>
          <cell r="G3327" t="str">
            <v>Bottom rail inside - Đố tiền đáy</v>
          </cell>
          <cell r="H3327" t="str">
            <v>MDF - 18 x 1830 x 2440mm [CARB P2 Compliant]</v>
          </cell>
          <cell r="I3327">
            <v>30</v>
          </cell>
        </row>
        <row r="3328">
          <cell r="A3328" t="str">
            <v>B558378/A</v>
          </cell>
          <cell r="B3328" t="str">
            <v>RH9046M398</v>
          </cell>
          <cell r="C3328">
            <v>12</v>
          </cell>
          <cell r="D3328">
            <v>1089</v>
          </cell>
          <cell r="E3328">
            <v>13068</v>
          </cell>
          <cell r="F3328" t="str">
            <v>A2-S01</v>
          </cell>
          <cell r="G3328" t="str">
            <v>Bottom panel - Ván đáy</v>
          </cell>
          <cell r="H3328" t="str">
            <v>MDF Veneer</v>
          </cell>
          <cell r="I3328">
            <v>12</v>
          </cell>
        </row>
        <row r="3329">
          <cell r="A3329" t="str">
            <v>B558378/A</v>
          </cell>
          <cell r="B3329" t="str">
            <v>RH9046M398</v>
          </cell>
          <cell r="C3329">
            <v>12</v>
          </cell>
          <cell r="D3329">
            <v>1089</v>
          </cell>
          <cell r="E3329">
            <v>13068</v>
          </cell>
          <cell r="F3329" t="str">
            <v>A2-S02</v>
          </cell>
          <cell r="G3329" t="str">
            <v>Side bottom rail - Đố hông dưới</v>
          </cell>
          <cell r="H3329" t="str">
            <v>Wood laminate</v>
          </cell>
          <cell r="I3329">
            <v>24</v>
          </cell>
        </row>
        <row r="3330">
          <cell r="A3330" t="str">
            <v>B558378/A</v>
          </cell>
          <cell r="B3330" t="str">
            <v>RH9046M398</v>
          </cell>
          <cell r="C3330">
            <v>12</v>
          </cell>
          <cell r="D3330">
            <v>1089</v>
          </cell>
          <cell r="E3330">
            <v>13068</v>
          </cell>
          <cell r="F3330" t="str">
            <v>A2-S03</v>
          </cell>
          <cell r="G3330" t="str">
            <v>Front Bottom Rail  - Đố đáy trước</v>
          </cell>
          <cell r="H3330" t="str">
            <v>Wood laminate</v>
          </cell>
          <cell r="I3330">
            <v>24</v>
          </cell>
        </row>
        <row r="3331">
          <cell r="A3331" t="str">
            <v>B558378/A</v>
          </cell>
          <cell r="B3331" t="str">
            <v>RH9046M398</v>
          </cell>
          <cell r="C3331">
            <v>12</v>
          </cell>
          <cell r="D3331">
            <v>1089</v>
          </cell>
          <cell r="E3331">
            <v>13068</v>
          </cell>
          <cell r="F3331" t="str">
            <v>A2-S04</v>
          </cell>
          <cell r="G3331" t="str">
            <v>Center bottom rail - Đố đáy giữa</v>
          </cell>
          <cell r="H3331" t="str">
            <v>Standard Wood - ALDER/ASPEN/LENGA/US POPLAR, 2 COM - T25 W120mm+ L2m+</v>
          </cell>
          <cell r="I3331">
            <v>24</v>
          </cell>
        </row>
        <row r="3332">
          <cell r="A3332" t="str">
            <v>B558378/A</v>
          </cell>
          <cell r="B3332" t="str">
            <v>RH9046M398</v>
          </cell>
          <cell r="C3332">
            <v>12</v>
          </cell>
          <cell r="D3332">
            <v>1089</v>
          </cell>
          <cell r="E3332">
            <v>13068</v>
          </cell>
          <cell r="F3332" t="str">
            <v>A3-S01</v>
          </cell>
          <cell r="G3332" t="str">
            <v xml:space="preserve">Top panel  - Ván nóc </v>
          </cell>
          <cell r="H3332" t="str">
            <v>MDF Veneer</v>
          </cell>
          <cell r="I3332">
            <v>12</v>
          </cell>
        </row>
        <row r="3333">
          <cell r="A3333" t="str">
            <v>B558378/A</v>
          </cell>
          <cell r="B3333" t="str">
            <v>RH9046M398</v>
          </cell>
          <cell r="C3333">
            <v>12</v>
          </cell>
          <cell r="D3333">
            <v>1089</v>
          </cell>
          <cell r="E3333">
            <v>13068</v>
          </cell>
          <cell r="F3333" t="str">
            <v>A3-S01-1</v>
          </cell>
          <cell r="G3333" t="str">
            <v>Insert Wood - Gỗ chèn</v>
          </cell>
          <cell r="H3333" t="str">
            <v>Beech off cut</v>
          </cell>
          <cell r="I3333">
            <v>120</v>
          </cell>
        </row>
        <row r="3334">
          <cell r="A3334" t="str">
            <v>B558378/A</v>
          </cell>
          <cell r="B3334" t="str">
            <v>RH9046M398</v>
          </cell>
          <cell r="C3334">
            <v>12</v>
          </cell>
          <cell r="D3334">
            <v>1089</v>
          </cell>
          <cell r="E3334">
            <v>13068</v>
          </cell>
          <cell r="F3334" t="str">
            <v>A3-S02</v>
          </cell>
          <cell r="G3334" t="str">
            <v>Front top rail  - Đố tiền nóc</v>
          </cell>
          <cell r="H3334" t="str">
            <v>Wood laminate</v>
          </cell>
          <cell r="I3334">
            <v>24</v>
          </cell>
        </row>
        <row r="3335">
          <cell r="A3335" t="str">
            <v>B558378/A</v>
          </cell>
          <cell r="B3335" t="str">
            <v>RH9046M398</v>
          </cell>
          <cell r="C3335">
            <v>12</v>
          </cell>
          <cell r="D3335">
            <v>1089</v>
          </cell>
          <cell r="E3335">
            <v>13068</v>
          </cell>
          <cell r="F3335" t="str">
            <v>A3-S02-1</v>
          </cell>
          <cell r="G3335" t="str">
            <v>Insert Wood - Gỗ chèn</v>
          </cell>
          <cell r="H3335" t="str">
            <v>oak off cut</v>
          </cell>
          <cell r="I3335">
            <v>48</v>
          </cell>
        </row>
        <row r="3336">
          <cell r="A3336" t="str">
            <v>B558378/A</v>
          </cell>
          <cell r="B3336" t="str">
            <v>RH9046M398</v>
          </cell>
          <cell r="C3336">
            <v>12</v>
          </cell>
          <cell r="D3336">
            <v>1089</v>
          </cell>
          <cell r="E3336">
            <v>13068</v>
          </cell>
          <cell r="F3336" t="str">
            <v>A3-S03</v>
          </cell>
          <cell r="G3336" t="str">
            <v>Side top rail - Đố hông trên</v>
          </cell>
          <cell r="H3336" t="str">
            <v>Wood laminate</v>
          </cell>
          <cell r="I3336">
            <v>24</v>
          </cell>
        </row>
        <row r="3337">
          <cell r="A3337" t="str">
            <v>B558378/A</v>
          </cell>
          <cell r="B3337" t="str">
            <v>RH9046M398</v>
          </cell>
          <cell r="C3337">
            <v>12</v>
          </cell>
          <cell r="D3337">
            <v>1089</v>
          </cell>
          <cell r="E3337">
            <v>13068</v>
          </cell>
          <cell r="F3337" t="str">
            <v>A3-S04</v>
          </cell>
          <cell r="G3337" t="str">
            <v>Spline - Lưỡi gà</v>
          </cell>
          <cell r="H3337" t="str">
            <v>Plywood LVD - 06 x 1220 x 2440mm, Bleached Poplar Veneer Both Sides [CARB P2 Compliant]</v>
          </cell>
          <cell r="I3337">
            <v>48</v>
          </cell>
        </row>
        <row r="3338">
          <cell r="A3338" t="str">
            <v>B558378/A</v>
          </cell>
          <cell r="B3338" t="str">
            <v>RH9046M398</v>
          </cell>
          <cell r="C3338">
            <v>12</v>
          </cell>
          <cell r="D3338">
            <v>1089</v>
          </cell>
          <cell r="E3338">
            <v>13068</v>
          </cell>
          <cell r="F3338" t="str">
            <v>A3-S05</v>
          </cell>
          <cell r="G3338" t="str">
            <v>Spline - Lưỡi gà</v>
          </cell>
          <cell r="H3338" t="str">
            <v>Plywood LVD - 06 x 1220 x 2440mm, Bleached Poplar Veneer Both Sides [CARB P2 Compliant]</v>
          </cell>
          <cell r="I3338">
            <v>24</v>
          </cell>
        </row>
        <row r="3339">
          <cell r="A3339" t="str">
            <v>B558378/A</v>
          </cell>
          <cell r="B3339" t="str">
            <v>RH9046M398</v>
          </cell>
          <cell r="C3339">
            <v>12</v>
          </cell>
          <cell r="D3339">
            <v>1089</v>
          </cell>
          <cell r="E3339">
            <v>13068</v>
          </cell>
          <cell r="F3339" t="str">
            <v>A3-S07</v>
          </cell>
          <cell r="G3339" t="str">
            <v>Center top rail - Đố nóc giữa</v>
          </cell>
          <cell r="H3339" t="str">
            <v>Wood laminate</v>
          </cell>
          <cell r="I3339">
            <v>24</v>
          </cell>
        </row>
        <row r="3340">
          <cell r="A3340" t="str">
            <v>B558378/A</v>
          </cell>
          <cell r="B3340" t="str">
            <v>RH9046M398</v>
          </cell>
          <cell r="C3340">
            <v>12</v>
          </cell>
          <cell r="D3340">
            <v>1089</v>
          </cell>
          <cell r="E3340">
            <v>13068</v>
          </cell>
          <cell r="F3340" t="str">
            <v>A3-S08</v>
          </cell>
          <cell r="G3340" t="str">
            <v>Center top rail - Đố nóc giữa</v>
          </cell>
          <cell r="H3340" t="str">
            <v>Wood laminate</v>
          </cell>
          <cell r="I3340">
            <v>24</v>
          </cell>
        </row>
        <row r="3341">
          <cell r="A3341" t="str">
            <v>B558378/A</v>
          </cell>
          <cell r="B3341" t="str">
            <v>RH9046M398</v>
          </cell>
          <cell r="C3341">
            <v>12</v>
          </cell>
          <cell r="D3341">
            <v>1089</v>
          </cell>
          <cell r="E3341">
            <v>13068</v>
          </cell>
          <cell r="F3341" t="str">
            <v>A3-S09</v>
          </cell>
          <cell r="G3341" t="str">
            <v>Corner block - ke góc</v>
          </cell>
          <cell r="H3341" t="str">
            <v>Poplar off cut</v>
          </cell>
          <cell r="I3341">
            <v>48</v>
          </cell>
        </row>
        <row r="3342">
          <cell r="A3342" t="str">
            <v>B558378/A</v>
          </cell>
          <cell r="B3342" t="str">
            <v>RH9046M398</v>
          </cell>
          <cell r="C3342">
            <v>12</v>
          </cell>
          <cell r="D3342">
            <v>1089</v>
          </cell>
          <cell r="E3342">
            <v>13068</v>
          </cell>
          <cell r="F3342" t="str">
            <v>A3-S10</v>
          </cell>
          <cell r="G3342" t="str">
            <v xml:space="preserve">Side rail  - Đố hông </v>
          </cell>
          <cell r="H3342" t="str">
            <v>Wood Rubber Laminate Board - 20 x 1220 x 2440mm, Veneer Poplar both Faces</v>
          </cell>
          <cell r="I3342">
            <v>72</v>
          </cell>
        </row>
        <row r="3343">
          <cell r="A3343" t="str">
            <v>B558378/A</v>
          </cell>
          <cell r="B3343" t="str">
            <v>RH9046M398</v>
          </cell>
          <cell r="C3343">
            <v>12</v>
          </cell>
          <cell r="D3343">
            <v>1089</v>
          </cell>
          <cell r="E3343">
            <v>13068</v>
          </cell>
          <cell r="F3343" t="str">
            <v>A3-S11</v>
          </cell>
          <cell r="G3343" t="str">
            <v>Bottom panel - Ván đáy</v>
          </cell>
          <cell r="H3343" t="str">
            <v>MDF - 06 x 1220 x 2440mm, Veneer Okoume 0.3mm Both Faces [CARB P2 Compliant]</v>
          </cell>
          <cell r="I3343">
            <v>48</v>
          </cell>
        </row>
        <row r="3344">
          <cell r="A3344" t="str">
            <v>B558378/A</v>
          </cell>
          <cell r="B3344" t="str">
            <v>RH9046M398</v>
          </cell>
          <cell r="C3344">
            <v>12</v>
          </cell>
          <cell r="D3344">
            <v>1089</v>
          </cell>
          <cell r="E3344">
            <v>13068</v>
          </cell>
          <cell r="F3344" t="str">
            <v>A4</v>
          </cell>
          <cell r="G3344" t="str">
            <v>support Top - đỡ nóc</v>
          </cell>
          <cell r="H3344" t="str">
            <v>Pre-Assembly</v>
          </cell>
          <cell r="I3344">
            <v>12</v>
          </cell>
        </row>
        <row r="3345">
          <cell r="A3345" t="str">
            <v>B558378/A</v>
          </cell>
          <cell r="B3345" t="str">
            <v>RH9046M398</v>
          </cell>
          <cell r="C3345">
            <v>12</v>
          </cell>
          <cell r="D3345">
            <v>1089</v>
          </cell>
          <cell r="E3345">
            <v>13068</v>
          </cell>
          <cell r="F3345" t="str">
            <v>A4-S01</v>
          </cell>
          <cell r="G3345" t="str">
            <v xml:space="preserve">Panel - Ván </v>
          </cell>
          <cell r="H3345" t="str">
            <v>MDF Veneer</v>
          </cell>
          <cell r="I3345">
            <v>24</v>
          </cell>
        </row>
        <row r="3346">
          <cell r="A3346" t="str">
            <v>B558378/A</v>
          </cell>
          <cell r="B3346" t="str">
            <v>RH9046M398</v>
          </cell>
          <cell r="C3346">
            <v>12</v>
          </cell>
          <cell r="D3346">
            <v>1089</v>
          </cell>
          <cell r="E3346">
            <v>13068</v>
          </cell>
          <cell r="F3346" t="str">
            <v>A4-S02</v>
          </cell>
          <cell r="G3346" t="str">
            <v xml:space="preserve">Panel - Ván </v>
          </cell>
          <cell r="H3346" t="str">
            <v>Cement Board - 18 x 1220 x 2440mm, Dark Grey</v>
          </cell>
          <cell r="I3346">
            <v>12</v>
          </cell>
        </row>
        <row r="3347">
          <cell r="A3347" t="str">
            <v>B558378/A</v>
          </cell>
          <cell r="B3347" t="str">
            <v>RH9046M398</v>
          </cell>
          <cell r="C3347">
            <v>12</v>
          </cell>
          <cell r="D3347">
            <v>1089</v>
          </cell>
          <cell r="E3347">
            <v>13068</v>
          </cell>
          <cell r="F3347" t="str">
            <v>A4-S03</v>
          </cell>
          <cell r="G3347" t="str">
            <v>inside rail - do trong</v>
          </cell>
          <cell r="H3347" t="str">
            <v>MDF - 18 x 1830 x 2440mm [CARB P2 Compliant]</v>
          </cell>
          <cell r="I3347">
            <v>24</v>
          </cell>
        </row>
        <row r="3348">
          <cell r="A3348" t="str">
            <v>B558378/A</v>
          </cell>
          <cell r="B3348" t="str">
            <v>RH9046M398</v>
          </cell>
          <cell r="C3348">
            <v>12</v>
          </cell>
          <cell r="D3348">
            <v>1089</v>
          </cell>
          <cell r="E3348">
            <v>13068</v>
          </cell>
          <cell r="F3348" t="str">
            <v>A4-S04</v>
          </cell>
          <cell r="G3348" t="str">
            <v>inside rail - do trong</v>
          </cell>
          <cell r="H3348" t="str">
            <v>MDF - 18 x 1830 x 2440mm [CARB P2 Compliant]</v>
          </cell>
          <cell r="I3348">
            <v>24</v>
          </cell>
        </row>
        <row r="3349">
          <cell r="A3349" t="str">
            <v>B558378/A</v>
          </cell>
          <cell r="B3349" t="str">
            <v>RH9046M398</v>
          </cell>
          <cell r="C3349">
            <v>12</v>
          </cell>
          <cell r="D3349">
            <v>1089</v>
          </cell>
          <cell r="E3349">
            <v>13068</v>
          </cell>
          <cell r="F3349" t="str">
            <v>P02</v>
          </cell>
          <cell r="G3349" t="str">
            <v>vaccumn veneer - cảo bich veneer</v>
          </cell>
          <cell r="H3349" t="str">
            <v>MDF Veneer</v>
          </cell>
          <cell r="I3349">
            <v>24</v>
          </cell>
        </row>
        <row r="3350">
          <cell r="A3350" t="str">
            <v>B558378/A</v>
          </cell>
          <cell r="B3350" t="str">
            <v>RH9046M398</v>
          </cell>
          <cell r="C3350">
            <v>12</v>
          </cell>
          <cell r="D3350">
            <v>1089</v>
          </cell>
          <cell r="E3350">
            <v>13068</v>
          </cell>
          <cell r="F3350" t="str">
            <v>P02-1</v>
          </cell>
          <cell r="G3350" t="str">
            <v xml:space="preserve">Panel - Ván </v>
          </cell>
          <cell r="H3350" t="str">
            <v>MDF Veneer</v>
          </cell>
          <cell r="I3350">
            <v>24</v>
          </cell>
        </row>
        <row r="3351">
          <cell r="A3351" t="str">
            <v>B558378/A</v>
          </cell>
          <cell r="B3351" t="str">
            <v>RH9046M398</v>
          </cell>
          <cell r="C3351">
            <v>12</v>
          </cell>
          <cell r="D3351">
            <v>1089</v>
          </cell>
          <cell r="E3351">
            <v>13068</v>
          </cell>
          <cell r="F3351" t="str">
            <v>P02-2</v>
          </cell>
          <cell r="G3351" t="str">
            <v>MDF - MDF</v>
          </cell>
          <cell r="H3351" t="str">
            <v>MDF - 09 x 1830 x 2440mm [CARB P2 Compliant]</v>
          </cell>
          <cell r="I3351">
            <v>24</v>
          </cell>
        </row>
        <row r="3352">
          <cell r="A3352" t="str">
            <v>B558378/A</v>
          </cell>
          <cell r="B3352" t="str">
            <v>RH9046M398</v>
          </cell>
          <cell r="C3352">
            <v>12</v>
          </cell>
          <cell r="D3352">
            <v>1089</v>
          </cell>
          <cell r="E3352">
            <v>13068</v>
          </cell>
          <cell r="F3352" t="str">
            <v>P02-3</v>
          </cell>
          <cell r="G3352" t="str">
            <v xml:space="preserve">Panel - Ván </v>
          </cell>
          <cell r="H3352" t="str">
            <v>MDF - 25 x 1830 x 2440mm [CARB P2 Compliant]</v>
          </cell>
          <cell r="I3352">
            <v>48</v>
          </cell>
        </row>
        <row r="3353">
          <cell r="A3353" t="str">
            <v>B558378/A</v>
          </cell>
          <cell r="B3353" t="str">
            <v>RH9046M398</v>
          </cell>
          <cell r="C3353">
            <v>12</v>
          </cell>
          <cell r="D3353">
            <v>1089</v>
          </cell>
          <cell r="E3353">
            <v>13068</v>
          </cell>
          <cell r="F3353" t="str">
            <v>P02-4</v>
          </cell>
          <cell r="G3353" t="str">
            <v xml:space="preserve">Panel - Ván </v>
          </cell>
          <cell r="H3353" t="str">
            <v>MDF laminate</v>
          </cell>
          <cell r="I3353">
            <v>48</v>
          </cell>
        </row>
        <row r="3354">
          <cell r="A3354" t="str">
            <v>B558378/A</v>
          </cell>
          <cell r="B3354" t="str">
            <v>RH9046M398</v>
          </cell>
          <cell r="C3354">
            <v>12</v>
          </cell>
          <cell r="D3354">
            <v>1089</v>
          </cell>
          <cell r="E3354">
            <v>13068</v>
          </cell>
          <cell r="F3354" t="str">
            <v>P02-5</v>
          </cell>
          <cell r="G3354" t="str">
            <v xml:space="preserve">Panel - Ván </v>
          </cell>
          <cell r="H3354" t="str">
            <v>Cement lamilated</v>
          </cell>
          <cell r="I3354">
            <v>24</v>
          </cell>
        </row>
        <row r="3355">
          <cell r="A3355" t="str">
            <v>B558378/A</v>
          </cell>
          <cell r="B3355" t="str">
            <v>RH9046M398</v>
          </cell>
          <cell r="C3355">
            <v>12</v>
          </cell>
          <cell r="D3355">
            <v>1089</v>
          </cell>
          <cell r="E3355">
            <v>13068</v>
          </cell>
          <cell r="F3355" t="str">
            <v>P03</v>
          </cell>
          <cell r="G3355" t="str">
            <v>Spline - Lưỡi gà</v>
          </cell>
          <cell r="H3355" t="str">
            <v>Plywood LVD - 09 x 1220 x 2440mm, Bleached Poplar Veneer Both Sides [CARB P2 Compliant]</v>
          </cell>
          <cell r="I3355">
            <v>48</v>
          </cell>
        </row>
        <row r="3356">
          <cell r="A3356" t="str">
            <v>B558380/A</v>
          </cell>
          <cell r="B3356" t="str">
            <v>RH9046M410</v>
          </cell>
          <cell r="C3356">
            <v>3</v>
          </cell>
          <cell r="D3356">
            <v>1089</v>
          </cell>
          <cell r="E3356">
            <v>3267</v>
          </cell>
          <cell r="F3356" t="str">
            <v>A2-S01</v>
          </cell>
          <cell r="G3356" t="str">
            <v>Bottom panel - Ván đáy</v>
          </cell>
          <cell r="H3356" t="str">
            <v>MDF Veneer</v>
          </cell>
          <cell r="I3356">
            <v>3</v>
          </cell>
        </row>
        <row r="3357">
          <cell r="A3357" t="str">
            <v>B558380/A</v>
          </cell>
          <cell r="B3357" t="str">
            <v>RH9046M410</v>
          </cell>
          <cell r="C3357">
            <v>3</v>
          </cell>
          <cell r="D3357">
            <v>1089</v>
          </cell>
          <cell r="E3357">
            <v>3267</v>
          </cell>
          <cell r="F3357" t="str">
            <v>A2-S02</v>
          </cell>
          <cell r="G3357" t="str">
            <v>Side bottom rail - Đố hông dưới</v>
          </cell>
          <cell r="H3357" t="str">
            <v>Wood laminate</v>
          </cell>
          <cell r="I3357">
            <v>6</v>
          </cell>
        </row>
        <row r="3358">
          <cell r="A3358" t="str">
            <v>B558380/A</v>
          </cell>
          <cell r="B3358" t="str">
            <v>RH9046M410</v>
          </cell>
          <cell r="C3358">
            <v>3</v>
          </cell>
          <cell r="D3358">
            <v>1089</v>
          </cell>
          <cell r="E3358">
            <v>3267</v>
          </cell>
          <cell r="F3358" t="str">
            <v>A2-S03</v>
          </cell>
          <cell r="G3358" t="str">
            <v>Front Bottom Rail  - Đố đáy trước</v>
          </cell>
          <cell r="H3358" t="str">
            <v>Wood laminate</v>
          </cell>
          <cell r="I3358">
            <v>6</v>
          </cell>
        </row>
        <row r="3359">
          <cell r="A3359" t="str">
            <v>B558380/A</v>
          </cell>
          <cell r="B3359" t="str">
            <v>RH9046M410</v>
          </cell>
          <cell r="C3359">
            <v>3</v>
          </cell>
          <cell r="D3359">
            <v>1089</v>
          </cell>
          <cell r="E3359">
            <v>3267</v>
          </cell>
          <cell r="F3359" t="str">
            <v>A2-S04</v>
          </cell>
          <cell r="G3359" t="str">
            <v>Center bottom rail - Đố đáy giữa</v>
          </cell>
          <cell r="H3359" t="str">
            <v>Standard Wood - ALDER/ASPEN/LENGA/US POPLAR, 2 COM - T25 W120mm+ L2m+</v>
          </cell>
          <cell r="I3359">
            <v>6</v>
          </cell>
        </row>
        <row r="3360">
          <cell r="A3360" t="str">
            <v>B558380/A</v>
          </cell>
          <cell r="B3360" t="str">
            <v>RH9046M410</v>
          </cell>
          <cell r="C3360">
            <v>3</v>
          </cell>
          <cell r="D3360">
            <v>1089</v>
          </cell>
          <cell r="E3360">
            <v>3267</v>
          </cell>
          <cell r="F3360" t="str">
            <v>A3-S01</v>
          </cell>
          <cell r="G3360" t="str">
            <v xml:space="preserve">Top panel  - Ván nóc </v>
          </cell>
          <cell r="H3360" t="str">
            <v>MDF Veneer</v>
          </cell>
          <cell r="I3360">
            <v>3</v>
          </cell>
        </row>
        <row r="3361">
          <cell r="A3361" t="str">
            <v>B558380/A</v>
          </cell>
          <cell r="B3361" t="str">
            <v>RH9046M410</v>
          </cell>
          <cell r="C3361">
            <v>3</v>
          </cell>
          <cell r="D3361">
            <v>1089</v>
          </cell>
          <cell r="E3361">
            <v>3267</v>
          </cell>
          <cell r="F3361" t="str">
            <v>A3-S01-1</v>
          </cell>
          <cell r="G3361" t="str">
            <v>Insert Wood - Gỗ chèn</v>
          </cell>
          <cell r="H3361" t="str">
            <v>Beech off cut</v>
          </cell>
          <cell r="I3361">
            <v>30</v>
          </cell>
        </row>
        <row r="3362">
          <cell r="A3362" t="str">
            <v>B558380/A</v>
          </cell>
          <cell r="B3362" t="str">
            <v>RH9046M410</v>
          </cell>
          <cell r="C3362">
            <v>3</v>
          </cell>
          <cell r="D3362">
            <v>1089</v>
          </cell>
          <cell r="E3362">
            <v>3267</v>
          </cell>
          <cell r="F3362" t="str">
            <v>A3-S02</v>
          </cell>
          <cell r="G3362" t="str">
            <v>Front top rail  - Đố tiền nóc</v>
          </cell>
          <cell r="H3362" t="str">
            <v>Wood laminate</v>
          </cell>
          <cell r="I3362">
            <v>6</v>
          </cell>
        </row>
        <row r="3363">
          <cell r="A3363" t="str">
            <v>B558380/A</v>
          </cell>
          <cell r="B3363" t="str">
            <v>RH9046M410</v>
          </cell>
          <cell r="C3363">
            <v>3</v>
          </cell>
          <cell r="D3363">
            <v>1089</v>
          </cell>
          <cell r="E3363">
            <v>3267</v>
          </cell>
          <cell r="F3363" t="str">
            <v>A3-S02-1</v>
          </cell>
          <cell r="G3363" t="str">
            <v>Insert Wood - Gỗ chèn</v>
          </cell>
          <cell r="H3363" t="str">
            <v>oak off cut</v>
          </cell>
          <cell r="I3363">
            <v>12</v>
          </cell>
        </row>
        <row r="3364">
          <cell r="A3364" t="str">
            <v>B558380/A</v>
          </cell>
          <cell r="B3364" t="str">
            <v>RH9046M410</v>
          </cell>
          <cell r="C3364">
            <v>3</v>
          </cell>
          <cell r="D3364">
            <v>1089</v>
          </cell>
          <cell r="E3364">
            <v>3267</v>
          </cell>
          <cell r="F3364" t="str">
            <v>A3-S03</v>
          </cell>
          <cell r="G3364" t="str">
            <v>Side top rail - Đố hông trên</v>
          </cell>
          <cell r="H3364" t="str">
            <v>Wood laminate</v>
          </cell>
          <cell r="I3364">
            <v>6</v>
          </cell>
        </row>
        <row r="3365">
          <cell r="A3365" t="str">
            <v>B558380/A</v>
          </cell>
          <cell r="B3365" t="str">
            <v>RH9046M410</v>
          </cell>
          <cell r="C3365">
            <v>3</v>
          </cell>
          <cell r="D3365">
            <v>1089</v>
          </cell>
          <cell r="E3365">
            <v>3267</v>
          </cell>
          <cell r="F3365" t="str">
            <v>A3-S04</v>
          </cell>
          <cell r="G3365" t="str">
            <v>Spline - Lưỡi gà</v>
          </cell>
          <cell r="H3365" t="str">
            <v>Plywood LVD - 06 x 1220 x 2440mm, Bleached Poplar Veneer Both Sides [CARB P2 Compliant]</v>
          </cell>
          <cell r="I3365">
            <v>12</v>
          </cell>
        </row>
        <row r="3366">
          <cell r="A3366" t="str">
            <v>B558380/A</v>
          </cell>
          <cell r="B3366" t="str">
            <v>RH9046M410</v>
          </cell>
          <cell r="C3366">
            <v>3</v>
          </cell>
          <cell r="D3366">
            <v>1089</v>
          </cell>
          <cell r="E3366">
            <v>3267</v>
          </cell>
          <cell r="F3366" t="str">
            <v>A3-S05</v>
          </cell>
          <cell r="G3366" t="str">
            <v>Spline - Lưỡi gà</v>
          </cell>
          <cell r="H3366" t="str">
            <v>Plywood LVD - 06 x 1220 x 2440mm, Bleached Poplar Veneer Both Sides [CARB P2 Compliant]</v>
          </cell>
          <cell r="I3366">
            <v>6</v>
          </cell>
        </row>
        <row r="3367">
          <cell r="A3367" t="str">
            <v>B558380/A</v>
          </cell>
          <cell r="B3367" t="str">
            <v>RH9046M410</v>
          </cell>
          <cell r="C3367">
            <v>3</v>
          </cell>
          <cell r="D3367">
            <v>1089</v>
          </cell>
          <cell r="E3367">
            <v>3267</v>
          </cell>
          <cell r="F3367" t="str">
            <v>A3-S07</v>
          </cell>
          <cell r="G3367" t="str">
            <v>Center top rail - Đố nóc giữa</v>
          </cell>
          <cell r="H3367" t="str">
            <v>Wood laminate</v>
          </cell>
          <cell r="I3367">
            <v>6</v>
          </cell>
        </row>
        <row r="3368">
          <cell r="A3368" t="str">
            <v>B558380/A</v>
          </cell>
          <cell r="B3368" t="str">
            <v>RH9046M410</v>
          </cell>
          <cell r="C3368">
            <v>3</v>
          </cell>
          <cell r="D3368">
            <v>1089</v>
          </cell>
          <cell r="E3368">
            <v>3267</v>
          </cell>
          <cell r="F3368" t="str">
            <v>A3-S08</v>
          </cell>
          <cell r="G3368" t="str">
            <v>Center top rail - Đố nóc giữa</v>
          </cell>
          <cell r="H3368" t="str">
            <v>Wood laminate</v>
          </cell>
          <cell r="I3368">
            <v>6</v>
          </cell>
        </row>
        <row r="3369">
          <cell r="A3369" t="str">
            <v>B558380/A</v>
          </cell>
          <cell r="B3369" t="str">
            <v>RH9046M410</v>
          </cell>
          <cell r="C3369">
            <v>3</v>
          </cell>
          <cell r="D3369">
            <v>1089</v>
          </cell>
          <cell r="E3369">
            <v>3267</v>
          </cell>
          <cell r="F3369" t="str">
            <v>A3-S09</v>
          </cell>
          <cell r="G3369" t="str">
            <v>Corner block - ke góc</v>
          </cell>
          <cell r="H3369" t="str">
            <v>Poplar off cut</v>
          </cell>
          <cell r="I3369">
            <v>12</v>
          </cell>
        </row>
        <row r="3370">
          <cell r="A3370" t="str">
            <v>B558380/A</v>
          </cell>
          <cell r="B3370" t="str">
            <v>RH9046M410</v>
          </cell>
          <cell r="C3370">
            <v>3</v>
          </cell>
          <cell r="D3370">
            <v>1089</v>
          </cell>
          <cell r="E3370">
            <v>3267</v>
          </cell>
          <cell r="F3370" t="str">
            <v>A3-S10</v>
          </cell>
          <cell r="G3370" t="str">
            <v xml:space="preserve">Side rail  - Đố hông </v>
          </cell>
          <cell r="H3370" t="str">
            <v>Wood Rubber Laminate Board - 20 x 1220 x 2440mm, Veneer Poplar both Faces</v>
          </cell>
          <cell r="I3370">
            <v>18</v>
          </cell>
        </row>
        <row r="3371">
          <cell r="A3371" t="str">
            <v>B558380/A</v>
          </cell>
          <cell r="B3371" t="str">
            <v>RH9046M410</v>
          </cell>
          <cell r="C3371">
            <v>3</v>
          </cell>
          <cell r="D3371">
            <v>1089</v>
          </cell>
          <cell r="E3371">
            <v>3267</v>
          </cell>
          <cell r="F3371" t="str">
            <v>A3-S11</v>
          </cell>
          <cell r="G3371" t="str">
            <v>Bottom panel - Ván đáy</v>
          </cell>
          <cell r="H3371" t="str">
            <v>MDF - 06 x 1220 x 2440mm, Veneer Okoume 0.3mm Both Faces [CARB P2 Compliant]</v>
          </cell>
          <cell r="I3371">
            <v>12</v>
          </cell>
        </row>
        <row r="3372">
          <cell r="A3372" t="str">
            <v>B558380/A</v>
          </cell>
          <cell r="B3372" t="str">
            <v>RH9046M410</v>
          </cell>
          <cell r="C3372">
            <v>3</v>
          </cell>
          <cell r="D3372">
            <v>1089</v>
          </cell>
          <cell r="E3372">
            <v>3267</v>
          </cell>
          <cell r="F3372" t="str">
            <v>A4</v>
          </cell>
          <cell r="G3372" t="str">
            <v>support Top - đỡ nóc</v>
          </cell>
          <cell r="H3372" t="str">
            <v>Pre-Assembly</v>
          </cell>
          <cell r="I3372">
            <v>3</v>
          </cell>
        </row>
        <row r="3373">
          <cell r="A3373" t="str">
            <v>B558380/A</v>
          </cell>
          <cell r="B3373" t="str">
            <v>RH9046M410</v>
          </cell>
          <cell r="C3373">
            <v>3</v>
          </cell>
          <cell r="D3373">
            <v>1089</v>
          </cell>
          <cell r="E3373">
            <v>3267</v>
          </cell>
          <cell r="F3373" t="str">
            <v>A4-S01</v>
          </cell>
          <cell r="G3373" t="str">
            <v xml:space="preserve">Panel - Ván </v>
          </cell>
          <cell r="H3373" t="str">
            <v>MDF Veneer</v>
          </cell>
          <cell r="I3373">
            <v>6</v>
          </cell>
        </row>
        <row r="3374">
          <cell r="A3374" t="str">
            <v>B558380/A</v>
          </cell>
          <cell r="B3374" t="str">
            <v>RH9046M410</v>
          </cell>
          <cell r="C3374">
            <v>3</v>
          </cell>
          <cell r="D3374">
            <v>1089</v>
          </cell>
          <cell r="E3374">
            <v>3267</v>
          </cell>
          <cell r="F3374" t="str">
            <v>A4-S02</v>
          </cell>
          <cell r="G3374" t="str">
            <v xml:space="preserve">Panel - Ván </v>
          </cell>
          <cell r="H3374" t="str">
            <v>Cement Board - 18 x 1220 x 2440mm, Dark Grey</v>
          </cell>
          <cell r="I3374">
            <v>3</v>
          </cell>
        </row>
        <row r="3375">
          <cell r="A3375" t="str">
            <v>B558380/A</v>
          </cell>
          <cell r="B3375" t="str">
            <v>RH9046M410</v>
          </cell>
          <cell r="C3375">
            <v>3</v>
          </cell>
          <cell r="D3375">
            <v>1089</v>
          </cell>
          <cell r="E3375">
            <v>3267</v>
          </cell>
          <cell r="F3375" t="str">
            <v>A4-S03</v>
          </cell>
          <cell r="G3375" t="str">
            <v>inside rail - do trong</v>
          </cell>
          <cell r="H3375" t="str">
            <v>MDF - 18 x 1830 x 2440mm [CARB P2 Compliant]</v>
          </cell>
          <cell r="I3375">
            <v>6</v>
          </cell>
        </row>
        <row r="3376">
          <cell r="A3376" t="str">
            <v>B558380/A</v>
          </cell>
          <cell r="B3376" t="str">
            <v>RH9046M410</v>
          </cell>
          <cell r="C3376">
            <v>3</v>
          </cell>
          <cell r="D3376">
            <v>1089</v>
          </cell>
          <cell r="E3376">
            <v>3267</v>
          </cell>
          <cell r="F3376" t="str">
            <v>A4-S04</v>
          </cell>
          <cell r="G3376" t="str">
            <v>inside rail - do trong</v>
          </cell>
          <cell r="H3376" t="str">
            <v>MDF - 18 x 1830 x 2440mm [CARB P2 Compliant]</v>
          </cell>
          <cell r="I3376">
            <v>6</v>
          </cell>
        </row>
        <row r="3377">
          <cell r="A3377" t="str">
            <v>B558380/A</v>
          </cell>
          <cell r="B3377" t="str">
            <v>RH9046M410</v>
          </cell>
          <cell r="C3377">
            <v>3</v>
          </cell>
          <cell r="D3377">
            <v>1089</v>
          </cell>
          <cell r="E3377">
            <v>3267</v>
          </cell>
          <cell r="F3377" t="str">
            <v>P02</v>
          </cell>
          <cell r="G3377" t="str">
            <v>vaccumn veneer - cảo bich veneer</v>
          </cell>
          <cell r="H3377" t="str">
            <v>MDF Veneer</v>
          </cell>
          <cell r="I3377">
            <v>6</v>
          </cell>
        </row>
        <row r="3378">
          <cell r="A3378" t="str">
            <v>B558380/A</v>
          </cell>
          <cell r="B3378" t="str">
            <v>RH9046M410</v>
          </cell>
          <cell r="C3378">
            <v>3</v>
          </cell>
          <cell r="D3378">
            <v>1089</v>
          </cell>
          <cell r="E3378">
            <v>3267</v>
          </cell>
          <cell r="F3378" t="str">
            <v>P02-1</v>
          </cell>
          <cell r="G3378" t="str">
            <v xml:space="preserve">Panel - Ván </v>
          </cell>
          <cell r="H3378" t="str">
            <v>MDF Veneer</v>
          </cell>
          <cell r="I3378">
            <v>6</v>
          </cell>
        </row>
        <row r="3379">
          <cell r="A3379" t="str">
            <v>B558380/A</v>
          </cell>
          <cell r="B3379" t="str">
            <v>RH9046M410</v>
          </cell>
          <cell r="C3379">
            <v>3</v>
          </cell>
          <cell r="D3379">
            <v>1089</v>
          </cell>
          <cell r="E3379">
            <v>3267</v>
          </cell>
          <cell r="F3379" t="str">
            <v>P02-2</v>
          </cell>
          <cell r="G3379" t="str">
            <v>MDF - MDF</v>
          </cell>
          <cell r="H3379" t="str">
            <v>MDF - 09 x 1830 x 2440mm [CARB P2 Compliant]</v>
          </cell>
          <cell r="I3379">
            <v>6</v>
          </cell>
        </row>
        <row r="3380">
          <cell r="A3380" t="str">
            <v>B558380/A</v>
          </cell>
          <cell r="B3380" t="str">
            <v>RH9046M410</v>
          </cell>
          <cell r="C3380">
            <v>3</v>
          </cell>
          <cell r="D3380">
            <v>1089</v>
          </cell>
          <cell r="E3380">
            <v>3267</v>
          </cell>
          <cell r="F3380" t="str">
            <v>P02-3</v>
          </cell>
          <cell r="G3380" t="str">
            <v xml:space="preserve">Panel - Ván </v>
          </cell>
          <cell r="H3380" t="str">
            <v>MDF - 25 x 1830 x 2440mm [CARB P2 Compliant]</v>
          </cell>
          <cell r="I3380">
            <v>12</v>
          </cell>
        </row>
        <row r="3381">
          <cell r="A3381" t="str">
            <v>B558380/A</v>
          </cell>
          <cell r="B3381" t="str">
            <v>RH9046M410</v>
          </cell>
          <cell r="C3381">
            <v>3</v>
          </cell>
          <cell r="D3381">
            <v>1089</v>
          </cell>
          <cell r="E3381">
            <v>3267</v>
          </cell>
          <cell r="F3381" t="str">
            <v>P02-4</v>
          </cell>
          <cell r="G3381" t="str">
            <v xml:space="preserve">Panel - Ván </v>
          </cell>
          <cell r="H3381" t="str">
            <v>MDF laminate</v>
          </cell>
          <cell r="I3381">
            <v>12</v>
          </cell>
        </row>
        <row r="3382">
          <cell r="A3382" t="str">
            <v>B558380/A</v>
          </cell>
          <cell r="B3382" t="str">
            <v>RH9046M410</v>
          </cell>
          <cell r="C3382">
            <v>3</v>
          </cell>
          <cell r="D3382">
            <v>1089</v>
          </cell>
          <cell r="E3382">
            <v>3267</v>
          </cell>
          <cell r="F3382" t="str">
            <v>P02-5</v>
          </cell>
          <cell r="G3382" t="str">
            <v xml:space="preserve">Panel - Ván </v>
          </cell>
          <cell r="H3382" t="str">
            <v>Cement lamilated</v>
          </cell>
          <cell r="I3382">
            <v>6</v>
          </cell>
        </row>
        <row r="3383">
          <cell r="A3383" t="str">
            <v>B558380/A</v>
          </cell>
          <cell r="B3383" t="str">
            <v>RH9046M410</v>
          </cell>
          <cell r="C3383">
            <v>3</v>
          </cell>
          <cell r="D3383">
            <v>1089</v>
          </cell>
          <cell r="E3383">
            <v>3267</v>
          </cell>
          <cell r="F3383" t="str">
            <v>P03</v>
          </cell>
          <cell r="G3383" t="str">
            <v>Spline - Lưỡi gà</v>
          </cell>
          <cell r="H3383" t="str">
            <v>Plywood LVD - 09 x 1220 x 2440mm, Bleached Poplar Veneer Both Sides [CARB P2 Compliant]</v>
          </cell>
          <cell r="I3383">
            <v>12</v>
          </cell>
        </row>
        <row r="3384">
          <cell r="A3384" t="str">
            <v>B558382/A</v>
          </cell>
          <cell r="B3384" t="str">
            <v>RH9049M396</v>
          </cell>
          <cell r="C3384">
            <v>16</v>
          </cell>
          <cell r="D3384">
            <v>535</v>
          </cell>
          <cell r="E3384">
            <v>8560</v>
          </cell>
          <cell r="F3384" t="str">
            <v>A1-S00</v>
          </cell>
          <cell r="G3384" t="str">
            <v>vaccumn veneer - cảo bich veneer</v>
          </cell>
          <cell r="H3384" t="str">
            <v>MDF Veneer</v>
          </cell>
          <cell r="I3384">
            <v>32</v>
          </cell>
        </row>
        <row r="3385">
          <cell r="A3385" t="str">
            <v>B558382/A</v>
          </cell>
          <cell r="B3385" t="str">
            <v>RH9049M396</v>
          </cell>
          <cell r="C3385">
            <v>16</v>
          </cell>
          <cell r="D3385">
            <v>535</v>
          </cell>
          <cell r="E3385">
            <v>8560</v>
          </cell>
          <cell r="F3385" t="str">
            <v>A1-S00-1</v>
          </cell>
          <cell r="G3385" t="str">
            <v>MDF - MDF</v>
          </cell>
          <cell r="H3385" t="str">
            <v>MDF laminate</v>
          </cell>
          <cell r="I3385">
            <v>128</v>
          </cell>
        </row>
        <row r="3386">
          <cell r="A3386" t="str">
            <v>B558382/A</v>
          </cell>
          <cell r="B3386" t="str">
            <v>RH9049M396</v>
          </cell>
          <cell r="C3386">
            <v>16</v>
          </cell>
          <cell r="D3386">
            <v>535</v>
          </cell>
          <cell r="E3386">
            <v>8560</v>
          </cell>
          <cell r="F3386" t="str">
            <v>A1-S00-2</v>
          </cell>
          <cell r="G3386" t="str">
            <v>MDF - MDF</v>
          </cell>
          <cell r="H3386" t="str">
            <v>MDF laminate</v>
          </cell>
          <cell r="I3386">
            <v>32</v>
          </cell>
        </row>
        <row r="3387">
          <cell r="A3387" t="str">
            <v>B558382/A</v>
          </cell>
          <cell r="B3387" t="str">
            <v>RH9049M396</v>
          </cell>
          <cell r="C3387">
            <v>16</v>
          </cell>
          <cell r="D3387">
            <v>535</v>
          </cell>
          <cell r="E3387">
            <v>8560</v>
          </cell>
          <cell r="F3387" t="str">
            <v>A1-S00-3</v>
          </cell>
          <cell r="G3387" t="str">
            <v>MDF - MDF</v>
          </cell>
          <cell r="H3387" t="str">
            <v>MDF laminate</v>
          </cell>
          <cell r="I3387">
            <v>32</v>
          </cell>
        </row>
        <row r="3388">
          <cell r="A3388" t="str">
            <v>B558382/A</v>
          </cell>
          <cell r="B3388" t="str">
            <v>RH9049M396</v>
          </cell>
          <cell r="C3388">
            <v>16</v>
          </cell>
          <cell r="D3388">
            <v>535</v>
          </cell>
          <cell r="E3388">
            <v>8560</v>
          </cell>
          <cell r="F3388" t="str">
            <v>A1-S01</v>
          </cell>
          <cell r="G3388" t="str">
            <v xml:space="preserve">Side panel  - Ván hông </v>
          </cell>
          <cell r="H3388" t="str">
            <v>MDF Veneer</v>
          </cell>
          <cell r="I3388">
            <v>32</v>
          </cell>
        </row>
        <row r="3389">
          <cell r="A3389" t="str">
            <v>B558382/A</v>
          </cell>
          <cell r="B3389" t="str">
            <v>RH9049M396</v>
          </cell>
          <cell r="C3389">
            <v>16</v>
          </cell>
          <cell r="D3389">
            <v>535</v>
          </cell>
          <cell r="E3389">
            <v>8560</v>
          </cell>
          <cell r="F3389" t="str">
            <v>A1-S02</v>
          </cell>
          <cell r="G3389" t="str">
            <v xml:space="preserve">Side panel  - Ván hông </v>
          </cell>
          <cell r="H3389" t="str">
            <v>MDF Veneer</v>
          </cell>
          <cell r="I3389">
            <v>32</v>
          </cell>
        </row>
        <row r="3390">
          <cell r="A3390" t="str">
            <v>B558382/A</v>
          </cell>
          <cell r="B3390" t="str">
            <v>RH9049M396</v>
          </cell>
          <cell r="C3390">
            <v>16</v>
          </cell>
          <cell r="D3390">
            <v>535</v>
          </cell>
          <cell r="E3390">
            <v>8560</v>
          </cell>
          <cell r="F3390" t="str">
            <v>A1-S03</v>
          </cell>
          <cell r="G3390" t="str">
            <v>Cleat - Bọ gỗ</v>
          </cell>
          <cell r="H3390" t="str">
            <v>Poplar off cut</v>
          </cell>
          <cell r="I3390">
            <v>64</v>
          </cell>
        </row>
        <row r="3391">
          <cell r="A3391" t="str">
            <v>B558382/A</v>
          </cell>
          <cell r="B3391" t="str">
            <v>RH9049M396</v>
          </cell>
          <cell r="C3391">
            <v>16</v>
          </cell>
          <cell r="D3391">
            <v>535</v>
          </cell>
          <cell r="E3391">
            <v>8560</v>
          </cell>
          <cell r="F3391" t="str">
            <v>A1-S04</v>
          </cell>
          <cell r="G3391" t="str">
            <v>Insert Wood - Gỗ chèn</v>
          </cell>
          <cell r="H3391" t="str">
            <v>Standard Wood - ALDER/ASPEN/LENGA/US POPLAR, 2 COM - T25 W120mm+ L2m+</v>
          </cell>
          <cell r="I3391">
            <v>64</v>
          </cell>
        </row>
        <row r="3392">
          <cell r="A3392" t="str">
            <v>B558382/A</v>
          </cell>
          <cell r="B3392" t="str">
            <v>RH9049M396</v>
          </cell>
          <cell r="C3392">
            <v>16</v>
          </cell>
          <cell r="D3392">
            <v>535</v>
          </cell>
          <cell r="E3392">
            <v>8560</v>
          </cell>
          <cell r="F3392" t="str">
            <v>A1-S05</v>
          </cell>
          <cell r="G3392" t="str">
            <v xml:space="preserve">Top panel  - Ván nóc </v>
          </cell>
          <cell r="H3392" t="str">
            <v>Plywood LVD - 18 x 1220 x 2440mm, Bleached Poplar Veneer Both Sides [CARB P2 Compliant]</v>
          </cell>
          <cell r="I3392">
            <v>32</v>
          </cell>
        </row>
        <row r="3393">
          <cell r="A3393" t="str">
            <v>B558382/A</v>
          </cell>
          <cell r="B3393" t="str">
            <v>RH9049M396</v>
          </cell>
          <cell r="C3393">
            <v>16</v>
          </cell>
          <cell r="D3393">
            <v>535</v>
          </cell>
          <cell r="E3393">
            <v>8560</v>
          </cell>
          <cell r="F3393" t="str">
            <v>A1-S07</v>
          </cell>
          <cell r="G3393" t="str">
            <v>Cleat - Bọ gỗ</v>
          </cell>
          <cell r="H3393" t="str">
            <v>Standard Wood - ALDER/ASPEN/LENGA/US POPLAR, 2 COM - T25 W120mm+ L2m+</v>
          </cell>
          <cell r="I3393">
            <v>64</v>
          </cell>
        </row>
        <row r="3394">
          <cell r="A3394" t="str">
            <v>B558382/A</v>
          </cell>
          <cell r="B3394" t="str">
            <v>RH9049M396</v>
          </cell>
          <cell r="C3394">
            <v>16</v>
          </cell>
          <cell r="D3394">
            <v>535</v>
          </cell>
          <cell r="E3394">
            <v>8560</v>
          </cell>
          <cell r="F3394" t="str">
            <v>A1-S08</v>
          </cell>
          <cell r="G3394" t="str">
            <v xml:space="preserve">Panel - Ván </v>
          </cell>
          <cell r="H3394" t="str">
            <v>Cement lamilated</v>
          </cell>
          <cell r="I3394">
            <v>32</v>
          </cell>
        </row>
        <row r="3395">
          <cell r="A3395" t="str">
            <v>B558382/A</v>
          </cell>
          <cell r="B3395" t="str">
            <v>RH9049M396</v>
          </cell>
          <cell r="C3395">
            <v>16</v>
          </cell>
          <cell r="D3395">
            <v>535</v>
          </cell>
          <cell r="E3395">
            <v>8560</v>
          </cell>
          <cell r="F3395" t="str">
            <v>A1-S08-1</v>
          </cell>
          <cell r="G3395" t="str">
            <v xml:space="preserve">Panel - Ván </v>
          </cell>
          <cell r="H3395" t="str">
            <v>Cement Board - 18 x 1220 x 2440mm, Dark Grey</v>
          </cell>
          <cell r="I3395">
            <v>32</v>
          </cell>
        </row>
        <row r="3396">
          <cell r="A3396" t="str">
            <v>B558382/A</v>
          </cell>
          <cell r="B3396" t="str">
            <v>RH9049M396</v>
          </cell>
          <cell r="C3396">
            <v>16</v>
          </cell>
          <cell r="D3396">
            <v>535</v>
          </cell>
          <cell r="E3396">
            <v>8560</v>
          </cell>
          <cell r="F3396" t="str">
            <v>A1-S08-2</v>
          </cell>
          <cell r="G3396" t="str">
            <v xml:space="preserve">Panel - Ván </v>
          </cell>
          <cell r="H3396" t="str">
            <v>Cement Board - 18 x 1220 x 2440mm, Dark Grey</v>
          </cell>
          <cell r="I3396">
            <v>32</v>
          </cell>
        </row>
        <row r="3397">
          <cell r="A3397" t="str">
            <v>B558382/A</v>
          </cell>
          <cell r="B3397" t="str">
            <v>RH9049M396</v>
          </cell>
          <cell r="C3397">
            <v>16</v>
          </cell>
          <cell r="D3397">
            <v>535</v>
          </cell>
          <cell r="E3397">
            <v>8560</v>
          </cell>
          <cell r="F3397" t="str">
            <v>A2</v>
          </cell>
          <cell r="G3397" t="str">
            <v>Bottom frame - Khung dưới</v>
          </cell>
          <cell r="H3397" t="str">
            <v>Pre-Assembly</v>
          </cell>
          <cell r="I3397">
            <v>16</v>
          </cell>
        </row>
        <row r="3398">
          <cell r="A3398" t="str">
            <v>B558382/A</v>
          </cell>
          <cell r="B3398" t="str">
            <v>RH9049M396</v>
          </cell>
          <cell r="C3398">
            <v>16</v>
          </cell>
          <cell r="D3398">
            <v>535</v>
          </cell>
          <cell r="E3398">
            <v>8560</v>
          </cell>
          <cell r="F3398" t="str">
            <v>A2-S01</v>
          </cell>
          <cell r="G3398" t="str">
            <v>Bottom panel - Ván đáy</v>
          </cell>
          <cell r="H3398" t="str">
            <v>MDF Veneer</v>
          </cell>
          <cell r="I3398">
            <v>16</v>
          </cell>
        </row>
        <row r="3399">
          <cell r="A3399" t="str">
            <v>B558382/A</v>
          </cell>
          <cell r="B3399" t="str">
            <v>RH9049M396</v>
          </cell>
          <cell r="C3399">
            <v>16</v>
          </cell>
          <cell r="D3399">
            <v>535</v>
          </cell>
          <cell r="E3399">
            <v>8560</v>
          </cell>
          <cell r="F3399" t="str">
            <v>A2-S02</v>
          </cell>
          <cell r="G3399" t="str">
            <v xml:space="preserve">Side rail  - Đố hông </v>
          </cell>
          <cell r="H3399" t="str">
            <v>Wood laminate</v>
          </cell>
          <cell r="I3399">
            <v>32</v>
          </cell>
        </row>
        <row r="3400">
          <cell r="A3400" t="str">
            <v>B558382/A</v>
          </cell>
          <cell r="B3400" t="str">
            <v>RH9049M396</v>
          </cell>
          <cell r="C3400">
            <v>16</v>
          </cell>
          <cell r="D3400">
            <v>535</v>
          </cell>
          <cell r="E3400">
            <v>8560</v>
          </cell>
          <cell r="F3400" t="str">
            <v>A2-S03</v>
          </cell>
          <cell r="G3400" t="str">
            <v>Front rail  - Đố tiền</v>
          </cell>
          <cell r="H3400" t="str">
            <v>Wood laminate</v>
          </cell>
          <cell r="I3400">
            <v>32</v>
          </cell>
        </row>
        <row r="3401">
          <cell r="A3401" t="str">
            <v>B558382/A</v>
          </cell>
          <cell r="B3401" t="str">
            <v>RH9049M396</v>
          </cell>
          <cell r="C3401">
            <v>16</v>
          </cell>
          <cell r="D3401">
            <v>535</v>
          </cell>
          <cell r="E3401">
            <v>8560</v>
          </cell>
          <cell r="F3401" t="str">
            <v>A3-S01</v>
          </cell>
          <cell r="G3401" t="str">
            <v>Front rail  - Đố tiền</v>
          </cell>
          <cell r="H3401" t="str">
            <v>Wood laminate</v>
          </cell>
          <cell r="I3401">
            <v>32</v>
          </cell>
        </row>
        <row r="3402">
          <cell r="A3402" t="str">
            <v>B558382/A</v>
          </cell>
          <cell r="B3402" t="str">
            <v>RH9049M396</v>
          </cell>
          <cell r="C3402">
            <v>16</v>
          </cell>
          <cell r="D3402">
            <v>535</v>
          </cell>
          <cell r="E3402">
            <v>8560</v>
          </cell>
          <cell r="F3402" t="str">
            <v>A3-S02</v>
          </cell>
          <cell r="G3402" t="str">
            <v xml:space="preserve">Side rail  - Đố hông </v>
          </cell>
          <cell r="H3402" t="str">
            <v>Wood laminate</v>
          </cell>
          <cell r="I3402">
            <v>32</v>
          </cell>
        </row>
        <row r="3403">
          <cell r="A3403" t="str">
            <v>B558382/A</v>
          </cell>
          <cell r="B3403" t="str">
            <v>RH9049M396</v>
          </cell>
          <cell r="C3403">
            <v>16</v>
          </cell>
          <cell r="D3403">
            <v>535</v>
          </cell>
          <cell r="E3403">
            <v>8560</v>
          </cell>
          <cell r="F3403" t="str">
            <v>A4-S01</v>
          </cell>
          <cell r="G3403" t="str">
            <v xml:space="preserve">Top panel  - Ván nóc </v>
          </cell>
          <cell r="H3403" t="str">
            <v>MDF Veneer</v>
          </cell>
          <cell r="I3403">
            <v>16</v>
          </cell>
        </row>
        <row r="3404">
          <cell r="A3404" t="str">
            <v>B558382/A</v>
          </cell>
          <cell r="B3404" t="str">
            <v>RH9049M396</v>
          </cell>
          <cell r="C3404">
            <v>16</v>
          </cell>
          <cell r="D3404">
            <v>535</v>
          </cell>
          <cell r="E3404">
            <v>8560</v>
          </cell>
          <cell r="F3404" t="str">
            <v>A4-S02</v>
          </cell>
          <cell r="G3404" t="str">
            <v xml:space="preserve">Side rail  - Đố hông </v>
          </cell>
          <cell r="H3404" t="str">
            <v>Wood laminate</v>
          </cell>
          <cell r="I3404">
            <v>64</v>
          </cell>
        </row>
        <row r="3405">
          <cell r="A3405" t="str">
            <v>B558382/A</v>
          </cell>
          <cell r="B3405" t="str">
            <v>RH9049M396</v>
          </cell>
          <cell r="C3405">
            <v>16</v>
          </cell>
          <cell r="D3405">
            <v>535</v>
          </cell>
          <cell r="E3405">
            <v>8560</v>
          </cell>
          <cell r="F3405" t="str">
            <v>A4-S03</v>
          </cell>
          <cell r="G3405" t="str">
            <v>Insert Wood - Gỗ chèn</v>
          </cell>
          <cell r="H3405" t="str">
            <v>Beech off cut</v>
          </cell>
          <cell r="I3405">
            <v>64</v>
          </cell>
        </row>
        <row r="3406">
          <cell r="A3406" t="str">
            <v>B558382/A</v>
          </cell>
          <cell r="B3406" t="str">
            <v>RH9049M396</v>
          </cell>
          <cell r="C3406">
            <v>16</v>
          </cell>
          <cell r="D3406">
            <v>535</v>
          </cell>
          <cell r="E3406">
            <v>8560</v>
          </cell>
          <cell r="F3406" t="str">
            <v>P01</v>
          </cell>
          <cell r="G3406" t="str">
            <v>support Top - đỡ nóc</v>
          </cell>
          <cell r="H3406" t="str">
            <v>Plywood LVD - 18 x 1220 x 2440mm, Bleached Poplar Veneer Both Sides [CARB P2 Compliant]</v>
          </cell>
          <cell r="I3406">
            <v>16</v>
          </cell>
        </row>
        <row r="3407">
          <cell r="A3407" t="str">
            <v>B558385/A</v>
          </cell>
          <cell r="B3407" t="str">
            <v>RH9049M397</v>
          </cell>
          <cell r="C3407">
            <v>4</v>
          </cell>
          <cell r="D3407">
            <v>535</v>
          </cell>
          <cell r="E3407">
            <v>2140</v>
          </cell>
          <cell r="F3407" t="str">
            <v>A1-S00</v>
          </cell>
          <cell r="G3407" t="str">
            <v>vaccumn veneer - cảo bich veneer</v>
          </cell>
          <cell r="H3407" t="str">
            <v>MDF Veneer</v>
          </cell>
          <cell r="I3407">
            <v>8</v>
          </cell>
        </row>
        <row r="3408">
          <cell r="A3408" t="str">
            <v>B558385/A</v>
          </cell>
          <cell r="B3408" t="str">
            <v>RH9049M397</v>
          </cell>
          <cell r="C3408">
            <v>4</v>
          </cell>
          <cell r="D3408">
            <v>535</v>
          </cell>
          <cell r="E3408">
            <v>2140</v>
          </cell>
          <cell r="F3408" t="str">
            <v>A1-S00-1</v>
          </cell>
          <cell r="G3408" t="str">
            <v>MDF - MDF</v>
          </cell>
          <cell r="H3408" t="str">
            <v>MDF laminate</v>
          </cell>
          <cell r="I3408">
            <v>32</v>
          </cell>
        </row>
        <row r="3409">
          <cell r="A3409" t="str">
            <v>B558385/A</v>
          </cell>
          <cell r="B3409" t="str">
            <v>RH9049M397</v>
          </cell>
          <cell r="C3409">
            <v>4</v>
          </cell>
          <cell r="D3409">
            <v>535</v>
          </cell>
          <cell r="E3409">
            <v>2140</v>
          </cell>
          <cell r="F3409" t="str">
            <v>A1-S00-2</v>
          </cell>
          <cell r="G3409" t="str">
            <v>MDF - MDF</v>
          </cell>
          <cell r="H3409" t="str">
            <v>MDF laminate</v>
          </cell>
          <cell r="I3409">
            <v>8</v>
          </cell>
        </row>
        <row r="3410">
          <cell r="A3410" t="str">
            <v>B558385/A</v>
          </cell>
          <cell r="B3410" t="str">
            <v>RH9049M397</v>
          </cell>
          <cell r="C3410">
            <v>4</v>
          </cell>
          <cell r="D3410">
            <v>535</v>
          </cell>
          <cell r="E3410">
            <v>2140</v>
          </cell>
          <cell r="F3410" t="str">
            <v>A1-S00-3</v>
          </cell>
          <cell r="G3410" t="str">
            <v>MDF - MDF</v>
          </cell>
          <cell r="H3410" t="str">
            <v>MDF laminate</v>
          </cell>
          <cell r="I3410">
            <v>8</v>
          </cell>
        </row>
        <row r="3411">
          <cell r="A3411" t="str">
            <v>B558385/A</v>
          </cell>
          <cell r="B3411" t="str">
            <v>RH9049M397</v>
          </cell>
          <cell r="C3411">
            <v>4</v>
          </cell>
          <cell r="D3411">
            <v>535</v>
          </cell>
          <cell r="E3411">
            <v>2140</v>
          </cell>
          <cell r="F3411" t="str">
            <v>A1-S01</v>
          </cell>
          <cell r="G3411" t="str">
            <v xml:space="preserve">Side panel  - Ván hông </v>
          </cell>
          <cell r="H3411" t="str">
            <v>MDF Veneer</v>
          </cell>
          <cell r="I3411">
            <v>8</v>
          </cell>
        </row>
        <row r="3412">
          <cell r="A3412" t="str">
            <v>B558385/A</v>
          </cell>
          <cell r="B3412" t="str">
            <v>RH9049M397</v>
          </cell>
          <cell r="C3412">
            <v>4</v>
          </cell>
          <cell r="D3412">
            <v>535</v>
          </cell>
          <cell r="E3412">
            <v>2140</v>
          </cell>
          <cell r="F3412" t="str">
            <v>A1-S02</v>
          </cell>
          <cell r="G3412" t="str">
            <v xml:space="preserve">Side panel  - Ván hông </v>
          </cell>
          <cell r="H3412" t="str">
            <v>MDF Veneer</v>
          </cell>
          <cell r="I3412">
            <v>8</v>
          </cell>
        </row>
        <row r="3413">
          <cell r="A3413" t="str">
            <v>B558385/A</v>
          </cell>
          <cell r="B3413" t="str">
            <v>RH9049M397</v>
          </cell>
          <cell r="C3413">
            <v>4</v>
          </cell>
          <cell r="D3413">
            <v>535</v>
          </cell>
          <cell r="E3413">
            <v>2140</v>
          </cell>
          <cell r="F3413" t="str">
            <v>A1-S03</v>
          </cell>
          <cell r="G3413" t="str">
            <v>Cleat - Bọ gỗ</v>
          </cell>
          <cell r="H3413" t="str">
            <v>Poplar off cut</v>
          </cell>
          <cell r="I3413">
            <v>16</v>
          </cell>
        </row>
        <row r="3414">
          <cell r="A3414" t="str">
            <v>B558385/A</v>
          </cell>
          <cell r="B3414" t="str">
            <v>RH9049M397</v>
          </cell>
          <cell r="C3414">
            <v>4</v>
          </cell>
          <cell r="D3414">
            <v>535</v>
          </cell>
          <cell r="E3414">
            <v>2140</v>
          </cell>
          <cell r="F3414" t="str">
            <v>A1-S04</v>
          </cell>
          <cell r="G3414" t="str">
            <v>Insert Wood - Gỗ chèn</v>
          </cell>
          <cell r="H3414" t="str">
            <v>Standard Wood - ALDER/ASPEN/LENGA/US POPLAR, 2 COM - T25 W120mm+ L2m+</v>
          </cell>
          <cell r="I3414">
            <v>16</v>
          </cell>
        </row>
        <row r="3415">
          <cell r="A3415" t="str">
            <v>B558385/A</v>
          </cell>
          <cell r="B3415" t="str">
            <v>RH9049M397</v>
          </cell>
          <cell r="C3415">
            <v>4</v>
          </cell>
          <cell r="D3415">
            <v>535</v>
          </cell>
          <cell r="E3415">
            <v>2140</v>
          </cell>
          <cell r="F3415" t="str">
            <v>A1-S05</v>
          </cell>
          <cell r="G3415" t="str">
            <v xml:space="preserve">Top panel  - Ván nóc </v>
          </cell>
          <cell r="H3415" t="str">
            <v>Plywood LVD - 18 x 1220 x 2440mm, Bleached Poplar Veneer Both Sides [CARB P2 Compliant]</v>
          </cell>
          <cell r="I3415">
            <v>8</v>
          </cell>
        </row>
        <row r="3416">
          <cell r="A3416" t="str">
            <v>B558385/A</v>
          </cell>
          <cell r="B3416" t="str">
            <v>RH9049M397</v>
          </cell>
          <cell r="C3416">
            <v>4</v>
          </cell>
          <cell r="D3416">
            <v>535</v>
          </cell>
          <cell r="E3416">
            <v>2140</v>
          </cell>
          <cell r="F3416" t="str">
            <v>A1-S07</v>
          </cell>
          <cell r="G3416" t="str">
            <v>Cleat - Bọ gỗ</v>
          </cell>
          <cell r="H3416" t="str">
            <v>Standard Wood - ALDER/ASPEN/LENGA/US POPLAR, 2 COM - T25 W120mm+ L2m+</v>
          </cell>
          <cell r="I3416">
            <v>16</v>
          </cell>
        </row>
        <row r="3417">
          <cell r="A3417" t="str">
            <v>B558385/A</v>
          </cell>
          <cell r="B3417" t="str">
            <v>RH9049M397</v>
          </cell>
          <cell r="C3417">
            <v>4</v>
          </cell>
          <cell r="D3417">
            <v>535</v>
          </cell>
          <cell r="E3417">
            <v>2140</v>
          </cell>
          <cell r="F3417" t="str">
            <v>A1-S08</v>
          </cell>
          <cell r="G3417" t="str">
            <v xml:space="preserve">Panel - Ván </v>
          </cell>
          <cell r="H3417" t="str">
            <v>Cement lamilated</v>
          </cell>
          <cell r="I3417">
            <v>8</v>
          </cell>
        </row>
        <row r="3418">
          <cell r="A3418" t="str">
            <v>B558385/A</v>
          </cell>
          <cell r="B3418" t="str">
            <v>RH9049M397</v>
          </cell>
          <cell r="C3418">
            <v>4</v>
          </cell>
          <cell r="D3418">
            <v>535</v>
          </cell>
          <cell r="E3418">
            <v>2140</v>
          </cell>
          <cell r="F3418" t="str">
            <v>A1-S08-1</v>
          </cell>
          <cell r="G3418" t="str">
            <v xml:space="preserve">Panel - Ván </v>
          </cell>
          <cell r="H3418" t="str">
            <v>Cement Board - 18 x 1220 x 2440mm, Dark Grey</v>
          </cell>
          <cell r="I3418">
            <v>8</v>
          </cell>
        </row>
        <row r="3419">
          <cell r="A3419" t="str">
            <v>B558385/A</v>
          </cell>
          <cell r="B3419" t="str">
            <v>RH9049M397</v>
          </cell>
          <cell r="C3419">
            <v>4</v>
          </cell>
          <cell r="D3419">
            <v>535</v>
          </cell>
          <cell r="E3419">
            <v>2140</v>
          </cell>
          <cell r="F3419" t="str">
            <v>A1-S08-2</v>
          </cell>
          <cell r="G3419" t="str">
            <v xml:space="preserve">Panel - Ván </v>
          </cell>
          <cell r="H3419" t="str">
            <v>Cement Board - 18 x 1220 x 2440mm, Dark Grey</v>
          </cell>
          <cell r="I3419">
            <v>8</v>
          </cell>
        </row>
        <row r="3420">
          <cell r="A3420" t="str">
            <v>B558385/A</v>
          </cell>
          <cell r="B3420" t="str">
            <v>RH9049M397</v>
          </cell>
          <cell r="C3420">
            <v>4</v>
          </cell>
          <cell r="D3420">
            <v>535</v>
          </cell>
          <cell r="E3420">
            <v>2140</v>
          </cell>
          <cell r="F3420" t="str">
            <v>A2</v>
          </cell>
          <cell r="G3420" t="str">
            <v>Bottom frame - Khung dưới</v>
          </cell>
          <cell r="H3420" t="str">
            <v>Pre-Assembly</v>
          </cell>
          <cell r="I3420">
            <v>4</v>
          </cell>
        </row>
        <row r="3421">
          <cell r="A3421" t="str">
            <v>B558385/A</v>
          </cell>
          <cell r="B3421" t="str">
            <v>RH9049M397</v>
          </cell>
          <cell r="C3421">
            <v>4</v>
          </cell>
          <cell r="D3421">
            <v>535</v>
          </cell>
          <cell r="E3421">
            <v>2140</v>
          </cell>
          <cell r="F3421" t="str">
            <v>A2-S01</v>
          </cell>
          <cell r="G3421" t="str">
            <v>Bottom panel - Ván đáy</v>
          </cell>
          <cell r="H3421" t="str">
            <v>MDF Veneer</v>
          </cell>
          <cell r="I3421">
            <v>4</v>
          </cell>
        </row>
        <row r="3422">
          <cell r="A3422" t="str">
            <v>B558385/A</v>
          </cell>
          <cell r="B3422" t="str">
            <v>RH9049M397</v>
          </cell>
          <cell r="C3422">
            <v>4</v>
          </cell>
          <cell r="D3422">
            <v>535</v>
          </cell>
          <cell r="E3422">
            <v>2140</v>
          </cell>
          <cell r="F3422" t="str">
            <v>A2-S02</v>
          </cell>
          <cell r="G3422" t="str">
            <v xml:space="preserve">Side rail  - Đố hông </v>
          </cell>
          <cell r="H3422" t="str">
            <v>Wood laminate</v>
          </cell>
          <cell r="I3422">
            <v>8</v>
          </cell>
        </row>
        <row r="3423">
          <cell r="A3423" t="str">
            <v>B558385/A</v>
          </cell>
          <cell r="B3423" t="str">
            <v>RH9049M397</v>
          </cell>
          <cell r="C3423">
            <v>4</v>
          </cell>
          <cell r="D3423">
            <v>535</v>
          </cell>
          <cell r="E3423">
            <v>2140</v>
          </cell>
          <cell r="F3423" t="str">
            <v>A2-S03</v>
          </cell>
          <cell r="G3423" t="str">
            <v>Front rail  - Đố tiền</v>
          </cell>
          <cell r="H3423" t="str">
            <v>Wood laminate</v>
          </cell>
          <cell r="I3423">
            <v>8</v>
          </cell>
        </row>
        <row r="3424">
          <cell r="A3424" t="str">
            <v>B558385/A</v>
          </cell>
          <cell r="B3424" t="str">
            <v>RH9049M397</v>
          </cell>
          <cell r="C3424">
            <v>4</v>
          </cell>
          <cell r="D3424">
            <v>535</v>
          </cell>
          <cell r="E3424">
            <v>2140</v>
          </cell>
          <cell r="F3424" t="str">
            <v>A3-S01</v>
          </cell>
          <cell r="G3424" t="str">
            <v>Front rail  - Đố tiền</v>
          </cell>
          <cell r="H3424" t="str">
            <v>Wood laminate</v>
          </cell>
          <cell r="I3424">
            <v>8</v>
          </cell>
        </row>
        <row r="3425">
          <cell r="A3425" t="str">
            <v>B558385/A</v>
          </cell>
          <cell r="B3425" t="str">
            <v>RH9049M397</v>
          </cell>
          <cell r="C3425">
            <v>4</v>
          </cell>
          <cell r="D3425">
            <v>535</v>
          </cell>
          <cell r="E3425">
            <v>2140</v>
          </cell>
          <cell r="F3425" t="str">
            <v>A3-S02</v>
          </cell>
          <cell r="G3425" t="str">
            <v xml:space="preserve">Side rail  - Đố hông </v>
          </cell>
          <cell r="H3425" t="str">
            <v>Wood laminate</v>
          </cell>
          <cell r="I3425">
            <v>8</v>
          </cell>
        </row>
        <row r="3426">
          <cell r="A3426" t="str">
            <v>B558385/A</v>
          </cell>
          <cell r="B3426" t="str">
            <v>RH9049M397</v>
          </cell>
          <cell r="C3426">
            <v>4</v>
          </cell>
          <cell r="D3426">
            <v>535</v>
          </cell>
          <cell r="E3426">
            <v>2140</v>
          </cell>
          <cell r="F3426" t="str">
            <v>A4-S01</v>
          </cell>
          <cell r="G3426" t="str">
            <v xml:space="preserve">Top panel  - Ván nóc </v>
          </cell>
          <cell r="H3426" t="str">
            <v>MDF Veneer</v>
          </cell>
          <cell r="I3426">
            <v>4</v>
          </cell>
        </row>
        <row r="3427">
          <cell r="A3427" t="str">
            <v>B558385/A</v>
          </cell>
          <cell r="B3427" t="str">
            <v>RH9049M397</v>
          </cell>
          <cell r="C3427">
            <v>4</v>
          </cell>
          <cell r="D3427">
            <v>535</v>
          </cell>
          <cell r="E3427">
            <v>2140</v>
          </cell>
          <cell r="F3427" t="str">
            <v>A4-S02</v>
          </cell>
          <cell r="G3427" t="str">
            <v xml:space="preserve">Side rail  - Đố hông </v>
          </cell>
          <cell r="H3427" t="str">
            <v>Wood laminate</v>
          </cell>
          <cell r="I3427">
            <v>16</v>
          </cell>
        </row>
        <row r="3428">
          <cell r="A3428" t="str">
            <v>B558385/A</v>
          </cell>
          <cell r="B3428" t="str">
            <v>RH9049M397</v>
          </cell>
          <cell r="C3428">
            <v>4</v>
          </cell>
          <cell r="D3428">
            <v>535</v>
          </cell>
          <cell r="E3428">
            <v>2140</v>
          </cell>
          <cell r="F3428" t="str">
            <v>A4-S03</v>
          </cell>
          <cell r="G3428" t="str">
            <v>Insert Wood - Gỗ chèn</v>
          </cell>
          <cell r="H3428" t="str">
            <v>Beech off cut</v>
          </cell>
          <cell r="I3428">
            <v>16</v>
          </cell>
        </row>
        <row r="3429">
          <cell r="A3429" t="str">
            <v>B558385/A</v>
          </cell>
          <cell r="B3429" t="str">
            <v>RH9049M397</v>
          </cell>
          <cell r="C3429">
            <v>4</v>
          </cell>
          <cell r="D3429">
            <v>535</v>
          </cell>
          <cell r="E3429">
            <v>2140</v>
          </cell>
          <cell r="F3429" t="str">
            <v>P01</v>
          </cell>
          <cell r="G3429" t="str">
            <v>support Top - đỡ nóc</v>
          </cell>
          <cell r="H3429" t="str">
            <v>Plywood LVD - 18 x 1220 x 2440mm, Bleached Poplar Veneer Both Sides [CARB P2 Compliant]</v>
          </cell>
          <cell r="I3429">
            <v>4</v>
          </cell>
        </row>
        <row r="3430">
          <cell r="A3430" t="str">
            <v>B558388/A</v>
          </cell>
          <cell r="B3430" t="str">
            <v>RH9049M398</v>
          </cell>
          <cell r="C3430">
            <v>2</v>
          </cell>
          <cell r="D3430">
            <v>535</v>
          </cell>
          <cell r="E3430">
            <v>1070</v>
          </cell>
          <cell r="F3430" t="str">
            <v>A1-S00</v>
          </cell>
          <cell r="G3430" t="str">
            <v>vaccumn veneer - cảo bich veneer</v>
          </cell>
          <cell r="H3430" t="str">
            <v>MDF Veneer</v>
          </cell>
          <cell r="I3430">
            <v>4</v>
          </cell>
        </row>
        <row r="3431">
          <cell r="A3431" t="str">
            <v>B558388/A</v>
          </cell>
          <cell r="B3431" t="str">
            <v>RH9049M398</v>
          </cell>
          <cell r="C3431">
            <v>2</v>
          </cell>
          <cell r="D3431">
            <v>535</v>
          </cell>
          <cell r="E3431">
            <v>1070</v>
          </cell>
          <cell r="F3431" t="str">
            <v>A1-S00-1</v>
          </cell>
          <cell r="G3431" t="str">
            <v>MDF - MDF</v>
          </cell>
          <cell r="H3431" t="str">
            <v>MDF laminate</v>
          </cell>
          <cell r="I3431">
            <v>16</v>
          </cell>
        </row>
        <row r="3432">
          <cell r="A3432" t="str">
            <v>B558388/A</v>
          </cell>
          <cell r="B3432" t="str">
            <v>RH9049M398</v>
          </cell>
          <cell r="C3432">
            <v>2</v>
          </cell>
          <cell r="D3432">
            <v>535</v>
          </cell>
          <cell r="E3432">
            <v>1070</v>
          </cell>
          <cell r="F3432" t="str">
            <v>A1-S00-2</v>
          </cell>
          <cell r="G3432" t="str">
            <v>MDF - MDF</v>
          </cell>
          <cell r="H3432" t="str">
            <v>MDF laminate</v>
          </cell>
          <cell r="I3432">
            <v>4</v>
          </cell>
        </row>
        <row r="3433">
          <cell r="A3433" t="str">
            <v>B558388/A</v>
          </cell>
          <cell r="B3433" t="str">
            <v>RH9049M398</v>
          </cell>
          <cell r="C3433">
            <v>2</v>
          </cell>
          <cell r="D3433">
            <v>535</v>
          </cell>
          <cell r="E3433">
            <v>1070</v>
          </cell>
          <cell r="F3433" t="str">
            <v>A1-S00-3</v>
          </cell>
          <cell r="G3433" t="str">
            <v>MDF - MDF</v>
          </cell>
          <cell r="H3433" t="str">
            <v>MDF laminate</v>
          </cell>
          <cell r="I3433">
            <v>4</v>
          </cell>
        </row>
        <row r="3434">
          <cell r="A3434" t="str">
            <v>B558388/A</v>
          </cell>
          <cell r="B3434" t="str">
            <v>RH9049M398</v>
          </cell>
          <cell r="C3434">
            <v>2</v>
          </cell>
          <cell r="D3434">
            <v>535</v>
          </cell>
          <cell r="E3434">
            <v>1070</v>
          </cell>
          <cell r="F3434" t="str">
            <v>A1-S01</v>
          </cell>
          <cell r="G3434" t="str">
            <v xml:space="preserve">Side panel  - Ván hông </v>
          </cell>
          <cell r="H3434" t="str">
            <v>MDF Veneer</v>
          </cell>
          <cell r="I3434">
            <v>4</v>
          </cell>
        </row>
        <row r="3435">
          <cell r="A3435" t="str">
            <v>B558388/A</v>
          </cell>
          <cell r="B3435" t="str">
            <v>RH9049M398</v>
          </cell>
          <cell r="C3435">
            <v>2</v>
          </cell>
          <cell r="D3435">
            <v>535</v>
          </cell>
          <cell r="E3435">
            <v>1070</v>
          </cell>
          <cell r="F3435" t="str">
            <v>A1-S02</v>
          </cell>
          <cell r="G3435" t="str">
            <v xml:space="preserve">Side panel  - Ván hông </v>
          </cell>
          <cell r="H3435" t="str">
            <v>MDF Veneer</v>
          </cell>
          <cell r="I3435">
            <v>4</v>
          </cell>
        </row>
        <row r="3436">
          <cell r="A3436" t="str">
            <v>B558388/A</v>
          </cell>
          <cell r="B3436" t="str">
            <v>RH9049M398</v>
          </cell>
          <cell r="C3436">
            <v>2</v>
          </cell>
          <cell r="D3436">
            <v>535</v>
          </cell>
          <cell r="E3436">
            <v>1070</v>
          </cell>
          <cell r="F3436" t="str">
            <v>A1-S03</v>
          </cell>
          <cell r="G3436" t="str">
            <v>Cleat - Bọ gỗ</v>
          </cell>
          <cell r="H3436" t="str">
            <v>Poplar off cut</v>
          </cell>
          <cell r="I3436">
            <v>8</v>
          </cell>
        </row>
        <row r="3437">
          <cell r="A3437" t="str">
            <v>B558388/A</v>
          </cell>
          <cell r="B3437" t="str">
            <v>RH9049M398</v>
          </cell>
          <cell r="C3437">
            <v>2</v>
          </cell>
          <cell r="D3437">
            <v>535</v>
          </cell>
          <cell r="E3437">
            <v>1070</v>
          </cell>
          <cell r="F3437" t="str">
            <v>A1-S04</v>
          </cell>
          <cell r="G3437" t="str">
            <v>Insert Wood - Gỗ chèn</v>
          </cell>
          <cell r="H3437" t="str">
            <v>Standard Wood - ALDER/ASPEN/LENGA/US POPLAR, 2 COM - T25 W120mm+ L2m+</v>
          </cell>
          <cell r="I3437">
            <v>8</v>
          </cell>
        </row>
        <row r="3438">
          <cell r="A3438" t="str">
            <v>B558388/A</v>
          </cell>
          <cell r="B3438" t="str">
            <v>RH9049M398</v>
          </cell>
          <cell r="C3438">
            <v>2</v>
          </cell>
          <cell r="D3438">
            <v>535</v>
          </cell>
          <cell r="E3438">
            <v>1070</v>
          </cell>
          <cell r="F3438" t="str">
            <v>A1-S05</v>
          </cell>
          <cell r="G3438" t="str">
            <v xml:space="preserve">Top panel  - Ván nóc </v>
          </cell>
          <cell r="H3438" t="str">
            <v>Plywood LVD - 18 x 1220 x 2440mm, Bleached Poplar Veneer Both Sides [CARB P2 Compliant]</v>
          </cell>
          <cell r="I3438">
            <v>4</v>
          </cell>
        </row>
        <row r="3439">
          <cell r="A3439" t="str">
            <v>B558388/A</v>
          </cell>
          <cell r="B3439" t="str">
            <v>RH9049M398</v>
          </cell>
          <cell r="C3439">
            <v>2</v>
          </cell>
          <cell r="D3439">
            <v>535</v>
          </cell>
          <cell r="E3439">
            <v>1070</v>
          </cell>
          <cell r="F3439" t="str">
            <v>A1-S07</v>
          </cell>
          <cell r="G3439" t="str">
            <v>Cleat - Bọ gỗ</v>
          </cell>
          <cell r="H3439" t="str">
            <v>Standard Wood - ALDER/ASPEN/LENGA/US POPLAR, 2 COM - T25 W120mm+ L2m+</v>
          </cell>
          <cell r="I3439">
            <v>8</v>
          </cell>
        </row>
        <row r="3440">
          <cell r="A3440" t="str">
            <v>B558388/A</v>
          </cell>
          <cell r="B3440" t="str">
            <v>RH9049M398</v>
          </cell>
          <cell r="C3440">
            <v>2</v>
          </cell>
          <cell r="D3440">
            <v>535</v>
          </cell>
          <cell r="E3440">
            <v>1070</v>
          </cell>
          <cell r="F3440" t="str">
            <v>A1-S08</v>
          </cell>
          <cell r="G3440" t="str">
            <v xml:space="preserve">Panel - Ván </v>
          </cell>
          <cell r="H3440" t="str">
            <v>Cement lamilated</v>
          </cell>
          <cell r="I3440">
            <v>4</v>
          </cell>
        </row>
        <row r="3441">
          <cell r="A3441" t="str">
            <v>B558388/A</v>
          </cell>
          <cell r="B3441" t="str">
            <v>RH9049M398</v>
          </cell>
          <cell r="C3441">
            <v>2</v>
          </cell>
          <cell r="D3441">
            <v>535</v>
          </cell>
          <cell r="E3441">
            <v>1070</v>
          </cell>
          <cell r="F3441" t="str">
            <v>A1-S08-1</v>
          </cell>
          <cell r="G3441" t="str">
            <v xml:space="preserve">Panel - Ván </v>
          </cell>
          <cell r="H3441" t="str">
            <v>Cement Board - 18 x 1220 x 2440mm, Dark Grey</v>
          </cell>
          <cell r="I3441">
            <v>4</v>
          </cell>
        </row>
        <row r="3442">
          <cell r="A3442" t="str">
            <v>B558388/A</v>
          </cell>
          <cell r="B3442" t="str">
            <v>RH9049M398</v>
          </cell>
          <cell r="C3442">
            <v>2</v>
          </cell>
          <cell r="D3442">
            <v>535</v>
          </cell>
          <cell r="E3442">
            <v>1070</v>
          </cell>
          <cell r="F3442" t="str">
            <v>A1-S08-2</v>
          </cell>
          <cell r="G3442" t="str">
            <v xml:space="preserve">Panel - Ván </v>
          </cell>
          <cell r="H3442" t="str">
            <v>Cement Board - 18 x 1220 x 2440mm, Dark Grey</v>
          </cell>
          <cell r="I3442">
            <v>4</v>
          </cell>
        </row>
        <row r="3443">
          <cell r="A3443" t="str">
            <v>B558388/A</v>
          </cell>
          <cell r="B3443" t="str">
            <v>RH9049M398</v>
          </cell>
          <cell r="C3443">
            <v>2</v>
          </cell>
          <cell r="D3443">
            <v>535</v>
          </cell>
          <cell r="E3443">
            <v>1070</v>
          </cell>
          <cell r="F3443" t="str">
            <v>A2</v>
          </cell>
          <cell r="G3443" t="str">
            <v>Bottom frame - Khung dưới</v>
          </cell>
          <cell r="H3443" t="str">
            <v>Pre-Assembly</v>
          </cell>
          <cell r="I3443">
            <v>2</v>
          </cell>
        </row>
        <row r="3444">
          <cell r="A3444" t="str">
            <v>B558388/A</v>
          </cell>
          <cell r="B3444" t="str">
            <v>RH9049M398</v>
          </cell>
          <cell r="C3444">
            <v>2</v>
          </cell>
          <cell r="D3444">
            <v>535</v>
          </cell>
          <cell r="E3444">
            <v>1070</v>
          </cell>
          <cell r="F3444" t="str">
            <v>A2-S01</v>
          </cell>
          <cell r="G3444" t="str">
            <v>Bottom panel - Ván đáy</v>
          </cell>
          <cell r="H3444" t="str">
            <v>MDF Veneer</v>
          </cell>
          <cell r="I3444">
            <v>2</v>
          </cell>
        </row>
        <row r="3445">
          <cell r="A3445" t="str">
            <v>B558388/A</v>
          </cell>
          <cell r="B3445" t="str">
            <v>RH9049M398</v>
          </cell>
          <cell r="C3445">
            <v>2</v>
          </cell>
          <cell r="D3445">
            <v>535</v>
          </cell>
          <cell r="E3445">
            <v>1070</v>
          </cell>
          <cell r="F3445" t="str">
            <v>A2-S02</v>
          </cell>
          <cell r="G3445" t="str">
            <v xml:space="preserve">Side rail  - Đố hông </v>
          </cell>
          <cell r="H3445" t="str">
            <v>Wood laminate</v>
          </cell>
          <cell r="I3445">
            <v>4</v>
          </cell>
        </row>
        <row r="3446">
          <cell r="A3446" t="str">
            <v>B558388/A</v>
          </cell>
          <cell r="B3446" t="str">
            <v>RH9049M398</v>
          </cell>
          <cell r="C3446">
            <v>2</v>
          </cell>
          <cell r="D3446">
            <v>535</v>
          </cell>
          <cell r="E3446">
            <v>1070</v>
          </cell>
          <cell r="F3446" t="str">
            <v>A2-S03</v>
          </cell>
          <cell r="G3446" t="str">
            <v>Front rail  - Đố tiền</v>
          </cell>
          <cell r="H3446" t="str">
            <v>Wood laminate</v>
          </cell>
          <cell r="I3446">
            <v>4</v>
          </cell>
        </row>
        <row r="3447">
          <cell r="A3447" t="str">
            <v>B558388/A</v>
          </cell>
          <cell r="B3447" t="str">
            <v>RH9049M398</v>
          </cell>
          <cell r="C3447">
            <v>2</v>
          </cell>
          <cell r="D3447">
            <v>535</v>
          </cell>
          <cell r="E3447">
            <v>1070</v>
          </cell>
          <cell r="F3447" t="str">
            <v>A3-S01</v>
          </cell>
          <cell r="G3447" t="str">
            <v>Front rail  - Đố tiền</v>
          </cell>
          <cell r="H3447" t="str">
            <v>Wood laminate</v>
          </cell>
          <cell r="I3447">
            <v>4</v>
          </cell>
        </row>
        <row r="3448">
          <cell r="A3448" t="str">
            <v>B558388/A</v>
          </cell>
          <cell r="B3448" t="str">
            <v>RH9049M398</v>
          </cell>
          <cell r="C3448">
            <v>2</v>
          </cell>
          <cell r="D3448">
            <v>535</v>
          </cell>
          <cell r="E3448">
            <v>1070</v>
          </cell>
          <cell r="F3448" t="str">
            <v>A3-S02</v>
          </cell>
          <cell r="G3448" t="str">
            <v xml:space="preserve">Side rail  - Đố hông </v>
          </cell>
          <cell r="H3448" t="str">
            <v>Wood laminate</v>
          </cell>
          <cell r="I3448">
            <v>4</v>
          </cell>
        </row>
        <row r="3449">
          <cell r="A3449" t="str">
            <v>B558388/A</v>
          </cell>
          <cell r="B3449" t="str">
            <v>RH9049M398</v>
          </cell>
          <cell r="C3449">
            <v>2</v>
          </cell>
          <cell r="D3449">
            <v>535</v>
          </cell>
          <cell r="E3449">
            <v>1070</v>
          </cell>
          <cell r="F3449" t="str">
            <v>A4-S01</v>
          </cell>
          <cell r="G3449" t="str">
            <v xml:space="preserve">Top panel  - Ván nóc </v>
          </cell>
          <cell r="H3449" t="str">
            <v>MDF Veneer</v>
          </cell>
          <cell r="I3449">
            <v>2</v>
          </cell>
        </row>
        <row r="3450">
          <cell r="A3450" t="str">
            <v>B558388/A</v>
          </cell>
          <cell r="B3450" t="str">
            <v>RH9049M398</v>
          </cell>
          <cell r="C3450">
            <v>2</v>
          </cell>
          <cell r="D3450">
            <v>535</v>
          </cell>
          <cell r="E3450">
            <v>1070</v>
          </cell>
          <cell r="F3450" t="str">
            <v>A4-S02</v>
          </cell>
          <cell r="G3450" t="str">
            <v xml:space="preserve">Side rail  - Đố hông </v>
          </cell>
          <cell r="H3450" t="str">
            <v>Wood laminate</v>
          </cell>
          <cell r="I3450">
            <v>8</v>
          </cell>
        </row>
        <row r="3451">
          <cell r="A3451" t="str">
            <v>B558388/A</v>
          </cell>
          <cell r="B3451" t="str">
            <v>RH9049M398</v>
          </cell>
          <cell r="C3451">
            <v>2</v>
          </cell>
          <cell r="D3451">
            <v>535</v>
          </cell>
          <cell r="E3451">
            <v>1070</v>
          </cell>
          <cell r="F3451" t="str">
            <v>A4-S03</v>
          </cell>
          <cell r="G3451" t="str">
            <v>Insert Wood - Gỗ chèn</v>
          </cell>
          <cell r="H3451" t="str">
            <v>Beech off cut</v>
          </cell>
          <cell r="I3451">
            <v>8</v>
          </cell>
        </row>
        <row r="3452">
          <cell r="A3452" t="str">
            <v>B558388/A</v>
          </cell>
          <cell r="B3452" t="str">
            <v>RH9049M398</v>
          </cell>
          <cell r="C3452">
            <v>2</v>
          </cell>
          <cell r="D3452">
            <v>535</v>
          </cell>
          <cell r="E3452">
            <v>1070</v>
          </cell>
          <cell r="F3452" t="str">
            <v>P01</v>
          </cell>
          <cell r="G3452" t="str">
            <v>support Top - đỡ nóc</v>
          </cell>
          <cell r="H3452" t="str">
            <v>Plywood LVD - 18 x 1220 x 2440mm, Bleached Poplar Veneer Both Sides [CARB P2 Compliant]</v>
          </cell>
          <cell r="I3452">
            <v>2</v>
          </cell>
        </row>
        <row r="3453">
          <cell r="A3453" t="str">
            <v>B558390/A</v>
          </cell>
          <cell r="B3453" t="str">
            <v>RH9049M410</v>
          </cell>
          <cell r="C3453">
            <v>3</v>
          </cell>
          <cell r="D3453">
            <v>535</v>
          </cell>
          <cell r="E3453">
            <v>1605</v>
          </cell>
          <cell r="F3453" t="str">
            <v>A1-S00</v>
          </cell>
          <cell r="G3453" t="str">
            <v>vaccumn veneer - cảo bich veneer</v>
          </cell>
          <cell r="H3453" t="str">
            <v>MDF Veneer</v>
          </cell>
          <cell r="I3453">
            <v>6</v>
          </cell>
        </row>
        <row r="3454">
          <cell r="A3454" t="str">
            <v>B558390/A</v>
          </cell>
          <cell r="B3454" t="str">
            <v>RH9049M410</v>
          </cell>
          <cell r="C3454">
            <v>3</v>
          </cell>
          <cell r="D3454">
            <v>535</v>
          </cell>
          <cell r="E3454">
            <v>1605</v>
          </cell>
          <cell r="F3454" t="str">
            <v>A1-S00-1</v>
          </cell>
          <cell r="G3454" t="str">
            <v>MDF - MDF</v>
          </cell>
          <cell r="H3454" t="str">
            <v>MDF laminate</v>
          </cell>
          <cell r="I3454">
            <v>24</v>
          </cell>
        </row>
        <row r="3455">
          <cell r="A3455" t="str">
            <v>B558390/A</v>
          </cell>
          <cell r="B3455" t="str">
            <v>RH9049M410</v>
          </cell>
          <cell r="C3455">
            <v>3</v>
          </cell>
          <cell r="D3455">
            <v>535</v>
          </cell>
          <cell r="E3455">
            <v>1605</v>
          </cell>
          <cell r="F3455" t="str">
            <v>A1-S00-2</v>
          </cell>
          <cell r="G3455" t="str">
            <v>MDF - MDF</v>
          </cell>
          <cell r="H3455" t="str">
            <v>MDF laminate</v>
          </cell>
          <cell r="I3455">
            <v>6</v>
          </cell>
        </row>
        <row r="3456">
          <cell r="A3456" t="str">
            <v>B558390/A</v>
          </cell>
          <cell r="B3456" t="str">
            <v>RH9049M410</v>
          </cell>
          <cell r="C3456">
            <v>3</v>
          </cell>
          <cell r="D3456">
            <v>535</v>
          </cell>
          <cell r="E3456">
            <v>1605</v>
          </cell>
          <cell r="F3456" t="str">
            <v>A1-S00-3</v>
          </cell>
          <cell r="G3456" t="str">
            <v>MDF - MDF</v>
          </cell>
          <cell r="H3456" t="str">
            <v>MDF laminate</v>
          </cell>
          <cell r="I3456">
            <v>6</v>
          </cell>
        </row>
        <row r="3457">
          <cell r="A3457" t="str">
            <v>B558390/A</v>
          </cell>
          <cell r="B3457" t="str">
            <v>RH9049M410</v>
          </cell>
          <cell r="C3457">
            <v>3</v>
          </cell>
          <cell r="D3457">
            <v>535</v>
          </cell>
          <cell r="E3457">
            <v>1605</v>
          </cell>
          <cell r="F3457" t="str">
            <v>A1-S01</v>
          </cell>
          <cell r="G3457" t="str">
            <v xml:space="preserve">Side panel  - Ván hông </v>
          </cell>
          <cell r="H3457" t="str">
            <v>MDF Veneer</v>
          </cell>
          <cell r="I3457">
            <v>6</v>
          </cell>
        </row>
        <row r="3458">
          <cell r="A3458" t="str">
            <v>B558390/A</v>
          </cell>
          <cell r="B3458" t="str">
            <v>RH9049M410</v>
          </cell>
          <cell r="C3458">
            <v>3</v>
          </cell>
          <cell r="D3458">
            <v>535</v>
          </cell>
          <cell r="E3458">
            <v>1605</v>
          </cell>
          <cell r="F3458" t="str">
            <v>A1-S02</v>
          </cell>
          <cell r="G3458" t="str">
            <v xml:space="preserve">Side panel  - Ván hông </v>
          </cell>
          <cell r="H3458" t="str">
            <v>MDF Veneer</v>
          </cell>
          <cell r="I3458">
            <v>6</v>
          </cell>
        </row>
        <row r="3459">
          <cell r="A3459" t="str">
            <v>B558390/A</v>
          </cell>
          <cell r="B3459" t="str">
            <v>RH9049M410</v>
          </cell>
          <cell r="C3459">
            <v>3</v>
          </cell>
          <cell r="D3459">
            <v>535</v>
          </cell>
          <cell r="E3459">
            <v>1605</v>
          </cell>
          <cell r="F3459" t="str">
            <v>A1-S03</v>
          </cell>
          <cell r="G3459" t="str">
            <v>Cleat - Bọ gỗ</v>
          </cell>
          <cell r="H3459" t="str">
            <v>Poplar off cut</v>
          </cell>
          <cell r="I3459">
            <v>12</v>
          </cell>
        </row>
        <row r="3460">
          <cell r="A3460" t="str">
            <v>B558390/A</v>
          </cell>
          <cell r="B3460" t="str">
            <v>RH9049M410</v>
          </cell>
          <cell r="C3460">
            <v>3</v>
          </cell>
          <cell r="D3460">
            <v>535</v>
          </cell>
          <cell r="E3460">
            <v>1605</v>
          </cell>
          <cell r="F3460" t="str">
            <v>A1-S04</v>
          </cell>
          <cell r="G3460" t="str">
            <v>Insert Wood - Gỗ chèn</v>
          </cell>
          <cell r="H3460" t="str">
            <v>Standard Wood - ALDER/ASPEN/LENGA/US POPLAR, 2 COM - T25 W120mm+ L2m+</v>
          </cell>
          <cell r="I3460">
            <v>12</v>
          </cell>
        </row>
        <row r="3461">
          <cell r="A3461" t="str">
            <v>B558390/A</v>
          </cell>
          <cell r="B3461" t="str">
            <v>RH9049M410</v>
          </cell>
          <cell r="C3461">
            <v>3</v>
          </cell>
          <cell r="D3461">
            <v>535</v>
          </cell>
          <cell r="E3461">
            <v>1605</v>
          </cell>
          <cell r="F3461" t="str">
            <v>A1-S05</v>
          </cell>
          <cell r="G3461" t="str">
            <v xml:space="preserve">Top panel  - Ván nóc </v>
          </cell>
          <cell r="H3461" t="str">
            <v>Plywood LVD - 18 x 1220 x 2440mm, Bleached Poplar Veneer Both Sides [CARB P2 Compliant]</v>
          </cell>
          <cell r="I3461">
            <v>6</v>
          </cell>
        </row>
        <row r="3462">
          <cell r="A3462" t="str">
            <v>B558390/A</v>
          </cell>
          <cell r="B3462" t="str">
            <v>RH9049M410</v>
          </cell>
          <cell r="C3462">
            <v>3</v>
          </cell>
          <cell r="D3462">
            <v>535</v>
          </cell>
          <cell r="E3462">
            <v>1605</v>
          </cell>
          <cell r="F3462" t="str">
            <v>A1-S07</v>
          </cell>
          <cell r="G3462" t="str">
            <v>Cleat - Bọ gỗ</v>
          </cell>
          <cell r="H3462" t="str">
            <v>Standard Wood - ALDER/ASPEN/LENGA/US POPLAR, 2 COM - T25 W120mm+ L2m+</v>
          </cell>
          <cell r="I3462">
            <v>12</v>
          </cell>
        </row>
        <row r="3463">
          <cell r="A3463" t="str">
            <v>B558390/A</v>
          </cell>
          <cell r="B3463" t="str">
            <v>RH9049M410</v>
          </cell>
          <cell r="C3463">
            <v>3</v>
          </cell>
          <cell r="D3463">
            <v>535</v>
          </cell>
          <cell r="E3463">
            <v>1605</v>
          </cell>
          <cell r="F3463" t="str">
            <v>A1-S08</v>
          </cell>
          <cell r="G3463" t="str">
            <v xml:space="preserve">Panel - Ván </v>
          </cell>
          <cell r="H3463" t="str">
            <v>Cement lamilated</v>
          </cell>
          <cell r="I3463">
            <v>6</v>
          </cell>
        </row>
        <row r="3464">
          <cell r="A3464" t="str">
            <v>B558390/A</v>
          </cell>
          <cell r="B3464" t="str">
            <v>RH9049M410</v>
          </cell>
          <cell r="C3464">
            <v>3</v>
          </cell>
          <cell r="D3464">
            <v>535</v>
          </cell>
          <cell r="E3464">
            <v>1605</v>
          </cell>
          <cell r="F3464" t="str">
            <v>A1-S08-1</v>
          </cell>
          <cell r="G3464" t="str">
            <v xml:space="preserve">Panel - Ván </v>
          </cell>
          <cell r="H3464" t="str">
            <v>Cement Board - 18 x 1220 x 2440mm, Dark Grey</v>
          </cell>
          <cell r="I3464">
            <v>6</v>
          </cell>
        </row>
        <row r="3465">
          <cell r="A3465" t="str">
            <v>B558390/A</v>
          </cell>
          <cell r="B3465" t="str">
            <v>RH9049M410</v>
          </cell>
          <cell r="C3465">
            <v>3</v>
          </cell>
          <cell r="D3465">
            <v>535</v>
          </cell>
          <cell r="E3465">
            <v>1605</v>
          </cell>
          <cell r="F3465" t="str">
            <v>A1-S08-2</v>
          </cell>
          <cell r="G3465" t="str">
            <v xml:space="preserve">Panel - Ván </v>
          </cell>
          <cell r="H3465" t="str">
            <v>Cement Board - 18 x 1220 x 2440mm, Dark Grey</v>
          </cell>
          <cell r="I3465">
            <v>6</v>
          </cell>
        </row>
        <row r="3466">
          <cell r="A3466" t="str">
            <v>B558390/A</v>
          </cell>
          <cell r="B3466" t="str">
            <v>RH9049M410</v>
          </cell>
          <cell r="C3466">
            <v>3</v>
          </cell>
          <cell r="D3466">
            <v>535</v>
          </cell>
          <cell r="E3466">
            <v>1605</v>
          </cell>
          <cell r="F3466" t="str">
            <v>A2</v>
          </cell>
          <cell r="G3466" t="str">
            <v>Bottom frame - Khung dưới</v>
          </cell>
          <cell r="H3466" t="str">
            <v>Pre-Assembly</v>
          </cell>
          <cell r="I3466">
            <v>3</v>
          </cell>
        </row>
        <row r="3467">
          <cell r="A3467" t="str">
            <v>B558390/A</v>
          </cell>
          <cell r="B3467" t="str">
            <v>RH9049M410</v>
          </cell>
          <cell r="C3467">
            <v>3</v>
          </cell>
          <cell r="D3467">
            <v>535</v>
          </cell>
          <cell r="E3467">
            <v>1605</v>
          </cell>
          <cell r="F3467" t="str">
            <v>A2-S01</v>
          </cell>
          <cell r="G3467" t="str">
            <v>Bottom panel - Ván đáy</v>
          </cell>
          <cell r="H3467" t="str">
            <v>MDF Veneer</v>
          </cell>
          <cell r="I3467">
            <v>3</v>
          </cell>
        </row>
        <row r="3468">
          <cell r="A3468" t="str">
            <v>B558390/A</v>
          </cell>
          <cell r="B3468" t="str">
            <v>RH9049M410</v>
          </cell>
          <cell r="C3468">
            <v>3</v>
          </cell>
          <cell r="D3468">
            <v>535</v>
          </cell>
          <cell r="E3468">
            <v>1605</v>
          </cell>
          <cell r="F3468" t="str">
            <v>A2-S02</v>
          </cell>
          <cell r="G3468" t="str">
            <v xml:space="preserve">Side rail  - Đố hông </v>
          </cell>
          <cell r="H3468" t="str">
            <v>Wood laminate</v>
          </cell>
          <cell r="I3468">
            <v>6</v>
          </cell>
        </row>
        <row r="3469">
          <cell r="A3469" t="str">
            <v>B558390/A</v>
          </cell>
          <cell r="B3469" t="str">
            <v>RH9049M410</v>
          </cell>
          <cell r="C3469">
            <v>3</v>
          </cell>
          <cell r="D3469">
            <v>535</v>
          </cell>
          <cell r="E3469">
            <v>1605</v>
          </cell>
          <cell r="F3469" t="str">
            <v>A2-S03</v>
          </cell>
          <cell r="G3469" t="str">
            <v>Front rail  - Đố tiền</v>
          </cell>
          <cell r="H3469" t="str">
            <v>Wood laminate</v>
          </cell>
          <cell r="I3469">
            <v>6</v>
          </cell>
        </row>
        <row r="3470">
          <cell r="A3470" t="str">
            <v>B558390/A</v>
          </cell>
          <cell r="B3470" t="str">
            <v>RH9049M410</v>
          </cell>
          <cell r="C3470">
            <v>3</v>
          </cell>
          <cell r="D3470">
            <v>535</v>
          </cell>
          <cell r="E3470">
            <v>1605</v>
          </cell>
          <cell r="F3470" t="str">
            <v>A3-S01</v>
          </cell>
          <cell r="G3470" t="str">
            <v>Front rail  - Đố tiền</v>
          </cell>
          <cell r="H3470" t="str">
            <v>Wood laminate</v>
          </cell>
          <cell r="I3470">
            <v>6</v>
          </cell>
        </row>
        <row r="3471">
          <cell r="A3471" t="str">
            <v>B558390/A</v>
          </cell>
          <cell r="B3471" t="str">
            <v>RH9049M410</v>
          </cell>
          <cell r="C3471">
            <v>3</v>
          </cell>
          <cell r="D3471">
            <v>535</v>
          </cell>
          <cell r="E3471">
            <v>1605</v>
          </cell>
          <cell r="F3471" t="str">
            <v>A3-S02</v>
          </cell>
          <cell r="G3471" t="str">
            <v xml:space="preserve">Side rail  - Đố hông </v>
          </cell>
          <cell r="H3471" t="str">
            <v>Wood laminate</v>
          </cell>
          <cell r="I3471">
            <v>6</v>
          </cell>
        </row>
        <row r="3472">
          <cell r="A3472" t="str">
            <v>B558390/A</v>
          </cell>
          <cell r="B3472" t="str">
            <v>RH9049M410</v>
          </cell>
          <cell r="C3472">
            <v>3</v>
          </cell>
          <cell r="D3472">
            <v>535</v>
          </cell>
          <cell r="E3472">
            <v>1605</v>
          </cell>
          <cell r="F3472" t="str">
            <v>A4-S01</v>
          </cell>
          <cell r="G3472" t="str">
            <v xml:space="preserve">Top panel  - Ván nóc </v>
          </cell>
          <cell r="H3472" t="str">
            <v>MDF Veneer</v>
          </cell>
          <cell r="I3472">
            <v>3</v>
          </cell>
        </row>
        <row r="3473">
          <cell r="A3473" t="str">
            <v>B558390/A</v>
          </cell>
          <cell r="B3473" t="str">
            <v>RH9049M410</v>
          </cell>
          <cell r="C3473">
            <v>3</v>
          </cell>
          <cell r="D3473">
            <v>535</v>
          </cell>
          <cell r="E3473">
            <v>1605</v>
          </cell>
          <cell r="F3473" t="str">
            <v>A4-S02</v>
          </cell>
          <cell r="G3473" t="str">
            <v xml:space="preserve">Side rail  - Đố hông </v>
          </cell>
          <cell r="H3473" t="str">
            <v>Wood laminate</v>
          </cell>
          <cell r="I3473">
            <v>12</v>
          </cell>
        </row>
        <row r="3474">
          <cell r="A3474" t="str">
            <v>B558390/A</v>
          </cell>
          <cell r="B3474" t="str">
            <v>RH9049M410</v>
          </cell>
          <cell r="C3474">
            <v>3</v>
          </cell>
          <cell r="D3474">
            <v>535</v>
          </cell>
          <cell r="E3474">
            <v>1605</v>
          </cell>
          <cell r="F3474" t="str">
            <v>A4-S03</v>
          </cell>
          <cell r="G3474" t="str">
            <v>Insert Wood - Gỗ chèn</v>
          </cell>
          <cell r="H3474" t="str">
            <v>Beech off cut</v>
          </cell>
          <cell r="I3474">
            <v>12</v>
          </cell>
        </row>
        <row r="3475">
          <cell r="A3475" t="str">
            <v>B558390/A</v>
          </cell>
          <cell r="B3475" t="str">
            <v>RH9049M410</v>
          </cell>
          <cell r="C3475">
            <v>3</v>
          </cell>
          <cell r="D3475">
            <v>535</v>
          </cell>
          <cell r="E3475">
            <v>1605</v>
          </cell>
          <cell r="F3475" t="str">
            <v>P01</v>
          </cell>
          <cell r="G3475" t="str">
            <v>support Top - đỡ nóc</v>
          </cell>
          <cell r="H3475" t="str">
            <v>Plywood LVD - 18 x 1220 x 2440mm, Bleached Poplar Veneer Both Sides [CARB P2 Compliant]</v>
          </cell>
          <cell r="I3475">
            <v>3</v>
          </cell>
        </row>
        <row r="3476">
          <cell r="A3476" t="str">
            <v>B558392/A</v>
          </cell>
          <cell r="B3476" t="str">
            <v>RH9062M396</v>
          </cell>
          <cell r="C3476">
            <v>8</v>
          </cell>
          <cell r="D3476">
            <v>245</v>
          </cell>
          <cell r="E3476">
            <v>1960</v>
          </cell>
          <cell r="F3476" t="str">
            <v>A1-S0</v>
          </cell>
          <cell r="G3476" t="str">
            <v>vaccumn veneer - cảo bich veneer</v>
          </cell>
          <cell r="H3476" t="str">
            <v>Pre-Assembly</v>
          </cell>
          <cell r="I3476">
            <v>8</v>
          </cell>
        </row>
        <row r="3477">
          <cell r="A3477" t="str">
            <v>B558392/A</v>
          </cell>
          <cell r="B3477" t="str">
            <v>RH9062M396</v>
          </cell>
          <cell r="C3477">
            <v>8</v>
          </cell>
          <cell r="D3477">
            <v>245</v>
          </cell>
          <cell r="E3477">
            <v>1960</v>
          </cell>
          <cell r="F3477" t="str">
            <v>A1-S01</v>
          </cell>
          <cell r="G3477" t="str">
            <v xml:space="preserve">Drawer front 1 - Mặt hộc kéo </v>
          </cell>
          <cell r="H3477" t="str">
            <v>Wd+MDF+VN</v>
          </cell>
          <cell r="I3477">
            <v>8</v>
          </cell>
        </row>
        <row r="3478">
          <cell r="A3478" t="str">
            <v>B558392/A</v>
          </cell>
          <cell r="B3478" t="str">
            <v>RH9062M396</v>
          </cell>
          <cell r="C3478">
            <v>8</v>
          </cell>
          <cell r="D3478">
            <v>245</v>
          </cell>
          <cell r="E3478">
            <v>1960</v>
          </cell>
          <cell r="F3478" t="str">
            <v>A1-S01-1</v>
          </cell>
          <cell r="G3478" t="str">
            <v>Vertical rail 1 - Đố đứng 1</v>
          </cell>
          <cell r="H3478" t="str">
            <v>MDF laminate</v>
          </cell>
          <cell r="I3478">
            <v>16</v>
          </cell>
        </row>
        <row r="3479">
          <cell r="A3479" t="str">
            <v>B558392/A</v>
          </cell>
          <cell r="B3479" t="str">
            <v>RH9062M396</v>
          </cell>
          <cell r="C3479">
            <v>8</v>
          </cell>
          <cell r="D3479">
            <v>245</v>
          </cell>
          <cell r="E3479">
            <v>1960</v>
          </cell>
          <cell r="F3479" t="str">
            <v>A1-S01-2</v>
          </cell>
          <cell r="G3479" t="str">
            <v>MDF - MDF</v>
          </cell>
          <cell r="H3479" t="str">
            <v>MDF - 25 x 1830 x 2440mm [CARB P2 Compliant]</v>
          </cell>
          <cell r="I3479">
            <v>8</v>
          </cell>
        </row>
        <row r="3480">
          <cell r="A3480" t="str">
            <v>B558392/A</v>
          </cell>
          <cell r="B3480" t="str">
            <v>RH9062M396</v>
          </cell>
          <cell r="C3480">
            <v>8</v>
          </cell>
          <cell r="D3480">
            <v>245</v>
          </cell>
          <cell r="E3480">
            <v>1960</v>
          </cell>
          <cell r="F3480" t="str">
            <v>A1-S01-3</v>
          </cell>
          <cell r="G3480" t="str">
            <v>Insert Wood - Gỗ chèn</v>
          </cell>
          <cell r="H3480" t="str">
            <v>Wood White Oak - Straight/Waving Edged, 2 COM - T25mm x W100mm Up x L1.5m Up</v>
          </cell>
          <cell r="I3480">
            <v>8</v>
          </cell>
        </row>
        <row r="3481">
          <cell r="A3481" t="str">
            <v>B558392/A</v>
          </cell>
          <cell r="B3481" t="str">
            <v>RH9062M396</v>
          </cell>
          <cell r="C3481">
            <v>8</v>
          </cell>
          <cell r="D3481">
            <v>245</v>
          </cell>
          <cell r="E3481">
            <v>1960</v>
          </cell>
          <cell r="F3481" t="str">
            <v>A1-S02</v>
          </cell>
          <cell r="G3481" t="str">
            <v>Drawer side - Hông hộc kéo</v>
          </cell>
          <cell r="H3481" t="str">
            <v>MDF-N - 12 x 1220 x 2440mm, Veneer Ash Straigh Grain 0.45mm Both Faces [CARB P2 Compliant]</v>
          </cell>
          <cell r="I3481">
            <v>16</v>
          </cell>
        </row>
        <row r="3482">
          <cell r="A3482" t="str">
            <v>B558392/A</v>
          </cell>
          <cell r="B3482" t="str">
            <v>RH9062M396</v>
          </cell>
          <cell r="C3482">
            <v>8</v>
          </cell>
          <cell r="D3482">
            <v>245</v>
          </cell>
          <cell r="E3482">
            <v>1960</v>
          </cell>
          <cell r="F3482" t="str">
            <v>A1-S03</v>
          </cell>
          <cell r="G3482" t="str">
            <v>Drawer back - Hậu hộc kéo</v>
          </cell>
          <cell r="H3482" t="str">
            <v>MDF-N - 12 x 1220 x 2440mm, Veneer Ash Straigh Grain 0.45mm Both Faces [CARB P2 Compliant]</v>
          </cell>
          <cell r="I3482">
            <v>8</v>
          </cell>
        </row>
        <row r="3483">
          <cell r="A3483" t="str">
            <v>B558392/A</v>
          </cell>
          <cell r="B3483" t="str">
            <v>RH9062M396</v>
          </cell>
          <cell r="C3483">
            <v>8</v>
          </cell>
          <cell r="D3483">
            <v>245</v>
          </cell>
          <cell r="E3483">
            <v>1960</v>
          </cell>
          <cell r="F3483" t="str">
            <v>A1-S04</v>
          </cell>
          <cell r="G3483" t="str">
            <v>Drawer bottom  - Đáy hộc kéo</v>
          </cell>
          <cell r="H3483" t="str">
            <v>MDF Veneer</v>
          </cell>
          <cell r="I3483">
            <v>8</v>
          </cell>
        </row>
        <row r="3484">
          <cell r="A3484" t="str">
            <v>B558392/A</v>
          </cell>
          <cell r="B3484" t="str">
            <v>RH9062M396</v>
          </cell>
          <cell r="C3484">
            <v>8</v>
          </cell>
          <cell r="D3484">
            <v>245</v>
          </cell>
          <cell r="E3484">
            <v>1960</v>
          </cell>
          <cell r="F3484" t="str">
            <v>A1-S06</v>
          </cell>
          <cell r="G3484" t="str">
            <v>Patching wood - Gỗ đắp</v>
          </cell>
          <cell r="H3484" t="str">
            <v>Beech off cut</v>
          </cell>
          <cell r="I3484">
            <v>16</v>
          </cell>
        </row>
        <row r="3485">
          <cell r="A3485" t="str">
            <v>B558392/A</v>
          </cell>
          <cell r="B3485" t="str">
            <v>RH9062M396</v>
          </cell>
          <cell r="C3485">
            <v>8</v>
          </cell>
          <cell r="D3485">
            <v>245</v>
          </cell>
          <cell r="E3485">
            <v>1960</v>
          </cell>
          <cell r="F3485" t="str">
            <v>A2-S01</v>
          </cell>
          <cell r="G3485" t="str">
            <v>Bottom frame - Khung dưới</v>
          </cell>
          <cell r="H3485" t="str">
            <v>Pre-Assembly</v>
          </cell>
          <cell r="I3485">
            <v>8</v>
          </cell>
        </row>
        <row r="3486">
          <cell r="A3486" t="str">
            <v>B558392/A</v>
          </cell>
          <cell r="B3486" t="str">
            <v>RH9062M396</v>
          </cell>
          <cell r="C3486">
            <v>8</v>
          </cell>
          <cell r="D3486">
            <v>245</v>
          </cell>
          <cell r="E3486">
            <v>1960</v>
          </cell>
          <cell r="F3486" t="str">
            <v>A2-S01-1</v>
          </cell>
          <cell r="G3486" t="str">
            <v>Front Bottom Rail  - Đố đáy trước</v>
          </cell>
          <cell r="H3486" t="str">
            <v>Wood laminate</v>
          </cell>
          <cell r="I3486">
            <v>8</v>
          </cell>
        </row>
        <row r="3487">
          <cell r="A3487" t="str">
            <v>B558392/A</v>
          </cell>
          <cell r="B3487" t="str">
            <v>RH9062M396</v>
          </cell>
          <cell r="C3487">
            <v>8</v>
          </cell>
          <cell r="D3487">
            <v>245</v>
          </cell>
          <cell r="E3487">
            <v>1960</v>
          </cell>
          <cell r="F3487" t="str">
            <v>A2-S01-2</v>
          </cell>
          <cell r="G3487" t="str">
            <v>Side bottom rail - Đố hông dưới</v>
          </cell>
          <cell r="H3487" t="str">
            <v>Wood laminate</v>
          </cell>
          <cell r="I3487">
            <v>16</v>
          </cell>
        </row>
        <row r="3488">
          <cell r="A3488" t="str">
            <v>B558392/A</v>
          </cell>
          <cell r="B3488" t="str">
            <v>RH9062M396</v>
          </cell>
          <cell r="C3488">
            <v>8</v>
          </cell>
          <cell r="D3488">
            <v>245</v>
          </cell>
          <cell r="E3488">
            <v>1960</v>
          </cell>
          <cell r="F3488" t="str">
            <v>A2-S01-3</v>
          </cell>
          <cell r="G3488" t="str">
            <v>Back bottom rail - Đố hậu đáy</v>
          </cell>
          <cell r="H3488" t="str">
            <v>Wood laminate</v>
          </cell>
          <cell r="I3488">
            <v>8</v>
          </cell>
        </row>
        <row r="3489">
          <cell r="A3489" t="str">
            <v>B558392/A</v>
          </cell>
          <cell r="B3489" t="str">
            <v>RH9062M396</v>
          </cell>
          <cell r="C3489">
            <v>8</v>
          </cell>
          <cell r="D3489">
            <v>245</v>
          </cell>
          <cell r="E3489">
            <v>1960</v>
          </cell>
          <cell r="F3489" t="str">
            <v>A2-S03</v>
          </cell>
          <cell r="G3489" t="str">
            <v>Bottom panel - Ván đáy</v>
          </cell>
          <cell r="H3489" t="str">
            <v>MDF Veneer</v>
          </cell>
          <cell r="I3489">
            <v>8</v>
          </cell>
        </row>
        <row r="3490">
          <cell r="A3490" t="str">
            <v>B558392/A</v>
          </cell>
          <cell r="B3490" t="str">
            <v>RH9062M396</v>
          </cell>
          <cell r="C3490">
            <v>8</v>
          </cell>
          <cell r="D3490">
            <v>245</v>
          </cell>
          <cell r="E3490">
            <v>1960</v>
          </cell>
          <cell r="F3490" t="str">
            <v>P01</v>
          </cell>
          <cell r="G3490" t="str">
            <v xml:space="preserve">Top panel  - Ván nóc </v>
          </cell>
          <cell r="H3490" t="str">
            <v>MDF Veneer</v>
          </cell>
          <cell r="I3490">
            <v>8</v>
          </cell>
        </row>
        <row r="3491">
          <cell r="A3491" t="str">
            <v>B558392/A</v>
          </cell>
          <cell r="B3491" t="str">
            <v>RH9062M396</v>
          </cell>
          <cell r="C3491">
            <v>8</v>
          </cell>
          <cell r="D3491">
            <v>245</v>
          </cell>
          <cell r="E3491">
            <v>1960</v>
          </cell>
          <cell r="F3491" t="str">
            <v>P02</v>
          </cell>
          <cell r="G3491" t="str">
            <v>vaccumn veneer - cảo bich veneer</v>
          </cell>
          <cell r="H3491" t="str">
            <v>Wd+VN</v>
          </cell>
          <cell r="I3491">
            <v>16</v>
          </cell>
        </row>
        <row r="3492">
          <cell r="A3492" t="str">
            <v>B558392/A</v>
          </cell>
          <cell r="B3492" t="str">
            <v>RH9062M396</v>
          </cell>
          <cell r="C3492">
            <v>8</v>
          </cell>
          <cell r="D3492">
            <v>245</v>
          </cell>
          <cell r="E3492">
            <v>1960</v>
          </cell>
          <cell r="F3492" t="str">
            <v>P02-1</v>
          </cell>
          <cell r="G3492" t="str">
            <v>MDF - MDF</v>
          </cell>
          <cell r="H3492" t="str">
            <v>MDF laminate</v>
          </cell>
          <cell r="I3492">
            <v>16</v>
          </cell>
        </row>
        <row r="3493">
          <cell r="A3493" t="str">
            <v>B558392/A</v>
          </cell>
          <cell r="B3493" t="str">
            <v>RH9062M396</v>
          </cell>
          <cell r="C3493">
            <v>8</v>
          </cell>
          <cell r="D3493">
            <v>245</v>
          </cell>
          <cell r="E3493">
            <v>1960</v>
          </cell>
          <cell r="F3493" t="str">
            <v>P02-2</v>
          </cell>
          <cell r="G3493" t="str">
            <v>Insert Wood - Gỗ chèn</v>
          </cell>
          <cell r="H3493" t="str">
            <v>Wood EU Beech - Straight/Waving Edged ABC, 2 COM - T50mm x W100mm up x L1.8m up</v>
          </cell>
          <cell r="I3493">
            <v>16</v>
          </cell>
        </row>
        <row r="3494">
          <cell r="A3494" t="str">
            <v>B558392/A</v>
          </cell>
          <cell r="B3494" t="str">
            <v>RH9062M396</v>
          </cell>
          <cell r="C3494">
            <v>8</v>
          </cell>
          <cell r="D3494">
            <v>245</v>
          </cell>
          <cell r="E3494">
            <v>1960</v>
          </cell>
          <cell r="F3494" t="str">
            <v>P02-3</v>
          </cell>
          <cell r="G3494" t="str">
            <v>Insert Wood - Gỗ chèn</v>
          </cell>
          <cell r="H3494" t="str">
            <v>Wood EU Beech - Straight/Waving Edged ABC, 2 COM - T50mm x W100mm up x L1.8m up</v>
          </cell>
          <cell r="I3494">
            <v>16</v>
          </cell>
        </row>
        <row r="3495">
          <cell r="A3495" t="str">
            <v>B558392/A</v>
          </cell>
          <cell r="B3495" t="str">
            <v>RH9062M396</v>
          </cell>
          <cell r="C3495">
            <v>8</v>
          </cell>
          <cell r="D3495">
            <v>245</v>
          </cell>
          <cell r="E3495">
            <v>1960</v>
          </cell>
          <cell r="F3495" t="str">
            <v>P05</v>
          </cell>
          <cell r="G3495" t="str">
            <v>back rail - Đố hậu</v>
          </cell>
          <cell r="H3495" t="str">
            <v>Standard Wood - ALDER/ASPEN/LENGA/US POPLAR, 2 COM - T25 W120mm+ L2m+</v>
          </cell>
          <cell r="I3495">
            <v>8</v>
          </cell>
        </row>
        <row r="3496">
          <cell r="A3496" t="str">
            <v>B558392/A</v>
          </cell>
          <cell r="B3496" t="str">
            <v>RH9062M396</v>
          </cell>
          <cell r="C3496">
            <v>8</v>
          </cell>
          <cell r="D3496">
            <v>245</v>
          </cell>
          <cell r="E3496">
            <v>1960</v>
          </cell>
          <cell r="F3496" t="str">
            <v>P06</v>
          </cell>
          <cell r="G3496" t="str">
            <v>Back panel - Ván hậu</v>
          </cell>
          <cell r="H3496" t="str">
            <v>MDF Veneer</v>
          </cell>
          <cell r="I3496">
            <v>8</v>
          </cell>
        </row>
        <row r="3497">
          <cell r="A3497" t="str">
            <v>B558392/A</v>
          </cell>
          <cell r="B3497" t="str">
            <v>RH9062M396</v>
          </cell>
          <cell r="C3497">
            <v>8</v>
          </cell>
          <cell r="D3497">
            <v>245</v>
          </cell>
          <cell r="E3497">
            <v>1960</v>
          </cell>
          <cell r="F3497" t="str">
            <v>P07</v>
          </cell>
          <cell r="G3497" t="str">
            <v>Drawer stop - Dừng hộc</v>
          </cell>
          <cell r="H3497" t="str">
            <v>Poplar off cut</v>
          </cell>
          <cell r="I3497">
            <v>16</v>
          </cell>
        </row>
        <row r="3498">
          <cell r="A3498" t="str">
            <v>B558392/A</v>
          </cell>
          <cell r="B3498" t="str">
            <v>RH9062M396</v>
          </cell>
          <cell r="C3498">
            <v>8</v>
          </cell>
          <cell r="D3498">
            <v>245</v>
          </cell>
          <cell r="E3498">
            <v>1960</v>
          </cell>
          <cell r="F3498" t="str">
            <v>P08</v>
          </cell>
          <cell r="G3498" t="str">
            <v>support Top - đỡ nóc</v>
          </cell>
          <cell r="H3498" t="str">
            <v>Beech off cut</v>
          </cell>
          <cell r="I3498">
            <v>16</v>
          </cell>
        </row>
        <row r="3499">
          <cell r="A3499" t="str">
            <v>B558392/A</v>
          </cell>
          <cell r="B3499" t="str">
            <v>RH9062M396</v>
          </cell>
          <cell r="C3499">
            <v>8</v>
          </cell>
          <cell r="D3499">
            <v>245</v>
          </cell>
          <cell r="E3499">
            <v>1960</v>
          </cell>
          <cell r="F3499" t="str">
            <v>P09</v>
          </cell>
          <cell r="G3499" t="str">
            <v>Center panel - Ván giữa</v>
          </cell>
          <cell r="H3499" t="str">
            <v>MDF Veneer</v>
          </cell>
          <cell r="I3499">
            <v>8</v>
          </cell>
        </row>
        <row r="3500">
          <cell r="A3500" t="str">
            <v>B558394/A</v>
          </cell>
          <cell r="B3500" t="str">
            <v>RH9062M410</v>
          </cell>
          <cell r="C3500">
            <v>20</v>
          </cell>
          <cell r="D3500">
            <v>245</v>
          </cell>
          <cell r="E3500">
            <v>4900</v>
          </cell>
          <cell r="F3500" t="str">
            <v>A1-S0</v>
          </cell>
          <cell r="G3500" t="str">
            <v>vaccumn veneer - cảo bich veneer</v>
          </cell>
          <cell r="H3500" t="str">
            <v>Pre-Assembly</v>
          </cell>
          <cell r="I3500">
            <v>20</v>
          </cell>
        </row>
        <row r="3501">
          <cell r="A3501" t="str">
            <v>B558394/A</v>
          </cell>
          <cell r="B3501" t="str">
            <v>RH9062M410</v>
          </cell>
          <cell r="C3501">
            <v>20</v>
          </cell>
          <cell r="D3501">
            <v>245</v>
          </cell>
          <cell r="E3501">
            <v>4900</v>
          </cell>
          <cell r="F3501" t="str">
            <v>A1-S01</v>
          </cell>
          <cell r="G3501" t="str">
            <v xml:space="preserve">Drawer front 1 - Mặt hộc kéo </v>
          </cell>
          <cell r="H3501" t="str">
            <v>Wd+MDF+VN</v>
          </cell>
          <cell r="I3501">
            <v>20</v>
          </cell>
        </row>
        <row r="3502">
          <cell r="A3502" t="str">
            <v>B558394/A</v>
          </cell>
          <cell r="B3502" t="str">
            <v>RH9062M410</v>
          </cell>
          <cell r="C3502">
            <v>20</v>
          </cell>
          <cell r="D3502">
            <v>245</v>
          </cell>
          <cell r="E3502">
            <v>4900</v>
          </cell>
          <cell r="F3502" t="str">
            <v>A1-S01-1</v>
          </cell>
          <cell r="G3502" t="str">
            <v>Vertical rail 1 - Đố đứng 1</v>
          </cell>
          <cell r="H3502" t="str">
            <v>MDF laminate</v>
          </cell>
          <cell r="I3502">
            <v>40</v>
          </cell>
        </row>
        <row r="3503">
          <cell r="A3503" t="str">
            <v>B558394/A</v>
          </cell>
          <cell r="B3503" t="str">
            <v>RH9062M410</v>
          </cell>
          <cell r="C3503">
            <v>20</v>
          </cell>
          <cell r="D3503">
            <v>245</v>
          </cell>
          <cell r="E3503">
            <v>4900</v>
          </cell>
          <cell r="F3503" t="str">
            <v>A1-S01-2</v>
          </cell>
          <cell r="G3503" t="str">
            <v>MDF - MDF</v>
          </cell>
          <cell r="H3503" t="str">
            <v>MDF - 25 x 1830 x 2440mm [CARB P2 Compliant]</v>
          </cell>
          <cell r="I3503">
            <v>20</v>
          </cell>
        </row>
        <row r="3504">
          <cell r="A3504" t="str">
            <v>B558394/A</v>
          </cell>
          <cell r="B3504" t="str">
            <v>RH9062M410</v>
          </cell>
          <cell r="C3504">
            <v>20</v>
          </cell>
          <cell r="D3504">
            <v>245</v>
          </cell>
          <cell r="E3504">
            <v>4900</v>
          </cell>
          <cell r="F3504" t="str">
            <v>A1-S01-3</v>
          </cell>
          <cell r="G3504" t="str">
            <v>Insert Wood - Gỗ chèn</v>
          </cell>
          <cell r="H3504" t="str">
            <v>Wood White Oak - Straight/Waving Edged, 2 COM - T25mm x W100mm Up x L1.5m Up</v>
          </cell>
          <cell r="I3504">
            <v>20</v>
          </cell>
        </row>
        <row r="3505">
          <cell r="A3505" t="str">
            <v>B558394/A</v>
          </cell>
          <cell r="B3505" t="str">
            <v>RH9062M410</v>
          </cell>
          <cell r="C3505">
            <v>20</v>
          </cell>
          <cell r="D3505">
            <v>245</v>
          </cell>
          <cell r="E3505">
            <v>4900</v>
          </cell>
          <cell r="F3505" t="str">
            <v>A1-S02</v>
          </cell>
          <cell r="G3505" t="str">
            <v>Drawer side - Hông hộc kéo</v>
          </cell>
          <cell r="H3505" t="str">
            <v>MDF-N - 12 x 1220 x 2440mm, Veneer Ash Straigh Grain 0.45mm Both Faces [CARB P2 Compliant]</v>
          </cell>
          <cell r="I3505">
            <v>40</v>
          </cell>
        </row>
        <row r="3506">
          <cell r="A3506" t="str">
            <v>B558394/A</v>
          </cell>
          <cell r="B3506" t="str">
            <v>RH9062M410</v>
          </cell>
          <cell r="C3506">
            <v>20</v>
          </cell>
          <cell r="D3506">
            <v>245</v>
          </cell>
          <cell r="E3506">
            <v>4900</v>
          </cell>
          <cell r="F3506" t="str">
            <v>A1-S03</v>
          </cell>
          <cell r="G3506" t="str">
            <v>Drawer back - Hậu hộc kéo</v>
          </cell>
          <cell r="H3506" t="str">
            <v>MDF-N - 12 x 1220 x 2440mm, Veneer Ash Straigh Grain 0.45mm Both Faces [CARB P2 Compliant]</v>
          </cell>
          <cell r="I3506">
            <v>20</v>
          </cell>
        </row>
        <row r="3507">
          <cell r="A3507" t="str">
            <v>B558394/A</v>
          </cell>
          <cell r="B3507" t="str">
            <v>RH9062M410</v>
          </cell>
          <cell r="C3507">
            <v>20</v>
          </cell>
          <cell r="D3507">
            <v>245</v>
          </cell>
          <cell r="E3507">
            <v>4900</v>
          </cell>
          <cell r="F3507" t="str">
            <v>A1-S04</v>
          </cell>
          <cell r="G3507" t="str">
            <v>Drawer bottom  - Đáy hộc kéo</v>
          </cell>
          <cell r="H3507" t="str">
            <v>MDF Veneer</v>
          </cell>
          <cell r="I3507">
            <v>20</v>
          </cell>
        </row>
        <row r="3508">
          <cell r="A3508" t="str">
            <v>B558394/A</v>
          </cell>
          <cell r="B3508" t="str">
            <v>RH9062M410</v>
          </cell>
          <cell r="C3508">
            <v>20</v>
          </cell>
          <cell r="D3508">
            <v>245</v>
          </cell>
          <cell r="E3508">
            <v>4900</v>
          </cell>
          <cell r="F3508" t="str">
            <v>A1-S06</v>
          </cell>
          <cell r="G3508" t="str">
            <v>Patching wood - Gỗ đắp</v>
          </cell>
          <cell r="H3508" t="str">
            <v>Beech off cut</v>
          </cell>
          <cell r="I3508">
            <v>40</v>
          </cell>
        </row>
        <row r="3509">
          <cell r="A3509" t="str">
            <v>B558394/A</v>
          </cell>
          <cell r="B3509" t="str">
            <v>RH9062M410</v>
          </cell>
          <cell r="C3509">
            <v>20</v>
          </cell>
          <cell r="D3509">
            <v>245</v>
          </cell>
          <cell r="E3509">
            <v>4900</v>
          </cell>
          <cell r="F3509" t="str">
            <v>A2-S01</v>
          </cell>
          <cell r="G3509" t="str">
            <v>Bottom frame - Khung dưới</v>
          </cell>
          <cell r="H3509" t="str">
            <v>Pre-Assembly</v>
          </cell>
          <cell r="I3509">
            <v>20</v>
          </cell>
        </row>
        <row r="3510">
          <cell r="A3510" t="str">
            <v>B558394/A</v>
          </cell>
          <cell r="B3510" t="str">
            <v>RH9062M410</v>
          </cell>
          <cell r="C3510">
            <v>20</v>
          </cell>
          <cell r="D3510">
            <v>245</v>
          </cell>
          <cell r="E3510">
            <v>4900</v>
          </cell>
          <cell r="F3510" t="str">
            <v>A2-S01-1</v>
          </cell>
          <cell r="G3510" t="str">
            <v>Front Bottom Rail  - Đố đáy trước</v>
          </cell>
          <cell r="H3510" t="str">
            <v>Wood laminate</v>
          </cell>
          <cell r="I3510">
            <v>20</v>
          </cell>
        </row>
        <row r="3511">
          <cell r="A3511" t="str">
            <v>B558394/A</v>
          </cell>
          <cell r="B3511" t="str">
            <v>RH9062M410</v>
          </cell>
          <cell r="C3511">
            <v>20</v>
          </cell>
          <cell r="D3511">
            <v>245</v>
          </cell>
          <cell r="E3511">
            <v>4900</v>
          </cell>
          <cell r="F3511" t="str">
            <v>A2-S01-2</v>
          </cell>
          <cell r="G3511" t="str">
            <v>Side bottom rail - Đố hông dưới</v>
          </cell>
          <cell r="H3511" t="str">
            <v>Wood laminate</v>
          </cell>
          <cell r="I3511">
            <v>40</v>
          </cell>
        </row>
        <row r="3512">
          <cell r="A3512" t="str">
            <v>B558394/A</v>
          </cell>
          <cell r="B3512" t="str">
            <v>RH9062M410</v>
          </cell>
          <cell r="C3512">
            <v>20</v>
          </cell>
          <cell r="D3512">
            <v>245</v>
          </cell>
          <cell r="E3512">
            <v>4900</v>
          </cell>
          <cell r="F3512" t="str">
            <v>A2-S01-3</v>
          </cell>
          <cell r="G3512" t="str">
            <v>Back bottom rail - Đố hậu đáy</v>
          </cell>
          <cell r="H3512" t="str">
            <v>Wood laminate</v>
          </cell>
          <cell r="I3512">
            <v>20</v>
          </cell>
        </row>
        <row r="3513">
          <cell r="A3513" t="str">
            <v>B558394/A</v>
          </cell>
          <cell r="B3513" t="str">
            <v>RH9062M410</v>
          </cell>
          <cell r="C3513">
            <v>20</v>
          </cell>
          <cell r="D3513">
            <v>245</v>
          </cell>
          <cell r="E3513">
            <v>4900</v>
          </cell>
          <cell r="F3513" t="str">
            <v>A2-S03</v>
          </cell>
          <cell r="G3513" t="str">
            <v>Bottom panel - Ván đáy</v>
          </cell>
          <cell r="H3513" t="str">
            <v>MDF Veneer</v>
          </cell>
          <cell r="I3513">
            <v>20</v>
          </cell>
        </row>
        <row r="3514">
          <cell r="A3514" t="str">
            <v>B558394/A</v>
          </cell>
          <cell r="B3514" t="str">
            <v>RH9062M410</v>
          </cell>
          <cell r="C3514">
            <v>20</v>
          </cell>
          <cell r="D3514">
            <v>245</v>
          </cell>
          <cell r="E3514">
            <v>4900</v>
          </cell>
          <cell r="F3514" t="str">
            <v>P01</v>
          </cell>
          <cell r="G3514" t="str">
            <v xml:space="preserve">Top panel  - Ván nóc </v>
          </cell>
          <cell r="H3514" t="str">
            <v>MDF Veneer</v>
          </cell>
          <cell r="I3514">
            <v>20</v>
          </cell>
        </row>
        <row r="3515">
          <cell r="A3515" t="str">
            <v>B558394/A</v>
          </cell>
          <cell r="B3515" t="str">
            <v>RH9062M410</v>
          </cell>
          <cell r="C3515">
            <v>20</v>
          </cell>
          <cell r="D3515">
            <v>245</v>
          </cell>
          <cell r="E3515">
            <v>4900</v>
          </cell>
          <cell r="F3515" t="str">
            <v>P02</v>
          </cell>
          <cell r="G3515" t="str">
            <v>vaccumn veneer - cảo bich veneer</v>
          </cell>
          <cell r="H3515" t="str">
            <v>Wd+VN</v>
          </cell>
          <cell r="I3515">
            <v>40</v>
          </cell>
        </row>
        <row r="3516">
          <cell r="A3516" t="str">
            <v>B558394/A</v>
          </cell>
          <cell r="B3516" t="str">
            <v>RH9062M410</v>
          </cell>
          <cell r="C3516">
            <v>20</v>
          </cell>
          <cell r="D3516">
            <v>245</v>
          </cell>
          <cell r="E3516">
            <v>4900</v>
          </cell>
          <cell r="F3516" t="str">
            <v>P02-1</v>
          </cell>
          <cell r="G3516" t="str">
            <v>MDF - MDF</v>
          </cell>
          <cell r="H3516" t="str">
            <v>MDF laminate</v>
          </cell>
          <cell r="I3516">
            <v>40</v>
          </cell>
        </row>
        <row r="3517">
          <cell r="A3517" t="str">
            <v>B558394/A</v>
          </cell>
          <cell r="B3517" t="str">
            <v>RH9062M410</v>
          </cell>
          <cell r="C3517">
            <v>20</v>
          </cell>
          <cell r="D3517">
            <v>245</v>
          </cell>
          <cell r="E3517">
            <v>4900</v>
          </cell>
          <cell r="F3517" t="str">
            <v>P02-2</v>
          </cell>
          <cell r="G3517" t="str">
            <v>Insert Wood - Gỗ chèn</v>
          </cell>
          <cell r="H3517" t="str">
            <v>Wood EU Beech - Straight/Waving Edged ABC, 2 COM - T50mm x W100mm up x L1.8m up</v>
          </cell>
          <cell r="I3517">
            <v>40</v>
          </cell>
        </row>
        <row r="3518">
          <cell r="A3518" t="str">
            <v>B558394/A</v>
          </cell>
          <cell r="B3518" t="str">
            <v>RH9062M410</v>
          </cell>
          <cell r="C3518">
            <v>20</v>
          </cell>
          <cell r="D3518">
            <v>245</v>
          </cell>
          <cell r="E3518">
            <v>4900</v>
          </cell>
          <cell r="F3518" t="str">
            <v>P02-3</v>
          </cell>
          <cell r="G3518" t="str">
            <v>Insert Wood - Gỗ chèn</v>
          </cell>
          <cell r="H3518" t="str">
            <v>Wood EU Beech - Straight/Waving Edged ABC, 2 COM - T50mm x W100mm up x L1.8m up</v>
          </cell>
          <cell r="I3518">
            <v>40</v>
          </cell>
        </row>
        <row r="3519">
          <cell r="A3519" t="str">
            <v>B558394/A</v>
          </cell>
          <cell r="B3519" t="str">
            <v>RH9062M410</v>
          </cell>
          <cell r="C3519">
            <v>20</v>
          </cell>
          <cell r="D3519">
            <v>245</v>
          </cell>
          <cell r="E3519">
            <v>4900</v>
          </cell>
          <cell r="F3519" t="str">
            <v>P05</v>
          </cell>
          <cell r="G3519" t="str">
            <v>back rail - Đố hậu</v>
          </cell>
          <cell r="H3519" t="str">
            <v>Standard Wood - ALDER/ASPEN/LENGA/US POPLAR, 2 COM - T25 W120mm+ L2m+</v>
          </cell>
          <cell r="I3519">
            <v>20</v>
          </cell>
        </row>
        <row r="3520">
          <cell r="A3520" t="str">
            <v>B558394/A</v>
          </cell>
          <cell r="B3520" t="str">
            <v>RH9062M410</v>
          </cell>
          <cell r="C3520">
            <v>20</v>
          </cell>
          <cell r="D3520">
            <v>245</v>
          </cell>
          <cell r="E3520">
            <v>4900</v>
          </cell>
          <cell r="F3520" t="str">
            <v>P06</v>
          </cell>
          <cell r="G3520" t="str">
            <v>Back panel - Ván hậu</v>
          </cell>
          <cell r="H3520" t="str">
            <v>MDF Veneer</v>
          </cell>
          <cell r="I3520">
            <v>20</v>
          </cell>
        </row>
        <row r="3521">
          <cell r="A3521" t="str">
            <v>B558394/A</v>
          </cell>
          <cell r="B3521" t="str">
            <v>RH9062M410</v>
          </cell>
          <cell r="C3521">
            <v>20</v>
          </cell>
          <cell r="D3521">
            <v>245</v>
          </cell>
          <cell r="E3521">
            <v>4900</v>
          </cell>
          <cell r="F3521" t="str">
            <v>P07</v>
          </cell>
          <cell r="G3521" t="str">
            <v>Drawer stop - Dừng hộc</v>
          </cell>
          <cell r="H3521" t="str">
            <v>Poplar off cut</v>
          </cell>
          <cell r="I3521">
            <v>40</v>
          </cell>
        </row>
        <row r="3522">
          <cell r="A3522" t="str">
            <v>B558394/A</v>
          </cell>
          <cell r="B3522" t="str">
            <v>RH9062M410</v>
          </cell>
          <cell r="C3522">
            <v>20</v>
          </cell>
          <cell r="D3522">
            <v>245</v>
          </cell>
          <cell r="E3522">
            <v>4900</v>
          </cell>
          <cell r="F3522" t="str">
            <v>P08</v>
          </cell>
          <cell r="G3522" t="str">
            <v>support Top - đỡ nóc</v>
          </cell>
          <cell r="H3522" t="str">
            <v>Beech off cut</v>
          </cell>
          <cell r="I3522">
            <v>40</v>
          </cell>
        </row>
        <row r="3523">
          <cell r="A3523" t="str">
            <v>B558394/A</v>
          </cell>
          <cell r="B3523" t="str">
            <v>RH9062M410</v>
          </cell>
          <cell r="C3523">
            <v>20</v>
          </cell>
          <cell r="D3523">
            <v>245</v>
          </cell>
          <cell r="E3523">
            <v>4900</v>
          </cell>
          <cell r="F3523" t="str">
            <v>P09</v>
          </cell>
          <cell r="G3523" t="str">
            <v>Center panel - Ván giữa</v>
          </cell>
          <cell r="H3523" t="str">
            <v>MDF Veneer</v>
          </cell>
          <cell r="I3523">
            <v>20</v>
          </cell>
        </row>
        <row r="3524">
          <cell r="A3524" t="str">
            <v>B558396/A</v>
          </cell>
          <cell r="B3524" t="str">
            <v>RH9064NM398</v>
          </cell>
          <cell r="C3524">
            <v>15</v>
          </cell>
          <cell r="D3524">
            <v>907.5</v>
          </cell>
          <cell r="E3524">
            <v>13612.5</v>
          </cell>
          <cell r="F3524" t="str">
            <v>A1-S00</v>
          </cell>
          <cell r="G3524" t="str">
            <v>vaccumn veneer - cảo bich veneer</v>
          </cell>
          <cell r="H3524" t="str">
            <v>Pre-Assembly</v>
          </cell>
          <cell r="I3524">
            <v>15</v>
          </cell>
        </row>
        <row r="3525">
          <cell r="A3525" t="str">
            <v>B558396/A</v>
          </cell>
          <cell r="B3525" t="str">
            <v>RH9064NM398</v>
          </cell>
          <cell r="C3525">
            <v>15</v>
          </cell>
          <cell r="D3525">
            <v>907.5</v>
          </cell>
          <cell r="E3525">
            <v>13612.5</v>
          </cell>
          <cell r="F3525" t="str">
            <v>A1-S00-1</v>
          </cell>
          <cell r="G3525" t="str">
            <v>MDF - MDF</v>
          </cell>
          <cell r="H3525" t="str">
            <v>MDF - 25 x 1830 x 2440mm [CARB P2 Compliant]</v>
          </cell>
          <cell r="I3525">
            <v>15</v>
          </cell>
        </row>
        <row r="3526">
          <cell r="A3526" t="str">
            <v>B558396/A</v>
          </cell>
          <cell r="B3526" t="str">
            <v>RH9064NM398</v>
          </cell>
          <cell r="C3526">
            <v>15</v>
          </cell>
          <cell r="D3526">
            <v>907.5</v>
          </cell>
          <cell r="E3526">
            <v>13612.5</v>
          </cell>
          <cell r="F3526" t="str">
            <v>A1-S00-2</v>
          </cell>
          <cell r="G3526" t="str">
            <v>Patching wood - Gỗ đắp</v>
          </cell>
          <cell r="H3526" t="str">
            <v>Wood EU Beech - Straight/Waving Edged ABC, 2 COM - T50mm x W100mm up x L1.8m up</v>
          </cell>
          <cell r="I3526">
            <v>30</v>
          </cell>
        </row>
        <row r="3527">
          <cell r="A3527" t="str">
            <v>B558396/A</v>
          </cell>
          <cell r="B3527" t="str">
            <v>RH9064NM398</v>
          </cell>
          <cell r="C3527">
            <v>15</v>
          </cell>
          <cell r="D3527">
            <v>907.5</v>
          </cell>
          <cell r="E3527">
            <v>13612.5</v>
          </cell>
          <cell r="F3527" t="str">
            <v>A1-S01</v>
          </cell>
          <cell r="G3527" t="str">
            <v xml:space="preserve">Drawer front - Mặt hộc kéo </v>
          </cell>
          <cell r="H3527" t="str">
            <v>Wd+MDF+VN</v>
          </cell>
          <cell r="I3527">
            <v>90</v>
          </cell>
        </row>
        <row r="3528">
          <cell r="A3528" t="str">
            <v>B558396/A</v>
          </cell>
          <cell r="B3528" t="str">
            <v>RH9064NM398</v>
          </cell>
          <cell r="C3528">
            <v>15</v>
          </cell>
          <cell r="D3528">
            <v>907.5</v>
          </cell>
          <cell r="E3528">
            <v>13612.5</v>
          </cell>
          <cell r="F3528" t="str">
            <v>A1-S01-3</v>
          </cell>
          <cell r="G3528" t="str">
            <v>Insert Wood - Gỗ chèn</v>
          </cell>
          <cell r="H3528" t="str">
            <v>Wood White Oak - Straight/Waving Edged, 2 COM - T25mm x W100mm Up x L1.5m Up</v>
          </cell>
          <cell r="I3528">
            <v>90</v>
          </cell>
        </row>
        <row r="3529">
          <cell r="A3529" t="str">
            <v>B558396/A</v>
          </cell>
          <cell r="B3529" t="str">
            <v>RH9064NM398</v>
          </cell>
          <cell r="C3529">
            <v>15</v>
          </cell>
          <cell r="D3529">
            <v>907.5</v>
          </cell>
          <cell r="E3529">
            <v>13612.5</v>
          </cell>
          <cell r="F3529" t="str">
            <v>A1-S02</v>
          </cell>
          <cell r="G3529" t="str">
            <v>Drawer side - Hông hộc kéo</v>
          </cell>
          <cell r="H3529" t="str">
            <v>MDF-N - 12 x 1220 x 2440mm, Veneer Ash Straigh Grain 0.45mm Both Faces [CARB P2 Compliant]</v>
          </cell>
          <cell r="I3529">
            <v>90</v>
          </cell>
        </row>
        <row r="3530">
          <cell r="A3530" t="str">
            <v>B558396/A</v>
          </cell>
          <cell r="B3530" t="str">
            <v>RH9064NM398</v>
          </cell>
          <cell r="C3530">
            <v>15</v>
          </cell>
          <cell r="D3530">
            <v>907.5</v>
          </cell>
          <cell r="E3530">
            <v>13612.5</v>
          </cell>
          <cell r="F3530" t="str">
            <v>A1-S03</v>
          </cell>
          <cell r="G3530" t="str">
            <v>Drawer back - Hậu hộc kéo</v>
          </cell>
          <cell r="H3530" t="str">
            <v>MDF-N - 12 x 1220 x 2440mm, Veneer Ash Straigh Grain 0.45mm Both Faces [CARB P2 Compliant]</v>
          </cell>
          <cell r="I3530">
            <v>90</v>
          </cell>
        </row>
        <row r="3531">
          <cell r="A3531" t="str">
            <v>B558396/A</v>
          </cell>
          <cell r="B3531" t="str">
            <v>RH9064NM398</v>
          </cell>
          <cell r="C3531">
            <v>15</v>
          </cell>
          <cell r="D3531">
            <v>907.5</v>
          </cell>
          <cell r="E3531">
            <v>13612.5</v>
          </cell>
          <cell r="F3531" t="str">
            <v>A1-S04</v>
          </cell>
          <cell r="G3531" t="str">
            <v>Drawer side - Hông hộc kéo</v>
          </cell>
          <cell r="H3531" t="str">
            <v>MDF-N - 12 x 1220 x 2440mm, Veneer Ash Straigh Grain 0.45mm Both Faces [CARB P2 Compliant]</v>
          </cell>
          <cell r="I3531">
            <v>90</v>
          </cell>
        </row>
        <row r="3532">
          <cell r="A3532" t="str">
            <v>B558396/A</v>
          </cell>
          <cell r="B3532" t="str">
            <v>RH9064NM398</v>
          </cell>
          <cell r="C3532">
            <v>15</v>
          </cell>
          <cell r="D3532">
            <v>907.5</v>
          </cell>
          <cell r="E3532">
            <v>13612.5</v>
          </cell>
          <cell r="F3532" t="str">
            <v>A1-S05</v>
          </cell>
          <cell r="G3532" t="str">
            <v>Center bottom rail - Đố đáy giữa</v>
          </cell>
          <cell r="H3532" t="str">
            <v>Standard Wood - ALDER/ASPEN/LENGA/US POPLAR, 2 COM - T38 W120mm+ L2m+</v>
          </cell>
          <cell r="I3532">
            <v>90</v>
          </cell>
        </row>
        <row r="3533">
          <cell r="A3533" t="str">
            <v>B558396/A</v>
          </cell>
          <cell r="B3533" t="str">
            <v>RH9064NM398</v>
          </cell>
          <cell r="C3533">
            <v>15</v>
          </cell>
          <cell r="D3533">
            <v>907.5</v>
          </cell>
          <cell r="E3533">
            <v>13612.5</v>
          </cell>
          <cell r="F3533" t="str">
            <v>A1-S06</v>
          </cell>
          <cell r="G3533" t="str">
            <v>Patching wood - Gỗ đắp</v>
          </cell>
          <cell r="H3533" t="str">
            <v>Poplar off cut</v>
          </cell>
          <cell r="I3533">
            <v>90</v>
          </cell>
        </row>
        <row r="3534">
          <cell r="A3534" t="str">
            <v>B558396/A</v>
          </cell>
          <cell r="B3534" t="str">
            <v>RH9064NM398</v>
          </cell>
          <cell r="C3534">
            <v>15</v>
          </cell>
          <cell r="D3534">
            <v>907.5</v>
          </cell>
          <cell r="E3534">
            <v>13612.5</v>
          </cell>
          <cell r="F3534" t="str">
            <v>A1-S07</v>
          </cell>
          <cell r="G3534" t="str">
            <v>Patching wood - Gỗ đắp</v>
          </cell>
          <cell r="H3534" t="str">
            <v>Poplar off cut</v>
          </cell>
          <cell r="I3534">
            <v>90</v>
          </cell>
        </row>
        <row r="3535">
          <cell r="A3535" t="str">
            <v>B558396/A</v>
          </cell>
          <cell r="B3535" t="str">
            <v>RH9064NM398</v>
          </cell>
          <cell r="C3535">
            <v>15</v>
          </cell>
          <cell r="D3535">
            <v>907.5</v>
          </cell>
          <cell r="E3535">
            <v>13612.5</v>
          </cell>
          <cell r="F3535" t="str">
            <v>A1-S08</v>
          </cell>
          <cell r="G3535" t="str">
            <v>Drawer bottom  - Đáy hộc kéo</v>
          </cell>
          <cell r="H3535" t="str">
            <v>MDF Veneer</v>
          </cell>
          <cell r="I3535">
            <v>90</v>
          </cell>
        </row>
        <row r="3536">
          <cell r="A3536" t="str">
            <v>B558396/A</v>
          </cell>
          <cell r="B3536" t="str">
            <v>RH9064NM398</v>
          </cell>
          <cell r="C3536">
            <v>15</v>
          </cell>
          <cell r="D3536">
            <v>907.5</v>
          </cell>
          <cell r="E3536">
            <v>13612.5</v>
          </cell>
          <cell r="F3536" t="str">
            <v>A2</v>
          </cell>
          <cell r="G3536" t="str">
            <v>Bottom frame - Khung dưới</v>
          </cell>
          <cell r="H3536" t="str">
            <v>Pre-Assembly</v>
          </cell>
          <cell r="I3536">
            <v>15</v>
          </cell>
        </row>
        <row r="3537">
          <cell r="A3537" t="str">
            <v>B558396/A</v>
          </cell>
          <cell r="B3537" t="str">
            <v>RH9064NM398</v>
          </cell>
          <cell r="C3537">
            <v>15</v>
          </cell>
          <cell r="D3537">
            <v>907.5</v>
          </cell>
          <cell r="E3537">
            <v>13612.5</v>
          </cell>
          <cell r="F3537" t="str">
            <v>A2-S01-1</v>
          </cell>
          <cell r="G3537" t="str">
            <v>Front Bottom Rail  - Đố đáy trước</v>
          </cell>
          <cell r="H3537" t="str">
            <v>Wood laminate</v>
          </cell>
          <cell r="I3537">
            <v>15</v>
          </cell>
        </row>
        <row r="3538">
          <cell r="A3538" t="str">
            <v>B558396/A</v>
          </cell>
          <cell r="B3538" t="str">
            <v>RH9064NM398</v>
          </cell>
          <cell r="C3538">
            <v>15</v>
          </cell>
          <cell r="D3538">
            <v>907.5</v>
          </cell>
          <cell r="E3538">
            <v>13612.5</v>
          </cell>
          <cell r="F3538" t="str">
            <v>A2-S01-2</v>
          </cell>
          <cell r="G3538" t="str">
            <v>Side bottom rail - Đố hông dưới</v>
          </cell>
          <cell r="H3538" t="str">
            <v>Wood laminate</v>
          </cell>
          <cell r="I3538">
            <v>30</v>
          </cell>
        </row>
        <row r="3539">
          <cell r="A3539" t="str">
            <v>B558396/A</v>
          </cell>
          <cell r="B3539" t="str">
            <v>RH9064NM398</v>
          </cell>
          <cell r="C3539">
            <v>15</v>
          </cell>
          <cell r="D3539">
            <v>907.5</v>
          </cell>
          <cell r="E3539">
            <v>13612.5</v>
          </cell>
          <cell r="F3539" t="str">
            <v>A2-S01-3</v>
          </cell>
          <cell r="G3539" t="str">
            <v>Back bottom rail - Đố hậu đáy</v>
          </cell>
          <cell r="H3539" t="str">
            <v>Wood laminate</v>
          </cell>
          <cell r="I3539">
            <v>15</v>
          </cell>
        </row>
        <row r="3540">
          <cell r="A3540" t="str">
            <v>B558396/A</v>
          </cell>
          <cell r="B3540" t="str">
            <v>RH9064NM398</v>
          </cell>
          <cell r="C3540">
            <v>15</v>
          </cell>
          <cell r="D3540">
            <v>907.5</v>
          </cell>
          <cell r="E3540">
            <v>13612.5</v>
          </cell>
          <cell r="F3540" t="str">
            <v>A2-S01-4</v>
          </cell>
          <cell r="G3540" t="str">
            <v>Center bottom rail - Đố đáy giữa</v>
          </cell>
          <cell r="H3540" t="str">
            <v>Standard Wood - ALDER/ASPEN/LENGA/US POPLAR, 2 COM - T25 W120mm+ L2m+</v>
          </cell>
          <cell r="I3540">
            <v>15</v>
          </cell>
        </row>
        <row r="3541">
          <cell r="A3541" t="str">
            <v>B558396/A</v>
          </cell>
          <cell r="B3541" t="str">
            <v>RH9064NM398</v>
          </cell>
          <cell r="C3541">
            <v>15</v>
          </cell>
          <cell r="D3541">
            <v>907.5</v>
          </cell>
          <cell r="E3541">
            <v>13612.5</v>
          </cell>
          <cell r="F3541" t="str">
            <v>P01</v>
          </cell>
          <cell r="G3541" t="str">
            <v xml:space="preserve">Top panel  - Ván nóc </v>
          </cell>
          <cell r="H3541" t="str">
            <v>MDF Veneer</v>
          </cell>
          <cell r="I3541">
            <v>15</v>
          </cell>
        </row>
        <row r="3542">
          <cell r="A3542" t="str">
            <v>B558396/A</v>
          </cell>
          <cell r="B3542" t="str">
            <v>RH9064NM398</v>
          </cell>
          <cell r="C3542">
            <v>15</v>
          </cell>
          <cell r="D3542">
            <v>907.5</v>
          </cell>
          <cell r="E3542">
            <v>13612.5</v>
          </cell>
          <cell r="F3542" t="str">
            <v>P02</v>
          </cell>
          <cell r="G3542" t="str">
            <v>vaccumn veneer - cảo bich veneer</v>
          </cell>
          <cell r="H3542" t="str">
            <v>Pre-Assembly</v>
          </cell>
          <cell r="I3542">
            <v>30</v>
          </cell>
        </row>
        <row r="3543">
          <cell r="A3543" t="str">
            <v>B558396/A</v>
          </cell>
          <cell r="B3543" t="str">
            <v>RH9064NM398</v>
          </cell>
          <cell r="C3543">
            <v>15</v>
          </cell>
          <cell r="D3543">
            <v>907.5</v>
          </cell>
          <cell r="E3543">
            <v>13612.5</v>
          </cell>
          <cell r="F3543" t="str">
            <v>P02-1</v>
          </cell>
          <cell r="G3543" t="str">
            <v>MDF - MDF</v>
          </cell>
          <cell r="H3543" t="str">
            <v>MDF - 18 x 1830 x 2440mm [CARB P2 Compliant]</v>
          </cell>
          <cell r="I3543">
            <v>30</v>
          </cell>
        </row>
        <row r="3544">
          <cell r="A3544" t="str">
            <v>B558396/A</v>
          </cell>
          <cell r="B3544" t="str">
            <v>RH9064NM398</v>
          </cell>
          <cell r="C3544">
            <v>15</v>
          </cell>
          <cell r="D3544">
            <v>907.5</v>
          </cell>
          <cell r="E3544">
            <v>13612.5</v>
          </cell>
          <cell r="F3544" t="str">
            <v>P02-2</v>
          </cell>
          <cell r="G3544" t="str">
            <v>Patching wood - Gỗ đắp</v>
          </cell>
          <cell r="H3544" t="str">
            <v>MDF laminate</v>
          </cell>
          <cell r="I3544">
            <v>30</v>
          </cell>
        </row>
        <row r="3545">
          <cell r="A3545" t="str">
            <v>B558396/A</v>
          </cell>
          <cell r="B3545" t="str">
            <v>RH9064NM398</v>
          </cell>
          <cell r="C3545">
            <v>15</v>
          </cell>
          <cell r="D3545">
            <v>907.5</v>
          </cell>
          <cell r="E3545">
            <v>13612.5</v>
          </cell>
          <cell r="F3545" t="str">
            <v>P03</v>
          </cell>
          <cell r="G3545" t="str">
            <v>Bottom panel - Ván đáy</v>
          </cell>
          <cell r="H3545" t="str">
            <v>MDF Veneer</v>
          </cell>
          <cell r="I3545">
            <v>15</v>
          </cell>
        </row>
        <row r="3546">
          <cell r="A3546" t="str">
            <v>B558396/A</v>
          </cell>
          <cell r="B3546" t="str">
            <v>RH9064NM398</v>
          </cell>
          <cell r="C3546">
            <v>15</v>
          </cell>
          <cell r="D3546">
            <v>907.5</v>
          </cell>
          <cell r="E3546">
            <v>13612.5</v>
          </cell>
          <cell r="F3546" t="str">
            <v>P05</v>
          </cell>
          <cell r="G3546" t="str">
            <v>Partition panel - Vách ngăn</v>
          </cell>
          <cell r="H3546" t="str">
            <v>MDF Veneer</v>
          </cell>
          <cell r="I3546">
            <v>15</v>
          </cell>
        </row>
        <row r="3547">
          <cell r="A3547" t="str">
            <v>B558396/A</v>
          </cell>
          <cell r="B3547" t="str">
            <v>RH9064NM398</v>
          </cell>
          <cell r="C3547">
            <v>15</v>
          </cell>
          <cell r="D3547">
            <v>907.5</v>
          </cell>
          <cell r="E3547">
            <v>13612.5</v>
          </cell>
          <cell r="F3547" t="str">
            <v>P06</v>
          </cell>
          <cell r="G3547" t="str">
            <v>Back panel - Ván hậu</v>
          </cell>
          <cell r="H3547" t="str">
            <v>MDF Veneer</v>
          </cell>
          <cell r="I3547">
            <v>15</v>
          </cell>
        </row>
        <row r="3548">
          <cell r="A3548" t="str">
            <v>B558396/A</v>
          </cell>
          <cell r="B3548" t="str">
            <v>RH9064NM398</v>
          </cell>
          <cell r="C3548">
            <v>15</v>
          </cell>
          <cell r="D3548">
            <v>907.5</v>
          </cell>
          <cell r="E3548">
            <v>13612.5</v>
          </cell>
          <cell r="F3548" t="str">
            <v>P07</v>
          </cell>
          <cell r="G3548" t="str">
            <v>Top rail - Đố nóc</v>
          </cell>
          <cell r="H3548" t="str">
            <v>MDF Veneer</v>
          </cell>
          <cell r="I3548">
            <v>15</v>
          </cell>
        </row>
        <row r="3549">
          <cell r="A3549" t="str">
            <v>B558396/A</v>
          </cell>
          <cell r="B3549" t="str">
            <v>RH9064NM398</v>
          </cell>
          <cell r="C3549">
            <v>15</v>
          </cell>
          <cell r="D3549">
            <v>907.5</v>
          </cell>
          <cell r="E3549">
            <v>13612.5</v>
          </cell>
          <cell r="F3549" t="str">
            <v>P08</v>
          </cell>
          <cell r="G3549" t="str">
            <v>Back rail with note finger - đố hậu</v>
          </cell>
          <cell r="H3549" t="str">
            <v>Standard Wood - ALDER/ASPEN/LENGA/US POPLAR, 2 COM - T25 W120mm+ L2m+</v>
          </cell>
          <cell r="I3549">
            <v>30</v>
          </cell>
        </row>
        <row r="3550">
          <cell r="A3550" t="str">
            <v>B558396/A</v>
          </cell>
          <cell r="B3550" t="str">
            <v>RH9064NM398</v>
          </cell>
          <cell r="C3550">
            <v>15</v>
          </cell>
          <cell r="D3550">
            <v>907.5</v>
          </cell>
          <cell r="E3550">
            <v>13612.5</v>
          </cell>
          <cell r="F3550" t="str">
            <v>P09</v>
          </cell>
          <cell r="G3550" t="str">
            <v>Drawer stop - Dừng hộc</v>
          </cell>
          <cell r="H3550" t="str">
            <v>Poplar off cut</v>
          </cell>
          <cell r="I3550">
            <v>90</v>
          </cell>
        </row>
        <row r="3551">
          <cell r="A3551" t="str">
            <v>B558396/A</v>
          </cell>
          <cell r="B3551" t="str">
            <v>RH9064NM398</v>
          </cell>
          <cell r="C3551">
            <v>15</v>
          </cell>
          <cell r="D3551">
            <v>907.5</v>
          </cell>
          <cell r="E3551">
            <v>13612.5</v>
          </cell>
          <cell r="F3551" t="str">
            <v>P09-1</v>
          </cell>
          <cell r="G3551" t="str">
            <v>Drawer stop - Dừng hộc</v>
          </cell>
          <cell r="H3551" t="str">
            <v>Poplar off cut</v>
          </cell>
          <cell r="I3551">
            <v>90</v>
          </cell>
        </row>
        <row r="3552">
          <cell r="A3552" t="str">
            <v>B558396/A</v>
          </cell>
          <cell r="B3552" t="str">
            <v>RH9064NM398</v>
          </cell>
          <cell r="C3552">
            <v>15</v>
          </cell>
          <cell r="D3552">
            <v>907.5</v>
          </cell>
          <cell r="E3552">
            <v>13612.5</v>
          </cell>
          <cell r="F3552" t="str">
            <v>P10</v>
          </cell>
          <cell r="G3552" t="str">
            <v>Back panel - Ván hậu</v>
          </cell>
          <cell r="H3552" t="str">
            <v>Cement Board - 18 x 1220 x 2440mm, Dark Grey</v>
          </cell>
          <cell r="I3552">
            <v>30</v>
          </cell>
        </row>
        <row r="3553">
          <cell r="A3553" t="str">
            <v>B558396/A</v>
          </cell>
          <cell r="B3553" t="str">
            <v>RH9064NM398</v>
          </cell>
          <cell r="C3553">
            <v>15</v>
          </cell>
          <cell r="D3553">
            <v>907.5</v>
          </cell>
          <cell r="E3553">
            <v>13612.5</v>
          </cell>
          <cell r="F3553" t="str">
            <v>P11</v>
          </cell>
          <cell r="G3553" t="str">
            <v>Cleat - Bọ gỗ</v>
          </cell>
          <cell r="H3553" t="str">
            <v>Poplar off cut</v>
          </cell>
          <cell r="I3553">
            <v>90</v>
          </cell>
        </row>
        <row r="3554">
          <cell r="A3554" t="str">
            <v>B558396/A</v>
          </cell>
          <cell r="B3554" t="str">
            <v>RH9064NM398</v>
          </cell>
          <cell r="C3554">
            <v>15</v>
          </cell>
          <cell r="D3554">
            <v>907.5</v>
          </cell>
          <cell r="E3554">
            <v>13612.5</v>
          </cell>
          <cell r="F3554" t="str">
            <v>P12</v>
          </cell>
          <cell r="G3554" t="str">
            <v>Front rail  - Đố tiền</v>
          </cell>
          <cell r="H3554" t="str">
            <v>Wood US Poplar - Straight Edged, 2 COM - T25mm x W100mm Up x L1.8m Up</v>
          </cell>
          <cell r="I3554">
            <v>30</v>
          </cell>
        </row>
        <row r="3555">
          <cell r="A3555" t="str">
            <v>B558264/A</v>
          </cell>
          <cell r="B3555" t="str">
            <v>RH9090M370</v>
          </cell>
          <cell r="C3555">
            <v>20</v>
          </cell>
          <cell r="D3555">
            <v>555</v>
          </cell>
          <cell r="E3555">
            <v>11100</v>
          </cell>
          <cell r="F3555" t="str">
            <v>A1</v>
          </cell>
          <cell r="G3555" t="str">
            <v>Side Frame - Khung hông</v>
          </cell>
          <cell r="H3555" t="str">
            <v>Pre-Assembly</v>
          </cell>
          <cell r="I3555">
            <v>40</v>
          </cell>
        </row>
        <row r="3556">
          <cell r="A3556" t="str">
            <v>B558264/A</v>
          </cell>
          <cell r="B3556" t="str">
            <v>RH9090M370</v>
          </cell>
          <cell r="C3556">
            <v>20</v>
          </cell>
          <cell r="D3556">
            <v>555</v>
          </cell>
          <cell r="E3556">
            <v>11100</v>
          </cell>
          <cell r="F3556" t="str">
            <v>A1-S0</v>
          </cell>
          <cell r="G3556" t="str">
            <v xml:space="preserve">Curve part hot press  - chi tiết cảo cong </v>
          </cell>
          <cell r="H3556" t="str">
            <v>MDF Veneer</v>
          </cell>
          <cell r="I3556">
            <v>40</v>
          </cell>
        </row>
        <row r="3557">
          <cell r="A3557" t="str">
            <v>B558264/A</v>
          </cell>
          <cell r="B3557" t="str">
            <v>RH9090M370</v>
          </cell>
          <cell r="C3557">
            <v>20</v>
          </cell>
          <cell r="D3557">
            <v>555</v>
          </cell>
          <cell r="E3557">
            <v>11100</v>
          </cell>
          <cell r="F3557" t="str">
            <v>A1-S01</v>
          </cell>
          <cell r="G3557" t="str">
            <v xml:space="preserve">Curve part hot press  - chi tiết cảo cong </v>
          </cell>
          <cell r="H3557" t="str">
            <v>MDF Veneer</v>
          </cell>
          <cell r="I3557">
            <v>40</v>
          </cell>
        </row>
        <row r="3558">
          <cell r="A3558" t="str">
            <v>B558264/A</v>
          </cell>
          <cell r="B3558" t="str">
            <v>RH9090M370</v>
          </cell>
          <cell r="C3558">
            <v>20</v>
          </cell>
          <cell r="D3558">
            <v>555</v>
          </cell>
          <cell r="E3558">
            <v>11100</v>
          </cell>
          <cell r="F3558" t="str">
            <v>A1-S05</v>
          </cell>
          <cell r="G3558" t="str">
            <v>Patching wood - Gỗ đắp</v>
          </cell>
          <cell r="H3558" t="str">
            <v>Wood White Oak - Straight/Waving Edged, 1 COM - T32mm x W100mm Up x L1.8m Up</v>
          </cell>
          <cell r="I3558">
            <v>40</v>
          </cell>
        </row>
        <row r="3559">
          <cell r="A3559" t="str">
            <v>B558264/A</v>
          </cell>
          <cell r="B3559" t="str">
            <v>RH9090M370</v>
          </cell>
          <cell r="C3559">
            <v>20</v>
          </cell>
          <cell r="D3559">
            <v>555</v>
          </cell>
          <cell r="E3559">
            <v>11100</v>
          </cell>
          <cell r="F3559" t="str">
            <v>A2-S01</v>
          </cell>
          <cell r="G3559" t="str">
            <v xml:space="preserve">Top panel  - Ván nóc </v>
          </cell>
          <cell r="H3559" t="str">
            <v>MDF Veneer</v>
          </cell>
          <cell r="I3559">
            <v>20</v>
          </cell>
        </row>
        <row r="3560">
          <cell r="A3560" t="str">
            <v>B558264/A</v>
          </cell>
          <cell r="B3560" t="str">
            <v>RH9090M370</v>
          </cell>
          <cell r="C3560">
            <v>20</v>
          </cell>
          <cell r="D3560">
            <v>555</v>
          </cell>
          <cell r="E3560">
            <v>11100</v>
          </cell>
          <cell r="F3560" t="str">
            <v>A2-S02</v>
          </cell>
          <cell r="G3560" t="str">
            <v>Top rail - Đố nóc</v>
          </cell>
          <cell r="H3560" t="str">
            <v>Wood laminate</v>
          </cell>
          <cell r="I3560">
            <v>20</v>
          </cell>
        </row>
        <row r="3561">
          <cell r="A3561" t="str">
            <v>B558264/A</v>
          </cell>
          <cell r="B3561" t="str">
            <v>RH9090M370</v>
          </cell>
          <cell r="C3561">
            <v>20</v>
          </cell>
          <cell r="D3561">
            <v>555</v>
          </cell>
          <cell r="E3561">
            <v>11100</v>
          </cell>
          <cell r="F3561" t="str">
            <v>A2-S03</v>
          </cell>
          <cell r="G3561" t="str">
            <v>Top rail - Đố nóc</v>
          </cell>
          <cell r="H3561" t="str">
            <v>Wood laminate</v>
          </cell>
          <cell r="I3561">
            <v>40</v>
          </cell>
        </row>
        <row r="3562">
          <cell r="A3562" t="str">
            <v>B558264/A</v>
          </cell>
          <cell r="B3562" t="str">
            <v>RH9090M370</v>
          </cell>
          <cell r="C3562">
            <v>20</v>
          </cell>
          <cell r="D3562">
            <v>555</v>
          </cell>
          <cell r="E3562">
            <v>11100</v>
          </cell>
          <cell r="F3562" t="str">
            <v>A2-S04</v>
          </cell>
          <cell r="G3562" t="str">
            <v>Front rail  - Đố tiền</v>
          </cell>
          <cell r="H3562" t="str">
            <v>Wood laminate</v>
          </cell>
          <cell r="I3562">
            <v>20</v>
          </cell>
        </row>
        <row r="3563">
          <cell r="A3563" t="str">
            <v>B558264/A</v>
          </cell>
          <cell r="B3563" t="str">
            <v>RH9090M370</v>
          </cell>
          <cell r="C3563">
            <v>20</v>
          </cell>
          <cell r="D3563">
            <v>555</v>
          </cell>
          <cell r="E3563">
            <v>11100</v>
          </cell>
          <cell r="F3563" t="str">
            <v>A2-S05</v>
          </cell>
          <cell r="G3563" t="str">
            <v>Top rail - Đố nóc</v>
          </cell>
          <cell r="H3563" t="str">
            <v>Wood laminate</v>
          </cell>
          <cell r="I3563">
            <v>40</v>
          </cell>
        </row>
        <row r="3564">
          <cell r="A3564" t="str">
            <v>B558264/A</v>
          </cell>
          <cell r="B3564" t="str">
            <v>RH9090M370</v>
          </cell>
          <cell r="C3564">
            <v>20</v>
          </cell>
          <cell r="D3564">
            <v>555</v>
          </cell>
          <cell r="E3564">
            <v>11100</v>
          </cell>
          <cell r="F3564" t="str">
            <v>A2-S06</v>
          </cell>
          <cell r="G3564" t="str">
            <v>support Top - đỡ nóc</v>
          </cell>
          <cell r="H3564" t="str">
            <v>Beech off cut</v>
          </cell>
          <cell r="I3564">
            <v>80</v>
          </cell>
        </row>
        <row r="3565">
          <cell r="A3565" t="str">
            <v>B558264/A</v>
          </cell>
          <cell r="B3565" t="str">
            <v>RH9090M370</v>
          </cell>
          <cell r="C3565">
            <v>20</v>
          </cell>
          <cell r="D3565">
            <v>555</v>
          </cell>
          <cell r="E3565">
            <v>11100</v>
          </cell>
          <cell r="F3565" t="str">
            <v>A2-S07</v>
          </cell>
          <cell r="G3565" t="str">
            <v>support Top - đỡ nóc</v>
          </cell>
          <cell r="H3565" t="str">
            <v>Wood laminate</v>
          </cell>
          <cell r="I3565">
            <v>20</v>
          </cell>
        </row>
        <row r="3566">
          <cell r="A3566" t="str">
            <v>B558264/A</v>
          </cell>
          <cell r="B3566" t="str">
            <v>RH9090M370</v>
          </cell>
          <cell r="C3566">
            <v>20</v>
          </cell>
          <cell r="D3566">
            <v>555</v>
          </cell>
          <cell r="E3566">
            <v>11100</v>
          </cell>
          <cell r="F3566" t="str">
            <v>A3-S0</v>
          </cell>
          <cell r="G3566" t="str">
            <v xml:space="preserve">Curve part hot press  - chi tiết cảo cong </v>
          </cell>
          <cell r="H3566" t="str">
            <v>MDF Veneer</v>
          </cell>
          <cell r="I3566">
            <v>20</v>
          </cell>
        </row>
        <row r="3567">
          <cell r="A3567" t="str">
            <v>B558264/A</v>
          </cell>
          <cell r="B3567" t="str">
            <v>RH9090M370</v>
          </cell>
          <cell r="C3567">
            <v>20</v>
          </cell>
          <cell r="D3567">
            <v>555</v>
          </cell>
          <cell r="E3567">
            <v>11100</v>
          </cell>
          <cell r="F3567" t="str">
            <v>A3-S01</v>
          </cell>
          <cell r="G3567" t="str">
            <v xml:space="preserve">Curve part hot press  - chi tiết cảo cong </v>
          </cell>
          <cell r="H3567" t="str">
            <v>MDF Veneer</v>
          </cell>
          <cell r="I3567">
            <v>120</v>
          </cell>
        </row>
        <row r="3568">
          <cell r="A3568" t="str">
            <v>B558264/A</v>
          </cell>
          <cell r="B3568" t="str">
            <v>RH9090M370</v>
          </cell>
          <cell r="C3568">
            <v>20</v>
          </cell>
          <cell r="D3568">
            <v>555</v>
          </cell>
          <cell r="E3568">
            <v>11100</v>
          </cell>
          <cell r="F3568" t="str">
            <v>A3-S02</v>
          </cell>
          <cell r="G3568" t="str">
            <v>Bottom panel - Ván đáy</v>
          </cell>
          <cell r="H3568" t="str">
            <v>MDF Veneer</v>
          </cell>
          <cell r="I3568">
            <v>40</v>
          </cell>
        </row>
        <row r="3569">
          <cell r="A3569" t="str">
            <v>B558264/A</v>
          </cell>
          <cell r="B3569" t="str">
            <v>RH9090M370</v>
          </cell>
          <cell r="C3569">
            <v>20</v>
          </cell>
          <cell r="D3569">
            <v>555</v>
          </cell>
          <cell r="E3569">
            <v>11100</v>
          </cell>
          <cell r="F3569" t="str">
            <v>A3-S03</v>
          </cell>
          <cell r="G3569" t="str">
            <v>Patching wood - Gỗ đắp</v>
          </cell>
          <cell r="H3569" t="str">
            <v>Beech off cut</v>
          </cell>
          <cell r="I3569">
            <v>120</v>
          </cell>
        </row>
        <row r="3570">
          <cell r="A3570" t="str">
            <v>B558264/A</v>
          </cell>
          <cell r="B3570" t="str">
            <v>RH9090M370</v>
          </cell>
          <cell r="C3570">
            <v>20</v>
          </cell>
          <cell r="D3570">
            <v>555</v>
          </cell>
          <cell r="E3570">
            <v>11100</v>
          </cell>
          <cell r="F3570" t="str">
            <v>A4</v>
          </cell>
          <cell r="G3570" t="str">
            <v>Door panel  - Ván cửa</v>
          </cell>
          <cell r="H3570" t="str">
            <v>Pre-Assembly</v>
          </cell>
          <cell r="I3570">
            <v>40</v>
          </cell>
        </row>
        <row r="3571">
          <cell r="A3571" t="str">
            <v>B558264/A</v>
          </cell>
          <cell r="B3571" t="str">
            <v>RH9090M370</v>
          </cell>
          <cell r="C3571">
            <v>20</v>
          </cell>
          <cell r="D3571">
            <v>555</v>
          </cell>
          <cell r="E3571">
            <v>11100</v>
          </cell>
          <cell r="F3571" t="str">
            <v>A4-S0</v>
          </cell>
          <cell r="G3571" t="str">
            <v xml:space="preserve">Curve part hot press  - chi tiết cảo cong </v>
          </cell>
          <cell r="H3571" t="str">
            <v>MDF Veneer</v>
          </cell>
          <cell r="I3571">
            <v>20</v>
          </cell>
        </row>
        <row r="3572">
          <cell r="A3572" t="str">
            <v>B558264/A</v>
          </cell>
          <cell r="B3572" t="str">
            <v>RH9090M370</v>
          </cell>
          <cell r="C3572">
            <v>20</v>
          </cell>
          <cell r="D3572">
            <v>555</v>
          </cell>
          <cell r="E3572">
            <v>11100</v>
          </cell>
          <cell r="F3572" t="str">
            <v>A4-S00</v>
          </cell>
          <cell r="G3572" t="str">
            <v xml:space="preserve">Curve part hot press  - chi tiết cảo cong </v>
          </cell>
          <cell r="H3572" t="str">
            <v>MDF Veneer</v>
          </cell>
          <cell r="I3572">
            <v>20</v>
          </cell>
        </row>
        <row r="3573">
          <cell r="A3573" t="str">
            <v>B558264/A</v>
          </cell>
          <cell r="B3573" t="str">
            <v>RH9090M370</v>
          </cell>
          <cell r="C3573">
            <v>20</v>
          </cell>
          <cell r="D3573">
            <v>555</v>
          </cell>
          <cell r="E3573">
            <v>11100</v>
          </cell>
          <cell r="F3573" t="str">
            <v>A4-S01</v>
          </cell>
          <cell r="G3573" t="str">
            <v xml:space="preserve">Side panel  - Ván hông </v>
          </cell>
          <cell r="H3573" t="str">
            <v>MDF Veneer</v>
          </cell>
          <cell r="I3573">
            <v>40</v>
          </cell>
        </row>
        <row r="3574">
          <cell r="A3574" t="str">
            <v>B558264/A</v>
          </cell>
          <cell r="B3574" t="str">
            <v>RH9090M370</v>
          </cell>
          <cell r="C3574">
            <v>20</v>
          </cell>
          <cell r="D3574">
            <v>555</v>
          </cell>
          <cell r="E3574">
            <v>11100</v>
          </cell>
          <cell r="F3574" t="str">
            <v>A4-S02</v>
          </cell>
          <cell r="G3574" t="str">
            <v>Patching wood - Gỗ đắp</v>
          </cell>
          <cell r="H3574" t="str">
            <v>Wood White Oak - Straight/Waving Edged, 1 COM - T32mm x W100mm Up x L1.8m Up</v>
          </cell>
          <cell r="I3574">
            <v>40</v>
          </cell>
        </row>
        <row r="3575">
          <cell r="A3575" t="str">
            <v>B558264/A</v>
          </cell>
          <cell r="B3575" t="str">
            <v>RH9090M370</v>
          </cell>
          <cell r="C3575">
            <v>20</v>
          </cell>
          <cell r="D3575">
            <v>555</v>
          </cell>
          <cell r="E3575">
            <v>11100</v>
          </cell>
          <cell r="F3575" t="str">
            <v>P04</v>
          </cell>
          <cell r="G3575" t="str">
            <v>Door panel  - Ván cửa</v>
          </cell>
          <cell r="H3575" t="str">
            <v>MDF Veneer</v>
          </cell>
          <cell r="I3575">
            <v>40</v>
          </cell>
        </row>
        <row r="3576">
          <cell r="A3576" t="str">
            <v>B558264/A</v>
          </cell>
          <cell r="B3576" t="str">
            <v>RH9090M370</v>
          </cell>
          <cell r="C3576">
            <v>20</v>
          </cell>
          <cell r="D3576">
            <v>555</v>
          </cell>
          <cell r="E3576">
            <v>11100</v>
          </cell>
          <cell r="F3576" t="str">
            <v>P04-1</v>
          </cell>
          <cell r="G3576" t="str">
            <v>Insert Wood - Gỗ chèn</v>
          </cell>
          <cell r="H3576" t="str">
            <v>Beech off cut</v>
          </cell>
          <cell r="I3576">
            <v>120</v>
          </cell>
        </row>
        <row r="3577">
          <cell r="A3577" t="str">
            <v>B558264/A</v>
          </cell>
          <cell r="B3577" t="str">
            <v>RH9090M370</v>
          </cell>
          <cell r="C3577">
            <v>20</v>
          </cell>
          <cell r="D3577">
            <v>555</v>
          </cell>
          <cell r="E3577">
            <v>11100</v>
          </cell>
          <cell r="F3577" t="str">
            <v>P04-2</v>
          </cell>
          <cell r="G3577" t="str">
            <v>Insert Wood - Gỗ chèn</v>
          </cell>
          <cell r="H3577" t="str">
            <v>Wood White Oak - Straight/Waving Edged, 2 COM - T25mm x W100mm Up x L1.5m Up</v>
          </cell>
          <cell r="I3577">
            <v>80</v>
          </cell>
        </row>
        <row r="3578">
          <cell r="A3578" t="str">
            <v>B558264/A</v>
          </cell>
          <cell r="B3578" t="str">
            <v>RH9090M370</v>
          </cell>
          <cell r="C3578">
            <v>20</v>
          </cell>
          <cell r="D3578">
            <v>555</v>
          </cell>
          <cell r="E3578">
            <v>11100</v>
          </cell>
          <cell r="F3578" t="str">
            <v>P06</v>
          </cell>
          <cell r="G3578" t="str">
            <v>Cleat - Bọ gỗ</v>
          </cell>
          <cell r="H3578" t="str">
            <v>Beech off cut</v>
          </cell>
          <cell r="I3578">
            <v>40</v>
          </cell>
        </row>
        <row r="3579">
          <cell r="A3579" t="str">
            <v>B558264/A</v>
          </cell>
          <cell r="B3579" t="str">
            <v>RH9090M370</v>
          </cell>
          <cell r="C3579">
            <v>20</v>
          </cell>
          <cell r="D3579">
            <v>555</v>
          </cell>
          <cell r="E3579">
            <v>11100</v>
          </cell>
          <cell r="F3579" t="str">
            <v>P07</v>
          </cell>
          <cell r="G3579" t="str">
            <v>Bottom panel - Ván đáy</v>
          </cell>
          <cell r="H3579" t="str">
            <v>Plywood VN</v>
          </cell>
          <cell r="I3579">
            <v>20</v>
          </cell>
        </row>
        <row r="3580">
          <cell r="A3580" t="str">
            <v>B558264/A</v>
          </cell>
          <cell r="B3580" t="str">
            <v>RH9090M370</v>
          </cell>
          <cell r="C3580">
            <v>20</v>
          </cell>
          <cell r="D3580">
            <v>555</v>
          </cell>
          <cell r="E3580">
            <v>11100</v>
          </cell>
          <cell r="F3580" t="str">
            <v>P08</v>
          </cell>
          <cell r="G3580" t="str">
            <v>Back panel - Ván hậu</v>
          </cell>
          <cell r="H3580" t="str">
            <v>MDF Veneer</v>
          </cell>
          <cell r="I3580">
            <v>20</v>
          </cell>
        </row>
        <row r="3581">
          <cell r="A3581" t="str">
            <v>B558264/A</v>
          </cell>
          <cell r="B3581" t="str">
            <v>RH9090M370</v>
          </cell>
          <cell r="C3581">
            <v>20</v>
          </cell>
          <cell r="D3581">
            <v>555</v>
          </cell>
          <cell r="E3581">
            <v>11100</v>
          </cell>
          <cell r="F3581" t="str">
            <v>P08-1</v>
          </cell>
          <cell r="G3581" t="str">
            <v>Insert Wood - Gỗ chèn</v>
          </cell>
          <cell r="H3581" t="str">
            <v>oak off cut</v>
          </cell>
          <cell r="I3581">
            <v>40</v>
          </cell>
        </row>
        <row r="3582">
          <cell r="A3582" t="str">
            <v>B558264/A</v>
          </cell>
          <cell r="B3582" t="str">
            <v>RH9090M370</v>
          </cell>
          <cell r="C3582">
            <v>20</v>
          </cell>
          <cell r="D3582">
            <v>555</v>
          </cell>
          <cell r="E3582">
            <v>11100</v>
          </cell>
          <cell r="F3582" t="str">
            <v>P09</v>
          </cell>
          <cell r="G3582" t="str">
            <v>Partition panel - Vách ngăn</v>
          </cell>
          <cell r="H3582" t="str">
            <v>MDF Veneer</v>
          </cell>
          <cell r="I3582">
            <v>20</v>
          </cell>
        </row>
        <row r="3583">
          <cell r="A3583" t="str">
            <v>B558264/A</v>
          </cell>
          <cell r="B3583" t="str">
            <v>RH9090M370</v>
          </cell>
          <cell r="C3583">
            <v>20</v>
          </cell>
          <cell r="D3583">
            <v>555</v>
          </cell>
          <cell r="E3583">
            <v>11100</v>
          </cell>
          <cell r="F3583" t="str">
            <v>P12</v>
          </cell>
          <cell r="G3583" t="str">
            <v>Patching wood - Gỗ đắp</v>
          </cell>
          <cell r="H3583" t="str">
            <v>Wood White Oak - Straight/Waving Edged, 1 COM - T25mm x W100mm Up x L1.8m Up</v>
          </cell>
          <cell r="I3583">
            <v>40</v>
          </cell>
        </row>
        <row r="3584">
          <cell r="A3584" t="str">
            <v>B558264/A</v>
          </cell>
          <cell r="B3584" t="str">
            <v>RH9090M370</v>
          </cell>
          <cell r="C3584">
            <v>20</v>
          </cell>
          <cell r="D3584">
            <v>555</v>
          </cell>
          <cell r="E3584">
            <v>11100</v>
          </cell>
          <cell r="F3584" t="str">
            <v>P15</v>
          </cell>
          <cell r="G3584" t="str">
            <v>Shelf panel  - Ván kệ</v>
          </cell>
          <cell r="H3584" t="str">
            <v>MDF Veneer</v>
          </cell>
          <cell r="I3584">
            <v>40</v>
          </cell>
        </row>
      </sheetData>
      <sheetData sheetId="2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Production/Whitewood/P2/WHITEWOOD%20SCHEDULE%20FOLLOW%20UP/TH&#431;&#416;NG%20E.N/FILE%20&#201;P%20H&#192;NG%20S&#7916;A%20(%20KV%20&#201;P%20N&#211;NG%20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ong, Trieu Van / Expeditor - Whitewood (Plant 2)" refreshedDate="46115.319718287035" createdVersion="6" refreshedVersion="6" minRefreshableVersion="3" recordCount="866">
  <cacheSource type="worksheet">
    <worksheetSource ref="A2:O868" sheet="datta" r:id="rId2"/>
  </cacheSource>
  <cacheFields count="15">
    <cacheField name="STT" numFmtId="0">
      <sharedItems containsString="0" containsBlank="1" containsNumber="1" containsInteger="1" minValue="1" maxValue="862"/>
    </cacheField>
    <cacheField name="WONUMBER" numFmtId="0">
      <sharedItems containsNonDate="0" containsString="0" containsBlank="1"/>
    </cacheField>
    <cacheField name="MÃ HàNG" numFmtId="0">
      <sharedItems containsBlank="1"/>
    </cacheField>
    <cacheField name="TÊN CHÍ TIẾT " numFmtId="0">
      <sharedItems containsBlank="1"/>
    </cacheField>
    <cacheField name="SỐ BỘ " numFmtId="0">
      <sharedItems containsString="0" containsBlank="1" containsNumber="1" containsInteger="1" minValue="1" maxValue="575"/>
    </cacheField>
    <cacheField name="SỐ LƯỢNG " numFmtId="0">
      <sharedItems containsString="0" containsBlank="1" containsNumber="1" containsInteger="1" minValue="1" maxValue="800"/>
    </cacheField>
    <cacheField name="NGàY BẮT ĐẦU " numFmtId="0">
      <sharedItems containsNonDate="0" containsDate="1" containsString="0" containsBlank="1" minDate="2025-08-01T00:00:00" maxDate="2026-04-03T00:00:00"/>
    </cacheField>
    <cacheField name="SỐ HC" numFmtId="0">
      <sharedItems containsString="0" containsBlank="1" containsNumber="1" containsInteger="1" minValue="1" maxValue="6"/>
    </cacheField>
    <cacheField name="THỜI GIANG BẮT ĐẦU " numFmtId="0">
      <sharedItems containsNonDate="0" containsDate="1" containsString="0" containsBlank="1" minDate="1899-12-30T02:30:00" maxDate="1899-12-30T19:00:00"/>
    </cacheField>
    <cacheField name="THỜI GIANG KẾT THÚC " numFmtId="0">
      <sharedItems containsNonDate="0" containsDate="1" containsString="0" containsBlank="1" minDate="1899-12-30T03:00:00" maxDate="1899-12-30T21:00:00"/>
    </cacheField>
    <cacheField name="SỐ GIỜ " numFmtId="0">
      <sharedItems containsString="0" containsBlank="1" containsNumber="1" minValue="0.16666666666666607" maxValue="29.583333333333336"/>
    </cacheField>
    <cacheField name="NGàY KẾT THÚC " numFmtId="0">
      <sharedItems containsNonDate="0" containsDate="1" containsString="0" containsBlank="1" minDate="2025-08-01T00:00:00" maxDate="2026-04-03T00:00:00"/>
    </cacheField>
    <cacheField name="WK RC" numFmtId="0">
      <sharedItems containsBlank="1" count="38">
        <s v="WK 31"/>
        <s v="WK31"/>
        <s v="WK32"/>
        <s v="WK33"/>
        <s v="WK35"/>
        <s v="WK 36"/>
        <s v="WK37"/>
        <s v="WK38"/>
        <s v="WK39"/>
        <s v="WK41"/>
        <s v="WK 41"/>
        <s v="WK42"/>
        <s v="WK 43"/>
        <s v="WK43"/>
        <s v="WK44"/>
        <s v="WK45"/>
        <s v="WK46"/>
        <s v="WK47"/>
        <s v="WK48"/>
        <s v="WK 49"/>
        <s v="WK50"/>
        <s v="WK51"/>
        <s v="WK52"/>
        <s v="WK01"/>
        <s v="WK03"/>
        <s v="WK04"/>
        <s v="WK05"/>
        <s v="WK06"/>
        <s v="WK10"/>
        <s v="WK10/26"/>
        <s v="WK11"/>
        <s v="WK12"/>
        <s v="WK11/26"/>
        <s v="WK 12"/>
        <s v="WK13"/>
        <m/>
        <s v="WK14"/>
        <s v="WK0" u="1"/>
      </sharedItems>
    </cacheField>
    <cacheField name="CHARGE TO" numFmtId="0">
      <sharedItems containsBlank="1"/>
    </cacheField>
    <cacheField name="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ong, Trieu Van / Expeditor - Whitewood (Plant 2)" refreshedDate="46115.320453819448" createdVersion="6" refreshedVersion="6" minRefreshableVersion="3" recordCount="1747">
  <cacheSource type="worksheet">
    <worksheetSource ref="A2:O1749" sheet="tổng"/>
  </cacheSource>
  <cacheFields count="16">
    <cacheField name="STT" numFmtId="0">
      <sharedItems containsString="0" containsBlank="1" containsNumber="1" containsInteger="1" minValue="2" maxValue="895"/>
    </cacheField>
    <cacheField name="WONUMBER" numFmtId="0">
      <sharedItems containsBlank="1" containsMixedTypes="1" containsNumber="1" containsInteger="1" minValue="29168" maxValue="29168"/>
    </cacheField>
    <cacheField name="MÃ HàNG" numFmtId="0">
      <sharedItems containsBlank="1"/>
    </cacheField>
    <cacheField name="TÊN CHÍ TIẾT " numFmtId="0">
      <sharedItems containsBlank="1"/>
    </cacheField>
    <cacheField name="SỐ BỘ " numFmtId="0">
      <sharedItems containsBlank="1" containsMixedTypes="1" containsNumber="1" containsInteger="1" minValue="0" maxValue="1344"/>
    </cacheField>
    <cacheField name="SỐ LƯỢNG " numFmtId="0">
      <sharedItems containsString="0" containsBlank="1" containsNumber="1" containsInteger="1" minValue="1" maxValue="1344"/>
    </cacheField>
    <cacheField name="NGàY BẮT ĐẦU " numFmtId="16">
      <sharedItems containsNonDate="0" containsDate="1" containsString="0" containsBlank="1" minDate="2024-08-10T00:00:00" maxDate="2026-03-13T00:00:00"/>
    </cacheField>
    <cacheField name="SỐ HC" numFmtId="0">
      <sharedItems containsString="0" containsBlank="1" containsNumber="1" containsInteger="1" minValue="1" maxValue="50"/>
    </cacheField>
    <cacheField name="THỜI GIANG BẮT ĐẦU " numFmtId="0">
      <sharedItems containsNonDate="0" containsDate="1" containsString="0" containsBlank="1" minDate="1899-12-30T00:00:00" maxDate="1899-12-30T18:30:00" count="92">
        <d v="1899-12-30T15:00:00"/>
        <d v="1899-12-30T09:00:00"/>
        <d v="1899-12-30T10:00:00"/>
        <d v="1899-12-30T14:00:00"/>
        <d v="1899-12-30T11:00:00"/>
        <d v="1899-12-30T10:35:00"/>
        <d v="1899-12-30T13:00:00"/>
        <d v="1899-12-30T15:30:00"/>
        <d v="1899-12-30T14:30:00"/>
        <d v="1899-12-30T06:00:00"/>
        <d v="1899-12-30T16:30:00"/>
        <d v="1899-12-30T08:30:00"/>
        <d v="1899-12-30T08:00:00"/>
        <d v="1899-12-30T13:30:00"/>
        <d v="1899-12-30T07:00:00"/>
        <m/>
        <d v="1899-12-30T16:00:00"/>
        <d v="1899-12-30T14:20:00"/>
        <d v="1899-12-30T09:06:00"/>
        <d v="1899-12-30T07:30:00"/>
        <d v="1899-12-30T11:20:00"/>
        <d v="1899-12-30T13:50:00"/>
        <d v="1899-12-30T17:30:00"/>
        <d v="1899-12-30T10:30:00"/>
        <d v="1899-12-30T09:40:00"/>
        <d v="1899-12-30T09:30:00"/>
        <d v="1899-12-30T17:00:00"/>
        <d v="1899-12-30T14:50:00"/>
        <d v="1899-12-30T10:20:00"/>
        <d v="1899-12-30T14:10:00"/>
        <d v="1899-12-30T14:40:00"/>
        <d v="1899-12-30T15:50:00"/>
        <d v="1899-12-30T08:50:00"/>
        <d v="1899-12-30T10:10:00"/>
        <d v="1899-12-30T08:20:00"/>
        <d v="1899-12-30T09:20:00"/>
        <d v="1899-12-30T15:20:00"/>
        <d v="1899-12-30T08:40:00"/>
        <d v="1899-12-30T08:45:00"/>
        <d v="1899-12-30T08:15:00"/>
        <d v="1899-12-30T10:40:00"/>
        <d v="1899-12-30T09:45:00"/>
        <d v="1899-12-30T07:50:00"/>
        <d v="1899-12-30T08:10:00"/>
        <d v="1899-12-30T09:10:00"/>
        <d v="1899-12-30T09:50:00"/>
        <d v="1899-12-30T09:15:00"/>
        <d v="1899-12-30T10:15:00"/>
        <d v="1899-12-30T10:45:00"/>
        <d v="1899-12-30T11:15:00"/>
        <d v="1899-12-30T13:10:00"/>
        <d v="1899-12-30T13:40:00"/>
        <d v="1899-12-30T11:40:00"/>
        <d v="1899-12-30T10:05:00"/>
        <d v="1899-12-30T10:50:00"/>
        <d v="1899-12-30T09:25:00"/>
        <d v="1899-12-30T14:25:00"/>
        <d v="1899-12-30T16:10:00"/>
        <d v="1899-12-30T16:25:00"/>
        <d v="1899-12-30T16:35:00"/>
        <d v="1899-12-30T15:45:00"/>
        <d v="1899-12-30T08:35:00"/>
        <d v="1899-12-30T14:45:00"/>
        <d v="1899-12-30T14:05:00"/>
        <d v="1899-12-30T14:15:00"/>
        <d v="1899-12-30T14:35:00"/>
        <d v="1899-12-30T11:45:00"/>
        <d v="1899-12-30T16:20:00"/>
        <d v="1899-12-30T10:25:00"/>
        <d v="1899-12-30T08:25:00"/>
        <d v="1899-12-30T10:55:00"/>
        <d v="1899-12-30T13:05:00"/>
        <d v="1899-12-30T18:30:00"/>
        <d v="1899-12-30T08:55:00"/>
        <d v="1899-12-30T17:10:00"/>
        <d v="1899-12-30T17:15:00"/>
        <d v="1899-12-30T13:20:00"/>
        <d v="1899-12-30T13:15:00"/>
        <d v="1899-12-30T07:20:00"/>
        <d v="1899-12-30T07:45:00"/>
        <d v="1899-12-30T15:15:00"/>
        <d v="1899-12-30T07:05:00"/>
        <d v="1899-12-30T08:05:00"/>
        <d v="1899-12-30T15:10:00"/>
        <d v="1899-12-30T13:35:00"/>
        <d v="1899-12-30T15:25:00"/>
        <d v="1899-12-30T13:25:00"/>
        <d v="1899-12-30T13:55:00"/>
        <d v="1899-12-30T15:35:00"/>
        <d v="1899-12-30T07:10:00"/>
        <d v="1899-12-30T00:00:00"/>
        <d v="1899-12-30T18:00:00"/>
      </sharedItems>
      <fieldGroup par="15" base="8">
        <rangePr groupBy="minutes" startDate="1899-12-30T00:00:00" endDate="1899-12-30T18:30:00"/>
        <groupItems count="62">
          <s v="(blank)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THỜI GIANG KẾT THÚC " numFmtId="0">
      <sharedItems containsDate="1" containsString="0" containsBlank="1" containsMixedTypes="1" minDate="1899-12-30T00:00:00" maxDate="1899-12-30T20:00:00"/>
    </cacheField>
    <cacheField name="SỐ GIỜ " numFmtId="0">
      <sharedItems containsString="0" containsBlank="1" containsNumber="1" minValue="-14.416666666666666" maxValue="250"/>
    </cacheField>
    <cacheField name="NGàY KẾT THÚC " numFmtId="0">
      <sharedItems containsNonDate="0" containsDate="1" containsString="0" containsBlank="1" minDate="2024-08-10T00:00:00" maxDate="2026-04-03T00:00:00"/>
    </cacheField>
    <cacheField name="WK RC" numFmtId="0">
      <sharedItems containsBlank="1" count="80">
        <s v="wk33"/>
        <s v="wk34"/>
        <s v="WK35"/>
        <s v="WK36"/>
        <s v="WK37"/>
        <s v="WK38"/>
        <s v="WK39"/>
        <s v="WK40"/>
        <m/>
        <s v="WK41"/>
        <s v="WK42"/>
        <s v="WK43"/>
        <s v="WK44"/>
        <s v="WK45"/>
        <s v="WK46"/>
        <s v="WK47"/>
        <s v="WK48"/>
        <s v="WK49"/>
        <s v="WK50"/>
        <s v="WK51"/>
        <s v="WK52"/>
        <s v="WK01-25"/>
        <s v="WK02-25"/>
        <s v="WK03-25"/>
        <s v="WK04-25"/>
        <s v="WK07-25"/>
        <s v="WK08-25"/>
        <s v="WK10-25"/>
        <s v="WK11-25"/>
        <s v="WK12-25"/>
        <s v="WK13"/>
        <s v="WK14"/>
        <s v="WK15"/>
        <s v="WK16"/>
        <s v="WK17"/>
        <s v="WK18"/>
        <s v="WK19"/>
        <s v="WK20"/>
        <s v="WK21"/>
        <s v="WK22"/>
        <s v="WK23"/>
        <s v="WK24"/>
        <s v="WK25"/>
        <s v="WK26"/>
        <s v="WK27"/>
        <s v="WK28"/>
        <s v="WK29-25"/>
        <s v="WK30-25"/>
        <s v="WK31-25"/>
        <s v="WK32-25"/>
        <s v="WK33-25"/>
        <s v="WK34-25"/>
        <s v="WK35-25"/>
        <s v="WK36-25"/>
        <s v="WK37-25"/>
        <s v="WK38-25"/>
        <s v="WK39-25"/>
        <s v="WK40-25"/>
        <s v="WK41-25"/>
        <s v="WK42-25"/>
        <s v="WK44-25"/>
        <s v="WK45-25"/>
        <s v="WK46-25"/>
        <s v="WK47-25"/>
        <s v="WK48-25"/>
        <s v="WK49-25"/>
        <s v="WK50-25"/>
        <s v="WK51-25"/>
        <s v="WK52-25"/>
        <s v="WK01-26"/>
        <s v="WK02-26"/>
        <s v="WK03-26"/>
        <s v="WK05-26"/>
        <s v="WK04-26"/>
        <s v="WK06-26"/>
        <s v="WK10-26"/>
        <s v="WK11-26"/>
        <s v="WK12-26"/>
        <s v="WK13-26"/>
        <s v="WK14-26"/>
      </sharedItems>
    </cacheField>
    <cacheField name="CHARGE TO" numFmtId="0">
      <sharedItems containsBlank="1"/>
    </cacheField>
    <cacheField name="NOTE" numFmtId="0">
      <sharedItems containsBlank="1"/>
    </cacheField>
    <cacheField name="Hours" numFmtId="0" databaseField="0">
      <fieldGroup base="8">
        <rangePr groupBy="hours" startDate="1899-12-30T00:00:00" endDate="1899-12-30T18:30:00"/>
        <groupItems count="26">
          <s v="&lt;00/01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66">
  <r>
    <n v="1"/>
    <m/>
    <s v="AR125F906"/>
    <s v="A1-S2, A1-S3, A1-S4, A3-S2, P02"/>
    <m/>
    <n v="11"/>
    <d v="2025-08-01T00:00:00"/>
    <n v="5"/>
    <d v="1899-12-30T08:00:00"/>
    <d v="1899-12-30T08:30:00"/>
    <n v="2.5000000000000044"/>
    <d v="2025-08-01T00:00:00"/>
    <x v="0"/>
    <s v="Chart Assy"/>
    <s v="HÀNG BỔ SUNG"/>
  </r>
  <r>
    <n v="2"/>
    <m/>
    <s v="AT382F888-VE"/>
    <s v="A4-1"/>
    <m/>
    <n v="2"/>
    <d v="2025-08-01T00:00:00"/>
    <n v="6"/>
    <d v="1899-12-30T10:00:00"/>
    <d v="1899-12-30T10:40:00"/>
    <n v="3.9999999999999938"/>
    <d v="2025-08-01T00:00:00"/>
    <x v="1"/>
    <m/>
    <s v="HÀNG BỔ SUNG"/>
  </r>
  <r>
    <n v="3"/>
    <m/>
    <s v="RH005"/>
    <m/>
    <m/>
    <n v="15"/>
    <d v="2025-08-02T00:00:00"/>
    <n v="6"/>
    <d v="1899-12-30T08:00:00"/>
    <d v="1899-12-30T10:00:00"/>
    <n v="12.000000000000005"/>
    <d v="2025-08-02T00:00:00"/>
    <x v="2"/>
    <m/>
    <s v="BẢNG MÀU"/>
  </r>
  <r>
    <n v="4"/>
    <m/>
    <s v="DL018F837"/>
    <s v="A1-S4-1"/>
    <n v="2"/>
    <n v="2"/>
    <d v="2025-08-02T00:00:00"/>
    <n v="2"/>
    <d v="1899-12-30T14:00:00"/>
    <d v="1899-12-30T14:15:00"/>
    <n v="0.49999999999999822"/>
    <d v="2025-08-02T00:00:00"/>
    <x v="2"/>
    <m/>
    <s v="HÀNG BỔ SUNG"/>
  </r>
  <r>
    <n v="5"/>
    <m/>
    <s v="JV008F580"/>
    <s v="A1-S4 A3-S3"/>
    <m/>
    <n v="2"/>
    <d v="2025-08-02T00:00:00"/>
    <n v="2"/>
    <d v="1899-12-30T14:15:00"/>
    <d v="1899-12-30T15:30:00"/>
    <n v="2.5000000000000018"/>
    <d v="2025-08-02T00:00:00"/>
    <x v="2"/>
    <m/>
    <s v="HÀNG BỔ SUNG"/>
  </r>
  <r>
    <n v="6"/>
    <m/>
    <s v="SH884"/>
    <s v="A1-S01"/>
    <n v="3"/>
    <n v="12"/>
    <d v="2025-08-02T00:00:00"/>
    <n v="1"/>
    <d v="1899-12-30T11:00:00"/>
    <d v="1899-12-30T12:30:00"/>
    <n v="1.5000000000000013"/>
    <d v="2025-08-02T00:00:00"/>
    <x v="2"/>
    <m/>
    <s v="HÀNG BỔ SUNG"/>
  </r>
  <r>
    <n v="7"/>
    <m/>
    <s v="RH005"/>
    <m/>
    <m/>
    <n v="24"/>
    <d v="2025-08-06T00:00:00"/>
    <n v="6"/>
    <d v="1899-12-30T07:00:00"/>
    <d v="1899-12-30T07:30:00"/>
    <n v="2.9999999999999973"/>
    <d v="2025-08-06T00:00:00"/>
    <x v="2"/>
    <m/>
    <s v="BẢNG MÀU"/>
  </r>
  <r>
    <n v="8"/>
    <m/>
    <s v="RH449F002"/>
    <s v="P2"/>
    <m/>
    <n v="57"/>
    <d v="2025-08-08T00:00:00"/>
    <n v="6"/>
    <d v="1899-12-30T08:00:00"/>
    <d v="1899-12-30T08:40:00"/>
    <n v="4.0000000000000018"/>
    <d v="2025-08-08T00:00:00"/>
    <x v="2"/>
    <m/>
    <s v="BẢNG MÀU"/>
  </r>
  <r>
    <n v="9"/>
    <m/>
    <s v="AR999M1291"/>
    <s v="A2-S01"/>
    <m/>
    <n v="100"/>
    <d v="2025-08-12T00:00:00"/>
    <n v="5"/>
    <d v="1899-12-30T08:00:00"/>
    <d v="1899-12-30T11:00:00"/>
    <n v="15"/>
    <d v="2025-08-12T00:00:00"/>
    <x v="3"/>
    <m/>
    <s v="HÀNG BỔ SUNG"/>
  </r>
  <r>
    <n v="10"/>
    <m/>
    <s v="MH1086CNM01"/>
    <s v="P01-3"/>
    <m/>
    <n v="25"/>
    <d v="2025-08-12T00:00:00"/>
    <n v="5"/>
    <d v="1899-12-30T12:00:00"/>
    <d v="1899-12-30T13:30:00"/>
    <n v="7.5"/>
    <d v="2025-08-12T00:00:00"/>
    <x v="3"/>
    <m/>
    <m/>
  </r>
  <r>
    <n v="11"/>
    <m/>
    <s v="SH923F1251"/>
    <s v="A1-S10"/>
    <n v="3"/>
    <n v="3"/>
    <d v="2025-08-14T00:00:00"/>
    <n v="5"/>
    <d v="1899-12-30T15:00:00"/>
    <d v="1899-12-30T15:45:00"/>
    <n v="3.75"/>
    <d v="2025-08-14T00:00:00"/>
    <x v="3"/>
    <m/>
    <s v="HỖ TRỢ B1"/>
  </r>
  <r>
    <n v="12"/>
    <m/>
    <s v="RH005"/>
    <s v="P2B"/>
    <m/>
    <n v="50"/>
    <d v="2025-08-15T00:00:00"/>
    <n v="5"/>
    <d v="1899-12-30T07:00:00"/>
    <d v="1899-12-30T08:00:00"/>
    <n v="4.9999999999999956"/>
    <d v="2025-08-15T00:00:00"/>
    <x v="3"/>
    <m/>
    <s v="BẢNG MÀU"/>
  </r>
  <r>
    <n v="13"/>
    <m/>
    <s v="RH005"/>
    <s v="P2B"/>
    <m/>
    <n v="220"/>
    <d v="2025-08-15T00:00:00"/>
    <n v="5"/>
    <d v="1899-12-30T19:00:00"/>
    <d v="1899-12-30T21:00:00"/>
    <n v="10.000000000000004"/>
    <d v="2025-08-15T00:00:00"/>
    <x v="3"/>
    <m/>
    <s v="BẢNG MÀU"/>
  </r>
  <r>
    <n v="14"/>
    <m/>
    <s v="RH005"/>
    <s v="P2B"/>
    <m/>
    <n v="73"/>
    <d v="2025-08-16T00:00:00"/>
    <n v="5"/>
    <d v="1899-12-30T18:15:00"/>
    <d v="1899-12-30T19:00:00"/>
    <n v="3.75"/>
    <d v="2025-08-16T00:00:00"/>
    <x v="3"/>
    <m/>
    <s v="BẢNG MÀU"/>
  </r>
  <r>
    <n v="15"/>
    <m/>
    <s v="RH005"/>
    <s v="P2B"/>
    <m/>
    <n v="20"/>
    <d v="2025-08-25T00:00:00"/>
    <n v="5"/>
    <d v="1899-12-30T14:30:00"/>
    <d v="1899-12-30T15:00:00"/>
    <n v="2.5000000000000044"/>
    <d v="2025-08-25T00:00:00"/>
    <x v="4"/>
    <m/>
    <s v="BẢNG MÀU"/>
  </r>
  <r>
    <n v="16"/>
    <m/>
    <s v="CE592M1222-TOP"/>
    <s v="A1-S01-1"/>
    <n v="25"/>
    <n v="25"/>
    <d v="2025-08-27T00:00:00"/>
    <n v="5"/>
    <d v="1899-12-30T15:30:00"/>
    <d v="1899-12-30T21:00:00"/>
    <n v="27.499999999999996"/>
    <d v="2025-08-27T00:00:00"/>
    <x v="4"/>
    <m/>
    <s v="HỖ TRỢ B1"/>
  </r>
  <r>
    <n v="17"/>
    <m/>
    <s v="RH005"/>
    <s v="P2B"/>
    <m/>
    <n v="40"/>
    <d v="2025-08-27T00:00:00"/>
    <n v="5"/>
    <d v="1899-12-30T18:40:00"/>
    <d v="1899-12-30T19:15:00"/>
    <n v="2.9166666666666696"/>
    <d v="2025-08-27T00:00:00"/>
    <x v="4"/>
    <m/>
    <s v="BẢNG MÀU"/>
  </r>
  <r>
    <n v="18"/>
    <m/>
    <s v="RH005"/>
    <s v="P2B"/>
    <m/>
    <n v="257"/>
    <d v="2025-09-04T00:00:00"/>
    <n v="4"/>
    <d v="1899-12-30T16:00:00"/>
    <d v="1899-12-30T18:00:00"/>
    <n v="8.0000000000000036"/>
    <d v="2025-09-04T00:00:00"/>
    <x v="5"/>
    <m/>
    <s v="BẢNG MÀU"/>
  </r>
  <r>
    <n v="19"/>
    <m/>
    <s v="RH005"/>
    <s v="P2B"/>
    <m/>
    <n v="182"/>
    <d v="2025-09-11T00:00:00"/>
    <n v="5"/>
    <d v="1899-12-30T11:00:00"/>
    <d v="1899-12-30T13:00:00"/>
    <n v="9.9999999999999982"/>
    <d v="2025-09-11T00:00:00"/>
    <x v="6"/>
    <m/>
    <s v="BẢNG MÀU"/>
  </r>
  <r>
    <n v="20"/>
    <m/>
    <s v="RH1004F1001"/>
    <s v="A1-S01"/>
    <n v="25"/>
    <n v="25"/>
    <d v="2025-09-20T00:00:00"/>
    <n v="5"/>
    <d v="1899-12-30T07:30:00"/>
    <d v="1899-12-30T13:25:00"/>
    <n v="29.583333333333336"/>
    <d v="2025-09-20T00:00:00"/>
    <x v="7"/>
    <m/>
    <s v="HỖ TRỢ B1"/>
  </r>
  <r>
    <n v="21"/>
    <m/>
    <s v="RH11127"/>
    <s v="P01-4"/>
    <m/>
    <n v="20"/>
    <d v="2025-09-25T00:00:00"/>
    <n v="4"/>
    <d v="1899-12-30T07:30:00"/>
    <d v="1899-12-30T08:30:00"/>
    <n v="4.0000000000000018"/>
    <d v="2025-09-25T00:00:00"/>
    <x v="8"/>
    <m/>
    <s v="LỖI KỸ THUẬT"/>
  </r>
  <r>
    <n v="34"/>
    <m/>
    <s v="RH11127"/>
    <s v="P01-3"/>
    <m/>
    <n v="20"/>
    <d v="2025-09-25T00:00:00"/>
    <n v="4"/>
    <d v="1899-12-30T08:30:00"/>
    <d v="1899-12-30T09:30:00"/>
    <n v="3.9999999999999964"/>
    <d v="2025-09-25T00:00:00"/>
    <x v="8"/>
    <m/>
    <s v="LỖI KỸ THUẬT"/>
  </r>
  <r>
    <n v="23"/>
    <m/>
    <s v="AR998M1291"/>
    <s v="P"/>
    <n v="575"/>
    <n v="575"/>
    <d v="2025-09-26T00:00:00"/>
    <n v="4"/>
    <d v="1899-12-30T07:00:00"/>
    <d v="1899-12-30T11:00:00"/>
    <n v="15.999999999999996"/>
    <d v="2025-09-26T00:00:00"/>
    <x v="8"/>
    <m/>
    <s v="BẢNG MÀU"/>
  </r>
  <r>
    <n v="24"/>
    <m/>
    <s v="RH005"/>
    <s v="P2C "/>
    <m/>
    <n v="110"/>
    <d v="2025-09-26T00:00:00"/>
    <n v="4"/>
    <d v="1899-12-30T15:30:00"/>
    <d v="1899-12-30T16:50:00"/>
    <n v="5.333333333333325"/>
    <d v="2025-09-26T00:00:00"/>
    <x v="8"/>
    <m/>
    <s v="BẢNG MÀU"/>
  </r>
  <r>
    <n v="25"/>
    <m/>
    <s v="AR998M1291"/>
    <s v="P"/>
    <m/>
    <n v="155"/>
    <d v="2025-09-27T00:00:00"/>
    <n v="4"/>
    <d v="1899-12-30T08:15:00"/>
    <d v="1899-12-30T10:20:00"/>
    <n v="8.3333333333333357"/>
    <d v="2025-09-27T00:00:00"/>
    <x v="8"/>
    <m/>
    <s v="BẢNG MÀU"/>
  </r>
  <r>
    <n v="26"/>
    <m/>
    <s v="RH005"/>
    <s v="P2C "/>
    <m/>
    <n v="91"/>
    <d v="2025-10-06T00:00:00"/>
    <n v="4"/>
    <d v="1899-12-30T09:50:00"/>
    <d v="1899-12-30T10:30:00"/>
    <n v="2.6666666666666625"/>
    <d v="2025-10-06T00:00:00"/>
    <x v="9"/>
    <s v="Technical Finishing"/>
    <s v="BẢN MÀU"/>
  </r>
  <r>
    <n v="27"/>
    <m/>
    <s v="RH005"/>
    <s v="P2C "/>
    <m/>
    <n v="95"/>
    <d v="2025-10-08T00:00:00"/>
    <n v="4"/>
    <d v="1899-12-30T10:00:00"/>
    <d v="1899-12-30T10:50:00"/>
    <n v="3.3333333333333321"/>
    <d v="2025-10-08T00:00:00"/>
    <x v="9"/>
    <s v="Technical Finishing"/>
    <s v="BẢN MÀU"/>
  </r>
  <r>
    <n v="28"/>
    <m/>
    <s v="RH9858M424"/>
    <s v="P01-0"/>
    <m/>
    <n v="6"/>
    <d v="2025-10-11T00:00:00"/>
    <n v="4"/>
    <d v="1899-12-30T08:20:00"/>
    <d v="1899-12-30T09:30:00"/>
    <n v="4.6666666666666607"/>
    <d v="2025-10-11T00:00:00"/>
    <x v="10"/>
    <s v="Technical Finishing"/>
    <s v="SỬA HÀNG"/>
  </r>
  <r>
    <n v="29"/>
    <m/>
    <s v="RH005"/>
    <s v="P2"/>
    <m/>
    <n v="118"/>
    <d v="2025-10-16T00:00:00"/>
    <n v="4"/>
    <d v="1899-12-30T07:30:00"/>
    <d v="1899-12-30T08:10:00"/>
    <n v="2.6666666666666625"/>
    <d v="2025-10-16T00:00:00"/>
    <x v="11"/>
    <s v="Technical Finishing"/>
    <s v="BẢN MÀU"/>
  </r>
  <r>
    <n v="30"/>
    <m/>
    <s v="JV013F836"/>
    <s v="P01-2"/>
    <m/>
    <n v="70"/>
    <d v="2025-10-21T00:00:00"/>
    <n v="5"/>
    <d v="1899-12-30T08:30:00"/>
    <d v="1899-12-30T10:05:00"/>
    <n v="7.9166666666666652"/>
    <d v="2025-10-21T00:00:00"/>
    <x v="12"/>
    <s v="Technical"/>
    <s v="HÀNG BỔ SUNG"/>
  </r>
  <r>
    <n v="31"/>
    <m/>
    <s v="RH005"/>
    <s v="P2C"/>
    <m/>
    <n v="155"/>
    <d v="2025-10-24T00:00:00"/>
    <n v="4"/>
    <d v="1899-12-30T08:50:00"/>
    <d v="1899-12-30T10:00:00"/>
    <n v="4.6666666666666661"/>
    <d v="2025-10-24T00:00:00"/>
    <x v="13"/>
    <s v="Technical Finishing"/>
    <s v="BẢNG MÀU"/>
  </r>
  <r>
    <n v="32"/>
    <m/>
    <s v="RH005"/>
    <s v="P20"/>
    <m/>
    <n v="72"/>
    <d v="2025-10-27T00:00:00"/>
    <n v="4"/>
    <d v="1899-12-30T18:00:00"/>
    <d v="1899-12-30T18:20:00"/>
    <n v="1.3333333333333286"/>
    <d v="2025-10-27T00:00:00"/>
    <x v="14"/>
    <s v="Technical Finishing"/>
    <s v="BẢNG MÀU"/>
  </r>
  <r>
    <n v="33"/>
    <m/>
    <s v="RH005"/>
    <s v="P2C"/>
    <m/>
    <n v="100"/>
    <d v="2025-10-28T00:00:00"/>
    <n v="4"/>
    <d v="1899-12-30T07:15:00"/>
    <d v="1899-12-30T07:45:00"/>
    <n v="2.0000000000000036"/>
    <d v="2025-10-28T00:00:00"/>
    <x v="14"/>
    <s v="Technical Finishing"/>
    <s v="BẢNG MÀU"/>
  </r>
  <r>
    <n v="34"/>
    <m/>
    <s v="RH005"/>
    <s v="P2C"/>
    <m/>
    <n v="141"/>
    <d v="2025-11-04T00:00:00"/>
    <n v="4"/>
    <d v="1899-12-30T15:05:00"/>
    <d v="1899-12-30T16:00:00"/>
    <n v="3.6666666666666643"/>
    <d v="2025-11-04T00:00:00"/>
    <x v="15"/>
    <s v="Technical Finishing"/>
    <s v="BẢN MÀU"/>
  </r>
  <r>
    <n v="35"/>
    <m/>
    <s v="RH2254"/>
    <s v="A4-S4"/>
    <n v="102"/>
    <m/>
    <d v="2025-11-06T00:00:00"/>
    <n v="4"/>
    <d v="1899-12-30T07:00:00"/>
    <d v="1899-12-30T11:00:00"/>
    <n v="15.999999999999996"/>
    <d v="2025-11-06T00:00:00"/>
    <x v="15"/>
    <m/>
    <s v="VẬT LIỆU NHÀ CUNG CẤP XẤU XỬ LÝ LẠI"/>
  </r>
  <r>
    <n v="36"/>
    <m/>
    <s v="RH10083"/>
    <s v="A1-S05"/>
    <n v="65"/>
    <m/>
    <d v="2025-11-06T00:00:00"/>
    <n v="4"/>
    <d v="1899-12-30T11:30:00"/>
    <d v="1899-12-30T13:00:00"/>
    <n v="5.9999999999999947"/>
    <d v="2025-11-06T00:00:00"/>
    <x v="15"/>
    <m/>
    <s v="VẬT LIỆU NHÀ CUNG CẤP XẤU XỬ LÝ LẠI"/>
  </r>
  <r>
    <n v="37"/>
    <m/>
    <s v="RH9527"/>
    <s v="A1-S05"/>
    <n v="61"/>
    <m/>
    <d v="2025-11-06T00:00:00"/>
    <n v="4"/>
    <d v="1899-12-30T13:15:00"/>
    <d v="1899-12-30T14:30:00"/>
    <n v="4.9999999999999929"/>
    <d v="2025-11-06T00:00:00"/>
    <x v="15"/>
    <m/>
    <s v="VẬT LIỆU NHÀ CUNG CẤP XẤU XỬ LÝ LẠI"/>
  </r>
  <r>
    <n v="38"/>
    <m/>
    <s v="RH10085"/>
    <s v="A1-S05"/>
    <n v="86"/>
    <m/>
    <d v="2025-11-06T00:00:00"/>
    <n v="4"/>
    <d v="1899-12-30T14:30:00"/>
    <d v="1899-12-30T17:00:00"/>
    <n v="10.000000000000007"/>
    <d v="2025-11-06T00:00:00"/>
    <x v="15"/>
    <m/>
    <s v="VẬT LIỆU NHÀ CUNG CẤP XẤU XỬ LÝ LẠI"/>
  </r>
  <r>
    <n v="39"/>
    <m/>
    <s v="RH2676"/>
    <s v="A4-S4"/>
    <n v="36"/>
    <m/>
    <d v="2025-11-06T00:00:00"/>
    <n v="4"/>
    <d v="1899-12-30T17:30:00"/>
    <d v="1899-12-30T19:00:00"/>
    <n v="6"/>
    <d v="2025-11-06T00:00:00"/>
    <x v="15"/>
    <m/>
    <s v="VẬT LIỆU NHÀ CUNG CẤP XẤU XỬ LÝ LẠI"/>
  </r>
  <r>
    <n v="40"/>
    <m/>
    <s v="AT659F839"/>
    <s v="A3-S04"/>
    <n v="80"/>
    <n v="800"/>
    <d v="2025-11-06T00:00:00"/>
    <n v="4"/>
    <d v="1899-12-30T15:10:00"/>
    <d v="1899-12-30T16:00:00"/>
    <n v="3.3333333333333321"/>
    <d v="2025-11-06T00:00:00"/>
    <x v="15"/>
    <s v="Machining"/>
    <s v="ÉP SỬA HÀNG"/>
  </r>
  <r>
    <n v="41"/>
    <m/>
    <s v="AT659"/>
    <s v="A1-S02"/>
    <m/>
    <n v="2"/>
    <d v="2025-11-06T00:00:00"/>
    <n v="4"/>
    <d v="1899-12-30T15:30:00"/>
    <d v="1899-12-30T15:40:00"/>
    <n v="0.6666666666666643"/>
    <d v="2025-11-06T00:00:00"/>
    <x v="15"/>
    <s v="ME"/>
    <s v="HÀNG LÀM MẨU"/>
  </r>
  <r>
    <n v="42"/>
    <m/>
    <s v="AT659F839"/>
    <s v="A1-S02"/>
    <n v="80"/>
    <n v="80"/>
    <d v="2025-11-06T00:00:00"/>
    <n v="4"/>
    <d v="1899-12-30T15:15:00"/>
    <d v="1899-12-30T16:00:00"/>
    <n v="3"/>
    <d v="2025-11-06T00:00:00"/>
    <x v="15"/>
    <s v="Machining"/>
    <s v="ÉP SỬA HÀNG"/>
  </r>
  <r>
    <n v="43"/>
    <m/>
    <s v="RH005"/>
    <s v="P2C"/>
    <m/>
    <n v="39"/>
    <d v="2025-11-10T00:00:00"/>
    <n v="4"/>
    <d v="1899-12-30T10:45:00"/>
    <d v="1899-12-30T11:00:00"/>
    <n v="0.99999999999999645"/>
    <d v="2025-11-10T00:00:00"/>
    <x v="16"/>
    <s v="Technical Finishing"/>
    <s v="BẢNG MÀU"/>
  </r>
  <r>
    <n v="44"/>
    <m/>
    <s v="RH9949NF423"/>
    <s v="A1"/>
    <m/>
    <n v="2"/>
    <d v="2025-11-13T00:00:00"/>
    <n v="2"/>
    <d v="1899-12-30T13:00:00"/>
    <d v="1899-12-30T13:20:00"/>
    <n v="0.66666666666666963"/>
    <d v="2025-11-13T00:00:00"/>
    <x v="16"/>
    <s v="Machining"/>
    <s v="HÀNG BỔ SUNG"/>
  </r>
  <r>
    <n v="45"/>
    <m/>
    <s v="SH636"/>
    <s v="A2-S02"/>
    <n v="30"/>
    <n v="120"/>
    <d v="2025-11-14T00:00:00"/>
    <n v="2"/>
    <d v="1899-12-30T10:00:00"/>
    <d v="1899-12-30T13:30:00"/>
    <n v="6.9999999999999991"/>
    <d v="2025-11-14T00:00:00"/>
    <x v="16"/>
    <s v="Machining"/>
    <s v="HÀNG BỔ SUNG"/>
  </r>
  <r>
    <n v="46"/>
    <m/>
    <s v="AR1160"/>
    <s v="P1"/>
    <m/>
    <n v="6"/>
    <d v="2025-11-18T00:00:00"/>
    <n v="4"/>
    <d v="1899-12-30T15:00:00"/>
    <d v="1899-12-30T15:15:00"/>
    <n v="0.99999999999999645"/>
    <d v="2025-11-18T00:00:00"/>
    <x v="17"/>
    <s v="ME"/>
    <m/>
  </r>
  <r>
    <n v="47"/>
    <m/>
    <s v="AR1159"/>
    <s v="P1"/>
    <m/>
    <n v="6"/>
    <d v="2025-11-18T00:00:00"/>
    <n v="4"/>
    <d v="1899-12-30T15:15:00"/>
    <d v="1899-12-30T15:30:00"/>
    <n v="1.0000000000000071"/>
    <d v="2025-11-18T00:00:00"/>
    <x v="17"/>
    <s v="ME"/>
    <m/>
  </r>
  <r>
    <n v="48"/>
    <m/>
    <s v="RH005"/>
    <s v="P2C"/>
    <m/>
    <n v="24"/>
    <d v="2025-11-18T00:00:00"/>
    <n v="4"/>
    <d v="1899-12-30T13:50:00"/>
    <d v="1899-12-30T14:20:00"/>
    <n v="1.9999999999999929"/>
    <d v="2025-11-18T00:00:00"/>
    <x v="17"/>
    <s v="Technical Finishing"/>
    <s v="BẢNG MÀU"/>
  </r>
  <r>
    <n v="49"/>
    <m/>
    <s v="RH005"/>
    <s v="P2"/>
    <m/>
    <n v="188"/>
    <d v="2025-11-21T00:00:00"/>
    <n v="4"/>
    <d v="1899-12-30T14:00:00"/>
    <d v="1899-12-30T15:20:00"/>
    <n v="5.3333333333333357"/>
    <d v="2025-11-21T00:00:00"/>
    <x v="18"/>
    <s v="Technical Finishing"/>
    <s v="BẢNG MÀU"/>
  </r>
  <r>
    <n v="50"/>
    <m/>
    <s v="RH387F01"/>
    <s v="P05"/>
    <n v="1"/>
    <n v="2"/>
    <d v="2025-11-21T00:00:00"/>
    <n v="4"/>
    <d v="1899-12-30T10:00:00"/>
    <d v="1899-12-30T10:15:00"/>
    <n v="0.99999999999999645"/>
    <d v="2025-11-21T00:00:00"/>
    <x v="18"/>
    <s v="Technical Finishing"/>
    <m/>
  </r>
  <r>
    <n v="51"/>
    <m/>
    <s v="AR1160F1256-TOP"/>
    <s v="A1-S04"/>
    <m/>
    <n v="3"/>
    <d v="2025-11-22T00:00:00"/>
    <n v="4"/>
    <d v="1899-12-30T12:10:00"/>
    <d v="1899-12-30T12:25:00"/>
    <n v="0.99999999999999645"/>
    <d v="2025-11-22T00:00:00"/>
    <x v="18"/>
    <s v="ME"/>
    <s v="HÀNG BỖ SUNG"/>
  </r>
  <r>
    <n v="52"/>
    <m/>
    <s v="AR1159F1256-TOP"/>
    <s v="A1-S04"/>
    <m/>
    <n v="3"/>
    <d v="2025-11-22T00:00:00"/>
    <n v="4"/>
    <d v="1899-12-30T12:25:00"/>
    <d v="1899-12-30T12:45:00"/>
    <n v="1.3333333333333393"/>
    <d v="2025-11-22T00:00:00"/>
    <x v="18"/>
    <s v="ME"/>
    <s v="HÀNG BỖ SUNG"/>
  </r>
  <r>
    <n v="53"/>
    <m/>
    <s v="RH005"/>
    <s v="P2C"/>
    <m/>
    <n v="24"/>
    <d v="2025-11-25T00:00:00"/>
    <n v="4"/>
    <d v="1899-12-30T05:30:00"/>
    <d v="1899-12-30T05:50:00"/>
    <n v="1.3333333333333339"/>
    <d v="2025-11-25T00:00:00"/>
    <x v="18"/>
    <s v="Technical Finishing"/>
    <s v="BẢNG MÀU"/>
  </r>
  <r>
    <n v="54"/>
    <m/>
    <s v="W0682F837"/>
    <s v="A1-S01-2"/>
    <m/>
    <n v="40"/>
    <d v="2025-11-25T00:00:00"/>
    <n v="4"/>
    <d v="1899-12-30T06:15:00"/>
    <d v="1899-12-30T06:30:00"/>
    <n v="0.99999999999999645"/>
    <d v="2025-11-25T00:00:00"/>
    <x v="18"/>
    <s v="Technical Finishing"/>
    <s v="BẢNG MÀU"/>
  </r>
  <r>
    <n v="55"/>
    <m/>
    <s v="W0682F837"/>
    <s v="A1-S01-1"/>
    <m/>
    <n v="40"/>
    <d v="2025-11-25T00:00:00"/>
    <n v="4"/>
    <d v="1899-12-30T06:30:00"/>
    <d v="1899-12-30T06:45:00"/>
    <n v="1.0000000000000018"/>
    <d v="2025-11-25T00:00:00"/>
    <x v="18"/>
    <s v="Technical Finishing"/>
    <s v="BẢNG MÀU"/>
  </r>
  <r>
    <n v="56"/>
    <m/>
    <s v="RH005"/>
    <s v="P2"/>
    <m/>
    <n v="30"/>
    <d v="2025-12-02T00:00:00"/>
    <n v="4"/>
    <d v="1899-12-30T11:00:00"/>
    <d v="1899-12-30T11:20:00"/>
    <n v="1.3333333333333393"/>
    <d v="2025-12-02T00:00:00"/>
    <x v="19"/>
    <s v="Technical Finishing"/>
    <s v="BẢNG MÀU"/>
  </r>
  <r>
    <n v="57"/>
    <m/>
    <s v="RH005"/>
    <s v="P2C"/>
    <m/>
    <n v="114"/>
    <d v="2025-12-02T00:00:00"/>
    <n v="4"/>
    <d v="1899-12-30T17:45:00"/>
    <d v="1899-12-30T18:20:00"/>
    <n v="2.333333333333325"/>
    <d v="2025-12-02T00:00:00"/>
    <x v="19"/>
    <s v="Technical Finishing"/>
    <s v="BẢNG MÀU"/>
  </r>
  <r>
    <n v="58"/>
    <m/>
    <s v="JV008M989"/>
    <s v="A2-S4"/>
    <m/>
    <n v="6"/>
    <d v="2025-12-02T00:00:00"/>
    <n v="2"/>
    <d v="1899-12-30T10:00:00"/>
    <d v="1899-12-30T10:15:00"/>
    <n v="0.49999999999999822"/>
    <d v="2025-12-02T00:00:00"/>
    <x v="19"/>
    <s v="Machining"/>
    <s v="HÀNG BỔ SUNG"/>
  </r>
  <r>
    <n v="59"/>
    <m/>
    <s v="RH005"/>
    <s v="P2C"/>
    <m/>
    <n v="28"/>
    <d v="2025-12-12T00:00:00"/>
    <n v="4"/>
    <d v="1899-12-30T15:15:00"/>
    <d v="1899-12-30T15:45:00"/>
    <n v="2.0000000000000036"/>
    <d v="2025-12-12T00:00:00"/>
    <x v="20"/>
    <s v="Technical Finishing"/>
    <s v="BẢNG MÀU"/>
  </r>
  <r>
    <n v="60"/>
    <m/>
    <s v="RH005"/>
    <s v="P2C"/>
    <m/>
    <n v="133"/>
    <d v="2025-12-13T00:00:00"/>
    <n v="4"/>
    <d v="1899-12-30T08:15:00"/>
    <d v="1899-12-30T09:15:00"/>
    <n v="4.0000000000000018"/>
    <d v="2025-12-13T00:00:00"/>
    <x v="20"/>
    <s v="Technical Finishing"/>
    <s v="BẢNG MÀU"/>
  </r>
  <r>
    <n v="61"/>
    <m/>
    <s v="RH9858M423"/>
    <s v="P01-1"/>
    <m/>
    <n v="4"/>
    <d v="2025-12-13T00:00:00"/>
    <n v="4"/>
    <d v="1899-12-30T07:00:00"/>
    <d v="1899-12-30T08:30:00"/>
    <n v="6"/>
    <d v="2025-12-13T00:00:00"/>
    <x v="20"/>
    <s v="Machining"/>
    <s v="HÀNG BỔ SUNG"/>
  </r>
  <r>
    <n v="62"/>
    <m/>
    <s v="CE350F01"/>
    <s v="A1-S1"/>
    <m/>
    <n v="20"/>
    <d v="2025-12-17T00:00:00"/>
    <n v="4"/>
    <d v="1899-12-30T08:00:00"/>
    <d v="1899-12-30T11:30:00"/>
    <n v="14.000000000000004"/>
    <d v="2025-12-17T00:00:00"/>
    <x v="21"/>
    <m/>
    <s v="HỖ TRỢ B1 (ép lót)"/>
  </r>
  <r>
    <n v="63"/>
    <m/>
    <s v="CE350F01"/>
    <s v="A1-S1"/>
    <m/>
    <n v="20"/>
    <d v="2025-12-18T00:00:00"/>
    <n v="4"/>
    <d v="1899-12-30T08:00:00"/>
    <d v="1899-12-30T11:30:00"/>
    <n v="14.000000000000004"/>
    <d v="2025-12-18T00:00:00"/>
    <x v="21"/>
    <m/>
    <s v="HỖ TRỢ B1"/>
  </r>
  <r>
    <n v="64"/>
    <m/>
    <s v="RH005"/>
    <s v="P2C"/>
    <m/>
    <n v="151"/>
    <d v="2025-12-24T00:00:00"/>
    <n v="4"/>
    <d v="1899-12-30T14:30:00"/>
    <d v="1899-12-30T15:30:00"/>
    <n v="4.0000000000000071"/>
    <d v="2025-12-24T00:00:00"/>
    <x v="22"/>
    <s v="Technical Finishing"/>
    <s v="BẢNG MÀU"/>
  </r>
  <r>
    <n v="65"/>
    <m/>
    <s v="RH005"/>
    <s v="P2C"/>
    <m/>
    <n v="161"/>
    <d v="2025-12-30T00:00:00"/>
    <n v="4"/>
    <d v="1899-12-30T18:30:00"/>
    <d v="1899-12-30T19:20:00"/>
    <n v="3.3333333333333215"/>
    <d v="2025-12-30T00:00:00"/>
    <x v="23"/>
    <s v="Technical Finishing"/>
    <s v="BẢNG MÀU"/>
  </r>
  <r>
    <n v="66"/>
    <m/>
    <s v="RH005"/>
    <s v="P2B"/>
    <m/>
    <n v="108"/>
    <d v="2026-01-02T00:00:00"/>
    <n v="4"/>
    <d v="1899-12-30T09:10:00"/>
    <d v="1899-12-30T09:50:00"/>
    <n v="2.6666666666666732"/>
    <d v="2026-01-02T00:00:00"/>
    <x v="23"/>
    <s v="Technical Finishing"/>
    <s v="BẢNG MÀU"/>
  </r>
  <r>
    <n v="67"/>
    <m/>
    <s v="RH12074F460"/>
    <s v="P06"/>
    <n v="5"/>
    <n v="5"/>
    <d v="2026-01-14T00:00:00"/>
    <n v="4"/>
    <d v="1899-12-30T07:05:00"/>
    <d v="1899-12-30T07:30:00"/>
    <n v="1.6666666666666661"/>
    <d v="2026-01-14T00:00:00"/>
    <x v="24"/>
    <s v="KHÁCH HÀNG"/>
    <s v="KHÁCH HÀNG"/>
  </r>
  <r>
    <n v="68"/>
    <m/>
    <s v="RH12074F458"/>
    <s v="P06"/>
    <n v="5"/>
    <n v="5"/>
    <d v="2026-01-14T00:00:00"/>
    <n v="4"/>
    <m/>
    <m/>
    <m/>
    <d v="2026-01-14T00:00:00"/>
    <x v="24"/>
    <s v="KHÁCH HÀNG"/>
    <s v="KHÁCH HÀNG"/>
  </r>
  <r>
    <n v="69"/>
    <m/>
    <s v="RH12076F458"/>
    <s v="P09"/>
    <n v="5"/>
    <n v="5"/>
    <d v="2026-01-14T00:00:00"/>
    <n v="4"/>
    <m/>
    <m/>
    <m/>
    <d v="2026-01-14T00:00:00"/>
    <x v="24"/>
    <s v="KHÁCH HÀNG"/>
    <s v="KHÁCH HÀNG"/>
  </r>
  <r>
    <n v="70"/>
    <m/>
    <s v="RH12074F460"/>
    <s v="P09"/>
    <n v="5"/>
    <n v="5"/>
    <d v="2026-01-14T00:00:00"/>
    <n v="4"/>
    <m/>
    <m/>
    <m/>
    <d v="2026-01-14T00:00:00"/>
    <x v="24"/>
    <s v="KHÁCH HÀNG"/>
    <s v="KHÁCH HÀNG"/>
  </r>
  <r>
    <n v="71"/>
    <m/>
    <s v="W5562F01"/>
    <s v="P01"/>
    <m/>
    <n v="68"/>
    <d v="2026-01-15T00:00:00"/>
    <n v="4"/>
    <d v="1899-12-30T02:30:00"/>
    <d v="1899-12-30T03:00:00"/>
    <n v="1.9999999999999996"/>
    <d v="2026-01-15T00:00:00"/>
    <x v="24"/>
    <s v="Technical Finishing"/>
    <s v="BẢNG MÀU"/>
  </r>
  <r>
    <n v="72"/>
    <m/>
    <s v="W0164F01-EX"/>
    <s v="P01"/>
    <m/>
    <n v="16"/>
    <d v="2026-01-20T00:00:00"/>
    <n v="4"/>
    <d v="1899-12-30T07:05:00"/>
    <d v="1899-12-30T07:35:00"/>
    <n v="1.9999999999999982"/>
    <d v="2026-01-20T00:00:00"/>
    <x v="25"/>
    <s v="Technical Finishing"/>
    <s v="BẢNG MÀU"/>
  </r>
  <r>
    <n v="73"/>
    <m/>
    <s v="RH005"/>
    <s v="P2B"/>
    <m/>
    <n v="12"/>
    <d v="2026-01-20T00:00:00"/>
    <n v="4"/>
    <d v="1899-12-30T07:35:00"/>
    <d v="1899-12-30T08:00:00"/>
    <n v="1.6666666666666661"/>
    <d v="2026-01-20T00:00:00"/>
    <x v="25"/>
    <s v="Technical Finishing"/>
    <s v="BẢNG MÀU"/>
  </r>
  <r>
    <n v="74"/>
    <m/>
    <s v="CZ893M381"/>
    <s v="A1"/>
    <n v="5"/>
    <n v="5"/>
    <d v="2026-01-21T00:00:00"/>
    <n v="5"/>
    <d v="1899-12-30T08:00:00"/>
    <d v="1899-12-30T09:30:00"/>
    <n v="7.5"/>
    <d v="2026-01-21T00:00:00"/>
    <x v="25"/>
    <m/>
    <s v="HỖ TRỢ B1"/>
  </r>
  <r>
    <n v="75"/>
    <m/>
    <s v="RH005"/>
    <s v="P2B"/>
    <m/>
    <n v="51"/>
    <d v="2026-01-27T00:00:00"/>
    <n v="4"/>
    <d v="1899-12-30T17:40:00"/>
    <d v="1899-12-30T18:05:00"/>
    <n v="1.6666666666666607"/>
    <d v="2026-01-27T00:00:00"/>
    <x v="26"/>
    <s v="Technical Finishing"/>
    <s v="BẢNG MÀU"/>
  </r>
  <r>
    <n v="76"/>
    <m/>
    <s v="BN180F01"/>
    <s v="P01"/>
    <m/>
    <n v="1"/>
    <d v="2026-01-28T00:00:00"/>
    <n v="4"/>
    <d v="1899-12-30T15:30:00"/>
    <d v="1899-12-30T15:40:00"/>
    <n v="0.6666666666666643"/>
    <d v="2026-01-28T00:00:00"/>
    <x v="26"/>
    <s v="FIN"/>
    <s v="HÀNG BỔ SUNG"/>
  </r>
  <r>
    <n v="77"/>
    <m/>
    <s v="RH005"/>
    <s v="P2B"/>
    <m/>
    <n v="24"/>
    <d v="2026-01-29T00:00:00"/>
    <n v="4"/>
    <d v="1899-12-30T07:30:00"/>
    <d v="1899-12-30T07:50:00"/>
    <n v="1.3333333333333339"/>
    <d v="2026-01-29T00:00:00"/>
    <x v="26"/>
    <s v="Technical Finishing"/>
    <s v="BẢNG MÀU"/>
  </r>
  <r>
    <n v="78"/>
    <m/>
    <s v="JV008M580"/>
    <s v="A1-S1-2"/>
    <m/>
    <n v="1"/>
    <d v="2026-01-29T00:00:00"/>
    <n v="4"/>
    <d v="1899-12-30T18:00:00"/>
    <d v="1899-12-30T18:05:00"/>
    <n v="0.33333333333333215"/>
    <d v="2026-01-29T00:00:00"/>
    <x v="26"/>
    <s v="Unasigned"/>
    <s v="HÀNG BỔ SUNG"/>
  </r>
  <r>
    <n v="79"/>
    <m/>
    <s v="RH9858F423"/>
    <s v="P01"/>
    <m/>
    <n v="2"/>
    <d v="2026-01-31T00:00:00"/>
    <n v="4"/>
    <d v="1899-12-30T17:30:00"/>
    <d v="1899-12-30T18:00:00"/>
    <n v="2.0000000000000036"/>
    <d v="2026-01-31T00:00:00"/>
    <x v="26"/>
    <s v="Machining"/>
    <s v="HÀNG BỔ SUNG"/>
  </r>
  <r>
    <n v="80"/>
    <m/>
    <s v="RH005"/>
    <s v="P2B"/>
    <m/>
    <n v="60"/>
    <d v="2026-02-02T00:00:00"/>
    <n v="4"/>
    <d v="1899-12-30T09:00:00"/>
    <d v="1899-12-30T09:30:00"/>
    <n v="1.9999999999999982"/>
    <d v="2026-02-02T00:00:00"/>
    <x v="27"/>
    <s v="Technical Finishing"/>
    <s v="BẢNG MÀU"/>
  </r>
  <r>
    <n v="81"/>
    <m/>
    <s v="RH005"/>
    <s v="P2B"/>
    <m/>
    <n v="48"/>
    <d v="2026-02-05T00:00:00"/>
    <n v="4"/>
    <d v="1899-12-30T07:10:00"/>
    <d v="1899-12-30T07:30:00"/>
    <n v="1.3333333333333339"/>
    <d v="2026-02-02T00:00:00"/>
    <x v="27"/>
    <s v="Technical Finishing"/>
    <s v="BẢNG MÀU"/>
  </r>
  <r>
    <n v="82"/>
    <m/>
    <s v="RH005"/>
    <s v="P2B"/>
    <m/>
    <n v="60"/>
    <d v="2026-02-07T00:00:00"/>
    <n v="4"/>
    <d v="1899-12-30T08:00:00"/>
    <d v="1899-12-30T08:30:00"/>
    <n v="2.0000000000000036"/>
    <d v="2026-02-07T00:00:00"/>
    <x v="27"/>
    <s v="Technical Finishing"/>
    <s v="BẢNG MÀU"/>
  </r>
  <r>
    <n v="83"/>
    <m/>
    <s v="CZ877M409"/>
    <s v="p04"/>
    <m/>
    <n v="7"/>
    <d v="2026-02-07T00:00:00"/>
    <n v="4"/>
    <d v="1899-12-30T07:30:00"/>
    <d v="1899-12-30T09:00:00"/>
    <n v="6"/>
    <d v="2026-02-07T00:00:00"/>
    <x v="27"/>
    <m/>
    <s v="HỖ TRỢ B1"/>
  </r>
  <r>
    <n v="84"/>
    <m/>
    <s v="CZ877M381"/>
    <s v="p04"/>
    <m/>
    <n v="3"/>
    <d v="2026-02-07T00:00:00"/>
    <n v="4"/>
    <m/>
    <m/>
    <m/>
    <m/>
    <x v="27"/>
    <m/>
    <s v="HỖ TRỢ B1"/>
  </r>
  <r>
    <n v="85"/>
    <m/>
    <s v="CZ877M409"/>
    <s v="P01"/>
    <m/>
    <n v="7"/>
    <d v="2026-02-08T00:00:00"/>
    <n v="4"/>
    <d v="1899-12-30T09:00:00"/>
    <d v="1899-12-30T10:00:00"/>
    <n v="4.0000000000000018"/>
    <d v="2026-02-08T00:00:00"/>
    <x v="27"/>
    <m/>
    <s v="HỖ TRỢ B1"/>
  </r>
  <r>
    <n v="86"/>
    <m/>
    <s v="CZ877M409"/>
    <s v="P02"/>
    <m/>
    <n v="7"/>
    <d v="2026-02-08T00:00:00"/>
    <n v="4"/>
    <m/>
    <m/>
    <m/>
    <d v="2026-02-08T00:00:00"/>
    <x v="27"/>
    <m/>
    <s v="HỖ TRỢ B1"/>
  </r>
  <r>
    <n v="87"/>
    <m/>
    <s v="CZ877M381"/>
    <s v="P02"/>
    <m/>
    <n v="3"/>
    <d v="2026-02-08T00:00:00"/>
    <n v="4"/>
    <d v="1899-12-30T08:00:00"/>
    <d v="1899-12-30T09:00:00"/>
    <n v="4.0000000000000018"/>
    <d v="2026-02-08T00:00:00"/>
    <x v="27"/>
    <m/>
    <s v="HỖ TRỢ B1"/>
  </r>
  <r>
    <n v="88"/>
    <m/>
    <s v="CZ877M381"/>
    <s v="P01"/>
    <m/>
    <n v="3"/>
    <d v="2026-02-08T00:00:00"/>
    <n v="4"/>
    <m/>
    <m/>
    <m/>
    <d v="2026-02-08T00:00:00"/>
    <x v="27"/>
    <m/>
    <s v="HỖ TRỢ B1"/>
  </r>
  <r>
    <n v="89"/>
    <m/>
    <s v="CZ877M409"/>
    <s v="p04"/>
    <m/>
    <n v="7"/>
    <d v="2026-02-08T00:00:00"/>
    <n v="4"/>
    <d v="1899-12-30T10:00:00"/>
    <d v="1899-12-30T11:30:00"/>
    <n v="6"/>
    <d v="2026-02-08T00:00:00"/>
    <x v="27"/>
    <m/>
    <s v="HỖ TRỢ B1"/>
  </r>
  <r>
    <n v="90"/>
    <m/>
    <s v="CZ877M381"/>
    <s v="p04"/>
    <m/>
    <n v="3"/>
    <d v="2026-02-08T00:00:00"/>
    <n v="4"/>
    <m/>
    <m/>
    <m/>
    <m/>
    <x v="27"/>
    <m/>
    <s v="HỖ TRỢ B1"/>
  </r>
  <r>
    <n v="91"/>
    <m/>
    <s v="cz848F188"/>
    <s v="A1-S5"/>
    <m/>
    <n v="6"/>
    <d v="2026-02-08T00:00:00"/>
    <n v="4"/>
    <d v="1899-12-30T12:30:00"/>
    <d v="1899-12-30T14:00:00"/>
    <n v="6"/>
    <d v="2026-02-08T00:00:00"/>
    <x v="27"/>
    <m/>
    <s v="HỖ TRỢ B1"/>
  </r>
  <r>
    <n v="92"/>
    <m/>
    <s v="cz848F196"/>
    <s v="A1-S5"/>
    <m/>
    <n v="5"/>
    <d v="2026-02-08T00:00:00"/>
    <n v="4"/>
    <m/>
    <m/>
    <m/>
    <d v="2026-02-08T00:00:00"/>
    <x v="27"/>
    <m/>
    <s v="HỖ TRỢ B1"/>
  </r>
  <r>
    <n v="93"/>
    <m/>
    <s v="cz848F188"/>
    <s v="A1-S3"/>
    <m/>
    <n v="6"/>
    <d v="2026-02-08T00:00:00"/>
    <n v="4"/>
    <d v="1899-12-30T14:00:00"/>
    <d v="1899-12-30T15:40:00"/>
    <n v="6.6666666666666643"/>
    <d v="2026-02-08T00:00:00"/>
    <x v="27"/>
    <m/>
    <s v="HỖ TRỢ B1"/>
  </r>
  <r>
    <n v="94"/>
    <m/>
    <s v="cz848F196"/>
    <s v="A1-S3"/>
    <m/>
    <n v="5"/>
    <d v="2026-02-08T00:00:00"/>
    <n v="4"/>
    <m/>
    <m/>
    <m/>
    <d v="2026-02-08T00:00:00"/>
    <x v="27"/>
    <m/>
    <s v="HỖ TRỢ B1"/>
  </r>
  <r>
    <n v="95"/>
    <m/>
    <s v="RH005"/>
    <s v="P2B"/>
    <m/>
    <n v="24"/>
    <d v="2026-03-04T00:00:00"/>
    <n v="4"/>
    <d v="1899-12-30T10:20:00"/>
    <d v="1899-12-30T10:50:00"/>
    <n v="1.9999999999999982"/>
    <d v="2026-03-04T00:00:00"/>
    <x v="28"/>
    <s v="Technical Finishing"/>
    <s v="BẢNG MÀU"/>
  </r>
  <r>
    <n v="96"/>
    <m/>
    <s v="RH SAMPLE78"/>
    <s v="A1-S01"/>
    <n v="1"/>
    <n v="2"/>
    <d v="2026-03-06T00:00:00"/>
    <n v="4"/>
    <d v="1899-12-30T10:30:00"/>
    <d v="1899-12-30T10:40:00"/>
    <n v="0.16666666666666607"/>
    <d v="2026-03-06T00:00:00"/>
    <x v="29"/>
    <s v="ME"/>
    <m/>
  </r>
  <r>
    <n v="97"/>
    <m/>
    <s v="RH SAMPLE78"/>
    <s v="A1-S02"/>
    <n v="1"/>
    <n v="2"/>
    <d v="2026-03-06T00:00:00"/>
    <n v="4"/>
    <m/>
    <m/>
    <m/>
    <d v="2026-03-06T00:00:00"/>
    <x v="29"/>
    <s v="ME"/>
    <m/>
  </r>
  <r>
    <n v="98"/>
    <m/>
    <s v="RH005"/>
    <s v="P2B"/>
    <m/>
    <n v="24"/>
    <d v="2026-03-12T00:00:00"/>
    <n v="4"/>
    <d v="1899-12-30T07:45:00"/>
    <d v="1899-12-30T08:00:00"/>
    <n v="0.99999999999999645"/>
    <d v="2026-03-12T00:00:00"/>
    <x v="30"/>
    <s v="Technical Finishing"/>
    <s v="BẢNG MÀU"/>
  </r>
  <r>
    <n v="99"/>
    <m/>
    <s v="RH11415NF467"/>
    <s v="A06-S04"/>
    <m/>
    <n v="2"/>
    <d v="2026-03-12T00:00:00"/>
    <n v="4"/>
    <d v="1899-12-30T09:00:00"/>
    <d v="1899-12-30T09:10:00"/>
    <n v="0.6666666666666643"/>
    <d v="2026-03-12T00:00:00"/>
    <x v="30"/>
    <m/>
    <s v="LÀM MẪU"/>
  </r>
  <r>
    <n v="100"/>
    <m/>
    <s v="RH9457F423"/>
    <s v="A1-S01"/>
    <n v="4"/>
    <n v="8"/>
    <d v="2026-03-14T00:00:00"/>
    <n v="4"/>
    <d v="1899-12-30T11:00:00"/>
    <d v="1899-12-30T11:30:00"/>
    <n v="2.0000000000000036"/>
    <d v="2026-03-14T00:00:00"/>
    <x v="29"/>
    <s v="Technical"/>
    <s v="HÀNG BỔ SUNG"/>
  </r>
  <r>
    <n v="101"/>
    <m/>
    <s v="RH9457F423"/>
    <s v="A1-S02"/>
    <n v="4"/>
    <n v="16"/>
    <d v="2026-03-14T00:00:00"/>
    <m/>
    <m/>
    <m/>
    <m/>
    <d v="2026-03-14T00:00:00"/>
    <x v="29"/>
    <s v="Technical"/>
    <s v="HÀNG BỔ SUNG"/>
  </r>
  <r>
    <n v="102"/>
    <m/>
    <s v="RH9457F426"/>
    <s v="A1-S01"/>
    <n v="1"/>
    <n v="2"/>
    <d v="2026-03-14T00:00:00"/>
    <m/>
    <m/>
    <m/>
    <m/>
    <d v="2026-03-14T00:00:00"/>
    <x v="29"/>
    <s v="Technical"/>
    <s v="HÀNG BỔ SUNG"/>
  </r>
  <r>
    <n v="103"/>
    <m/>
    <s v="RH9457F426"/>
    <s v="A1-S02"/>
    <n v="1"/>
    <n v="4"/>
    <d v="2026-03-14T00:00:00"/>
    <m/>
    <m/>
    <m/>
    <m/>
    <d v="2026-03-14T00:00:00"/>
    <x v="29"/>
    <s v="Technical"/>
    <s v="HÀNG BỔ SUNG"/>
  </r>
  <r>
    <n v="104"/>
    <m/>
    <s v="RH9457F423"/>
    <s v="A1-S01"/>
    <n v="5"/>
    <n v="20"/>
    <d v="2026-03-14T00:00:00"/>
    <m/>
    <m/>
    <m/>
    <m/>
    <d v="2026-03-14T00:00:00"/>
    <x v="29"/>
    <s v="Technical"/>
    <s v="HÀNG BỔ SUNG"/>
  </r>
  <r>
    <n v="105"/>
    <m/>
    <s v="RH9457F423"/>
    <s v="A1-S02"/>
    <n v="5"/>
    <n v="20"/>
    <d v="2026-03-14T00:00:00"/>
    <m/>
    <m/>
    <m/>
    <m/>
    <d v="2026-03-14T00:00:00"/>
    <x v="29"/>
    <s v="Technical"/>
    <s v="HÀNG BỔ SUNG"/>
  </r>
  <r>
    <n v="106"/>
    <m/>
    <s v="RH9499F423"/>
    <s v="A1-S01"/>
    <n v="3"/>
    <n v="12"/>
    <d v="2026-03-14T00:00:00"/>
    <m/>
    <m/>
    <m/>
    <m/>
    <d v="2026-03-14T00:00:00"/>
    <x v="29"/>
    <s v="Technical"/>
    <s v="HÀNG BỔ SUNG"/>
  </r>
  <r>
    <n v="107"/>
    <m/>
    <s v="RH9499F423"/>
    <s v="A1-S02"/>
    <n v="3"/>
    <n v="12"/>
    <d v="2026-03-14T00:00:00"/>
    <m/>
    <m/>
    <m/>
    <m/>
    <d v="2026-03-14T00:00:00"/>
    <x v="29"/>
    <s v="Technical"/>
    <s v="HÀNG BỔ SUNG"/>
  </r>
  <r>
    <n v="108"/>
    <m/>
    <s v="RH9499F426"/>
    <s v="A1-S01"/>
    <n v="2"/>
    <n v="8"/>
    <d v="2026-03-14T00:00:00"/>
    <m/>
    <m/>
    <m/>
    <m/>
    <d v="2026-03-14T00:00:00"/>
    <x v="29"/>
    <s v="Technical"/>
    <s v="HÀNG BỔ SUNG"/>
  </r>
  <r>
    <n v="109"/>
    <m/>
    <s v="RH9499F426"/>
    <s v="A1-S02"/>
    <n v="2"/>
    <n v="8"/>
    <d v="2026-03-14T00:00:00"/>
    <m/>
    <m/>
    <m/>
    <m/>
    <d v="2026-03-14T00:00:00"/>
    <x v="29"/>
    <s v="Technical"/>
    <s v="HÀNG BỔ SUNG"/>
  </r>
  <r>
    <n v="110"/>
    <m/>
    <s v="RH005"/>
    <s v="P02B"/>
    <m/>
    <n v="48"/>
    <d v="2026-03-16T00:00:00"/>
    <n v="4"/>
    <d v="1899-12-30T09:10:00"/>
    <d v="1899-12-30T09:30:00"/>
    <n v="1.3333333333333339"/>
    <d v="2026-03-16T00:00:00"/>
    <x v="31"/>
    <m/>
    <s v="BẢNG MÀU"/>
  </r>
  <r>
    <n v="111"/>
    <m/>
    <s v="RH005"/>
    <s v="P02B"/>
    <m/>
    <n v="23"/>
    <d v="2026-03-17T00:00:00"/>
    <n v="4"/>
    <d v="1899-12-30T11:00:00"/>
    <d v="1899-12-30T11:15:00"/>
    <n v="1.0000000000000018"/>
    <d v="2026-03-17T00:00:00"/>
    <x v="31"/>
    <m/>
    <s v="BẢNG MÀU"/>
  </r>
  <r>
    <n v="112"/>
    <m/>
    <s v="RH005"/>
    <s v="P02B"/>
    <m/>
    <n v="20"/>
    <d v="2026-03-19T00:00:00"/>
    <n v="4"/>
    <d v="1899-12-30T11:00:00"/>
    <d v="1899-12-30T11:15:00"/>
    <n v="1.0000000000000018"/>
    <d v="2026-03-19T00:00:00"/>
    <x v="31"/>
    <m/>
    <s v="BẢNG MÀU"/>
  </r>
  <r>
    <n v="113"/>
    <m/>
    <s v="RH9457F423"/>
    <s v="P02-3"/>
    <n v="5"/>
    <n v="5"/>
    <d v="2026-03-19T00:00:00"/>
    <n v="4"/>
    <d v="1899-12-30T16:00:00"/>
    <d v="1899-12-30T16:15:00"/>
    <n v="1.0000000000000071"/>
    <d v="2026-03-19T00:00:00"/>
    <x v="32"/>
    <s v="KHÁCH HÀNG"/>
    <m/>
  </r>
  <r>
    <n v="114"/>
    <m/>
    <s v="RH9457F426"/>
    <s v="P02"/>
    <n v="1"/>
    <n v="1"/>
    <d v="2026-03-19T00:00:00"/>
    <n v="4"/>
    <m/>
    <m/>
    <m/>
    <d v="2026-03-19T00:00:00"/>
    <x v="32"/>
    <s v="ME"/>
    <m/>
  </r>
  <r>
    <n v="115"/>
    <m/>
    <s v="RH9499F426"/>
    <s v="P02-3"/>
    <n v="2"/>
    <n v="2"/>
    <d v="2026-03-19T00:00:00"/>
    <n v="4"/>
    <m/>
    <m/>
    <m/>
    <d v="2026-03-19T00:00:00"/>
    <x v="32"/>
    <s v="KHÁCH HÀNG"/>
    <m/>
  </r>
  <r>
    <n v="116"/>
    <m/>
    <s v="RH9499F423"/>
    <s v="P02-3"/>
    <n v="3"/>
    <n v="3"/>
    <d v="2026-03-19T00:00:00"/>
    <n v="4"/>
    <m/>
    <m/>
    <m/>
    <d v="2026-03-19T00:00:00"/>
    <x v="32"/>
    <s v="KHÁCH HÀNG"/>
    <m/>
  </r>
  <r>
    <n v="117"/>
    <m/>
    <s v="RH005"/>
    <s v="P02B"/>
    <m/>
    <n v="46"/>
    <d v="2026-03-20T00:00:00"/>
    <n v="4"/>
    <d v="1899-12-30T17:50:00"/>
    <d v="1899-12-30T18:20:00"/>
    <n v="2.0000000000000036"/>
    <d v="2026-03-20T00:00:00"/>
    <x v="31"/>
    <m/>
    <s v="BẢNG MÀU"/>
  </r>
  <r>
    <n v="118"/>
    <m/>
    <s v="FS-02-687A-F1386-PR"/>
    <s v="A1-S06"/>
    <m/>
    <n v="70"/>
    <d v="2026-03-21T00:00:00"/>
    <n v="4"/>
    <d v="1899-12-30T07:20:00"/>
    <d v="1899-12-30T09:20:00"/>
    <n v="8.0000000000000036"/>
    <d v="2026-03-21T00:00:00"/>
    <x v="33"/>
    <m/>
    <m/>
  </r>
  <r>
    <n v="119"/>
    <m/>
    <s v="FS-02-687A-F1386-PR"/>
    <s v="A4-S04"/>
    <m/>
    <n v="70"/>
    <d v="2026-03-21T00:00:00"/>
    <m/>
    <m/>
    <m/>
    <m/>
    <d v="2026-03-21T00:00:00"/>
    <x v="33"/>
    <m/>
    <m/>
  </r>
  <r>
    <n v="120"/>
    <m/>
    <s v="FS-02-687A-F1386-PR"/>
    <s v="A1-S06"/>
    <m/>
    <n v="2"/>
    <d v="2026-03-21T00:00:00"/>
    <n v="4"/>
    <d v="1899-12-30T10:00:00"/>
    <d v="1899-12-30T10:05:00"/>
    <n v="0.33333333333333215"/>
    <d v="2026-03-21T00:00:00"/>
    <x v="33"/>
    <m/>
    <m/>
  </r>
  <r>
    <n v="121"/>
    <m/>
    <s v="FS-02-687A-F1386-PR"/>
    <s v="A4-S04"/>
    <m/>
    <n v="2"/>
    <d v="2026-03-21T00:00:00"/>
    <m/>
    <m/>
    <m/>
    <m/>
    <d v="2026-03-21T00:00:00"/>
    <x v="33"/>
    <m/>
    <m/>
  </r>
  <r>
    <n v="122"/>
    <m/>
    <s v="DL015F836"/>
    <s v="P01-3"/>
    <m/>
    <n v="30"/>
    <d v="2026-03-25T00:00:00"/>
    <n v="4"/>
    <d v="1899-12-30T14:00:00"/>
    <d v="1899-12-30T15:30:00"/>
    <n v="6"/>
    <d v="2026-03-25T00:00:00"/>
    <x v="34"/>
    <m/>
    <s v="HÀNG BẢN MÀU"/>
  </r>
  <r>
    <n v="123"/>
    <m/>
    <s v="DL015F836"/>
    <s v="P01-2"/>
    <m/>
    <n v="30"/>
    <d v="2026-03-25T00:00:00"/>
    <m/>
    <m/>
    <m/>
    <m/>
    <d v="2026-03-25T00:00:00"/>
    <x v="34"/>
    <m/>
    <s v="HÀNG BẢN MÀU"/>
  </r>
  <r>
    <n v="124"/>
    <m/>
    <s v="RH11411NF457"/>
    <s v="A3"/>
    <m/>
    <n v="2"/>
    <d v="2026-03-25T00:00:00"/>
    <n v="2"/>
    <d v="1899-12-30T13:00:00"/>
    <d v="1899-12-30T13:05:00"/>
    <n v="0.1666666666666714"/>
    <d v="2026-03-25T00:00:00"/>
    <x v="35"/>
    <s v="ME"/>
    <m/>
  </r>
  <r>
    <n v="125"/>
    <m/>
    <s v="RH005"/>
    <s v="P02B"/>
    <m/>
    <n v="30"/>
    <d v="2026-04-01T00:00:00"/>
    <n v="4"/>
    <d v="1899-12-30T11:00:00"/>
    <d v="1899-12-30T11:25:00"/>
    <n v="1.6666666666666661"/>
    <d v="2026-04-01T00:00:00"/>
    <x v="36"/>
    <m/>
    <s v="BẢNG MÀU"/>
  </r>
  <r>
    <n v="126"/>
    <m/>
    <s v="AR1167"/>
    <s v="A1-S01"/>
    <m/>
    <n v="2"/>
    <d v="2026-04-02T00:00:00"/>
    <n v="4"/>
    <d v="1899-12-30T08:00:00"/>
    <d v="1899-12-30T08:30:00"/>
    <n v="2.0000000000000036"/>
    <d v="2026-04-02T00:00:00"/>
    <x v="36"/>
    <m/>
    <s v="HÀNG BỔ SUNG"/>
  </r>
  <r>
    <n v="127"/>
    <m/>
    <s v="RH005"/>
    <s v="P02B"/>
    <m/>
    <n v="142"/>
    <d v="2026-04-02T00:00:00"/>
    <n v="4"/>
    <d v="1899-12-30T13:30:00"/>
    <d v="1899-12-30T15:00:00"/>
    <n v="6"/>
    <d v="2026-04-02T00:00:00"/>
    <x v="36"/>
    <m/>
    <s v="BẢNG MÀU"/>
  </r>
  <r>
    <n v="128"/>
    <m/>
    <m/>
    <m/>
    <m/>
    <m/>
    <m/>
    <m/>
    <m/>
    <m/>
    <m/>
    <m/>
    <x v="35"/>
    <m/>
    <m/>
  </r>
  <r>
    <n v="129"/>
    <m/>
    <m/>
    <m/>
    <m/>
    <m/>
    <m/>
    <m/>
    <m/>
    <m/>
    <m/>
    <m/>
    <x v="35"/>
    <m/>
    <m/>
  </r>
  <r>
    <n v="130"/>
    <m/>
    <m/>
    <m/>
    <m/>
    <m/>
    <m/>
    <m/>
    <m/>
    <m/>
    <m/>
    <m/>
    <x v="35"/>
    <m/>
    <m/>
  </r>
  <r>
    <n v="131"/>
    <m/>
    <m/>
    <m/>
    <m/>
    <m/>
    <m/>
    <m/>
    <m/>
    <m/>
    <m/>
    <m/>
    <x v="35"/>
    <m/>
    <m/>
  </r>
  <r>
    <n v="132"/>
    <m/>
    <m/>
    <m/>
    <m/>
    <m/>
    <m/>
    <m/>
    <m/>
    <m/>
    <m/>
    <m/>
    <x v="35"/>
    <m/>
    <m/>
  </r>
  <r>
    <n v="133"/>
    <m/>
    <m/>
    <m/>
    <m/>
    <m/>
    <m/>
    <m/>
    <m/>
    <m/>
    <m/>
    <m/>
    <x v="35"/>
    <m/>
    <m/>
  </r>
  <r>
    <n v="134"/>
    <m/>
    <m/>
    <m/>
    <m/>
    <m/>
    <m/>
    <m/>
    <m/>
    <m/>
    <m/>
    <m/>
    <x v="35"/>
    <m/>
    <m/>
  </r>
  <r>
    <n v="135"/>
    <m/>
    <m/>
    <m/>
    <m/>
    <m/>
    <m/>
    <m/>
    <m/>
    <m/>
    <m/>
    <m/>
    <x v="35"/>
    <m/>
    <m/>
  </r>
  <r>
    <n v="136"/>
    <m/>
    <m/>
    <m/>
    <m/>
    <m/>
    <m/>
    <m/>
    <m/>
    <m/>
    <m/>
    <m/>
    <x v="35"/>
    <m/>
    <m/>
  </r>
  <r>
    <n v="137"/>
    <m/>
    <m/>
    <m/>
    <m/>
    <m/>
    <m/>
    <m/>
    <m/>
    <m/>
    <m/>
    <m/>
    <x v="35"/>
    <m/>
    <m/>
  </r>
  <r>
    <n v="138"/>
    <m/>
    <m/>
    <m/>
    <m/>
    <m/>
    <m/>
    <m/>
    <m/>
    <m/>
    <m/>
    <m/>
    <x v="35"/>
    <m/>
    <m/>
  </r>
  <r>
    <n v="139"/>
    <m/>
    <m/>
    <m/>
    <m/>
    <m/>
    <m/>
    <m/>
    <m/>
    <m/>
    <m/>
    <m/>
    <x v="35"/>
    <m/>
    <m/>
  </r>
  <r>
    <n v="140"/>
    <m/>
    <m/>
    <m/>
    <m/>
    <m/>
    <m/>
    <m/>
    <m/>
    <m/>
    <m/>
    <m/>
    <x v="35"/>
    <m/>
    <m/>
  </r>
  <r>
    <n v="141"/>
    <m/>
    <m/>
    <m/>
    <m/>
    <m/>
    <m/>
    <m/>
    <m/>
    <m/>
    <m/>
    <m/>
    <x v="35"/>
    <m/>
    <m/>
  </r>
  <r>
    <n v="142"/>
    <m/>
    <m/>
    <m/>
    <m/>
    <m/>
    <m/>
    <m/>
    <m/>
    <m/>
    <m/>
    <m/>
    <x v="35"/>
    <m/>
    <m/>
  </r>
  <r>
    <n v="143"/>
    <m/>
    <m/>
    <m/>
    <m/>
    <m/>
    <m/>
    <m/>
    <m/>
    <m/>
    <m/>
    <m/>
    <x v="35"/>
    <m/>
    <m/>
  </r>
  <r>
    <n v="144"/>
    <m/>
    <m/>
    <m/>
    <m/>
    <m/>
    <m/>
    <m/>
    <m/>
    <m/>
    <m/>
    <m/>
    <x v="35"/>
    <m/>
    <m/>
  </r>
  <r>
    <n v="145"/>
    <m/>
    <m/>
    <m/>
    <m/>
    <m/>
    <m/>
    <m/>
    <m/>
    <m/>
    <m/>
    <m/>
    <x v="35"/>
    <m/>
    <m/>
  </r>
  <r>
    <n v="146"/>
    <m/>
    <m/>
    <m/>
    <m/>
    <m/>
    <m/>
    <m/>
    <m/>
    <m/>
    <m/>
    <m/>
    <x v="35"/>
    <m/>
    <m/>
  </r>
  <r>
    <n v="147"/>
    <m/>
    <m/>
    <m/>
    <m/>
    <m/>
    <m/>
    <m/>
    <m/>
    <m/>
    <m/>
    <m/>
    <x v="35"/>
    <m/>
    <m/>
  </r>
  <r>
    <n v="148"/>
    <m/>
    <m/>
    <m/>
    <m/>
    <m/>
    <m/>
    <m/>
    <m/>
    <m/>
    <m/>
    <m/>
    <x v="35"/>
    <m/>
    <m/>
  </r>
  <r>
    <n v="149"/>
    <m/>
    <m/>
    <m/>
    <m/>
    <m/>
    <m/>
    <m/>
    <m/>
    <m/>
    <m/>
    <m/>
    <x v="35"/>
    <m/>
    <m/>
  </r>
  <r>
    <n v="150"/>
    <m/>
    <m/>
    <m/>
    <m/>
    <m/>
    <m/>
    <m/>
    <m/>
    <m/>
    <m/>
    <m/>
    <x v="35"/>
    <m/>
    <m/>
  </r>
  <r>
    <n v="151"/>
    <m/>
    <m/>
    <m/>
    <m/>
    <m/>
    <m/>
    <m/>
    <m/>
    <m/>
    <m/>
    <m/>
    <x v="35"/>
    <m/>
    <m/>
  </r>
  <r>
    <n v="152"/>
    <m/>
    <m/>
    <m/>
    <m/>
    <m/>
    <m/>
    <m/>
    <m/>
    <m/>
    <m/>
    <m/>
    <x v="35"/>
    <m/>
    <m/>
  </r>
  <r>
    <n v="153"/>
    <m/>
    <m/>
    <m/>
    <m/>
    <m/>
    <m/>
    <m/>
    <m/>
    <m/>
    <m/>
    <m/>
    <x v="35"/>
    <m/>
    <m/>
  </r>
  <r>
    <n v="154"/>
    <m/>
    <m/>
    <m/>
    <m/>
    <m/>
    <m/>
    <m/>
    <m/>
    <m/>
    <m/>
    <m/>
    <x v="35"/>
    <m/>
    <m/>
  </r>
  <r>
    <n v="155"/>
    <m/>
    <m/>
    <m/>
    <m/>
    <m/>
    <m/>
    <m/>
    <m/>
    <m/>
    <m/>
    <m/>
    <x v="35"/>
    <m/>
    <m/>
  </r>
  <r>
    <n v="156"/>
    <m/>
    <m/>
    <m/>
    <m/>
    <m/>
    <m/>
    <m/>
    <m/>
    <m/>
    <m/>
    <m/>
    <x v="35"/>
    <m/>
    <m/>
  </r>
  <r>
    <n v="157"/>
    <m/>
    <m/>
    <m/>
    <m/>
    <m/>
    <m/>
    <m/>
    <m/>
    <m/>
    <m/>
    <m/>
    <x v="35"/>
    <m/>
    <m/>
  </r>
  <r>
    <n v="158"/>
    <m/>
    <m/>
    <m/>
    <m/>
    <m/>
    <m/>
    <m/>
    <m/>
    <m/>
    <m/>
    <m/>
    <x v="35"/>
    <m/>
    <m/>
  </r>
  <r>
    <n v="159"/>
    <m/>
    <m/>
    <m/>
    <m/>
    <m/>
    <m/>
    <m/>
    <m/>
    <m/>
    <m/>
    <m/>
    <x v="35"/>
    <m/>
    <m/>
  </r>
  <r>
    <n v="160"/>
    <m/>
    <m/>
    <m/>
    <m/>
    <m/>
    <m/>
    <m/>
    <m/>
    <m/>
    <m/>
    <m/>
    <x v="35"/>
    <m/>
    <m/>
  </r>
  <r>
    <n v="161"/>
    <m/>
    <m/>
    <m/>
    <m/>
    <m/>
    <m/>
    <m/>
    <m/>
    <m/>
    <m/>
    <m/>
    <x v="35"/>
    <m/>
    <m/>
  </r>
  <r>
    <n v="162"/>
    <m/>
    <m/>
    <m/>
    <m/>
    <m/>
    <m/>
    <m/>
    <m/>
    <m/>
    <m/>
    <m/>
    <x v="35"/>
    <m/>
    <m/>
  </r>
  <r>
    <n v="163"/>
    <m/>
    <m/>
    <m/>
    <m/>
    <m/>
    <m/>
    <m/>
    <m/>
    <m/>
    <m/>
    <m/>
    <x v="35"/>
    <m/>
    <m/>
  </r>
  <r>
    <n v="164"/>
    <m/>
    <m/>
    <m/>
    <m/>
    <m/>
    <m/>
    <m/>
    <m/>
    <m/>
    <m/>
    <m/>
    <x v="35"/>
    <m/>
    <m/>
  </r>
  <r>
    <n v="165"/>
    <m/>
    <m/>
    <m/>
    <m/>
    <m/>
    <m/>
    <m/>
    <m/>
    <m/>
    <m/>
    <m/>
    <x v="35"/>
    <m/>
    <m/>
  </r>
  <r>
    <n v="166"/>
    <m/>
    <m/>
    <m/>
    <m/>
    <m/>
    <m/>
    <m/>
    <m/>
    <m/>
    <m/>
    <m/>
    <x v="35"/>
    <m/>
    <m/>
  </r>
  <r>
    <n v="167"/>
    <m/>
    <m/>
    <m/>
    <m/>
    <m/>
    <m/>
    <m/>
    <m/>
    <m/>
    <m/>
    <m/>
    <x v="35"/>
    <m/>
    <m/>
  </r>
  <r>
    <n v="168"/>
    <m/>
    <m/>
    <m/>
    <m/>
    <m/>
    <m/>
    <m/>
    <m/>
    <m/>
    <m/>
    <m/>
    <x v="35"/>
    <m/>
    <m/>
  </r>
  <r>
    <n v="169"/>
    <m/>
    <m/>
    <m/>
    <m/>
    <m/>
    <m/>
    <m/>
    <m/>
    <m/>
    <m/>
    <m/>
    <x v="35"/>
    <m/>
    <m/>
  </r>
  <r>
    <n v="170"/>
    <m/>
    <m/>
    <m/>
    <m/>
    <m/>
    <m/>
    <m/>
    <m/>
    <m/>
    <m/>
    <m/>
    <x v="35"/>
    <m/>
    <m/>
  </r>
  <r>
    <n v="171"/>
    <m/>
    <m/>
    <m/>
    <m/>
    <m/>
    <m/>
    <m/>
    <m/>
    <m/>
    <m/>
    <m/>
    <x v="35"/>
    <m/>
    <m/>
  </r>
  <r>
    <n v="172"/>
    <m/>
    <m/>
    <m/>
    <m/>
    <m/>
    <m/>
    <m/>
    <m/>
    <m/>
    <m/>
    <m/>
    <x v="35"/>
    <m/>
    <m/>
  </r>
  <r>
    <n v="173"/>
    <m/>
    <m/>
    <m/>
    <m/>
    <m/>
    <m/>
    <m/>
    <m/>
    <m/>
    <m/>
    <m/>
    <x v="35"/>
    <m/>
    <m/>
  </r>
  <r>
    <n v="174"/>
    <m/>
    <m/>
    <m/>
    <m/>
    <m/>
    <m/>
    <m/>
    <m/>
    <m/>
    <m/>
    <m/>
    <x v="35"/>
    <m/>
    <m/>
  </r>
  <r>
    <n v="175"/>
    <m/>
    <m/>
    <m/>
    <m/>
    <m/>
    <m/>
    <m/>
    <m/>
    <m/>
    <m/>
    <m/>
    <x v="35"/>
    <m/>
    <m/>
  </r>
  <r>
    <n v="176"/>
    <m/>
    <m/>
    <m/>
    <m/>
    <m/>
    <m/>
    <m/>
    <m/>
    <m/>
    <m/>
    <m/>
    <x v="35"/>
    <m/>
    <m/>
  </r>
  <r>
    <n v="177"/>
    <m/>
    <m/>
    <m/>
    <m/>
    <m/>
    <m/>
    <m/>
    <m/>
    <m/>
    <m/>
    <m/>
    <x v="35"/>
    <m/>
    <m/>
  </r>
  <r>
    <n v="178"/>
    <m/>
    <m/>
    <m/>
    <m/>
    <m/>
    <m/>
    <m/>
    <m/>
    <m/>
    <m/>
    <m/>
    <x v="35"/>
    <m/>
    <m/>
  </r>
  <r>
    <n v="179"/>
    <m/>
    <m/>
    <m/>
    <m/>
    <m/>
    <m/>
    <m/>
    <m/>
    <m/>
    <m/>
    <m/>
    <x v="35"/>
    <m/>
    <m/>
  </r>
  <r>
    <n v="180"/>
    <m/>
    <m/>
    <m/>
    <m/>
    <m/>
    <m/>
    <m/>
    <m/>
    <m/>
    <m/>
    <m/>
    <x v="35"/>
    <m/>
    <m/>
  </r>
  <r>
    <n v="181"/>
    <m/>
    <m/>
    <m/>
    <m/>
    <m/>
    <m/>
    <m/>
    <m/>
    <m/>
    <m/>
    <m/>
    <x v="35"/>
    <m/>
    <m/>
  </r>
  <r>
    <n v="182"/>
    <m/>
    <m/>
    <m/>
    <m/>
    <m/>
    <m/>
    <m/>
    <m/>
    <m/>
    <m/>
    <m/>
    <x v="35"/>
    <m/>
    <m/>
  </r>
  <r>
    <n v="183"/>
    <m/>
    <m/>
    <m/>
    <m/>
    <m/>
    <m/>
    <m/>
    <m/>
    <m/>
    <m/>
    <m/>
    <x v="35"/>
    <m/>
    <m/>
  </r>
  <r>
    <n v="184"/>
    <m/>
    <m/>
    <m/>
    <m/>
    <m/>
    <m/>
    <m/>
    <m/>
    <m/>
    <m/>
    <m/>
    <x v="35"/>
    <m/>
    <m/>
  </r>
  <r>
    <n v="185"/>
    <m/>
    <m/>
    <m/>
    <m/>
    <m/>
    <m/>
    <m/>
    <m/>
    <m/>
    <m/>
    <m/>
    <x v="35"/>
    <m/>
    <m/>
  </r>
  <r>
    <n v="186"/>
    <m/>
    <m/>
    <m/>
    <m/>
    <m/>
    <m/>
    <m/>
    <m/>
    <m/>
    <m/>
    <m/>
    <x v="35"/>
    <m/>
    <m/>
  </r>
  <r>
    <n v="187"/>
    <m/>
    <m/>
    <m/>
    <m/>
    <m/>
    <m/>
    <m/>
    <m/>
    <m/>
    <m/>
    <m/>
    <x v="35"/>
    <m/>
    <m/>
  </r>
  <r>
    <n v="188"/>
    <m/>
    <m/>
    <m/>
    <m/>
    <m/>
    <m/>
    <m/>
    <m/>
    <m/>
    <m/>
    <m/>
    <x v="35"/>
    <m/>
    <m/>
  </r>
  <r>
    <n v="189"/>
    <m/>
    <m/>
    <m/>
    <m/>
    <m/>
    <m/>
    <m/>
    <m/>
    <m/>
    <m/>
    <m/>
    <x v="35"/>
    <m/>
    <m/>
  </r>
  <r>
    <n v="190"/>
    <m/>
    <m/>
    <m/>
    <m/>
    <m/>
    <m/>
    <m/>
    <m/>
    <m/>
    <m/>
    <m/>
    <x v="35"/>
    <m/>
    <m/>
  </r>
  <r>
    <n v="191"/>
    <m/>
    <m/>
    <m/>
    <m/>
    <m/>
    <m/>
    <m/>
    <m/>
    <m/>
    <m/>
    <m/>
    <x v="35"/>
    <m/>
    <m/>
  </r>
  <r>
    <n v="192"/>
    <m/>
    <m/>
    <m/>
    <m/>
    <m/>
    <m/>
    <m/>
    <m/>
    <m/>
    <m/>
    <m/>
    <x v="35"/>
    <m/>
    <m/>
  </r>
  <r>
    <n v="193"/>
    <m/>
    <m/>
    <m/>
    <m/>
    <m/>
    <m/>
    <m/>
    <m/>
    <m/>
    <m/>
    <m/>
    <x v="35"/>
    <m/>
    <m/>
  </r>
  <r>
    <n v="194"/>
    <m/>
    <m/>
    <m/>
    <m/>
    <m/>
    <m/>
    <m/>
    <m/>
    <m/>
    <m/>
    <m/>
    <x v="35"/>
    <m/>
    <m/>
  </r>
  <r>
    <n v="195"/>
    <m/>
    <m/>
    <m/>
    <m/>
    <m/>
    <m/>
    <m/>
    <m/>
    <m/>
    <m/>
    <m/>
    <x v="35"/>
    <m/>
    <m/>
  </r>
  <r>
    <n v="196"/>
    <m/>
    <m/>
    <m/>
    <m/>
    <m/>
    <m/>
    <m/>
    <m/>
    <m/>
    <m/>
    <m/>
    <x v="35"/>
    <m/>
    <m/>
  </r>
  <r>
    <n v="197"/>
    <m/>
    <m/>
    <m/>
    <m/>
    <m/>
    <m/>
    <m/>
    <m/>
    <m/>
    <m/>
    <m/>
    <x v="35"/>
    <m/>
    <m/>
  </r>
  <r>
    <n v="198"/>
    <m/>
    <m/>
    <m/>
    <m/>
    <m/>
    <m/>
    <m/>
    <m/>
    <m/>
    <m/>
    <m/>
    <x v="35"/>
    <m/>
    <m/>
  </r>
  <r>
    <n v="199"/>
    <m/>
    <m/>
    <m/>
    <m/>
    <m/>
    <m/>
    <m/>
    <m/>
    <m/>
    <m/>
    <m/>
    <x v="35"/>
    <m/>
    <m/>
  </r>
  <r>
    <n v="200"/>
    <m/>
    <m/>
    <m/>
    <m/>
    <m/>
    <m/>
    <m/>
    <m/>
    <m/>
    <m/>
    <m/>
    <x v="35"/>
    <m/>
    <m/>
  </r>
  <r>
    <n v="201"/>
    <m/>
    <m/>
    <m/>
    <m/>
    <m/>
    <m/>
    <m/>
    <m/>
    <m/>
    <m/>
    <m/>
    <x v="35"/>
    <m/>
    <m/>
  </r>
  <r>
    <n v="202"/>
    <m/>
    <m/>
    <m/>
    <m/>
    <m/>
    <m/>
    <m/>
    <m/>
    <m/>
    <m/>
    <m/>
    <x v="35"/>
    <m/>
    <m/>
  </r>
  <r>
    <n v="203"/>
    <m/>
    <m/>
    <m/>
    <m/>
    <m/>
    <m/>
    <m/>
    <m/>
    <m/>
    <m/>
    <m/>
    <x v="35"/>
    <m/>
    <m/>
  </r>
  <r>
    <n v="204"/>
    <m/>
    <m/>
    <m/>
    <m/>
    <m/>
    <m/>
    <m/>
    <m/>
    <m/>
    <m/>
    <m/>
    <x v="35"/>
    <m/>
    <m/>
  </r>
  <r>
    <n v="205"/>
    <m/>
    <m/>
    <m/>
    <m/>
    <m/>
    <m/>
    <m/>
    <m/>
    <m/>
    <m/>
    <m/>
    <x v="35"/>
    <m/>
    <m/>
  </r>
  <r>
    <n v="206"/>
    <m/>
    <m/>
    <m/>
    <m/>
    <m/>
    <m/>
    <m/>
    <m/>
    <m/>
    <m/>
    <m/>
    <x v="35"/>
    <m/>
    <m/>
  </r>
  <r>
    <n v="207"/>
    <m/>
    <m/>
    <m/>
    <m/>
    <m/>
    <m/>
    <m/>
    <m/>
    <m/>
    <m/>
    <m/>
    <x v="35"/>
    <m/>
    <m/>
  </r>
  <r>
    <n v="208"/>
    <m/>
    <m/>
    <m/>
    <m/>
    <m/>
    <m/>
    <m/>
    <m/>
    <m/>
    <m/>
    <m/>
    <x v="35"/>
    <m/>
    <m/>
  </r>
  <r>
    <n v="209"/>
    <m/>
    <m/>
    <m/>
    <m/>
    <m/>
    <m/>
    <m/>
    <m/>
    <m/>
    <m/>
    <m/>
    <x v="35"/>
    <m/>
    <m/>
  </r>
  <r>
    <n v="210"/>
    <m/>
    <m/>
    <m/>
    <m/>
    <m/>
    <m/>
    <m/>
    <m/>
    <m/>
    <m/>
    <m/>
    <x v="35"/>
    <m/>
    <m/>
  </r>
  <r>
    <n v="211"/>
    <m/>
    <m/>
    <m/>
    <m/>
    <m/>
    <m/>
    <m/>
    <m/>
    <m/>
    <m/>
    <m/>
    <x v="35"/>
    <m/>
    <m/>
  </r>
  <r>
    <n v="212"/>
    <m/>
    <m/>
    <m/>
    <m/>
    <m/>
    <m/>
    <m/>
    <m/>
    <m/>
    <m/>
    <m/>
    <x v="35"/>
    <m/>
    <m/>
  </r>
  <r>
    <n v="213"/>
    <m/>
    <m/>
    <m/>
    <m/>
    <m/>
    <m/>
    <m/>
    <m/>
    <m/>
    <m/>
    <m/>
    <x v="35"/>
    <m/>
    <m/>
  </r>
  <r>
    <n v="214"/>
    <m/>
    <m/>
    <m/>
    <m/>
    <m/>
    <m/>
    <m/>
    <m/>
    <m/>
    <m/>
    <m/>
    <x v="35"/>
    <m/>
    <m/>
  </r>
  <r>
    <n v="215"/>
    <m/>
    <m/>
    <m/>
    <m/>
    <m/>
    <m/>
    <m/>
    <m/>
    <m/>
    <m/>
    <m/>
    <x v="35"/>
    <m/>
    <m/>
  </r>
  <r>
    <n v="216"/>
    <m/>
    <m/>
    <m/>
    <m/>
    <m/>
    <m/>
    <m/>
    <m/>
    <m/>
    <m/>
    <m/>
    <x v="35"/>
    <m/>
    <m/>
  </r>
  <r>
    <n v="217"/>
    <m/>
    <m/>
    <m/>
    <m/>
    <m/>
    <m/>
    <m/>
    <m/>
    <m/>
    <m/>
    <m/>
    <x v="35"/>
    <m/>
    <m/>
  </r>
  <r>
    <n v="218"/>
    <m/>
    <m/>
    <m/>
    <m/>
    <m/>
    <m/>
    <m/>
    <m/>
    <m/>
    <m/>
    <m/>
    <x v="35"/>
    <m/>
    <m/>
  </r>
  <r>
    <n v="219"/>
    <m/>
    <m/>
    <m/>
    <m/>
    <m/>
    <m/>
    <m/>
    <m/>
    <m/>
    <m/>
    <m/>
    <x v="35"/>
    <m/>
    <m/>
  </r>
  <r>
    <n v="220"/>
    <m/>
    <m/>
    <m/>
    <m/>
    <m/>
    <m/>
    <m/>
    <m/>
    <m/>
    <m/>
    <m/>
    <x v="35"/>
    <m/>
    <m/>
  </r>
  <r>
    <n v="221"/>
    <m/>
    <m/>
    <m/>
    <m/>
    <m/>
    <m/>
    <m/>
    <m/>
    <m/>
    <m/>
    <m/>
    <x v="35"/>
    <m/>
    <m/>
  </r>
  <r>
    <n v="222"/>
    <m/>
    <m/>
    <m/>
    <m/>
    <m/>
    <m/>
    <m/>
    <m/>
    <m/>
    <m/>
    <m/>
    <x v="35"/>
    <m/>
    <m/>
  </r>
  <r>
    <n v="223"/>
    <m/>
    <m/>
    <m/>
    <m/>
    <m/>
    <m/>
    <m/>
    <m/>
    <m/>
    <m/>
    <m/>
    <x v="35"/>
    <m/>
    <m/>
  </r>
  <r>
    <n v="224"/>
    <m/>
    <m/>
    <m/>
    <m/>
    <m/>
    <m/>
    <m/>
    <m/>
    <m/>
    <m/>
    <m/>
    <x v="35"/>
    <m/>
    <m/>
  </r>
  <r>
    <n v="225"/>
    <m/>
    <m/>
    <m/>
    <m/>
    <m/>
    <m/>
    <m/>
    <m/>
    <m/>
    <m/>
    <m/>
    <x v="35"/>
    <m/>
    <m/>
  </r>
  <r>
    <n v="226"/>
    <m/>
    <m/>
    <m/>
    <m/>
    <m/>
    <m/>
    <m/>
    <m/>
    <m/>
    <m/>
    <m/>
    <x v="35"/>
    <m/>
    <m/>
  </r>
  <r>
    <n v="227"/>
    <m/>
    <m/>
    <m/>
    <m/>
    <m/>
    <m/>
    <m/>
    <m/>
    <m/>
    <m/>
    <m/>
    <x v="35"/>
    <m/>
    <m/>
  </r>
  <r>
    <n v="228"/>
    <m/>
    <m/>
    <m/>
    <m/>
    <m/>
    <m/>
    <m/>
    <m/>
    <m/>
    <m/>
    <m/>
    <x v="35"/>
    <m/>
    <m/>
  </r>
  <r>
    <n v="229"/>
    <m/>
    <m/>
    <m/>
    <m/>
    <m/>
    <m/>
    <m/>
    <m/>
    <m/>
    <m/>
    <m/>
    <x v="35"/>
    <m/>
    <m/>
  </r>
  <r>
    <n v="230"/>
    <m/>
    <m/>
    <m/>
    <m/>
    <m/>
    <m/>
    <m/>
    <m/>
    <m/>
    <m/>
    <m/>
    <x v="35"/>
    <m/>
    <m/>
  </r>
  <r>
    <n v="231"/>
    <m/>
    <m/>
    <m/>
    <m/>
    <m/>
    <m/>
    <m/>
    <m/>
    <m/>
    <m/>
    <m/>
    <x v="35"/>
    <m/>
    <m/>
  </r>
  <r>
    <n v="232"/>
    <m/>
    <m/>
    <m/>
    <m/>
    <m/>
    <m/>
    <m/>
    <m/>
    <m/>
    <m/>
    <m/>
    <x v="35"/>
    <m/>
    <m/>
  </r>
  <r>
    <n v="233"/>
    <m/>
    <m/>
    <m/>
    <m/>
    <m/>
    <m/>
    <m/>
    <m/>
    <m/>
    <m/>
    <m/>
    <x v="35"/>
    <m/>
    <m/>
  </r>
  <r>
    <n v="234"/>
    <m/>
    <m/>
    <m/>
    <m/>
    <m/>
    <m/>
    <m/>
    <m/>
    <m/>
    <m/>
    <m/>
    <x v="35"/>
    <m/>
    <m/>
  </r>
  <r>
    <n v="235"/>
    <m/>
    <m/>
    <m/>
    <m/>
    <m/>
    <m/>
    <m/>
    <m/>
    <m/>
    <m/>
    <m/>
    <x v="35"/>
    <m/>
    <m/>
  </r>
  <r>
    <n v="236"/>
    <m/>
    <m/>
    <m/>
    <m/>
    <m/>
    <m/>
    <m/>
    <m/>
    <m/>
    <m/>
    <m/>
    <x v="35"/>
    <m/>
    <m/>
  </r>
  <r>
    <n v="237"/>
    <m/>
    <m/>
    <m/>
    <m/>
    <m/>
    <m/>
    <m/>
    <m/>
    <m/>
    <m/>
    <m/>
    <x v="35"/>
    <m/>
    <m/>
  </r>
  <r>
    <n v="238"/>
    <m/>
    <m/>
    <m/>
    <m/>
    <m/>
    <m/>
    <m/>
    <m/>
    <m/>
    <m/>
    <m/>
    <x v="35"/>
    <m/>
    <m/>
  </r>
  <r>
    <n v="239"/>
    <m/>
    <m/>
    <m/>
    <m/>
    <m/>
    <m/>
    <m/>
    <m/>
    <m/>
    <m/>
    <m/>
    <x v="35"/>
    <m/>
    <m/>
  </r>
  <r>
    <n v="240"/>
    <m/>
    <m/>
    <m/>
    <m/>
    <m/>
    <m/>
    <m/>
    <m/>
    <m/>
    <m/>
    <m/>
    <x v="35"/>
    <m/>
    <m/>
  </r>
  <r>
    <n v="241"/>
    <m/>
    <m/>
    <m/>
    <m/>
    <m/>
    <m/>
    <m/>
    <m/>
    <m/>
    <m/>
    <m/>
    <x v="35"/>
    <m/>
    <m/>
  </r>
  <r>
    <n v="242"/>
    <m/>
    <m/>
    <m/>
    <m/>
    <m/>
    <m/>
    <m/>
    <m/>
    <m/>
    <m/>
    <m/>
    <x v="35"/>
    <m/>
    <m/>
  </r>
  <r>
    <n v="243"/>
    <m/>
    <m/>
    <m/>
    <m/>
    <m/>
    <m/>
    <m/>
    <m/>
    <m/>
    <m/>
    <m/>
    <x v="35"/>
    <m/>
    <m/>
  </r>
  <r>
    <n v="244"/>
    <m/>
    <m/>
    <m/>
    <m/>
    <m/>
    <m/>
    <m/>
    <m/>
    <m/>
    <m/>
    <m/>
    <x v="35"/>
    <m/>
    <m/>
  </r>
  <r>
    <n v="245"/>
    <m/>
    <m/>
    <m/>
    <m/>
    <m/>
    <m/>
    <m/>
    <m/>
    <m/>
    <m/>
    <m/>
    <x v="35"/>
    <m/>
    <m/>
  </r>
  <r>
    <n v="246"/>
    <m/>
    <m/>
    <m/>
    <m/>
    <m/>
    <m/>
    <m/>
    <m/>
    <m/>
    <m/>
    <m/>
    <x v="35"/>
    <m/>
    <m/>
  </r>
  <r>
    <n v="247"/>
    <m/>
    <m/>
    <m/>
    <m/>
    <m/>
    <m/>
    <m/>
    <m/>
    <m/>
    <m/>
    <m/>
    <x v="35"/>
    <m/>
    <m/>
  </r>
  <r>
    <n v="248"/>
    <m/>
    <m/>
    <m/>
    <m/>
    <m/>
    <m/>
    <m/>
    <m/>
    <m/>
    <m/>
    <m/>
    <x v="35"/>
    <m/>
    <m/>
  </r>
  <r>
    <n v="249"/>
    <m/>
    <m/>
    <m/>
    <m/>
    <m/>
    <m/>
    <m/>
    <m/>
    <m/>
    <m/>
    <m/>
    <x v="35"/>
    <m/>
    <m/>
  </r>
  <r>
    <n v="250"/>
    <m/>
    <m/>
    <m/>
    <m/>
    <m/>
    <m/>
    <m/>
    <m/>
    <m/>
    <m/>
    <m/>
    <x v="35"/>
    <m/>
    <m/>
  </r>
  <r>
    <n v="251"/>
    <m/>
    <m/>
    <m/>
    <m/>
    <m/>
    <m/>
    <m/>
    <m/>
    <m/>
    <m/>
    <m/>
    <x v="35"/>
    <m/>
    <m/>
  </r>
  <r>
    <n v="252"/>
    <m/>
    <m/>
    <m/>
    <m/>
    <m/>
    <m/>
    <m/>
    <m/>
    <m/>
    <m/>
    <m/>
    <x v="35"/>
    <m/>
    <m/>
  </r>
  <r>
    <n v="253"/>
    <m/>
    <m/>
    <m/>
    <m/>
    <m/>
    <m/>
    <m/>
    <m/>
    <m/>
    <m/>
    <m/>
    <x v="35"/>
    <m/>
    <m/>
  </r>
  <r>
    <n v="254"/>
    <m/>
    <m/>
    <m/>
    <m/>
    <m/>
    <m/>
    <m/>
    <m/>
    <m/>
    <m/>
    <m/>
    <x v="35"/>
    <m/>
    <m/>
  </r>
  <r>
    <n v="255"/>
    <m/>
    <m/>
    <m/>
    <m/>
    <m/>
    <m/>
    <m/>
    <m/>
    <m/>
    <m/>
    <m/>
    <x v="35"/>
    <m/>
    <m/>
  </r>
  <r>
    <n v="256"/>
    <m/>
    <m/>
    <m/>
    <m/>
    <m/>
    <m/>
    <m/>
    <m/>
    <m/>
    <m/>
    <m/>
    <x v="35"/>
    <m/>
    <m/>
  </r>
  <r>
    <n v="257"/>
    <m/>
    <m/>
    <m/>
    <m/>
    <m/>
    <m/>
    <m/>
    <m/>
    <m/>
    <m/>
    <m/>
    <x v="35"/>
    <m/>
    <m/>
  </r>
  <r>
    <n v="258"/>
    <m/>
    <m/>
    <m/>
    <m/>
    <m/>
    <m/>
    <m/>
    <m/>
    <m/>
    <m/>
    <m/>
    <x v="35"/>
    <m/>
    <m/>
  </r>
  <r>
    <n v="259"/>
    <m/>
    <m/>
    <m/>
    <m/>
    <m/>
    <m/>
    <m/>
    <m/>
    <m/>
    <m/>
    <m/>
    <x v="35"/>
    <m/>
    <m/>
  </r>
  <r>
    <n v="260"/>
    <m/>
    <m/>
    <m/>
    <m/>
    <m/>
    <m/>
    <m/>
    <m/>
    <m/>
    <m/>
    <m/>
    <x v="35"/>
    <m/>
    <m/>
  </r>
  <r>
    <n v="261"/>
    <m/>
    <m/>
    <m/>
    <m/>
    <m/>
    <m/>
    <m/>
    <m/>
    <m/>
    <m/>
    <m/>
    <x v="35"/>
    <m/>
    <m/>
  </r>
  <r>
    <n v="262"/>
    <m/>
    <m/>
    <m/>
    <m/>
    <m/>
    <m/>
    <m/>
    <m/>
    <m/>
    <m/>
    <m/>
    <x v="35"/>
    <m/>
    <m/>
  </r>
  <r>
    <n v="263"/>
    <m/>
    <m/>
    <m/>
    <m/>
    <m/>
    <m/>
    <m/>
    <m/>
    <m/>
    <m/>
    <m/>
    <x v="35"/>
    <m/>
    <m/>
  </r>
  <r>
    <n v="264"/>
    <m/>
    <m/>
    <m/>
    <m/>
    <m/>
    <m/>
    <m/>
    <m/>
    <m/>
    <m/>
    <m/>
    <x v="35"/>
    <m/>
    <m/>
  </r>
  <r>
    <n v="265"/>
    <m/>
    <m/>
    <m/>
    <m/>
    <m/>
    <m/>
    <m/>
    <m/>
    <m/>
    <m/>
    <m/>
    <x v="35"/>
    <m/>
    <m/>
  </r>
  <r>
    <n v="266"/>
    <m/>
    <m/>
    <m/>
    <m/>
    <m/>
    <m/>
    <m/>
    <m/>
    <m/>
    <m/>
    <m/>
    <x v="35"/>
    <m/>
    <m/>
  </r>
  <r>
    <n v="267"/>
    <m/>
    <m/>
    <m/>
    <m/>
    <m/>
    <m/>
    <m/>
    <m/>
    <m/>
    <m/>
    <m/>
    <x v="35"/>
    <m/>
    <m/>
  </r>
  <r>
    <n v="268"/>
    <m/>
    <m/>
    <m/>
    <m/>
    <m/>
    <m/>
    <m/>
    <m/>
    <m/>
    <m/>
    <m/>
    <x v="35"/>
    <m/>
    <m/>
  </r>
  <r>
    <n v="269"/>
    <m/>
    <m/>
    <m/>
    <m/>
    <m/>
    <m/>
    <m/>
    <m/>
    <m/>
    <m/>
    <m/>
    <x v="35"/>
    <m/>
    <m/>
  </r>
  <r>
    <n v="270"/>
    <m/>
    <m/>
    <m/>
    <m/>
    <m/>
    <m/>
    <m/>
    <m/>
    <m/>
    <m/>
    <m/>
    <x v="35"/>
    <m/>
    <m/>
  </r>
  <r>
    <n v="271"/>
    <m/>
    <m/>
    <m/>
    <m/>
    <m/>
    <m/>
    <m/>
    <m/>
    <m/>
    <m/>
    <m/>
    <x v="35"/>
    <m/>
    <m/>
  </r>
  <r>
    <n v="272"/>
    <m/>
    <m/>
    <m/>
    <m/>
    <m/>
    <m/>
    <m/>
    <m/>
    <m/>
    <m/>
    <m/>
    <x v="35"/>
    <m/>
    <m/>
  </r>
  <r>
    <n v="273"/>
    <m/>
    <m/>
    <m/>
    <m/>
    <m/>
    <m/>
    <m/>
    <m/>
    <m/>
    <m/>
    <m/>
    <x v="35"/>
    <m/>
    <m/>
  </r>
  <r>
    <n v="274"/>
    <m/>
    <m/>
    <m/>
    <m/>
    <m/>
    <m/>
    <m/>
    <m/>
    <m/>
    <m/>
    <m/>
    <x v="35"/>
    <m/>
    <m/>
  </r>
  <r>
    <n v="275"/>
    <m/>
    <m/>
    <m/>
    <m/>
    <m/>
    <m/>
    <m/>
    <m/>
    <m/>
    <m/>
    <m/>
    <x v="35"/>
    <m/>
    <m/>
  </r>
  <r>
    <n v="276"/>
    <m/>
    <m/>
    <m/>
    <m/>
    <m/>
    <m/>
    <m/>
    <m/>
    <m/>
    <m/>
    <m/>
    <x v="35"/>
    <m/>
    <m/>
  </r>
  <r>
    <n v="277"/>
    <m/>
    <m/>
    <m/>
    <m/>
    <m/>
    <m/>
    <m/>
    <m/>
    <m/>
    <m/>
    <m/>
    <x v="35"/>
    <m/>
    <m/>
  </r>
  <r>
    <n v="278"/>
    <m/>
    <m/>
    <m/>
    <m/>
    <m/>
    <m/>
    <m/>
    <m/>
    <m/>
    <m/>
    <m/>
    <x v="35"/>
    <m/>
    <m/>
  </r>
  <r>
    <n v="279"/>
    <m/>
    <m/>
    <m/>
    <m/>
    <m/>
    <m/>
    <m/>
    <m/>
    <m/>
    <m/>
    <m/>
    <x v="35"/>
    <m/>
    <m/>
  </r>
  <r>
    <n v="280"/>
    <m/>
    <m/>
    <m/>
    <m/>
    <m/>
    <m/>
    <m/>
    <m/>
    <m/>
    <m/>
    <m/>
    <x v="35"/>
    <m/>
    <m/>
  </r>
  <r>
    <n v="281"/>
    <m/>
    <m/>
    <m/>
    <m/>
    <m/>
    <m/>
    <m/>
    <m/>
    <m/>
    <m/>
    <m/>
    <x v="35"/>
    <m/>
    <m/>
  </r>
  <r>
    <n v="282"/>
    <m/>
    <m/>
    <m/>
    <m/>
    <m/>
    <m/>
    <m/>
    <m/>
    <m/>
    <m/>
    <m/>
    <x v="35"/>
    <m/>
    <m/>
  </r>
  <r>
    <n v="283"/>
    <m/>
    <m/>
    <m/>
    <m/>
    <m/>
    <m/>
    <m/>
    <m/>
    <m/>
    <m/>
    <m/>
    <x v="35"/>
    <m/>
    <m/>
  </r>
  <r>
    <n v="284"/>
    <m/>
    <m/>
    <m/>
    <m/>
    <m/>
    <m/>
    <m/>
    <m/>
    <m/>
    <m/>
    <m/>
    <x v="35"/>
    <m/>
    <m/>
  </r>
  <r>
    <n v="285"/>
    <m/>
    <m/>
    <m/>
    <m/>
    <m/>
    <m/>
    <m/>
    <m/>
    <m/>
    <m/>
    <m/>
    <x v="35"/>
    <m/>
    <m/>
  </r>
  <r>
    <n v="286"/>
    <m/>
    <m/>
    <m/>
    <m/>
    <m/>
    <m/>
    <m/>
    <m/>
    <m/>
    <m/>
    <m/>
    <x v="35"/>
    <m/>
    <m/>
  </r>
  <r>
    <n v="287"/>
    <m/>
    <m/>
    <m/>
    <m/>
    <m/>
    <m/>
    <m/>
    <m/>
    <m/>
    <m/>
    <m/>
    <x v="35"/>
    <m/>
    <m/>
  </r>
  <r>
    <n v="288"/>
    <m/>
    <m/>
    <m/>
    <m/>
    <m/>
    <m/>
    <m/>
    <m/>
    <m/>
    <m/>
    <m/>
    <x v="35"/>
    <m/>
    <m/>
  </r>
  <r>
    <n v="289"/>
    <m/>
    <m/>
    <m/>
    <m/>
    <m/>
    <m/>
    <m/>
    <m/>
    <m/>
    <m/>
    <m/>
    <x v="35"/>
    <m/>
    <m/>
  </r>
  <r>
    <n v="290"/>
    <m/>
    <m/>
    <m/>
    <m/>
    <m/>
    <m/>
    <m/>
    <m/>
    <m/>
    <m/>
    <m/>
    <x v="35"/>
    <m/>
    <m/>
  </r>
  <r>
    <n v="291"/>
    <m/>
    <m/>
    <m/>
    <m/>
    <m/>
    <m/>
    <m/>
    <m/>
    <m/>
    <m/>
    <m/>
    <x v="35"/>
    <m/>
    <m/>
  </r>
  <r>
    <n v="292"/>
    <m/>
    <m/>
    <m/>
    <m/>
    <m/>
    <m/>
    <m/>
    <m/>
    <m/>
    <m/>
    <m/>
    <x v="35"/>
    <m/>
    <m/>
  </r>
  <r>
    <n v="293"/>
    <m/>
    <m/>
    <m/>
    <m/>
    <m/>
    <m/>
    <m/>
    <m/>
    <m/>
    <m/>
    <m/>
    <x v="35"/>
    <m/>
    <m/>
  </r>
  <r>
    <n v="294"/>
    <m/>
    <m/>
    <m/>
    <m/>
    <m/>
    <m/>
    <m/>
    <m/>
    <m/>
    <m/>
    <m/>
    <x v="35"/>
    <m/>
    <m/>
  </r>
  <r>
    <n v="295"/>
    <m/>
    <m/>
    <m/>
    <m/>
    <m/>
    <m/>
    <m/>
    <m/>
    <m/>
    <m/>
    <m/>
    <x v="35"/>
    <m/>
    <m/>
  </r>
  <r>
    <n v="296"/>
    <m/>
    <m/>
    <m/>
    <m/>
    <m/>
    <m/>
    <m/>
    <m/>
    <m/>
    <m/>
    <m/>
    <x v="35"/>
    <m/>
    <m/>
  </r>
  <r>
    <n v="297"/>
    <m/>
    <m/>
    <m/>
    <m/>
    <m/>
    <m/>
    <m/>
    <m/>
    <m/>
    <m/>
    <m/>
    <x v="35"/>
    <m/>
    <m/>
  </r>
  <r>
    <n v="298"/>
    <m/>
    <m/>
    <m/>
    <m/>
    <m/>
    <m/>
    <m/>
    <m/>
    <m/>
    <m/>
    <m/>
    <x v="35"/>
    <m/>
    <m/>
  </r>
  <r>
    <n v="299"/>
    <m/>
    <m/>
    <m/>
    <m/>
    <m/>
    <m/>
    <m/>
    <m/>
    <m/>
    <m/>
    <m/>
    <x v="35"/>
    <m/>
    <m/>
  </r>
  <r>
    <n v="300"/>
    <m/>
    <m/>
    <m/>
    <m/>
    <m/>
    <m/>
    <m/>
    <m/>
    <m/>
    <m/>
    <m/>
    <x v="35"/>
    <m/>
    <m/>
  </r>
  <r>
    <n v="301"/>
    <m/>
    <m/>
    <m/>
    <m/>
    <m/>
    <m/>
    <m/>
    <m/>
    <m/>
    <m/>
    <m/>
    <x v="35"/>
    <m/>
    <m/>
  </r>
  <r>
    <n v="302"/>
    <m/>
    <m/>
    <m/>
    <m/>
    <m/>
    <m/>
    <m/>
    <m/>
    <m/>
    <m/>
    <m/>
    <x v="35"/>
    <m/>
    <m/>
  </r>
  <r>
    <n v="303"/>
    <m/>
    <m/>
    <m/>
    <m/>
    <m/>
    <m/>
    <m/>
    <m/>
    <m/>
    <m/>
    <m/>
    <x v="35"/>
    <m/>
    <m/>
  </r>
  <r>
    <n v="304"/>
    <m/>
    <m/>
    <m/>
    <m/>
    <m/>
    <m/>
    <m/>
    <m/>
    <m/>
    <m/>
    <m/>
    <x v="35"/>
    <m/>
    <m/>
  </r>
  <r>
    <n v="305"/>
    <m/>
    <m/>
    <m/>
    <m/>
    <m/>
    <m/>
    <m/>
    <m/>
    <m/>
    <m/>
    <m/>
    <x v="35"/>
    <m/>
    <m/>
  </r>
  <r>
    <n v="306"/>
    <m/>
    <m/>
    <m/>
    <m/>
    <m/>
    <m/>
    <m/>
    <m/>
    <m/>
    <m/>
    <m/>
    <x v="35"/>
    <m/>
    <m/>
  </r>
  <r>
    <n v="307"/>
    <m/>
    <m/>
    <m/>
    <m/>
    <m/>
    <m/>
    <m/>
    <m/>
    <m/>
    <m/>
    <m/>
    <x v="35"/>
    <m/>
    <m/>
  </r>
  <r>
    <n v="308"/>
    <m/>
    <m/>
    <m/>
    <m/>
    <m/>
    <m/>
    <m/>
    <m/>
    <m/>
    <m/>
    <m/>
    <x v="35"/>
    <m/>
    <m/>
  </r>
  <r>
    <n v="309"/>
    <m/>
    <m/>
    <m/>
    <m/>
    <m/>
    <m/>
    <m/>
    <m/>
    <m/>
    <m/>
    <m/>
    <x v="35"/>
    <m/>
    <m/>
  </r>
  <r>
    <n v="310"/>
    <m/>
    <m/>
    <m/>
    <m/>
    <m/>
    <m/>
    <m/>
    <m/>
    <m/>
    <m/>
    <m/>
    <x v="35"/>
    <m/>
    <m/>
  </r>
  <r>
    <n v="311"/>
    <m/>
    <m/>
    <m/>
    <m/>
    <m/>
    <m/>
    <m/>
    <m/>
    <m/>
    <m/>
    <m/>
    <x v="35"/>
    <m/>
    <m/>
  </r>
  <r>
    <n v="312"/>
    <m/>
    <m/>
    <m/>
    <m/>
    <m/>
    <m/>
    <m/>
    <m/>
    <m/>
    <m/>
    <m/>
    <x v="35"/>
    <m/>
    <m/>
  </r>
  <r>
    <n v="313"/>
    <m/>
    <m/>
    <m/>
    <m/>
    <m/>
    <m/>
    <m/>
    <m/>
    <m/>
    <m/>
    <m/>
    <x v="35"/>
    <m/>
    <m/>
  </r>
  <r>
    <n v="314"/>
    <m/>
    <m/>
    <m/>
    <m/>
    <m/>
    <m/>
    <m/>
    <m/>
    <m/>
    <m/>
    <m/>
    <x v="35"/>
    <m/>
    <m/>
  </r>
  <r>
    <n v="315"/>
    <m/>
    <m/>
    <m/>
    <m/>
    <m/>
    <m/>
    <m/>
    <m/>
    <m/>
    <m/>
    <m/>
    <x v="35"/>
    <m/>
    <m/>
  </r>
  <r>
    <n v="316"/>
    <m/>
    <m/>
    <m/>
    <m/>
    <m/>
    <m/>
    <m/>
    <m/>
    <m/>
    <m/>
    <m/>
    <x v="35"/>
    <m/>
    <m/>
  </r>
  <r>
    <n v="317"/>
    <m/>
    <m/>
    <m/>
    <m/>
    <m/>
    <m/>
    <m/>
    <m/>
    <m/>
    <m/>
    <m/>
    <x v="35"/>
    <m/>
    <m/>
  </r>
  <r>
    <n v="318"/>
    <m/>
    <m/>
    <m/>
    <m/>
    <m/>
    <m/>
    <m/>
    <m/>
    <m/>
    <m/>
    <m/>
    <x v="35"/>
    <m/>
    <m/>
  </r>
  <r>
    <n v="319"/>
    <m/>
    <m/>
    <m/>
    <m/>
    <m/>
    <m/>
    <m/>
    <m/>
    <m/>
    <m/>
    <m/>
    <x v="35"/>
    <m/>
    <m/>
  </r>
  <r>
    <n v="320"/>
    <m/>
    <m/>
    <m/>
    <m/>
    <m/>
    <m/>
    <m/>
    <m/>
    <m/>
    <m/>
    <m/>
    <x v="35"/>
    <m/>
    <m/>
  </r>
  <r>
    <n v="321"/>
    <m/>
    <m/>
    <m/>
    <m/>
    <m/>
    <m/>
    <m/>
    <m/>
    <m/>
    <m/>
    <m/>
    <x v="35"/>
    <m/>
    <m/>
  </r>
  <r>
    <n v="322"/>
    <m/>
    <m/>
    <m/>
    <m/>
    <m/>
    <m/>
    <m/>
    <m/>
    <m/>
    <m/>
    <m/>
    <x v="35"/>
    <m/>
    <m/>
  </r>
  <r>
    <n v="323"/>
    <m/>
    <m/>
    <m/>
    <m/>
    <m/>
    <m/>
    <m/>
    <m/>
    <m/>
    <m/>
    <m/>
    <x v="35"/>
    <m/>
    <m/>
  </r>
  <r>
    <n v="324"/>
    <m/>
    <m/>
    <m/>
    <m/>
    <m/>
    <m/>
    <m/>
    <m/>
    <m/>
    <m/>
    <m/>
    <x v="35"/>
    <m/>
    <m/>
  </r>
  <r>
    <n v="325"/>
    <m/>
    <m/>
    <m/>
    <m/>
    <m/>
    <m/>
    <m/>
    <m/>
    <m/>
    <m/>
    <m/>
    <x v="35"/>
    <m/>
    <m/>
  </r>
  <r>
    <n v="326"/>
    <m/>
    <m/>
    <m/>
    <m/>
    <m/>
    <m/>
    <m/>
    <m/>
    <m/>
    <m/>
    <m/>
    <x v="35"/>
    <m/>
    <m/>
  </r>
  <r>
    <n v="327"/>
    <m/>
    <m/>
    <m/>
    <m/>
    <m/>
    <m/>
    <m/>
    <m/>
    <m/>
    <m/>
    <m/>
    <x v="35"/>
    <m/>
    <m/>
  </r>
  <r>
    <n v="328"/>
    <m/>
    <m/>
    <m/>
    <m/>
    <m/>
    <m/>
    <m/>
    <m/>
    <m/>
    <m/>
    <m/>
    <x v="35"/>
    <m/>
    <m/>
  </r>
  <r>
    <n v="329"/>
    <m/>
    <m/>
    <m/>
    <m/>
    <m/>
    <m/>
    <m/>
    <m/>
    <m/>
    <m/>
    <m/>
    <x v="35"/>
    <m/>
    <m/>
  </r>
  <r>
    <n v="330"/>
    <m/>
    <m/>
    <m/>
    <m/>
    <m/>
    <m/>
    <m/>
    <m/>
    <m/>
    <m/>
    <m/>
    <x v="35"/>
    <m/>
    <m/>
  </r>
  <r>
    <n v="331"/>
    <m/>
    <m/>
    <m/>
    <m/>
    <m/>
    <m/>
    <m/>
    <m/>
    <m/>
    <m/>
    <m/>
    <x v="35"/>
    <m/>
    <m/>
  </r>
  <r>
    <n v="332"/>
    <m/>
    <m/>
    <m/>
    <m/>
    <m/>
    <m/>
    <m/>
    <m/>
    <m/>
    <m/>
    <m/>
    <x v="35"/>
    <m/>
    <m/>
  </r>
  <r>
    <n v="333"/>
    <m/>
    <m/>
    <m/>
    <m/>
    <m/>
    <m/>
    <m/>
    <m/>
    <m/>
    <m/>
    <m/>
    <x v="35"/>
    <m/>
    <m/>
  </r>
  <r>
    <n v="334"/>
    <m/>
    <m/>
    <m/>
    <m/>
    <m/>
    <m/>
    <m/>
    <m/>
    <m/>
    <m/>
    <m/>
    <x v="35"/>
    <m/>
    <m/>
  </r>
  <r>
    <n v="335"/>
    <m/>
    <m/>
    <m/>
    <m/>
    <m/>
    <m/>
    <m/>
    <m/>
    <m/>
    <m/>
    <m/>
    <x v="35"/>
    <m/>
    <m/>
  </r>
  <r>
    <n v="336"/>
    <m/>
    <m/>
    <m/>
    <m/>
    <m/>
    <m/>
    <m/>
    <m/>
    <m/>
    <m/>
    <m/>
    <x v="35"/>
    <m/>
    <m/>
  </r>
  <r>
    <n v="337"/>
    <m/>
    <m/>
    <m/>
    <m/>
    <m/>
    <m/>
    <m/>
    <m/>
    <m/>
    <m/>
    <m/>
    <x v="35"/>
    <m/>
    <m/>
  </r>
  <r>
    <n v="338"/>
    <m/>
    <m/>
    <m/>
    <m/>
    <m/>
    <m/>
    <m/>
    <m/>
    <m/>
    <m/>
    <m/>
    <x v="35"/>
    <m/>
    <m/>
  </r>
  <r>
    <n v="339"/>
    <m/>
    <m/>
    <m/>
    <m/>
    <m/>
    <m/>
    <m/>
    <m/>
    <m/>
    <m/>
    <m/>
    <x v="35"/>
    <m/>
    <m/>
  </r>
  <r>
    <n v="340"/>
    <m/>
    <m/>
    <m/>
    <m/>
    <m/>
    <m/>
    <m/>
    <m/>
    <m/>
    <m/>
    <m/>
    <x v="35"/>
    <m/>
    <m/>
  </r>
  <r>
    <n v="341"/>
    <m/>
    <m/>
    <m/>
    <m/>
    <m/>
    <m/>
    <m/>
    <m/>
    <m/>
    <m/>
    <m/>
    <x v="35"/>
    <m/>
    <m/>
  </r>
  <r>
    <n v="342"/>
    <m/>
    <m/>
    <m/>
    <m/>
    <m/>
    <m/>
    <m/>
    <m/>
    <m/>
    <m/>
    <m/>
    <x v="35"/>
    <m/>
    <m/>
  </r>
  <r>
    <n v="343"/>
    <m/>
    <m/>
    <m/>
    <m/>
    <m/>
    <m/>
    <m/>
    <m/>
    <m/>
    <m/>
    <m/>
    <x v="35"/>
    <m/>
    <m/>
  </r>
  <r>
    <n v="344"/>
    <m/>
    <m/>
    <m/>
    <m/>
    <m/>
    <m/>
    <m/>
    <m/>
    <m/>
    <m/>
    <m/>
    <x v="35"/>
    <m/>
    <m/>
  </r>
  <r>
    <n v="345"/>
    <m/>
    <m/>
    <m/>
    <m/>
    <m/>
    <m/>
    <m/>
    <m/>
    <m/>
    <m/>
    <m/>
    <x v="35"/>
    <m/>
    <m/>
  </r>
  <r>
    <n v="346"/>
    <m/>
    <m/>
    <m/>
    <m/>
    <m/>
    <m/>
    <m/>
    <m/>
    <m/>
    <m/>
    <m/>
    <x v="35"/>
    <m/>
    <m/>
  </r>
  <r>
    <n v="347"/>
    <m/>
    <m/>
    <m/>
    <m/>
    <m/>
    <m/>
    <m/>
    <m/>
    <m/>
    <m/>
    <m/>
    <x v="35"/>
    <m/>
    <m/>
  </r>
  <r>
    <n v="348"/>
    <m/>
    <m/>
    <m/>
    <m/>
    <m/>
    <m/>
    <m/>
    <m/>
    <m/>
    <m/>
    <m/>
    <x v="35"/>
    <m/>
    <m/>
  </r>
  <r>
    <n v="349"/>
    <m/>
    <m/>
    <m/>
    <m/>
    <m/>
    <m/>
    <m/>
    <m/>
    <m/>
    <m/>
    <m/>
    <x v="35"/>
    <m/>
    <m/>
  </r>
  <r>
    <n v="350"/>
    <m/>
    <m/>
    <m/>
    <m/>
    <m/>
    <m/>
    <m/>
    <m/>
    <m/>
    <m/>
    <m/>
    <x v="35"/>
    <m/>
    <m/>
  </r>
  <r>
    <n v="351"/>
    <m/>
    <m/>
    <m/>
    <m/>
    <m/>
    <m/>
    <m/>
    <m/>
    <m/>
    <m/>
    <m/>
    <x v="35"/>
    <m/>
    <m/>
  </r>
  <r>
    <n v="352"/>
    <m/>
    <m/>
    <m/>
    <m/>
    <m/>
    <m/>
    <m/>
    <m/>
    <m/>
    <m/>
    <m/>
    <x v="35"/>
    <m/>
    <m/>
  </r>
  <r>
    <n v="353"/>
    <m/>
    <m/>
    <m/>
    <m/>
    <m/>
    <m/>
    <m/>
    <m/>
    <m/>
    <m/>
    <m/>
    <x v="35"/>
    <m/>
    <m/>
  </r>
  <r>
    <n v="354"/>
    <m/>
    <m/>
    <m/>
    <m/>
    <m/>
    <m/>
    <m/>
    <m/>
    <m/>
    <m/>
    <m/>
    <x v="35"/>
    <m/>
    <m/>
  </r>
  <r>
    <n v="355"/>
    <m/>
    <m/>
    <m/>
    <m/>
    <m/>
    <m/>
    <m/>
    <m/>
    <m/>
    <m/>
    <m/>
    <x v="35"/>
    <m/>
    <m/>
  </r>
  <r>
    <n v="356"/>
    <m/>
    <m/>
    <m/>
    <m/>
    <m/>
    <m/>
    <m/>
    <m/>
    <m/>
    <m/>
    <m/>
    <x v="35"/>
    <m/>
    <m/>
  </r>
  <r>
    <n v="357"/>
    <m/>
    <m/>
    <m/>
    <m/>
    <m/>
    <m/>
    <m/>
    <m/>
    <m/>
    <m/>
    <m/>
    <x v="35"/>
    <m/>
    <m/>
  </r>
  <r>
    <n v="358"/>
    <m/>
    <m/>
    <m/>
    <m/>
    <m/>
    <m/>
    <m/>
    <m/>
    <m/>
    <m/>
    <m/>
    <x v="35"/>
    <m/>
    <m/>
  </r>
  <r>
    <n v="359"/>
    <m/>
    <m/>
    <m/>
    <m/>
    <m/>
    <m/>
    <m/>
    <m/>
    <m/>
    <m/>
    <m/>
    <x v="35"/>
    <m/>
    <m/>
  </r>
  <r>
    <n v="360"/>
    <m/>
    <m/>
    <m/>
    <m/>
    <m/>
    <m/>
    <m/>
    <m/>
    <m/>
    <m/>
    <m/>
    <x v="35"/>
    <m/>
    <m/>
  </r>
  <r>
    <n v="361"/>
    <m/>
    <m/>
    <m/>
    <m/>
    <m/>
    <m/>
    <m/>
    <m/>
    <m/>
    <m/>
    <m/>
    <x v="35"/>
    <m/>
    <m/>
  </r>
  <r>
    <n v="362"/>
    <m/>
    <m/>
    <m/>
    <m/>
    <m/>
    <m/>
    <m/>
    <m/>
    <m/>
    <m/>
    <m/>
    <x v="35"/>
    <m/>
    <m/>
  </r>
  <r>
    <n v="363"/>
    <m/>
    <m/>
    <m/>
    <m/>
    <m/>
    <m/>
    <m/>
    <m/>
    <m/>
    <m/>
    <m/>
    <x v="35"/>
    <m/>
    <m/>
  </r>
  <r>
    <n v="364"/>
    <m/>
    <m/>
    <m/>
    <m/>
    <m/>
    <m/>
    <m/>
    <m/>
    <m/>
    <m/>
    <m/>
    <x v="35"/>
    <m/>
    <m/>
  </r>
  <r>
    <n v="365"/>
    <m/>
    <m/>
    <m/>
    <m/>
    <m/>
    <m/>
    <m/>
    <m/>
    <m/>
    <m/>
    <m/>
    <x v="35"/>
    <m/>
    <m/>
  </r>
  <r>
    <n v="366"/>
    <m/>
    <m/>
    <m/>
    <m/>
    <m/>
    <m/>
    <m/>
    <m/>
    <m/>
    <m/>
    <m/>
    <x v="35"/>
    <m/>
    <m/>
  </r>
  <r>
    <n v="367"/>
    <m/>
    <m/>
    <m/>
    <m/>
    <m/>
    <m/>
    <m/>
    <m/>
    <m/>
    <m/>
    <m/>
    <x v="35"/>
    <m/>
    <m/>
  </r>
  <r>
    <n v="368"/>
    <m/>
    <m/>
    <m/>
    <m/>
    <m/>
    <m/>
    <m/>
    <m/>
    <m/>
    <m/>
    <m/>
    <x v="35"/>
    <m/>
    <m/>
  </r>
  <r>
    <n v="369"/>
    <m/>
    <m/>
    <m/>
    <m/>
    <m/>
    <m/>
    <m/>
    <m/>
    <m/>
    <m/>
    <m/>
    <x v="35"/>
    <m/>
    <m/>
  </r>
  <r>
    <n v="370"/>
    <m/>
    <m/>
    <m/>
    <m/>
    <m/>
    <m/>
    <m/>
    <m/>
    <m/>
    <m/>
    <m/>
    <x v="35"/>
    <m/>
    <m/>
  </r>
  <r>
    <n v="371"/>
    <m/>
    <m/>
    <m/>
    <m/>
    <m/>
    <m/>
    <m/>
    <m/>
    <m/>
    <m/>
    <m/>
    <x v="35"/>
    <m/>
    <m/>
  </r>
  <r>
    <n v="372"/>
    <m/>
    <m/>
    <m/>
    <m/>
    <m/>
    <m/>
    <m/>
    <m/>
    <m/>
    <m/>
    <m/>
    <x v="35"/>
    <m/>
    <m/>
  </r>
  <r>
    <n v="373"/>
    <m/>
    <m/>
    <m/>
    <m/>
    <m/>
    <m/>
    <m/>
    <m/>
    <m/>
    <m/>
    <m/>
    <x v="35"/>
    <m/>
    <m/>
  </r>
  <r>
    <n v="374"/>
    <m/>
    <m/>
    <m/>
    <m/>
    <m/>
    <m/>
    <m/>
    <m/>
    <m/>
    <m/>
    <m/>
    <x v="35"/>
    <m/>
    <m/>
  </r>
  <r>
    <n v="375"/>
    <m/>
    <m/>
    <m/>
    <m/>
    <m/>
    <m/>
    <m/>
    <m/>
    <m/>
    <m/>
    <m/>
    <x v="35"/>
    <m/>
    <m/>
  </r>
  <r>
    <n v="376"/>
    <m/>
    <m/>
    <m/>
    <m/>
    <m/>
    <m/>
    <m/>
    <m/>
    <m/>
    <m/>
    <m/>
    <x v="35"/>
    <m/>
    <m/>
  </r>
  <r>
    <n v="377"/>
    <m/>
    <m/>
    <m/>
    <m/>
    <m/>
    <m/>
    <m/>
    <m/>
    <m/>
    <m/>
    <m/>
    <x v="35"/>
    <m/>
    <m/>
  </r>
  <r>
    <n v="378"/>
    <m/>
    <m/>
    <m/>
    <m/>
    <m/>
    <m/>
    <m/>
    <m/>
    <m/>
    <m/>
    <m/>
    <x v="35"/>
    <m/>
    <m/>
  </r>
  <r>
    <n v="379"/>
    <m/>
    <m/>
    <m/>
    <m/>
    <m/>
    <m/>
    <m/>
    <m/>
    <m/>
    <m/>
    <m/>
    <x v="35"/>
    <m/>
    <m/>
  </r>
  <r>
    <n v="380"/>
    <m/>
    <m/>
    <m/>
    <m/>
    <m/>
    <m/>
    <m/>
    <m/>
    <m/>
    <m/>
    <m/>
    <x v="35"/>
    <m/>
    <m/>
  </r>
  <r>
    <n v="381"/>
    <m/>
    <m/>
    <m/>
    <m/>
    <m/>
    <m/>
    <m/>
    <m/>
    <m/>
    <m/>
    <m/>
    <x v="35"/>
    <m/>
    <m/>
  </r>
  <r>
    <n v="382"/>
    <m/>
    <m/>
    <m/>
    <m/>
    <m/>
    <m/>
    <m/>
    <m/>
    <m/>
    <m/>
    <m/>
    <x v="35"/>
    <m/>
    <m/>
  </r>
  <r>
    <n v="383"/>
    <m/>
    <m/>
    <m/>
    <m/>
    <m/>
    <m/>
    <m/>
    <m/>
    <m/>
    <m/>
    <m/>
    <x v="35"/>
    <m/>
    <m/>
  </r>
  <r>
    <n v="384"/>
    <m/>
    <m/>
    <m/>
    <m/>
    <m/>
    <m/>
    <m/>
    <m/>
    <m/>
    <m/>
    <m/>
    <x v="35"/>
    <m/>
    <m/>
  </r>
  <r>
    <n v="385"/>
    <m/>
    <m/>
    <m/>
    <m/>
    <m/>
    <m/>
    <m/>
    <m/>
    <m/>
    <m/>
    <m/>
    <x v="35"/>
    <m/>
    <m/>
  </r>
  <r>
    <n v="386"/>
    <m/>
    <m/>
    <m/>
    <m/>
    <m/>
    <m/>
    <m/>
    <m/>
    <m/>
    <m/>
    <m/>
    <x v="35"/>
    <m/>
    <m/>
  </r>
  <r>
    <n v="387"/>
    <m/>
    <m/>
    <m/>
    <m/>
    <m/>
    <m/>
    <m/>
    <m/>
    <m/>
    <m/>
    <m/>
    <x v="35"/>
    <m/>
    <m/>
  </r>
  <r>
    <n v="388"/>
    <m/>
    <m/>
    <m/>
    <m/>
    <m/>
    <m/>
    <m/>
    <m/>
    <m/>
    <m/>
    <m/>
    <x v="35"/>
    <m/>
    <m/>
  </r>
  <r>
    <n v="389"/>
    <m/>
    <m/>
    <m/>
    <m/>
    <m/>
    <m/>
    <m/>
    <m/>
    <m/>
    <m/>
    <m/>
    <x v="35"/>
    <m/>
    <m/>
  </r>
  <r>
    <n v="390"/>
    <m/>
    <m/>
    <m/>
    <m/>
    <m/>
    <m/>
    <m/>
    <m/>
    <m/>
    <m/>
    <m/>
    <x v="35"/>
    <m/>
    <m/>
  </r>
  <r>
    <n v="391"/>
    <m/>
    <m/>
    <m/>
    <m/>
    <m/>
    <m/>
    <m/>
    <m/>
    <m/>
    <m/>
    <m/>
    <x v="35"/>
    <m/>
    <m/>
  </r>
  <r>
    <n v="392"/>
    <m/>
    <m/>
    <m/>
    <m/>
    <m/>
    <m/>
    <m/>
    <m/>
    <m/>
    <m/>
    <m/>
    <x v="35"/>
    <m/>
    <m/>
  </r>
  <r>
    <n v="393"/>
    <m/>
    <m/>
    <m/>
    <m/>
    <m/>
    <m/>
    <m/>
    <m/>
    <m/>
    <m/>
    <m/>
    <x v="35"/>
    <m/>
    <m/>
  </r>
  <r>
    <n v="394"/>
    <m/>
    <m/>
    <m/>
    <m/>
    <m/>
    <m/>
    <m/>
    <m/>
    <m/>
    <m/>
    <m/>
    <x v="35"/>
    <m/>
    <m/>
  </r>
  <r>
    <n v="395"/>
    <m/>
    <m/>
    <m/>
    <m/>
    <m/>
    <m/>
    <m/>
    <m/>
    <m/>
    <m/>
    <m/>
    <x v="35"/>
    <m/>
    <m/>
  </r>
  <r>
    <n v="396"/>
    <m/>
    <m/>
    <m/>
    <m/>
    <m/>
    <m/>
    <m/>
    <m/>
    <m/>
    <m/>
    <m/>
    <x v="35"/>
    <m/>
    <m/>
  </r>
  <r>
    <n v="397"/>
    <m/>
    <m/>
    <m/>
    <m/>
    <m/>
    <m/>
    <m/>
    <m/>
    <m/>
    <m/>
    <m/>
    <x v="35"/>
    <m/>
    <m/>
  </r>
  <r>
    <n v="398"/>
    <m/>
    <m/>
    <m/>
    <m/>
    <m/>
    <m/>
    <m/>
    <m/>
    <m/>
    <m/>
    <m/>
    <x v="35"/>
    <m/>
    <m/>
  </r>
  <r>
    <n v="399"/>
    <m/>
    <m/>
    <m/>
    <m/>
    <m/>
    <m/>
    <m/>
    <m/>
    <m/>
    <m/>
    <m/>
    <x v="35"/>
    <m/>
    <m/>
  </r>
  <r>
    <n v="400"/>
    <m/>
    <m/>
    <m/>
    <m/>
    <m/>
    <m/>
    <m/>
    <m/>
    <m/>
    <m/>
    <m/>
    <x v="35"/>
    <m/>
    <m/>
  </r>
  <r>
    <n v="401"/>
    <m/>
    <m/>
    <m/>
    <m/>
    <m/>
    <m/>
    <m/>
    <m/>
    <m/>
    <m/>
    <m/>
    <x v="35"/>
    <m/>
    <m/>
  </r>
  <r>
    <n v="402"/>
    <m/>
    <m/>
    <m/>
    <m/>
    <m/>
    <m/>
    <m/>
    <m/>
    <m/>
    <m/>
    <m/>
    <x v="35"/>
    <m/>
    <m/>
  </r>
  <r>
    <n v="403"/>
    <m/>
    <m/>
    <m/>
    <m/>
    <m/>
    <m/>
    <m/>
    <m/>
    <m/>
    <m/>
    <m/>
    <x v="35"/>
    <m/>
    <m/>
  </r>
  <r>
    <n v="404"/>
    <m/>
    <m/>
    <m/>
    <m/>
    <m/>
    <m/>
    <m/>
    <m/>
    <m/>
    <m/>
    <m/>
    <x v="35"/>
    <m/>
    <m/>
  </r>
  <r>
    <n v="405"/>
    <m/>
    <m/>
    <m/>
    <m/>
    <m/>
    <m/>
    <m/>
    <m/>
    <m/>
    <m/>
    <m/>
    <x v="35"/>
    <m/>
    <m/>
  </r>
  <r>
    <n v="406"/>
    <m/>
    <m/>
    <m/>
    <m/>
    <m/>
    <m/>
    <m/>
    <m/>
    <m/>
    <m/>
    <m/>
    <x v="35"/>
    <m/>
    <m/>
  </r>
  <r>
    <n v="407"/>
    <m/>
    <m/>
    <m/>
    <m/>
    <m/>
    <m/>
    <m/>
    <m/>
    <m/>
    <m/>
    <m/>
    <x v="35"/>
    <m/>
    <m/>
  </r>
  <r>
    <n v="408"/>
    <m/>
    <m/>
    <m/>
    <m/>
    <m/>
    <m/>
    <m/>
    <m/>
    <m/>
    <m/>
    <m/>
    <x v="35"/>
    <m/>
    <m/>
  </r>
  <r>
    <n v="409"/>
    <m/>
    <m/>
    <m/>
    <m/>
    <m/>
    <m/>
    <m/>
    <m/>
    <m/>
    <m/>
    <m/>
    <x v="35"/>
    <m/>
    <m/>
  </r>
  <r>
    <n v="410"/>
    <m/>
    <m/>
    <m/>
    <m/>
    <m/>
    <m/>
    <m/>
    <m/>
    <m/>
    <m/>
    <m/>
    <x v="35"/>
    <m/>
    <m/>
  </r>
  <r>
    <n v="411"/>
    <m/>
    <m/>
    <m/>
    <m/>
    <m/>
    <m/>
    <m/>
    <m/>
    <m/>
    <m/>
    <m/>
    <x v="35"/>
    <m/>
    <m/>
  </r>
  <r>
    <n v="412"/>
    <m/>
    <m/>
    <m/>
    <m/>
    <m/>
    <m/>
    <m/>
    <m/>
    <m/>
    <m/>
    <m/>
    <x v="35"/>
    <m/>
    <m/>
  </r>
  <r>
    <n v="413"/>
    <m/>
    <m/>
    <m/>
    <m/>
    <m/>
    <m/>
    <m/>
    <m/>
    <m/>
    <m/>
    <m/>
    <x v="35"/>
    <m/>
    <m/>
  </r>
  <r>
    <n v="414"/>
    <m/>
    <m/>
    <m/>
    <m/>
    <m/>
    <m/>
    <m/>
    <m/>
    <m/>
    <m/>
    <m/>
    <x v="35"/>
    <m/>
    <m/>
  </r>
  <r>
    <n v="415"/>
    <m/>
    <m/>
    <m/>
    <m/>
    <m/>
    <m/>
    <m/>
    <m/>
    <m/>
    <m/>
    <m/>
    <x v="35"/>
    <m/>
    <m/>
  </r>
  <r>
    <n v="416"/>
    <m/>
    <m/>
    <m/>
    <m/>
    <m/>
    <m/>
    <m/>
    <m/>
    <m/>
    <m/>
    <m/>
    <x v="35"/>
    <m/>
    <m/>
  </r>
  <r>
    <n v="417"/>
    <m/>
    <m/>
    <m/>
    <m/>
    <m/>
    <m/>
    <m/>
    <m/>
    <m/>
    <m/>
    <m/>
    <x v="35"/>
    <m/>
    <m/>
  </r>
  <r>
    <n v="418"/>
    <m/>
    <m/>
    <m/>
    <m/>
    <m/>
    <m/>
    <m/>
    <m/>
    <m/>
    <m/>
    <m/>
    <x v="35"/>
    <m/>
    <m/>
  </r>
  <r>
    <n v="419"/>
    <m/>
    <m/>
    <m/>
    <m/>
    <m/>
    <m/>
    <m/>
    <m/>
    <m/>
    <m/>
    <m/>
    <x v="35"/>
    <m/>
    <m/>
  </r>
  <r>
    <n v="420"/>
    <m/>
    <m/>
    <m/>
    <m/>
    <m/>
    <m/>
    <m/>
    <m/>
    <m/>
    <m/>
    <m/>
    <x v="35"/>
    <m/>
    <m/>
  </r>
  <r>
    <n v="421"/>
    <m/>
    <m/>
    <m/>
    <m/>
    <m/>
    <m/>
    <m/>
    <m/>
    <m/>
    <m/>
    <m/>
    <x v="35"/>
    <m/>
    <m/>
  </r>
  <r>
    <n v="422"/>
    <m/>
    <m/>
    <m/>
    <m/>
    <m/>
    <m/>
    <m/>
    <m/>
    <m/>
    <m/>
    <m/>
    <x v="35"/>
    <m/>
    <m/>
  </r>
  <r>
    <n v="423"/>
    <m/>
    <m/>
    <m/>
    <m/>
    <m/>
    <m/>
    <m/>
    <m/>
    <m/>
    <m/>
    <m/>
    <x v="35"/>
    <m/>
    <m/>
  </r>
  <r>
    <n v="424"/>
    <m/>
    <m/>
    <m/>
    <m/>
    <m/>
    <m/>
    <m/>
    <m/>
    <m/>
    <m/>
    <m/>
    <x v="35"/>
    <m/>
    <m/>
  </r>
  <r>
    <n v="425"/>
    <m/>
    <m/>
    <m/>
    <m/>
    <m/>
    <m/>
    <m/>
    <m/>
    <m/>
    <m/>
    <m/>
    <x v="35"/>
    <m/>
    <m/>
  </r>
  <r>
    <n v="426"/>
    <m/>
    <m/>
    <m/>
    <m/>
    <m/>
    <m/>
    <m/>
    <m/>
    <m/>
    <m/>
    <m/>
    <x v="35"/>
    <m/>
    <m/>
  </r>
  <r>
    <n v="427"/>
    <m/>
    <m/>
    <m/>
    <m/>
    <m/>
    <m/>
    <m/>
    <m/>
    <m/>
    <m/>
    <m/>
    <x v="35"/>
    <m/>
    <m/>
  </r>
  <r>
    <n v="428"/>
    <m/>
    <m/>
    <m/>
    <m/>
    <m/>
    <m/>
    <m/>
    <m/>
    <m/>
    <m/>
    <m/>
    <x v="35"/>
    <m/>
    <m/>
  </r>
  <r>
    <n v="429"/>
    <m/>
    <m/>
    <m/>
    <m/>
    <m/>
    <m/>
    <m/>
    <m/>
    <m/>
    <m/>
    <m/>
    <x v="35"/>
    <m/>
    <m/>
  </r>
  <r>
    <n v="430"/>
    <m/>
    <m/>
    <m/>
    <m/>
    <m/>
    <m/>
    <m/>
    <m/>
    <m/>
    <m/>
    <m/>
    <x v="35"/>
    <m/>
    <m/>
  </r>
  <r>
    <n v="431"/>
    <m/>
    <m/>
    <m/>
    <m/>
    <m/>
    <m/>
    <m/>
    <m/>
    <m/>
    <m/>
    <m/>
    <x v="35"/>
    <m/>
    <m/>
  </r>
  <r>
    <n v="432"/>
    <m/>
    <m/>
    <m/>
    <m/>
    <m/>
    <m/>
    <m/>
    <m/>
    <m/>
    <m/>
    <m/>
    <x v="35"/>
    <m/>
    <m/>
  </r>
  <r>
    <n v="433"/>
    <m/>
    <m/>
    <m/>
    <m/>
    <m/>
    <m/>
    <m/>
    <m/>
    <m/>
    <m/>
    <m/>
    <x v="35"/>
    <m/>
    <m/>
  </r>
  <r>
    <n v="434"/>
    <m/>
    <m/>
    <m/>
    <m/>
    <m/>
    <m/>
    <m/>
    <m/>
    <m/>
    <m/>
    <m/>
    <x v="35"/>
    <m/>
    <m/>
  </r>
  <r>
    <n v="435"/>
    <m/>
    <m/>
    <m/>
    <m/>
    <m/>
    <m/>
    <m/>
    <m/>
    <m/>
    <m/>
    <m/>
    <x v="35"/>
    <m/>
    <m/>
  </r>
  <r>
    <n v="436"/>
    <m/>
    <m/>
    <m/>
    <m/>
    <m/>
    <m/>
    <m/>
    <m/>
    <m/>
    <m/>
    <m/>
    <x v="35"/>
    <m/>
    <m/>
  </r>
  <r>
    <n v="437"/>
    <m/>
    <m/>
    <m/>
    <m/>
    <m/>
    <m/>
    <m/>
    <m/>
    <m/>
    <m/>
    <m/>
    <x v="35"/>
    <m/>
    <m/>
  </r>
  <r>
    <n v="438"/>
    <m/>
    <m/>
    <m/>
    <m/>
    <m/>
    <m/>
    <m/>
    <m/>
    <m/>
    <m/>
    <m/>
    <x v="35"/>
    <m/>
    <m/>
  </r>
  <r>
    <n v="439"/>
    <m/>
    <m/>
    <m/>
    <m/>
    <m/>
    <m/>
    <m/>
    <m/>
    <m/>
    <m/>
    <m/>
    <x v="35"/>
    <m/>
    <m/>
  </r>
  <r>
    <n v="440"/>
    <m/>
    <m/>
    <m/>
    <m/>
    <m/>
    <m/>
    <m/>
    <m/>
    <m/>
    <m/>
    <m/>
    <x v="35"/>
    <m/>
    <m/>
  </r>
  <r>
    <n v="441"/>
    <m/>
    <m/>
    <m/>
    <m/>
    <m/>
    <m/>
    <m/>
    <m/>
    <m/>
    <m/>
    <m/>
    <x v="35"/>
    <m/>
    <m/>
  </r>
  <r>
    <n v="442"/>
    <m/>
    <m/>
    <m/>
    <m/>
    <m/>
    <m/>
    <m/>
    <m/>
    <m/>
    <m/>
    <m/>
    <x v="35"/>
    <m/>
    <m/>
  </r>
  <r>
    <n v="443"/>
    <m/>
    <m/>
    <m/>
    <m/>
    <m/>
    <m/>
    <m/>
    <m/>
    <m/>
    <m/>
    <m/>
    <x v="35"/>
    <m/>
    <m/>
  </r>
  <r>
    <n v="444"/>
    <m/>
    <m/>
    <m/>
    <m/>
    <m/>
    <m/>
    <m/>
    <m/>
    <m/>
    <m/>
    <m/>
    <x v="35"/>
    <m/>
    <m/>
  </r>
  <r>
    <n v="445"/>
    <m/>
    <m/>
    <m/>
    <m/>
    <m/>
    <m/>
    <m/>
    <m/>
    <m/>
    <m/>
    <m/>
    <x v="35"/>
    <m/>
    <m/>
  </r>
  <r>
    <n v="446"/>
    <m/>
    <m/>
    <m/>
    <m/>
    <m/>
    <m/>
    <m/>
    <m/>
    <m/>
    <m/>
    <m/>
    <x v="35"/>
    <m/>
    <m/>
  </r>
  <r>
    <n v="447"/>
    <m/>
    <m/>
    <m/>
    <m/>
    <m/>
    <m/>
    <m/>
    <m/>
    <m/>
    <m/>
    <m/>
    <x v="35"/>
    <m/>
    <m/>
  </r>
  <r>
    <n v="448"/>
    <m/>
    <m/>
    <m/>
    <m/>
    <m/>
    <m/>
    <m/>
    <m/>
    <m/>
    <m/>
    <m/>
    <x v="35"/>
    <m/>
    <m/>
  </r>
  <r>
    <n v="449"/>
    <m/>
    <m/>
    <m/>
    <m/>
    <m/>
    <m/>
    <m/>
    <m/>
    <m/>
    <m/>
    <m/>
    <x v="35"/>
    <m/>
    <m/>
  </r>
  <r>
    <n v="450"/>
    <m/>
    <m/>
    <m/>
    <m/>
    <m/>
    <m/>
    <m/>
    <m/>
    <m/>
    <m/>
    <m/>
    <x v="35"/>
    <m/>
    <m/>
  </r>
  <r>
    <n v="451"/>
    <m/>
    <m/>
    <m/>
    <m/>
    <m/>
    <m/>
    <m/>
    <m/>
    <m/>
    <m/>
    <m/>
    <x v="35"/>
    <m/>
    <m/>
  </r>
  <r>
    <n v="452"/>
    <m/>
    <m/>
    <m/>
    <m/>
    <m/>
    <m/>
    <m/>
    <m/>
    <m/>
    <m/>
    <m/>
    <x v="35"/>
    <m/>
    <m/>
  </r>
  <r>
    <n v="453"/>
    <m/>
    <m/>
    <m/>
    <m/>
    <m/>
    <m/>
    <m/>
    <m/>
    <m/>
    <m/>
    <m/>
    <x v="35"/>
    <m/>
    <m/>
  </r>
  <r>
    <n v="454"/>
    <m/>
    <m/>
    <m/>
    <m/>
    <m/>
    <m/>
    <m/>
    <m/>
    <m/>
    <m/>
    <m/>
    <x v="35"/>
    <m/>
    <m/>
  </r>
  <r>
    <n v="455"/>
    <m/>
    <m/>
    <m/>
    <m/>
    <m/>
    <m/>
    <m/>
    <m/>
    <m/>
    <m/>
    <m/>
    <x v="35"/>
    <m/>
    <m/>
  </r>
  <r>
    <n v="456"/>
    <m/>
    <m/>
    <m/>
    <m/>
    <m/>
    <m/>
    <m/>
    <m/>
    <m/>
    <m/>
    <m/>
    <x v="35"/>
    <m/>
    <m/>
  </r>
  <r>
    <n v="457"/>
    <m/>
    <m/>
    <m/>
    <m/>
    <m/>
    <m/>
    <m/>
    <m/>
    <m/>
    <m/>
    <m/>
    <x v="35"/>
    <m/>
    <m/>
  </r>
  <r>
    <n v="458"/>
    <m/>
    <m/>
    <m/>
    <m/>
    <m/>
    <m/>
    <m/>
    <m/>
    <m/>
    <m/>
    <m/>
    <x v="35"/>
    <m/>
    <m/>
  </r>
  <r>
    <n v="459"/>
    <m/>
    <m/>
    <m/>
    <m/>
    <m/>
    <m/>
    <m/>
    <m/>
    <m/>
    <m/>
    <m/>
    <x v="35"/>
    <m/>
    <m/>
  </r>
  <r>
    <n v="460"/>
    <m/>
    <m/>
    <m/>
    <m/>
    <m/>
    <m/>
    <m/>
    <m/>
    <m/>
    <m/>
    <m/>
    <x v="35"/>
    <m/>
    <m/>
  </r>
  <r>
    <n v="461"/>
    <m/>
    <m/>
    <m/>
    <m/>
    <m/>
    <m/>
    <m/>
    <m/>
    <m/>
    <m/>
    <m/>
    <x v="35"/>
    <m/>
    <m/>
  </r>
  <r>
    <n v="462"/>
    <m/>
    <m/>
    <m/>
    <m/>
    <m/>
    <m/>
    <m/>
    <m/>
    <m/>
    <m/>
    <m/>
    <x v="35"/>
    <m/>
    <m/>
  </r>
  <r>
    <n v="463"/>
    <m/>
    <m/>
    <m/>
    <m/>
    <m/>
    <m/>
    <m/>
    <m/>
    <m/>
    <m/>
    <m/>
    <x v="35"/>
    <m/>
    <m/>
  </r>
  <r>
    <n v="464"/>
    <m/>
    <m/>
    <m/>
    <m/>
    <m/>
    <m/>
    <m/>
    <m/>
    <m/>
    <m/>
    <m/>
    <x v="35"/>
    <m/>
    <m/>
  </r>
  <r>
    <n v="465"/>
    <m/>
    <m/>
    <m/>
    <m/>
    <m/>
    <m/>
    <m/>
    <m/>
    <m/>
    <m/>
    <m/>
    <x v="35"/>
    <m/>
    <m/>
  </r>
  <r>
    <n v="466"/>
    <m/>
    <m/>
    <m/>
    <m/>
    <m/>
    <m/>
    <m/>
    <m/>
    <m/>
    <m/>
    <m/>
    <x v="35"/>
    <m/>
    <m/>
  </r>
  <r>
    <n v="467"/>
    <m/>
    <m/>
    <m/>
    <m/>
    <m/>
    <m/>
    <m/>
    <m/>
    <m/>
    <m/>
    <m/>
    <x v="35"/>
    <m/>
    <m/>
  </r>
  <r>
    <n v="468"/>
    <m/>
    <m/>
    <m/>
    <m/>
    <m/>
    <m/>
    <m/>
    <m/>
    <m/>
    <m/>
    <m/>
    <x v="35"/>
    <m/>
    <m/>
  </r>
  <r>
    <n v="469"/>
    <m/>
    <m/>
    <m/>
    <m/>
    <m/>
    <m/>
    <m/>
    <m/>
    <m/>
    <m/>
    <m/>
    <x v="35"/>
    <m/>
    <m/>
  </r>
  <r>
    <n v="470"/>
    <m/>
    <m/>
    <m/>
    <m/>
    <m/>
    <m/>
    <m/>
    <m/>
    <m/>
    <m/>
    <m/>
    <x v="35"/>
    <m/>
    <m/>
  </r>
  <r>
    <n v="471"/>
    <m/>
    <m/>
    <m/>
    <m/>
    <m/>
    <m/>
    <m/>
    <m/>
    <m/>
    <m/>
    <m/>
    <x v="35"/>
    <m/>
    <m/>
  </r>
  <r>
    <n v="472"/>
    <m/>
    <m/>
    <m/>
    <m/>
    <m/>
    <m/>
    <m/>
    <m/>
    <m/>
    <m/>
    <m/>
    <x v="35"/>
    <m/>
    <m/>
  </r>
  <r>
    <n v="473"/>
    <m/>
    <m/>
    <m/>
    <m/>
    <m/>
    <m/>
    <m/>
    <m/>
    <m/>
    <m/>
    <m/>
    <x v="35"/>
    <m/>
    <m/>
  </r>
  <r>
    <n v="474"/>
    <m/>
    <m/>
    <m/>
    <m/>
    <m/>
    <m/>
    <m/>
    <m/>
    <m/>
    <m/>
    <m/>
    <x v="35"/>
    <m/>
    <m/>
  </r>
  <r>
    <n v="475"/>
    <m/>
    <m/>
    <m/>
    <m/>
    <m/>
    <m/>
    <m/>
    <m/>
    <m/>
    <m/>
    <m/>
    <x v="35"/>
    <m/>
    <m/>
  </r>
  <r>
    <n v="476"/>
    <m/>
    <m/>
    <m/>
    <m/>
    <m/>
    <m/>
    <m/>
    <m/>
    <m/>
    <m/>
    <m/>
    <x v="35"/>
    <m/>
    <m/>
  </r>
  <r>
    <n v="477"/>
    <m/>
    <m/>
    <m/>
    <m/>
    <m/>
    <m/>
    <m/>
    <m/>
    <m/>
    <m/>
    <m/>
    <x v="35"/>
    <m/>
    <m/>
  </r>
  <r>
    <n v="478"/>
    <m/>
    <m/>
    <m/>
    <m/>
    <m/>
    <m/>
    <m/>
    <m/>
    <m/>
    <m/>
    <m/>
    <x v="35"/>
    <m/>
    <m/>
  </r>
  <r>
    <n v="479"/>
    <m/>
    <m/>
    <m/>
    <m/>
    <m/>
    <m/>
    <m/>
    <m/>
    <m/>
    <m/>
    <m/>
    <x v="35"/>
    <m/>
    <m/>
  </r>
  <r>
    <n v="480"/>
    <m/>
    <m/>
    <m/>
    <m/>
    <m/>
    <m/>
    <m/>
    <m/>
    <m/>
    <m/>
    <m/>
    <x v="35"/>
    <m/>
    <m/>
  </r>
  <r>
    <n v="481"/>
    <m/>
    <m/>
    <m/>
    <m/>
    <m/>
    <m/>
    <m/>
    <m/>
    <m/>
    <m/>
    <m/>
    <x v="35"/>
    <m/>
    <m/>
  </r>
  <r>
    <n v="482"/>
    <m/>
    <m/>
    <m/>
    <m/>
    <m/>
    <m/>
    <m/>
    <m/>
    <m/>
    <m/>
    <m/>
    <x v="35"/>
    <m/>
    <m/>
  </r>
  <r>
    <n v="483"/>
    <m/>
    <m/>
    <m/>
    <m/>
    <m/>
    <m/>
    <m/>
    <m/>
    <m/>
    <m/>
    <m/>
    <x v="35"/>
    <m/>
    <m/>
  </r>
  <r>
    <n v="484"/>
    <m/>
    <m/>
    <m/>
    <m/>
    <m/>
    <m/>
    <m/>
    <m/>
    <m/>
    <m/>
    <m/>
    <x v="35"/>
    <m/>
    <m/>
  </r>
  <r>
    <n v="485"/>
    <m/>
    <m/>
    <m/>
    <m/>
    <m/>
    <m/>
    <m/>
    <m/>
    <m/>
    <m/>
    <m/>
    <x v="35"/>
    <m/>
    <m/>
  </r>
  <r>
    <n v="486"/>
    <m/>
    <m/>
    <m/>
    <m/>
    <m/>
    <m/>
    <m/>
    <m/>
    <m/>
    <m/>
    <m/>
    <x v="35"/>
    <m/>
    <m/>
  </r>
  <r>
    <n v="487"/>
    <m/>
    <m/>
    <m/>
    <m/>
    <m/>
    <m/>
    <m/>
    <m/>
    <m/>
    <m/>
    <m/>
    <x v="35"/>
    <m/>
    <m/>
  </r>
  <r>
    <n v="488"/>
    <m/>
    <m/>
    <m/>
    <m/>
    <m/>
    <m/>
    <m/>
    <m/>
    <m/>
    <m/>
    <m/>
    <x v="35"/>
    <m/>
    <m/>
  </r>
  <r>
    <n v="489"/>
    <m/>
    <m/>
    <m/>
    <m/>
    <m/>
    <m/>
    <m/>
    <m/>
    <m/>
    <m/>
    <m/>
    <x v="35"/>
    <m/>
    <m/>
  </r>
  <r>
    <n v="490"/>
    <m/>
    <m/>
    <m/>
    <m/>
    <m/>
    <m/>
    <m/>
    <m/>
    <m/>
    <m/>
    <m/>
    <x v="35"/>
    <m/>
    <m/>
  </r>
  <r>
    <n v="491"/>
    <m/>
    <m/>
    <m/>
    <m/>
    <m/>
    <m/>
    <m/>
    <m/>
    <m/>
    <m/>
    <m/>
    <x v="35"/>
    <m/>
    <m/>
  </r>
  <r>
    <n v="492"/>
    <m/>
    <m/>
    <m/>
    <m/>
    <m/>
    <m/>
    <m/>
    <m/>
    <m/>
    <m/>
    <m/>
    <x v="35"/>
    <m/>
    <m/>
  </r>
  <r>
    <n v="493"/>
    <m/>
    <m/>
    <m/>
    <m/>
    <m/>
    <m/>
    <m/>
    <m/>
    <m/>
    <m/>
    <m/>
    <x v="35"/>
    <m/>
    <m/>
  </r>
  <r>
    <n v="494"/>
    <m/>
    <m/>
    <m/>
    <m/>
    <m/>
    <m/>
    <m/>
    <m/>
    <m/>
    <m/>
    <m/>
    <x v="35"/>
    <m/>
    <m/>
  </r>
  <r>
    <n v="495"/>
    <m/>
    <m/>
    <m/>
    <m/>
    <m/>
    <m/>
    <m/>
    <m/>
    <m/>
    <m/>
    <m/>
    <x v="35"/>
    <m/>
    <m/>
  </r>
  <r>
    <n v="496"/>
    <m/>
    <m/>
    <m/>
    <m/>
    <m/>
    <m/>
    <m/>
    <m/>
    <m/>
    <m/>
    <m/>
    <x v="35"/>
    <m/>
    <m/>
  </r>
  <r>
    <n v="497"/>
    <m/>
    <m/>
    <m/>
    <m/>
    <m/>
    <m/>
    <m/>
    <m/>
    <m/>
    <m/>
    <m/>
    <x v="35"/>
    <m/>
    <m/>
  </r>
  <r>
    <n v="498"/>
    <m/>
    <m/>
    <m/>
    <m/>
    <m/>
    <m/>
    <m/>
    <m/>
    <m/>
    <m/>
    <m/>
    <x v="35"/>
    <m/>
    <m/>
  </r>
  <r>
    <n v="499"/>
    <m/>
    <m/>
    <m/>
    <m/>
    <m/>
    <m/>
    <m/>
    <m/>
    <m/>
    <m/>
    <m/>
    <x v="35"/>
    <m/>
    <m/>
  </r>
  <r>
    <n v="500"/>
    <m/>
    <m/>
    <m/>
    <m/>
    <m/>
    <m/>
    <m/>
    <m/>
    <m/>
    <m/>
    <m/>
    <x v="35"/>
    <m/>
    <m/>
  </r>
  <r>
    <n v="501"/>
    <m/>
    <m/>
    <m/>
    <m/>
    <m/>
    <m/>
    <m/>
    <m/>
    <m/>
    <m/>
    <m/>
    <x v="35"/>
    <m/>
    <m/>
  </r>
  <r>
    <n v="502"/>
    <m/>
    <m/>
    <m/>
    <m/>
    <m/>
    <m/>
    <m/>
    <m/>
    <m/>
    <m/>
    <m/>
    <x v="35"/>
    <m/>
    <m/>
  </r>
  <r>
    <n v="503"/>
    <m/>
    <m/>
    <m/>
    <m/>
    <m/>
    <m/>
    <m/>
    <m/>
    <m/>
    <m/>
    <m/>
    <x v="35"/>
    <m/>
    <m/>
  </r>
  <r>
    <n v="504"/>
    <m/>
    <m/>
    <m/>
    <m/>
    <m/>
    <m/>
    <m/>
    <m/>
    <m/>
    <m/>
    <m/>
    <x v="35"/>
    <m/>
    <m/>
  </r>
  <r>
    <n v="505"/>
    <m/>
    <m/>
    <m/>
    <m/>
    <m/>
    <m/>
    <m/>
    <m/>
    <m/>
    <m/>
    <m/>
    <x v="35"/>
    <m/>
    <m/>
  </r>
  <r>
    <n v="506"/>
    <m/>
    <m/>
    <m/>
    <m/>
    <m/>
    <m/>
    <m/>
    <m/>
    <m/>
    <m/>
    <m/>
    <x v="35"/>
    <m/>
    <m/>
  </r>
  <r>
    <n v="507"/>
    <m/>
    <m/>
    <m/>
    <m/>
    <m/>
    <m/>
    <m/>
    <m/>
    <m/>
    <m/>
    <m/>
    <x v="35"/>
    <m/>
    <m/>
  </r>
  <r>
    <n v="508"/>
    <m/>
    <m/>
    <m/>
    <m/>
    <m/>
    <m/>
    <m/>
    <m/>
    <m/>
    <m/>
    <m/>
    <x v="35"/>
    <m/>
    <m/>
  </r>
  <r>
    <n v="509"/>
    <m/>
    <m/>
    <m/>
    <m/>
    <m/>
    <m/>
    <m/>
    <m/>
    <m/>
    <m/>
    <m/>
    <x v="35"/>
    <m/>
    <m/>
  </r>
  <r>
    <n v="510"/>
    <m/>
    <m/>
    <m/>
    <m/>
    <m/>
    <m/>
    <m/>
    <m/>
    <m/>
    <m/>
    <m/>
    <x v="35"/>
    <m/>
    <m/>
  </r>
  <r>
    <n v="511"/>
    <m/>
    <m/>
    <m/>
    <m/>
    <m/>
    <m/>
    <m/>
    <m/>
    <m/>
    <m/>
    <m/>
    <x v="35"/>
    <m/>
    <m/>
  </r>
  <r>
    <n v="512"/>
    <m/>
    <m/>
    <m/>
    <m/>
    <m/>
    <m/>
    <m/>
    <m/>
    <m/>
    <m/>
    <m/>
    <x v="35"/>
    <m/>
    <m/>
  </r>
  <r>
    <n v="513"/>
    <m/>
    <m/>
    <m/>
    <m/>
    <m/>
    <m/>
    <m/>
    <m/>
    <m/>
    <m/>
    <m/>
    <x v="35"/>
    <m/>
    <m/>
  </r>
  <r>
    <n v="514"/>
    <m/>
    <m/>
    <m/>
    <m/>
    <m/>
    <m/>
    <m/>
    <m/>
    <m/>
    <m/>
    <m/>
    <x v="35"/>
    <m/>
    <m/>
  </r>
  <r>
    <n v="515"/>
    <m/>
    <m/>
    <m/>
    <m/>
    <m/>
    <m/>
    <m/>
    <m/>
    <m/>
    <m/>
    <m/>
    <x v="35"/>
    <m/>
    <m/>
  </r>
  <r>
    <n v="516"/>
    <m/>
    <m/>
    <m/>
    <m/>
    <m/>
    <m/>
    <m/>
    <m/>
    <m/>
    <m/>
    <m/>
    <x v="35"/>
    <m/>
    <m/>
  </r>
  <r>
    <n v="517"/>
    <m/>
    <m/>
    <m/>
    <m/>
    <m/>
    <m/>
    <m/>
    <m/>
    <m/>
    <m/>
    <m/>
    <x v="35"/>
    <m/>
    <m/>
  </r>
  <r>
    <n v="518"/>
    <m/>
    <m/>
    <m/>
    <m/>
    <m/>
    <m/>
    <m/>
    <m/>
    <m/>
    <m/>
    <m/>
    <x v="35"/>
    <m/>
    <m/>
  </r>
  <r>
    <n v="519"/>
    <m/>
    <m/>
    <m/>
    <m/>
    <m/>
    <m/>
    <m/>
    <m/>
    <m/>
    <m/>
    <m/>
    <x v="35"/>
    <m/>
    <m/>
  </r>
  <r>
    <n v="520"/>
    <m/>
    <m/>
    <m/>
    <m/>
    <m/>
    <m/>
    <m/>
    <m/>
    <m/>
    <m/>
    <m/>
    <x v="35"/>
    <m/>
    <m/>
  </r>
  <r>
    <n v="521"/>
    <m/>
    <m/>
    <m/>
    <m/>
    <m/>
    <m/>
    <m/>
    <m/>
    <m/>
    <m/>
    <m/>
    <x v="35"/>
    <m/>
    <m/>
  </r>
  <r>
    <n v="522"/>
    <m/>
    <m/>
    <m/>
    <m/>
    <m/>
    <m/>
    <m/>
    <m/>
    <m/>
    <m/>
    <m/>
    <x v="35"/>
    <m/>
    <m/>
  </r>
  <r>
    <n v="523"/>
    <m/>
    <m/>
    <m/>
    <m/>
    <m/>
    <m/>
    <m/>
    <m/>
    <m/>
    <m/>
    <m/>
    <x v="35"/>
    <m/>
    <m/>
  </r>
  <r>
    <n v="524"/>
    <m/>
    <m/>
    <m/>
    <m/>
    <m/>
    <m/>
    <m/>
    <m/>
    <m/>
    <m/>
    <m/>
    <x v="35"/>
    <m/>
    <m/>
  </r>
  <r>
    <n v="525"/>
    <m/>
    <m/>
    <m/>
    <m/>
    <m/>
    <m/>
    <m/>
    <m/>
    <m/>
    <m/>
    <m/>
    <x v="35"/>
    <m/>
    <m/>
  </r>
  <r>
    <n v="526"/>
    <m/>
    <m/>
    <m/>
    <m/>
    <m/>
    <m/>
    <m/>
    <m/>
    <m/>
    <m/>
    <m/>
    <x v="35"/>
    <m/>
    <m/>
  </r>
  <r>
    <n v="527"/>
    <m/>
    <m/>
    <m/>
    <m/>
    <m/>
    <m/>
    <m/>
    <m/>
    <m/>
    <m/>
    <m/>
    <x v="35"/>
    <m/>
    <m/>
  </r>
  <r>
    <n v="528"/>
    <m/>
    <m/>
    <m/>
    <m/>
    <m/>
    <m/>
    <m/>
    <m/>
    <m/>
    <m/>
    <m/>
    <x v="35"/>
    <m/>
    <m/>
  </r>
  <r>
    <n v="529"/>
    <m/>
    <m/>
    <m/>
    <m/>
    <m/>
    <m/>
    <m/>
    <m/>
    <m/>
    <m/>
    <m/>
    <x v="35"/>
    <m/>
    <m/>
  </r>
  <r>
    <n v="530"/>
    <m/>
    <m/>
    <m/>
    <m/>
    <m/>
    <m/>
    <m/>
    <m/>
    <m/>
    <m/>
    <m/>
    <x v="35"/>
    <m/>
    <m/>
  </r>
  <r>
    <n v="531"/>
    <m/>
    <m/>
    <m/>
    <m/>
    <m/>
    <m/>
    <m/>
    <m/>
    <m/>
    <m/>
    <m/>
    <x v="35"/>
    <m/>
    <m/>
  </r>
  <r>
    <n v="532"/>
    <m/>
    <m/>
    <m/>
    <m/>
    <m/>
    <m/>
    <m/>
    <m/>
    <m/>
    <m/>
    <m/>
    <x v="35"/>
    <m/>
    <m/>
  </r>
  <r>
    <n v="533"/>
    <m/>
    <m/>
    <m/>
    <m/>
    <m/>
    <m/>
    <m/>
    <m/>
    <m/>
    <m/>
    <m/>
    <x v="35"/>
    <m/>
    <m/>
  </r>
  <r>
    <n v="534"/>
    <m/>
    <m/>
    <m/>
    <m/>
    <m/>
    <m/>
    <m/>
    <m/>
    <m/>
    <m/>
    <m/>
    <x v="35"/>
    <m/>
    <m/>
  </r>
  <r>
    <n v="535"/>
    <m/>
    <m/>
    <m/>
    <m/>
    <m/>
    <m/>
    <m/>
    <m/>
    <m/>
    <m/>
    <m/>
    <x v="35"/>
    <m/>
    <m/>
  </r>
  <r>
    <n v="536"/>
    <m/>
    <m/>
    <m/>
    <m/>
    <m/>
    <m/>
    <m/>
    <m/>
    <m/>
    <m/>
    <m/>
    <x v="35"/>
    <m/>
    <m/>
  </r>
  <r>
    <n v="537"/>
    <m/>
    <m/>
    <m/>
    <m/>
    <m/>
    <m/>
    <m/>
    <m/>
    <m/>
    <m/>
    <m/>
    <x v="35"/>
    <m/>
    <m/>
  </r>
  <r>
    <n v="538"/>
    <m/>
    <m/>
    <m/>
    <m/>
    <m/>
    <m/>
    <m/>
    <m/>
    <m/>
    <m/>
    <m/>
    <x v="35"/>
    <m/>
    <m/>
  </r>
  <r>
    <n v="539"/>
    <m/>
    <m/>
    <m/>
    <m/>
    <m/>
    <m/>
    <m/>
    <m/>
    <m/>
    <m/>
    <m/>
    <x v="35"/>
    <m/>
    <m/>
  </r>
  <r>
    <n v="540"/>
    <m/>
    <m/>
    <m/>
    <m/>
    <m/>
    <m/>
    <m/>
    <m/>
    <m/>
    <m/>
    <m/>
    <x v="35"/>
    <m/>
    <m/>
  </r>
  <r>
    <n v="541"/>
    <m/>
    <m/>
    <m/>
    <m/>
    <m/>
    <m/>
    <m/>
    <m/>
    <m/>
    <m/>
    <m/>
    <x v="35"/>
    <m/>
    <m/>
  </r>
  <r>
    <n v="542"/>
    <m/>
    <m/>
    <m/>
    <m/>
    <m/>
    <m/>
    <m/>
    <m/>
    <m/>
    <m/>
    <m/>
    <x v="35"/>
    <m/>
    <m/>
  </r>
  <r>
    <n v="543"/>
    <m/>
    <m/>
    <m/>
    <m/>
    <m/>
    <m/>
    <m/>
    <m/>
    <m/>
    <m/>
    <m/>
    <x v="35"/>
    <m/>
    <m/>
  </r>
  <r>
    <n v="544"/>
    <m/>
    <m/>
    <m/>
    <m/>
    <m/>
    <m/>
    <m/>
    <m/>
    <m/>
    <m/>
    <m/>
    <x v="35"/>
    <m/>
    <m/>
  </r>
  <r>
    <n v="545"/>
    <m/>
    <m/>
    <m/>
    <m/>
    <m/>
    <m/>
    <m/>
    <m/>
    <m/>
    <m/>
    <m/>
    <x v="35"/>
    <m/>
    <m/>
  </r>
  <r>
    <n v="546"/>
    <m/>
    <m/>
    <m/>
    <m/>
    <m/>
    <m/>
    <m/>
    <m/>
    <m/>
    <m/>
    <m/>
    <x v="35"/>
    <m/>
    <m/>
  </r>
  <r>
    <n v="547"/>
    <m/>
    <m/>
    <m/>
    <m/>
    <m/>
    <m/>
    <m/>
    <m/>
    <m/>
    <m/>
    <m/>
    <x v="35"/>
    <m/>
    <m/>
  </r>
  <r>
    <n v="548"/>
    <m/>
    <m/>
    <m/>
    <m/>
    <m/>
    <m/>
    <m/>
    <m/>
    <m/>
    <m/>
    <m/>
    <x v="35"/>
    <m/>
    <m/>
  </r>
  <r>
    <n v="549"/>
    <m/>
    <m/>
    <m/>
    <m/>
    <m/>
    <m/>
    <m/>
    <m/>
    <m/>
    <m/>
    <m/>
    <x v="35"/>
    <m/>
    <m/>
  </r>
  <r>
    <n v="550"/>
    <m/>
    <m/>
    <m/>
    <m/>
    <m/>
    <m/>
    <m/>
    <m/>
    <m/>
    <m/>
    <m/>
    <x v="35"/>
    <m/>
    <m/>
  </r>
  <r>
    <n v="551"/>
    <m/>
    <m/>
    <m/>
    <m/>
    <m/>
    <m/>
    <m/>
    <m/>
    <m/>
    <m/>
    <m/>
    <x v="35"/>
    <m/>
    <m/>
  </r>
  <r>
    <n v="552"/>
    <m/>
    <m/>
    <m/>
    <m/>
    <m/>
    <m/>
    <m/>
    <m/>
    <m/>
    <m/>
    <m/>
    <x v="35"/>
    <m/>
    <m/>
  </r>
  <r>
    <n v="553"/>
    <m/>
    <m/>
    <m/>
    <m/>
    <m/>
    <m/>
    <m/>
    <m/>
    <m/>
    <m/>
    <m/>
    <x v="35"/>
    <m/>
    <m/>
  </r>
  <r>
    <n v="554"/>
    <m/>
    <m/>
    <m/>
    <m/>
    <m/>
    <m/>
    <m/>
    <m/>
    <m/>
    <m/>
    <m/>
    <x v="35"/>
    <m/>
    <m/>
  </r>
  <r>
    <n v="555"/>
    <m/>
    <m/>
    <m/>
    <m/>
    <m/>
    <m/>
    <m/>
    <m/>
    <m/>
    <m/>
    <m/>
    <x v="35"/>
    <m/>
    <m/>
  </r>
  <r>
    <n v="556"/>
    <m/>
    <m/>
    <m/>
    <m/>
    <m/>
    <m/>
    <m/>
    <m/>
    <m/>
    <m/>
    <m/>
    <x v="35"/>
    <m/>
    <m/>
  </r>
  <r>
    <n v="557"/>
    <m/>
    <m/>
    <m/>
    <m/>
    <m/>
    <m/>
    <m/>
    <m/>
    <m/>
    <m/>
    <m/>
    <x v="35"/>
    <m/>
    <m/>
  </r>
  <r>
    <n v="558"/>
    <m/>
    <m/>
    <m/>
    <m/>
    <m/>
    <m/>
    <m/>
    <m/>
    <m/>
    <m/>
    <m/>
    <x v="35"/>
    <m/>
    <m/>
  </r>
  <r>
    <n v="559"/>
    <m/>
    <m/>
    <m/>
    <m/>
    <m/>
    <m/>
    <m/>
    <m/>
    <m/>
    <m/>
    <m/>
    <x v="35"/>
    <m/>
    <m/>
  </r>
  <r>
    <n v="560"/>
    <m/>
    <m/>
    <m/>
    <m/>
    <m/>
    <m/>
    <m/>
    <m/>
    <m/>
    <m/>
    <m/>
    <x v="35"/>
    <m/>
    <m/>
  </r>
  <r>
    <n v="561"/>
    <m/>
    <m/>
    <m/>
    <m/>
    <m/>
    <m/>
    <m/>
    <m/>
    <m/>
    <m/>
    <m/>
    <x v="35"/>
    <m/>
    <m/>
  </r>
  <r>
    <n v="562"/>
    <m/>
    <m/>
    <m/>
    <m/>
    <m/>
    <m/>
    <m/>
    <m/>
    <m/>
    <m/>
    <m/>
    <x v="35"/>
    <m/>
    <m/>
  </r>
  <r>
    <n v="563"/>
    <m/>
    <m/>
    <m/>
    <m/>
    <m/>
    <m/>
    <m/>
    <m/>
    <m/>
    <m/>
    <m/>
    <x v="35"/>
    <m/>
    <m/>
  </r>
  <r>
    <n v="564"/>
    <m/>
    <m/>
    <m/>
    <m/>
    <m/>
    <m/>
    <m/>
    <m/>
    <m/>
    <m/>
    <m/>
    <x v="35"/>
    <m/>
    <m/>
  </r>
  <r>
    <n v="565"/>
    <m/>
    <m/>
    <m/>
    <m/>
    <m/>
    <m/>
    <m/>
    <m/>
    <m/>
    <m/>
    <m/>
    <x v="35"/>
    <m/>
    <m/>
  </r>
  <r>
    <n v="566"/>
    <m/>
    <m/>
    <m/>
    <m/>
    <m/>
    <m/>
    <m/>
    <m/>
    <m/>
    <m/>
    <m/>
    <x v="35"/>
    <m/>
    <m/>
  </r>
  <r>
    <n v="567"/>
    <m/>
    <m/>
    <m/>
    <m/>
    <m/>
    <m/>
    <m/>
    <m/>
    <m/>
    <m/>
    <m/>
    <x v="35"/>
    <m/>
    <m/>
  </r>
  <r>
    <n v="568"/>
    <m/>
    <m/>
    <m/>
    <m/>
    <m/>
    <m/>
    <m/>
    <m/>
    <m/>
    <m/>
    <m/>
    <x v="35"/>
    <m/>
    <m/>
  </r>
  <r>
    <n v="569"/>
    <m/>
    <m/>
    <m/>
    <m/>
    <m/>
    <m/>
    <m/>
    <m/>
    <m/>
    <m/>
    <m/>
    <x v="35"/>
    <m/>
    <m/>
  </r>
  <r>
    <n v="570"/>
    <m/>
    <m/>
    <m/>
    <m/>
    <m/>
    <m/>
    <m/>
    <m/>
    <m/>
    <m/>
    <m/>
    <x v="35"/>
    <m/>
    <m/>
  </r>
  <r>
    <n v="571"/>
    <m/>
    <m/>
    <m/>
    <m/>
    <m/>
    <m/>
    <m/>
    <m/>
    <m/>
    <m/>
    <m/>
    <x v="35"/>
    <m/>
    <m/>
  </r>
  <r>
    <n v="572"/>
    <m/>
    <m/>
    <m/>
    <m/>
    <m/>
    <m/>
    <m/>
    <m/>
    <m/>
    <m/>
    <m/>
    <x v="35"/>
    <m/>
    <m/>
  </r>
  <r>
    <n v="573"/>
    <m/>
    <m/>
    <m/>
    <m/>
    <m/>
    <m/>
    <m/>
    <m/>
    <m/>
    <m/>
    <m/>
    <x v="35"/>
    <m/>
    <m/>
  </r>
  <r>
    <n v="574"/>
    <m/>
    <m/>
    <m/>
    <m/>
    <m/>
    <m/>
    <m/>
    <m/>
    <m/>
    <m/>
    <m/>
    <x v="35"/>
    <m/>
    <m/>
  </r>
  <r>
    <n v="575"/>
    <m/>
    <m/>
    <m/>
    <m/>
    <m/>
    <m/>
    <m/>
    <m/>
    <m/>
    <m/>
    <m/>
    <x v="35"/>
    <m/>
    <m/>
  </r>
  <r>
    <n v="576"/>
    <m/>
    <m/>
    <m/>
    <m/>
    <m/>
    <m/>
    <m/>
    <m/>
    <m/>
    <m/>
    <m/>
    <x v="35"/>
    <m/>
    <m/>
  </r>
  <r>
    <n v="577"/>
    <m/>
    <m/>
    <m/>
    <m/>
    <m/>
    <m/>
    <m/>
    <m/>
    <m/>
    <m/>
    <m/>
    <x v="35"/>
    <m/>
    <m/>
  </r>
  <r>
    <n v="578"/>
    <m/>
    <m/>
    <m/>
    <m/>
    <m/>
    <m/>
    <m/>
    <m/>
    <m/>
    <m/>
    <m/>
    <x v="35"/>
    <m/>
    <m/>
  </r>
  <r>
    <n v="579"/>
    <m/>
    <m/>
    <m/>
    <m/>
    <m/>
    <m/>
    <m/>
    <m/>
    <m/>
    <m/>
    <m/>
    <x v="35"/>
    <m/>
    <m/>
  </r>
  <r>
    <n v="580"/>
    <m/>
    <m/>
    <m/>
    <m/>
    <m/>
    <m/>
    <m/>
    <m/>
    <m/>
    <m/>
    <m/>
    <x v="35"/>
    <m/>
    <m/>
  </r>
  <r>
    <n v="581"/>
    <m/>
    <m/>
    <m/>
    <m/>
    <m/>
    <m/>
    <m/>
    <m/>
    <m/>
    <m/>
    <m/>
    <x v="35"/>
    <m/>
    <m/>
  </r>
  <r>
    <n v="582"/>
    <m/>
    <m/>
    <m/>
    <m/>
    <m/>
    <m/>
    <m/>
    <m/>
    <m/>
    <m/>
    <m/>
    <x v="35"/>
    <m/>
    <m/>
  </r>
  <r>
    <n v="583"/>
    <m/>
    <m/>
    <m/>
    <m/>
    <m/>
    <m/>
    <m/>
    <m/>
    <m/>
    <m/>
    <m/>
    <x v="35"/>
    <m/>
    <m/>
  </r>
  <r>
    <n v="584"/>
    <m/>
    <m/>
    <m/>
    <m/>
    <m/>
    <m/>
    <m/>
    <m/>
    <m/>
    <m/>
    <m/>
    <x v="35"/>
    <m/>
    <m/>
  </r>
  <r>
    <n v="585"/>
    <m/>
    <m/>
    <m/>
    <m/>
    <m/>
    <m/>
    <m/>
    <m/>
    <m/>
    <m/>
    <m/>
    <x v="35"/>
    <m/>
    <m/>
  </r>
  <r>
    <n v="586"/>
    <m/>
    <m/>
    <m/>
    <m/>
    <m/>
    <m/>
    <m/>
    <m/>
    <m/>
    <m/>
    <m/>
    <x v="35"/>
    <m/>
    <m/>
  </r>
  <r>
    <n v="587"/>
    <m/>
    <m/>
    <m/>
    <m/>
    <m/>
    <m/>
    <m/>
    <m/>
    <m/>
    <m/>
    <m/>
    <x v="35"/>
    <m/>
    <m/>
  </r>
  <r>
    <n v="588"/>
    <m/>
    <m/>
    <m/>
    <m/>
    <m/>
    <m/>
    <m/>
    <m/>
    <m/>
    <m/>
    <m/>
    <x v="35"/>
    <m/>
    <m/>
  </r>
  <r>
    <n v="589"/>
    <m/>
    <m/>
    <m/>
    <m/>
    <m/>
    <m/>
    <m/>
    <m/>
    <m/>
    <m/>
    <m/>
    <x v="35"/>
    <m/>
    <m/>
  </r>
  <r>
    <n v="590"/>
    <m/>
    <m/>
    <m/>
    <m/>
    <m/>
    <m/>
    <m/>
    <m/>
    <m/>
    <m/>
    <m/>
    <x v="35"/>
    <m/>
    <m/>
  </r>
  <r>
    <n v="591"/>
    <m/>
    <m/>
    <m/>
    <m/>
    <m/>
    <m/>
    <m/>
    <m/>
    <m/>
    <m/>
    <m/>
    <x v="35"/>
    <m/>
    <m/>
  </r>
  <r>
    <n v="592"/>
    <m/>
    <m/>
    <m/>
    <m/>
    <m/>
    <m/>
    <m/>
    <m/>
    <m/>
    <m/>
    <m/>
    <x v="35"/>
    <m/>
    <m/>
  </r>
  <r>
    <n v="593"/>
    <m/>
    <m/>
    <m/>
    <m/>
    <m/>
    <m/>
    <m/>
    <m/>
    <m/>
    <m/>
    <m/>
    <x v="35"/>
    <m/>
    <m/>
  </r>
  <r>
    <n v="594"/>
    <m/>
    <m/>
    <m/>
    <m/>
    <m/>
    <m/>
    <m/>
    <m/>
    <m/>
    <m/>
    <m/>
    <x v="35"/>
    <m/>
    <m/>
  </r>
  <r>
    <n v="595"/>
    <m/>
    <m/>
    <m/>
    <m/>
    <m/>
    <m/>
    <m/>
    <m/>
    <m/>
    <m/>
    <m/>
    <x v="35"/>
    <m/>
    <m/>
  </r>
  <r>
    <n v="596"/>
    <m/>
    <m/>
    <m/>
    <m/>
    <m/>
    <m/>
    <m/>
    <m/>
    <m/>
    <m/>
    <m/>
    <x v="35"/>
    <m/>
    <m/>
  </r>
  <r>
    <n v="597"/>
    <m/>
    <m/>
    <m/>
    <m/>
    <m/>
    <m/>
    <m/>
    <m/>
    <m/>
    <m/>
    <m/>
    <x v="35"/>
    <m/>
    <m/>
  </r>
  <r>
    <n v="598"/>
    <m/>
    <m/>
    <m/>
    <m/>
    <m/>
    <m/>
    <m/>
    <m/>
    <m/>
    <m/>
    <m/>
    <x v="35"/>
    <m/>
    <m/>
  </r>
  <r>
    <n v="599"/>
    <m/>
    <m/>
    <m/>
    <m/>
    <m/>
    <m/>
    <m/>
    <m/>
    <m/>
    <m/>
    <m/>
    <x v="35"/>
    <m/>
    <m/>
  </r>
  <r>
    <n v="600"/>
    <m/>
    <m/>
    <m/>
    <m/>
    <m/>
    <m/>
    <m/>
    <m/>
    <m/>
    <m/>
    <m/>
    <x v="35"/>
    <m/>
    <m/>
  </r>
  <r>
    <n v="601"/>
    <m/>
    <m/>
    <m/>
    <m/>
    <m/>
    <m/>
    <m/>
    <m/>
    <m/>
    <m/>
    <m/>
    <x v="35"/>
    <m/>
    <m/>
  </r>
  <r>
    <n v="602"/>
    <m/>
    <m/>
    <m/>
    <m/>
    <m/>
    <m/>
    <m/>
    <m/>
    <m/>
    <m/>
    <m/>
    <x v="35"/>
    <m/>
    <m/>
  </r>
  <r>
    <n v="603"/>
    <m/>
    <m/>
    <m/>
    <m/>
    <m/>
    <m/>
    <m/>
    <m/>
    <m/>
    <m/>
    <m/>
    <x v="35"/>
    <m/>
    <m/>
  </r>
  <r>
    <n v="604"/>
    <m/>
    <m/>
    <m/>
    <m/>
    <m/>
    <m/>
    <m/>
    <m/>
    <m/>
    <m/>
    <m/>
    <x v="35"/>
    <m/>
    <m/>
  </r>
  <r>
    <n v="605"/>
    <m/>
    <m/>
    <m/>
    <m/>
    <m/>
    <m/>
    <m/>
    <m/>
    <m/>
    <m/>
    <m/>
    <x v="35"/>
    <m/>
    <m/>
  </r>
  <r>
    <n v="606"/>
    <m/>
    <m/>
    <m/>
    <m/>
    <m/>
    <m/>
    <m/>
    <m/>
    <m/>
    <m/>
    <m/>
    <x v="35"/>
    <m/>
    <m/>
  </r>
  <r>
    <n v="607"/>
    <m/>
    <m/>
    <m/>
    <m/>
    <m/>
    <m/>
    <m/>
    <m/>
    <m/>
    <m/>
    <m/>
    <x v="35"/>
    <m/>
    <m/>
  </r>
  <r>
    <n v="608"/>
    <m/>
    <m/>
    <m/>
    <m/>
    <m/>
    <m/>
    <m/>
    <m/>
    <m/>
    <m/>
    <m/>
    <x v="35"/>
    <m/>
    <m/>
  </r>
  <r>
    <n v="609"/>
    <m/>
    <m/>
    <m/>
    <m/>
    <m/>
    <m/>
    <m/>
    <m/>
    <m/>
    <m/>
    <m/>
    <x v="35"/>
    <m/>
    <m/>
  </r>
  <r>
    <n v="610"/>
    <m/>
    <m/>
    <m/>
    <m/>
    <m/>
    <m/>
    <m/>
    <m/>
    <m/>
    <m/>
    <m/>
    <x v="35"/>
    <m/>
    <m/>
  </r>
  <r>
    <n v="611"/>
    <m/>
    <m/>
    <m/>
    <m/>
    <m/>
    <m/>
    <m/>
    <m/>
    <m/>
    <m/>
    <m/>
    <x v="35"/>
    <m/>
    <m/>
  </r>
  <r>
    <n v="612"/>
    <m/>
    <m/>
    <m/>
    <m/>
    <m/>
    <m/>
    <m/>
    <m/>
    <m/>
    <m/>
    <m/>
    <x v="35"/>
    <m/>
    <m/>
  </r>
  <r>
    <n v="613"/>
    <m/>
    <m/>
    <m/>
    <m/>
    <m/>
    <m/>
    <m/>
    <m/>
    <m/>
    <m/>
    <m/>
    <x v="35"/>
    <m/>
    <m/>
  </r>
  <r>
    <n v="614"/>
    <m/>
    <m/>
    <m/>
    <m/>
    <m/>
    <m/>
    <m/>
    <m/>
    <m/>
    <m/>
    <m/>
    <x v="35"/>
    <m/>
    <m/>
  </r>
  <r>
    <n v="615"/>
    <m/>
    <m/>
    <m/>
    <m/>
    <m/>
    <m/>
    <m/>
    <m/>
    <m/>
    <m/>
    <m/>
    <x v="35"/>
    <m/>
    <m/>
  </r>
  <r>
    <n v="616"/>
    <m/>
    <m/>
    <m/>
    <m/>
    <m/>
    <m/>
    <m/>
    <m/>
    <m/>
    <m/>
    <m/>
    <x v="35"/>
    <m/>
    <m/>
  </r>
  <r>
    <n v="617"/>
    <m/>
    <m/>
    <m/>
    <m/>
    <m/>
    <m/>
    <m/>
    <m/>
    <m/>
    <m/>
    <m/>
    <x v="35"/>
    <m/>
    <m/>
  </r>
  <r>
    <n v="618"/>
    <m/>
    <m/>
    <m/>
    <m/>
    <m/>
    <m/>
    <m/>
    <m/>
    <m/>
    <m/>
    <m/>
    <x v="35"/>
    <m/>
    <m/>
  </r>
  <r>
    <n v="619"/>
    <m/>
    <m/>
    <m/>
    <m/>
    <m/>
    <m/>
    <m/>
    <m/>
    <m/>
    <m/>
    <m/>
    <x v="35"/>
    <m/>
    <m/>
  </r>
  <r>
    <n v="620"/>
    <m/>
    <m/>
    <m/>
    <m/>
    <m/>
    <m/>
    <m/>
    <m/>
    <m/>
    <m/>
    <m/>
    <x v="35"/>
    <m/>
    <m/>
  </r>
  <r>
    <n v="621"/>
    <m/>
    <m/>
    <m/>
    <m/>
    <m/>
    <m/>
    <m/>
    <m/>
    <m/>
    <m/>
    <m/>
    <x v="35"/>
    <m/>
    <m/>
  </r>
  <r>
    <n v="622"/>
    <m/>
    <m/>
    <m/>
    <m/>
    <m/>
    <m/>
    <m/>
    <m/>
    <m/>
    <m/>
    <m/>
    <x v="35"/>
    <m/>
    <m/>
  </r>
  <r>
    <n v="623"/>
    <m/>
    <m/>
    <m/>
    <m/>
    <m/>
    <m/>
    <m/>
    <m/>
    <m/>
    <m/>
    <m/>
    <x v="35"/>
    <m/>
    <m/>
  </r>
  <r>
    <n v="624"/>
    <m/>
    <m/>
    <m/>
    <m/>
    <m/>
    <m/>
    <m/>
    <m/>
    <m/>
    <m/>
    <m/>
    <x v="35"/>
    <m/>
    <m/>
  </r>
  <r>
    <n v="625"/>
    <m/>
    <m/>
    <m/>
    <m/>
    <m/>
    <m/>
    <m/>
    <m/>
    <m/>
    <m/>
    <m/>
    <x v="35"/>
    <m/>
    <m/>
  </r>
  <r>
    <n v="626"/>
    <m/>
    <m/>
    <m/>
    <m/>
    <m/>
    <m/>
    <m/>
    <m/>
    <m/>
    <m/>
    <m/>
    <x v="35"/>
    <m/>
    <m/>
  </r>
  <r>
    <n v="627"/>
    <m/>
    <m/>
    <m/>
    <m/>
    <m/>
    <m/>
    <m/>
    <m/>
    <m/>
    <m/>
    <m/>
    <x v="35"/>
    <m/>
    <m/>
  </r>
  <r>
    <n v="628"/>
    <m/>
    <m/>
    <m/>
    <m/>
    <m/>
    <m/>
    <m/>
    <m/>
    <m/>
    <m/>
    <m/>
    <x v="35"/>
    <m/>
    <m/>
  </r>
  <r>
    <n v="629"/>
    <m/>
    <m/>
    <m/>
    <m/>
    <m/>
    <m/>
    <m/>
    <m/>
    <m/>
    <m/>
    <m/>
    <x v="35"/>
    <m/>
    <m/>
  </r>
  <r>
    <n v="630"/>
    <m/>
    <m/>
    <m/>
    <m/>
    <m/>
    <m/>
    <m/>
    <m/>
    <m/>
    <m/>
    <m/>
    <x v="35"/>
    <m/>
    <m/>
  </r>
  <r>
    <n v="631"/>
    <m/>
    <m/>
    <m/>
    <m/>
    <m/>
    <m/>
    <m/>
    <m/>
    <m/>
    <m/>
    <m/>
    <x v="35"/>
    <m/>
    <m/>
  </r>
  <r>
    <n v="632"/>
    <m/>
    <m/>
    <m/>
    <m/>
    <m/>
    <m/>
    <m/>
    <m/>
    <m/>
    <m/>
    <m/>
    <x v="35"/>
    <m/>
    <m/>
  </r>
  <r>
    <n v="633"/>
    <m/>
    <m/>
    <m/>
    <m/>
    <m/>
    <m/>
    <m/>
    <m/>
    <m/>
    <m/>
    <m/>
    <x v="35"/>
    <m/>
    <m/>
  </r>
  <r>
    <n v="634"/>
    <m/>
    <m/>
    <m/>
    <m/>
    <m/>
    <m/>
    <m/>
    <m/>
    <m/>
    <m/>
    <m/>
    <x v="35"/>
    <m/>
    <m/>
  </r>
  <r>
    <n v="635"/>
    <m/>
    <m/>
    <m/>
    <m/>
    <m/>
    <m/>
    <m/>
    <m/>
    <m/>
    <m/>
    <m/>
    <x v="35"/>
    <m/>
    <m/>
  </r>
  <r>
    <n v="636"/>
    <m/>
    <m/>
    <m/>
    <m/>
    <m/>
    <m/>
    <m/>
    <m/>
    <m/>
    <m/>
    <m/>
    <x v="35"/>
    <m/>
    <m/>
  </r>
  <r>
    <n v="637"/>
    <m/>
    <m/>
    <m/>
    <m/>
    <m/>
    <m/>
    <m/>
    <m/>
    <m/>
    <m/>
    <m/>
    <x v="35"/>
    <m/>
    <m/>
  </r>
  <r>
    <n v="638"/>
    <m/>
    <m/>
    <m/>
    <m/>
    <m/>
    <m/>
    <m/>
    <m/>
    <m/>
    <m/>
    <m/>
    <x v="35"/>
    <m/>
    <m/>
  </r>
  <r>
    <n v="639"/>
    <m/>
    <m/>
    <m/>
    <m/>
    <m/>
    <m/>
    <m/>
    <m/>
    <m/>
    <m/>
    <m/>
    <x v="35"/>
    <m/>
    <m/>
  </r>
  <r>
    <n v="640"/>
    <m/>
    <m/>
    <m/>
    <m/>
    <m/>
    <m/>
    <m/>
    <m/>
    <m/>
    <m/>
    <m/>
    <x v="35"/>
    <m/>
    <m/>
  </r>
  <r>
    <n v="641"/>
    <m/>
    <m/>
    <m/>
    <m/>
    <m/>
    <m/>
    <m/>
    <m/>
    <m/>
    <m/>
    <m/>
    <x v="35"/>
    <m/>
    <m/>
  </r>
  <r>
    <n v="642"/>
    <m/>
    <m/>
    <m/>
    <m/>
    <m/>
    <m/>
    <m/>
    <m/>
    <m/>
    <m/>
    <m/>
    <x v="35"/>
    <m/>
    <m/>
  </r>
  <r>
    <n v="643"/>
    <m/>
    <m/>
    <m/>
    <m/>
    <m/>
    <m/>
    <m/>
    <m/>
    <m/>
    <m/>
    <m/>
    <x v="35"/>
    <m/>
    <m/>
  </r>
  <r>
    <n v="644"/>
    <m/>
    <m/>
    <m/>
    <m/>
    <m/>
    <m/>
    <m/>
    <m/>
    <m/>
    <m/>
    <m/>
    <x v="35"/>
    <m/>
    <m/>
  </r>
  <r>
    <n v="645"/>
    <m/>
    <m/>
    <m/>
    <m/>
    <m/>
    <m/>
    <m/>
    <m/>
    <m/>
    <m/>
    <m/>
    <x v="35"/>
    <m/>
    <m/>
  </r>
  <r>
    <n v="646"/>
    <m/>
    <m/>
    <m/>
    <m/>
    <m/>
    <m/>
    <m/>
    <m/>
    <m/>
    <m/>
    <m/>
    <x v="35"/>
    <m/>
    <m/>
  </r>
  <r>
    <n v="647"/>
    <m/>
    <m/>
    <m/>
    <m/>
    <m/>
    <m/>
    <m/>
    <m/>
    <m/>
    <m/>
    <m/>
    <x v="35"/>
    <m/>
    <m/>
  </r>
  <r>
    <n v="648"/>
    <m/>
    <m/>
    <m/>
    <m/>
    <m/>
    <m/>
    <m/>
    <m/>
    <m/>
    <m/>
    <m/>
    <x v="35"/>
    <m/>
    <m/>
  </r>
  <r>
    <n v="649"/>
    <m/>
    <m/>
    <m/>
    <m/>
    <m/>
    <m/>
    <m/>
    <m/>
    <m/>
    <m/>
    <m/>
    <x v="35"/>
    <m/>
    <m/>
  </r>
  <r>
    <n v="650"/>
    <m/>
    <m/>
    <m/>
    <m/>
    <m/>
    <m/>
    <m/>
    <m/>
    <m/>
    <m/>
    <m/>
    <x v="35"/>
    <m/>
    <m/>
  </r>
  <r>
    <n v="651"/>
    <m/>
    <m/>
    <m/>
    <m/>
    <m/>
    <m/>
    <m/>
    <m/>
    <m/>
    <m/>
    <m/>
    <x v="35"/>
    <m/>
    <m/>
  </r>
  <r>
    <n v="652"/>
    <m/>
    <m/>
    <m/>
    <m/>
    <m/>
    <m/>
    <m/>
    <m/>
    <m/>
    <m/>
    <m/>
    <x v="35"/>
    <m/>
    <m/>
  </r>
  <r>
    <n v="653"/>
    <m/>
    <m/>
    <m/>
    <m/>
    <m/>
    <m/>
    <m/>
    <m/>
    <m/>
    <m/>
    <m/>
    <x v="35"/>
    <m/>
    <m/>
  </r>
  <r>
    <n v="654"/>
    <m/>
    <m/>
    <m/>
    <m/>
    <m/>
    <m/>
    <m/>
    <m/>
    <m/>
    <m/>
    <m/>
    <x v="35"/>
    <m/>
    <m/>
  </r>
  <r>
    <n v="655"/>
    <m/>
    <m/>
    <m/>
    <m/>
    <m/>
    <m/>
    <m/>
    <m/>
    <m/>
    <m/>
    <m/>
    <x v="35"/>
    <m/>
    <m/>
  </r>
  <r>
    <n v="656"/>
    <m/>
    <m/>
    <m/>
    <m/>
    <m/>
    <m/>
    <m/>
    <m/>
    <m/>
    <m/>
    <m/>
    <x v="35"/>
    <m/>
    <m/>
  </r>
  <r>
    <n v="657"/>
    <m/>
    <m/>
    <m/>
    <m/>
    <m/>
    <m/>
    <m/>
    <m/>
    <m/>
    <m/>
    <m/>
    <x v="35"/>
    <m/>
    <m/>
  </r>
  <r>
    <n v="658"/>
    <m/>
    <m/>
    <m/>
    <m/>
    <m/>
    <m/>
    <m/>
    <m/>
    <m/>
    <m/>
    <m/>
    <x v="35"/>
    <m/>
    <m/>
  </r>
  <r>
    <n v="659"/>
    <m/>
    <m/>
    <m/>
    <m/>
    <m/>
    <m/>
    <m/>
    <m/>
    <m/>
    <m/>
    <m/>
    <x v="35"/>
    <m/>
    <m/>
  </r>
  <r>
    <n v="660"/>
    <m/>
    <m/>
    <m/>
    <m/>
    <m/>
    <m/>
    <m/>
    <m/>
    <m/>
    <m/>
    <m/>
    <x v="35"/>
    <m/>
    <m/>
  </r>
  <r>
    <n v="661"/>
    <m/>
    <m/>
    <m/>
    <m/>
    <m/>
    <m/>
    <m/>
    <m/>
    <m/>
    <m/>
    <m/>
    <x v="35"/>
    <m/>
    <m/>
  </r>
  <r>
    <n v="662"/>
    <m/>
    <m/>
    <m/>
    <m/>
    <m/>
    <m/>
    <m/>
    <m/>
    <m/>
    <m/>
    <m/>
    <x v="35"/>
    <m/>
    <m/>
  </r>
  <r>
    <n v="663"/>
    <m/>
    <m/>
    <m/>
    <m/>
    <m/>
    <m/>
    <m/>
    <m/>
    <m/>
    <m/>
    <m/>
    <x v="35"/>
    <m/>
    <m/>
  </r>
  <r>
    <n v="664"/>
    <m/>
    <m/>
    <m/>
    <m/>
    <m/>
    <m/>
    <m/>
    <m/>
    <m/>
    <m/>
    <m/>
    <x v="35"/>
    <m/>
    <m/>
  </r>
  <r>
    <n v="665"/>
    <m/>
    <m/>
    <m/>
    <m/>
    <m/>
    <m/>
    <m/>
    <m/>
    <m/>
    <m/>
    <m/>
    <x v="35"/>
    <m/>
    <m/>
  </r>
  <r>
    <n v="666"/>
    <m/>
    <m/>
    <m/>
    <m/>
    <m/>
    <m/>
    <m/>
    <m/>
    <m/>
    <m/>
    <m/>
    <x v="35"/>
    <m/>
    <m/>
  </r>
  <r>
    <n v="667"/>
    <m/>
    <m/>
    <m/>
    <m/>
    <m/>
    <m/>
    <m/>
    <m/>
    <m/>
    <m/>
    <m/>
    <x v="35"/>
    <m/>
    <m/>
  </r>
  <r>
    <n v="668"/>
    <m/>
    <m/>
    <m/>
    <m/>
    <m/>
    <m/>
    <m/>
    <m/>
    <m/>
    <m/>
    <m/>
    <x v="35"/>
    <m/>
    <m/>
  </r>
  <r>
    <n v="669"/>
    <m/>
    <m/>
    <m/>
    <m/>
    <m/>
    <m/>
    <m/>
    <m/>
    <m/>
    <m/>
    <m/>
    <x v="35"/>
    <m/>
    <m/>
  </r>
  <r>
    <n v="670"/>
    <m/>
    <m/>
    <m/>
    <m/>
    <m/>
    <m/>
    <m/>
    <m/>
    <m/>
    <m/>
    <m/>
    <x v="35"/>
    <m/>
    <m/>
  </r>
  <r>
    <n v="671"/>
    <m/>
    <m/>
    <m/>
    <m/>
    <m/>
    <m/>
    <m/>
    <m/>
    <m/>
    <m/>
    <m/>
    <x v="35"/>
    <m/>
    <m/>
  </r>
  <r>
    <n v="672"/>
    <m/>
    <m/>
    <m/>
    <m/>
    <m/>
    <m/>
    <m/>
    <m/>
    <m/>
    <m/>
    <m/>
    <x v="35"/>
    <m/>
    <m/>
  </r>
  <r>
    <n v="673"/>
    <m/>
    <m/>
    <m/>
    <m/>
    <m/>
    <m/>
    <m/>
    <m/>
    <m/>
    <m/>
    <m/>
    <x v="35"/>
    <m/>
    <m/>
  </r>
  <r>
    <n v="674"/>
    <m/>
    <m/>
    <m/>
    <m/>
    <m/>
    <m/>
    <m/>
    <m/>
    <m/>
    <m/>
    <m/>
    <x v="35"/>
    <m/>
    <m/>
  </r>
  <r>
    <n v="675"/>
    <m/>
    <m/>
    <m/>
    <m/>
    <m/>
    <m/>
    <m/>
    <m/>
    <m/>
    <m/>
    <m/>
    <x v="35"/>
    <m/>
    <m/>
  </r>
  <r>
    <n v="676"/>
    <m/>
    <m/>
    <m/>
    <m/>
    <m/>
    <m/>
    <m/>
    <m/>
    <m/>
    <m/>
    <m/>
    <x v="35"/>
    <m/>
    <m/>
  </r>
  <r>
    <n v="677"/>
    <m/>
    <m/>
    <m/>
    <m/>
    <m/>
    <m/>
    <m/>
    <m/>
    <m/>
    <m/>
    <m/>
    <x v="35"/>
    <m/>
    <m/>
  </r>
  <r>
    <n v="678"/>
    <m/>
    <m/>
    <m/>
    <m/>
    <m/>
    <m/>
    <m/>
    <m/>
    <m/>
    <m/>
    <m/>
    <x v="35"/>
    <m/>
    <m/>
  </r>
  <r>
    <n v="679"/>
    <m/>
    <m/>
    <m/>
    <m/>
    <m/>
    <m/>
    <m/>
    <m/>
    <m/>
    <m/>
    <m/>
    <x v="35"/>
    <m/>
    <m/>
  </r>
  <r>
    <n v="680"/>
    <m/>
    <m/>
    <m/>
    <m/>
    <m/>
    <m/>
    <m/>
    <m/>
    <m/>
    <m/>
    <m/>
    <x v="35"/>
    <m/>
    <m/>
  </r>
  <r>
    <n v="681"/>
    <m/>
    <m/>
    <m/>
    <m/>
    <m/>
    <m/>
    <m/>
    <m/>
    <m/>
    <m/>
    <m/>
    <x v="35"/>
    <m/>
    <m/>
  </r>
  <r>
    <n v="682"/>
    <m/>
    <m/>
    <m/>
    <m/>
    <m/>
    <m/>
    <m/>
    <m/>
    <m/>
    <m/>
    <m/>
    <x v="35"/>
    <m/>
    <m/>
  </r>
  <r>
    <n v="683"/>
    <m/>
    <m/>
    <m/>
    <m/>
    <m/>
    <m/>
    <m/>
    <m/>
    <m/>
    <m/>
    <m/>
    <x v="35"/>
    <m/>
    <m/>
  </r>
  <r>
    <n v="684"/>
    <m/>
    <m/>
    <m/>
    <m/>
    <m/>
    <m/>
    <m/>
    <m/>
    <m/>
    <m/>
    <m/>
    <x v="35"/>
    <m/>
    <m/>
  </r>
  <r>
    <n v="685"/>
    <m/>
    <m/>
    <m/>
    <m/>
    <m/>
    <m/>
    <m/>
    <m/>
    <m/>
    <m/>
    <m/>
    <x v="35"/>
    <m/>
    <m/>
  </r>
  <r>
    <n v="686"/>
    <m/>
    <m/>
    <m/>
    <m/>
    <m/>
    <m/>
    <m/>
    <m/>
    <m/>
    <m/>
    <m/>
    <x v="35"/>
    <m/>
    <m/>
  </r>
  <r>
    <n v="687"/>
    <m/>
    <m/>
    <m/>
    <m/>
    <m/>
    <m/>
    <m/>
    <m/>
    <m/>
    <m/>
    <m/>
    <x v="35"/>
    <m/>
    <m/>
  </r>
  <r>
    <n v="688"/>
    <m/>
    <m/>
    <m/>
    <m/>
    <m/>
    <m/>
    <m/>
    <m/>
    <m/>
    <m/>
    <m/>
    <x v="35"/>
    <m/>
    <m/>
  </r>
  <r>
    <n v="689"/>
    <m/>
    <m/>
    <m/>
    <m/>
    <m/>
    <m/>
    <m/>
    <m/>
    <m/>
    <m/>
    <m/>
    <x v="35"/>
    <m/>
    <m/>
  </r>
  <r>
    <n v="690"/>
    <m/>
    <m/>
    <m/>
    <m/>
    <m/>
    <m/>
    <m/>
    <m/>
    <m/>
    <m/>
    <m/>
    <x v="35"/>
    <m/>
    <m/>
  </r>
  <r>
    <n v="691"/>
    <m/>
    <m/>
    <m/>
    <m/>
    <m/>
    <m/>
    <m/>
    <m/>
    <m/>
    <m/>
    <m/>
    <x v="35"/>
    <m/>
    <m/>
  </r>
  <r>
    <n v="692"/>
    <m/>
    <m/>
    <m/>
    <m/>
    <m/>
    <m/>
    <m/>
    <m/>
    <m/>
    <m/>
    <m/>
    <x v="35"/>
    <m/>
    <m/>
  </r>
  <r>
    <n v="693"/>
    <m/>
    <m/>
    <m/>
    <m/>
    <m/>
    <m/>
    <m/>
    <m/>
    <m/>
    <m/>
    <m/>
    <x v="35"/>
    <m/>
    <m/>
  </r>
  <r>
    <n v="694"/>
    <m/>
    <m/>
    <m/>
    <m/>
    <m/>
    <m/>
    <m/>
    <m/>
    <m/>
    <m/>
    <m/>
    <x v="35"/>
    <m/>
    <m/>
  </r>
  <r>
    <n v="695"/>
    <m/>
    <m/>
    <m/>
    <m/>
    <m/>
    <m/>
    <m/>
    <m/>
    <m/>
    <m/>
    <m/>
    <x v="35"/>
    <m/>
    <m/>
  </r>
  <r>
    <n v="696"/>
    <m/>
    <m/>
    <m/>
    <m/>
    <m/>
    <m/>
    <m/>
    <m/>
    <m/>
    <m/>
    <m/>
    <x v="35"/>
    <m/>
    <m/>
  </r>
  <r>
    <n v="697"/>
    <m/>
    <m/>
    <m/>
    <m/>
    <m/>
    <m/>
    <m/>
    <m/>
    <m/>
    <m/>
    <m/>
    <x v="35"/>
    <m/>
    <m/>
  </r>
  <r>
    <n v="698"/>
    <m/>
    <m/>
    <m/>
    <m/>
    <m/>
    <m/>
    <m/>
    <m/>
    <m/>
    <m/>
    <m/>
    <x v="35"/>
    <m/>
    <m/>
  </r>
  <r>
    <n v="699"/>
    <m/>
    <m/>
    <m/>
    <m/>
    <m/>
    <m/>
    <m/>
    <m/>
    <m/>
    <m/>
    <m/>
    <x v="35"/>
    <m/>
    <m/>
  </r>
  <r>
    <n v="700"/>
    <m/>
    <m/>
    <m/>
    <m/>
    <m/>
    <m/>
    <m/>
    <m/>
    <m/>
    <m/>
    <m/>
    <x v="35"/>
    <m/>
    <m/>
  </r>
  <r>
    <n v="701"/>
    <m/>
    <m/>
    <m/>
    <m/>
    <m/>
    <m/>
    <m/>
    <m/>
    <m/>
    <m/>
    <m/>
    <x v="35"/>
    <m/>
    <m/>
  </r>
  <r>
    <n v="702"/>
    <m/>
    <m/>
    <m/>
    <m/>
    <m/>
    <m/>
    <m/>
    <m/>
    <m/>
    <m/>
    <m/>
    <x v="35"/>
    <m/>
    <m/>
  </r>
  <r>
    <n v="703"/>
    <m/>
    <m/>
    <m/>
    <m/>
    <m/>
    <m/>
    <m/>
    <m/>
    <m/>
    <m/>
    <m/>
    <x v="35"/>
    <m/>
    <m/>
  </r>
  <r>
    <n v="704"/>
    <m/>
    <m/>
    <m/>
    <m/>
    <m/>
    <m/>
    <m/>
    <m/>
    <m/>
    <m/>
    <m/>
    <x v="35"/>
    <m/>
    <m/>
  </r>
  <r>
    <n v="705"/>
    <m/>
    <m/>
    <m/>
    <m/>
    <m/>
    <m/>
    <m/>
    <m/>
    <m/>
    <m/>
    <m/>
    <x v="35"/>
    <m/>
    <m/>
  </r>
  <r>
    <n v="706"/>
    <m/>
    <m/>
    <m/>
    <m/>
    <m/>
    <m/>
    <m/>
    <m/>
    <m/>
    <m/>
    <m/>
    <x v="35"/>
    <m/>
    <m/>
  </r>
  <r>
    <n v="707"/>
    <m/>
    <m/>
    <m/>
    <m/>
    <m/>
    <m/>
    <m/>
    <m/>
    <m/>
    <m/>
    <m/>
    <x v="35"/>
    <m/>
    <m/>
  </r>
  <r>
    <n v="708"/>
    <m/>
    <m/>
    <m/>
    <m/>
    <m/>
    <m/>
    <m/>
    <m/>
    <m/>
    <m/>
    <m/>
    <x v="35"/>
    <m/>
    <m/>
  </r>
  <r>
    <n v="709"/>
    <m/>
    <m/>
    <m/>
    <m/>
    <m/>
    <m/>
    <m/>
    <m/>
    <m/>
    <m/>
    <m/>
    <x v="35"/>
    <m/>
    <m/>
  </r>
  <r>
    <n v="710"/>
    <m/>
    <m/>
    <m/>
    <m/>
    <m/>
    <m/>
    <m/>
    <m/>
    <m/>
    <m/>
    <m/>
    <x v="35"/>
    <m/>
    <m/>
  </r>
  <r>
    <n v="711"/>
    <m/>
    <m/>
    <m/>
    <m/>
    <m/>
    <m/>
    <m/>
    <m/>
    <m/>
    <m/>
    <m/>
    <x v="35"/>
    <m/>
    <m/>
  </r>
  <r>
    <n v="712"/>
    <m/>
    <m/>
    <m/>
    <m/>
    <m/>
    <m/>
    <m/>
    <m/>
    <m/>
    <m/>
    <m/>
    <x v="35"/>
    <m/>
    <m/>
  </r>
  <r>
    <n v="713"/>
    <m/>
    <m/>
    <m/>
    <m/>
    <m/>
    <m/>
    <m/>
    <m/>
    <m/>
    <m/>
    <m/>
    <x v="35"/>
    <m/>
    <m/>
  </r>
  <r>
    <n v="714"/>
    <m/>
    <m/>
    <m/>
    <m/>
    <m/>
    <m/>
    <m/>
    <m/>
    <m/>
    <m/>
    <m/>
    <x v="35"/>
    <m/>
    <m/>
  </r>
  <r>
    <n v="715"/>
    <m/>
    <m/>
    <m/>
    <m/>
    <m/>
    <m/>
    <m/>
    <m/>
    <m/>
    <m/>
    <m/>
    <x v="35"/>
    <m/>
    <m/>
  </r>
  <r>
    <n v="716"/>
    <m/>
    <m/>
    <m/>
    <m/>
    <m/>
    <m/>
    <m/>
    <m/>
    <m/>
    <m/>
    <m/>
    <x v="35"/>
    <m/>
    <m/>
  </r>
  <r>
    <n v="717"/>
    <m/>
    <m/>
    <m/>
    <m/>
    <m/>
    <m/>
    <m/>
    <m/>
    <m/>
    <m/>
    <m/>
    <x v="35"/>
    <m/>
    <m/>
  </r>
  <r>
    <n v="718"/>
    <m/>
    <m/>
    <m/>
    <m/>
    <m/>
    <m/>
    <m/>
    <m/>
    <m/>
    <m/>
    <m/>
    <x v="35"/>
    <m/>
    <m/>
  </r>
  <r>
    <n v="719"/>
    <m/>
    <m/>
    <m/>
    <m/>
    <m/>
    <m/>
    <m/>
    <m/>
    <m/>
    <m/>
    <m/>
    <x v="35"/>
    <m/>
    <m/>
  </r>
  <r>
    <n v="720"/>
    <m/>
    <m/>
    <m/>
    <m/>
    <m/>
    <m/>
    <m/>
    <m/>
    <m/>
    <m/>
    <m/>
    <x v="35"/>
    <m/>
    <m/>
  </r>
  <r>
    <n v="721"/>
    <m/>
    <m/>
    <m/>
    <m/>
    <m/>
    <m/>
    <m/>
    <m/>
    <m/>
    <m/>
    <m/>
    <x v="35"/>
    <m/>
    <m/>
  </r>
  <r>
    <n v="722"/>
    <m/>
    <m/>
    <m/>
    <m/>
    <m/>
    <m/>
    <m/>
    <m/>
    <m/>
    <m/>
    <m/>
    <x v="35"/>
    <m/>
    <m/>
  </r>
  <r>
    <n v="723"/>
    <m/>
    <m/>
    <m/>
    <m/>
    <m/>
    <m/>
    <m/>
    <m/>
    <m/>
    <m/>
    <m/>
    <x v="35"/>
    <m/>
    <m/>
  </r>
  <r>
    <n v="724"/>
    <m/>
    <m/>
    <m/>
    <m/>
    <m/>
    <m/>
    <m/>
    <m/>
    <m/>
    <m/>
    <m/>
    <x v="35"/>
    <m/>
    <m/>
  </r>
  <r>
    <n v="725"/>
    <m/>
    <m/>
    <m/>
    <m/>
    <m/>
    <m/>
    <m/>
    <m/>
    <m/>
    <m/>
    <m/>
    <x v="35"/>
    <m/>
    <m/>
  </r>
  <r>
    <n v="726"/>
    <m/>
    <m/>
    <m/>
    <m/>
    <m/>
    <m/>
    <m/>
    <m/>
    <m/>
    <m/>
    <m/>
    <x v="35"/>
    <m/>
    <m/>
  </r>
  <r>
    <n v="727"/>
    <m/>
    <m/>
    <m/>
    <m/>
    <m/>
    <m/>
    <m/>
    <m/>
    <m/>
    <m/>
    <m/>
    <x v="35"/>
    <m/>
    <m/>
  </r>
  <r>
    <n v="728"/>
    <m/>
    <m/>
    <m/>
    <m/>
    <m/>
    <m/>
    <m/>
    <m/>
    <m/>
    <m/>
    <m/>
    <x v="35"/>
    <m/>
    <m/>
  </r>
  <r>
    <n v="729"/>
    <m/>
    <m/>
    <m/>
    <m/>
    <m/>
    <m/>
    <m/>
    <m/>
    <m/>
    <m/>
    <m/>
    <x v="35"/>
    <m/>
    <m/>
  </r>
  <r>
    <n v="730"/>
    <m/>
    <m/>
    <m/>
    <m/>
    <m/>
    <m/>
    <m/>
    <m/>
    <m/>
    <m/>
    <m/>
    <x v="35"/>
    <m/>
    <m/>
  </r>
  <r>
    <n v="731"/>
    <m/>
    <m/>
    <m/>
    <m/>
    <m/>
    <m/>
    <m/>
    <m/>
    <m/>
    <m/>
    <m/>
    <x v="35"/>
    <m/>
    <m/>
  </r>
  <r>
    <n v="732"/>
    <m/>
    <m/>
    <m/>
    <m/>
    <m/>
    <m/>
    <m/>
    <m/>
    <m/>
    <m/>
    <m/>
    <x v="35"/>
    <m/>
    <m/>
  </r>
  <r>
    <n v="733"/>
    <m/>
    <m/>
    <m/>
    <m/>
    <m/>
    <m/>
    <m/>
    <m/>
    <m/>
    <m/>
    <m/>
    <x v="35"/>
    <m/>
    <m/>
  </r>
  <r>
    <n v="734"/>
    <m/>
    <m/>
    <m/>
    <m/>
    <m/>
    <m/>
    <m/>
    <m/>
    <m/>
    <m/>
    <m/>
    <x v="35"/>
    <m/>
    <m/>
  </r>
  <r>
    <n v="735"/>
    <m/>
    <m/>
    <m/>
    <m/>
    <m/>
    <m/>
    <m/>
    <m/>
    <m/>
    <m/>
    <m/>
    <x v="35"/>
    <m/>
    <m/>
  </r>
  <r>
    <n v="736"/>
    <m/>
    <m/>
    <m/>
    <m/>
    <m/>
    <m/>
    <m/>
    <m/>
    <m/>
    <m/>
    <m/>
    <x v="35"/>
    <m/>
    <m/>
  </r>
  <r>
    <n v="737"/>
    <m/>
    <m/>
    <m/>
    <m/>
    <m/>
    <m/>
    <m/>
    <m/>
    <m/>
    <m/>
    <m/>
    <x v="35"/>
    <m/>
    <m/>
  </r>
  <r>
    <n v="738"/>
    <m/>
    <m/>
    <m/>
    <m/>
    <m/>
    <m/>
    <m/>
    <m/>
    <m/>
    <m/>
    <m/>
    <x v="35"/>
    <m/>
    <m/>
  </r>
  <r>
    <n v="739"/>
    <m/>
    <m/>
    <m/>
    <m/>
    <m/>
    <m/>
    <m/>
    <m/>
    <m/>
    <m/>
    <m/>
    <x v="35"/>
    <m/>
    <m/>
  </r>
  <r>
    <n v="740"/>
    <m/>
    <m/>
    <m/>
    <m/>
    <m/>
    <m/>
    <m/>
    <m/>
    <m/>
    <m/>
    <m/>
    <x v="35"/>
    <m/>
    <m/>
  </r>
  <r>
    <n v="741"/>
    <m/>
    <m/>
    <m/>
    <m/>
    <m/>
    <m/>
    <m/>
    <m/>
    <m/>
    <m/>
    <m/>
    <x v="35"/>
    <m/>
    <m/>
  </r>
  <r>
    <n v="742"/>
    <m/>
    <m/>
    <m/>
    <m/>
    <m/>
    <m/>
    <m/>
    <m/>
    <m/>
    <m/>
    <m/>
    <x v="35"/>
    <m/>
    <m/>
  </r>
  <r>
    <n v="743"/>
    <m/>
    <m/>
    <m/>
    <m/>
    <m/>
    <m/>
    <m/>
    <m/>
    <m/>
    <m/>
    <m/>
    <x v="35"/>
    <m/>
    <m/>
  </r>
  <r>
    <n v="744"/>
    <m/>
    <m/>
    <m/>
    <m/>
    <m/>
    <m/>
    <m/>
    <m/>
    <m/>
    <m/>
    <m/>
    <x v="35"/>
    <m/>
    <m/>
  </r>
  <r>
    <n v="745"/>
    <m/>
    <m/>
    <m/>
    <m/>
    <m/>
    <m/>
    <m/>
    <m/>
    <m/>
    <m/>
    <m/>
    <x v="35"/>
    <m/>
    <m/>
  </r>
  <r>
    <n v="746"/>
    <m/>
    <m/>
    <m/>
    <m/>
    <m/>
    <m/>
    <m/>
    <m/>
    <m/>
    <m/>
    <m/>
    <x v="35"/>
    <m/>
    <m/>
  </r>
  <r>
    <n v="747"/>
    <m/>
    <m/>
    <m/>
    <m/>
    <m/>
    <m/>
    <m/>
    <m/>
    <m/>
    <m/>
    <m/>
    <x v="35"/>
    <m/>
    <m/>
  </r>
  <r>
    <n v="748"/>
    <m/>
    <m/>
    <m/>
    <m/>
    <m/>
    <m/>
    <m/>
    <m/>
    <m/>
    <m/>
    <m/>
    <x v="35"/>
    <m/>
    <m/>
  </r>
  <r>
    <n v="749"/>
    <m/>
    <m/>
    <m/>
    <m/>
    <m/>
    <m/>
    <m/>
    <m/>
    <m/>
    <m/>
    <m/>
    <x v="35"/>
    <m/>
    <m/>
  </r>
  <r>
    <n v="750"/>
    <m/>
    <m/>
    <m/>
    <m/>
    <m/>
    <m/>
    <m/>
    <m/>
    <m/>
    <m/>
    <m/>
    <x v="35"/>
    <m/>
    <m/>
  </r>
  <r>
    <n v="751"/>
    <m/>
    <m/>
    <m/>
    <m/>
    <m/>
    <m/>
    <m/>
    <m/>
    <m/>
    <m/>
    <m/>
    <x v="35"/>
    <m/>
    <m/>
  </r>
  <r>
    <n v="752"/>
    <m/>
    <m/>
    <m/>
    <m/>
    <m/>
    <m/>
    <m/>
    <m/>
    <m/>
    <m/>
    <m/>
    <x v="35"/>
    <m/>
    <m/>
  </r>
  <r>
    <n v="753"/>
    <m/>
    <m/>
    <m/>
    <m/>
    <m/>
    <m/>
    <m/>
    <m/>
    <m/>
    <m/>
    <m/>
    <x v="35"/>
    <m/>
    <m/>
  </r>
  <r>
    <n v="754"/>
    <m/>
    <m/>
    <m/>
    <m/>
    <m/>
    <m/>
    <m/>
    <m/>
    <m/>
    <m/>
    <m/>
    <x v="35"/>
    <m/>
    <m/>
  </r>
  <r>
    <n v="755"/>
    <m/>
    <m/>
    <m/>
    <m/>
    <m/>
    <m/>
    <m/>
    <m/>
    <m/>
    <m/>
    <m/>
    <x v="35"/>
    <m/>
    <m/>
  </r>
  <r>
    <n v="756"/>
    <m/>
    <m/>
    <m/>
    <m/>
    <m/>
    <m/>
    <m/>
    <m/>
    <m/>
    <m/>
    <m/>
    <x v="35"/>
    <m/>
    <m/>
  </r>
  <r>
    <n v="757"/>
    <m/>
    <m/>
    <m/>
    <m/>
    <m/>
    <m/>
    <m/>
    <m/>
    <m/>
    <m/>
    <m/>
    <x v="35"/>
    <m/>
    <m/>
  </r>
  <r>
    <n v="758"/>
    <m/>
    <m/>
    <m/>
    <m/>
    <m/>
    <m/>
    <m/>
    <m/>
    <m/>
    <m/>
    <m/>
    <x v="35"/>
    <m/>
    <m/>
  </r>
  <r>
    <n v="759"/>
    <m/>
    <m/>
    <m/>
    <m/>
    <m/>
    <m/>
    <m/>
    <m/>
    <m/>
    <m/>
    <m/>
    <x v="35"/>
    <m/>
    <m/>
  </r>
  <r>
    <n v="760"/>
    <m/>
    <m/>
    <m/>
    <m/>
    <m/>
    <m/>
    <m/>
    <m/>
    <m/>
    <m/>
    <m/>
    <x v="35"/>
    <m/>
    <m/>
  </r>
  <r>
    <n v="761"/>
    <m/>
    <m/>
    <m/>
    <m/>
    <m/>
    <m/>
    <m/>
    <m/>
    <m/>
    <m/>
    <m/>
    <x v="35"/>
    <m/>
    <m/>
  </r>
  <r>
    <n v="762"/>
    <m/>
    <m/>
    <m/>
    <m/>
    <m/>
    <m/>
    <m/>
    <m/>
    <m/>
    <m/>
    <m/>
    <x v="35"/>
    <m/>
    <m/>
  </r>
  <r>
    <n v="763"/>
    <m/>
    <m/>
    <m/>
    <m/>
    <m/>
    <m/>
    <m/>
    <m/>
    <m/>
    <m/>
    <m/>
    <x v="35"/>
    <m/>
    <m/>
  </r>
  <r>
    <n v="764"/>
    <m/>
    <m/>
    <m/>
    <m/>
    <m/>
    <m/>
    <m/>
    <m/>
    <m/>
    <m/>
    <m/>
    <x v="35"/>
    <m/>
    <m/>
  </r>
  <r>
    <n v="765"/>
    <m/>
    <m/>
    <m/>
    <m/>
    <m/>
    <m/>
    <m/>
    <m/>
    <m/>
    <m/>
    <m/>
    <x v="35"/>
    <m/>
    <m/>
  </r>
  <r>
    <n v="766"/>
    <m/>
    <m/>
    <m/>
    <m/>
    <m/>
    <m/>
    <m/>
    <m/>
    <m/>
    <m/>
    <m/>
    <x v="35"/>
    <m/>
    <m/>
  </r>
  <r>
    <n v="767"/>
    <m/>
    <m/>
    <m/>
    <m/>
    <m/>
    <m/>
    <m/>
    <m/>
    <m/>
    <m/>
    <m/>
    <x v="35"/>
    <m/>
    <m/>
  </r>
  <r>
    <n v="768"/>
    <m/>
    <m/>
    <m/>
    <m/>
    <m/>
    <m/>
    <m/>
    <m/>
    <m/>
    <m/>
    <m/>
    <x v="35"/>
    <m/>
    <m/>
  </r>
  <r>
    <n v="769"/>
    <m/>
    <m/>
    <m/>
    <m/>
    <m/>
    <m/>
    <m/>
    <m/>
    <m/>
    <m/>
    <m/>
    <x v="35"/>
    <m/>
    <m/>
  </r>
  <r>
    <n v="770"/>
    <m/>
    <m/>
    <m/>
    <m/>
    <m/>
    <m/>
    <m/>
    <m/>
    <m/>
    <m/>
    <m/>
    <x v="35"/>
    <m/>
    <m/>
  </r>
  <r>
    <n v="771"/>
    <m/>
    <m/>
    <m/>
    <m/>
    <m/>
    <m/>
    <m/>
    <m/>
    <m/>
    <m/>
    <m/>
    <x v="35"/>
    <m/>
    <m/>
  </r>
  <r>
    <n v="772"/>
    <m/>
    <m/>
    <m/>
    <m/>
    <m/>
    <m/>
    <m/>
    <m/>
    <m/>
    <m/>
    <m/>
    <x v="35"/>
    <m/>
    <m/>
  </r>
  <r>
    <n v="773"/>
    <m/>
    <m/>
    <m/>
    <m/>
    <m/>
    <m/>
    <m/>
    <m/>
    <m/>
    <m/>
    <m/>
    <x v="35"/>
    <m/>
    <m/>
  </r>
  <r>
    <n v="774"/>
    <m/>
    <m/>
    <m/>
    <m/>
    <m/>
    <m/>
    <m/>
    <m/>
    <m/>
    <m/>
    <m/>
    <x v="35"/>
    <m/>
    <m/>
  </r>
  <r>
    <n v="775"/>
    <m/>
    <m/>
    <m/>
    <m/>
    <m/>
    <m/>
    <m/>
    <m/>
    <m/>
    <m/>
    <m/>
    <x v="35"/>
    <m/>
    <m/>
  </r>
  <r>
    <n v="776"/>
    <m/>
    <m/>
    <m/>
    <m/>
    <m/>
    <m/>
    <m/>
    <m/>
    <m/>
    <m/>
    <m/>
    <x v="35"/>
    <m/>
    <m/>
  </r>
  <r>
    <n v="777"/>
    <m/>
    <m/>
    <m/>
    <m/>
    <m/>
    <m/>
    <m/>
    <m/>
    <m/>
    <m/>
    <m/>
    <x v="35"/>
    <m/>
    <m/>
  </r>
  <r>
    <n v="778"/>
    <m/>
    <m/>
    <m/>
    <m/>
    <m/>
    <m/>
    <m/>
    <m/>
    <m/>
    <m/>
    <m/>
    <x v="35"/>
    <m/>
    <m/>
  </r>
  <r>
    <n v="779"/>
    <m/>
    <m/>
    <m/>
    <m/>
    <m/>
    <m/>
    <m/>
    <m/>
    <m/>
    <m/>
    <m/>
    <x v="35"/>
    <m/>
    <m/>
  </r>
  <r>
    <n v="780"/>
    <m/>
    <m/>
    <m/>
    <m/>
    <m/>
    <m/>
    <m/>
    <m/>
    <m/>
    <m/>
    <m/>
    <x v="35"/>
    <m/>
    <m/>
  </r>
  <r>
    <n v="781"/>
    <m/>
    <m/>
    <m/>
    <m/>
    <m/>
    <m/>
    <m/>
    <m/>
    <m/>
    <m/>
    <m/>
    <x v="35"/>
    <m/>
    <m/>
  </r>
  <r>
    <n v="782"/>
    <m/>
    <m/>
    <m/>
    <m/>
    <m/>
    <m/>
    <m/>
    <m/>
    <m/>
    <m/>
    <m/>
    <x v="35"/>
    <m/>
    <m/>
  </r>
  <r>
    <n v="783"/>
    <m/>
    <m/>
    <m/>
    <m/>
    <m/>
    <m/>
    <m/>
    <m/>
    <m/>
    <m/>
    <m/>
    <x v="35"/>
    <m/>
    <m/>
  </r>
  <r>
    <n v="784"/>
    <m/>
    <m/>
    <m/>
    <m/>
    <m/>
    <m/>
    <m/>
    <m/>
    <m/>
    <m/>
    <m/>
    <x v="35"/>
    <m/>
    <m/>
  </r>
  <r>
    <n v="785"/>
    <m/>
    <m/>
    <m/>
    <m/>
    <m/>
    <m/>
    <m/>
    <m/>
    <m/>
    <m/>
    <m/>
    <x v="35"/>
    <m/>
    <m/>
  </r>
  <r>
    <n v="786"/>
    <m/>
    <m/>
    <m/>
    <m/>
    <m/>
    <m/>
    <m/>
    <m/>
    <m/>
    <m/>
    <m/>
    <x v="35"/>
    <m/>
    <m/>
  </r>
  <r>
    <n v="787"/>
    <m/>
    <m/>
    <m/>
    <m/>
    <m/>
    <m/>
    <m/>
    <m/>
    <m/>
    <m/>
    <m/>
    <x v="35"/>
    <m/>
    <m/>
  </r>
  <r>
    <n v="788"/>
    <m/>
    <m/>
    <m/>
    <m/>
    <m/>
    <m/>
    <m/>
    <m/>
    <m/>
    <m/>
    <m/>
    <x v="35"/>
    <m/>
    <m/>
  </r>
  <r>
    <n v="789"/>
    <m/>
    <m/>
    <m/>
    <m/>
    <m/>
    <m/>
    <m/>
    <m/>
    <m/>
    <m/>
    <m/>
    <x v="35"/>
    <m/>
    <m/>
  </r>
  <r>
    <n v="790"/>
    <m/>
    <m/>
    <m/>
    <m/>
    <m/>
    <m/>
    <m/>
    <m/>
    <m/>
    <m/>
    <m/>
    <x v="35"/>
    <m/>
    <m/>
  </r>
  <r>
    <n v="791"/>
    <m/>
    <m/>
    <m/>
    <m/>
    <m/>
    <m/>
    <m/>
    <m/>
    <m/>
    <m/>
    <m/>
    <x v="35"/>
    <m/>
    <m/>
  </r>
  <r>
    <n v="792"/>
    <m/>
    <m/>
    <m/>
    <m/>
    <m/>
    <m/>
    <m/>
    <m/>
    <m/>
    <m/>
    <m/>
    <x v="35"/>
    <m/>
    <m/>
  </r>
  <r>
    <n v="793"/>
    <m/>
    <m/>
    <m/>
    <m/>
    <m/>
    <m/>
    <m/>
    <m/>
    <m/>
    <m/>
    <m/>
    <x v="35"/>
    <m/>
    <m/>
  </r>
  <r>
    <n v="794"/>
    <m/>
    <m/>
    <m/>
    <m/>
    <m/>
    <m/>
    <m/>
    <m/>
    <m/>
    <m/>
    <m/>
    <x v="35"/>
    <m/>
    <m/>
  </r>
  <r>
    <n v="795"/>
    <m/>
    <m/>
    <m/>
    <m/>
    <m/>
    <m/>
    <m/>
    <m/>
    <m/>
    <m/>
    <m/>
    <x v="35"/>
    <m/>
    <m/>
  </r>
  <r>
    <n v="796"/>
    <m/>
    <m/>
    <m/>
    <m/>
    <m/>
    <m/>
    <m/>
    <m/>
    <m/>
    <m/>
    <m/>
    <x v="35"/>
    <m/>
    <m/>
  </r>
  <r>
    <n v="797"/>
    <m/>
    <m/>
    <m/>
    <m/>
    <m/>
    <m/>
    <m/>
    <m/>
    <m/>
    <m/>
    <m/>
    <x v="35"/>
    <m/>
    <m/>
  </r>
  <r>
    <n v="798"/>
    <m/>
    <m/>
    <m/>
    <m/>
    <m/>
    <m/>
    <m/>
    <m/>
    <m/>
    <m/>
    <m/>
    <x v="35"/>
    <m/>
    <m/>
  </r>
  <r>
    <n v="799"/>
    <m/>
    <m/>
    <m/>
    <m/>
    <m/>
    <m/>
    <m/>
    <m/>
    <m/>
    <m/>
    <m/>
    <x v="35"/>
    <m/>
    <m/>
  </r>
  <r>
    <n v="800"/>
    <m/>
    <m/>
    <m/>
    <m/>
    <m/>
    <m/>
    <m/>
    <m/>
    <m/>
    <m/>
    <m/>
    <x v="35"/>
    <m/>
    <m/>
  </r>
  <r>
    <n v="801"/>
    <m/>
    <m/>
    <m/>
    <m/>
    <m/>
    <m/>
    <m/>
    <m/>
    <m/>
    <m/>
    <m/>
    <x v="35"/>
    <m/>
    <m/>
  </r>
  <r>
    <n v="802"/>
    <m/>
    <m/>
    <m/>
    <m/>
    <m/>
    <m/>
    <m/>
    <m/>
    <m/>
    <m/>
    <m/>
    <x v="35"/>
    <m/>
    <m/>
  </r>
  <r>
    <n v="803"/>
    <m/>
    <m/>
    <m/>
    <m/>
    <m/>
    <m/>
    <m/>
    <m/>
    <m/>
    <m/>
    <m/>
    <x v="35"/>
    <m/>
    <m/>
  </r>
  <r>
    <n v="804"/>
    <m/>
    <m/>
    <m/>
    <m/>
    <m/>
    <m/>
    <m/>
    <m/>
    <m/>
    <m/>
    <m/>
    <x v="35"/>
    <m/>
    <m/>
  </r>
  <r>
    <n v="805"/>
    <m/>
    <m/>
    <m/>
    <m/>
    <m/>
    <m/>
    <m/>
    <m/>
    <m/>
    <m/>
    <m/>
    <x v="35"/>
    <m/>
    <m/>
  </r>
  <r>
    <n v="806"/>
    <m/>
    <m/>
    <m/>
    <m/>
    <m/>
    <m/>
    <m/>
    <m/>
    <m/>
    <m/>
    <m/>
    <x v="35"/>
    <m/>
    <m/>
  </r>
  <r>
    <n v="807"/>
    <m/>
    <m/>
    <m/>
    <m/>
    <m/>
    <m/>
    <m/>
    <m/>
    <m/>
    <m/>
    <m/>
    <x v="35"/>
    <m/>
    <m/>
  </r>
  <r>
    <n v="808"/>
    <m/>
    <m/>
    <m/>
    <m/>
    <m/>
    <m/>
    <m/>
    <m/>
    <m/>
    <m/>
    <m/>
    <x v="35"/>
    <m/>
    <m/>
  </r>
  <r>
    <n v="809"/>
    <m/>
    <m/>
    <m/>
    <m/>
    <m/>
    <m/>
    <m/>
    <m/>
    <m/>
    <m/>
    <m/>
    <x v="35"/>
    <m/>
    <m/>
  </r>
  <r>
    <n v="810"/>
    <m/>
    <m/>
    <m/>
    <m/>
    <m/>
    <m/>
    <m/>
    <m/>
    <m/>
    <m/>
    <m/>
    <x v="35"/>
    <m/>
    <m/>
  </r>
  <r>
    <n v="811"/>
    <m/>
    <m/>
    <m/>
    <m/>
    <m/>
    <m/>
    <m/>
    <m/>
    <m/>
    <m/>
    <m/>
    <x v="35"/>
    <m/>
    <m/>
  </r>
  <r>
    <n v="812"/>
    <m/>
    <m/>
    <m/>
    <m/>
    <m/>
    <m/>
    <m/>
    <m/>
    <m/>
    <m/>
    <m/>
    <x v="35"/>
    <m/>
    <m/>
  </r>
  <r>
    <n v="813"/>
    <m/>
    <m/>
    <m/>
    <m/>
    <m/>
    <m/>
    <m/>
    <m/>
    <m/>
    <m/>
    <m/>
    <x v="35"/>
    <m/>
    <m/>
  </r>
  <r>
    <n v="814"/>
    <m/>
    <m/>
    <m/>
    <m/>
    <m/>
    <m/>
    <m/>
    <m/>
    <m/>
    <m/>
    <m/>
    <x v="35"/>
    <m/>
    <m/>
  </r>
  <r>
    <n v="815"/>
    <m/>
    <m/>
    <m/>
    <m/>
    <m/>
    <m/>
    <m/>
    <m/>
    <m/>
    <m/>
    <m/>
    <x v="35"/>
    <m/>
    <m/>
  </r>
  <r>
    <n v="816"/>
    <m/>
    <m/>
    <m/>
    <m/>
    <m/>
    <m/>
    <m/>
    <m/>
    <m/>
    <m/>
    <m/>
    <x v="35"/>
    <m/>
    <m/>
  </r>
  <r>
    <n v="817"/>
    <m/>
    <m/>
    <m/>
    <m/>
    <m/>
    <m/>
    <m/>
    <m/>
    <m/>
    <m/>
    <m/>
    <x v="35"/>
    <m/>
    <m/>
  </r>
  <r>
    <n v="818"/>
    <m/>
    <m/>
    <m/>
    <m/>
    <m/>
    <m/>
    <m/>
    <m/>
    <m/>
    <m/>
    <m/>
    <x v="35"/>
    <m/>
    <m/>
  </r>
  <r>
    <n v="819"/>
    <m/>
    <m/>
    <m/>
    <m/>
    <m/>
    <m/>
    <m/>
    <m/>
    <m/>
    <m/>
    <m/>
    <x v="35"/>
    <m/>
    <m/>
  </r>
  <r>
    <n v="820"/>
    <m/>
    <m/>
    <m/>
    <m/>
    <m/>
    <m/>
    <m/>
    <m/>
    <m/>
    <m/>
    <m/>
    <x v="35"/>
    <m/>
    <m/>
  </r>
  <r>
    <n v="821"/>
    <m/>
    <m/>
    <m/>
    <m/>
    <m/>
    <m/>
    <m/>
    <m/>
    <m/>
    <m/>
    <m/>
    <x v="35"/>
    <m/>
    <m/>
  </r>
  <r>
    <n v="822"/>
    <m/>
    <m/>
    <m/>
    <m/>
    <m/>
    <m/>
    <m/>
    <m/>
    <m/>
    <m/>
    <m/>
    <x v="35"/>
    <m/>
    <m/>
  </r>
  <r>
    <n v="823"/>
    <m/>
    <m/>
    <m/>
    <m/>
    <m/>
    <m/>
    <m/>
    <m/>
    <m/>
    <m/>
    <m/>
    <x v="35"/>
    <m/>
    <m/>
  </r>
  <r>
    <n v="824"/>
    <m/>
    <m/>
    <m/>
    <m/>
    <m/>
    <m/>
    <m/>
    <m/>
    <m/>
    <m/>
    <m/>
    <x v="35"/>
    <m/>
    <m/>
  </r>
  <r>
    <n v="825"/>
    <m/>
    <m/>
    <m/>
    <m/>
    <m/>
    <m/>
    <m/>
    <m/>
    <m/>
    <m/>
    <m/>
    <x v="35"/>
    <m/>
    <m/>
  </r>
  <r>
    <n v="826"/>
    <m/>
    <m/>
    <m/>
    <m/>
    <m/>
    <m/>
    <m/>
    <m/>
    <m/>
    <m/>
    <m/>
    <x v="35"/>
    <m/>
    <m/>
  </r>
  <r>
    <n v="827"/>
    <m/>
    <m/>
    <m/>
    <m/>
    <m/>
    <m/>
    <m/>
    <m/>
    <m/>
    <m/>
    <m/>
    <x v="35"/>
    <m/>
    <m/>
  </r>
  <r>
    <n v="828"/>
    <m/>
    <m/>
    <m/>
    <m/>
    <m/>
    <m/>
    <m/>
    <m/>
    <m/>
    <m/>
    <m/>
    <x v="35"/>
    <m/>
    <m/>
  </r>
  <r>
    <n v="829"/>
    <m/>
    <m/>
    <m/>
    <m/>
    <m/>
    <m/>
    <m/>
    <m/>
    <m/>
    <m/>
    <m/>
    <x v="35"/>
    <m/>
    <m/>
  </r>
  <r>
    <n v="830"/>
    <m/>
    <m/>
    <m/>
    <m/>
    <m/>
    <m/>
    <m/>
    <m/>
    <m/>
    <m/>
    <m/>
    <x v="35"/>
    <m/>
    <m/>
  </r>
  <r>
    <n v="831"/>
    <m/>
    <m/>
    <m/>
    <m/>
    <m/>
    <m/>
    <m/>
    <m/>
    <m/>
    <m/>
    <m/>
    <x v="35"/>
    <m/>
    <m/>
  </r>
  <r>
    <n v="832"/>
    <m/>
    <m/>
    <m/>
    <m/>
    <m/>
    <m/>
    <m/>
    <m/>
    <m/>
    <m/>
    <m/>
    <x v="35"/>
    <m/>
    <m/>
  </r>
  <r>
    <n v="833"/>
    <m/>
    <m/>
    <m/>
    <m/>
    <m/>
    <m/>
    <m/>
    <m/>
    <m/>
    <m/>
    <m/>
    <x v="35"/>
    <m/>
    <m/>
  </r>
  <r>
    <n v="834"/>
    <m/>
    <m/>
    <m/>
    <m/>
    <m/>
    <m/>
    <m/>
    <m/>
    <m/>
    <m/>
    <m/>
    <x v="35"/>
    <m/>
    <m/>
  </r>
  <r>
    <n v="835"/>
    <m/>
    <m/>
    <m/>
    <m/>
    <m/>
    <m/>
    <m/>
    <m/>
    <m/>
    <m/>
    <m/>
    <x v="35"/>
    <m/>
    <m/>
  </r>
  <r>
    <n v="836"/>
    <m/>
    <m/>
    <m/>
    <m/>
    <m/>
    <m/>
    <m/>
    <m/>
    <m/>
    <m/>
    <m/>
    <x v="35"/>
    <m/>
    <m/>
  </r>
  <r>
    <n v="837"/>
    <m/>
    <m/>
    <m/>
    <m/>
    <m/>
    <m/>
    <m/>
    <m/>
    <m/>
    <m/>
    <m/>
    <x v="35"/>
    <m/>
    <m/>
  </r>
  <r>
    <n v="838"/>
    <m/>
    <m/>
    <m/>
    <m/>
    <m/>
    <m/>
    <m/>
    <m/>
    <m/>
    <m/>
    <m/>
    <x v="35"/>
    <m/>
    <m/>
  </r>
  <r>
    <n v="839"/>
    <m/>
    <m/>
    <m/>
    <m/>
    <m/>
    <m/>
    <m/>
    <m/>
    <m/>
    <m/>
    <m/>
    <x v="35"/>
    <m/>
    <m/>
  </r>
  <r>
    <n v="840"/>
    <m/>
    <m/>
    <m/>
    <m/>
    <m/>
    <m/>
    <m/>
    <m/>
    <m/>
    <m/>
    <m/>
    <x v="35"/>
    <m/>
    <m/>
  </r>
  <r>
    <n v="841"/>
    <m/>
    <m/>
    <m/>
    <m/>
    <m/>
    <m/>
    <m/>
    <m/>
    <m/>
    <m/>
    <m/>
    <x v="35"/>
    <m/>
    <m/>
  </r>
  <r>
    <n v="842"/>
    <m/>
    <m/>
    <m/>
    <m/>
    <m/>
    <m/>
    <m/>
    <m/>
    <m/>
    <m/>
    <m/>
    <x v="35"/>
    <m/>
    <m/>
  </r>
  <r>
    <n v="843"/>
    <m/>
    <m/>
    <m/>
    <m/>
    <m/>
    <m/>
    <m/>
    <m/>
    <m/>
    <m/>
    <m/>
    <x v="35"/>
    <m/>
    <m/>
  </r>
  <r>
    <n v="844"/>
    <m/>
    <m/>
    <m/>
    <m/>
    <m/>
    <m/>
    <m/>
    <m/>
    <m/>
    <m/>
    <m/>
    <x v="35"/>
    <m/>
    <m/>
  </r>
  <r>
    <n v="845"/>
    <m/>
    <m/>
    <m/>
    <m/>
    <m/>
    <m/>
    <m/>
    <m/>
    <m/>
    <m/>
    <m/>
    <x v="35"/>
    <m/>
    <m/>
  </r>
  <r>
    <n v="846"/>
    <m/>
    <m/>
    <m/>
    <m/>
    <m/>
    <m/>
    <m/>
    <m/>
    <m/>
    <m/>
    <m/>
    <x v="35"/>
    <m/>
    <m/>
  </r>
  <r>
    <n v="847"/>
    <m/>
    <m/>
    <m/>
    <m/>
    <m/>
    <m/>
    <m/>
    <m/>
    <m/>
    <m/>
    <m/>
    <x v="35"/>
    <m/>
    <m/>
  </r>
  <r>
    <n v="848"/>
    <m/>
    <m/>
    <m/>
    <m/>
    <m/>
    <m/>
    <m/>
    <m/>
    <m/>
    <m/>
    <m/>
    <x v="35"/>
    <m/>
    <m/>
  </r>
  <r>
    <n v="849"/>
    <m/>
    <m/>
    <m/>
    <m/>
    <m/>
    <m/>
    <m/>
    <m/>
    <m/>
    <m/>
    <m/>
    <x v="35"/>
    <m/>
    <m/>
  </r>
  <r>
    <n v="850"/>
    <m/>
    <m/>
    <m/>
    <m/>
    <m/>
    <m/>
    <m/>
    <m/>
    <m/>
    <m/>
    <m/>
    <x v="35"/>
    <m/>
    <m/>
  </r>
  <r>
    <n v="851"/>
    <m/>
    <m/>
    <m/>
    <m/>
    <m/>
    <m/>
    <m/>
    <m/>
    <m/>
    <m/>
    <m/>
    <x v="35"/>
    <m/>
    <m/>
  </r>
  <r>
    <n v="852"/>
    <m/>
    <m/>
    <m/>
    <m/>
    <m/>
    <m/>
    <m/>
    <m/>
    <m/>
    <m/>
    <m/>
    <x v="35"/>
    <m/>
    <m/>
  </r>
  <r>
    <n v="853"/>
    <m/>
    <m/>
    <m/>
    <m/>
    <m/>
    <m/>
    <m/>
    <m/>
    <m/>
    <m/>
    <m/>
    <x v="35"/>
    <m/>
    <m/>
  </r>
  <r>
    <n v="854"/>
    <m/>
    <m/>
    <m/>
    <m/>
    <m/>
    <m/>
    <m/>
    <m/>
    <m/>
    <m/>
    <m/>
    <x v="35"/>
    <m/>
    <m/>
  </r>
  <r>
    <n v="855"/>
    <m/>
    <m/>
    <m/>
    <m/>
    <m/>
    <m/>
    <m/>
    <m/>
    <m/>
    <m/>
    <m/>
    <x v="35"/>
    <m/>
    <m/>
  </r>
  <r>
    <n v="856"/>
    <m/>
    <m/>
    <m/>
    <m/>
    <m/>
    <m/>
    <m/>
    <m/>
    <m/>
    <m/>
    <m/>
    <x v="35"/>
    <m/>
    <m/>
  </r>
  <r>
    <n v="857"/>
    <m/>
    <m/>
    <m/>
    <m/>
    <m/>
    <m/>
    <m/>
    <m/>
    <m/>
    <m/>
    <m/>
    <x v="35"/>
    <m/>
    <m/>
  </r>
  <r>
    <n v="858"/>
    <m/>
    <m/>
    <m/>
    <m/>
    <m/>
    <m/>
    <m/>
    <m/>
    <m/>
    <m/>
    <m/>
    <x v="35"/>
    <m/>
    <m/>
  </r>
  <r>
    <n v="859"/>
    <m/>
    <m/>
    <m/>
    <m/>
    <m/>
    <m/>
    <m/>
    <m/>
    <m/>
    <m/>
    <m/>
    <x v="35"/>
    <m/>
    <m/>
  </r>
  <r>
    <n v="860"/>
    <m/>
    <m/>
    <m/>
    <m/>
    <m/>
    <m/>
    <m/>
    <m/>
    <m/>
    <m/>
    <m/>
    <x v="35"/>
    <m/>
    <m/>
  </r>
  <r>
    <n v="861"/>
    <m/>
    <m/>
    <m/>
    <m/>
    <m/>
    <m/>
    <m/>
    <m/>
    <m/>
    <m/>
    <m/>
    <x v="35"/>
    <m/>
    <m/>
  </r>
  <r>
    <n v="862"/>
    <m/>
    <m/>
    <m/>
    <m/>
    <m/>
    <m/>
    <m/>
    <m/>
    <m/>
    <m/>
    <m/>
    <x v="35"/>
    <m/>
    <m/>
  </r>
  <r>
    <m/>
    <m/>
    <m/>
    <m/>
    <m/>
    <m/>
    <m/>
    <m/>
    <m/>
    <m/>
    <m/>
    <m/>
    <x v="35"/>
    <m/>
    <m/>
  </r>
  <r>
    <m/>
    <m/>
    <m/>
    <m/>
    <m/>
    <m/>
    <m/>
    <m/>
    <m/>
    <m/>
    <m/>
    <m/>
    <x v="35"/>
    <m/>
    <m/>
  </r>
  <r>
    <m/>
    <m/>
    <m/>
    <m/>
    <m/>
    <m/>
    <m/>
    <m/>
    <m/>
    <m/>
    <m/>
    <m/>
    <x v="35"/>
    <m/>
    <m/>
  </r>
  <r>
    <m/>
    <m/>
    <m/>
    <m/>
    <m/>
    <m/>
    <m/>
    <m/>
    <m/>
    <m/>
    <m/>
    <m/>
    <x v="35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747">
  <r>
    <n v="2"/>
    <s v="B498536/A"/>
    <s v="RH3314M18"/>
    <s v="a1-s5-1"/>
    <n v="5"/>
    <n v="20"/>
    <d v="2024-08-10T00:00:00"/>
    <n v="1"/>
    <x v="0"/>
    <d v="1899-12-30T17:00:00"/>
    <n v="2.0000000000000009"/>
    <d v="2024-08-10T00:00:00"/>
    <x v="0"/>
    <s v="NCC datphuc"/>
    <m/>
  </r>
  <r>
    <n v="3"/>
    <s v="B498537/A"/>
    <s v="RH3314M18"/>
    <s v="a1-s5-1"/>
    <n v="15"/>
    <n v="60"/>
    <d v="2024-08-10T00:00:00"/>
    <n v="1"/>
    <x v="0"/>
    <d v="1899-12-30T17:30:00"/>
    <n v="2.4999999999999991"/>
    <d v="2024-08-10T00:00:00"/>
    <x v="0"/>
    <s v="NCC datphuc"/>
    <m/>
  </r>
  <r>
    <n v="4"/>
    <s v="B499891/A"/>
    <s v="RH6110M374"/>
    <s v="a1-s1-1"/>
    <n v="4"/>
    <n v="4"/>
    <d v="2024-08-10T00:00:00"/>
    <n v="1"/>
    <x v="0"/>
    <d v="1899-12-30T15:45:00"/>
    <n v="0.75"/>
    <d v="2024-08-10T00:00:00"/>
    <x v="0"/>
    <s v="Unassigned"/>
    <m/>
  </r>
  <r>
    <n v="5"/>
    <s v="B499892/A"/>
    <s v="RH6110M374"/>
    <s v="a1-s1-1"/>
    <n v="14"/>
    <n v="14"/>
    <d v="2024-08-10T00:00:00"/>
    <n v="1"/>
    <x v="0"/>
    <d v="1899-12-30T16:00:00"/>
    <n v="0.99999999999999911"/>
    <d v="2024-08-10T00:00:00"/>
    <x v="0"/>
    <s v="Unassigned"/>
    <m/>
  </r>
  <r>
    <n v="6"/>
    <s v="B496127/A"/>
    <s v="JV004F536"/>
    <s v="a1-s4-1"/>
    <n v="7"/>
    <n v="7"/>
    <d v="2024-08-13T00:00:00"/>
    <n v="1"/>
    <x v="1"/>
    <d v="1899-12-30T09:50:00"/>
    <n v="0.83333333333333437"/>
    <d v="2024-08-14T00:00:00"/>
    <x v="0"/>
    <s v="Finishing"/>
    <m/>
  </r>
  <r>
    <n v="7"/>
    <s v="B487364/A"/>
    <s v="RH2746M18"/>
    <s v="A1-S4-1,A3-S4-1,"/>
    <n v="1"/>
    <n v="2"/>
    <d v="2024-08-15T00:00:00"/>
    <n v="1"/>
    <x v="2"/>
    <d v="1899-12-30T10:45:00"/>
    <n v="0.75"/>
    <d v="2024-08-15T00:00:00"/>
    <x v="0"/>
    <s v="Technical"/>
    <m/>
  </r>
  <r>
    <n v="8"/>
    <s v="B501318/A"/>
    <s v="RH2746M18"/>
    <s v="A1-S4-1,A3-S4-1,"/>
    <n v="10"/>
    <n v="20"/>
    <d v="2024-08-15T00:00:00"/>
    <n v="1"/>
    <x v="2"/>
    <d v="1899-12-30T12:00:00"/>
    <n v="1.9999999999999996"/>
    <d v="2024-08-15T00:00:00"/>
    <x v="0"/>
    <s v="Technical"/>
    <m/>
  </r>
  <r>
    <n v="9"/>
    <s v="B501319/A"/>
    <s v="RH2746M18"/>
    <s v="A1-S4-1,A3-S4-1,"/>
    <n v="10"/>
    <n v="20"/>
    <d v="2024-08-15T00:00:00"/>
    <n v="1"/>
    <x v="2"/>
    <d v="1899-12-30T12:00:00"/>
    <n v="1.9999999999999996"/>
    <d v="2024-08-15T00:00:00"/>
    <x v="0"/>
    <s v="Technical"/>
    <m/>
  </r>
  <r>
    <n v="10"/>
    <s v="B503255/A"/>
    <s v="RH2747M18"/>
    <s v="A1-S4-1,A3-S4-1,"/>
    <n v="10"/>
    <n v="40"/>
    <d v="2024-08-15T00:00:00"/>
    <n v="1"/>
    <x v="2"/>
    <d v="1899-12-30T12:00:00"/>
    <n v="1.9999999999999996"/>
    <d v="2024-08-15T00:00:00"/>
    <x v="0"/>
    <s v="Technical"/>
    <m/>
  </r>
  <r>
    <n v="11"/>
    <s v="B503256/A"/>
    <s v="RH2747M18"/>
    <s v="A1-S4-1,A3-S4-1,"/>
    <n v="10"/>
    <n v="20"/>
    <d v="2024-08-15T00:00:00"/>
    <n v="1"/>
    <x v="2"/>
    <d v="1899-12-30T12:00:00"/>
    <n v="1.9999999999999996"/>
    <d v="2024-08-15T00:00:00"/>
    <x v="0"/>
    <s v="Technical"/>
    <m/>
  </r>
  <r>
    <n v="12"/>
    <s v="B500920/A"/>
    <s v="BN2913M355"/>
    <s v="a1-s1"/>
    <n v="1"/>
    <n v="1"/>
    <d v="2024-08-15T00:00:00"/>
    <n v="1"/>
    <x v="2"/>
    <d v="1899-12-30T10:20:00"/>
    <n v="0.33333333333333348"/>
    <d v="2024-08-15T00:00:00"/>
    <x v="0"/>
    <s v="Machining"/>
    <m/>
  </r>
  <r>
    <n v="13"/>
    <s v="B500931/A"/>
    <s v="BN2913M356"/>
    <s v="a1-s1"/>
    <n v="1"/>
    <n v="1"/>
    <d v="2024-08-15T00:00:00"/>
    <n v="1"/>
    <x v="2"/>
    <d v="1899-12-30T10:20:00"/>
    <n v="0.33333333333333348"/>
    <d v="2024-08-15T00:00:00"/>
    <x v="0"/>
    <s v="Machining"/>
    <m/>
  </r>
  <r>
    <n v="14"/>
    <s v="B501077/A"/>
    <s v="AT571M535"/>
    <s v="a2-s1"/>
    <n v="15"/>
    <n v="30"/>
    <d v="2024-08-15T00:00:00"/>
    <n v="1"/>
    <x v="2"/>
    <d v="1899-12-30T10:45:00"/>
    <n v="0.75"/>
    <d v="2024-08-15T00:00:00"/>
    <x v="0"/>
    <s v="Purchasing"/>
    <m/>
  </r>
  <r>
    <n v="15"/>
    <s v="B502894/A"/>
    <s v="BN2759M355"/>
    <s v="p01,p2"/>
    <n v="3"/>
    <n v="3"/>
    <d v="2024-08-19T00:00:00"/>
    <n v="1"/>
    <x v="3"/>
    <d v="1899-12-30T14:30:00"/>
    <n v="0.49999999999999822"/>
    <d v="2024-08-19T00:00:00"/>
    <x v="0"/>
    <s v="Machining"/>
    <m/>
  </r>
  <r>
    <n v="16"/>
    <s v="B502942/A"/>
    <s v="BN2924M355"/>
    <s v="p3"/>
    <n v="2"/>
    <n v="2"/>
    <d v="2024-08-19T00:00:00"/>
    <n v="1"/>
    <x v="3"/>
    <d v="1899-12-30T14:30:00"/>
    <n v="0.49999999999999822"/>
    <d v="2024-08-19T00:00:00"/>
    <x v="0"/>
    <s v="Machining"/>
    <m/>
  </r>
  <r>
    <n v="17"/>
    <s v="B501247/A"/>
    <s v="MN5877F926-SW AT"/>
    <s v="P1"/>
    <n v="52"/>
    <n v="52"/>
    <d v="2024-08-23T00:00:00"/>
    <n v="1"/>
    <x v="4"/>
    <n v="0.5"/>
    <n v="1.0000000000000004"/>
    <d v="2024-08-23T00:00:00"/>
    <x v="1"/>
    <s v="Unassigned"/>
    <m/>
  </r>
  <r>
    <n v="18"/>
    <s v="B503534/A"/>
    <s v="RH9050F491"/>
    <s v="A1-S00"/>
    <n v="6"/>
    <n v="12"/>
    <d v="2024-08-21T00:00:00"/>
    <n v="1"/>
    <x v="2"/>
    <d v="1899-12-30T11:00:00"/>
    <n v="0.99999999999999911"/>
    <d v="2024-08-21T00:00:00"/>
    <x v="1"/>
    <s v="Final Machining"/>
    <m/>
  </r>
  <r>
    <n v="19"/>
    <s v="B503536/A"/>
    <s v="RH9050F491"/>
    <s v="A1-S00"/>
    <n v="2"/>
    <n v="4"/>
    <d v="2024-08-21T00:00:00"/>
    <n v="1"/>
    <x v="2"/>
    <d v="1899-12-30T10:30:00"/>
    <n v="0.49999999999999956"/>
    <d v="2024-08-21T00:00:00"/>
    <x v="1"/>
    <s v="Final Machining"/>
    <m/>
  </r>
  <r>
    <n v="20"/>
    <s v="B503538/A"/>
    <s v="RH9050F491"/>
    <s v="A1-S00"/>
    <n v="23"/>
    <n v="46"/>
    <d v="2024-08-21T00:00:00"/>
    <n v="1"/>
    <x v="2"/>
    <d v="1899-12-30T12:00:00"/>
    <n v="1.9999999999999996"/>
    <d v="2024-08-21T00:00:00"/>
    <x v="1"/>
    <s v="Final Machining"/>
    <m/>
  </r>
  <r>
    <n v="21"/>
    <s v="B493630/A"/>
    <s v="JV001F917"/>
    <s v="A2-S4"/>
    <n v="5"/>
    <n v="5"/>
    <d v="2024-08-21T00:00:00"/>
    <n v="1"/>
    <x v="2"/>
    <d v="1899-12-30T10:20:00"/>
    <n v="0.33333333333333348"/>
    <d v="2024-08-21T00:00:00"/>
    <x v="1"/>
    <s v="Finishing"/>
    <m/>
  </r>
  <r>
    <n v="22"/>
    <s v="B502889/A"/>
    <s v="BN2750NM355"/>
    <s v="P1"/>
    <n v="2"/>
    <n v="2"/>
    <d v="2024-08-21T00:00:00"/>
    <n v="1"/>
    <x v="2"/>
    <d v="1899-12-30T10:30:00"/>
    <n v="0.49999999999999956"/>
    <d v="2024-08-21T00:00:00"/>
    <x v="1"/>
    <s v="Final Machining"/>
    <m/>
  </r>
  <r>
    <n v="23"/>
    <s v="B502899/A"/>
    <s v="BN2855M355"/>
    <s v="p3"/>
    <n v="2"/>
    <n v="2"/>
    <d v="2024-08-21T00:00:00"/>
    <n v="1"/>
    <x v="2"/>
    <d v="1899-12-30T10:30:00"/>
    <n v="0.49999999999999956"/>
    <d v="2024-08-21T00:00:00"/>
    <x v="1"/>
    <s v="Final Machining"/>
    <m/>
  </r>
  <r>
    <n v="24"/>
    <s v="B502894/A"/>
    <s v="BN2759M355"/>
    <s v="P1"/>
    <n v="3"/>
    <n v="3"/>
    <d v="2024-08-21T00:00:00"/>
    <n v="1"/>
    <x v="2"/>
    <d v="1899-12-30T10:30:00"/>
    <n v="0.49999999999999956"/>
    <d v="2024-08-21T00:00:00"/>
    <x v="1"/>
    <s v="Machining"/>
    <m/>
  </r>
  <r>
    <n v="25"/>
    <s v="B502894/A"/>
    <s v="BN2759M355"/>
    <s v="p2"/>
    <n v="1"/>
    <n v="1"/>
    <d v="2024-08-21T00:00:00"/>
    <n v="1"/>
    <x v="2"/>
    <d v="1899-12-30T10:20:00"/>
    <n v="0.33333333333333348"/>
    <d v="2024-08-21T00:00:00"/>
    <x v="1"/>
    <s v="Machining"/>
    <m/>
  </r>
  <r>
    <n v="26"/>
    <s v="B505522/A"/>
    <s v="RH7276F374"/>
    <s v="A2"/>
    <n v="1"/>
    <n v="1"/>
    <d v="2024-08-24T00:00:00"/>
    <n v="1"/>
    <x v="5"/>
    <d v="1899-12-30T10:50:00"/>
    <n v="0.24999999999999911"/>
    <d v="2024-08-24T00:00:00"/>
    <x v="1"/>
    <s v="Machining(CNC)"/>
    <m/>
  </r>
  <r>
    <n v="27"/>
    <s v="bảng màu "/>
    <s v="HS5336"/>
    <s v="WD-03-019"/>
    <n v="40"/>
    <n v="40"/>
    <d v="2024-08-24T00:00:00"/>
    <n v="2"/>
    <x v="1"/>
    <d v="1899-12-30T19:00:00"/>
    <n v="20"/>
    <d v="2024-08-24T00:00:00"/>
    <x v="1"/>
    <s v="Finishing"/>
    <m/>
  </r>
  <r>
    <n v="28"/>
    <s v="bảng màu "/>
    <s v="HS5491"/>
    <s v="WD-03-019"/>
    <n v="40"/>
    <n v="40"/>
    <d v="2024-08-24T00:00:00"/>
    <n v="2"/>
    <x v="1"/>
    <d v="1899-12-30T19:00:00"/>
    <n v="20"/>
    <d v="2024-08-24T00:00:00"/>
    <x v="1"/>
    <s v="Finishing"/>
    <m/>
  </r>
  <r>
    <n v="29"/>
    <s v="B498432/A"/>
    <s v="JV011F536"/>
    <s v="A2-S5"/>
    <n v="1"/>
    <n v="1"/>
    <d v="2024-08-24T00:00:00"/>
    <n v="1"/>
    <x v="0"/>
    <d v="1899-12-30T15:15:00"/>
    <n v="0.24999999999999911"/>
    <d v="2024-08-24T00:00:00"/>
    <x v="1"/>
    <s v="Assembly"/>
    <m/>
  </r>
  <r>
    <n v="30"/>
    <s v="bảng màu "/>
    <s v="SH5354"/>
    <s v="WD-03-254"/>
    <n v="65"/>
    <n v="65"/>
    <d v="2024-08-24T00:00:00"/>
    <n v="1"/>
    <x v="6"/>
    <d v="1899-12-30T15:30:00"/>
    <n v="2.5000000000000018"/>
    <d v="2024-08-24T00:00:00"/>
    <x v="1"/>
    <s v="Finishing"/>
    <m/>
  </r>
  <r>
    <n v="31"/>
    <s v="bảng màu "/>
    <s v="RH9540"/>
    <s v="WD-03-510"/>
    <n v="70"/>
    <n v="70"/>
    <d v="2024-08-24T00:00:00"/>
    <n v="1"/>
    <x v="6"/>
    <d v="1899-12-30T15:30:00"/>
    <n v="2.5000000000000018"/>
    <d v="2024-08-24T00:00:00"/>
    <x v="1"/>
    <s v="Finishing"/>
    <m/>
  </r>
  <r>
    <n v="32"/>
    <s v="B506667/A"/>
    <s v="MK013F156"/>
    <s v="a1-s1"/>
    <n v="68"/>
    <n v="68"/>
    <d v="2024-08-24T00:00:00"/>
    <n v="1"/>
    <x v="6"/>
    <d v="1899-12-30T17:30:00"/>
    <n v="4.5"/>
    <d v="2024-08-24T00:00:00"/>
    <x v="1"/>
    <s v="Beam Saw"/>
    <s v="hàng làm lại lần 2"/>
  </r>
  <r>
    <n v="33"/>
    <s v="B505430/A"/>
    <s v="RH7011F374"/>
    <s v="a1-s1"/>
    <n v="1"/>
    <n v="1"/>
    <d v="2024-08-26T00:00:00"/>
    <n v="1"/>
    <x v="0"/>
    <d v="1899-12-30T16:30:00"/>
    <n v="1.5"/>
    <d v="2024-08-26T00:00:00"/>
    <x v="1"/>
    <s v="Final Machining"/>
    <s v="hàng làm lại lần 2"/>
  </r>
  <r>
    <n v="34"/>
    <s v="B503544/A"/>
    <s v="RH9063F410"/>
    <s v="P02"/>
    <n v="3"/>
    <n v="6"/>
    <d v="2024-08-26T00:00:00"/>
    <n v="1"/>
    <x v="3"/>
    <d v="1899-12-30T14:45:00"/>
    <n v="0.75"/>
    <d v="2024-08-26T00:00:00"/>
    <x v="2"/>
    <s v="Final Machining"/>
    <m/>
  </r>
  <r>
    <n v="35"/>
    <s v="B505559/A"/>
    <s v="RH7391F409"/>
    <s v="A1-S3"/>
    <n v="1"/>
    <n v="2"/>
    <d v="2024-08-26T00:00:00"/>
    <n v="1"/>
    <x v="3"/>
    <d v="1899-12-30T14:30:00"/>
    <n v="0.49999999999999822"/>
    <d v="2024-08-26T00:00:00"/>
    <x v="2"/>
    <s v="Final Machining"/>
    <m/>
  </r>
  <r>
    <n v="36"/>
    <s v="B502895/A"/>
    <s v="BN2759F355"/>
    <s v="P01"/>
    <n v="1"/>
    <n v="1"/>
    <d v="2024-08-26T00:00:00"/>
    <n v="1"/>
    <x v="3"/>
    <d v="1899-12-30T14:30:00"/>
    <n v="0.49999999999999822"/>
    <d v="2024-08-26T00:00:00"/>
    <x v="2"/>
    <s v="Final Machining"/>
    <m/>
  </r>
  <r>
    <n v="37"/>
    <s v="B502910/A"/>
    <s v="BN2912F355"/>
    <s v="P01"/>
    <n v="3"/>
    <n v="3"/>
    <d v="2024-08-26T00:00:00"/>
    <n v="1"/>
    <x v="3"/>
    <d v="1899-12-30T14:45:00"/>
    <n v="0.75"/>
    <d v="2024-08-26T00:00:00"/>
    <x v="2"/>
    <s v="Final Machining"/>
    <m/>
  </r>
  <r>
    <n v="38"/>
    <s v="B502913/A"/>
    <s v="BN2912F356"/>
    <s v="P01"/>
    <n v="1"/>
    <n v="1"/>
    <d v="2024-08-26T00:00:00"/>
    <n v="1"/>
    <x v="3"/>
    <d v="1899-12-30T14:30:00"/>
    <n v="0.49999999999999822"/>
    <d v="2024-08-26T00:00:00"/>
    <x v="2"/>
    <s v="Final Machining"/>
    <m/>
  </r>
  <r>
    <n v="39"/>
    <s v="B497949/A"/>
    <s v="BN2690F355"/>
    <s v="a1-s4-1"/>
    <n v="1"/>
    <n v="2"/>
    <d v="2024-08-26T00:00:00"/>
    <n v="1"/>
    <x v="7"/>
    <d v="1899-12-30T16:00:00"/>
    <n v="0.49999999999999822"/>
    <d v="2024-08-26T00:00:00"/>
    <x v="2"/>
    <s v="ko xác định"/>
    <m/>
  </r>
  <r>
    <n v="40"/>
    <s v="B497949/A"/>
    <s v="BN2690F355"/>
    <s v="a1-s4"/>
    <n v="1"/>
    <n v="1"/>
    <d v="2024-08-26T00:00:00"/>
    <n v="1"/>
    <x v="7"/>
    <d v="1899-12-30T16:00:00"/>
    <n v="0.49999999999999822"/>
    <d v="2024-08-26T00:00:00"/>
    <x v="2"/>
    <s v="ko xác định"/>
    <m/>
  </r>
  <r>
    <n v="41"/>
    <s v="B503402/A"/>
    <s v="RH7350F383"/>
    <s v="a1-s1"/>
    <n v="2"/>
    <n v="2"/>
    <d v="2024-08-27T00:00:00"/>
    <n v="1"/>
    <x v="8"/>
    <d v="1899-12-30T15:10:00"/>
    <n v="0.66666666666666696"/>
    <d v="2024-08-27T00:00:00"/>
    <x v="2"/>
    <s v="Assembly"/>
    <m/>
  </r>
  <r>
    <n v="42"/>
    <m/>
    <s v="RH6943F374"/>
    <s v="sửa hàng hộc kéo "/>
    <m/>
    <n v="1"/>
    <d v="2024-08-27T00:00:00"/>
    <n v="1"/>
    <x v="1"/>
    <d v="1899-12-30T11:30:00"/>
    <n v="2.5000000000000004"/>
    <d v="2024-08-27T00:00:00"/>
    <x v="2"/>
    <s v="Assembly"/>
    <s v="Mr.nhựt"/>
  </r>
  <r>
    <n v="43"/>
    <s v="B494669/A"/>
    <s v="JV012F536"/>
    <s v="A7-S6"/>
    <n v="1"/>
    <n v="1"/>
    <d v="2024-08-27T00:00:00"/>
    <n v="1"/>
    <x v="9"/>
    <d v="1899-12-30T06:30:00"/>
    <n v="0.49999999999999956"/>
    <d v="2024-08-27T00:00:00"/>
    <x v="2"/>
    <s v="Finishing"/>
    <m/>
  </r>
  <r>
    <n v="44"/>
    <s v="B494669/A"/>
    <s v="JV012F536"/>
    <s v="A2-S5-1"/>
    <n v="1"/>
    <n v="1"/>
    <d v="2024-08-27T00:00:00"/>
    <n v="1"/>
    <x v="9"/>
    <d v="1899-12-30T06:30:00"/>
    <n v="0.49999999999999956"/>
    <d v="2024-08-27T00:00:00"/>
    <x v="2"/>
    <s v="Finishing"/>
    <m/>
  </r>
  <r>
    <n v="45"/>
    <s v="B494669/A"/>
    <s v="JV012F536"/>
    <s v="A2-S5"/>
    <n v="1"/>
    <n v="1"/>
    <d v="2024-08-27T00:00:00"/>
    <n v="1"/>
    <x v="9"/>
    <d v="1899-12-30T06:30:00"/>
    <n v="0.49999999999999956"/>
    <d v="2024-08-27T00:00:00"/>
    <x v="2"/>
    <s v="Finishing"/>
    <m/>
  </r>
  <r>
    <n v="46"/>
    <s v="B506732/A"/>
    <s v="RH2573F374"/>
    <s v="A1"/>
    <n v="1"/>
    <n v="1"/>
    <d v="2024-08-27T00:00:00"/>
    <n v="1"/>
    <x v="0"/>
    <d v="1899-12-30T16:00:00"/>
    <n v="0.99999999999999911"/>
    <d v="2024-08-27T00:00:00"/>
    <x v="2"/>
    <s v="RC Panel "/>
    <s v="Ms.Linh"/>
  </r>
  <r>
    <n v="47"/>
    <s v="B505133/A"/>
    <s v="RH2700F374"/>
    <s v="P01"/>
    <n v="1"/>
    <n v="1"/>
    <d v="2024-08-28T00:00:00"/>
    <n v="1"/>
    <x v="2"/>
    <d v="1899-12-30T10:30:00"/>
    <n v="0.49999999999999956"/>
    <d v="2024-08-28T00:00:00"/>
    <x v="2"/>
    <s v="Technical"/>
    <m/>
  </r>
  <r>
    <n v="48"/>
    <s v="B505484/A"/>
    <s v="RH7157F382"/>
    <s v="P08-02"/>
    <n v="4"/>
    <n v="4"/>
    <d v="2024-08-28T00:00:00"/>
    <n v="1"/>
    <x v="2"/>
    <d v="1899-12-30T10:45:00"/>
    <n v="0.75"/>
    <d v="2024-08-28T00:00:00"/>
    <x v="2"/>
    <s v="Machining"/>
    <m/>
  </r>
  <r>
    <n v="49"/>
    <s v="B505478/A"/>
    <s v="RH7157F383"/>
    <s v="P08-02"/>
    <n v="2"/>
    <n v="8"/>
    <d v="2024-08-28T00:00:00"/>
    <n v="1"/>
    <x v="2"/>
    <d v="1899-12-30T11:00:00"/>
    <n v="0.99999999999999911"/>
    <d v="2024-08-28T00:00:00"/>
    <x v="2"/>
    <s v="Machining"/>
    <m/>
  </r>
  <r>
    <n v="50"/>
    <s v="B505481/A+B505482/A"/>
    <s v="RH7157F409"/>
    <s v="P08-02"/>
    <n v="13"/>
    <n v="52"/>
    <d v="2024-08-28T00:00:00"/>
    <n v="1"/>
    <x v="2"/>
    <d v="1899-12-30T11:30:00"/>
    <n v="1.5"/>
    <d v="2024-08-28T00:00:00"/>
    <x v="2"/>
    <s v="Machining"/>
    <m/>
  </r>
  <r>
    <n v="51"/>
    <s v="B498432/A"/>
    <s v="JV001F536"/>
    <s v="A2-S5-1"/>
    <n v="4"/>
    <n v="4"/>
    <d v="2024-08-29T00:00:00"/>
    <n v="1"/>
    <x v="1"/>
    <d v="1899-12-30T09:45:00"/>
    <n v="0.75"/>
    <d v="2024-08-29T00:00:00"/>
    <x v="2"/>
    <s v="Finishing"/>
    <m/>
  </r>
  <r>
    <n v="52"/>
    <s v="B498432/A"/>
    <s v="JV001F536"/>
    <s v="A7-S6"/>
    <n v="1"/>
    <n v="1"/>
    <d v="2024-08-29T00:00:00"/>
    <n v="1"/>
    <x v="1"/>
    <d v="1899-12-30T09:30:00"/>
    <n v="0.49999999999999956"/>
    <d v="2024-08-29T00:00:00"/>
    <x v="2"/>
    <s v="Finishing"/>
    <m/>
  </r>
  <r>
    <n v="53"/>
    <s v="bảng màu "/>
    <s v="RH500"/>
    <s v="WD-03-455"/>
    <n v="1"/>
    <n v="1"/>
    <d v="2024-08-29T00:00:00"/>
    <n v="1"/>
    <x v="6"/>
    <d v="1899-12-30T16:00:00"/>
    <n v="3"/>
    <d v="2024-08-29T00:00:00"/>
    <x v="2"/>
    <s v="Finishing"/>
    <s v="Mr.Sơn"/>
  </r>
  <r>
    <n v="54"/>
    <s v="bảng màu "/>
    <s v="RH500"/>
    <s v="WD-03-229"/>
    <n v="1"/>
    <n v="1"/>
    <d v="2024-08-29T00:00:00"/>
    <n v="1"/>
    <x v="6"/>
    <d v="1899-12-30T16:00:00"/>
    <n v="3"/>
    <d v="2024-08-29T00:00:00"/>
    <x v="2"/>
    <s v="Finishing"/>
    <s v="Mr.Sơn"/>
  </r>
  <r>
    <n v="55"/>
    <s v="bảng màu "/>
    <s v="RH500"/>
    <s v="WD-03-326"/>
    <n v="1"/>
    <n v="1"/>
    <d v="2024-08-29T00:00:00"/>
    <n v="1"/>
    <x v="6"/>
    <d v="1899-12-30T16:00:00"/>
    <n v="3"/>
    <d v="2024-08-29T00:00:00"/>
    <x v="2"/>
    <s v="Finishing"/>
    <s v="Mr.Sơn"/>
  </r>
  <r>
    <n v="56"/>
    <s v="B486385/A"/>
    <s v="AAR418F834"/>
    <s v="a2-s1"/>
    <n v="1"/>
    <n v="1"/>
    <d v="2024-08-30T00:00:00"/>
    <n v="1"/>
    <x v="8"/>
    <d v="1899-12-30T15:00:00"/>
    <n v="0.50000000000000089"/>
    <d v="2024-08-30T00:00:00"/>
    <x v="2"/>
    <s v="QA Testing"/>
    <m/>
  </r>
  <r>
    <n v="57"/>
    <s v="B490822/A"/>
    <s v="RH2380F96"/>
    <s v="A1-S9"/>
    <n v="3"/>
    <n v="3"/>
    <d v="2024-09-04T00:00:00"/>
    <n v="1"/>
    <x v="1"/>
    <d v="1899-12-30T09:45:00"/>
    <n v="0.75"/>
    <d v="2024-09-04T00:00:00"/>
    <x v="3"/>
    <s v="THANHDATFU"/>
    <m/>
  </r>
  <r>
    <n v="58"/>
    <s v="B493626/A"/>
    <s v="AR359F1001"/>
    <s v="P01"/>
    <n v="2"/>
    <n v="8"/>
    <d v="2024-09-04T00:00:00"/>
    <n v="1"/>
    <x v="1"/>
    <d v="1899-12-30T10:00:00"/>
    <n v="1.0000000000000004"/>
    <d v="2024-09-04T00:00:00"/>
    <x v="3"/>
    <s v="QA Testing"/>
    <m/>
  </r>
  <r>
    <n v="59"/>
    <s v="B493626/A"/>
    <s v="AR359F1001"/>
    <s v="P00"/>
    <n v="2"/>
    <n v="8"/>
    <d v="2024-09-04T00:00:00"/>
    <n v="1"/>
    <x v="1"/>
    <d v="1899-12-30T10:00:00"/>
    <n v="1.0000000000000004"/>
    <d v="2024-09-04T00:00:00"/>
    <x v="3"/>
    <s v="QA Testing"/>
    <m/>
  </r>
  <r>
    <n v="60"/>
    <s v="B491477/A"/>
    <s v="RH3314M18"/>
    <s v="A1-S5-1"/>
    <n v="20"/>
    <n v="40"/>
    <d v="2024-09-04T00:00:00"/>
    <n v="1"/>
    <x v="1"/>
    <d v="1899-12-30T11:00:00"/>
    <n v="1.9999999999999996"/>
    <d v="2024-09-04T00:00:00"/>
    <x v="3"/>
    <s v="DATPHUC"/>
    <m/>
  </r>
  <r>
    <n v="61"/>
    <s v="B503015/A"/>
    <s v="CZ566F190"/>
    <s v="P8-1"/>
    <n v="1"/>
    <n v="1"/>
    <d v="2024-09-04T00:00:00"/>
    <n v="1"/>
    <x v="1"/>
    <d v="1899-12-30T09:15:00"/>
    <n v="0.25000000000000044"/>
    <d v="2024-09-04T00:00:00"/>
    <x v="3"/>
    <s v="Assembly"/>
    <m/>
  </r>
  <r>
    <n v="62"/>
    <s v="B494669/A"/>
    <s v="JV012F536"/>
    <s v="A1-S8"/>
    <n v="1"/>
    <n v="1"/>
    <d v="2024-09-04T00:00:00"/>
    <n v="1"/>
    <x v="1"/>
    <d v="1899-12-30T09:30:00"/>
    <n v="0.49999999999999956"/>
    <d v="2024-09-04T00:00:00"/>
    <x v="3"/>
    <s v="Finishing"/>
    <m/>
  </r>
  <r>
    <n v="63"/>
    <s v="B494669/A"/>
    <s v="JV012F536"/>
    <s v="A2-S5"/>
    <n v="3"/>
    <n v="3"/>
    <d v="2024-09-04T00:00:00"/>
    <n v="1"/>
    <x v="1"/>
    <d v="1899-12-30T09:45:00"/>
    <n v="0.75"/>
    <d v="2024-09-04T00:00:00"/>
    <x v="3"/>
    <s v="Finishing"/>
    <m/>
  </r>
  <r>
    <n v="64"/>
    <s v="B503538/A"/>
    <s v="RH9050F401"/>
    <s v="A1-S00"/>
    <n v="1"/>
    <n v="2"/>
    <d v="2024-09-05T00:00:00"/>
    <n v="1"/>
    <x v="6"/>
    <d v="1899-12-30T13:45:00"/>
    <n v="0.75"/>
    <d v="2024-09-05T00:00:00"/>
    <x v="3"/>
    <s v="Final Machining"/>
    <m/>
  </r>
  <r>
    <n v="65"/>
    <s v="B506648/A"/>
    <s v="HS5401F1090"/>
    <s v="A1-S5-3"/>
    <n v="30"/>
    <n v="30"/>
    <d v="2024-09-05T00:00:00"/>
    <n v="1"/>
    <x v="6"/>
    <d v="1899-12-30T14:00:00"/>
    <n v="1.0000000000000018"/>
    <d v="2024-09-05T00:00:00"/>
    <x v="3"/>
    <s v="Final Machining"/>
    <m/>
  </r>
  <r>
    <n v="66"/>
    <s v="B503214/A"/>
    <s v="RH2575F373"/>
    <s v="A1"/>
    <n v="3"/>
    <n v="3"/>
    <d v="2024-09-05T00:00:00"/>
    <n v="1"/>
    <x v="6"/>
    <d v="1899-12-30T13:45:00"/>
    <n v="0.75"/>
    <d v="2024-09-05T00:00:00"/>
    <x v="3"/>
    <s v="Assembly"/>
    <m/>
  </r>
  <r>
    <n v="67"/>
    <s v="B490822/A"/>
    <s v="RH2380F96"/>
    <s v="A1-S9"/>
    <n v="2"/>
    <n v="2"/>
    <d v="2024-09-05T00:00:00"/>
    <n v="1"/>
    <x v="10"/>
    <d v="1899-12-30T17:00:00"/>
    <n v="0.50000000000000089"/>
    <d v="2024-09-05T00:00:00"/>
    <x v="3"/>
    <s v="THANHDATFU"/>
    <m/>
  </r>
  <r>
    <n v="68"/>
    <s v="B512455/A"/>
    <s v="RH1652AF96"/>
    <s v="A3-S2"/>
    <n v="1"/>
    <n v="1"/>
    <d v="2024-09-06T00:00:00"/>
    <n v="1"/>
    <x v="11"/>
    <d v="1899-12-30T09:00:00"/>
    <n v="0.49999999999999956"/>
    <d v="2024-09-06T00:00:00"/>
    <x v="3"/>
    <s v="KHÁCH HÀNG "/>
    <m/>
  </r>
  <r>
    <n v="69"/>
    <s v="B512455/A"/>
    <s v="RH1652AF96"/>
    <s v="P07"/>
    <n v="2"/>
    <n v="2"/>
    <d v="2024-09-06T00:00:00"/>
    <n v="1"/>
    <x v="11"/>
    <d v="1899-12-30T09:00:00"/>
    <n v="0.49999999999999956"/>
    <d v="2024-09-06T00:00:00"/>
    <x v="3"/>
    <s v="KHÁCH HÀNG "/>
    <m/>
  </r>
  <r>
    <n v="70"/>
    <s v="B512455/A"/>
    <s v="RH1652AF96"/>
    <s v="P09"/>
    <n v="1"/>
    <n v="1"/>
    <d v="2024-09-06T00:00:00"/>
    <n v="1"/>
    <x v="11"/>
    <d v="1899-12-30T09:00:00"/>
    <n v="0.49999999999999956"/>
    <d v="2024-09-06T00:00:00"/>
    <x v="3"/>
    <s v="KHÁCH HÀNG "/>
    <m/>
  </r>
  <r>
    <n v="71"/>
    <s v="B512455/A"/>
    <s v="RH1652AF96"/>
    <s v="P10"/>
    <n v="1"/>
    <n v="1"/>
    <d v="2024-09-06T00:00:00"/>
    <n v="1"/>
    <x v="11"/>
    <d v="1899-12-30T09:00:00"/>
    <n v="0.49999999999999956"/>
    <d v="2024-09-06T00:00:00"/>
    <x v="3"/>
    <s v="KHÁCH HÀNG "/>
    <m/>
  </r>
  <r>
    <n v="72"/>
    <s v="B512455/A"/>
    <s v="RH1652AF96"/>
    <s v="P13"/>
    <n v="1"/>
    <n v="1"/>
    <d v="2024-09-06T00:00:00"/>
    <n v="1"/>
    <x v="11"/>
    <d v="1899-12-30T09:00:00"/>
    <n v="0.49999999999999956"/>
    <d v="2024-09-06T00:00:00"/>
    <x v="3"/>
    <s v="KHÁCH HÀNG "/>
    <m/>
  </r>
  <r>
    <n v="73"/>
    <s v="B512457/A"/>
    <s v="RH1658F96"/>
    <s v="P01"/>
    <n v="2"/>
    <n v="2"/>
    <d v="2024-09-06T00:00:00"/>
    <n v="1"/>
    <x v="11"/>
    <d v="1899-12-30T09:00:00"/>
    <n v="0.49999999999999956"/>
    <d v="2024-09-06T00:00:00"/>
    <x v="3"/>
    <s v="KHÁCH HÀNG "/>
    <m/>
  </r>
  <r>
    <n v="74"/>
    <s v="B512457/A"/>
    <s v="RH1658F96"/>
    <s v="P02"/>
    <n v="2"/>
    <n v="6"/>
    <d v="2024-09-06T00:00:00"/>
    <n v="1"/>
    <x v="11"/>
    <d v="1899-12-30T09:15:00"/>
    <n v="0.75"/>
    <d v="2024-09-06T00:00:00"/>
    <x v="3"/>
    <s v="KHÁCH HÀNG "/>
    <m/>
  </r>
  <r>
    <n v="75"/>
    <s v="B512457/A"/>
    <s v="RH1658F96"/>
    <s v="P02B"/>
    <n v="2"/>
    <n v="6"/>
    <d v="2024-09-06T00:00:00"/>
    <n v="1"/>
    <x v="11"/>
    <d v="1899-12-30T09:15:00"/>
    <n v="0.75"/>
    <d v="2024-09-06T00:00:00"/>
    <x v="3"/>
    <s v="KHÁCH HÀNG "/>
    <m/>
  </r>
  <r>
    <n v="76"/>
    <s v="B512457/A"/>
    <s v="RH1658F96"/>
    <s v="P04"/>
    <n v="2"/>
    <n v="2"/>
    <d v="2024-09-06T00:00:00"/>
    <n v="1"/>
    <x v="11"/>
    <d v="1899-12-30T09:15:00"/>
    <n v="0.75"/>
    <d v="2024-09-06T00:00:00"/>
    <x v="3"/>
    <s v="KHÁCH HÀNG "/>
    <m/>
  </r>
  <r>
    <n v="77"/>
    <m/>
    <s v="AR417F906"/>
    <s v="A2-S1"/>
    <n v="48"/>
    <n v="96"/>
    <d v="2024-09-07T00:00:00"/>
    <n v="1"/>
    <x v="6"/>
    <d v="1899-12-30T14:30:00"/>
    <n v="1.5"/>
    <d v="2024-09-07T00:00:00"/>
    <x v="3"/>
    <s v="ME"/>
    <m/>
  </r>
  <r>
    <n v="78"/>
    <s v="B503549/A"/>
    <s v="RH9112F401"/>
    <s v="A3-S1"/>
    <n v="1"/>
    <n v="1"/>
    <d v="2024-09-07T00:00:00"/>
    <n v="1"/>
    <x v="6"/>
    <d v="1899-12-30T13:20:00"/>
    <n v="0.33333333333333481"/>
    <d v="2024-09-07T00:00:00"/>
    <x v="3"/>
    <s v="Unassigned"/>
    <m/>
  </r>
  <r>
    <n v="79"/>
    <s v="B058202/A"/>
    <s v="HS5227F1090"/>
    <s v="A2-S8"/>
    <n v="2"/>
    <n v="2"/>
    <d v="2024-09-10T00:00:00"/>
    <n v="1"/>
    <x v="1"/>
    <d v="1899-12-30T09:30:00"/>
    <n v="0.49999999999999956"/>
    <d v="2024-09-10T00:00:00"/>
    <x v="3"/>
    <s v="paneling"/>
    <m/>
  </r>
  <r>
    <n v="80"/>
    <s v="B493644/A"/>
    <s v="AR721F8952"/>
    <s v="a1"/>
    <n v="2"/>
    <n v="2"/>
    <d v="2024-09-10T00:00:00"/>
    <n v="1"/>
    <x v="1"/>
    <d v="1899-12-30T09:30:00"/>
    <n v="0.49999999999999956"/>
    <d v="2024-09-10T00:00:00"/>
    <x v="3"/>
    <s v="paneling"/>
    <m/>
  </r>
  <r>
    <n v="81"/>
    <s v="B505039/A"/>
    <s v="JV011F536-SAWAT"/>
    <s v="P.B+P.C"/>
    <n v="310"/>
    <n v="310"/>
    <d v="2024-09-11T00:00:00"/>
    <n v="2"/>
    <x v="7"/>
    <d v="1899-12-30T17:30:00"/>
    <n v="3.9999999999999964"/>
    <d v="2024-09-11T00:00:00"/>
    <x v="4"/>
    <s v="Finishing"/>
    <m/>
  </r>
  <r>
    <n v="82"/>
    <s v="B508079/A"/>
    <s v="BN2912F355"/>
    <s v="P01"/>
    <n v="1"/>
    <n v="1"/>
    <d v="2024-09-11T00:00:00"/>
    <n v="1"/>
    <x v="7"/>
    <d v="1899-12-30T16:30:00"/>
    <n v="0.99999999999999911"/>
    <d v="2024-09-11T00:00:00"/>
    <x v="4"/>
    <s v="Final Machining"/>
    <m/>
  </r>
  <r>
    <n v="83"/>
    <s v="B508041/A"/>
    <s v="AR462F1001"/>
    <s v="A1-S1"/>
    <n v="23"/>
    <n v="23"/>
    <d v="2024-09-11T00:00:00"/>
    <n v="1"/>
    <x v="7"/>
    <d v="1899-12-30T18:30:00"/>
    <n v="3"/>
    <d v="2024-09-11T00:00:00"/>
    <x v="4"/>
    <s v="Technical"/>
    <m/>
  </r>
  <r>
    <n v="84"/>
    <s v="bảng màu "/>
    <s v="RH500"/>
    <s v="WD-03-510"/>
    <n v="100"/>
    <n v="100"/>
    <d v="2024-09-18T00:00:00"/>
    <n v="1"/>
    <x v="11"/>
    <d v="1899-12-30T10:00:00"/>
    <n v="1.5"/>
    <d v="2024-09-18T00:00:00"/>
    <x v="5"/>
    <s v="Finishing"/>
    <s v="Mr.Sơn"/>
  </r>
  <r>
    <n v="85"/>
    <s v="bảng màu "/>
    <s v="RH500"/>
    <s v="WD-03-229"/>
    <n v="60"/>
    <n v="60"/>
    <d v="2024-09-18T00:00:00"/>
    <n v="1"/>
    <x v="11"/>
    <d v="1899-12-30T09:30:00"/>
    <n v="0.99999999999999911"/>
    <d v="2024-09-18T00:00:00"/>
    <x v="5"/>
    <s v="Finishing"/>
    <s v="Mr.Sơn"/>
  </r>
  <r>
    <n v="86"/>
    <s v="bảng màu "/>
    <s v="RH500"/>
    <s v="WD-03-119"/>
    <n v="30"/>
    <n v="30"/>
    <d v="2024-09-18T00:00:00"/>
    <n v="1"/>
    <x v="11"/>
    <d v="1899-12-30T09:15:00"/>
    <n v="0.75"/>
    <d v="2024-09-18T00:00:00"/>
    <x v="5"/>
    <s v="Finishing"/>
    <s v="Mr.Sơn"/>
  </r>
  <r>
    <n v="87"/>
    <s v="bảng màu "/>
    <s v="RH500"/>
    <s v="WD-03-191"/>
    <n v="30"/>
    <n v="30"/>
    <d v="2024-09-18T00:00:00"/>
    <n v="1"/>
    <x v="11"/>
    <d v="1899-12-30T09:15:00"/>
    <n v="0.75"/>
    <d v="2024-09-18T00:00:00"/>
    <x v="5"/>
    <s v="Finishing"/>
    <s v="Mr.Sơn"/>
  </r>
  <r>
    <n v="88"/>
    <s v="bảng màu "/>
    <s v="RH500"/>
    <s v="WD-03-185"/>
    <n v="50"/>
    <n v="50"/>
    <d v="2024-09-18T00:00:00"/>
    <n v="1"/>
    <x v="11"/>
    <d v="1899-12-30T09:30:00"/>
    <n v="0.99999999999999911"/>
    <d v="2024-09-18T00:00:00"/>
    <x v="5"/>
    <s v="Finishing"/>
    <s v="Mr.Sơn"/>
  </r>
  <r>
    <n v="89"/>
    <s v="B490822/A"/>
    <s v="RH2380F96.BC"/>
    <s v="A1-S9"/>
    <n v="1"/>
    <n v="1"/>
    <d v="2024-09-12T00:00:00"/>
    <n v="1"/>
    <x v="1"/>
    <d v="1899-12-30T09:15:00"/>
    <n v="0.25000000000000044"/>
    <d v="2024-09-12T00:00:00"/>
    <x v="4"/>
    <s v="THANHDATFU"/>
    <m/>
  </r>
  <r>
    <n v="90"/>
    <s v="B508731/A"/>
    <s v="RH9293F415"/>
    <s v="P02"/>
    <n v="1"/>
    <n v="1"/>
    <d v="2024-09-12T00:00:00"/>
    <n v="1"/>
    <x v="1"/>
    <d v="1899-12-30T09:15:00"/>
    <n v="0.25000000000000044"/>
    <d v="2024-09-12T00:00:00"/>
    <x v="4"/>
    <s v="Final Machining"/>
    <m/>
  </r>
  <r>
    <n v="91"/>
    <s v="B512104/A"/>
    <s v="RH7234F374"/>
    <s v="P2-1-1"/>
    <n v="1"/>
    <n v="1"/>
    <d v="2024-09-12T00:00:00"/>
    <n v="1"/>
    <x v="1"/>
    <d v="1899-12-30T09:10:00"/>
    <n v="0.16666666666666607"/>
    <d v="2024-09-12T00:00:00"/>
    <x v="4"/>
    <s v="Final Machining"/>
    <m/>
  </r>
  <r>
    <n v="92"/>
    <s v="B508313/A"/>
    <s v="RH2670F401"/>
    <s v="P1-1"/>
    <n v="1"/>
    <n v="1"/>
    <d v="2024-09-12T00:00:00"/>
    <n v="1"/>
    <x v="1"/>
    <d v="1899-12-30T09:20:00"/>
    <n v="0.33333333333333348"/>
    <d v="2024-09-12T00:00:00"/>
    <x v="4"/>
    <s v="Final Machining"/>
    <m/>
  </r>
  <r>
    <n v="93"/>
    <s v="B509926/A"/>
    <s v="RH5230F1119"/>
    <s v="A1-S1"/>
    <n v="20"/>
    <n v="20"/>
    <d v="2024-09-16T00:00:00"/>
    <n v="1"/>
    <x v="2"/>
    <d v="1899-12-30T11:00:00"/>
    <n v="0.99999999999999911"/>
    <d v="2024-09-16T00:00:00"/>
    <x v="4"/>
    <s v="Assembly"/>
    <m/>
  </r>
  <r>
    <n v="94"/>
    <s v="B508413/A"/>
    <s v="RH3443F18"/>
    <s v="A4-S1"/>
    <n v="19"/>
    <n v="38"/>
    <d v="2024-09-16T00:00:00"/>
    <n v="1"/>
    <x v="3"/>
    <d v="1899-12-30T14:45:00"/>
    <n v="0.75"/>
    <d v="2024-09-16T00:00:00"/>
    <x v="5"/>
    <s v="Technical"/>
    <m/>
  </r>
  <r>
    <n v="95"/>
    <s v="B508413/A"/>
    <s v="RH3443F18"/>
    <s v="A6-S1"/>
    <n v="19"/>
    <n v="114"/>
    <d v="2024-09-16T00:00:00"/>
    <n v="1"/>
    <x v="3"/>
    <d v="1899-12-30T15:30:00"/>
    <n v="1.5"/>
    <d v="2024-09-16T00:00:00"/>
    <x v="5"/>
    <s v="Technical"/>
    <m/>
  </r>
  <r>
    <n v="96"/>
    <s v="B510016/A"/>
    <s v="RH4080F18"/>
    <s v="A1-S1-1"/>
    <n v="32"/>
    <n v="64"/>
    <d v="2024-09-16T00:00:00"/>
    <n v="1"/>
    <x v="3"/>
    <d v="1899-12-30T15:00:00"/>
    <n v="0.99999999999999911"/>
    <d v="2024-09-16T00:00:00"/>
    <x v="5"/>
    <s v="Technical"/>
    <m/>
  </r>
  <r>
    <n v="97"/>
    <s v="B511380/A"/>
    <s v="RH1836F8"/>
    <s v="A1-S3"/>
    <n v="10"/>
    <n v="20"/>
    <d v="2024-09-16T00:00:00"/>
    <n v="1"/>
    <x v="3"/>
    <d v="1899-12-30T14:30:00"/>
    <n v="0.49999999999999822"/>
    <d v="2024-09-16T00:00:00"/>
    <x v="5"/>
    <s v="Technical"/>
    <m/>
  </r>
  <r>
    <n v="98"/>
    <s v="B511380/A"/>
    <s v="RH1836F8"/>
    <s v="A1-S2"/>
    <n v="10"/>
    <n v="20"/>
    <d v="2024-09-16T00:00:00"/>
    <n v="1"/>
    <x v="3"/>
    <d v="1899-12-30T14:45:00"/>
    <n v="0.75"/>
    <d v="2024-09-16T00:00:00"/>
    <x v="5"/>
    <s v="Technical"/>
    <m/>
  </r>
  <r>
    <n v="99"/>
    <s v="B508041/A"/>
    <s v="AR462F1001"/>
    <s v="A1-S1"/>
    <n v="1"/>
    <n v="1"/>
    <d v="2024-09-16T00:00:00"/>
    <n v="1"/>
    <x v="3"/>
    <d v="1899-12-30T14:30:00"/>
    <n v="0.49999999999999822"/>
    <d v="2024-09-16T00:00:00"/>
    <x v="5"/>
    <s v="Final Machining"/>
    <s v="làm lại lần 2"/>
  </r>
  <r>
    <n v="100"/>
    <s v="B502881/A"/>
    <s v="BN2690F355"/>
    <s v="P3-1"/>
    <n v="1"/>
    <n v="2"/>
    <d v="2024-09-16T00:00:00"/>
    <n v="1"/>
    <x v="3"/>
    <d v="1899-12-30T14:30:00"/>
    <n v="0.49999999999999822"/>
    <d v="2024-09-16T00:00:00"/>
    <x v="5"/>
    <s v="không xác định"/>
    <m/>
  </r>
  <r>
    <n v="101"/>
    <s v="B506413/A"/>
    <s v="AR358M1001"/>
    <s v="A1-S1"/>
    <n v="1"/>
    <n v="1"/>
    <d v="2024-09-18T00:00:00"/>
    <n v="1"/>
    <x v="12"/>
    <d v="1899-12-30T12:00:00"/>
    <n v="4"/>
    <d v="2024-09-18T00:00:00"/>
    <x v="5"/>
    <s v="không xác định"/>
    <m/>
  </r>
  <r>
    <n v="102"/>
    <s v="B509755/A"/>
    <s v="BN2908F355"/>
    <s v="A2-S1"/>
    <n v="3"/>
    <n v="3"/>
    <d v="2024-09-18T00:00:00"/>
    <n v="1"/>
    <x v="6"/>
    <d v="1899-12-30T13:30:00"/>
    <n v="0.50000000000000089"/>
    <d v="2024-09-18T00:00:00"/>
    <x v="5"/>
    <s v="Final Machining"/>
    <m/>
  </r>
  <r>
    <n v="103"/>
    <s v="B506638/A"/>
    <s v="HS5392F1090"/>
    <s v="A2-S14"/>
    <n v="2"/>
    <n v="2"/>
    <d v="2024-09-18T00:00:00"/>
    <n v="1"/>
    <x v="6"/>
    <d v="1899-12-30T13:30:00"/>
    <n v="0.50000000000000089"/>
    <d v="2024-09-18T00:00:00"/>
    <x v="5"/>
    <s v="Final Machining"/>
    <m/>
  </r>
  <r>
    <n v="104"/>
    <s v="B510156/A"/>
    <s v="RH9067F410"/>
    <s v="A1-S00"/>
    <n v="1"/>
    <n v="1"/>
    <d v="2024-09-18T00:00:00"/>
    <n v="1"/>
    <x v="6"/>
    <d v="1899-12-30T13:30:00"/>
    <n v="0.50000000000000089"/>
    <d v="2024-09-18T00:00:00"/>
    <x v="5"/>
    <s v="Final Machining"/>
    <m/>
  </r>
  <r>
    <n v="105"/>
    <s v="B509753/A"/>
    <s v="BN2865F355"/>
    <s v="P3"/>
    <n v="10"/>
    <n v="20"/>
    <d v="2024-09-18T00:00:00"/>
    <n v="1"/>
    <x v="6"/>
    <d v="1899-12-30T14:30:00"/>
    <n v="1.5"/>
    <d v="2024-09-18T00:00:00"/>
    <x v="5"/>
    <s v="Unassigned"/>
    <m/>
  </r>
  <r>
    <n v="106"/>
    <s v="B508034/A"/>
    <s v="AR452F1001"/>
    <s v="P4"/>
    <n v="3"/>
    <n v="6"/>
    <d v="2024-09-19T00:00:00"/>
    <n v="1"/>
    <x v="3"/>
    <d v="1899-12-30T14:45:00"/>
    <n v="0.75"/>
    <d v="2024-09-19T00:00:00"/>
    <x v="5"/>
    <s v="Unassigned"/>
    <m/>
  </r>
  <r>
    <n v="107"/>
    <s v="B508034/A"/>
    <s v="AR452F1001"/>
    <s v="P5"/>
    <n v="3"/>
    <n v="6"/>
    <d v="2024-09-19T00:00:00"/>
    <n v="1"/>
    <x v="3"/>
    <d v="1899-12-30T14:45:00"/>
    <n v="0.75"/>
    <d v="2024-09-19T00:00:00"/>
    <x v="5"/>
    <s v="Unassigned"/>
    <m/>
  </r>
  <r>
    <n v="108"/>
    <m/>
    <s v="RH441F01"/>
    <s v="13 chí tiết "/>
    <m/>
    <m/>
    <d v="2024-09-19T00:00:00"/>
    <n v="1"/>
    <x v="6"/>
    <d v="1899-12-30T19:00:00"/>
    <n v="6"/>
    <d v="2024-09-19T00:00:00"/>
    <x v="5"/>
    <s v="bào trì"/>
    <s v="làm tủ cho bào trì "/>
  </r>
  <r>
    <n v="109"/>
    <s v="B504654/A"/>
    <s v="HS5229F1090"/>
    <s v="P2-1"/>
    <n v="33"/>
    <n v="33"/>
    <d v="2024-09-20T00:00:00"/>
    <n v="1"/>
    <x v="3"/>
    <d v="1899-12-30T15:00:00"/>
    <n v="0.99999999999999911"/>
    <d v="2024-09-20T00:00:00"/>
    <x v="5"/>
    <s v="Technical"/>
    <m/>
  </r>
  <r>
    <n v="110"/>
    <s v="B504657/A"/>
    <s v="HS5383F1090"/>
    <s v="P2-1"/>
    <n v="63"/>
    <n v="63"/>
    <d v="2024-09-20T00:00:00"/>
    <n v="1"/>
    <x v="3"/>
    <d v="1899-12-30T15:30:00"/>
    <n v="1.5"/>
    <d v="2024-09-20T00:00:00"/>
    <x v="5"/>
    <s v="Technical"/>
    <m/>
  </r>
  <r>
    <n v="111"/>
    <s v="B505022/A"/>
    <s v="HS5384F1090"/>
    <s v="A5-S1--1"/>
    <n v="2"/>
    <n v="2"/>
    <d v="2024-09-20T00:00:00"/>
    <n v="1"/>
    <x v="3"/>
    <d v="1899-12-30T14:20:00"/>
    <n v="0.33333333333333215"/>
    <d v="2024-09-20T00:00:00"/>
    <x v="5"/>
    <s v="Assembly"/>
    <m/>
  </r>
  <r>
    <n v="112"/>
    <s v="B505022/A"/>
    <s v="HS5384F1090"/>
    <s v="A5-S1-2"/>
    <n v="2"/>
    <n v="2"/>
    <d v="2024-09-20T00:00:00"/>
    <n v="1"/>
    <x v="3"/>
    <d v="1899-12-30T14:20:00"/>
    <n v="0.33333333333333215"/>
    <d v="2024-09-20T00:00:00"/>
    <x v="5"/>
    <s v="Assembly"/>
    <m/>
  </r>
  <r>
    <n v="113"/>
    <s v="B509586/A"/>
    <s v="AR081F871"/>
    <s v="A1"/>
    <n v="1"/>
    <n v="1"/>
    <d v="2024-09-20T00:00:00"/>
    <n v="1"/>
    <x v="3"/>
    <d v="1899-12-30T14:20:00"/>
    <n v="0.33333333333333215"/>
    <d v="2024-09-20T00:00:00"/>
    <x v="5"/>
    <s v="Machining"/>
    <m/>
  </r>
  <r>
    <n v="114"/>
    <m/>
    <s v="MK5880F1010"/>
    <s v="WD-03-009"/>
    <n v="4"/>
    <n v="4"/>
    <d v="2024-09-22T00:00:00"/>
    <n v="1"/>
    <x v="1"/>
    <d v="1899-12-30T09:30:00"/>
    <n v="0.49999999999999956"/>
    <d v="2024-09-22T00:00:00"/>
    <x v="6"/>
    <s v="Finishing"/>
    <s v="Mr.Sơn"/>
  </r>
  <r>
    <n v="115"/>
    <s v="B509753/A"/>
    <s v="BN2865F355"/>
    <s v="P03"/>
    <n v="3"/>
    <n v="6"/>
    <d v="2024-09-22T00:00:00"/>
    <n v="1"/>
    <x v="1"/>
    <d v="1899-12-30T09:45:00"/>
    <n v="0.75"/>
    <d v="2024-09-22T00:00:00"/>
    <x v="6"/>
    <s v="Final Machining"/>
    <m/>
  </r>
  <r>
    <n v="116"/>
    <s v="B506413/A"/>
    <s v="AR358M1001"/>
    <s v="A1-S1"/>
    <n v="1"/>
    <n v="1"/>
    <d v="2024-09-23T00:00:00"/>
    <n v="1"/>
    <x v="6"/>
    <d v="1899-12-30T14:00:00"/>
    <n v="1.0000000000000018"/>
    <d v="2024-09-23T00:00:00"/>
    <x v="6"/>
    <s v="không xác định"/>
    <s v="làm lại lần 2"/>
  </r>
  <r>
    <n v="117"/>
    <s v="bảng màu cước "/>
    <m/>
    <m/>
    <n v="4"/>
    <n v="1"/>
    <d v="2024-09-23T00:00:00"/>
    <n v="1"/>
    <x v="6"/>
    <d v="1899-12-30T13:45:00"/>
    <n v="0.75"/>
    <d v="2024-09-23T00:00:00"/>
    <x v="6"/>
    <s v="ME"/>
    <m/>
  </r>
  <r>
    <n v="118"/>
    <s v="bảng màu cước "/>
    <m/>
    <m/>
    <n v="6"/>
    <n v="1"/>
    <d v="2024-09-23T00:00:00"/>
    <n v="1"/>
    <x v="6"/>
    <d v="1899-12-30T13:45:00"/>
    <n v="0.75"/>
    <d v="2024-09-23T00:00:00"/>
    <x v="6"/>
    <s v="ME"/>
    <m/>
  </r>
  <r>
    <n v="119"/>
    <s v="bảng màu cước "/>
    <m/>
    <m/>
    <n v="4"/>
    <n v="1"/>
    <d v="2024-09-23T00:00:00"/>
    <n v="1"/>
    <x v="6"/>
    <d v="1899-12-30T13:45:00"/>
    <n v="0.75"/>
    <d v="2024-09-23T00:00:00"/>
    <x v="6"/>
    <s v="ME"/>
    <m/>
  </r>
  <r>
    <n v="120"/>
    <s v="bảng màu cước "/>
    <m/>
    <m/>
    <n v="2"/>
    <n v="1"/>
    <d v="2024-09-23T00:00:00"/>
    <n v="1"/>
    <x v="6"/>
    <d v="1899-12-30T13:30:00"/>
    <n v="0.50000000000000089"/>
    <d v="2024-09-23T00:00:00"/>
    <x v="6"/>
    <s v="ME"/>
    <m/>
  </r>
  <r>
    <n v="121"/>
    <s v="bảng màu cước "/>
    <m/>
    <m/>
    <n v="2"/>
    <n v="1"/>
    <d v="2024-09-23T00:00:00"/>
    <n v="1"/>
    <x v="6"/>
    <d v="1899-12-30T13:45:00"/>
    <n v="0.75"/>
    <d v="2024-09-23T00:00:00"/>
    <x v="6"/>
    <s v="ME"/>
    <m/>
  </r>
  <r>
    <n v="122"/>
    <s v="bảng màu cước "/>
    <m/>
    <m/>
    <n v="4"/>
    <n v="1"/>
    <d v="2024-09-23T00:00:00"/>
    <n v="1"/>
    <x v="6"/>
    <d v="1899-12-30T13:45:00"/>
    <n v="0.75"/>
    <d v="2024-09-23T00:00:00"/>
    <x v="6"/>
    <s v="ME"/>
    <m/>
  </r>
  <r>
    <n v="123"/>
    <s v="bảng màu cước "/>
    <m/>
    <m/>
    <n v="4"/>
    <n v="1"/>
    <d v="2024-09-23T00:00:00"/>
    <n v="1"/>
    <x v="6"/>
    <d v="1899-12-30T13:45:00"/>
    <n v="0.75"/>
    <d v="2024-09-23T00:00:00"/>
    <x v="6"/>
    <s v="ME"/>
    <m/>
  </r>
  <r>
    <n v="124"/>
    <s v="bảng màu cước "/>
    <m/>
    <m/>
    <n v="4"/>
    <n v="1"/>
    <d v="2024-09-23T00:00:00"/>
    <n v="1"/>
    <x v="6"/>
    <d v="1899-12-30T13:30:00"/>
    <n v="0.50000000000000089"/>
    <d v="2024-09-23T00:00:00"/>
    <x v="6"/>
    <s v="ME"/>
    <m/>
  </r>
  <r>
    <n v="125"/>
    <s v="bảng màu cước "/>
    <m/>
    <m/>
    <n v="6"/>
    <n v="1"/>
    <d v="2024-09-23T00:00:00"/>
    <n v="1"/>
    <x v="6"/>
    <d v="1899-12-30T13:45:00"/>
    <n v="0.75"/>
    <d v="2024-09-23T00:00:00"/>
    <x v="6"/>
    <s v="ME"/>
    <m/>
  </r>
  <r>
    <n v="126"/>
    <s v="bảng màu cước "/>
    <m/>
    <m/>
    <n v="2"/>
    <n v="1"/>
    <d v="2024-09-23T00:00:00"/>
    <n v="1"/>
    <x v="6"/>
    <d v="1899-12-30T13:30:00"/>
    <n v="0.50000000000000089"/>
    <d v="2024-09-23T00:00:00"/>
    <x v="6"/>
    <s v="ME"/>
    <m/>
  </r>
  <r>
    <n v="127"/>
    <s v="bảng màu cước "/>
    <m/>
    <m/>
    <n v="2"/>
    <n v="1"/>
    <d v="2024-09-23T00:00:00"/>
    <n v="1"/>
    <x v="6"/>
    <d v="1899-12-30T13:30:00"/>
    <n v="0.50000000000000089"/>
    <d v="2024-09-23T00:00:00"/>
    <x v="6"/>
    <s v="ME"/>
    <m/>
  </r>
  <r>
    <n v="128"/>
    <s v="bảng màu cước "/>
    <m/>
    <m/>
    <n v="2"/>
    <n v="1"/>
    <d v="2024-09-23T00:00:00"/>
    <n v="1"/>
    <x v="6"/>
    <d v="1899-12-30T13:30:00"/>
    <n v="0.50000000000000089"/>
    <d v="2024-09-23T00:00:00"/>
    <x v="6"/>
    <s v="ME"/>
    <m/>
  </r>
  <r>
    <n v="129"/>
    <s v="bảng màu cước "/>
    <m/>
    <m/>
    <n v="2"/>
    <n v="1"/>
    <d v="2024-09-23T00:00:00"/>
    <n v="1"/>
    <x v="6"/>
    <d v="1899-12-30T13:30:00"/>
    <n v="0.50000000000000089"/>
    <d v="2024-09-23T00:00:00"/>
    <x v="6"/>
    <s v="ME"/>
    <m/>
  </r>
  <r>
    <n v="130"/>
    <s v="B505039/A"/>
    <s v="JV011F356"/>
    <s v="PB+PC"/>
    <n v="310"/>
    <n v="310"/>
    <d v="2024-09-24T00:00:00"/>
    <n v="1"/>
    <x v="2"/>
    <d v="1899-12-30T11:00:00"/>
    <n v="0.99999999999999911"/>
    <d v="2024-09-24T00:00:00"/>
    <x v="6"/>
    <s v="Machining"/>
    <m/>
  </r>
  <r>
    <n v="131"/>
    <s v="B511193/A"/>
    <s v="BN2436F194"/>
    <s v="P5"/>
    <n v="16"/>
    <n v="16"/>
    <d v="2024-09-24T00:00:00"/>
    <n v="1"/>
    <x v="1"/>
    <d v="1899-12-30T10:00:00"/>
    <n v="1.0000000000000004"/>
    <d v="2024-09-24T00:00:00"/>
    <x v="6"/>
    <s v="Unassigned"/>
    <m/>
  </r>
  <r>
    <n v="132"/>
    <s v="B511235/A"/>
    <s v="CZ183F190"/>
    <s v="A1-S1"/>
    <n v="5"/>
    <n v="5"/>
    <d v="2024-09-24T00:00:00"/>
    <n v="1"/>
    <x v="1"/>
    <d v="1899-12-30T09:30:00"/>
    <n v="0.49999999999999956"/>
    <d v="2024-09-24T00:00:00"/>
    <x v="6"/>
    <s v="Unassigned"/>
    <m/>
  </r>
  <r>
    <n v="133"/>
    <s v="B511252/A"/>
    <s v="CZ203F08"/>
    <s v="A5-S1"/>
    <n v="2"/>
    <n v="4"/>
    <d v="2024-09-24T00:00:00"/>
    <n v="1"/>
    <x v="1"/>
    <d v="1899-12-30T09:30:00"/>
    <n v="0.49999999999999956"/>
    <d v="2024-09-24T00:00:00"/>
    <x v="6"/>
    <s v="Unassigned"/>
    <m/>
  </r>
  <r>
    <n v="134"/>
    <s v="B511501/A"/>
    <s v="RH3568F372"/>
    <s v="A1-S2"/>
    <n v="2"/>
    <n v="2"/>
    <d v="2024-09-24T00:00:00"/>
    <n v="1"/>
    <x v="1"/>
    <d v="1899-12-30T09:30:00"/>
    <n v="0.49999999999999956"/>
    <d v="2024-09-24T00:00:00"/>
    <x v="6"/>
    <s v="Unassigned"/>
    <m/>
  </r>
  <r>
    <n v="135"/>
    <s v="B511185/A"/>
    <s v="BN2434F193"/>
    <s v="P05"/>
    <n v="2"/>
    <n v="2"/>
    <d v="2024-09-24T00:00:00"/>
    <n v="1"/>
    <x v="1"/>
    <d v="1899-12-30T09:20:00"/>
    <n v="0.33333333333333348"/>
    <d v="2024-09-24T00:00:00"/>
    <x v="6"/>
    <s v="Unassigned"/>
    <m/>
  </r>
  <r>
    <n v="136"/>
    <m/>
    <s v="RH9861F423"/>
    <s v="A1-S1"/>
    <n v="1"/>
    <n v="1"/>
    <d v="2024-09-25T00:00:00"/>
    <n v="1"/>
    <x v="3"/>
    <d v="1899-12-30T14:50:00"/>
    <n v="0.83333333333333304"/>
    <d v="2024-09-25T00:00:00"/>
    <x v="6"/>
    <s v="Final Machining"/>
    <m/>
  </r>
  <r>
    <n v="137"/>
    <s v="B497879/A"/>
    <s v="AR760F834-BASE"/>
    <s v="A0"/>
    <n v="1"/>
    <n v="1"/>
    <d v="2024-09-27T00:00:00"/>
    <n v="1"/>
    <x v="1"/>
    <d v="1899-12-30T09:20:00"/>
    <n v="0.33333333333333348"/>
    <d v="2024-09-27T00:00:00"/>
    <x v="6"/>
    <s v="QA/testing"/>
    <m/>
  </r>
  <r>
    <n v="138"/>
    <s v="B497879/A"/>
    <s v="AR760F834-BASE"/>
    <s v="a1-s2"/>
    <n v="1"/>
    <n v="2"/>
    <d v="2024-09-27T00:00:00"/>
    <n v="1"/>
    <x v="1"/>
    <d v="1899-12-30T09:20:00"/>
    <n v="0.33333333333333348"/>
    <d v="2024-09-27T00:00:00"/>
    <x v="6"/>
    <s v="QA/testing"/>
    <m/>
  </r>
  <r>
    <n v="139"/>
    <s v="B497879/A"/>
    <s v="AR760F834-BASE"/>
    <s v="a1-s3"/>
    <n v="1"/>
    <n v="2"/>
    <d v="2024-09-27T00:00:00"/>
    <n v="1"/>
    <x v="1"/>
    <d v="1899-12-30T09:20:00"/>
    <n v="0.33333333333333348"/>
    <d v="2024-09-27T00:00:00"/>
    <x v="6"/>
    <s v="QA/testing"/>
    <m/>
  </r>
  <r>
    <n v="140"/>
    <s v="B497879/A"/>
    <s v="AR760F834-BASE"/>
    <s v="a1-s4"/>
    <n v="1"/>
    <n v="2"/>
    <d v="2024-09-27T00:00:00"/>
    <n v="1"/>
    <x v="1"/>
    <d v="1899-12-30T09:20:00"/>
    <n v="0.33333333333333348"/>
    <d v="2024-09-27T00:00:00"/>
    <x v="6"/>
    <s v="QA/testing"/>
    <m/>
  </r>
  <r>
    <n v="141"/>
    <s v="B497879/A"/>
    <s v="AR760F834-BASE"/>
    <s v="a1-s5"/>
    <n v="1"/>
    <n v="2"/>
    <d v="2024-09-27T00:00:00"/>
    <n v="1"/>
    <x v="1"/>
    <d v="1899-12-30T09:30:00"/>
    <n v="0.49999999999999956"/>
    <d v="2024-09-27T00:00:00"/>
    <x v="6"/>
    <s v="QA/testing"/>
    <m/>
  </r>
  <r>
    <n v="142"/>
    <s v="B497863/A"/>
    <s v="AR417F834-BASE"/>
    <s v="a2-s1"/>
    <n v="1"/>
    <n v="1"/>
    <d v="2024-09-27T00:00:00"/>
    <n v="1"/>
    <x v="1"/>
    <d v="1899-12-30T09:30:00"/>
    <n v="0.49999999999999956"/>
    <d v="2024-09-27T00:00:00"/>
    <x v="6"/>
    <s v="QA/testing"/>
    <m/>
  </r>
  <r>
    <n v="143"/>
    <s v="B497843/A"/>
    <s v="AR176F892"/>
    <s v="a2-s1"/>
    <n v="1"/>
    <n v="1"/>
    <d v="2024-09-27T00:00:00"/>
    <n v="1"/>
    <x v="1"/>
    <d v="1899-12-30T09:20:00"/>
    <n v="0.33333333333333348"/>
    <d v="2024-09-27T00:00:00"/>
    <x v="6"/>
    <s v="QA/testing"/>
    <m/>
  </r>
  <r>
    <n v="144"/>
    <s v="B497843/A"/>
    <s v="AR176F892"/>
    <s v="a1-s2"/>
    <n v="1"/>
    <n v="1"/>
    <d v="2024-09-27T00:00:00"/>
    <n v="1"/>
    <x v="1"/>
    <d v="1899-12-30T09:20:00"/>
    <n v="0.33333333333333348"/>
    <d v="2024-09-27T00:00:00"/>
    <x v="6"/>
    <s v="QA/testing"/>
    <m/>
  </r>
  <r>
    <n v="145"/>
    <s v="B497843/A"/>
    <s v="AR176F892"/>
    <s v="a1-s3"/>
    <n v="1"/>
    <n v="2"/>
    <d v="2024-09-27T00:00:00"/>
    <n v="1"/>
    <x v="1"/>
    <d v="1899-12-30T09:20:00"/>
    <n v="0.33333333333333348"/>
    <d v="2024-09-27T00:00:00"/>
    <x v="6"/>
    <s v="QA/testing"/>
    <m/>
  </r>
  <r>
    <n v="146"/>
    <s v="B497843/A"/>
    <s v="AR176F892"/>
    <s v="a1-s4"/>
    <n v="1"/>
    <n v="2"/>
    <d v="2024-09-27T00:00:00"/>
    <n v="1"/>
    <x v="1"/>
    <d v="1899-12-30T09:20:00"/>
    <n v="0.33333333333333348"/>
    <d v="2024-09-27T00:00:00"/>
    <x v="6"/>
    <s v="QA/testing"/>
    <m/>
  </r>
  <r>
    <n v="147"/>
    <s v="B497843/A"/>
    <s v="AR176F892"/>
    <s v="a1-s5"/>
    <n v="1"/>
    <n v="2"/>
    <d v="2024-09-27T00:00:00"/>
    <n v="1"/>
    <x v="1"/>
    <d v="1899-12-30T09:20:00"/>
    <n v="0.33333333333333348"/>
    <d v="2024-09-27T00:00:00"/>
    <x v="6"/>
    <s v="QA/testing"/>
    <m/>
  </r>
  <r>
    <n v="148"/>
    <s v="B497861/A"/>
    <s v="AR407F1001"/>
    <s v="a1-s1"/>
    <n v="1"/>
    <n v="2"/>
    <d v="2024-09-27T00:00:00"/>
    <n v="1"/>
    <x v="1"/>
    <d v="1899-12-30T09:30:00"/>
    <n v="0.49999999999999956"/>
    <d v="2024-09-27T00:00:00"/>
    <x v="6"/>
    <s v="QA/testing"/>
    <m/>
  </r>
  <r>
    <n v="149"/>
    <s v="B497879/A"/>
    <s v="AR760F834-BASE"/>
    <s v="a1-s1"/>
    <n v="1"/>
    <n v="2"/>
    <d v="2024-09-27T00:00:00"/>
    <n v="1"/>
    <x v="1"/>
    <d v="1899-12-30T09:30:00"/>
    <n v="0.49999999999999956"/>
    <d v="2024-09-27T00:00:00"/>
    <x v="6"/>
    <s v="QA/testing"/>
    <m/>
  </r>
  <r>
    <n v="150"/>
    <s v="B497843/A"/>
    <s v="AR176F892"/>
    <s v="A0"/>
    <n v="1"/>
    <n v="1"/>
    <d v="2024-09-27T00:00:00"/>
    <n v="1"/>
    <x v="1"/>
    <d v="1899-12-30T09:20:00"/>
    <n v="0.33333333333333348"/>
    <d v="2024-09-27T00:00:00"/>
    <x v="6"/>
    <s v="QA/testing"/>
    <m/>
  </r>
  <r>
    <n v="151"/>
    <s v="B497861/A"/>
    <s v="AR407F1001"/>
    <s v="A1-1"/>
    <n v="1"/>
    <n v="1"/>
    <d v="2024-09-27T00:00:00"/>
    <n v="1"/>
    <x v="1"/>
    <d v="1899-12-30T09:20:00"/>
    <n v="0.33333333333333348"/>
    <d v="2024-09-27T00:00:00"/>
    <x v="6"/>
    <s v="QA/testing"/>
    <m/>
  </r>
  <r>
    <n v="152"/>
    <s v="bảng màu "/>
    <s v="RH500"/>
    <s v="WD-03-229"/>
    <n v="30"/>
    <n v="30"/>
    <d v="2024-09-27T00:00:00"/>
    <n v="1"/>
    <x v="12"/>
    <d v="1899-12-30T09:00:00"/>
    <n v="1.0000000000000004"/>
    <d v="2024-09-27T00:00:00"/>
    <x v="6"/>
    <s v="Finishing"/>
    <s v="Mr.Sơn"/>
  </r>
  <r>
    <n v="153"/>
    <s v="bảng màu "/>
    <s v="RH500"/>
    <s v="WD-03-229"/>
    <n v="30"/>
    <n v="30"/>
    <d v="2024-09-27T00:00:00"/>
    <n v="1"/>
    <x v="12"/>
    <d v="1899-12-30T09:00:00"/>
    <n v="1.0000000000000004"/>
    <d v="2024-09-27T00:00:00"/>
    <x v="6"/>
    <s v="Finishing"/>
    <s v="Mr.Sơn"/>
  </r>
  <r>
    <n v="154"/>
    <s v="bảng màu "/>
    <s v="RH500"/>
    <s v="WD-03-326"/>
    <n v="30"/>
    <n v="30"/>
    <d v="2024-09-27T00:00:00"/>
    <n v="1"/>
    <x v="12"/>
    <d v="1899-12-30T09:00:00"/>
    <n v="1.0000000000000004"/>
    <d v="2024-09-27T00:00:00"/>
    <x v="6"/>
    <s v="Finishing"/>
    <s v="Mr.Sơn"/>
  </r>
  <r>
    <n v="155"/>
    <s v="bảng màu "/>
    <s v="RH500"/>
    <s v="WD-03-326"/>
    <n v="30"/>
    <n v="30"/>
    <d v="2024-09-27T00:00:00"/>
    <n v="1"/>
    <x v="12"/>
    <d v="1899-12-30T09:00:00"/>
    <n v="1.0000000000000004"/>
    <d v="2024-09-27T00:00:00"/>
    <x v="6"/>
    <s v="Finishing"/>
    <s v="Mr.Sơn"/>
  </r>
  <r>
    <n v="156"/>
    <s v="bảng màu "/>
    <s v="RH500"/>
    <s v="WD-03-141"/>
    <n v="30"/>
    <n v="30"/>
    <d v="2024-09-27T00:00:00"/>
    <n v="1"/>
    <x v="12"/>
    <d v="1899-12-30T09:00:00"/>
    <n v="1.0000000000000004"/>
    <d v="2024-09-27T00:00:00"/>
    <x v="6"/>
    <s v="Finishing"/>
    <s v="Mr.Sơn"/>
  </r>
  <r>
    <n v="157"/>
    <s v="B511318/A"/>
    <s v="CZ848M409"/>
    <s v="A1-S5"/>
    <n v="9"/>
    <n v="9"/>
    <d v="2024-09-27T00:00:00"/>
    <n v="1"/>
    <x v="12"/>
    <d v="1899-12-30T14:00:00"/>
    <n v="6.0000000000000018"/>
    <d v="2024-09-27T00:00:00"/>
    <x v="6"/>
    <s v="Unassigned"/>
    <m/>
  </r>
  <r>
    <n v="136"/>
    <s v="B511604/A"/>
    <s v="RH9079F370"/>
    <s v="A1"/>
    <n v="1"/>
    <n v="1"/>
    <d v="2024-09-27T00:00:00"/>
    <n v="1"/>
    <x v="12"/>
    <d v="1899-12-30T09:30:00"/>
    <n v="1.5"/>
    <d v="2024-09-27T00:00:00"/>
    <x v="6"/>
    <s v="Final Machining"/>
    <m/>
  </r>
  <r>
    <n v="159"/>
    <m/>
    <s v="SH758"/>
    <s v="P01"/>
    <n v="1"/>
    <n v="1"/>
    <d v="2024-09-28T00:00:00"/>
    <n v="1"/>
    <x v="1"/>
    <d v="1899-12-30T09:20:00"/>
    <n v="0.33333333333333348"/>
    <d v="2024-09-28T00:00:00"/>
    <x v="6"/>
    <s v="không xác định"/>
    <s v="Mẫu test"/>
  </r>
  <r>
    <n v="160"/>
    <m/>
    <s v="SH758"/>
    <s v="P02"/>
    <n v="2"/>
    <n v="2"/>
    <d v="2024-09-28T00:00:00"/>
    <n v="1"/>
    <x v="1"/>
    <d v="1899-12-30T09:30:00"/>
    <n v="0.49999999999999956"/>
    <d v="2024-09-28T00:00:00"/>
    <x v="6"/>
    <s v="không xác định"/>
    <s v="Mẫu test"/>
  </r>
  <r>
    <n v="161"/>
    <m/>
    <s v="SH758"/>
    <s v="P05"/>
    <n v="1"/>
    <n v="1"/>
    <d v="2024-09-28T00:00:00"/>
    <n v="1"/>
    <x v="1"/>
    <d v="1899-12-30T09:15:00"/>
    <n v="0.25000000000000044"/>
    <d v="2024-09-28T00:00:00"/>
    <x v="6"/>
    <s v="không xác định"/>
    <s v="Mẫu test"/>
  </r>
  <r>
    <n v="162"/>
    <s v="B508206/A"/>
    <s v="HS5394F1091"/>
    <s v="P02"/>
    <n v="3"/>
    <n v="3"/>
    <d v="2024-09-28T00:00:00"/>
    <n v="1"/>
    <x v="13"/>
    <d v="1899-12-30T14:30:00"/>
    <n v="0.99999999999999911"/>
    <d v="2024-09-28T00:00:00"/>
    <x v="6"/>
    <s v="Final Machining"/>
    <m/>
  </r>
  <r>
    <n v="163"/>
    <m/>
    <s v="AR358F1001"/>
    <s v="P00"/>
    <n v="1"/>
    <n v="4"/>
    <d v="2024-09-28T00:00:00"/>
    <n v="1"/>
    <x v="1"/>
    <d v="1899-12-30T11:30:00"/>
    <n v="2.5000000000000004"/>
    <d v="2024-09-28T00:00:00"/>
    <x v="6"/>
    <s v="không xác định"/>
    <s v="Mẫu test"/>
  </r>
  <r>
    <n v="164"/>
    <s v="B508063/A"/>
    <s v="AR768F1001"/>
    <s v="P02"/>
    <n v="2"/>
    <n v="4"/>
    <d v="2024-09-30T00:00:00"/>
    <n v="1"/>
    <x v="6"/>
    <d v="1899-12-30T13:30:00"/>
    <n v="0.50000000000000089"/>
    <d v="2024-09-30T00:00:00"/>
    <x v="7"/>
    <s v="Unassigned"/>
    <m/>
  </r>
  <r>
    <n v="165"/>
    <s v="B512636/A"/>
    <s v="DL015F836"/>
    <s v="A1-S4"/>
    <n v="35"/>
    <n v="70"/>
    <d v="2024-10-02T00:00:00"/>
    <n v="1"/>
    <x v="1"/>
    <d v="1899-12-30T10:00:00"/>
    <n v="1.0000000000000004"/>
    <d v="2024-10-02T00:00:00"/>
    <x v="7"/>
    <s v="KHÁCH HÀNG "/>
    <m/>
  </r>
  <r>
    <n v="166"/>
    <s v="B512636/A"/>
    <s v="DL015F836"/>
    <s v="A1-S5"/>
    <n v="35"/>
    <n v="70"/>
    <d v="2024-10-02T00:00:00"/>
    <n v="1"/>
    <x v="1"/>
    <d v="1899-12-30T10:00:00"/>
    <n v="1.0000000000000004"/>
    <d v="2024-10-02T00:00:00"/>
    <x v="7"/>
    <s v="KHÁCH HÀNG "/>
    <m/>
  </r>
  <r>
    <n v="167"/>
    <s v="B512636/A"/>
    <s v="DL015F836"/>
    <s v="A1-S6"/>
    <n v="35"/>
    <n v="35"/>
    <d v="2024-10-02T00:00:00"/>
    <n v="1"/>
    <x v="1"/>
    <d v="1899-12-30T09:45:00"/>
    <n v="0.75"/>
    <d v="2024-10-02T00:00:00"/>
    <x v="7"/>
    <s v="KHÁCH HÀNG "/>
    <m/>
  </r>
  <r>
    <n v="168"/>
    <s v="B512639/A"/>
    <s v="DL016F836"/>
    <s v="A1-S4"/>
    <n v="30"/>
    <n v="120"/>
    <d v="2024-10-02T00:00:00"/>
    <n v="1"/>
    <x v="1"/>
    <d v="1899-12-30T10:15:00"/>
    <n v="1.2499999999999996"/>
    <d v="2024-10-02T00:00:00"/>
    <x v="7"/>
    <s v="KHÁCH HÀNG "/>
    <m/>
  </r>
  <r>
    <n v="169"/>
    <s v="B512639/A"/>
    <s v="DL016F836"/>
    <s v="A1-S5"/>
    <n v="30"/>
    <n v="120"/>
    <d v="2024-10-02T00:00:00"/>
    <n v="1"/>
    <x v="1"/>
    <d v="1899-12-30T10:15:00"/>
    <n v="1.2499999999999996"/>
    <d v="2024-10-02T00:00:00"/>
    <x v="7"/>
    <s v="KHÁCH HÀNG "/>
    <m/>
  </r>
  <r>
    <n v="170"/>
    <s v="B512639/A"/>
    <s v="DL016F836"/>
    <s v="A1-S6"/>
    <n v="30"/>
    <n v="60"/>
    <d v="2024-10-02T00:00:00"/>
    <n v="1"/>
    <x v="1"/>
    <d v="1899-12-30T10:00:00"/>
    <n v="1.0000000000000004"/>
    <d v="2024-10-02T00:00:00"/>
    <x v="7"/>
    <s v="KHÁCH HÀNG "/>
    <m/>
  </r>
  <r>
    <n v="171"/>
    <s v="B512644/A"/>
    <s v="JV013F836"/>
    <s v="A1-S4"/>
    <n v="30"/>
    <n v="60"/>
    <d v="2024-10-02T00:00:00"/>
    <n v="1"/>
    <x v="1"/>
    <d v="1899-12-30T10:00:00"/>
    <n v="1.0000000000000004"/>
    <d v="2024-10-02T00:00:00"/>
    <x v="7"/>
    <s v="KHÁCH HÀNG "/>
    <m/>
  </r>
  <r>
    <n v="172"/>
    <s v="B512643/A"/>
    <s v="JV013F836"/>
    <s v="A2-S5"/>
    <n v="25"/>
    <n v="50"/>
    <d v="2024-10-02T00:00:00"/>
    <n v="1"/>
    <x v="1"/>
    <d v="1899-12-30T10:00:00"/>
    <n v="1.0000000000000004"/>
    <d v="2024-10-02T00:00:00"/>
    <x v="7"/>
    <s v="KHÁCH HÀNG "/>
    <m/>
  </r>
  <r>
    <n v="173"/>
    <s v="B512643/A"/>
    <s v="JV013F836"/>
    <s v="A2-S6"/>
    <n v="25"/>
    <n v="50"/>
    <d v="2024-10-02T00:00:00"/>
    <n v="1"/>
    <x v="1"/>
    <d v="1899-12-30T10:00:00"/>
    <n v="1.0000000000000004"/>
    <d v="2024-10-02T00:00:00"/>
    <x v="7"/>
    <s v="KHÁCH HÀNG "/>
    <m/>
  </r>
  <r>
    <n v="174"/>
    <s v="B512646/A"/>
    <s v="JV014F837"/>
    <s v="A2-S7"/>
    <n v="25"/>
    <n v="25"/>
    <d v="2024-10-02T00:00:00"/>
    <n v="1"/>
    <x v="1"/>
    <d v="1899-12-30T09:30:00"/>
    <n v="0.49999999999999956"/>
    <d v="2024-10-02T00:00:00"/>
    <x v="7"/>
    <s v="KHÁCH HÀNG "/>
    <m/>
  </r>
  <r>
    <n v="175"/>
    <s v="B512646/A"/>
    <s v="JV014F837"/>
    <s v="A5-S6"/>
    <n v="25"/>
    <n v="50"/>
    <d v="2024-10-02T00:00:00"/>
    <n v="1"/>
    <x v="1"/>
    <d v="1899-12-30T09:45:00"/>
    <n v="0.75"/>
    <d v="2024-10-02T00:00:00"/>
    <x v="7"/>
    <s v="KHÁCH HÀNG "/>
    <m/>
  </r>
  <r>
    <n v="176"/>
    <s v="B512646/A"/>
    <s v="JV014F837"/>
    <s v="A6-S6"/>
    <n v="25"/>
    <n v="50"/>
    <d v="2024-10-02T00:00:00"/>
    <n v="1"/>
    <x v="1"/>
    <d v="1899-12-30T09:45:00"/>
    <n v="0.75"/>
    <d v="2024-10-02T00:00:00"/>
    <x v="7"/>
    <s v="KHÁCH HÀNG "/>
    <m/>
  </r>
  <r>
    <n v="177"/>
    <s v="B514576/A"/>
    <s v="DL015F836"/>
    <s v="A1-S4"/>
    <n v="40"/>
    <n v="80"/>
    <d v="2024-10-02T00:00:00"/>
    <n v="1"/>
    <x v="1"/>
    <d v="1899-12-30T10:00:00"/>
    <n v="1.0000000000000004"/>
    <d v="2024-10-02T00:00:00"/>
    <x v="7"/>
    <s v="KHÁCH HÀNG "/>
    <m/>
  </r>
  <r>
    <n v="178"/>
    <s v="B514576/A"/>
    <s v="DL015F836"/>
    <s v="A1-S5"/>
    <n v="40"/>
    <n v="80"/>
    <d v="2024-10-02T00:00:00"/>
    <n v="1"/>
    <x v="1"/>
    <d v="1899-12-30T10:00:00"/>
    <n v="1.0000000000000004"/>
    <d v="2024-10-02T00:00:00"/>
    <x v="7"/>
    <s v="KHÁCH HÀNG "/>
    <m/>
  </r>
  <r>
    <n v="179"/>
    <s v="B514576/A"/>
    <s v="DL015F836"/>
    <s v="A1-S6"/>
    <n v="40"/>
    <n v="40"/>
    <d v="2024-10-02T00:00:00"/>
    <n v="1"/>
    <x v="1"/>
    <d v="1899-12-30T09:30:00"/>
    <n v="0.49999999999999956"/>
    <d v="2024-10-02T00:00:00"/>
    <x v="7"/>
    <s v="KHÁCH HÀNG "/>
    <m/>
  </r>
  <r>
    <n v="180"/>
    <s v="B514579/A"/>
    <s v="JV013F836"/>
    <s v="A1-S4"/>
    <n v="25"/>
    <n v="50"/>
    <d v="2024-10-02T00:00:00"/>
    <n v="1"/>
    <x v="1"/>
    <d v="1899-12-30T09:45:00"/>
    <n v="0.75"/>
    <d v="2024-10-02T00:00:00"/>
    <x v="7"/>
    <s v="KHÁCH HÀNG "/>
    <m/>
  </r>
  <r>
    <n v="181"/>
    <s v="B508063/A"/>
    <s v="AR768F1001"/>
    <s v="P02"/>
    <n v="3"/>
    <n v="6"/>
    <d v="2024-10-02T00:00:00"/>
    <n v="1"/>
    <x v="12"/>
    <d v="1899-12-30T10:00:00"/>
    <n v="2.0000000000000009"/>
    <d v="2024-10-02T00:00:00"/>
    <x v="7"/>
    <s v="Unassigned"/>
    <m/>
  </r>
  <r>
    <n v="182"/>
    <s v="B506420/A"/>
    <s v="AR408F001"/>
    <s v="P01"/>
    <n v="1"/>
    <n v="1"/>
    <d v="2024-10-02T00:00:00"/>
    <n v="1"/>
    <x v="12"/>
    <d v="1899-12-30T08:30:00"/>
    <n v="0.50000000000000089"/>
    <d v="2024-10-02T00:00:00"/>
    <x v="7"/>
    <s v="Unassigned"/>
    <m/>
  </r>
  <r>
    <n v="183"/>
    <s v="B512639/A"/>
    <s v="DL016F836"/>
    <s v="P12-1-3"/>
    <n v="15"/>
    <n v="30"/>
    <d v="2024-10-02T00:00:00"/>
    <n v="1"/>
    <x v="12"/>
    <d v="1899-12-30T09:00:00"/>
    <n v="1.0000000000000004"/>
    <d v="2024-10-02T00:00:00"/>
    <x v="7"/>
    <s v="Final Machining"/>
    <m/>
  </r>
  <r>
    <n v="184"/>
    <s v="BN508211/A"/>
    <s v="JV009F989"/>
    <s v="A1-S41"/>
    <n v="1"/>
    <n v="2"/>
    <d v="2024-10-03T00:00:00"/>
    <n v="1"/>
    <x v="12"/>
    <d v="1899-12-30T08:30:00"/>
    <n v="0.50000000000000089"/>
    <d v="2024-10-03T00:00:00"/>
    <x v="7"/>
    <s v="finising"/>
    <m/>
  </r>
  <r>
    <n v="185"/>
    <s v="B513402/A"/>
    <s v="RH9053F40"/>
    <s v="P05"/>
    <n v="1"/>
    <n v="1"/>
    <d v="2024-10-04T00:00:00"/>
    <n v="1"/>
    <x v="1"/>
    <d v="1899-12-30T09:20:00"/>
    <n v="0.33333333333333348"/>
    <d v="2024-10-04T00:00:00"/>
    <x v="7"/>
    <s v="không xác định"/>
    <m/>
  </r>
  <r>
    <n v="186"/>
    <s v="B508201/A"/>
    <s v="HS5227F1090"/>
    <s v="A2-S4"/>
    <n v="1"/>
    <n v="1"/>
    <d v="2024-10-04T00:00:00"/>
    <n v="1"/>
    <x v="1"/>
    <d v="1899-12-30T09:30:00"/>
    <n v="0.49999999999999956"/>
    <d v="2024-10-04T00:00:00"/>
    <x v="7"/>
    <s v="Packing"/>
    <m/>
  </r>
  <r>
    <n v="187"/>
    <s v="B514915/A"/>
    <s v="RH7391F381"/>
    <s v="A1-S3"/>
    <n v="1"/>
    <n v="2"/>
    <d v="2024-10-04T00:00:00"/>
    <n v="1"/>
    <x v="1"/>
    <d v="1899-12-30T10:00:00"/>
    <n v="1.0000000000000004"/>
    <d v="2024-10-04T00:00:00"/>
    <x v="7"/>
    <s v="Machining"/>
    <m/>
  </r>
  <r>
    <n v="188"/>
    <s v="B513367/A"/>
    <s v="RH9035F396"/>
    <s v="A3-S1"/>
    <n v="1"/>
    <n v="2"/>
    <d v="2024-10-04T00:00:00"/>
    <n v="1"/>
    <x v="1"/>
    <d v="1899-12-30T09:20:00"/>
    <n v="0.33333333333333348"/>
    <d v="2024-10-04T00:00:00"/>
    <x v="7"/>
    <s v="Machining"/>
    <m/>
  </r>
  <r>
    <n v="189"/>
    <s v="bảng màu "/>
    <s v="RH500"/>
    <s v="WD-03-229"/>
    <n v="30"/>
    <n v="30"/>
    <d v="2024-10-06T00:00:00"/>
    <n v="1"/>
    <x v="14"/>
    <d v="1899-12-30T15:00:00"/>
    <n v="8"/>
    <d v="2024-10-06T00:00:00"/>
    <x v="7"/>
    <s v="Finishing"/>
    <s v="Mr.Sơn"/>
  </r>
  <r>
    <n v="190"/>
    <s v="bảng màu "/>
    <s v="RH500"/>
    <s v="WD-03-191"/>
    <m/>
    <n v="30"/>
    <d v="2024-10-06T00:00:00"/>
    <m/>
    <x v="15"/>
    <m/>
    <n v="0"/>
    <m/>
    <x v="8"/>
    <m/>
    <m/>
  </r>
  <r>
    <n v="191"/>
    <s v="bảng màu "/>
    <s v="RH500"/>
    <s v="WD-03-203"/>
    <n v="30"/>
    <n v="30"/>
    <d v="2024-10-04T00:00:00"/>
    <n v="1"/>
    <x v="14"/>
    <d v="1899-12-30T15:30:00"/>
    <n v="8.5"/>
    <d v="2024-10-06T00:00:00"/>
    <x v="7"/>
    <s v="Finishing"/>
    <s v="Mr.Sơn"/>
  </r>
  <r>
    <n v="192"/>
    <s v="B495855/A"/>
    <s v="AR452F1001"/>
    <s v="P05"/>
    <n v="2"/>
    <n v="4"/>
    <d v="2024-10-08T00:00:00"/>
    <n v="1"/>
    <x v="3"/>
    <d v="1899-12-30T15:00:00"/>
    <n v="0.99999999999999911"/>
    <d v="2024-10-08T00:00:00"/>
    <x v="9"/>
    <s v="QA/testing"/>
    <m/>
  </r>
  <r>
    <n v="193"/>
    <s v="B495855/A"/>
    <s v="AR452F1001"/>
    <s v="P04"/>
    <n v="2"/>
    <n v="4"/>
    <d v="2024-10-08T00:00:00"/>
    <n v="1"/>
    <x v="3"/>
    <d v="1899-12-30T15:00:00"/>
    <n v="0.99999999999999911"/>
    <d v="2024-10-08T00:00:00"/>
    <x v="9"/>
    <s v="QA/testing"/>
    <m/>
  </r>
  <r>
    <n v="194"/>
    <s v="B513359/A"/>
    <s v="RH9018F413"/>
    <s v="P02-1"/>
    <n v="10"/>
    <n v="20"/>
    <d v="2024-10-10T00:00:00"/>
    <n v="1"/>
    <x v="0"/>
    <d v="1899-12-30T16:30:00"/>
    <n v="1.5"/>
    <d v="2024-10-10T00:00:00"/>
    <x v="9"/>
    <s v="không xác định"/>
    <m/>
  </r>
  <r>
    <n v="195"/>
    <s v="B509633/A"/>
    <s v="AR421F001"/>
    <s v="A1-S1"/>
    <n v="2"/>
    <n v="2"/>
    <d v="2024-10-10T00:00:00"/>
    <n v="1"/>
    <x v="12"/>
    <d v="1899-12-30T14:00:00"/>
    <n v="6.0000000000000018"/>
    <d v="2024-10-10T00:00:00"/>
    <x v="9"/>
    <s v="Unassigned"/>
    <m/>
  </r>
  <r>
    <n v="196"/>
    <s v="B511163/A"/>
    <s v="AR474F1001"/>
    <s v="A1-S1"/>
    <n v="1"/>
    <n v="1"/>
    <d v="2024-10-11T00:00:00"/>
    <n v="1"/>
    <x v="3"/>
    <d v="1899-12-30T15:00:00"/>
    <n v="0.99999999999999911"/>
    <d v="2024-10-11T00:00:00"/>
    <x v="9"/>
    <s v="Unassigned"/>
    <m/>
  </r>
  <r>
    <n v="197"/>
    <s v="B520296/A"/>
    <s v="RH9862F425"/>
    <s v="P01"/>
    <n v="1"/>
    <n v="1"/>
    <d v="2024-10-11T00:00:00"/>
    <n v="1"/>
    <x v="3"/>
    <d v="1899-12-30T14:45:00"/>
    <n v="0.75"/>
    <d v="2024-10-11T00:00:00"/>
    <x v="9"/>
    <s v="Final Machining"/>
    <m/>
  </r>
  <r>
    <n v="198"/>
    <s v="B513526/A"/>
    <s v="RH3425F17"/>
    <s v="P05"/>
    <n v="1"/>
    <n v="1"/>
    <d v="2024-10-11T00:00:00"/>
    <n v="1"/>
    <x v="3"/>
    <d v="1899-12-30T14:20:00"/>
    <n v="0.33333333333333215"/>
    <d v="2024-10-11T00:00:00"/>
    <x v="9"/>
    <s v="Technical"/>
    <m/>
  </r>
  <r>
    <n v="199"/>
    <s v="B514392/A"/>
    <s v="AR357F1001"/>
    <s v="P00"/>
    <n v="5"/>
    <n v="5"/>
    <d v="2024-10-14T00:00:00"/>
    <n v="1"/>
    <x v="12"/>
    <d v="1899-12-30T14:00:00"/>
    <n v="6.0000000000000018"/>
    <d v="2024-10-14T00:00:00"/>
    <x v="10"/>
    <s v="Unassigned"/>
    <m/>
  </r>
  <r>
    <n v="200"/>
    <s v="B514392/A"/>
    <s v="AR357F1001"/>
    <s v="P01"/>
    <n v="5"/>
    <n v="5"/>
    <d v="2024-10-14T00:00:00"/>
    <n v="1"/>
    <x v="12"/>
    <d v="1899-12-30T13:00:00"/>
    <n v="5"/>
    <d v="2024-10-14T00:00:00"/>
    <x v="10"/>
    <s v="Unassigned"/>
    <m/>
  </r>
  <r>
    <n v="201"/>
    <s v="B512744/A"/>
    <s v="RH2574F374"/>
    <s v="A1"/>
    <n v="2"/>
    <n v="2"/>
    <d v="2024-10-15T00:00:00"/>
    <n v="1"/>
    <x v="6"/>
    <d v="1899-12-30T14:00:00"/>
    <n v="1.0000000000000018"/>
    <d v="2024-10-15T00:00:00"/>
    <x v="10"/>
    <s v="Final Machining"/>
    <m/>
  </r>
  <r>
    <n v="202"/>
    <s v="B509909/A"/>
    <s v="CZ888F196"/>
    <s v="A1-S1-1"/>
    <n v="1"/>
    <n v="2"/>
    <d v="2024-10-15T00:00:00"/>
    <n v="1"/>
    <x v="6"/>
    <d v="1899-12-30T13:45:00"/>
    <n v="0.75"/>
    <d v="2024-10-15T00:00:00"/>
    <x v="10"/>
    <s v="Unassigned"/>
    <m/>
  </r>
  <r>
    <n v="203"/>
    <s v="B509909/A"/>
    <s v="CZ888F196"/>
    <s v="a2-s1-1"/>
    <n v="1"/>
    <n v="1"/>
    <d v="2024-10-15T00:00:00"/>
    <n v="1"/>
    <x v="6"/>
    <d v="1899-12-30T13:30:00"/>
    <n v="0.50000000000000089"/>
    <d v="2024-10-15T00:00:00"/>
    <x v="10"/>
    <s v="Unassigned"/>
    <m/>
  </r>
  <r>
    <n v="204"/>
    <s v="B514399/A"/>
    <s v="AR473F1001"/>
    <s v="A2-S2"/>
    <n v="1"/>
    <n v="1"/>
    <d v="2024-10-15T00:00:00"/>
    <n v="1"/>
    <x v="6"/>
    <d v="1899-12-30T13:30:00"/>
    <n v="0.50000000000000089"/>
    <d v="2024-10-15T00:00:00"/>
    <x v="10"/>
    <s v="Assembly"/>
    <m/>
  </r>
  <r>
    <n v="205"/>
    <s v="B514399/A"/>
    <s v="AR473F1001"/>
    <s v="A1-S1"/>
    <n v="1"/>
    <n v="1"/>
    <d v="2024-10-15T00:00:00"/>
    <n v="1"/>
    <x v="6"/>
    <d v="1899-12-30T15:00:00"/>
    <n v="2.0000000000000009"/>
    <d v="2024-10-15T00:00:00"/>
    <x v="10"/>
    <s v="Assembly"/>
    <m/>
  </r>
  <r>
    <n v="206"/>
    <s v="B516552/A"/>
    <s v="AT305F1089"/>
    <s v="A3"/>
    <n v="20"/>
    <n v="40"/>
    <d v="2024-10-17T00:00:00"/>
    <n v="1"/>
    <x v="3"/>
    <d v="1899-12-30T15:30:00"/>
    <n v="1.5"/>
    <d v="2024-10-17T00:00:00"/>
    <x v="10"/>
    <s v="purechasing"/>
    <m/>
  </r>
  <r>
    <n v="207"/>
    <s v="B516552/A"/>
    <s v="AT305F1089"/>
    <s v="a3-s1"/>
    <n v="20"/>
    <n v="40"/>
    <d v="2024-10-17T00:00:00"/>
    <n v="1"/>
    <x v="3"/>
    <d v="1899-12-30T15:30:00"/>
    <n v="1.5"/>
    <d v="2024-10-17T00:00:00"/>
    <x v="10"/>
    <s v="purechasing"/>
    <m/>
  </r>
  <r>
    <n v="208"/>
    <s v="B516552/A"/>
    <s v="AT305F1089"/>
    <s v="a4-s1"/>
    <n v="20"/>
    <n v="80"/>
    <d v="2024-10-17T00:00:00"/>
    <n v="1"/>
    <x v="3"/>
    <d v="1899-12-30T16:00:00"/>
    <n v="1.9999999999999982"/>
    <d v="2024-10-17T00:00:00"/>
    <x v="10"/>
    <s v="purechasing"/>
    <m/>
  </r>
  <r>
    <n v="209"/>
    <s v="B514414/A"/>
    <s v="AT383F888"/>
    <s v="A4-S1"/>
    <n v="9"/>
    <n v="18"/>
    <d v="2024-10-17T00:00:00"/>
    <n v="1"/>
    <x v="3"/>
    <d v="1899-12-30T14:30:00"/>
    <n v="0.49999999999999822"/>
    <d v="2024-10-17T00:00:00"/>
    <x v="10"/>
    <s v="purechasing"/>
    <m/>
  </r>
  <r>
    <n v="210"/>
    <s v="B514414/A"/>
    <s v="AT383F888"/>
    <s v="a3-s2"/>
    <n v="9"/>
    <n v="18"/>
    <d v="2024-10-17T00:00:00"/>
    <n v="1"/>
    <x v="3"/>
    <d v="1899-12-30T14:30:00"/>
    <n v="0.49999999999999822"/>
    <d v="2024-10-17T00:00:00"/>
    <x v="10"/>
    <s v="purechasing"/>
    <m/>
  </r>
  <r>
    <n v="211"/>
    <s v="B514414/A"/>
    <s v="AT383F888"/>
    <s v="A3-1"/>
    <n v="9"/>
    <n v="18"/>
    <d v="2024-10-17T00:00:00"/>
    <n v="1"/>
    <x v="3"/>
    <d v="1899-12-30T15:00:00"/>
    <n v="0.99999999999999911"/>
    <d v="2024-10-17T00:00:00"/>
    <x v="10"/>
    <s v="purechasing"/>
    <m/>
  </r>
  <r>
    <n v="212"/>
    <s v="B495845/A"/>
    <s v="AR190F906"/>
    <s v="P1"/>
    <n v="1"/>
    <n v="1"/>
    <d v="2024-10-17T00:00:00"/>
    <n v="1"/>
    <x v="3"/>
    <d v="1899-12-30T14:20:00"/>
    <n v="0.33333333333333215"/>
    <d v="2024-10-17T00:00:00"/>
    <x v="10"/>
    <s v="finising"/>
    <m/>
  </r>
  <r>
    <n v="213"/>
    <s v="bảng màu "/>
    <s v="RH500"/>
    <s v="WD-03-455"/>
    <n v="30"/>
    <n v="30"/>
    <d v="2024-10-17T00:00:00"/>
    <n v="1"/>
    <x v="12"/>
    <d v="1899-12-30T11:00:00"/>
    <n v="3"/>
    <d v="2024-10-18T00:00:00"/>
    <x v="10"/>
    <s v="Finishing"/>
    <s v="Mr.Sơn"/>
  </r>
  <r>
    <n v="214"/>
    <s v="bảng màu "/>
    <s v="RH500"/>
    <s v="WD-03-009"/>
    <n v="30"/>
    <n v="30"/>
    <d v="2024-10-17T00:00:00"/>
    <n v="1"/>
    <x v="12"/>
    <d v="1899-12-30T11:00:00"/>
    <n v="3"/>
    <d v="2024-10-18T00:00:00"/>
    <x v="10"/>
    <s v="Finishing"/>
    <s v="Mr.Sơn"/>
  </r>
  <r>
    <n v="215"/>
    <s v="bảng màu "/>
    <s v="RH500"/>
    <s v="WD-03-326"/>
    <n v="30"/>
    <n v="30"/>
    <d v="2024-10-17T00:00:00"/>
    <n v="1"/>
    <x v="12"/>
    <d v="1899-12-30T11:00:00"/>
    <n v="3"/>
    <d v="2024-10-18T00:00:00"/>
    <x v="10"/>
    <s v="Finishing"/>
    <s v="Mr.Sơn"/>
  </r>
  <r>
    <n v="216"/>
    <s v="bảng màu "/>
    <s v="RH500"/>
    <s v="WD-03-119"/>
    <n v="30"/>
    <n v="30"/>
    <d v="2024-10-17T00:00:00"/>
    <n v="1"/>
    <x v="12"/>
    <d v="1899-12-30T11:00:00"/>
    <n v="3"/>
    <d v="2024-10-18T00:00:00"/>
    <x v="10"/>
    <s v="Finishing"/>
    <s v="Mr.Sơn"/>
  </r>
  <r>
    <n v="217"/>
    <s v="bảng màu "/>
    <s v="RH500"/>
    <s v="WD-03-038"/>
    <n v="30"/>
    <n v="30"/>
    <d v="2024-10-17T00:00:00"/>
    <n v="1"/>
    <x v="12"/>
    <d v="1899-12-30T14:00:00"/>
    <n v="6.0000000000000018"/>
    <d v="2024-10-18T00:00:00"/>
    <x v="10"/>
    <s v="Finishing"/>
    <s v="Mr.Sơn"/>
  </r>
  <r>
    <n v="218"/>
    <s v="mẫu test cước "/>
    <m/>
    <s v="WD-03-455"/>
    <n v="2"/>
    <n v="2"/>
    <d v="2024-10-17T00:00:00"/>
    <n v="1"/>
    <x v="12"/>
    <d v="1899-12-30T08:30:00"/>
    <n v="0.50000000000000089"/>
    <d v="2024-10-18T00:00:00"/>
    <x v="10"/>
    <s v="ME"/>
    <s v="Mr.niên"/>
  </r>
  <r>
    <n v="219"/>
    <s v="mẫu test cước "/>
    <m/>
    <s v="WD-03-482"/>
    <n v="5"/>
    <n v="5"/>
    <d v="2024-10-17T00:00:00"/>
    <n v="1"/>
    <x v="12"/>
    <d v="1899-12-30T08:45:00"/>
    <n v="0.75"/>
    <d v="2024-10-18T00:00:00"/>
    <x v="10"/>
    <s v="ME"/>
    <s v="Mr.niên"/>
  </r>
  <r>
    <n v="220"/>
    <s v="mẫu test cước "/>
    <m/>
    <s v="WD-03-404"/>
    <n v="6"/>
    <n v="6"/>
    <d v="2024-10-17T00:00:00"/>
    <n v="1"/>
    <x v="12"/>
    <d v="1899-12-30T08:45:00"/>
    <n v="0.75"/>
    <d v="2024-10-18T00:00:00"/>
    <x v="10"/>
    <s v="ME"/>
    <s v="Mr.niên"/>
  </r>
  <r>
    <n v="221"/>
    <s v="mẫu test cước "/>
    <m/>
    <s v="WD-03-402"/>
    <n v="2"/>
    <n v="2"/>
    <d v="2024-10-17T00:00:00"/>
    <n v="1"/>
    <x v="12"/>
    <d v="1899-12-30T08:30:00"/>
    <n v="0.50000000000000089"/>
    <d v="2024-10-18T00:00:00"/>
    <x v="10"/>
    <s v="ME"/>
    <s v="Mr.niên"/>
  </r>
  <r>
    <n v="222"/>
    <s v="B522745/A"/>
    <s v="RH9536F423"/>
    <s v="A1-S2"/>
    <n v="4"/>
    <n v="144"/>
    <d v="2024-10-19T00:00:00"/>
    <n v="1"/>
    <x v="12"/>
    <d v="1899-12-30T09:00:00"/>
    <n v="1.0000000000000004"/>
    <d v="2024-10-19T00:00:00"/>
    <x v="11"/>
    <s v="Purchase"/>
    <m/>
  </r>
  <r>
    <n v="223"/>
    <s v="B522745/A"/>
    <s v="RH9536F423"/>
    <s v="a4-s3"/>
    <n v="4"/>
    <n v="24"/>
    <d v="2024-10-19T00:00:00"/>
    <n v="1"/>
    <x v="12"/>
    <d v="1899-12-30T08:30:00"/>
    <n v="0.50000000000000089"/>
    <d v="2024-10-19T00:00:00"/>
    <x v="11"/>
    <s v="Purchase"/>
    <m/>
  </r>
  <r>
    <n v="224"/>
    <s v="B522745/A"/>
    <s v="RH9536F423"/>
    <s v="a1-s3"/>
    <n v="4"/>
    <n v="48"/>
    <d v="2024-10-19T00:00:00"/>
    <n v="1"/>
    <x v="12"/>
    <d v="1899-12-30T08:45:00"/>
    <n v="0.75"/>
    <d v="2024-10-19T00:00:00"/>
    <x v="11"/>
    <s v="Purchase"/>
    <m/>
  </r>
  <r>
    <n v="225"/>
    <s v="B507305/A"/>
    <s v="AR133F901"/>
    <s v="P01"/>
    <n v="1"/>
    <n v="1"/>
    <d v="2024-10-22T00:00:00"/>
    <n v="1"/>
    <x v="1"/>
    <d v="1899-12-30T09:20:00"/>
    <n v="0.33333333333333348"/>
    <d v="2024-10-22T00:00:00"/>
    <x v="11"/>
    <s v="Finishing"/>
    <m/>
  </r>
  <r>
    <n v="226"/>
    <s v="B497861/A"/>
    <s v="AR407F1001"/>
    <s v="P01"/>
    <n v="1"/>
    <n v="1"/>
    <d v="2024-10-22T00:00:00"/>
    <n v="1"/>
    <x v="1"/>
    <d v="1899-12-30T09:15:00"/>
    <n v="0.25000000000000044"/>
    <d v="2024-10-22T00:00:00"/>
    <x v="11"/>
    <s v="QA/testing"/>
    <m/>
  </r>
  <r>
    <n v="227"/>
    <s v="B497861/A"/>
    <s v="AR407F1001"/>
    <s v="P00"/>
    <n v="1"/>
    <n v="1"/>
    <d v="2024-10-22T00:00:00"/>
    <n v="1"/>
    <x v="1"/>
    <d v="1899-12-30T09:15:00"/>
    <n v="0.25000000000000044"/>
    <d v="2024-10-22T00:00:00"/>
    <x v="11"/>
    <s v="QA/testing"/>
    <m/>
  </r>
  <r>
    <n v="228"/>
    <s v="B516958/A"/>
    <s v="RH7340F383"/>
    <s v="A2-S1"/>
    <n v="2"/>
    <n v="4"/>
    <d v="2024-10-22T00:00:00"/>
    <n v="1"/>
    <x v="1"/>
    <d v="1899-12-30T09:45:00"/>
    <n v="0.75"/>
    <d v="2024-10-22T00:00:00"/>
    <x v="11"/>
    <s v="Final Machining"/>
    <m/>
  </r>
  <r>
    <n v="229"/>
    <s v="B519230/A"/>
    <s v="RH9879F424"/>
    <s v="P00"/>
    <n v="5"/>
    <n v="10"/>
    <d v="2024-10-22T00:00:00"/>
    <n v="1"/>
    <x v="1"/>
    <d v="1899-12-30T10:00:00"/>
    <n v="1.0000000000000004"/>
    <d v="2024-10-22T00:00:00"/>
    <x v="11"/>
    <s v="Final Machining"/>
    <m/>
  </r>
  <r>
    <n v="230"/>
    <s v="B514384/A"/>
    <s v="AR176F892"/>
    <s v="P9-02"/>
    <n v="23"/>
    <n v="46"/>
    <d v="2024-10-22T00:00:00"/>
    <n v="1"/>
    <x v="1"/>
    <d v="1899-12-30T10:30:00"/>
    <n v="1.5"/>
    <d v="2024-10-22T00:00:00"/>
    <x v="11"/>
    <s v="Final Machining"/>
    <m/>
  </r>
  <r>
    <n v="231"/>
    <s v="B514384/A"/>
    <s v="AR176F892"/>
    <s v="P09"/>
    <n v="23"/>
    <n v="46"/>
    <d v="2024-10-22T00:00:00"/>
    <n v="1"/>
    <x v="1"/>
    <d v="1899-12-30T10:30:00"/>
    <n v="1.5"/>
    <d v="2024-10-22T00:00:00"/>
    <x v="11"/>
    <s v="Final Machining"/>
    <m/>
  </r>
  <r>
    <n v="232"/>
    <s v="bảng màu "/>
    <s v="RH500"/>
    <s v="WD-03-511"/>
    <n v="60"/>
    <n v="60"/>
    <d v="2024-10-25T00:00:00"/>
    <n v="1"/>
    <x v="6"/>
    <d v="1899-12-30T14:30:00"/>
    <n v="1.5"/>
    <d v="2024-10-25T00:00:00"/>
    <x v="12"/>
    <s v="Finishing"/>
    <s v="Mr.Sơn"/>
  </r>
  <r>
    <n v="233"/>
    <s v="bảng màu "/>
    <s v="RH500"/>
    <s v="WD-03-229"/>
    <n v="100"/>
    <n v="100"/>
    <d v="2024-10-26T00:00:00"/>
    <n v="1"/>
    <x v="6"/>
    <d v="1899-12-30T16:00:00"/>
    <n v="3"/>
    <d v="2024-10-26T00:00:00"/>
    <x v="12"/>
    <s v="Finishing"/>
    <s v="Mr.Sơn"/>
  </r>
  <r>
    <n v="234"/>
    <s v="bảng màu "/>
    <s v="RH500"/>
    <s v="WD-03-254"/>
    <n v="100"/>
    <n v="100"/>
    <d v="2024-10-26T00:00:00"/>
    <n v="1"/>
    <x v="6"/>
    <d v="1899-12-30T16:00:00"/>
    <n v="3"/>
    <d v="2024-10-26T00:00:00"/>
    <x v="12"/>
    <s v="Finishing"/>
    <s v="Mr.Sơn"/>
  </r>
  <r>
    <n v="235"/>
    <s v="bảng màu "/>
    <s v="RH500"/>
    <s v="WD-03-119"/>
    <n v="100"/>
    <n v="100"/>
    <d v="2024-10-26T00:00:00"/>
    <n v="1"/>
    <x v="6"/>
    <d v="1899-12-30T16:00:00"/>
    <n v="3"/>
    <d v="2024-10-26T00:00:00"/>
    <x v="12"/>
    <s v="Finishing"/>
    <s v="Mr.Sơn"/>
  </r>
  <r>
    <n v="236"/>
    <s v="bảng màu "/>
    <s v="RH500"/>
    <s v="WD-03-191"/>
    <n v="30"/>
    <n v="30"/>
    <d v="2024-10-26T00:00:00"/>
    <n v="1"/>
    <x v="6"/>
    <d v="1899-12-30T14:00:00"/>
    <n v="1.0000000000000018"/>
    <d v="2024-10-25T00:00:00"/>
    <x v="12"/>
    <s v="Finishing"/>
    <s v="Mr.Sơn"/>
  </r>
  <r>
    <n v="237"/>
    <s v="bảng màu "/>
    <s v="RH500"/>
    <s v="WD-03-270"/>
    <n v="30"/>
    <n v="30"/>
    <d v="2024-10-26T00:00:00"/>
    <n v="1"/>
    <x v="6"/>
    <d v="1899-12-30T14:00:00"/>
    <n v="1.0000000000000018"/>
    <d v="2024-10-25T00:00:00"/>
    <x v="12"/>
    <s v="Finishing"/>
    <s v="Mr.Sơn"/>
  </r>
  <r>
    <n v="238"/>
    <s v="bảng màu "/>
    <s v="RH500"/>
    <s v="WD-03-236"/>
    <n v="30"/>
    <n v="30"/>
    <d v="2024-10-26T00:00:00"/>
    <n v="1"/>
    <x v="6"/>
    <d v="1899-12-30T14:00:00"/>
    <n v="1.0000000000000018"/>
    <d v="2024-10-25T00:00:00"/>
    <x v="12"/>
    <s v="Finishing"/>
    <s v="Mr.Sơn"/>
  </r>
  <r>
    <n v="239"/>
    <s v="bảng màu "/>
    <s v="RH500"/>
    <s v="WD-03-009"/>
    <n v="30"/>
    <n v="30"/>
    <d v="2024-10-26T00:00:00"/>
    <n v="1"/>
    <x v="6"/>
    <d v="1899-12-30T14:00:00"/>
    <n v="1.0000000000000018"/>
    <d v="2024-10-25T00:00:00"/>
    <x v="12"/>
    <s v="Finishing"/>
    <s v="Mr.Sơn"/>
  </r>
  <r>
    <n v="240"/>
    <s v="B518507/A"/>
    <s v="RH7264F374"/>
    <s v="P03"/>
    <n v="20"/>
    <n v="20"/>
    <d v="2024-10-26T00:00:00"/>
    <n v="1"/>
    <x v="12"/>
    <d v="1899-12-30T11:00:00"/>
    <n v="3"/>
    <d v="2024-10-26T00:00:00"/>
    <x v="11"/>
    <s v="ME"/>
    <m/>
  </r>
  <r>
    <n v="241"/>
    <s v="B514395/A"/>
    <s v="AR408F1001"/>
    <s v="P04+P05"/>
    <n v="6"/>
    <n v="12"/>
    <d v="2024-10-25T00:00:00"/>
    <n v="1"/>
    <x v="6"/>
    <d v="1899-12-30T14:00:00"/>
    <n v="1.0000000000000018"/>
    <m/>
    <x v="11"/>
    <s v="Final Machining"/>
    <m/>
  </r>
  <r>
    <n v="242"/>
    <s v="B520271/A"/>
    <s v="RH9849F423"/>
    <s v="A1-S1"/>
    <n v="1"/>
    <n v="4"/>
    <d v="2024-10-26T00:00:00"/>
    <n v="1"/>
    <x v="3"/>
    <d v="1899-12-30T14:30:00"/>
    <n v="0.49999999999999822"/>
    <d v="2024-10-26T00:00:00"/>
    <x v="12"/>
    <s v="Final Machining"/>
    <m/>
  </r>
  <r>
    <n v="243"/>
    <s v="B520271/A"/>
    <s v="RH9849F423"/>
    <s v="A1-S1-1"/>
    <n v="1"/>
    <n v="4"/>
    <d v="2024-10-26T00:00:00"/>
    <n v="1"/>
    <x v="3"/>
    <d v="1899-12-30T14:30:00"/>
    <n v="0.49999999999999822"/>
    <d v="2024-10-26T00:00:00"/>
    <x v="12"/>
    <s v="Final Machining"/>
    <m/>
  </r>
  <r>
    <n v="244"/>
    <s v="B520271/A"/>
    <s v="RH9849F423"/>
    <s v="A1-S1-2"/>
    <n v="1"/>
    <n v="4"/>
    <d v="2024-10-26T00:00:00"/>
    <n v="1"/>
    <x v="3"/>
    <d v="1899-12-30T14:30:00"/>
    <n v="0.49999999999999822"/>
    <d v="2024-10-26T00:00:00"/>
    <x v="12"/>
    <s v="Final Machining"/>
    <m/>
  </r>
  <r>
    <n v="245"/>
    <s v="B520271/A"/>
    <s v="RH9849F423"/>
    <s v="A1-S1-3"/>
    <n v="1"/>
    <n v="4"/>
    <d v="2024-10-26T00:00:00"/>
    <n v="1"/>
    <x v="3"/>
    <d v="1899-12-30T14:30:00"/>
    <n v="0.49999999999999822"/>
    <d v="2024-10-26T00:00:00"/>
    <x v="12"/>
    <s v="Final Machining"/>
    <m/>
  </r>
  <r>
    <n v="246"/>
    <s v="B520271/A"/>
    <s v="RH9849F423"/>
    <s v="A1-S1-4"/>
    <n v="1"/>
    <n v="4"/>
    <d v="2024-10-26T00:00:00"/>
    <n v="1"/>
    <x v="3"/>
    <d v="1899-12-30T14:30:00"/>
    <n v="0.49999999999999822"/>
    <d v="2024-10-26T00:00:00"/>
    <x v="12"/>
    <s v="Final Machining"/>
    <m/>
  </r>
  <r>
    <n v="247"/>
    <s v="B520269/A"/>
    <s v="RH9338F431"/>
    <s v="A1-S1"/>
    <n v="1"/>
    <n v="4"/>
    <d v="2024-10-26T00:00:00"/>
    <n v="1"/>
    <x v="3"/>
    <d v="1899-12-30T14:30:00"/>
    <n v="0.49999999999999822"/>
    <d v="2024-10-26T00:00:00"/>
    <x v="12"/>
    <s v="Final Machining"/>
    <m/>
  </r>
  <r>
    <n v="248"/>
    <s v="B520269/A"/>
    <s v="RH9338F431"/>
    <s v="A1-S1-1"/>
    <n v="1"/>
    <n v="4"/>
    <d v="2024-10-26T00:00:00"/>
    <n v="1"/>
    <x v="3"/>
    <d v="1899-12-30T14:30:00"/>
    <n v="0.49999999999999822"/>
    <d v="2024-10-26T00:00:00"/>
    <x v="12"/>
    <s v="Final Machining"/>
    <m/>
  </r>
  <r>
    <n v="249"/>
    <s v="B520269/A"/>
    <s v="RH9338F431"/>
    <s v="A1-S1-2"/>
    <n v="1"/>
    <n v="4"/>
    <d v="2024-10-26T00:00:00"/>
    <n v="1"/>
    <x v="3"/>
    <d v="1899-12-30T14:30:00"/>
    <n v="0.49999999999999822"/>
    <d v="2024-10-26T00:00:00"/>
    <x v="12"/>
    <s v="Final Machining"/>
    <m/>
  </r>
  <r>
    <n v="250"/>
    <s v="B520269/A"/>
    <s v="RH9338F431"/>
    <s v="A1-S1-3"/>
    <n v="1"/>
    <n v="4"/>
    <d v="2024-10-26T00:00:00"/>
    <n v="1"/>
    <x v="3"/>
    <d v="1899-12-30T14:30:00"/>
    <n v="0.49999999999999822"/>
    <d v="2024-10-26T00:00:00"/>
    <x v="12"/>
    <s v="Final Machining"/>
    <m/>
  </r>
  <r>
    <n v="251"/>
    <s v="B520269/A"/>
    <s v="RH9338F431"/>
    <s v="A1-S1-4"/>
    <n v="1"/>
    <n v="4"/>
    <d v="2024-10-26T00:00:00"/>
    <n v="1"/>
    <x v="3"/>
    <d v="1899-12-30T14:30:00"/>
    <n v="0.49999999999999822"/>
    <d v="2024-10-26T00:00:00"/>
    <x v="12"/>
    <s v="Final Machining"/>
    <m/>
  </r>
  <r>
    <n v="252"/>
    <s v="bảng màu "/>
    <s v="RH500"/>
    <s v="WD-03-191"/>
    <n v="15"/>
    <n v="15"/>
    <d v="2024-10-28T00:00:00"/>
    <n v="1"/>
    <x v="12"/>
    <d v="1899-12-30T11:30:00"/>
    <n v="3.5000000000000009"/>
    <d v="2024-10-28T00:00:00"/>
    <x v="12"/>
    <s v="Finishing"/>
    <s v="Mr.Sơn"/>
  </r>
  <r>
    <n v="253"/>
    <m/>
    <s v="RH7260F374"/>
    <s v="A1-S1-1"/>
    <n v="5"/>
    <n v="5"/>
    <d v="2024-11-06T00:00:00"/>
    <n v="1"/>
    <x v="12"/>
    <d v="1899-12-30T08:45:00"/>
    <n v="0.75"/>
    <d v="2024-11-06T00:00:00"/>
    <x v="13"/>
    <s v="ME"/>
    <m/>
  </r>
  <r>
    <n v="254"/>
    <s v="B518221/A"/>
    <s v="RH2573F374"/>
    <s v="A1"/>
    <n v="2"/>
    <n v="2"/>
    <d v="2024-11-06T00:00:00"/>
    <n v="1"/>
    <x v="12"/>
    <d v="1899-12-30T08:45:00"/>
    <n v="0.75"/>
    <d v="2024-11-06T00:00:00"/>
    <x v="13"/>
    <s v="Final Machining"/>
    <m/>
  </r>
  <r>
    <n v="255"/>
    <s v="B516945/A"/>
    <s v="RH7157F383"/>
    <s v="A2"/>
    <n v="1"/>
    <n v="1"/>
    <d v="2024-11-06T00:00:00"/>
    <n v="1"/>
    <x v="12"/>
    <d v="1899-12-30T08:30:00"/>
    <n v="0.50000000000000089"/>
    <d v="2024-11-06T00:00:00"/>
    <x v="13"/>
    <s v="Unassigned"/>
    <m/>
  </r>
  <r>
    <n v="256"/>
    <s v="B516945/A"/>
    <s v="RH7157F383"/>
    <s v="A2-S2"/>
    <n v="1"/>
    <n v="1"/>
    <d v="2024-11-06T00:00:00"/>
    <n v="1"/>
    <x v="12"/>
    <d v="1899-12-30T08:30:00"/>
    <n v="0.50000000000000089"/>
    <d v="2024-11-06T00:00:00"/>
    <x v="13"/>
    <s v="Unassigned"/>
    <m/>
  </r>
  <r>
    <n v="257"/>
    <s v="B518393/A"/>
    <s v="RH387F03"/>
    <s v="P05"/>
    <n v="1"/>
    <n v="1"/>
    <d v="2024-11-06T00:00:00"/>
    <n v="1"/>
    <x v="12"/>
    <d v="1899-12-30T08:30:00"/>
    <n v="0.50000000000000089"/>
    <d v="2024-11-06T00:00:00"/>
    <x v="13"/>
    <s v="Finishing"/>
    <m/>
  </r>
  <r>
    <n v="258"/>
    <s v="B521625/A"/>
    <s v="RH2578F398"/>
    <s v="P01"/>
    <n v="4"/>
    <n v="4"/>
    <d v="2024-11-06T00:00:00"/>
    <n v="1"/>
    <x v="12"/>
    <d v="1899-12-30T08:30:00"/>
    <n v="0.50000000000000089"/>
    <d v="2024-11-06T00:00:00"/>
    <x v="13"/>
    <s v="Final Machining"/>
    <m/>
  </r>
  <r>
    <n v="259"/>
    <m/>
    <s v="RH1793F8"/>
    <s v="A4-S1"/>
    <n v="14"/>
    <n v="42"/>
    <d v="2024-11-06T00:00:00"/>
    <n v="1"/>
    <x v="16"/>
    <d v="1899-12-30T19:00:00"/>
    <n v="3"/>
    <d v="2024-11-06T00:00:00"/>
    <x v="13"/>
    <s v="Final Machining"/>
    <m/>
  </r>
  <r>
    <n v="260"/>
    <s v="bảng màu "/>
    <s v="RH500"/>
    <s v="WD-03-014"/>
    <n v="30"/>
    <n v="30"/>
    <d v="2024-11-06T00:00:00"/>
    <n v="1"/>
    <x v="1"/>
    <d v="1899-12-30T10:00:00"/>
    <n v="1.0000000000000004"/>
    <d v="2024-11-06T00:00:00"/>
    <x v="13"/>
    <s v="Finishing"/>
    <s v="Mr.Sơn"/>
  </r>
  <r>
    <n v="261"/>
    <s v="bảng màu "/>
    <s v="RH500"/>
    <s v="WD-03-189"/>
    <n v="30"/>
    <n v="30"/>
    <d v="2024-11-06T00:00:00"/>
    <n v="1"/>
    <x v="1"/>
    <d v="1899-12-30T10:00:00"/>
    <n v="1.0000000000000004"/>
    <d v="2024-11-06T00:00:00"/>
    <x v="13"/>
    <s v="Finishing"/>
    <s v="Mr.Sơn"/>
  </r>
  <r>
    <n v="262"/>
    <s v="bảng màu "/>
    <s v="RH500"/>
    <s v="WD-03-411"/>
    <n v="30"/>
    <n v="30"/>
    <d v="2024-11-06T00:00:00"/>
    <n v="1"/>
    <x v="1"/>
    <d v="1899-12-30T10:00:00"/>
    <n v="1.0000000000000004"/>
    <d v="2024-11-06T00:00:00"/>
    <x v="13"/>
    <s v="Finishing"/>
    <s v="Mr.Sơn"/>
  </r>
  <r>
    <n v="263"/>
    <s v="bảng màu "/>
    <s v="RH500"/>
    <s v="WD-03-253"/>
    <n v="30"/>
    <n v="30"/>
    <d v="2024-11-06T00:00:00"/>
    <n v="1"/>
    <x v="1"/>
    <d v="1899-12-30T10:00:00"/>
    <n v="1.0000000000000004"/>
    <d v="2024-11-06T00:00:00"/>
    <x v="13"/>
    <s v="Finishing"/>
    <s v="Mr.Sơn"/>
  </r>
  <r>
    <n v="264"/>
    <s v="bảng màu "/>
    <s v="RH500"/>
    <s v="WD-03-254"/>
    <n v="60"/>
    <n v="60"/>
    <d v="2024-11-06T00:00:00"/>
    <n v="1"/>
    <x v="1"/>
    <d v="1899-12-30T11:00:00"/>
    <n v="1.9999999999999996"/>
    <d v="2024-11-06T00:00:00"/>
    <x v="13"/>
    <s v="Finishing"/>
    <s v="Mr.Sơn"/>
  </r>
  <r>
    <n v="265"/>
    <s v="bảng màu "/>
    <s v="RH500"/>
    <s v="WD-03-119"/>
    <n v="30"/>
    <n v="30"/>
    <d v="2024-11-06T00:00:00"/>
    <n v="1"/>
    <x v="1"/>
    <d v="1899-12-30T10:00:00"/>
    <n v="1.0000000000000004"/>
    <d v="2024-11-06T00:00:00"/>
    <x v="13"/>
    <s v="Finishing"/>
    <s v="Mr.Sơn"/>
  </r>
  <r>
    <n v="266"/>
    <s v="bảng màu "/>
    <s v="RH500"/>
    <s v="WD-03-191"/>
    <n v="30"/>
    <n v="30"/>
    <d v="2024-11-06T00:00:00"/>
    <n v="1"/>
    <x v="1"/>
    <d v="1899-12-30T10:00:00"/>
    <n v="1.0000000000000004"/>
    <d v="2024-11-06T00:00:00"/>
    <x v="13"/>
    <s v="Finishing"/>
    <s v="Mr.Sơn"/>
  </r>
  <r>
    <n v="267"/>
    <s v="bảng màu "/>
    <s v="RH500"/>
    <s v="WD-03-006"/>
    <n v="30"/>
    <n v="30"/>
    <d v="2024-11-06T00:00:00"/>
    <n v="1"/>
    <x v="1"/>
    <d v="1899-12-30T14:00:00"/>
    <n v="5.0000000000000009"/>
    <d v="2024-11-06T00:00:00"/>
    <x v="13"/>
    <s v="Finishing"/>
    <s v="Mr.Sơn"/>
  </r>
  <r>
    <n v="268"/>
    <s v="bảng màu "/>
    <s v="RH500"/>
    <s v="WD-03-485"/>
    <n v="60"/>
    <n v="60"/>
    <d v="2024-11-06T00:00:00"/>
    <n v="1"/>
    <x v="1"/>
    <d v="1899-12-30T10:00:00"/>
    <n v="1.0000000000000004"/>
    <d v="2024-11-06T00:00:00"/>
    <x v="13"/>
    <s v="Finishing"/>
    <s v="Mr.Sơn"/>
  </r>
  <r>
    <n v="269"/>
    <m/>
    <s v="RH3539F196"/>
    <s v="đầu gường "/>
    <n v="3"/>
    <n v="3"/>
    <d v="2024-11-08T00:00:00"/>
    <n v="1"/>
    <x v="2"/>
    <d v="1899-12-30T19:50:00"/>
    <n v="9.8333333333333321"/>
    <d v="2024-11-08T00:00:00"/>
    <x v="13"/>
    <s v="Finishing"/>
    <m/>
  </r>
  <r>
    <n v="270"/>
    <s v="bảng màu "/>
    <s v="RH500"/>
    <s v="WD-03-334"/>
    <n v="2"/>
    <n v="2"/>
    <d v="2024-11-11T00:00:00"/>
    <n v="1"/>
    <x v="2"/>
    <d v="1899-12-30T10:30:00"/>
    <n v="0.49999999999999956"/>
    <d v="2024-11-10T00:00:00"/>
    <x v="14"/>
    <s v="ME"/>
    <s v="hàng test cước "/>
  </r>
  <r>
    <n v="271"/>
    <s v="bảng màu "/>
    <s v="RH500"/>
    <s v="WD-03-482"/>
    <n v="4"/>
    <n v="4"/>
    <d v="2024-11-11T00:00:00"/>
    <n v="1"/>
    <x v="2"/>
    <d v="1899-12-30T10:30:00"/>
    <n v="0.49999999999999956"/>
    <d v="2024-11-10T00:00:00"/>
    <x v="14"/>
    <s v="ME"/>
    <s v="hàng test cước "/>
  </r>
  <r>
    <n v="272"/>
    <s v="bảng màu "/>
    <s v="RH500"/>
    <s v="WD-03-119"/>
    <n v="2"/>
    <n v="2"/>
    <d v="2024-11-11T00:00:00"/>
    <n v="1"/>
    <x v="2"/>
    <d v="1899-12-30T10:30:00"/>
    <n v="0.49999999999999956"/>
    <d v="2024-11-10T00:00:00"/>
    <x v="14"/>
    <s v="ME"/>
    <s v="hàng test cước "/>
  </r>
  <r>
    <n v="273"/>
    <s v="bảng màu "/>
    <s v="RH500"/>
    <s v="WD-03-236"/>
    <n v="4"/>
    <n v="4"/>
    <d v="2024-11-11T00:00:00"/>
    <n v="1"/>
    <x v="2"/>
    <d v="1899-12-30T10:30:00"/>
    <n v="0.49999999999999956"/>
    <d v="2024-11-10T00:00:00"/>
    <x v="14"/>
    <s v="ME"/>
    <s v="hàng test cước "/>
  </r>
  <r>
    <n v="274"/>
    <m/>
    <s v="CZ886F196"/>
    <s v="mặt bàn "/>
    <n v="2"/>
    <n v="2"/>
    <d v="2024-11-11T00:00:00"/>
    <n v="1"/>
    <x v="14"/>
    <d v="1899-12-30T10:00:00"/>
    <n v="3"/>
    <d v="2024-11-11T00:00:00"/>
    <x v="14"/>
    <s v="Finishing"/>
    <m/>
  </r>
  <r>
    <n v="275"/>
    <s v="B522613/A"/>
    <s v="RH9849F423"/>
    <s v="P01-0"/>
    <n v="1"/>
    <n v="1"/>
    <d v="2024-11-11T00:00:00"/>
    <n v="1"/>
    <x v="12"/>
    <d v="1899-12-30T08:20:00"/>
    <n v="0.33333333333333481"/>
    <d v="2024-11-11T00:00:00"/>
    <x v="14"/>
    <s v="Unassigned"/>
    <m/>
  </r>
  <r>
    <n v="276"/>
    <s v="B518221/A"/>
    <s v="RH2573F374"/>
    <s v="A1"/>
    <n v="1"/>
    <n v="1"/>
    <d v="2024-11-11T00:00:00"/>
    <n v="1"/>
    <x v="12"/>
    <d v="1899-12-30T08:20:00"/>
    <n v="0.33333333333333481"/>
    <d v="2024-11-11T00:00:00"/>
    <x v="14"/>
    <s v="Machining"/>
    <m/>
  </r>
  <r>
    <n v="277"/>
    <s v="B516945/A"/>
    <s v="RH7157F383"/>
    <s v="P06"/>
    <n v="1"/>
    <n v="1"/>
    <d v="2024-11-11T00:00:00"/>
    <n v="1"/>
    <x v="12"/>
    <d v="1899-12-30T08:20:00"/>
    <n v="0.33333333333333481"/>
    <d v="2024-11-11T00:00:00"/>
    <x v="14"/>
    <s v="Packing"/>
    <m/>
  </r>
  <r>
    <n v="278"/>
    <m/>
    <s v="RH9861F423"/>
    <s v="A2-S2-2"/>
    <n v="2"/>
    <n v="2"/>
    <d v="2024-11-11T00:00:00"/>
    <n v="1"/>
    <x v="12"/>
    <d v="1899-12-30T08:20:00"/>
    <n v="0.33333333333333481"/>
    <d v="2024-11-11T00:00:00"/>
    <x v="14"/>
    <s v="change texture"/>
    <m/>
  </r>
  <r>
    <n v="279"/>
    <m/>
    <s v="RH9861F423"/>
    <s v="A2-S2-4"/>
    <n v="2"/>
    <n v="2"/>
    <d v="2024-11-11T00:00:00"/>
    <n v="1"/>
    <x v="12"/>
    <d v="1899-12-30T08:20:00"/>
    <n v="0.33333333333333481"/>
    <d v="2024-11-11T00:00:00"/>
    <x v="14"/>
    <s v="change texture"/>
    <m/>
  </r>
  <r>
    <n v="280"/>
    <m/>
    <s v="RH9861F423"/>
    <s v="A2-S2-1-2-1"/>
    <n v="1"/>
    <n v="1"/>
    <d v="2024-11-11T00:00:00"/>
    <n v="1"/>
    <x v="12"/>
    <d v="1899-12-30T08:20:00"/>
    <n v="0.33333333333333481"/>
    <d v="2024-11-11T00:00:00"/>
    <x v="14"/>
    <s v="change texture"/>
    <m/>
  </r>
  <r>
    <n v="281"/>
    <m/>
    <s v="RH9861F423"/>
    <s v="A2-S2-1-2-2"/>
    <n v="1"/>
    <n v="8"/>
    <d v="2024-11-11T00:00:00"/>
    <n v="1"/>
    <x v="12"/>
    <d v="1899-12-30T08:30:00"/>
    <n v="0.50000000000000089"/>
    <d v="2024-11-11T00:00:00"/>
    <x v="14"/>
    <s v="change texture"/>
    <m/>
  </r>
  <r>
    <n v="282"/>
    <m/>
    <s v="RH9861F423"/>
    <s v="A2-S2-1-1-1"/>
    <n v="1"/>
    <n v="1"/>
    <d v="2024-11-11T00:00:00"/>
    <n v="1"/>
    <x v="12"/>
    <d v="1899-12-30T08:20:00"/>
    <n v="0.33333333333333481"/>
    <d v="2024-11-11T00:00:00"/>
    <x v="14"/>
    <s v="change texture"/>
    <m/>
  </r>
  <r>
    <n v="283"/>
    <m/>
    <s v="RH9861F423"/>
    <s v="A2-S5"/>
    <n v="1"/>
    <n v="1"/>
    <d v="2024-11-11T00:00:00"/>
    <n v="1"/>
    <x v="12"/>
    <d v="1899-12-30T08:20:00"/>
    <n v="0.33333333333333481"/>
    <d v="2024-11-11T00:00:00"/>
    <x v="14"/>
    <s v="change texture"/>
    <m/>
  </r>
  <r>
    <n v="284"/>
    <m/>
    <s v="RH9861F423"/>
    <s v="A2-1"/>
    <n v="1"/>
    <n v="1"/>
    <d v="2024-11-11T00:00:00"/>
    <n v="1"/>
    <x v="12"/>
    <d v="1899-12-30T08:30:00"/>
    <n v="0.50000000000000089"/>
    <d v="2024-11-11T00:00:00"/>
    <x v="14"/>
    <s v="change texture"/>
    <m/>
  </r>
  <r>
    <n v="285"/>
    <m/>
    <s v="RH9858F423"/>
    <s v="A1-S5"/>
    <n v="2"/>
    <n v="2"/>
    <d v="2024-11-11T00:00:00"/>
    <n v="1"/>
    <x v="12"/>
    <d v="1899-12-30T08:30:00"/>
    <n v="0.50000000000000089"/>
    <d v="2024-11-11T00:00:00"/>
    <x v="14"/>
    <s v="change texture"/>
    <m/>
  </r>
  <r>
    <n v="286"/>
    <m/>
    <s v="RH9858F423"/>
    <s v="a1-s1"/>
    <n v="2"/>
    <n v="2"/>
    <d v="2024-11-11T00:00:00"/>
    <n v="1"/>
    <x v="12"/>
    <d v="1899-12-30T08:30:00"/>
    <n v="0.50000000000000089"/>
    <d v="2024-11-11T00:00:00"/>
    <x v="14"/>
    <s v="change texture"/>
    <m/>
  </r>
  <r>
    <n v="287"/>
    <m/>
    <s v="RH9858F423"/>
    <s v="a1-s1-2"/>
    <n v="2"/>
    <n v="2"/>
    <d v="2024-11-11T00:00:00"/>
    <n v="1"/>
    <x v="12"/>
    <d v="1899-12-30T08:30:00"/>
    <n v="0.50000000000000089"/>
    <d v="2024-11-11T00:00:00"/>
    <x v="14"/>
    <s v="change texture"/>
    <m/>
  </r>
  <r>
    <n v="288"/>
    <m/>
    <s v="RH9858F423"/>
    <s v="a1-s1-3"/>
    <n v="1"/>
    <n v="4"/>
    <d v="2024-11-11T00:00:00"/>
    <n v="1"/>
    <x v="12"/>
    <d v="1899-12-30T08:30:00"/>
    <n v="0.50000000000000089"/>
    <d v="2024-11-11T00:00:00"/>
    <x v="14"/>
    <s v="change texture"/>
    <m/>
  </r>
  <r>
    <n v="289"/>
    <s v="bảng màu "/>
    <s v="RH500"/>
    <s v="WD-03-231"/>
    <n v="60"/>
    <n v="60"/>
    <d v="2024-11-14T00:00:00"/>
    <n v="1"/>
    <x v="1"/>
    <d v="1899-12-30T10:00:00"/>
    <n v="1.0000000000000004"/>
    <d v="2024-11-14T00:00:00"/>
    <x v="14"/>
    <s v="Finishing"/>
    <s v="Mr.Sơn"/>
  </r>
  <r>
    <n v="290"/>
    <s v="bảng màu "/>
    <s v="RH500"/>
    <s v="WD-03-254"/>
    <n v="40"/>
    <n v="60"/>
    <d v="2024-11-14T00:00:00"/>
    <n v="1"/>
    <x v="1"/>
    <d v="1899-12-30T10:00:00"/>
    <n v="1.0000000000000004"/>
    <d v="2024-11-14T00:00:00"/>
    <x v="14"/>
    <s v="Finishing"/>
    <s v="Mr.Sơn"/>
  </r>
  <r>
    <n v="291"/>
    <s v="bảng màu "/>
    <s v="RH500"/>
    <s v="WD-03-326"/>
    <n v="60"/>
    <n v="60"/>
    <d v="2024-11-14T00:00:00"/>
    <n v="1"/>
    <x v="1"/>
    <d v="1899-12-30T10:00:00"/>
    <n v="1.0000000000000004"/>
    <d v="2024-11-14T00:00:00"/>
    <x v="14"/>
    <s v="Finishing"/>
    <s v="Mr.Sơn"/>
  </r>
  <r>
    <n v="292"/>
    <s v="B524706/A"/>
    <s v="RH1852F8"/>
    <s v="P31-4"/>
    <n v="4"/>
    <n v="8"/>
    <d v="2024-11-14T00:00:00"/>
    <n v="1"/>
    <x v="12"/>
    <d v="1899-12-30T08:45:00"/>
    <n v="0.75"/>
    <d v="2024-11-14T00:00:00"/>
    <x v="14"/>
    <s v="Unassigned"/>
    <m/>
  </r>
  <r>
    <n v="293"/>
    <s v="B525282/A"/>
    <s v="RH9541F424"/>
    <s v="A1-S1"/>
    <n v="1"/>
    <n v="1"/>
    <d v="2024-11-14T00:00:00"/>
    <n v="1"/>
    <x v="6"/>
    <d v="1899-12-30T13:45:00"/>
    <n v="0.75"/>
    <d v="2024-11-14T00:00:00"/>
    <x v="14"/>
    <s v="Final Machining"/>
    <m/>
  </r>
  <r>
    <n v="294"/>
    <s v="B522749/A"/>
    <s v="RH9859F426"/>
    <s v="P1-0"/>
    <n v="1"/>
    <n v="1"/>
    <d v="2024-11-14T00:00:00"/>
    <n v="1"/>
    <x v="6"/>
    <d v="1899-12-30T13:45:00"/>
    <n v="0.75"/>
    <d v="2024-11-14T00:00:00"/>
    <x v="14"/>
    <s v="Final Machining"/>
    <m/>
  </r>
  <r>
    <n v="295"/>
    <s v="B521169/A"/>
    <s v="RH9861F425"/>
    <s v="A2-S5"/>
    <n v="1"/>
    <n v="1"/>
    <d v="2024-11-14T00:00:00"/>
    <n v="1"/>
    <x v="6"/>
    <d v="1899-12-30T13:45:00"/>
    <n v="0.75"/>
    <d v="2024-11-14T00:00:00"/>
    <x v="14"/>
    <s v="Unassigned"/>
    <m/>
  </r>
  <r>
    <n v="296"/>
    <m/>
    <s v="RH9456F424"/>
    <s v="A0"/>
    <n v="2"/>
    <n v="4"/>
    <d v="2024-11-14T00:00:00"/>
    <n v="1"/>
    <x v="6"/>
    <d v="1899-12-30T13:50:00"/>
    <n v="0.8333333333333357"/>
    <d v="2024-11-14T00:00:00"/>
    <x v="14"/>
    <s v="Final Machining"/>
    <m/>
  </r>
  <r>
    <n v="297"/>
    <s v="B524010/A"/>
    <s v="RH4087F26"/>
    <s v="A3-06"/>
    <n v="1"/>
    <n v="3"/>
    <d v="2024-11-15T00:00:00"/>
    <n v="1"/>
    <x v="12"/>
    <d v="1899-12-30T08:30:00"/>
    <n v="0.50000000000000089"/>
    <d v="2024-11-15T00:00:00"/>
    <x v="14"/>
    <s v="Unassigned"/>
    <m/>
  </r>
  <r>
    <n v="298"/>
    <s v="B524010/A"/>
    <s v="RH4087F26"/>
    <s v="A3-07"/>
    <n v="1"/>
    <n v="3"/>
    <d v="2024-11-15T00:00:00"/>
    <n v="1"/>
    <x v="12"/>
    <d v="1899-12-30T08:30:00"/>
    <n v="0.50000000000000089"/>
    <d v="2024-11-15T00:00:00"/>
    <x v="14"/>
    <s v="Unassigned"/>
    <m/>
  </r>
  <r>
    <n v="299"/>
    <s v="B523513/A"/>
    <s v="CZ131F08"/>
    <s v="P08A"/>
    <n v="1"/>
    <n v="1"/>
    <d v="2024-11-15T00:00:00"/>
    <n v="1"/>
    <x v="12"/>
    <d v="1899-12-30T08:20:00"/>
    <n v="0.33333333333333481"/>
    <d v="2024-11-15T00:00:00"/>
    <x v="14"/>
    <s v="Assembly"/>
    <m/>
  </r>
  <r>
    <n v="300"/>
    <s v="B523513/A"/>
    <s v="CZ131F08"/>
    <s v="P09A"/>
    <n v="1"/>
    <n v="1"/>
    <d v="2024-11-15T00:00:00"/>
    <n v="1"/>
    <x v="12"/>
    <d v="1899-12-30T08:20:00"/>
    <n v="0.33333333333333481"/>
    <d v="2024-11-15T00:00:00"/>
    <x v="14"/>
    <s v="Assembly"/>
    <m/>
  </r>
  <r>
    <n v="301"/>
    <s v="B516956/A"/>
    <s v="RH7340F381"/>
    <s v="A2"/>
    <n v="12"/>
    <n v="24"/>
    <d v="2024-11-20T00:00:00"/>
    <n v="1"/>
    <x v="12"/>
    <d v="1899-12-30T10:00:00"/>
    <n v="2.0000000000000009"/>
    <d v="2024-11-20T00:00:00"/>
    <x v="15"/>
    <s v="Technical"/>
    <m/>
  </r>
  <r>
    <n v="302"/>
    <s v="B516962/A"/>
    <s v="RH7340F382"/>
    <s v="A2"/>
    <n v="3"/>
    <n v="6"/>
    <d v="2024-11-20T00:00:00"/>
    <n v="1"/>
    <x v="12"/>
    <d v="1899-12-30T09:00:00"/>
    <n v="1.0000000000000004"/>
    <d v="2024-11-20T00:00:00"/>
    <x v="15"/>
    <s v="Technical"/>
    <m/>
  </r>
  <r>
    <n v="303"/>
    <s v="B516958/A"/>
    <s v="RH7340F383"/>
    <s v="A2"/>
    <n v="3"/>
    <n v="6"/>
    <d v="2024-11-20T00:00:00"/>
    <n v="1"/>
    <x v="12"/>
    <d v="1899-12-30T09:00:00"/>
    <n v="1.0000000000000004"/>
    <d v="2024-11-20T00:00:00"/>
    <x v="15"/>
    <s v="Technical"/>
    <m/>
  </r>
  <r>
    <n v="304"/>
    <s v="B516960/A"/>
    <s v="RH7340F383"/>
    <s v="A2"/>
    <n v="3"/>
    <n v="6"/>
    <d v="2024-11-20T00:00:00"/>
    <n v="1"/>
    <x v="12"/>
    <d v="1899-12-30T09:00:00"/>
    <n v="1.0000000000000004"/>
    <d v="2024-11-20T00:00:00"/>
    <x v="15"/>
    <s v="Technical"/>
    <m/>
  </r>
  <r>
    <n v="305"/>
    <s v="B525001/A"/>
    <s v="RH7380F381"/>
    <s v="P01"/>
    <n v="1"/>
    <n v="1"/>
    <d v="2024-11-20T00:00:00"/>
    <n v="1"/>
    <x v="12"/>
    <d v="1899-12-30T08:20:00"/>
    <n v="0.33333333333333481"/>
    <d v="2024-11-20T00:00:00"/>
    <x v="15"/>
    <s v="Final Machining"/>
    <m/>
  </r>
  <r>
    <n v="306"/>
    <s v="B529440/A"/>
    <s v="RH9536F423"/>
    <s v="A0"/>
    <n v="1"/>
    <n v="2"/>
    <d v="2024-11-20T00:00:00"/>
    <n v="1"/>
    <x v="12"/>
    <d v="1899-12-30T08:30:00"/>
    <n v="0.50000000000000089"/>
    <d v="2024-11-20T00:00:00"/>
    <x v="15"/>
    <s v="Final Machining"/>
    <m/>
  </r>
  <r>
    <n v="307"/>
    <s v="B529866/A"/>
    <s v="RH2254F08"/>
    <s v="A1-S3"/>
    <n v="3"/>
    <n v="15"/>
    <d v="2024-11-21T00:00:00"/>
    <n v="1"/>
    <x v="2"/>
    <d v="1899-12-30T11:00:00"/>
    <n v="0.99999999999999911"/>
    <d v="2024-11-21T00:00:00"/>
    <x v="15"/>
    <s v="Unassigned"/>
    <m/>
  </r>
  <r>
    <n v="308"/>
    <s v="B528104/A"/>
    <s v="RH2254F09"/>
    <s v="A1-S5"/>
    <n v="8"/>
    <n v="16"/>
    <d v="2024-11-21T00:00:00"/>
    <n v="1"/>
    <x v="2"/>
    <d v="1899-12-30T11:00:00"/>
    <n v="0.99999999999999911"/>
    <d v="2024-11-21T00:00:00"/>
    <x v="15"/>
    <s v="Unassigned"/>
    <m/>
  </r>
  <r>
    <n v="309"/>
    <s v="B523889/A"/>
    <s v="AR081F823"/>
    <s v="A1"/>
    <n v="1"/>
    <n v="1"/>
    <d v="2024-11-21T00:00:00"/>
    <n v="1"/>
    <x v="1"/>
    <d v="1899-12-30T09:20:00"/>
    <n v="0.33333333333333348"/>
    <d v="2024-11-21T00:00:00"/>
    <x v="15"/>
    <s v="FiTTINGS"/>
    <m/>
  </r>
  <r>
    <n v="310"/>
    <s v="B523889/A"/>
    <s v="AR081F823"/>
    <s v="A1-S1"/>
    <n v="1"/>
    <n v="1"/>
    <d v="2024-11-21T00:00:00"/>
    <n v="1"/>
    <x v="1"/>
    <d v="1899-12-30T09:20:00"/>
    <n v="0.33333333333333348"/>
    <d v="2024-11-21T00:00:00"/>
    <x v="15"/>
    <s v="FiTTINGS"/>
    <m/>
  </r>
  <r>
    <n v="311"/>
    <s v="B519948/A"/>
    <s v="RH2573F374"/>
    <s v="A1"/>
    <n v="1"/>
    <n v="1"/>
    <d v="2024-11-21T00:00:00"/>
    <n v="1"/>
    <x v="1"/>
    <d v="1899-12-30T09:20:00"/>
    <n v="0.33333333333333348"/>
    <d v="2024-11-21T00:00:00"/>
    <x v="15"/>
    <s v="FiTTINGS"/>
    <m/>
  </r>
  <r>
    <n v="312"/>
    <s v="B528095/A"/>
    <s v="RH2251F09"/>
    <s v="A1-S6"/>
    <n v="10"/>
    <n v="10"/>
    <d v="2024-11-21T00:00:00"/>
    <n v="1"/>
    <x v="1"/>
    <d v="1899-12-30T10:30:00"/>
    <n v="1.5"/>
    <d v="2024-11-21T00:00:00"/>
    <x v="15"/>
    <s v="Unassigned"/>
    <m/>
  </r>
  <r>
    <n v="313"/>
    <s v="B528716/A"/>
    <s v="JV041F1124"/>
    <s v="P.A"/>
    <n v="100"/>
    <n v="100"/>
    <d v="2024-11-21T00:00:00"/>
    <n v="1"/>
    <x v="1"/>
    <d v="1899-12-30T10:00:00"/>
    <n v="1.0000000000000004"/>
    <d v="2024-11-21T00:00:00"/>
    <x v="15"/>
    <s v="Technical"/>
    <m/>
  </r>
  <r>
    <n v="314"/>
    <s v="B528718/A"/>
    <s v="JV042F1124"/>
    <s v="P.A"/>
    <n v="200"/>
    <n v="200"/>
    <d v="2024-11-21T00:00:00"/>
    <n v="1"/>
    <x v="1"/>
    <d v="1899-12-30T10:00:00"/>
    <n v="1.0000000000000004"/>
    <d v="2024-11-21T00:00:00"/>
    <x v="15"/>
    <s v="Technical"/>
    <m/>
  </r>
  <r>
    <n v="315"/>
    <s v="bảng màu "/>
    <s v="RH500"/>
    <s v="WD-03-231"/>
    <n v="30"/>
    <n v="30"/>
    <d v="2024-11-23T00:00:00"/>
    <n v="1"/>
    <x v="12"/>
    <d v="1899-12-30T09:30:00"/>
    <n v="1.5"/>
    <d v="2024-11-23T00:00:00"/>
    <x v="15"/>
    <s v="Finishing"/>
    <s v="Mr.Sơn"/>
  </r>
  <r>
    <n v="316"/>
    <s v="bảng màu "/>
    <s v="RH500"/>
    <s v="WD-03-231"/>
    <n v="100"/>
    <n v="100"/>
    <d v="2024-11-23T00:00:00"/>
    <n v="1"/>
    <x v="12"/>
    <d v="1899-12-30T11:30:00"/>
    <n v="3.5000000000000009"/>
    <d v="2024-11-23T00:00:00"/>
    <x v="15"/>
    <s v="Finishing"/>
    <s v="Mr.Sơn"/>
  </r>
  <r>
    <n v="317"/>
    <m/>
    <s v="AR359F1001"/>
    <s v="mặt bàn "/>
    <n v="1"/>
    <n v="1"/>
    <d v="2024-11-23T00:00:00"/>
    <n v="1"/>
    <x v="1"/>
    <d v="1899-12-30T16:00:00"/>
    <n v="6.9999999999999991"/>
    <d v="2024-11-23T00:00:00"/>
    <x v="15"/>
    <s v="Assembly"/>
    <m/>
  </r>
  <r>
    <n v="318"/>
    <s v="đi phụ "/>
    <s v="sample shop"/>
    <m/>
    <m/>
    <m/>
    <d v="2024-11-21T00:00:00"/>
    <n v="2"/>
    <x v="2"/>
    <d v="1899-12-30T19:30:00"/>
    <n v="19"/>
    <d v="2024-11-21T00:00:00"/>
    <x v="15"/>
    <s v="sample shop"/>
    <m/>
  </r>
  <r>
    <n v="319"/>
    <s v="đi phụ "/>
    <s v="sample shop"/>
    <m/>
    <m/>
    <m/>
    <d v="2024-11-22T00:00:00"/>
    <n v="1"/>
    <x v="12"/>
    <d v="1899-12-30T20:00:00"/>
    <n v="12"/>
    <d v="2024-11-21T00:00:00"/>
    <x v="15"/>
    <s v="sample shop"/>
    <m/>
  </r>
  <r>
    <n v="320"/>
    <s v="đi phụ "/>
    <s v="sample shop"/>
    <m/>
    <m/>
    <m/>
    <d v="2024-11-23T00:00:00"/>
    <n v="1"/>
    <x v="12"/>
    <d v="1899-12-30T19:00:00"/>
    <n v="11"/>
    <d v="2024-11-23T00:00:00"/>
    <x v="15"/>
    <s v="sample shop"/>
    <m/>
  </r>
  <r>
    <n v="321"/>
    <s v="B521432/A"/>
    <s v="AR359F1001"/>
    <s v="A1-S1"/>
    <n v="5"/>
    <n v="5"/>
    <d v="2024-11-27T00:00:00"/>
    <n v="1"/>
    <x v="6"/>
    <d v="1899-12-30T18:00:00"/>
    <n v="5.0000000000000009"/>
    <d v="2024-11-27T00:00:00"/>
    <x v="16"/>
    <s v="MẪU"/>
    <m/>
  </r>
  <r>
    <n v="322"/>
    <s v="B525677/A"/>
    <s v="RH9498F382"/>
    <s v="A1-S1-3"/>
    <n v="1"/>
    <n v="4"/>
    <d v="2024-11-27T00:00:00"/>
    <n v="1"/>
    <x v="6"/>
    <d v="1899-12-30T13:30:00"/>
    <n v="0.50000000000000089"/>
    <d v="2024-11-27T00:00:00"/>
    <x v="16"/>
    <s v="khách hàng RFF-RH"/>
    <m/>
  </r>
  <r>
    <n v="323"/>
    <s v="B525677/A"/>
    <s v="RH9498F382"/>
    <s v="A2-S1-3"/>
    <n v="1"/>
    <n v="2"/>
    <d v="2024-11-27T00:00:00"/>
    <n v="1"/>
    <x v="6"/>
    <d v="1899-12-30T13:20:00"/>
    <n v="0.33333333333333481"/>
    <d v="2024-11-27T00:00:00"/>
    <x v="16"/>
    <s v="khách hàng RFF-RH"/>
    <m/>
  </r>
  <r>
    <n v="324"/>
    <s v="B525681/A"/>
    <s v="RH9991F382"/>
    <s v="A1-S1-3"/>
    <n v="1"/>
    <n v="4"/>
    <d v="2024-11-27T00:00:00"/>
    <n v="1"/>
    <x v="6"/>
    <d v="1899-12-30T13:30:00"/>
    <n v="0.50000000000000089"/>
    <d v="2024-11-27T00:00:00"/>
    <x v="16"/>
    <s v="khách hàng RFF-RH"/>
    <m/>
  </r>
  <r>
    <n v="325"/>
    <s v="B525681/A"/>
    <s v="RH9991F382"/>
    <s v="A2-S1-3"/>
    <n v="1"/>
    <n v="2"/>
    <d v="2024-11-27T00:00:00"/>
    <n v="1"/>
    <x v="6"/>
    <d v="1899-12-30T13:20:00"/>
    <n v="0.33333333333333481"/>
    <d v="2024-11-27T00:00:00"/>
    <x v="16"/>
    <s v="khách hàng RFF-RH"/>
    <m/>
  </r>
  <r>
    <n v="326"/>
    <s v="B525661/A"/>
    <s v="RH10078F382"/>
    <s v="A1-S1-3"/>
    <n v="1"/>
    <n v="18"/>
    <d v="2024-11-27T00:00:00"/>
    <n v="1"/>
    <x v="6"/>
    <d v="1899-12-30T14:00:00"/>
    <n v="1.0000000000000018"/>
    <d v="2024-11-27T00:00:00"/>
    <x v="16"/>
    <s v="khách hàng RFF-RH"/>
    <m/>
  </r>
  <r>
    <n v="327"/>
    <s v="B525661/A"/>
    <s v="RH10078F382"/>
    <s v="A2-S1-3"/>
    <n v="3"/>
    <n v="9"/>
    <d v="2024-11-27T00:00:00"/>
    <n v="1"/>
    <x v="6"/>
    <d v="1899-12-30T13:45:00"/>
    <n v="0.75"/>
    <d v="2024-11-27T00:00:00"/>
    <x v="16"/>
    <s v="khách hàng RFF-RH"/>
    <m/>
  </r>
  <r>
    <n v="328"/>
    <s v="B525673/A"/>
    <s v="RH10086F382"/>
    <s v="A1-S1-3"/>
    <n v="3"/>
    <n v="6"/>
    <d v="2024-11-27T00:00:00"/>
    <n v="1"/>
    <x v="6"/>
    <d v="1899-12-30T13:30:00"/>
    <n v="0.50000000000000089"/>
    <d v="2024-11-27T00:00:00"/>
    <x v="16"/>
    <s v="khách hàng RFF-RH"/>
    <m/>
  </r>
  <r>
    <n v="329"/>
    <s v="B525673/A"/>
    <s v="RH10086F382"/>
    <s v="A2-S1-3"/>
    <n v="1"/>
    <n v="3"/>
    <d v="2024-11-27T00:00:00"/>
    <n v="1"/>
    <x v="6"/>
    <d v="1899-12-30T13:20:00"/>
    <n v="0.33333333333333481"/>
    <d v="2024-11-27T00:00:00"/>
    <x v="16"/>
    <s v="khách hàng RFF-RH"/>
    <m/>
  </r>
  <r>
    <n v="330"/>
    <s v="B525677/A"/>
    <s v="RH9498F382"/>
    <s v="A1-S2"/>
    <n v="1"/>
    <n v="4"/>
    <d v="2024-11-27T00:00:00"/>
    <n v="1"/>
    <x v="6"/>
    <d v="1899-12-30T13:30:00"/>
    <n v="0.50000000000000089"/>
    <d v="2024-11-27T00:00:00"/>
    <x v="16"/>
    <s v="khách hàng RFF-RH"/>
    <m/>
  </r>
  <r>
    <n v="331"/>
    <s v="B525677/A"/>
    <s v="RH9498F382"/>
    <s v="A1-S3"/>
    <n v="1"/>
    <n v="8"/>
    <d v="2024-11-27T00:00:00"/>
    <n v="1"/>
    <x v="6"/>
    <d v="1899-12-30T13:40:00"/>
    <n v="0.66666666666666696"/>
    <d v="2024-11-27T00:00:00"/>
    <x v="16"/>
    <s v="khách hàng RFF-RH"/>
    <m/>
  </r>
  <r>
    <n v="332"/>
    <s v="B525677/A"/>
    <s v="RH9498F382"/>
    <s v="A1-S4"/>
    <n v="1"/>
    <n v="4"/>
    <d v="2024-11-27T00:00:00"/>
    <n v="1"/>
    <x v="6"/>
    <d v="1899-12-30T13:30:00"/>
    <n v="0.50000000000000089"/>
    <d v="2024-11-27T00:00:00"/>
    <x v="16"/>
    <s v="khách hàng RFF-RH"/>
    <m/>
  </r>
  <r>
    <n v="333"/>
    <s v="B525677/A"/>
    <s v="RH9498F382"/>
    <s v="A2-S2"/>
    <n v="1"/>
    <n v="2"/>
    <d v="2024-11-27T00:00:00"/>
    <n v="1"/>
    <x v="6"/>
    <d v="1899-12-30T13:30:00"/>
    <n v="0.50000000000000089"/>
    <d v="2024-11-27T00:00:00"/>
    <x v="16"/>
    <s v="khách hàng RFF-RH"/>
    <m/>
  </r>
  <r>
    <n v="334"/>
    <s v="B525677/A"/>
    <s v="RH9498F382"/>
    <s v="A2-S3"/>
    <n v="1"/>
    <n v="4"/>
    <d v="2024-11-27T00:00:00"/>
    <n v="1"/>
    <x v="6"/>
    <d v="1899-12-30T13:30:00"/>
    <n v="0.50000000000000089"/>
    <d v="2024-11-27T00:00:00"/>
    <x v="16"/>
    <s v="khách hàng RFF-RH"/>
    <m/>
  </r>
  <r>
    <n v="335"/>
    <s v="B525677/A"/>
    <s v="RH9498F382"/>
    <s v="A2-S4"/>
    <n v="1"/>
    <n v="2"/>
    <d v="2024-11-27T00:00:00"/>
    <n v="1"/>
    <x v="6"/>
    <d v="1899-12-30T13:30:00"/>
    <n v="0.50000000000000089"/>
    <d v="2024-11-27T00:00:00"/>
    <x v="16"/>
    <s v="khách hàng RFF-RH"/>
    <m/>
  </r>
  <r>
    <n v="336"/>
    <s v="B525681/A"/>
    <s v="RH9991F382"/>
    <s v="A1-S2"/>
    <n v="1"/>
    <n v="4"/>
    <d v="2024-11-27T00:00:00"/>
    <n v="1"/>
    <x v="6"/>
    <d v="1899-12-30T13:30:00"/>
    <n v="0.50000000000000089"/>
    <d v="2024-11-27T00:00:00"/>
    <x v="16"/>
    <s v="khách hàng RFF-RH"/>
    <m/>
  </r>
  <r>
    <n v="337"/>
    <s v="B525681/A"/>
    <s v="RH9991F382"/>
    <s v="A1-S3"/>
    <n v="1"/>
    <n v="8"/>
    <d v="2024-11-27T00:00:00"/>
    <n v="1"/>
    <x v="6"/>
    <d v="1899-12-30T13:45:00"/>
    <n v="0.75"/>
    <d v="2024-11-27T00:00:00"/>
    <x v="16"/>
    <s v="khách hàng RFF-RH"/>
    <m/>
  </r>
  <r>
    <n v="338"/>
    <s v="B525681/A"/>
    <s v="RH9991F382"/>
    <s v="A1-S4"/>
    <n v="1"/>
    <n v="4"/>
    <d v="2024-11-27T00:00:00"/>
    <n v="1"/>
    <x v="6"/>
    <d v="1899-12-30T13:30:00"/>
    <n v="0.50000000000000089"/>
    <d v="2024-11-27T00:00:00"/>
    <x v="16"/>
    <s v="khách hàng RFF-RH"/>
    <m/>
  </r>
  <r>
    <n v="339"/>
    <s v="B525681/A"/>
    <s v="RH9991F382"/>
    <s v="A2-S2"/>
    <n v="1"/>
    <n v="2"/>
    <d v="2024-11-27T00:00:00"/>
    <n v="1"/>
    <x v="6"/>
    <d v="1899-12-30T13:20:00"/>
    <n v="0.33333333333333481"/>
    <d v="2024-11-27T00:00:00"/>
    <x v="16"/>
    <s v="khách hàng RFF-RH"/>
    <m/>
  </r>
  <r>
    <n v="340"/>
    <s v="B525681/A"/>
    <s v="RH9991F382"/>
    <s v="A2-S3"/>
    <n v="1"/>
    <n v="2"/>
    <d v="2024-11-27T00:00:00"/>
    <n v="1"/>
    <x v="6"/>
    <d v="1899-12-30T13:20:00"/>
    <n v="0.33333333333333481"/>
    <d v="2024-11-27T00:00:00"/>
    <x v="16"/>
    <s v="khách hàng RFF-RH"/>
    <m/>
  </r>
  <r>
    <n v="341"/>
    <s v="B525681/A"/>
    <s v="RH9991F382"/>
    <s v="A2-S4"/>
    <n v="1"/>
    <n v="18"/>
    <d v="2024-11-27T00:00:00"/>
    <n v="1"/>
    <x v="6"/>
    <d v="1899-12-30T14:45:00"/>
    <n v="1.7500000000000018"/>
    <d v="2024-11-27T00:00:00"/>
    <x v="16"/>
    <s v="khách hàng RFF-RH"/>
    <m/>
  </r>
  <r>
    <n v="342"/>
    <s v="B525661/A"/>
    <s v="RH10078F382"/>
    <s v="A1-S2"/>
    <n v="3"/>
    <n v="36"/>
    <d v="2024-11-27T00:00:00"/>
    <n v="1"/>
    <x v="6"/>
    <d v="1899-12-30T14:00:00"/>
    <n v="1.0000000000000018"/>
    <d v="2024-11-27T00:00:00"/>
    <x v="16"/>
    <s v="khách hàng RFF-RH"/>
    <m/>
  </r>
  <r>
    <n v="343"/>
    <s v="B525661/A"/>
    <s v="RH10078F382"/>
    <s v="A1-S3"/>
    <n v="3"/>
    <n v="18"/>
    <d v="2024-11-27T00:00:00"/>
    <n v="1"/>
    <x v="6"/>
    <d v="1899-12-30T13:45:00"/>
    <n v="0.75"/>
    <d v="2024-11-27T00:00:00"/>
    <x v="16"/>
    <s v="khách hàng RFF-RH"/>
    <m/>
  </r>
  <r>
    <n v="344"/>
    <s v="B525661/A"/>
    <s v="RH10078F382"/>
    <s v="A1-S4"/>
    <n v="3"/>
    <n v="9"/>
    <d v="2024-11-27T00:00:00"/>
    <n v="1"/>
    <x v="6"/>
    <d v="1899-12-30T13:30:00"/>
    <n v="0.50000000000000089"/>
    <d v="2024-11-27T00:00:00"/>
    <x v="16"/>
    <s v="khách hàng RFF-RH"/>
    <m/>
  </r>
  <r>
    <n v="345"/>
    <s v="B525661/A"/>
    <s v="RH10078F382"/>
    <s v="A2-S2"/>
    <n v="3"/>
    <n v="18"/>
    <d v="2024-11-27T00:00:00"/>
    <n v="1"/>
    <x v="6"/>
    <d v="1899-12-30T13:45:00"/>
    <n v="0.75"/>
    <d v="2024-11-27T00:00:00"/>
    <x v="16"/>
    <s v="khách hàng RFF-RH"/>
    <m/>
  </r>
  <r>
    <n v="346"/>
    <s v="B525661/A"/>
    <s v="RH10078F382"/>
    <s v="A2-S3"/>
    <n v="3"/>
    <n v="9"/>
    <d v="2024-11-27T00:00:00"/>
    <n v="1"/>
    <x v="6"/>
    <d v="1899-12-30T13:30:00"/>
    <n v="0.50000000000000089"/>
    <d v="2024-11-27T00:00:00"/>
    <x v="16"/>
    <s v="khách hàng RFF-RH"/>
    <m/>
  </r>
  <r>
    <n v="347"/>
    <s v="B525661/A"/>
    <s v="RH10078F382"/>
    <s v="A2-S4"/>
    <n v="3"/>
    <n v="6"/>
    <d v="2024-11-27T00:00:00"/>
    <n v="1"/>
    <x v="6"/>
    <d v="1899-12-30T13:30:00"/>
    <n v="0.50000000000000089"/>
    <d v="2024-11-27T00:00:00"/>
    <x v="16"/>
    <s v="khách hàng RFF-RH"/>
    <m/>
  </r>
  <r>
    <n v="348"/>
    <s v="B525673/A"/>
    <s v="RH10086F382"/>
    <s v="A1-S2"/>
    <n v="1"/>
    <n v="12"/>
    <d v="2024-11-27T00:00:00"/>
    <n v="1"/>
    <x v="6"/>
    <d v="1899-12-30T13:45:00"/>
    <n v="0.75"/>
    <d v="2024-11-27T00:00:00"/>
    <x v="16"/>
    <s v="khách hàng RFF-RH"/>
    <m/>
  </r>
  <r>
    <n v="349"/>
    <s v="B525673/A"/>
    <s v="RH10086F382"/>
    <s v="A1-S3"/>
    <n v="1"/>
    <n v="6"/>
    <d v="2024-11-27T00:00:00"/>
    <n v="1"/>
    <x v="6"/>
    <d v="1899-12-30T13:30:00"/>
    <n v="0.50000000000000089"/>
    <d v="2024-11-27T00:00:00"/>
    <x v="16"/>
    <s v="khách hàng RFF-RH"/>
    <m/>
  </r>
  <r>
    <n v="350"/>
    <s v="B525673/A"/>
    <s v="RH10086F382"/>
    <s v="A1-S4"/>
    <n v="1"/>
    <n v="3"/>
    <d v="2024-11-27T00:00:00"/>
    <n v="1"/>
    <x v="6"/>
    <d v="1899-12-30T13:20:00"/>
    <n v="0.33333333333333481"/>
    <d v="2024-11-27T00:00:00"/>
    <x v="16"/>
    <s v="khách hàng RFF-RH"/>
    <m/>
  </r>
  <r>
    <n v="351"/>
    <s v="B525673/A"/>
    <s v="RH10086F382"/>
    <s v="A2-S2"/>
    <n v="1"/>
    <n v="6"/>
    <d v="2024-11-27T00:00:00"/>
    <n v="1"/>
    <x v="6"/>
    <d v="1899-12-30T13:30:00"/>
    <n v="0.50000000000000089"/>
    <d v="2024-11-27T00:00:00"/>
    <x v="16"/>
    <s v="khách hàng RFF-RH"/>
    <m/>
  </r>
  <r>
    <n v="352"/>
    <s v="B525673/A"/>
    <s v="RH10086F382"/>
    <s v="A2-S3"/>
    <n v="1"/>
    <n v="3"/>
    <d v="2024-11-27T00:00:00"/>
    <n v="1"/>
    <x v="6"/>
    <d v="1899-12-30T13:20:00"/>
    <n v="0.33333333333333481"/>
    <d v="2024-11-27T00:00:00"/>
    <x v="16"/>
    <s v="khách hàng RFF-RH"/>
    <m/>
  </r>
  <r>
    <n v="353"/>
    <s v="B525673/A"/>
    <s v="RH10086F382"/>
    <s v="A2-S4"/>
    <n v="1"/>
    <n v="3"/>
    <d v="2024-11-27T00:00:00"/>
    <n v="1"/>
    <x v="6"/>
    <d v="1899-12-30T13:20:00"/>
    <n v="0.33333333333333481"/>
    <d v="2024-11-27T00:00:00"/>
    <x v="16"/>
    <s v="khách hàng RFF-RH"/>
    <m/>
  </r>
  <r>
    <n v="354"/>
    <s v="B524844/A"/>
    <s v="RH386F01"/>
    <s v="A4-s1"/>
    <n v="1"/>
    <n v="1"/>
    <d v="2024-11-28T00:00:00"/>
    <n v="1"/>
    <x v="3"/>
    <d v="1899-12-30T14:20:00"/>
    <n v="0.33333333333333215"/>
    <d v="2024-11-28T00:00:00"/>
    <x v="16"/>
    <s v="Finishing"/>
    <m/>
  </r>
  <r>
    <n v="355"/>
    <s v="B524844/A"/>
    <s v="RH386F01"/>
    <s v="A4-S2"/>
    <n v="1"/>
    <n v="1"/>
    <d v="2024-11-28T00:00:00"/>
    <n v="1"/>
    <x v="3"/>
    <d v="1899-12-30T14:20:00"/>
    <n v="0.33333333333333215"/>
    <d v="2024-11-28T00:00:00"/>
    <x v="16"/>
    <s v="Finishing"/>
    <m/>
  </r>
  <r>
    <n v="356"/>
    <s v="B524844/A"/>
    <s v="RH386F01"/>
    <s v="A4-S3"/>
    <n v="1"/>
    <n v="1"/>
    <d v="2024-11-28T00:00:00"/>
    <n v="1"/>
    <x v="3"/>
    <d v="1899-12-30T14:20:00"/>
    <n v="0.33333333333333215"/>
    <d v="2024-11-28T00:00:00"/>
    <x v="16"/>
    <s v="Finishing"/>
    <m/>
  </r>
  <r>
    <n v="357"/>
    <s v="B524844/A"/>
    <s v="RH386F01"/>
    <s v="A4-S4"/>
    <n v="1"/>
    <n v="1"/>
    <d v="2024-11-28T00:00:00"/>
    <n v="1"/>
    <x v="3"/>
    <d v="1899-12-30T14:20:00"/>
    <n v="0.33333333333333215"/>
    <d v="2024-11-28T00:00:00"/>
    <x v="16"/>
    <s v="Finishing"/>
    <m/>
  </r>
  <r>
    <n v="358"/>
    <s v="đi phụ "/>
    <s v="sample shop"/>
    <m/>
    <m/>
    <m/>
    <d v="2024-11-29T00:00:00"/>
    <n v="2"/>
    <x v="0"/>
    <d v="1899-12-30T20:00:00"/>
    <n v="10.000000000000002"/>
    <d v="2024-11-29T00:00:00"/>
    <x v="16"/>
    <s v="sample shop"/>
    <m/>
  </r>
  <r>
    <n v="359"/>
    <s v="đi phụ "/>
    <s v="sample shop"/>
    <m/>
    <m/>
    <m/>
    <d v="2024-11-30T00:00:00"/>
    <n v="1"/>
    <x v="14"/>
    <d v="1899-12-30T15:00:00"/>
    <n v="8"/>
    <d v="2024-11-30T00:00:00"/>
    <x v="16"/>
    <s v="sample shop"/>
    <m/>
  </r>
  <r>
    <n v="360"/>
    <s v="B531592/A"/>
    <s v="RH9540F423"/>
    <s v="A1-S1"/>
    <n v="1"/>
    <n v="1"/>
    <d v="2024-12-03T00:00:00"/>
    <n v="1"/>
    <x v="1"/>
    <d v="1899-12-30T09:30:00"/>
    <n v="0.49999999999999956"/>
    <d v="2024-12-03T00:00:00"/>
    <x v="17"/>
    <s v="Final Machining"/>
    <m/>
  </r>
  <r>
    <n v="361"/>
    <s v="B514984/A"/>
    <s v="RH9457F423"/>
    <s v="A1"/>
    <n v="1"/>
    <n v="1"/>
    <d v="2024-12-03T00:00:00"/>
    <n v="1"/>
    <x v="1"/>
    <d v="1899-12-30T09:20:00"/>
    <n v="0.33333333333333348"/>
    <d v="2024-12-03T00:00:00"/>
    <x v="17"/>
    <s v="QA/testing"/>
    <m/>
  </r>
  <r>
    <n v="362"/>
    <s v="B514984/A"/>
    <s v="RH9457F423"/>
    <s v="A1-S3"/>
    <n v="1"/>
    <n v="1"/>
    <d v="2024-12-03T00:00:00"/>
    <n v="1"/>
    <x v="1"/>
    <d v="1899-12-30T09:20:00"/>
    <n v="0.33333333333333348"/>
    <d v="2024-12-03T00:00:00"/>
    <x v="17"/>
    <s v="QA/testing"/>
    <m/>
  </r>
  <r>
    <n v="363"/>
    <s v="B523889/A"/>
    <s v="AR081F823"/>
    <s v="A1"/>
    <n v="1"/>
    <n v="1"/>
    <d v="2024-12-03T00:00:00"/>
    <n v="1"/>
    <x v="1"/>
    <d v="1899-12-30T09:30:00"/>
    <n v="0.49999999999999956"/>
    <d v="2024-12-03T00:00:00"/>
    <x v="17"/>
    <s v="FiTTINGS"/>
    <m/>
  </r>
  <r>
    <n v="364"/>
    <s v="B529741/A"/>
    <s v="JV013F836"/>
    <s v="P01-02"/>
    <n v="1"/>
    <n v="1"/>
    <d v="2024-12-03T00:00:00"/>
    <n v="1"/>
    <x v="1"/>
    <d v="1899-12-30T11:00:00"/>
    <n v="1.9999999999999996"/>
    <d v="2024-12-03T00:00:00"/>
    <x v="17"/>
    <s v="paneling"/>
    <m/>
  </r>
  <r>
    <n v="365"/>
    <s v="B531614/A"/>
    <s v="RH9887F425"/>
    <s v="A2-S7"/>
    <n v="1"/>
    <n v="2"/>
    <d v="2024-12-04T00:00:00"/>
    <n v="1"/>
    <x v="12"/>
    <d v="1899-12-30T08:30:00"/>
    <n v="0.50000000000000089"/>
    <d v="2024-12-04T00:00:00"/>
    <x v="17"/>
    <s v="Final Machining"/>
    <m/>
  </r>
  <r>
    <n v="366"/>
    <s v="B523992/A"/>
    <s v="RH6943F372"/>
    <s v="P01"/>
    <n v="1"/>
    <n v="2"/>
    <d v="2024-12-05T00:00:00"/>
    <n v="1"/>
    <x v="6"/>
    <d v="1899-12-30T13:30:00"/>
    <n v="0.50000000000000089"/>
    <d v="2024-12-05T00:00:00"/>
    <x v="17"/>
    <s v="Final Machining"/>
    <m/>
  </r>
  <r>
    <n v="367"/>
    <s v="B533033/A"/>
    <s v="JV022F1166"/>
    <s v="P.A"/>
    <n v="103"/>
    <n v="103"/>
    <d v="2024-12-05T00:00:00"/>
    <n v="1"/>
    <x v="6"/>
    <d v="1899-12-30T18:30:00"/>
    <n v="5.5000000000000018"/>
    <d v="2024-12-05T00:00:00"/>
    <x v="17"/>
    <s v="Final Machining"/>
    <m/>
  </r>
  <r>
    <n v="368"/>
    <s v="B533033/A"/>
    <s v="JV022F1166"/>
    <s v="P.A"/>
    <n v="412"/>
    <n v="412"/>
    <d v="2024-12-05T00:00:00"/>
    <n v="1"/>
    <x v="6"/>
    <d v="1899-12-30T18:30:00"/>
    <n v="5.5000000000000018"/>
    <d v="2024-12-05T00:00:00"/>
    <x v="17"/>
    <s v="Final Machining"/>
    <m/>
  </r>
  <r>
    <n v="369"/>
    <s v="B531251/A"/>
    <s v="RH1831F08"/>
    <s v="P4-1"/>
    <n v="7"/>
    <n v="14"/>
    <d v="2024-12-06T00:00:00"/>
    <n v="1"/>
    <x v="1"/>
    <d v="1899-12-30T10:00:00"/>
    <n v="1.0000000000000004"/>
    <d v="2024-12-06T00:00:00"/>
    <x v="17"/>
    <s v="Unassigned"/>
    <m/>
  </r>
  <r>
    <n v="370"/>
    <s v="B522036/A"/>
    <s v="AR359F1001"/>
    <s v="A1-S1"/>
    <n v="3"/>
    <n v="6"/>
    <d v="2024-12-06T00:00:00"/>
    <n v="1"/>
    <x v="1"/>
    <d v="1899-12-30T13:00:00"/>
    <n v="3.9999999999999991"/>
    <d v="2024-12-06T00:00:00"/>
    <x v="17"/>
    <s v="Unassigned"/>
    <m/>
  </r>
  <r>
    <n v="371"/>
    <s v="B522036/A"/>
    <s v="AR359F1001"/>
    <s v="p01"/>
    <n v="6"/>
    <n v="6"/>
    <d v="2024-12-06T00:00:00"/>
    <n v="1"/>
    <x v="1"/>
    <d v="1899-12-30T11:00:00"/>
    <n v="1.9999999999999996"/>
    <d v="2024-12-06T00:00:00"/>
    <x v="17"/>
    <s v="Unassigned"/>
    <m/>
  </r>
  <r>
    <n v="372"/>
    <s v="B528723/A"/>
    <s v="JV033F1165"/>
    <s v="P1"/>
    <n v="309"/>
    <n v="309"/>
    <d v="2024-12-09T00:00:00"/>
    <n v="1"/>
    <x v="6"/>
    <d v="1899-12-30T13:45:00"/>
    <n v="0.75"/>
    <d v="2024-12-09T00:00:00"/>
    <x v="18"/>
    <s v="veneer pressing"/>
    <m/>
  </r>
  <r>
    <n v="373"/>
    <s v="B531592/A"/>
    <s v="RH9540F423"/>
    <s v="A1-S1"/>
    <n v="26"/>
    <n v="26"/>
    <d v="2024-12-09T00:00:00"/>
    <n v="1"/>
    <x v="6"/>
    <d v="1899-12-30T15:00:00"/>
    <n v="2.0000000000000009"/>
    <d v="2024-12-09T00:00:00"/>
    <x v="18"/>
    <s v="Final Machining"/>
    <m/>
  </r>
  <r>
    <n v="374"/>
    <s v="B531595/A"/>
    <s v="RH9541F423"/>
    <s v="A1-S1"/>
    <n v="12"/>
    <n v="12"/>
    <d v="2024-12-09T00:00:00"/>
    <n v="1"/>
    <x v="6"/>
    <d v="1899-12-30T14:00:00"/>
    <n v="1.0000000000000018"/>
    <d v="2024-12-09T00:00:00"/>
    <x v="18"/>
    <s v="Final Machining"/>
    <m/>
  </r>
  <r>
    <n v="375"/>
    <s v="B531600/A"/>
    <s v="RH9886F423"/>
    <s v="A1-S1"/>
    <n v="15"/>
    <n v="15"/>
    <d v="2024-12-09T00:00:00"/>
    <n v="1"/>
    <x v="6"/>
    <d v="1899-12-30T14:00:00"/>
    <n v="1.0000000000000018"/>
    <d v="2024-12-09T00:00:00"/>
    <x v="18"/>
    <s v="Final Machining"/>
    <m/>
  </r>
  <r>
    <n v="376"/>
    <s v="B531609/A"/>
    <s v="RH9887F423"/>
    <s v="A1-S1"/>
    <n v="10"/>
    <n v="10"/>
    <d v="2024-12-09T00:00:00"/>
    <n v="1"/>
    <x v="6"/>
    <d v="1899-12-30T13:45:00"/>
    <n v="0.75"/>
    <d v="2024-12-09T00:00:00"/>
    <x v="18"/>
    <s v="Final Machining"/>
    <m/>
  </r>
  <r>
    <n v="377"/>
    <s v="B531609/A"/>
    <s v="RH9887F423"/>
    <s v="A2-S1"/>
    <n v="10"/>
    <n v="10"/>
    <d v="2024-12-09T00:00:00"/>
    <n v="1"/>
    <x v="6"/>
    <d v="1899-12-30T13:45:00"/>
    <n v="0.75"/>
    <d v="2024-12-09T00:00:00"/>
    <x v="18"/>
    <s v="Final Machining"/>
    <m/>
  </r>
  <r>
    <n v="378"/>
    <s v="B531619/A"/>
    <s v="RH9888F423"/>
    <s v="A1-S1"/>
    <n v="15"/>
    <n v="15"/>
    <d v="2024-12-09T00:00:00"/>
    <n v="1"/>
    <x v="6"/>
    <d v="1899-12-30T14:00:00"/>
    <n v="1.0000000000000018"/>
    <d v="2024-12-09T00:00:00"/>
    <x v="18"/>
    <s v="Final Machining"/>
    <m/>
  </r>
  <r>
    <n v="379"/>
    <s v="B531628/A"/>
    <s v="RH9889F423"/>
    <s v="A1-S1"/>
    <n v="15"/>
    <n v="15"/>
    <d v="2024-12-09T00:00:00"/>
    <n v="1"/>
    <x v="6"/>
    <d v="1899-12-30T14:00:00"/>
    <n v="1.0000000000000018"/>
    <d v="2024-12-09T00:00:00"/>
    <x v="18"/>
    <s v="Final Machining"/>
    <m/>
  </r>
  <r>
    <n v="380"/>
    <m/>
    <s v="CZ051F196"/>
    <s v="HỘC KÉO"/>
    <n v="44"/>
    <n v="14"/>
    <d v="2024-12-06T00:00:00"/>
    <n v="3"/>
    <x v="17"/>
    <d v="1899-12-30T15:10:00"/>
    <n v="2.4999999999999991"/>
    <d v="2024-12-09T00:00:00"/>
    <x v="18"/>
    <s v="Finishing"/>
    <m/>
  </r>
  <r>
    <n v="381"/>
    <m/>
    <s v="CZ051F196"/>
    <s v="HỘC KÉO"/>
    <n v="44"/>
    <n v="10"/>
    <d v="2024-12-07T00:00:00"/>
    <n v="3"/>
    <x v="17"/>
    <d v="1899-12-30T15:10:00"/>
    <n v="2.4999999999999991"/>
    <d v="2024-12-09T00:00:00"/>
    <x v="18"/>
    <s v="Finishing"/>
    <m/>
  </r>
  <r>
    <n v="382"/>
    <m/>
    <s v="CZ051F196"/>
    <s v="HỘC KÉO"/>
    <n v="44"/>
    <n v="10"/>
    <d v="2024-12-08T00:00:00"/>
    <n v="3"/>
    <x v="17"/>
    <d v="1899-12-30T15:10:00"/>
    <n v="2.4999999999999991"/>
    <d v="2024-12-09T00:00:00"/>
    <x v="18"/>
    <s v="Finishing"/>
    <m/>
  </r>
  <r>
    <n v="383"/>
    <m/>
    <s v="CZ051F196"/>
    <s v="HỘC KÉO"/>
    <n v="44"/>
    <n v="10"/>
    <d v="2024-12-09T00:00:00"/>
    <n v="3"/>
    <x v="17"/>
    <d v="1899-12-30T15:10:00"/>
    <n v="2.4999999999999991"/>
    <d v="2024-12-09T00:00:00"/>
    <x v="18"/>
    <s v="Finishing"/>
    <m/>
  </r>
  <r>
    <n v="384"/>
    <s v="B528232/A"/>
    <s v="RH386F02"/>
    <s v="TỦ"/>
    <n v="1"/>
    <n v="1"/>
    <d v="2024-12-11T00:00:00"/>
    <n v="2"/>
    <x v="0"/>
    <d v="1899-12-30T19:30:00"/>
    <n v="9"/>
    <d v="2024-12-11T00:00:00"/>
    <x v="18"/>
    <s v="Finishing"/>
    <m/>
  </r>
  <r>
    <n v="385"/>
    <m/>
    <s v="RH5275F17"/>
    <s v="HỘC KÉO"/>
    <n v="18"/>
    <n v="44"/>
    <d v="2024-12-13T00:00:00"/>
    <n v="2"/>
    <x v="18"/>
    <d v="1899-12-30T19:30:00"/>
    <n v="20.8"/>
    <d v="2024-12-13T00:00:00"/>
    <x v="19"/>
    <s v="Final Machining"/>
    <m/>
  </r>
  <r>
    <n v="386"/>
    <m/>
    <s v="RH5275F17"/>
    <s v="HỘC KÉO"/>
    <n v="18"/>
    <n v="118"/>
    <d v="2024-12-16T00:00:00"/>
    <n v="2"/>
    <x v="14"/>
    <d v="1899-12-30T15:30:00"/>
    <n v="17"/>
    <d v="2024-12-16T00:00:00"/>
    <x v="19"/>
    <s v="Final Machining"/>
    <m/>
  </r>
  <r>
    <n v="387"/>
    <m/>
    <s v="RH500F01"/>
    <s v="BẢNG MÀU"/>
    <n v="30"/>
    <n v="30"/>
    <d v="2024-12-18T00:00:00"/>
    <n v="1"/>
    <x v="1"/>
    <d v="1899-12-30T10:00:00"/>
    <n v="1.0000000000000004"/>
    <d v="2024-12-18T00:00:00"/>
    <x v="19"/>
    <s v="Finishing"/>
    <s v="Mr.Sơn"/>
  </r>
  <r>
    <n v="388"/>
    <m/>
    <s v="RH500F384"/>
    <s v="BẢNG MÀU"/>
    <n v="30"/>
    <n v="30"/>
    <d v="2024-12-18T00:00:00"/>
    <n v="1"/>
    <x v="1"/>
    <d v="1899-12-30T10:00:00"/>
    <n v="1.0000000000000004"/>
    <d v="2024-12-18T00:00:00"/>
    <x v="19"/>
    <s v="Finishing"/>
    <s v="Mr.Sơn"/>
  </r>
  <r>
    <n v="389"/>
    <m/>
    <s v="JV038F1164"/>
    <s v="A5-S3"/>
    <n v="5"/>
    <n v="10"/>
    <d v="2024-12-18T00:00:00"/>
    <n v="1"/>
    <x v="12"/>
    <d v="1899-12-30T09:30:00"/>
    <n v="1.5"/>
    <d v="2024-12-18T00:00:00"/>
    <x v="19"/>
    <s v="WW"/>
    <s v="A UYÊN"/>
  </r>
  <r>
    <n v="390"/>
    <s v="B535171/A"/>
    <s v="RH9882F426"/>
    <s v="P11"/>
    <n v="3"/>
    <n v="3"/>
    <d v="2024-12-18T00:00:00"/>
    <n v="1"/>
    <x v="1"/>
    <d v="1899-12-30T09:30:00"/>
    <n v="0.49999999999999956"/>
    <d v="2024-12-18T00:00:00"/>
    <x v="19"/>
    <s v="Final Machining"/>
    <m/>
  </r>
  <r>
    <n v="391"/>
    <s v="đi phụ "/>
    <s v="sample shop"/>
    <m/>
    <m/>
    <m/>
    <d v="2024-12-19T00:00:00"/>
    <n v="2"/>
    <x v="12"/>
    <d v="1899-12-30T15:30:00"/>
    <n v="15.000000000000004"/>
    <d v="2024-12-19T00:00:00"/>
    <x v="19"/>
    <s v="sample shop"/>
    <m/>
  </r>
  <r>
    <n v="392"/>
    <m/>
    <s v="JV013F836"/>
    <s v="VÁN ĐÁY"/>
    <m/>
    <n v="1"/>
    <d v="2024-12-19T00:00:00"/>
    <n v="2"/>
    <x v="6"/>
    <d v="1899-12-30T15:30:00"/>
    <n v="5.0000000000000036"/>
    <d v="2024-12-19T00:00:00"/>
    <x v="19"/>
    <s v="Unassigned"/>
    <m/>
  </r>
  <r>
    <n v="393"/>
    <s v="B528232/A"/>
    <s v="RH386F02"/>
    <s v="TOP"/>
    <m/>
    <n v="1"/>
    <d v="2024-12-20T00:00:00"/>
    <n v="2"/>
    <x v="12"/>
    <d v="1899-12-30T12:00:00"/>
    <n v="8"/>
    <d v="2024-12-20T00:00:00"/>
    <x v="19"/>
    <s v="Finishing"/>
    <m/>
  </r>
  <r>
    <n v="394"/>
    <m/>
    <s v="RH175F01"/>
    <s v="HỘC KÉO"/>
    <m/>
    <n v="1"/>
    <d v="2024-12-20T00:00:00"/>
    <n v="1"/>
    <x v="12"/>
    <d v="1899-12-30T09:00:00"/>
    <n v="1.0000000000000004"/>
    <d v="2024-12-20T00:00:00"/>
    <x v="19"/>
    <s v="Finishing"/>
    <m/>
  </r>
  <r>
    <n v="395"/>
    <m/>
    <s v="JV013F836"/>
    <m/>
    <m/>
    <n v="1"/>
    <d v="2024-12-24T00:00:00"/>
    <n v="2"/>
    <x v="6"/>
    <d v="1899-12-30T14:30:00"/>
    <n v="3"/>
    <d v="2024-12-24T00:00:00"/>
    <x v="20"/>
    <s v="ko xác định"/>
    <m/>
  </r>
  <r>
    <n v="396"/>
    <m/>
    <s v="RH5367F38"/>
    <m/>
    <m/>
    <n v="40"/>
    <d v="2024-12-24T00:00:00"/>
    <n v="2"/>
    <x v="2"/>
    <d v="1899-12-30T15:00:00"/>
    <n v="10"/>
    <d v="2024-12-24T00:00:00"/>
    <x v="20"/>
    <s v="ko xác định"/>
    <m/>
  </r>
  <r>
    <n v="397"/>
    <m/>
    <s v="RH1002F423"/>
    <s v="P03"/>
    <n v="3"/>
    <n v="3"/>
    <d v="2024-12-24T00:00:00"/>
    <n v="1"/>
    <x v="12"/>
    <d v="1899-12-30T08:30:00"/>
    <n v="0.50000000000000089"/>
    <d v="2024-12-24T00:00:00"/>
    <x v="20"/>
    <s v="ko xác định"/>
    <m/>
  </r>
  <r>
    <n v="398"/>
    <s v="B528466/A"/>
    <s v="BN1377F70"/>
    <s v="A2-S4"/>
    <n v="3"/>
    <n v="3"/>
    <d v="2024-12-24T00:00:00"/>
    <n v="1"/>
    <x v="12"/>
    <d v="1899-12-30T08:30:00"/>
    <n v="0.50000000000000089"/>
    <d v="2024-12-24T00:00:00"/>
    <x v="20"/>
    <s v="Assembly"/>
    <m/>
  </r>
  <r>
    <n v="399"/>
    <s v="B532887/A"/>
    <s v="BN2942F355"/>
    <s v="A2-S1"/>
    <n v="6"/>
    <n v="6"/>
    <d v="2024-12-24T00:00:00"/>
    <n v="1"/>
    <x v="12"/>
    <d v="1899-12-30T08:45:00"/>
    <n v="0.75"/>
    <d v="2024-12-24T00:00:00"/>
    <x v="20"/>
    <s v="Final Machining"/>
    <m/>
  </r>
  <r>
    <n v="400"/>
    <s v="B533043/A"/>
    <s v="JV035F1165"/>
    <s v="A4-S5"/>
    <n v="23"/>
    <n v="43"/>
    <d v="2024-12-24T00:00:00"/>
    <n v="1"/>
    <x v="12"/>
    <d v="1899-12-30T09:00:00"/>
    <n v="1.0000000000000004"/>
    <d v="2024-12-24T00:00:00"/>
    <x v="20"/>
    <s v="Technical"/>
    <m/>
  </r>
  <r>
    <n v="401"/>
    <s v="B533043/A"/>
    <s v="JV035F1165"/>
    <s v="A3-S4"/>
    <n v="23"/>
    <n v="23"/>
    <d v="2024-12-24T00:00:00"/>
    <n v="1"/>
    <x v="12"/>
    <d v="1899-12-30T08:45:00"/>
    <n v="0.75"/>
    <d v="2024-12-24T00:00:00"/>
    <x v="20"/>
    <s v="Technical"/>
    <m/>
  </r>
  <r>
    <n v="402"/>
    <s v="B528451/A"/>
    <s v="DL016F836"/>
    <s v="A1-S7A"/>
    <n v="2"/>
    <n v="2"/>
    <d v="2024-12-24T00:00:00"/>
    <n v="1"/>
    <x v="1"/>
    <d v="1899-12-30T09:20:00"/>
    <n v="0.33333333333333348"/>
    <d v="2024-12-24T00:00:00"/>
    <x v="20"/>
    <s v="Assembly"/>
    <m/>
  </r>
  <r>
    <n v="403"/>
    <s v="B528413/A"/>
    <s v="CZ854F196"/>
    <s v="A1-S4"/>
    <n v="1"/>
    <n v="1"/>
    <d v="2024-12-24T00:00:00"/>
    <n v="1"/>
    <x v="1"/>
    <d v="1899-12-30T09:20:00"/>
    <n v="0.33333333333333348"/>
    <d v="2024-12-24T00:00:00"/>
    <x v="20"/>
    <s v="Unassigned"/>
    <m/>
  </r>
  <r>
    <n v="404"/>
    <s v="B531373/A"/>
    <s v="RH3065F08"/>
    <s v="A6-S1"/>
    <n v="50"/>
    <n v="30"/>
    <d v="2024-12-24T00:00:00"/>
    <n v="1"/>
    <x v="1"/>
    <d v="1899-12-30T09:45:00"/>
    <n v="0.75"/>
    <d v="2024-12-24T00:00:00"/>
    <x v="20"/>
    <s v="Unassigned"/>
    <m/>
  </r>
  <r>
    <n v="405"/>
    <s v="B533197/A"/>
    <s v="RH3067F09"/>
    <s v="A4-S1"/>
    <n v="10"/>
    <n v="30"/>
    <d v="2024-12-26T00:00:00"/>
    <n v="1"/>
    <x v="6"/>
    <d v="1899-12-30T14:00:00"/>
    <n v="1.0000000000000018"/>
    <d v="2024-12-26T00:00:00"/>
    <x v="20"/>
    <s v="Unassigned"/>
    <m/>
  </r>
  <r>
    <n v="406"/>
    <m/>
    <s v="RH1654F96"/>
    <s v="HÔNG TỦ "/>
    <n v="3"/>
    <n v="3"/>
    <d v="2024-12-26T00:00:00"/>
    <n v="2"/>
    <x v="6"/>
    <d v="1899-12-30T15:30:00"/>
    <n v="5.0000000000000036"/>
    <d v="2024-12-26T00:00:00"/>
    <x v="20"/>
    <s v="ko xác định"/>
    <m/>
  </r>
  <r>
    <n v="407"/>
    <m/>
    <s v="RH1654F96"/>
    <s v="HÔNG TỦ "/>
    <n v="3"/>
    <n v="3"/>
    <d v="2024-12-27T00:00:00"/>
    <n v="2"/>
    <x v="14"/>
    <d v="1899-12-30T15:30:00"/>
    <n v="17"/>
    <d v="2024-12-27T00:00:00"/>
    <x v="20"/>
    <s v="ko xác định"/>
    <m/>
  </r>
  <r>
    <n v="408"/>
    <m/>
    <s v="RH500F1021"/>
    <s v="BẢNG MÀU"/>
    <n v="30"/>
    <n v="30"/>
    <d v="2024-12-29T00:00:00"/>
    <n v="1"/>
    <x v="12"/>
    <d v="1899-12-30T09:00:00"/>
    <n v="1.0000000000000004"/>
    <d v="2024-12-29T00:00:00"/>
    <x v="21"/>
    <s v="Finishing"/>
    <s v="Mr.Sơn"/>
  </r>
  <r>
    <n v="409"/>
    <m/>
    <s v="RH500F384"/>
    <s v="BẢNG MÀU"/>
    <n v="30"/>
    <n v="30"/>
    <d v="2024-12-29T00:00:00"/>
    <n v="1"/>
    <x v="12"/>
    <d v="1899-12-30T09:00:00"/>
    <n v="1.0000000000000004"/>
    <d v="2024-12-29T00:00:00"/>
    <x v="21"/>
    <s v="Finishing"/>
    <s v="Mr.Sơn"/>
  </r>
  <r>
    <n v="410"/>
    <m/>
    <s v="RH500F1.3"/>
    <s v="BẢNG MÀU"/>
    <n v="100"/>
    <n v="100"/>
    <d v="2024-12-29T00:00:00"/>
    <n v="1"/>
    <x v="12"/>
    <d v="1899-12-30T10:00:00"/>
    <n v="2.0000000000000009"/>
    <d v="2024-12-29T00:00:00"/>
    <x v="21"/>
    <s v="Finishing"/>
    <s v="Mr.Sơn"/>
  </r>
  <r>
    <n v="411"/>
    <s v="bảng màu "/>
    <s v="RH500"/>
    <s v="WD-03-254"/>
    <n v="30"/>
    <n v="30"/>
    <d v="2025-01-03T00:00:00"/>
    <n v="1"/>
    <x v="6"/>
    <d v="1899-12-30T14:00:00"/>
    <n v="1.0000000000000018"/>
    <d v="2025-01-03T00:00:00"/>
    <x v="21"/>
    <s v="Finishing"/>
    <s v="Mr.Sơn"/>
  </r>
  <r>
    <n v="412"/>
    <s v="bảng màu "/>
    <s v="RH500"/>
    <s v="WD-03-194"/>
    <n v="30"/>
    <n v="30"/>
    <d v="2025-01-03T00:00:00"/>
    <n v="1"/>
    <x v="6"/>
    <d v="1899-12-30T14:00:00"/>
    <n v="1.0000000000000018"/>
    <d v="2025-01-03T00:00:00"/>
    <x v="21"/>
    <s v="Finishing"/>
    <s v="Mr.Sơn"/>
  </r>
  <r>
    <n v="413"/>
    <s v="bảng màu "/>
    <s v="RH500"/>
    <s v="WD-03-520"/>
    <n v="30"/>
    <n v="30"/>
    <d v="2025-01-03T00:00:00"/>
    <n v="1"/>
    <x v="6"/>
    <d v="1899-12-30T14:00:00"/>
    <n v="1.0000000000000018"/>
    <d v="2025-01-03T00:00:00"/>
    <x v="21"/>
    <s v="Finishing"/>
    <s v="Mr.Sơn"/>
  </r>
  <r>
    <n v="414"/>
    <s v="bảng màu "/>
    <s v="RH500"/>
    <s v="WD-03-203"/>
    <n v="30"/>
    <n v="30"/>
    <d v="2025-01-03T00:00:00"/>
    <n v="1"/>
    <x v="6"/>
    <d v="1899-12-30T14:00:00"/>
    <n v="1.0000000000000018"/>
    <d v="2025-01-03T00:00:00"/>
    <x v="21"/>
    <s v="Finishing"/>
    <s v="Mr.Sơn"/>
  </r>
  <r>
    <n v="415"/>
    <s v="bảng màu "/>
    <s v="RH500"/>
    <s v="WD-03-326"/>
    <n v="4"/>
    <n v="4"/>
    <d v="2025-01-03T00:00:00"/>
    <n v="1"/>
    <x v="1"/>
    <d v="1899-12-30T09:20:00"/>
    <n v="0.33333333333333348"/>
    <d v="2025-01-03T00:00:00"/>
    <x v="21"/>
    <s v="ko xác định"/>
    <s v="Mr.tu"/>
  </r>
  <r>
    <n v="416"/>
    <s v="B529738/A"/>
    <s v="DL018F837"/>
    <s v="A1-S4-1"/>
    <n v="3"/>
    <n v="3"/>
    <d v="2025-01-03T00:00:00"/>
    <n v="1"/>
    <x v="12"/>
    <d v="1899-12-30T08:30:00"/>
    <n v="0.50000000000000089"/>
    <d v="2025-01-23T00:00:00"/>
    <x v="21"/>
    <s v="Finishing"/>
    <m/>
  </r>
  <r>
    <n v="417"/>
    <s v="B531517/A"/>
    <s v="RH7609F373"/>
    <s v="P1"/>
    <n v="1"/>
    <n v="1"/>
    <d v="2025-01-03T00:00:00"/>
    <n v="1"/>
    <x v="12"/>
    <d v="1899-12-30T08:20:00"/>
    <n v="0.33333333333333481"/>
    <d v="2025-01-23T00:00:00"/>
    <x v="21"/>
    <s v="Final Machining"/>
    <m/>
  </r>
  <r>
    <n v="418"/>
    <m/>
    <s v="RH4083F17"/>
    <s v="HỘC KÉO"/>
    <n v="34"/>
    <n v="34"/>
    <d v="2025-01-06T00:00:00"/>
    <n v="2"/>
    <x v="2"/>
    <d v="1899-12-30T15:30:00"/>
    <n v="11"/>
    <d v="2025-01-06T00:00:00"/>
    <x v="22"/>
    <s v="NCC "/>
    <m/>
  </r>
  <r>
    <n v="419"/>
    <s v="B533036/A"/>
    <s v="JV033F1165"/>
    <s v="P.A"/>
    <n v="420"/>
    <n v="420"/>
    <d v="2025-01-07T00:00:00"/>
    <n v="1"/>
    <x v="0"/>
    <d v="1899-12-30T15:45:00"/>
    <n v="0.75"/>
    <d v="2025-01-07T00:00:00"/>
    <x v="22"/>
    <s v="Final Machining"/>
    <m/>
  </r>
  <r>
    <n v="420"/>
    <s v="B528719/A"/>
    <s v="JV036F1121"/>
    <s v="P.A"/>
    <n v="110"/>
    <n v="110"/>
    <d v="2025-01-07T00:00:00"/>
    <n v="1"/>
    <x v="0"/>
    <d v="1899-12-30T15:30:00"/>
    <n v="0.50000000000000089"/>
    <d v="2025-01-07T00:00:00"/>
    <x v="22"/>
    <s v="Final Machining"/>
    <m/>
  </r>
  <r>
    <n v="421"/>
    <s v="B529743/A"/>
    <s v="JV014F837"/>
    <s v="A5-S4"/>
    <n v="1"/>
    <n v="1"/>
    <d v="2025-01-05T00:00:00"/>
    <n v="1"/>
    <x v="12"/>
    <d v="1899-12-30T08:20:00"/>
    <n v="0.33333333333333481"/>
    <d v="2025-01-05T00:00:00"/>
    <x v="22"/>
    <s v="Finishing"/>
    <m/>
  </r>
  <r>
    <n v="422"/>
    <s v="B528006/A"/>
    <s v="JV038F1164"/>
    <s v="A2-S5"/>
    <n v="1"/>
    <n v="1"/>
    <d v="2025-01-05T00:00:00"/>
    <n v="1"/>
    <x v="12"/>
    <d v="1899-12-30T08:20:00"/>
    <n v="0.33333333333333481"/>
    <d v="2025-01-05T00:00:00"/>
    <x v="22"/>
    <s v="Final Machining"/>
    <s v="lỗi chưa  xác định"/>
  </r>
  <r>
    <n v="423"/>
    <s v="B531567/A"/>
    <s v="RH9092F373"/>
    <s v="P04"/>
    <n v="1"/>
    <n v="1"/>
    <d v="2025-01-07T00:00:00"/>
    <n v="1"/>
    <x v="12"/>
    <d v="1899-12-30T08:30:00"/>
    <n v="0.50000000000000089"/>
    <d v="2025-01-07T00:00:00"/>
    <x v="22"/>
    <s v="Unassigned"/>
    <m/>
  </r>
  <r>
    <n v="424"/>
    <s v="B530910/A"/>
    <s v="CT020F633"/>
    <s v="P01"/>
    <n v="1"/>
    <n v="1"/>
    <d v="2025-01-07T00:00:00"/>
    <n v="1"/>
    <x v="12"/>
    <d v="1899-12-30T08:30:00"/>
    <n v="0.50000000000000089"/>
    <d v="2025-01-07T00:00:00"/>
    <x v="22"/>
    <s v="paneling"/>
    <m/>
  </r>
  <r>
    <n v="425"/>
    <m/>
    <s v="RH072F1"/>
    <s v="A8-S2"/>
    <n v="1344"/>
    <n v="1344"/>
    <d v="2025-01-10T00:00:00"/>
    <n v="4"/>
    <x v="1"/>
    <d v="1899-12-30T14:00:00"/>
    <n v="20.000000000000004"/>
    <d v="2025-01-10T00:00:00"/>
    <x v="22"/>
    <m/>
    <m/>
  </r>
  <r>
    <n v="426"/>
    <m/>
    <s v="RH072F1"/>
    <s v="A8-S3"/>
    <n v="672"/>
    <n v="672"/>
    <d v="2025-01-10T00:00:00"/>
    <n v="4"/>
    <x v="1"/>
    <d v="1899-12-30T11:30:00"/>
    <n v="10.000000000000002"/>
    <d v="2025-01-10T00:00:00"/>
    <x v="22"/>
    <m/>
    <m/>
  </r>
  <r>
    <n v="427"/>
    <m/>
    <s v="RH072F1"/>
    <s v="A7-S2"/>
    <n v="448"/>
    <n v="448"/>
    <d v="2025-01-10T00:00:00"/>
    <n v="4"/>
    <x v="1"/>
    <d v="1899-12-30T10:30:00"/>
    <n v="6"/>
    <d v="2025-01-10T00:00:00"/>
    <x v="22"/>
    <m/>
    <m/>
  </r>
  <r>
    <n v="428"/>
    <m/>
    <s v="RH072F1"/>
    <s v="A7-S3"/>
    <n v="224"/>
    <n v="224"/>
    <d v="2025-01-10T00:00:00"/>
    <n v="4"/>
    <x v="1"/>
    <d v="1899-12-30T09:40:00"/>
    <n v="2.6666666666666625"/>
    <d v="2025-01-10T00:00:00"/>
    <x v="22"/>
    <m/>
    <m/>
  </r>
  <r>
    <n v="429"/>
    <m/>
    <s v="RH072F1"/>
    <s v="A5-S2"/>
    <n v="224"/>
    <n v="224"/>
    <d v="2025-01-10T00:00:00"/>
    <n v="4"/>
    <x v="1"/>
    <d v="1899-12-30T09:40:00"/>
    <n v="2.6666666666666625"/>
    <d v="2025-01-10T00:00:00"/>
    <x v="22"/>
    <m/>
    <m/>
  </r>
  <r>
    <n v="430"/>
    <m/>
    <s v="RH072F1"/>
    <s v="A5-S3"/>
    <n v="448"/>
    <n v="448"/>
    <d v="2025-01-10T00:00:00"/>
    <n v="4"/>
    <x v="1"/>
    <d v="1899-12-30T10:00:00"/>
    <n v="4.0000000000000018"/>
    <d v="2025-01-10T00:00:00"/>
    <x v="22"/>
    <m/>
    <m/>
  </r>
  <r>
    <n v="431"/>
    <m/>
    <s v="RH072F02"/>
    <s v="A8-S3"/>
    <n v="144"/>
    <n v="144"/>
    <d v="2025-01-10T00:00:00"/>
    <n v="4"/>
    <x v="12"/>
    <d v="1899-12-30T08:40:00"/>
    <n v="2.6666666666666679"/>
    <d v="2025-01-10T00:00:00"/>
    <x v="22"/>
    <m/>
    <m/>
  </r>
  <r>
    <n v="432"/>
    <m/>
    <s v="RH072F02"/>
    <s v="A7-S2"/>
    <n v="96"/>
    <n v="96"/>
    <d v="2025-01-10T00:00:00"/>
    <n v="4"/>
    <x v="12"/>
    <d v="1899-12-30T08:30:00"/>
    <n v="2.0000000000000036"/>
    <d v="2025-01-10T00:00:00"/>
    <x v="22"/>
    <m/>
    <m/>
  </r>
  <r>
    <n v="433"/>
    <m/>
    <s v="RH072F02"/>
    <s v="A5-S2"/>
    <n v="48"/>
    <n v="48"/>
    <d v="2025-01-10T00:00:00"/>
    <n v="4"/>
    <x v="12"/>
    <d v="1899-12-30T08:30:00"/>
    <n v="2.0000000000000036"/>
    <d v="2025-01-10T00:00:00"/>
    <x v="22"/>
    <m/>
    <m/>
  </r>
  <r>
    <n v="434"/>
    <m/>
    <s v="RH072F02"/>
    <s v="A5-S3"/>
    <n v="76"/>
    <n v="76"/>
    <d v="2025-01-10T00:00:00"/>
    <n v="4"/>
    <x v="12"/>
    <d v="1899-12-30T08:30:00"/>
    <n v="2.0000000000000036"/>
    <d v="2025-01-10T00:00:00"/>
    <x v="22"/>
    <m/>
    <m/>
  </r>
  <r>
    <n v="435"/>
    <m/>
    <s v="RH072F02"/>
    <s v="A7-S3"/>
    <n v="48"/>
    <n v="48"/>
    <d v="2025-01-10T00:00:00"/>
    <n v="4"/>
    <x v="12"/>
    <d v="1899-12-30T08:30:00"/>
    <n v="2.0000000000000036"/>
    <d v="2025-01-10T00:00:00"/>
    <x v="22"/>
    <m/>
    <m/>
  </r>
  <r>
    <n v="436"/>
    <m/>
    <s v="RH072F02"/>
    <s v="A8-S2"/>
    <n v="288"/>
    <n v="288"/>
    <d v="2025-01-10T00:00:00"/>
    <n v="4"/>
    <x v="12"/>
    <d v="1899-12-30T09:00:00"/>
    <n v="4.0000000000000018"/>
    <d v="2025-01-10T00:00:00"/>
    <x v="22"/>
    <m/>
    <m/>
  </r>
  <r>
    <n v="437"/>
    <m/>
    <s v="RH3436F130"/>
    <s v="A5-S3"/>
    <n v="120"/>
    <n v="120"/>
    <d v="2025-01-10T00:00:00"/>
    <n v="4"/>
    <x v="12"/>
    <d v="1899-12-30T08:30:00"/>
    <n v="2.0000000000000036"/>
    <d v="2025-01-10T00:00:00"/>
    <x v="22"/>
    <m/>
    <m/>
  </r>
  <r>
    <n v="438"/>
    <m/>
    <s v="RH3436F130"/>
    <s v="A5-S4"/>
    <n v="120"/>
    <n v="120"/>
    <d v="2025-01-10T00:00:00"/>
    <n v="4"/>
    <x v="12"/>
    <d v="1899-12-30T08:30:00"/>
    <n v="2.0000000000000036"/>
    <d v="2025-01-10T00:00:00"/>
    <x v="22"/>
    <m/>
    <m/>
  </r>
  <r>
    <n v="439"/>
    <m/>
    <s v="RH3436F136"/>
    <s v="A5-S3"/>
    <n v="120"/>
    <n v="120"/>
    <d v="2025-01-10T00:00:00"/>
    <n v="4"/>
    <x v="12"/>
    <d v="1899-12-30T08:30:00"/>
    <n v="2.0000000000000036"/>
    <d v="2025-01-10T00:00:00"/>
    <x v="22"/>
    <m/>
    <m/>
  </r>
  <r>
    <n v="440"/>
    <m/>
    <s v="RH3436F136"/>
    <s v="A5-S4"/>
    <n v="120"/>
    <n v="120"/>
    <d v="2025-01-10T00:00:00"/>
    <n v="4"/>
    <x v="12"/>
    <d v="1899-12-30T08:30:00"/>
    <n v="2.0000000000000036"/>
    <d v="2025-01-10T00:00:00"/>
    <x v="22"/>
    <m/>
    <m/>
  </r>
  <r>
    <n v="441"/>
    <m/>
    <s v="RH5061F01"/>
    <s v="A5-S4"/>
    <n v="6"/>
    <n v="6"/>
    <d v="2025-01-10T00:00:00"/>
    <n v="1"/>
    <x v="12"/>
    <d v="1899-12-30T13:07:00"/>
    <n v="5.1166666666666689"/>
    <d v="2025-01-10T00:00:00"/>
    <x v="22"/>
    <m/>
    <m/>
  </r>
  <r>
    <n v="442"/>
    <m/>
    <s v="RH1654F96"/>
    <s v="A8-S2"/>
    <n v="480"/>
    <n v="480"/>
    <d v="2025-01-14T00:00:00"/>
    <n v="4"/>
    <x v="12"/>
    <d v="1899-12-30T09:00:00"/>
    <n v="4.0000000000000018"/>
    <d v="2025-01-14T00:00:00"/>
    <x v="23"/>
    <m/>
    <m/>
  </r>
  <r>
    <n v="443"/>
    <m/>
    <s v="RH1654F96"/>
    <s v="A7-S2"/>
    <n v="240"/>
    <n v="240"/>
    <d v="2025-01-14T00:00:00"/>
    <n v="4"/>
    <x v="12"/>
    <d v="1899-12-30T08:45:00"/>
    <n v="3"/>
    <d v="2025-01-14T00:00:00"/>
    <x v="23"/>
    <m/>
    <m/>
  </r>
  <r>
    <n v="444"/>
    <m/>
    <s v="RH1654F96"/>
    <s v="A7-S3A"/>
    <n v="60"/>
    <n v="60"/>
    <d v="2025-01-14T00:00:00"/>
    <n v="4"/>
    <x v="12"/>
    <d v="1899-12-30T08:30:00"/>
    <n v="2.0000000000000036"/>
    <d v="2025-01-14T00:00:00"/>
    <x v="23"/>
    <m/>
    <m/>
  </r>
  <r>
    <n v="445"/>
    <m/>
    <s v="RH1654F96"/>
    <s v="A7-S3"/>
    <n v="60"/>
    <n v="60"/>
    <d v="2025-01-14T00:00:00"/>
    <n v="4"/>
    <x v="12"/>
    <d v="1899-12-30T08:30:00"/>
    <n v="2.0000000000000036"/>
    <d v="2025-01-14T00:00:00"/>
    <x v="23"/>
    <m/>
    <m/>
  </r>
  <r>
    <n v="446"/>
    <m/>
    <s v="RH1654F96"/>
    <s v="A8-S3"/>
    <n v="240"/>
    <n v="240"/>
    <d v="2025-01-14T00:00:00"/>
    <n v="4"/>
    <x v="12"/>
    <d v="1899-12-30T08:45:00"/>
    <n v="3"/>
    <d v="2025-01-14T00:00:00"/>
    <x v="23"/>
    <m/>
    <m/>
  </r>
  <r>
    <n v="447"/>
    <m/>
    <s v="RH1657F40"/>
    <s v="A4-S2"/>
    <n v="180"/>
    <n v="180"/>
    <d v="2025-01-14T00:00:00"/>
    <n v="4"/>
    <x v="12"/>
    <d v="1899-12-30T08:30:00"/>
    <n v="2.0000000000000036"/>
    <d v="2025-01-14T00:00:00"/>
    <x v="23"/>
    <m/>
    <m/>
  </r>
  <r>
    <n v="448"/>
    <m/>
    <s v="RH1657F40"/>
    <s v="A4-S3"/>
    <n v="90"/>
    <n v="90"/>
    <d v="2025-01-14T00:00:00"/>
    <n v="4"/>
    <x v="12"/>
    <d v="1899-12-30T08:30:00"/>
    <n v="2.0000000000000036"/>
    <d v="2025-01-14T00:00:00"/>
    <x v="23"/>
    <m/>
    <m/>
  </r>
  <r>
    <n v="449"/>
    <m/>
    <s v="RH1654F40"/>
    <s v="A7-S2"/>
    <n v="400"/>
    <n v="400"/>
    <d v="2025-01-14T00:00:00"/>
    <n v="4"/>
    <x v="12"/>
    <d v="1899-12-30T09:00:00"/>
    <n v="4.0000000000000018"/>
    <d v="2025-01-14T00:00:00"/>
    <x v="23"/>
    <m/>
    <m/>
  </r>
  <r>
    <n v="450"/>
    <m/>
    <s v="RH1654F40"/>
    <s v="A8-S2"/>
    <n v="800"/>
    <n v="800"/>
    <d v="2025-01-14T00:00:00"/>
    <n v="4"/>
    <x v="12"/>
    <d v="1899-12-30T10:00:00"/>
    <n v="8.0000000000000036"/>
    <d v="2025-01-14T00:00:00"/>
    <x v="23"/>
    <m/>
    <m/>
  </r>
  <r>
    <n v="451"/>
    <m/>
    <s v="RH1654F40"/>
    <s v="A8-S3"/>
    <n v="400"/>
    <n v="400"/>
    <d v="2025-01-14T00:00:00"/>
    <n v="4"/>
    <x v="12"/>
    <d v="1899-12-30T09:00:00"/>
    <n v="4.0000000000000018"/>
    <d v="2025-01-14T00:00:00"/>
    <x v="23"/>
    <m/>
    <m/>
  </r>
  <r>
    <n v="452"/>
    <m/>
    <s v="RH1654F40"/>
    <s v="A7-S3"/>
    <n v="100"/>
    <n v="100"/>
    <d v="2025-01-14T00:00:00"/>
    <n v="4"/>
    <x v="12"/>
    <d v="1899-12-30T08:45:00"/>
    <n v="3"/>
    <d v="2025-01-14T00:00:00"/>
    <x v="23"/>
    <m/>
    <m/>
  </r>
  <r>
    <n v="453"/>
    <m/>
    <s v="RH1654F40"/>
    <s v="A7-S3A"/>
    <n v="100"/>
    <n v="100"/>
    <d v="2025-01-14T00:00:00"/>
    <n v="4"/>
    <x v="12"/>
    <d v="1899-12-30T08:45:00"/>
    <n v="3"/>
    <d v="2025-01-14T00:00:00"/>
    <x v="23"/>
    <m/>
    <m/>
  </r>
  <r>
    <n v="454"/>
    <s v="B534831/A"/>
    <s v="CZ888F409"/>
    <s v="A1-S1-1"/>
    <n v="1"/>
    <n v="1"/>
    <d v="2025-01-15T00:00:00"/>
    <n v="1"/>
    <x v="1"/>
    <d v="1899-12-30T09:30:00"/>
    <n v="0.49999999999999956"/>
    <d v="2025-01-15T00:00:00"/>
    <x v="23"/>
    <s v="Unassigned"/>
    <m/>
  </r>
  <r>
    <n v="455"/>
    <s v="B534831/A"/>
    <s v="CZ888F409"/>
    <s v="A2-S1-1"/>
    <n v="1"/>
    <n v="1"/>
    <d v="2025-01-15T00:00:00"/>
    <n v="1"/>
    <x v="1"/>
    <d v="1899-12-30T09:20:00"/>
    <n v="0.33333333333333348"/>
    <d v="2025-01-15T00:00:00"/>
    <x v="23"/>
    <s v="Unassigned"/>
    <m/>
  </r>
  <r>
    <n v="456"/>
    <s v="B531477/A"/>
    <s v="RH7157F382"/>
    <s v="A2-S2"/>
    <n v="2"/>
    <n v="2"/>
    <d v="2025-01-15T00:00:00"/>
    <n v="1"/>
    <x v="1"/>
    <d v="1899-12-30T09:30:00"/>
    <n v="0.49999999999999956"/>
    <d v="2025-01-15T00:00:00"/>
    <x v="23"/>
    <s v="Unassigned"/>
    <m/>
  </r>
  <r>
    <n v="457"/>
    <s v="B538846/A"/>
    <s v="RH9541F426"/>
    <s v="A1-S1"/>
    <n v="2"/>
    <n v="2"/>
    <d v="2025-01-15T00:00:00"/>
    <n v="1"/>
    <x v="1"/>
    <d v="1899-12-30T09:45:00"/>
    <n v="0.75"/>
    <d v="2025-01-15T00:00:00"/>
    <x v="23"/>
    <s v="Final Machining"/>
    <m/>
  </r>
  <r>
    <n v="458"/>
    <s v="B536933/A"/>
    <s v="DL015F836"/>
    <s v="A1-S7A"/>
    <n v="1"/>
    <n v="1"/>
    <d v="2025-01-15T00:00:00"/>
    <n v="1"/>
    <x v="6"/>
    <d v="1899-12-30T13:20:00"/>
    <n v="0.33333333333333481"/>
    <d v="2025-01-15T00:00:00"/>
    <x v="23"/>
    <s v="Final Machining"/>
    <m/>
  </r>
  <r>
    <n v="459"/>
    <s v="B533034/A"/>
    <s v="JV033F1165"/>
    <s v="A2-S7"/>
    <n v="1"/>
    <n v="1"/>
    <d v="2025-01-15T00:00:00"/>
    <n v="1"/>
    <x v="6"/>
    <d v="1899-12-30T13:20:00"/>
    <n v="0.33333333333333481"/>
    <d v="2025-01-15T00:00:00"/>
    <x v="23"/>
    <s v="Finishing"/>
    <m/>
  </r>
  <r>
    <n v="460"/>
    <m/>
    <s v="CZ888F409"/>
    <s v="TOP"/>
    <n v="1"/>
    <n v="1"/>
    <d v="2025-01-15T00:00:00"/>
    <n v="2"/>
    <x v="12"/>
    <d v="1899-12-30T11:00:00"/>
    <n v="6"/>
    <d v="2025-01-15T00:00:00"/>
    <x v="23"/>
    <s v="Unassigned"/>
    <m/>
  </r>
  <r>
    <n v="461"/>
    <s v="B541562/A"/>
    <s v="CZ869F381"/>
    <s v="P04"/>
    <n v="5"/>
    <n v="10"/>
    <d v="2025-01-17T00:00:00"/>
    <n v="1"/>
    <x v="1"/>
    <d v="1899-12-30T10:00:00"/>
    <n v="1.0000000000000004"/>
    <d v="2025-01-17T00:00:00"/>
    <x v="23"/>
    <s v="Technical"/>
    <m/>
  </r>
  <r>
    <n v="462"/>
    <s v="B541562/A"/>
    <s v="CZ869F381"/>
    <s v="P4-2"/>
    <n v="5"/>
    <n v="10"/>
    <d v="2025-01-17T00:00:00"/>
    <n v="1"/>
    <x v="1"/>
    <d v="1899-12-30T10:00:00"/>
    <n v="1.0000000000000004"/>
    <d v="2025-01-17T00:00:00"/>
    <x v="23"/>
    <s v="Technical"/>
    <m/>
  </r>
  <r>
    <n v="463"/>
    <s v="B541562/A"/>
    <s v="CZ869F381"/>
    <s v="P4-3"/>
    <n v="5"/>
    <n v="10"/>
    <d v="2025-01-17T00:00:00"/>
    <n v="1"/>
    <x v="1"/>
    <d v="1899-12-30T10:00:00"/>
    <n v="1.0000000000000004"/>
    <d v="2025-01-17T00:00:00"/>
    <x v="23"/>
    <s v="Technical"/>
    <m/>
  </r>
  <r>
    <n v="464"/>
    <s v="B541564/A"/>
    <s v="CZ869F409"/>
    <s v="P04"/>
    <n v="5"/>
    <n v="10"/>
    <d v="2025-01-17T00:00:00"/>
    <n v="1"/>
    <x v="1"/>
    <d v="1899-12-30T10:00:00"/>
    <n v="1.0000000000000004"/>
    <d v="2025-01-17T00:00:00"/>
    <x v="23"/>
    <s v="Technical"/>
    <m/>
  </r>
  <r>
    <n v="465"/>
    <s v="B541564/A"/>
    <s v="CZ869F409"/>
    <s v="P4-2"/>
    <n v="5"/>
    <n v="10"/>
    <d v="2025-01-17T00:00:00"/>
    <n v="1"/>
    <x v="1"/>
    <d v="1899-12-30T10:00:00"/>
    <n v="1.0000000000000004"/>
    <d v="2025-01-17T00:00:00"/>
    <x v="23"/>
    <s v="Technical"/>
    <m/>
  </r>
  <r>
    <n v="466"/>
    <s v="B541564/A"/>
    <s v="CZ869F409"/>
    <s v="P4-3"/>
    <n v="5"/>
    <n v="10"/>
    <d v="2025-01-17T00:00:00"/>
    <n v="1"/>
    <x v="1"/>
    <d v="1899-12-30T10:00:00"/>
    <n v="1.0000000000000004"/>
    <d v="2025-01-17T00:00:00"/>
    <x v="23"/>
    <s v="Technical"/>
    <m/>
  </r>
  <r>
    <n v="467"/>
    <s v="B533042/A"/>
    <s v="JV033F1165"/>
    <s v="A2-S5"/>
    <n v="1"/>
    <n v="1"/>
    <d v="2025-01-17T00:00:00"/>
    <n v="1"/>
    <x v="1"/>
    <d v="1899-12-30T09:20:00"/>
    <n v="0.33333333333333348"/>
    <d v="2025-01-17T00:00:00"/>
    <x v="23"/>
    <s v="Finishing"/>
    <m/>
  </r>
  <r>
    <n v="468"/>
    <m/>
    <s v="JV015F836"/>
    <s v="A2-S5"/>
    <n v="1"/>
    <n v="1"/>
    <d v="2025-01-17T00:00:00"/>
    <n v="1"/>
    <x v="1"/>
    <d v="1899-12-30T09:20:00"/>
    <n v="0.33333333333333348"/>
    <d v="2025-01-17T00:00:00"/>
    <x v="23"/>
    <s v="Final Machining"/>
    <m/>
  </r>
  <r>
    <n v="469"/>
    <s v="bảng màu "/>
    <s v="RH500"/>
    <s v="WD-03-229"/>
    <n v="60"/>
    <n v="60"/>
    <d v="2025-01-17T00:00:00"/>
    <n v="1"/>
    <x v="12"/>
    <d v="1899-12-30T09:00:00"/>
    <n v="1.0000000000000004"/>
    <d v="2025-01-17T00:00:00"/>
    <x v="23"/>
    <s v="Finishing"/>
    <s v="Mr.Sơn"/>
  </r>
  <r>
    <n v="470"/>
    <s v="bảng màu "/>
    <s v="RH500"/>
    <s v="WD-03-191"/>
    <n v="30"/>
    <n v="30"/>
    <d v="2025-01-17T00:00:00"/>
    <n v="1"/>
    <x v="12"/>
    <d v="1899-12-30T08:45:00"/>
    <n v="0.75"/>
    <d v="2025-01-17T00:00:00"/>
    <x v="23"/>
    <s v="Finishing"/>
    <s v="Mr.Sơn"/>
  </r>
  <r>
    <n v="471"/>
    <s v="bảng màu "/>
    <s v="RH500"/>
    <s v="WD-03-455"/>
    <n v="60"/>
    <n v="60"/>
    <d v="2025-01-17T00:00:00"/>
    <n v="1"/>
    <x v="12"/>
    <d v="1899-12-30T09:00:00"/>
    <n v="1.0000000000000004"/>
    <d v="2025-01-17T00:00:00"/>
    <x v="23"/>
    <s v="Finishing"/>
    <s v="Mr.Sơn"/>
  </r>
  <r>
    <n v="472"/>
    <s v="bảng màu "/>
    <s v="RH500"/>
    <s v="WD-03-254"/>
    <n v="30"/>
    <n v="30"/>
    <d v="2025-01-17T00:00:00"/>
    <n v="1"/>
    <x v="12"/>
    <d v="1899-12-30T08:45:00"/>
    <n v="0.75"/>
    <d v="2025-01-17T00:00:00"/>
    <x v="23"/>
    <s v="Finishing"/>
    <s v="Mr.Sơn"/>
  </r>
  <r>
    <n v="473"/>
    <s v="B541265/A"/>
    <s v="BN2907F357"/>
    <s v="P01"/>
    <n v="10"/>
    <n v="10"/>
    <d v="2025-01-17T00:00:00"/>
    <n v="1"/>
    <x v="6"/>
    <d v="1899-12-30T13:30:00"/>
    <n v="0.50000000000000089"/>
    <d v="2025-01-17T00:00:00"/>
    <x v="23"/>
    <s v="Veeneer pressing"/>
    <m/>
  </r>
  <r>
    <n v="474"/>
    <s v="B541417/A"/>
    <s v="BN3175F355"/>
    <s v="A1-S1"/>
    <n v="40"/>
    <n v="40"/>
    <d v="2025-01-19T00:00:00"/>
    <n v="1"/>
    <x v="1"/>
    <d v="1899-12-30T09:45:00"/>
    <n v="0.75"/>
    <d v="2025-01-19T00:00:00"/>
    <x v="24"/>
    <s v="Unassigned"/>
    <m/>
  </r>
  <r>
    <n v="475"/>
    <s v="B533054/A"/>
    <s v="JV037F1164"/>
    <s v="A3-S5"/>
    <n v="3"/>
    <n v="3"/>
    <d v="2025-01-19T00:00:00"/>
    <n v="1"/>
    <x v="1"/>
    <d v="1899-12-30T09:20:00"/>
    <n v="0.33333333333333348"/>
    <d v="2025-01-19T00:00:00"/>
    <x v="24"/>
    <s v="Finishing"/>
    <m/>
  </r>
  <r>
    <n v="476"/>
    <s v="B538871/A"/>
    <s v="RH9848F425"/>
    <s v="A1-S1"/>
    <n v="12"/>
    <n v="12"/>
    <d v="2025-01-19T00:00:00"/>
    <n v="1"/>
    <x v="1"/>
    <d v="1899-12-30T09:30:00"/>
    <n v="0.49999999999999956"/>
    <d v="2025-01-19T00:00:00"/>
    <x v="24"/>
    <s v="veneer pressing"/>
    <m/>
  </r>
  <r>
    <n v="477"/>
    <s v="B541855/A"/>
    <s v="JV036F1164"/>
    <s v="P04"/>
    <n v="1"/>
    <n v="1"/>
    <d v="2025-01-19T00:00:00"/>
    <n v="1"/>
    <x v="1"/>
    <d v="1899-12-30T09:15:00"/>
    <n v="0.25000000000000044"/>
    <d v="2025-01-19T00:00:00"/>
    <x v="24"/>
    <s v="MAChining"/>
    <m/>
  </r>
  <r>
    <n v="478"/>
    <s v="B538871/A"/>
    <s v="RH9848F425"/>
    <s v="A1-S1-1"/>
    <n v="12"/>
    <n v="12"/>
    <d v="2025-01-19T00:00:00"/>
    <n v="1"/>
    <x v="1"/>
    <d v="1899-12-30T09:30:00"/>
    <n v="0.49999999999999956"/>
    <d v="2025-01-19T00:00:00"/>
    <x v="24"/>
    <s v="Veeneer pressing"/>
    <m/>
  </r>
  <r>
    <n v="479"/>
    <s v="B538871/A"/>
    <s v="RH9848F425"/>
    <s v="A1-S1-2"/>
    <n v="12"/>
    <n v="12"/>
    <d v="2025-01-19T00:00:00"/>
    <n v="1"/>
    <x v="1"/>
    <d v="1899-12-30T09:30:00"/>
    <n v="0.49999999999999956"/>
    <d v="2025-01-19T00:00:00"/>
    <x v="24"/>
    <s v="Veeneer pressing"/>
    <m/>
  </r>
  <r>
    <n v="480"/>
    <s v="B538871/A"/>
    <s v="RH9848F425"/>
    <s v="A1-S1-3"/>
    <n v="12"/>
    <n v="12"/>
    <d v="2025-01-19T00:00:00"/>
    <n v="1"/>
    <x v="1"/>
    <d v="1899-12-30T09:30:00"/>
    <n v="0.49999999999999956"/>
    <d v="2025-01-19T00:00:00"/>
    <x v="24"/>
    <s v="Veeneer pressing"/>
    <m/>
  </r>
  <r>
    <n v="481"/>
    <s v="B542170/A"/>
    <s v="RH9166F374"/>
    <s v="A2-S1"/>
    <n v="1"/>
    <n v="1"/>
    <d v="2025-01-19T00:00:00"/>
    <n v="1"/>
    <x v="1"/>
    <d v="1899-12-30T09:15:00"/>
    <n v="0.25000000000000044"/>
    <d v="2025-01-19T00:00:00"/>
    <x v="24"/>
    <s v="Final Machining"/>
    <m/>
  </r>
  <r>
    <n v="482"/>
    <s v="B541902/A"/>
    <s v="RH7366F382"/>
    <s v="P05"/>
    <n v="2"/>
    <n v="2"/>
    <d v="2025-01-19T00:00:00"/>
    <n v="1"/>
    <x v="1"/>
    <d v="1899-12-30T09:15:00"/>
    <n v="0.25000000000000044"/>
    <d v="2025-01-19T00:00:00"/>
    <x v="24"/>
    <s v="Final Machining"/>
    <m/>
  </r>
  <r>
    <n v="483"/>
    <m/>
    <s v="BN2950F355"/>
    <s v="TỦ BỘP VENEER"/>
    <n v="1"/>
    <n v="1"/>
    <d v="2025-01-19T00:00:00"/>
    <n v="2"/>
    <x v="6"/>
    <d v="1899-12-30T16:00:00"/>
    <n v="6"/>
    <d v="2025-01-19T00:00:00"/>
    <x v="24"/>
    <m/>
    <m/>
  </r>
  <r>
    <n v="484"/>
    <s v="B540069/A"/>
    <s v="BN2907F357"/>
    <s v="HÔNG TỦ BỊ DỘP VENEER "/>
    <n v="4"/>
    <n v="4"/>
    <d v="2025-01-23T00:00:00"/>
    <n v="3"/>
    <x v="14"/>
    <d v="1899-12-30T15:30:00"/>
    <n v="25.5"/>
    <d v="2025-01-23T00:00:00"/>
    <x v="24"/>
    <s v="NCR"/>
    <m/>
  </r>
  <r>
    <n v="485"/>
    <s v="B541318/A"/>
    <s v="JV032F1166"/>
    <s v="A1-S1"/>
    <n v="10"/>
    <n v="10"/>
    <d v="2025-01-23T00:00:00"/>
    <n v="1"/>
    <x v="6"/>
    <d v="1899-12-30T13:45:00"/>
    <n v="0.75"/>
    <d v="2025-01-23T00:00:00"/>
    <x v="24"/>
    <s v="Technical"/>
    <m/>
  </r>
  <r>
    <n v="486"/>
    <s v="B538900/A"/>
    <s v="RH9860F426"/>
    <s v="A2"/>
    <n v="1"/>
    <n v="1"/>
    <d v="2025-02-10T00:00:00"/>
    <n v="1"/>
    <x v="19"/>
    <d v="1899-12-30T08:00:00"/>
    <n v="0.49999999999999956"/>
    <d v="2025-02-10T00:00:00"/>
    <x v="25"/>
    <s v="NCR"/>
    <m/>
  </r>
  <r>
    <n v="487"/>
    <m/>
    <s v="BN3182F355"/>
    <s v="TOP"/>
    <n v="1"/>
    <n v="1"/>
    <d v="2025-02-11T00:00:00"/>
    <n v="2"/>
    <x v="19"/>
    <d v="1899-12-30T11:20:00"/>
    <n v="7.6666666666666687"/>
    <d v="2025-02-11T00:00:00"/>
    <x v="25"/>
    <s v="Finishing"/>
    <m/>
  </r>
  <r>
    <n v="488"/>
    <m/>
    <s v="RH877"/>
    <s v="CỬA"/>
    <n v="1"/>
    <n v="1"/>
    <d v="2025-02-11T00:00:00"/>
    <n v="1"/>
    <x v="20"/>
    <d v="1899-12-30T14:00:00"/>
    <n v="2.6666666666666665"/>
    <d v="2025-02-11T00:00:00"/>
    <x v="25"/>
    <s v="NCR"/>
    <m/>
  </r>
  <r>
    <n v="489"/>
    <s v="B537166/A"/>
    <s v="RH10270F373"/>
    <s v="A2-0"/>
    <n v="1"/>
    <n v="1"/>
    <d v="2025-02-11T00:00:00"/>
    <n v="1"/>
    <x v="19"/>
    <d v="1899-12-30T08:00:00"/>
    <n v="0.49999999999999956"/>
    <d v="2025-02-11T00:00:00"/>
    <x v="25"/>
    <s v="Unassigned"/>
    <m/>
  </r>
  <r>
    <n v="490"/>
    <s v="bảng màu "/>
    <s v="RH500"/>
    <s v="WD-03-510"/>
    <n v="90"/>
    <n v="90"/>
    <d v="2025-02-12T00:00:00"/>
    <n v="1"/>
    <x v="12"/>
    <d v="1899-12-30T11:30:00"/>
    <n v="3.5000000000000009"/>
    <d v="2025-02-12T00:00:00"/>
    <x v="25"/>
    <s v="Finishing"/>
    <s v="Mr.Sơn"/>
  </r>
  <r>
    <n v="491"/>
    <m/>
    <s v="BN3085F356"/>
    <s v="TỦ"/>
    <n v="1"/>
    <n v="1"/>
    <d v="2025-02-12T00:00:00"/>
    <n v="2"/>
    <x v="19"/>
    <d v="1899-12-30T11:50:00"/>
    <n v="8.6666666666666679"/>
    <d v="2025-02-12T00:00:00"/>
    <x v="25"/>
    <s v="NCR"/>
    <m/>
  </r>
  <r>
    <n v="492"/>
    <s v="B543034/A"/>
    <s v="CZ890F196"/>
    <s v="A2-S1-1"/>
    <n v="1"/>
    <n v="1"/>
    <d v="2025-02-12T00:00:00"/>
    <n v="1"/>
    <x v="19"/>
    <d v="1899-12-30T07:45:00"/>
    <n v="0.25000000000000044"/>
    <d v="2025-02-12T00:00:00"/>
    <x v="25"/>
    <s v="Final Machining"/>
    <m/>
  </r>
  <r>
    <n v="493"/>
    <s v="B543034/A"/>
    <s v="CZ890F196"/>
    <s v="A1-S1-1"/>
    <n v="1"/>
    <n v="1"/>
    <d v="2025-02-12T00:00:00"/>
    <n v="1"/>
    <x v="19"/>
    <d v="1899-12-30T07:45:00"/>
    <n v="0.25000000000000044"/>
    <d v="2025-02-12T00:00:00"/>
    <x v="25"/>
    <s v="Final Machining"/>
    <m/>
  </r>
  <r>
    <n v="494"/>
    <s v="B537166/A"/>
    <s v="RH10270F373"/>
    <s v="A0"/>
    <n v="1"/>
    <n v="1"/>
    <d v="2025-02-12T00:00:00"/>
    <n v="1"/>
    <x v="19"/>
    <d v="1899-12-30T07:45:00"/>
    <n v="0.25000000000000044"/>
    <d v="2025-02-12T00:00:00"/>
    <x v="25"/>
    <s v="Unassigned"/>
    <m/>
  </r>
  <r>
    <n v="495"/>
    <s v="B539965/A"/>
    <s v="JV025F1166"/>
    <s v="A1-S1"/>
    <n v="10"/>
    <n v="10"/>
    <d v="2025-02-13T00:00:00"/>
    <n v="1"/>
    <x v="6"/>
    <d v="1899-12-30T14:00:00"/>
    <n v="1.0000000000000018"/>
    <d v="2025-02-13T00:00:00"/>
    <x v="25"/>
    <s v="Technical"/>
    <m/>
  </r>
  <r>
    <n v="496"/>
    <s v="B538888/A"/>
    <s v="RH9849F426"/>
    <s v="P1"/>
    <n v="2"/>
    <n v="2"/>
    <d v="2025-02-14T00:00:00"/>
    <n v="1"/>
    <x v="12"/>
    <d v="1899-12-30T08:50:00"/>
    <n v="0.83333333333333437"/>
    <d v="2025-02-14T00:00:00"/>
    <x v="25"/>
    <s v="Unassigned"/>
    <m/>
  </r>
  <r>
    <n v="497"/>
    <s v="B543134/A"/>
    <s v="AR794F1049"/>
    <s v="A3-S2"/>
    <n v="2"/>
    <n v="2"/>
    <d v="2025-02-14T00:00:00"/>
    <n v="1"/>
    <x v="12"/>
    <d v="1899-12-30T08:40:00"/>
    <n v="0.66666666666666696"/>
    <d v="2025-02-14T00:00:00"/>
    <x v="25"/>
    <s v="Unassigned"/>
    <m/>
  </r>
  <r>
    <n v="498"/>
    <s v="B549094/A"/>
    <s v="RH9283F402"/>
    <s v="A1-S4"/>
    <n v="68"/>
    <n v="68"/>
    <d v="2025-02-14T00:00:00"/>
    <n v="2"/>
    <x v="1"/>
    <d v="1899-12-30T11:30:00"/>
    <n v="5.0000000000000009"/>
    <d v="2025-02-14T00:00:00"/>
    <x v="25"/>
    <s v="Unassigned"/>
    <m/>
  </r>
  <r>
    <n v="499"/>
    <s v="B549096/A"/>
    <s v="RH9283F403"/>
    <s v="A1-S4"/>
    <n v="42"/>
    <n v="42"/>
    <d v="2025-02-14T00:00:00"/>
    <n v="2"/>
    <x v="1"/>
    <d v="1899-12-30T11:20:00"/>
    <n v="4.6666666666666687"/>
    <d v="2025-02-14T00:00:00"/>
    <x v="25"/>
    <s v="Unassigned"/>
    <m/>
  </r>
  <r>
    <n v="500"/>
    <s v="bảng màu "/>
    <s v="RH500"/>
    <s v="WD-03-254"/>
    <n v="30"/>
    <n v="30"/>
    <d v="2025-02-21T00:00:00"/>
    <n v="1"/>
    <x v="1"/>
    <d v="1899-12-30T09:45:00"/>
    <n v="0.75"/>
    <d v="2025-02-21T00:00:00"/>
    <x v="26"/>
    <s v="Finishing"/>
    <s v="Mr.Sơn"/>
  </r>
  <r>
    <n v="501"/>
    <s v="bảng màu "/>
    <s v="RH500"/>
    <s v="WD-03-229"/>
    <n v="60"/>
    <n v="60"/>
    <d v="2025-02-21T00:00:00"/>
    <n v="1"/>
    <x v="1"/>
    <d v="1899-12-30T10:00:00"/>
    <n v="1.0000000000000004"/>
    <d v="2025-02-21T00:00:00"/>
    <x v="26"/>
    <s v="Finishing"/>
    <s v="Mr.Sơn"/>
  </r>
  <r>
    <n v="502"/>
    <s v="B548773/A"/>
    <s v="RH1995F13"/>
    <s v="P09"/>
    <n v="20"/>
    <n v="20"/>
    <d v="2025-02-21T00:00:00"/>
    <n v="2"/>
    <x v="0"/>
    <d v="1899-12-30T16:00:00"/>
    <n v="1.9999999999999982"/>
    <d v="2025-02-21T00:00:00"/>
    <x v="26"/>
    <s v="ME"/>
    <s v="làm lại lần 2"/>
  </r>
  <r>
    <n v="503"/>
    <s v="bảng màu "/>
    <s v="RH500"/>
    <s v="WD-03-009"/>
    <n v="2"/>
    <n v="2"/>
    <d v="2025-02-21T00:00:00"/>
    <n v="1"/>
    <x v="3"/>
    <d v="1899-12-30T14:30:00"/>
    <n v="0.49999999999999822"/>
    <d v="2025-02-21T00:00:00"/>
    <x v="26"/>
    <s v="ME"/>
    <s v="bảng màu test cước "/>
  </r>
  <r>
    <n v="504"/>
    <s v="B543613/A"/>
    <s v="RH1657F96"/>
    <s v="P02"/>
    <n v="1"/>
    <n v="1"/>
    <d v="2025-02-21T00:00:00"/>
    <n v="1"/>
    <x v="12"/>
    <d v="1899-12-30T08:20:00"/>
    <n v="0.33333333333333481"/>
    <d v="2025-02-21T00:00:00"/>
    <x v="26"/>
    <s v="Assembly"/>
    <m/>
  </r>
  <r>
    <n v="505"/>
    <m/>
    <s v="SH385F515"/>
    <s v="A4-S5"/>
    <n v="30"/>
    <n v="30"/>
    <d v="2025-02-21T00:00:00"/>
    <n v="1"/>
    <x v="12"/>
    <d v="1899-12-30T08:45:00"/>
    <n v="0.75"/>
    <d v="2025-02-21T00:00:00"/>
    <x v="26"/>
    <s v="Assembly"/>
    <m/>
  </r>
  <r>
    <n v="506"/>
    <s v="B541259/A"/>
    <s v="AR371F906"/>
    <s v="A4-S6"/>
    <n v="2"/>
    <n v="2"/>
    <d v="2025-02-21T00:00:00"/>
    <n v="1"/>
    <x v="12"/>
    <d v="1899-12-30T08:30:00"/>
    <n v="0.50000000000000089"/>
    <d v="2025-02-21T00:00:00"/>
    <x v="26"/>
    <s v="Unassigned"/>
    <m/>
  </r>
  <r>
    <n v="507"/>
    <s v="B541912/A"/>
    <s v="RH9079F373"/>
    <s v="A1"/>
    <n v="1"/>
    <n v="1"/>
    <d v="2025-02-21T00:00:00"/>
    <n v="1"/>
    <x v="12"/>
    <d v="1899-12-30T08:30:00"/>
    <n v="0.50000000000000089"/>
    <d v="2025-02-21T00:00:00"/>
    <x v="26"/>
    <s v="Unassigned"/>
    <m/>
  </r>
  <r>
    <n v="508"/>
    <m/>
    <s v="JV037F1164"/>
    <s v="MHK"/>
    <n v="100"/>
    <n v="100"/>
    <d v="2025-03-03T00:00:00"/>
    <n v="3"/>
    <x v="14"/>
    <d v="1899-12-30T15:00:00"/>
    <n v="24"/>
    <d v="2025-03-03T00:00:00"/>
    <x v="27"/>
    <s v="Assembly"/>
    <m/>
  </r>
  <r>
    <n v="509"/>
    <m/>
    <s v="BN3216F355"/>
    <s v="CÁI BÀN "/>
    <n v="1"/>
    <n v="1"/>
    <d v="2025-03-04T00:00:00"/>
    <n v="2"/>
    <x v="14"/>
    <d v="1899-12-30T18:30:00"/>
    <n v="23"/>
    <d v="2025-03-04T00:00:00"/>
    <x v="27"/>
    <s v="Assembly"/>
    <m/>
  </r>
  <r>
    <n v="510"/>
    <m/>
    <s v="JV035F1165"/>
    <s v="TỦ  "/>
    <n v="5"/>
    <n v="5"/>
    <d v="2025-03-06T00:00:00"/>
    <n v="4"/>
    <x v="1"/>
    <d v="1899-12-30T19:20:00"/>
    <n v="41.333333333333329"/>
    <d v="2025-03-06T00:00:00"/>
    <x v="27"/>
    <s v="Assembly"/>
    <m/>
  </r>
  <r>
    <n v="511"/>
    <m/>
    <s v="ĐI PHỤ "/>
    <s v="ĐÓNG GÓI "/>
    <m/>
    <n v="3"/>
    <d v="2025-03-06T00:00:00"/>
    <n v="3"/>
    <x v="12"/>
    <d v="1899-12-30T19:30:00"/>
    <n v="34.5"/>
    <d v="2025-03-06T00:00:00"/>
    <x v="27"/>
    <s v="Finishing"/>
    <m/>
  </r>
  <r>
    <n v="512"/>
    <s v="B554318/A"/>
    <s v="CZ047NF08"/>
    <m/>
    <e v="#N/A"/>
    <n v="14"/>
    <d v="2025-03-06T00:00:00"/>
    <n v="6"/>
    <x v="12"/>
    <d v="1899-12-30T08:20:00"/>
    <n v="2.0000000000000089"/>
    <d v="2025-03-06T00:00:00"/>
    <x v="27"/>
    <s v="Unassigned"/>
    <m/>
  </r>
  <r>
    <n v="513"/>
    <s v="B554319/A"/>
    <s v="CZ047NF08"/>
    <m/>
    <e v="#N/A"/>
    <n v="24"/>
    <d v="2025-03-06T00:00:00"/>
    <n v="6"/>
    <x v="12"/>
    <d v="1899-12-30T08:30:00"/>
    <n v="3.0000000000000053"/>
    <d v="2025-03-06T00:00:00"/>
    <x v="27"/>
    <s v="Unassigned"/>
    <m/>
  </r>
  <r>
    <n v="514"/>
    <s v="B554320/A"/>
    <s v="CZ047NF08"/>
    <m/>
    <e v="#N/A"/>
    <n v="28"/>
    <d v="2025-03-06T00:00:00"/>
    <n v="6"/>
    <x v="12"/>
    <d v="1899-12-30T08:20:00"/>
    <n v="2.0000000000000089"/>
    <d v="2025-03-06T00:00:00"/>
    <x v="27"/>
    <s v="Unassigned"/>
    <m/>
  </r>
  <r>
    <n v="515"/>
    <s v="B554325/A"/>
    <s v="CZ047NF09"/>
    <m/>
    <e v="#N/A"/>
    <n v="18"/>
    <d v="2025-03-06T00:00:00"/>
    <n v="6"/>
    <x v="12"/>
    <d v="1899-12-30T08:30:00"/>
    <n v="3.0000000000000053"/>
    <d v="2025-03-06T00:00:00"/>
    <x v="27"/>
    <s v="Unassigned"/>
    <m/>
  </r>
  <r>
    <n v="516"/>
    <s v="B554326/A"/>
    <s v="CZ047NF09"/>
    <m/>
    <e v="#N/A"/>
    <n v="23"/>
    <d v="2025-03-06T00:00:00"/>
    <n v="6"/>
    <x v="12"/>
    <d v="1899-12-30T08:20:00"/>
    <n v="2.0000000000000089"/>
    <d v="2025-03-06T00:00:00"/>
    <x v="27"/>
    <s v="Unassigned"/>
    <m/>
  </r>
  <r>
    <n v="517"/>
    <s v="B553658/A"/>
    <s v="CZ558F08"/>
    <m/>
    <e v="#N/A"/>
    <n v="16"/>
    <d v="2025-03-06T00:00:00"/>
    <n v="6"/>
    <x v="12"/>
    <d v="1899-12-30T08:20:00"/>
    <n v="2.0000000000000089"/>
    <d v="2025-03-06T00:00:00"/>
    <x v="27"/>
    <s v="Unassigned"/>
    <m/>
  </r>
  <r>
    <n v="518"/>
    <s v="B553660/A"/>
    <s v="CZ558F08"/>
    <m/>
    <e v="#N/A"/>
    <n v="7"/>
    <d v="2025-03-06T00:00:00"/>
    <n v="6"/>
    <x v="12"/>
    <d v="1899-12-30T08:20:00"/>
    <n v="2.0000000000000089"/>
    <d v="2025-03-06T00:00:00"/>
    <x v="27"/>
    <s v="Unassigned"/>
    <m/>
  </r>
  <r>
    <n v="519"/>
    <s v="B553662/A"/>
    <s v="CZ558F09"/>
    <m/>
    <e v="#N/A"/>
    <n v="16"/>
    <d v="2025-03-06T00:00:00"/>
    <n v="6"/>
    <x v="12"/>
    <d v="1899-12-30T08:20:00"/>
    <n v="2.0000000000000089"/>
    <d v="2025-03-06T00:00:00"/>
    <x v="27"/>
    <s v="Unassigned"/>
    <m/>
  </r>
  <r>
    <n v="520"/>
    <s v="B554632/A"/>
    <s v="RH7152F381"/>
    <m/>
    <e v="#N/A"/>
    <n v="27"/>
    <d v="2025-03-06T00:00:00"/>
    <n v="6"/>
    <x v="12"/>
    <d v="1899-12-30T08:30:00"/>
    <n v="3.0000000000000053"/>
    <d v="2025-03-06T00:00:00"/>
    <x v="27"/>
    <s v="Unassigned"/>
    <m/>
  </r>
  <r>
    <n v="521"/>
    <s v="B554635/A"/>
    <s v="RH7152F383"/>
    <m/>
    <e v="#N/A"/>
    <n v="10"/>
    <d v="2025-03-06T00:00:00"/>
    <n v="6"/>
    <x v="12"/>
    <d v="1899-12-30T08:15:00"/>
    <n v="1.5000000000000027"/>
    <d v="2025-03-06T00:00:00"/>
    <x v="27"/>
    <s v="Unassigned"/>
    <m/>
  </r>
  <r>
    <n v="522"/>
    <s v="B554636/A"/>
    <s v="RH7152F383"/>
    <m/>
    <e v="#N/A"/>
    <n v="3"/>
    <d v="2025-03-06T00:00:00"/>
    <n v="6"/>
    <x v="12"/>
    <d v="1899-12-30T08:15:00"/>
    <n v="1.5000000000000027"/>
    <d v="2025-03-06T00:00:00"/>
    <x v="27"/>
    <s v="Unassigned"/>
    <m/>
  </r>
  <r>
    <n v="523"/>
    <s v="B554638/A"/>
    <s v="RH7370F381"/>
    <m/>
    <e v="#N/A"/>
    <n v="21"/>
    <d v="2025-03-06T00:00:00"/>
    <n v="6"/>
    <x v="12"/>
    <d v="1899-12-30T08:30:00"/>
    <n v="3.0000000000000053"/>
    <d v="2025-03-06T00:00:00"/>
    <x v="27"/>
    <s v="Unassigned"/>
    <m/>
  </r>
  <r>
    <n v="524"/>
    <s v="B554808/A"/>
    <s v="RH9113F396"/>
    <m/>
    <e v="#N/A"/>
    <n v="34"/>
    <d v="2025-03-06T00:00:00"/>
    <n v="6"/>
    <x v="12"/>
    <d v="1899-12-30T08:30:00"/>
    <n v="3.0000000000000053"/>
    <d v="2025-03-06T00:00:00"/>
    <x v="27"/>
    <s v="Unassigned"/>
    <m/>
  </r>
  <r>
    <n v="525"/>
    <s v="B554810/A"/>
    <s v="RH9113F397"/>
    <m/>
    <e v="#N/A"/>
    <n v="18"/>
    <d v="2025-03-06T00:00:00"/>
    <n v="6"/>
    <x v="12"/>
    <d v="1899-12-30T08:15:00"/>
    <n v="1.5000000000000027"/>
    <d v="2025-03-06T00:00:00"/>
    <x v="27"/>
    <s v="Unassigned"/>
    <m/>
  </r>
  <r>
    <n v="526"/>
    <s v="B554812/A"/>
    <s v="RH9113F398"/>
    <m/>
    <e v="#N/A"/>
    <n v="24"/>
    <d v="2025-03-06T00:00:00"/>
    <n v="6"/>
    <x v="12"/>
    <d v="1899-12-30T08:30:00"/>
    <n v="3.0000000000000053"/>
    <d v="2025-03-06T00:00:00"/>
    <x v="27"/>
    <s v="Unassigned"/>
    <m/>
  </r>
  <r>
    <n v="527"/>
    <s v="B554814/A"/>
    <s v="RH9137F397"/>
    <m/>
    <e v="#N/A"/>
    <n v="31"/>
    <d v="2025-03-06T00:00:00"/>
    <n v="6"/>
    <x v="12"/>
    <d v="1899-12-30T08:15:00"/>
    <n v="1.5000000000000027"/>
    <d v="2025-03-06T00:00:00"/>
    <x v="27"/>
    <s v="Unassigned"/>
    <m/>
  </r>
  <r>
    <n v="528"/>
    <s v="B554817/A"/>
    <s v="RH9137F410"/>
    <m/>
    <e v="#N/A"/>
    <n v="31"/>
    <d v="2025-03-06T00:00:00"/>
    <n v="6"/>
    <x v="12"/>
    <d v="1899-12-30T08:15:00"/>
    <n v="1.5000000000000027"/>
    <d v="2025-03-06T00:00:00"/>
    <x v="27"/>
    <s v="Unassigned"/>
    <m/>
  </r>
  <r>
    <n v="529"/>
    <s v="B554818/A"/>
    <s v="RH9137F410"/>
    <m/>
    <e v="#N/A"/>
    <n v="37"/>
    <d v="2025-03-06T00:00:00"/>
    <n v="6"/>
    <x v="12"/>
    <d v="1899-12-30T08:15:00"/>
    <n v="1.5000000000000027"/>
    <d v="2025-03-06T00:00:00"/>
    <x v="27"/>
    <s v="Unassigned"/>
    <m/>
  </r>
  <r>
    <n v="530"/>
    <s v="B555107/A"/>
    <s v="RH6999NF381"/>
    <m/>
    <e v="#N/A"/>
    <n v="13"/>
    <d v="2025-03-06T00:00:00"/>
    <n v="6"/>
    <x v="12"/>
    <d v="1899-12-30T08:30:00"/>
    <n v="3.0000000000000053"/>
    <d v="2025-03-06T00:00:00"/>
    <x v="27"/>
    <s v="Unassigned"/>
    <m/>
  </r>
  <r>
    <n v="531"/>
    <s v="B555110/A"/>
    <s v="RH6999NF382"/>
    <m/>
    <e v="#N/A"/>
    <n v="2"/>
    <d v="2025-03-06T00:00:00"/>
    <n v="6"/>
    <x v="12"/>
    <d v="1899-12-30T08:15:00"/>
    <n v="1.5000000000000027"/>
    <d v="2025-03-06T00:00:00"/>
    <x v="27"/>
    <s v="Unassigned"/>
    <m/>
  </r>
  <r>
    <n v="532"/>
    <s v="B555111/A"/>
    <s v="RH6999NF382"/>
    <m/>
    <e v="#N/A"/>
    <n v="10"/>
    <d v="2025-03-06T00:00:00"/>
    <n v="6"/>
    <x v="12"/>
    <d v="1899-12-30T08:15:00"/>
    <n v="1.5000000000000027"/>
    <d v="2025-03-06T00:00:00"/>
    <x v="27"/>
    <s v="Unassigned"/>
    <m/>
  </r>
  <r>
    <n v="533"/>
    <s v="B555113/A"/>
    <s v="RH7370F409"/>
    <m/>
    <e v="#N/A"/>
    <n v="2"/>
    <d v="2025-03-06T00:00:00"/>
    <n v="6"/>
    <x v="12"/>
    <d v="1899-12-30T08:15:00"/>
    <n v="1.5000000000000027"/>
    <d v="2025-03-06T00:00:00"/>
    <x v="27"/>
    <s v="Unassigned"/>
    <m/>
  </r>
  <r>
    <n v="534"/>
    <s v="B554317/A"/>
    <s v="CZ047NF08"/>
    <m/>
    <e v="#N/A"/>
    <n v="11"/>
    <d v="2025-03-06T00:00:00"/>
    <n v="6"/>
    <x v="12"/>
    <d v="1899-12-30T08:30:00"/>
    <n v="3.0000000000000053"/>
    <d v="2025-03-06T00:00:00"/>
    <x v="27"/>
    <s v="Unassigned"/>
    <m/>
  </r>
  <r>
    <n v="535"/>
    <s v="B554318/A"/>
    <s v="CZ047NF08"/>
    <m/>
    <e v="#N/A"/>
    <n v="14"/>
    <d v="2025-03-06T00:00:00"/>
    <n v="6"/>
    <x v="12"/>
    <d v="1899-12-30T08:15:00"/>
    <n v="1.5000000000000027"/>
    <d v="2025-03-06T00:00:00"/>
    <x v="27"/>
    <s v="Unassigned"/>
    <m/>
  </r>
  <r>
    <n v="536"/>
    <s v="B554319/A"/>
    <s v="CZ047NF08"/>
    <m/>
    <e v="#N/A"/>
    <n v="24"/>
    <d v="2025-03-06T00:00:00"/>
    <n v="6"/>
    <x v="12"/>
    <d v="1899-12-30T08:30:00"/>
    <n v="3.0000000000000053"/>
    <d v="2025-03-06T00:00:00"/>
    <x v="27"/>
    <s v="Unassigned"/>
    <m/>
  </r>
  <r>
    <n v="537"/>
    <s v="B554320/A"/>
    <s v="CZ047NF08"/>
    <m/>
    <e v="#N/A"/>
    <n v="28"/>
    <d v="2025-03-06T00:00:00"/>
    <n v="6"/>
    <x v="12"/>
    <d v="1899-12-30T08:15:00"/>
    <n v="1.5000000000000027"/>
    <d v="2025-03-06T00:00:00"/>
    <x v="27"/>
    <s v="Unassigned"/>
    <m/>
  </r>
  <r>
    <n v="538"/>
    <s v="B554325/A"/>
    <s v="CZ047NF09"/>
    <m/>
    <e v="#N/A"/>
    <n v="18"/>
    <d v="2025-03-06T00:00:00"/>
    <n v="6"/>
    <x v="12"/>
    <d v="1899-12-30T08:15:00"/>
    <n v="1.5000000000000027"/>
    <d v="2025-03-06T00:00:00"/>
    <x v="27"/>
    <s v="Unassigned"/>
    <m/>
  </r>
  <r>
    <n v="539"/>
    <s v="B554326/A"/>
    <s v="CZ047NF09"/>
    <m/>
    <e v="#N/A"/>
    <n v="23"/>
    <d v="2025-03-06T00:00:00"/>
    <n v="6"/>
    <x v="12"/>
    <d v="1899-12-30T08:15:00"/>
    <n v="1.5000000000000027"/>
    <d v="2025-03-06T00:00:00"/>
    <x v="27"/>
    <s v="Unassigned"/>
    <m/>
  </r>
  <r>
    <n v="540"/>
    <s v="B554327/A"/>
    <s v="CZ047NF09"/>
    <m/>
    <e v="#N/A"/>
    <n v="27"/>
    <d v="2025-03-06T00:00:00"/>
    <n v="6"/>
    <x v="12"/>
    <d v="1899-12-30T08:15:00"/>
    <n v="1.5000000000000027"/>
    <d v="2025-03-06T00:00:00"/>
    <x v="27"/>
    <s v="Unassigned"/>
    <m/>
  </r>
  <r>
    <n v="541"/>
    <s v="B554328/A"/>
    <s v="CZ047NF09"/>
    <m/>
    <e v="#N/A"/>
    <n v="31"/>
    <d v="2025-03-06T00:00:00"/>
    <n v="6"/>
    <x v="12"/>
    <d v="1899-12-30T08:30:00"/>
    <n v="3.0000000000000053"/>
    <d v="2025-03-06T00:00:00"/>
    <x v="27"/>
    <s v="Unassigned"/>
    <m/>
  </r>
  <r>
    <n v="542"/>
    <s v="B553658/A"/>
    <s v="CZ558F08"/>
    <m/>
    <e v="#N/A"/>
    <n v="16"/>
    <d v="2025-03-06T00:00:00"/>
    <n v="6"/>
    <x v="12"/>
    <d v="1899-12-30T08:15:00"/>
    <n v="1.5000000000000027"/>
    <d v="2025-03-06T00:00:00"/>
    <x v="27"/>
    <s v="Unassigned"/>
    <m/>
  </r>
  <r>
    <n v="543"/>
    <s v="B553660/A"/>
    <s v="CZ558F08"/>
    <m/>
    <e v="#N/A"/>
    <n v="7"/>
    <d v="2025-03-06T00:00:00"/>
    <n v="6"/>
    <x v="12"/>
    <d v="1899-12-30T08:30:00"/>
    <n v="3.0000000000000053"/>
    <d v="2025-03-06T00:00:00"/>
    <x v="27"/>
    <s v="Unassigned"/>
    <m/>
  </r>
  <r>
    <n v="544"/>
    <s v="B553662/A"/>
    <s v="CZ558F09"/>
    <m/>
    <e v="#N/A"/>
    <n v="16"/>
    <d v="2025-03-06T00:00:00"/>
    <n v="6"/>
    <x v="12"/>
    <d v="1899-12-30T08:15:00"/>
    <n v="1.5000000000000027"/>
    <d v="2025-03-06T00:00:00"/>
    <x v="27"/>
    <s v="Unassigned"/>
    <m/>
  </r>
  <r>
    <n v="545"/>
    <s v="B554649/A"/>
    <s v="RH323NF02"/>
    <m/>
    <e v="#N/A"/>
    <n v="17"/>
    <d v="2025-03-06T00:00:00"/>
    <n v="6"/>
    <x v="12"/>
    <d v="1899-12-30T08:15:00"/>
    <n v="1.5000000000000027"/>
    <d v="2025-03-06T00:00:00"/>
    <x v="27"/>
    <s v="Unassigned"/>
    <m/>
  </r>
  <r>
    <n v="546"/>
    <s v="B554650/A"/>
    <s v="RH323NF02"/>
    <m/>
    <e v="#N/A"/>
    <n v="19"/>
    <d v="2025-03-06T00:00:00"/>
    <n v="6"/>
    <x v="12"/>
    <d v="1899-12-30T08:15:00"/>
    <n v="1.5000000000000027"/>
    <d v="2025-03-06T00:00:00"/>
    <x v="27"/>
    <s v="Unassigned"/>
    <m/>
  </r>
  <r>
    <n v="547"/>
    <s v="B553039/A"/>
    <s v="RH5490F38BN"/>
    <m/>
    <e v="#N/A"/>
    <n v="10"/>
    <d v="2025-03-06T00:00:00"/>
    <n v="6"/>
    <x v="12"/>
    <d v="1899-12-30T08:20:00"/>
    <n v="2.0000000000000089"/>
    <d v="2025-03-06T00:00:00"/>
    <x v="27"/>
    <s v="Unassigned"/>
    <m/>
  </r>
  <r>
    <n v="548"/>
    <s v="B554491/A"/>
    <s v="RH1741F40.BC"/>
    <m/>
    <e v="#N/A"/>
    <n v="5"/>
    <d v="2025-03-06T00:00:00"/>
    <n v="6"/>
    <x v="12"/>
    <d v="1899-12-30T08:20:00"/>
    <n v="2.0000000000000089"/>
    <d v="2025-03-06T00:00:00"/>
    <x v="27"/>
    <s v="Unassigned"/>
    <m/>
  </r>
  <r>
    <n v="549"/>
    <s v="B554492/A"/>
    <s v="RH1741F40.BC"/>
    <m/>
    <e v="#N/A"/>
    <n v="5"/>
    <d v="2025-03-06T00:00:00"/>
    <n v="6"/>
    <x v="12"/>
    <d v="1899-12-30T08:15:00"/>
    <n v="1.5000000000000027"/>
    <d v="2025-03-06T00:00:00"/>
    <x v="27"/>
    <s v="Unassigned"/>
    <m/>
  </r>
  <r>
    <n v="550"/>
    <s v="B554507/A"/>
    <s v="RH1741F96.BC"/>
    <m/>
    <e v="#N/A"/>
    <n v="5"/>
    <d v="2025-03-06T00:00:00"/>
    <n v="6"/>
    <x v="12"/>
    <d v="1899-12-30T08:20:00"/>
    <n v="2.0000000000000089"/>
    <d v="2025-03-06T00:00:00"/>
    <x v="27"/>
    <s v="Unassigned"/>
    <m/>
  </r>
  <r>
    <n v="551"/>
    <s v="B554508/A"/>
    <s v="RH1741F96.BC"/>
    <m/>
    <e v="#N/A"/>
    <n v="5"/>
    <d v="2025-03-06T00:00:00"/>
    <n v="6"/>
    <x v="12"/>
    <d v="1899-12-30T08:20:00"/>
    <n v="2.0000000000000089"/>
    <d v="2025-03-06T00:00:00"/>
    <x v="27"/>
    <s v="Unassigned"/>
    <m/>
  </r>
  <r>
    <n v="552"/>
    <s v="B554561/A"/>
    <s v="RH2423F13"/>
    <m/>
    <e v="#N/A"/>
    <n v="10"/>
    <d v="2025-03-06T00:00:00"/>
    <n v="6"/>
    <x v="12"/>
    <d v="1899-12-30T08:20:00"/>
    <n v="2.0000000000000089"/>
    <d v="2025-03-06T00:00:00"/>
    <x v="27"/>
    <s v="Unassigned"/>
    <m/>
  </r>
  <r>
    <n v="553"/>
    <s v="B554562/A"/>
    <s v="RH2423F13"/>
    <m/>
    <e v="#N/A"/>
    <n v="10"/>
    <d v="2025-03-06T00:00:00"/>
    <n v="6"/>
    <x v="12"/>
    <d v="1899-12-30T08:15:00"/>
    <n v="1.5000000000000027"/>
    <d v="2025-03-06T00:00:00"/>
    <x v="27"/>
    <s v="Unassigned"/>
    <m/>
  </r>
  <r>
    <n v="554"/>
    <s v="B554660/A"/>
    <s v="RH3429F17"/>
    <m/>
    <e v="#N/A"/>
    <n v="20"/>
    <d v="2025-03-06T00:00:00"/>
    <n v="6"/>
    <x v="12"/>
    <d v="1899-12-30T08:15:00"/>
    <n v="1.5000000000000027"/>
    <d v="2025-03-06T00:00:00"/>
    <x v="27"/>
    <s v="Unassigned"/>
    <m/>
  </r>
  <r>
    <n v="555"/>
    <s v="B554584/A"/>
    <s v="RH4089F14"/>
    <m/>
    <e v="#N/A"/>
    <n v="10"/>
    <d v="2025-03-06T00:00:00"/>
    <n v="6"/>
    <x v="12"/>
    <d v="1899-12-30T08:20:00"/>
    <n v="2.0000000000000089"/>
    <d v="2025-03-06T00:00:00"/>
    <x v="27"/>
    <s v="Unassigned"/>
    <m/>
  </r>
  <r>
    <n v="556"/>
    <s v="B554585/A"/>
    <s v="RH4089F14"/>
    <m/>
    <e v="#N/A"/>
    <n v="10"/>
    <d v="2025-03-06T00:00:00"/>
    <n v="6"/>
    <x v="12"/>
    <d v="1899-12-30T08:15:00"/>
    <n v="1.5000000000000027"/>
    <d v="2025-03-06T00:00:00"/>
    <x v="27"/>
    <s v="Unassigned"/>
    <m/>
  </r>
  <r>
    <n v="557"/>
    <s v="B554589/A"/>
    <s v="RH5075F113"/>
    <m/>
    <e v="#N/A"/>
    <n v="10"/>
    <d v="2025-03-06T00:00:00"/>
    <n v="6"/>
    <x v="12"/>
    <d v="1899-12-30T08:15:00"/>
    <n v="1.5000000000000027"/>
    <d v="2025-03-06T00:00:00"/>
    <x v="27"/>
    <s v="Unassigned"/>
    <m/>
  </r>
  <r>
    <n v="558"/>
    <s v="B554592/A"/>
    <s v="RH5075F152"/>
    <m/>
    <e v="#N/A"/>
    <n v="5"/>
    <d v="2025-03-06T00:00:00"/>
    <n v="6"/>
    <x v="12"/>
    <d v="1899-12-30T08:15:00"/>
    <n v="1.5000000000000027"/>
    <d v="2025-03-06T00:00:00"/>
    <x v="27"/>
    <s v="Unassigned"/>
    <m/>
  </r>
  <r>
    <n v="559"/>
    <s v="B554593/A"/>
    <s v="RH5075F152"/>
    <m/>
    <e v="#N/A"/>
    <n v="5"/>
    <d v="2025-03-06T00:00:00"/>
    <n v="6"/>
    <x v="12"/>
    <d v="1899-12-30T08:20:00"/>
    <n v="2.0000000000000089"/>
    <d v="2025-03-06T00:00:00"/>
    <x v="27"/>
    <s v="Unassigned"/>
    <m/>
  </r>
  <r>
    <n v="560"/>
    <s v="B554644/A"/>
    <s v="RH5409F38BN"/>
    <m/>
    <e v="#N/A"/>
    <n v="20"/>
    <d v="2025-03-06T00:00:00"/>
    <n v="6"/>
    <x v="12"/>
    <d v="1899-12-30T08:20:00"/>
    <n v="2.0000000000000089"/>
    <d v="2025-03-06T00:00:00"/>
    <x v="27"/>
    <s v="Unassigned"/>
    <m/>
  </r>
  <r>
    <n v="561"/>
    <s v="bảng màu "/>
    <s v="RH500"/>
    <s v="WD-03-254"/>
    <n v="30"/>
    <n v="30"/>
    <d v="2025-03-07T00:00:00"/>
    <n v="1"/>
    <x v="1"/>
    <d v="1899-12-30T10:00:00"/>
    <n v="1.0000000000000004"/>
    <d v="2025-03-07T00:00:00"/>
    <x v="27"/>
    <s v="Finishing"/>
    <s v="Mr.Sơn"/>
  </r>
  <r>
    <n v="562"/>
    <s v="bảng màu "/>
    <s v="RH500"/>
    <s v="WD-03-185"/>
    <n v="30"/>
    <n v="30"/>
    <d v="2025-03-07T00:00:00"/>
    <n v="1"/>
    <x v="1"/>
    <d v="1899-12-30T09:45:00"/>
    <n v="0.75"/>
    <d v="2025-03-07T00:00:00"/>
    <x v="27"/>
    <s v="Finishing"/>
    <s v="Mr.Sơn"/>
  </r>
  <r>
    <n v="563"/>
    <m/>
    <s v="JV035F1165"/>
    <s v="TỦ  "/>
    <n v="2"/>
    <n v="2"/>
    <d v="2025-03-07T00:00:00"/>
    <n v="2"/>
    <x v="14"/>
    <d v="1899-12-30T09:00:00"/>
    <n v="3.9999999999999991"/>
    <d v="2025-03-07T00:00:00"/>
    <x v="27"/>
    <s v="Unassigned"/>
    <m/>
  </r>
  <r>
    <n v="564"/>
    <m/>
    <s v="RH9856F426"/>
    <s v="CHÂN TRỤ "/>
    <n v="1"/>
    <n v="1"/>
    <d v="2025-03-07T00:00:00"/>
    <n v="2"/>
    <x v="14"/>
    <d v="1899-12-30T08:00:00"/>
    <n v="1.9999999999999982"/>
    <d v="2025-03-07T00:00:00"/>
    <x v="27"/>
    <s v="Unassigned"/>
    <m/>
  </r>
  <r>
    <n v="565"/>
    <m/>
    <s v="JV035F1165"/>
    <s v="A3-S5"/>
    <n v="1"/>
    <n v="1"/>
    <d v="2025-03-07T00:00:00"/>
    <n v="1"/>
    <x v="14"/>
    <d v="1899-12-30T07:30:00"/>
    <n v="0.49999999999999956"/>
    <d v="2025-03-07T00:00:00"/>
    <x v="27"/>
    <s v="Unassigned"/>
    <m/>
  </r>
  <r>
    <n v="566"/>
    <m/>
    <s v="JV036F1121"/>
    <s v="A2-S5"/>
    <n v="1"/>
    <n v="1"/>
    <d v="2025-03-07T00:00:00"/>
    <n v="1"/>
    <x v="14"/>
    <d v="1899-12-30T07:30:00"/>
    <n v="0.49999999999999956"/>
    <d v="2025-03-07T00:00:00"/>
    <x v="27"/>
    <s v="Unassigned"/>
    <m/>
  </r>
  <r>
    <n v="567"/>
    <m/>
    <s v="JV033F1165"/>
    <s v="A4-S7"/>
    <n v="1"/>
    <n v="1"/>
    <d v="2025-03-07T00:00:00"/>
    <n v="1"/>
    <x v="14"/>
    <d v="1899-12-30T07:30:00"/>
    <n v="0.49999999999999956"/>
    <d v="2025-03-07T00:00:00"/>
    <x v="27"/>
    <s v="Unassigned"/>
    <m/>
  </r>
  <r>
    <n v="568"/>
    <m/>
    <s v="JV034F1165"/>
    <s v="A4-S7"/>
    <n v="1"/>
    <n v="1"/>
    <d v="2025-03-07T00:00:00"/>
    <n v="1"/>
    <x v="14"/>
    <d v="1899-12-30T07:30:00"/>
    <n v="0.49999999999999956"/>
    <d v="2025-03-07T00:00:00"/>
    <x v="27"/>
    <s v="Unassigned"/>
    <m/>
  </r>
  <r>
    <n v="569"/>
    <m/>
    <s v="RH9541F426"/>
    <s v="A1-S7"/>
    <n v="1"/>
    <n v="1"/>
    <d v="2025-03-07T00:00:00"/>
    <n v="1"/>
    <x v="14"/>
    <d v="1899-12-30T07:30:00"/>
    <n v="0.49999999999999956"/>
    <d v="2025-03-07T00:00:00"/>
    <x v="27"/>
    <s v="Unassigned"/>
    <m/>
  </r>
  <r>
    <n v="570"/>
    <m/>
    <s v="RH9900F426"/>
    <s v="A1-S7"/>
    <n v="1"/>
    <n v="1"/>
    <d v="2025-03-07T00:00:00"/>
    <n v="1"/>
    <x v="14"/>
    <d v="1899-12-30T07:30:00"/>
    <n v="0.49999999999999956"/>
    <d v="2025-03-07T00:00:00"/>
    <x v="27"/>
    <s v="Unassigned"/>
    <m/>
  </r>
  <r>
    <n v="571"/>
    <m/>
    <s v="RH2455F396"/>
    <s v="A1"/>
    <n v="2"/>
    <n v="2"/>
    <d v="2025-03-07T00:00:00"/>
    <n v="1"/>
    <x v="14"/>
    <d v="1899-12-30T07:30:00"/>
    <n v="0.49999999999999956"/>
    <d v="2025-03-07T00:00:00"/>
    <x v="27"/>
    <s v="Unassigned"/>
    <s v="thay đổi kết câu "/>
  </r>
  <r>
    <n v="572"/>
    <m/>
    <s v="WD-03-007-B"/>
    <s v="veneer ép lên thay ván "/>
    <m/>
    <m/>
    <d v="2025-03-09T00:00:00"/>
    <n v="3"/>
    <x v="14"/>
    <d v="1899-12-30T10:00:00"/>
    <n v="9"/>
    <d v="2025-03-09T00:00:00"/>
    <x v="27"/>
    <s v="Unassigned"/>
    <s v="thay đổi kết câu "/>
  </r>
  <r>
    <n v="573"/>
    <m/>
    <s v="WD-03-185-B-XL"/>
    <s v="veneer ép lên thay ván "/>
    <m/>
    <m/>
    <d v="2025-03-09T00:00:00"/>
    <n v="3"/>
    <x v="14"/>
    <d v="1899-12-30T09:30:00"/>
    <n v="7.4999999999999973"/>
    <d v="2025-03-09T00:00:00"/>
    <x v="27"/>
    <s v="Unassigned"/>
    <s v="thay đổi kết câu "/>
  </r>
  <r>
    <n v="574"/>
    <m/>
    <s v="WD-03-014-AL-L"/>
    <s v="veneer ép lên thay ván "/>
    <m/>
    <m/>
    <d v="2025-03-09T00:00:00"/>
    <n v="3"/>
    <x v="14"/>
    <d v="1899-12-30T09:30:00"/>
    <n v="7.4999999999999973"/>
    <d v="2025-03-09T00:00:00"/>
    <x v="27"/>
    <s v="Unassigned"/>
    <s v="thay đổi kết câu "/>
  </r>
  <r>
    <n v="575"/>
    <s v="bảng màu "/>
    <s v="RH500"/>
    <s v="WD-03-254"/>
    <n v="30"/>
    <n v="30"/>
    <d v="2025-03-12T00:00:00"/>
    <n v="1"/>
    <x v="21"/>
    <d v="1899-12-30T14:30:00"/>
    <n v="0.6666666666666643"/>
    <d v="2025-03-12T00:00:00"/>
    <x v="28"/>
    <s v="Finishing"/>
    <s v="Mr.Sơn"/>
  </r>
  <r>
    <n v="576"/>
    <s v="B556259/A"/>
    <s v="RH2163NM108"/>
    <s v="A2-S02"/>
    <n v="19"/>
    <n v="19"/>
    <d v="2025-03-15T00:00:00"/>
    <n v="50"/>
    <x v="14"/>
    <d v="1899-12-30T12:00:00"/>
    <n v="250"/>
    <d v="2025-03-15T00:00:00"/>
    <x v="28"/>
    <s v="chart puschasing"/>
    <s v="in-house"/>
  </r>
  <r>
    <n v="577"/>
    <s v="B556259/A"/>
    <s v="RH2163NM108"/>
    <s v="A3-S02"/>
    <n v="19"/>
    <n v="19"/>
    <d v="2025-03-15T00:00:00"/>
    <m/>
    <x v="15"/>
    <m/>
    <m/>
    <d v="2025-03-15T00:00:00"/>
    <x v="28"/>
    <s v="chart puschasing"/>
    <s v="in-house"/>
  </r>
  <r>
    <n v="578"/>
    <s v="B556259/A"/>
    <s v="RH2163NM108"/>
    <s v="A2-S03"/>
    <n v="19"/>
    <n v="19"/>
    <d v="2025-03-15T00:00:00"/>
    <m/>
    <x v="15"/>
    <m/>
    <m/>
    <d v="2025-03-15T00:00:00"/>
    <x v="28"/>
    <s v="chart puschasing"/>
    <s v="in-house"/>
  </r>
  <r>
    <n v="579"/>
    <s v="B556259/A"/>
    <s v="RH2163NM108"/>
    <s v="A3-S03"/>
    <n v="19"/>
    <n v="19"/>
    <d v="2025-03-15T00:00:00"/>
    <m/>
    <x v="15"/>
    <m/>
    <m/>
    <d v="2025-03-15T00:00:00"/>
    <x v="28"/>
    <s v="chart puschasing"/>
    <s v="in-house"/>
  </r>
  <r>
    <n v="580"/>
    <s v="B556259/A"/>
    <s v="RH2163NM108"/>
    <s v="A2-S04"/>
    <n v="19"/>
    <n v="19"/>
    <d v="2025-03-15T00:00:00"/>
    <m/>
    <x v="15"/>
    <m/>
    <m/>
    <d v="2025-03-15T00:00:00"/>
    <x v="28"/>
    <s v="chart puschasing"/>
    <s v="in-house"/>
  </r>
  <r>
    <n v="581"/>
    <s v="B556259/A"/>
    <s v="RH2163NM108"/>
    <s v="A3-S04"/>
    <n v="19"/>
    <n v="19"/>
    <d v="2025-03-15T00:00:00"/>
    <m/>
    <x v="15"/>
    <m/>
    <m/>
    <d v="2025-03-15T00:00:00"/>
    <x v="28"/>
    <s v="chart puschasing"/>
    <s v="in-house"/>
  </r>
  <r>
    <n v="582"/>
    <s v="B556271/A"/>
    <s v="RH2381M40"/>
    <s v="A9-S02"/>
    <n v="23"/>
    <n v="23"/>
    <d v="2025-03-15T00:00:00"/>
    <m/>
    <x v="15"/>
    <m/>
    <m/>
    <d v="2025-03-15T00:00:00"/>
    <x v="28"/>
    <s v="chart puschasing"/>
    <s v="in-house"/>
  </r>
  <r>
    <n v="583"/>
    <s v="B556271/A"/>
    <s v="RH2381M40"/>
    <s v="A9-S03"/>
    <n v="23"/>
    <n v="23"/>
    <d v="2025-03-15T00:00:00"/>
    <m/>
    <x v="15"/>
    <m/>
    <m/>
    <d v="2025-03-15T00:00:00"/>
    <x v="28"/>
    <s v="chart puschasing"/>
    <s v="in-house"/>
  </r>
  <r>
    <n v="584"/>
    <s v="B556272/A"/>
    <s v="RH2381M40"/>
    <s v="A9-S02"/>
    <n v="22"/>
    <n v="22"/>
    <d v="2025-03-15T00:00:00"/>
    <m/>
    <x v="15"/>
    <m/>
    <m/>
    <d v="2025-03-15T00:00:00"/>
    <x v="28"/>
    <s v="chart puschasing"/>
    <s v="in-house"/>
  </r>
  <r>
    <n v="585"/>
    <s v="B556272/A"/>
    <s v="RH2381M40"/>
    <s v="A9-S03"/>
    <n v="22"/>
    <n v="22"/>
    <d v="2025-03-15T00:00:00"/>
    <m/>
    <x v="15"/>
    <m/>
    <m/>
    <d v="2025-03-15T00:00:00"/>
    <x v="28"/>
    <s v="chart puschasing"/>
    <s v="in-house"/>
  </r>
  <r>
    <n v="586"/>
    <s v="B556275/A"/>
    <s v="RH2423M13"/>
    <s v="A4-S2"/>
    <n v="10"/>
    <n v="10"/>
    <d v="2025-03-15T00:00:00"/>
    <m/>
    <x v="15"/>
    <m/>
    <m/>
    <d v="2025-03-15T00:00:00"/>
    <x v="28"/>
    <s v="chart puschasing"/>
    <s v="in-house"/>
  </r>
  <r>
    <n v="587"/>
    <s v="B556275/A"/>
    <s v="RH2423M13"/>
    <s v="A5-S2"/>
    <n v="10"/>
    <n v="10"/>
    <d v="2025-03-15T00:00:00"/>
    <m/>
    <x v="15"/>
    <m/>
    <m/>
    <d v="2025-03-15T00:00:00"/>
    <x v="28"/>
    <s v="chart puschasing"/>
    <s v="in-house"/>
  </r>
  <r>
    <n v="588"/>
    <s v="B556275/A"/>
    <s v="RH2423M13"/>
    <s v="A4-S3"/>
    <n v="10"/>
    <n v="10"/>
    <d v="2025-03-15T00:00:00"/>
    <m/>
    <x v="15"/>
    <m/>
    <m/>
    <d v="2025-03-15T00:00:00"/>
    <x v="28"/>
    <s v="chart puschasing"/>
    <s v="in-house"/>
  </r>
  <r>
    <n v="589"/>
    <s v="B556275/A"/>
    <s v="RH2423M13"/>
    <s v="A5-S3"/>
    <n v="10"/>
    <n v="10"/>
    <d v="2025-03-15T00:00:00"/>
    <m/>
    <x v="15"/>
    <m/>
    <m/>
    <d v="2025-03-15T00:00:00"/>
    <x v="28"/>
    <s v="chart puschasing"/>
    <s v="in-house"/>
  </r>
  <r>
    <n v="590"/>
    <s v="B556276/A"/>
    <s v="RH2423M13"/>
    <s v="A4-S2"/>
    <n v="10"/>
    <n v="10"/>
    <d v="2025-03-15T00:00:00"/>
    <m/>
    <x v="15"/>
    <m/>
    <m/>
    <d v="2025-03-15T00:00:00"/>
    <x v="28"/>
    <s v="chart puschasing"/>
    <s v="in-house"/>
  </r>
  <r>
    <n v="591"/>
    <s v="B556276/A"/>
    <s v="RH2423M13"/>
    <s v="A5-S2"/>
    <n v="10"/>
    <n v="10"/>
    <d v="2025-03-15T00:00:00"/>
    <m/>
    <x v="15"/>
    <m/>
    <m/>
    <d v="2025-03-15T00:00:00"/>
    <x v="28"/>
    <s v="chart puschasing"/>
    <s v="in-house"/>
  </r>
  <r>
    <n v="592"/>
    <s v="B556276/A"/>
    <s v="RH2423M13"/>
    <s v="A4-S3"/>
    <n v="10"/>
    <n v="10"/>
    <d v="2025-03-15T00:00:00"/>
    <m/>
    <x v="15"/>
    <m/>
    <m/>
    <d v="2025-03-15T00:00:00"/>
    <x v="28"/>
    <s v="chart puschasing"/>
    <s v="in-house"/>
  </r>
  <r>
    <n v="593"/>
    <s v="B556276/A"/>
    <s v="RH2423M13"/>
    <s v="A5-S3"/>
    <n v="10"/>
    <n v="10"/>
    <d v="2025-03-15T00:00:00"/>
    <m/>
    <x v="15"/>
    <m/>
    <m/>
    <d v="2025-03-15T00:00:00"/>
    <x v="28"/>
    <s v="chart puschasing"/>
    <s v="in-house"/>
  </r>
  <r>
    <n v="594"/>
    <s v="B554682/A"/>
    <s v="RH3456AM112"/>
    <s v="A2-S02"/>
    <n v="10"/>
    <n v="10"/>
    <d v="2025-03-15T00:00:00"/>
    <m/>
    <x v="15"/>
    <m/>
    <m/>
    <d v="2025-03-15T00:00:00"/>
    <x v="28"/>
    <s v="chart puschasing"/>
    <s v="in-house"/>
  </r>
  <r>
    <n v="595"/>
    <s v="B554682/A"/>
    <s v="RH3456AM112"/>
    <s v="A2-S03"/>
    <n v="10"/>
    <n v="10"/>
    <d v="2025-03-15T00:00:00"/>
    <m/>
    <x v="15"/>
    <m/>
    <m/>
    <d v="2025-03-15T00:00:00"/>
    <x v="28"/>
    <s v="chart puschasing"/>
    <s v="in-house"/>
  </r>
  <r>
    <n v="596"/>
    <s v="B554683/A"/>
    <s v="RH3456AM112"/>
    <s v="A2-S02"/>
    <n v="10"/>
    <n v="10"/>
    <d v="2025-03-15T00:00:00"/>
    <m/>
    <x v="15"/>
    <m/>
    <m/>
    <d v="2025-03-15T00:00:00"/>
    <x v="28"/>
    <s v="chart puschasing"/>
    <s v="in-house"/>
  </r>
  <r>
    <n v="597"/>
    <s v="B554683/A"/>
    <s v="RH3456AM112"/>
    <s v="A2-S03"/>
    <n v="10"/>
    <n v="10"/>
    <d v="2025-03-15T00:00:00"/>
    <m/>
    <x v="15"/>
    <m/>
    <m/>
    <d v="2025-03-15T00:00:00"/>
    <x v="28"/>
    <s v="chart puschasing"/>
    <s v="in-house"/>
  </r>
  <r>
    <n v="598"/>
    <s v="B554689/A"/>
    <s v="RH3456AM113"/>
    <s v="A2-S02"/>
    <n v="5"/>
    <n v="5"/>
    <d v="2025-03-15T00:00:00"/>
    <m/>
    <x v="15"/>
    <m/>
    <m/>
    <d v="2025-03-15T00:00:00"/>
    <x v="28"/>
    <s v="chart puschasing"/>
    <s v="in-house"/>
  </r>
  <r>
    <n v="599"/>
    <s v="B554689/A"/>
    <s v="RH3456AM113"/>
    <s v="A2-S03"/>
    <n v="5"/>
    <n v="5"/>
    <d v="2025-03-15T00:00:00"/>
    <m/>
    <x v="15"/>
    <m/>
    <m/>
    <d v="2025-03-15T00:00:00"/>
    <x v="28"/>
    <s v="chart puschasing"/>
    <s v="in-house"/>
  </r>
  <r>
    <n v="600"/>
    <s v="B554690/A"/>
    <s v="RH3456AM113"/>
    <s v="A2-S02"/>
    <n v="5"/>
    <n v="5"/>
    <d v="2025-03-15T00:00:00"/>
    <m/>
    <x v="15"/>
    <m/>
    <m/>
    <d v="2025-03-15T00:00:00"/>
    <x v="28"/>
    <s v="chart puschasing"/>
    <s v="in-house"/>
  </r>
  <r>
    <n v="601"/>
    <s v="B554690/A"/>
    <s v="RH3456AM113"/>
    <s v="A2-S03"/>
    <n v="5"/>
    <n v="5"/>
    <d v="2025-03-15T00:00:00"/>
    <m/>
    <x v="15"/>
    <m/>
    <m/>
    <d v="2025-03-15T00:00:00"/>
    <x v="28"/>
    <s v="chart puschasing"/>
    <s v="in-house"/>
  </r>
  <r>
    <n v="602"/>
    <s v="B554693/A"/>
    <s v="RH3456AM153"/>
    <s v="A2-S02"/>
    <n v="5"/>
    <n v="5"/>
    <d v="2025-03-15T00:00:00"/>
    <m/>
    <x v="15"/>
    <m/>
    <m/>
    <d v="2025-03-15T00:00:00"/>
    <x v="28"/>
    <s v="chart puschasing"/>
    <s v="in-house"/>
  </r>
  <r>
    <n v="603"/>
    <s v="B554693/A"/>
    <s v="RH3456AM153"/>
    <s v="A2-S03"/>
    <n v="5"/>
    <n v="5"/>
    <d v="2025-03-15T00:00:00"/>
    <m/>
    <x v="15"/>
    <m/>
    <m/>
    <d v="2025-03-15T00:00:00"/>
    <x v="28"/>
    <s v="chart puschasing"/>
    <s v="in-house"/>
  </r>
  <r>
    <n v="604"/>
    <s v="B554694/A"/>
    <s v="RH3456AM153"/>
    <s v="A2-S02"/>
    <n v="5"/>
    <n v="5"/>
    <d v="2025-03-15T00:00:00"/>
    <m/>
    <x v="15"/>
    <m/>
    <m/>
    <d v="2025-03-15T00:00:00"/>
    <x v="28"/>
    <s v="chart puschasing"/>
    <s v="in-house"/>
  </r>
  <r>
    <n v="605"/>
    <s v="B554694/A"/>
    <s v="RH3456AM153"/>
    <s v="A2-S03"/>
    <n v="5"/>
    <n v="5"/>
    <d v="2025-03-15T00:00:00"/>
    <m/>
    <x v="15"/>
    <m/>
    <m/>
    <d v="2025-03-15T00:00:00"/>
    <x v="28"/>
    <s v="chart puschasing"/>
    <s v="in-house"/>
  </r>
  <r>
    <n v="606"/>
    <s v="B554330/A"/>
    <s v="CZ121NM08"/>
    <s v="A4-S2"/>
    <n v="34"/>
    <n v="34"/>
    <d v="2025-03-15T00:00:00"/>
    <m/>
    <x v="15"/>
    <m/>
    <m/>
    <d v="2025-03-15T00:00:00"/>
    <x v="28"/>
    <s v="chart puschasing"/>
    <s v="in-house"/>
  </r>
  <r>
    <n v="607"/>
    <s v="B554333/A"/>
    <s v="CZ121NM191"/>
    <s v="A4-S2"/>
    <n v="6"/>
    <n v="6"/>
    <d v="2025-03-15T00:00:00"/>
    <m/>
    <x v="15"/>
    <m/>
    <m/>
    <d v="2025-03-15T00:00:00"/>
    <x v="28"/>
    <s v="chart puschasing"/>
    <s v="in-house"/>
  </r>
  <r>
    <n v="608"/>
    <s v="B554334/A"/>
    <s v="CZ121NM191"/>
    <s v="A4-S2"/>
    <n v="7"/>
    <n v="7"/>
    <d v="2025-03-15T00:00:00"/>
    <m/>
    <x v="15"/>
    <m/>
    <m/>
    <d v="2025-03-15T00:00:00"/>
    <x v="28"/>
    <s v="chart puschasing"/>
    <s v="in-house"/>
  </r>
  <r>
    <n v="609"/>
    <s v="B554337/A"/>
    <s v="CZ495M09"/>
    <s v="A3-S3"/>
    <n v="3"/>
    <n v="3"/>
    <d v="2025-03-15T00:00:00"/>
    <m/>
    <x v="15"/>
    <m/>
    <m/>
    <d v="2025-03-15T00:00:00"/>
    <x v="28"/>
    <s v="chart puschasing"/>
    <s v="in-house"/>
  </r>
  <r>
    <n v="610"/>
    <s v="B554338/A"/>
    <s v="CZ495M09"/>
    <s v="A3-S3"/>
    <n v="5"/>
    <n v="5"/>
    <d v="2025-03-15T00:00:00"/>
    <m/>
    <x v="15"/>
    <m/>
    <m/>
    <d v="2025-03-15T00:00:00"/>
    <x v="28"/>
    <s v="chart puschasing"/>
    <s v="in-house"/>
  </r>
  <r>
    <n v="611"/>
    <s v="B554344/A"/>
    <s v="CZ495M191"/>
    <s v="A3-S3"/>
    <n v="1"/>
    <n v="1"/>
    <d v="2025-03-15T00:00:00"/>
    <m/>
    <x v="15"/>
    <m/>
    <m/>
    <d v="2025-03-15T00:00:00"/>
    <x v="28"/>
    <s v="chart puschasing"/>
    <s v="in-house"/>
  </r>
  <r>
    <n v="612"/>
    <s v="B553659/A"/>
    <s v="CZ558M08"/>
    <s v="A3-S3"/>
    <n v="21"/>
    <n v="21"/>
    <d v="2025-03-15T00:00:00"/>
    <m/>
    <x v="15"/>
    <m/>
    <m/>
    <d v="2025-03-15T00:00:00"/>
    <x v="28"/>
    <s v="chart puschasing"/>
    <s v="in-house"/>
  </r>
  <r>
    <n v="613"/>
    <s v="B554346/A"/>
    <s v="CZ558M08"/>
    <s v="A3-S3"/>
    <n v="7"/>
    <n v="7"/>
    <d v="2025-03-15T00:00:00"/>
    <m/>
    <x v="15"/>
    <m/>
    <m/>
    <d v="2025-03-15T00:00:00"/>
    <x v="28"/>
    <s v="chart puschasing"/>
    <s v="in-house"/>
  </r>
  <r>
    <n v="614"/>
    <s v="B554350/A"/>
    <s v="CZ558M09"/>
    <s v="A3-S3"/>
    <n v="21"/>
    <n v="21"/>
    <d v="2025-03-15T00:00:00"/>
    <m/>
    <x v="15"/>
    <m/>
    <m/>
    <d v="2025-03-15T00:00:00"/>
    <x v="28"/>
    <s v="chart puschasing"/>
    <s v="in-house"/>
  </r>
  <r>
    <n v="615"/>
    <s v="B554351/A"/>
    <s v="CZ558M09"/>
    <s v="A3-S3"/>
    <n v="14"/>
    <n v="14"/>
    <d v="2025-03-15T00:00:00"/>
    <m/>
    <x v="15"/>
    <m/>
    <m/>
    <d v="2025-03-15T00:00:00"/>
    <x v="28"/>
    <s v="chart puschasing"/>
    <s v="in-house"/>
  </r>
  <r>
    <n v="616"/>
    <s v="B554352/A"/>
    <s v="CZ558M09"/>
    <s v="A3-S3"/>
    <n v="15"/>
    <n v="15"/>
    <d v="2025-03-15T00:00:00"/>
    <m/>
    <x v="15"/>
    <m/>
    <m/>
    <d v="2025-03-15T00:00:00"/>
    <x v="28"/>
    <s v="chart puschasing"/>
    <s v="in-house"/>
  </r>
  <r>
    <n v="617"/>
    <s v="B554355/A"/>
    <s v="CZ558M191"/>
    <s v="A3-S3"/>
    <n v="1"/>
    <n v="1"/>
    <d v="2025-03-15T00:00:00"/>
    <m/>
    <x v="15"/>
    <m/>
    <m/>
    <d v="2025-03-15T00:00:00"/>
    <x v="28"/>
    <s v="chart puschasing"/>
    <s v="in-house"/>
  </r>
  <r>
    <n v="618"/>
    <s v="B554356/A"/>
    <s v="CZ558M191"/>
    <s v="A3-S3"/>
    <n v="3"/>
    <n v="3"/>
    <d v="2025-03-15T00:00:00"/>
    <m/>
    <x v="15"/>
    <m/>
    <m/>
    <d v="2025-03-15T00:00:00"/>
    <x v="28"/>
    <s v="chart puschasing"/>
    <s v="in-house"/>
  </r>
  <r>
    <n v="619"/>
    <s v="B556303/A"/>
    <s v="RH2964NM244"/>
    <s v="A4-S02"/>
    <n v="40"/>
    <n v="40"/>
    <d v="2025-03-15T00:00:00"/>
    <m/>
    <x v="15"/>
    <m/>
    <m/>
    <d v="2025-03-15T00:00:00"/>
    <x v="28"/>
    <s v="chart puschasing"/>
    <s v="in-house"/>
  </r>
  <r>
    <n v="620"/>
    <s v="B556303/A"/>
    <s v="RH2964NM244"/>
    <s v="A4-S04"/>
    <n v="40"/>
    <n v="40"/>
    <d v="2025-03-15T00:00:00"/>
    <m/>
    <x v="15"/>
    <m/>
    <m/>
    <d v="2025-03-15T00:00:00"/>
    <x v="28"/>
    <s v="chart puschasing"/>
    <s v="in-house"/>
  </r>
  <r>
    <n v="621"/>
    <s v="B556303/A"/>
    <s v="RH2964NM244"/>
    <s v="A4-S03"/>
    <n v="40"/>
    <n v="40"/>
    <d v="2025-03-15T00:00:00"/>
    <m/>
    <x v="15"/>
    <m/>
    <m/>
    <d v="2025-03-15T00:00:00"/>
    <x v="28"/>
    <s v="chart puschasing"/>
    <s v="in-house"/>
  </r>
  <r>
    <n v="622"/>
    <s v="B556304/A"/>
    <s v="RH2964NM244"/>
    <s v="A4-S02"/>
    <n v="40"/>
    <n v="40"/>
    <d v="2025-03-15T00:00:00"/>
    <m/>
    <x v="15"/>
    <m/>
    <m/>
    <d v="2025-03-15T00:00:00"/>
    <x v="28"/>
    <s v="chart puschasing"/>
    <s v="in-house"/>
  </r>
  <r>
    <n v="623"/>
    <s v="B556304/A"/>
    <s v="RH2964NM244"/>
    <s v="A4-S04"/>
    <n v="40"/>
    <n v="40"/>
    <d v="2025-03-15T00:00:00"/>
    <m/>
    <x v="15"/>
    <m/>
    <m/>
    <d v="2025-03-15T00:00:00"/>
    <x v="28"/>
    <s v="chart puschasing"/>
    <s v="in-house"/>
  </r>
  <r>
    <n v="624"/>
    <s v="B556304/A"/>
    <s v="RH2964NM244"/>
    <s v="A4-S03"/>
    <n v="40"/>
    <n v="40"/>
    <d v="2025-03-15T00:00:00"/>
    <m/>
    <x v="15"/>
    <m/>
    <m/>
    <d v="2025-03-15T00:00:00"/>
    <x v="28"/>
    <s v="chart puschasing"/>
    <s v="in-house"/>
  </r>
  <r>
    <n v="625"/>
    <s v="B556462/A"/>
    <s v="RH9067NM410"/>
    <s v="A1-S03"/>
    <n v="24"/>
    <n v="24"/>
    <d v="2025-03-15T00:00:00"/>
    <m/>
    <x v="15"/>
    <m/>
    <m/>
    <d v="2025-03-15T00:00:00"/>
    <x v="28"/>
    <s v="chart puschasing"/>
    <s v="in-house"/>
  </r>
  <r>
    <n v="626"/>
    <s v="B556462/A"/>
    <s v="RH9067NM410"/>
    <s v="A2-S03"/>
    <n v="24"/>
    <n v="24"/>
    <d v="2025-03-15T00:00:00"/>
    <m/>
    <x v="15"/>
    <m/>
    <m/>
    <d v="2025-03-15T00:00:00"/>
    <x v="28"/>
    <s v="chart puschasing"/>
    <s v="in-house"/>
  </r>
  <r>
    <n v="627"/>
    <s v="B556462/A"/>
    <s v="RH9067NM410"/>
    <s v="A1-S02"/>
    <n v="24"/>
    <n v="24"/>
    <d v="2025-03-15T00:00:00"/>
    <m/>
    <x v="15"/>
    <m/>
    <m/>
    <d v="2025-03-15T00:00:00"/>
    <x v="28"/>
    <s v="chart puschasing"/>
    <s v="in-house"/>
  </r>
  <r>
    <n v="628"/>
    <s v="B556462/A"/>
    <s v="RH9067NM410"/>
    <s v="A1-S02-1"/>
    <n v="24"/>
    <n v="24"/>
    <d v="2025-03-15T00:00:00"/>
    <m/>
    <x v="15"/>
    <m/>
    <m/>
    <d v="2025-03-15T00:00:00"/>
    <x v="28"/>
    <s v="chart puschasing"/>
    <s v="in-house"/>
  </r>
  <r>
    <n v="629"/>
    <s v="B556462/A"/>
    <s v="RH9067NM410"/>
    <s v="A2-S02"/>
    <n v="24"/>
    <n v="24"/>
    <d v="2025-03-15T00:00:00"/>
    <m/>
    <x v="15"/>
    <m/>
    <m/>
    <d v="2025-03-15T00:00:00"/>
    <x v="28"/>
    <s v="chart puschasing"/>
    <s v="in-house"/>
  </r>
  <r>
    <n v="630"/>
    <s v="B556462/A"/>
    <s v="RH9067NM410"/>
    <s v="A2-S02-1"/>
    <n v="24"/>
    <n v="24"/>
    <d v="2025-03-15T00:00:00"/>
    <m/>
    <x v="15"/>
    <m/>
    <m/>
    <d v="2025-03-15T00:00:00"/>
    <x v="28"/>
    <s v="chart puschasing"/>
    <s v="in-house"/>
  </r>
  <r>
    <n v="631"/>
    <s v="B556393/A"/>
    <s v="RH9068NM396"/>
    <s v="A1-S02"/>
    <n v="6"/>
    <n v="6"/>
    <d v="2025-03-15T00:00:00"/>
    <m/>
    <x v="15"/>
    <m/>
    <m/>
    <d v="2025-03-15T00:00:00"/>
    <x v="28"/>
    <s v="chart puschasing"/>
    <s v="in-house"/>
  </r>
  <r>
    <n v="632"/>
    <s v="B556393/A"/>
    <s v="RH9068NM396"/>
    <s v="A1-S03"/>
    <n v="6"/>
    <n v="6"/>
    <d v="2025-03-15T00:00:00"/>
    <m/>
    <x v="15"/>
    <m/>
    <m/>
    <d v="2025-03-15T00:00:00"/>
    <x v="28"/>
    <s v="chart puschasing"/>
    <s v="in-house"/>
  </r>
  <r>
    <n v="633"/>
    <s v="B556395/A"/>
    <s v="RH9068NM397"/>
    <s v="A1-S03"/>
    <n v="5"/>
    <n v="5"/>
    <d v="2025-03-15T00:00:00"/>
    <m/>
    <x v="15"/>
    <m/>
    <m/>
    <d v="2025-03-15T00:00:00"/>
    <x v="28"/>
    <s v="chart puschasing"/>
    <s v="in-house"/>
  </r>
  <r>
    <n v="634"/>
    <s v="B556395/A"/>
    <s v="RH9068NM397"/>
    <s v="A1-S02"/>
    <n v="5"/>
    <n v="5"/>
    <d v="2025-03-15T00:00:00"/>
    <m/>
    <x v="15"/>
    <m/>
    <m/>
    <d v="2025-03-15T00:00:00"/>
    <x v="28"/>
    <s v="chart puschasing"/>
    <s v="in-house"/>
  </r>
  <r>
    <n v="635"/>
    <s v="B556397/A"/>
    <s v="RH9068NM398"/>
    <s v="A1-S02"/>
    <n v="7"/>
    <n v="7"/>
    <d v="2025-03-15T00:00:00"/>
    <m/>
    <x v="15"/>
    <m/>
    <m/>
    <d v="2025-03-15T00:00:00"/>
    <x v="28"/>
    <s v="chart puschasing"/>
    <s v="in-house"/>
  </r>
  <r>
    <n v="636"/>
    <s v="B556397/A"/>
    <s v="RH9068NM398"/>
    <s v="A1-S03"/>
    <n v="7"/>
    <n v="7"/>
    <d v="2025-03-15T00:00:00"/>
    <m/>
    <x v="15"/>
    <m/>
    <m/>
    <d v="2025-03-15T00:00:00"/>
    <x v="28"/>
    <s v="chart puschasing"/>
    <s v="in-house"/>
  </r>
  <r>
    <n v="637"/>
    <s v="B556399/A"/>
    <s v="RH9068NM410"/>
    <s v="A1-S02"/>
    <n v="10"/>
    <n v="10"/>
    <d v="2025-03-15T00:00:00"/>
    <m/>
    <x v="15"/>
    <m/>
    <m/>
    <d v="2025-03-15T00:00:00"/>
    <x v="28"/>
    <s v="chart puschasing"/>
    <s v="in-house"/>
  </r>
  <r>
    <n v="638"/>
    <s v="B556399/A"/>
    <s v="RH9068NM410"/>
    <s v="A1-S03"/>
    <n v="10"/>
    <n v="10"/>
    <d v="2025-03-15T00:00:00"/>
    <m/>
    <x v="15"/>
    <m/>
    <m/>
    <d v="2025-03-15T00:00:00"/>
    <x v="28"/>
    <s v="chart puschasing"/>
    <s v="in-house"/>
  </r>
  <r>
    <n v="639"/>
    <s v="B556409/A"/>
    <s v="RH9135M397"/>
    <s v="A1-S02"/>
    <n v="19"/>
    <n v="19"/>
    <d v="2025-03-15T00:00:00"/>
    <m/>
    <x v="15"/>
    <m/>
    <m/>
    <d v="2025-03-15T00:00:00"/>
    <x v="28"/>
    <s v="chart puschasing"/>
    <s v="in-house"/>
  </r>
  <r>
    <n v="640"/>
    <s v="B556409/A"/>
    <s v="RH9135M397"/>
    <s v="A1-S03"/>
    <n v="19"/>
    <n v="19"/>
    <d v="2025-03-15T00:00:00"/>
    <m/>
    <x v="15"/>
    <m/>
    <m/>
    <d v="2025-03-15T00:00:00"/>
    <x v="28"/>
    <s v="chart puschasing"/>
    <s v="in-house"/>
  </r>
  <r>
    <n v="641"/>
    <s v="B556411/A"/>
    <s v="RH9135M410"/>
    <s v="A1-S02"/>
    <n v="22"/>
    <n v="22"/>
    <d v="2025-03-15T00:00:00"/>
    <m/>
    <x v="15"/>
    <m/>
    <m/>
    <d v="2025-03-15T00:00:00"/>
    <x v="28"/>
    <s v="chart puschasing"/>
    <s v="in-house"/>
  </r>
  <r>
    <n v="642"/>
    <s v="B556411/A"/>
    <s v="RH9135M410"/>
    <s v="A1-S03"/>
    <n v="22"/>
    <n v="22"/>
    <d v="2025-03-15T00:00:00"/>
    <m/>
    <x v="15"/>
    <m/>
    <m/>
    <d v="2025-03-15T00:00:00"/>
    <x v="28"/>
    <s v="chart puschasing"/>
    <s v="in-house"/>
  </r>
  <r>
    <n v="643"/>
    <s v="B556413/A"/>
    <s v="RH9138M396"/>
    <s v="A1-S03"/>
    <n v="11"/>
    <n v="11"/>
    <d v="2025-03-15T00:00:00"/>
    <m/>
    <x v="15"/>
    <m/>
    <m/>
    <d v="2025-03-15T00:00:00"/>
    <x v="28"/>
    <s v="chart puschasing"/>
    <s v="in-house"/>
  </r>
  <r>
    <n v="644"/>
    <s v="B556413/A"/>
    <s v="RH9138M396"/>
    <s v="A1-S02"/>
    <n v="11"/>
    <n v="11"/>
    <d v="2025-03-15T00:00:00"/>
    <m/>
    <x v="15"/>
    <m/>
    <m/>
    <d v="2025-03-15T00:00:00"/>
    <x v="28"/>
    <s v="chart puschasing"/>
    <s v="in-house"/>
  </r>
  <r>
    <n v="645"/>
    <s v="B556415/A"/>
    <s v="RH9138M410"/>
    <s v="A1-S03"/>
    <n v="27"/>
    <n v="27"/>
    <d v="2025-03-15T00:00:00"/>
    <m/>
    <x v="15"/>
    <m/>
    <m/>
    <d v="2025-03-15T00:00:00"/>
    <x v="28"/>
    <s v="chart puschasing"/>
    <s v="in-house"/>
  </r>
  <r>
    <n v="646"/>
    <s v="B556415/A"/>
    <s v="RH9138M410"/>
    <s v="A1-S02"/>
    <n v="27"/>
    <n v="27"/>
    <d v="2025-03-15T00:00:00"/>
    <m/>
    <x v="15"/>
    <m/>
    <m/>
    <d v="2025-03-15T00:00:00"/>
    <x v="28"/>
    <s v="chart puschasing"/>
    <s v="in-house"/>
  </r>
  <r>
    <n v="647"/>
    <s v="B556453/A"/>
    <s v="RH9283M404"/>
    <s v="A1-S02"/>
    <n v="18"/>
    <n v="18"/>
    <d v="2025-03-15T00:00:00"/>
    <m/>
    <x v="15"/>
    <m/>
    <m/>
    <d v="2025-03-15T00:00:00"/>
    <x v="28"/>
    <s v="chart puschasing"/>
    <s v="in-house"/>
  </r>
  <r>
    <n v="648"/>
    <s v="B556453/A"/>
    <s v="RH9283M404"/>
    <s v="A1-S06"/>
    <n v="18"/>
    <n v="18"/>
    <d v="2025-03-15T00:00:00"/>
    <m/>
    <x v="15"/>
    <m/>
    <m/>
    <d v="2025-03-15T00:00:00"/>
    <x v="28"/>
    <s v="chart puschasing"/>
    <s v="in-house"/>
  </r>
  <r>
    <n v="649"/>
    <s v="B556453/A"/>
    <s v="RH9283M404"/>
    <s v="A1-S03"/>
    <n v="18"/>
    <n v="18"/>
    <d v="2025-03-15T00:00:00"/>
    <m/>
    <x v="15"/>
    <m/>
    <m/>
    <d v="2025-03-15T00:00:00"/>
    <x v="28"/>
    <s v="chart puschasing"/>
    <s v="in-house"/>
  </r>
  <r>
    <n v="650"/>
    <s v="B556453/A"/>
    <s v="RH9283M404"/>
    <s v="A1-S07"/>
    <n v="18"/>
    <n v="18"/>
    <d v="2025-03-15T00:00:00"/>
    <m/>
    <x v="15"/>
    <m/>
    <m/>
    <d v="2025-03-15T00:00:00"/>
    <x v="28"/>
    <s v="chart puschasing"/>
    <s v="in-house"/>
  </r>
  <r>
    <n v="651"/>
    <s v="B556455/A"/>
    <s v="RH9283M408"/>
    <s v="A1-S02"/>
    <n v="3"/>
    <n v="3"/>
    <d v="2025-03-15T00:00:00"/>
    <m/>
    <x v="15"/>
    <m/>
    <m/>
    <d v="2025-03-15T00:00:00"/>
    <x v="28"/>
    <s v="chart puschasing"/>
    <s v="in-house"/>
  </r>
  <r>
    <n v="652"/>
    <s v="B556455/A"/>
    <s v="RH9283M408"/>
    <s v="A1-S06"/>
    <n v="3"/>
    <n v="3"/>
    <d v="2025-03-15T00:00:00"/>
    <m/>
    <x v="15"/>
    <m/>
    <m/>
    <d v="2025-03-15T00:00:00"/>
    <x v="28"/>
    <s v="chart puschasing"/>
    <s v="in-house"/>
  </r>
  <r>
    <n v="653"/>
    <s v="B556455/A"/>
    <s v="RH9283M408"/>
    <s v="A1-S03"/>
    <n v="3"/>
    <n v="3"/>
    <d v="2025-03-15T00:00:00"/>
    <m/>
    <x v="15"/>
    <m/>
    <m/>
    <d v="2025-03-15T00:00:00"/>
    <x v="28"/>
    <s v="chart puschasing"/>
    <s v="in-house"/>
  </r>
  <r>
    <n v="654"/>
    <s v="B556455/A"/>
    <s v="RH9283M408"/>
    <s v="A1-S07"/>
    <n v="3"/>
    <n v="3"/>
    <d v="2025-03-15T00:00:00"/>
    <m/>
    <x v="15"/>
    <m/>
    <m/>
    <d v="2025-03-15T00:00:00"/>
    <x v="28"/>
    <s v="chart puschasing"/>
    <s v="in-house"/>
  </r>
  <r>
    <n v="655"/>
    <s v="B556431/A"/>
    <s v="RH9291M415"/>
    <s v="A1-S07"/>
    <n v="11"/>
    <n v="11"/>
    <d v="2025-03-15T00:00:00"/>
    <m/>
    <x v="15"/>
    <m/>
    <m/>
    <d v="2025-03-15T00:00:00"/>
    <x v="28"/>
    <s v="chart puschasing"/>
    <s v="in-house"/>
  </r>
  <r>
    <n v="656"/>
    <s v="B556431/A"/>
    <s v="RH9291M415"/>
    <s v="A2-S07"/>
    <n v="11"/>
    <n v="11"/>
    <d v="2025-03-15T00:00:00"/>
    <m/>
    <x v="15"/>
    <m/>
    <m/>
    <d v="2025-03-15T00:00:00"/>
    <x v="28"/>
    <s v="chart puschasing"/>
    <s v="in-house"/>
  </r>
  <r>
    <n v="657"/>
    <s v="B556431/A"/>
    <s v="RH9291M415"/>
    <s v="A1-S05"/>
    <n v="11"/>
    <n v="11"/>
    <d v="2025-03-15T00:00:00"/>
    <m/>
    <x v="15"/>
    <m/>
    <m/>
    <d v="2025-03-15T00:00:00"/>
    <x v="28"/>
    <s v="chart puschasing"/>
    <s v="in-house"/>
  </r>
  <r>
    <n v="658"/>
    <s v="B556431/A"/>
    <s v="RH9291M415"/>
    <s v="A1-S08"/>
    <n v="11"/>
    <n v="11"/>
    <d v="2025-03-15T00:00:00"/>
    <m/>
    <x v="15"/>
    <m/>
    <m/>
    <d v="2025-03-15T00:00:00"/>
    <x v="28"/>
    <s v="chart puschasing"/>
    <s v="in-house"/>
  </r>
  <r>
    <n v="659"/>
    <s v="B556431/A"/>
    <s v="RH9291M415"/>
    <s v="A2-S05"/>
    <n v="11"/>
    <n v="11"/>
    <d v="2025-03-15T00:00:00"/>
    <m/>
    <x v="15"/>
    <m/>
    <m/>
    <d v="2025-03-15T00:00:00"/>
    <x v="28"/>
    <s v="chart puschasing"/>
    <s v="in-house"/>
  </r>
  <r>
    <n v="660"/>
    <s v="B556431/A"/>
    <s v="RH9291M415"/>
    <s v="A2-S08"/>
    <n v="11"/>
    <n v="11"/>
    <d v="2025-03-15T00:00:00"/>
    <m/>
    <x v="15"/>
    <m/>
    <m/>
    <d v="2025-03-15T00:00:00"/>
    <x v="28"/>
    <s v="chart puschasing"/>
    <s v="in-house"/>
  </r>
  <r>
    <n v="661"/>
    <s v="B556431/A"/>
    <s v="RH9291M415"/>
    <s v="A1-S02"/>
    <n v="11"/>
    <n v="11"/>
    <d v="2025-03-15T00:00:00"/>
    <m/>
    <x v="15"/>
    <m/>
    <m/>
    <d v="2025-03-15T00:00:00"/>
    <x v="28"/>
    <s v="chart puschasing"/>
    <s v="in-house"/>
  </r>
  <r>
    <n v="662"/>
    <s v="B556431/A"/>
    <s v="RH9291M415"/>
    <s v="A2-S02"/>
    <n v="11"/>
    <n v="11"/>
    <d v="2025-03-15T00:00:00"/>
    <m/>
    <x v="15"/>
    <m/>
    <m/>
    <d v="2025-03-15T00:00:00"/>
    <x v="28"/>
    <s v="chart puschasing"/>
    <s v="in-house"/>
  </r>
  <r>
    <n v="663"/>
    <s v="B556433/A"/>
    <s v="RH9291M416"/>
    <s v="A1-S07"/>
    <n v="7"/>
    <n v="7"/>
    <d v="2025-03-15T00:00:00"/>
    <m/>
    <x v="15"/>
    <m/>
    <m/>
    <d v="2025-03-15T00:00:00"/>
    <x v="28"/>
    <s v="chart puschasing"/>
    <s v="in-house"/>
  </r>
  <r>
    <n v="664"/>
    <s v="B556433/A"/>
    <s v="RH9291M416"/>
    <s v="A2-S07"/>
    <n v="7"/>
    <n v="7"/>
    <d v="2025-03-15T00:00:00"/>
    <m/>
    <x v="15"/>
    <m/>
    <m/>
    <d v="2025-03-15T00:00:00"/>
    <x v="28"/>
    <s v="chart puschasing"/>
    <s v="in-house"/>
  </r>
  <r>
    <n v="665"/>
    <s v="B556433/A"/>
    <s v="RH9291M416"/>
    <s v="A1-S02"/>
    <n v="7"/>
    <n v="7"/>
    <d v="2025-03-15T00:00:00"/>
    <m/>
    <x v="15"/>
    <m/>
    <m/>
    <d v="2025-03-15T00:00:00"/>
    <x v="28"/>
    <s v="chart puschasing"/>
    <s v="in-house"/>
  </r>
  <r>
    <n v="666"/>
    <s v="B556433/A"/>
    <s v="RH9291M416"/>
    <s v="A2-S02"/>
    <n v="7"/>
    <n v="7"/>
    <d v="2025-03-15T00:00:00"/>
    <m/>
    <x v="15"/>
    <m/>
    <m/>
    <d v="2025-03-15T00:00:00"/>
    <x v="28"/>
    <s v="chart puschasing"/>
    <s v="in-house"/>
  </r>
  <r>
    <n v="667"/>
    <s v="B556433/A"/>
    <s v="RH9291M416"/>
    <s v="A1-S05"/>
    <n v="7"/>
    <n v="7"/>
    <d v="2025-03-15T00:00:00"/>
    <m/>
    <x v="15"/>
    <m/>
    <m/>
    <d v="2025-03-15T00:00:00"/>
    <x v="28"/>
    <s v="chart puschasing"/>
    <s v="in-house"/>
  </r>
  <r>
    <n v="668"/>
    <s v="B556433/A"/>
    <s v="RH9291M416"/>
    <s v="A1-S08"/>
    <n v="7"/>
    <n v="7"/>
    <d v="2025-03-15T00:00:00"/>
    <m/>
    <x v="15"/>
    <m/>
    <m/>
    <d v="2025-03-15T00:00:00"/>
    <x v="28"/>
    <s v="chart puschasing"/>
    <s v="in-house"/>
  </r>
  <r>
    <n v="669"/>
    <s v="B556433/A"/>
    <s v="RH9291M416"/>
    <s v="A2-S05"/>
    <n v="7"/>
    <n v="7"/>
    <d v="2025-03-15T00:00:00"/>
    <m/>
    <x v="15"/>
    <m/>
    <m/>
    <d v="2025-03-15T00:00:00"/>
    <x v="28"/>
    <s v="chart puschasing"/>
    <s v="in-house"/>
  </r>
  <r>
    <n v="670"/>
    <s v="B556433/A"/>
    <s v="RH9291M416"/>
    <s v="A2-S08"/>
    <n v="7"/>
    <n v="7"/>
    <d v="2025-03-15T00:00:00"/>
    <m/>
    <x v="15"/>
    <m/>
    <m/>
    <d v="2025-03-15T00:00:00"/>
    <x v="28"/>
    <s v="chart puschasing"/>
    <s v="in-house"/>
  </r>
  <r>
    <n v="671"/>
    <s v="B556435/A"/>
    <s v="RH9291M418"/>
    <s v="A1-S07"/>
    <n v="2"/>
    <n v="2"/>
    <d v="2025-03-15T00:00:00"/>
    <m/>
    <x v="15"/>
    <m/>
    <m/>
    <d v="2025-03-15T00:00:00"/>
    <x v="28"/>
    <s v="chart puschasing"/>
    <s v="in-house"/>
  </r>
  <r>
    <n v="672"/>
    <s v="B556435/A"/>
    <s v="RH9291M418"/>
    <s v="A2-S07"/>
    <n v="2"/>
    <n v="2"/>
    <d v="2025-03-15T00:00:00"/>
    <m/>
    <x v="15"/>
    <m/>
    <m/>
    <d v="2025-03-15T00:00:00"/>
    <x v="28"/>
    <s v="chart puschasing"/>
    <s v="in-house"/>
  </r>
  <r>
    <n v="673"/>
    <s v="B556435/A"/>
    <s v="RH9291M418"/>
    <s v="A1-S02"/>
    <n v="2"/>
    <n v="2"/>
    <d v="2025-03-15T00:00:00"/>
    <m/>
    <x v="15"/>
    <m/>
    <m/>
    <d v="2025-03-15T00:00:00"/>
    <x v="28"/>
    <s v="chart puschasing"/>
    <s v="in-house"/>
  </r>
  <r>
    <n v="674"/>
    <s v="B556435/A"/>
    <s v="RH9291M418"/>
    <s v="A2-S02"/>
    <n v="2"/>
    <n v="2"/>
    <d v="2025-03-15T00:00:00"/>
    <m/>
    <x v="15"/>
    <m/>
    <m/>
    <d v="2025-03-15T00:00:00"/>
    <x v="28"/>
    <s v="chart puschasing"/>
    <s v="in-house"/>
  </r>
  <r>
    <n v="675"/>
    <s v="B556435/A"/>
    <s v="RH9291M418"/>
    <s v="A1-S05"/>
    <n v="2"/>
    <n v="2"/>
    <d v="2025-03-15T00:00:00"/>
    <m/>
    <x v="15"/>
    <m/>
    <m/>
    <d v="2025-03-15T00:00:00"/>
    <x v="28"/>
    <s v="chart puschasing"/>
    <s v="in-house"/>
  </r>
  <r>
    <n v="676"/>
    <s v="B556435/A"/>
    <s v="RH9291M418"/>
    <s v="A1-S08"/>
    <n v="2"/>
    <n v="2"/>
    <d v="2025-03-15T00:00:00"/>
    <m/>
    <x v="15"/>
    <m/>
    <m/>
    <d v="2025-03-15T00:00:00"/>
    <x v="28"/>
    <s v="chart puschasing"/>
    <s v="in-house"/>
  </r>
  <r>
    <n v="677"/>
    <s v="B556435/A"/>
    <s v="RH9291M418"/>
    <s v="A2-S05"/>
    <n v="2"/>
    <n v="2"/>
    <d v="2025-03-15T00:00:00"/>
    <m/>
    <x v="15"/>
    <m/>
    <m/>
    <d v="2025-03-15T00:00:00"/>
    <x v="28"/>
    <s v="chart puschasing"/>
    <s v="in-house"/>
  </r>
  <r>
    <n v="678"/>
    <s v="B556435/A"/>
    <s v="RH9291M418"/>
    <s v="A2-S08"/>
    <n v="2"/>
    <n v="2"/>
    <d v="2025-03-15T00:00:00"/>
    <m/>
    <x v="15"/>
    <m/>
    <m/>
    <d v="2025-03-15T00:00:00"/>
    <x v="28"/>
    <s v="chart puschasing"/>
    <s v="in-house"/>
  </r>
  <r>
    <n v="679"/>
    <s v="B556437/A"/>
    <s v="RH9292M415"/>
    <s v="A1-S05"/>
    <n v="1"/>
    <n v="1"/>
    <d v="2025-03-15T00:00:00"/>
    <m/>
    <x v="15"/>
    <m/>
    <m/>
    <d v="2025-03-15T00:00:00"/>
    <x v="28"/>
    <s v="chart puschasing"/>
    <s v="in-house"/>
  </r>
  <r>
    <n v="680"/>
    <s v="B556437/A"/>
    <s v="RH9292M415"/>
    <s v="A2-S05"/>
    <n v="1"/>
    <n v="1"/>
    <d v="2025-03-15T00:00:00"/>
    <m/>
    <x v="15"/>
    <m/>
    <m/>
    <d v="2025-03-15T00:00:00"/>
    <x v="28"/>
    <s v="chart puschasing"/>
    <s v="in-house"/>
  </r>
  <r>
    <n v="681"/>
    <s v="B556437/A"/>
    <s v="RH9292M415"/>
    <s v="A1-S02"/>
    <n v="1"/>
    <n v="1"/>
    <d v="2025-03-15T00:00:00"/>
    <m/>
    <x v="15"/>
    <m/>
    <m/>
    <d v="2025-03-15T00:00:00"/>
    <x v="28"/>
    <s v="chart puschasing"/>
    <s v="in-house"/>
  </r>
  <r>
    <n v="682"/>
    <s v="B556437/A"/>
    <s v="RH9292M415"/>
    <s v="A1-S06"/>
    <n v="1"/>
    <n v="1"/>
    <d v="2025-03-15T00:00:00"/>
    <m/>
    <x v="15"/>
    <m/>
    <m/>
    <d v="2025-03-15T00:00:00"/>
    <x v="28"/>
    <s v="chart puschasing"/>
    <s v="in-house"/>
  </r>
  <r>
    <n v="683"/>
    <s v="B556437/A"/>
    <s v="RH9292M415"/>
    <s v="A2-S02"/>
    <n v="1"/>
    <n v="1"/>
    <d v="2025-03-15T00:00:00"/>
    <m/>
    <x v="15"/>
    <m/>
    <m/>
    <d v="2025-03-15T00:00:00"/>
    <x v="28"/>
    <s v="chart puschasing"/>
    <s v="in-house"/>
  </r>
  <r>
    <n v="684"/>
    <s v="B556437/A"/>
    <s v="RH9292M415"/>
    <s v="A2-S03"/>
    <n v="1"/>
    <n v="1"/>
    <d v="2025-03-15T00:00:00"/>
    <m/>
    <x v="15"/>
    <m/>
    <m/>
    <d v="2025-03-15T00:00:00"/>
    <x v="28"/>
    <s v="chart puschasing"/>
    <s v="in-house"/>
  </r>
  <r>
    <n v="685"/>
    <s v="B556439/A"/>
    <s v="RH9292M416"/>
    <s v="A1-S05"/>
    <n v="11"/>
    <n v="11"/>
    <d v="2025-03-15T00:00:00"/>
    <m/>
    <x v="15"/>
    <m/>
    <m/>
    <d v="2025-03-15T00:00:00"/>
    <x v="28"/>
    <s v="chart puschasing"/>
    <s v="in-house"/>
  </r>
  <r>
    <n v="686"/>
    <s v="B556439/A"/>
    <s v="RH9292M416"/>
    <s v="A2-S05"/>
    <n v="11"/>
    <n v="11"/>
    <d v="2025-03-15T00:00:00"/>
    <m/>
    <x v="15"/>
    <m/>
    <m/>
    <d v="2025-03-15T00:00:00"/>
    <x v="28"/>
    <s v="chart puschasing"/>
    <s v="in-house"/>
  </r>
  <r>
    <n v="687"/>
    <s v="B556439/A"/>
    <s v="RH9292M416"/>
    <s v="A1-S02"/>
    <n v="11"/>
    <n v="11"/>
    <d v="2025-03-15T00:00:00"/>
    <m/>
    <x v="15"/>
    <m/>
    <m/>
    <d v="2025-03-15T00:00:00"/>
    <x v="28"/>
    <s v="chart puschasing"/>
    <s v="in-house"/>
  </r>
  <r>
    <n v="688"/>
    <s v="B556439/A"/>
    <s v="RH9292M416"/>
    <s v="A1-S06"/>
    <n v="11"/>
    <n v="11"/>
    <d v="2025-03-15T00:00:00"/>
    <m/>
    <x v="15"/>
    <m/>
    <m/>
    <d v="2025-03-15T00:00:00"/>
    <x v="28"/>
    <s v="chart puschasing"/>
    <s v="in-house"/>
  </r>
  <r>
    <n v="689"/>
    <s v="B556439/A"/>
    <s v="RH9292M416"/>
    <s v="A2-S02"/>
    <n v="11"/>
    <n v="11"/>
    <d v="2025-03-15T00:00:00"/>
    <m/>
    <x v="15"/>
    <m/>
    <m/>
    <d v="2025-03-15T00:00:00"/>
    <x v="28"/>
    <s v="chart puschasing"/>
    <s v="in-house"/>
  </r>
  <r>
    <n v="690"/>
    <s v="B556439/A"/>
    <s v="RH9292M416"/>
    <s v="A2-S03"/>
    <n v="11"/>
    <n v="11"/>
    <d v="2025-03-15T00:00:00"/>
    <m/>
    <x v="15"/>
    <m/>
    <m/>
    <d v="2025-03-15T00:00:00"/>
    <x v="28"/>
    <s v="chart puschasing"/>
    <s v="in-house"/>
  </r>
  <r>
    <n v="691"/>
    <s v="B556441/A"/>
    <s v="RH9292M418"/>
    <s v="A1-S05"/>
    <n v="3"/>
    <n v="3"/>
    <d v="2025-03-15T00:00:00"/>
    <m/>
    <x v="15"/>
    <m/>
    <m/>
    <d v="2025-03-15T00:00:00"/>
    <x v="28"/>
    <s v="chart puschasing"/>
    <s v="in-house"/>
  </r>
  <r>
    <n v="692"/>
    <s v="B556441/A"/>
    <s v="RH9292M418"/>
    <s v="A2-S05"/>
    <n v="3"/>
    <n v="3"/>
    <d v="2025-03-15T00:00:00"/>
    <m/>
    <x v="15"/>
    <m/>
    <m/>
    <d v="2025-03-15T00:00:00"/>
    <x v="28"/>
    <s v="chart puschasing"/>
    <s v="in-house"/>
  </r>
  <r>
    <n v="693"/>
    <s v="B556441/A"/>
    <s v="RH9292M418"/>
    <s v="A1-S02"/>
    <n v="3"/>
    <n v="3"/>
    <d v="2025-03-15T00:00:00"/>
    <m/>
    <x v="15"/>
    <m/>
    <m/>
    <d v="2025-03-15T00:00:00"/>
    <x v="28"/>
    <s v="chart puschasing"/>
    <s v="in-house"/>
  </r>
  <r>
    <n v="694"/>
    <s v="B556441/A"/>
    <s v="RH9292M418"/>
    <s v="A1-S06"/>
    <n v="3"/>
    <n v="3"/>
    <d v="2025-03-15T00:00:00"/>
    <m/>
    <x v="15"/>
    <m/>
    <m/>
    <d v="2025-03-15T00:00:00"/>
    <x v="28"/>
    <s v="chart puschasing"/>
    <s v="in-house"/>
  </r>
  <r>
    <n v="695"/>
    <s v="B556441/A"/>
    <s v="RH9292M418"/>
    <s v="A2-S02"/>
    <n v="3"/>
    <n v="3"/>
    <d v="2025-03-15T00:00:00"/>
    <m/>
    <x v="15"/>
    <m/>
    <m/>
    <d v="2025-03-15T00:00:00"/>
    <x v="28"/>
    <s v="chart puschasing"/>
    <s v="in-house"/>
  </r>
  <r>
    <n v="696"/>
    <s v="B556441/A"/>
    <s v="RH9292M418"/>
    <s v="A2-S03"/>
    <n v="3"/>
    <n v="3"/>
    <d v="2025-03-15T00:00:00"/>
    <m/>
    <x v="15"/>
    <m/>
    <m/>
    <d v="2025-03-15T00:00:00"/>
    <x v="28"/>
    <s v="chart puschasing"/>
    <s v="in-house"/>
  </r>
  <r>
    <n v="697"/>
    <s v="B556443/A"/>
    <s v="RH9293M415"/>
    <s v="A1-S02"/>
    <n v="23"/>
    <n v="23"/>
    <d v="2025-03-15T00:00:00"/>
    <m/>
    <x v="15"/>
    <m/>
    <m/>
    <d v="2025-03-15T00:00:00"/>
    <x v="28"/>
    <s v="chart puschasing"/>
    <s v="in-house"/>
  </r>
  <r>
    <n v="698"/>
    <s v="B556443/A"/>
    <s v="RH9293M415"/>
    <s v="A1-S03"/>
    <n v="23"/>
    <n v="23"/>
    <d v="2025-03-15T00:00:00"/>
    <m/>
    <x v="15"/>
    <m/>
    <m/>
    <d v="2025-03-15T00:00:00"/>
    <x v="28"/>
    <s v="chart puschasing"/>
    <s v="in-house"/>
  </r>
  <r>
    <n v="699"/>
    <s v="B556445/A"/>
    <s v="RH9293M416"/>
    <s v="A1-S02"/>
    <n v="5"/>
    <n v="5"/>
    <d v="2025-03-15T00:00:00"/>
    <m/>
    <x v="15"/>
    <m/>
    <m/>
    <d v="2025-03-15T00:00:00"/>
    <x v="28"/>
    <s v="chart puschasing"/>
    <s v="in-house"/>
  </r>
  <r>
    <n v="700"/>
    <s v="B556445/A"/>
    <s v="RH9293M416"/>
    <s v="A1-S03"/>
    <n v="5"/>
    <n v="5"/>
    <d v="2025-03-15T00:00:00"/>
    <m/>
    <x v="15"/>
    <m/>
    <m/>
    <d v="2025-03-15T00:00:00"/>
    <x v="28"/>
    <s v="chart puschasing"/>
    <s v="in-house"/>
  </r>
  <r>
    <n v="701"/>
    <s v="B556447/A"/>
    <s v="RH9293M418"/>
    <s v="A1-S03"/>
    <n v="10"/>
    <n v="10"/>
    <d v="2025-03-15T00:00:00"/>
    <m/>
    <x v="15"/>
    <m/>
    <m/>
    <d v="2025-03-15T00:00:00"/>
    <x v="28"/>
    <s v="chart puschasing"/>
    <s v="in-house"/>
  </r>
  <r>
    <n v="702"/>
    <s v="B556447/A"/>
    <s v="RH9293M418"/>
    <s v="A1-S02"/>
    <n v="10"/>
    <n v="10"/>
    <d v="2025-03-15T00:00:00"/>
    <m/>
    <x v="15"/>
    <m/>
    <m/>
    <d v="2025-03-15T00:00:00"/>
    <x v="28"/>
    <s v="chart puschasing"/>
    <s v="in-house"/>
  </r>
  <r>
    <n v="703"/>
    <m/>
    <s v="RH2700F372"/>
    <s v="A1-S00-1"/>
    <n v="16"/>
    <n v="16"/>
    <d v="2025-03-15T00:00:00"/>
    <n v="1"/>
    <x v="12"/>
    <d v="1899-12-30T09:00:00"/>
    <n v="1.0000000000000004"/>
    <d v="2025-03-15T00:00:00"/>
    <x v="28"/>
    <s v="ME"/>
    <m/>
  </r>
  <r>
    <n v="704"/>
    <m/>
    <s v="RH2700F373"/>
    <s v="A1-S00-1"/>
    <n v="26"/>
    <n v="26"/>
    <d v="2025-03-15T00:00:00"/>
    <n v="1"/>
    <x v="12"/>
    <d v="1899-12-30T09:00:00"/>
    <n v="1.0000000000000004"/>
    <d v="2025-03-15T00:00:00"/>
    <x v="28"/>
    <s v="ME"/>
    <m/>
  </r>
  <r>
    <n v="705"/>
    <s v="bảng màu "/>
    <s v="RH005"/>
    <s v="WD-03-119(CẮT GHÉP)"/>
    <n v="10"/>
    <n v="10"/>
    <d v="2025-03-15T00:00:00"/>
    <n v="1"/>
    <x v="14"/>
    <d v="1899-12-30T12:00:00"/>
    <n v="5"/>
    <d v="2025-03-15T00:00:00"/>
    <x v="28"/>
    <s v="Finishing"/>
    <s v="Mr.Sơn"/>
  </r>
  <r>
    <n v="706"/>
    <s v="bảng màu "/>
    <s v="RH005"/>
    <s v="WD-03-185"/>
    <n v="30"/>
    <n v="30"/>
    <d v="2025-03-15T00:00:00"/>
    <n v="1"/>
    <x v="12"/>
    <d v="1899-12-30T09:00:00"/>
    <n v="1.0000000000000004"/>
    <d v="2025-03-15T00:00:00"/>
    <x v="28"/>
    <s v="Finishing"/>
    <s v="Mr.Sơn"/>
  </r>
  <r>
    <n v="707"/>
    <m/>
    <s v="RH2964F244"/>
    <s v="A4-S5 VENEER AS"/>
    <n v="480"/>
    <n v="280"/>
    <d v="2025-03-18T00:00:00"/>
    <n v="4"/>
    <x v="14"/>
    <d v="1899-12-30T19:30:00"/>
    <n v="49.999999999999993"/>
    <d v="2025-03-18T00:00:00"/>
    <x v="29"/>
    <s v="ME"/>
    <m/>
  </r>
  <r>
    <n v="708"/>
    <m/>
    <s v="RH2964F244"/>
    <s v="A4-S5 VENEER AS"/>
    <m/>
    <m/>
    <d v="2025-03-18T00:00:00"/>
    <m/>
    <x v="14"/>
    <d v="1899-12-30T19:30:00"/>
    <n v="0"/>
    <d v="2025-03-18T00:00:00"/>
    <x v="29"/>
    <s v="ME"/>
    <m/>
  </r>
  <r>
    <n v="709"/>
    <m/>
    <s v="RH2964F244"/>
    <s v="A4-S5 VENEER AS"/>
    <m/>
    <m/>
    <d v="2025-03-19T00:00:00"/>
    <m/>
    <x v="14"/>
    <d v="1899-12-30T15:30:00"/>
    <n v="0"/>
    <d v="2025-03-19T00:00:00"/>
    <x v="29"/>
    <s v="ME"/>
    <m/>
  </r>
  <r>
    <n v="710"/>
    <m/>
    <s v="RH2964F244"/>
    <s v="A4-S5 VENEER AS"/>
    <m/>
    <m/>
    <d v="2025-03-19T00:00:00"/>
    <m/>
    <x v="14"/>
    <d v="1899-12-30T15:30:00"/>
    <n v="0"/>
    <d v="2025-03-19T00:00:00"/>
    <x v="29"/>
    <s v="ME"/>
    <m/>
  </r>
  <r>
    <n v="711"/>
    <m/>
    <s v="RH2964F244"/>
    <s v="A4-S5 VENEER AS"/>
    <m/>
    <m/>
    <d v="2025-03-20T00:00:00"/>
    <m/>
    <x v="14"/>
    <d v="1899-12-30T10:00:00"/>
    <n v="0"/>
    <d v="2025-03-20T00:00:00"/>
    <x v="29"/>
    <s v="ME"/>
    <m/>
  </r>
  <r>
    <n v="712"/>
    <m/>
    <s v="RH2964F244"/>
    <s v="A4-S5 VENEER AS"/>
    <m/>
    <m/>
    <d v="2025-03-20T00:00:00"/>
    <m/>
    <x v="14"/>
    <d v="1899-12-30T10:00:00"/>
    <n v="0"/>
    <d v="2025-03-20T00:00:00"/>
    <x v="29"/>
    <s v="ME"/>
    <m/>
  </r>
  <r>
    <n v="713"/>
    <m/>
    <s v="AR191F906"/>
    <s v="A2-S2-2"/>
    <n v="15"/>
    <n v="30"/>
    <d v="2025-03-20T00:00:00"/>
    <n v="1"/>
    <x v="6"/>
    <d v="1899-12-30T13:45:00"/>
    <n v="0.75"/>
    <d v="2025-03-20T00:00:00"/>
    <x v="29"/>
    <s v="Unassigned"/>
    <m/>
  </r>
  <r>
    <n v="714"/>
    <m/>
    <s v="JV035F1165"/>
    <s v="A4-S8"/>
    <n v="3"/>
    <n v="3"/>
    <d v="2025-03-20T00:00:00"/>
    <n v="1"/>
    <x v="6"/>
    <d v="1899-12-30T13:45:00"/>
    <n v="0.75"/>
    <m/>
    <x v="29"/>
    <s v="Unassigned"/>
    <m/>
  </r>
  <r>
    <n v="715"/>
    <m/>
    <s v="AR092F871"/>
    <s v="A7-S1"/>
    <n v="1"/>
    <n v="1"/>
    <d v="2025-03-20T00:00:00"/>
    <n v="1"/>
    <x v="2"/>
    <d v="1899-12-30T10:45:00"/>
    <n v="0.75"/>
    <m/>
    <x v="29"/>
    <s v="MAChining"/>
    <m/>
  </r>
  <r>
    <n v="716"/>
    <m/>
    <s v="RH9902F423"/>
    <s v="A1-S1"/>
    <n v="1"/>
    <n v="1"/>
    <d v="2025-03-20T00:00:00"/>
    <n v="1"/>
    <x v="12"/>
    <d v="1899-12-30T08:45:00"/>
    <n v="0.75"/>
    <d v="2025-03-20T00:00:00"/>
    <x v="29"/>
    <s v="ME"/>
    <s v="làm mẫu (Mr.tú)"/>
  </r>
  <r>
    <n v="717"/>
    <m/>
    <s v="BN2749F355"/>
    <s v="P03"/>
    <n v="2"/>
    <n v="2"/>
    <d v="2025-03-20T00:00:00"/>
    <n v="1"/>
    <x v="12"/>
    <d v="1899-12-30T08:45:00"/>
    <n v="0.75"/>
    <d v="2025-03-20T00:00:00"/>
    <x v="29"/>
    <s v="ME"/>
    <s v="làm mẫu (Mr.tú)"/>
  </r>
  <r>
    <n v="718"/>
    <m/>
    <s v="JV033F1165"/>
    <s v="A2-S7"/>
    <n v="1"/>
    <n v="1"/>
    <d v="2025-03-19T00:00:00"/>
    <n v="5"/>
    <x v="1"/>
    <d v="1899-12-30T09:20:00"/>
    <n v="1.6666666666666674"/>
    <d v="2025-03-19T00:00:00"/>
    <x v="29"/>
    <s v="Unassigned"/>
    <m/>
  </r>
  <r>
    <n v="719"/>
    <m/>
    <s v="RH2578F397"/>
    <s v="P02"/>
    <n v="1"/>
    <n v="1"/>
    <d v="2025-03-18T00:00:00"/>
    <n v="1"/>
    <x v="1"/>
    <d v="1899-12-30T10:00:00"/>
    <n v="1.0000000000000004"/>
    <d v="2025-03-18T00:00:00"/>
    <x v="29"/>
    <s v="Assembly"/>
    <m/>
  </r>
  <r>
    <n v="720"/>
    <m/>
    <s v="RH2802F374"/>
    <s v="P01"/>
    <n v="3"/>
    <n v="3"/>
    <d v="2025-03-18T00:00:00"/>
    <n v="1"/>
    <x v="1"/>
    <d v="1899-12-30T10:00:00"/>
    <n v="1.0000000000000004"/>
    <d v="2025-03-18T00:00:00"/>
    <x v="29"/>
    <s v="Unassigned"/>
    <m/>
  </r>
  <r>
    <n v="721"/>
    <s v="bảng màu "/>
    <s v="RH005"/>
    <s v="WD-03-254"/>
    <n v="30"/>
    <n v="10"/>
    <d v="2025-03-20T00:00:00"/>
    <n v="1"/>
    <x v="6"/>
    <d v="1899-12-30T14:30:00"/>
    <n v="1.5"/>
    <d v="2025-03-20T00:00:00"/>
    <x v="29"/>
    <s v="Finishing"/>
    <s v="Mr.Sơn"/>
  </r>
  <r>
    <n v="722"/>
    <s v="bảng màu "/>
    <s v="RH005"/>
    <s v="WD-03-431"/>
    <n v="30"/>
    <n v="30"/>
    <d v="2025-03-20T00:00:00"/>
    <n v="1"/>
    <x v="6"/>
    <d v="1899-12-30T14:30:00"/>
    <n v="1.5"/>
    <d v="2025-03-20T00:00:00"/>
    <x v="29"/>
    <s v="Finishing"/>
    <s v="Mr.Sơn"/>
  </r>
  <r>
    <n v="723"/>
    <m/>
    <s v="SH207"/>
    <s v="TẠM NGƯNG"/>
    <m/>
    <m/>
    <d v="2025-03-20T00:00:00"/>
    <m/>
    <x v="14"/>
    <d v="1899-12-30T12:00:00"/>
    <n v="0"/>
    <d v="2025-03-20T00:00:00"/>
    <x v="29"/>
    <s v="ME"/>
    <m/>
  </r>
  <r>
    <n v="724"/>
    <s v="B557903/A"/>
    <s v="AR080M871"/>
    <s v="A5-S01"/>
    <e v="#REF!"/>
    <n v="25"/>
    <d v="2025-03-21T00:00:00"/>
    <n v="5"/>
    <x v="14"/>
    <d v="1899-12-30T09:00:00"/>
    <n v="9.9999999999999982"/>
    <d v="2025-03-21T00:00:00"/>
    <x v="29"/>
    <s v="chart puschasing"/>
    <s v="in-house"/>
  </r>
  <r>
    <n v="725"/>
    <s v="B557904/A"/>
    <s v="AR080M871"/>
    <s v="A5-S01"/>
    <e v="#REF!"/>
    <n v="14"/>
    <d v="2025-03-21T00:00:00"/>
    <m/>
    <x v="15"/>
    <m/>
    <m/>
    <d v="2025-03-21T00:00:00"/>
    <x v="29"/>
    <s v="chart puschasing"/>
    <s v="in-house"/>
  </r>
  <r>
    <n v="726"/>
    <s v="B557765/A"/>
    <s v="CZ044NM08"/>
    <s v="A5-S4"/>
    <e v="#REF!"/>
    <n v="50"/>
    <d v="2025-03-21T00:00:00"/>
    <m/>
    <x v="15"/>
    <m/>
    <m/>
    <d v="2025-03-21T00:00:00"/>
    <x v="29"/>
    <s v="chart puschasing"/>
    <s v="in-house"/>
  </r>
  <r>
    <n v="727"/>
    <s v="B557765/A"/>
    <s v="CZ044NM08"/>
    <s v="A6-S4"/>
    <e v="#REF!"/>
    <n v="50"/>
    <d v="2025-03-21T00:00:00"/>
    <m/>
    <x v="15"/>
    <m/>
    <m/>
    <d v="2025-03-21T00:00:00"/>
    <x v="29"/>
    <s v="chart puschasing"/>
    <s v="in-house"/>
  </r>
  <r>
    <n v="728"/>
    <s v="B557767/A"/>
    <s v="CZ044NM09"/>
    <s v="A5-S4"/>
    <e v="#REF!"/>
    <n v="24"/>
    <d v="2025-03-21T00:00:00"/>
    <m/>
    <x v="15"/>
    <m/>
    <m/>
    <d v="2025-03-21T00:00:00"/>
    <x v="29"/>
    <s v="chart puschasing"/>
    <s v="in-house"/>
  </r>
  <r>
    <n v="729"/>
    <s v="B557767/A"/>
    <s v="CZ044NM09"/>
    <s v="A6-S4"/>
    <e v="#REF!"/>
    <n v="24"/>
    <d v="2025-03-21T00:00:00"/>
    <m/>
    <x v="15"/>
    <m/>
    <m/>
    <d v="2025-03-21T00:00:00"/>
    <x v="29"/>
    <s v="chart puschasing"/>
    <s v="in-house"/>
  </r>
  <r>
    <n v="730"/>
    <s v="B557771/A"/>
    <s v="CZ044NM10"/>
    <s v="A5-S4"/>
    <e v="#REF!"/>
    <n v="4"/>
    <d v="2025-03-21T00:00:00"/>
    <m/>
    <x v="15"/>
    <m/>
    <m/>
    <d v="2025-03-21T00:00:00"/>
    <x v="29"/>
    <s v="chart puschasing"/>
    <s v="in-house"/>
  </r>
  <r>
    <n v="731"/>
    <s v="B557771/A"/>
    <s v="CZ044NM10"/>
    <s v="A6-S4"/>
    <e v="#REF!"/>
    <n v="4"/>
    <d v="2025-03-21T00:00:00"/>
    <m/>
    <x v="15"/>
    <m/>
    <m/>
    <d v="2025-03-21T00:00:00"/>
    <x v="29"/>
    <s v="chart puschasing"/>
    <s v="in-house"/>
  </r>
  <r>
    <n v="732"/>
    <s v="B557770/A"/>
    <s v="CZ044NM10"/>
    <s v="A5-S4"/>
    <e v="#REF!"/>
    <n v="4"/>
    <d v="2025-03-21T00:00:00"/>
    <m/>
    <x v="15"/>
    <m/>
    <m/>
    <d v="2025-03-21T00:00:00"/>
    <x v="29"/>
    <s v="chart puschasing"/>
    <s v="in-house"/>
  </r>
  <r>
    <n v="733"/>
    <s v="B557770/A"/>
    <s v="CZ044NM10"/>
    <s v="A6-S4"/>
    <e v="#REF!"/>
    <n v="4"/>
    <d v="2025-03-21T00:00:00"/>
    <m/>
    <x v="15"/>
    <m/>
    <m/>
    <d v="2025-03-21T00:00:00"/>
    <x v="29"/>
    <s v="chart puschasing"/>
    <s v="in-house"/>
  </r>
  <r>
    <n v="734"/>
    <s v="B557775/A"/>
    <s v="CZ044NM191"/>
    <s v="A5-S4"/>
    <e v="#REF!"/>
    <n v="10"/>
    <d v="2025-03-21T00:00:00"/>
    <m/>
    <x v="15"/>
    <m/>
    <m/>
    <d v="2025-03-21T00:00:00"/>
    <x v="29"/>
    <s v="chart puschasing"/>
    <s v="in-house"/>
  </r>
  <r>
    <n v="735"/>
    <s v="B557775/A"/>
    <s v="CZ044NM191"/>
    <s v="A6-S4"/>
    <e v="#REF!"/>
    <n v="10"/>
    <d v="2025-03-21T00:00:00"/>
    <m/>
    <x v="15"/>
    <m/>
    <m/>
    <d v="2025-03-21T00:00:00"/>
    <x v="29"/>
    <s v="chart puschasing"/>
    <s v="in-house"/>
  </r>
  <r>
    <n v="736"/>
    <s v="B557774/A"/>
    <s v="CZ044NM191"/>
    <s v="A5-S4"/>
    <e v="#REF!"/>
    <n v="20"/>
    <d v="2025-03-21T00:00:00"/>
    <m/>
    <x v="15"/>
    <m/>
    <m/>
    <d v="2025-03-21T00:00:00"/>
    <x v="29"/>
    <s v="chart puschasing"/>
    <s v="in-house"/>
  </r>
  <r>
    <n v="737"/>
    <s v="B557774/A"/>
    <s v="CZ044NM191"/>
    <s v="A6-S4"/>
    <e v="#REF!"/>
    <n v="20"/>
    <d v="2025-03-21T00:00:00"/>
    <m/>
    <x v="15"/>
    <m/>
    <m/>
    <d v="2025-03-21T00:00:00"/>
    <x v="29"/>
    <s v="chart puschasing"/>
    <s v="in-house"/>
  </r>
  <r>
    <n v="738"/>
    <s v="B557777/A"/>
    <s v="CZ051M08"/>
    <s v="A6-S4"/>
    <e v="#REF!"/>
    <n v="90"/>
    <d v="2025-03-21T00:00:00"/>
    <m/>
    <x v="15"/>
    <m/>
    <m/>
    <d v="2025-03-21T00:00:00"/>
    <x v="29"/>
    <s v="chart puschasing"/>
    <s v="in-house"/>
  </r>
  <r>
    <n v="739"/>
    <s v="B557779/A"/>
    <s v="CZ051M09"/>
    <s v="A6-S4"/>
    <e v="#REF!"/>
    <n v="46"/>
    <d v="2025-03-21T00:00:00"/>
    <m/>
    <x v="15"/>
    <m/>
    <m/>
    <d v="2025-03-21T00:00:00"/>
    <x v="29"/>
    <s v="chart puschasing"/>
    <s v="in-house"/>
  </r>
  <r>
    <n v="740"/>
    <s v="B557783/A"/>
    <s v="CZ051M10"/>
    <s v="A6-S4"/>
    <e v="#REF!"/>
    <n v="8"/>
    <d v="2025-03-21T00:00:00"/>
    <m/>
    <x v="15"/>
    <m/>
    <m/>
    <d v="2025-03-21T00:00:00"/>
    <x v="29"/>
    <s v="chart puschasing"/>
    <s v="in-house"/>
  </r>
  <r>
    <n v="741"/>
    <s v="B557782/A"/>
    <s v="CZ051M10"/>
    <s v="A6-S4"/>
    <e v="#REF!"/>
    <n v="10"/>
    <d v="2025-03-21T00:00:00"/>
    <m/>
    <x v="15"/>
    <m/>
    <m/>
    <d v="2025-03-21T00:00:00"/>
    <x v="29"/>
    <s v="chart puschasing"/>
    <s v="in-house"/>
  </r>
  <r>
    <n v="742"/>
    <s v="B557787/A"/>
    <s v="CZ051M191"/>
    <s v="A6-S4"/>
    <e v="#REF!"/>
    <n v="22"/>
    <d v="2025-03-21T00:00:00"/>
    <m/>
    <x v="15"/>
    <m/>
    <m/>
    <d v="2025-03-21T00:00:00"/>
    <x v="29"/>
    <s v="chart puschasing"/>
    <s v="in-house"/>
  </r>
  <r>
    <n v="743"/>
    <s v="B557894/A"/>
    <s v="CZ052M09"/>
    <s v="A6-S4"/>
    <e v="#REF!"/>
    <n v="2"/>
    <d v="2025-03-21T00:00:00"/>
    <m/>
    <x v="15"/>
    <m/>
    <m/>
    <d v="2025-03-21T00:00:00"/>
    <x v="29"/>
    <s v="chart puschasing"/>
    <s v="in-house"/>
  </r>
  <r>
    <n v="744"/>
    <s v="B557896/A"/>
    <s v="CZ052M191"/>
    <s v="A6-S4"/>
    <e v="#REF!"/>
    <n v="40"/>
    <d v="2025-03-21T00:00:00"/>
    <m/>
    <x v="15"/>
    <m/>
    <m/>
    <d v="2025-03-21T00:00:00"/>
    <x v="29"/>
    <s v="chart puschasing"/>
    <s v="in-house"/>
  </r>
  <r>
    <n v="745"/>
    <s v="B557798/A"/>
    <s v="CZ069M08"/>
    <s v="A3-S4"/>
    <e v="#REF!"/>
    <n v="44"/>
    <d v="2025-03-21T00:00:00"/>
    <m/>
    <x v="15"/>
    <m/>
    <m/>
    <d v="2025-03-21T00:00:00"/>
    <x v="29"/>
    <s v="chart puschasing"/>
    <s v="in-house"/>
  </r>
  <r>
    <n v="746"/>
    <s v="B557799/A"/>
    <s v="CZ069M08"/>
    <s v="A3-S4"/>
    <e v="#REF!"/>
    <n v="22"/>
    <d v="2025-03-21T00:00:00"/>
    <m/>
    <x v="15"/>
    <m/>
    <m/>
    <d v="2025-03-21T00:00:00"/>
    <x v="29"/>
    <s v="chart puschasing"/>
    <s v="in-house"/>
  </r>
  <r>
    <n v="747"/>
    <s v="B557801/A"/>
    <s v="CZ069M09"/>
    <s v="A3-S4"/>
    <e v="#REF!"/>
    <n v="2"/>
    <d v="2025-03-21T00:00:00"/>
    <m/>
    <x v="15"/>
    <m/>
    <m/>
    <d v="2025-03-21T00:00:00"/>
    <x v="29"/>
    <s v="chart puschasing"/>
    <s v="in-house"/>
  </r>
  <r>
    <n v="748"/>
    <s v="B557807/A"/>
    <s v="CZ069M191"/>
    <s v="A3-S4"/>
    <e v="#REF!"/>
    <n v="10"/>
    <d v="2025-03-21T00:00:00"/>
    <m/>
    <x v="15"/>
    <m/>
    <m/>
    <d v="2025-03-21T00:00:00"/>
    <x v="29"/>
    <s v="chart puschasing"/>
    <s v="in-house"/>
  </r>
  <r>
    <n v="749"/>
    <s v="B557806/A"/>
    <s v="CZ069M191"/>
    <s v="A3-S4"/>
    <e v="#REF!"/>
    <n v="20"/>
    <d v="2025-03-21T00:00:00"/>
    <m/>
    <x v="15"/>
    <m/>
    <m/>
    <d v="2025-03-21T00:00:00"/>
    <x v="29"/>
    <s v="chart puschasing"/>
    <s v="in-house"/>
  </r>
  <r>
    <n v="750"/>
    <s v="B557823/A"/>
    <s v="CZ129M08"/>
    <s v="A3-S4"/>
    <e v="#REF!"/>
    <n v="50"/>
    <d v="2025-03-21T00:00:00"/>
    <m/>
    <x v="15"/>
    <m/>
    <m/>
    <d v="2025-03-21T00:00:00"/>
    <x v="29"/>
    <s v="chart puschasing"/>
    <s v="in-house"/>
  </r>
  <r>
    <n v="751"/>
    <s v="B557825/A"/>
    <s v="CZ129M09"/>
    <s v="A3-S4"/>
    <e v="#REF!"/>
    <n v="30"/>
    <d v="2025-03-21T00:00:00"/>
    <m/>
    <x v="15"/>
    <m/>
    <m/>
    <d v="2025-03-21T00:00:00"/>
    <x v="29"/>
    <s v="chart puschasing"/>
    <s v="in-house"/>
  </r>
  <r>
    <n v="752"/>
    <s v="B557828/A"/>
    <s v="CZ129M10"/>
    <s v="A3-S4"/>
    <e v="#REF!"/>
    <n v="4"/>
    <d v="2025-03-21T00:00:00"/>
    <m/>
    <x v="15"/>
    <m/>
    <m/>
    <d v="2025-03-21T00:00:00"/>
    <x v="29"/>
    <s v="chart puschasing"/>
    <s v="in-house"/>
  </r>
  <r>
    <n v="753"/>
    <s v="B557829/A"/>
    <s v="CZ129M10"/>
    <s v="A3-S4"/>
    <e v="#REF!"/>
    <n v="4"/>
    <d v="2025-03-21T00:00:00"/>
    <m/>
    <x v="15"/>
    <m/>
    <m/>
    <d v="2025-03-21T00:00:00"/>
    <x v="29"/>
    <s v="chart puschasing"/>
    <s v="in-house"/>
  </r>
  <r>
    <n v="754"/>
    <s v="B557849/A"/>
    <s v="CZ551M09"/>
    <s v="P10"/>
    <e v="#REF!"/>
    <n v="100"/>
    <d v="2025-03-21T00:00:00"/>
    <m/>
    <x v="15"/>
    <m/>
    <m/>
    <d v="2025-03-21T00:00:00"/>
    <x v="29"/>
    <s v="chart puschasing"/>
    <s v="in-house"/>
  </r>
  <r>
    <n v="755"/>
    <s v="B557850/A"/>
    <s v="CZ551M09"/>
    <s v="P10"/>
    <e v="#REF!"/>
    <n v="6"/>
    <d v="2025-03-21T00:00:00"/>
    <m/>
    <x v="15"/>
    <m/>
    <m/>
    <d v="2025-03-21T00:00:00"/>
    <x v="29"/>
    <s v="chart puschasing"/>
    <s v="in-house"/>
  </r>
  <r>
    <n v="756"/>
    <s v="B557849/A"/>
    <s v="CZ551M09"/>
    <s v="A6-S4"/>
    <e v="#REF!"/>
    <n v="100"/>
    <d v="2025-03-21T00:00:00"/>
    <m/>
    <x v="15"/>
    <m/>
    <m/>
    <d v="2025-03-21T00:00:00"/>
    <x v="29"/>
    <s v="chart puschasing"/>
    <s v="in-house"/>
  </r>
  <r>
    <n v="757"/>
    <s v="B557850/A"/>
    <s v="CZ551M09"/>
    <s v="A6-S4"/>
    <e v="#REF!"/>
    <n v="6"/>
    <d v="2025-03-21T00:00:00"/>
    <m/>
    <x v="15"/>
    <m/>
    <m/>
    <d v="2025-03-21T00:00:00"/>
    <x v="29"/>
    <s v="chart puschasing"/>
    <s v="in-house"/>
  </r>
  <r>
    <n v="758"/>
    <s v="B557854/A"/>
    <s v="CZ551M10"/>
    <s v="P10"/>
    <e v="#REF!"/>
    <n v="46"/>
    <d v="2025-03-21T00:00:00"/>
    <m/>
    <x v="15"/>
    <m/>
    <m/>
    <d v="2025-03-21T00:00:00"/>
    <x v="29"/>
    <s v="chart puschasing"/>
    <s v="in-house"/>
  </r>
  <r>
    <n v="759"/>
    <s v="B557853/A"/>
    <s v="CZ551M10"/>
    <s v="P10"/>
    <e v="#REF!"/>
    <n v="40"/>
    <d v="2025-03-21T00:00:00"/>
    <m/>
    <x v="15"/>
    <m/>
    <m/>
    <d v="2025-03-21T00:00:00"/>
    <x v="29"/>
    <s v="chart puschasing"/>
    <s v="in-house"/>
  </r>
  <r>
    <n v="760"/>
    <s v="B557854/A"/>
    <s v="CZ551M10"/>
    <s v="A6-S4"/>
    <e v="#REF!"/>
    <n v="46"/>
    <d v="2025-03-21T00:00:00"/>
    <m/>
    <x v="15"/>
    <m/>
    <m/>
    <d v="2025-03-21T00:00:00"/>
    <x v="29"/>
    <s v="chart puschasing"/>
    <s v="in-house"/>
  </r>
  <r>
    <n v="761"/>
    <s v="B557853/A"/>
    <s v="CZ551M10"/>
    <s v="A6-S4"/>
    <e v="#REF!"/>
    <n v="40"/>
    <d v="2025-03-21T00:00:00"/>
    <m/>
    <x v="15"/>
    <m/>
    <m/>
    <d v="2025-03-21T00:00:00"/>
    <x v="29"/>
    <s v="chart puschasing"/>
    <s v="in-house"/>
  </r>
  <r>
    <n v="762"/>
    <s v="B557858/A"/>
    <s v="CZ551M191"/>
    <s v="P10"/>
    <e v="#REF!"/>
    <n v="6"/>
    <d v="2025-03-21T00:00:00"/>
    <m/>
    <x v="15"/>
    <m/>
    <m/>
    <d v="2025-03-21T00:00:00"/>
    <x v="29"/>
    <s v="chart puschasing"/>
    <s v="in-house"/>
  </r>
  <r>
    <n v="763"/>
    <s v="B557857/A"/>
    <s v="CZ551M191"/>
    <s v="P10"/>
    <e v="#REF!"/>
    <n v="14"/>
    <d v="2025-03-21T00:00:00"/>
    <m/>
    <x v="15"/>
    <m/>
    <m/>
    <d v="2025-03-21T00:00:00"/>
    <x v="29"/>
    <s v="chart puschasing"/>
    <s v="in-house"/>
  </r>
  <r>
    <n v="764"/>
    <s v="B557858/A"/>
    <s v="CZ551M191"/>
    <s v="A6-S4"/>
    <e v="#REF!"/>
    <n v="6"/>
    <d v="2025-03-21T00:00:00"/>
    <m/>
    <x v="15"/>
    <m/>
    <m/>
    <d v="2025-03-21T00:00:00"/>
    <x v="29"/>
    <s v="chart puschasing"/>
    <s v="in-house"/>
  </r>
  <r>
    <n v="765"/>
    <s v="B557857/A"/>
    <s v="CZ551M191"/>
    <s v="A6-S4"/>
    <e v="#REF!"/>
    <n v="14"/>
    <d v="2025-03-21T00:00:00"/>
    <m/>
    <x v="15"/>
    <m/>
    <m/>
    <d v="2025-03-21T00:00:00"/>
    <x v="29"/>
    <s v="chart puschasing"/>
    <s v="in-house"/>
  </r>
  <r>
    <n v="766"/>
    <s v="B557862/A"/>
    <s v="CZ557NM09"/>
    <s v="A04-S04"/>
    <e v="#REF!"/>
    <n v="26"/>
    <d v="2025-03-21T00:00:00"/>
    <m/>
    <x v="15"/>
    <m/>
    <m/>
    <d v="2025-03-21T00:00:00"/>
    <x v="29"/>
    <s v="chart puschasing"/>
    <s v="in-house"/>
  </r>
  <r>
    <n v="767"/>
    <s v="B557861/A"/>
    <s v="CZ557NM09"/>
    <s v="A04-S04"/>
    <e v="#REF!"/>
    <n v="54"/>
    <d v="2025-03-21T00:00:00"/>
    <m/>
    <x v="15"/>
    <m/>
    <m/>
    <d v="2025-03-21T00:00:00"/>
    <x v="29"/>
    <s v="chart puschasing"/>
    <s v="in-house"/>
  </r>
  <r>
    <n v="768"/>
    <s v="B556620/A"/>
    <s v="CZ557NM10"/>
    <s v="A04-S04"/>
    <e v="#REF!"/>
    <n v="4"/>
    <d v="2025-03-21T00:00:00"/>
    <m/>
    <x v="15"/>
    <m/>
    <m/>
    <d v="2025-03-21T00:00:00"/>
    <x v="29"/>
    <s v="chart puschasing"/>
    <s v="in-house"/>
  </r>
  <r>
    <n v="769"/>
    <s v="B557866/A"/>
    <s v="CZ568M08"/>
    <s v="A3-S4"/>
    <e v="#REF!"/>
    <n v="36"/>
    <d v="2025-03-21T00:00:00"/>
    <m/>
    <x v="15"/>
    <m/>
    <m/>
    <d v="2025-03-21T00:00:00"/>
    <x v="29"/>
    <s v="chart puschasing"/>
    <s v="in-house"/>
  </r>
  <r>
    <n v="770"/>
    <s v="B557865/A"/>
    <s v="CZ568M08"/>
    <s v="A3-S4"/>
    <e v="#REF!"/>
    <n v="74"/>
    <d v="2025-03-21T00:00:00"/>
    <m/>
    <x v="15"/>
    <m/>
    <m/>
    <d v="2025-03-21T00:00:00"/>
    <x v="29"/>
    <s v="chart puschasing"/>
    <s v="in-house"/>
  </r>
  <r>
    <n v="771"/>
    <s v="B557870/A"/>
    <s v="CZ568M09"/>
    <s v="A3-S4"/>
    <e v="#REF!"/>
    <n v="2"/>
    <d v="2025-03-21T00:00:00"/>
    <m/>
    <x v="15"/>
    <m/>
    <m/>
    <d v="2025-03-21T00:00:00"/>
    <x v="29"/>
    <s v="chart puschasing"/>
    <s v="in-house"/>
  </r>
  <r>
    <n v="772"/>
    <s v="B557869/A"/>
    <s v="CZ568M09"/>
    <s v="A3-S4"/>
    <e v="#REF!"/>
    <n v="4"/>
    <d v="2025-03-21T00:00:00"/>
    <m/>
    <x v="15"/>
    <m/>
    <m/>
    <d v="2025-03-21T00:00:00"/>
    <x v="29"/>
    <s v="chart puschasing"/>
    <s v="in-house"/>
  </r>
  <r>
    <n v="773"/>
    <s v="B557872/A"/>
    <s v="CZ568M191"/>
    <s v="A3-S4"/>
    <e v="#REF!"/>
    <n v="2"/>
    <d v="2025-03-21T00:00:00"/>
    <m/>
    <x v="15"/>
    <m/>
    <m/>
    <d v="2025-03-21T00:00:00"/>
    <x v="29"/>
    <s v="chart puschasing"/>
    <s v="in-house"/>
  </r>
  <r>
    <n v="774"/>
    <s v="B558294/A"/>
    <s v="RH10275M342"/>
    <s v="P03"/>
    <e v="#REF!"/>
    <n v="32"/>
    <d v="2025-03-21T00:00:00"/>
    <m/>
    <x v="15"/>
    <m/>
    <m/>
    <d v="2025-03-21T00:00:00"/>
    <x v="29"/>
    <s v="chart puschasing"/>
    <s v="in-house"/>
  </r>
  <r>
    <n v="775"/>
    <s v="B558296/A"/>
    <s v="RH10276M342"/>
    <s v="P03"/>
    <e v="#REF!"/>
    <n v="20"/>
    <d v="2025-03-21T00:00:00"/>
    <m/>
    <x v="15"/>
    <m/>
    <m/>
    <d v="2025-03-21T00:00:00"/>
    <x v="29"/>
    <s v="chart puschasing"/>
    <s v="in-house"/>
  </r>
  <r>
    <n v="776"/>
    <s v="B558298/A"/>
    <s v="RH10277M342"/>
    <s v="P03"/>
    <e v="#REF!"/>
    <n v="22"/>
    <d v="2025-03-21T00:00:00"/>
    <m/>
    <x v="15"/>
    <m/>
    <m/>
    <d v="2025-03-21T00:00:00"/>
    <x v="29"/>
    <s v="chart puschasing"/>
    <s v="in-house"/>
  </r>
  <r>
    <n v="777"/>
    <s v="B558300/A"/>
    <s v="RH10278M342"/>
    <s v="P03"/>
    <e v="#REF!"/>
    <n v="32"/>
    <d v="2025-03-21T00:00:00"/>
    <m/>
    <x v="15"/>
    <m/>
    <m/>
    <d v="2025-03-21T00:00:00"/>
    <x v="29"/>
    <s v="chart puschasing"/>
    <s v="in-house"/>
  </r>
  <r>
    <n v="778"/>
    <s v="B558225/A"/>
    <s v="RH2021M95"/>
    <s v="A3-S14"/>
    <e v="#REF!"/>
    <n v="35"/>
    <d v="2025-03-21T00:00:00"/>
    <m/>
    <x v="15"/>
    <m/>
    <m/>
    <d v="2025-03-21T00:00:00"/>
    <x v="29"/>
    <s v="chart puschasing"/>
    <s v="in-house"/>
  </r>
  <r>
    <n v="779"/>
    <s v="B558226/A"/>
    <s v="RH2021M95"/>
    <s v="A3-S14"/>
    <e v="#REF!"/>
    <n v="17"/>
    <d v="2025-03-21T00:00:00"/>
    <m/>
    <x v="15"/>
    <m/>
    <m/>
    <d v="2025-03-21T00:00:00"/>
    <x v="29"/>
    <s v="chart puschasing"/>
    <s v="in-house"/>
  </r>
  <r>
    <n v="780"/>
    <s v="B558321/A"/>
    <s v="RH3494M29"/>
    <s v="A1-S13"/>
    <e v="#REF!"/>
    <n v="20"/>
    <d v="2025-03-21T00:00:00"/>
    <m/>
    <x v="15"/>
    <m/>
    <m/>
    <d v="2025-03-21T00:00:00"/>
    <x v="29"/>
    <s v="chart puschasing"/>
    <s v="in-house"/>
  </r>
  <r>
    <n v="781"/>
    <s v="B558321/A"/>
    <s v="RH3494M29"/>
    <s v="A1-S13-1"/>
    <e v="#REF!"/>
    <n v="20"/>
    <d v="2025-03-21T00:00:00"/>
    <m/>
    <x v="15"/>
    <m/>
    <m/>
    <d v="2025-03-21T00:00:00"/>
    <x v="29"/>
    <s v="chart puschasing"/>
    <s v="in-house"/>
  </r>
  <r>
    <n v="782"/>
    <s v="B558321/A"/>
    <s v="RH3494M29"/>
    <s v="A2-S08"/>
    <e v="#REF!"/>
    <n v="20"/>
    <d v="2025-03-21T00:00:00"/>
    <m/>
    <x v="15"/>
    <m/>
    <m/>
    <d v="2025-03-21T00:00:00"/>
    <x v="29"/>
    <s v="chart puschasing"/>
    <s v="in-house"/>
  </r>
  <r>
    <n v="783"/>
    <s v="B558322/A"/>
    <s v="RH3494M29"/>
    <s v="A1-S13"/>
    <e v="#REF!"/>
    <n v="10"/>
    <d v="2025-03-21T00:00:00"/>
    <m/>
    <x v="15"/>
    <m/>
    <m/>
    <d v="2025-03-21T00:00:00"/>
    <x v="29"/>
    <s v="chart puschasing"/>
    <s v="in-house"/>
  </r>
  <r>
    <n v="784"/>
    <s v="B558322/A"/>
    <s v="RH3494M29"/>
    <s v="A1-S13-1"/>
    <e v="#REF!"/>
    <n v="10"/>
    <d v="2025-03-21T00:00:00"/>
    <m/>
    <x v="15"/>
    <m/>
    <m/>
    <d v="2025-03-21T00:00:00"/>
    <x v="29"/>
    <s v="chart puschasing"/>
    <s v="in-house"/>
  </r>
  <r>
    <n v="785"/>
    <s v="B558322/A"/>
    <s v="RH3494M29"/>
    <s v="A2-S08"/>
    <e v="#REF!"/>
    <n v="10"/>
    <d v="2025-03-21T00:00:00"/>
    <m/>
    <x v="15"/>
    <m/>
    <m/>
    <d v="2025-03-21T00:00:00"/>
    <x v="29"/>
    <s v="chart puschasing"/>
    <s v="in-house"/>
  </r>
  <r>
    <n v="786"/>
    <s v="B558160/A"/>
    <s v="RH4095M112"/>
    <s v="A7-S5"/>
    <e v="#REF!"/>
    <n v="20"/>
    <d v="2025-03-21T00:00:00"/>
    <m/>
    <x v="15"/>
    <m/>
    <m/>
    <d v="2025-03-21T00:00:00"/>
    <x v="29"/>
    <s v="chart puschasing"/>
    <s v="in-house"/>
  </r>
  <r>
    <n v="787"/>
    <s v="B558163/A"/>
    <s v="RH4095M152"/>
    <s v="A7-S5"/>
    <e v="#REF!"/>
    <n v="20"/>
    <d v="2025-03-21T00:00:00"/>
    <m/>
    <x v="15"/>
    <m/>
    <m/>
    <d v="2025-03-21T00:00:00"/>
    <x v="29"/>
    <s v="chart puschasing"/>
    <s v="in-house"/>
  </r>
  <r>
    <n v="788"/>
    <s v="B558164/A"/>
    <s v="RH4095M152"/>
    <s v="A7-S5"/>
    <e v="#REF!"/>
    <n v="10"/>
    <d v="2025-03-21T00:00:00"/>
    <m/>
    <x v="15"/>
    <m/>
    <m/>
    <d v="2025-03-21T00:00:00"/>
    <x v="29"/>
    <s v="chart puschasing"/>
    <s v="in-house"/>
  </r>
  <r>
    <n v="789"/>
    <s v="B558338/A"/>
    <s v="RH6352M29"/>
    <s v="p03"/>
    <e v="#REF!"/>
    <n v="88"/>
    <d v="2025-03-21T00:00:00"/>
    <m/>
    <x v="15"/>
    <m/>
    <m/>
    <d v="2025-03-21T00:00:00"/>
    <x v="29"/>
    <s v="chart puschasing"/>
    <s v="in-house"/>
  </r>
  <r>
    <n v="790"/>
    <s v="B558338/A"/>
    <s v="RH6352M29"/>
    <s v="p03-1"/>
    <e v="#REF!"/>
    <n v="88"/>
    <d v="2025-03-21T00:00:00"/>
    <m/>
    <x v="15"/>
    <m/>
    <m/>
    <d v="2025-03-21T00:00:00"/>
    <x v="29"/>
    <s v="chart puschasing"/>
    <s v="in-house"/>
  </r>
  <r>
    <n v="791"/>
    <s v="B558338/A"/>
    <s v="RH6352M29"/>
    <s v="p04"/>
    <e v="#REF!"/>
    <n v="88"/>
    <d v="2025-03-21T00:00:00"/>
    <m/>
    <x v="15"/>
    <m/>
    <m/>
    <d v="2025-03-21T00:00:00"/>
    <x v="29"/>
    <s v="chart puschasing"/>
    <s v="in-house"/>
  </r>
  <r>
    <n v="792"/>
    <s v="B558337/A"/>
    <s v="RH6352M29"/>
    <s v="p03"/>
    <e v="#REF!"/>
    <n v="130"/>
    <d v="2025-03-21T00:00:00"/>
    <m/>
    <x v="15"/>
    <m/>
    <m/>
    <d v="2025-03-21T00:00:00"/>
    <x v="29"/>
    <s v="chart puschasing"/>
    <s v="in-house"/>
  </r>
  <r>
    <n v="793"/>
    <s v="B558337/A"/>
    <s v="RH6352M29"/>
    <s v="p03-1"/>
    <e v="#REF!"/>
    <n v="130"/>
    <d v="2025-03-21T00:00:00"/>
    <m/>
    <x v="15"/>
    <m/>
    <m/>
    <d v="2025-03-21T00:00:00"/>
    <x v="29"/>
    <s v="chart puschasing"/>
    <s v="in-house"/>
  </r>
  <r>
    <n v="794"/>
    <s v="B558337/A"/>
    <s v="RH6352M29"/>
    <s v="p04"/>
    <e v="#REF!"/>
    <n v="130"/>
    <d v="2025-03-21T00:00:00"/>
    <m/>
    <x v="15"/>
    <m/>
    <m/>
    <d v="2025-03-21T00:00:00"/>
    <x v="29"/>
    <s v="chart puschasing"/>
    <s v="in-house"/>
  </r>
  <r>
    <n v="795"/>
    <s v="B558378/A"/>
    <s v="RH9046M398"/>
    <s v="A3-S11"/>
    <e v="#REF!"/>
    <n v="12"/>
    <d v="2025-03-21T00:00:00"/>
    <m/>
    <x v="15"/>
    <m/>
    <m/>
    <d v="2025-03-21T00:00:00"/>
    <x v="29"/>
    <s v="chart puschasing"/>
    <s v="in-house"/>
  </r>
  <r>
    <n v="796"/>
    <s v="B558380/A"/>
    <s v="RH9046M410"/>
    <s v="A3-S11"/>
    <e v="#REF!"/>
    <n v="3"/>
    <d v="2025-03-21T00:00:00"/>
    <m/>
    <x v="15"/>
    <m/>
    <m/>
    <d v="2025-03-21T00:00:00"/>
    <x v="29"/>
    <s v="chart puschasing"/>
    <s v="in-house"/>
  </r>
  <r>
    <n v="797"/>
    <s v="B557765/A"/>
    <s v="CZ044NM08"/>
    <s v="A5-S2"/>
    <e v="#REF!"/>
    <n v="50"/>
    <d v="2025-03-21T00:00:00"/>
    <m/>
    <x v="15"/>
    <m/>
    <m/>
    <d v="2025-03-21T00:00:00"/>
    <x v="29"/>
    <s v="chart puschasing"/>
    <s v="in-house"/>
  </r>
  <r>
    <n v="798"/>
    <s v="B557767/A"/>
    <s v="CZ044NM09"/>
    <s v="A5-S2"/>
    <e v="#REF!"/>
    <n v="24"/>
    <d v="2025-03-21T00:00:00"/>
    <m/>
    <x v="15"/>
    <m/>
    <m/>
    <d v="2025-03-21T00:00:00"/>
    <x v="29"/>
    <s v="chart puschasing"/>
    <s v="in-house"/>
  </r>
  <r>
    <n v="799"/>
    <s v="B557771/A"/>
    <s v="CZ044NM10"/>
    <s v="A5-S2"/>
    <e v="#REF!"/>
    <n v="4"/>
    <d v="2025-03-21T00:00:00"/>
    <m/>
    <x v="15"/>
    <m/>
    <m/>
    <d v="2025-03-21T00:00:00"/>
    <x v="29"/>
    <s v="chart puschasing"/>
    <s v="in-house"/>
  </r>
  <r>
    <n v="800"/>
    <s v="B557770/A"/>
    <s v="CZ044NM10"/>
    <s v="A5-S2"/>
    <e v="#REF!"/>
    <n v="4"/>
    <d v="2025-03-21T00:00:00"/>
    <m/>
    <x v="15"/>
    <m/>
    <m/>
    <d v="2025-03-21T00:00:00"/>
    <x v="29"/>
    <s v="chart puschasing"/>
    <s v="in-house"/>
  </r>
  <r>
    <n v="801"/>
    <s v="B557775/A"/>
    <s v="CZ044NM191"/>
    <s v="A5-S2"/>
    <e v="#REF!"/>
    <n v="10"/>
    <d v="2025-03-21T00:00:00"/>
    <m/>
    <x v="15"/>
    <m/>
    <m/>
    <d v="2025-03-21T00:00:00"/>
    <x v="29"/>
    <s v="chart puschasing"/>
    <s v="in-house"/>
  </r>
  <r>
    <n v="802"/>
    <s v="B557774/A"/>
    <s v="CZ044NM191"/>
    <s v="A5-S2"/>
    <e v="#REF!"/>
    <n v="20"/>
    <d v="2025-03-21T00:00:00"/>
    <m/>
    <x v="15"/>
    <m/>
    <m/>
    <d v="2025-03-21T00:00:00"/>
    <x v="29"/>
    <s v="chart puschasing"/>
    <s v="in-house"/>
  </r>
  <r>
    <n v="803"/>
    <s v="B557777/A"/>
    <s v="CZ051M08"/>
    <s v="A6-S2"/>
    <e v="#REF!"/>
    <n v="90"/>
    <d v="2025-03-21T00:00:00"/>
    <m/>
    <x v="15"/>
    <m/>
    <m/>
    <d v="2025-03-21T00:00:00"/>
    <x v="29"/>
    <s v="chart puschasing"/>
    <s v="in-house"/>
  </r>
  <r>
    <n v="804"/>
    <s v="B557779/A"/>
    <s v="CZ051M09"/>
    <s v="A6-S2"/>
    <e v="#REF!"/>
    <n v="46"/>
    <d v="2025-03-21T00:00:00"/>
    <m/>
    <x v="15"/>
    <m/>
    <m/>
    <d v="2025-03-21T00:00:00"/>
    <x v="29"/>
    <s v="chart puschasing"/>
    <s v="in-house"/>
  </r>
  <r>
    <n v="805"/>
    <s v="B557783/A"/>
    <s v="CZ051M10"/>
    <s v="A6-S2"/>
    <e v="#REF!"/>
    <n v="8"/>
    <d v="2025-03-21T00:00:00"/>
    <m/>
    <x v="15"/>
    <m/>
    <m/>
    <d v="2025-03-21T00:00:00"/>
    <x v="29"/>
    <s v="chart puschasing"/>
    <s v="in-house"/>
  </r>
  <r>
    <n v="806"/>
    <s v="B557782/A"/>
    <s v="CZ051M10"/>
    <s v="A6-S2"/>
    <e v="#REF!"/>
    <n v="10"/>
    <d v="2025-03-21T00:00:00"/>
    <m/>
    <x v="15"/>
    <m/>
    <m/>
    <d v="2025-03-21T00:00:00"/>
    <x v="29"/>
    <s v="chart puschasing"/>
    <s v="in-house"/>
  </r>
  <r>
    <n v="807"/>
    <s v="B557787/A"/>
    <s v="CZ051M191"/>
    <s v="A6-S2"/>
    <e v="#REF!"/>
    <n v="22"/>
    <d v="2025-03-21T00:00:00"/>
    <m/>
    <x v="15"/>
    <m/>
    <m/>
    <d v="2025-03-21T00:00:00"/>
    <x v="29"/>
    <s v="chart puschasing"/>
    <s v="in-house"/>
  </r>
  <r>
    <n v="808"/>
    <s v="B557894/A"/>
    <s v="CZ052M09"/>
    <s v="A6-S2"/>
    <e v="#REF!"/>
    <n v="2"/>
    <d v="2025-03-21T00:00:00"/>
    <m/>
    <x v="15"/>
    <m/>
    <m/>
    <d v="2025-03-21T00:00:00"/>
    <x v="29"/>
    <s v="chart puschasing"/>
    <s v="in-house"/>
  </r>
  <r>
    <n v="809"/>
    <s v="B557896/A"/>
    <s v="CZ052M191"/>
    <s v="A6-S2"/>
    <e v="#REF!"/>
    <n v="40"/>
    <d v="2025-03-21T00:00:00"/>
    <m/>
    <x v="15"/>
    <m/>
    <m/>
    <d v="2025-03-21T00:00:00"/>
    <x v="29"/>
    <s v="chart puschasing"/>
    <s v="in-house"/>
  </r>
  <r>
    <n v="810"/>
    <s v="B557849/A"/>
    <s v="CZ551M09"/>
    <s v="A6-S2"/>
    <e v="#REF!"/>
    <n v="100"/>
    <d v="2025-03-21T00:00:00"/>
    <m/>
    <x v="15"/>
    <m/>
    <m/>
    <d v="2025-03-21T00:00:00"/>
    <x v="29"/>
    <s v="chart puschasing"/>
    <s v="in-house"/>
  </r>
  <r>
    <n v="811"/>
    <s v="B557850/A"/>
    <s v="CZ551M09"/>
    <s v="A6-S2"/>
    <e v="#REF!"/>
    <n v="6"/>
    <d v="2025-03-21T00:00:00"/>
    <m/>
    <x v="15"/>
    <m/>
    <m/>
    <d v="2025-03-21T00:00:00"/>
    <x v="29"/>
    <s v="chart puschasing"/>
    <s v="in-house"/>
  </r>
  <r>
    <n v="812"/>
    <s v="B557854/A"/>
    <s v="CZ551M10"/>
    <s v="A6-S2"/>
    <e v="#REF!"/>
    <n v="46"/>
    <d v="2025-03-21T00:00:00"/>
    <m/>
    <x v="15"/>
    <m/>
    <m/>
    <d v="2025-03-21T00:00:00"/>
    <x v="29"/>
    <s v="chart puschasing"/>
    <s v="in-house"/>
  </r>
  <r>
    <n v="813"/>
    <s v="B557853/A"/>
    <s v="CZ551M10"/>
    <s v="A6-S2"/>
    <e v="#REF!"/>
    <n v="40"/>
    <d v="2025-03-21T00:00:00"/>
    <m/>
    <x v="15"/>
    <m/>
    <m/>
    <d v="2025-03-21T00:00:00"/>
    <x v="29"/>
    <s v="chart puschasing"/>
    <s v="in-house"/>
  </r>
  <r>
    <n v="814"/>
    <s v="B557858/A"/>
    <s v="CZ551M191"/>
    <s v="A6-S2"/>
    <e v="#REF!"/>
    <n v="6"/>
    <d v="2025-03-21T00:00:00"/>
    <m/>
    <x v="15"/>
    <m/>
    <m/>
    <d v="2025-03-21T00:00:00"/>
    <x v="29"/>
    <s v="chart puschasing"/>
    <s v="in-house"/>
  </r>
  <r>
    <n v="815"/>
    <s v="B557857/A"/>
    <s v="CZ551M191"/>
    <s v="A6-S2"/>
    <e v="#REF!"/>
    <n v="14"/>
    <d v="2025-03-21T00:00:00"/>
    <m/>
    <x v="15"/>
    <m/>
    <m/>
    <d v="2025-03-21T00:00:00"/>
    <x v="29"/>
    <s v="chart puschasing"/>
    <s v="in-house"/>
  </r>
  <r>
    <n v="816"/>
    <s v="B557862/A"/>
    <s v="CZ557NM09"/>
    <s v="A04-S02"/>
    <e v="#REF!"/>
    <n v="26"/>
    <d v="2025-03-21T00:00:00"/>
    <m/>
    <x v="15"/>
    <m/>
    <m/>
    <d v="2025-03-21T00:00:00"/>
    <x v="29"/>
    <s v="chart puschasing"/>
    <s v="in-house"/>
  </r>
  <r>
    <n v="817"/>
    <s v="B557861/A"/>
    <s v="CZ557NM09"/>
    <s v="A04-S02"/>
    <e v="#REF!"/>
    <n v="54"/>
    <d v="2025-03-21T00:00:00"/>
    <m/>
    <x v="15"/>
    <m/>
    <m/>
    <d v="2025-03-21T00:00:00"/>
    <x v="29"/>
    <s v="chart puschasing"/>
    <s v="in-house"/>
  </r>
  <r>
    <n v="818"/>
    <s v="B556620/A"/>
    <s v="CZ557NM10"/>
    <s v="A04-S02"/>
    <e v="#REF!"/>
    <n v="4"/>
    <d v="2025-03-21T00:00:00"/>
    <m/>
    <x v="15"/>
    <m/>
    <m/>
    <d v="2025-03-21T00:00:00"/>
    <x v="29"/>
    <s v="chart puschasing"/>
    <s v="in-house"/>
  </r>
  <r>
    <n v="819"/>
    <s v="B557866/A"/>
    <s v="CZ568M08"/>
    <s v="A3-S2"/>
    <e v="#REF!"/>
    <n v="36"/>
    <d v="2025-03-21T00:00:00"/>
    <m/>
    <x v="15"/>
    <m/>
    <m/>
    <d v="2025-03-21T00:00:00"/>
    <x v="29"/>
    <s v="chart puschasing"/>
    <s v="in-house"/>
  </r>
  <r>
    <n v="820"/>
    <s v="B557865/A"/>
    <s v="CZ568M08"/>
    <s v="A3-S2"/>
    <e v="#REF!"/>
    <n v="74"/>
    <d v="2025-03-21T00:00:00"/>
    <m/>
    <x v="15"/>
    <m/>
    <m/>
    <d v="2025-03-21T00:00:00"/>
    <x v="29"/>
    <s v="chart puschasing"/>
    <s v="in-house"/>
  </r>
  <r>
    <n v="821"/>
    <s v="B557870/A"/>
    <s v="CZ568M09"/>
    <s v="A3-S2"/>
    <e v="#REF!"/>
    <n v="2"/>
    <d v="2025-03-21T00:00:00"/>
    <m/>
    <x v="15"/>
    <m/>
    <m/>
    <d v="2025-03-21T00:00:00"/>
    <x v="29"/>
    <s v="chart puschasing"/>
    <s v="in-house"/>
  </r>
  <r>
    <n v="822"/>
    <s v="B557869/A"/>
    <s v="CZ568M09"/>
    <s v="A3-S2"/>
    <e v="#REF!"/>
    <n v="4"/>
    <d v="2025-03-21T00:00:00"/>
    <m/>
    <x v="15"/>
    <m/>
    <m/>
    <d v="2025-03-21T00:00:00"/>
    <x v="29"/>
    <s v="chart puschasing"/>
    <s v="in-house"/>
  </r>
  <r>
    <n v="823"/>
    <s v="B557872/A"/>
    <s v="CZ568M191"/>
    <s v="A3-S2"/>
    <e v="#REF!"/>
    <n v="2"/>
    <d v="2025-03-21T00:00:00"/>
    <m/>
    <x v="15"/>
    <m/>
    <m/>
    <d v="2025-03-21T00:00:00"/>
    <x v="29"/>
    <s v="chart puschasing"/>
    <s v="in-house"/>
  </r>
  <r>
    <n v="824"/>
    <s v="bảng màu "/>
    <s v="RH005"/>
    <s v="WD-03-468"/>
    <n v="48"/>
    <n v="48"/>
    <d v="2025-03-20T00:00:00"/>
    <n v="1"/>
    <x v="6"/>
    <d v="1899-12-30T14:30:00"/>
    <n v="1.5"/>
    <d v="2025-03-20T00:00:00"/>
    <x v="29"/>
    <s v="Finishing"/>
    <s v="Mr.Sơn"/>
  </r>
  <r>
    <n v="825"/>
    <s v="bảng màu "/>
    <s v="RH005"/>
    <s v="WD-03-185"/>
    <n v="10"/>
    <n v="10"/>
    <d v="2025-03-20T00:00:00"/>
    <n v="1"/>
    <x v="22"/>
    <d v="1899-12-30T18:20:00"/>
    <n v="0.83333333333333304"/>
    <d v="2025-03-20T00:00:00"/>
    <x v="29"/>
    <s v="Finishing"/>
    <s v="Mr.Sơn"/>
  </r>
  <r>
    <n v="826"/>
    <s v="B548539/A"/>
    <s v="JV037F1121"/>
    <s v="A1-S7"/>
    <n v="1"/>
    <n v="1"/>
    <d v="2025-03-21T00:00:00"/>
    <n v="1"/>
    <x v="12"/>
    <d v="1899-12-30T08:20:00"/>
    <n v="0.33333333333333481"/>
    <d v="2025-03-21T00:00:00"/>
    <x v="30"/>
    <s v="Unassigned"/>
    <m/>
  </r>
  <r>
    <n v="827"/>
    <s v="B553149/A"/>
    <s v="RH9050F396"/>
    <s v="A1-S2"/>
    <n v="2"/>
    <n v="2"/>
    <d v="2025-03-21T00:00:00"/>
    <n v="1"/>
    <x v="12"/>
    <d v="1899-12-30T08:20:00"/>
    <n v="0.33333333333333481"/>
    <d v="2025-03-21T00:00:00"/>
    <x v="30"/>
    <s v="Assembly"/>
    <m/>
  </r>
  <r>
    <n v="828"/>
    <s v="B543078/A"/>
    <s v="JV038F1164"/>
    <s v="A9-S3"/>
    <n v="2"/>
    <n v="2"/>
    <d v="2025-03-21T00:00:00"/>
    <n v="1"/>
    <x v="12"/>
    <d v="1899-12-30T08:20:00"/>
    <n v="0.33333333333333481"/>
    <d v="2025-03-21T00:00:00"/>
    <x v="30"/>
    <s v="Unassigned"/>
    <m/>
  </r>
  <r>
    <n v="829"/>
    <s v="B548523/A"/>
    <s v="DL016F836"/>
    <s v="A1-S7A"/>
    <n v="2"/>
    <n v="2"/>
    <d v="2025-03-21T00:00:00"/>
    <n v="1"/>
    <x v="12"/>
    <d v="1899-12-30T08:20:00"/>
    <n v="0.33333333333333481"/>
    <d v="2025-03-21T00:00:00"/>
    <x v="30"/>
    <s v="Unassigned"/>
    <m/>
  </r>
  <r>
    <n v="830"/>
    <m/>
    <s v="KA SAMPLE F39"/>
    <s v="P3-2"/>
    <n v="2"/>
    <n v="2"/>
    <d v="2025-03-21T00:00:00"/>
    <n v="1"/>
    <x v="3"/>
    <d v="1899-12-30T14:40:00"/>
    <n v="0.6666666666666643"/>
    <d v="2025-03-21T00:00:00"/>
    <x v="30"/>
    <s v="ME"/>
    <m/>
  </r>
  <r>
    <n v="831"/>
    <m/>
    <s v="KA SAMPLE F39"/>
    <s v="P3"/>
    <n v="4"/>
    <n v="4"/>
    <d v="2025-03-21T00:00:00"/>
    <n v="1"/>
    <x v="3"/>
    <d v="1899-12-30T15:00:00"/>
    <n v="0.99999999999999911"/>
    <d v="2025-03-21T00:00:00"/>
    <x v="30"/>
    <s v="ME"/>
    <m/>
  </r>
  <r>
    <n v="832"/>
    <m/>
    <s v="KA SAMPLE F39"/>
    <s v="P4"/>
    <n v="4"/>
    <n v="4"/>
    <d v="2025-03-21T00:00:00"/>
    <n v="1"/>
    <x v="3"/>
    <d v="1899-12-30T15:00:00"/>
    <n v="0.99999999999999911"/>
    <d v="2025-03-21T00:00:00"/>
    <x v="30"/>
    <s v="ME"/>
    <m/>
  </r>
  <r>
    <n v="833"/>
    <m/>
    <s v="KA SAMPLE F39"/>
    <s v="P3-1"/>
    <n v="2"/>
    <n v="2"/>
    <d v="2025-03-21T00:00:00"/>
    <n v="1"/>
    <x v="3"/>
    <d v="1899-12-30T14:40:00"/>
    <n v="0.6666666666666643"/>
    <d v="2025-03-21T00:00:00"/>
    <x v="30"/>
    <s v="ME"/>
    <m/>
  </r>
  <r>
    <n v="834"/>
    <m/>
    <s v="KA SAMPLE F39"/>
    <s v="P33"/>
    <n v="2"/>
    <n v="2"/>
    <d v="2025-03-21T00:00:00"/>
    <n v="1"/>
    <x v="3"/>
    <d v="1899-12-30T15:00:00"/>
    <n v="0.99999999999999911"/>
    <d v="2025-03-21T00:00:00"/>
    <x v="30"/>
    <s v="ME"/>
    <m/>
  </r>
  <r>
    <n v="835"/>
    <m/>
    <s v="KA SAMPLE F39"/>
    <s v="P22"/>
    <n v="2"/>
    <n v="2"/>
    <d v="2025-03-21T00:00:00"/>
    <n v="1"/>
    <x v="3"/>
    <d v="1899-12-30T15:00:00"/>
    <n v="0.99999999999999911"/>
    <d v="2025-03-21T00:00:00"/>
    <x v="30"/>
    <s v="ME"/>
    <m/>
  </r>
  <r>
    <n v="836"/>
    <s v="B548523/4"/>
    <s v="DL016F836"/>
    <s v="A1-S7A"/>
    <n v="2"/>
    <n v="2"/>
    <d v="2025-03-21T00:00:00"/>
    <n v="1"/>
    <x v="12"/>
    <d v="1899-12-30T08:20:00"/>
    <n v="0.33333333333333481"/>
    <d v="2025-03-21T00:00:00"/>
    <x v="30"/>
    <s v="Unassigned"/>
    <m/>
  </r>
  <r>
    <n v="837"/>
    <s v="B543078/A"/>
    <s v="JV038F1164"/>
    <s v="A9-S3"/>
    <n v="2"/>
    <n v="2"/>
    <d v="2025-03-21T00:00:00"/>
    <n v="1"/>
    <x v="12"/>
    <d v="1899-12-30T08:20:00"/>
    <n v="0.33333333333333481"/>
    <d v="2025-03-21T00:00:00"/>
    <x v="30"/>
    <s v="Unassigned"/>
    <m/>
  </r>
  <r>
    <n v="838"/>
    <s v="B543078/A"/>
    <s v="JV038F1164"/>
    <s v="A1-S7"/>
    <n v="2"/>
    <n v="2"/>
    <d v="2025-03-21T00:00:00"/>
    <n v="1"/>
    <x v="12"/>
    <d v="1899-12-30T08:20:00"/>
    <n v="0.33333333333333481"/>
    <d v="2025-03-21T00:00:00"/>
    <x v="30"/>
    <s v="Unassigned"/>
    <m/>
  </r>
  <r>
    <n v="839"/>
    <s v="B552682/A"/>
    <s v="AR083F1049"/>
    <s v="A1-S7"/>
    <n v="2"/>
    <n v="2"/>
    <d v="2025-03-21T00:00:00"/>
    <n v="1"/>
    <x v="12"/>
    <d v="1899-12-30T08:10:00"/>
    <n v="0.16666666666666607"/>
    <d v="2025-03-21T00:00:00"/>
    <x v="30"/>
    <s v="Unassigned"/>
    <m/>
  </r>
  <r>
    <n v="840"/>
    <s v="B552930/A"/>
    <s v="RH2420F412"/>
    <s v="A1-S1"/>
    <n v="1"/>
    <n v="1"/>
    <d v="2025-03-27T00:00:00"/>
    <n v="1"/>
    <x v="2"/>
    <d v="1899-12-30T11:30:00"/>
    <n v="1.5"/>
    <d v="2025-02-27T00:00:00"/>
    <x v="30"/>
    <s v="Unassigned"/>
    <m/>
  </r>
  <r>
    <n v="841"/>
    <s v="B56049/A"/>
    <s v="CZ867F188"/>
    <s v="P3-1"/>
    <n v="7"/>
    <n v="7"/>
    <d v="2025-03-27T00:00:00"/>
    <n v="1"/>
    <x v="12"/>
    <d v="1899-12-30T08:20:00"/>
    <n v="0.33333333333333481"/>
    <d v="2025-03-27T00:00:00"/>
    <x v="30"/>
    <s v="Unassigned"/>
    <m/>
  </r>
  <r>
    <n v="842"/>
    <s v="B55595/A"/>
    <s v="AR784F906"/>
    <s v="A3-S2"/>
    <n v="1"/>
    <n v="1"/>
    <d v="2025-03-26T00:00:00"/>
    <n v="1"/>
    <x v="12"/>
    <d v="1899-12-30T08:20:00"/>
    <n v="0.33333333333333481"/>
    <d v="2025-03-26T00:00:00"/>
    <x v="30"/>
    <s v="Final Machining"/>
    <m/>
  </r>
  <r>
    <n v="843"/>
    <s v="B556299/A"/>
    <s v="RH200F374"/>
    <s v="P10"/>
    <n v="1"/>
    <n v="1"/>
    <d v="2025-03-26T00:00:00"/>
    <n v="1"/>
    <x v="12"/>
    <d v="1899-12-30T08:30:00"/>
    <n v="0.50000000000000089"/>
    <d v="2025-03-26T00:00:00"/>
    <x v="30"/>
    <s v="Final Machining"/>
    <m/>
  </r>
  <r>
    <n v="844"/>
    <s v="B556485/A"/>
    <s v="RH7267F372"/>
    <s v="A2-S1"/>
    <n v="1"/>
    <n v="1"/>
    <d v="2025-03-26T00:00:00"/>
    <n v="1"/>
    <x v="12"/>
    <d v="1899-12-30T08:30:00"/>
    <n v="0.50000000000000089"/>
    <d v="2025-03-26T00:00:00"/>
    <x v="30"/>
    <s v="Final Machining"/>
    <m/>
  </r>
  <r>
    <n v="845"/>
    <s v="B548931/A"/>
    <s v="RH4124F112"/>
    <s v="A1-S11"/>
    <n v="1"/>
    <n v="1"/>
    <d v="2025-03-26T00:00:00"/>
    <n v="1"/>
    <x v="1"/>
    <d v="1899-12-30T09:20:00"/>
    <n v="0.33333333333333348"/>
    <d v="2025-03-26T00:00:00"/>
    <x v="30"/>
    <s v="Unassigned"/>
    <m/>
  </r>
  <r>
    <n v="846"/>
    <s v="B552682/A"/>
    <s v="AR803F906"/>
    <s v="A1-S7"/>
    <n v="2"/>
    <n v="2"/>
    <d v="2025-03-26T00:00:00"/>
    <n v="1"/>
    <x v="12"/>
    <d v="1899-12-30T08:20:00"/>
    <n v="0.33333333333333481"/>
    <d v="2025-03-26T00:00:00"/>
    <x v="30"/>
    <s v="Unassigned"/>
    <m/>
  </r>
  <r>
    <n v="847"/>
    <m/>
    <s v="AR8051001"/>
    <s v="P04"/>
    <n v="10"/>
    <n v="10"/>
    <d v="2025-03-28T00:00:00"/>
    <n v="2"/>
    <x v="23"/>
    <d v="1899-12-30T14:30:00"/>
    <n v="7.9999999999999982"/>
    <d v="2025-03-28T00:00:00"/>
    <x v="30"/>
    <s v="Technical"/>
    <m/>
  </r>
  <r>
    <n v="848"/>
    <m/>
    <s v="RH4098F113"/>
    <s v="mặt hộc kéo dộp veneer "/>
    <n v="1"/>
    <n v="1"/>
    <d v="2025-03-28T00:00:00"/>
    <n v="2"/>
    <x v="14"/>
    <d v="1899-12-30T13:00:00"/>
    <n v="11.999999999999996"/>
    <d v="2025-03-28T00:00:00"/>
    <x v="30"/>
    <s v="Unassigned"/>
    <m/>
  </r>
  <r>
    <n v="849"/>
    <m/>
    <s v="DL016F836"/>
    <s v="top bị dộp veneer "/>
    <n v="1"/>
    <n v="1"/>
    <d v="2025-03-28T00:00:00"/>
    <n v="2"/>
    <x v="6"/>
    <d v="1899-12-30T15:00:00"/>
    <n v="4.0000000000000018"/>
    <d v="2025-03-28T00:00:00"/>
    <x v="30"/>
    <s v="Unassigned"/>
    <m/>
  </r>
  <r>
    <n v="850"/>
    <s v="B559521/A"/>
    <s v="BN3175F356"/>
    <s v="A1-S01"/>
    <n v="20"/>
    <n v="40"/>
    <d v="2025-03-28T00:00:00"/>
    <n v="1"/>
    <x v="0"/>
    <d v="1899-12-30T16:00:00"/>
    <n v="0.99999999999999911"/>
    <d v="2025-03-28T00:00:00"/>
    <x v="30"/>
    <s v="Unassigned"/>
    <m/>
  </r>
  <r>
    <n v="851"/>
    <s v="B547491/A"/>
    <s v="JV036F1121"/>
    <s v="A2-S05"/>
    <n v="1"/>
    <n v="1"/>
    <d v="2025-03-28T00:00:00"/>
    <n v="1"/>
    <x v="10"/>
    <d v="1899-12-30T16:50:00"/>
    <n v="0.33333333333333215"/>
    <d v="2025-03-28T00:00:00"/>
    <x v="30"/>
    <s v="Unassigned"/>
    <m/>
  </r>
  <r>
    <n v="852"/>
    <s v="B552806/A"/>
    <s v="JV013F836"/>
    <s v="P06"/>
    <n v="4"/>
    <n v="4"/>
    <d v="2025-03-31T00:00:00"/>
    <n v="1"/>
    <x v="0"/>
    <d v="1899-12-30T15:40:00"/>
    <n v="0.66666666666666696"/>
    <d v="2025-03-31T00:00:00"/>
    <x v="31"/>
    <s v="Final Machining"/>
    <m/>
  </r>
  <r>
    <n v="853"/>
    <m/>
    <s v="JV013F836"/>
    <s v="A1-S07A"/>
    <n v="20"/>
    <n v="40"/>
    <d v="2025-03-31T00:00:00"/>
    <m/>
    <x v="15"/>
    <m/>
    <n v="0"/>
    <d v="2025-03-31T00:00:00"/>
    <x v="31"/>
    <s v="Assembly"/>
    <m/>
  </r>
  <r>
    <n v="854"/>
    <m/>
    <s v="DL016F836"/>
    <s v="A1-S07.1"/>
    <n v="15"/>
    <n v="30"/>
    <d v="2025-03-31T00:00:00"/>
    <n v="3"/>
    <x v="12"/>
    <d v="1899-12-30T13:20:00"/>
    <m/>
    <d v="2025-03-31T00:00:00"/>
    <x v="31"/>
    <s v="Assembly"/>
    <m/>
  </r>
  <r>
    <n v="855"/>
    <m/>
    <s v="DL015F836"/>
    <s v="A1-S07A"/>
    <n v="45"/>
    <n v="45"/>
    <d v="2025-03-31T00:00:00"/>
    <m/>
    <x v="15"/>
    <m/>
    <m/>
    <d v="2025-03-31T00:00:00"/>
    <x v="31"/>
    <s v="Assembly"/>
    <m/>
  </r>
  <r>
    <n v="856"/>
    <m/>
    <s v="Hàng mẫu "/>
    <s v="P01-1"/>
    <n v="4"/>
    <n v="4"/>
    <d v="2025-04-01T00:00:00"/>
    <n v="1"/>
    <x v="1"/>
    <d v="1899-12-30T10:00:00"/>
    <n v="1.0000000000000004"/>
    <d v="2025-04-01T00:00:00"/>
    <x v="31"/>
    <s v="ME"/>
    <s v="hàng test"/>
  </r>
  <r>
    <n v="857"/>
    <m/>
    <s v="Hàng mẫu "/>
    <s v="P01-1"/>
    <n v="2"/>
    <n v="2"/>
    <d v="2025-04-01T00:00:00"/>
    <n v="1"/>
    <x v="24"/>
    <d v="1899-12-30T10:30:00"/>
    <n v="0.83333333333333437"/>
    <d v="2025-04-01T00:00:00"/>
    <x v="31"/>
    <s v="ME"/>
    <s v="hàng test"/>
  </r>
  <r>
    <n v="858"/>
    <m/>
    <s v="Hàng mẫu "/>
    <s v="P01-2"/>
    <n v="2"/>
    <n v="2"/>
    <d v="2025-04-01T00:00:00"/>
    <n v="1"/>
    <x v="23"/>
    <d v="1899-12-30T11:20:00"/>
    <n v="0.83333333333333437"/>
    <d v="2025-04-01T00:00:00"/>
    <x v="31"/>
    <s v="ME"/>
    <s v="hàng test"/>
  </r>
  <r>
    <n v="859"/>
    <s v="B548525/A"/>
    <s v="DL019F837"/>
    <s v="A1-S4"/>
    <n v="5"/>
    <n v="5"/>
    <d v="2025-04-03T00:00:00"/>
    <n v="2"/>
    <x v="12"/>
    <d v="1899-12-30T08:40:00"/>
    <n v="1.3333333333333339"/>
    <d v="2025-04-03T00:00:00"/>
    <x v="31"/>
    <s v="FiTTINGS"/>
    <m/>
  </r>
  <r>
    <n v="860"/>
    <s v="B548525/A"/>
    <s v="DL019F837"/>
    <s v="A1-S4-1"/>
    <n v="1"/>
    <n v="1"/>
    <d v="2025-04-03T00:00:00"/>
    <n v="2"/>
    <x v="12"/>
    <d v="1899-12-30T08:20:00"/>
    <n v="0.66666666666666963"/>
    <d v="2025-04-03T00:00:00"/>
    <x v="31"/>
    <s v="FiTTINGS"/>
    <m/>
  </r>
  <r>
    <n v="861"/>
    <s v="B557935/A"/>
    <s v="AR721F892"/>
    <s v="A1"/>
    <n v="8"/>
    <n v="8"/>
    <d v="2025-04-03T00:00:00"/>
    <n v="1"/>
    <x v="1"/>
    <d v="1899-12-30T09:40:00"/>
    <n v="0.66666666666666563"/>
    <d v="2025-04-03T00:00:00"/>
    <x v="31"/>
    <s v="Final Machining"/>
    <m/>
  </r>
  <r>
    <n v="862"/>
    <s v="B559855/A"/>
    <s v="MK009F156"/>
    <s v="P06"/>
    <n v="1"/>
    <n v="1"/>
    <d v="2025-04-03T00:00:00"/>
    <n v="1"/>
    <x v="1"/>
    <d v="1899-12-30T09:20:00"/>
    <n v="0.33333333333333348"/>
    <d v="2025-04-03T00:00:00"/>
    <x v="31"/>
    <s v="Final Machining"/>
    <m/>
  </r>
  <r>
    <n v="863"/>
    <s v="B554429/A"/>
    <s v="DL016F836"/>
    <s v="A1-S7A"/>
    <n v="10"/>
    <n v="10"/>
    <d v="2025-04-03T00:00:00"/>
    <n v="2"/>
    <x v="12"/>
    <d v="1899-12-30T09:00:00"/>
    <n v="2.0000000000000009"/>
    <d v="2025-04-03T00:00:00"/>
    <x v="31"/>
    <s v="Assembly"/>
    <m/>
  </r>
  <r>
    <n v="864"/>
    <s v="B556096/A"/>
    <s v="CZ893F196"/>
    <s v="A1"/>
    <n v="1"/>
    <n v="1"/>
    <d v="2025-04-03T00:00:00"/>
    <n v="1"/>
    <x v="6"/>
    <d v="1899-12-30T13:40:00"/>
    <n v="0.66666666666666696"/>
    <d v="2025-04-03T00:00:00"/>
    <x v="31"/>
    <s v="Unassigned"/>
    <m/>
  </r>
  <r>
    <n v="865"/>
    <s v="B556409/A"/>
    <s v="RH9135F397"/>
    <s v="P04"/>
    <n v="19"/>
    <n v="19"/>
    <d v="2025-04-03T00:00:00"/>
    <n v="1"/>
    <x v="3"/>
    <d v="1899-12-30T14:30:00"/>
    <n v="0.49999999999999822"/>
    <d v="2025-04-03T00:00:00"/>
    <x v="31"/>
    <s v="Unassigned"/>
    <m/>
  </r>
  <r>
    <n v="866"/>
    <s v="B556411/A"/>
    <s v="RH9135F410"/>
    <s v="P04"/>
    <n v="22"/>
    <n v="22"/>
    <d v="2025-04-03T00:00:00"/>
    <n v="1"/>
    <x v="3"/>
    <d v="1899-12-30T14:30:00"/>
    <n v="0.49999999999999822"/>
    <d v="2025-04-03T00:00:00"/>
    <x v="31"/>
    <s v="Unassigned"/>
    <m/>
  </r>
  <r>
    <n v="867"/>
    <s v="B552818/A"/>
    <s v="JV033F1165"/>
    <s v="A2-S07"/>
    <n v="2"/>
    <n v="2"/>
    <d v="2025-04-09T00:00:00"/>
    <n v="1"/>
    <x v="12"/>
    <d v="1899-12-30T09:00:00"/>
    <n v="1.0000000000000004"/>
    <d v="2025-04-09T00:00:00"/>
    <x v="31"/>
    <s v="Unassigned"/>
    <m/>
  </r>
  <r>
    <n v="868"/>
    <m/>
    <s v="JV033F1165"/>
    <s v="A4-S07"/>
    <n v="1"/>
    <n v="1"/>
    <d v="2025-04-09T00:00:00"/>
    <n v="1"/>
    <x v="1"/>
    <d v="1899-12-30T09:30:00"/>
    <n v="0.49999999999999956"/>
    <d v="2025-04-09T00:00:00"/>
    <x v="31"/>
    <s v="Unassigned"/>
    <m/>
  </r>
  <r>
    <n v="869"/>
    <m/>
    <s v="JV033F1165"/>
    <s v="A3-S3"/>
    <n v="1"/>
    <n v="1"/>
    <d v="2025-04-09T00:00:00"/>
    <n v="1"/>
    <x v="25"/>
    <d v="1899-12-30T10:00:00"/>
    <n v="0.50000000000000089"/>
    <d v="2025-04-09T00:00:00"/>
    <x v="31"/>
    <s v="Unassigned"/>
    <m/>
  </r>
  <r>
    <n v="870"/>
    <s v="B55968/A"/>
    <s v="AT305NF535"/>
    <s v="A4-S01"/>
    <n v="24"/>
    <n v="24"/>
    <d v="2025-04-09T00:00:00"/>
    <n v="1"/>
    <x v="14"/>
    <d v="1899-12-30T19:00:00"/>
    <n v="11.999999999999998"/>
    <d v="2025-04-09T00:00:00"/>
    <x v="31"/>
    <s v="Unassigned"/>
    <m/>
  </r>
  <r>
    <n v="871"/>
    <m/>
    <s v="AT305NF535"/>
    <s v="A3-S01"/>
    <n v="12"/>
    <n v="12"/>
    <d v="2025-04-09T00:00:00"/>
    <n v="1"/>
    <x v="14"/>
    <d v="1899-12-30T15:00:00"/>
    <n v="8"/>
    <d v="2025-04-09T00:00:00"/>
    <x v="31"/>
    <s v="Unassigned"/>
    <m/>
  </r>
  <r>
    <n v="872"/>
    <m/>
    <s v="AT305NF535"/>
    <s v="A3"/>
    <n v="12"/>
    <n v="12"/>
    <d v="2025-04-09T00:00:00"/>
    <n v="1"/>
    <x v="12"/>
    <d v="1899-12-30T16:00:00"/>
    <n v="8"/>
    <d v="2025-04-09T00:00:00"/>
    <x v="31"/>
    <s v="Unassigned"/>
    <m/>
  </r>
  <r>
    <n v="873"/>
    <s v="B556095/A"/>
    <s v="CZ893F196"/>
    <s v="A1"/>
    <n v="1"/>
    <n v="1"/>
    <d v="2025-04-09T00:00:00"/>
    <n v="1"/>
    <x v="16"/>
    <d v="1899-12-30T16:20:00"/>
    <n v="0.33333333333333215"/>
    <d v="2025-04-09T00:00:00"/>
    <x v="31"/>
    <s v="Final Machining"/>
    <m/>
  </r>
  <r>
    <n v="874"/>
    <s v="B555857/A"/>
    <s v="RH9081F374"/>
    <s v="A0"/>
    <n v="1"/>
    <n v="1"/>
    <d v="2025-04-09T00:00:00"/>
    <n v="1"/>
    <x v="10"/>
    <d v="1899-12-30T16:50:00"/>
    <n v="0.33333333333333215"/>
    <d v="2025-04-09T00:00:00"/>
    <x v="31"/>
    <s v="Paneling"/>
    <m/>
  </r>
  <r>
    <n v="875"/>
    <s v="B555857/A"/>
    <s v="RH9081F373"/>
    <s v="A2-0"/>
    <n v="1"/>
    <n v="1"/>
    <d v="2025-04-09T00:00:00"/>
    <n v="1"/>
    <x v="26"/>
    <d v="1899-12-30T17:20:00"/>
    <n v="0.33333333333333215"/>
    <d v="2025-04-09T00:00:00"/>
    <x v="31"/>
    <s v="Paneling"/>
    <m/>
  </r>
  <r>
    <n v="876"/>
    <s v="B558348/A"/>
    <s v="RH7270F374"/>
    <s v="A4-S00"/>
    <n v="8"/>
    <n v="8"/>
    <d v="2025-04-10T00:00:00"/>
    <n v="1"/>
    <x v="12"/>
    <d v="1899-12-30T11:30:00"/>
    <n v="3.5000000000000009"/>
    <d v="2025-04-10T00:00:00"/>
    <x v="32"/>
    <s v="Unassigned"/>
    <m/>
  </r>
  <r>
    <n v="877"/>
    <m/>
    <s v="RH7270F373"/>
    <s v="A4-S00"/>
    <n v="3"/>
    <n v="3"/>
    <d v="2025-04-10T00:00:00"/>
    <n v="1"/>
    <x v="6"/>
    <d v="1899-12-30T14:20:00"/>
    <n v="1.3333333333333339"/>
    <d v="2025-04-10T00:00:00"/>
    <x v="32"/>
    <s v="Unassigned"/>
    <m/>
  </r>
  <r>
    <n v="878"/>
    <s v="B555130/A"/>
    <s v="RH9081F374"/>
    <s v="A0"/>
    <n v="1"/>
    <n v="1"/>
    <d v="2025-04-11T00:00:00"/>
    <n v="1"/>
    <x v="17"/>
    <d v="1899-12-30T14:40:00"/>
    <n v="0.33333333333333215"/>
    <d v="2025-04-11T00:00:00"/>
    <x v="32"/>
    <s v="Unassigned"/>
    <m/>
  </r>
  <r>
    <n v="879"/>
    <m/>
    <s v="RH9081F374"/>
    <s v="A2-0"/>
    <n v="1"/>
    <n v="1"/>
    <d v="2025-04-11T00:00:00"/>
    <n v="1"/>
    <x v="27"/>
    <d v="1899-12-30T15:10:00"/>
    <n v="0.33333333333333215"/>
    <d v="2025-04-11T00:00:00"/>
    <x v="32"/>
    <s v="Unassigned"/>
    <m/>
  </r>
  <r>
    <n v="880"/>
    <s v="B561371/A"/>
    <s v="MN5786AF998"/>
    <s v="P04"/>
    <n v="25"/>
    <n v="75"/>
    <d v="2025-04-14T00:00:00"/>
    <n v="2"/>
    <x v="12"/>
    <d v="1899-12-30T09:00:00"/>
    <n v="2.0000000000000009"/>
    <d v="2025-04-14T00:00:00"/>
    <x v="33"/>
    <s v="MAChining"/>
    <m/>
  </r>
  <r>
    <n v="881"/>
    <m/>
    <s v="DL018F837"/>
    <s v="A1-S4"/>
    <n v="8"/>
    <n v="8"/>
    <d v="2025-04-14T00:00:00"/>
    <n v="2"/>
    <x v="11"/>
    <d v="1899-12-30T09:30:00"/>
    <n v="1.9999999999999982"/>
    <d v="2025-04-14T00:00:00"/>
    <x v="33"/>
    <s v="MAChining"/>
    <m/>
  </r>
  <r>
    <n v="882"/>
    <m/>
    <s v="JV035F1165"/>
    <s v="A2-S05"/>
    <n v="3"/>
    <n v="5"/>
    <d v="2025-04-14T00:00:00"/>
    <n v="1"/>
    <x v="2"/>
    <d v="1899-12-30T11:30:00"/>
    <n v="1.5"/>
    <d v="2025-04-14T00:00:00"/>
    <x v="33"/>
    <s v="MAChining"/>
    <m/>
  </r>
  <r>
    <n v="883"/>
    <m/>
    <s v="RH346F506"/>
    <s v="mặt học kéo"/>
    <n v="0"/>
    <n v="3"/>
    <d v="2025-04-15T00:00:00"/>
    <n v="1"/>
    <x v="12"/>
    <d v="1899-12-30T10:40:00"/>
    <n v="2.6666666666666665"/>
    <d v="2025-04-15T00:00:00"/>
    <x v="33"/>
    <s v="line triều"/>
    <m/>
  </r>
  <r>
    <n v="884"/>
    <s v="B560861/A"/>
    <s v="AR790F906"/>
    <s v="P01-1"/>
    <n v="1"/>
    <n v="1"/>
    <d v="2025-04-15T00:00:00"/>
    <n v="1"/>
    <x v="1"/>
    <d v="1899-12-30T09:20:00"/>
    <n v="0.33333333333333348"/>
    <d v="2025-04-15T00:00:00"/>
    <x v="33"/>
    <s v="Final Machining"/>
    <m/>
  </r>
  <r>
    <n v="885"/>
    <s v="B558292/A"/>
    <s v="RH10033F423"/>
    <s v="A1-S01"/>
    <n v="1"/>
    <n v="4"/>
    <d v="2025-04-15T00:00:00"/>
    <n v="1"/>
    <x v="2"/>
    <d v="1899-12-30T11:00:00"/>
    <n v="0.99999999999999911"/>
    <d v="2025-04-15T00:00:00"/>
    <x v="33"/>
    <s v="Unassigned"/>
    <m/>
  </r>
  <r>
    <n v="886"/>
    <s v="B551032/A"/>
    <s v="AT655F535"/>
    <s v="A3-S02"/>
    <n v="1"/>
    <n v="1"/>
    <d v="2025-04-15T00:00:00"/>
    <n v="1"/>
    <x v="20"/>
    <d v="1899-12-30T11:40:00"/>
    <n v="0.33333333333333215"/>
    <d v="2025-04-15T00:00:00"/>
    <x v="33"/>
    <s v="Technical"/>
    <m/>
  </r>
  <r>
    <n v="887"/>
    <s v="B561426/A"/>
    <s v="BN3113F193"/>
    <s v="A1-1"/>
    <n v="0"/>
    <n v="1"/>
    <d v="2025-04-17T00:00:00"/>
    <n v="1"/>
    <x v="11"/>
    <d v="1899-12-30T09:00:00"/>
    <n v="0.49999999999999956"/>
    <d v="2025-04-17T00:00:00"/>
    <x v="33"/>
    <s v="MAChining"/>
    <m/>
  </r>
  <r>
    <n v="888"/>
    <s v="B558263/A"/>
    <s v="RH9090F374"/>
    <s v="A2-S01"/>
    <n v="3"/>
    <n v="3"/>
    <d v="2025-04-17T00:00:00"/>
    <n v="1"/>
    <x v="25"/>
    <d v="1899-12-30T10:10:00"/>
    <n v="0.66666666666666696"/>
    <d v="2025-04-17T00:00:00"/>
    <x v="33"/>
    <s v="Assembly"/>
    <m/>
  </r>
  <r>
    <n v="889"/>
    <s v="B556483/A"/>
    <s v="RH7267F372"/>
    <s v="A2-S01"/>
    <n v="0"/>
    <n v="1"/>
    <d v="2025-04-17T00:00:00"/>
    <n v="1"/>
    <x v="28"/>
    <d v="1899-12-30T10:40:00"/>
    <n v="0.33333333333333215"/>
    <d v="2025-04-17T00:00:00"/>
    <x v="33"/>
    <s v="Unassigned"/>
    <m/>
  </r>
  <r>
    <n v="890"/>
    <s v="B55856/A"/>
    <s v="RH9081F372"/>
    <s v="A0"/>
    <n v="5"/>
    <n v="5"/>
    <d v="2025-04-17T00:00:00"/>
    <n v="1"/>
    <x v="4"/>
    <d v="1899-12-30T11:30:00"/>
    <n v="0.50000000000000089"/>
    <d v="2025-04-17T00:00:00"/>
    <x v="33"/>
    <s v="Final Machining"/>
    <m/>
  </r>
  <r>
    <n v="891"/>
    <s v="B55856/A"/>
    <s v="RH9081F372"/>
    <s v="A2-0"/>
    <n v="5"/>
    <n v="5"/>
    <d v="2025-04-17T00:00:00"/>
    <n v="1"/>
    <x v="6"/>
    <d v="1899-12-30T13:30:00"/>
    <n v="0.50000000000000089"/>
    <d v="2025-04-07T00:00:00"/>
    <x v="33"/>
    <s v="Final Machining"/>
    <m/>
  </r>
  <r>
    <n v="892"/>
    <m/>
    <s v="JV014F837"/>
    <s v="A5-S4"/>
    <m/>
    <n v="1"/>
    <d v="2025-04-18T00:00:00"/>
    <n v="1"/>
    <x v="6"/>
    <d v="1899-12-30T13:30:00"/>
    <n v="0.50000000000000089"/>
    <d v="2025-04-18T00:00:00"/>
    <x v="33"/>
    <s v="FIN"/>
    <m/>
  </r>
  <r>
    <n v="893"/>
    <m/>
    <s v="RH7391F381"/>
    <s v="ván hông"/>
    <m/>
    <n v="1"/>
    <d v="2025-04-15T00:00:00"/>
    <n v="2"/>
    <x v="7"/>
    <d v="1899-12-30T19:20:00"/>
    <n v="7.6666666666666607"/>
    <d v="2025-04-15T00:00:00"/>
    <x v="33"/>
    <s v="FIN"/>
    <m/>
  </r>
  <r>
    <n v="894"/>
    <m/>
    <s v="RH906F188"/>
    <s v="mặt top"/>
    <m/>
    <n v="2"/>
    <d v="2025-04-16T00:00:00"/>
    <n v="1"/>
    <x v="14"/>
    <d v="1899-12-30T11:30:00"/>
    <n v="4.5"/>
    <d v="2025-04-16T00:00:00"/>
    <x v="33"/>
    <s v="FIN"/>
    <m/>
  </r>
  <r>
    <n v="895"/>
    <m/>
    <s v="SH228F506"/>
    <s v="Cánh cửa"/>
    <m/>
    <n v="2"/>
    <d v="2025-04-18T00:00:00"/>
    <n v="1"/>
    <x v="29"/>
    <d v="1899-12-30T15:50:00"/>
    <n v="1.6666666666666661"/>
    <d v="2025-04-18T00:00:00"/>
    <x v="33"/>
    <s v="WW"/>
    <m/>
  </r>
  <r>
    <m/>
    <m/>
    <s v="BN189F38"/>
    <s v="P01-1"/>
    <m/>
    <n v="40"/>
    <d v="2025-04-18T00:00:00"/>
    <n v="3"/>
    <x v="30"/>
    <d v="1899-12-30T16:00:00"/>
    <n v="4.0000000000000018"/>
    <d v="2025-04-18T00:00:00"/>
    <x v="33"/>
    <s v="NCR"/>
    <m/>
  </r>
  <r>
    <m/>
    <m/>
    <s v="BN3224F356"/>
    <s v="ván hông"/>
    <m/>
    <n v="1"/>
    <d v="2025-04-18T00:00:00"/>
    <n v="2"/>
    <x v="31"/>
    <d v="1899-12-30T19:20:00"/>
    <n v="6.9999999999999964"/>
    <d v="2025-04-18T00:00:00"/>
    <x v="33"/>
    <s v="WW"/>
    <m/>
  </r>
  <r>
    <m/>
    <m/>
    <s v="BN3224F356"/>
    <s v="ván hông"/>
    <m/>
    <n v="1"/>
    <d v="2025-04-19T00:00:00"/>
    <n v="2"/>
    <x v="14"/>
    <d v="1899-12-30T13:30:00"/>
    <n v="13"/>
    <d v="2025-04-19T00:00:00"/>
    <x v="33"/>
    <s v="WW"/>
    <m/>
  </r>
  <r>
    <m/>
    <s v="B5595239/A"/>
    <s v="JV013F836"/>
    <s v="P01-2"/>
    <n v="1"/>
    <n v="2"/>
    <d v="2025-04-21T00:00:00"/>
    <n v="1"/>
    <x v="12"/>
    <d v="1899-12-30T08:40:00"/>
    <n v="0.66666666666666696"/>
    <d v="2025-04-21T00:00:00"/>
    <x v="34"/>
    <s v="Assembly"/>
    <m/>
  </r>
  <r>
    <m/>
    <m/>
    <s v="JV013F836"/>
    <s v="P01-3"/>
    <n v="1"/>
    <n v="2"/>
    <d v="2025-04-21T00:00:00"/>
    <n v="1"/>
    <x v="32"/>
    <d v="1899-12-30T09:30:00"/>
    <n v="0.66666666666666563"/>
    <d v="2025-04-21T00:00:00"/>
    <x v="34"/>
    <s v="Assembly"/>
    <m/>
  </r>
  <r>
    <m/>
    <m/>
    <s v="JV013F836"/>
    <s v="P01-1"/>
    <m/>
    <n v="1"/>
    <d v="2025-04-21T00:00:00"/>
    <n v="1"/>
    <x v="24"/>
    <d v="1899-12-30T10:00:00"/>
    <n v="0.33333333333333481"/>
    <d v="2025-04-21T00:00:00"/>
    <x v="34"/>
    <s v="Assembly"/>
    <m/>
  </r>
  <r>
    <m/>
    <s v="B559531/A"/>
    <s v="DL015F836"/>
    <s v="P12-2"/>
    <n v="1"/>
    <n v="2"/>
    <d v="2025-04-21T00:00:00"/>
    <n v="1"/>
    <x v="33"/>
    <d v="1899-12-30T10:50:00"/>
    <n v="0.66666666666666696"/>
    <d v="2025-04-21T00:00:00"/>
    <x v="34"/>
    <s v="Assembly"/>
    <m/>
  </r>
  <r>
    <m/>
    <m/>
    <s v="DL015F836"/>
    <s v="P12-3"/>
    <n v="1"/>
    <n v="2"/>
    <d v="2025-04-21T00:00:00"/>
    <n v="1"/>
    <x v="4"/>
    <d v="1899-12-30T11:40:00"/>
    <n v="0.66666666666666696"/>
    <d v="2025-04-21T00:00:00"/>
    <x v="34"/>
    <s v="Final Machining"/>
    <m/>
  </r>
  <r>
    <m/>
    <s v="B556123/A"/>
    <s v="DL019F837"/>
    <s v="A1-S4"/>
    <m/>
    <n v="3"/>
    <d v="2025-04-21T00:00:00"/>
    <n v="1"/>
    <x v="6"/>
    <d v="1899-12-30T13:40:00"/>
    <n v="0.66666666666666696"/>
    <d v="2025-04-21T00:00:00"/>
    <x v="34"/>
    <s v="Unassigned"/>
    <m/>
  </r>
  <r>
    <m/>
    <s v="B554441/A"/>
    <s v="JV014F837"/>
    <s v="A5-S4"/>
    <m/>
    <n v="1"/>
    <d v="2025-04-21T00:00:00"/>
    <n v="1"/>
    <x v="3"/>
    <d v="1899-12-30T14:20:00"/>
    <n v="0.33333333333333215"/>
    <d v="2025-04-21T00:00:00"/>
    <x v="34"/>
    <s v="Unassigned"/>
    <m/>
  </r>
  <r>
    <m/>
    <m/>
    <s v="JV SAMPLE 01"/>
    <s v="A6-S01"/>
    <n v="6"/>
    <n v="6"/>
    <d v="2025-04-23T00:00:00"/>
    <n v="1"/>
    <x v="0"/>
    <d v="1899-12-30T17:00:00"/>
    <n v="2.0000000000000009"/>
    <d v="2025-04-23T00:00:00"/>
    <x v="34"/>
    <s v="Bảng màu "/>
    <m/>
  </r>
  <r>
    <m/>
    <s v="B564857/A"/>
    <s v="DL016WF836"/>
    <s v="P08"/>
    <n v="1"/>
    <n v="1"/>
    <d v="2025-04-24T00:00:00"/>
    <n v="1"/>
    <x v="1"/>
    <d v="1899-12-30T09:20:00"/>
    <n v="0.33333333333333348"/>
    <d v="2025-04-24T00:00:00"/>
    <x v="34"/>
    <s v="Final Machining"/>
    <m/>
  </r>
  <r>
    <m/>
    <s v="B562970/A"/>
    <s v="SH633F506"/>
    <s v="P02"/>
    <m/>
    <n v="1"/>
    <d v="2025-04-24T00:00:00"/>
    <n v="1"/>
    <x v="25"/>
    <d v="1899-12-30T09:50:00"/>
    <n v="0.33333333333333481"/>
    <d v="2025-04-24T00:00:00"/>
    <x v="34"/>
    <s v="Final Machining"/>
    <m/>
  </r>
  <r>
    <m/>
    <s v="B558342/A"/>
    <s v="RH7270F374"/>
    <s v="A2-S01"/>
    <n v="1"/>
    <n v="1"/>
    <d v="2025-04-24T00:00:00"/>
    <n v="1"/>
    <x v="0"/>
    <d v="1899-12-30T15:20:00"/>
    <n v="0.33333333333333481"/>
    <d v="2025-04-24T00:00:00"/>
    <x v="34"/>
    <s v="Finishing"/>
    <m/>
  </r>
  <r>
    <m/>
    <m/>
    <s v="MN5886F1002"/>
    <s v="dộp veneer+chạy rãnh sai"/>
    <m/>
    <n v="3"/>
    <d v="2025-04-24T00:00:00"/>
    <n v="3"/>
    <x v="4"/>
    <d v="1899-12-30T18:00:00"/>
    <n v="21"/>
    <d v="2025-04-24T00:00:00"/>
    <x v="34"/>
    <s v="NCR"/>
    <m/>
  </r>
  <r>
    <m/>
    <m/>
    <s v="MN5886F1002"/>
    <s v="dộp vener"/>
    <m/>
    <n v="1"/>
    <d v="2025-04-24T00:00:00"/>
    <n v="3"/>
    <x v="26"/>
    <d v="1899-12-30T18:00:00"/>
    <n v="2.9999999999999973"/>
    <d v="2025-04-24T00:00:00"/>
    <x v="34"/>
    <s v="NCR"/>
    <m/>
  </r>
  <r>
    <m/>
    <m/>
    <s v="MN5886F355"/>
    <s v="dộp vener"/>
    <m/>
    <n v="1"/>
    <d v="2025-04-25T00:00:00"/>
    <n v="3"/>
    <x v="14"/>
    <d v="1899-12-30T14:30:00"/>
    <n v="22.499999999999993"/>
    <d v="2025-04-25T00:00:00"/>
    <x v="35"/>
    <s v="NCR"/>
    <m/>
  </r>
  <r>
    <m/>
    <m/>
    <s v="RH10367F372TR"/>
    <s v="A0-2"/>
    <n v="1"/>
    <n v="1"/>
    <d v="2025-04-25T00:00:00"/>
    <n v="1"/>
    <x v="2"/>
    <d v="1899-12-30T10:20:00"/>
    <n v="0.33333333333333348"/>
    <d v="2025-04-25T00:00:00"/>
    <x v="35"/>
    <s v="NCR"/>
    <m/>
  </r>
  <r>
    <m/>
    <m/>
    <s v="RH10367F372TR"/>
    <s v="A0-1"/>
    <n v="1"/>
    <n v="1"/>
    <d v="2025-04-25T00:00:00"/>
    <n v="1"/>
    <x v="28"/>
    <d v="1899-12-30T10:40:00"/>
    <n v="0.33333333333333215"/>
    <d v="2025-04-25T00:00:00"/>
    <x v="35"/>
    <s v="NCR"/>
    <m/>
  </r>
  <r>
    <m/>
    <m/>
    <s v="JV034F1165"/>
    <s v="A2-S07"/>
    <n v="1"/>
    <n v="1"/>
    <d v="2025-04-25T00:00:00"/>
    <n v="1"/>
    <x v="8"/>
    <d v="1899-12-30T14:50:00"/>
    <n v="0.33333333333333481"/>
    <d v="2025-04-25T00:00:00"/>
    <x v="35"/>
    <s v="NCR FIN "/>
    <m/>
  </r>
  <r>
    <m/>
    <s v="B554441/A"/>
    <s v="JV014F837"/>
    <s v="A3-S3"/>
    <n v="1"/>
    <n v="1"/>
    <d v="2025-04-26T00:00:00"/>
    <n v="1"/>
    <x v="2"/>
    <d v="1899-12-30T10:20:00"/>
    <n v="0.33333333333333348"/>
    <d v="2025-04-26T00:00:00"/>
    <x v="35"/>
    <s v="Final Machining"/>
    <m/>
  </r>
  <r>
    <m/>
    <s v="B559536/A"/>
    <s v="JV007F580"/>
    <s v="A1-S4"/>
    <n v="2"/>
    <n v="2"/>
    <d v="2025-04-27T00:00:00"/>
    <n v="1"/>
    <x v="34"/>
    <d v="1899-12-30T09:00:00"/>
    <n v="0.66666666666666563"/>
    <d v="2025-04-27T00:00:00"/>
    <x v="35"/>
    <s v="Unassigned"/>
    <m/>
  </r>
  <r>
    <m/>
    <s v="B554441/A"/>
    <s v="JV014F837"/>
    <s v="A2-S4"/>
    <n v="1"/>
    <n v="1"/>
    <d v="2025-04-27T00:00:00"/>
    <n v="1"/>
    <x v="1"/>
    <d v="1899-12-30T09:20:00"/>
    <n v="0.33333333333333348"/>
    <d v="2025-04-27T00:00:00"/>
    <x v="35"/>
    <s v="Assembly"/>
    <m/>
  </r>
  <r>
    <m/>
    <m/>
    <s v="JV035F1165"/>
    <s v="A4-S08"/>
    <n v="1"/>
    <n v="1"/>
    <d v="2025-04-27T00:00:00"/>
    <n v="1"/>
    <x v="35"/>
    <d v="1899-12-30T09:40:00"/>
    <n v="0.33333333333333215"/>
    <d v="2025-04-27T00:00:00"/>
    <x v="35"/>
    <s v="NCR FIN "/>
    <m/>
  </r>
  <r>
    <m/>
    <s v="B558284/A"/>
    <s v="DL019837"/>
    <s v="A1-S4-1"/>
    <n v="1"/>
    <n v="2"/>
    <d v="2025-04-28T00:00:00"/>
    <n v="1"/>
    <x v="30"/>
    <d v="1899-12-30T15:20:00"/>
    <n v="0.66666666666666963"/>
    <d v="2025-04-28T00:00:00"/>
    <x v="35"/>
    <s v="Finishing"/>
    <m/>
  </r>
  <r>
    <m/>
    <s v="B559530/A"/>
    <s v="DL015F836"/>
    <s v="A1-S07A"/>
    <n v="3"/>
    <n v="3"/>
    <d v="2025-04-28T00:00:00"/>
    <n v="1"/>
    <x v="36"/>
    <d v="1899-12-30T16:20:00"/>
    <n v="0.99999999999999645"/>
    <d v="2025-04-28T00:00:00"/>
    <x v="35"/>
    <s v="Finishing"/>
    <m/>
  </r>
  <r>
    <m/>
    <s v="B56418/A"/>
    <s v="SH332F521"/>
    <s v="A1-S4-2"/>
    <n v="40"/>
    <n v="40"/>
    <d v="2025-04-28T00:00:00"/>
    <n v="2"/>
    <x v="6"/>
    <d v="1899-12-30T15:00:00"/>
    <n v="4.0000000000000018"/>
    <d v="2025-04-28T00:00:00"/>
    <x v="35"/>
    <s v="Technical"/>
    <m/>
  </r>
  <r>
    <m/>
    <s v="B559536/A"/>
    <s v="JV007F580"/>
    <s v="A1-S4"/>
    <n v="1"/>
    <n v="1"/>
    <d v="2025-04-29T00:00:00"/>
    <n v="1"/>
    <x v="6"/>
    <d v="1899-12-30T13:20:00"/>
    <n v="0.33333333333333481"/>
    <d v="2025-04-29T00:00:00"/>
    <x v="35"/>
    <s v="Unassigned"/>
    <m/>
  </r>
  <r>
    <m/>
    <s v="B566753/A"/>
    <s v="RH9339F423"/>
    <s v="A0"/>
    <n v="2"/>
    <n v="2"/>
    <d v="2025-04-29T00:00:00"/>
    <n v="1"/>
    <x v="14"/>
    <d v="1899-12-30T07:40:00"/>
    <n v="0.66666666666666696"/>
    <d v="2025-04-29T00:00:00"/>
    <x v="35"/>
    <s v="Final Machining"/>
    <m/>
  </r>
  <r>
    <m/>
    <s v="B564274/A"/>
    <s v="RH10367F372TR"/>
    <s v="A01-S01"/>
    <n v="1"/>
    <n v="1"/>
    <d v="2025-04-29T00:00:00"/>
    <n v="1"/>
    <x v="34"/>
    <d v="1899-12-30T08:40:00"/>
    <n v="0.33333333333333215"/>
    <d v="2025-04-29T00:00:00"/>
    <x v="35"/>
    <s v="Technical"/>
    <m/>
  </r>
  <r>
    <m/>
    <s v="B564274/A"/>
    <s v="RH10367F372TR"/>
    <s v="A02-S01"/>
    <n v="1"/>
    <n v="1"/>
    <d v="2025-04-29T00:00:00"/>
    <n v="1"/>
    <x v="37"/>
    <d v="1899-12-30T09:00:00"/>
    <n v="0.33333333333333348"/>
    <d v="2025-04-29T00:00:00"/>
    <x v="35"/>
    <s v="Technical"/>
    <m/>
  </r>
  <r>
    <m/>
    <m/>
    <s v="AR768F1001"/>
    <s v="P01"/>
    <n v="1"/>
    <n v="1"/>
    <d v="2025-04-29T00:00:00"/>
    <n v="1"/>
    <x v="2"/>
    <d v="1899-12-30T10:20:00"/>
    <n v="0.33333333333333348"/>
    <d v="2025-04-29T00:00:00"/>
    <x v="35"/>
    <s v="Final Machining"/>
    <m/>
  </r>
  <r>
    <m/>
    <m/>
    <s v="DL015F836"/>
    <s v="Cánh cửa"/>
    <m/>
    <n v="1"/>
    <d v="2025-04-29T00:00:00"/>
    <n v="1"/>
    <x v="12"/>
    <d v="1899-12-30T11:00:00"/>
    <n v="3"/>
    <d v="2025-04-29T00:00:00"/>
    <x v="35"/>
    <s v="NCR"/>
    <m/>
  </r>
  <r>
    <m/>
    <m/>
    <s v="RH323F03"/>
    <s v="A7-S2"/>
    <n v="36"/>
    <n v="576"/>
    <d v="2025-04-29T00:00:00"/>
    <n v="4"/>
    <x v="14"/>
    <d v="1899-12-30T12:00:00"/>
    <n v="20"/>
    <d v="2025-04-29T00:00:00"/>
    <x v="35"/>
    <s v="NCR"/>
    <m/>
  </r>
  <r>
    <m/>
    <m/>
    <s v="RH323F03"/>
    <s v="A5-S2/ A5-S3"/>
    <n v="36"/>
    <n v="432"/>
    <d v="2025-04-29T00:00:00"/>
    <n v="4"/>
    <x v="6"/>
    <d v="1899-12-30T16:00:00"/>
    <n v="12"/>
    <d v="2025-04-29T00:00:00"/>
    <x v="35"/>
    <s v="NCR"/>
    <m/>
  </r>
  <r>
    <m/>
    <m/>
    <s v="SH337F707"/>
    <s v="A1-S01"/>
    <n v="5"/>
    <n v="5"/>
    <d v="2025-05-03T00:00:00"/>
    <n v="1"/>
    <x v="12"/>
    <d v="1899-12-30T09:40:00"/>
    <n v="1.6666666666666661"/>
    <d v="2025-05-03T00:00:00"/>
    <x v="36"/>
    <s v="Final Machining"/>
    <m/>
  </r>
  <r>
    <m/>
    <m/>
    <s v="DL019WF837"/>
    <s v="A1-S4-1"/>
    <n v="1"/>
    <n v="2"/>
    <d v="2025-05-05T00:00:00"/>
    <n v="1"/>
    <x v="12"/>
    <d v="1899-12-30T08:40:00"/>
    <n v="0.66666666666666696"/>
    <d v="2025-05-05T00:00:00"/>
    <x v="36"/>
    <s v="MAChining"/>
    <m/>
  </r>
  <r>
    <m/>
    <m/>
    <s v="RH7148F381"/>
    <s v="A2-1"/>
    <n v="3"/>
    <n v="3"/>
    <d v="2025-05-05T00:00:00"/>
    <n v="1"/>
    <x v="34"/>
    <d v="1899-12-30T09:00:00"/>
    <n v="0.66666666666666563"/>
    <d v="2025-05-05T00:00:00"/>
    <x v="36"/>
    <s v="Unassigned"/>
    <m/>
  </r>
  <r>
    <m/>
    <s v="B561476/A"/>
    <s v="JV033F1165"/>
    <s v="A4-S07"/>
    <n v="4"/>
    <n v="4"/>
    <d v="2025-05-06T00:00:00"/>
    <n v="1"/>
    <x v="1"/>
    <d v="1899-12-30T09:20:00"/>
    <n v="0.33333333333333348"/>
    <d v="2025-05-06T00:00:00"/>
    <x v="36"/>
    <s v="Finishing"/>
    <s v="Tấm nhôm trầy xước"/>
  </r>
  <r>
    <m/>
    <s v="B561476/A"/>
    <s v="JV033F1165"/>
    <s v="A3-S3"/>
    <n v="1"/>
    <n v="1"/>
    <d v="2025-05-06T00:00:00"/>
    <n v="1"/>
    <x v="0"/>
    <d v="1899-12-30T15:20:00"/>
    <n v="0.33333333333333481"/>
    <d v="2025-05-06T00:00:00"/>
    <x v="36"/>
    <s v="Final Machining"/>
    <s v="Tấm nhôm trầy xước"/>
  </r>
  <r>
    <m/>
    <m/>
    <s v="AR408F1001"/>
    <s v="p04"/>
    <n v="45"/>
    <n v="90"/>
    <d v="2025-05-07T00:00:00"/>
    <n v="1"/>
    <x v="12"/>
    <d v="1899-12-30T08:45:00"/>
    <n v="0.75"/>
    <d v="2025-05-07T00:00:00"/>
    <x v="36"/>
    <s v="Technical"/>
    <s v="thay đổi sới veneer lót"/>
  </r>
  <r>
    <m/>
    <m/>
    <s v="AR408F1001"/>
    <s v="p04"/>
    <n v="45"/>
    <n v="90"/>
    <d v="2025-05-07T00:00:00"/>
    <n v="1"/>
    <x v="38"/>
    <d v="1899-12-30T09:30:00"/>
    <n v="0.75"/>
    <d v="2025-05-07T00:00:00"/>
    <x v="36"/>
    <s v="Technical"/>
    <s v="thay đổi sới veneer lót"/>
  </r>
  <r>
    <m/>
    <m/>
    <s v="RH896F03"/>
    <s v="A1-S1-2"/>
    <n v="1"/>
    <n v="1"/>
    <d v="2025-05-08T00:00:00"/>
    <n v="1"/>
    <x v="24"/>
    <d v="1899-12-30T10:00:00"/>
    <n v="0.33333333333333481"/>
    <d v="2025-05-08T00:00:00"/>
    <x v="36"/>
    <s v="MAChining"/>
    <s v="01 tấm bị cong dẫn đến hút bị chạy phôi"/>
  </r>
  <r>
    <m/>
    <s v="bảng màu "/>
    <s v="RH005"/>
    <s v="WD-03-006"/>
    <m/>
    <n v="30"/>
    <d v="2025-05-10T00:00:00"/>
    <n v="2"/>
    <x v="14"/>
    <d v="1899-12-30T10:30:00"/>
    <n v="6.9999999999999991"/>
    <d v="2025-05-10T00:00:00"/>
    <x v="37"/>
    <s v="Finishing"/>
    <s v="Mr.Sơn"/>
  </r>
  <r>
    <m/>
    <m/>
    <s v="JV036F1121"/>
    <s v="A2-S05"/>
    <n v="3"/>
    <n v="3"/>
    <d v="2025-05-12T00:00:00"/>
    <n v="1"/>
    <x v="19"/>
    <d v="1899-12-30T08:30:00"/>
    <n v="1.0000000000000004"/>
    <d v="2025-05-12T00:00:00"/>
    <x v="37"/>
    <s v="Unassigned"/>
    <s v="03 TẤM nhôm bị trầy"/>
  </r>
  <r>
    <m/>
    <m/>
    <s v="DL018F837"/>
    <s v="A1-S4-1"/>
    <n v="2"/>
    <n v="2"/>
    <d v="2025-05-12T00:00:00"/>
    <n v="1"/>
    <x v="11"/>
    <d v="1899-12-30T09:00:00"/>
    <n v="0.49999999999999956"/>
    <d v="2025-05-12T00:00:00"/>
    <x v="37"/>
    <s v="Final Machining"/>
    <s v="02TẤM nhôm bị trầy"/>
  </r>
  <r>
    <m/>
    <m/>
    <s v="RH SAMPLE 73"/>
    <s v="A2-S01"/>
    <n v="1"/>
    <n v="2"/>
    <d v="2025-05-13T00:00:00"/>
    <n v="1"/>
    <x v="12"/>
    <d v="1899-12-30T08:30:00"/>
    <n v="0.50000000000000089"/>
    <d v="2025-05-13T00:00:00"/>
    <x v="37"/>
    <s v="ME"/>
    <s v="HÀNG MẪU"/>
  </r>
  <r>
    <m/>
    <m/>
    <s v="RH SAMPLE 74"/>
    <s v="A2-S01"/>
    <n v="1"/>
    <n v="2"/>
    <d v="2025-05-13T00:00:00"/>
    <n v="1"/>
    <x v="11"/>
    <d v="1899-12-30T09:00:00"/>
    <n v="0.49999999999999956"/>
    <d v="2025-05-13T00:00:00"/>
    <x v="37"/>
    <s v="ME"/>
    <s v="HÀNG MẪU"/>
  </r>
  <r>
    <m/>
    <m/>
    <s v="RH SAMPLE 75"/>
    <s v="A2-S01"/>
    <n v="1"/>
    <n v="2"/>
    <d v="2025-05-13T00:00:00"/>
    <n v="1"/>
    <x v="1"/>
    <d v="1899-12-30T09:30:00"/>
    <n v="0.49999999999999956"/>
    <d v="2025-05-13T00:00:00"/>
    <x v="37"/>
    <s v="ME"/>
    <s v="HÀNG MẪU"/>
  </r>
  <r>
    <m/>
    <m/>
    <s v="RH SAMPLE 76"/>
    <s v="A2-S01"/>
    <n v="1"/>
    <n v="2"/>
    <d v="2025-05-13T00:00:00"/>
    <n v="1"/>
    <x v="25"/>
    <d v="1899-12-30T10:00:00"/>
    <n v="0.50000000000000089"/>
    <d v="2025-05-13T00:00:00"/>
    <x v="37"/>
    <s v="ME"/>
    <s v="HÀNG MẪU"/>
  </r>
  <r>
    <m/>
    <m/>
    <s v="RH SAMPLE 73"/>
    <s v="A2-S02"/>
    <n v="1"/>
    <n v="1"/>
    <d v="2025-05-13T00:00:00"/>
    <n v="2"/>
    <x v="12"/>
    <d v="1899-12-30T08:15:00"/>
    <n v="0.50000000000000089"/>
    <d v="2025-05-13T00:00:00"/>
    <x v="37"/>
    <s v="ME"/>
    <s v="HÀNG MẪU"/>
  </r>
  <r>
    <m/>
    <m/>
    <s v="RH SAMPLE 74"/>
    <s v="A2-S02"/>
    <n v="1"/>
    <n v="1"/>
    <d v="2025-05-13T00:00:00"/>
    <n v="2"/>
    <x v="39"/>
    <d v="1899-12-30T08:30:00"/>
    <n v="0.50000000000000089"/>
    <d v="2025-05-13T00:00:00"/>
    <x v="37"/>
    <s v="ME"/>
    <s v="HÀNG MẪU"/>
  </r>
  <r>
    <m/>
    <m/>
    <s v="RH SAMPLE 75"/>
    <s v="A2-S02"/>
    <n v="1"/>
    <n v="1"/>
    <d v="2025-05-13T00:00:00"/>
    <n v="2"/>
    <x v="11"/>
    <d v="1899-12-30T08:45:00"/>
    <n v="0.49999999999999822"/>
    <d v="2025-05-13T00:00:00"/>
    <x v="37"/>
    <s v="ME"/>
    <s v="HÀNG MẪU"/>
  </r>
  <r>
    <m/>
    <m/>
    <s v="RH SAMPLE 76"/>
    <s v="A2-S02"/>
    <n v="1"/>
    <n v="1"/>
    <d v="2025-05-13T00:00:00"/>
    <n v="2"/>
    <x v="38"/>
    <d v="1899-12-30T09:00:00"/>
    <n v="0.50000000000000089"/>
    <d v="2025-05-13T00:00:00"/>
    <x v="37"/>
    <s v="ME"/>
    <s v="HÀNG MẪU"/>
  </r>
  <r>
    <m/>
    <m/>
    <s v="RH SAMPLE 73"/>
    <s v="A2"/>
    <n v="1"/>
    <n v="1"/>
    <d v="2025-05-13T00:00:00"/>
    <n v="2"/>
    <x v="2"/>
    <d v="1899-12-30T10:20:00"/>
    <n v="0.66666666666666696"/>
    <d v="2025-05-13T00:00:00"/>
    <x v="37"/>
    <s v="ME"/>
    <s v="HÀNG MẪU"/>
  </r>
  <r>
    <m/>
    <m/>
    <s v="RH SAMPLE 74"/>
    <s v="A2"/>
    <n v="1"/>
    <n v="1"/>
    <d v="2025-05-13T00:00:00"/>
    <n v="2"/>
    <x v="28"/>
    <d v="1899-12-30T10:40:00"/>
    <n v="0.6666666666666643"/>
    <d v="2025-05-13T00:00:00"/>
    <x v="37"/>
    <s v="ME"/>
    <s v="HÀNG MẪU"/>
  </r>
  <r>
    <m/>
    <m/>
    <s v="RH SAMPLE 75"/>
    <s v="A2"/>
    <n v="1"/>
    <n v="1"/>
    <d v="2025-05-13T00:00:00"/>
    <n v="2"/>
    <x v="40"/>
    <d v="1899-12-30T11:00:00"/>
    <n v="0.66666666666666696"/>
    <d v="2025-05-13T00:00:00"/>
    <x v="37"/>
    <s v="ME"/>
    <s v="HÀNG MẪU"/>
  </r>
  <r>
    <m/>
    <m/>
    <s v="RH SAMPLE 76"/>
    <s v="A2"/>
    <n v="1"/>
    <n v="1"/>
    <d v="2025-05-13T00:00:00"/>
    <n v="2"/>
    <x v="4"/>
    <d v="1899-12-30T11:20:00"/>
    <n v="0.66666666666666963"/>
    <d v="2025-05-13T00:00:00"/>
    <x v="37"/>
    <s v="ME"/>
    <s v="HÀNG MẪU"/>
  </r>
  <r>
    <m/>
    <m/>
    <s v="BN3216F355"/>
    <m/>
    <n v="1"/>
    <n v="1"/>
    <d v="2025-05-14T00:00:00"/>
    <n v="2"/>
    <x v="12"/>
    <d v="1899-12-30T14:00:00"/>
    <n v="12.000000000000004"/>
    <d v="2025-05-14T00:00:00"/>
    <x v="37"/>
    <s v="NCR"/>
    <s v="Mặt top bàn bị trầy"/>
  </r>
  <r>
    <m/>
    <m/>
    <s v="AR1000F1001"/>
    <m/>
    <m/>
    <n v="1"/>
    <d v="2025-05-15T00:00:00"/>
    <n v="1"/>
    <x v="41"/>
    <d v="1899-12-30T16:00:00"/>
    <n v="6.2499999999999991"/>
    <d v="2025-05-15T00:00:00"/>
    <x v="37"/>
    <s v="NCR"/>
    <s v="Mặt top bàn bị dộp"/>
  </r>
  <r>
    <m/>
    <m/>
    <s v="RH441F01"/>
    <s v="A3-S1"/>
    <n v="4"/>
    <n v="4"/>
    <d v="2025-05-15T00:00:00"/>
    <n v="2"/>
    <x v="19"/>
    <d v="1899-12-30T07:50:00"/>
    <n v="0.66666666666666696"/>
    <d v="2025-05-15T00:00:00"/>
    <x v="37"/>
    <m/>
    <s v="Làm bàn văn phòng"/>
  </r>
  <r>
    <m/>
    <m/>
    <s v="RH441F01"/>
    <s v="A4-S1"/>
    <n v="4"/>
    <n v="4"/>
    <d v="2025-05-15T00:00:00"/>
    <n v="2"/>
    <x v="42"/>
    <d v="1899-12-30T08:10:00"/>
    <n v="0.6666666666666643"/>
    <d v="2025-05-15T00:00:00"/>
    <x v="37"/>
    <m/>
    <s v="Làm bàn văn phòng"/>
  </r>
  <r>
    <m/>
    <m/>
    <s v="RH441F01"/>
    <s v="A5-S1"/>
    <n v="4"/>
    <n v="4"/>
    <d v="2025-05-15T00:00:00"/>
    <n v="2"/>
    <x v="43"/>
    <d v="1899-12-30T08:30:00"/>
    <n v="0.66666666666666963"/>
    <d v="2025-05-15T00:00:00"/>
    <x v="37"/>
    <m/>
    <s v="Làm bàn văn phòng"/>
  </r>
  <r>
    <m/>
    <m/>
    <s v="RH441F01"/>
    <s v="A6-S4-1"/>
    <n v="4"/>
    <n v="4"/>
    <d v="2025-05-15T00:00:00"/>
    <n v="2"/>
    <x v="11"/>
    <d v="1899-12-30T08:50:00"/>
    <n v="0.66666666666666696"/>
    <d v="2025-05-15T00:00:00"/>
    <x v="37"/>
    <m/>
    <s v="Làm bàn văn phòng"/>
  </r>
  <r>
    <m/>
    <m/>
    <s v="RH441F01"/>
    <s v="P19"/>
    <n v="4"/>
    <n v="4"/>
    <d v="2025-05-15T00:00:00"/>
    <n v="2"/>
    <x v="32"/>
    <d v="1899-12-30T09:10:00"/>
    <n v="0.6666666666666643"/>
    <d v="2025-05-15T00:00:00"/>
    <x v="37"/>
    <m/>
    <s v="Làm bàn văn phòng"/>
  </r>
  <r>
    <m/>
    <m/>
    <s v="RH441F01"/>
    <s v="P19-2"/>
    <n v="4"/>
    <n v="4"/>
    <d v="2025-05-15T00:00:00"/>
    <n v="2"/>
    <x v="44"/>
    <d v="1899-12-30T09:30:00"/>
    <n v="0.66666666666666696"/>
    <d v="2025-05-15T00:00:00"/>
    <x v="37"/>
    <m/>
    <s v="Làm bàn văn phòng"/>
  </r>
  <r>
    <m/>
    <m/>
    <s v="RH441F01"/>
    <s v="P19-1"/>
    <n v="4"/>
    <n v="4"/>
    <d v="2025-05-15T00:00:00"/>
    <n v="2"/>
    <x v="25"/>
    <d v="1899-12-30T09:50:00"/>
    <n v="0.66666666666666963"/>
    <d v="2025-05-15T00:00:00"/>
    <x v="37"/>
    <m/>
    <s v="Làm bàn văn phòng"/>
  </r>
  <r>
    <m/>
    <m/>
    <s v="RH441F01"/>
    <s v="P17-1"/>
    <n v="4"/>
    <n v="4"/>
    <d v="2025-05-15T00:00:00"/>
    <n v="2"/>
    <x v="45"/>
    <d v="1899-12-30T10:10:00"/>
    <n v="0.6666666666666643"/>
    <d v="2025-05-15T00:00:00"/>
    <x v="37"/>
    <m/>
    <s v="Làm bàn văn phòng"/>
  </r>
  <r>
    <m/>
    <m/>
    <s v="RH441F01"/>
    <s v="A1-S3"/>
    <n v="4"/>
    <n v="4"/>
    <d v="2025-05-15T00:00:00"/>
    <n v="2"/>
    <x v="33"/>
    <d v="1899-12-30T10:30:00"/>
    <n v="0.66666666666666696"/>
    <d v="2025-05-15T00:00:00"/>
    <x v="37"/>
    <m/>
    <s v="Làm bàn văn phòng"/>
  </r>
  <r>
    <m/>
    <s v="BẢNG MÀU"/>
    <s v="WD-03-250"/>
    <m/>
    <m/>
    <n v="30"/>
    <d v="2025-05-15T00:00:00"/>
    <n v="1"/>
    <x v="1"/>
    <d v="1899-12-30T10:00:00"/>
    <n v="1.0000000000000004"/>
    <d v="2025-05-15T00:00:00"/>
    <x v="37"/>
    <s v="TF"/>
    <m/>
  </r>
  <r>
    <m/>
    <s v="BẢNG MÀU"/>
    <s v="WD-03-525"/>
    <m/>
    <m/>
    <n v="30"/>
    <d v="2025-05-15T00:00:00"/>
    <n v="1"/>
    <x v="2"/>
    <d v="1899-12-30T11:00:00"/>
    <n v="0.99999999999999911"/>
    <d v="2025-05-15T00:00:00"/>
    <x v="37"/>
    <s v="TF"/>
    <m/>
  </r>
  <r>
    <m/>
    <s v="BẢNG MÀU"/>
    <s v="WD-03-185"/>
    <m/>
    <m/>
    <n v="30"/>
    <d v="2025-05-15T00:00:00"/>
    <n v="1"/>
    <x v="4"/>
    <d v="1899-12-30T12:00:00"/>
    <n v="1.0000000000000004"/>
    <d v="2025-05-15T00:00:00"/>
    <x v="37"/>
    <s v="TF"/>
    <m/>
  </r>
  <r>
    <m/>
    <m/>
    <s v="DL018F837"/>
    <s v="A1-S4"/>
    <n v="1"/>
    <n v="1"/>
    <d v="2025-05-17T00:00:00"/>
    <n v="1"/>
    <x v="12"/>
    <d v="1899-12-30T08:15:00"/>
    <n v="0.25000000000000044"/>
    <d v="2025-05-17T00:00:00"/>
    <x v="38"/>
    <s v="Finishing"/>
    <s v="lá bạc trầy xước"/>
  </r>
  <r>
    <m/>
    <m/>
    <s v="DL018F837"/>
    <s v="A1-S4-1"/>
    <n v="2"/>
    <n v="2"/>
    <d v="2025-05-17T00:00:00"/>
    <n v="1"/>
    <x v="39"/>
    <d v="1899-12-30T08:35:00"/>
    <n v="0.33333333333333348"/>
    <d v="2025-05-17T00:00:00"/>
    <x v="38"/>
    <s v="Finishing"/>
    <s v="lá bạc trầy xước"/>
  </r>
  <r>
    <m/>
    <m/>
    <s v="JV012F536"/>
    <s v="A2-005"/>
    <m/>
    <n v="3"/>
    <d v="2025-05-17T00:00:00"/>
    <n v="1"/>
    <x v="37"/>
    <d v="1899-12-30T09:40:00"/>
    <n v="0.99999999999999911"/>
    <d v="2025-05-17T00:00:00"/>
    <x v="38"/>
    <s v="Unassigned"/>
    <s v="03 miếng nhôm trầy"/>
  </r>
  <r>
    <m/>
    <m/>
    <s v="AR1000F1001"/>
    <s v="A1-S01"/>
    <n v="1"/>
    <n v="1"/>
    <d v="2025-05-16T00:00:00"/>
    <n v="1"/>
    <x v="12"/>
    <d v="1899-12-30T08:15:00"/>
    <n v="0.25000000000000044"/>
    <d v="2025-05-16T00:00:00"/>
    <x v="38"/>
    <s v="Final Machining"/>
    <s v="mặt TOP bị dộp veneer"/>
  </r>
  <r>
    <m/>
    <m/>
    <m/>
    <s v="A1-S02"/>
    <n v="1"/>
    <n v="2"/>
    <d v="2025-05-16T00:00:00"/>
    <n v="1"/>
    <x v="39"/>
    <d v="1899-12-30T08:45:00"/>
    <n v="0.49999999999999956"/>
    <d v="2025-05-16T00:00:00"/>
    <x v="38"/>
    <s v="Final Machining"/>
    <s v="mặt TOP bị dộp veneer"/>
  </r>
  <r>
    <m/>
    <m/>
    <m/>
    <s v="A1-S03"/>
    <n v="1"/>
    <n v="2"/>
    <d v="2025-05-16T00:00:00"/>
    <n v="1"/>
    <x v="38"/>
    <d v="1899-12-30T09:15:00"/>
    <n v="0.50000000000000089"/>
    <d v="2025-05-16T00:00:00"/>
    <x v="38"/>
    <s v="Final Machining"/>
    <s v="mặt TOP bị dộp veneer"/>
  </r>
  <r>
    <m/>
    <m/>
    <m/>
    <s v="A2-S01"/>
    <n v="1"/>
    <n v="2"/>
    <d v="2025-05-16T00:00:00"/>
    <n v="1"/>
    <x v="46"/>
    <d v="1899-12-30T09:45:00"/>
    <n v="0.49999999999999956"/>
    <d v="2025-05-16T00:00:00"/>
    <x v="38"/>
    <s v="Final Machining"/>
    <s v="mặt TOP bị dộp veneer"/>
  </r>
  <r>
    <m/>
    <m/>
    <m/>
    <s v="A2-S02"/>
    <n v="1"/>
    <n v="2"/>
    <d v="2025-05-16T00:00:00"/>
    <n v="1"/>
    <x v="41"/>
    <d v="1899-12-30T10:15:00"/>
    <n v="0.49999999999999956"/>
    <d v="2025-05-16T00:00:00"/>
    <x v="38"/>
    <s v="Final Machining"/>
    <s v="mặt TOP bị dộp veneer"/>
  </r>
  <r>
    <m/>
    <m/>
    <m/>
    <s v="P03"/>
    <n v="1"/>
    <n v="2"/>
    <d v="2025-05-16T00:00:00"/>
    <n v="1"/>
    <x v="47"/>
    <d v="1899-12-30T10:45:00"/>
    <n v="0.50000000000000089"/>
    <d v="2025-05-16T00:00:00"/>
    <x v="38"/>
    <s v="Final Machining"/>
    <s v="mặt TOP bị dộp veneer"/>
  </r>
  <r>
    <m/>
    <m/>
    <m/>
    <s v="P04"/>
    <n v="1"/>
    <n v="2"/>
    <d v="2025-05-16T00:00:00"/>
    <n v="1"/>
    <x v="48"/>
    <d v="1899-12-30T11:15:00"/>
    <n v="0.49999999999999956"/>
    <d v="2025-05-16T00:00:00"/>
    <x v="38"/>
    <s v="Final Machining"/>
    <s v="mặt TOP bị dộp veneer"/>
  </r>
  <r>
    <m/>
    <m/>
    <m/>
    <s v="P06"/>
    <n v="1"/>
    <n v="2"/>
    <d v="2025-05-16T00:00:00"/>
    <n v="1"/>
    <x v="49"/>
    <d v="1899-12-30T11:45:00"/>
    <n v="0.49999999999999956"/>
    <d v="2025-05-16T00:00:00"/>
    <x v="38"/>
    <s v="Final Machining"/>
    <s v="mặt TOP bị dộp veneer"/>
  </r>
  <r>
    <m/>
    <m/>
    <s v="DL018F837"/>
    <s v="A1-S4-15"/>
    <n v="5"/>
    <n v="5"/>
    <d v="2025-05-16T00:00:00"/>
    <n v="2"/>
    <x v="6"/>
    <d v="1899-12-30T13:10:00"/>
    <n v="0.33333333333333215"/>
    <d v="2025-05-16T00:00:00"/>
    <x v="38"/>
    <s v="Final Machining"/>
    <s v="05 tấm bị trầy"/>
  </r>
  <r>
    <m/>
    <m/>
    <s v="JV035F1165"/>
    <s v="A4-S08"/>
    <n v="3"/>
    <n v="6"/>
    <d v="2025-05-16T00:00:00"/>
    <n v="2"/>
    <x v="50"/>
    <d v="1899-12-30T13:40:00"/>
    <n v="1.0000000000000018"/>
    <d v="2025-05-16T00:00:00"/>
    <x v="38"/>
    <s v="Assembly"/>
    <s v="Tấm nhôm trầy"/>
  </r>
  <r>
    <m/>
    <m/>
    <m/>
    <s v="A2-S05"/>
    <n v="1"/>
    <n v="2"/>
    <d v="2025-05-16T00:00:00"/>
    <n v="2"/>
    <x v="51"/>
    <d v="1899-12-30T13:50:00"/>
    <n v="0.33333333333333748"/>
    <d v="2025-05-16T00:00:00"/>
    <x v="38"/>
    <s v="Assembly"/>
    <s v="Tấm nhôm trầy"/>
  </r>
  <r>
    <m/>
    <m/>
    <m/>
    <s v="A3-S05"/>
    <n v="3"/>
    <n v="3"/>
    <d v="2025-05-16T00:00:00"/>
    <n v="2"/>
    <x v="21"/>
    <d v="1899-12-30T14:10:00"/>
    <n v="0.6666666666666643"/>
    <d v="2025-05-16T00:00:00"/>
    <x v="38"/>
    <s v="Assembly"/>
    <s v="Tấm nhôm trầy"/>
  </r>
  <r>
    <m/>
    <m/>
    <s v="JV036F1164"/>
    <s v="A1-S07"/>
    <n v="1"/>
    <n v="1"/>
    <d v="2025-05-16T00:00:00"/>
    <n v="2"/>
    <x v="17"/>
    <d v="1899-12-30T14:40:00"/>
    <n v="0.6666666666666643"/>
    <d v="2025-05-16T00:00:00"/>
    <x v="38"/>
    <s v="Unassigned"/>
    <s v="Tấm nhôm trầy"/>
  </r>
  <r>
    <m/>
    <m/>
    <m/>
    <s v="A2-S05"/>
    <n v="1"/>
    <n v="1"/>
    <d v="2025-05-16T00:00:00"/>
    <n v="2"/>
    <x v="30"/>
    <d v="1899-12-30T15:00:00"/>
    <n v="0.66666666666666963"/>
    <d v="2025-05-16T00:00:00"/>
    <x v="38"/>
    <s v="Unassigned"/>
    <s v="Tấm nhôm trầy"/>
  </r>
  <r>
    <m/>
    <m/>
    <s v="DL016WF836"/>
    <s v="P12-2"/>
    <n v="1"/>
    <n v="2"/>
    <d v="2025-05-16T00:00:00"/>
    <n v="2"/>
    <x v="0"/>
    <d v="1899-12-30T15:30:00"/>
    <n v="1.0000000000000018"/>
    <d v="2025-05-16T00:00:00"/>
    <x v="38"/>
    <s v="Unassigned"/>
    <s v="02 tấm veneer mặt ngoài hư do đang chạy CNC cúp điện"/>
  </r>
  <r>
    <m/>
    <m/>
    <m/>
    <s v="p12-3"/>
    <n v="1"/>
    <n v="2"/>
    <d v="2025-05-16T00:00:00"/>
    <n v="2"/>
    <x v="7"/>
    <d v="1899-12-30T16:00:00"/>
    <n v="0.99999999999999645"/>
    <d v="2025-05-16T00:00:00"/>
    <x v="38"/>
    <s v="Unassigned"/>
    <s v="02 tấm veneer mặt ngoài hư do đang chạy CNC cúp điện"/>
  </r>
  <r>
    <m/>
    <m/>
    <s v="HS5229F1090"/>
    <s v="A1-S01"/>
    <n v="1"/>
    <n v="1"/>
    <d v="2025-05-16T00:00:00"/>
    <n v="2"/>
    <x v="6"/>
    <d v="1899-12-30T13:15:00"/>
    <n v="0.50000000000000355"/>
    <d v="2025-05-16T00:00:00"/>
    <x v="38"/>
    <s v="Unassigned"/>
    <s v="01 tấm bị hư do đang chạy CNC cúp điện"/>
  </r>
  <r>
    <m/>
    <m/>
    <s v="AR125F834-BASE"/>
    <s v="A0"/>
    <n v="15"/>
    <n v="15"/>
    <d v="2025-05-16T00:00:00"/>
    <n v="2"/>
    <x v="13"/>
    <d v="1899-12-30T14:30:00"/>
    <n v="1.9999999999999982"/>
    <d v="2025-05-16T00:00:00"/>
    <x v="38"/>
    <s v="Unassigned"/>
    <s v="15 TẤM bị hư do đang chạy CNC cúp diên"/>
  </r>
  <r>
    <m/>
    <m/>
    <s v="RH531F08"/>
    <s v="A1-S1-2"/>
    <n v="18"/>
    <n v="18"/>
    <d v="2025-05-16T00:00:00"/>
    <n v="2"/>
    <x v="8"/>
    <d v="1899-12-30T15:30:00"/>
    <n v="2.0000000000000036"/>
    <d v="2025-05-16T00:00:00"/>
    <x v="38"/>
    <s v="Unassigned"/>
    <s v="đổi lại ván MDF dán veneer trong nhà do quá khổ"/>
  </r>
  <r>
    <m/>
    <m/>
    <s v="HS5383AF1090"/>
    <s v="A2-S14"/>
    <n v="1"/>
    <n v="1"/>
    <d v="2025-05-19T00:00:00"/>
    <n v="1"/>
    <x v="1"/>
    <d v="1899-12-30T09:15:00"/>
    <n v="0.25000000000000044"/>
    <d v="2025-05-19T00:00:00"/>
    <x v="38"/>
    <s v="Final Machining"/>
    <s v="01 tấm chạy sai kích thước trong quá trình CNC"/>
  </r>
  <r>
    <m/>
    <s v="BẢNG MÀU"/>
    <s v="OKOUME"/>
    <m/>
    <m/>
    <n v="4"/>
    <d v="2025-05-19T00:00:00"/>
    <n v="2"/>
    <x v="35"/>
    <d v="1899-12-30T09:50:00"/>
    <n v="1.0000000000000018"/>
    <d v="2025-05-19T00:00:00"/>
    <x v="38"/>
    <s v="ME"/>
    <s v="hàng mẫu"/>
  </r>
  <r>
    <m/>
    <s v="BẢNG MÀU"/>
    <s v="poplar"/>
    <m/>
    <m/>
    <n v="1"/>
    <d v="2025-05-19T00:00:00"/>
    <n v="2"/>
    <x v="45"/>
    <d v="1899-12-30T10:00:00"/>
    <n v="0.33333333333333215"/>
    <d v="2025-05-19T00:00:00"/>
    <x v="38"/>
    <s v="ME"/>
    <s v="hàng mẫu"/>
  </r>
  <r>
    <m/>
    <s v="BẢNG MÀU"/>
    <s v="PINE"/>
    <m/>
    <m/>
    <n v="1"/>
    <d v="2025-05-19T00:00:00"/>
    <n v="2"/>
    <x v="33"/>
    <d v="1899-12-30T10:20:00"/>
    <n v="0.33333333333333481"/>
    <d v="2025-05-19T00:00:00"/>
    <x v="38"/>
    <s v="ME"/>
    <s v="hàng mẫu"/>
  </r>
  <r>
    <m/>
    <s v="BẢNG MÀU"/>
    <s v="DOUGLAS FIR"/>
    <m/>
    <m/>
    <n v="2"/>
    <d v="2025-05-19T00:00:00"/>
    <n v="2"/>
    <x v="28"/>
    <d v="1899-12-30T10:35:00"/>
    <n v="0.50000000000000089"/>
    <d v="2025-05-19T00:00:00"/>
    <x v="38"/>
    <s v="ME"/>
    <s v="hàng mẫu"/>
  </r>
  <r>
    <m/>
    <s v="BẢNG MÀU"/>
    <s v="DL019F857"/>
    <s v="A1-S0-1-B"/>
    <m/>
    <n v="20"/>
    <d v="2025-05-20T00:00:00"/>
    <n v="1"/>
    <x v="1"/>
    <d v="1899-12-30T09:25:00"/>
    <n v="0.41666666666666652"/>
    <d v="2025-05-20T00:00:00"/>
    <x v="38"/>
    <s v="TF"/>
    <s v="Mr.Sơn"/>
  </r>
  <r>
    <m/>
    <s v="BẢNG MÀU"/>
    <m/>
    <s v="A1-S0-B"/>
    <m/>
    <n v="20"/>
    <d v="2025-05-20T00:00:00"/>
    <n v="1"/>
    <x v="25"/>
    <d v="1899-12-30T09:55:00"/>
    <n v="0.41666666666666652"/>
    <d v="2025-05-20T00:00:00"/>
    <x v="38"/>
    <s v="TF"/>
    <s v="Mr.Sơn"/>
  </r>
  <r>
    <m/>
    <s v="BẢNG MÀU"/>
    <m/>
    <s v="A1-S0-C"/>
    <m/>
    <n v="20"/>
    <d v="2025-05-20T00:00:00"/>
    <n v="1"/>
    <x v="2"/>
    <d v="1899-12-30T10:20:00"/>
    <n v="0.33333333333333348"/>
    <d v="2025-05-20T00:00:00"/>
    <x v="38"/>
    <s v="TF"/>
    <s v="Mr.Sơn"/>
  </r>
  <r>
    <m/>
    <s v="BẢNG MÀU"/>
    <m/>
    <s v="A1-S1-3"/>
    <m/>
    <n v="20"/>
    <d v="2025-05-20T00:00:00"/>
    <n v="1"/>
    <x v="28"/>
    <d v="1899-12-30T10:40:00"/>
    <n v="0.33333333333333215"/>
    <d v="2025-05-20T00:00:00"/>
    <x v="38"/>
    <s v="TF"/>
    <s v="Mr.Sơn"/>
  </r>
  <r>
    <m/>
    <s v="BẢNG MÀU"/>
    <s v="JV008F580"/>
    <s v="ASH+POPLAR"/>
    <m/>
    <n v="14"/>
    <d v="2025-05-20T00:00:00"/>
    <n v="1"/>
    <x v="40"/>
    <d v="1899-12-30T11:10:00"/>
    <n v="0.49999999999999956"/>
    <d v="2025-05-20T00:00:00"/>
    <x v="38"/>
    <s v="TF"/>
    <s v="Mr.Sơn"/>
  </r>
  <r>
    <m/>
    <s v="BẢNG MÀU"/>
    <s v="Wanult burl 038"/>
    <m/>
    <m/>
    <n v="31"/>
    <d v="2025-05-21T00:00:00"/>
    <n v="1"/>
    <x v="1"/>
    <d v="1899-12-30T15:00:00"/>
    <n v="6"/>
    <d v="2025-05-21T00:00:00"/>
    <x v="38"/>
    <s v="TF"/>
    <s v="Mr.Sơn"/>
  </r>
  <r>
    <m/>
    <s v="B564274/A"/>
    <s v="RH10367F372TR"/>
    <s v="P03"/>
    <n v="1"/>
    <n v="2"/>
    <d v="2025-05-21T00:00:00"/>
    <n v="1"/>
    <x v="1"/>
    <d v="1899-12-30T09:20:00"/>
    <n v="0.33333333333333348"/>
    <d v="2025-05-21T00:00:00"/>
    <x v="38"/>
    <s v="Technical"/>
    <s v="thay đổi kết cấu ván kệ, thêm vách ngăn"/>
  </r>
  <r>
    <m/>
    <m/>
    <m/>
    <s v="P04"/>
    <n v="1"/>
    <n v="1"/>
    <d v="2025-05-21T00:00:00"/>
    <n v="1"/>
    <x v="35"/>
    <d v="1899-12-30T09:30:00"/>
    <n v="0.16666666666666607"/>
    <d v="2025-05-21T00:00:00"/>
    <x v="38"/>
    <s v="Technical"/>
    <s v="thay đổi kết cấu ván kệ, thêm vách ngăn"/>
  </r>
  <r>
    <m/>
    <m/>
    <s v="DL019WF837"/>
    <s v="A1-S4-1"/>
    <n v="1"/>
    <n v="2"/>
    <d v="2025-05-21T00:00:00"/>
    <n v="1"/>
    <x v="25"/>
    <d v="1899-12-30T09:50:00"/>
    <n v="0.33333333333333481"/>
    <d v="2025-05-21T00:00:00"/>
    <x v="38"/>
    <s v="Final Machining"/>
    <s v="02 psc bị cấn móp"/>
  </r>
  <r>
    <m/>
    <m/>
    <s v="DL019WF837"/>
    <s v="A1-S4-1"/>
    <n v="2"/>
    <n v="3"/>
    <d v="2025-05-22T00:00:00"/>
    <n v="1"/>
    <x v="12"/>
    <d v="1899-12-30T08:30:00"/>
    <n v="0.50000000000000089"/>
    <d v="2025-05-22T00:00:00"/>
    <x v="38"/>
    <s v="Final Machining"/>
    <s v="03 TẤM nhôm bị trầy"/>
  </r>
  <r>
    <m/>
    <m/>
    <s v="MN5875"/>
    <s v="P01-1"/>
    <n v="1"/>
    <n v="2"/>
    <d v="2025-05-22T00:00:00"/>
    <n v="1"/>
    <x v="11"/>
    <d v="1899-12-30T08:40:00"/>
    <n v="0.16666666666666607"/>
    <d v="2025-05-22T00:00:00"/>
    <x v="38"/>
    <s v="Final Machining"/>
    <s v="02 TẤM CHẠY THEO THỰC TÊ BI LỆCH TRONG QUÁ TRÌNH CHẠY CNC"/>
  </r>
  <r>
    <m/>
    <m/>
    <s v="DL019WF837"/>
    <s v="A3-S3"/>
    <n v="1"/>
    <n v="1"/>
    <d v="2025-05-22T00:00:00"/>
    <n v="1"/>
    <x v="32"/>
    <d v="1899-12-30T09:00:00"/>
    <n v="0.16666666666666607"/>
    <d v="2025-05-22T00:00:00"/>
    <x v="38"/>
    <s v="Unassigned"/>
    <s v="khay tủ bỏ vô hộc kéo không vừa"/>
  </r>
  <r>
    <m/>
    <m/>
    <s v="DL019WF837"/>
    <s v="A1-S07A"/>
    <n v="2"/>
    <n v="4"/>
    <d v="2025-05-22T00:00:00"/>
    <n v="1"/>
    <x v="1"/>
    <d v="1899-12-30T09:40:00"/>
    <n v="0.66666666666666563"/>
    <d v="2025-05-22T00:00:00"/>
    <x v="38"/>
    <s v="Final Machining"/>
    <s v="04 tấm bị trày"/>
  </r>
  <r>
    <m/>
    <m/>
    <s v="DL019WF837"/>
    <s v="A3-01"/>
    <n v="1"/>
    <n v="2"/>
    <d v="2025-05-22T00:00:00"/>
    <n v="1"/>
    <x v="50"/>
    <d v="1899-12-30T13:30:00"/>
    <n v="0.33333333333333481"/>
    <d v="2025-05-22T00:00:00"/>
    <x v="38"/>
    <s v="Unassigned"/>
    <s v="khay tủ bỏ vô hộc kéo không vừa"/>
  </r>
  <r>
    <m/>
    <m/>
    <s v="DL019WF837"/>
    <s v="A3-S2"/>
    <n v="1"/>
    <n v="2"/>
    <d v="2025-05-22T00:00:00"/>
    <n v="1"/>
    <x v="13"/>
    <d v="1899-12-30T14:00:00"/>
    <n v="0.50000000000000089"/>
    <d v="2025-05-22T00:00:00"/>
    <x v="38"/>
    <s v="Unassigned"/>
    <s v="khay tủ bỏ vô hộc kéo không vừa"/>
  </r>
  <r>
    <m/>
    <m/>
    <s v="DL019WF837"/>
    <s v="A3-S4"/>
    <n v="1"/>
    <n v="2"/>
    <d v="2025-05-22T00:00:00"/>
    <n v="1"/>
    <x v="3"/>
    <d v="1899-12-30T14:30:00"/>
    <n v="0.49999999999999822"/>
    <d v="2025-05-22T00:00:00"/>
    <x v="38"/>
    <s v="Unassigned"/>
    <s v="khay tủ bỏ vô hộc kéo không vừa"/>
  </r>
  <r>
    <m/>
    <m/>
    <s v="DL019WF837"/>
    <s v="KHAY HỘC KÉO"/>
    <m/>
    <n v="1"/>
    <d v="2025-05-22T00:00:00"/>
    <n v="1"/>
    <x v="12"/>
    <d v="1899-12-30T08:30:00"/>
    <n v="0.50000000000000089"/>
    <d v="2025-05-22T00:00:00"/>
    <x v="38"/>
    <s v="Unassigned"/>
    <s v="khay tủ bỏ vô hộc kéo không vừa"/>
  </r>
  <r>
    <m/>
    <m/>
    <s v="RH670"/>
    <s v="P1"/>
    <m/>
    <n v="4"/>
    <d v="2025-05-23T00:00:00"/>
    <n v="2"/>
    <x v="4"/>
    <d v="1899-12-30T12:00:00"/>
    <n v="2.0000000000000009"/>
    <d v="2025-05-23T00:00:00"/>
    <x v="39"/>
    <s v="Unassigned"/>
    <s v="Thiếu cước không giống panel"/>
  </r>
  <r>
    <m/>
    <m/>
    <s v="JV007F580"/>
    <s v="A1-S4-1"/>
    <n v="2"/>
    <n v="2"/>
    <d v="2025-05-24T00:00:00"/>
    <n v="1"/>
    <x v="21"/>
    <d v="1899-12-30T14:30:00"/>
    <n v="0.6666666666666643"/>
    <d v="2025-05-24T00:00:00"/>
    <x v="39"/>
    <s v="Finishing"/>
    <s v="2 psc bị trầy xước trong quá trình vận chuyển"/>
  </r>
  <r>
    <m/>
    <m/>
    <s v="HS5229F1090"/>
    <s v="A1-S01"/>
    <n v="1"/>
    <n v="1"/>
    <d v="2025-05-27T00:00:00"/>
    <n v="1"/>
    <x v="1"/>
    <d v="1899-12-30T09:20:00"/>
    <n v="0.33333333333333348"/>
    <d v="2025-05-27T00:00:00"/>
    <x v="39"/>
    <s v="MAChining"/>
    <s v="01 Tấm bị bể hư mặt veneer laminate"/>
  </r>
  <r>
    <m/>
    <m/>
    <s v="HS5383AF1090"/>
    <s v="A1-S01"/>
    <n v="3"/>
    <n v="3"/>
    <d v="2025-05-27T00:00:00"/>
    <n v="1"/>
    <x v="35"/>
    <d v="1899-12-30T10:20:00"/>
    <n v="1.0000000000000004"/>
    <d v="2025-05-27T00:00:00"/>
    <x v="39"/>
    <s v="MAChining"/>
    <s v="03 Tấm bị bể hư mặt veneer laminate"/>
  </r>
  <r>
    <m/>
    <m/>
    <s v="JV035F1165"/>
    <s v="A4-S08"/>
    <m/>
    <n v="1"/>
    <d v="2025-05-27T00:00:00"/>
    <n v="1"/>
    <x v="23"/>
    <d v="1899-12-30T10:45:00"/>
    <n v="0.25000000000000044"/>
    <d v="2025-05-27T00:00:00"/>
    <x v="39"/>
    <s v="MAChining"/>
    <s v="01 tấm nhôm bị trày"/>
  </r>
  <r>
    <m/>
    <m/>
    <s v="HS SAMPLE 68"/>
    <s v="P01"/>
    <n v="1"/>
    <n v="1"/>
    <d v="2025-05-27T00:00:00"/>
    <n v="1"/>
    <x v="4"/>
    <d v="1899-12-30T11:20:00"/>
    <n v="0.33333333333333481"/>
    <d v="2025-05-27T00:00:00"/>
    <x v="39"/>
    <s v="ME"/>
    <s v="HÀNG MẪU"/>
  </r>
  <r>
    <m/>
    <m/>
    <s v="HS SAMPLE 68"/>
    <s v="A01 -S02"/>
    <n v="1"/>
    <n v="1"/>
    <d v="2025-05-27T00:00:00"/>
    <n v="1"/>
    <x v="20"/>
    <d v="1899-12-30T11:40:00"/>
    <n v="0.33333333333333215"/>
    <d v="2025-05-27T00:00:00"/>
    <x v="39"/>
    <s v="ME"/>
    <s v="HÀNG MẪU"/>
  </r>
  <r>
    <m/>
    <m/>
    <s v="HS SAMPLE 68"/>
    <s v="A01-S01"/>
    <n v="1"/>
    <n v="1"/>
    <d v="2025-05-27T00:00:00"/>
    <n v="1"/>
    <x v="52"/>
    <d v="1899-12-30T12:00:00"/>
    <n v="0.33333333333333348"/>
    <d v="2025-05-27T00:00:00"/>
    <x v="39"/>
    <s v="ME"/>
    <s v="HÀNG MẪU"/>
  </r>
  <r>
    <m/>
    <m/>
    <s v="DL016WF836"/>
    <s v="A1-S07A"/>
    <n v="1"/>
    <n v="2"/>
    <d v="2025-05-28T00:00:00"/>
    <n v="1"/>
    <x v="32"/>
    <d v="1899-12-30T09:20:00"/>
    <n v="0.49999999999999956"/>
    <d v="2025-05-28T00:00:00"/>
    <x v="39"/>
    <s v="Assembly"/>
    <s v="02 Tấm nhôm bị trầy"/>
  </r>
  <r>
    <m/>
    <m/>
    <s v="HS52229AF1090"/>
    <s v="P05"/>
    <n v="1"/>
    <n v="1"/>
    <d v="2025-05-28T00:00:00"/>
    <n v="1"/>
    <x v="24"/>
    <d v="1899-12-30T10:00:00"/>
    <n v="0.33333333333333481"/>
    <d v="2025-05-28T00:00:00"/>
    <x v="39"/>
    <s v="MAChining"/>
    <s v="01 Tấm bị chạy phôi trong quá trình CNC"/>
  </r>
  <r>
    <m/>
    <m/>
    <s v="HS5230F1119"/>
    <s v="A1-S01"/>
    <n v="12"/>
    <n v="12"/>
    <d v="2025-05-23T00:00:00"/>
    <n v="1"/>
    <x v="1"/>
    <d v="1899-12-30T12:00:00"/>
    <n v="3"/>
    <d v="2025-05-23T00:00:00"/>
    <x v="39"/>
    <s v="MAChining"/>
    <s v="12 tấm pcs bị trày tấm laminate"/>
  </r>
  <r>
    <m/>
    <m/>
    <s v="JV013F836"/>
    <s v="P01-3"/>
    <n v="0"/>
    <n v="3"/>
    <d v="2025-05-30T00:00:00"/>
    <n v="1"/>
    <x v="2"/>
    <d v="1899-12-30T10:45:00"/>
    <n v="0.75"/>
    <d v="2025-05-30T00:00:00"/>
    <x v="39"/>
    <s v="NCR"/>
    <m/>
  </r>
  <r>
    <m/>
    <m/>
    <s v="JV035F1165"/>
    <s v="A2-S05"/>
    <m/>
    <n v="3"/>
    <d v="2025-05-31T00:00:00"/>
    <n v="1"/>
    <x v="12"/>
    <d v="1899-12-30T09:00:00"/>
    <n v="1.0000000000000004"/>
    <d v="2025-05-31T00:00:00"/>
    <x v="39"/>
    <s v="Final Machining"/>
    <s v="03 tấm bị trày"/>
  </r>
  <r>
    <m/>
    <m/>
    <s v="HS SAMPLE 69"/>
    <s v="P01"/>
    <m/>
    <n v="1"/>
    <d v="2025-05-31T00:00:00"/>
    <n v="1"/>
    <x v="1"/>
    <d v="1899-12-30T09:20:00"/>
    <n v="0.33333333333333348"/>
    <d v="2025-05-31T00:00:00"/>
    <x v="39"/>
    <s v="ME"/>
    <s v="hàng mẫu"/>
  </r>
  <r>
    <m/>
    <m/>
    <s v="HS SAMPLE 70"/>
    <s v="P01"/>
    <m/>
    <n v="1"/>
    <d v="2025-05-31T00:00:00"/>
    <n v="1"/>
    <x v="35"/>
    <d v="1899-12-30T09:40:00"/>
    <n v="0.33333333333333215"/>
    <d v="2025-05-31T00:00:00"/>
    <x v="39"/>
    <s v="ME"/>
    <s v="hàng mẫu"/>
  </r>
  <r>
    <m/>
    <m/>
    <s v="HS SAMPLE 70"/>
    <s v="A01-S07"/>
    <n v="1"/>
    <n v="1"/>
    <d v="2025-05-31T00:00:00"/>
    <n v="1"/>
    <x v="12"/>
    <d v="1899-12-30T08:15:00"/>
    <n v="0.25000000000000044"/>
    <d v="2025-05-31T00:00:00"/>
    <x v="39"/>
    <s v="ME"/>
    <s v="hàng mẫu"/>
  </r>
  <r>
    <m/>
    <m/>
    <s v="HS SAMPLE 70"/>
    <s v="A01-S08"/>
    <n v="1"/>
    <n v="1"/>
    <d v="2025-05-31T00:00:00"/>
    <n v="1"/>
    <x v="39"/>
    <d v="1899-12-30T08:30:00"/>
    <n v="0.25000000000000044"/>
    <d v="2025-05-31T00:00:00"/>
    <x v="39"/>
    <s v="ME"/>
    <s v="hàng mẫu"/>
  </r>
  <r>
    <m/>
    <m/>
    <s v="HS SAMPLE 69"/>
    <s v="A01-S03"/>
    <n v="1"/>
    <n v="1"/>
    <d v="2025-05-31T00:00:00"/>
    <n v="1"/>
    <x v="11"/>
    <d v="1899-12-30T08:45:00"/>
    <n v="0.24999999999999911"/>
    <d v="2025-05-31T00:00:00"/>
    <x v="39"/>
    <s v="ME"/>
    <s v="hàng mẫu"/>
  </r>
  <r>
    <m/>
    <m/>
    <s v="HS SAMPLE 69"/>
    <s v="A01-S05"/>
    <n v="1"/>
    <n v="1"/>
    <d v="2025-05-31T00:00:00"/>
    <n v="1"/>
    <x v="38"/>
    <d v="1899-12-30T09:00:00"/>
    <n v="0.25000000000000044"/>
    <d v="2025-05-31T00:00:00"/>
    <x v="39"/>
    <s v="ME"/>
    <s v="hàng mẫu"/>
  </r>
  <r>
    <m/>
    <m/>
    <s v="HS SAMPLE 69"/>
    <s v="A01-S06"/>
    <n v="1"/>
    <n v="1"/>
    <d v="2025-05-31T00:00:00"/>
    <n v="1"/>
    <x v="1"/>
    <d v="1899-12-30T09:15:00"/>
    <n v="0.25000000000000044"/>
    <d v="2025-05-31T00:00:00"/>
    <x v="39"/>
    <s v="ME"/>
    <s v="hàng mẫu"/>
  </r>
  <r>
    <m/>
    <m/>
    <s v="HS SAMPLE 70"/>
    <s v="A01-S03"/>
    <n v="1"/>
    <n v="1"/>
    <d v="2025-05-31T00:00:00"/>
    <n v="1"/>
    <x v="46"/>
    <d v="1899-12-30T09:30:00"/>
    <n v="0.24999999999999911"/>
    <d v="2025-05-31T00:00:00"/>
    <x v="39"/>
    <s v="ME"/>
    <s v="hàng mẫu"/>
  </r>
  <r>
    <m/>
    <m/>
    <s v="HS55229F1090"/>
    <m/>
    <m/>
    <n v="1"/>
    <d v="2025-06-02T00:00:00"/>
    <n v="2"/>
    <x v="11"/>
    <d v="1899-12-30T14:00:00"/>
    <n v="11"/>
    <d v="2025-06-02T00:00:00"/>
    <x v="40"/>
    <s v="NCR"/>
    <s v="ván hông bị lần mực"/>
  </r>
  <r>
    <m/>
    <m/>
    <s v="HS55229F1090"/>
    <s v="A5-S03"/>
    <n v="1"/>
    <n v="1"/>
    <d v="2025-06-03T00:00:00"/>
    <n v="2"/>
    <x v="46"/>
    <d v="1899-12-30T09:30:00"/>
    <n v="0.49999999999999822"/>
    <d v="2025-06-03T00:00:00"/>
    <x v="40"/>
    <s v="Assembly"/>
    <s v="làm bổ sung do bị thất lạc"/>
  </r>
  <r>
    <m/>
    <m/>
    <s v="HS55229F1090"/>
    <s v="A5-S02"/>
    <n v="1"/>
    <n v="1"/>
    <d v="2025-06-03T00:00:00"/>
    <n v="2"/>
    <x v="24"/>
    <d v="1899-12-30T09:55:00"/>
    <n v="0.50000000000000089"/>
    <d v="2025-06-03T00:00:00"/>
    <x v="40"/>
    <s v="Assembly"/>
    <s v="làm bổ sung do bị thất lạc"/>
  </r>
  <r>
    <m/>
    <m/>
    <s v="HS55229F1090"/>
    <s v="A5-S01"/>
    <n v="1"/>
    <n v="1"/>
    <d v="2025-06-03T00:00:00"/>
    <n v="2"/>
    <x v="53"/>
    <d v="1899-12-30T10:20:00"/>
    <n v="0.50000000000000089"/>
    <d v="2025-06-03T00:00:00"/>
    <x v="40"/>
    <s v="Assembly"/>
    <s v="làm bổ sung do bị thất lạc"/>
  </r>
  <r>
    <m/>
    <m/>
    <s v="AR127NF834-BASE"/>
    <s v="A0"/>
    <n v="1"/>
    <n v="1"/>
    <d v="2025-06-03T00:00:00"/>
    <n v="1"/>
    <x v="54"/>
    <d v="1899-12-30T11:50:00"/>
    <n v="1.0000000000000004"/>
    <d v="2025-06-03T00:00:00"/>
    <x v="40"/>
    <s v="Assembly"/>
    <s v="01 một cái mặt học bị thất lạc"/>
  </r>
  <r>
    <m/>
    <m/>
    <s v="RH9422F423"/>
    <s v="P01"/>
    <n v="1"/>
    <n v="1"/>
    <d v="2025-06-04T00:00:00"/>
    <n v="1"/>
    <x v="55"/>
    <d v="1899-12-30T09:40:00"/>
    <n v="0.24999999999999911"/>
    <d v="2025-06-04T00:00:00"/>
    <x v="40"/>
    <s v="Final Machining"/>
    <s v="01 tấm bị hư veneer trong quá trình cào cước"/>
  </r>
  <r>
    <m/>
    <m/>
    <s v="HS5230F1119"/>
    <s v="A1-S01"/>
    <n v="5"/>
    <n v="5"/>
    <d v="2025-06-04T00:00:00"/>
    <n v="1"/>
    <x v="24"/>
    <d v="1899-12-30T10:05:00"/>
    <n v="0.41666666666666785"/>
    <d v="2025-06-04T00:00:00"/>
    <x v="40"/>
    <s v="Assembly"/>
    <s v="05 psc khung nóc bị trày tấm laminate"/>
  </r>
  <r>
    <m/>
    <m/>
    <s v="RH6680F40"/>
    <s v="A3-S03"/>
    <n v="1"/>
    <n v="2"/>
    <d v="2025-06-04T00:00:00"/>
    <n v="1"/>
    <x v="23"/>
    <d v="1899-12-30T10:45:00"/>
    <n v="0.25000000000000044"/>
    <d v="2025-06-04T00:00:00"/>
    <x v="40"/>
    <s v="Final Machining"/>
    <s v="02 tấm bị hư veneer trong quá trình cào cước"/>
  </r>
  <r>
    <m/>
    <m/>
    <s v="JV036F1121"/>
    <s v="A2-S05"/>
    <n v="4"/>
    <n v="4"/>
    <d v="2025-06-04T00:00:00"/>
    <n v="1"/>
    <x v="4"/>
    <d v="1899-12-30T11:30:00"/>
    <n v="0.50000000000000089"/>
    <d v="2025-06-04T00:00:00"/>
    <x v="40"/>
    <s v="Final Machining"/>
    <s v="04 tấm nhôm bị trày"/>
  </r>
  <r>
    <m/>
    <m/>
    <s v="DL016WF836"/>
    <s v="A1-S07"/>
    <n v="3"/>
    <n v="6"/>
    <d v="2025-06-04T00:00:00"/>
    <n v="1"/>
    <x v="6"/>
    <d v="1899-12-30T13:40:00"/>
    <n v="0.66666666666666696"/>
    <d v="2025-06-04T00:00:00"/>
    <x v="40"/>
    <s v="Final Machining"/>
    <s v="06 tấm nhôm bị trày"/>
  </r>
  <r>
    <m/>
    <m/>
    <s v="AR127NF834-BASE"/>
    <s v="A1-S1"/>
    <n v="1"/>
    <n v="1"/>
    <d v="2025-06-04T00:00:00"/>
    <n v="1"/>
    <x v="3"/>
    <d v="1899-12-30T14:10:00"/>
    <n v="0.16666666666666607"/>
    <d v="2025-06-04T00:00:00"/>
    <x v="40"/>
    <s v="Assembly"/>
    <s v="01 một cái mặt học bị thất lạc"/>
  </r>
  <r>
    <m/>
    <m/>
    <s v="AR408F1001"/>
    <s v="P01"/>
    <n v="1"/>
    <n v="1"/>
    <d v="2025-06-04T00:00:00"/>
    <n v="1"/>
    <x v="56"/>
    <d v="1899-12-30T00:00:00"/>
    <n v="-14.416666666666666"/>
    <d v="2025-06-04T00:00:00"/>
    <x v="40"/>
    <s v="Unassigned"/>
    <s v="mặt TOP bị dộp veneer"/>
  </r>
  <r>
    <m/>
    <m/>
    <s v="HS5250F1162"/>
    <s v="P08"/>
    <n v="1"/>
    <n v="1"/>
    <d v="2025-06-04T00:00:00"/>
    <n v="1"/>
    <x v="57"/>
    <d v="1899-12-30T16:20:00"/>
    <n v="0.16666666666666341"/>
    <d v="2025-06-04T00:00:00"/>
    <x v="40"/>
    <s v="khách hàng "/>
    <s v="Update lỗi cut out"/>
  </r>
  <r>
    <m/>
    <m/>
    <s v="HS5834F1162"/>
    <s v="P08"/>
    <n v="1"/>
    <n v="1"/>
    <d v="2025-06-04T00:00:00"/>
    <n v="1"/>
    <x v="58"/>
    <d v="1899-12-30T16:35:00"/>
    <n v="0.16666666666666607"/>
    <d v="2025-06-04T00:00:00"/>
    <x v="40"/>
    <s v="khách hàng "/>
    <s v="Update lỗi cut out"/>
  </r>
  <r>
    <m/>
    <m/>
    <s v="JV012F536"/>
    <s v="A2-S05-1"/>
    <n v="2"/>
    <n v="2"/>
    <d v="2025-06-04T00:00:00"/>
    <n v="1"/>
    <x v="59"/>
    <d v="1899-12-30T16:50:00"/>
    <n v="0.24999999999999911"/>
    <d v="2025-06-04T00:00:00"/>
    <x v="40"/>
    <s v="Unassigned"/>
    <s v="02 tấm nhôm bị trầy"/>
  </r>
  <r>
    <m/>
    <s v="BẢNG MÀU"/>
    <m/>
    <s v="WD-03-326"/>
    <m/>
    <n v="30"/>
    <d v="2025-06-05T00:00:00"/>
    <n v="1"/>
    <x v="2"/>
    <d v="1899-12-30T11:00:00"/>
    <n v="0.99999999999999911"/>
    <d v="2025-06-05T00:00:00"/>
    <x v="40"/>
    <s v="Finishing"/>
    <s v="Mr.Sơn"/>
  </r>
  <r>
    <m/>
    <s v="BẢNG MÀU"/>
    <m/>
    <s v="WD-03-496"/>
    <m/>
    <n v="20"/>
    <d v="2025-06-05T00:00:00"/>
    <n v="1"/>
    <x v="50"/>
    <d v="1899-12-30T13:50:00"/>
    <n v="0.66666666666666963"/>
    <d v="2025-06-05T00:00:00"/>
    <x v="40"/>
    <s v="Finishing"/>
    <s v="Mr.Sơn"/>
  </r>
  <r>
    <m/>
    <s v="BẢNG MÀU"/>
    <m/>
    <s v="WD-03-189"/>
    <m/>
    <n v="15"/>
    <d v="2025-06-05T00:00:00"/>
    <n v="1"/>
    <x v="3"/>
    <d v="1899-12-30T14:30:00"/>
    <n v="0.49999999999999822"/>
    <d v="2025-06-05T00:00:00"/>
    <x v="40"/>
    <s v="Finishing"/>
    <s v="Mr.Sơn"/>
  </r>
  <r>
    <m/>
    <s v="BẢNG MÀU"/>
    <m/>
    <s v="WD-03-038"/>
    <m/>
    <n v="30"/>
    <d v="2025-06-05T00:00:00"/>
    <n v="2"/>
    <x v="10"/>
    <d v="1899-12-30T19:00:00"/>
    <n v="4.9999999999999982"/>
    <d v="2025-06-05T00:00:00"/>
    <x v="40"/>
    <s v="Finishing"/>
    <s v="Mr.Sơn"/>
  </r>
  <r>
    <m/>
    <m/>
    <s v="AT384F1089"/>
    <s v="mặt TOP "/>
    <m/>
    <n v="1"/>
    <d v="2025-06-06T00:00:00"/>
    <n v="1"/>
    <x v="6"/>
    <d v="1899-12-30T15:30:00"/>
    <n v="2.5000000000000018"/>
    <d v="2025-06-06T00:00:00"/>
    <x v="40"/>
    <s v="Unassigned"/>
    <s v="mặt TOP bị trày + đốm "/>
  </r>
  <r>
    <m/>
    <m/>
    <s v="AT384F1089"/>
    <s v="mặt TOP "/>
    <m/>
    <n v="1"/>
    <d v="2025-06-07T00:00:00"/>
    <n v="1"/>
    <x v="14"/>
    <d v="1899-12-30T09:00:00"/>
    <n v="1.9999999999999996"/>
    <d v="2025-06-07T00:00:00"/>
    <x v="40"/>
    <s v="Unassigned"/>
    <s v="mặt TOP bị trày + đốm "/>
  </r>
  <r>
    <m/>
    <m/>
    <s v="AR408F1001"/>
    <s v="P01"/>
    <n v="1"/>
    <n v="1"/>
    <d v="2025-06-07T00:00:00"/>
    <n v="1"/>
    <x v="44"/>
    <d v="1899-12-30T09:20:00"/>
    <n v="0.16666666666666741"/>
    <d v="2025-06-07T00:00:00"/>
    <x v="40"/>
    <s v="Unassigned"/>
    <s v="mặt TOP BỊ DỘP VENER"/>
  </r>
  <r>
    <m/>
    <m/>
    <s v="AR408F1001"/>
    <s v="mặt hông "/>
    <m/>
    <n v="1"/>
    <d v="2025-06-06T00:00:00"/>
    <n v="1"/>
    <x v="1"/>
    <d v="1899-12-30T18:00:00"/>
    <n v="9"/>
    <d v="2025-06-06T00:00:00"/>
    <x v="40"/>
    <s v="NCR"/>
    <s v="mặt hong BỊ DỘP VENER"/>
  </r>
  <r>
    <m/>
    <m/>
    <s v="HS5393F973"/>
    <s v="CẠNH TỦ"/>
    <m/>
    <n v="1"/>
    <d v="2025-06-09T00:00:00"/>
    <n v="1"/>
    <x v="1"/>
    <d v="1899-12-30T16:00:00"/>
    <n v="6.9999999999999991"/>
    <d v="2025-06-09T00:00:00"/>
    <x v="41"/>
    <s v="NCR"/>
    <s v="cạnh tủ bị keo"/>
  </r>
  <r>
    <m/>
    <m/>
    <s v="AR723F892"/>
    <s v="MẶT TOP"/>
    <m/>
    <n v="1"/>
    <d v="2025-06-09T00:00:00"/>
    <n v="1"/>
    <x v="60"/>
    <d v="1899-12-30T16:00:00"/>
    <n v="0.24999999999999911"/>
    <d v="2025-06-09T00:00:00"/>
    <x v="41"/>
    <s v="NCR"/>
    <s v="mặt TOP bị dộp"/>
  </r>
  <r>
    <m/>
    <m/>
    <s v="HS5230F1119"/>
    <s v="A1-S01"/>
    <n v="6"/>
    <n v="6"/>
    <d v="2025-06-09T00:00:00"/>
    <n v="1"/>
    <x v="3"/>
    <d v="1899-12-30T14:40:00"/>
    <n v="0.6666666666666643"/>
    <d v="2025-06-09T00:00:00"/>
    <x v="41"/>
    <s v="Final Machining"/>
    <s v="06 psc ván nóc bị trày tấm laminate"/>
  </r>
  <r>
    <m/>
    <s v="BẢNG MÀU"/>
    <s v="W2126F1001-EX"/>
    <s v="P1"/>
    <n v="10"/>
    <n v="10"/>
    <d v="2025-06-09T00:00:00"/>
    <n v="1"/>
    <x v="0"/>
    <d v="1899-12-30T15:50:00"/>
    <n v="0.83333333333333304"/>
    <d v="2025-06-09T00:00:00"/>
    <x v="41"/>
    <s v="Finishing"/>
    <s v="LÀM bảng màu cho FIN"/>
  </r>
  <r>
    <m/>
    <m/>
    <s v="JV009WF580"/>
    <s v="A1-S4-1"/>
    <n v="3"/>
    <n v="3"/>
    <d v="2025-06-09T00:00:00"/>
    <n v="1"/>
    <x v="16"/>
    <d v="1899-12-30T16:30:00"/>
    <n v="0.50000000000000089"/>
    <d v="2025-06-09T00:00:00"/>
    <x v="41"/>
    <s v="Final Machining"/>
    <s v="06 tấm nhôm bị trày"/>
  </r>
  <r>
    <m/>
    <m/>
    <s v="JV035F1165"/>
    <s v="A3-S05"/>
    <n v="1"/>
    <n v="1"/>
    <d v="2025-06-11T00:00:00"/>
    <n v="1"/>
    <x v="34"/>
    <d v="1899-12-30T08:35:00"/>
    <n v="0.24999999999999911"/>
    <d v="2025-06-11T00:00:00"/>
    <x v="41"/>
    <s v="Unassigned"/>
    <s v="tấm nhôm trày xước"/>
  </r>
  <r>
    <m/>
    <m/>
    <m/>
    <s v="A4-S08"/>
    <n v="1"/>
    <n v="2"/>
    <d v="2025-06-11T00:00:00"/>
    <n v="1"/>
    <x v="61"/>
    <d v="1899-12-30T09:00:00"/>
    <n v="0.41666666666666652"/>
    <d v="2025-06-11T00:00:00"/>
    <x v="41"/>
    <s v="Unassigned"/>
    <s v="tấm nhôm trày xước"/>
  </r>
  <r>
    <m/>
    <m/>
    <s v="RH9861F423"/>
    <s v="A2-S05"/>
    <n v="3"/>
    <n v="3"/>
    <d v="2025-06-12T00:00:00"/>
    <n v="1"/>
    <x v="6"/>
    <d v="1899-12-30T13:30:00"/>
    <n v="0.50000000000000089"/>
    <d v="2025-06-11T00:00:00"/>
    <x v="41"/>
    <s v="Final Machining"/>
    <s v="Bổ sung veneer sửa mặt bàn FIN trả về"/>
  </r>
  <r>
    <m/>
    <m/>
    <m/>
    <s v="A2-S05"/>
    <n v="11"/>
    <n v="11"/>
    <d v="2025-06-12T00:00:00"/>
    <n v="1"/>
    <x v="3"/>
    <d v="1899-12-30T15:00:00"/>
    <n v="0.99999999999999911"/>
    <d v="2025-06-12T00:00:00"/>
    <x v="41"/>
    <s v="Final Machining"/>
    <s v="11 tấm sửa hàng FIN trả về"/>
  </r>
  <r>
    <m/>
    <m/>
    <s v="JV038F1164"/>
    <s v="A2-S05"/>
    <n v="1"/>
    <n v="1"/>
    <d v="2025-06-12T00:00:00"/>
    <n v="1"/>
    <x v="8"/>
    <d v="1899-12-30T14:45:00"/>
    <n v="0.25000000000000178"/>
    <d v="2025-06-12T00:00:00"/>
    <x v="41"/>
    <s v="Assembly"/>
    <s v="01 tấm nhôm bị trày xước"/>
  </r>
  <r>
    <m/>
    <m/>
    <m/>
    <s v="A3-S05"/>
    <n v="1"/>
    <n v="1"/>
    <d v="2025-06-12T00:00:00"/>
    <n v="1"/>
    <x v="62"/>
    <d v="1899-12-30T15:00:00"/>
    <n v="0.24999999999999911"/>
    <d v="2025-06-12T00:00:00"/>
    <x v="41"/>
    <s v="Assembly"/>
    <s v="01 tấm nhôm bị trày xước"/>
  </r>
  <r>
    <m/>
    <m/>
    <s v="DL018F837"/>
    <s v="A1-S4-1"/>
    <m/>
    <n v="1"/>
    <d v="2025-06-12T00:00:00"/>
    <n v="1"/>
    <x v="21"/>
    <d v="1899-12-30T14:05:00"/>
    <n v="0.24999999999999911"/>
    <d v="2025-06-12T00:00:00"/>
    <x v="41"/>
    <s v="Unassigned"/>
    <s v="bị trày xước bạc, lỗi vận chuyển"/>
  </r>
  <r>
    <m/>
    <m/>
    <s v="JV038F1164"/>
    <s v="A2-S05"/>
    <n v="1"/>
    <n v="1"/>
    <d v="2025-06-12T00:00:00"/>
    <n v="1"/>
    <x v="63"/>
    <d v="1899-12-30T14:20:00"/>
    <n v="0.24999999999999911"/>
    <d v="2025-06-12T00:00:00"/>
    <x v="41"/>
    <s v="Unassigned"/>
    <s v="tấm nhôm của khay trày xước"/>
  </r>
  <r>
    <m/>
    <m/>
    <s v="RH7157NF381"/>
    <s v="A2-S02"/>
    <n v="13"/>
    <n v="26"/>
    <d v="2025-06-13T00:00:00"/>
    <n v="1"/>
    <x v="50"/>
    <d v="1899-12-30T14:00:00"/>
    <n v="0.8333333333333357"/>
    <d v="2025-06-13T00:00:00"/>
    <x v="41"/>
    <s v="Unassigned"/>
    <s v="ECR Thay đổi kết cấu cửa"/>
  </r>
  <r>
    <m/>
    <s v="BẢNG MÀU"/>
    <m/>
    <s v="WD-03-009"/>
    <m/>
    <n v="60"/>
    <d v="2025-06-13T00:00:00"/>
    <n v="1"/>
    <x v="1"/>
    <d v="1899-12-30T10:00:00"/>
    <n v="1.0000000000000004"/>
    <d v="2025-06-13T00:00:00"/>
    <x v="41"/>
    <s v="Finishing"/>
    <s v="Mr.Sơn"/>
  </r>
  <r>
    <m/>
    <s v="BẢNG MÀU"/>
    <m/>
    <s v="WD-03-431"/>
    <m/>
    <n v="66"/>
    <d v="2025-06-13T00:00:00"/>
    <n v="1"/>
    <x v="2"/>
    <d v="1899-12-30T11:10:00"/>
    <n v="1.1666666666666652"/>
    <d v="2025-06-13T00:00:00"/>
    <x v="41"/>
    <s v="Finishing"/>
    <s v="Mr.Sơn"/>
  </r>
  <r>
    <m/>
    <s v="BẢNG MÀU"/>
    <m/>
    <s v="WD-03-511"/>
    <m/>
    <n v="300"/>
    <d v="2025-06-13T00:00:00"/>
    <n v="1"/>
    <x v="6"/>
    <d v="1899-12-30T15:00:00"/>
    <n v="2.0000000000000009"/>
    <d v="2025-06-13T00:00:00"/>
    <x v="41"/>
    <s v="Finishing"/>
    <s v="Mr.Sơn"/>
  </r>
  <r>
    <m/>
    <s v="BẢNG MÀU"/>
    <m/>
    <s v="WD-03-254"/>
    <m/>
    <n v="100"/>
    <d v="2025-06-13T00:00:00"/>
    <n v="1"/>
    <x v="24"/>
    <d v="1899-12-30T11:40:00"/>
    <n v="2.0000000000000009"/>
    <d v="2025-06-13T00:00:00"/>
    <x v="41"/>
    <s v="Finishing"/>
    <s v="Mr.Sơn"/>
  </r>
  <r>
    <m/>
    <m/>
    <s v="HS5228F973"/>
    <s v="ván hông"/>
    <m/>
    <n v="1"/>
    <d v="2025-06-16T00:00:00"/>
    <n v="1"/>
    <x v="35"/>
    <d v="1899-12-30T17:00:00"/>
    <n v="7.6666666666666679"/>
    <d v="2025-06-16T00:00:00"/>
    <x v="42"/>
    <s v="Unassigned"/>
    <s v="hông tủ bị phù veneer do mưa dột"/>
  </r>
  <r>
    <m/>
    <m/>
    <s v="SH206F506"/>
    <s v="NÓC TỦ"/>
    <m/>
    <n v="1"/>
    <d v="2025-06-14T00:00:00"/>
    <n v="1"/>
    <x v="19"/>
    <d v="1899-12-30T15:00:00"/>
    <n v="7.5"/>
    <d v="2025-06-14T00:00:00"/>
    <x v="42"/>
    <s v="Assembly"/>
    <s v="THAY NÓC TỦ"/>
  </r>
  <r>
    <m/>
    <m/>
    <s v="SH379"/>
    <s v="TOP "/>
    <m/>
    <n v="1"/>
    <d v="2025-06-16T00:00:00"/>
    <n v="1"/>
    <x v="12"/>
    <d v="1899-12-30T18:00:00"/>
    <n v="10"/>
    <d v="2025-06-16T00:00:00"/>
    <x v="42"/>
    <s v="hàng lỗi ASSY trả về"/>
    <s v="Thay veneer top tủ"/>
  </r>
  <r>
    <m/>
    <m/>
    <s v="SH379"/>
    <s v="TOP "/>
    <m/>
    <n v="1"/>
    <d v="2025-06-17T00:00:00"/>
    <n v="1"/>
    <x v="19"/>
    <d v="1899-12-30T11:00:00"/>
    <n v="3.4999999999999996"/>
    <d v="2025-06-17T00:00:00"/>
    <x v="42"/>
    <s v="hàng lỗi ASSY trả về"/>
    <s v="Thay veneer top tủ"/>
  </r>
  <r>
    <m/>
    <m/>
    <s v="JV008F580"/>
    <s v="A2-S4"/>
    <n v="1"/>
    <n v="1"/>
    <d v="2025-06-18T00:00:00"/>
    <n v="1"/>
    <x v="3"/>
    <d v="1899-12-30T14:10:00"/>
    <n v="0.16666666666666607"/>
    <d v="2025-06-18T00:00:00"/>
    <x v="42"/>
    <s v="Finishing"/>
    <s v="miếng nhôm đáy học bị trày"/>
  </r>
  <r>
    <m/>
    <m/>
    <s v="JV008F580"/>
    <s v="A1-S4"/>
    <n v="3"/>
    <n v="3"/>
    <d v="2025-06-18T00:00:00"/>
    <n v="1"/>
    <x v="29"/>
    <d v="1899-12-30T14:35:00"/>
    <n v="0.41666666666666785"/>
    <d v="2025-06-18T00:00:00"/>
    <x v="42"/>
    <s v="Finishing"/>
    <s v="miếng nhôm đáy học bị trày"/>
  </r>
  <r>
    <m/>
    <m/>
    <s v="AT305M00"/>
    <s v="A1-S01"/>
    <n v="13"/>
    <n v="13"/>
    <d v="2025-06-20T00:00:00"/>
    <n v="1"/>
    <x v="6"/>
    <d v="1899-12-30T14:30:00"/>
    <n v="1.5"/>
    <d v="2025-06-20T00:00:00"/>
    <x v="43"/>
    <s v="Unassigned"/>
    <s v="13 tấm cào cước bị bung do veneer chất lượng không tốt"/>
  </r>
  <r>
    <m/>
    <s v="BẢNG MÀU"/>
    <m/>
    <s v="WD-03-189"/>
    <m/>
    <n v="30"/>
    <d v="2025-06-20T00:00:00"/>
    <n v="1"/>
    <x v="1"/>
    <d v="1899-12-30T09:30:00"/>
    <n v="0.49999999999999956"/>
    <d v="2025-06-20T00:00:00"/>
    <x v="43"/>
    <s v="Finishing"/>
    <s v="Mr.Sơn"/>
  </r>
  <r>
    <m/>
    <s v="BẢNG MÀU"/>
    <m/>
    <s v="WD-03-236"/>
    <m/>
    <n v="30"/>
    <d v="2025-06-20T00:00:00"/>
    <n v="1"/>
    <x v="25"/>
    <d v="1899-12-30T10:00:00"/>
    <n v="0.50000000000000089"/>
    <d v="2025-06-20T00:00:00"/>
    <x v="43"/>
    <s v="Finishing"/>
    <s v="Mr.Sơn"/>
  </r>
  <r>
    <m/>
    <s v="BẢNG MÀU"/>
    <m/>
    <s v="WD-03-191"/>
    <m/>
    <n v="30"/>
    <d v="2025-06-20T00:00:00"/>
    <n v="1"/>
    <x v="2"/>
    <d v="1899-12-30T10:30:00"/>
    <n v="0.49999999999999956"/>
    <d v="2025-06-20T00:00:00"/>
    <x v="43"/>
    <s v="Finishing"/>
    <s v="Mr.Sơn"/>
  </r>
  <r>
    <m/>
    <s v="BẢNG MÀU"/>
    <m/>
    <s v="WD-03-006"/>
    <m/>
    <n v="20"/>
    <d v="2025-06-20T00:00:00"/>
    <n v="2"/>
    <x v="6"/>
    <d v="1899-12-30T15:00:00"/>
    <n v="4.0000000000000018"/>
    <d v="2025-06-20T00:00:00"/>
    <x v="43"/>
    <s v="Finishing"/>
    <s v="Mr.Sơn"/>
  </r>
  <r>
    <m/>
    <m/>
    <s v="JV SAMPLE 01"/>
    <s v="A1-S1B"/>
    <n v="1"/>
    <n v="1"/>
    <d v="2025-06-21T00:00:00"/>
    <n v="1"/>
    <x v="64"/>
    <d v="1899-12-30T14:25:00"/>
    <n v="0.16666666666666607"/>
    <d v="2025-06-21T00:00:00"/>
    <x v="43"/>
    <s v="ME"/>
    <s v="HÀNG MẪU"/>
  </r>
  <r>
    <m/>
    <m/>
    <s v="JV SAMPLE 01"/>
    <s v="A1-S1A"/>
    <n v="1"/>
    <n v="1"/>
    <d v="2025-06-21T00:00:00"/>
    <n v="1"/>
    <x v="56"/>
    <d v="1899-12-30T14:35:00"/>
    <n v="0.16666666666666874"/>
    <d v="2025-06-21T00:00:00"/>
    <x v="43"/>
    <s v="ME"/>
    <s v="HÀNG MẪU"/>
  </r>
  <r>
    <m/>
    <m/>
    <s v="JV SAMPLE 01"/>
    <s v="A1"/>
    <n v="1"/>
    <n v="1"/>
    <d v="2025-06-21T00:00:00"/>
    <n v="1"/>
    <x v="65"/>
    <d v="1899-12-30T14:45:00"/>
    <n v="0.16666666666666607"/>
    <d v="2025-06-21T00:00:00"/>
    <x v="43"/>
    <s v="ME"/>
    <s v="HÀNG MẪU"/>
  </r>
  <r>
    <m/>
    <m/>
    <s v="AR395F1039"/>
    <s v="TOP"/>
    <m/>
    <n v="1"/>
    <d v="2025-06-24T00:00:00"/>
    <n v="1"/>
    <x v="3"/>
    <d v="1899-12-30T19:00:00"/>
    <n v="4.9999999999999982"/>
    <d v="2025-06-24T00:00:00"/>
    <x v="43"/>
    <s v="Final Machining"/>
    <s v="Tấm nối bàn bị chớn veneer"/>
  </r>
  <r>
    <m/>
    <m/>
    <s v="AR395F1039"/>
    <s v="TOP"/>
    <m/>
    <n v="1"/>
    <d v="2025-06-25T00:00:00"/>
    <n v="1"/>
    <x v="14"/>
    <d v="1899-12-30T08:30:00"/>
    <n v="1.5"/>
    <d v="2025-06-25T00:00:00"/>
    <x v="43"/>
    <s v="Final Machining"/>
    <s v="Tấm nối bàn bị chớn veneer"/>
  </r>
  <r>
    <m/>
    <m/>
    <s v="DL018F837"/>
    <s v="A1-S4-1"/>
    <n v="4"/>
    <n v="4"/>
    <d v="2025-07-01T00:00:00"/>
    <n v="1"/>
    <x v="12"/>
    <d v="1899-12-30T09:00:00"/>
    <n v="1.0000000000000004"/>
    <d v="2025-07-01T00:00:00"/>
    <x v="44"/>
    <s v="MAChining"/>
    <s v="04 Tấm bị trày tấm nhôm"/>
  </r>
  <r>
    <m/>
    <m/>
    <s v="JV009WF580"/>
    <s v="A1-S4-1"/>
    <n v="1"/>
    <n v="1"/>
    <d v="2025-07-02T00:00:00"/>
    <n v="1"/>
    <x v="66"/>
    <d v="1899-12-30T12:00:00"/>
    <n v="0.25000000000000044"/>
    <d v="2025-07-02T00:00:00"/>
    <x v="44"/>
    <s v="Unassigned"/>
    <s v="01 tấm nhôm bị trày"/>
  </r>
  <r>
    <m/>
    <m/>
    <s v="HS5751NF1162"/>
    <s v="A1-S02"/>
    <n v="5"/>
    <n v="5"/>
    <d v="2025-07-03T00:00:00"/>
    <n v="2"/>
    <x v="2"/>
    <d v="1899-12-30T11:30:00"/>
    <n v="3"/>
    <d v="2025-07-03T00:00:00"/>
    <x v="44"/>
    <s v="Technical"/>
    <s v="Thay đổi số lượng từ 1 tới 2"/>
  </r>
  <r>
    <m/>
    <m/>
    <s v="HS5751NF1162"/>
    <s v="A1-S05"/>
    <n v="5"/>
    <n v="5"/>
    <d v="2025-07-03T00:00:00"/>
    <n v="2"/>
    <x v="6"/>
    <d v="1899-12-30T14:00:00"/>
    <n v="2.0000000000000036"/>
    <d v="2025-07-03T00:00:00"/>
    <x v="44"/>
    <s v="Technical"/>
    <s v="Thay đổi số lượng từ 1 tới 2"/>
  </r>
  <r>
    <m/>
    <m/>
    <s v="AR996F1291"/>
    <s v="A1-S01"/>
    <n v="4"/>
    <n v="8"/>
    <d v="2025-07-04T00:00:00"/>
    <n v="2"/>
    <x v="6"/>
    <d v="1899-12-30T15:00:00"/>
    <n v="4.0000000000000018"/>
    <d v="2025-07-04T00:00:00"/>
    <x v="44"/>
    <s v="ME"/>
    <s v="Cánh cửa co cong sai kích thước bản vẽ "/>
  </r>
  <r>
    <m/>
    <m/>
    <s v="AR996F1291"/>
    <s v="A1"/>
    <n v="4"/>
    <n v="4"/>
    <d v="2025-07-04T00:00:00"/>
    <n v="2"/>
    <x v="0"/>
    <d v="1899-12-30T17:00:00"/>
    <n v="4.0000000000000018"/>
    <d v="2025-07-04T00:00:00"/>
    <x v="44"/>
    <s v="ME"/>
    <s v="Cánh cửa co cong sai kích thước bản vẽ "/>
  </r>
  <r>
    <m/>
    <m/>
    <s v="SH897F1206"/>
    <s v="Trụ đầu giường"/>
    <n v="0"/>
    <n v="2"/>
    <d v="2025-07-04T00:00:00"/>
    <n v="2"/>
    <x v="6"/>
    <d v="1899-12-30T19:00:00"/>
    <n v="12"/>
    <d v="2025-07-04T00:00:00"/>
    <x v="45"/>
    <s v="WWP1"/>
    <s v="trụ đầu giường bị phù veneer"/>
  </r>
  <r>
    <m/>
    <m/>
    <s v="SH897F1206"/>
    <s v="Trụ đầu giường"/>
    <n v="0"/>
    <n v="2"/>
    <d v="2025-07-05T00:00:00"/>
    <n v="2"/>
    <x v="14"/>
    <d v="1899-12-30T14:00:00"/>
    <n v="14"/>
    <d v="2025-07-05T00:00:00"/>
    <x v="45"/>
    <s v="WWP1"/>
    <s v="trụ đầu giường bị phù veneer"/>
  </r>
  <r>
    <m/>
    <m/>
    <s v="SH897F1206"/>
    <s v="Trụ đầu giường"/>
    <n v="0"/>
    <n v="2"/>
    <d v="2025-07-07T00:00:00"/>
    <n v="2"/>
    <x v="14"/>
    <d v="1899-12-30T11:00:00"/>
    <n v="7.9999999999999982"/>
    <d v="2025-07-07T00:00:00"/>
    <x v="45"/>
    <s v="WWP1"/>
    <s v="trụ đầu giường bị phù veneer"/>
  </r>
  <r>
    <m/>
    <m/>
    <s v="AT384"/>
    <s v="TỦ"/>
    <n v="0"/>
    <n v="2"/>
    <d v="2025-07-04T00:00:00"/>
    <n v="2"/>
    <x v="14"/>
    <d v="1899-12-30T11:00:00"/>
    <n v="7.9999999999999982"/>
    <d v="2025-07-04T00:00:00"/>
    <x v="45"/>
    <s v="Assembly"/>
    <s v="TOP bị trày, thay veneer "/>
  </r>
  <r>
    <m/>
    <m/>
    <s v="AT382F888"/>
    <s v="A4-S1"/>
    <n v="80"/>
    <n v="80"/>
    <d v="2025-07-11T00:00:00"/>
    <n v="2"/>
    <x v="2"/>
    <d v="1899-12-30T12:00:00"/>
    <n v="3.9999999999999991"/>
    <d v="2025-07-11T00:00:00"/>
    <x v="46"/>
    <s v="Technical"/>
    <s v="Thay đổi chi tiết HF quay về dùng khuôn cũ"/>
  </r>
  <r>
    <m/>
    <m/>
    <s v="AT382F888"/>
    <s v="P08"/>
    <n v="80"/>
    <n v="160"/>
    <d v="2025-07-11T00:00:00"/>
    <n v="2"/>
    <x v="6"/>
    <d v="1899-12-30T16:00:00"/>
    <n v="6"/>
    <d v="2025-07-11T00:00:00"/>
    <x v="46"/>
    <s v="Technical"/>
    <s v="Thay đổi chi tiết HF quay về dùng khuôn cũ"/>
  </r>
  <r>
    <m/>
    <m/>
    <s v="JV047F1212"/>
    <s v="A1-S4-1"/>
    <n v="3"/>
    <n v="3"/>
    <d v="2025-07-11T00:00:00"/>
    <n v="1"/>
    <x v="16"/>
    <d v="1899-12-30T16:20:00"/>
    <n v="0.33333333333333215"/>
    <d v="2025-07-11T00:00:00"/>
    <x v="46"/>
    <s v="MAChining"/>
    <s v="03 TẤM đáy nhôm bị cấn móp"/>
  </r>
  <r>
    <m/>
    <m/>
    <s v="BN317F356"/>
    <s v="A1-S04"/>
    <n v="1"/>
    <n v="1"/>
    <d v="2025-07-11T00:00:00"/>
    <n v="1"/>
    <x v="67"/>
    <d v="1899-12-30T16:30:00"/>
    <n v="0.16666666666666874"/>
    <d v="2025-07-11T00:00:00"/>
    <x v="46"/>
    <s v="Final Machining"/>
    <s v="01 CÁI đầu giường bị lõm mặt sau"/>
  </r>
  <r>
    <m/>
    <m/>
    <s v="JV047F1212"/>
    <s v="A1-S4-1"/>
    <n v="9"/>
    <n v="9"/>
    <d v="2025-07-14T00:00:00"/>
    <n v="1"/>
    <x v="13"/>
    <d v="1899-12-30T13:55:00"/>
    <n v="0.41666666666666519"/>
    <d v="2025-07-14T00:00:00"/>
    <x v="46"/>
    <s v="Panel"/>
    <s v="09 tấm đáy nhôm bị trày xước"/>
  </r>
  <r>
    <m/>
    <m/>
    <s v="HS5748F1162"/>
    <s v="A05-S02-1"/>
    <n v="2"/>
    <n v="6"/>
    <d v="2025-07-15T00:00:00"/>
    <n v="1"/>
    <x v="11"/>
    <d v="1899-12-30T09:00:00"/>
    <n v="0.49999999999999956"/>
    <d v="2025-07-15T00:00:00"/>
    <x v="46"/>
    <s v="Final Machining"/>
    <s v="Cánh cửa bị đục sai bản lề so với routing"/>
  </r>
  <r>
    <m/>
    <m/>
    <s v="HS5748F1162"/>
    <s v="A5-S02-1"/>
    <n v="5"/>
    <n v="10"/>
    <d v="2025-07-15T00:00:00"/>
    <n v="1"/>
    <x v="1"/>
    <d v="1899-12-30T09:30:00"/>
    <n v="0.49999999999999956"/>
    <d v="2025-07-15T00:00:00"/>
    <x v="46"/>
    <s v="Final Machining"/>
    <s v="Cánh cửa bị đục sai bản lề so với routing"/>
  </r>
  <r>
    <m/>
    <m/>
    <s v="AR981AF1221"/>
    <s v="A2-S01"/>
    <n v="2"/>
    <n v="6"/>
    <d v="2025-07-16T00:00:00"/>
    <n v="1"/>
    <x v="1"/>
    <d v="1899-12-30T09:30:00"/>
    <n v="0.49999999999999956"/>
    <d v="2025-07-16T00:00:00"/>
    <x v="46"/>
    <s v="ME"/>
    <s v="Thay đổi kích thước ra nguyên liệu"/>
  </r>
  <r>
    <m/>
    <m/>
    <s v="AR196NF834"/>
    <s v="A3-S0"/>
    <n v="1"/>
    <n v="1"/>
    <d v="2025-07-16T00:00:00"/>
    <n v="1"/>
    <x v="46"/>
    <d v="1899-12-30T09:25:00"/>
    <n v="0.16666666666666607"/>
    <d v="2025-07-16T00:00:00"/>
    <x v="46"/>
    <s v="PANELING"/>
    <s v="01 BỘ MẶT HỘC KÉO BỊ HƯ TRONG QUÁ TRÌNH CẮT"/>
  </r>
  <r>
    <m/>
    <m/>
    <s v="SH346"/>
    <s v="A4-S01"/>
    <n v="1"/>
    <n v="2"/>
    <d v="2025-07-16T00:00:00"/>
    <n v="1"/>
    <x v="44"/>
    <d v="1899-12-30T09:20:00"/>
    <n v="0.16666666666666741"/>
    <d v="2025-07-16T00:00:00"/>
    <x v="46"/>
    <s v="PANELING"/>
    <s v="01 BỘ MẶT HỘC KÉO BỊ HƯ TRONG QUÁ TRÌNH CẮT"/>
  </r>
  <r>
    <m/>
    <m/>
    <s v="SH346"/>
    <s v="A3-S01"/>
    <n v="1"/>
    <n v="2"/>
    <d v="2025-07-16T00:00:00"/>
    <n v="1"/>
    <x v="35"/>
    <d v="1899-12-30T09:40:00"/>
    <n v="0.33333333333333215"/>
    <d v="2025-07-16T00:00:00"/>
    <x v="46"/>
    <s v="PANELING"/>
    <s v="01 BỘ MẶT HỘC KÉO BỊ HƯ TRONG QUÁ TRÌNH CẮT"/>
  </r>
  <r>
    <m/>
    <s v="BẢNG MÀU"/>
    <m/>
    <s v="WD-03-019"/>
    <m/>
    <n v="24"/>
    <d v="2025-07-21T00:00:00"/>
    <n v="2"/>
    <x v="2"/>
    <d v="1899-12-30T14:00:00"/>
    <n v="8"/>
    <d v="2025-07-21T00:00:00"/>
    <x v="47"/>
    <s v="Finishing"/>
    <s v="Mr.Sơn"/>
  </r>
  <r>
    <m/>
    <m/>
    <s v="RH9849F423"/>
    <s v="P01-0"/>
    <n v="1"/>
    <n v="1"/>
    <d v="2025-07-25T00:00:00"/>
    <n v="1"/>
    <x v="2"/>
    <d v="1899-12-30T10:10:00"/>
    <n v="0.16666666666666607"/>
    <d v="2025-07-25T00:00:00"/>
    <x v="47"/>
    <s v="MAChining"/>
    <s v="ván nóc p01 đặt phôi không sát cỡ trong quá trình CNC"/>
  </r>
  <r>
    <m/>
    <m/>
    <s v="DL018F837"/>
    <s v="A1-S4-1"/>
    <m/>
    <n v="1"/>
    <d v="2025-07-25T00:00:00"/>
    <n v="1"/>
    <x v="47"/>
    <d v="1899-12-30T10:25:00"/>
    <n v="0.16666666666666607"/>
    <d v="2025-07-25T00:00:00"/>
    <x v="47"/>
    <s v="Finishing"/>
    <s v="01 TẤM NHÔM BỊ TRÀY DÍNH KEO"/>
  </r>
  <r>
    <m/>
    <m/>
    <s v="DL018F837"/>
    <s v="A1-S4"/>
    <m/>
    <n v="1"/>
    <d v="2025-07-25T00:00:00"/>
    <n v="1"/>
    <x v="68"/>
    <d v="1899-12-30T10:30:00"/>
    <n v="8.333333333333437E-2"/>
    <d v="2025-07-25T00:00:00"/>
    <x v="47"/>
    <s v="Finishing"/>
    <s v="01 TẤM NHÔM BỊ TRÀY DÍNH KEO"/>
  </r>
  <r>
    <m/>
    <m/>
    <s v="KA SAMPLE 15"/>
    <s v="A1-S7"/>
    <n v="1"/>
    <n v="2"/>
    <d v="2025-07-26T00:00:00"/>
    <n v="1"/>
    <x v="1"/>
    <d v="1899-12-30T09:15:00"/>
    <n v="0.25000000000000044"/>
    <d v="2025-07-26T00:00:00"/>
    <x v="48"/>
    <s v="MR.TÚ"/>
    <s v="Làm kệ cho phòng nhân sự"/>
  </r>
  <r>
    <m/>
    <m/>
    <s v="KA SAMPLE 15"/>
    <s v="A2-S05"/>
    <n v="1"/>
    <n v="1"/>
    <d v="2025-07-26T00:00:00"/>
    <n v="1"/>
    <x v="46"/>
    <d v="1899-12-30T09:20:00"/>
    <n v="8.3333333333333037E-2"/>
    <d v="2025-07-26T00:00:00"/>
    <x v="48"/>
    <s v="MR.TÚ"/>
    <s v="Làm kệ cho phòng nhân sự"/>
  </r>
  <r>
    <m/>
    <m/>
    <s v="KA SAMPLE 15"/>
    <s v="A3-S6"/>
    <n v="1"/>
    <n v="1"/>
    <d v="2025-07-26T00:00:00"/>
    <n v="1"/>
    <x v="35"/>
    <d v="1899-12-30T09:25:00"/>
    <n v="8.3333333333333037E-2"/>
    <d v="2025-07-26T00:00:00"/>
    <x v="48"/>
    <s v="MR.TÚ"/>
    <s v="Làm kệ cho phòng nhân sự"/>
  </r>
  <r>
    <m/>
    <m/>
    <s v="AR998F1291"/>
    <s v="A1-S01"/>
    <n v="1"/>
    <n v="2"/>
    <d v="2025-07-26T00:00:00"/>
    <n v="1"/>
    <x v="25"/>
    <d v="1899-12-30T09:40:00"/>
    <n v="0.16666666666666607"/>
    <d v="2025-07-26T00:00:00"/>
    <x v="48"/>
    <s v="MAChining"/>
    <s v="MÁY bị ngưng nên lỗi 01 tấm cửa"/>
  </r>
  <r>
    <m/>
    <m/>
    <s v="AR998F1291"/>
    <s v="A2-S01"/>
    <n v="1"/>
    <n v="2"/>
    <d v="2025-07-26T00:00:00"/>
    <n v="1"/>
    <x v="24"/>
    <d v="1899-12-30T09:50:00"/>
    <n v="0.16666666666666874"/>
    <d v="2025-07-26T00:00:00"/>
    <x v="48"/>
    <s v="MAChining"/>
    <s v="MÁY bị ngưng nên lỗi 01 tấm cửa"/>
  </r>
  <r>
    <m/>
    <m/>
    <s v="AR125F906-BASE"/>
    <s v="A0"/>
    <n v="1"/>
    <n v="1"/>
    <d v="2025-07-31T00:00:00"/>
    <n v="4"/>
    <x v="12"/>
    <d v="1899-12-30T08:10:00"/>
    <n v="0.6666666666666643"/>
    <d v="2025-07-31T00:00:00"/>
    <x v="48"/>
    <s v="Assembly"/>
    <s v="01 BỘ TỦ BỊ THẤT LẠC"/>
  </r>
  <r>
    <m/>
    <m/>
    <s v="AR125F906-BASE"/>
    <s v="A1-S1"/>
    <n v="1"/>
    <n v="1"/>
    <d v="2025-07-31T00:00:00"/>
    <n v="4"/>
    <x v="43"/>
    <d v="1899-12-30T08:20:00"/>
    <n v="0.66666666666667496"/>
    <d v="2025-07-31T00:00:00"/>
    <x v="48"/>
    <s v="Assembly"/>
    <s v="01 BỘ TỦ BỊ THẤT LẠC"/>
  </r>
  <r>
    <m/>
    <m/>
    <s v="AR125F906-BASE"/>
    <s v="A1-S2"/>
    <n v="1"/>
    <n v="8"/>
    <d v="2025-07-31T00:00:00"/>
    <n v="4"/>
    <x v="69"/>
    <d v="1899-12-30T08:40:00"/>
    <n v="1.0000000000000018"/>
    <d v="2025-07-31T00:00:00"/>
    <x v="48"/>
    <s v="Assembly"/>
    <s v="01 BỘ TỦ BỊ THẤT LẠC"/>
  </r>
  <r>
    <m/>
    <m/>
    <m/>
    <s v="A1-S3"/>
    <n v="1"/>
    <n v="2"/>
    <d v="2025-07-31T00:00:00"/>
    <n v="4"/>
    <x v="38"/>
    <d v="1899-12-30T08:55:00"/>
    <n v="0.6666666666666643"/>
    <d v="2025-07-31T00:00:00"/>
    <x v="48"/>
    <s v="Assembly"/>
    <s v="01 BỘ TỦ BỊ THẤT LẠC"/>
  </r>
  <r>
    <m/>
    <m/>
    <m/>
    <s v="A1-S4"/>
    <n v="1"/>
    <n v="2"/>
    <d v="2025-07-31T00:00:00"/>
    <n v="4"/>
    <x v="1"/>
    <d v="1899-12-30T09:10:00"/>
    <n v="0.6666666666666643"/>
    <d v="2025-07-31T00:00:00"/>
    <x v="48"/>
    <s v="Assembly"/>
    <s v="01 BỘ TỦ BỊ THẤT LẠC"/>
  </r>
  <r>
    <m/>
    <m/>
    <m/>
    <s v="A2-S3"/>
    <n v="1"/>
    <n v="1"/>
    <d v="2025-07-31T00:00:00"/>
    <n v="4"/>
    <x v="44"/>
    <d v="1899-12-30T09:15:00"/>
    <n v="0.33333333333333748"/>
    <d v="2025-07-31T00:00:00"/>
    <x v="48"/>
    <s v="Assembly"/>
    <s v="01 BỘ TỦ BỊ THẤT LẠC"/>
  </r>
  <r>
    <m/>
    <m/>
    <m/>
    <s v="A3-S1"/>
    <n v="1"/>
    <n v="1"/>
    <d v="2025-07-31T00:00:00"/>
    <n v="4"/>
    <x v="35"/>
    <d v="1899-12-30T09:25:00"/>
    <n v="0.33333333333333215"/>
    <d v="2025-07-31T00:00:00"/>
    <x v="48"/>
    <s v="Assembly"/>
    <s v="01 BỘ TỦ BỊ THẤT LẠC"/>
  </r>
  <r>
    <m/>
    <m/>
    <m/>
    <s v="P02"/>
    <n v="1"/>
    <n v="2"/>
    <d v="2025-07-31T00:00:00"/>
    <n v="4"/>
    <x v="25"/>
    <d v="1899-12-30T09:40:00"/>
    <n v="0.6666666666666643"/>
    <d v="2025-07-31T00:00:00"/>
    <x v="48"/>
    <s v="Assembly"/>
    <s v="01 BỘ TỦ BỊ THẤT LẠC"/>
  </r>
  <r>
    <m/>
    <m/>
    <s v="BN1873F1227"/>
    <s v="P01"/>
    <n v="8"/>
    <n v="8"/>
    <d v="2025-07-31T00:00:00"/>
    <n v="4"/>
    <x v="2"/>
    <d v="1899-12-30T10:30:00"/>
    <n v="1.9999999999999982"/>
    <d v="2025-07-31T00:00:00"/>
    <x v="48"/>
    <s v="unassinged"/>
    <s v="08 tấm veneen walnut bị hư do đang ép bị cúp điện"/>
  </r>
  <r>
    <m/>
    <m/>
    <s v="AT537ANF1040"/>
    <s v="A1-S03"/>
    <n v="3"/>
    <n v="6"/>
    <d v="2025-07-31T00:00:00"/>
    <n v="4"/>
    <x v="5"/>
    <d v="1899-12-30T10:55:00"/>
    <n v="1.3333333333333286"/>
    <d v="2025-07-31T00:00:00"/>
    <x v="48"/>
    <s v="unassinged"/>
    <s v="06 TẤM VENEER OAK BỊ HƯ DO ĐANG ÉP BỊ CÚP ĐIỆN"/>
  </r>
  <r>
    <m/>
    <m/>
    <s v="AT292ANF549-VE"/>
    <s v="P02"/>
    <n v="1"/>
    <n v="1"/>
    <d v="2025-07-31T00:00:00"/>
    <n v="4"/>
    <x v="70"/>
    <d v="1899-12-30T11:00:00"/>
    <n v="0.33333333333333215"/>
    <d v="2025-07-31T00:00:00"/>
    <x v="48"/>
    <s v="unassinged"/>
    <s v="01 Tấm nóc bị hư do đang ép bị cúp điện"/>
  </r>
  <r>
    <m/>
    <m/>
    <s v="HS5873f1119"/>
    <s v="A02-S01"/>
    <n v="3"/>
    <n v="12"/>
    <d v="2025-08-02T00:00:00"/>
    <n v="1"/>
    <x v="1"/>
    <d v="1899-12-30T09:30:00"/>
    <n v="0.49999999999999956"/>
    <d v="2025-08-02T00:00:00"/>
    <x v="49"/>
    <s v="Technical"/>
    <s v="chi tiết cảo bịch a02-s01đổi veneen lót qua walnut"/>
  </r>
  <r>
    <m/>
    <m/>
    <s v="AT382F888"/>
    <s v="A5-S2"/>
    <n v="2"/>
    <n v="4"/>
    <d v="2025-08-02T00:00:00"/>
    <n v="4"/>
    <x v="25"/>
    <d v="1899-12-30T09:40:00"/>
    <n v="0.6666666666666643"/>
    <d v="2025-08-02T00:00:00"/>
    <x v="49"/>
    <s v="không xác định"/>
    <s v="làm bổ sung 02 bộ hộc kéo đã lấy làm mẫu test"/>
  </r>
  <r>
    <m/>
    <m/>
    <m/>
    <s v="A5-S1"/>
    <n v="2"/>
    <n v="2"/>
    <d v="2025-08-02T00:00:00"/>
    <n v="4"/>
    <x v="24"/>
    <d v="1899-12-30T09:50:00"/>
    <n v="0.66666666666667496"/>
    <d v="2025-08-02T00:00:00"/>
    <x v="49"/>
    <s v="không xác định"/>
    <s v="làm bổ sung 02 bộ hộc kéo đã lấy làm mẫu test"/>
  </r>
  <r>
    <m/>
    <m/>
    <m/>
    <s v="A4-S2"/>
    <n v="2"/>
    <n v="4"/>
    <d v="2025-08-02T00:00:00"/>
    <n v="4"/>
    <x v="45"/>
    <d v="1899-12-30T10:15:00"/>
    <n v="1.6666666666666607"/>
    <d v="2025-08-02T00:00:00"/>
    <x v="49"/>
    <s v="không xác định"/>
    <s v="làm bổ sung 02 bộ hộc kéo đã lấy làm mẫu test"/>
  </r>
  <r>
    <m/>
    <m/>
    <m/>
    <s v="A4-S1"/>
    <n v="2"/>
    <n v="2"/>
    <d v="2025-08-02T00:00:00"/>
    <n v="4"/>
    <x v="28"/>
    <d v="1899-12-30T10:30:00"/>
    <n v="0.6666666666666643"/>
    <d v="2025-08-02T00:00:00"/>
    <x v="49"/>
    <s v="không xác định"/>
    <s v="làm bổ sung 02 bộ hộc kéo đã lấy làm mẫu test"/>
  </r>
  <r>
    <m/>
    <m/>
    <m/>
    <s v="A4-1"/>
    <n v="2"/>
    <n v="2"/>
    <d v="2025-08-02T00:00:00"/>
    <n v="4"/>
    <x v="23"/>
    <d v="1899-12-30T10:40:00"/>
    <n v="0.6666666666666643"/>
    <d v="2025-08-02T00:00:00"/>
    <x v="49"/>
    <s v="không xác định"/>
    <s v="làm bổ sung 02 bộ hộc kéo đã lấy làm mẫu test"/>
  </r>
  <r>
    <m/>
    <m/>
    <m/>
    <s v="A5-S3"/>
    <n v="2"/>
    <n v="2"/>
    <d v="2025-08-02T00:00:00"/>
    <n v="4"/>
    <x v="40"/>
    <d v="1899-12-30T10:50:00"/>
    <n v="0.66666666666666963"/>
    <d v="2025-08-02T00:00:00"/>
    <x v="49"/>
    <s v="không xác định"/>
    <s v="làm bổ sung 02 bộ hộc kéo đã lấy làm mẫu test"/>
  </r>
  <r>
    <m/>
    <m/>
    <m/>
    <s v="A4-4"/>
    <n v="2"/>
    <n v="4"/>
    <d v="2025-08-02T00:00:00"/>
    <n v="4"/>
    <x v="54"/>
    <d v="1899-12-30T11:20:00"/>
    <n v="2.0000000000000036"/>
    <d v="2025-08-02T00:00:00"/>
    <x v="49"/>
    <s v="không xác định"/>
    <s v="làm bổ sung 02 bộ hộc kéo đã lấy làm mẫu test"/>
  </r>
  <r>
    <m/>
    <m/>
    <m/>
    <s v="A4-S3"/>
    <n v="2"/>
    <n v="2"/>
    <d v="2025-08-02T00:00:00"/>
    <n v="4"/>
    <x v="20"/>
    <d v="1899-12-30T11:30:00"/>
    <n v="0.6666666666666643"/>
    <d v="2025-08-02T00:00:00"/>
    <x v="49"/>
    <s v="không xác định"/>
    <s v="làm bổ sung 02 bộ hộc kéo đã lấy làm mẫu test"/>
  </r>
  <r>
    <m/>
    <s v="BẢNG MÀU "/>
    <m/>
    <s v="WD-03-482"/>
    <m/>
    <n v="15"/>
    <d v="2025-08-05T00:00:00"/>
    <n v="4"/>
    <x v="12"/>
    <d v="1899-12-30T10:00:00"/>
    <n v="8.0000000000000036"/>
    <d v="2025-08-05T00:00:00"/>
    <x v="49"/>
    <s v="Finishing"/>
    <s v="Mr.Sơn"/>
  </r>
  <r>
    <m/>
    <m/>
    <m/>
    <s v="WD-03-191"/>
    <m/>
    <n v="30"/>
    <d v="2025-08-02T00:00:00"/>
    <n v="1"/>
    <x v="2"/>
    <d v="1899-12-30T10:20:00"/>
    <n v="0.33333333333333348"/>
    <d v="2025-08-02T00:00:00"/>
    <x v="49"/>
    <s v="Finishing"/>
    <s v="Mr.Sơn"/>
  </r>
  <r>
    <m/>
    <m/>
    <m/>
    <s v="WD-03-119"/>
    <m/>
    <n v="30"/>
    <d v="2025-08-02T00:00:00"/>
    <n v="1"/>
    <x v="28"/>
    <d v="1899-12-30T10:40:00"/>
    <n v="0.33333333333333215"/>
    <d v="2025-08-02T00:00:00"/>
    <x v="49"/>
    <s v="Finishing"/>
    <s v="Mr.Sơn"/>
  </r>
  <r>
    <m/>
    <m/>
    <m/>
    <s v="WD-03-236"/>
    <m/>
    <n v="30"/>
    <d v="2025-08-02T00:00:00"/>
    <n v="1"/>
    <x v="40"/>
    <d v="1899-12-30T11:00:00"/>
    <n v="0.33333333333333348"/>
    <d v="2025-08-02T00:00:00"/>
    <x v="49"/>
    <s v="Finishing"/>
    <s v="Mr.Sơn"/>
  </r>
  <r>
    <m/>
    <m/>
    <m/>
    <s v="WD-03-183"/>
    <m/>
    <n v="30"/>
    <d v="2025-08-02T00:00:00"/>
    <n v="1"/>
    <x v="20"/>
    <d v="1899-12-30T11:40:00"/>
    <n v="0.33333333333333215"/>
    <d v="2025-08-02T00:00:00"/>
    <x v="49"/>
    <s v="Finishing"/>
    <s v="Mr.Sơn"/>
  </r>
  <r>
    <m/>
    <m/>
    <s v="DL018F837"/>
    <s v="A1-S4-1"/>
    <n v="2"/>
    <n v="2"/>
    <d v="2025-08-02T00:00:00"/>
    <n v="1"/>
    <x v="6"/>
    <d v="1899-12-30T13:15:00"/>
    <n v="0.25000000000000178"/>
    <d v="2025-08-02T00:00:00"/>
    <x v="49"/>
    <s v="Finishing"/>
    <s v="02 tấm nhôm a1-s4-1  bị trầy"/>
  </r>
  <r>
    <m/>
    <m/>
    <s v="JV008F580"/>
    <s v="A1-S4"/>
    <m/>
    <n v="1"/>
    <d v="2025-08-02T00:00:00"/>
    <n v="1"/>
    <x v="6"/>
    <d v="1899-12-30T13:05:00"/>
    <n v="8.3333333333335702E-2"/>
    <d v="2025-08-02T00:00:00"/>
    <x v="49"/>
    <s v="Assembly"/>
    <s v="01 TẤM NHÔM BỊ TRẦY"/>
  </r>
  <r>
    <m/>
    <m/>
    <m/>
    <s v="A3-S3"/>
    <m/>
    <n v="1"/>
    <d v="2025-08-02T00:00:00"/>
    <n v="1"/>
    <x v="71"/>
    <d v="1899-12-30T13:10:00"/>
    <n v="8.3333333333330373E-2"/>
    <d v="2025-08-02T00:00:00"/>
    <x v="49"/>
    <s v="Assembly"/>
    <s v="01 TẤM NHÔM BỊ TRẦY"/>
  </r>
  <r>
    <m/>
    <m/>
    <s v="SH884"/>
    <s v="A1-S01"/>
    <n v="3"/>
    <n v="12"/>
    <d v="2025-08-02T00:00:00"/>
    <n v="1"/>
    <x v="2"/>
    <d v="1899-12-30T10:30:00"/>
    <n v="0.49999999999999956"/>
    <d v="2025-08-02T00:00:00"/>
    <x v="49"/>
    <s v="Technical"/>
    <s v="Chi tiết cảo cong bị ép téc=&gt; ME thay đổi sớ veneer lót"/>
  </r>
  <r>
    <m/>
    <s v="BẢNG MÀU "/>
    <m/>
    <s v="WD-03-006"/>
    <m/>
    <n v="30"/>
    <d v="2025-08-06T00:00:00"/>
    <n v="5"/>
    <x v="14"/>
    <d v="1899-12-30T08:30:00"/>
    <n v="7.5"/>
    <d v="2025-08-06T00:00:00"/>
    <x v="49"/>
    <s v="Finishing"/>
    <s v="Mr.Sơn"/>
  </r>
  <r>
    <m/>
    <m/>
    <s v="JV035F1165"/>
    <s v="A2-S05"/>
    <n v="1"/>
    <n v="1"/>
    <d v="2025-08-07T00:00:00"/>
    <n v="1"/>
    <x v="29"/>
    <d v="1899-12-30T14:15:00"/>
    <n v="8.3333333333333037E-2"/>
    <d v="2025-08-07T00:00:00"/>
    <x v="50"/>
    <s v="Finishing"/>
    <s v="01 tấm nhôm bị trầy xước"/>
  </r>
  <r>
    <m/>
    <m/>
    <s v="CZ892F188"/>
    <m/>
    <m/>
    <n v="1"/>
    <d v="2025-08-07T00:00:00"/>
    <n v="1"/>
    <x v="34"/>
    <d v="1899-12-30T14:20:00"/>
    <n v="5.9999999999999982"/>
    <d v="2025-08-07T00:00:00"/>
    <x v="50"/>
    <s v="Assembly"/>
    <s v="MẶT BÀN BỊ TRẦY XƯỚC"/>
  </r>
  <r>
    <m/>
    <m/>
    <s v="AR999F1291"/>
    <s v="A1-S01"/>
    <n v="50"/>
    <n v="100"/>
    <d v="2025-08-09T00:00:00"/>
    <n v="10"/>
    <x v="14"/>
    <d v="1899-12-30T14:30:00"/>
    <n v="74.999999999999986"/>
    <d v="2025-08-09T00:00:00"/>
    <x v="50"/>
    <s v="Technical"/>
    <s v="50 bộ cửa veneer mặt ngoài làm 2 tấm ghép lại khách hàng không chấp nhận"/>
  </r>
  <r>
    <m/>
    <m/>
    <s v="AR999F1291"/>
    <s v="A2-S02"/>
    <n v="50"/>
    <n v="100"/>
    <d v="2025-08-09T00:00:00"/>
    <n v="10"/>
    <x v="14"/>
    <d v="1899-12-30T14:30:00"/>
    <n v="74.999999999999986"/>
    <d v="2025-08-09T00:00:00"/>
    <x v="50"/>
    <s v="Technical"/>
    <s v="50 bộ cửa veneer mặt ngoài làm 2 tấm ghép lại khách hàng không chấp nhận"/>
  </r>
  <r>
    <m/>
    <m/>
    <s v="RH11133F451"/>
    <s v="P04"/>
    <m/>
    <n v="1"/>
    <d v="2025-08-12T00:00:00"/>
    <n v="1"/>
    <x v="45"/>
    <d v="1899-12-30T10:00:00"/>
    <n v="0.16666666666666607"/>
    <d v="2025-08-12T00:00:00"/>
    <x v="50"/>
    <s v="HÀNG TEST"/>
    <s v="Làm 01 tấm mẫu"/>
  </r>
  <r>
    <m/>
    <m/>
    <s v="AR330F823"/>
    <s v="A1-S01"/>
    <m/>
    <n v="1"/>
    <d v="2025-08-12T00:00:00"/>
    <n v="1"/>
    <x v="2"/>
    <d v="1899-12-30T10:15:00"/>
    <n v="0.24999999999999911"/>
    <d v="2025-08-12T00:00:00"/>
    <x v="50"/>
    <s v="KHÔNG XÁC ĐỊNH"/>
    <m/>
  </r>
  <r>
    <m/>
    <m/>
    <s v="DL018"/>
    <s v="A1-S4-1"/>
    <m/>
    <n v="3"/>
    <d v="2025-08-13T00:00:00"/>
    <n v="1"/>
    <x v="16"/>
    <d v="1899-12-30T16:10:00"/>
    <n v="0.16666666666666874"/>
    <d v="2025-08-13T00:00:00"/>
    <x v="50"/>
    <s v="Machining"/>
    <s v="03 tấm nhôm bị trày"/>
  </r>
  <r>
    <m/>
    <m/>
    <s v="AT292ANF549-VE"/>
    <s v="P02"/>
    <n v="3"/>
    <n v="3"/>
    <d v="2025-08-13T00:00:00"/>
    <n v="1"/>
    <x v="29"/>
    <d v="1899-12-30T14:25:00"/>
    <n v="0.16666666666666874"/>
    <d v="2025-08-13T00:00:00"/>
    <x v="50"/>
    <s v="PANEL"/>
    <s v="03 tấm bị hư trong quá trình cắt"/>
  </r>
  <r>
    <m/>
    <m/>
    <s v="JV014"/>
    <m/>
    <m/>
    <n v="1"/>
    <d v="2025-08-13T00:00:00"/>
    <n v="1"/>
    <x v="67"/>
    <d v="1899-12-30T16:30:00"/>
    <n v="0.16666666666666874"/>
    <d v="2025-08-13T00:00:00"/>
    <x v="50"/>
    <s v="finising"/>
    <s v="01 miếng nhôm bị trày xước sau khi làm màu"/>
  </r>
  <r>
    <m/>
    <s v="BẢNG MÀU "/>
    <m/>
    <s v="WD-03-035"/>
    <m/>
    <n v="25"/>
    <d v="2025-08-14T00:00:00"/>
    <n v="2"/>
    <x v="12"/>
    <d v="1899-12-30T09:00:00"/>
    <n v="2.0000000000000009"/>
    <d v="2025-08-14T00:00:00"/>
    <x v="50"/>
    <s v="Finishing"/>
    <s v="Mr.Sơn"/>
  </r>
  <r>
    <m/>
    <s v="BẢNG MÀU "/>
    <m/>
    <s v="WD-03-038"/>
    <m/>
    <n v="50"/>
    <d v="2025-08-14T00:00:00"/>
    <n v="2"/>
    <x v="12"/>
    <d v="1899-12-30T10:00:00"/>
    <n v="4.0000000000000018"/>
    <d v="2025-08-14T00:00:00"/>
    <x v="50"/>
    <s v="Finishing"/>
    <s v="Mr.Sơn"/>
  </r>
  <r>
    <m/>
    <m/>
    <s v="AR113NF834"/>
    <s v="A0 "/>
    <n v="1"/>
    <n v="1"/>
    <d v="2025-08-19T00:00:00"/>
    <n v="1"/>
    <x v="1"/>
    <d v="1899-12-30T09:10:00"/>
    <n v="0.16666666666666607"/>
    <d v="2025-08-19T00:00:00"/>
    <x v="51"/>
    <s v="unassinged"/>
    <s v="01 set bị hư do đang ép bị mất điện"/>
  </r>
  <r>
    <m/>
    <m/>
    <s v="AR109NF1039"/>
    <s v="A0"/>
    <n v="2"/>
    <n v="2"/>
    <d v="2025-08-19T00:00:00"/>
    <n v="1"/>
    <x v="44"/>
    <d v="1899-12-30T09:20:00"/>
    <n v="0.16666666666666741"/>
    <d v="2025-08-19T00:00:00"/>
    <x v="51"/>
    <s v="unassinged"/>
    <s v="02 set bị hư do đang ép bị mất điện"/>
  </r>
  <r>
    <m/>
    <m/>
    <s v="RH10000NF383"/>
    <s v="A1-S01-2"/>
    <n v="5"/>
    <n v="5"/>
    <d v="2025-08-19T00:00:00"/>
    <n v="1"/>
    <x v="35"/>
    <d v="1899-12-30T09:40:00"/>
    <n v="0.33333333333333215"/>
    <d v="2025-08-19T00:00:00"/>
    <x v="51"/>
    <s v="unassinged"/>
    <s v="05 set bị hư do đang ép bị mất điện"/>
  </r>
  <r>
    <m/>
    <m/>
    <s v="AR999F1291"/>
    <s v="01 CÁI TỦ"/>
    <m/>
    <n v="1"/>
    <d v="2025-08-19T00:00:00"/>
    <n v="1"/>
    <x v="2"/>
    <d v="1899-12-30T18:30:00"/>
    <n v="8.5"/>
    <d v="2025-08-19T00:00:00"/>
    <x v="51"/>
    <s v="Assembly"/>
    <s v="01 cái tủ top bị lõm"/>
  </r>
  <r>
    <m/>
    <m/>
    <s v="AR999F1291"/>
    <s v="A0"/>
    <n v="3"/>
    <n v="3"/>
    <d v="2025-08-20T00:00:00"/>
    <n v="2"/>
    <x v="12"/>
    <d v="1899-12-30T18:00:00"/>
    <n v="20"/>
    <d v="2025-08-20T00:00:00"/>
    <x v="51"/>
    <s v="ME"/>
    <s v="3set cánh cửa lỗ veneer"/>
  </r>
  <r>
    <m/>
    <m/>
    <s v="HS5748F1162"/>
    <s v="01 CÁI TỦ"/>
    <m/>
    <n v="1"/>
    <d v="2025-08-20T00:00:00"/>
    <n v="2"/>
    <x v="7"/>
    <d v="1899-12-30T19:00:00"/>
    <n v="6.9999999999999964"/>
    <d v="2025-08-20T00:00:00"/>
    <x v="51"/>
    <s v="MAChining"/>
    <s v="chạy dư rãnh"/>
  </r>
  <r>
    <m/>
    <m/>
    <s v="HS5748F1162"/>
    <s v="01 CÁI TỦ"/>
    <m/>
    <n v="1"/>
    <d v="2025-08-21T00:00:00"/>
    <n v="1"/>
    <x v="14"/>
    <d v="1899-12-30T11:00:00"/>
    <n v="3.9999999999999991"/>
    <d v="2025-08-21T00:00:00"/>
    <x v="51"/>
    <s v="MAChining"/>
    <s v="chạy dư rãnh"/>
  </r>
  <r>
    <m/>
    <m/>
    <s v="HS5748F1162"/>
    <s v="01 CÁI TỦ"/>
    <m/>
    <n v="1"/>
    <d v="2025-08-21T00:00:00"/>
    <n v="3"/>
    <x v="4"/>
    <d v="1899-12-30T18:00:00"/>
    <n v="21"/>
    <d v="2025-08-21T00:00:00"/>
    <x v="51"/>
    <s v="MAChining"/>
    <s v="chạy dư rãnh"/>
  </r>
  <r>
    <m/>
    <m/>
    <s v="HS5748F1162"/>
    <s v="01 CÁI TỦ"/>
    <m/>
    <n v="1"/>
    <d v="2025-08-22T00:00:00"/>
    <n v="2"/>
    <x v="14"/>
    <d v="1899-12-30T18:00:00"/>
    <n v="22"/>
    <d v="2025-08-22T00:00:00"/>
    <x v="52"/>
    <s v="MAChining"/>
    <s v="chạy dư rãnh"/>
  </r>
  <r>
    <m/>
    <m/>
    <s v="RH112116F451"/>
    <s v="A01-S01-2"/>
    <m/>
    <n v="1"/>
    <d v="2025-08-22T00:00:00"/>
    <n v="1"/>
    <x v="2"/>
    <d v="1899-12-30T10:20:00"/>
    <n v="0.33333333333333348"/>
    <d v="2025-08-22T00:00:00"/>
    <x v="52"/>
    <s v="MAChining"/>
    <s v="01 tấm trày veneer"/>
  </r>
  <r>
    <m/>
    <m/>
    <s v="RH9540F425"/>
    <s v="A1-S02"/>
    <m/>
    <n v="1"/>
    <d v="2025-08-22T00:00:00"/>
    <n v="1"/>
    <x v="72"/>
    <d v="1899-12-30T18:40:00"/>
    <n v="0.16666666666666607"/>
    <d v="2025-08-22T00:00:00"/>
    <x v="52"/>
    <s v="MAChining"/>
    <s v="01 tấm veneer cào cước bị hư"/>
  </r>
  <r>
    <m/>
    <m/>
    <s v="DL018F837"/>
    <s v="A1-S4-1"/>
    <m/>
    <n v="1"/>
    <d v="2025-08-25T00:00:00"/>
    <n v="1"/>
    <x v="3"/>
    <d v="1899-12-30T14:10:00"/>
    <n v="0.16666666666666607"/>
    <d v="2025-08-25T00:00:00"/>
    <x v="52"/>
    <s v="Finishing"/>
    <s v="01 tấm nhôm bị trày"/>
  </r>
  <r>
    <m/>
    <m/>
    <s v="DL018F837"/>
    <s v="A1-S4"/>
    <m/>
    <n v="1"/>
    <d v="2025-08-25T00:00:00"/>
    <n v="1"/>
    <x v="29"/>
    <d v="1899-12-30T14:15:00"/>
    <n v="8.3333333333333037E-2"/>
    <d v="2025-08-25T00:00:00"/>
    <x v="52"/>
    <s v="Finishing"/>
    <s v="01 tấm nhôm bị trày"/>
  </r>
  <r>
    <m/>
    <m/>
    <s v="JV011F536"/>
    <s v="A2-S01"/>
    <m/>
    <n v="150"/>
    <d v="2025-08-25T00:00:00"/>
    <n v="2"/>
    <x v="6"/>
    <d v="1899-12-30T15:00:00"/>
    <n v="4.0000000000000018"/>
    <d v="2025-08-25T00:00:00"/>
    <x v="52"/>
    <s v="Technical"/>
    <s v="veneer poplar tăng kích thước chiều dài ra nguyên liệu"/>
  </r>
  <r>
    <m/>
    <s v="BẢNG MÀU"/>
    <s v="wd-03-270"/>
    <m/>
    <m/>
    <n v="10"/>
    <d v="2025-08-28T00:00:00"/>
    <n v="1"/>
    <x v="14"/>
    <d v="1899-12-30T08:00:00"/>
    <n v="0.99999999999999911"/>
    <d v="2025-08-28T00:00:00"/>
    <x v="52"/>
    <s v="TF"/>
    <s v="Mr.Sơn"/>
  </r>
  <r>
    <m/>
    <s v="BẢNG MÀU"/>
    <s v="wd-03-019"/>
    <m/>
    <m/>
    <n v="54"/>
    <d v="2025-08-28T00:00:00"/>
    <n v="2"/>
    <x v="2"/>
    <d v="1899-12-30T13:00:00"/>
    <n v="5.9999999999999973"/>
    <d v="2025-08-28T00:00:00"/>
    <x v="52"/>
    <s v="TF"/>
    <s v="Mr.Sơn"/>
  </r>
  <r>
    <m/>
    <s v="BẢNG MÀU"/>
    <s v="wd-03-006"/>
    <m/>
    <m/>
    <n v="9"/>
    <d v="2025-08-28T00:00:00"/>
    <n v="1"/>
    <x v="3"/>
    <d v="1899-12-30T18:00:00"/>
    <n v="3.9999999999999991"/>
    <d v="2025-08-28T00:00:00"/>
    <x v="52"/>
    <s v="TF"/>
    <s v="Mr.Sơn"/>
  </r>
  <r>
    <m/>
    <m/>
    <s v="AR869F1233"/>
    <s v="01 CÁI TỦ"/>
    <m/>
    <n v="1"/>
    <d v="2025-08-28T00:00:00"/>
    <n v="2"/>
    <x v="3"/>
    <d v="1899-12-30T19:00:00"/>
    <n v="9.9999999999999964"/>
    <d v="2025-08-28T00:00:00"/>
    <x v="52"/>
    <s v="ME"/>
    <s v="lỗi sai độ cong hong tủ do kết cấu bản vẽ của ME"/>
  </r>
  <r>
    <m/>
    <m/>
    <s v="AR869F1233"/>
    <s v="01 CÁI TỦ"/>
    <m/>
    <n v="1"/>
    <d v="2025-08-28T00:00:00"/>
    <n v="2"/>
    <x v="14"/>
    <d v="1899-12-30T09:30:00"/>
    <n v="4.9999999999999982"/>
    <d v="2025-08-28T00:00:00"/>
    <x v="52"/>
    <s v="ME"/>
    <s v="lỗi sai độ cong hong tủ do kết cấu bản vẽ của ME"/>
  </r>
  <r>
    <m/>
    <m/>
    <s v="AR869F1233"/>
    <s v="01 CÁI TỦ"/>
    <m/>
    <n v="1"/>
    <d v="2025-08-28T00:00:00"/>
    <n v="2"/>
    <x v="2"/>
    <d v="1899-12-30T18:00:00"/>
    <n v="16"/>
    <d v="2025-08-28T00:00:00"/>
    <x v="52"/>
    <s v="ME"/>
    <s v="lỗi sai độ cong hong tủ do kết cấu bản vẽ của ME"/>
  </r>
  <r>
    <m/>
    <m/>
    <s v="AR869F1233"/>
    <s v="01 CÁI TỦ"/>
    <m/>
    <n v="1"/>
    <d v="2025-08-28T00:00:00"/>
    <n v="2"/>
    <x v="14"/>
    <d v="1899-12-30T18:00:00"/>
    <n v="22"/>
    <d v="2025-08-28T00:00:00"/>
    <x v="52"/>
    <s v="ME"/>
    <s v="lỗi sai độ cong hong tủ do kết cấu bản vẽ của ME"/>
  </r>
  <r>
    <m/>
    <m/>
    <s v="AR869F1233"/>
    <s v="01 CÁI TỦ"/>
    <m/>
    <n v="1"/>
    <d v="2025-08-28T00:00:00"/>
    <n v="2"/>
    <x v="14"/>
    <d v="1899-12-30T09:30:00"/>
    <n v="4.9999999999999982"/>
    <d v="2025-08-28T00:00:00"/>
    <x v="52"/>
    <s v="ME"/>
    <s v="lỗi sai độ cong hong tủ do kết cấu bản vẽ của ME"/>
  </r>
  <r>
    <m/>
    <m/>
    <s v="AR1142NF1291"/>
    <s v="A5-S01"/>
    <m/>
    <n v="11"/>
    <d v="2025-08-28T00:00:00"/>
    <n v="1"/>
    <x v="4"/>
    <d v="1899-12-30T11:15:00"/>
    <n v="0.25000000000000044"/>
    <d v="2025-08-28T00:00:00"/>
    <x v="52"/>
    <s v="planning"/>
    <s v="do dùng giao chế nên biên dạng không giống bản vẽ"/>
  </r>
  <r>
    <m/>
    <m/>
    <s v="AR1141F1291"/>
    <s v="A5-S01"/>
    <m/>
    <n v="11"/>
    <d v="2025-08-28T00:00:00"/>
    <n v="1"/>
    <x v="49"/>
    <d v="1899-12-30T11:30:00"/>
    <n v="0.25000000000000044"/>
    <d v="2025-08-28T00:00:00"/>
    <x v="52"/>
    <s v="planning"/>
    <s v="do dùng giao chế nên biên dạng không giống bản vẽ"/>
  </r>
  <r>
    <m/>
    <m/>
    <s v="MUCKUP-AR866-TOP"/>
    <s v="A1-S01"/>
    <m/>
    <n v="1"/>
    <d v="2025-08-29T00:00:00"/>
    <n v="1"/>
    <x v="1"/>
    <d v="1899-12-30T09:15:00"/>
    <n v="0.25000000000000044"/>
    <d v="2025-08-29T00:00:00"/>
    <x v="53"/>
    <s v="MR.TÚ"/>
    <s v="làm mẫu (Mr.tú)"/>
  </r>
  <r>
    <m/>
    <s v="BẢNG MÀU"/>
    <m/>
    <s v="WD-03-036"/>
    <m/>
    <n v="48"/>
    <d v="2025-09-03T00:00:00"/>
    <n v="2"/>
    <x v="12"/>
    <d v="1899-12-30T12:00:00"/>
    <n v="8"/>
    <d v="2025-09-03T00:00:00"/>
    <x v="53"/>
    <s v="TF"/>
    <s v="Mr.Sơn"/>
  </r>
  <r>
    <m/>
    <m/>
    <s v="AR330F823"/>
    <s v="A1-S01"/>
    <m/>
    <n v="4"/>
    <d v="2025-09-06T00:00:00"/>
    <n v="1"/>
    <x v="6"/>
    <d v="1899-12-30T13:15:00"/>
    <n v="0.25000000000000178"/>
    <d v="2025-09-06T00:00:00"/>
    <x v="53"/>
    <s v="MR.TÚ"/>
    <s v="làm mẫu (Mr.tú)"/>
  </r>
  <r>
    <m/>
    <m/>
    <s v="HS5917F1119"/>
    <s v="A03-S01"/>
    <m/>
    <n v="2"/>
    <d v="2025-09-06T00:00:00"/>
    <n v="1"/>
    <x v="3"/>
    <d v="1899-12-30T14:10:00"/>
    <n v="0.16666666666666607"/>
    <d v="2025-09-06T00:00:00"/>
    <x v="53"/>
    <s v="Machining"/>
    <s v="02 CÁI TOP BỊ TRẦY BỀ MẶT"/>
  </r>
  <r>
    <m/>
    <m/>
    <s v="HS5858NF1162"/>
    <s v="A5-S02-3"/>
    <m/>
    <n v="70"/>
    <d v="2025-09-06T00:00:00"/>
    <n v="1"/>
    <x v="29"/>
    <d v="1899-12-30T15:00:00"/>
    <n v="0.83333333333333304"/>
    <d v="2025-09-06T00:00:00"/>
    <x v="53"/>
    <s v="Technical"/>
    <s v="tăng kích thước ra veneer"/>
  </r>
  <r>
    <m/>
    <s v="BẢNG MÀU"/>
    <s v="wd-03-229"/>
    <m/>
    <m/>
    <n v="500"/>
    <d v="2025-09-08T00:00:00"/>
    <n v="2"/>
    <x v="12"/>
    <d v="1899-12-30T11:00:00"/>
    <n v="6"/>
    <d v="2025-09-08T00:00:00"/>
    <x v="54"/>
    <s v="TF"/>
    <s v="Mr.Sơn"/>
  </r>
  <r>
    <m/>
    <m/>
    <s v="JV047F1212"/>
    <s v="A1-S4"/>
    <m/>
    <n v="1"/>
    <d v="2025-09-09T00:00:00"/>
    <n v="1"/>
    <x v="3"/>
    <d v="1899-12-30T14:05:00"/>
    <n v="8.3333333333333037E-2"/>
    <d v="2025-09-09T00:00:00"/>
    <x v="54"/>
    <s v="Finishing"/>
    <s v="01 miếng nhôm bị trày xước "/>
  </r>
  <r>
    <m/>
    <m/>
    <s v="AT534NF943"/>
    <s v="1 CÁI TỦ"/>
    <m/>
    <n v="1"/>
    <d v="2025-09-09T00:00:00"/>
    <n v="1"/>
    <x v="6"/>
    <d v="1899-12-30T19:00:00"/>
    <n v="6"/>
    <d v="2025-09-09T00:00:00"/>
    <x v="54"/>
    <s v="Final Machining"/>
    <s v="Dộp veneer mặt TOP"/>
  </r>
  <r>
    <m/>
    <m/>
    <s v=" vệ sinh tấm Appic"/>
    <m/>
    <m/>
    <n v="1"/>
    <d v="2025-09-10T00:00:00"/>
    <n v="1"/>
    <x v="6"/>
    <d v="1899-12-30T16:00:00"/>
    <n v="3"/>
    <d v="2025-09-10T00:00:00"/>
    <x v="54"/>
    <s v="không xác định"/>
    <s v="công việc ngoài hoạt động sx"/>
  </r>
  <r>
    <m/>
    <m/>
    <s v="AR869F1233"/>
    <s v="A3-S02"/>
    <m/>
    <n v="71"/>
    <d v="2025-09-16T00:00:00"/>
    <n v="1"/>
    <x v="12"/>
    <d v="1899-12-30T08:50:00"/>
    <n v="0.83333333333333437"/>
    <d v="2025-09-16T00:00:00"/>
    <x v="55"/>
    <s v="customer"/>
    <s v="đổi sang veneer Reclaimed Oak 1mm"/>
  </r>
  <r>
    <m/>
    <m/>
    <s v="AR869F1233"/>
    <s v="p02"/>
    <m/>
    <n v="71"/>
    <d v="2025-09-16T00:00:00"/>
    <n v="1"/>
    <x v="73"/>
    <d v="1899-12-30T09:45:00"/>
    <n v="0.83333333333333437"/>
    <d v="2025-09-16T00:00:00"/>
    <x v="55"/>
    <s v="customer"/>
    <s v="đổi sang veneer Reclaimed Oak 1mm"/>
  </r>
  <r>
    <m/>
    <m/>
    <s v="AR869F1233"/>
    <s v="A3-S02"/>
    <m/>
    <n v="25"/>
    <d v="2025-09-16T00:00:00"/>
    <n v="1"/>
    <x v="45"/>
    <d v="1899-12-30T10:15:00"/>
    <n v="0.41666666666666519"/>
    <d v="2025-09-16T00:00:00"/>
    <x v="55"/>
    <s v="customer"/>
    <s v="đổi sang veneer Reclaimed Oak 1mm"/>
  </r>
  <r>
    <m/>
    <m/>
    <s v="AR869F1233"/>
    <s v="p02"/>
    <m/>
    <n v="25"/>
    <d v="2025-09-16T00:00:00"/>
    <n v="1"/>
    <x v="47"/>
    <d v="1899-12-30T10:40:00"/>
    <n v="0.41666666666666652"/>
    <d v="2025-09-16T00:00:00"/>
    <x v="55"/>
    <s v="customer"/>
    <s v="đổi sang veneer Reclaimed Oak 1mm"/>
  </r>
  <r>
    <m/>
    <m/>
    <s v="AR983F1233"/>
    <s v="A3-S02"/>
    <m/>
    <n v="25"/>
    <d v="2025-09-16T00:00:00"/>
    <n v="1"/>
    <x v="40"/>
    <d v="1899-12-30T10:55:00"/>
    <n v="0.25000000000000044"/>
    <d v="2025-09-16T00:00:00"/>
    <x v="55"/>
    <s v="customer"/>
    <s v="đổi sang veneer Reclaimed Oak 1mm"/>
  </r>
  <r>
    <m/>
    <m/>
    <s v="AR983F1233"/>
    <s v="p02"/>
    <m/>
    <n v="25"/>
    <d v="2025-09-16T00:00:00"/>
    <n v="1"/>
    <x v="70"/>
    <d v="1899-12-30T11:15:00"/>
    <n v="0.33333333333333348"/>
    <d v="2025-09-16T00:00:00"/>
    <x v="55"/>
    <s v="customer"/>
    <s v="đổi sang veneer Reclaimed Oak 1mm"/>
  </r>
  <r>
    <m/>
    <m/>
    <s v="AR983F1275"/>
    <s v="A3-S02"/>
    <m/>
    <n v="25"/>
    <d v="2025-09-16T00:00:00"/>
    <n v="1"/>
    <x v="20"/>
    <d v="1899-12-30T11:40:00"/>
    <n v="0.33333333333333215"/>
    <d v="2025-09-16T00:00:00"/>
    <x v="55"/>
    <s v="customer"/>
    <s v="đổi sang veneer Reclaimed Oak 1mm"/>
  </r>
  <r>
    <m/>
    <m/>
    <s v="AR983F1275"/>
    <s v="p02"/>
    <m/>
    <n v="25"/>
    <d v="2025-09-16T00:00:00"/>
    <n v="1"/>
    <x v="52"/>
    <d v="1899-12-30T11:55:00"/>
    <n v="0.24999999999999911"/>
    <d v="2025-09-16T00:00:00"/>
    <x v="55"/>
    <s v="customer"/>
    <s v="đổi sang veneer Reclaimed Oak 1mm"/>
  </r>
  <r>
    <m/>
    <m/>
    <s v="RH7153F381"/>
    <s v="A1-S01"/>
    <m/>
    <n v="20"/>
    <d v="2025-09-16T00:00:00"/>
    <n v="6"/>
    <x v="19"/>
    <d v="1899-12-30T08:00:00"/>
    <n v="2.9999999999999973"/>
    <d v="2025-09-16T00:00:00"/>
    <x v="55"/>
    <s v="Technical"/>
    <s v="update ghép lại ván+ gỗ MDF do không đủ khổ"/>
  </r>
  <r>
    <m/>
    <m/>
    <s v="RH7153F383"/>
    <s v="A1-S01"/>
    <m/>
    <n v="20"/>
    <d v="2025-09-16T00:00:00"/>
    <n v="6"/>
    <x v="12"/>
    <d v="1899-12-30T09:00:00"/>
    <n v="6.0000000000000027"/>
    <d v="2025-09-16T00:00:00"/>
    <x v="55"/>
    <s v="Technical"/>
    <s v="update ghép lại ván+ gỗ MDF do không đủ khổ"/>
  </r>
  <r>
    <m/>
    <m/>
    <s v="RH7153F409"/>
    <s v="A1-S01"/>
    <m/>
    <n v="20"/>
    <d v="2025-09-16T00:00:00"/>
    <n v="6"/>
    <x v="1"/>
    <d v="1899-12-30T09:30:00"/>
    <n v="2.9999999999999973"/>
    <d v="2025-09-16T00:00:00"/>
    <x v="55"/>
    <s v="Technical"/>
    <s v="update ghép lại ván+ gỗ MDF do không đủ khổ"/>
  </r>
  <r>
    <m/>
    <m/>
    <s v="AR866F1233-TOP"/>
    <s v="A1-S01"/>
    <m/>
    <n v="100"/>
    <d v="2025-09-16T00:00:00"/>
    <n v="2"/>
    <x v="19"/>
    <d v="1899-12-30T11:00:00"/>
    <n v="6.9999999999999991"/>
    <d v="2025-09-16T00:00:00"/>
    <x v="55"/>
    <s v="customer"/>
    <s v="đổi veneer Knotty sang VN Reclaimed oak , oak endgrain,bo R1"/>
  </r>
  <r>
    <m/>
    <m/>
    <s v="AR866F1233-TOP"/>
    <s v="A3-S01"/>
    <m/>
    <n v="100"/>
    <d v="2025-09-16T00:00:00"/>
    <n v="2"/>
    <x v="6"/>
    <d v="1899-12-30T18:00:00"/>
    <n v="10.000000000000002"/>
    <d v="2025-09-16T00:00:00"/>
    <x v="55"/>
    <s v="customer"/>
    <s v="đổi veneer Knotty sang VN Reclaimed oak , oak endgrain,bo R1"/>
  </r>
  <r>
    <m/>
    <m/>
    <s v="AR866F1233-TOP"/>
    <s v="A1-S01"/>
    <n v="61"/>
    <n v="122"/>
    <d v="2025-09-17T00:00:00"/>
    <n v="2"/>
    <x v="12"/>
    <d v="1899-12-30T12:00:00"/>
    <n v="8"/>
    <d v="2025-09-17T00:00:00"/>
    <x v="55"/>
    <s v="customer"/>
    <s v="đổi veneer Knotty sang VN Reclaimed oak , oak endgrain,bo R1"/>
  </r>
  <r>
    <m/>
    <m/>
    <s v="AR866F1233-TOP"/>
    <s v="A3-S01"/>
    <n v="4"/>
    <n v="8"/>
    <d v="2025-09-17T00:00:00"/>
    <n v="2"/>
    <x v="6"/>
    <d v="1899-12-30T14:30:00"/>
    <n v="3"/>
    <d v="2025-09-17T00:00:00"/>
    <x v="55"/>
    <s v="customer"/>
    <s v="đổi veneer Knotty sang VN Reclaimed oak , oak endgrain,bo R1"/>
  </r>
  <r>
    <m/>
    <m/>
    <s v="AR8651233-TOP"/>
    <s v="A3-S0"/>
    <n v="50"/>
    <n v="100"/>
    <d v="2025-09-19T00:00:00"/>
    <n v="3"/>
    <x v="12"/>
    <d v="1899-12-30T10:00:00"/>
    <n v="6.0000000000000027"/>
    <d v="2025-09-19T00:00:00"/>
    <x v="55"/>
    <s v="customer"/>
    <s v="đổi veneer Knotty sang VN Reclaimed oak , oak endgrain,bo R1"/>
  </r>
  <r>
    <m/>
    <m/>
    <s v="AR8651233-TOP"/>
    <s v="A3-S0"/>
    <n v="25"/>
    <n v="50"/>
    <d v="2025-09-19T00:00:00"/>
    <n v="3"/>
    <x v="2"/>
    <d v="1899-12-30T12:00:00"/>
    <n v="5.9999999999999982"/>
    <d v="2025-09-19T00:00:00"/>
    <x v="55"/>
    <s v="customer"/>
    <s v="đổi veneer Knotty sang VN Reclaimed oak , oak endgrain,bo R1"/>
  </r>
  <r>
    <m/>
    <m/>
    <s v="rh9338f424"/>
    <s v="p01"/>
    <n v="1"/>
    <n v="1"/>
    <d v="2025-09-20T00:00:00"/>
    <n v="1"/>
    <x v="74"/>
    <d v="1899-12-30T17:20:00"/>
    <n v="0.16666666666666607"/>
    <d v="2025-09-20T00:00:00"/>
    <x v="56"/>
    <s v="MAChining"/>
    <s v="01 psc chạy lộn mặt trong quá trình CNC"/>
  </r>
  <r>
    <m/>
    <m/>
    <m/>
    <s v="dọn vệ sinh"/>
    <m/>
    <m/>
    <d v="2025-09-22T00:00:00"/>
    <n v="6"/>
    <x v="40"/>
    <d v="1899-12-30T11:00:00"/>
    <n v="2.0000000000000009"/>
    <d v="2025-09-22T00:00:00"/>
    <x v="56"/>
    <s v="không xác định"/>
    <s v="dọn vệ sinh khu vực ngập nước"/>
  </r>
  <r>
    <m/>
    <m/>
    <s v="KA SAMPLE 10"/>
    <s v="A2-S02"/>
    <n v="2"/>
    <n v="2"/>
    <d v="2025-09-22T00:00:00"/>
    <n v="1"/>
    <x v="26"/>
    <d v="1899-12-30T17:10:00"/>
    <n v="0.16666666666666607"/>
    <d v="2025-09-22T00:00:00"/>
    <x v="56"/>
    <s v="MR.TÚ"/>
    <s v="HÀNG MẪU"/>
  </r>
  <r>
    <m/>
    <m/>
    <s v="KA SAMPLE 10"/>
    <s v="A2-S03"/>
    <n v="2"/>
    <n v="2"/>
    <d v="2025-09-22T00:00:00"/>
    <n v="1"/>
    <x v="75"/>
    <d v="1899-12-30T17:25:00"/>
    <n v="0.16666666666666874"/>
    <d v="2025-09-22T00:00:00"/>
    <x v="56"/>
    <s v="MR.TÚ"/>
    <s v="HÀNG MẪU"/>
  </r>
  <r>
    <m/>
    <m/>
    <s v="AR869F1233"/>
    <s v="A1"/>
    <n v="25"/>
    <n v="50"/>
    <d v="2025-09-23T00:00:00"/>
    <n v="1"/>
    <x v="39"/>
    <d v="1899-12-30T08:40:00"/>
    <n v="0.41666666666666652"/>
    <d v="2025-09-23T00:00:00"/>
    <x v="56"/>
    <s v="unassinged"/>
    <s v="add veneer okuome 0.6mm (lót mặt trong)"/>
  </r>
  <r>
    <m/>
    <m/>
    <s v="SH932F1316"/>
    <s v="A1-S01"/>
    <m/>
    <n v="4"/>
    <d v="2025-09-23T00:00:00"/>
    <n v="1"/>
    <x v="44"/>
    <d v="1899-12-30T09:20:00"/>
    <n v="0.16666666666666741"/>
    <d v="2025-09-23T00:00:00"/>
    <x v="56"/>
    <s v="unassinged"/>
    <s v="04 TẤM BỊ HƯ DO ĐANG ÉP BỊ MẤT ĐIỆN"/>
  </r>
  <r>
    <m/>
    <m/>
    <s v="MUCKUP-AR330-TOP"/>
    <s v="A1-S01"/>
    <m/>
    <n v="1"/>
    <d v="2025-09-23T00:00:00"/>
    <n v="1"/>
    <x v="35"/>
    <d v="1899-12-30T09:25:00"/>
    <n v="8.3333333333333037E-2"/>
    <d v="2025-09-23T00:00:00"/>
    <x v="56"/>
    <s v="MR.TÚ"/>
    <s v="HÀNG MẪU"/>
  </r>
  <r>
    <m/>
    <m/>
    <s v="RH11127F456"/>
    <s v="P01-4"/>
    <n v="10"/>
    <n v="10"/>
    <d v="2025-09-24T00:00:00"/>
    <n v="1"/>
    <x v="2"/>
    <d v="1899-12-30T10:30:00"/>
    <n v="0.49999999999999956"/>
    <d v="2025-09-24T00:00:00"/>
    <x v="56"/>
    <s v="unassinged"/>
    <s v="chi tiết cảo bịch thay đổi qua lót ngược sớ"/>
  </r>
  <r>
    <m/>
    <m/>
    <s v="RH11127F456"/>
    <s v="P00-1"/>
    <n v="10"/>
    <n v="20"/>
    <d v="2025-09-24T00:00:00"/>
    <n v="1"/>
    <x v="5"/>
    <d v="1899-12-30T11:20:00"/>
    <n v="0.75"/>
    <d v="2025-09-24T00:00:00"/>
    <x v="56"/>
    <s v="unassinged"/>
    <s v="chi tiết cảo bịch thay đổi qua lót ngược sớ"/>
  </r>
  <r>
    <m/>
    <m/>
    <s v="AT383F535"/>
    <s v="A3-1"/>
    <n v="1"/>
    <n v="2"/>
    <d v="2025-10-01T00:00:00"/>
    <n v="2"/>
    <x v="3"/>
    <d v="1899-12-30T14:20:00"/>
    <n v="0.6666666666666643"/>
    <d v="2025-10-01T00:00:00"/>
    <x v="57"/>
    <s v="unassinged"/>
    <s v="01 set bị hư do đang ép bị mất điện"/>
  </r>
  <r>
    <m/>
    <m/>
    <s v="AR463F834-BASE"/>
    <s v="A1-S0"/>
    <n v="1"/>
    <n v="1"/>
    <d v="2025-10-01T00:00:00"/>
    <n v="2"/>
    <x v="17"/>
    <d v="1899-12-30T14:40:00"/>
    <n v="0.6666666666666643"/>
    <d v="2025-10-01T00:00:00"/>
    <x v="57"/>
    <s v="unassinged"/>
    <s v="01 set bị hư do đang ép bị mất điện"/>
  </r>
  <r>
    <m/>
    <m/>
    <s v="RH11234F456"/>
    <s v="A1-S02"/>
    <n v="2"/>
    <n v="4"/>
    <d v="2025-10-01T00:00:00"/>
    <n v="2"/>
    <x v="30"/>
    <d v="1899-12-30T15:20:00"/>
    <n v="1.3333333333333393"/>
    <d v="2025-10-01T00:00:00"/>
    <x v="57"/>
    <s v="Technical"/>
    <s v="lòng trong thiếu cước+ cước không giống panel"/>
  </r>
  <r>
    <m/>
    <m/>
    <s v="AR186F906-BASE"/>
    <s v="P08"/>
    <n v="1"/>
    <n v="1"/>
    <d v="2025-10-01T00:00:00"/>
    <n v="2"/>
    <x v="36"/>
    <d v="1899-12-30T15:30:00"/>
    <n v="0.33333333333333215"/>
    <d v="2025-10-01T00:00:00"/>
    <x v="57"/>
    <s v="unassinged"/>
    <s v="01 set bị hư do đang chạy CNC bị cúp điện"/>
  </r>
  <r>
    <m/>
    <m/>
    <s v="RH9866F426"/>
    <s v="A2"/>
    <m/>
    <n v="2"/>
    <d v="2025-10-02T00:00:00"/>
    <n v="1"/>
    <x v="6"/>
    <d v="1899-12-30T13:20:00"/>
    <n v="0.33333333333333481"/>
    <d v="2025-10-02T00:00:00"/>
    <x v="57"/>
    <s v="Final Machining"/>
    <s v="bị lông gỗ+1 pc bị sọc ngang"/>
  </r>
  <r>
    <m/>
    <m/>
    <s v="RH9866F424"/>
    <s v="A2"/>
    <m/>
    <n v="2"/>
    <d v="2025-10-02T00:00:00"/>
    <n v="1"/>
    <x v="76"/>
    <d v="1899-12-30T13:40:00"/>
    <n v="0.33333333333333215"/>
    <d v="2025-10-02T00:00:00"/>
    <x v="57"/>
    <s v="Final Machining"/>
    <s v="bị lông gỗ+1 pc bị sọc ngang"/>
  </r>
  <r>
    <m/>
    <m/>
    <s v="AR133F834-BASE"/>
    <s v="P06-2"/>
    <m/>
    <n v="4"/>
    <d v="2025-10-04T00:00:00"/>
    <n v="1"/>
    <x v="77"/>
    <d v="1899-12-30T13:40:00"/>
    <n v="0.41666666666666519"/>
    <d v="2025-10-04T00:00:00"/>
    <x v="58"/>
    <s v="unassinged"/>
    <s v="04 psc bị hư do chạy CNC bị mất điện"/>
  </r>
  <r>
    <m/>
    <m/>
    <s v="CE553NF1011D"/>
    <s v="P01"/>
    <m/>
    <n v="6"/>
    <d v="2025-10-04T00:00:00"/>
    <n v="1"/>
    <x v="51"/>
    <d v="1899-12-30T14:15:00"/>
    <n v="0.58333333333333393"/>
    <d v="2025-10-04T00:00:00"/>
    <x v="58"/>
    <s v="unassinged"/>
    <s v="06 psc bị hư do đang ép bị mất điện"/>
  </r>
  <r>
    <m/>
    <m/>
    <s v="RH10173F382"/>
    <s v="P01"/>
    <m/>
    <n v="1"/>
    <d v="2025-10-06T00:00:00"/>
    <n v="1"/>
    <x v="78"/>
    <d v="1899-12-30T07:30:00"/>
    <n v="0.16666666666666741"/>
    <d v="2025-10-06T00:00:00"/>
    <x v="58"/>
    <s v="unassinged"/>
    <s v="01 psc bị hư do chạy CNC bị mất điện"/>
  </r>
  <r>
    <m/>
    <s v="BẢNG MÀU"/>
    <s v="wd-03-254"/>
    <m/>
    <m/>
    <n v="30"/>
    <d v="2025-10-06T00:00:00"/>
    <n v="1"/>
    <x v="6"/>
    <d v="1899-12-30T14:30:00"/>
    <n v="1.5"/>
    <d v="2025-10-06T00:00:00"/>
    <x v="58"/>
    <s v="TF"/>
    <s v="Mr.Sơn"/>
  </r>
  <r>
    <m/>
    <s v="BẢNG MÀU"/>
    <s v="wd-03-229"/>
    <m/>
    <m/>
    <n v="91"/>
    <d v="2025-10-06T00:00:00"/>
    <n v="1"/>
    <x v="8"/>
    <d v="1899-12-30T16:00:00"/>
    <n v="1.5"/>
    <d v="2025-10-06T00:00:00"/>
    <x v="58"/>
    <s v="TF"/>
    <s v="Mr.Sơn"/>
  </r>
  <r>
    <m/>
    <m/>
    <s v="RH9856F425"/>
    <s v="P01"/>
    <m/>
    <n v="2"/>
    <d v="2025-10-07T00:00:00"/>
    <n v="1"/>
    <x v="79"/>
    <d v="1899-12-30T08:10:00"/>
    <n v="0.41666666666666519"/>
    <d v="2025-10-07T00:00:00"/>
    <x v="58"/>
    <s v="Assembly"/>
    <s v="2 set mặt TOP bàn lỗi lằng ngang"/>
  </r>
  <r>
    <m/>
    <m/>
    <s v="AR999F1291"/>
    <s v="A0"/>
    <n v="1"/>
    <n v="1"/>
    <d v="2025-10-15T00:00:00"/>
    <n v="1"/>
    <x v="4"/>
    <d v="1899-12-30T11:20:00"/>
    <n v="0.33333333333333481"/>
    <d v="2025-10-15T00:00:00"/>
    <x v="59"/>
    <s v="Machining"/>
    <s v="01 set bị hư trong quá trình CNC"/>
  </r>
  <r>
    <m/>
    <s v="BẢNG MÀU"/>
    <s v="wd-03-229"/>
    <m/>
    <m/>
    <n v="120"/>
    <d v="2025-10-16T00:00:00"/>
    <n v="1"/>
    <x v="1"/>
    <d v="1899-12-30T11:00:00"/>
    <n v="1.9999999999999996"/>
    <d v="2025-10-16T00:00:00"/>
    <x v="59"/>
    <s v="TF"/>
    <s v="Mr.Sơn"/>
  </r>
  <r>
    <m/>
    <m/>
    <s v="JV013F836"/>
    <s v="p01-2"/>
    <m/>
    <n v="120"/>
    <d v="2025-10-21T00:00:00"/>
    <n v="2"/>
    <x v="12"/>
    <d v="1899-12-30T11:00:00"/>
    <n v="6"/>
    <d v="2025-10-21T00:00:00"/>
    <x v="60"/>
    <s v="Technical"/>
    <s v="120 tấm veneer bổ sung lại do bị xù lông"/>
  </r>
  <r>
    <m/>
    <m/>
    <s v="AR8651233-TOP"/>
    <s v="A3-S0"/>
    <m/>
    <n v="100"/>
    <d v="2025-10-21T00:00:00"/>
    <n v="2"/>
    <x v="1"/>
    <d v="1899-12-30T12:00:00"/>
    <n v="6"/>
    <d v="2025-10-21T00:00:00"/>
    <x v="60"/>
    <s v="Machining"/>
    <s v="TOP giữa kích thước lớn hơn TOP bìa"/>
  </r>
  <r>
    <m/>
    <s v="BẢNG MÀU"/>
    <s v="wd-03-229"/>
    <m/>
    <m/>
    <n v="160"/>
    <d v="2025-10-23T00:00:00"/>
    <n v="2"/>
    <x v="1"/>
    <d v="1899-12-30T12:00:00"/>
    <n v="6"/>
    <d v="2025-10-23T00:00:00"/>
    <x v="60"/>
    <s v="TF"/>
    <s v="Mr.Sơn"/>
  </r>
  <r>
    <m/>
    <s v="BẢNG MÀU"/>
    <s v="wd-03-254"/>
    <m/>
    <m/>
    <n v="72"/>
    <d v="2025-10-27T00:00:00"/>
    <n v="2"/>
    <x v="1"/>
    <d v="1899-12-30T09:30:00"/>
    <n v="0.99999999999999911"/>
    <d v="2025-10-27T00:00:00"/>
    <x v="60"/>
    <s v="TF"/>
    <s v="Mr.Sơn"/>
  </r>
  <r>
    <m/>
    <s v="BẢNG MÀU"/>
    <s v="wd-03-194"/>
    <m/>
    <m/>
    <n v="100"/>
    <d v="2025-10-27T00:00:00"/>
    <n v="2"/>
    <x v="25"/>
    <d v="1899-12-30T10:00:00"/>
    <n v="1.0000000000000018"/>
    <d v="2025-10-27T00:00:00"/>
    <x v="60"/>
    <s v="TF"/>
    <s v="Mr.Sơn"/>
  </r>
  <r>
    <m/>
    <m/>
    <s v="AT640F1198"/>
    <s v="A1-S01"/>
    <m/>
    <n v="2"/>
    <d v="2025-10-27T00:00:00"/>
    <n v="2"/>
    <x v="6"/>
    <d v="1899-12-30T14:00:00"/>
    <n v="2.0000000000000036"/>
    <d v="2025-10-27T00:00:00"/>
    <x v="60"/>
    <s v="MR.TÚ"/>
    <s v="HÀNG MẪU"/>
  </r>
  <r>
    <m/>
    <m/>
    <s v="AT640F1198"/>
    <s v="A2-S0"/>
    <m/>
    <n v="2"/>
    <d v="2025-10-27T00:00:00"/>
    <m/>
    <x v="15"/>
    <m/>
    <m/>
    <d v="2025-10-27T00:00:00"/>
    <x v="60"/>
    <s v="MR.TÚ"/>
    <s v="HÀNG MẪU"/>
  </r>
  <r>
    <m/>
    <m/>
    <s v="AT640F1198"/>
    <s v="A2-S02"/>
    <m/>
    <n v="2"/>
    <d v="2025-10-27T00:00:00"/>
    <m/>
    <x v="15"/>
    <m/>
    <m/>
    <d v="2025-10-27T00:00:00"/>
    <x v="60"/>
    <s v="MR.TÚ"/>
    <s v="HÀNG MẪU"/>
  </r>
  <r>
    <m/>
    <m/>
    <s v="AT640F1198"/>
    <s v="A3-S04"/>
    <m/>
    <n v="2"/>
    <d v="2025-10-27T00:00:00"/>
    <m/>
    <x v="15"/>
    <m/>
    <m/>
    <d v="2025-10-27T00:00:00"/>
    <x v="60"/>
    <s v="MR.TÚ"/>
    <s v="HÀNG MẪU"/>
  </r>
  <r>
    <m/>
    <m/>
    <s v="AT640F1198"/>
    <s v="A3-S05"/>
    <m/>
    <n v="2"/>
    <d v="2025-10-27T00:00:00"/>
    <m/>
    <x v="15"/>
    <m/>
    <m/>
    <d v="2025-10-27T00:00:00"/>
    <x v="60"/>
    <s v="MR.TÚ"/>
    <s v="HÀNG MẪU"/>
  </r>
  <r>
    <m/>
    <m/>
    <s v="AT640F1198"/>
    <s v="A4-S01-2"/>
    <m/>
    <n v="2"/>
    <d v="2025-10-27T00:00:00"/>
    <m/>
    <x v="15"/>
    <m/>
    <m/>
    <d v="2025-10-27T00:00:00"/>
    <x v="60"/>
    <s v="MR.TÚ"/>
    <s v="HÀNG MẪU"/>
  </r>
  <r>
    <m/>
    <m/>
    <s v="AT640F1198"/>
    <s v="A4-S01-3"/>
    <m/>
    <n v="2"/>
    <d v="2025-10-27T00:00:00"/>
    <m/>
    <x v="15"/>
    <m/>
    <m/>
    <d v="2025-10-27T00:00:00"/>
    <x v="60"/>
    <s v="MR.TÚ"/>
    <s v="HÀNG MẪU"/>
  </r>
  <r>
    <m/>
    <m/>
    <s v="AT640F1198"/>
    <s v="A4-S02"/>
    <m/>
    <n v="2"/>
    <d v="2025-10-27T00:00:00"/>
    <m/>
    <x v="15"/>
    <m/>
    <m/>
    <d v="2025-10-27T00:00:00"/>
    <x v="60"/>
    <s v="MR.TÚ"/>
    <s v="HÀNG MẪU"/>
  </r>
  <r>
    <m/>
    <m/>
    <s v="AT640F1198"/>
    <s v="A4-S01-4"/>
    <m/>
    <n v="2"/>
    <d v="2025-10-27T00:00:00"/>
    <m/>
    <x v="15"/>
    <m/>
    <m/>
    <d v="2025-10-27T00:00:00"/>
    <x v="60"/>
    <s v="MR.TÚ"/>
    <s v="HÀNG MẪU"/>
  </r>
  <r>
    <m/>
    <m/>
    <s v="AT640F1198"/>
    <s v="P08"/>
    <m/>
    <n v="2"/>
    <d v="2025-10-27T00:00:00"/>
    <m/>
    <x v="15"/>
    <m/>
    <m/>
    <d v="2025-10-27T00:00:00"/>
    <x v="60"/>
    <s v="MR.TÚ"/>
    <s v="HÀNG MẪU"/>
  </r>
  <r>
    <m/>
    <m/>
    <s v="RH11286F451"/>
    <s v="A1-S01-1"/>
    <n v="1"/>
    <n v="1"/>
    <d v="2025-10-28T00:00:00"/>
    <n v="1"/>
    <x v="80"/>
    <d v="1899-12-30T15:20:00"/>
    <n v="8.3333333333335702E-2"/>
    <d v="2025-10-28T00:00:00"/>
    <x v="60"/>
    <s v="finising"/>
    <s v="đầu giường rớt chuyền hư 1 psc"/>
  </r>
  <r>
    <m/>
    <m/>
    <s v="AR998F1291"/>
    <s v="P07-1"/>
    <n v="1"/>
    <n v="1"/>
    <d v="2025-10-28T00:00:00"/>
    <n v="1"/>
    <x v="36"/>
    <d v="1899-12-30T15:25:00"/>
    <n v="8.3333333333330373E-2"/>
    <d v="2025-10-28T00:00:00"/>
    <x v="60"/>
    <s v="Final Machining"/>
    <s v="kệ bị trùng vế"/>
  </r>
  <r>
    <m/>
    <m/>
    <s v="HS5178f1180"/>
    <s v="A1-S01-1"/>
    <n v="2"/>
    <n v="4"/>
    <d v="2025-10-31T00:00:00"/>
    <n v="1"/>
    <x v="1"/>
    <d v="1899-12-30T10:00:00"/>
    <n v="1.0000000000000004"/>
    <d v="2025-10-31T00:00:00"/>
    <x v="61"/>
    <s v="MR.TÚ"/>
    <s v="ưu tiên làm bổ sung do đã lấy làm mẫu test"/>
  </r>
  <r>
    <m/>
    <m/>
    <s v="AR1160F1256-TOP"/>
    <s v="A1"/>
    <m/>
    <n v="1"/>
    <d v="2025-11-03T00:00:00"/>
    <n v="1"/>
    <x v="11"/>
    <d v="1899-12-30T08:45:00"/>
    <n v="0.24999999999999911"/>
    <d v="2025-11-03T00:00:00"/>
    <x v="61"/>
    <s v="MR.TÚ"/>
    <s v="ưu tiên làm mẫu"/>
  </r>
  <r>
    <m/>
    <m/>
    <s v="AT383M00-VE"/>
    <s v="A1-S03"/>
    <m/>
    <n v="3"/>
    <d v="2025-11-03T00:00:00"/>
    <n v="1"/>
    <x v="45"/>
    <d v="1899-12-30T10:20:00"/>
    <n v="0.49999999999999956"/>
    <d v="2025-11-03T00:00:00"/>
    <x v="61"/>
    <s v="MAChining"/>
    <s v="03 tấm bị chạy phôi trong quá trình CNC"/>
  </r>
  <r>
    <m/>
    <s v="BẢNG MÀU"/>
    <s v="wd-03-009"/>
    <m/>
    <m/>
    <n v="30"/>
    <d v="2025-11-04T00:00:00"/>
    <n v="1"/>
    <x v="6"/>
    <d v="1899-12-30T13:50:00"/>
    <n v="0.8333333333333357"/>
    <d v="2025-11-04T00:00:00"/>
    <x v="61"/>
    <s v="TF"/>
    <s v="Mr.Sơn"/>
  </r>
  <r>
    <m/>
    <m/>
    <s v="RH11045F349TR"/>
    <s v="P05"/>
    <m/>
    <n v="1"/>
    <d v="2025-11-04T00:00:00"/>
    <n v="1"/>
    <x v="37"/>
    <d v="1899-12-30T08:55:00"/>
    <n v="0.24999999999999911"/>
    <d v="2025-11-04T00:00:00"/>
    <x v="61"/>
    <s v="unassinged"/>
    <s v="01 tấm lấy làm mẫu"/>
  </r>
  <r>
    <m/>
    <m/>
    <s v="RH7561F381"/>
    <s v="P04-1A"/>
    <m/>
    <n v="5"/>
    <d v="2025-11-04T00:00:00"/>
    <n v="1"/>
    <x v="2"/>
    <d v="1899-12-30T10:30:00"/>
    <n v="0.49999999999999956"/>
    <d v="2025-11-04T00:00:00"/>
    <x v="61"/>
    <s v="veneer pressing"/>
    <s v="05 tấm đang ép nóng bị cúp điện"/>
  </r>
  <r>
    <m/>
    <m/>
    <s v="RH9882F423"/>
    <s v="P00"/>
    <m/>
    <n v="4"/>
    <d v="2025-11-04T00:00:00"/>
    <n v="1"/>
    <x v="0"/>
    <d v="1899-12-30T15:20:00"/>
    <n v="0.33333333333333481"/>
    <d v="2025-11-04T00:00:00"/>
    <x v="61"/>
    <s v="MAChining"/>
    <s v="04 tấm veneer mặt ngoài bị bung sớ trong quá trình cào cước"/>
  </r>
  <r>
    <m/>
    <m/>
    <s v="AT659F839"/>
    <s v="A000"/>
    <m/>
    <n v="4"/>
    <d v="2025-11-05T00:00:00"/>
    <n v="1"/>
    <x v="44"/>
    <d v="1899-12-30T09:30:00"/>
    <n v="0.33333333333333348"/>
    <d v="2025-11-05T00:00:00"/>
    <x v="61"/>
    <s v="MAChining"/>
    <s v="hông, chỉ hông, chỉ cửa , top veneer bị sọc ngang cháy cần đổi qua veneer 1.2mm mặt ngoài"/>
  </r>
  <r>
    <m/>
    <m/>
    <s v="AT659F839"/>
    <s v="A3-04"/>
    <m/>
    <n v="2"/>
    <d v="2025-11-05T00:00:00"/>
    <n v="1"/>
    <x v="25"/>
    <d v="1899-12-30T09:45:00"/>
    <n v="0.25000000000000044"/>
    <d v="2025-11-05T00:00:00"/>
    <x v="61"/>
    <s v="MAChining"/>
    <s v="hông, chỉ hông, chỉ cửa , top veneer bị sọc ngang cháy cần đổi qua veneer 1.2mm mặt ngoài"/>
  </r>
  <r>
    <m/>
    <m/>
    <s v="AT659"/>
    <s v="A1-S02"/>
    <m/>
    <n v="2"/>
    <d v="2025-11-06T00:00:00"/>
    <n v="1"/>
    <x v="21"/>
    <d v="1899-12-30T14:20:00"/>
    <n v="0.49999999999999822"/>
    <d v="2025-11-06T00:00:00"/>
    <x v="61"/>
    <s v="ME"/>
    <s v="làm hàng mẫu test"/>
  </r>
  <r>
    <m/>
    <m/>
    <s v="AT659F839"/>
    <s v="A000, A2-S03, A3-S02, A3-S03, A3, A3-S04, A1, A1-S02"/>
    <n v="80"/>
    <n v="800"/>
    <d v="2025-11-06T00:00:00"/>
    <n v="7"/>
    <x v="14"/>
    <d v="1899-12-30T16:30:00"/>
    <n v="66.5"/>
    <d v="2025-11-06T00:00:00"/>
    <x v="61"/>
    <s v="MAChining"/>
    <s v="hông, chỉ hông, chỉ cửa , top veneer bị sọc ngang cháy cần đổi qua veneer 1.2mm mặt ngoài"/>
  </r>
  <r>
    <m/>
    <m/>
    <s v="wd-03-516"/>
    <s v="600x800"/>
    <m/>
    <n v="5"/>
    <d v="2025-11-08T00:00:00"/>
    <n v="1"/>
    <x v="12"/>
    <d v="1899-12-30T08:40:00"/>
    <n v="0.66666666666666696"/>
    <d v="2025-11-08T00:00:00"/>
    <x v="62"/>
    <s v="ME"/>
    <s v="làm mẫu test cho ME"/>
  </r>
  <r>
    <m/>
    <m/>
    <s v="AR367F1049"/>
    <s v="A6-S06"/>
    <n v="4"/>
    <n v="4"/>
    <d v="2025-11-10T00:00:00"/>
    <n v="1"/>
    <x v="11"/>
    <d v="1899-12-30T08:55:00"/>
    <n v="0.41666666666666519"/>
    <d v="2025-11-10T00:00:00"/>
    <x v="62"/>
    <s v="Machining"/>
    <s v="04 Tấm bị hư trong quá trình chạy CNC"/>
  </r>
  <r>
    <m/>
    <s v="BẢNG MÀU"/>
    <s v="wd-03-229"/>
    <m/>
    <m/>
    <n v="40"/>
    <d v="2025-11-10T00:00:00"/>
    <n v="2"/>
    <x v="1"/>
    <d v="1899-12-30T09:20:00"/>
    <n v="0.66666666666666696"/>
    <d v="2025-11-10T00:00:00"/>
    <x v="62"/>
    <s v="TF"/>
    <s v="Mr.Sơn"/>
  </r>
  <r>
    <m/>
    <s v="BẢNG MÀU"/>
    <s v="wd-03-154"/>
    <m/>
    <m/>
    <n v="39"/>
    <d v="2025-11-11T00:00:00"/>
    <n v="2"/>
    <x v="17"/>
    <d v="1899-12-30T14:40:00"/>
    <n v="0.6666666666666643"/>
    <d v="2025-11-11T00:00:00"/>
    <x v="62"/>
    <s v="TF"/>
    <s v="Mr.Sơn"/>
  </r>
  <r>
    <m/>
    <m/>
    <s v="DL018F837"/>
    <s v="A1-S4"/>
    <m/>
    <n v="1"/>
    <d v="2025-11-12T00:00:00"/>
    <n v="1"/>
    <x v="32"/>
    <d v="1899-12-30T08:55:00"/>
    <n v="8.3333333333331705E-2"/>
    <d v="2025-11-12T00:00:00"/>
    <x v="62"/>
    <s v="Finishing"/>
    <s v="ván đáy bị cấn mốt trong quá trình vận chuyển từ FIN-&gt; FITTING"/>
  </r>
  <r>
    <m/>
    <m/>
    <s v="RH9947F423"/>
    <s v="A1"/>
    <m/>
    <n v="2"/>
    <d v="2025-11-13T00:00:00"/>
    <n v="1"/>
    <x v="43"/>
    <d v="1899-12-30T08:25:00"/>
    <n v="0.25000000000000044"/>
    <d v="2025-11-13T00:00:00"/>
    <x v="62"/>
    <s v="Machining"/>
    <s v="02 tấm cào cước bị hư veneer mặt ngoài"/>
  </r>
  <r>
    <m/>
    <m/>
    <s v="RH SAMPLE 128 ( SH636 )"/>
    <m/>
    <m/>
    <n v="2"/>
    <d v="2025-11-13T00:00:00"/>
    <n v="1"/>
    <x v="29"/>
    <d v="1899-12-30T14:55:00"/>
    <n v="0.75"/>
    <d v="2025-11-13T00:00:00"/>
    <x v="62"/>
    <s v="ME"/>
    <s v="HÀNG MẪU"/>
  </r>
  <r>
    <m/>
    <m/>
    <s v="SH636F909"/>
    <s v="A2-S02"/>
    <m/>
    <n v="120"/>
    <d v="2025-11-14T00:00:00"/>
    <n v="4"/>
    <x v="19"/>
    <d v="1899-12-30T09:30:00"/>
    <n v="7.9999999999999982"/>
    <d v="2025-11-14T00:00:00"/>
    <x v="63"/>
    <s v="Machining"/>
    <s v="chi tiết A2-S02 sai số đo so với rập"/>
  </r>
  <r>
    <m/>
    <m/>
    <s v="RH SAMPLE 132"/>
    <s v="a1-s01"/>
    <m/>
    <n v="4"/>
    <d v="2025-11-14T00:00:00"/>
    <n v="1"/>
    <x v="29"/>
    <d v="1899-12-30T14:40:00"/>
    <n v="0.49999999999999822"/>
    <d v="2025-11-14T00:00:00"/>
    <x v="63"/>
    <s v="ME"/>
    <s v="HÀNG MẪU"/>
  </r>
  <r>
    <m/>
    <m/>
    <s v="AR805F1001"/>
    <s v="P04"/>
    <n v="25"/>
    <n v="50"/>
    <d v="2025-11-15T00:00:00"/>
    <n v="2"/>
    <x v="81"/>
    <d v="1899-12-30T07:25:00"/>
    <n v="0.66666666666666696"/>
    <d v="2025-11-15T00:00:00"/>
    <x v="63"/>
    <s v="unassinged"/>
    <s v="add veneer okuome 0.6mm để chống cong"/>
  </r>
  <r>
    <m/>
    <m/>
    <s v="RH2676NF09"/>
    <s v="A4-S1"/>
    <n v="1"/>
    <n v="2"/>
    <d v="2025-11-17T00:00:00"/>
    <n v="1"/>
    <x v="30"/>
    <d v="1899-12-30T14:50:00"/>
    <n v="0.16666666666666874"/>
    <d v="2025-11-17T00:00:00"/>
    <x v="63"/>
    <s v="unassinged"/>
    <s v="cần bổ sung lại hộc kéo do đã lấy làm mẫu"/>
  </r>
  <r>
    <m/>
    <s v="BẢNG MÀU"/>
    <s v="wd-03-154"/>
    <s v="320*620"/>
    <m/>
    <n v="24"/>
    <d v="2025-11-18T00:00:00"/>
    <n v="1"/>
    <x v="1"/>
    <d v="1899-12-30T09:25:00"/>
    <n v="0.41666666666666652"/>
    <d v="2025-11-18T00:00:00"/>
    <x v="63"/>
    <s v="TF"/>
    <s v="Mr.Sơn"/>
  </r>
  <r>
    <m/>
    <s v="BẢNG MÀU"/>
    <s v="wd-03-485"/>
    <s v="320*620"/>
    <m/>
    <n v="30"/>
    <d v="2025-11-18T00:00:00"/>
    <n v="1"/>
    <x v="55"/>
    <d v="1899-12-30T10:00:00"/>
    <n v="0.58333333333333393"/>
    <d v="2025-11-18T00:00:00"/>
    <x v="63"/>
    <s v="TF"/>
    <s v="Mr.Sơn"/>
  </r>
  <r>
    <m/>
    <m/>
    <s v="SH636F909"/>
    <s v="A2-S01"/>
    <m/>
    <n v="3"/>
    <d v="2025-11-18T00:00:00"/>
    <n v="1"/>
    <x v="23"/>
    <d v="1899-12-30T10:50:00"/>
    <n v="0.33333333333333348"/>
    <d v="2025-11-18T00:00:00"/>
    <x v="63"/>
    <s v="Machining"/>
    <s v="chi tiết A2-S02 sai số đo so với rập"/>
  </r>
  <r>
    <m/>
    <m/>
    <s v="SH636F909"/>
    <s v="A2-S04"/>
    <m/>
    <n v="6"/>
    <d v="2025-11-18T00:00:00"/>
    <n v="1"/>
    <x v="70"/>
    <d v="1899-12-30T11:20:00"/>
    <n v="0.41666666666666785"/>
    <d v="2025-11-19T00:00:00"/>
    <x v="63"/>
    <s v="Machining"/>
    <s v="chi tiết A2-S02 sai số đo so với rập"/>
  </r>
  <r>
    <m/>
    <m/>
    <s v="AR1160F1256-BASE"/>
    <s v="P01"/>
    <n v="3"/>
    <n v="6"/>
    <d v="2025-11-18T00:00:00"/>
    <n v="1"/>
    <x v="20"/>
    <d v="1899-12-30T11:35:00"/>
    <n v="0.24999999999999911"/>
    <d v="2025-11-20T00:00:00"/>
    <x v="63"/>
    <s v="ME"/>
    <s v="ván đáy đổi lỗ vít qua lỗ bolt và khoan lại lỗ leveler thêm vát 3x3mm"/>
  </r>
  <r>
    <m/>
    <s v="BẢNG MÀU"/>
    <s v="wd-03-229"/>
    <s v="320*620"/>
    <m/>
    <n v="80"/>
    <d v="2025-11-19T00:00:00"/>
    <n v="2"/>
    <x v="78"/>
    <d v="1899-12-30T08:00:00"/>
    <n v="1.3333333333333339"/>
    <d v="2025-11-21T00:00:00"/>
    <x v="63"/>
    <s v="TF"/>
    <s v="Mr.Sơn"/>
  </r>
  <r>
    <m/>
    <s v="BẢNG MÀU"/>
    <s v="wd-03-254"/>
    <s v="320*620"/>
    <m/>
    <n v="36"/>
    <d v="2025-11-19T00:00:00"/>
    <n v="2"/>
    <x v="82"/>
    <d v="1899-12-30T08:25:00"/>
    <n v="0.6666666666666643"/>
    <d v="2025-11-22T00:00:00"/>
    <x v="63"/>
    <s v="TF"/>
    <s v="Mr.Sơn"/>
  </r>
  <r>
    <m/>
    <m/>
    <s v="RH7350F383"/>
    <s v="P02"/>
    <n v="1"/>
    <n v="1"/>
    <d v="2025-11-20T00:00:00"/>
    <n v="1"/>
    <x v="45"/>
    <d v="1899-12-30T09:58:00"/>
    <n v="0.13333333333333286"/>
    <d v="2025-11-23T00:00:00"/>
    <x v="63"/>
    <s v="Machining"/>
    <s v="Ván đáy 01 tấm bị chạy phôi trong quá trình CNC"/>
  </r>
  <r>
    <m/>
    <m/>
    <s v="F9975F409"/>
    <s v="A1-S01, A1-S02, A1-S03"/>
    <m/>
    <n v="16"/>
    <d v="2025-11-20T00:00:00"/>
    <n v="1"/>
    <x v="2"/>
    <d v="1899-12-30T10:30:00"/>
    <n v="0.49999999999999956"/>
    <d v="2025-11-24T00:00:00"/>
    <x v="63"/>
    <s v="Technical"/>
    <s v="CÁNH CỬA BỊ CONG"/>
  </r>
  <r>
    <m/>
    <s v="BẢNG MÀU"/>
    <s v="W0682F837-EX"/>
    <s v="A1-S01-1"/>
    <n v="20"/>
    <n v="40"/>
    <d v="2025-11-20T00:00:00"/>
    <n v="2"/>
    <x v="6"/>
    <d v="1899-12-30T13:30:00"/>
    <n v="1.0000000000000018"/>
    <d v="2025-11-20T00:00:00"/>
    <x v="63"/>
    <s v="TF"/>
    <s v="Mr.Sơn"/>
  </r>
  <r>
    <m/>
    <s v="BẢNG MÀU"/>
    <s v="W0682F837-EX"/>
    <s v="A1-S01-2"/>
    <n v="20"/>
    <n v="40"/>
    <d v="2025-11-20T00:00:00"/>
    <m/>
    <x v="15"/>
    <m/>
    <m/>
    <m/>
    <x v="8"/>
    <m/>
    <m/>
  </r>
  <r>
    <m/>
    <s v="BẢNG MÀU"/>
    <s v="W0682F837-EX"/>
    <s v="A1-S00"/>
    <n v="1"/>
    <n v="20"/>
    <d v="2025-11-20T00:00:00"/>
    <m/>
    <x v="15"/>
    <m/>
    <m/>
    <m/>
    <x v="8"/>
    <m/>
    <m/>
  </r>
  <r>
    <m/>
    <m/>
    <s v="RH387F01"/>
    <s v="P05"/>
    <n v="1"/>
    <n v="2"/>
    <d v="2025-11-21T00:00:00"/>
    <n v="1"/>
    <x v="43"/>
    <d v="1899-12-30T08:40:00"/>
    <n v="0.50000000000000089"/>
    <d v="2025-11-21T00:00:00"/>
    <x v="64"/>
    <s v="Finishing"/>
    <s v="ván hậu bị phù"/>
  </r>
  <r>
    <m/>
    <m/>
    <s v="AR1159F1256"/>
    <s v="A1-S04"/>
    <m/>
    <n v="12"/>
    <d v="2025-11-22T00:00:00"/>
    <n v="1"/>
    <x v="35"/>
    <d v="1899-12-30T09:30:00"/>
    <n v="0.16666666666666607"/>
    <d v="2025-11-22T00:00:00"/>
    <x v="64"/>
    <s v="ME"/>
    <s v="Thêm ván định vị khung base, bỏ lỗ chốt lắp khung HW, thêm lỗ chốt lắp ván định vị "/>
  </r>
  <r>
    <m/>
    <s v="BẢNG MÀU"/>
    <s v="wd-03-254"/>
    <s v="320*620"/>
    <m/>
    <n v="60"/>
    <d v="2025-11-26T00:00:00"/>
    <n v="2"/>
    <x v="8"/>
    <d v="1899-12-30T15:30:00"/>
    <n v="2.0000000000000036"/>
    <d v="2025-11-26T00:00:00"/>
    <x v="64"/>
    <s v="TF"/>
    <s v="Mr.Sơn"/>
  </r>
  <r>
    <m/>
    <s v="BẢNG MÀU"/>
    <s v="wd-03-385"/>
    <s v="320*620"/>
    <m/>
    <n v="30"/>
    <d v="2025-11-28T00:00:00"/>
    <n v="1"/>
    <x v="2"/>
    <d v="1899-12-30T11:00:00"/>
    <n v="0.99999999999999911"/>
    <d v="2025-11-28T00:00:00"/>
    <x v="65"/>
    <s v="TF"/>
    <s v="Mr.Sơn"/>
  </r>
  <r>
    <m/>
    <s v="BẢNG MÀU"/>
    <s v="wd-03-516"/>
    <s v="320*620"/>
    <m/>
    <n v="70"/>
    <d v="2025-12-01T00:00:00"/>
    <n v="2"/>
    <x v="2"/>
    <d v="1899-12-30T10:30:00"/>
    <n v="0.99999999999999911"/>
    <d v="2025-12-01T00:00:00"/>
    <x v="65"/>
    <s v="TF"/>
    <s v="Mr.Sơn"/>
  </r>
  <r>
    <m/>
    <m/>
    <s v="AR805F1001"/>
    <s v="P04"/>
    <m/>
    <n v="2"/>
    <d v="2025-12-01T00:00:00"/>
    <n v="2"/>
    <x v="13"/>
    <d v="1899-12-30T14:00:00"/>
    <n v="1.0000000000000018"/>
    <d v="2025-12-01T00:00:00"/>
    <x v="65"/>
    <s v="MAChining"/>
    <s v="Chi tiết P04= 2 Tấm do vá không đạt cần bổ sung lại veneer"/>
  </r>
  <r>
    <m/>
    <m/>
    <s v="JV008F580"/>
    <s v="A2-S4"/>
    <m/>
    <n v="6"/>
    <d v="2025-12-02T00:00:00"/>
    <n v="1"/>
    <x v="19"/>
    <d v="1899-12-30T07:45:00"/>
    <n v="0.25000000000000044"/>
    <d v="2025-12-02T00:00:00"/>
    <x v="65"/>
    <s v="MAChining"/>
    <s v="06 tấm đáy nhôm bị trày xước"/>
  </r>
  <r>
    <m/>
    <s v="BẢNG MÀU"/>
    <s v="wd-03-516"/>
    <s v="320*620"/>
    <m/>
    <n v="110"/>
    <d v="2025-12-02T00:00:00"/>
    <n v="2"/>
    <x v="17"/>
    <d v="1899-12-30T15:00:00"/>
    <n v="1.3333333333333339"/>
    <d v="2025-12-02T00:00:00"/>
    <x v="65"/>
    <s v="TF"/>
    <s v="Mr.Sơn"/>
  </r>
  <r>
    <m/>
    <s v="BẢNG MÀU"/>
    <s v="wd-03-018"/>
    <s v="362*724"/>
    <m/>
    <n v="10"/>
    <d v="2025-12-04T00:00:00"/>
    <n v="1"/>
    <x v="78"/>
    <d v="1899-12-30T07:50:00"/>
    <n v="0.50000000000000089"/>
    <d v="2025-12-04T00:00:00"/>
    <x v="65"/>
    <s v="ME"/>
    <s v="HÀNG MẪU"/>
  </r>
  <r>
    <m/>
    <s v="BẢNG MÀU"/>
    <s v="wd-03-254"/>
    <s v="320*620"/>
    <m/>
    <n v="54"/>
    <d v="2025-12-06T00:00:00"/>
    <n v="2"/>
    <x v="12"/>
    <d v="1899-12-30T08:20:00"/>
    <n v="0.66666666666666963"/>
    <d v="2025-12-06T00:00:00"/>
    <x v="66"/>
    <s v="TF"/>
    <s v="Mr.Sơn"/>
  </r>
  <r>
    <m/>
    <s v="BẢNG MÀU"/>
    <s v="wd-03-231"/>
    <s v="320*620"/>
    <m/>
    <n v="30"/>
    <d v="2025-12-11T00:00:00"/>
    <n v="2"/>
    <x v="3"/>
    <d v="1899-12-30T14:15:00"/>
    <n v="0.49999999999999822"/>
    <d v="2025-12-11T00:00:00"/>
    <x v="66"/>
    <s v="TF"/>
    <s v="Mr.Sơn"/>
  </r>
  <r>
    <m/>
    <s v="BẢNG MÀU"/>
    <s v="wd-03-229"/>
    <s v="320*620"/>
    <m/>
    <n v="155"/>
    <d v="2025-12-13T00:00:00"/>
    <n v="2"/>
    <x v="1"/>
    <d v="1899-12-30T09:45:00"/>
    <n v="1.5"/>
    <d v="2025-12-13T00:00:00"/>
    <x v="67"/>
    <s v="TF"/>
    <s v="Mr.Sơn"/>
  </r>
  <r>
    <m/>
    <s v="BẢNG MÀU"/>
    <s v="wd-03-254"/>
    <s v="320*620"/>
    <m/>
    <n v="24"/>
    <d v="2025-12-13T00:00:00"/>
    <n v="1"/>
    <x v="41"/>
    <d v="1899-12-30T10:05:00"/>
    <n v="0.33333333333333348"/>
    <d v="2025-12-13T00:00:00"/>
    <x v="67"/>
    <s v="TF"/>
    <s v="Mr.Sơn"/>
  </r>
  <r>
    <m/>
    <m/>
    <s v="RH9858F426"/>
    <s v="P01-0"/>
    <m/>
    <n v="8"/>
    <d v="2025-12-13T00:00:00"/>
    <n v="2"/>
    <x v="19"/>
    <d v="1899-12-30T08:50:00"/>
    <n v="2.6666666666666679"/>
    <d v="2025-12-13T00:00:00"/>
    <x v="67"/>
    <s v="MAChining"/>
    <s v="MẶT BÀN BỊ TRỚN"/>
  </r>
  <r>
    <m/>
    <m/>
    <s v="DL015F836"/>
    <s v="A2-S07"/>
    <m/>
    <n v="2"/>
    <d v="2025-12-22T00:00:00"/>
    <n v="1"/>
    <x v="12"/>
    <d v="1899-12-30T08:10:00"/>
    <n v="0.16666666666666607"/>
    <d v="2025-12-22T00:00:00"/>
    <x v="68"/>
    <s v="PANEL"/>
    <s v="BỔ SUNG 01 TẤM NHÔM 1 TẤM VENEER "/>
  </r>
  <r>
    <m/>
    <m/>
    <s v="DL018F837"/>
    <s v="A1-S4"/>
    <m/>
    <n v="4"/>
    <d v="2025-12-22T00:00:00"/>
    <n v="1"/>
    <x v="43"/>
    <d v="1899-12-30T08:25:00"/>
    <n v="0.25000000000000044"/>
    <d v="2025-12-22T00:00:00"/>
    <x v="68"/>
    <s v="PANEL"/>
    <s v="bổ sung 02 tấm nhôm bị trày xước, 2 TẤM VENEER"/>
  </r>
  <r>
    <m/>
    <m/>
    <s v="JV064F1313"/>
    <s v="A05-S02-6"/>
    <m/>
    <n v="4"/>
    <d v="2025-12-22T00:00:00"/>
    <n v="1"/>
    <x v="69"/>
    <d v="1899-12-30T08:40:00"/>
    <n v="0.25000000000000044"/>
    <d v="2025-12-22T00:00:00"/>
    <x v="68"/>
    <s v="PANEL"/>
    <s v="bổ sung 02 tấm nhôm bị trày xước, 2 TẤM VENEER"/>
  </r>
  <r>
    <m/>
    <s v="BẢNG MÀU"/>
    <s v="wd-03-393"/>
    <s v="320*620"/>
    <m/>
    <n v="16"/>
    <d v="2025-12-22T00:00:00"/>
    <n v="1"/>
    <x v="50"/>
    <d v="1899-12-30T13:40:00"/>
    <n v="0.50000000000000089"/>
    <d v="2025-12-22T00:00:00"/>
    <x v="68"/>
    <s v="TF"/>
    <s v="Mr.Sơn"/>
  </r>
  <r>
    <m/>
    <s v="BẢNG MÀU"/>
    <s v="wd-03-009"/>
    <s v="320*620"/>
    <m/>
    <n v="62"/>
    <d v="2025-12-23T00:00:00"/>
    <n v="2"/>
    <x v="1"/>
    <d v="1899-12-30T09:15:00"/>
    <n v="0.50000000000000089"/>
    <d v="2025-12-23T00:00:00"/>
    <x v="68"/>
    <s v="TF"/>
    <s v="Mr.Sơn"/>
  </r>
  <r>
    <m/>
    <s v="BẢNG MÀU"/>
    <s v="wd-03-014"/>
    <s v="320*620"/>
    <m/>
    <n v="48"/>
    <d v="2025-12-23T00:00:00"/>
    <n v="2"/>
    <x v="2"/>
    <d v="1899-12-30T10:15:00"/>
    <n v="0.49999999999999822"/>
    <d v="2025-12-23T00:00:00"/>
    <x v="68"/>
    <s v="TF"/>
    <s v="Mr.Sơn"/>
  </r>
  <r>
    <m/>
    <s v="BẢNG MÀU"/>
    <s v="wd-03-482"/>
    <s v="320*620"/>
    <m/>
    <n v="44"/>
    <d v="2025-12-24T00:00:00"/>
    <n v="2"/>
    <x v="0"/>
    <d v="1899-12-30T15:15:00"/>
    <n v="0.49999999999999822"/>
    <d v="2025-12-24T00:00:00"/>
    <x v="68"/>
    <s v="TF"/>
    <s v="Mr.Sơn"/>
  </r>
  <r>
    <m/>
    <m/>
    <s v="RH11264F457"/>
    <s v="A01-S01-2"/>
    <n v="2"/>
    <n v="8"/>
    <d v="2025-12-24T00:00:00"/>
    <n v="2"/>
    <x v="30"/>
    <d v="1899-12-30T14:55:00"/>
    <n v="0.50000000000000355"/>
    <d v="2025-12-24T00:00:00"/>
    <x v="68"/>
    <s v="ME"/>
    <s v="ƯU TIÊN LÀM MẪU"/>
  </r>
  <r>
    <m/>
    <m/>
    <s v="RH11264F457"/>
    <s v="A01-S01-1"/>
    <n v="2"/>
    <n v="2"/>
    <d v="2025-12-24T00:00:00"/>
    <n v="2"/>
    <x v="83"/>
    <d v="1899-12-30T15:15:00"/>
    <n v="0.16666666666666607"/>
    <d v="2025-12-24T00:00:00"/>
    <x v="68"/>
    <s v="ME"/>
    <s v="ƯU TIÊN LÀM MẪU"/>
  </r>
  <r>
    <m/>
    <m/>
    <s v="RH11264F457"/>
    <s v="A01-S02"/>
    <n v="2"/>
    <n v="2"/>
    <d v="2025-12-24T00:00:00"/>
    <n v="2"/>
    <x v="80"/>
    <d v="1899-12-30T15:20:00"/>
    <n v="0.1666666666666714"/>
    <d v="2025-12-24T00:00:00"/>
    <x v="68"/>
    <s v="ME"/>
    <s v="ƯU TIÊN LÀM MẪU"/>
  </r>
  <r>
    <m/>
    <s v="BẢNG MÀU"/>
    <s v="wd-03-482"/>
    <s v="320*620"/>
    <m/>
    <n v="25"/>
    <d v="2025-12-26T00:00:00"/>
    <n v="2"/>
    <x v="10"/>
    <d v="1899-12-30T16:45:00"/>
    <n v="0.49999999999999822"/>
    <d v="2025-12-26T00:00:00"/>
    <x v="69"/>
    <s v="TF"/>
    <s v="Mr.Sơn"/>
  </r>
  <r>
    <m/>
    <s v="BẢNG MÀU"/>
    <s v="wd-03-495"/>
    <s v="320*620"/>
    <m/>
    <n v="35"/>
    <d v="2025-12-27T00:00:00"/>
    <n v="2"/>
    <x v="44"/>
    <d v="1899-12-30T09:25:00"/>
    <n v="0.50000000000000089"/>
    <d v="2025-12-27T00:00:00"/>
    <x v="69"/>
    <s v="TF"/>
    <s v="Mr.Sơn"/>
  </r>
  <r>
    <m/>
    <s v="BẢNG MÀU"/>
    <s v="wd-03-098"/>
    <s v="320*620"/>
    <m/>
    <n v="32"/>
    <d v="2025-12-29T00:00:00"/>
    <n v="2"/>
    <x v="50"/>
    <d v="1899-12-30T13:20:00"/>
    <n v="0.33333333333333748"/>
    <d v="2025-12-29T00:00:00"/>
    <x v="69"/>
    <s v="TF"/>
    <s v="Mr.Sơn"/>
  </r>
  <r>
    <m/>
    <s v="BẢNG MÀU"/>
    <s v="wd-03-326"/>
    <s v="320*620"/>
    <m/>
    <n v="36"/>
    <d v="2025-12-29T00:00:00"/>
    <n v="2"/>
    <x v="76"/>
    <d v="1899-12-30T13:35:00"/>
    <n v="0.49999999999999822"/>
    <d v="2025-12-29T00:00:00"/>
    <x v="69"/>
    <s v="TF"/>
    <s v="Mr.Sơn"/>
  </r>
  <r>
    <m/>
    <s v="BẢNG MÀU"/>
    <s v="wd-03-229"/>
    <s v="320*620"/>
    <m/>
    <n v="48"/>
    <d v="2025-12-29T00:00:00"/>
    <n v="2"/>
    <x v="84"/>
    <d v="1899-12-30T13:50:00"/>
    <n v="0.50000000000000355"/>
    <d v="2025-12-29T00:00:00"/>
    <x v="69"/>
    <s v="TF"/>
    <s v="Mr.Sơn"/>
  </r>
  <r>
    <m/>
    <s v="BẢNG MÀU"/>
    <s v="wd-03-496"/>
    <s v="320*620"/>
    <m/>
    <n v="47"/>
    <d v="2025-12-29T00:00:00"/>
    <n v="2"/>
    <x v="21"/>
    <d v="1899-12-30T14:10:00"/>
    <n v="0.6666666666666643"/>
    <d v="2025-12-29T00:00:00"/>
    <x v="69"/>
    <s v="TF"/>
    <s v="Mr.Sơn"/>
  </r>
  <r>
    <m/>
    <s v="BẢNG MÀU"/>
    <s v="wd-03-006"/>
    <s v="320*620"/>
    <m/>
    <n v="40"/>
    <d v="2025-12-30T00:00:00"/>
    <n v="2"/>
    <x v="3"/>
    <d v="1899-12-30T14:30:00"/>
    <n v="0.99999999999999645"/>
    <d v="2025-12-30T00:00:00"/>
    <x v="69"/>
    <s v="TF"/>
    <s v="Mr.Sơn"/>
  </r>
  <r>
    <m/>
    <s v="BẢNG MÀU"/>
    <s v="wd-03-482"/>
    <s v="320*620"/>
    <m/>
    <n v="40"/>
    <d v="2025-12-30T00:00:00"/>
    <n v="2"/>
    <x v="8"/>
    <d v="1899-12-30T15:00:00"/>
    <n v="1.0000000000000018"/>
    <d v="2025-12-30T00:00:00"/>
    <x v="69"/>
    <s v="TF"/>
    <s v="Mr.Sơn"/>
  </r>
  <r>
    <m/>
    <m/>
    <s v="DL015F836"/>
    <s v="A1-S07"/>
    <m/>
    <n v="2"/>
    <d v="2025-12-30T00:00:00"/>
    <n v="1"/>
    <x v="64"/>
    <d v="1899-12-30T14:30:00"/>
    <n v="0.24999999999999911"/>
    <d v="2025-12-30T00:00:00"/>
    <x v="69"/>
    <s v="Machining"/>
    <s v="01 TẤM NHÔM BỊ TRÀY XƯỚC"/>
  </r>
  <r>
    <m/>
    <s v="BẢNG MÀU"/>
    <s v="wd-03-236"/>
    <s v="320*620"/>
    <m/>
    <n v="50"/>
    <d v="2025-12-31T00:00:00"/>
    <n v="2"/>
    <x v="20"/>
    <d v="1899-12-30T11:40:00"/>
    <n v="0.6666666666666643"/>
    <d v="2025-12-31T00:00:00"/>
    <x v="69"/>
    <s v="TF"/>
    <s v="Mr.Sơn"/>
  </r>
  <r>
    <m/>
    <s v="BẢNG MÀU"/>
    <s v="wd-03-229"/>
    <s v="320*620"/>
    <m/>
    <n v="45"/>
    <d v="2026-01-02T00:00:00"/>
    <n v="2"/>
    <x v="50"/>
    <d v="1899-12-30T13:30:00"/>
    <n v="0.66666666666666963"/>
    <d v="2026-01-02T00:00:00"/>
    <x v="70"/>
    <s v="TF"/>
    <s v="Mr.Sơn"/>
  </r>
  <r>
    <m/>
    <s v="BẢNG MÀU"/>
    <s v="wd-03-231"/>
    <s v="320*620"/>
    <m/>
    <n v="80"/>
    <d v="2026-01-03T00:00:00"/>
    <n v="2"/>
    <x v="57"/>
    <d v="1899-12-30T16:50:00"/>
    <n v="1.3333333333333286"/>
    <d v="2026-01-03T00:00:00"/>
    <x v="70"/>
    <s v="TF"/>
    <s v="Mr.Sơn"/>
  </r>
  <r>
    <m/>
    <m/>
    <s v="AR1138F1233"/>
    <s v="A3-S03"/>
    <m/>
    <n v="3"/>
    <d v="2026-01-12T00:00:00"/>
    <n v="1"/>
    <x v="36"/>
    <d v="1899-12-30T15:24:00"/>
    <n v="6.666666666666643E-2"/>
    <d v="2026-01-12T00:00:00"/>
    <x v="71"/>
    <s v="Technical"/>
    <s v="Hàng pilot update theo kết cấu mới"/>
  </r>
  <r>
    <m/>
    <m/>
    <s v="AR1138F1233"/>
    <s v="A3-1"/>
    <m/>
    <n v="6"/>
    <d v="2026-01-12T00:00:00"/>
    <n v="1"/>
    <x v="85"/>
    <d v="1899-12-30T15:31:00"/>
    <n v="0.10000000000000231"/>
    <d v="2026-01-12T00:00:00"/>
    <x v="71"/>
    <s v="Technical"/>
    <s v="Hàng pilot update theo kết cấu mới"/>
  </r>
  <r>
    <m/>
    <s v="BẢNG MÀU"/>
    <s v="wd-03-014"/>
    <s v="320*620"/>
    <m/>
    <n v="42"/>
    <d v="2026-01-13T00:00:00"/>
    <n v="1"/>
    <x v="8"/>
    <d v="1899-12-30T15:30:00"/>
    <n v="1.0000000000000018"/>
    <d v="2026-01-13T00:00:00"/>
    <x v="71"/>
    <s v="TF"/>
    <s v="Mr.Sơn"/>
  </r>
  <r>
    <m/>
    <m/>
    <s v="RH12074F458"/>
    <s v="P06"/>
    <m/>
    <n v="10"/>
    <d v="2026-01-13T00:00:00"/>
    <n v="1"/>
    <x v="50"/>
    <d v="1899-12-30T13:25:00"/>
    <n v="0.25000000000000178"/>
    <d v="2026-01-13T00:00:00"/>
    <x v="71"/>
    <s v="KHÁCH HÀNG"/>
    <s v="thêm ván kệ và chân thêm khấu ngàm"/>
  </r>
  <r>
    <m/>
    <m/>
    <s v="RH12074F460"/>
    <s v="P06"/>
    <m/>
    <n v="10"/>
    <d v="2026-01-13T00:00:00"/>
    <n v="1"/>
    <x v="86"/>
    <d v="1899-12-30T13:40:00"/>
    <n v="0.24999999999999911"/>
    <d v="2026-01-13T00:00:00"/>
    <x v="71"/>
    <s v="KHÁCH HÀNG"/>
    <s v="thêm ván kệ và chân thêm khấu ngàm"/>
  </r>
  <r>
    <m/>
    <m/>
    <s v="RH12076F460"/>
    <s v="p09"/>
    <m/>
    <n v="10"/>
    <d v="2026-01-13T00:00:00"/>
    <n v="1"/>
    <x v="51"/>
    <d v="1899-12-30T13:55:00"/>
    <n v="0.24999999999999911"/>
    <d v="2026-01-13T00:00:00"/>
    <x v="71"/>
    <s v="KHÁCH HÀNG"/>
    <s v="thêm ván kệ và chân thêm khấu ngàm"/>
  </r>
  <r>
    <m/>
    <m/>
    <s v="RH12076F458"/>
    <s v="p09"/>
    <m/>
    <n v="10"/>
    <d v="2026-01-13T00:00:00"/>
    <n v="1"/>
    <x v="87"/>
    <d v="1899-12-30T14:10:00"/>
    <n v="0.25000000000000178"/>
    <d v="2026-01-13T00:00:00"/>
    <x v="71"/>
    <s v="KHÁCH HÀNG"/>
    <s v="thêm ván kệ và chân thêm khấu ngàm"/>
  </r>
  <r>
    <m/>
    <m/>
    <s v="MN5562 ( CẮT GHÉP )"/>
    <s v="320*620"/>
    <m/>
    <n v="15"/>
    <d v="2026-01-14T00:00:00"/>
    <n v="2"/>
    <x v="19"/>
    <d v="1899-12-30T11:15:00"/>
    <n v="7.5"/>
    <d v="2026-01-14T00:00:00"/>
    <x v="71"/>
    <s v="TF"/>
    <s v="Mr.Sơn"/>
  </r>
  <r>
    <m/>
    <m/>
    <s v="RH10988F457"/>
    <s v="P01"/>
    <m/>
    <n v="80"/>
    <d v="2026-01-14T00:00:00"/>
    <n v="6"/>
    <x v="13"/>
    <d v="1899-12-30T13:50:00"/>
    <n v="2.0000000000000089"/>
    <d v="2026-01-14T00:00:00"/>
    <x v="71"/>
    <s v="Machining"/>
    <s v="40 Tấm swatch bị lốc veneer"/>
  </r>
  <r>
    <m/>
    <m/>
    <s v="RH9531AF423"/>
    <s v="A1-S01"/>
    <m/>
    <n v="2"/>
    <d v="2026-01-15T00:00:00"/>
    <n v="1"/>
    <x v="3"/>
    <d v="1899-12-30T14:30:00"/>
    <n v="0.49999999999999822"/>
    <d v="2026-01-15T00:00:00"/>
    <x v="71"/>
    <s v="Machining"/>
    <s v="02 veneer mặt ngoài cào cước bị hư"/>
  </r>
  <r>
    <m/>
    <s v="BẢNG MÀU"/>
    <s v="wd-03-229 ( cắt ghép) "/>
    <s v="320*620"/>
    <m/>
    <n v="15"/>
    <d v="2026-01-15T00:00:00"/>
    <n v="1"/>
    <x v="12"/>
    <d v="1899-12-30T13:00:00"/>
    <n v="5"/>
    <d v="2026-01-15T00:00:00"/>
    <x v="71"/>
    <s v="TF"/>
    <s v="Mr.Sơn"/>
  </r>
  <r>
    <m/>
    <m/>
    <s v="wd-03-254"/>
    <s v="470*700"/>
    <m/>
    <n v="50"/>
    <d v="2026-01-26T00:00:00"/>
    <n v="1"/>
    <x v="16"/>
    <d v="1899-12-30T16:25:00"/>
    <n v="0.41666666666666785"/>
    <d v="2026-01-26T00:00:00"/>
    <x v="72"/>
    <s v="ME"/>
    <s v="HÀNG MẪU"/>
  </r>
  <r>
    <m/>
    <m/>
    <s v="wd-03-290"/>
    <s v="470*700"/>
    <m/>
    <n v="50"/>
    <d v="2026-01-26T00:00:00"/>
    <n v="1"/>
    <x v="10"/>
    <d v="1899-12-30T16:55:00"/>
    <n v="0.41666666666666785"/>
    <d v="2026-01-26T00:00:00"/>
    <x v="72"/>
    <s v="ME"/>
    <s v="HÀNG MẪU"/>
  </r>
  <r>
    <m/>
    <s v="BẢNG MÀU"/>
    <s v="WD-03-254"/>
    <s v="320*620"/>
    <m/>
    <n v="30"/>
    <d v="2026-01-19T00:00:00"/>
    <n v="1"/>
    <x v="1"/>
    <d v="1899-12-30T09:30:00"/>
    <n v="0.49999999999999956"/>
    <d v="2026-01-19T00:00:00"/>
    <x v="73"/>
    <s v="TF"/>
    <m/>
  </r>
  <r>
    <m/>
    <m/>
    <s v="AR1138F1275"/>
    <s v="A3-1"/>
    <m/>
    <n v="2"/>
    <d v="2026-01-19T00:00:00"/>
    <n v="1"/>
    <x v="1"/>
    <d v="1899-12-30T09:10:00"/>
    <n v="0.16666666666666607"/>
    <d v="2026-01-19T00:00:00"/>
    <x v="73"/>
    <m/>
    <s v="thay đổi kết cấu mới"/>
  </r>
  <r>
    <m/>
    <m/>
    <s v="RH768F1001"/>
    <s v="554*838 (P2)"/>
    <m/>
    <n v="16"/>
    <d v="2026-01-22T00:00:00"/>
    <n v="2"/>
    <x v="12"/>
    <d v="1899-12-30T09:45:00"/>
    <n v="3.5000000000000009"/>
    <d v="2026-01-22T00:00:00"/>
    <x v="73"/>
    <s v="Machining"/>
    <s v="bổ sung lại "/>
  </r>
  <r>
    <m/>
    <m/>
    <s v="AR768F1001"/>
    <s v="P01"/>
    <m/>
    <n v="4"/>
    <d v="2026-01-23T00:00:00"/>
    <n v="1"/>
    <x v="1"/>
    <d v="1899-12-30T10:00:00"/>
    <n v="1.0000000000000004"/>
    <d v="2026-01-23T00:00:00"/>
    <x v="73"/>
    <s v="Machining"/>
    <m/>
  </r>
  <r>
    <m/>
    <m/>
    <s v="RH11430F457"/>
    <s v="A1-S4"/>
    <m/>
    <n v="4"/>
    <d v="2026-01-23T00:00:00"/>
    <n v="2"/>
    <x v="1"/>
    <d v="1899-12-30T09:35:00"/>
    <n v="1.1666666666666679"/>
    <d v="2026-01-23T00:00:00"/>
    <x v="73"/>
    <s v="Machining"/>
    <m/>
  </r>
  <r>
    <m/>
    <s v="MẪU "/>
    <s v="685*940"/>
    <m/>
    <m/>
    <n v="1"/>
    <d v="2026-01-23T00:00:00"/>
    <n v="2"/>
    <x v="2"/>
    <d v="1899-12-30T10:30:00"/>
    <n v="0.99999999999999911"/>
    <d v="2026-01-23T00:00:00"/>
    <x v="73"/>
    <s v="Machining"/>
    <m/>
  </r>
  <r>
    <m/>
    <s v="MẪU "/>
    <s v="750*750"/>
    <m/>
    <m/>
    <n v="1"/>
    <d v="2026-01-23T00:00:00"/>
    <m/>
    <x v="15"/>
    <m/>
    <m/>
    <m/>
    <x v="73"/>
    <m/>
    <m/>
  </r>
  <r>
    <m/>
    <s v="BẢNG MÀU"/>
    <s v="WD-03-326"/>
    <s v="320*620"/>
    <m/>
    <n v="1"/>
    <d v="2026-01-27T00:00:00"/>
    <n v="1"/>
    <x v="16"/>
    <d v="1899-12-30T16:30:00"/>
    <n v="0.50000000000000089"/>
    <d v="2026-01-27T00:00:00"/>
    <x v="72"/>
    <s v="TF"/>
    <s v="Mr.Sơn"/>
  </r>
  <r>
    <m/>
    <s v="BẢNG MÀU"/>
    <s v="WD-03-254"/>
    <s v="320*620"/>
    <m/>
    <n v="24"/>
    <d v="2026-01-28T00:00:00"/>
    <n v="2"/>
    <x v="51"/>
    <d v="1899-12-30T14:00:00"/>
    <n v="0.66666666666666963"/>
    <d v="2026-01-28T00:00:00"/>
    <x v="72"/>
    <s v="TF"/>
    <s v="Mr.Sơn"/>
  </r>
  <r>
    <m/>
    <m/>
    <s v="BN180F01"/>
    <s v="P01"/>
    <m/>
    <n v="1"/>
    <d v="2026-01-28T00:00:00"/>
    <n v="1"/>
    <x v="17"/>
    <d v="1899-12-30T14:40:00"/>
    <n v="0.33333333333333215"/>
    <d v="2026-01-28T00:00:00"/>
    <x v="72"/>
    <s v="Final Machining"/>
    <s v="Mặt TOP bị dộp venee ( dộp veneer phát hiện sau khi làm màu )"/>
  </r>
  <r>
    <m/>
    <m/>
    <s v="JV0098F580"/>
    <s v="A1A-S1"/>
    <m/>
    <n v="3"/>
    <d v="2026-01-29T00:00:00"/>
    <n v="1"/>
    <x v="85"/>
    <d v="1899-12-30T15:32:00"/>
    <n v="0.11666666666666892"/>
    <d v="2026-01-29T00:00:00"/>
    <x v="72"/>
    <s v="unassinged"/>
    <s v="BỔ SUNG 01 CÁI MẶT HÔC DO GIỮ LẠI LÀM MẪU"/>
  </r>
  <r>
    <m/>
    <m/>
    <s v="JV0098F580"/>
    <s v="A1-S1-2"/>
    <m/>
    <n v="2"/>
    <d v="2026-01-29T00:00:00"/>
    <n v="1"/>
    <x v="88"/>
    <d v="1899-12-30T15:40:00"/>
    <n v="8.3333333333333037E-2"/>
    <d v="2026-01-29T00:00:00"/>
    <x v="72"/>
    <s v="unassinged"/>
    <s v="BỔ SUNG 01 CÁI MẶT HÔC DO GIỮ LẠI LÀM MẪU"/>
  </r>
  <r>
    <m/>
    <m/>
    <s v="RH9858F423"/>
    <s v="P01"/>
    <m/>
    <n v="2"/>
    <d v="2026-01-31T00:00:00"/>
    <n v="2"/>
    <x v="81"/>
    <d v="1899-12-30T07:25:00"/>
    <n v="0.66666666666666696"/>
    <d v="2026-01-31T00:00:00"/>
    <x v="74"/>
    <s v="MAChining"/>
    <s v="01 Tấm veneer TOP bị hư trong quá trình cào cước bị ngừng máy"/>
  </r>
  <r>
    <m/>
    <m/>
    <s v="RH1216NFXX"/>
    <s v="A06-S01"/>
    <m/>
    <n v="4"/>
    <d v="2026-01-31T00:00:00"/>
    <n v="2"/>
    <x v="89"/>
    <d v="1899-12-30T07:25:00"/>
    <n v="0.50000000000000089"/>
    <d v="2026-01-31T00:00:00"/>
    <x v="74"/>
    <s v="MR.TÚ"/>
    <s v="LÀM MẪU"/>
  </r>
  <r>
    <m/>
    <m/>
    <s v="RH11415F467"/>
    <s v="A06-S04"/>
    <m/>
    <n v="4"/>
    <d v="2026-01-31T00:00:00"/>
    <n v="2"/>
    <x v="78"/>
    <d v="1899-12-30T07:40:00"/>
    <n v="0.66666666666666963"/>
    <d v="2026-01-31T00:00:00"/>
    <x v="74"/>
    <s v="MR.TÚ"/>
    <s v="LÀM MẪU"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s v="WD-03-254"/>
    <s v="320x620"/>
    <m/>
    <n v="48"/>
    <d v="2026-02-04T00:00:00"/>
    <n v="2"/>
    <x v="12"/>
    <d v="1899-12-30T09:00:00"/>
    <n v="2.0000000000000009"/>
    <d v="2026-02-04T00:00:00"/>
    <x v="74"/>
    <s v="TF"/>
    <s v="BẢNG MÀU "/>
  </r>
  <r>
    <m/>
    <m/>
    <s v="WD-03-254"/>
    <s v="320x620"/>
    <m/>
    <n v="24"/>
    <d v="2026-03-03T00:00:00"/>
    <n v="2"/>
    <x v="1"/>
    <d v="1899-12-30T09:40:00"/>
    <n v="1.3333333333333313"/>
    <d v="2026-03-03T00:00:00"/>
    <x v="75"/>
    <s v="TF"/>
    <s v="BẢNG MÀU "/>
  </r>
  <r>
    <m/>
    <s v="1 mặt sau oak"/>
    <s v="HS6131"/>
    <s v="a4-s2"/>
    <m/>
    <n v="3"/>
    <d v="2026-03-05T00:00:00"/>
    <n v="2"/>
    <x v="1"/>
    <d v="1899-12-30T09:15:00"/>
    <n v="0.50000000000000089"/>
    <d v="2026-03-05T00:00:00"/>
    <x v="75"/>
    <s v="MAChining"/>
    <s v="hàng BS LẠI "/>
  </r>
  <r>
    <m/>
    <s v="1 mặt sau oak"/>
    <s v="HS6131"/>
    <s v="a3-s2"/>
    <m/>
    <n v="3"/>
    <d v="2026-03-05T00:00:00"/>
    <n v="2"/>
    <x v="1"/>
    <d v="1899-12-30T09:20:00"/>
    <n v="0.66666666666666696"/>
    <d v="2026-03-05T00:00:00"/>
    <x v="75"/>
    <s v="MAChining"/>
    <s v="hàng BS LẠI "/>
  </r>
  <r>
    <m/>
    <s v="1 mặt trước oak"/>
    <s v="HS6131"/>
    <s v="a4-s2"/>
    <m/>
    <n v="3"/>
    <d v="2026-03-05T00:00:00"/>
    <n v="2"/>
    <x v="16"/>
    <d v="1899-12-30T16:45:00"/>
    <n v="1.5"/>
    <d v="2026-03-05T00:00:00"/>
    <x v="75"/>
    <s v="MAChining"/>
    <s v="hàng BS LẠI "/>
  </r>
  <r>
    <m/>
    <s v="1 mặt trước oak"/>
    <s v="HS6131"/>
    <s v="a3-s2"/>
    <m/>
    <n v="3"/>
    <d v="2026-03-05T00:00:00"/>
    <n v="2"/>
    <x v="16"/>
    <d v="1899-12-30T16:45:00"/>
    <n v="1.5"/>
    <d v="2026-03-05T00:00:00"/>
    <x v="75"/>
    <s v="MAChining"/>
    <s v="hàng BS LẠI "/>
  </r>
  <r>
    <m/>
    <m/>
    <s v="AT737F1386"/>
    <s v="P4-2"/>
    <m/>
    <n v="6"/>
    <d v="2026-03-06T00:00:00"/>
    <n v="2"/>
    <x v="2"/>
    <d v="1899-12-30T10:10:00"/>
    <n v="0.33333333333333215"/>
    <d v="2026-03-06T00:00:00"/>
    <x v="75"/>
    <s v="khách HÀNG"/>
    <s v="làm thêm "/>
  </r>
  <r>
    <m/>
    <m/>
    <s v="RH11430F457"/>
    <s v="A1-S2"/>
    <m/>
    <n v="8"/>
    <d v="2026-03-09T00:00:00"/>
    <n v="2"/>
    <x v="2"/>
    <d v="1899-12-30T10:50:00"/>
    <n v="1.6666666666666661"/>
    <d v="2026-03-09T00:00:00"/>
    <x v="76"/>
    <s v="Technical"/>
    <m/>
  </r>
  <r>
    <m/>
    <m/>
    <s v="RH11430F457"/>
    <s v="A1-S3"/>
    <m/>
    <n v="4"/>
    <d v="2026-03-09T00:00:00"/>
    <m/>
    <x v="15"/>
    <m/>
    <m/>
    <d v="2026-03-09T00:00:00"/>
    <x v="76"/>
    <s v="Technical"/>
    <m/>
  </r>
  <r>
    <m/>
    <m/>
    <s v="RH11430F457"/>
    <s v="A1-S4"/>
    <m/>
    <n v="4"/>
    <d v="2026-03-09T00:00:00"/>
    <m/>
    <x v="15"/>
    <m/>
    <m/>
    <d v="2026-03-09T00:00:00"/>
    <x v="76"/>
    <s v="Technical"/>
    <m/>
  </r>
  <r>
    <m/>
    <s v="MẶT B"/>
    <s v="LÀM MẪU"/>
    <s v="760X2295"/>
    <m/>
    <n v="2"/>
    <d v="2026-03-09T00:00:00"/>
    <n v="2"/>
    <x v="6"/>
    <d v="1899-12-30T13:45:00"/>
    <n v="1.5"/>
    <d v="2026-03-09T00:00:00"/>
    <x v="76"/>
    <s v="ME"/>
    <m/>
  </r>
  <r>
    <m/>
    <s v="MẶT A"/>
    <s v="LÀM MẪU"/>
    <s v="760X2295"/>
    <m/>
    <n v="2"/>
    <d v="2026-03-09T00:00:00"/>
    <m/>
    <x v="15"/>
    <m/>
    <m/>
    <d v="2026-03-09T00:00:00"/>
    <x v="76"/>
    <s v="ME"/>
    <m/>
  </r>
  <r>
    <m/>
    <s v="OKUME"/>
    <s v="LÀM MẪU"/>
    <s v="760X2295"/>
    <m/>
    <n v="4"/>
    <d v="2026-03-09T00:00:00"/>
    <m/>
    <x v="15"/>
    <m/>
    <m/>
    <d v="2026-03-09T00:00:00"/>
    <x v="76"/>
    <s v="ME"/>
    <m/>
  </r>
  <r>
    <m/>
    <s v="MẶT B"/>
    <s v="RH9451F423,426"/>
    <s v="760X2295"/>
    <m/>
    <n v="10"/>
    <d v="2026-03-12T00:00:00"/>
    <n v="2"/>
    <x v="1"/>
    <d v="1899-12-30T11:00:00"/>
    <n v="3.9999999999999991"/>
    <d v="2026-03-12T00:00:00"/>
    <x v="76"/>
    <s v="ME"/>
    <m/>
  </r>
  <r>
    <m/>
    <s v="MẶT A"/>
    <s v="RH9451F423,426"/>
    <s v="760X2295"/>
    <m/>
    <n v="10"/>
    <d v="2026-03-12T00:00:00"/>
    <m/>
    <x v="15"/>
    <m/>
    <m/>
    <d v="2026-03-12T00:00:00"/>
    <x v="76"/>
    <s v="ME"/>
    <m/>
  </r>
  <r>
    <m/>
    <s v="OKUME"/>
    <s v="RH9451F423,426"/>
    <s v="760X2295"/>
    <m/>
    <n v="20"/>
    <d v="2026-03-12T00:00:00"/>
    <m/>
    <x v="15"/>
    <m/>
    <m/>
    <d v="2026-03-12T00:00:00"/>
    <x v="76"/>
    <s v="ME"/>
    <m/>
  </r>
  <r>
    <m/>
    <m/>
    <s v="RH500"/>
    <s v="320X620"/>
    <m/>
    <n v="24"/>
    <d v="2026-03-12T00:00:00"/>
    <n v="2"/>
    <x v="2"/>
    <d v="1899-12-30T10:20:00"/>
    <n v="0.66666666666666696"/>
    <d v="2026-03-12T00:00:00"/>
    <x v="76"/>
    <s v="TF"/>
    <s v="BẢNG MÀU "/>
  </r>
  <r>
    <m/>
    <s v="MẶT B"/>
    <s v="AT659"/>
    <s v="398X398"/>
    <m/>
    <n v="1"/>
    <d v="2026-03-12T00:00:00"/>
    <n v="2"/>
    <x v="12"/>
    <d v="1899-12-30T08:20:00"/>
    <n v="0.66666666666666963"/>
    <d v="2026-03-12T00:00:00"/>
    <x v="76"/>
    <s v="ME"/>
    <m/>
  </r>
  <r>
    <m/>
    <s v="MẶT A"/>
    <s v="AT659"/>
    <s v="398X398"/>
    <m/>
    <n v="1"/>
    <d v="2026-03-12T00:00:00"/>
    <m/>
    <x v="15"/>
    <m/>
    <m/>
    <d v="2026-03-12T00:00:00"/>
    <x v="76"/>
    <s v="ME"/>
    <m/>
  </r>
  <r>
    <m/>
    <m/>
    <s v="RH11324F485"/>
    <s v="415X2019"/>
    <m/>
    <n v="4"/>
    <d v="2026-03-12T00:00:00"/>
    <m/>
    <x v="15"/>
    <m/>
    <m/>
    <d v="2026-03-12T00:00:00"/>
    <x v="76"/>
    <s v="ME"/>
    <m/>
  </r>
  <r>
    <m/>
    <s v="MẶT B"/>
    <s v="LÀM MẪU"/>
    <s v="398X398"/>
    <m/>
    <n v="1"/>
    <d v="2026-03-12T00:00:00"/>
    <n v="2"/>
    <x v="16"/>
    <d v="1899-12-30T16:10:00"/>
    <n v="0.33333333333333748"/>
    <d v="2026-03-12T00:00:00"/>
    <x v="76"/>
    <s v="ME"/>
    <m/>
  </r>
  <r>
    <m/>
    <s v="MẶT A"/>
    <s v="LÀM MẪU"/>
    <s v="398X398"/>
    <m/>
    <n v="1"/>
    <d v="2026-03-12T00:00:00"/>
    <m/>
    <x v="15"/>
    <m/>
    <m/>
    <d v="2026-03-12T00:00:00"/>
    <x v="76"/>
    <s v="ME"/>
    <m/>
  </r>
  <r>
    <m/>
    <s v="code 229"/>
    <s v="BẢNG MÀU "/>
    <s v="320X620"/>
    <m/>
    <n v="69"/>
    <m/>
    <n v="2"/>
    <x v="6"/>
    <d v="1899-12-30T14:00:00"/>
    <n v="2.0000000000000036"/>
    <d v="2026-03-14T00:00:00"/>
    <x v="76"/>
    <s v="TF"/>
    <m/>
  </r>
  <r>
    <m/>
    <s v="code 482"/>
    <s v="BẢNG MÀU "/>
    <s v="320X620"/>
    <m/>
    <n v="39"/>
    <m/>
    <n v="2"/>
    <x v="6"/>
    <d v="1899-12-30T14:00:00"/>
    <n v="2.0000000000000036"/>
    <d v="2026-03-14T00:00:00"/>
    <x v="76"/>
    <s v="TF"/>
    <m/>
  </r>
  <r>
    <m/>
    <s v="code 516"/>
    <s v="BẢNG MÀU "/>
    <s v="320X620"/>
    <m/>
    <n v="48"/>
    <m/>
    <n v="2"/>
    <x v="90"/>
    <d v="1899-12-30T00:00:00"/>
    <n v="0"/>
    <d v="2026-03-14T00:00:00"/>
    <x v="76"/>
    <s v="TF"/>
    <m/>
  </r>
  <r>
    <m/>
    <s v="code 009"/>
    <s v="BẢNG MÀU "/>
    <s v="320X620"/>
    <m/>
    <n v="72"/>
    <m/>
    <n v="2"/>
    <x v="90"/>
    <d v="1899-12-30T00:00:00"/>
    <n v="0"/>
    <d v="2026-03-14T00:00:00"/>
    <x v="76"/>
    <s v="TF"/>
    <m/>
  </r>
  <r>
    <m/>
    <n v="29168"/>
    <s v="nguyễn thị kỷ"/>
    <s v="đi học kaizen"/>
    <m/>
    <m/>
    <m/>
    <n v="1"/>
    <x v="12"/>
    <d v="1899-12-30T16:30:00"/>
    <n v="8.5"/>
    <d v="2026-03-16T00:00:00"/>
    <x v="77"/>
    <m/>
    <m/>
  </r>
  <r>
    <m/>
    <s v="code 326"/>
    <s v="BẢNG MÀU "/>
    <s v="320X620"/>
    <m/>
    <n v="20"/>
    <m/>
    <n v="2"/>
    <x v="0"/>
    <d v="1899-12-30T15:20:00"/>
    <n v="0.66666666666666963"/>
    <d v="2026-03-16T00:00:00"/>
    <x v="77"/>
    <s v="TF"/>
    <m/>
  </r>
  <r>
    <m/>
    <n v="29168"/>
    <s v="nguyễn thị kỷ"/>
    <s v="đi học kaizen"/>
    <m/>
    <m/>
    <m/>
    <n v="1"/>
    <x v="12"/>
    <d v="1899-12-30T16:30:00"/>
    <n v="8.5"/>
    <d v="2026-03-17T00:00:00"/>
    <x v="77"/>
    <m/>
    <m/>
  </r>
  <r>
    <m/>
    <s v="code 253"/>
    <s v="BẢNG MÀU "/>
    <s v="320X620"/>
    <m/>
    <n v="15"/>
    <m/>
    <n v="2"/>
    <x v="2"/>
    <d v="1899-12-30T10:15:00"/>
    <n v="0.49999999999999822"/>
    <d v="2026-03-18T00:00:00"/>
    <x v="77"/>
    <s v="TF"/>
    <m/>
  </r>
  <r>
    <m/>
    <s v="code 254"/>
    <s v="BẢNG MÀU "/>
    <s v="320X620"/>
    <m/>
    <n v="21"/>
    <m/>
    <n v="2"/>
    <x v="1"/>
    <d v="1899-12-30T09:30:00"/>
    <n v="0.99999999999999911"/>
    <d v="2026-03-19T00:00:00"/>
    <x v="77"/>
    <s v="TF"/>
    <m/>
  </r>
  <r>
    <m/>
    <m/>
    <s v="RH9457F423,426"/>
    <s v="p2"/>
    <m/>
    <n v="1"/>
    <m/>
    <n v="2"/>
    <x v="2"/>
    <d v="1899-12-30T10:10:00"/>
    <n v="0.33333333333333215"/>
    <d v="2026-03-19T00:00:00"/>
    <x v="77"/>
    <m/>
    <m/>
  </r>
  <r>
    <m/>
    <m/>
    <s v="RH9457F423,426"/>
    <s v="p2-3"/>
    <m/>
    <n v="5"/>
    <m/>
    <m/>
    <x v="15"/>
    <m/>
    <m/>
    <d v="2026-03-19T00:00:00"/>
    <x v="77"/>
    <m/>
    <m/>
  </r>
  <r>
    <m/>
    <m/>
    <s v="RH9949F423,426"/>
    <s v="p2-3"/>
    <m/>
    <n v="3"/>
    <m/>
    <m/>
    <x v="15"/>
    <m/>
    <m/>
    <d v="2026-03-19T00:00:00"/>
    <x v="77"/>
    <m/>
    <m/>
  </r>
  <r>
    <m/>
    <m/>
    <s v="RH9949F423,426"/>
    <s v="p2-3"/>
    <m/>
    <n v="2"/>
    <m/>
    <m/>
    <x v="15"/>
    <m/>
    <m/>
    <d v="2026-03-19T00:00:00"/>
    <x v="77"/>
    <m/>
    <m/>
  </r>
  <r>
    <m/>
    <m/>
    <s v="PS-02-687F1836"/>
    <s v="A1-S1"/>
    <m/>
    <n v="70"/>
    <m/>
    <n v="2"/>
    <x v="14"/>
    <d v="1899-12-30T12:00:00"/>
    <n v="10"/>
    <d v="2026-03-21T00:00:00"/>
    <x v="77"/>
    <m/>
    <m/>
  </r>
  <r>
    <m/>
    <m/>
    <s v="PS-02-687F1836"/>
    <s v="A4-S4"/>
    <m/>
    <n v="140"/>
    <m/>
    <m/>
    <x v="15"/>
    <m/>
    <m/>
    <d v="2026-03-21T00:00:00"/>
    <x v="77"/>
    <m/>
    <m/>
  </r>
  <r>
    <m/>
    <m/>
    <s v="PS-02-687F1836"/>
    <s v="A1-S6"/>
    <m/>
    <n v="70"/>
    <m/>
    <m/>
    <x v="15"/>
    <m/>
    <m/>
    <d v="2026-03-21T00:00:00"/>
    <x v="77"/>
    <m/>
    <m/>
  </r>
  <r>
    <m/>
    <s v="code 119"/>
    <s v="BẢNG MÀU "/>
    <s v="320X620"/>
    <m/>
    <n v="44"/>
    <m/>
    <n v="2"/>
    <x v="1"/>
    <d v="1899-12-30T09:50:00"/>
    <n v="1.6666666666666687"/>
    <d v="2026-03-21T00:00:00"/>
    <x v="77"/>
    <s v="TF"/>
    <m/>
  </r>
  <r>
    <m/>
    <m/>
    <s v="PS-02-684F1836"/>
    <s v="A2-S1-2"/>
    <m/>
    <n v="8"/>
    <m/>
    <m/>
    <x v="15"/>
    <m/>
    <m/>
    <d v="2026-03-21T00:00:00"/>
    <x v="77"/>
    <m/>
    <m/>
  </r>
  <r>
    <m/>
    <m/>
    <s v="PS-02-684F1836"/>
    <s v="A3-S3"/>
    <m/>
    <n v="4"/>
    <m/>
    <m/>
    <x v="15"/>
    <m/>
    <m/>
    <d v="2026-03-21T00:00:00"/>
    <x v="77"/>
    <m/>
    <m/>
  </r>
  <r>
    <m/>
    <m/>
    <s v="PS-02-684F1836"/>
    <s v="A1-S6"/>
    <m/>
    <n v="4"/>
    <m/>
    <m/>
    <x v="15"/>
    <m/>
    <m/>
    <d v="2026-03-21T00:00:00"/>
    <x v="77"/>
    <m/>
    <m/>
  </r>
  <r>
    <m/>
    <m/>
    <s v="PS-02-684F1836"/>
    <s v="A4-S4"/>
    <m/>
    <n v="4"/>
    <m/>
    <m/>
    <x v="15"/>
    <m/>
    <m/>
    <d v="2026-03-21T00:00:00"/>
    <x v="77"/>
    <m/>
    <m/>
  </r>
  <r>
    <m/>
    <m/>
    <s v="DL015F386"/>
    <s v="P1-3"/>
    <m/>
    <n v="45"/>
    <m/>
    <n v="2"/>
    <x v="12"/>
    <d v="1899-12-30T16:15:00"/>
    <n v="16.500000000000004"/>
    <d v="2026-03-23T00:00:00"/>
    <x v="78"/>
    <m/>
    <m/>
  </r>
  <r>
    <m/>
    <m/>
    <s v="DL015F386"/>
    <s v="P1-3"/>
    <m/>
    <n v="45"/>
    <m/>
    <m/>
    <x v="15"/>
    <m/>
    <m/>
    <d v="2026-03-23T00:00:00"/>
    <x v="78"/>
    <m/>
    <m/>
  </r>
  <r>
    <m/>
    <s v="code 254"/>
    <s v="BẢNG MÀU "/>
    <s v="320X620"/>
    <m/>
    <n v="20"/>
    <m/>
    <n v="2"/>
    <x v="16"/>
    <d v="1899-12-30T16:20:00"/>
    <n v="0.6666666666666643"/>
    <d v="2026-03-23T00:00:00"/>
    <x v="78"/>
    <m/>
    <m/>
  </r>
  <r>
    <m/>
    <s v="code119"/>
    <s v="BẢNG MÀU "/>
    <s v="320X620"/>
    <m/>
    <n v="48"/>
    <m/>
    <n v="2"/>
    <x v="6"/>
    <d v="1899-12-30T13:35:00"/>
    <n v="1.1666666666666679"/>
    <d v="2026-03-24T00:00:00"/>
    <x v="78"/>
    <s v="TF"/>
    <m/>
  </r>
  <r>
    <m/>
    <s v="2 MẶT "/>
    <s v="RH11411F457"/>
    <s v="817X650"/>
    <n v="2"/>
    <n v="4"/>
    <m/>
    <n v="2"/>
    <x v="91"/>
    <d v="1899-12-30T18:20:00"/>
    <n v="0.6666666666666643"/>
    <d v="2026-03-24T00:00:00"/>
    <x v="78"/>
    <s v="ME"/>
    <s v="LÀM MẪU "/>
  </r>
  <r>
    <m/>
    <s v="SỮA HÀNG"/>
    <s v="RH11620F459"/>
    <s v="TỦ "/>
    <m/>
    <n v="4"/>
    <m/>
    <n v="6"/>
    <x v="14"/>
    <d v="1899-12-30T19:00:00"/>
    <n v="71.999999999999986"/>
    <d v="2026-03-24T00:00:00"/>
    <x v="78"/>
    <s v="ME"/>
    <s v="bảng vẽ không rõ ràng "/>
  </r>
  <r>
    <m/>
    <m/>
    <s v="AR16-1010-1233"/>
    <s v="A3-S1"/>
    <n v="2"/>
    <n v="8"/>
    <m/>
    <n v="2"/>
    <x v="1"/>
    <d v="1899-12-30T09:20:00"/>
    <n v="0.66666666666666696"/>
    <d v="2026-03-25T00:00:00"/>
    <x v="78"/>
    <s v="MAChining"/>
    <s v="bs lại"/>
  </r>
  <r>
    <m/>
    <m/>
    <s v="AR1078F1233"/>
    <s v="A4-S2"/>
    <m/>
    <n v="32"/>
    <m/>
    <n v="1"/>
    <x v="2"/>
    <d v="1899-12-30T10:45:00"/>
    <n v="0.75"/>
    <d v="2026-03-27T00:00:00"/>
    <x v="78"/>
    <s v="Unassigned"/>
    <s v="bs lại"/>
  </r>
  <r>
    <m/>
    <m/>
    <s v="DL019F387"/>
    <s v="A1-S4-1"/>
    <n v="1"/>
    <n v="2"/>
    <m/>
    <m/>
    <x v="90"/>
    <d v="1899-12-30T00:00:00"/>
    <n v="0"/>
    <d v="2026-03-27T00:00:00"/>
    <x v="78"/>
    <s v="Final Machining"/>
    <s v="bs lại"/>
  </r>
  <r>
    <m/>
    <s v="code 431"/>
    <s v="BẢNG MÀU "/>
    <s v="320X620"/>
    <m/>
    <n v="58"/>
    <m/>
    <m/>
    <x v="90"/>
    <d v="1899-12-30T00:00:00"/>
    <n v="0"/>
    <d v="2026-03-27T00:00:00"/>
    <x v="78"/>
    <s v="TF"/>
    <s v="LÀM MẪU "/>
  </r>
  <r>
    <m/>
    <s v="2 mặt 1 lót"/>
    <s v="RH12-4691"/>
    <s v="423X1172"/>
    <n v="1"/>
    <n v="3"/>
    <m/>
    <n v="1"/>
    <x v="1"/>
    <d v="1899-12-30T10:30:00"/>
    <n v="1.5"/>
    <d v="2026-03-30T00:00:00"/>
    <x v="79"/>
    <s v="ME"/>
    <s v="LÀM MẪU "/>
  </r>
  <r>
    <m/>
    <s v="2 mặt 1 lót"/>
    <s v="AR1167F1291"/>
    <s v="A1-S1"/>
    <n v="2"/>
    <n v="8"/>
    <m/>
    <n v="1"/>
    <x v="2"/>
    <d v="1899-12-30T11:20:00"/>
    <n v="1.3333333333333339"/>
    <d v="2026-03-31T00:00:00"/>
    <x v="79"/>
    <m/>
    <s v="hàng bs lại "/>
  </r>
  <r>
    <m/>
    <s v="code 326"/>
    <s v="BẢNG MÀU "/>
    <s v="320X620"/>
    <m/>
    <n v="55"/>
    <m/>
    <n v="2"/>
    <x v="2"/>
    <d v="1899-12-30T11:30:00"/>
    <n v="3"/>
    <d v="2026-04-02T00:00:00"/>
    <x v="79"/>
    <m/>
    <m/>
  </r>
  <r>
    <m/>
    <s v="code 229 "/>
    <s v="BẢNG MÀU "/>
    <s v="320X620"/>
    <m/>
    <n v="40"/>
    <m/>
    <m/>
    <x v="15"/>
    <m/>
    <m/>
    <m/>
    <x v="8"/>
    <s v="TF"/>
    <s v="LÀM MẪU "/>
  </r>
  <r>
    <m/>
    <s v="code 014"/>
    <s v="BẢNG MÀU "/>
    <s v="320X620"/>
    <m/>
    <n v="46"/>
    <m/>
    <m/>
    <x v="15"/>
    <m/>
    <m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  <r>
    <m/>
    <m/>
    <m/>
    <m/>
    <m/>
    <m/>
    <m/>
    <m/>
    <x v="90"/>
    <d v="1899-12-30T00:00:00"/>
    <n v="0"/>
    <m/>
    <x v="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7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E8" firstHeaderRow="0" firstDataRow="1" firstDataCol="1"/>
  <pivotFields count="16"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dataField="1" showAll="0"/>
    <pivotField showAll="0"/>
    <pivotField axis="axisRow" showAll="0">
      <items count="81"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0"/>
        <item h="1" x="50"/>
        <item h="1" x="1"/>
        <item h="1" x="2"/>
        <item h="1" x="3"/>
        <item h="1" x="4"/>
        <item h="1" x="5"/>
        <item h="1" x="6"/>
        <item h="1" x="7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8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x="76"/>
        <item x="77"/>
        <item x="78"/>
        <item x="79"/>
        <item t="default"/>
      </items>
    </pivotField>
    <pivotField showAll="0"/>
    <pivotField showAll="0"/>
    <pivotField showAll="0" defaultSubtotal="0">
      <items count="26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x="0"/>
        <item x="25"/>
      </items>
    </pivotField>
  </pivotFields>
  <rowFields count="1">
    <field x="12"/>
  </rowFields>
  <rowItems count="5">
    <i>
      <x v="76"/>
    </i>
    <i>
      <x v="77"/>
    </i>
    <i>
      <x v="78"/>
    </i>
    <i>
      <x v="7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Ố BỘ " fld="4" baseField="12" baseItem="25"/>
    <dataField name="Sum of SỐ HC" fld="7" baseField="12" baseItem="56"/>
    <dataField name="Sum of SỐ LƯỢNG " fld="5" baseField="12" baseItem="25"/>
    <dataField name="Sum of SỐ GIỜ " fld="10" baseField="12" baseItem="0" numFmtId="43"/>
  </dataFields>
  <formats count="40">
    <format dxfId="3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8">
      <pivotArea collapsedLevelsAreSubtotals="1" fieldPosition="0">
        <references count="1">
          <reference field="12" count="0"/>
        </references>
      </pivotArea>
    </format>
    <format dxfId="37">
      <pivotArea dataOnly="0" labelOnly="1" fieldPosition="0">
        <references count="1">
          <reference field="12" count="0"/>
        </references>
      </pivotArea>
    </format>
    <format dxfId="36">
      <pivotArea collapsedLevelsAreSubtotals="1" fieldPosition="0">
        <references count="1">
          <reference field="12" count="0"/>
        </references>
      </pivotArea>
    </format>
    <format dxfId="35">
      <pivotArea dataOnly="0" labelOnly="1" fieldPosition="0">
        <references count="1">
          <reference field="12" count="0"/>
        </references>
      </pivotArea>
    </format>
    <format dxfId="34">
      <pivotArea collapsedLevelsAreSubtotals="1" fieldPosition="0">
        <references count="1">
          <reference field="12" count="0"/>
        </references>
      </pivotArea>
    </format>
    <format dxfId="33">
      <pivotArea dataOnly="0" labelOnly="1" fieldPosition="0">
        <references count="1">
          <reference field="12" count="0"/>
        </references>
      </pivotArea>
    </format>
    <format dxfId="32">
      <pivotArea grandRow="1" outline="0" collapsedLevelsAreSubtotals="1" fieldPosition="0"/>
    </format>
    <format dxfId="31">
      <pivotArea dataOnly="0" labelOnly="1" grandRow="1" outline="0" fieldPosition="0"/>
    </format>
    <format dxfId="30">
      <pivotArea grandRow="1" outline="0" collapsedLevelsAreSubtotals="1" fieldPosition="0"/>
    </format>
    <format dxfId="29">
      <pivotArea dataOnly="0" labelOnly="1" grandRow="1" outline="0" fieldPosition="0"/>
    </format>
    <format dxfId="28">
      <pivotArea dataOnly="0" labelOnly="1" fieldPosition="0">
        <references count="1">
          <reference field="12" count="1">
            <x v="30"/>
          </reference>
        </references>
      </pivotArea>
    </format>
    <format dxfId="27">
      <pivotArea dataOnly="0" labelOnly="1" fieldPosition="0">
        <references count="1">
          <reference field="12" count="1">
            <x v="51"/>
          </reference>
        </references>
      </pivotArea>
    </format>
    <format dxfId="26">
      <pivotArea dataOnly="0" labelOnly="1" fieldPosition="0">
        <references count="1">
          <reference field="12" count="1">
            <x v="28"/>
          </reference>
        </references>
      </pivotArea>
    </format>
    <format dxfId="25">
      <pivotArea dataOnly="0" labelOnly="1" fieldPosition="0">
        <references count="1">
          <reference field="12" count="1">
            <x v="27"/>
          </reference>
        </references>
      </pivotArea>
    </format>
    <format dxfId="24">
      <pivotArea collapsedLevelsAreSubtotals="1" fieldPosition="0">
        <references count="1">
          <reference field="12" count="1">
            <x v="51"/>
          </reference>
        </references>
      </pivotArea>
    </format>
    <format dxfId="23">
      <pivotArea dataOnly="0" labelOnly="1" fieldPosition="0">
        <references count="1">
          <reference field="12" count="1">
            <x v="55"/>
          </reference>
        </references>
      </pivotArea>
    </format>
    <format dxfId="22">
      <pivotArea dataOnly="0" labelOnly="1" fieldPosition="0">
        <references count="1">
          <reference field="12" count="1">
            <x v="56"/>
          </reference>
        </references>
      </pivotArea>
    </format>
    <format dxfId="21">
      <pivotArea dataOnly="0" labelOnly="1" fieldPosition="0">
        <references count="1">
          <reference field="12" count="1">
            <x v="54"/>
          </reference>
        </references>
      </pivotArea>
    </format>
    <format dxfId="20">
      <pivotArea dataOnly="0" labelOnly="1" fieldPosition="0">
        <references count="1">
          <reference field="12" count="1">
            <x v="57"/>
          </reference>
        </references>
      </pivotArea>
    </format>
    <format dxfId="19">
      <pivotArea dataOnly="0" labelOnly="1" fieldPosition="0">
        <references count="1">
          <reference field="12" count="1">
            <x v="58"/>
          </reference>
        </references>
      </pivotArea>
    </format>
    <format dxfId="18">
      <pivotArea dataOnly="0" labelOnly="1" fieldPosition="0">
        <references count="1">
          <reference field="12" count="1">
            <x v="57"/>
          </reference>
        </references>
      </pivotArea>
    </format>
    <format dxfId="17">
      <pivotArea dataOnly="0" labelOnly="1" fieldPosition="0">
        <references count="1">
          <reference field="12" count="1">
            <x v="58"/>
          </reference>
        </references>
      </pivotArea>
    </format>
    <format dxfId="16">
      <pivotArea dataOnly="0" labelOnly="1" fieldPosition="0">
        <references count="1">
          <reference field="12" count="1">
            <x v="59"/>
          </reference>
        </references>
      </pivotArea>
    </format>
    <format dxfId="15">
      <pivotArea dataOnly="0" labelOnly="1" fieldPosition="0">
        <references count="1">
          <reference field="12" count="1">
            <x v="57"/>
          </reference>
        </references>
      </pivotArea>
    </format>
    <format dxfId="14">
      <pivotArea dataOnly="0" labelOnly="1" fieldPosition="0">
        <references count="1">
          <reference field="12" count="1">
            <x v="60"/>
          </reference>
        </references>
      </pivotArea>
    </format>
    <format dxfId="13">
      <pivotArea dataOnly="0" labelOnly="1" fieldPosition="0">
        <references count="1">
          <reference field="12" count="1">
            <x v="60"/>
          </reference>
        </references>
      </pivotArea>
    </format>
    <format dxfId="12">
      <pivotArea dataOnly="0" labelOnly="1" fieldPosition="0">
        <references count="1">
          <reference field="12" count="1">
            <x v="61"/>
          </reference>
        </references>
      </pivotArea>
    </format>
    <format dxfId="11">
      <pivotArea dataOnly="0" labelOnly="1" fieldPosition="0">
        <references count="1">
          <reference field="12" count="1">
            <x v="61"/>
          </reference>
        </references>
      </pivotArea>
    </format>
    <format dxfId="10">
      <pivotArea dataOnly="0" labelOnly="1" fieldPosition="0">
        <references count="1">
          <reference field="12" count="1">
            <x v="62"/>
          </reference>
        </references>
      </pivotArea>
    </format>
    <format dxfId="9">
      <pivotArea dataOnly="0" labelOnly="1" fieldPosition="0">
        <references count="1">
          <reference field="12" count="1">
            <x v="59"/>
          </reference>
        </references>
      </pivotArea>
    </format>
    <format dxfId="8">
      <pivotArea dataOnly="0" labelOnly="1" fieldPosition="0">
        <references count="1">
          <reference field="12" count="1">
            <x v="63"/>
          </reference>
        </references>
      </pivotArea>
    </format>
    <format dxfId="7">
      <pivotArea dataOnly="0" labelOnly="1" fieldPosition="0">
        <references count="1">
          <reference field="12" count="1">
            <x v="65"/>
          </reference>
        </references>
      </pivotArea>
    </format>
    <format dxfId="6">
      <pivotArea dataOnly="0" labelOnly="1" fieldPosition="0">
        <references count="1">
          <reference field="12" count="1">
            <x v="66"/>
          </reference>
        </references>
      </pivotArea>
    </format>
    <format dxfId="5">
      <pivotArea dataOnly="0" labelOnly="1" fieldPosition="0">
        <references count="1">
          <reference field="12" count="1">
            <x v="67"/>
          </reference>
        </references>
      </pivotArea>
    </format>
    <format dxfId="4">
      <pivotArea dataOnly="0" labelOnly="1" fieldPosition="0">
        <references count="1">
          <reference field="12" count="1">
            <x v="69"/>
          </reference>
        </references>
      </pivotArea>
    </format>
    <format dxfId="3">
      <pivotArea dataOnly="0" labelOnly="1" fieldPosition="0">
        <references count="1">
          <reference field="12" count="1">
            <x v="70"/>
          </reference>
        </references>
      </pivotArea>
    </format>
    <format dxfId="2">
      <pivotArea dataOnly="0" labelOnly="1" fieldPosition="0">
        <references count="1">
          <reference field="12" count="1">
            <x v="71"/>
          </reference>
        </references>
      </pivotArea>
    </format>
    <format dxfId="1">
      <pivotArea dataOnly="0" labelOnly="1" fieldPosition="0">
        <references count="1">
          <reference field="12" count="1">
            <x v="72"/>
          </reference>
        </references>
      </pivotArea>
    </format>
    <format dxfId="0">
      <pivotArea dataOnly="0" labelOnly="1" fieldPosition="0">
        <references count="1">
          <reference field="12" count="1">
            <x v="74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6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21:E25" firstHeaderRow="0" firstDataRow="1" firstDataCol="1"/>
  <pivotFields count="15"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axis="axisRow" showAll="0">
      <items count="39">
        <item h="1" x="0"/>
        <item h="1" x="5"/>
        <item h="1" x="10"/>
        <item h="1" x="12"/>
        <item h="1" x="1"/>
        <item h="1" x="2"/>
        <item h="1" x="3"/>
        <item h="1" x="4"/>
        <item h="1" x="6"/>
        <item h="1" x="7"/>
        <item h="1" x="8"/>
        <item h="1" x="9"/>
        <item h="1" x="11"/>
        <item h="1" x="13"/>
        <item h="1" x="14"/>
        <item h="1" x="15"/>
        <item h="1" x="16"/>
        <item h="1" x="35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m="1" x="37"/>
        <item h="1" x="26"/>
        <item h="1" x="27"/>
        <item h="1" x="28"/>
        <item h="1" x="29"/>
        <item h="1" x="30"/>
        <item h="1" x="31"/>
        <item h="1" x="32"/>
        <item x="33"/>
        <item x="34"/>
        <item x="36"/>
        <item t="default"/>
      </items>
    </pivotField>
    <pivotField showAll="0"/>
    <pivotField showAll="0"/>
  </pivotFields>
  <rowFields count="1">
    <field x="12"/>
  </rowFields>
  <rowItems count="4">
    <i>
      <x v="35"/>
    </i>
    <i>
      <x v="36"/>
    </i>
    <i>
      <x v="3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Ố BỘ " fld="4" baseField="12" baseItem="13"/>
    <dataField name="Sum of SỐ HC" fld="7" baseField="12" baseItem="13"/>
    <dataField name="Sum of SỐ GIỜ " fld="10" baseField="12" baseItem="0"/>
    <dataField name="Sum of SỐ LƯỢNG " fld="5" baseField="12" baseItem="13"/>
  </dataFields>
  <formats count="19">
    <format dxfId="58">
      <pivotArea collapsedLevelsAreSubtotals="1" fieldPosition="0">
        <references count="2">
          <reference field="4294967294" count="1" selected="0">
            <x v="2"/>
          </reference>
          <reference field="12" count="1">
            <x v="0"/>
          </reference>
        </references>
      </pivotArea>
    </format>
    <format dxfId="57">
      <pivotArea collapsedLevelsAreSubtotals="1" fieldPosition="0">
        <references count="2">
          <reference field="4294967294" count="1" selected="0">
            <x v="2"/>
          </reference>
          <reference field="12" count="16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56">
      <pivotArea field="12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55">
      <pivotArea dataOnly="0" labelOnly="1" fieldPosition="0">
        <references count="1">
          <reference field="12" count="0"/>
        </references>
      </pivotArea>
    </format>
    <format dxfId="54">
      <pivotArea collapsedLevelsAreSubtotals="1" fieldPosition="0">
        <references count="2">
          <reference field="4294967294" count="1" selected="0">
            <x v="2"/>
          </reference>
          <reference field="12" count="0"/>
        </references>
      </pivotArea>
    </format>
    <format dxfId="53">
      <pivotArea collapsedLevelsAreSubtotals="1" fieldPosition="0">
        <references count="2">
          <reference field="4294967294" count="1" selected="0">
            <x v="2"/>
          </reference>
          <reference field="12" count="0"/>
        </references>
      </pivotArea>
    </format>
    <format dxfId="52">
      <pivotArea collapsedLevelsAreSubtotals="1" fieldPosition="0">
        <references count="1">
          <reference field="12" count="0"/>
        </references>
      </pivotArea>
    </format>
    <format dxfId="51">
      <pivotArea collapsedLevelsAreSubtotals="1" fieldPosition="0">
        <references count="1">
          <reference field="12" count="0"/>
        </references>
      </pivotArea>
    </format>
    <format dxfId="50">
      <pivotArea dataOnly="0" fieldPosition="0">
        <references count="1">
          <reference field="12" count="0"/>
        </references>
      </pivotArea>
    </format>
    <format dxfId="49">
      <pivotArea collapsedLevelsAreSubtotals="1" fieldPosition="0">
        <references count="2">
          <reference field="4294967294" count="1" selected="0">
            <x v="3"/>
          </reference>
          <reference field="12" count="0"/>
        </references>
      </pivotArea>
    </format>
    <format dxfId="48">
      <pivotArea collapsedLevelsAreSubtotals="1" fieldPosition="0">
        <references count="2">
          <reference field="4294967294" count="1" selected="0">
            <x v="3"/>
          </reference>
          <reference field="12" count="0"/>
        </references>
      </pivotArea>
    </format>
    <format dxfId="47">
      <pivotArea dataOnly="0" labelOnly="1" fieldPosition="0">
        <references count="1">
          <reference field="12" count="0"/>
        </references>
      </pivotArea>
    </format>
    <format dxfId="46">
      <pivotArea dataOnly="0" labelOnly="1" fieldPosition="0">
        <references count="1">
          <reference field="12" count="0"/>
        </references>
      </pivotArea>
    </format>
    <format dxfId="45">
      <pivotArea dataOnly="0" labelOnly="1" fieldPosition="0">
        <references count="1">
          <reference field="12" count="0"/>
        </references>
      </pivotArea>
    </format>
    <format dxfId="44">
      <pivotArea dataOnly="0" labelOnly="1" fieldPosition="0">
        <references count="1">
          <reference field="12" count="1">
            <x v="14"/>
          </reference>
        </references>
      </pivotArea>
    </format>
    <format dxfId="43">
      <pivotArea dataOnly="0" labelOnly="1" fieldPosition="0">
        <references count="1">
          <reference field="12" count="1">
            <x v="15"/>
          </reference>
        </references>
      </pivotArea>
    </format>
    <format dxfId="42">
      <pivotArea dataOnly="0" labelOnly="1" fieldPosition="0">
        <references count="1">
          <reference field="12" count="1">
            <x v="16"/>
          </reference>
        </references>
      </pivotArea>
    </format>
    <format dxfId="41">
      <pivotArea dataOnly="0" labelOnly="1" fieldPosition="0">
        <references count="1">
          <reference field="12" count="1">
            <x v="13"/>
          </reference>
        </references>
      </pivotArea>
    </format>
    <format dxfId="40">
      <pivotArea collapsedLevelsAreSubtotals="1" fieldPosition="0">
        <references count="2">
          <reference field="4294967294" count="1" selected="0">
            <x v="2"/>
          </reference>
          <reference field="12" count="0"/>
        </references>
      </pivotArea>
    </format>
  </formats>
  <chartFormats count="6">
    <chartFormat chart="1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opLeftCell="A7" zoomScaleNormal="100" workbookViewId="0">
      <selection activeCell="D14" sqref="D14"/>
    </sheetView>
  </sheetViews>
  <sheetFormatPr defaultRowHeight="15"/>
  <cols>
    <col min="1" max="1" width="13.140625" customWidth="1"/>
    <col min="2" max="2" width="13.5703125" customWidth="1"/>
    <col min="3" max="3" width="12.85546875" customWidth="1"/>
    <col min="4" max="4" width="14.42578125" customWidth="1"/>
    <col min="5" max="5" width="17.85546875" customWidth="1"/>
    <col min="6" max="6" width="14.7109375" bestFit="1" customWidth="1"/>
    <col min="7" max="7" width="16.140625" bestFit="1" customWidth="1"/>
    <col min="8" max="9" width="12.42578125" bestFit="1" customWidth="1"/>
    <col min="10" max="10" width="4" bestFit="1" customWidth="1"/>
    <col min="11" max="12" width="12.42578125" bestFit="1" customWidth="1"/>
    <col min="13" max="13" width="5.140625" bestFit="1" customWidth="1"/>
    <col min="14" max="14" width="12.42578125" bestFit="1" customWidth="1"/>
    <col min="15" max="15" width="28.28515625" customWidth="1"/>
    <col min="16" max="18" width="2" bestFit="1" customWidth="1"/>
    <col min="19" max="19" width="13" bestFit="1" customWidth="1"/>
    <col min="20" max="26" width="12.42578125" bestFit="1" customWidth="1"/>
    <col min="27" max="27" width="4" bestFit="1" customWidth="1"/>
    <col min="28" max="29" width="12.42578125" bestFit="1" customWidth="1"/>
    <col min="30" max="30" width="5.140625" bestFit="1" customWidth="1"/>
    <col min="31" max="31" width="12.42578125" bestFit="1" customWidth="1"/>
    <col min="32" max="32" width="4" bestFit="1" customWidth="1"/>
    <col min="33" max="35" width="2" bestFit="1" customWidth="1"/>
    <col min="36" max="36" width="14.28515625" bestFit="1" customWidth="1"/>
    <col min="37" max="43" width="12.42578125" bestFit="1" customWidth="1"/>
    <col min="44" max="44" width="4" bestFit="1" customWidth="1"/>
    <col min="45" max="46" width="12.42578125" bestFit="1" customWidth="1"/>
    <col min="47" max="47" width="5.140625" bestFit="1" customWidth="1"/>
    <col min="48" max="48" width="12.42578125" bestFit="1" customWidth="1"/>
    <col min="49" max="49" width="4" bestFit="1" customWidth="1"/>
    <col min="50" max="52" width="2" bestFit="1" customWidth="1"/>
    <col min="53" max="53" width="18.140625" bestFit="1" customWidth="1"/>
    <col min="54" max="60" width="12.42578125" bestFit="1" customWidth="1"/>
    <col min="61" max="61" width="4" bestFit="1" customWidth="1"/>
    <col min="62" max="63" width="12.42578125" bestFit="1" customWidth="1"/>
    <col min="64" max="64" width="5.140625" bestFit="1" customWidth="1"/>
    <col min="65" max="65" width="12.42578125" bestFit="1" customWidth="1"/>
    <col min="66" max="67" width="4" bestFit="1" customWidth="1"/>
    <col min="68" max="68" width="2" bestFit="1" customWidth="1"/>
    <col min="69" max="69" width="4" bestFit="1" customWidth="1"/>
    <col min="70" max="70" width="14.7109375" bestFit="1" customWidth="1"/>
    <col min="71" max="77" width="12.42578125" bestFit="1" customWidth="1"/>
    <col min="78" max="78" width="5.85546875" bestFit="1" customWidth="1"/>
    <col min="79" max="80" width="12.42578125" bestFit="1" customWidth="1"/>
    <col min="81" max="81" width="5.85546875" bestFit="1" customWidth="1"/>
    <col min="82" max="82" width="12.42578125" bestFit="1" customWidth="1"/>
    <col min="83" max="85" width="5.85546875" bestFit="1" customWidth="1"/>
    <col min="86" max="86" width="6.85546875" bestFit="1" customWidth="1"/>
    <col min="87" max="87" width="19.28515625" bestFit="1" customWidth="1"/>
    <col min="88" max="88" width="18.42578125" bestFit="1" customWidth="1"/>
    <col min="89" max="89" width="19.42578125" bestFit="1" customWidth="1"/>
    <col min="90" max="90" width="23.28515625" bestFit="1" customWidth="1"/>
    <col min="91" max="91" width="19.85546875" bestFit="1" customWidth="1"/>
  </cols>
  <sheetData>
    <row r="1" spans="1:15" ht="27.75">
      <c r="A1" s="1327" t="s">
        <v>554</v>
      </c>
      <c r="B1" s="1327"/>
      <c r="C1" s="1327"/>
      <c r="D1" s="1327"/>
      <c r="E1" s="1327"/>
      <c r="F1" s="1327"/>
      <c r="G1" s="1327"/>
      <c r="H1" s="1327"/>
      <c r="I1" s="1327"/>
      <c r="J1" s="1327"/>
      <c r="K1" s="1327"/>
      <c r="L1" s="1327"/>
      <c r="M1" s="1327"/>
      <c r="N1" s="1327"/>
      <c r="O1" s="1327"/>
    </row>
    <row r="2" spans="1:15" ht="18.75">
      <c r="D2" s="1026" t="s">
        <v>1541</v>
      </c>
    </row>
    <row r="3" spans="1:15">
      <c r="A3" s="138" t="s">
        <v>1023</v>
      </c>
      <c r="B3" t="s">
        <v>1389</v>
      </c>
      <c r="C3" t="s">
        <v>1503</v>
      </c>
      <c r="D3" t="s">
        <v>1068</v>
      </c>
      <c r="E3" t="s">
        <v>1025</v>
      </c>
    </row>
    <row r="4" spans="1:15">
      <c r="A4" s="1079" t="s">
        <v>1656</v>
      </c>
      <c r="B4" s="318"/>
      <c r="C4" s="318">
        <v>20</v>
      </c>
      <c r="D4" s="318">
        <v>324</v>
      </c>
      <c r="E4" s="319">
        <v>12.833333333333346</v>
      </c>
    </row>
    <row r="5" spans="1:15">
      <c r="A5" s="1079" t="s">
        <v>1682</v>
      </c>
      <c r="B5" s="318"/>
      <c r="C5" s="318">
        <v>14</v>
      </c>
      <c r="D5" s="318">
        <v>411</v>
      </c>
      <c r="E5" s="319">
        <v>31.166666666666671</v>
      </c>
    </row>
    <row r="6" spans="1:15">
      <c r="A6" s="1079" t="s">
        <v>1685</v>
      </c>
      <c r="B6" s="318">
        <v>5</v>
      </c>
      <c r="C6" s="318">
        <v>17</v>
      </c>
      <c r="D6" s="318">
        <v>266</v>
      </c>
      <c r="E6" s="319">
        <v>92.416666666666657</v>
      </c>
    </row>
    <row r="7" spans="1:15">
      <c r="A7" s="1079" t="s">
        <v>1703</v>
      </c>
      <c r="B7" s="318">
        <v>3</v>
      </c>
      <c r="C7" s="318">
        <v>4</v>
      </c>
      <c r="D7" s="318">
        <v>66</v>
      </c>
      <c r="E7" s="319">
        <v>5.8333333333333339</v>
      </c>
    </row>
    <row r="8" spans="1:15">
      <c r="A8" s="1233" t="s">
        <v>1024</v>
      </c>
      <c r="B8" s="1231">
        <v>8</v>
      </c>
      <c r="C8" s="1231">
        <v>55</v>
      </c>
      <c r="D8" s="1231">
        <v>1067</v>
      </c>
      <c r="E8" s="1232">
        <v>142.25000000000003</v>
      </c>
    </row>
    <row r="20" spans="1:15" ht="27.75">
      <c r="A20" s="1327" t="s">
        <v>1557</v>
      </c>
      <c r="B20" s="1327"/>
      <c r="C20" s="1327"/>
      <c r="D20" s="1327"/>
      <c r="E20" s="1327"/>
      <c r="F20" s="1327"/>
      <c r="G20" s="1327"/>
      <c r="H20" s="1327"/>
      <c r="I20" s="1327"/>
      <c r="J20" s="1327"/>
      <c r="K20" s="1327"/>
      <c r="L20" s="1327"/>
      <c r="M20" s="1327"/>
      <c r="N20" s="1327"/>
      <c r="O20" s="1327"/>
    </row>
    <row r="21" spans="1:15">
      <c r="A21" s="138" t="s">
        <v>1023</v>
      </c>
      <c r="B21" t="s">
        <v>1389</v>
      </c>
      <c r="C21" t="s">
        <v>1503</v>
      </c>
      <c r="D21" t="s">
        <v>1025</v>
      </c>
      <c r="E21" t="s">
        <v>1068</v>
      </c>
    </row>
    <row r="22" spans="1:15">
      <c r="A22" s="1238" t="s">
        <v>1708</v>
      </c>
      <c r="B22" s="1058"/>
      <c r="C22" s="1058">
        <v>8</v>
      </c>
      <c r="D22" s="1234">
        <v>8.3333333333333357</v>
      </c>
      <c r="E22" s="1237">
        <v>144</v>
      </c>
    </row>
    <row r="23" spans="1:15">
      <c r="A23" s="1239" t="s">
        <v>1019</v>
      </c>
      <c r="B23" s="318"/>
      <c r="C23" s="318">
        <v>4</v>
      </c>
      <c r="D23" s="1235">
        <v>6</v>
      </c>
      <c r="E23" s="1236">
        <v>60</v>
      </c>
    </row>
    <row r="24" spans="1:15">
      <c r="A24" s="1240" t="s">
        <v>1067</v>
      </c>
      <c r="B24" s="318"/>
      <c r="C24" s="318">
        <v>12</v>
      </c>
      <c r="D24" s="1235">
        <v>9.6666666666666696</v>
      </c>
      <c r="E24" s="1236">
        <v>174</v>
      </c>
    </row>
    <row r="25" spans="1:15">
      <c r="A25" s="1055" t="s">
        <v>1024</v>
      </c>
      <c r="B25" s="1056"/>
      <c r="C25" s="1056">
        <v>24</v>
      </c>
      <c r="D25" s="1057">
        <v>24.000000000000007</v>
      </c>
      <c r="E25" s="1056">
        <v>378</v>
      </c>
    </row>
  </sheetData>
  <mergeCells count="2">
    <mergeCell ref="A1:O1"/>
    <mergeCell ref="A20:O20"/>
  </mergeCell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28"/>
  <sheetViews>
    <sheetView tabSelected="1" zoomScale="85" zoomScaleNormal="85" workbookViewId="0">
      <pane ySplit="2" topLeftCell="A1787" activePane="bottomLeft" state="frozen"/>
      <selection pane="bottomLeft" activeCell="J1806" sqref="J1806"/>
    </sheetView>
  </sheetViews>
  <sheetFormatPr defaultColWidth="9.140625" defaultRowHeight="15"/>
  <cols>
    <col min="1" max="1" width="7" style="294" customWidth="1"/>
    <col min="2" max="2" width="15.140625" style="294" customWidth="1"/>
    <col min="3" max="3" width="26" style="294" customWidth="1"/>
    <col min="4" max="4" width="27.42578125" style="709" bestFit="1" customWidth="1"/>
    <col min="5" max="5" width="10" style="294" customWidth="1"/>
    <col min="6" max="6" width="11.140625" style="821" customWidth="1"/>
    <col min="7" max="7" width="12.28515625" style="294" customWidth="1"/>
    <col min="8" max="8" width="10" style="832" customWidth="1"/>
    <col min="9" max="9" width="28" style="832" bestFit="1" customWidth="1"/>
    <col min="10" max="10" width="22.42578125" style="832" bestFit="1" customWidth="1"/>
    <col min="11" max="11" width="11.42578125" style="730" customWidth="1"/>
    <col min="12" max="12" width="13" style="294" customWidth="1"/>
    <col min="13" max="13" width="12.85546875" style="294" customWidth="1"/>
    <col min="14" max="14" width="18.28515625" style="294" customWidth="1"/>
    <col min="15" max="15" width="47.28515625" style="2" customWidth="1"/>
    <col min="16" max="16384" width="9.140625" style="40"/>
  </cols>
  <sheetData>
    <row r="1" spans="1:15" ht="39.950000000000003" customHeight="1">
      <c r="A1" s="1327" t="s">
        <v>554</v>
      </c>
      <c r="B1" s="1327"/>
      <c r="C1" s="1327"/>
      <c r="D1" s="1327"/>
      <c r="E1" s="1327"/>
      <c r="F1" s="1327"/>
      <c r="G1" s="1327"/>
      <c r="H1" s="1327"/>
      <c r="I1" s="1327"/>
      <c r="J1" s="1327"/>
      <c r="K1" s="1327"/>
      <c r="L1" s="1327"/>
      <c r="M1" s="1327"/>
      <c r="N1" s="1327"/>
      <c r="O1" s="1327"/>
    </row>
    <row r="2" spans="1:15" s="1034" customFormat="1" ht="46.5" customHeight="1">
      <c r="A2" s="1030" t="s">
        <v>52</v>
      </c>
      <c r="B2" s="1030" t="s">
        <v>138</v>
      </c>
      <c r="C2" s="1030" t="s">
        <v>143</v>
      </c>
      <c r="D2" s="1030" t="s">
        <v>142</v>
      </c>
      <c r="E2" s="1030" t="s">
        <v>139</v>
      </c>
      <c r="F2" s="1031" t="s">
        <v>133</v>
      </c>
      <c r="G2" s="1030" t="s">
        <v>134</v>
      </c>
      <c r="H2" s="1032" t="s">
        <v>135</v>
      </c>
      <c r="I2" s="1032" t="s">
        <v>136</v>
      </c>
      <c r="J2" s="1032" t="s">
        <v>145</v>
      </c>
      <c r="K2" s="1033" t="s">
        <v>137</v>
      </c>
      <c r="L2" s="1030" t="s">
        <v>144</v>
      </c>
      <c r="M2" s="1030" t="s">
        <v>132</v>
      </c>
      <c r="N2" s="1030" t="s">
        <v>140</v>
      </c>
      <c r="O2" s="1030" t="s">
        <v>141</v>
      </c>
    </row>
    <row r="3" spans="1:15" s="1" customFormat="1">
      <c r="A3" s="404">
        <f t="shared" ref="A3:A34" si="0">ROW()-1</f>
        <v>2</v>
      </c>
      <c r="B3" s="405" t="s">
        <v>20</v>
      </c>
      <c r="C3" s="404" t="s">
        <v>19</v>
      </c>
      <c r="D3" s="406" t="s">
        <v>53</v>
      </c>
      <c r="E3" s="404">
        <v>5</v>
      </c>
      <c r="F3" s="407">
        <v>20</v>
      </c>
      <c r="G3" s="408">
        <v>45514</v>
      </c>
      <c r="H3" s="409">
        <v>1</v>
      </c>
      <c r="I3" s="410">
        <v>0.625</v>
      </c>
      <c r="J3" s="410">
        <v>0.70833333333333337</v>
      </c>
      <c r="K3" s="411">
        <f>(J3-I3)*24*H3</f>
        <v>2.0000000000000009</v>
      </c>
      <c r="L3" s="290">
        <v>45514</v>
      </c>
      <c r="M3" s="291" t="s">
        <v>76</v>
      </c>
      <c r="N3" s="292" t="s">
        <v>80</v>
      </c>
      <c r="O3" s="293"/>
    </row>
    <row r="4" spans="1:15" s="1" customFormat="1">
      <c r="A4" s="4">
        <f t="shared" si="0"/>
        <v>3</v>
      </c>
      <c r="B4" s="412" t="s">
        <v>22</v>
      </c>
      <c r="C4" s="4" t="s">
        <v>19</v>
      </c>
      <c r="D4" s="413" t="s">
        <v>53</v>
      </c>
      <c r="E4" s="4">
        <v>15</v>
      </c>
      <c r="F4" s="414">
        <v>60</v>
      </c>
      <c r="G4" s="179">
        <v>45514</v>
      </c>
      <c r="H4" s="415">
        <v>1</v>
      </c>
      <c r="I4" s="416">
        <v>0.625</v>
      </c>
      <c r="J4" s="416">
        <v>0.72916666666666663</v>
      </c>
      <c r="K4" s="417">
        <f t="shared" ref="K4:K67" si="1">(J4-I4)*24*H4</f>
        <v>2.4999999999999991</v>
      </c>
      <c r="L4" s="20">
        <v>45514</v>
      </c>
      <c r="M4" s="17" t="s">
        <v>76</v>
      </c>
      <c r="N4" s="12" t="s">
        <v>80</v>
      </c>
      <c r="O4" s="21"/>
    </row>
    <row r="5" spans="1:15" s="1" customFormat="1">
      <c r="A5" s="4">
        <f t="shared" si="0"/>
        <v>4</v>
      </c>
      <c r="B5" s="412" t="s">
        <v>15</v>
      </c>
      <c r="C5" s="4" t="s">
        <v>14</v>
      </c>
      <c r="D5" s="413" t="s">
        <v>54</v>
      </c>
      <c r="E5" s="4">
        <v>4</v>
      </c>
      <c r="F5" s="414">
        <v>4</v>
      </c>
      <c r="G5" s="179">
        <v>45514</v>
      </c>
      <c r="H5" s="415">
        <v>1</v>
      </c>
      <c r="I5" s="416">
        <v>0.625</v>
      </c>
      <c r="J5" s="416">
        <v>0.65625</v>
      </c>
      <c r="K5" s="417">
        <f t="shared" si="1"/>
        <v>0.75</v>
      </c>
      <c r="L5" s="20">
        <v>45514</v>
      </c>
      <c r="M5" s="17" t="s">
        <v>76</v>
      </c>
      <c r="N5" s="12" t="s">
        <v>6</v>
      </c>
      <c r="O5" s="21"/>
    </row>
    <row r="6" spans="1:15" s="1" customFormat="1">
      <c r="A6" s="4">
        <f t="shared" si="0"/>
        <v>5</v>
      </c>
      <c r="B6" s="412" t="s">
        <v>16</v>
      </c>
      <c r="C6" s="4" t="s">
        <v>14</v>
      </c>
      <c r="D6" s="413" t="s">
        <v>54</v>
      </c>
      <c r="E6" s="4">
        <v>14</v>
      </c>
      <c r="F6" s="414">
        <v>14</v>
      </c>
      <c r="G6" s="179">
        <v>45514</v>
      </c>
      <c r="H6" s="415">
        <v>1</v>
      </c>
      <c r="I6" s="416">
        <v>0.625</v>
      </c>
      <c r="J6" s="416">
        <v>0.66666666666666663</v>
      </c>
      <c r="K6" s="417">
        <f t="shared" si="1"/>
        <v>0.99999999999999911</v>
      </c>
      <c r="L6" s="20">
        <v>45514</v>
      </c>
      <c r="M6" s="17" t="s">
        <v>76</v>
      </c>
      <c r="N6" s="12" t="s">
        <v>6</v>
      </c>
      <c r="O6" s="21"/>
    </row>
    <row r="7" spans="1:15" s="1" customFormat="1">
      <c r="A7" s="4">
        <f t="shared" si="0"/>
        <v>6</v>
      </c>
      <c r="B7" s="412" t="s">
        <v>13</v>
      </c>
      <c r="C7" s="4" t="s">
        <v>12</v>
      </c>
      <c r="D7" s="413" t="s">
        <v>55</v>
      </c>
      <c r="E7" s="4">
        <v>7</v>
      </c>
      <c r="F7" s="414">
        <v>7</v>
      </c>
      <c r="G7" s="179">
        <v>45517</v>
      </c>
      <c r="H7" s="415">
        <v>1</v>
      </c>
      <c r="I7" s="416">
        <v>0.375</v>
      </c>
      <c r="J7" s="416">
        <v>0.40972222222222227</v>
      </c>
      <c r="K7" s="417">
        <f t="shared" si="1"/>
        <v>0.83333333333333437</v>
      </c>
      <c r="L7" s="20">
        <v>45518</v>
      </c>
      <c r="M7" s="17" t="s">
        <v>76</v>
      </c>
      <c r="N7" s="12" t="s">
        <v>7</v>
      </c>
      <c r="O7" s="21"/>
    </row>
    <row r="8" spans="1:15" s="1" customFormat="1">
      <c r="A8" s="4">
        <f t="shared" si="0"/>
        <v>7</v>
      </c>
      <c r="B8" s="412" t="s">
        <v>48</v>
      </c>
      <c r="C8" s="4" t="s">
        <v>47</v>
      </c>
      <c r="D8" s="418" t="s">
        <v>58</v>
      </c>
      <c r="E8" s="4">
        <v>1</v>
      </c>
      <c r="F8" s="414">
        <v>2</v>
      </c>
      <c r="G8" s="179">
        <v>45519</v>
      </c>
      <c r="H8" s="415">
        <v>1</v>
      </c>
      <c r="I8" s="416">
        <v>0.41666666666666669</v>
      </c>
      <c r="J8" s="416">
        <v>0.44791666666666669</v>
      </c>
      <c r="K8" s="417">
        <f t="shared" si="1"/>
        <v>0.75</v>
      </c>
      <c r="L8" s="20">
        <v>45519</v>
      </c>
      <c r="M8" s="17" t="s">
        <v>76</v>
      </c>
      <c r="N8" s="12" t="s">
        <v>9</v>
      </c>
      <c r="O8" s="21"/>
    </row>
    <row r="9" spans="1:15" s="1" customFormat="1">
      <c r="A9" s="4">
        <f t="shared" si="0"/>
        <v>8</v>
      </c>
      <c r="B9" s="412" t="s">
        <v>56</v>
      </c>
      <c r="C9" s="4" t="s">
        <v>47</v>
      </c>
      <c r="D9" s="418" t="s">
        <v>58</v>
      </c>
      <c r="E9" s="4">
        <v>10</v>
      </c>
      <c r="F9" s="414">
        <v>20</v>
      </c>
      <c r="G9" s="419">
        <v>45519</v>
      </c>
      <c r="H9" s="420">
        <v>1</v>
      </c>
      <c r="I9" s="416">
        <v>0.41666666666666669</v>
      </c>
      <c r="J9" s="416">
        <v>0.5</v>
      </c>
      <c r="K9" s="417">
        <f t="shared" si="1"/>
        <v>1.9999999999999996</v>
      </c>
      <c r="L9" s="22">
        <v>45519</v>
      </c>
      <c r="M9" s="17" t="s">
        <v>76</v>
      </c>
      <c r="N9" s="12" t="s">
        <v>9</v>
      </c>
      <c r="O9" s="21"/>
    </row>
    <row r="10" spans="1:15" s="1" customFormat="1">
      <c r="A10" s="4">
        <f t="shared" si="0"/>
        <v>9</v>
      </c>
      <c r="B10" s="412" t="s">
        <v>57</v>
      </c>
      <c r="C10" s="4" t="s">
        <v>47</v>
      </c>
      <c r="D10" s="418" t="s">
        <v>58</v>
      </c>
      <c r="E10" s="4">
        <v>10</v>
      </c>
      <c r="F10" s="414">
        <v>20</v>
      </c>
      <c r="G10" s="419">
        <v>45519</v>
      </c>
      <c r="H10" s="420">
        <v>1</v>
      </c>
      <c r="I10" s="416">
        <v>0.41666666666666669</v>
      </c>
      <c r="J10" s="416">
        <v>0.5</v>
      </c>
      <c r="K10" s="417">
        <f t="shared" si="1"/>
        <v>1.9999999999999996</v>
      </c>
      <c r="L10" s="22">
        <v>45519</v>
      </c>
      <c r="M10" s="17" t="s">
        <v>76</v>
      </c>
      <c r="N10" s="12" t="s">
        <v>9</v>
      </c>
      <c r="O10" s="21"/>
    </row>
    <row r="11" spans="1:15" s="1" customFormat="1">
      <c r="A11" s="4">
        <f t="shared" si="0"/>
        <v>10</v>
      </c>
      <c r="B11" s="412" t="s">
        <v>25</v>
      </c>
      <c r="C11" s="4" t="s">
        <v>24</v>
      </c>
      <c r="D11" s="418" t="s">
        <v>58</v>
      </c>
      <c r="E11" s="4">
        <v>10</v>
      </c>
      <c r="F11" s="414">
        <v>40</v>
      </c>
      <c r="G11" s="419">
        <v>45519</v>
      </c>
      <c r="H11" s="420">
        <v>1</v>
      </c>
      <c r="I11" s="416">
        <v>0.41666666666666669</v>
      </c>
      <c r="J11" s="416">
        <v>0.5</v>
      </c>
      <c r="K11" s="417">
        <f t="shared" si="1"/>
        <v>1.9999999999999996</v>
      </c>
      <c r="L11" s="22">
        <v>45519</v>
      </c>
      <c r="M11" s="17" t="s">
        <v>76</v>
      </c>
      <c r="N11" s="12" t="s">
        <v>9</v>
      </c>
      <c r="O11" s="21"/>
    </row>
    <row r="12" spans="1:15" s="1" customFormat="1">
      <c r="A12" s="4">
        <f t="shared" si="0"/>
        <v>11</v>
      </c>
      <c r="B12" s="412" t="s">
        <v>26</v>
      </c>
      <c r="C12" s="4" t="s">
        <v>24</v>
      </c>
      <c r="D12" s="418" t="s">
        <v>58</v>
      </c>
      <c r="E12" s="4">
        <v>10</v>
      </c>
      <c r="F12" s="414">
        <v>20</v>
      </c>
      <c r="G12" s="419">
        <v>45519</v>
      </c>
      <c r="H12" s="420">
        <v>1</v>
      </c>
      <c r="I12" s="416">
        <v>0.41666666666666669</v>
      </c>
      <c r="J12" s="416">
        <v>0.5</v>
      </c>
      <c r="K12" s="417">
        <f t="shared" si="1"/>
        <v>1.9999999999999996</v>
      </c>
      <c r="L12" s="22">
        <v>45519</v>
      </c>
      <c r="M12" s="17" t="s">
        <v>76</v>
      </c>
      <c r="N12" s="12" t="s">
        <v>9</v>
      </c>
      <c r="O12" s="21"/>
    </row>
    <row r="13" spans="1:15" s="1" customFormat="1">
      <c r="A13" s="4">
        <f t="shared" si="0"/>
        <v>12</v>
      </c>
      <c r="B13" s="412" t="s">
        <v>45</v>
      </c>
      <c r="C13" s="4" t="s">
        <v>44</v>
      </c>
      <c r="D13" s="418" t="s">
        <v>59</v>
      </c>
      <c r="E13" s="4">
        <v>1</v>
      </c>
      <c r="F13" s="414">
        <v>1</v>
      </c>
      <c r="G13" s="419">
        <v>45519</v>
      </c>
      <c r="H13" s="420">
        <v>1</v>
      </c>
      <c r="I13" s="416">
        <v>0.41666666666666669</v>
      </c>
      <c r="J13" s="416">
        <v>0.43055555555555558</v>
      </c>
      <c r="K13" s="417">
        <f t="shared" si="1"/>
        <v>0.33333333333333348</v>
      </c>
      <c r="L13" s="22">
        <v>45519</v>
      </c>
      <c r="M13" s="17" t="s">
        <v>76</v>
      </c>
      <c r="N13" s="12" t="s">
        <v>79</v>
      </c>
      <c r="O13" s="21"/>
    </row>
    <row r="14" spans="1:15" s="1" customFormat="1">
      <c r="A14" s="4">
        <f t="shared" si="0"/>
        <v>13</v>
      </c>
      <c r="B14" s="412" t="s">
        <v>60</v>
      </c>
      <c r="C14" s="4" t="s">
        <v>61</v>
      </c>
      <c r="D14" s="418" t="s">
        <v>59</v>
      </c>
      <c r="E14" s="4">
        <v>1</v>
      </c>
      <c r="F14" s="414">
        <v>1</v>
      </c>
      <c r="G14" s="179">
        <v>45519</v>
      </c>
      <c r="H14" s="415">
        <v>1</v>
      </c>
      <c r="I14" s="416">
        <v>0.41666666666666669</v>
      </c>
      <c r="J14" s="416">
        <v>0.43055555555555558</v>
      </c>
      <c r="K14" s="417">
        <f t="shared" si="1"/>
        <v>0.33333333333333348</v>
      </c>
      <c r="L14" s="20">
        <v>45519</v>
      </c>
      <c r="M14" s="17" t="s">
        <v>76</v>
      </c>
      <c r="N14" s="12" t="s">
        <v>79</v>
      </c>
      <c r="O14" s="21"/>
    </row>
    <row r="15" spans="1:15" s="1" customFormat="1">
      <c r="A15" s="4">
        <f t="shared" si="0"/>
        <v>14</v>
      </c>
      <c r="B15" s="412" t="s">
        <v>43</v>
      </c>
      <c r="C15" s="4" t="s">
        <v>42</v>
      </c>
      <c r="D15" s="418" t="s">
        <v>62</v>
      </c>
      <c r="E15" s="4">
        <v>15</v>
      </c>
      <c r="F15" s="414">
        <v>30</v>
      </c>
      <c r="G15" s="179">
        <v>45519</v>
      </c>
      <c r="H15" s="415">
        <v>1</v>
      </c>
      <c r="I15" s="416">
        <v>0.41666666666666669</v>
      </c>
      <c r="J15" s="416">
        <v>0.44791666666666669</v>
      </c>
      <c r="K15" s="417">
        <f t="shared" si="1"/>
        <v>0.75</v>
      </c>
      <c r="L15" s="20">
        <v>45519</v>
      </c>
      <c r="M15" s="17" t="s">
        <v>76</v>
      </c>
      <c r="N15" s="12" t="s">
        <v>0</v>
      </c>
      <c r="O15" s="21"/>
    </row>
    <row r="16" spans="1:15" s="1" customFormat="1">
      <c r="A16" s="4">
        <f t="shared" si="0"/>
        <v>15</v>
      </c>
      <c r="B16" s="412" t="s">
        <v>35</v>
      </c>
      <c r="C16" s="4" t="s">
        <v>34</v>
      </c>
      <c r="D16" s="418" t="s">
        <v>63</v>
      </c>
      <c r="E16" s="4">
        <v>3</v>
      </c>
      <c r="F16" s="414">
        <v>3</v>
      </c>
      <c r="G16" s="179">
        <v>45523</v>
      </c>
      <c r="H16" s="415">
        <v>1</v>
      </c>
      <c r="I16" s="416">
        <v>0.58333333333333337</v>
      </c>
      <c r="J16" s="416">
        <v>0.60416666666666663</v>
      </c>
      <c r="K16" s="417">
        <f t="shared" si="1"/>
        <v>0.49999999999999822</v>
      </c>
      <c r="L16" s="20">
        <v>45523</v>
      </c>
      <c r="M16" s="17" t="s">
        <v>76</v>
      </c>
      <c r="N16" s="12" t="s">
        <v>79</v>
      </c>
      <c r="O16" s="21"/>
    </row>
    <row r="17" spans="1:15" s="1" customFormat="1">
      <c r="A17" s="4">
        <f t="shared" si="0"/>
        <v>16</v>
      </c>
      <c r="B17" s="412" t="s">
        <v>41</v>
      </c>
      <c r="C17" s="4" t="s">
        <v>40</v>
      </c>
      <c r="D17" s="418" t="s">
        <v>64</v>
      </c>
      <c r="E17" s="4">
        <v>2</v>
      </c>
      <c r="F17" s="414">
        <v>2</v>
      </c>
      <c r="G17" s="179">
        <v>45523</v>
      </c>
      <c r="H17" s="415">
        <v>1</v>
      </c>
      <c r="I17" s="416">
        <v>0.58333333333333337</v>
      </c>
      <c r="J17" s="416">
        <v>0.60416666666666663</v>
      </c>
      <c r="K17" s="417">
        <f t="shared" si="1"/>
        <v>0.49999999999999822</v>
      </c>
      <c r="L17" s="20">
        <v>45523</v>
      </c>
      <c r="M17" s="17" t="s">
        <v>76</v>
      </c>
      <c r="N17" s="12" t="s">
        <v>79</v>
      </c>
      <c r="O17" s="21"/>
    </row>
    <row r="18" spans="1:15" s="1" customFormat="1">
      <c r="A18" s="4">
        <f t="shared" si="0"/>
        <v>17</v>
      </c>
      <c r="B18" s="412" t="s">
        <v>65</v>
      </c>
      <c r="C18" s="4" t="s">
        <v>66</v>
      </c>
      <c r="D18" s="418" t="s">
        <v>67</v>
      </c>
      <c r="E18" s="4">
        <v>52</v>
      </c>
      <c r="F18" s="414">
        <v>52</v>
      </c>
      <c r="G18" s="179">
        <v>45527</v>
      </c>
      <c r="H18" s="415">
        <v>1</v>
      </c>
      <c r="I18" s="416">
        <v>0.45833333333333331</v>
      </c>
      <c r="J18" s="421">
        <v>0.5</v>
      </c>
      <c r="K18" s="417">
        <f>(J18-I18)*24*H18</f>
        <v>1.0000000000000004</v>
      </c>
      <c r="L18" s="20">
        <v>45527</v>
      </c>
      <c r="M18" s="17" t="s">
        <v>77</v>
      </c>
      <c r="N18" s="12" t="s">
        <v>6</v>
      </c>
      <c r="O18" s="21"/>
    </row>
    <row r="19" spans="1:15" s="1" customFormat="1">
      <c r="A19" s="4">
        <f t="shared" si="0"/>
        <v>18</v>
      </c>
      <c r="B19" s="412" t="s">
        <v>68</v>
      </c>
      <c r="C19" s="4" t="s">
        <v>69</v>
      </c>
      <c r="D19" s="418" t="s">
        <v>70</v>
      </c>
      <c r="E19" s="4">
        <v>6</v>
      </c>
      <c r="F19" s="414">
        <v>12</v>
      </c>
      <c r="G19" s="179">
        <v>45525</v>
      </c>
      <c r="H19" s="415">
        <v>1</v>
      </c>
      <c r="I19" s="416">
        <v>0.41666666666666669</v>
      </c>
      <c r="J19" s="416">
        <v>0.45833333333333331</v>
      </c>
      <c r="K19" s="417">
        <f t="shared" si="1"/>
        <v>0.99999999999999911</v>
      </c>
      <c r="L19" s="20">
        <v>45525</v>
      </c>
      <c r="M19" s="17" t="s">
        <v>77</v>
      </c>
      <c r="N19" s="12" t="s">
        <v>8</v>
      </c>
      <c r="O19" s="21"/>
    </row>
    <row r="20" spans="1:15" s="1" customFormat="1">
      <c r="A20" s="4">
        <f t="shared" si="0"/>
        <v>19</v>
      </c>
      <c r="B20" s="412" t="s">
        <v>71</v>
      </c>
      <c r="C20" s="4" t="s">
        <v>69</v>
      </c>
      <c r="D20" s="418" t="s">
        <v>70</v>
      </c>
      <c r="E20" s="4">
        <v>2</v>
      </c>
      <c r="F20" s="414">
        <v>4</v>
      </c>
      <c r="G20" s="179">
        <v>45525</v>
      </c>
      <c r="H20" s="415">
        <v>1</v>
      </c>
      <c r="I20" s="416">
        <v>0.41666666666666669</v>
      </c>
      <c r="J20" s="416">
        <v>0.4375</v>
      </c>
      <c r="K20" s="417">
        <f t="shared" si="1"/>
        <v>0.49999999999999956</v>
      </c>
      <c r="L20" s="20">
        <v>45525</v>
      </c>
      <c r="M20" s="17" t="s">
        <v>77</v>
      </c>
      <c r="N20" s="12" t="s">
        <v>8</v>
      </c>
      <c r="O20" s="21"/>
    </row>
    <row r="21" spans="1:15" s="1" customFormat="1">
      <c r="A21" s="4">
        <f t="shared" si="0"/>
        <v>20</v>
      </c>
      <c r="B21" s="412" t="s">
        <v>72</v>
      </c>
      <c r="C21" s="4" t="s">
        <v>69</v>
      </c>
      <c r="D21" s="418" t="s">
        <v>70</v>
      </c>
      <c r="E21" s="4">
        <v>23</v>
      </c>
      <c r="F21" s="414">
        <v>46</v>
      </c>
      <c r="G21" s="179">
        <v>45525</v>
      </c>
      <c r="H21" s="415">
        <v>1</v>
      </c>
      <c r="I21" s="416">
        <v>0.41666666666666669</v>
      </c>
      <c r="J21" s="416">
        <v>0.5</v>
      </c>
      <c r="K21" s="417">
        <f t="shared" si="1"/>
        <v>1.9999999999999996</v>
      </c>
      <c r="L21" s="20">
        <v>45525</v>
      </c>
      <c r="M21" s="17" t="s">
        <v>77</v>
      </c>
      <c r="N21" s="12" t="s">
        <v>8</v>
      </c>
      <c r="O21" s="21"/>
    </row>
    <row r="22" spans="1:15" s="1" customFormat="1">
      <c r="A22" s="4">
        <f t="shared" si="0"/>
        <v>21</v>
      </c>
      <c r="B22" s="412" t="s">
        <v>73</v>
      </c>
      <c r="C22" s="4" t="s">
        <v>51</v>
      </c>
      <c r="D22" s="418" t="s">
        <v>74</v>
      </c>
      <c r="E22" s="4">
        <v>5</v>
      </c>
      <c r="F22" s="414">
        <v>5</v>
      </c>
      <c r="G22" s="179">
        <v>45525</v>
      </c>
      <c r="H22" s="415">
        <v>1</v>
      </c>
      <c r="I22" s="416">
        <v>0.41666666666666669</v>
      </c>
      <c r="J22" s="416">
        <v>0.43055555555555558</v>
      </c>
      <c r="K22" s="417">
        <f t="shared" si="1"/>
        <v>0.33333333333333348</v>
      </c>
      <c r="L22" s="20">
        <v>45525</v>
      </c>
      <c r="M22" s="17" t="s">
        <v>77</v>
      </c>
      <c r="N22" s="12" t="s">
        <v>7</v>
      </c>
      <c r="O22" s="21"/>
    </row>
    <row r="23" spans="1:15" s="1" customFormat="1">
      <c r="A23" s="4">
        <f t="shared" si="0"/>
        <v>22</v>
      </c>
      <c r="B23" s="412" t="s">
        <v>33</v>
      </c>
      <c r="C23" s="4" t="s">
        <v>5</v>
      </c>
      <c r="D23" s="418" t="s">
        <v>67</v>
      </c>
      <c r="E23" s="4">
        <v>2</v>
      </c>
      <c r="F23" s="414">
        <v>2</v>
      </c>
      <c r="G23" s="179">
        <v>45525</v>
      </c>
      <c r="H23" s="415">
        <v>1</v>
      </c>
      <c r="I23" s="416">
        <v>0.41666666666666669</v>
      </c>
      <c r="J23" s="416">
        <v>0.4375</v>
      </c>
      <c r="K23" s="417">
        <f t="shared" si="1"/>
        <v>0.49999999999999956</v>
      </c>
      <c r="L23" s="20">
        <v>45525</v>
      </c>
      <c r="M23" s="17" t="s">
        <v>77</v>
      </c>
      <c r="N23" s="12" t="s">
        <v>8</v>
      </c>
      <c r="O23" s="21"/>
    </row>
    <row r="24" spans="1:15" s="1" customFormat="1">
      <c r="A24" s="4">
        <f t="shared" si="0"/>
        <v>23</v>
      </c>
      <c r="B24" s="412" t="s">
        <v>38</v>
      </c>
      <c r="C24" s="4" t="s">
        <v>37</v>
      </c>
      <c r="D24" s="418" t="s">
        <v>75</v>
      </c>
      <c r="E24" s="4">
        <v>2</v>
      </c>
      <c r="F24" s="414">
        <v>2</v>
      </c>
      <c r="G24" s="179">
        <v>45525</v>
      </c>
      <c r="H24" s="415">
        <v>1</v>
      </c>
      <c r="I24" s="416">
        <v>0.41666666666666669</v>
      </c>
      <c r="J24" s="416">
        <v>0.4375</v>
      </c>
      <c r="K24" s="417">
        <f t="shared" si="1"/>
        <v>0.49999999999999956</v>
      </c>
      <c r="L24" s="20">
        <v>45525</v>
      </c>
      <c r="M24" s="17" t="s">
        <v>77</v>
      </c>
      <c r="N24" s="12" t="s">
        <v>8</v>
      </c>
      <c r="O24" s="21"/>
    </row>
    <row r="25" spans="1:15" s="1" customFormat="1">
      <c r="A25" s="4">
        <f t="shared" si="0"/>
        <v>24</v>
      </c>
      <c r="B25" s="412" t="s">
        <v>35</v>
      </c>
      <c r="C25" s="4" t="s">
        <v>34</v>
      </c>
      <c r="D25" s="418" t="s">
        <v>67</v>
      </c>
      <c r="E25" s="4">
        <v>3</v>
      </c>
      <c r="F25" s="414">
        <v>3</v>
      </c>
      <c r="G25" s="179">
        <v>45525</v>
      </c>
      <c r="H25" s="415">
        <v>1</v>
      </c>
      <c r="I25" s="416">
        <v>0.41666666666666669</v>
      </c>
      <c r="J25" s="416">
        <v>0.4375</v>
      </c>
      <c r="K25" s="417">
        <f t="shared" si="1"/>
        <v>0.49999999999999956</v>
      </c>
      <c r="L25" s="20">
        <v>45525</v>
      </c>
      <c r="M25" s="17" t="s">
        <v>77</v>
      </c>
      <c r="N25" s="12" t="s">
        <v>79</v>
      </c>
      <c r="O25" s="21"/>
    </row>
    <row r="26" spans="1:15" s="1" customFormat="1">
      <c r="A26" s="4">
        <f t="shared" si="0"/>
        <v>25</v>
      </c>
      <c r="B26" s="412" t="s">
        <v>35</v>
      </c>
      <c r="C26" s="4" t="s">
        <v>34</v>
      </c>
      <c r="D26" s="418" t="s">
        <v>78</v>
      </c>
      <c r="E26" s="4">
        <v>1</v>
      </c>
      <c r="F26" s="414">
        <v>1</v>
      </c>
      <c r="G26" s="179">
        <v>45525</v>
      </c>
      <c r="H26" s="415">
        <v>1</v>
      </c>
      <c r="I26" s="416">
        <v>0.41666666666666669</v>
      </c>
      <c r="J26" s="416">
        <v>0.43055555555555558</v>
      </c>
      <c r="K26" s="417">
        <f t="shared" si="1"/>
        <v>0.33333333333333348</v>
      </c>
      <c r="L26" s="20">
        <v>45525</v>
      </c>
      <c r="M26" s="17" t="s">
        <v>77</v>
      </c>
      <c r="N26" s="12" t="s">
        <v>79</v>
      </c>
      <c r="O26" s="21"/>
    </row>
    <row r="27" spans="1:15" s="1" customFormat="1">
      <c r="A27" s="4">
        <f t="shared" si="0"/>
        <v>26</v>
      </c>
      <c r="B27" s="422" t="s">
        <v>23</v>
      </c>
      <c r="C27" s="8" t="s">
        <v>81</v>
      </c>
      <c r="D27" s="413" t="s">
        <v>82</v>
      </c>
      <c r="E27" s="4">
        <v>1</v>
      </c>
      <c r="F27" s="414">
        <v>1</v>
      </c>
      <c r="G27" s="179">
        <v>45528</v>
      </c>
      <c r="H27" s="415">
        <v>1</v>
      </c>
      <c r="I27" s="416">
        <v>0.44097222222222227</v>
      </c>
      <c r="J27" s="416">
        <v>0.4513888888888889</v>
      </c>
      <c r="K27" s="417">
        <f t="shared" si="1"/>
        <v>0.24999999999999911</v>
      </c>
      <c r="L27" s="20">
        <v>45528</v>
      </c>
      <c r="M27" s="17" t="s">
        <v>77</v>
      </c>
      <c r="N27" s="19" t="s">
        <v>83</v>
      </c>
      <c r="O27" s="18"/>
    </row>
    <row r="28" spans="1:15" s="1" customFormat="1">
      <c r="A28" s="4">
        <f t="shared" si="0"/>
        <v>27</v>
      </c>
      <c r="B28" s="423" t="s">
        <v>84</v>
      </c>
      <c r="C28" s="7" t="s">
        <v>85</v>
      </c>
      <c r="D28" s="424" t="s">
        <v>87</v>
      </c>
      <c r="E28" s="7">
        <v>40</v>
      </c>
      <c r="F28" s="425">
        <v>40</v>
      </c>
      <c r="G28" s="426">
        <v>45528</v>
      </c>
      <c r="H28" s="427">
        <v>2</v>
      </c>
      <c r="I28" s="428">
        <v>0.375</v>
      </c>
      <c r="J28" s="428">
        <v>0.79166666666666663</v>
      </c>
      <c r="K28" s="417">
        <f t="shared" si="1"/>
        <v>20</v>
      </c>
      <c r="L28" s="11">
        <v>45528</v>
      </c>
      <c r="M28" s="16" t="s">
        <v>77</v>
      </c>
      <c r="N28" s="6" t="s">
        <v>7</v>
      </c>
      <c r="O28" s="2"/>
    </row>
    <row r="29" spans="1:15" s="1" customFormat="1">
      <c r="A29" s="4">
        <f t="shared" si="0"/>
        <v>28</v>
      </c>
      <c r="B29" s="423" t="s">
        <v>84</v>
      </c>
      <c r="C29" s="7" t="s">
        <v>86</v>
      </c>
      <c r="D29" s="424" t="s">
        <v>87</v>
      </c>
      <c r="E29" s="7">
        <v>40</v>
      </c>
      <c r="F29" s="425">
        <v>40</v>
      </c>
      <c r="G29" s="426">
        <v>45528</v>
      </c>
      <c r="H29" s="427">
        <v>2</v>
      </c>
      <c r="I29" s="428">
        <v>0.375</v>
      </c>
      <c r="J29" s="428">
        <v>0.79166666666666663</v>
      </c>
      <c r="K29" s="417">
        <f t="shared" si="1"/>
        <v>20</v>
      </c>
      <c r="L29" s="11">
        <v>45528</v>
      </c>
      <c r="M29" s="16" t="s">
        <v>77</v>
      </c>
      <c r="N29" s="6" t="s">
        <v>7</v>
      </c>
      <c r="O29" s="2"/>
    </row>
    <row r="30" spans="1:15" s="1" customFormat="1">
      <c r="A30" s="4">
        <f t="shared" si="0"/>
        <v>29</v>
      </c>
      <c r="B30" s="412" t="s">
        <v>88</v>
      </c>
      <c r="C30" s="4" t="s">
        <v>29</v>
      </c>
      <c r="D30" s="418" t="s">
        <v>89</v>
      </c>
      <c r="E30" s="4">
        <v>1</v>
      </c>
      <c r="F30" s="414">
        <v>1</v>
      </c>
      <c r="G30" s="179">
        <v>45528</v>
      </c>
      <c r="H30" s="415">
        <v>1</v>
      </c>
      <c r="I30" s="416">
        <v>0.625</v>
      </c>
      <c r="J30" s="416">
        <v>0.63541666666666663</v>
      </c>
      <c r="K30" s="417">
        <f t="shared" si="1"/>
        <v>0.24999999999999911</v>
      </c>
      <c r="L30" s="9">
        <v>45528</v>
      </c>
      <c r="M30" s="17" t="s">
        <v>77</v>
      </c>
      <c r="N30" s="3" t="s">
        <v>11</v>
      </c>
      <c r="O30" s="2"/>
    </row>
    <row r="31" spans="1:15" s="1" customFormat="1">
      <c r="A31" s="4">
        <f t="shared" si="0"/>
        <v>30</v>
      </c>
      <c r="B31" s="423" t="s">
        <v>84</v>
      </c>
      <c r="C31" s="14" t="s">
        <v>90</v>
      </c>
      <c r="D31" s="429" t="s">
        <v>91</v>
      </c>
      <c r="E31" s="7">
        <v>65</v>
      </c>
      <c r="F31" s="425">
        <v>65</v>
      </c>
      <c r="G31" s="426">
        <v>45528</v>
      </c>
      <c r="H31" s="427">
        <v>1</v>
      </c>
      <c r="I31" s="428">
        <v>0.54166666666666663</v>
      </c>
      <c r="J31" s="428">
        <v>0.64583333333333337</v>
      </c>
      <c r="K31" s="417">
        <f t="shared" si="1"/>
        <v>2.5000000000000018</v>
      </c>
      <c r="L31" s="11">
        <v>45528</v>
      </c>
      <c r="M31" s="16" t="s">
        <v>77</v>
      </c>
      <c r="N31" s="6" t="s">
        <v>7</v>
      </c>
      <c r="O31" s="2"/>
    </row>
    <row r="32" spans="1:15" s="1" customFormat="1">
      <c r="A32" s="4">
        <f t="shared" si="0"/>
        <v>31</v>
      </c>
      <c r="B32" s="423" t="s">
        <v>84</v>
      </c>
      <c r="C32" s="14" t="s">
        <v>92</v>
      </c>
      <c r="D32" s="429" t="s">
        <v>93</v>
      </c>
      <c r="E32" s="7">
        <v>70</v>
      </c>
      <c r="F32" s="425">
        <v>70</v>
      </c>
      <c r="G32" s="426">
        <v>45528</v>
      </c>
      <c r="H32" s="427">
        <v>1</v>
      </c>
      <c r="I32" s="428">
        <v>0.54166666666666663</v>
      </c>
      <c r="J32" s="428">
        <v>0.64583333333333337</v>
      </c>
      <c r="K32" s="417">
        <f t="shared" si="1"/>
        <v>2.5000000000000018</v>
      </c>
      <c r="L32" s="11">
        <v>45528</v>
      </c>
      <c r="M32" s="16" t="s">
        <v>77</v>
      </c>
      <c r="N32" s="6" t="s">
        <v>7</v>
      </c>
      <c r="O32" s="2"/>
    </row>
    <row r="33" spans="1:15" s="1" customFormat="1">
      <c r="A33" s="4">
        <f t="shared" si="0"/>
        <v>32</v>
      </c>
      <c r="B33" s="430" t="s">
        <v>94</v>
      </c>
      <c r="C33" s="14" t="s">
        <v>95</v>
      </c>
      <c r="D33" s="429" t="s">
        <v>96</v>
      </c>
      <c r="E33" s="7">
        <v>68</v>
      </c>
      <c r="F33" s="425">
        <v>68</v>
      </c>
      <c r="G33" s="426">
        <v>45528</v>
      </c>
      <c r="H33" s="427">
        <v>1</v>
      </c>
      <c r="I33" s="428">
        <v>0.54166666666666663</v>
      </c>
      <c r="J33" s="428">
        <v>0.72916666666666663</v>
      </c>
      <c r="K33" s="417">
        <f t="shared" si="1"/>
        <v>4.5</v>
      </c>
      <c r="L33" s="11">
        <v>45528</v>
      </c>
      <c r="M33" s="7" t="s">
        <v>77</v>
      </c>
      <c r="N33" s="15" t="s">
        <v>97</v>
      </c>
      <c r="O33" s="5" t="s">
        <v>98</v>
      </c>
    </row>
    <row r="34" spans="1:15" s="1" customFormat="1">
      <c r="A34" s="4">
        <f t="shared" si="0"/>
        <v>33</v>
      </c>
      <c r="B34" s="430" t="s">
        <v>100</v>
      </c>
      <c r="C34" s="14" t="s">
        <v>99</v>
      </c>
      <c r="D34" s="429" t="s">
        <v>96</v>
      </c>
      <c r="E34" s="7">
        <v>1</v>
      </c>
      <c r="F34" s="425">
        <v>1</v>
      </c>
      <c r="G34" s="426">
        <v>45530</v>
      </c>
      <c r="H34" s="427">
        <v>1</v>
      </c>
      <c r="I34" s="428">
        <v>0.625</v>
      </c>
      <c r="J34" s="428">
        <v>0.6875</v>
      </c>
      <c r="K34" s="417">
        <f t="shared" si="1"/>
        <v>1.5</v>
      </c>
      <c r="L34" s="11">
        <v>45530</v>
      </c>
      <c r="M34" s="7" t="s">
        <v>77</v>
      </c>
      <c r="N34" s="6" t="s">
        <v>8</v>
      </c>
      <c r="O34" s="5" t="s">
        <v>98</v>
      </c>
    </row>
    <row r="35" spans="1:15" s="1" customFormat="1">
      <c r="A35" s="4">
        <f t="shared" ref="A35:A66" si="2">ROW()-1</f>
        <v>34</v>
      </c>
      <c r="B35" s="422" t="s">
        <v>102</v>
      </c>
      <c r="C35" s="8" t="s">
        <v>101</v>
      </c>
      <c r="D35" s="413" t="s">
        <v>103</v>
      </c>
      <c r="E35" s="4">
        <v>3</v>
      </c>
      <c r="F35" s="414">
        <v>6</v>
      </c>
      <c r="G35" s="179">
        <v>45530</v>
      </c>
      <c r="H35" s="415">
        <v>1</v>
      </c>
      <c r="I35" s="416">
        <v>0.58333333333333337</v>
      </c>
      <c r="J35" s="416">
        <v>0.61458333333333337</v>
      </c>
      <c r="K35" s="417">
        <f t="shared" si="1"/>
        <v>0.75</v>
      </c>
      <c r="L35" s="9">
        <v>45530</v>
      </c>
      <c r="M35" s="8" t="s">
        <v>104</v>
      </c>
      <c r="N35" s="3" t="s">
        <v>8</v>
      </c>
      <c r="O35" s="2"/>
    </row>
    <row r="36" spans="1:15" s="1" customFormat="1">
      <c r="A36" s="4">
        <f t="shared" si="2"/>
        <v>35</v>
      </c>
      <c r="B36" s="422" t="s">
        <v>2</v>
      </c>
      <c r="C36" s="8" t="s">
        <v>105</v>
      </c>
      <c r="D36" s="413" t="s">
        <v>106</v>
      </c>
      <c r="E36" s="4">
        <v>1</v>
      </c>
      <c r="F36" s="414">
        <v>2</v>
      </c>
      <c r="G36" s="179">
        <v>45530</v>
      </c>
      <c r="H36" s="415">
        <v>1</v>
      </c>
      <c r="I36" s="416">
        <v>0.58333333333333337</v>
      </c>
      <c r="J36" s="416">
        <v>0.60416666666666663</v>
      </c>
      <c r="K36" s="417">
        <f t="shared" si="1"/>
        <v>0.49999999999999822</v>
      </c>
      <c r="L36" s="9">
        <v>45530</v>
      </c>
      <c r="M36" s="8" t="s">
        <v>104</v>
      </c>
      <c r="N36" s="3" t="s">
        <v>8</v>
      </c>
      <c r="O36" s="2"/>
    </row>
    <row r="37" spans="1:15" s="1" customFormat="1">
      <c r="A37" s="4">
        <f t="shared" si="2"/>
        <v>36</v>
      </c>
      <c r="B37" s="422" t="s">
        <v>36</v>
      </c>
      <c r="C37" s="8" t="s">
        <v>50</v>
      </c>
      <c r="D37" s="413" t="s">
        <v>107</v>
      </c>
      <c r="E37" s="4">
        <v>1</v>
      </c>
      <c r="F37" s="414">
        <v>1</v>
      </c>
      <c r="G37" s="179">
        <v>45530</v>
      </c>
      <c r="H37" s="415">
        <v>1</v>
      </c>
      <c r="I37" s="416">
        <v>0.58333333333333337</v>
      </c>
      <c r="J37" s="416">
        <v>0.60416666666666663</v>
      </c>
      <c r="K37" s="417">
        <f t="shared" si="1"/>
        <v>0.49999999999999822</v>
      </c>
      <c r="L37" s="9">
        <v>45530</v>
      </c>
      <c r="M37" s="8" t="s">
        <v>104</v>
      </c>
      <c r="N37" s="3" t="s">
        <v>8</v>
      </c>
      <c r="O37" s="2"/>
    </row>
    <row r="38" spans="1:15" s="1" customFormat="1">
      <c r="A38" s="4">
        <f t="shared" si="2"/>
        <v>37</v>
      </c>
      <c r="B38" s="422" t="s">
        <v>39</v>
      </c>
      <c r="C38" s="8" t="s">
        <v>108</v>
      </c>
      <c r="D38" s="418" t="s">
        <v>107</v>
      </c>
      <c r="E38" s="4">
        <v>3</v>
      </c>
      <c r="F38" s="414">
        <v>3</v>
      </c>
      <c r="G38" s="179">
        <v>45530</v>
      </c>
      <c r="H38" s="415">
        <v>1</v>
      </c>
      <c r="I38" s="416">
        <v>0.58333333333333337</v>
      </c>
      <c r="J38" s="416">
        <v>0.61458333333333337</v>
      </c>
      <c r="K38" s="417">
        <f t="shared" si="1"/>
        <v>0.75</v>
      </c>
      <c r="L38" s="9">
        <v>45530</v>
      </c>
      <c r="M38" s="8" t="s">
        <v>104</v>
      </c>
      <c r="N38" s="3" t="s">
        <v>8</v>
      </c>
      <c r="O38" s="2"/>
    </row>
    <row r="39" spans="1:15" s="1" customFormat="1">
      <c r="A39" s="4">
        <f t="shared" si="2"/>
        <v>38</v>
      </c>
      <c r="B39" s="412" t="s">
        <v>109</v>
      </c>
      <c r="C39" s="4" t="s">
        <v>110</v>
      </c>
      <c r="D39" s="418" t="s">
        <v>107</v>
      </c>
      <c r="E39" s="4">
        <v>1</v>
      </c>
      <c r="F39" s="414">
        <v>1</v>
      </c>
      <c r="G39" s="179">
        <v>45530</v>
      </c>
      <c r="H39" s="415">
        <v>1</v>
      </c>
      <c r="I39" s="416">
        <v>0.58333333333333337</v>
      </c>
      <c r="J39" s="416">
        <v>0.60416666666666663</v>
      </c>
      <c r="K39" s="417">
        <f t="shared" si="1"/>
        <v>0.49999999999999822</v>
      </c>
      <c r="L39" s="9">
        <v>45530</v>
      </c>
      <c r="M39" s="8" t="s">
        <v>104</v>
      </c>
      <c r="N39" s="3" t="s">
        <v>8</v>
      </c>
      <c r="O39" s="2"/>
    </row>
    <row r="40" spans="1:15" s="1" customFormat="1">
      <c r="A40" s="4">
        <f t="shared" si="2"/>
        <v>39</v>
      </c>
      <c r="B40" s="422" t="s">
        <v>18</v>
      </c>
      <c r="C40" s="8" t="s">
        <v>17</v>
      </c>
      <c r="D40" s="413" t="s">
        <v>111</v>
      </c>
      <c r="E40" s="4">
        <v>1</v>
      </c>
      <c r="F40" s="414">
        <v>2</v>
      </c>
      <c r="G40" s="179">
        <v>45530</v>
      </c>
      <c r="H40" s="415">
        <v>1</v>
      </c>
      <c r="I40" s="416">
        <v>0.64583333333333337</v>
      </c>
      <c r="J40" s="416">
        <v>0.66666666666666663</v>
      </c>
      <c r="K40" s="417">
        <f t="shared" si="1"/>
        <v>0.49999999999999822</v>
      </c>
      <c r="L40" s="9">
        <v>45530</v>
      </c>
      <c r="M40" s="8" t="s">
        <v>104</v>
      </c>
      <c r="N40" s="10" t="s">
        <v>112</v>
      </c>
      <c r="O40" s="2"/>
    </row>
    <row r="41" spans="1:15" s="1" customFormat="1">
      <c r="A41" s="4">
        <f t="shared" si="2"/>
        <v>40</v>
      </c>
      <c r="B41" s="422" t="s">
        <v>18</v>
      </c>
      <c r="C41" s="8" t="s">
        <v>17</v>
      </c>
      <c r="D41" s="413" t="s">
        <v>113</v>
      </c>
      <c r="E41" s="4">
        <v>1</v>
      </c>
      <c r="F41" s="414">
        <v>1</v>
      </c>
      <c r="G41" s="179">
        <v>45530</v>
      </c>
      <c r="H41" s="415">
        <v>1</v>
      </c>
      <c r="I41" s="416">
        <v>0.64583333333333337</v>
      </c>
      <c r="J41" s="416">
        <v>0.66666666666666663</v>
      </c>
      <c r="K41" s="417">
        <f t="shared" si="1"/>
        <v>0.49999999999999822</v>
      </c>
      <c r="L41" s="9">
        <v>45530</v>
      </c>
      <c r="M41" s="8" t="s">
        <v>104</v>
      </c>
      <c r="N41" s="10" t="s">
        <v>112</v>
      </c>
      <c r="O41" s="2"/>
    </row>
    <row r="42" spans="1:15" s="1" customFormat="1">
      <c r="A42" s="4">
        <f t="shared" si="2"/>
        <v>41</v>
      </c>
      <c r="B42" s="412" t="s">
        <v>1</v>
      </c>
      <c r="C42" s="4" t="s">
        <v>114</v>
      </c>
      <c r="D42" s="418" t="s">
        <v>96</v>
      </c>
      <c r="E42" s="4">
        <v>2</v>
      </c>
      <c r="F42" s="414">
        <v>2</v>
      </c>
      <c r="G42" s="179">
        <v>45531</v>
      </c>
      <c r="H42" s="415">
        <v>1</v>
      </c>
      <c r="I42" s="416">
        <v>0.60416666666666663</v>
      </c>
      <c r="J42" s="416">
        <v>0.63194444444444442</v>
      </c>
      <c r="K42" s="417">
        <f t="shared" si="1"/>
        <v>0.66666666666666696</v>
      </c>
      <c r="L42" s="9">
        <v>45531</v>
      </c>
      <c r="M42" s="8" t="s">
        <v>104</v>
      </c>
      <c r="N42" s="3" t="s">
        <v>11</v>
      </c>
      <c r="O42" s="2"/>
    </row>
    <row r="43" spans="1:15" s="1" customFormat="1">
      <c r="A43" s="4">
        <f t="shared" si="2"/>
        <v>42</v>
      </c>
      <c r="B43" s="423"/>
      <c r="C43" s="7" t="s">
        <v>117</v>
      </c>
      <c r="D43" s="424" t="s">
        <v>115</v>
      </c>
      <c r="E43" s="7"/>
      <c r="F43" s="425">
        <v>1</v>
      </c>
      <c r="G43" s="426">
        <v>45531</v>
      </c>
      <c r="H43" s="427">
        <v>1</v>
      </c>
      <c r="I43" s="428">
        <v>0.375</v>
      </c>
      <c r="J43" s="428">
        <v>0.47916666666666669</v>
      </c>
      <c r="K43" s="417">
        <f t="shared" si="1"/>
        <v>2.5000000000000004</v>
      </c>
      <c r="L43" s="11">
        <v>45531</v>
      </c>
      <c r="M43" s="14" t="s">
        <v>104</v>
      </c>
      <c r="N43" s="6" t="s">
        <v>11</v>
      </c>
      <c r="O43" s="13" t="s">
        <v>116</v>
      </c>
    </row>
    <row r="44" spans="1:15" s="1" customFormat="1">
      <c r="A44" s="4">
        <f t="shared" si="2"/>
        <v>43</v>
      </c>
      <c r="B44" s="412" t="s">
        <v>46</v>
      </c>
      <c r="C44" s="4" t="s">
        <v>30</v>
      </c>
      <c r="D44" s="418" t="s">
        <v>118</v>
      </c>
      <c r="E44" s="4">
        <v>1</v>
      </c>
      <c r="F44" s="414">
        <v>1</v>
      </c>
      <c r="G44" s="179">
        <v>45531</v>
      </c>
      <c r="H44" s="415">
        <v>1</v>
      </c>
      <c r="I44" s="416">
        <v>0.25</v>
      </c>
      <c r="J44" s="416">
        <v>0.27083333333333331</v>
      </c>
      <c r="K44" s="417">
        <f t="shared" si="1"/>
        <v>0.49999999999999956</v>
      </c>
      <c r="L44" s="9">
        <v>45531</v>
      </c>
      <c r="M44" s="8" t="s">
        <v>104</v>
      </c>
      <c r="N44" s="3" t="s">
        <v>7</v>
      </c>
      <c r="O44" s="2"/>
    </row>
    <row r="45" spans="1:15" s="1" customFormat="1">
      <c r="A45" s="4">
        <f t="shared" si="2"/>
        <v>44</v>
      </c>
      <c r="B45" s="412" t="s">
        <v>46</v>
      </c>
      <c r="C45" s="4" t="s">
        <v>30</v>
      </c>
      <c r="D45" s="418" t="s">
        <v>119</v>
      </c>
      <c r="E45" s="4">
        <v>1</v>
      </c>
      <c r="F45" s="414">
        <v>1</v>
      </c>
      <c r="G45" s="179">
        <v>45531</v>
      </c>
      <c r="H45" s="415">
        <v>1</v>
      </c>
      <c r="I45" s="416">
        <v>0.25</v>
      </c>
      <c r="J45" s="416">
        <v>0.27083333333333331</v>
      </c>
      <c r="K45" s="417">
        <f t="shared" si="1"/>
        <v>0.49999999999999956</v>
      </c>
      <c r="L45" s="9">
        <v>45531</v>
      </c>
      <c r="M45" s="8" t="s">
        <v>104</v>
      </c>
      <c r="N45" s="3" t="s">
        <v>7</v>
      </c>
      <c r="O45" s="2"/>
    </row>
    <row r="46" spans="1:15" s="1" customFormat="1">
      <c r="A46" s="4">
        <f t="shared" si="2"/>
        <v>45</v>
      </c>
      <c r="B46" s="412" t="s">
        <v>46</v>
      </c>
      <c r="C46" s="4" t="s">
        <v>30</v>
      </c>
      <c r="D46" s="418" t="s">
        <v>89</v>
      </c>
      <c r="E46" s="4">
        <v>1</v>
      </c>
      <c r="F46" s="414">
        <v>1</v>
      </c>
      <c r="G46" s="179">
        <v>45531</v>
      </c>
      <c r="H46" s="415">
        <v>1</v>
      </c>
      <c r="I46" s="416">
        <v>0.25</v>
      </c>
      <c r="J46" s="416">
        <v>0.27083333333333331</v>
      </c>
      <c r="K46" s="417">
        <f t="shared" si="1"/>
        <v>0.49999999999999956</v>
      </c>
      <c r="L46" s="9">
        <v>45531</v>
      </c>
      <c r="M46" s="8" t="s">
        <v>104</v>
      </c>
      <c r="N46" s="3" t="s">
        <v>7</v>
      </c>
      <c r="O46" s="2"/>
    </row>
    <row r="47" spans="1:15" s="1" customFormat="1">
      <c r="A47" s="431">
        <f t="shared" si="2"/>
        <v>46</v>
      </c>
      <c r="B47" s="423" t="s">
        <v>121</v>
      </c>
      <c r="C47" s="7" t="s">
        <v>120</v>
      </c>
      <c r="D47" s="424" t="s">
        <v>122</v>
      </c>
      <c r="E47" s="7">
        <v>1</v>
      </c>
      <c r="F47" s="425">
        <v>1</v>
      </c>
      <c r="G47" s="426">
        <v>45531</v>
      </c>
      <c r="H47" s="427">
        <v>1</v>
      </c>
      <c r="I47" s="428">
        <v>0.625</v>
      </c>
      <c r="J47" s="428">
        <v>0.66666666666666663</v>
      </c>
      <c r="K47" s="417">
        <f t="shared" si="1"/>
        <v>0.99999999999999911</v>
      </c>
      <c r="L47" s="11">
        <v>45531</v>
      </c>
      <c r="M47" s="14" t="s">
        <v>104</v>
      </c>
      <c r="N47" s="6" t="s">
        <v>123</v>
      </c>
      <c r="O47" s="13" t="s">
        <v>124</v>
      </c>
    </row>
    <row r="48" spans="1:15" s="1" customFormat="1">
      <c r="A48" s="4">
        <f t="shared" si="2"/>
        <v>47</v>
      </c>
      <c r="B48" s="412" t="s">
        <v>125</v>
      </c>
      <c r="C48" s="4" t="s">
        <v>126</v>
      </c>
      <c r="D48" s="418" t="s">
        <v>107</v>
      </c>
      <c r="E48" s="4">
        <v>1</v>
      </c>
      <c r="F48" s="414">
        <v>1</v>
      </c>
      <c r="G48" s="179">
        <v>45532</v>
      </c>
      <c r="H48" s="415">
        <v>1</v>
      </c>
      <c r="I48" s="416">
        <v>0.41666666666666669</v>
      </c>
      <c r="J48" s="416">
        <v>0.4375</v>
      </c>
      <c r="K48" s="417">
        <f t="shared" si="1"/>
        <v>0.49999999999999956</v>
      </c>
      <c r="L48" s="9">
        <v>45532</v>
      </c>
      <c r="M48" s="8" t="s">
        <v>104</v>
      </c>
      <c r="N48" s="3" t="s">
        <v>9</v>
      </c>
      <c r="O48" s="2"/>
    </row>
    <row r="49" spans="1:15" s="1" customFormat="1">
      <c r="A49" s="4">
        <f t="shared" si="2"/>
        <v>48</v>
      </c>
      <c r="B49" s="412" t="s">
        <v>4</v>
      </c>
      <c r="C49" s="4" t="s">
        <v>127</v>
      </c>
      <c r="D49" s="418" t="s">
        <v>128</v>
      </c>
      <c r="E49" s="4">
        <v>4</v>
      </c>
      <c r="F49" s="414">
        <v>4</v>
      </c>
      <c r="G49" s="179">
        <v>45532</v>
      </c>
      <c r="H49" s="415">
        <v>1</v>
      </c>
      <c r="I49" s="416">
        <v>0.41666666666666669</v>
      </c>
      <c r="J49" s="416">
        <v>0.44791666666666669</v>
      </c>
      <c r="K49" s="417">
        <f t="shared" si="1"/>
        <v>0.75</v>
      </c>
      <c r="L49" s="9">
        <v>45532</v>
      </c>
      <c r="M49" s="8" t="s">
        <v>104</v>
      </c>
      <c r="N49" s="12" t="s">
        <v>79</v>
      </c>
      <c r="O49" s="2"/>
    </row>
    <row r="50" spans="1:15" s="1" customFormat="1">
      <c r="A50" s="4">
        <f t="shared" si="2"/>
        <v>49</v>
      </c>
      <c r="B50" s="412" t="s">
        <v>3</v>
      </c>
      <c r="C50" s="4" t="s">
        <v>129</v>
      </c>
      <c r="D50" s="418" t="s">
        <v>128</v>
      </c>
      <c r="E50" s="4">
        <v>2</v>
      </c>
      <c r="F50" s="414">
        <v>8</v>
      </c>
      <c r="G50" s="179">
        <v>45532</v>
      </c>
      <c r="H50" s="415">
        <v>1</v>
      </c>
      <c r="I50" s="416">
        <v>0.41666666666666669</v>
      </c>
      <c r="J50" s="416">
        <v>0.45833333333333331</v>
      </c>
      <c r="K50" s="417">
        <f t="shared" si="1"/>
        <v>0.99999999999999911</v>
      </c>
      <c r="L50" s="9">
        <v>45532</v>
      </c>
      <c r="M50" s="8" t="s">
        <v>104</v>
      </c>
      <c r="N50" s="12" t="s">
        <v>79</v>
      </c>
      <c r="O50" s="2"/>
    </row>
    <row r="51" spans="1:15" s="1" customFormat="1">
      <c r="A51" s="4">
        <f t="shared" si="2"/>
        <v>50</v>
      </c>
      <c r="B51" s="412" t="s">
        <v>130</v>
      </c>
      <c r="C51" s="4" t="s">
        <v>131</v>
      </c>
      <c r="D51" s="418" t="s">
        <v>128</v>
      </c>
      <c r="E51" s="4">
        <v>13</v>
      </c>
      <c r="F51" s="414">
        <v>52</v>
      </c>
      <c r="G51" s="179">
        <v>45532</v>
      </c>
      <c r="H51" s="415">
        <v>1</v>
      </c>
      <c r="I51" s="416">
        <v>0.41666666666666669</v>
      </c>
      <c r="J51" s="416">
        <v>0.47916666666666669</v>
      </c>
      <c r="K51" s="417">
        <f t="shared" si="1"/>
        <v>1.5</v>
      </c>
      <c r="L51" s="9">
        <v>45532</v>
      </c>
      <c r="M51" s="8" t="s">
        <v>104</v>
      </c>
      <c r="N51" s="12" t="s">
        <v>79</v>
      </c>
      <c r="O51" s="2"/>
    </row>
    <row r="52" spans="1:15" s="1" customFormat="1">
      <c r="A52" s="4">
        <f t="shared" si="2"/>
        <v>51</v>
      </c>
      <c r="B52" s="422" t="s">
        <v>88</v>
      </c>
      <c r="C52" s="8" t="s">
        <v>146</v>
      </c>
      <c r="D52" s="413" t="s">
        <v>119</v>
      </c>
      <c r="E52" s="4">
        <v>4</v>
      </c>
      <c r="F52" s="414">
        <v>4</v>
      </c>
      <c r="G52" s="179">
        <v>45533</v>
      </c>
      <c r="H52" s="415">
        <v>1</v>
      </c>
      <c r="I52" s="416">
        <v>0.375</v>
      </c>
      <c r="J52" s="416">
        <v>0.40625</v>
      </c>
      <c r="K52" s="417">
        <f t="shared" si="1"/>
        <v>0.75</v>
      </c>
      <c r="L52" s="9">
        <v>45533</v>
      </c>
      <c r="M52" s="8" t="s">
        <v>104</v>
      </c>
      <c r="N52" s="3" t="s">
        <v>7</v>
      </c>
      <c r="O52" s="2"/>
    </row>
    <row r="53" spans="1:15" s="1" customFormat="1">
      <c r="A53" s="4">
        <f t="shared" si="2"/>
        <v>52</v>
      </c>
      <c r="B53" s="422" t="s">
        <v>88</v>
      </c>
      <c r="C53" s="8" t="s">
        <v>146</v>
      </c>
      <c r="D53" s="413" t="s">
        <v>118</v>
      </c>
      <c r="E53" s="4">
        <v>1</v>
      </c>
      <c r="F53" s="414">
        <v>1</v>
      </c>
      <c r="G53" s="179">
        <v>45533</v>
      </c>
      <c r="H53" s="415">
        <v>1</v>
      </c>
      <c r="I53" s="416">
        <v>0.375</v>
      </c>
      <c r="J53" s="416">
        <v>0.39583333333333331</v>
      </c>
      <c r="K53" s="417">
        <f t="shared" si="1"/>
        <v>0.49999999999999956</v>
      </c>
      <c r="L53" s="9">
        <v>45533</v>
      </c>
      <c r="M53" s="8" t="s">
        <v>104</v>
      </c>
      <c r="N53" s="3" t="s">
        <v>7</v>
      </c>
      <c r="O53" s="2"/>
    </row>
    <row r="54" spans="1:15" s="1" customFormat="1">
      <c r="A54" s="4">
        <f t="shared" si="2"/>
        <v>53</v>
      </c>
      <c r="B54" s="423" t="s">
        <v>84</v>
      </c>
      <c r="C54" s="14" t="s">
        <v>147</v>
      </c>
      <c r="D54" s="429" t="s">
        <v>148</v>
      </c>
      <c r="E54" s="7">
        <v>1</v>
      </c>
      <c r="F54" s="425">
        <v>1</v>
      </c>
      <c r="G54" s="426">
        <v>45533</v>
      </c>
      <c r="H54" s="427">
        <v>1</v>
      </c>
      <c r="I54" s="428">
        <v>0.54166666666666663</v>
      </c>
      <c r="J54" s="428">
        <v>0.66666666666666663</v>
      </c>
      <c r="K54" s="417">
        <f t="shared" si="1"/>
        <v>3</v>
      </c>
      <c r="L54" s="11">
        <v>45533</v>
      </c>
      <c r="M54" s="7" t="s">
        <v>104</v>
      </c>
      <c r="N54" s="6" t="s">
        <v>7</v>
      </c>
      <c r="O54" s="5" t="s">
        <v>151</v>
      </c>
    </row>
    <row r="55" spans="1:15" s="1" customFormat="1">
      <c r="A55" s="4">
        <f t="shared" si="2"/>
        <v>54</v>
      </c>
      <c r="B55" s="423" t="s">
        <v>84</v>
      </c>
      <c r="C55" s="14" t="s">
        <v>147</v>
      </c>
      <c r="D55" s="429" t="s">
        <v>149</v>
      </c>
      <c r="E55" s="7">
        <v>1</v>
      </c>
      <c r="F55" s="425">
        <v>1</v>
      </c>
      <c r="G55" s="426">
        <v>45533</v>
      </c>
      <c r="H55" s="427">
        <v>1</v>
      </c>
      <c r="I55" s="428">
        <v>0.54166666666666663</v>
      </c>
      <c r="J55" s="428">
        <v>0.66666666666666663</v>
      </c>
      <c r="K55" s="417">
        <f t="shared" si="1"/>
        <v>3</v>
      </c>
      <c r="L55" s="11">
        <v>45533</v>
      </c>
      <c r="M55" s="7" t="s">
        <v>104</v>
      </c>
      <c r="N55" s="6" t="s">
        <v>7</v>
      </c>
      <c r="O55" s="5" t="s">
        <v>151</v>
      </c>
    </row>
    <row r="56" spans="1:15" s="1" customFormat="1">
      <c r="A56" s="4">
        <f t="shared" si="2"/>
        <v>55</v>
      </c>
      <c r="B56" s="423" t="s">
        <v>84</v>
      </c>
      <c r="C56" s="14" t="s">
        <v>147</v>
      </c>
      <c r="D56" s="429" t="s">
        <v>150</v>
      </c>
      <c r="E56" s="7">
        <v>1</v>
      </c>
      <c r="F56" s="425">
        <v>1</v>
      </c>
      <c r="G56" s="426">
        <v>45533</v>
      </c>
      <c r="H56" s="427">
        <v>1</v>
      </c>
      <c r="I56" s="428">
        <v>0.54166666666666663</v>
      </c>
      <c r="J56" s="428">
        <v>0.66666666666666663</v>
      </c>
      <c r="K56" s="417">
        <f t="shared" si="1"/>
        <v>3</v>
      </c>
      <c r="L56" s="11">
        <v>45533</v>
      </c>
      <c r="M56" s="7" t="s">
        <v>104</v>
      </c>
      <c r="N56" s="6" t="s">
        <v>7</v>
      </c>
      <c r="O56" s="5" t="s">
        <v>151</v>
      </c>
    </row>
    <row r="57" spans="1:15" s="1" customFormat="1">
      <c r="A57" s="4">
        <f t="shared" si="2"/>
        <v>56</v>
      </c>
      <c r="B57" s="412" t="s">
        <v>152</v>
      </c>
      <c r="C57" s="4" t="s">
        <v>153</v>
      </c>
      <c r="D57" s="418" t="s">
        <v>154</v>
      </c>
      <c r="E57" s="4">
        <v>1</v>
      </c>
      <c r="F57" s="414">
        <v>1</v>
      </c>
      <c r="G57" s="179">
        <v>45534</v>
      </c>
      <c r="H57" s="415">
        <v>1</v>
      </c>
      <c r="I57" s="416">
        <v>0.60416666666666663</v>
      </c>
      <c r="J57" s="416">
        <v>0.625</v>
      </c>
      <c r="K57" s="417">
        <f t="shared" si="1"/>
        <v>0.50000000000000089</v>
      </c>
      <c r="L57" s="9">
        <v>45534</v>
      </c>
      <c r="M57" s="8" t="s">
        <v>104</v>
      </c>
      <c r="N57" s="3" t="s">
        <v>155</v>
      </c>
      <c r="O57" s="2"/>
    </row>
    <row r="58" spans="1:15" s="1" customFormat="1">
      <c r="A58" s="4">
        <f t="shared" si="2"/>
        <v>57</v>
      </c>
      <c r="B58" s="422" t="s">
        <v>156</v>
      </c>
      <c r="C58" s="8" t="s">
        <v>157</v>
      </c>
      <c r="D58" s="413" t="s">
        <v>158</v>
      </c>
      <c r="E58" s="4">
        <v>3</v>
      </c>
      <c r="F58" s="414">
        <v>3</v>
      </c>
      <c r="G58" s="179">
        <v>45539</v>
      </c>
      <c r="H58" s="415">
        <v>1</v>
      </c>
      <c r="I58" s="416">
        <v>0.375</v>
      </c>
      <c r="J58" s="416">
        <v>0.40625</v>
      </c>
      <c r="K58" s="417">
        <f t="shared" si="1"/>
        <v>0.75</v>
      </c>
      <c r="L58" s="9">
        <v>45539</v>
      </c>
      <c r="M58" s="8" t="s">
        <v>165</v>
      </c>
      <c r="N58" s="10" t="s">
        <v>10</v>
      </c>
      <c r="O58" s="2"/>
    </row>
    <row r="59" spans="1:15" s="1" customFormat="1">
      <c r="A59" s="4">
        <f t="shared" si="2"/>
        <v>58</v>
      </c>
      <c r="B59" s="422" t="s">
        <v>32</v>
      </c>
      <c r="C59" s="8" t="s">
        <v>31</v>
      </c>
      <c r="D59" s="413" t="s">
        <v>107</v>
      </c>
      <c r="E59" s="4">
        <v>2</v>
      </c>
      <c r="F59" s="414">
        <v>8</v>
      </c>
      <c r="G59" s="179">
        <v>45539</v>
      </c>
      <c r="H59" s="415">
        <v>1</v>
      </c>
      <c r="I59" s="416">
        <v>0.375</v>
      </c>
      <c r="J59" s="416">
        <v>0.41666666666666669</v>
      </c>
      <c r="K59" s="417">
        <f t="shared" si="1"/>
        <v>1.0000000000000004</v>
      </c>
      <c r="L59" s="9">
        <v>45539</v>
      </c>
      <c r="M59" s="8" t="s">
        <v>165</v>
      </c>
      <c r="N59" s="10" t="s">
        <v>155</v>
      </c>
      <c r="O59" s="2"/>
    </row>
    <row r="60" spans="1:15" s="1" customFormat="1">
      <c r="A60" s="4">
        <f t="shared" si="2"/>
        <v>59</v>
      </c>
      <c r="B60" s="422" t="s">
        <v>32</v>
      </c>
      <c r="C60" s="8" t="s">
        <v>31</v>
      </c>
      <c r="D60" s="413" t="s">
        <v>159</v>
      </c>
      <c r="E60" s="4">
        <v>2</v>
      </c>
      <c r="F60" s="414">
        <v>8</v>
      </c>
      <c r="G60" s="179">
        <v>45539</v>
      </c>
      <c r="H60" s="415">
        <v>1</v>
      </c>
      <c r="I60" s="416">
        <v>0.375</v>
      </c>
      <c r="J60" s="416">
        <v>0.41666666666666669</v>
      </c>
      <c r="K60" s="417">
        <f t="shared" si="1"/>
        <v>1.0000000000000004</v>
      </c>
      <c r="L60" s="9">
        <v>45539</v>
      </c>
      <c r="M60" s="8" t="s">
        <v>165</v>
      </c>
      <c r="N60" s="10" t="s">
        <v>155</v>
      </c>
      <c r="O60" s="2"/>
    </row>
    <row r="61" spans="1:15" s="1" customFormat="1">
      <c r="A61" s="4">
        <f t="shared" si="2"/>
        <v>60</v>
      </c>
      <c r="B61" s="422" t="s">
        <v>160</v>
      </c>
      <c r="C61" s="8" t="s">
        <v>19</v>
      </c>
      <c r="D61" s="413" t="s">
        <v>161</v>
      </c>
      <c r="E61" s="4">
        <v>20</v>
      </c>
      <c r="F61" s="414">
        <v>40</v>
      </c>
      <c r="G61" s="179">
        <v>45539</v>
      </c>
      <c r="H61" s="415">
        <v>1</v>
      </c>
      <c r="I61" s="416">
        <v>0.375</v>
      </c>
      <c r="J61" s="416">
        <v>0.45833333333333331</v>
      </c>
      <c r="K61" s="417">
        <f t="shared" si="1"/>
        <v>1.9999999999999996</v>
      </c>
      <c r="L61" s="9">
        <v>45539</v>
      </c>
      <c r="M61" s="8" t="s">
        <v>165</v>
      </c>
      <c r="N61" s="10" t="s">
        <v>21</v>
      </c>
      <c r="O61" s="2"/>
    </row>
    <row r="62" spans="1:15" s="1" customFormat="1">
      <c r="A62" s="4">
        <f t="shared" si="2"/>
        <v>61</v>
      </c>
      <c r="B62" s="422" t="s">
        <v>162</v>
      </c>
      <c r="C62" s="8" t="s">
        <v>28</v>
      </c>
      <c r="D62" s="413" t="s">
        <v>163</v>
      </c>
      <c r="E62" s="4">
        <v>1</v>
      </c>
      <c r="F62" s="414">
        <v>1</v>
      </c>
      <c r="G62" s="179">
        <v>45539</v>
      </c>
      <c r="H62" s="415">
        <v>1</v>
      </c>
      <c r="I62" s="416">
        <v>0.375</v>
      </c>
      <c r="J62" s="416">
        <v>0.38541666666666669</v>
      </c>
      <c r="K62" s="417">
        <f t="shared" si="1"/>
        <v>0.25000000000000044</v>
      </c>
      <c r="L62" s="9">
        <v>45539</v>
      </c>
      <c r="M62" s="8" t="s">
        <v>165</v>
      </c>
      <c r="N62" s="10" t="s">
        <v>11</v>
      </c>
      <c r="O62" s="2"/>
    </row>
    <row r="63" spans="1:15" s="1" customFormat="1">
      <c r="A63" s="4">
        <f t="shared" si="2"/>
        <v>62</v>
      </c>
      <c r="B63" s="422" t="s">
        <v>46</v>
      </c>
      <c r="C63" s="8" t="s">
        <v>30</v>
      </c>
      <c r="D63" s="413" t="s">
        <v>164</v>
      </c>
      <c r="E63" s="4">
        <v>1</v>
      </c>
      <c r="F63" s="414">
        <v>1</v>
      </c>
      <c r="G63" s="179">
        <v>45539</v>
      </c>
      <c r="H63" s="415">
        <v>1</v>
      </c>
      <c r="I63" s="416">
        <v>0.375</v>
      </c>
      <c r="J63" s="416">
        <v>0.39583333333333331</v>
      </c>
      <c r="K63" s="417">
        <f t="shared" si="1"/>
        <v>0.49999999999999956</v>
      </c>
      <c r="L63" s="9">
        <v>45539</v>
      </c>
      <c r="M63" s="8" t="s">
        <v>165</v>
      </c>
      <c r="N63" s="10" t="s">
        <v>7</v>
      </c>
      <c r="O63" s="2"/>
    </row>
    <row r="64" spans="1:15" s="1" customFormat="1">
      <c r="A64" s="4">
        <f t="shared" si="2"/>
        <v>63</v>
      </c>
      <c r="B64" s="422" t="s">
        <v>46</v>
      </c>
      <c r="C64" s="8" t="s">
        <v>30</v>
      </c>
      <c r="D64" s="413" t="s">
        <v>89</v>
      </c>
      <c r="E64" s="4">
        <v>3</v>
      </c>
      <c r="F64" s="414">
        <v>3</v>
      </c>
      <c r="G64" s="179">
        <v>45539</v>
      </c>
      <c r="H64" s="415">
        <v>1</v>
      </c>
      <c r="I64" s="416">
        <v>0.375</v>
      </c>
      <c r="J64" s="416">
        <v>0.40625</v>
      </c>
      <c r="K64" s="417">
        <f t="shared" si="1"/>
        <v>0.75</v>
      </c>
      <c r="L64" s="9">
        <v>45539</v>
      </c>
      <c r="M64" s="8" t="s">
        <v>165</v>
      </c>
      <c r="N64" s="10" t="s">
        <v>7</v>
      </c>
      <c r="O64" s="2"/>
    </row>
    <row r="65" spans="1:15" s="1" customFormat="1">
      <c r="A65" s="4">
        <f t="shared" si="2"/>
        <v>64</v>
      </c>
      <c r="B65" s="412" t="s">
        <v>72</v>
      </c>
      <c r="C65" s="4" t="s">
        <v>166</v>
      </c>
      <c r="D65" s="418" t="s">
        <v>70</v>
      </c>
      <c r="E65" s="4">
        <v>1</v>
      </c>
      <c r="F65" s="414">
        <v>2</v>
      </c>
      <c r="G65" s="179">
        <v>45540</v>
      </c>
      <c r="H65" s="415">
        <v>1</v>
      </c>
      <c r="I65" s="416">
        <v>0.54166666666666663</v>
      </c>
      <c r="J65" s="416">
        <v>0.57291666666666663</v>
      </c>
      <c r="K65" s="417">
        <f t="shared" si="1"/>
        <v>0.75</v>
      </c>
      <c r="L65" s="9">
        <v>45540</v>
      </c>
      <c r="M65" s="8" t="s">
        <v>165</v>
      </c>
      <c r="N65" s="3" t="s">
        <v>8</v>
      </c>
      <c r="O65" s="2"/>
    </row>
    <row r="66" spans="1:15" s="1" customFormat="1">
      <c r="A66" s="4">
        <f t="shared" si="2"/>
        <v>65</v>
      </c>
      <c r="B66" s="412" t="s">
        <v>167</v>
      </c>
      <c r="C66" s="4" t="s">
        <v>168</v>
      </c>
      <c r="D66" s="418" t="s">
        <v>169</v>
      </c>
      <c r="E66" s="4">
        <v>30</v>
      </c>
      <c r="F66" s="414">
        <v>30</v>
      </c>
      <c r="G66" s="179">
        <v>45540</v>
      </c>
      <c r="H66" s="415">
        <v>1</v>
      </c>
      <c r="I66" s="416">
        <v>0.54166666666666663</v>
      </c>
      <c r="J66" s="416">
        <v>0.58333333333333337</v>
      </c>
      <c r="K66" s="417">
        <f t="shared" si="1"/>
        <v>1.0000000000000018</v>
      </c>
      <c r="L66" s="9">
        <v>45540</v>
      </c>
      <c r="M66" s="8" t="s">
        <v>165</v>
      </c>
      <c r="N66" s="3" t="s">
        <v>8</v>
      </c>
      <c r="O66" s="2"/>
    </row>
    <row r="67" spans="1:15" s="1" customFormat="1">
      <c r="A67" s="4">
        <f t="shared" ref="A67:A98" si="3">ROW()-1</f>
        <v>66</v>
      </c>
      <c r="B67" s="412" t="s">
        <v>170</v>
      </c>
      <c r="C67" s="4" t="s">
        <v>171</v>
      </c>
      <c r="D67" s="418" t="s">
        <v>122</v>
      </c>
      <c r="E67" s="4">
        <v>3</v>
      </c>
      <c r="F67" s="414">
        <v>3</v>
      </c>
      <c r="G67" s="179">
        <v>45540</v>
      </c>
      <c r="H67" s="415">
        <v>1</v>
      </c>
      <c r="I67" s="416">
        <v>0.54166666666666663</v>
      </c>
      <c r="J67" s="416">
        <v>0.57291666666666663</v>
      </c>
      <c r="K67" s="417">
        <f t="shared" si="1"/>
        <v>0.75</v>
      </c>
      <c r="L67" s="9">
        <v>45540</v>
      </c>
      <c r="M67" s="8" t="s">
        <v>165</v>
      </c>
      <c r="N67" s="3" t="s">
        <v>11</v>
      </c>
      <c r="O67" s="2"/>
    </row>
    <row r="68" spans="1:15" s="1" customFormat="1">
      <c r="A68" s="4">
        <f t="shared" si="3"/>
        <v>67</v>
      </c>
      <c r="B68" s="412" t="s">
        <v>156</v>
      </c>
      <c r="C68" s="4" t="s">
        <v>157</v>
      </c>
      <c r="D68" s="418" t="s">
        <v>158</v>
      </c>
      <c r="E68" s="4">
        <v>2</v>
      </c>
      <c r="F68" s="414">
        <v>2</v>
      </c>
      <c r="G68" s="179">
        <v>45540</v>
      </c>
      <c r="H68" s="415">
        <v>1</v>
      </c>
      <c r="I68" s="416">
        <v>0.6875</v>
      </c>
      <c r="J68" s="416">
        <v>0.70833333333333337</v>
      </c>
      <c r="K68" s="417">
        <f t="shared" ref="K68:K131" si="4">(J68-I68)*24*H68</f>
        <v>0.50000000000000089</v>
      </c>
      <c r="L68" s="9">
        <v>45540</v>
      </c>
      <c r="M68" s="8" t="s">
        <v>165</v>
      </c>
      <c r="N68" s="3" t="s">
        <v>10</v>
      </c>
      <c r="O68" s="2"/>
    </row>
    <row r="69" spans="1:15" s="1" customFormat="1">
      <c r="A69" s="4">
        <f t="shared" si="3"/>
        <v>68</v>
      </c>
      <c r="B69" s="422" t="s">
        <v>172</v>
      </c>
      <c r="C69" s="8" t="s">
        <v>173</v>
      </c>
      <c r="D69" s="413" t="s">
        <v>174</v>
      </c>
      <c r="E69" s="4">
        <v>1</v>
      </c>
      <c r="F69" s="414">
        <v>1</v>
      </c>
      <c r="G69" s="179">
        <v>45541</v>
      </c>
      <c r="H69" s="415">
        <v>1</v>
      </c>
      <c r="I69" s="416">
        <v>0.35416666666666669</v>
      </c>
      <c r="J69" s="416">
        <v>0.375</v>
      </c>
      <c r="K69" s="417">
        <f t="shared" si="4"/>
        <v>0.49999999999999956</v>
      </c>
      <c r="L69" s="9">
        <v>45541</v>
      </c>
      <c r="M69" s="8" t="s">
        <v>165</v>
      </c>
      <c r="N69" s="10" t="s">
        <v>175</v>
      </c>
      <c r="O69" s="2"/>
    </row>
    <row r="70" spans="1:15" s="1" customFormat="1">
      <c r="A70" s="4">
        <f t="shared" si="3"/>
        <v>69</v>
      </c>
      <c r="B70" s="422" t="s">
        <v>172</v>
      </c>
      <c r="C70" s="8" t="s">
        <v>173</v>
      </c>
      <c r="D70" s="413" t="s">
        <v>176</v>
      </c>
      <c r="E70" s="4">
        <v>2</v>
      </c>
      <c r="F70" s="414">
        <v>2</v>
      </c>
      <c r="G70" s="179">
        <v>45541</v>
      </c>
      <c r="H70" s="415">
        <v>1</v>
      </c>
      <c r="I70" s="416">
        <v>0.35416666666666669</v>
      </c>
      <c r="J70" s="416">
        <v>0.375</v>
      </c>
      <c r="K70" s="417">
        <f t="shared" si="4"/>
        <v>0.49999999999999956</v>
      </c>
      <c r="L70" s="9">
        <v>45541</v>
      </c>
      <c r="M70" s="8" t="s">
        <v>165</v>
      </c>
      <c r="N70" s="10" t="s">
        <v>175</v>
      </c>
      <c r="O70" s="2"/>
    </row>
    <row r="71" spans="1:15" s="1" customFormat="1">
      <c r="A71" s="4">
        <f t="shared" si="3"/>
        <v>70</v>
      </c>
      <c r="B71" s="422" t="s">
        <v>172</v>
      </c>
      <c r="C71" s="8" t="s">
        <v>173</v>
      </c>
      <c r="D71" s="413" t="s">
        <v>177</v>
      </c>
      <c r="E71" s="4">
        <v>1</v>
      </c>
      <c r="F71" s="414">
        <v>1</v>
      </c>
      <c r="G71" s="179">
        <v>45541</v>
      </c>
      <c r="H71" s="415">
        <v>1</v>
      </c>
      <c r="I71" s="416">
        <v>0.35416666666666669</v>
      </c>
      <c r="J71" s="416">
        <v>0.375</v>
      </c>
      <c r="K71" s="417">
        <f t="shared" si="4"/>
        <v>0.49999999999999956</v>
      </c>
      <c r="L71" s="9">
        <v>45541</v>
      </c>
      <c r="M71" s="8" t="s">
        <v>165</v>
      </c>
      <c r="N71" s="10" t="s">
        <v>175</v>
      </c>
      <c r="O71" s="2"/>
    </row>
    <row r="72" spans="1:15" s="1" customFormat="1">
      <c r="A72" s="4">
        <f t="shared" si="3"/>
        <v>71</v>
      </c>
      <c r="B72" s="422" t="s">
        <v>172</v>
      </c>
      <c r="C72" s="8" t="s">
        <v>173</v>
      </c>
      <c r="D72" s="413" t="s">
        <v>178</v>
      </c>
      <c r="E72" s="4">
        <v>1</v>
      </c>
      <c r="F72" s="414">
        <v>1</v>
      </c>
      <c r="G72" s="179">
        <v>45541</v>
      </c>
      <c r="H72" s="415">
        <v>1</v>
      </c>
      <c r="I72" s="416">
        <v>0.35416666666666669</v>
      </c>
      <c r="J72" s="416">
        <v>0.375</v>
      </c>
      <c r="K72" s="417">
        <f t="shared" si="4"/>
        <v>0.49999999999999956</v>
      </c>
      <c r="L72" s="9">
        <v>45541</v>
      </c>
      <c r="M72" s="8" t="s">
        <v>165</v>
      </c>
      <c r="N72" s="10" t="s">
        <v>175</v>
      </c>
      <c r="O72" s="2"/>
    </row>
    <row r="73" spans="1:15" s="1" customFormat="1">
      <c r="A73" s="4">
        <f t="shared" si="3"/>
        <v>72</v>
      </c>
      <c r="B73" s="422" t="s">
        <v>172</v>
      </c>
      <c r="C73" s="8" t="s">
        <v>173</v>
      </c>
      <c r="D73" s="413" t="s">
        <v>179</v>
      </c>
      <c r="E73" s="4">
        <v>1</v>
      </c>
      <c r="F73" s="414">
        <v>1</v>
      </c>
      <c r="G73" s="179">
        <v>45541</v>
      </c>
      <c r="H73" s="415">
        <v>1</v>
      </c>
      <c r="I73" s="416">
        <v>0.35416666666666669</v>
      </c>
      <c r="J73" s="416">
        <v>0.375</v>
      </c>
      <c r="K73" s="417">
        <f t="shared" si="4"/>
        <v>0.49999999999999956</v>
      </c>
      <c r="L73" s="9">
        <v>45541</v>
      </c>
      <c r="M73" s="8" t="s">
        <v>165</v>
      </c>
      <c r="N73" s="10" t="s">
        <v>175</v>
      </c>
      <c r="O73" s="2"/>
    </row>
    <row r="74" spans="1:15" s="1" customFormat="1">
      <c r="A74" s="4">
        <f t="shared" si="3"/>
        <v>73</v>
      </c>
      <c r="B74" s="422" t="s">
        <v>180</v>
      </c>
      <c r="C74" s="8" t="s">
        <v>181</v>
      </c>
      <c r="D74" s="413" t="s">
        <v>107</v>
      </c>
      <c r="E74" s="4">
        <v>2</v>
      </c>
      <c r="F74" s="414">
        <v>2</v>
      </c>
      <c r="G74" s="179">
        <v>45541</v>
      </c>
      <c r="H74" s="415">
        <v>1</v>
      </c>
      <c r="I74" s="416">
        <v>0.35416666666666669</v>
      </c>
      <c r="J74" s="416">
        <v>0.375</v>
      </c>
      <c r="K74" s="417">
        <f t="shared" si="4"/>
        <v>0.49999999999999956</v>
      </c>
      <c r="L74" s="9">
        <v>45541</v>
      </c>
      <c r="M74" s="8" t="s">
        <v>165</v>
      </c>
      <c r="N74" s="10" t="s">
        <v>175</v>
      </c>
      <c r="O74" s="2"/>
    </row>
    <row r="75" spans="1:15" s="1" customFormat="1">
      <c r="A75" s="4">
        <f t="shared" si="3"/>
        <v>74</v>
      </c>
      <c r="B75" s="422" t="s">
        <v>180</v>
      </c>
      <c r="C75" s="8" t="s">
        <v>181</v>
      </c>
      <c r="D75" s="413" t="s">
        <v>103</v>
      </c>
      <c r="E75" s="4">
        <v>2</v>
      </c>
      <c r="F75" s="414">
        <v>6</v>
      </c>
      <c r="G75" s="179">
        <v>45541</v>
      </c>
      <c r="H75" s="415">
        <v>1</v>
      </c>
      <c r="I75" s="416">
        <v>0.35416666666666669</v>
      </c>
      <c r="J75" s="416">
        <v>0.38541666666666669</v>
      </c>
      <c r="K75" s="417">
        <f t="shared" si="4"/>
        <v>0.75</v>
      </c>
      <c r="L75" s="9">
        <v>45541</v>
      </c>
      <c r="M75" s="8" t="s">
        <v>165</v>
      </c>
      <c r="N75" s="10" t="s">
        <v>175</v>
      </c>
      <c r="O75" s="2"/>
    </row>
    <row r="76" spans="1:15" s="1" customFormat="1">
      <c r="A76" s="4">
        <f t="shared" si="3"/>
        <v>75</v>
      </c>
      <c r="B76" s="422" t="s">
        <v>180</v>
      </c>
      <c r="C76" s="8" t="s">
        <v>181</v>
      </c>
      <c r="D76" s="413" t="s">
        <v>182</v>
      </c>
      <c r="E76" s="4">
        <v>2</v>
      </c>
      <c r="F76" s="414">
        <v>6</v>
      </c>
      <c r="G76" s="179">
        <v>45541</v>
      </c>
      <c r="H76" s="415">
        <v>1</v>
      </c>
      <c r="I76" s="416">
        <v>0.35416666666666669</v>
      </c>
      <c r="J76" s="416">
        <v>0.38541666666666669</v>
      </c>
      <c r="K76" s="417">
        <f t="shared" si="4"/>
        <v>0.75</v>
      </c>
      <c r="L76" s="9">
        <v>45541</v>
      </c>
      <c r="M76" s="8" t="s">
        <v>165</v>
      </c>
      <c r="N76" s="10" t="s">
        <v>175</v>
      </c>
      <c r="O76" s="2"/>
    </row>
    <row r="77" spans="1:15" s="1" customFormat="1">
      <c r="A77" s="4">
        <f t="shared" si="3"/>
        <v>76</v>
      </c>
      <c r="B77" s="422" t="s">
        <v>180</v>
      </c>
      <c r="C77" s="8" t="s">
        <v>181</v>
      </c>
      <c r="D77" s="413" t="s">
        <v>183</v>
      </c>
      <c r="E77" s="4">
        <v>2</v>
      </c>
      <c r="F77" s="414">
        <v>2</v>
      </c>
      <c r="G77" s="179">
        <v>45541</v>
      </c>
      <c r="H77" s="415">
        <v>1</v>
      </c>
      <c r="I77" s="416">
        <v>0.35416666666666669</v>
      </c>
      <c r="J77" s="416">
        <v>0.38541666666666669</v>
      </c>
      <c r="K77" s="417">
        <f t="shared" si="4"/>
        <v>0.75</v>
      </c>
      <c r="L77" s="9">
        <v>45541</v>
      </c>
      <c r="M77" s="8" t="s">
        <v>165</v>
      </c>
      <c r="N77" s="10" t="s">
        <v>175</v>
      </c>
      <c r="O77" s="2"/>
    </row>
    <row r="78" spans="1:15" s="1" customFormat="1">
      <c r="A78" s="4">
        <f t="shared" si="3"/>
        <v>77</v>
      </c>
      <c r="B78" s="412"/>
      <c r="C78" s="4" t="s">
        <v>184</v>
      </c>
      <c r="D78" s="418" t="s">
        <v>154</v>
      </c>
      <c r="E78" s="4">
        <v>48</v>
      </c>
      <c r="F78" s="414">
        <v>96</v>
      </c>
      <c r="G78" s="179">
        <v>45542</v>
      </c>
      <c r="H78" s="415">
        <v>1</v>
      </c>
      <c r="I78" s="416">
        <v>0.54166666666666663</v>
      </c>
      <c r="J78" s="416">
        <v>0.60416666666666663</v>
      </c>
      <c r="K78" s="417">
        <f t="shared" si="4"/>
        <v>1.5</v>
      </c>
      <c r="L78" s="9">
        <v>45542</v>
      </c>
      <c r="M78" s="8" t="s">
        <v>165</v>
      </c>
      <c r="N78" s="3" t="s">
        <v>185</v>
      </c>
      <c r="O78" s="2"/>
    </row>
    <row r="79" spans="1:15" s="1" customFormat="1">
      <c r="A79" s="4">
        <f t="shared" si="3"/>
        <v>78</v>
      </c>
      <c r="B79" s="412" t="s">
        <v>186</v>
      </c>
      <c r="C79" s="4" t="s">
        <v>187</v>
      </c>
      <c r="D79" s="418" t="s">
        <v>188</v>
      </c>
      <c r="E79" s="4">
        <v>1</v>
      </c>
      <c r="F79" s="414">
        <v>1</v>
      </c>
      <c r="G79" s="179">
        <v>45542</v>
      </c>
      <c r="H79" s="415">
        <v>1</v>
      </c>
      <c r="I79" s="416">
        <v>0.54166666666666663</v>
      </c>
      <c r="J79" s="416">
        <v>0.55555555555555558</v>
      </c>
      <c r="K79" s="417">
        <f t="shared" si="4"/>
        <v>0.33333333333333481</v>
      </c>
      <c r="L79" s="9">
        <v>45542</v>
      </c>
      <c r="M79" s="8" t="s">
        <v>165</v>
      </c>
      <c r="N79" s="3" t="s">
        <v>6</v>
      </c>
      <c r="O79" s="2"/>
    </row>
    <row r="80" spans="1:15" s="1" customFormat="1">
      <c r="A80" s="4">
        <f t="shared" si="3"/>
        <v>79</v>
      </c>
      <c r="B80" s="412" t="s">
        <v>192</v>
      </c>
      <c r="C80" s="4" t="s">
        <v>189</v>
      </c>
      <c r="D80" s="418" t="s">
        <v>190</v>
      </c>
      <c r="E80" s="4">
        <v>2</v>
      </c>
      <c r="F80" s="414">
        <v>2</v>
      </c>
      <c r="G80" s="179">
        <v>45545</v>
      </c>
      <c r="H80" s="415">
        <v>1</v>
      </c>
      <c r="I80" s="416">
        <v>0.375</v>
      </c>
      <c r="J80" s="416">
        <v>0.39583333333333331</v>
      </c>
      <c r="K80" s="417">
        <f t="shared" si="4"/>
        <v>0.49999999999999956</v>
      </c>
      <c r="L80" s="9">
        <v>45545</v>
      </c>
      <c r="M80" s="8" t="s">
        <v>165</v>
      </c>
      <c r="N80" s="3" t="s">
        <v>191</v>
      </c>
      <c r="O80" s="2"/>
    </row>
    <row r="81" spans="1:15" s="1" customFormat="1">
      <c r="A81" s="4">
        <f t="shared" si="3"/>
        <v>80</v>
      </c>
      <c r="B81" s="412" t="s">
        <v>193</v>
      </c>
      <c r="C81" s="4" t="s">
        <v>194</v>
      </c>
      <c r="D81" s="418" t="s">
        <v>195</v>
      </c>
      <c r="E81" s="4">
        <v>2</v>
      </c>
      <c r="F81" s="414">
        <v>2</v>
      </c>
      <c r="G81" s="179">
        <v>45545</v>
      </c>
      <c r="H81" s="415">
        <v>1</v>
      </c>
      <c r="I81" s="416">
        <v>0.375</v>
      </c>
      <c r="J81" s="416">
        <v>0.39583333333333331</v>
      </c>
      <c r="K81" s="417">
        <f t="shared" si="4"/>
        <v>0.49999999999999956</v>
      </c>
      <c r="L81" s="9">
        <v>45545</v>
      </c>
      <c r="M81" s="8" t="s">
        <v>165</v>
      </c>
      <c r="N81" s="3" t="s">
        <v>191</v>
      </c>
      <c r="O81" s="2"/>
    </row>
    <row r="82" spans="1:15" s="1" customFormat="1">
      <c r="A82" s="4">
        <f t="shared" si="3"/>
        <v>81</v>
      </c>
      <c r="B82" s="412" t="s">
        <v>196</v>
      </c>
      <c r="C82" s="4" t="s">
        <v>197</v>
      </c>
      <c r="D82" s="418" t="s">
        <v>198</v>
      </c>
      <c r="E82" s="4">
        <v>310</v>
      </c>
      <c r="F82" s="414">
        <v>310</v>
      </c>
      <c r="G82" s="179">
        <v>45546</v>
      </c>
      <c r="H82" s="415">
        <v>2</v>
      </c>
      <c r="I82" s="416">
        <v>0.64583333333333337</v>
      </c>
      <c r="J82" s="416">
        <v>0.72916666666666663</v>
      </c>
      <c r="K82" s="417">
        <f t="shared" si="4"/>
        <v>3.9999999999999964</v>
      </c>
      <c r="L82" s="9">
        <v>45546</v>
      </c>
      <c r="M82" s="8" t="s">
        <v>199</v>
      </c>
      <c r="N82" s="3" t="s">
        <v>7</v>
      </c>
      <c r="O82" s="2"/>
    </row>
    <row r="83" spans="1:15" s="1" customFormat="1">
      <c r="A83" s="4">
        <f t="shared" si="3"/>
        <v>82</v>
      </c>
      <c r="B83" s="412" t="s">
        <v>200</v>
      </c>
      <c r="C83" s="4" t="s">
        <v>108</v>
      </c>
      <c r="D83" s="418" t="s">
        <v>107</v>
      </c>
      <c r="E83" s="4">
        <v>1</v>
      </c>
      <c r="F83" s="414">
        <v>1</v>
      </c>
      <c r="G83" s="179">
        <v>45546</v>
      </c>
      <c r="H83" s="415">
        <v>1</v>
      </c>
      <c r="I83" s="416">
        <v>0.64583333333333337</v>
      </c>
      <c r="J83" s="416">
        <v>0.6875</v>
      </c>
      <c r="K83" s="417">
        <f t="shared" si="4"/>
        <v>0.99999999999999911</v>
      </c>
      <c r="L83" s="9">
        <v>45546</v>
      </c>
      <c r="M83" s="8" t="s">
        <v>199</v>
      </c>
      <c r="N83" s="3" t="s">
        <v>8</v>
      </c>
      <c r="O83" s="2"/>
    </row>
    <row r="84" spans="1:15" s="1" customFormat="1">
      <c r="A84" s="4">
        <f t="shared" si="3"/>
        <v>83</v>
      </c>
      <c r="B84" s="412" t="s">
        <v>201</v>
      </c>
      <c r="C84" s="4" t="s">
        <v>202</v>
      </c>
      <c r="D84" s="418" t="s">
        <v>96</v>
      </c>
      <c r="E84" s="4">
        <v>23</v>
      </c>
      <c r="F84" s="414">
        <v>23</v>
      </c>
      <c r="G84" s="179">
        <v>45546</v>
      </c>
      <c r="H84" s="415">
        <v>1</v>
      </c>
      <c r="I84" s="416">
        <v>0.64583333333333337</v>
      </c>
      <c r="J84" s="416">
        <v>0.77083333333333337</v>
      </c>
      <c r="K84" s="417">
        <f t="shared" si="4"/>
        <v>3</v>
      </c>
      <c r="L84" s="9">
        <v>45546</v>
      </c>
      <c r="M84" s="8" t="s">
        <v>199</v>
      </c>
      <c r="N84" s="3" t="s">
        <v>9</v>
      </c>
      <c r="O84" s="2"/>
    </row>
    <row r="85" spans="1:15" s="1" customFormat="1">
      <c r="A85" s="4">
        <f t="shared" si="3"/>
        <v>84</v>
      </c>
      <c r="B85" s="423" t="s">
        <v>84</v>
      </c>
      <c r="C85" s="14" t="s">
        <v>147</v>
      </c>
      <c r="D85" s="424" t="s">
        <v>93</v>
      </c>
      <c r="E85" s="7">
        <v>100</v>
      </c>
      <c r="F85" s="425">
        <v>100</v>
      </c>
      <c r="G85" s="426">
        <v>45553</v>
      </c>
      <c r="H85" s="427">
        <v>1</v>
      </c>
      <c r="I85" s="428">
        <v>0.35416666666666669</v>
      </c>
      <c r="J85" s="428">
        <v>0.41666666666666669</v>
      </c>
      <c r="K85" s="417">
        <f t="shared" si="4"/>
        <v>1.5</v>
      </c>
      <c r="L85" s="11">
        <v>45553</v>
      </c>
      <c r="M85" s="28" t="s">
        <v>220</v>
      </c>
      <c r="N85" s="6" t="s">
        <v>7</v>
      </c>
      <c r="O85" s="5" t="s">
        <v>151</v>
      </c>
    </row>
    <row r="86" spans="1:15" s="1" customFormat="1">
      <c r="A86" s="4">
        <f t="shared" si="3"/>
        <v>85</v>
      </c>
      <c r="B86" s="423" t="s">
        <v>84</v>
      </c>
      <c r="C86" s="14" t="s">
        <v>147</v>
      </c>
      <c r="D86" s="424" t="s">
        <v>149</v>
      </c>
      <c r="E86" s="7">
        <v>60</v>
      </c>
      <c r="F86" s="425">
        <v>60</v>
      </c>
      <c r="G86" s="426">
        <v>45553</v>
      </c>
      <c r="H86" s="427">
        <v>1</v>
      </c>
      <c r="I86" s="428">
        <v>0.35416666666666669</v>
      </c>
      <c r="J86" s="428">
        <v>0.39583333333333331</v>
      </c>
      <c r="K86" s="417">
        <f t="shared" si="4"/>
        <v>0.99999999999999911</v>
      </c>
      <c r="L86" s="11">
        <v>45553</v>
      </c>
      <c r="M86" s="28" t="s">
        <v>220</v>
      </c>
      <c r="N86" s="6" t="s">
        <v>7</v>
      </c>
      <c r="O86" s="5" t="s">
        <v>151</v>
      </c>
    </row>
    <row r="87" spans="1:15" s="1" customFormat="1">
      <c r="A87" s="4">
        <f t="shared" si="3"/>
        <v>86</v>
      </c>
      <c r="B87" s="423" t="s">
        <v>84</v>
      </c>
      <c r="C87" s="14" t="s">
        <v>147</v>
      </c>
      <c r="D87" s="424" t="s">
        <v>203</v>
      </c>
      <c r="E87" s="7">
        <v>30</v>
      </c>
      <c r="F87" s="425">
        <v>30</v>
      </c>
      <c r="G87" s="426">
        <v>45553</v>
      </c>
      <c r="H87" s="427">
        <v>1</v>
      </c>
      <c r="I87" s="428">
        <v>0.35416666666666669</v>
      </c>
      <c r="J87" s="428">
        <v>0.38541666666666669</v>
      </c>
      <c r="K87" s="417">
        <f t="shared" si="4"/>
        <v>0.75</v>
      </c>
      <c r="L87" s="11">
        <v>45553</v>
      </c>
      <c r="M87" s="28" t="s">
        <v>220</v>
      </c>
      <c r="N87" s="6" t="s">
        <v>7</v>
      </c>
      <c r="O87" s="5" t="s">
        <v>151</v>
      </c>
    </row>
    <row r="88" spans="1:15" s="1" customFormat="1">
      <c r="A88" s="4">
        <f t="shared" si="3"/>
        <v>87</v>
      </c>
      <c r="B88" s="423" t="s">
        <v>84</v>
      </c>
      <c r="C88" s="14" t="s">
        <v>147</v>
      </c>
      <c r="D88" s="424" t="s">
        <v>204</v>
      </c>
      <c r="E88" s="7">
        <v>30</v>
      </c>
      <c r="F88" s="425">
        <v>30</v>
      </c>
      <c r="G88" s="426">
        <v>45553</v>
      </c>
      <c r="H88" s="427">
        <v>1</v>
      </c>
      <c r="I88" s="428">
        <v>0.35416666666666669</v>
      </c>
      <c r="J88" s="428">
        <v>0.38541666666666669</v>
      </c>
      <c r="K88" s="417">
        <f t="shared" si="4"/>
        <v>0.75</v>
      </c>
      <c r="L88" s="11">
        <v>45553</v>
      </c>
      <c r="M88" s="28" t="s">
        <v>220</v>
      </c>
      <c r="N88" s="6" t="s">
        <v>7</v>
      </c>
      <c r="O88" s="5" t="s">
        <v>151</v>
      </c>
    </row>
    <row r="89" spans="1:15" s="1" customFormat="1">
      <c r="A89" s="4">
        <f t="shared" si="3"/>
        <v>88</v>
      </c>
      <c r="B89" s="423" t="s">
        <v>84</v>
      </c>
      <c r="C89" s="14" t="s">
        <v>147</v>
      </c>
      <c r="D89" s="432" t="s">
        <v>205</v>
      </c>
      <c r="E89" s="7">
        <v>50</v>
      </c>
      <c r="F89" s="425">
        <v>50</v>
      </c>
      <c r="G89" s="426">
        <v>45553</v>
      </c>
      <c r="H89" s="427">
        <v>1</v>
      </c>
      <c r="I89" s="428">
        <v>0.35416666666666669</v>
      </c>
      <c r="J89" s="428">
        <v>0.39583333333333331</v>
      </c>
      <c r="K89" s="417">
        <f t="shared" si="4"/>
        <v>0.99999999999999911</v>
      </c>
      <c r="L89" s="11">
        <v>45553</v>
      </c>
      <c r="M89" s="28" t="s">
        <v>220</v>
      </c>
      <c r="N89" s="6" t="s">
        <v>7</v>
      </c>
      <c r="O89" s="5" t="s">
        <v>151</v>
      </c>
    </row>
    <row r="90" spans="1:15" s="1" customFormat="1">
      <c r="A90" s="4">
        <f t="shared" si="3"/>
        <v>89</v>
      </c>
      <c r="B90" s="433" t="s">
        <v>156</v>
      </c>
      <c r="C90" s="24" t="s">
        <v>206</v>
      </c>
      <c r="D90" s="434" t="s">
        <v>158</v>
      </c>
      <c r="E90" s="4">
        <v>1</v>
      </c>
      <c r="F90" s="414">
        <v>1</v>
      </c>
      <c r="G90" s="179">
        <v>45547</v>
      </c>
      <c r="H90" s="415">
        <v>1</v>
      </c>
      <c r="I90" s="416">
        <v>0.375</v>
      </c>
      <c r="J90" s="416">
        <v>0.38541666666666669</v>
      </c>
      <c r="K90" s="417">
        <f t="shared" si="4"/>
        <v>0.25000000000000044</v>
      </c>
      <c r="L90" s="9">
        <v>45547</v>
      </c>
      <c r="M90" s="24" t="s">
        <v>199</v>
      </c>
      <c r="N90" s="23" t="s">
        <v>10</v>
      </c>
      <c r="O90" s="2"/>
    </row>
    <row r="91" spans="1:15" s="1" customFormat="1">
      <c r="A91" s="4">
        <f t="shared" si="3"/>
        <v>90</v>
      </c>
      <c r="B91" s="435" t="s">
        <v>207</v>
      </c>
      <c r="C91" s="436" t="s">
        <v>208</v>
      </c>
      <c r="D91" s="437" t="s">
        <v>103</v>
      </c>
      <c r="E91" s="4">
        <v>1</v>
      </c>
      <c r="F91" s="414">
        <v>1</v>
      </c>
      <c r="G91" s="179">
        <v>45547</v>
      </c>
      <c r="H91" s="415">
        <v>1</v>
      </c>
      <c r="I91" s="416">
        <v>0.375</v>
      </c>
      <c r="J91" s="416">
        <v>0.38541666666666669</v>
      </c>
      <c r="K91" s="417">
        <f t="shared" si="4"/>
        <v>0.25000000000000044</v>
      </c>
      <c r="L91" s="9">
        <v>45547</v>
      </c>
      <c r="M91" s="24" t="s">
        <v>199</v>
      </c>
      <c r="N91" s="3" t="s">
        <v>8</v>
      </c>
      <c r="O91" s="2"/>
    </row>
    <row r="92" spans="1:15" s="1" customFormat="1">
      <c r="A92" s="4">
        <f t="shared" si="3"/>
        <v>91</v>
      </c>
      <c r="B92" s="435" t="s">
        <v>209</v>
      </c>
      <c r="C92" s="436" t="s">
        <v>210</v>
      </c>
      <c r="D92" s="437" t="s">
        <v>211</v>
      </c>
      <c r="E92" s="4">
        <v>1</v>
      </c>
      <c r="F92" s="414">
        <v>1</v>
      </c>
      <c r="G92" s="179">
        <v>45547</v>
      </c>
      <c r="H92" s="415">
        <v>1</v>
      </c>
      <c r="I92" s="416">
        <v>0.375</v>
      </c>
      <c r="J92" s="416">
        <v>0.38194444444444442</v>
      </c>
      <c r="K92" s="417">
        <f t="shared" si="4"/>
        <v>0.16666666666666607</v>
      </c>
      <c r="L92" s="9">
        <v>45547</v>
      </c>
      <c r="M92" s="24" t="s">
        <v>199</v>
      </c>
      <c r="N92" s="3" t="s">
        <v>8</v>
      </c>
      <c r="O92" s="2"/>
    </row>
    <row r="93" spans="1:15" s="1" customFormat="1">
      <c r="A93" s="4">
        <f t="shared" si="3"/>
        <v>92</v>
      </c>
      <c r="B93" s="435" t="s">
        <v>212</v>
      </c>
      <c r="C93" s="436" t="s">
        <v>213</v>
      </c>
      <c r="D93" s="437" t="s">
        <v>214</v>
      </c>
      <c r="E93" s="4">
        <v>1</v>
      </c>
      <c r="F93" s="414">
        <v>1</v>
      </c>
      <c r="G93" s="179">
        <v>45547</v>
      </c>
      <c r="H93" s="415">
        <v>1</v>
      </c>
      <c r="I93" s="416">
        <v>0.375</v>
      </c>
      <c r="J93" s="416">
        <v>0.3888888888888889</v>
      </c>
      <c r="K93" s="417">
        <f t="shared" si="4"/>
        <v>0.33333333333333348</v>
      </c>
      <c r="L93" s="9">
        <v>45547</v>
      </c>
      <c r="M93" s="24" t="s">
        <v>199</v>
      </c>
      <c r="N93" s="3" t="s">
        <v>8</v>
      </c>
      <c r="O93" s="2"/>
    </row>
    <row r="94" spans="1:15" s="1" customFormat="1">
      <c r="A94" s="4">
        <f t="shared" si="3"/>
        <v>93</v>
      </c>
      <c r="B94" s="438" t="s">
        <v>216</v>
      </c>
      <c r="C94" s="439" t="s">
        <v>215</v>
      </c>
      <c r="D94" s="440" t="s">
        <v>96</v>
      </c>
      <c r="E94" s="4">
        <v>20</v>
      </c>
      <c r="F94" s="414">
        <v>20</v>
      </c>
      <c r="G94" s="179">
        <v>45551</v>
      </c>
      <c r="H94" s="415">
        <v>1</v>
      </c>
      <c r="I94" s="416">
        <v>0.41666666666666669</v>
      </c>
      <c r="J94" s="416">
        <v>0.45833333333333331</v>
      </c>
      <c r="K94" s="417">
        <f t="shared" si="4"/>
        <v>0.99999999999999911</v>
      </c>
      <c r="L94" s="9">
        <v>45551</v>
      </c>
      <c r="M94" s="24" t="s">
        <v>199</v>
      </c>
      <c r="N94" s="3" t="s">
        <v>11</v>
      </c>
      <c r="O94" s="2"/>
    </row>
    <row r="95" spans="1:15" s="1" customFormat="1">
      <c r="A95" s="4">
        <f t="shared" si="3"/>
        <v>94</v>
      </c>
      <c r="B95" s="438" t="s">
        <v>217</v>
      </c>
      <c r="C95" s="25" t="s">
        <v>218</v>
      </c>
      <c r="D95" s="441" t="s">
        <v>219</v>
      </c>
      <c r="E95" s="4">
        <v>19</v>
      </c>
      <c r="F95" s="414">
        <v>38</v>
      </c>
      <c r="G95" s="179">
        <v>45551</v>
      </c>
      <c r="H95" s="415">
        <v>1</v>
      </c>
      <c r="I95" s="416">
        <v>0.58333333333333337</v>
      </c>
      <c r="J95" s="416">
        <v>0.61458333333333337</v>
      </c>
      <c r="K95" s="417">
        <f t="shared" si="4"/>
        <v>0.75</v>
      </c>
      <c r="L95" s="9">
        <v>45551</v>
      </c>
      <c r="M95" s="25" t="s">
        <v>220</v>
      </c>
      <c r="N95" s="3" t="s">
        <v>9</v>
      </c>
      <c r="O95" s="2"/>
    </row>
    <row r="96" spans="1:15" s="1" customFormat="1">
      <c r="A96" s="4">
        <f t="shared" si="3"/>
        <v>95</v>
      </c>
      <c r="B96" s="438" t="s">
        <v>217</v>
      </c>
      <c r="C96" s="25" t="s">
        <v>218</v>
      </c>
      <c r="D96" s="441" t="s">
        <v>221</v>
      </c>
      <c r="E96" s="4">
        <v>19</v>
      </c>
      <c r="F96" s="414">
        <v>114</v>
      </c>
      <c r="G96" s="179">
        <v>45551</v>
      </c>
      <c r="H96" s="415">
        <v>1</v>
      </c>
      <c r="I96" s="416">
        <v>0.58333333333333337</v>
      </c>
      <c r="J96" s="416">
        <v>0.64583333333333337</v>
      </c>
      <c r="K96" s="417">
        <f t="shared" si="4"/>
        <v>1.5</v>
      </c>
      <c r="L96" s="9">
        <v>45551</v>
      </c>
      <c r="M96" s="25" t="s">
        <v>220</v>
      </c>
      <c r="N96" s="3" t="s">
        <v>9</v>
      </c>
      <c r="O96" s="2"/>
    </row>
    <row r="97" spans="1:15" s="1" customFormat="1">
      <c r="A97" s="4">
        <f t="shared" si="3"/>
        <v>96</v>
      </c>
      <c r="B97" s="438" t="s">
        <v>222</v>
      </c>
      <c r="C97" s="25" t="s">
        <v>223</v>
      </c>
      <c r="D97" s="441" t="s">
        <v>224</v>
      </c>
      <c r="E97" s="4">
        <v>32</v>
      </c>
      <c r="F97" s="414">
        <v>64</v>
      </c>
      <c r="G97" s="179">
        <v>45551</v>
      </c>
      <c r="H97" s="415">
        <v>1</v>
      </c>
      <c r="I97" s="416">
        <v>0.58333333333333337</v>
      </c>
      <c r="J97" s="416">
        <v>0.625</v>
      </c>
      <c r="K97" s="417">
        <f t="shared" si="4"/>
        <v>0.99999999999999911</v>
      </c>
      <c r="L97" s="9">
        <v>45551</v>
      </c>
      <c r="M97" s="25" t="s">
        <v>220</v>
      </c>
      <c r="N97" s="3" t="s">
        <v>9</v>
      </c>
      <c r="O97" s="2"/>
    </row>
    <row r="98" spans="1:15" s="1" customFormat="1">
      <c r="A98" s="4">
        <f t="shared" si="3"/>
        <v>97</v>
      </c>
      <c r="B98" s="438" t="s">
        <v>225</v>
      </c>
      <c r="C98" s="25" t="s">
        <v>226</v>
      </c>
      <c r="D98" s="441" t="s">
        <v>106</v>
      </c>
      <c r="E98" s="4">
        <v>10</v>
      </c>
      <c r="F98" s="414">
        <v>20</v>
      </c>
      <c r="G98" s="179">
        <v>45551</v>
      </c>
      <c r="H98" s="415">
        <v>1</v>
      </c>
      <c r="I98" s="416">
        <v>0.58333333333333337</v>
      </c>
      <c r="J98" s="416">
        <v>0.60416666666666663</v>
      </c>
      <c r="K98" s="417">
        <f t="shared" si="4"/>
        <v>0.49999999999999822</v>
      </c>
      <c r="L98" s="9">
        <v>45551</v>
      </c>
      <c r="M98" s="25" t="s">
        <v>220</v>
      </c>
      <c r="N98" s="3" t="s">
        <v>9</v>
      </c>
      <c r="O98" s="2"/>
    </row>
    <row r="99" spans="1:15" s="1" customFormat="1">
      <c r="A99" s="4">
        <f t="shared" ref="A99:A158" si="5">ROW()-1</f>
        <v>98</v>
      </c>
      <c r="B99" s="438" t="s">
        <v>225</v>
      </c>
      <c r="C99" s="25" t="s">
        <v>226</v>
      </c>
      <c r="D99" s="441" t="s">
        <v>227</v>
      </c>
      <c r="E99" s="4">
        <v>10</v>
      </c>
      <c r="F99" s="414">
        <v>20</v>
      </c>
      <c r="G99" s="179">
        <v>45551</v>
      </c>
      <c r="H99" s="415">
        <v>1</v>
      </c>
      <c r="I99" s="416">
        <v>0.58333333333333337</v>
      </c>
      <c r="J99" s="416">
        <v>0.61458333333333337</v>
      </c>
      <c r="K99" s="417">
        <f t="shared" si="4"/>
        <v>0.75</v>
      </c>
      <c r="L99" s="9">
        <v>45551</v>
      </c>
      <c r="M99" s="25" t="s">
        <v>220</v>
      </c>
      <c r="N99" s="3" t="s">
        <v>9</v>
      </c>
      <c r="O99" s="2"/>
    </row>
    <row r="100" spans="1:15" s="1" customFormat="1">
      <c r="A100" s="4">
        <f t="shared" si="5"/>
        <v>99</v>
      </c>
      <c r="B100" s="438" t="s">
        <v>201</v>
      </c>
      <c r="C100" s="4" t="s">
        <v>202</v>
      </c>
      <c r="D100" s="441" t="s">
        <v>96</v>
      </c>
      <c r="E100" s="4">
        <v>1</v>
      </c>
      <c r="F100" s="414">
        <v>1</v>
      </c>
      <c r="G100" s="179">
        <v>45551</v>
      </c>
      <c r="H100" s="415">
        <v>1</v>
      </c>
      <c r="I100" s="416">
        <v>0.58333333333333337</v>
      </c>
      <c r="J100" s="416">
        <v>0.60416666666666663</v>
      </c>
      <c r="K100" s="417">
        <f t="shared" si="4"/>
        <v>0.49999999999999822</v>
      </c>
      <c r="L100" s="9">
        <v>45551</v>
      </c>
      <c r="M100" s="25" t="s">
        <v>220</v>
      </c>
      <c r="N100" s="3" t="s">
        <v>8</v>
      </c>
      <c r="O100" s="26" t="s">
        <v>228</v>
      </c>
    </row>
    <row r="101" spans="1:15" s="1" customFormat="1">
      <c r="A101" s="4">
        <f t="shared" si="5"/>
        <v>100</v>
      </c>
      <c r="B101" s="442" t="s">
        <v>229</v>
      </c>
      <c r="C101" s="443" t="s">
        <v>17</v>
      </c>
      <c r="D101" s="444" t="s">
        <v>230</v>
      </c>
      <c r="E101" s="4">
        <v>1</v>
      </c>
      <c r="F101" s="414">
        <v>2</v>
      </c>
      <c r="G101" s="179">
        <v>45551</v>
      </c>
      <c r="H101" s="415">
        <v>1</v>
      </c>
      <c r="I101" s="416">
        <v>0.58333333333333337</v>
      </c>
      <c r="J101" s="416">
        <v>0.60416666666666663</v>
      </c>
      <c r="K101" s="417">
        <f t="shared" si="4"/>
        <v>0.49999999999999822</v>
      </c>
      <c r="L101" s="9">
        <v>45551</v>
      </c>
      <c r="M101" s="25" t="s">
        <v>220</v>
      </c>
      <c r="N101" s="27" t="s">
        <v>231</v>
      </c>
      <c r="O101" s="2"/>
    </row>
    <row r="102" spans="1:15" s="1" customFormat="1">
      <c r="A102" s="4">
        <f t="shared" si="5"/>
        <v>101</v>
      </c>
      <c r="B102" s="445" t="s">
        <v>233</v>
      </c>
      <c r="C102" s="443" t="s">
        <v>232</v>
      </c>
      <c r="D102" s="444" t="s">
        <v>96</v>
      </c>
      <c r="E102" s="4">
        <v>1</v>
      </c>
      <c r="F102" s="414">
        <v>1</v>
      </c>
      <c r="G102" s="179">
        <v>45553</v>
      </c>
      <c r="H102" s="415">
        <v>1</v>
      </c>
      <c r="I102" s="416">
        <v>0.33333333333333331</v>
      </c>
      <c r="J102" s="446">
        <v>0.5</v>
      </c>
      <c r="K102" s="417">
        <f t="shared" si="4"/>
        <v>4</v>
      </c>
      <c r="L102" s="9">
        <v>45553</v>
      </c>
      <c r="M102" s="25" t="s">
        <v>220</v>
      </c>
      <c r="N102" s="27" t="s">
        <v>231</v>
      </c>
      <c r="O102" s="2"/>
    </row>
    <row r="103" spans="1:15" s="1" customFormat="1">
      <c r="A103" s="4">
        <f t="shared" si="5"/>
        <v>102</v>
      </c>
      <c r="B103" s="445" t="s">
        <v>234</v>
      </c>
      <c r="C103" s="447" t="s">
        <v>27</v>
      </c>
      <c r="D103" s="448" t="s">
        <v>154</v>
      </c>
      <c r="E103" s="4">
        <v>3</v>
      </c>
      <c r="F103" s="414">
        <v>3</v>
      </c>
      <c r="G103" s="179">
        <v>45553</v>
      </c>
      <c r="H103" s="415">
        <v>1</v>
      </c>
      <c r="I103" s="446">
        <v>0.54166666666666663</v>
      </c>
      <c r="J103" s="446">
        <v>0.5625</v>
      </c>
      <c r="K103" s="417">
        <f t="shared" si="4"/>
        <v>0.50000000000000089</v>
      </c>
      <c r="L103" s="9">
        <v>45553</v>
      </c>
      <c r="M103" s="25" t="s">
        <v>220</v>
      </c>
      <c r="N103" s="3" t="s">
        <v>8</v>
      </c>
      <c r="O103" s="2"/>
    </row>
    <row r="104" spans="1:15" s="1" customFormat="1">
      <c r="A104" s="4">
        <f t="shared" si="5"/>
        <v>103</v>
      </c>
      <c r="B104" s="445" t="s">
        <v>235</v>
      </c>
      <c r="C104" s="447" t="s">
        <v>236</v>
      </c>
      <c r="D104" s="448" t="s">
        <v>237</v>
      </c>
      <c r="E104" s="4">
        <v>2</v>
      </c>
      <c r="F104" s="414">
        <v>2</v>
      </c>
      <c r="G104" s="179">
        <v>45553</v>
      </c>
      <c r="H104" s="415">
        <v>1</v>
      </c>
      <c r="I104" s="446">
        <v>0.54166666666666663</v>
      </c>
      <c r="J104" s="446">
        <v>0.5625</v>
      </c>
      <c r="K104" s="417">
        <f t="shared" si="4"/>
        <v>0.50000000000000089</v>
      </c>
      <c r="L104" s="9">
        <v>45553</v>
      </c>
      <c r="M104" s="25" t="s">
        <v>220</v>
      </c>
      <c r="N104" s="3" t="s">
        <v>8</v>
      </c>
      <c r="O104" s="2"/>
    </row>
    <row r="105" spans="1:15" s="1" customFormat="1">
      <c r="A105" s="4">
        <f t="shared" si="5"/>
        <v>104</v>
      </c>
      <c r="B105" s="445" t="s">
        <v>238</v>
      </c>
      <c r="C105" s="447" t="s">
        <v>239</v>
      </c>
      <c r="D105" s="448" t="s">
        <v>70</v>
      </c>
      <c r="E105" s="4">
        <v>1</v>
      </c>
      <c r="F105" s="414">
        <v>1</v>
      </c>
      <c r="G105" s="179">
        <v>45553</v>
      </c>
      <c r="H105" s="415">
        <v>1</v>
      </c>
      <c r="I105" s="446">
        <v>0.54166666666666663</v>
      </c>
      <c r="J105" s="446">
        <v>0.5625</v>
      </c>
      <c r="K105" s="417">
        <f t="shared" si="4"/>
        <v>0.50000000000000089</v>
      </c>
      <c r="L105" s="9">
        <v>45553</v>
      </c>
      <c r="M105" s="25" t="s">
        <v>220</v>
      </c>
      <c r="N105" s="3" t="s">
        <v>8</v>
      </c>
      <c r="O105" s="2"/>
    </row>
    <row r="106" spans="1:15" s="1" customFormat="1">
      <c r="A106" s="4">
        <f t="shared" si="5"/>
        <v>105</v>
      </c>
      <c r="B106" s="449" t="s">
        <v>240</v>
      </c>
      <c r="C106" s="450" t="s">
        <v>241</v>
      </c>
      <c r="D106" s="451" t="s">
        <v>75</v>
      </c>
      <c r="E106" s="4">
        <v>10</v>
      </c>
      <c r="F106" s="414">
        <v>20</v>
      </c>
      <c r="G106" s="179">
        <v>45553</v>
      </c>
      <c r="H106" s="415">
        <v>1</v>
      </c>
      <c r="I106" s="446">
        <v>0.54166666666666663</v>
      </c>
      <c r="J106" s="446">
        <v>0.60416666666666663</v>
      </c>
      <c r="K106" s="417">
        <f t="shared" si="4"/>
        <v>1.5</v>
      </c>
      <c r="L106" s="9">
        <v>45553</v>
      </c>
      <c r="M106" s="25" t="s">
        <v>220</v>
      </c>
      <c r="N106" s="29" t="s">
        <v>6</v>
      </c>
      <c r="O106" s="2"/>
    </row>
    <row r="107" spans="1:15" s="1" customFormat="1">
      <c r="A107" s="4">
        <f t="shared" si="5"/>
        <v>106</v>
      </c>
      <c r="B107" s="452" t="s">
        <v>242</v>
      </c>
      <c r="C107" s="453" t="s">
        <v>243</v>
      </c>
      <c r="D107" s="454" t="s">
        <v>244</v>
      </c>
      <c r="E107" s="4">
        <v>3</v>
      </c>
      <c r="F107" s="414">
        <v>6</v>
      </c>
      <c r="G107" s="179">
        <v>45554</v>
      </c>
      <c r="H107" s="415">
        <v>1</v>
      </c>
      <c r="I107" s="446">
        <v>0.58333333333333337</v>
      </c>
      <c r="J107" s="446">
        <v>0.61458333333333337</v>
      </c>
      <c r="K107" s="417">
        <f t="shared" si="4"/>
        <v>0.75</v>
      </c>
      <c r="L107" s="9">
        <v>45554</v>
      </c>
      <c r="M107" s="25" t="s">
        <v>220</v>
      </c>
      <c r="N107" s="29" t="s">
        <v>6</v>
      </c>
      <c r="O107" s="2"/>
    </row>
    <row r="108" spans="1:15" s="1" customFormat="1">
      <c r="A108" s="4">
        <f t="shared" si="5"/>
        <v>107</v>
      </c>
      <c r="B108" s="452" t="s">
        <v>242</v>
      </c>
      <c r="C108" s="453" t="s">
        <v>243</v>
      </c>
      <c r="D108" s="454" t="s">
        <v>245</v>
      </c>
      <c r="E108" s="4">
        <v>3</v>
      </c>
      <c r="F108" s="414">
        <v>6</v>
      </c>
      <c r="G108" s="179">
        <v>45554</v>
      </c>
      <c r="H108" s="415">
        <v>1</v>
      </c>
      <c r="I108" s="446">
        <v>0.58333333333333337</v>
      </c>
      <c r="J108" s="446">
        <v>0.61458333333333337</v>
      </c>
      <c r="K108" s="417">
        <f t="shared" si="4"/>
        <v>0.75</v>
      </c>
      <c r="L108" s="9">
        <v>45554</v>
      </c>
      <c r="M108" s="25" t="s">
        <v>220</v>
      </c>
      <c r="N108" s="29" t="s">
        <v>6</v>
      </c>
      <c r="O108" s="2"/>
    </row>
    <row r="109" spans="1:15" s="1" customFormat="1">
      <c r="A109" s="4">
        <f t="shared" si="5"/>
        <v>108</v>
      </c>
      <c r="B109" s="412"/>
      <c r="C109" s="455" t="s">
        <v>49</v>
      </c>
      <c r="D109" s="456" t="s">
        <v>246</v>
      </c>
      <c r="E109" s="4"/>
      <c r="F109" s="414"/>
      <c r="G109" s="179">
        <v>45554</v>
      </c>
      <c r="H109" s="415">
        <v>1</v>
      </c>
      <c r="I109" s="446">
        <v>0.54166666666666663</v>
      </c>
      <c r="J109" s="446">
        <v>0.79166666666666663</v>
      </c>
      <c r="K109" s="417">
        <f t="shared" si="4"/>
        <v>6</v>
      </c>
      <c r="L109" s="9">
        <v>45554</v>
      </c>
      <c r="M109" s="25" t="s">
        <v>220</v>
      </c>
      <c r="N109" s="30" t="s">
        <v>247</v>
      </c>
      <c r="O109" s="31" t="s">
        <v>248</v>
      </c>
    </row>
    <row r="110" spans="1:15" s="1" customFormat="1">
      <c r="A110" s="4">
        <f t="shared" si="5"/>
        <v>109</v>
      </c>
      <c r="B110" s="457" t="s">
        <v>249</v>
      </c>
      <c r="C110" s="458" t="s">
        <v>250</v>
      </c>
      <c r="D110" s="459" t="s">
        <v>251</v>
      </c>
      <c r="E110" s="4">
        <v>33</v>
      </c>
      <c r="F110" s="414">
        <v>33</v>
      </c>
      <c r="G110" s="179">
        <v>45555</v>
      </c>
      <c r="H110" s="415">
        <v>1</v>
      </c>
      <c r="I110" s="446">
        <v>0.58333333333333337</v>
      </c>
      <c r="J110" s="446">
        <v>0.625</v>
      </c>
      <c r="K110" s="417">
        <f t="shared" si="4"/>
        <v>0.99999999999999911</v>
      </c>
      <c r="L110" s="9">
        <v>45555</v>
      </c>
      <c r="M110" s="25" t="s">
        <v>220</v>
      </c>
      <c r="N110" s="3" t="s">
        <v>9</v>
      </c>
      <c r="O110" s="2"/>
    </row>
    <row r="111" spans="1:15" s="1" customFormat="1">
      <c r="A111" s="4">
        <f t="shared" si="5"/>
        <v>110</v>
      </c>
      <c r="B111" s="457" t="s">
        <v>252</v>
      </c>
      <c r="C111" s="458" t="s">
        <v>253</v>
      </c>
      <c r="D111" s="459" t="s">
        <v>251</v>
      </c>
      <c r="E111" s="4">
        <v>63</v>
      </c>
      <c r="F111" s="414">
        <v>63</v>
      </c>
      <c r="G111" s="179">
        <v>45555</v>
      </c>
      <c r="H111" s="415">
        <v>1</v>
      </c>
      <c r="I111" s="446">
        <v>0.58333333333333337</v>
      </c>
      <c r="J111" s="460">
        <v>0.64583333333333337</v>
      </c>
      <c r="K111" s="417">
        <f t="shared" si="4"/>
        <v>1.5</v>
      </c>
      <c r="L111" s="9">
        <v>45555</v>
      </c>
      <c r="M111" s="25" t="s">
        <v>220</v>
      </c>
      <c r="N111" s="3" t="s">
        <v>9</v>
      </c>
      <c r="O111" s="2"/>
    </row>
    <row r="112" spans="1:15" s="1" customFormat="1">
      <c r="A112" s="4">
        <f t="shared" si="5"/>
        <v>111</v>
      </c>
      <c r="B112" s="457" t="s">
        <v>254</v>
      </c>
      <c r="C112" s="458" t="s">
        <v>255</v>
      </c>
      <c r="D112" s="459" t="s">
        <v>256</v>
      </c>
      <c r="E112" s="4">
        <v>2</v>
      </c>
      <c r="F112" s="414">
        <v>2</v>
      </c>
      <c r="G112" s="179">
        <v>45555</v>
      </c>
      <c r="H112" s="415">
        <v>1</v>
      </c>
      <c r="I112" s="446">
        <v>0.58333333333333337</v>
      </c>
      <c r="J112" s="446">
        <v>0.59722222222222221</v>
      </c>
      <c r="K112" s="417">
        <f t="shared" si="4"/>
        <v>0.33333333333333215</v>
      </c>
      <c r="L112" s="9">
        <v>45555</v>
      </c>
      <c r="M112" s="25" t="s">
        <v>220</v>
      </c>
      <c r="N112" s="3" t="s">
        <v>11</v>
      </c>
      <c r="O112" s="2"/>
    </row>
    <row r="113" spans="1:15" s="1" customFormat="1">
      <c r="A113" s="4">
        <f t="shared" si="5"/>
        <v>112</v>
      </c>
      <c r="B113" s="457" t="s">
        <v>254</v>
      </c>
      <c r="C113" s="458" t="s">
        <v>255</v>
      </c>
      <c r="D113" s="459" t="s">
        <v>257</v>
      </c>
      <c r="E113" s="4">
        <v>2</v>
      </c>
      <c r="F113" s="414">
        <v>2</v>
      </c>
      <c r="G113" s="179">
        <v>45555</v>
      </c>
      <c r="H113" s="415">
        <v>1</v>
      </c>
      <c r="I113" s="446">
        <v>0.58333333333333337</v>
      </c>
      <c r="J113" s="446">
        <v>0.59722222222222221</v>
      </c>
      <c r="K113" s="417">
        <f t="shared" si="4"/>
        <v>0.33333333333333215</v>
      </c>
      <c r="L113" s="9">
        <v>45555</v>
      </c>
      <c r="M113" s="25" t="s">
        <v>220</v>
      </c>
      <c r="N113" s="3" t="s">
        <v>11</v>
      </c>
      <c r="O113" s="2"/>
    </row>
    <row r="114" spans="1:15" s="1" customFormat="1">
      <c r="A114" s="4">
        <f t="shared" si="5"/>
        <v>113</v>
      </c>
      <c r="B114" s="457" t="s">
        <v>258</v>
      </c>
      <c r="C114" s="458" t="s">
        <v>259</v>
      </c>
      <c r="D114" s="459" t="s">
        <v>122</v>
      </c>
      <c r="E114" s="4">
        <v>1</v>
      </c>
      <c r="F114" s="414">
        <v>1</v>
      </c>
      <c r="G114" s="179">
        <v>45555</v>
      </c>
      <c r="H114" s="415">
        <v>1</v>
      </c>
      <c r="I114" s="446">
        <v>0.58333333333333337</v>
      </c>
      <c r="J114" s="446">
        <v>0.59722222222222221</v>
      </c>
      <c r="K114" s="417">
        <f t="shared" si="4"/>
        <v>0.33333333333333215</v>
      </c>
      <c r="L114" s="9">
        <v>45555</v>
      </c>
      <c r="M114" s="25" t="s">
        <v>220</v>
      </c>
      <c r="N114" s="3" t="s">
        <v>79</v>
      </c>
      <c r="O114" s="2"/>
    </row>
    <row r="115" spans="1:15" s="1" customFormat="1">
      <c r="A115" s="4">
        <f t="shared" si="5"/>
        <v>114</v>
      </c>
      <c r="B115" s="412"/>
      <c r="C115" s="461" t="s">
        <v>260</v>
      </c>
      <c r="D115" s="462" t="s">
        <v>261</v>
      </c>
      <c r="E115" s="4">
        <v>4</v>
      </c>
      <c r="F115" s="414">
        <v>4</v>
      </c>
      <c r="G115" s="179">
        <v>45557</v>
      </c>
      <c r="H115" s="415">
        <v>1</v>
      </c>
      <c r="I115" s="446">
        <v>0.375</v>
      </c>
      <c r="J115" s="446">
        <v>0.39583333333333331</v>
      </c>
      <c r="K115" s="417">
        <f t="shared" si="4"/>
        <v>0.49999999999999956</v>
      </c>
      <c r="L115" s="9">
        <v>45557</v>
      </c>
      <c r="M115" s="33" t="s">
        <v>264</v>
      </c>
      <c r="N115" s="3" t="s">
        <v>7</v>
      </c>
      <c r="O115" s="2" t="s">
        <v>151</v>
      </c>
    </row>
    <row r="116" spans="1:15" s="1" customFormat="1">
      <c r="A116" s="4">
        <f t="shared" si="5"/>
        <v>115</v>
      </c>
      <c r="B116" s="463" t="s">
        <v>240</v>
      </c>
      <c r="C116" s="461" t="s">
        <v>241</v>
      </c>
      <c r="D116" s="462" t="s">
        <v>262</v>
      </c>
      <c r="E116" s="4">
        <v>3</v>
      </c>
      <c r="F116" s="414">
        <v>6</v>
      </c>
      <c r="G116" s="179">
        <v>45557</v>
      </c>
      <c r="H116" s="415">
        <v>1</v>
      </c>
      <c r="I116" s="446">
        <v>0.375</v>
      </c>
      <c r="J116" s="446">
        <v>0.40625</v>
      </c>
      <c r="K116" s="417">
        <f t="shared" si="4"/>
        <v>0.75</v>
      </c>
      <c r="L116" s="9">
        <v>45557</v>
      </c>
      <c r="M116" s="33" t="s">
        <v>264</v>
      </c>
      <c r="N116" s="3" t="s">
        <v>8</v>
      </c>
      <c r="O116" s="2"/>
    </row>
    <row r="117" spans="1:15" s="1" customFormat="1">
      <c r="A117" s="4">
        <f t="shared" si="5"/>
        <v>116</v>
      </c>
      <c r="B117" s="412" t="s">
        <v>233</v>
      </c>
      <c r="C117" s="4" t="s">
        <v>232</v>
      </c>
      <c r="D117" s="418" t="s">
        <v>96</v>
      </c>
      <c r="E117" s="4">
        <v>1</v>
      </c>
      <c r="F117" s="414">
        <v>1</v>
      </c>
      <c r="G117" s="179">
        <v>45558</v>
      </c>
      <c r="H117" s="415">
        <v>1</v>
      </c>
      <c r="I117" s="446">
        <v>0.54166666666666663</v>
      </c>
      <c r="J117" s="446">
        <v>0.58333333333333337</v>
      </c>
      <c r="K117" s="417">
        <f t="shared" si="4"/>
        <v>1.0000000000000018</v>
      </c>
      <c r="L117" s="9">
        <v>45558</v>
      </c>
      <c r="M117" s="33" t="s">
        <v>264</v>
      </c>
      <c r="N117" s="3" t="s">
        <v>231</v>
      </c>
      <c r="O117" s="32" t="s">
        <v>228</v>
      </c>
    </row>
    <row r="118" spans="1:15" s="1" customFormat="1">
      <c r="A118" s="4">
        <f t="shared" si="5"/>
        <v>117</v>
      </c>
      <c r="B118" s="464" t="s">
        <v>263</v>
      </c>
      <c r="C118" s="7"/>
      <c r="D118" s="424"/>
      <c r="E118" s="7">
        <v>4</v>
      </c>
      <c r="F118" s="425">
        <v>1</v>
      </c>
      <c r="G118" s="426">
        <v>45558</v>
      </c>
      <c r="H118" s="427">
        <v>1</v>
      </c>
      <c r="I118" s="465">
        <v>0.54166666666666663</v>
      </c>
      <c r="J118" s="466">
        <v>0.57291666666666663</v>
      </c>
      <c r="K118" s="417">
        <f t="shared" si="4"/>
        <v>0.75</v>
      </c>
      <c r="L118" s="11">
        <v>45558</v>
      </c>
      <c r="M118" s="34" t="s">
        <v>264</v>
      </c>
      <c r="N118" s="35" t="s">
        <v>185</v>
      </c>
      <c r="O118" s="2"/>
    </row>
    <row r="119" spans="1:15" s="1" customFormat="1">
      <c r="A119" s="4">
        <f t="shared" si="5"/>
        <v>118</v>
      </c>
      <c r="B119" s="464" t="s">
        <v>263</v>
      </c>
      <c r="C119" s="7"/>
      <c r="D119" s="424"/>
      <c r="E119" s="7">
        <v>6</v>
      </c>
      <c r="F119" s="425">
        <v>1</v>
      </c>
      <c r="G119" s="426">
        <v>45558</v>
      </c>
      <c r="H119" s="427">
        <v>1</v>
      </c>
      <c r="I119" s="465">
        <v>0.54166666666666663</v>
      </c>
      <c r="J119" s="466">
        <v>0.57291666666666663</v>
      </c>
      <c r="K119" s="417">
        <f t="shared" si="4"/>
        <v>0.75</v>
      </c>
      <c r="L119" s="11">
        <v>45558</v>
      </c>
      <c r="M119" s="34" t="s">
        <v>264</v>
      </c>
      <c r="N119" s="35" t="s">
        <v>185</v>
      </c>
      <c r="O119" s="2"/>
    </row>
    <row r="120" spans="1:15" s="1" customFormat="1">
      <c r="A120" s="4">
        <f t="shared" si="5"/>
        <v>119</v>
      </c>
      <c r="B120" s="464" t="s">
        <v>263</v>
      </c>
      <c r="C120" s="7"/>
      <c r="D120" s="424"/>
      <c r="E120" s="7">
        <v>4</v>
      </c>
      <c r="F120" s="425">
        <v>1</v>
      </c>
      <c r="G120" s="426">
        <v>45558</v>
      </c>
      <c r="H120" s="427">
        <v>1</v>
      </c>
      <c r="I120" s="465">
        <v>0.54166666666666663</v>
      </c>
      <c r="J120" s="466">
        <v>0.57291666666666663</v>
      </c>
      <c r="K120" s="417">
        <f t="shared" si="4"/>
        <v>0.75</v>
      </c>
      <c r="L120" s="11">
        <v>45558</v>
      </c>
      <c r="M120" s="34" t="s">
        <v>264</v>
      </c>
      <c r="N120" s="35" t="s">
        <v>185</v>
      </c>
      <c r="O120" s="2"/>
    </row>
    <row r="121" spans="1:15" s="1" customFormat="1">
      <c r="A121" s="4">
        <f t="shared" si="5"/>
        <v>120</v>
      </c>
      <c r="B121" s="464" t="s">
        <v>263</v>
      </c>
      <c r="C121" s="7"/>
      <c r="D121" s="424"/>
      <c r="E121" s="7">
        <v>2</v>
      </c>
      <c r="F121" s="425">
        <v>1</v>
      </c>
      <c r="G121" s="426">
        <v>45558</v>
      </c>
      <c r="H121" s="427">
        <v>1</v>
      </c>
      <c r="I121" s="465">
        <v>0.54166666666666663</v>
      </c>
      <c r="J121" s="465">
        <v>0.5625</v>
      </c>
      <c r="K121" s="417">
        <f t="shared" si="4"/>
        <v>0.50000000000000089</v>
      </c>
      <c r="L121" s="11">
        <v>45558</v>
      </c>
      <c r="M121" s="34" t="s">
        <v>264</v>
      </c>
      <c r="N121" s="35" t="s">
        <v>185</v>
      </c>
      <c r="O121" s="2"/>
    </row>
    <row r="122" spans="1:15" s="1" customFormat="1">
      <c r="A122" s="4">
        <f t="shared" si="5"/>
        <v>121</v>
      </c>
      <c r="B122" s="464" t="s">
        <v>263</v>
      </c>
      <c r="C122" s="7"/>
      <c r="D122" s="424"/>
      <c r="E122" s="7">
        <v>2</v>
      </c>
      <c r="F122" s="425">
        <v>1</v>
      </c>
      <c r="G122" s="426">
        <v>45558</v>
      </c>
      <c r="H122" s="427">
        <v>1</v>
      </c>
      <c r="I122" s="465">
        <v>0.54166666666666663</v>
      </c>
      <c r="J122" s="466">
        <v>0.57291666666666663</v>
      </c>
      <c r="K122" s="417">
        <f t="shared" si="4"/>
        <v>0.75</v>
      </c>
      <c r="L122" s="11">
        <v>45558</v>
      </c>
      <c r="M122" s="34" t="s">
        <v>264</v>
      </c>
      <c r="N122" s="35" t="s">
        <v>185</v>
      </c>
      <c r="O122" s="2"/>
    </row>
    <row r="123" spans="1:15" s="1" customFormat="1">
      <c r="A123" s="4">
        <f t="shared" si="5"/>
        <v>122</v>
      </c>
      <c r="B123" s="464" t="s">
        <v>263</v>
      </c>
      <c r="C123" s="7"/>
      <c r="D123" s="424"/>
      <c r="E123" s="7">
        <v>4</v>
      </c>
      <c r="F123" s="425">
        <v>1</v>
      </c>
      <c r="G123" s="426">
        <v>45558</v>
      </c>
      <c r="H123" s="427">
        <v>1</v>
      </c>
      <c r="I123" s="465">
        <v>0.54166666666666663</v>
      </c>
      <c r="J123" s="466">
        <v>0.57291666666666663</v>
      </c>
      <c r="K123" s="417">
        <f t="shared" si="4"/>
        <v>0.75</v>
      </c>
      <c r="L123" s="11">
        <v>45558</v>
      </c>
      <c r="M123" s="34" t="s">
        <v>264</v>
      </c>
      <c r="N123" s="35" t="s">
        <v>185</v>
      </c>
      <c r="O123" s="2"/>
    </row>
    <row r="124" spans="1:15" s="1" customFormat="1">
      <c r="A124" s="4">
        <f t="shared" si="5"/>
        <v>123</v>
      </c>
      <c r="B124" s="464" t="s">
        <v>263</v>
      </c>
      <c r="C124" s="7"/>
      <c r="D124" s="424"/>
      <c r="E124" s="7">
        <v>4</v>
      </c>
      <c r="F124" s="425">
        <v>1</v>
      </c>
      <c r="G124" s="426">
        <v>45558</v>
      </c>
      <c r="H124" s="427">
        <v>1</v>
      </c>
      <c r="I124" s="465">
        <v>0.54166666666666663</v>
      </c>
      <c r="J124" s="466">
        <v>0.57291666666666663</v>
      </c>
      <c r="K124" s="417">
        <f t="shared" si="4"/>
        <v>0.75</v>
      </c>
      <c r="L124" s="11">
        <v>45558</v>
      </c>
      <c r="M124" s="34" t="s">
        <v>264</v>
      </c>
      <c r="N124" s="35" t="s">
        <v>185</v>
      </c>
      <c r="O124" s="2"/>
    </row>
    <row r="125" spans="1:15" s="1" customFormat="1">
      <c r="A125" s="4">
        <f t="shared" si="5"/>
        <v>124</v>
      </c>
      <c r="B125" s="464" t="s">
        <v>263</v>
      </c>
      <c r="C125" s="7"/>
      <c r="D125" s="424"/>
      <c r="E125" s="7">
        <v>4</v>
      </c>
      <c r="F125" s="425">
        <v>1</v>
      </c>
      <c r="G125" s="426">
        <v>45558</v>
      </c>
      <c r="H125" s="427">
        <v>1</v>
      </c>
      <c r="I125" s="465">
        <v>0.54166666666666663</v>
      </c>
      <c r="J125" s="465">
        <v>0.5625</v>
      </c>
      <c r="K125" s="417">
        <f t="shared" si="4"/>
        <v>0.50000000000000089</v>
      </c>
      <c r="L125" s="11">
        <v>45558</v>
      </c>
      <c r="M125" s="34" t="s">
        <v>264</v>
      </c>
      <c r="N125" s="35" t="s">
        <v>185</v>
      </c>
      <c r="O125" s="2"/>
    </row>
    <row r="126" spans="1:15" s="1" customFormat="1">
      <c r="A126" s="4">
        <f t="shared" si="5"/>
        <v>125</v>
      </c>
      <c r="B126" s="464" t="s">
        <v>263</v>
      </c>
      <c r="C126" s="7"/>
      <c r="D126" s="424"/>
      <c r="E126" s="7">
        <v>6</v>
      </c>
      <c r="F126" s="425">
        <v>1</v>
      </c>
      <c r="G126" s="426">
        <v>45558</v>
      </c>
      <c r="H126" s="427">
        <v>1</v>
      </c>
      <c r="I126" s="465">
        <v>0.54166666666666663</v>
      </c>
      <c r="J126" s="466">
        <v>0.57291666666666663</v>
      </c>
      <c r="K126" s="417">
        <f t="shared" si="4"/>
        <v>0.75</v>
      </c>
      <c r="L126" s="11">
        <v>45558</v>
      </c>
      <c r="M126" s="34" t="s">
        <v>264</v>
      </c>
      <c r="N126" s="35" t="s">
        <v>185</v>
      </c>
      <c r="O126" s="2"/>
    </row>
    <row r="127" spans="1:15" s="1" customFormat="1">
      <c r="A127" s="4">
        <f t="shared" si="5"/>
        <v>126</v>
      </c>
      <c r="B127" s="464" t="s">
        <v>263</v>
      </c>
      <c r="C127" s="7"/>
      <c r="D127" s="424"/>
      <c r="E127" s="7">
        <v>2</v>
      </c>
      <c r="F127" s="425">
        <v>1</v>
      </c>
      <c r="G127" s="426">
        <v>45558</v>
      </c>
      <c r="H127" s="427">
        <v>1</v>
      </c>
      <c r="I127" s="465">
        <v>0.54166666666666663</v>
      </c>
      <c r="J127" s="465">
        <v>0.5625</v>
      </c>
      <c r="K127" s="417">
        <f t="shared" si="4"/>
        <v>0.50000000000000089</v>
      </c>
      <c r="L127" s="11">
        <v>45558</v>
      </c>
      <c r="M127" s="34" t="s">
        <v>264</v>
      </c>
      <c r="N127" s="35" t="s">
        <v>185</v>
      </c>
      <c r="O127" s="2"/>
    </row>
    <row r="128" spans="1:15" s="1" customFormat="1">
      <c r="A128" s="4">
        <f t="shared" si="5"/>
        <v>127</v>
      </c>
      <c r="B128" s="464" t="s">
        <v>263</v>
      </c>
      <c r="C128" s="7"/>
      <c r="D128" s="424"/>
      <c r="E128" s="7">
        <v>2</v>
      </c>
      <c r="F128" s="425">
        <v>1</v>
      </c>
      <c r="G128" s="426">
        <v>45558</v>
      </c>
      <c r="H128" s="427">
        <v>1</v>
      </c>
      <c r="I128" s="465">
        <v>0.54166666666666663</v>
      </c>
      <c r="J128" s="465">
        <v>0.5625</v>
      </c>
      <c r="K128" s="417">
        <f t="shared" si="4"/>
        <v>0.50000000000000089</v>
      </c>
      <c r="L128" s="11">
        <v>45558</v>
      </c>
      <c r="M128" s="34" t="s">
        <v>264</v>
      </c>
      <c r="N128" s="35" t="s">
        <v>185</v>
      </c>
      <c r="O128" s="2"/>
    </row>
    <row r="129" spans="1:15" s="1" customFormat="1">
      <c r="A129" s="4">
        <f t="shared" si="5"/>
        <v>128</v>
      </c>
      <c r="B129" s="464" t="s">
        <v>263</v>
      </c>
      <c r="C129" s="7"/>
      <c r="D129" s="424"/>
      <c r="E129" s="7">
        <v>2</v>
      </c>
      <c r="F129" s="425">
        <v>1</v>
      </c>
      <c r="G129" s="426">
        <v>45558</v>
      </c>
      <c r="H129" s="427">
        <v>1</v>
      </c>
      <c r="I129" s="465">
        <v>0.54166666666666663</v>
      </c>
      <c r="J129" s="465">
        <v>0.5625</v>
      </c>
      <c r="K129" s="417">
        <f t="shared" si="4"/>
        <v>0.50000000000000089</v>
      </c>
      <c r="L129" s="11">
        <v>45558</v>
      </c>
      <c r="M129" s="34" t="s">
        <v>264</v>
      </c>
      <c r="N129" s="35" t="s">
        <v>185</v>
      </c>
      <c r="O129" s="2"/>
    </row>
    <row r="130" spans="1:15" s="1" customFormat="1">
      <c r="A130" s="4">
        <f t="shared" si="5"/>
        <v>129</v>
      </c>
      <c r="B130" s="464" t="s">
        <v>263</v>
      </c>
      <c r="C130" s="7"/>
      <c r="D130" s="424"/>
      <c r="E130" s="7">
        <v>2</v>
      </c>
      <c r="F130" s="425">
        <v>1</v>
      </c>
      <c r="G130" s="426">
        <v>45558</v>
      </c>
      <c r="H130" s="427">
        <v>1</v>
      </c>
      <c r="I130" s="465">
        <v>0.54166666666666663</v>
      </c>
      <c r="J130" s="465">
        <v>0.5625</v>
      </c>
      <c r="K130" s="417">
        <f t="shared" si="4"/>
        <v>0.50000000000000089</v>
      </c>
      <c r="L130" s="11">
        <v>45558</v>
      </c>
      <c r="M130" s="34" t="s">
        <v>264</v>
      </c>
      <c r="N130" s="35" t="s">
        <v>185</v>
      </c>
      <c r="O130" s="2"/>
    </row>
    <row r="131" spans="1:15" s="1" customFormat="1">
      <c r="A131" s="4">
        <f t="shared" si="5"/>
        <v>130</v>
      </c>
      <c r="B131" s="467" t="s">
        <v>196</v>
      </c>
      <c r="C131" s="468" t="s">
        <v>265</v>
      </c>
      <c r="D131" s="469" t="s">
        <v>266</v>
      </c>
      <c r="E131" s="4">
        <v>310</v>
      </c>
      <c r="F131" s="414">
        <v>310</v>
      </c>
      <c r="G131" s="179">
        <v>45559</v>
      </c>
      <c r="H131" s="415">
        <v>1</v>
      </c>
      <c r="I131" s="446">
        <v>0.41666666666666669</v>
      </c>
      <c r="J131" s="446">
        <v>0.45833333333333331</v>
      </c>
      <c r="K131" s="417">
        <f t="shared" si="4"/>
        <v>0.99999999999999911</v>
      </c>
      <c r="L131" s="9">
        <v>45559</v>
      </c>
      <c r="M131" s="36" t="s">
        <v>264</v>
      </c>
      <c r="N131" s="3" t="s">
        <v>79</v>
      </c>
      <c r="O131" s="2"/>
    </row>
    <row r="132" spans="1:15" s="1" customFormat="1">
      <c r="A132" s="4">
        <f t="shared" si="5"/>
        <v>131</v>
      </c>
      <c r="B132" s="467" t="s">
        <v>267</v>
      </c>
      <c r="C132" s="468" t="s">
        <v>268</v>
      </c>
      <c r="D132" s="469" t="s">
        <v>245</v>
      </c>
      <c r="E132" s="4">
        <v>16</v>
      </c>
      <c r="F132" s="414">
        <v>16</v>
      </c>
      <c r="G132" s="179">
        <v>45559</v>
      </c>
      <c r="H132" s="415">
        <v>1</v>
      </c>
      <c r="I132" s="446">
        <v>0.375</v>
      </c>
      <c r="J132" s="446">
        <v>0.41666666666666669</v>
      </c>
      <c r="K132" s="417">
        <f t="shared" ref="K132:K195" si="6">(J132-I132)*24*H132</f>
        <v>1.0000000000000004</v>
      </c>
      <c r="L132" s="9">
        <v>45559</v>
      </c>
      <c r="M132" s="36" t="s">
        <v>264</v>
      </c>
      <c r="N132" s="3" t="s">
        <v>6</v>
      </c>
      <c r="O132" s="2"/>
    </row>
    <row r="133" spans="1:15" s="1" customFormat="1">
      <c r="A133" s="4">
        <f t="shared" si="5"/>
        <v>132</v>
      </c>
      <c r="B133" s="467" t="s">
        <v>269</v>
      </c>
      <c r="C133" s="468" t="s">
        <v>270</v>
      </c>
      <c r="D133" s="469" t="s">
        <v>96</v>
      </c>
      <c r="E133" s="4">
        <v>5</v>
      </c>
      <c r="F133" s="414">
        <v>5</v>
      </c>
      <c r="G133" s="179">
        <v>45559</v>
      </c>
      <c r="H133" s="415">
        <v>1</v>
      </c>
      <c r="I133" s="446">
        <v>0.375</v>
      </c>
      <c r="J133" s="446">
        <v>0.39583333333333331</v>
      </c>
      <c r="K133" s="417">
        <f t="shared" si="6"/>
        <v>0.49999999999999956</v>
      </c>
      <c r="L133" s="9">
        <v>45559</v>
      </c>
      <c r="M133" s="36" t="s">
        <v>264</v>
      </c>
      <c r="N133" s="3" t="s">
        <v>6</v>
      </c>
      <c r="O133" s="2"/>
    </row>
    <row r="134" spans="1:15" s="1" customFormat="1">
      <c r="A134" s="4">
        <f t="shared" si="5"/>
        <v>133</v>
      </c>
      <c r="B134" s="467" t="s">
        <v>271</v>
      </c>
      <c r="C134" s="468" t="s">
        <v>272</v>
      </c>
      <c r="D134" s="469" t="s">
        <v>273</v>
      </c>
      <c r="E134" s="4">
        <v>2</v>
      </c>
      <c r="F134" s="414">
        <v>4</v>
      </c>
      <c r="G134" s="179">
        <v>45559</v>
      </c>
      <c r="H134" s="415">
        <v>1</v>
      </c>
      <c r="I134" s="446">
        <v>0.375</v>
      </c>
      <c r="J134" s="446">
        <v>0.39583333333333331</v>
      </c>
      <c r="K134" s="417">
        <f t="shared" si="6"/>
        <v>0.49999999999999956</v>
      </c>
      <c r="L134" s="9">
        <v>45559</v>
      </c>
      <c r="M134" s="36" t="s">
        <v>264</v>
      </c>
      <c r="N134" s="3" t="s">
        <v>6</v>
      </c>
      <c r="O134" s="2"/>
    </row>
    <row r="135" spans="1:15" s="1" customFormat="1">
      <c r="A135" s="4">
        <f t="shared" si="5"/>
        <v>134</v>
      </c>
      <c r="B135" s="467" t="s">
        <v>276</v>
      </c>
      <c r="C135" s="468" t="s">
        <v>277</v>
      </c>
      <c r="D135" s="469" t="s">
        <v>227</v>
      </c>
      <c r="E135" s="4">
        <v>2</v>
      </c>
      <c r="F135" s="414">
        <v>2</v>
      </c>
      <c r="G135" s="179">
        <v>45559</v>
      </c>
      <c r="H135" s="415">
        <v>1</v>
      </c>
      <c r="I135" s="446">
        <v>0.375</v>
      </c>
      <c r="J135" s="446">
        <v>0.39583333333333331</v>
      </c>
      <c r="K135" s="417">
        <f t="shared" si="6"/>
        <v>0.49999999999999956</v>
      </c>
      <c r="L135" s="9">
        <v>45559</v>
      </c>
      <c r="M135" s="36" t="s">
        <v>264</v>
      </c>
      <c r="N135" s="3" t="s">
        <v>6</v>
      </c>
      <c r="O135" s="2"/>
    </row>
    <row r="136" spans="1:15" s="1" customFormat="1">
      <c r="A136" s="4">
        <f t="shared" si="5"/>
        <v>135</v>
      </c>
      <c r="B136" s="467" t="s">
        <v>278</v>
      </c>
      <c r="C136" s="468" t="s">
        <v>279</v>
      </c>
      <c r="D136" s="469" t="s">
        <v>280</v>
      </c>
      <c r="E136" s="4">
        <v>2</v>
      </c>
      <c r="F136" s="414">
        <v>2</v>
      </c>
      <c r="G136" s="179">
        <v>45559</v>
      </c>
      <c r="H136" s="415">
        <v>1</v>
      </c>
      <c r="I136" s="446">
        <v>0.375</v>
      </c>
      <c r="J136" s="446">
        <v>0.3888888888888889</v>
      </c>
      <c r="K136" s="417">
        <f t="shared" si="6"/>
        <v>0.33333333333333348</v>
      </c>
      <c r="L136" s="9">
        <v>45559</v>
      </c>
      <c r="M136" s="36" t="s">
        <v>264</v>
      </c>
      <c r="N136" s="3" t="s">
        <v>6</v>
      </c>
      <c r="O136" s="2"/>
    </row>
    <row r="137" spans="1:15" s="1" customFormat="1">
      <c r="A137" s="4">
        <f t="shared" si="5"/>
        <v>136</v>
      </c>
      <c r="B137" s="470"/>
      <c r="C137" s="471" t="s">
        <v>283</v>
      </c>
      <c r="D137" s="472" t="s">
        <v>96</v>
      </c>
      <c r="E137" s="4">
        <v>1</v>
      </c>
      <c r="F137" s="414">
        <v>1</v>
      </c>
      <c r="G137" s="179">
        <v>45560</v>
      </c>
      <c r="H137" s="415">
        <v>1</v>
      </c>
      <c r="I137" s="446">
        <v>0.58333333333333337</v>
      </c>
      <c r="J137" s="446">
        <v>0.61805555555555558</v>
      </c>
      <c r="K137" s="417">
        <f t="shared" si="6"/>
        <v>0.83333333333333304</v>
      </c>
      <c r="L137" s="9">
        <v>45560</v>
      </c>
      <c r="M137" s="36" t="s">
        <v>264</v>
      </c>
      <c r="N137" s="3" t="s">
        <v>8</v>
      </c>
      <c r="O137" s="2"/>
    </row>
    <row r="138" spans="1:15" s="1" customFormat="1">
      <c r="A138" s="3">
        <f t="shared" si="5"/>
        <v>137</v>
      </c>
      <c r="B138" s="473" t="s">
        <v>284</v>
      </c>
      <c r="C138" s="473" t="s">
        <v>285</v>
      </c>
      <c r="D138" s="474" t="s">
        <v>286</v>
      </c>
      <c r="E138" s="475">
        <v>1</v>
      </c>
      <c r="F138" s="414">
        <v>1</v>
      </c>
      <c r="G138" s="179">
        <v>45562</v>
      </c>
      <c r="H138" s="415">
        <v>1</v>
      </c>
      <c r="I138" s="446">
        <v>0.375</v>
      </c>
      <c r="J138" s="446">
        <v>0.3888888888888889</v>
      </c>
      <c r="K138" s="417">
        <f t="shared" si="6"/>
        <v>0.33333333333333348</v>
      </c>
      <c r="L138" s="9">
        <v>45562</v>
      </c>
      <c r="M138" s="36" t="s">
        <v>264</v>
      </c>
      <c r="N138" s="37" t="s">
        <v>287</v>
      </c>
      <c r="O138" s="2"/>
    </row>
    <row r="139" spans="1:15" s="1" customFormat="1">
      <c r="A139" s="3">
        <f t="shared" si="5"/>
        <v>138</v>
      </c>
      <c r="B139" s="473" t="s">
        <v>284</v>
      </c>
      <c r="C139" s="473" t="s">
        <v>285</v>
      </c>
      <c r="D139" s="474" t="s">
        <v>288</v>
      </c>
      <c r="E139" s="475">
        <v>1</v>
      </c>
      <c r="F139" s="414">
        <v>2</v>
      </c>
      <c r="G139" s="179">
        <v>45562</v>
      </c>
      <c r="H139" s="415">
        <v>1</v>
      </c>
      <c r="I139" s="446">
        <v>0.375</v>
      </c>
      <c r="J139" s="446">
        <v>0.3888888888888889</v>
      </c>
      <c r="K139" s="417">
        <f t="shared" si="6"/>
        <v>0.33333333333333348</v>
      </c>
      <c r="L139" s="9">
        <v>45562</v>
      </c>
      <c r="M139" s="36" t="s">
        <v>264</v>
      </c>
      <c r="N139" s="37" t="s">
        <v>287</v>
      </c>
      <c r="O139" s="2"/>
    </row>
    <row r="140" spans="1:15" s="1" customFormat="1">
      <c r="A140" s="3">
        <f t="shared" si="5"/>
        <v>139</v>
      </c>
      <c r="B140" s="473" t="s">
        <v>284</v>
      </c>
      <c r="C140" s="473" t="s">
        <v>285</v>
      </c>
      <c r="D140" s="474" t="s">
        <v>289</v>
      </c>
      <c r="E140" s="475">
        <v>1</v>
      </c>
      <c r="F140" s="414">
        <v>2</v>
      </c>
      <c r="G140" s="179">
        <v>45562</v>
      </c>
      <c r="H140" s="415">
        <v>1</v>
      </c>
      <c r="I140" s="446">
        <v>0.375</v>
      </c>
      <c r="J140" s="446">
        <v>0.3888888888888889</v>
      </c>
      <c r="K140" s="417">
        <f t="shared" si="6"/>
        <v>0.33333333333333348</v>
      </c>
      <c r="L140" s="9">
        <v>45562</v>
      </c>
      <c r="M140" s="36" t="s">
        <v>264</v>
      </c>
      <c r="N140" s="37" t="s">
        <v>287</v>
      </c>
      <c r="O140" s="2"/>
    </row>
    <row r="141" spans="1:15" s="1" customFormat="1">
      <c r="A141" s="3">
        <f t="shared" si="5"/>
        <v>140</v>
      </c>
      <c r="B141" s="473" t="s">
        <v>284</v>
      </c>
      <c r="C141" s="473" t="s">
        <v>285</v>
      </c>
      <c r="D141" s="474" t="s">
        <v>113</v>
      </c>
      <c r="E141" s="475">
        <v>1</v>
      </c>
      <c r="F141" s="414">
        <v>2</v>
      </c>
      <c r="G141" s="179">
        <v>45562</v>
      </c>
      <c r="H141" s="415">
        <v>1</v>
      </c>
      <c r="I141" s="446">
        <v>0.375</v>
      </c>
      <c r="J141" s="446">
        <v>0.3888888888888889</v>
      </c>
      <c r="K141" s="417">
        <f t="shared" si="6"/>
        <v>0.33333333333333348</v>
      </c>
      <c r="L141" s="9">
        <v>45562</v>
      </c>
      <c r="M141" s="36" t="s">
        <v>264</v>
      </c>
      <c r="N141" s="37" t="s">
        <v>287</v>
      </c>
      <c r="O141" s="2"/>
    </row>
    <row r="142" spans="1:15" s="1" customFormat="1">
      <c r="A142" s="3">
        <f t="shared" si="5"/>
        <v>141</v>
      </c>
      <c r="B142" s="473" t="s">
        <v>284</v>
      </c>
      <c r="C142" s="473" t="s">
        <v>285</v>
      </c>
      <c r="D142" s="474" t="s">
        <v>290</v>
      </c>
      <c r="E142" s="475">
        <v>1</v>
      </c>
      <c r="F142" s="414">
        <v>2</v>
      </c>
      <c r="G142" s="179">
        <v>45562</v>
      </c>
      <c r="H142" s="415">
        <v>1</v>
      </c>
      <c r="I142" s="446">
        <v>0.375</v>
      </c>
      <c r="J142" s="446">
        <v>0.39583333333333331</v>
      </c>
      <c r="K142" s="417">
        <f t="shared" si="6"/>
        <v>0.49999999999999956</v>
      </c>
      <c r="L142" s="9">
        <v>45562</v>
      </c>
      <c r="M142" s="36" t="s">
        <v>264</v>
      </c>
      <c r="N142" s="37" t="s">
        <v>287</v>
      </c>
      <c r="O142" s="2"/>
    </row>
    <row r="143" spans="1:15" s="1" customFormat="1">
      <c r="A143" s="3">
        <f t="shared" si="5"/>
        <v>142</v>
      </c>
      <c r="B143" s="476" t="s">
        <v>291</v>
      </c>
      <c r="C143" s="473" t="s">
        <v>292</v>
      </c>
      <c r="D143" s="474" t="s">
        <v>62</v>
      </c>
      <c r="E143" s="475">
        <v>1</v>
      </c>
      <c r="F143" s="414">
        <v>1</v>
      </c>
      <c r="G143" s="179">
        <v>45562</v>
      </c>
      <c r="H143" s="415">
        <v>1</v>
      </c>
      <c r="I143" s="446">
        <v>0.375</v>
      </c>
      <c r="J143" s="446">
        <v>0.39583333333333331</v>
      </c>
      <c r="K143" s="417">
        <f t="shared" si="6"/>
        <v>0.49999999999999956</v>
      </c>
      <c r="L143" s="9">
        <v>45562</v>
      </c>
      <c r="M143" s="36" t="s">
        <v>264</v>
      </c>
      <c r="N143" s="37" t="s">
        <v>287</v>
      </c>
      <c r="O143" s="2"/>
    </row>
    <row r="144" spans="1:15" s="1" customFormat="1">
      <c r="A144" s="3">
        <f t="shared" si="5"/>
        <v>143</v>
      </c>
      <c r="B144" s="473" t="s">
        <v>293</v>
      </c>
      <c r="C144" s="473" t="s">
        <v>294</v>
      </c>
      <c r="D144" s="474" t="s">
        <v>62</v>
      </c>
      <c r="E144" s="475">
        <v>1</v>
      </c>
      <c r="F144" s="414">
        <v>1</v>
      </c>
      <c r="G144" s="179">
        <v>45562</v>
      </c>
      <c r="H144" s="415">
        <v>1</v>
      </c>
      <c r="I144" s="446">
        <v>0.375</v>
      </c>
      <c r="J144" s="446">
        <v>0.3888888888888889</v>
      </c>
      <c r="K144" s="417">
        <f t="shared" si="6"/>
        <v>0.33333333333333348</v>
      </c>
      <c r="L144" s="9">
        <v>45562</v>
      </c>
      <c r="M144" s="36" t="s">
        <v>264</v>
      </c>
      <c r="N144" s="37" t="s">
        <v>287</v>
      </c>
      <c r="O144" s="2"/>
    </row>
    <row r="145" spans="1:15" s="1" customFormat="1">
      <c r="A145" s="3">
        <f t="shared" si="5"/>
        <v>144</v>
      </c>
      <c r="B145" s="473" t="s">
        <v>293</v>
      </c>
      <c r="C145" s="473" t="s">
        <v>294</v>
      </c>
      <c r="D145" s="474" t="s">
        <v>288</v>
      </c>
      <c r="E145" s="475">
        <v>1</v>
      </c>
      <c r="F145" s="414">
        <v>1</v>
      </c>
      <c r="G145" s="179">
        <v>45562</v>
      </c>
      <c r="H145" s="415">
        <v>1</v>
      </c>
      <c r="I145" s="446">
        <v>0.375</v>
      </c>
      <c r="J145" s="446">
        <v>0.3888888888888889</v>
      </c>
      <c r="K145" s="417">
        <f t="shared" si="6"/>
        <v>0.33333333333333348</v>
      </c>
      <c r="L145" s="9">
        <v>45562</v>
      </c>
      <c r="M145" s="36" t="s">
        <v>264</v>
      </c>
      <c r="N145" s="37" t="s">
        <v>287</v>
      </c>
      <c r="O145" s="2"/>
    </row>
    <row r="146" spans="1:15" s="1" customFormat="1">
      <c r="A146" s="3">
        <f t="shared" si="5"/>
        <v>145</v>
      </c>
      <c r="B146" s="473" t="s">
        <v>293</v>
      </c>
      <c r="C146" s="473" t="s">
        <v>294</v>
      </c>
      <c r="D146" s="474" t="s">
        <v>289</v>
      </c>
      <c r="E146" s="475">
        <v>1</v>
      </c>
      <c r="F146" s="414">
        <v>2</v>
      </c>
      <c r="G146" s="179">
        <v>45562</v>
      </c>
      <c r="H146" s="415">
        <v>1</v>
      </c>
      <c r="I146" s="446">
        <v>0.375</v>
      </c>
      <c r="J146" s="446">
        <v>0.3888888888888889</v>
      </c>
      <c r="K146" s="417">
        <f t="shared" si="6"/>
        <v>0.33333333333333348</v>
      </c>
      <c r="L146" s="9">
        <v>45562</v>
      </c>
      <c r="M146" s="36" t="s">
        <v>264</v>
      </c>
      <c r="N146" s="37" t="s">
        <v>287</v>
      </c>
      <c r="O146" s="2"/>
    </row>
    <row r="147" spans="1:15" s="1" customFormat="1">
      <c r="A147" s="3">
        <f t="shared" si="5"/>
        <v>146</v>
      </c>
      <c r="B147" s="473" t="s">
        <v>293</v>
      </c>
      <c r="C147" s="473" t="s">
        <v>294</v>
      </c>
      <c r="D147" s="474" t="s">
        <v>113</v>
      </c>
      <c r="E147" s="475">
        <v>1</v>
      </c>
      <c r="F147" s="414">
        <v>2</v>
      </c>
      <c r="G147" s="179">
        <v>45562</v>
      </c>
      <c r="H147" s="415">
        <v>1</v>
      </c>
      <c r="I147" s="446">
        <v>0.375</v>
      </c>
      <c r="J147" s="446">
        <v>0.3888888888888889</v>
      </c>
      <c r="K147" s="417">
        <f t="shared" si="6"/>
        <v>0.33333333333333348</v>
      </c>
      <c r="L147" s="9">
        <v>45562</v>
      </c>
      <c r="M147" s="36" t="s">
        <v>264</v>
      </c>
      <c r="N147" s="37" t="s">
        <v>287</v>
      </c>
      <c r="O147" s="2"/>
    </row>
    <row r="148" spans="1:15" s="1" customFormat="1">
      <c r="A148" s="3">
        <f t="shared" si="5"/>
        <v>147</v>
      </c>
      <c r="B148" s="473" t="s">
        <v>293</v>
      </c>
      <c r="C148" s="473" t="s">
        <v>294</v>
      </c>
      <c r="D148" s="474" t="s">
        <v>290</v>
      </c>
      <c r="E148" s="475">
        <v>1</v>
      </c>
      <c r="F148" s="414">
        <v>2</v>
      </c>
      <c r="G148" s="179">
        <v>45562</v>
      </c>
      <c r="H148" s="415">
        <v>1</v>
      </c>
      <c r="I148" s="446">
        <v>0.375</v>
      </c>
      <c r="J148" s="446">
        <v>0.3888888888888889</v>
      </c>
      <c r="K148" s="417">
        <f t="shared" si="6"/>
        <v>0.33333333333333348</v>
      </c>
      <c r="L148" s="9">
        <v>45562</v>
      </c>
      <c r="M148" s="36" t="s">
        <v>264</v>
      </c>
      <c r="N148" s="37" t="s">
        <v>287</v>
      </c>
      <c r="O148" s="2"/>
    </row>
    <row r="149" spans="1:15" s="1" customFormat="1">
      <c r="A149" s="3">
        <f t="shared" si="5"/>
        <v>148</v>
      </c>
      <c r="B149" s="473" t="s">
        <v>295</v>
      </c>
      <c r="C149" s="473" t="s">
        <v>296</v>
      </c>
      <c r="D149" s="474" t="s">
        <v>59</v>
      </c>
      <c r="E149" s="475">
        <v>1</v>
      </c>
      <c r="F149" s="414">
        <v>2</v>
      </c>
      <c r="G149" s="179">
        <v>45562</v>
      </c>
      <c r="H149" s="415">
        <v>1</v>
      </c>
      <c r="I149" s="446">
        <v>0.375</v>
      </c>
      <c r="J149" s="446">
        <v>0.39583333333333331</v>
      </c>
      <c r="K149" s="417">
        <f t="shared" si="6"/>
        <v>0.49999999999999956</v>
      </c>
      <c r="L149" s="9">
        <v>45562</v>
      </c>
      <c r="M149" s="36" t="s">
        <v>264</v>
      </c>
      <c r="N149" s="37" t="s">
        <v>287</v>
      </c>
      <c r="O149" s="2"/>
    </row>
    <row r="150" spans="1:15" s="1" customFormat="1">
      <c r="A150" s="3">
        <f t="shared" si="5"/>
        <v>149</v>
      </c>
      <c r="B150" s="477" t="s">
        <v>284</v>
      </c>
      <c r="C150" s="294" t="s">
        <v>285</v>
      </c>
      <c r="D150" s="474" t="s">
        <v>59</v>
      </c>
      <c r="E150" s="475">
        <v>1</v>
      </c>
      <c r="F150" s="414">
        <v>2</v>
      </c>
      <c r="G150" s="179">
        <v>45562</v>
      </c>
      <c r="H150" s="415">
        <v>1</v>
      </c>
      <c r="I150" s="446">
        <v>0.375</v>
      </c>
      <c r="J150" s="446">
        <v>0.39583333333333331</v>
      </c>
      <c r="K150" s="417">
        <f t="shared" si="6"/>
        <v>0.49999999999999956</v>
      </c>
      <c r="L150" s="9">
        <v>45562</v>
      </c>
      <c r="M150" s="36" t="s">
        <v>264</v>
      </c>
      <c r="N150" s="37" t="s">
        <v>287</v>
      </c>
      <c r="O150" s="2"/>
    </row>
    <row r="151" spans="1:15" s="1" customFormat="1">
      <c r="A151" s="3">
        <f t="shared" si="5"/>
        <v>150</v>
      </c>
      <c r="B151" s="477" t="s">
        <v>293</v>
      </c>
      <c r="C151" s="294" t="s">
        <v>294</v>
      </c>
      <c r="D151" s="474" t="s">
        <v>286</v>
      </c>
      <c r="E151" s="475">
        <v>1</v>
      </c>
      <c r="F151" s="414">
        <v>1</v>
      </c>
      <c r="G151" s="179">
        <v>45562</v>
      </c>
      <c r="H151" s="415">
        <v>1</v>
      </c>
      <c r="I151" s="446">
        <v>0.375</v>
      </c>
      <c r="J151" s="446">
        <v>0.3888888888888889</v>
      </c>
      <c r="K151" s="417">
        <f t="shared" si="6"/>
        <v>0.33333333333333348</v>
      </c>
      <c r="L151" s="9">
        <v>45562</v>
      </c>
      <c r="M151" s="36" t="s">
        <v>264</v>
      </c>
      <c r="N151" s="37" t="s">
        <v>287</v>
      </c>
      <c r="O151" s="2"/>
    </row>
    <row r="152" spans="1:15" s="1" customFormat="1">
      <c r="A152" s="3">
        <f t="shared" si="5"/>
        <v>151</v>
      </c>
      <c r="B152" s="477" t="s">
        <v>295</v>
      </c>
      <c r="C152" s="294" t="s">
        <v>296</v>
      </c>
      <c r="D152" s="474" t="s">
        <v>297</v>
      </c>
      <c r="E152" s="475">
        <v>1</v>
      </c>
      <c r="F152" s="414">
        <v>1</v>
      </c>
      <c r="G152" s="179">
        <v>45562</v>
      </c>
      <c r="H152" s="415">
        <v>1</v>
      </c>
      <c r="I152" s="446">
        <v>0.375</v>
      </c>
      <c r="J152" s="446">
        <v>0.3888888888888889</v>
      </c>
      <c r="K152" s="417">
        <f t="shared" si="6"/>
        <v>0.33333333333333348</v>
      </c>
      <c r="L152" s="9">
        <v>45562</v>
      </c>
      <c r="M152" s="36" t="s">
        <v>264</v>
      </c>
      <c r="N152" s="37" t="s">
        <v>287</v>
      </c>
      <c r="O152" s="2"/>
    </row>
    <row r="153" spans="1:15" s="1" customFormat="1">
      <c r="A153" s="3">
        <f t="shared" si="5"/>
        <v>152</v>
      </c>
      <c r="B153" s="478" t="s">
        <v>84</v>
      </c>
      <c r="C153" s="13" t="s">
        <v>147</v>
      </c>
      <c r="D153" s="479" t="s">
        <v>149</v>
      </c>
      <c r="E153" s="480">
        <v>30</v>
      </c>
      <c r="F153" s="425">
        <v>30</v>
      </c>
      <c r="G153" s="426">
        <v>45562</v>
      </c>
      <c r="H153" s="427">
        <v>1</v>
      </c>
      <c r="I153" s="465">
        <v>0.33333333333333331</v>
      </c>
      <c r="J153" s="465">
        <v>0.375</v>
      </c>
      <c r="K153" s="417">
        <f t="shared" si="6"/>
        <v>1.0000000000000004</v>
      </c>
      <c r="L153" s="11">
        <v>45562</v>
      </c>
      <c r="M153" s="34" t="s">
        <v>264</v>
      </c>
      <c r="N153" s="38" t="s">
        <v>7</v>
      </c>
      <c r="O153" s="13" t="s">
        <v>151</v>
      </c>
    </row>
    <row r="154" spans="1:15" s="1" customFormat="1">
      <c r="A154" s="3">
        <f t="shared" si="5"/>
        <v>153</v>
      </c>
      <c r="B154" s="481" t="s">
        <v>84</v>
      </c>
      <c r="C154" s="13" t="s">
        <v>147</v>
      </c>
      <c r="D154" s="479" t="s">
        <v>149</v>
      </c>
      <c r="E154" s="480">
        <v>30</v>
      </c>
      <c r="F154" s="425">
        <v>30</v>
      </c>
      <c r="G154" s="426">
        <v>45562</v>
      </c>
      <c r="H154" s="427">
        <v>1</v>
      </c>
      <c r="I154" s="465">
        <v>0.33333333333333331</v>
      </c>
      <c r="J154" s="465">
        <v>0.375</v>
      </c>
      <c r="K154" s="417">
        <f t="shared" si="6"/>
        <v>1.0000000000000004</v>
      </c>
      <c r="L154" s="11">
        <v>45562</v>
      </c>
      <c r="M154" s="34" t="s">
        <v>264</v>
      </c>
      <c r="N154" s="38" t="s">
        <v>7</v>
      </c>
      <c r="O154" s="13" t="s">
        <v>151</v>
      </c>
    </row>
    <row r="155" spans="1:15" s="1" customFormat="1">
      <c r="A155" s="3">
        <f t="shared" si="5"/>
        <v>154</v>
      </c>
      <c r="B155" s="481" t="s">
        <v>84</v>
      </c>
      <c r="C155" s="13" t="s">
        <v>147</v>
      </c>
      <c r="D155" s="479" t="s">
        <v>150</v>
      </c>
      <c r="E155" s="480">
        <v>30</v>
      </c>
      <c r="F155" s="425">
        <v>30</v>
      </c>
      <c r="G155" s="426">
        <v>45562</v>
      </c>
      <c r="H155" s="427">
        <v>1</v>
      </c>
      <c r="I155" s="465">
        <v>0.33333333333333331</v>
      </c>
      <c r="J155" s="465">
        <v>0.375</v>
      </c>
      <c r="K155" s="417">
        <f t="shared" si="6"/>
        <v>1.0000000000000004</v>
      </c>
      <c r="L155" s="11">
        <v>45562</v>
      </c>
      <c r="M155" s="34" t="s">
        <v>264</v>
      </c>
      <c r="N155" s="38" t="s">
        <v>7</v>
      </c>
      <c r="O155" s="13" t="s">
        <v>151</v>
      </c>
    </row>
    <row r="156" spans="1:15" s="1" customFormat="1">
      <c r="A156" s="3">
        <f t="shared" si="5"/>
        <v>155</v>
      </c>
      <c r="B156" s="481" t="s">
        <v>84</v>
      </c>
      <c r="C156" s="13" t="s">
        <v>147</v>
      </c>
      <c r="D156" s="479" t="s">
        <v>150</v>
      </c>
      <c r="E156" s="480">
        <v>30</v>
      </c>
      <c r="F156" s="425">
        <v>30</v>
      </c>
      <c r="G156" s="426">
        <v>45562</v>
      </c>
      <c r="H156" s="427">
        <v>1</v>
      </c>
      <c r="I156" s="465">
        <v>0.33333333333333331</v>
      </c>
      <c r="J156" s="465">
        <v>0.375</v>
      </c>
      <c r="K156" s="417">
        <f t="shared" si="6"/>
        <v>1.0000000000000004</v>
      </c>
      <c r="L156" s="11">
        <v>45562</v>
      </c>
      <c r="M156" s="34" t="s">
        <v>264</v>
      </c>
      <c r="N156" s="38" t="s">
        <v>7</v>
      </c>
      <c r="O156" s="13" t="s">
        <v>151</v>
      </c>
    </row>
    <row r="157" spans="1:15" s="1" customFormat="1">
      <c r="A157" s="3">
        <f t="shared" si="5"/>
        <v>156</v>
      </c>
      <c r="B157" s="481" t="s">
        <v>84</v>
      </c>
      <c r="C157" s="13" t="s">
        <v>147</v>
      </c>
      <c r="D157" s="479" t="s">
        <v>298</v>
      </c>
      <c r="E157" s="480">
        <v>30</v>
      </c>
      <c r="F157" s="425">
        <v>30</v>
      </c>
      <c r="G157" s="426">
        <v>45562</v>
      </c>
      <c r="H157" s="427">
        <v>1</v>
      </c>
      <c r="I157" s="465">
        <v>0.33333333333333331</v>
      </c>
      <c r="J157" s="465">
        <v>0.375</v>
      </c>
      <c r="K157" s="417">
        <f t="shared" si="6"/>
        <v>1.0000000000000004</v>
      </c>
      <c r="L157" s="11">
        <v>45562</v>
      </c>
      <c r="M157" s="34" t="s">
        <v>264</v>
      </c>
      <c r="N157" s="38" t="s">
        <v>7</v>
      </c>
      <c r="O157" s="13" t="s">
        <v>151</v>
      </c>
    </row>
    <row r="158" spans="1:15" s="1" customFormat="1">
      <c r="A158" s="3">
        <f t="shared" si="5"/>
        <v>157</v>
      </c>
      <c r="B158" s="473" t="s">
        <v>274</v>
      </c>
      <c r="C158" s="476" t="s">
        <v>299</v>
      </c>
      <c r="D158" s="476" t="s">
        <v>275</v>
      </c>
      <c r="E158" s="475">
        <v>9</v>
      </c>
      <c r="F158" s="414">
        <v>9</v>
      </c>
      <c r="G158" s="419">
        <v>45562</v>
      </c>
      <c r="H158" s="420">
        <v>1</v>
      </c>
      <c r="I158" s="482">
        <v>0.33333333333333331</v>
      </c>
      <c r="J158" s="446">
        <v>0.58333333333333337</v>
      </c>
      <c r="K158" s="417">
        <f t="shared" si="6"/>
        <v>6.0000000000000018</v>
      </c>
      <c r="L158" s="39">
        <v>45562</v>
      </c>
      <c r="M158" s="36" t="s">
        <v>264</v>
      </c>
      <c r="N158" s="3" t="s">
        <v>6</v>
      </c>
      <c r="O158" s="2"/>
    </row>
    <row r="159" spans="1:15" s="1" customFormat="1">
      <c r="A159" s="3">
        <v>136</v>
      </c>
      <c r="B159" s="477" t="s">
        <v>281</v>
      </c>
      <c r="C159" s="483" t="s">
        <v>282</v>
      </c>
      <c r="D159" s="476" t="s">
        <v>122</v>
      </c>
      <c r="E159" s="475">
        <v>1</v>
      </c>
      <c r="F159" s="414">
        <v>1</v>
      </c>
      <c r="G159" s="419">
        <v>45562</v>
      </c>
      <c r="H159" s="415">
        <v>1</v>
      </c>
      <c r="I159" s="482">
        <v>0.33333333333333331</v>
      </c>
      <c r="J159" s="446">
        <v>0.39583333333333331</v>
      </c>
      <c r="K159" s="417">
        <f t="shared" si="6"/>
        <v>1.5</v>
      </c>
      <c r="L159" s="9">
        <v>45562</v>
      </c>
      <c r="M159" s="4" t="s">
        <v>264</v>
      </c>
      <c r="N159" s="3" t="s">
        <v>8</v>
      </c>
      <c r="O159" s="2"/>
    </row>
    <row r="160" spans="1:15" s="1" customFormat="1">
      <c r="A160" s="4">
        <f t="shared" ref="A160:A223" si="7">ROW()-1</f>
        <v>159</v>
      </c>
      <c r="B160" s="405"/>
      <c r="C160" s="484" t="s">
        <v>300</v>
      </c>
      <c r="D160" s="485" t="s">
        <v>107</v>
      </c>
      <c r="E160" s="4">
        <v>1</v>
      </c>
      <c r="F160" s="414">
        <v>1</v>
      </c>
      <c r="G160" s="179">
        <v>45563</v>
      </c>
      <c r="H160" s="415">
        <v>1</v>
      </c>
      <c r="I160" s="446">
        <v>0.375</v>
      </c>
      <c r="J160" s="446">
        <v>0.3888888888888889</v>
      </c>
      <c r="K160" s="417">
        <f t="shared" si="6"/>
        <v>0.33333333333333348</v>
      </c>
      <c r="L160" s="9">
        <v>45563</v>
      </c>
      <c r="M160" s="4" t="s">
        <v>264</v>
      </c>
      <c r="N160" s="41" t="s">
        <v>231</v>
      </c>
      <c r="O160" s="42" t="s">
        <v>301</v>
      </c>
    </row>
    <row r="161" spans="1:15" s="1" customFormat="1">
      <c r="A161" s="4">
        <f t="shared" si="7"/>
        <v>160</v>
      </c>
      <c r="B161" s="412"/>
      <c r="C161" s="484" t="s">
        <v>300</v>
      </c>
      <c r="D161" s="486" t="s">
        <v>103</v>
      </c>
      <c r="E161" s="4">
        <v>2</v>
      </c>
      <c r="F161" s="414">
        <v>2</v>
      </c>
      <c r="G161" s="179">
        <v>45563</v>
      </c>
      <c r="H161" s="415">
        <v>1</v>
      </c>
      <c r="I161" s="446">
        <v>0.375</v>
      </c>
      <c r="J161" s="446">
        <v>0.39583333333333331</v>
      </c>
      <c r="K161" s="417">
        <f t="shared" si="6"/>
        <v>0.49999999999999956</v>
      </c>
      <c r="L161" s="9">
        <v>45563</v>
      </c>
      <c r="M161" s="4" t="s">
        <v>264</v>
      </c>
      <c r="N161" s="41" t="s">
        <v>231</v>
      </c>
      <c r="O161" s="42" t="s">
        <v>301</v>
      </c>
    </row>
    <row r="162" spans="1:15" s="1" customFormat="1">
      <c r="A162" s="4">
        <f t="shared" si="7"/>
        <v>161</v>
      </c>
      <c r="B162" s="412"/>
      <c r="C162" s="484" t="s">
        <v>300</v>
      </c>
      <c r="D162" s="486" t="s">
        <v>280</v>
      </c>
      <c r="E162" s="4">
        <v>1</v>
      </c>
      <c r="F162" s="414">
        <v>1</v>
      </c>
      <c r="G162" s="179">
        <v>45563</v>
      </c>
      <c r="H162" s="415">
        <v>1</v>
      </c>
      <c r="I162" s="446">
        <v>0.375</v>
      </c>
      <c r="J162" s="446">
        <v>0.38541666666666669</v>
      </c>
      <c r="K162" s="417">
        <f t="shared" si="6"/>
        <v>0.25000000000000044</v>
      </c>
      <c r="L162" s="9">
        <v>45563</v>
      </c>
      <c r="M162" s="4" t="s">
        <v>264</v>
      </c>
      <c r="N162" s="41" t="s">
        <v>231</v>
      </c>
      <c r="O162" s="42" t="s">
        <v>301</v>
      </c>
    </row>
    <row r="163" spans="1:15" s="1" customFormat="1">
      <c r="A163" s="4">
        <f t="shared" si="7"/>
        <v>162</v>
      </c>
      <c r="B163" s="487" t="s">
        <v>302</v>
      </c>
      <c r="C163" s="488" t="s">
        <v>303</v>
      </c>
      <c r="D163" s="486" t="s">
        <v>103</v>
      </c>
      <c r="E163" s="4">
        <v>3</v>
      </c>
      <c r="F163" s="414">
        <v>3</v>
      </c>
      <c r="G163" s="179">
        <v>45563</v>
      </c>
      <c r="H163" s="415">
        <v>1</v>
      </c>
      <c r="I163" s="446">
        <v>0.5625</v>
      </c>
      <c r="J163" s="446">
        <v>0.60416666666666663</v>
      </c>
      <c r="K163" s="417">
        <f t="shared" si="6"/>
        <v>0.99999999999999911</v>
      </c>
      <c r="L163" s="9">
        <v>45563</v>
      </c>
      <c r="M163" s="4" t="s">
        <v>264</v>
      </c>
      <c r="N163" s="3" t="s">
        <v>8</v>
      </c>
      <c r="O163" s="2"/>
    </row>
    <row r="164" spans="1:15" s="1" customFormat="1">
      <c r="A164" s="4">
        <f t="shared" si="7"/>
        <v>163</v>
      </c>
      <c r="B164" s="412"/>
      <c r="C164" s="488" t="s">
        <v>304</v>
      </c>
      <c r="D164" s="486" t="s">
        <v>159</v>
      </c>
      <c r="E164" s="4">
        <v>1</v>
      </c>
      <c r="F164" s="414">
        <v>4</v>
      </c>
      <c r="G164" s="179">
        <v>45563</v>
      </c>
      <c r="H164" s="415">
        <v>1</v>
      </c>
      <c r="I164" s="446">
        <v>0.375</v>
      </c>
      <c r="J164" s="446">
        <v>0.47916666666666669</v>
      </c>
      <c r="K164" s="417">
        <f t="shared" si="6"/>
        <v>2.5000000000000004</v>
      </c>
      <c r="L164" s="9">
        <v>45563</v>
      </c>
      <c r="M164" s="4" t="s">
        <v>264</v>
      </c>
      <c r="N164" s="41" t="s">
        <v>231</v>
      </c>
      <c r="O164" s="42" t="s">
        <v>301</v>
      </c>
    </row>
    <row r="165" spans="1:15" s="1" customFormat="1">
      <c r="A165" s="4">
        <f t="shared" si="7"/>
        <v>164</v>
      </c>
      <c r="B165" s="489" t="s">
        <v>306</v>
      </c>
      <c r="C165" s="490" t="s">
        <v>307</v>
      </c>
      <c r="D165" s="491" t="s">
        <v>103</v>
      </c>
      <c r="E165" s="4">
        <v>2</v>
      </c>
      <c r="F165" s="414">
        <v>4</v>
      </c>
      <c r="G165" s="179">
        <v>45565</v>
      </c>
      <c r="H165" s="415">
        <v>1</v>
      </c>
      <c r="I165" s="446">
        <v>0.54166666666666663</v>
      </c>
      <c r="J165" s="446">
        <v>0.5625</v>
      </c>
      <c r="K165" s="417">
        <f t="shared" si="6"/>
        <v>0.50000000000000089</v>
      </c>
      <c r="L165" s="9">
        <v>45565</v>
      </c>
      <c r="M165" s="43" t="s">
        <v>305</v>
      </c>
      <c r="N165" s="44" t="s">
        <v>6</v>
      </c>
      <c r="O165" s="2"/>
    </row>
    <row r="166" spans="1:15" s="1" customFormat="1">
      <c r="A166" s="3">
        <f t="shared" si="7"/>
        <v>165</v>
      </c>
      <c r="B166" s="483" t="s">
        <v>308</v>
      </c>
      <c r="C166" s="483" t="s">
        <v>309</v>
      </c>
      <c r="D166" s="492" t="s">
        <v>310</v>
      </c>
      <c r="E166" s="4">
        <v>35</v>
      </c>
      <c r="F166" s="414">
        <v>70</v>
      </c>
      <c r="G166" s="179">
        <v>45567</v>
      </c>
      <c r="H166" s="415">
        <v>1</v>
      </c>
      <c r="I166" s="446">
        <v>0.375</v>
      </c>
      <c r="J166" s="446">
        <v>0.41666666666666669</v>
      </c>
      <c r="K166" s="417">
        <f t="shared" si="6"/>
        <v>1.0000000000000004</v>
      </c>
      <c r="L166" s="9">
        <v>45567</v>
      </c>
      <c r="M166" s="43" t="s">
        <v>305</v>
      </c>
      <c r="N166" s="45" t="s">
        <v>311</v>
      </c>
      <c r="O166" s="2"/>
    </row>
    <row r="167" spans="1:15" s="1" customFormat="1">
      <c r="A167" s="3">
        <f t="shared" si="7"/>
        <v>166</v>
      </c>
      <c r="B167" s="483" t="s">
        <v>308</v>
      </c>
      <c r="C167" s="483" t="s">
        <v>309</v>
      </c>
      <c r="D167" s="492" t="s">
        <v>275</v>
      </c>
      <c r="E167" s="4">
        <v>35</v>
      </c>
      <c r="F167" s="414">
        <v>70</v>
      </c>
      <c r="G167" s="179">
        <v>45567</v>
      </c>
      <c r="H167" s="415">
        <v>1</v>
      </c>
      <c r="I167" s="446">
        <v>0.375</v>
      </c>
      <c r="J167" s="446">
        <v>0.41666666666666669</v>
      </c>
      <c r="K167" s="417">
        <f t="shared" si="6"/>
        <v>1.0000000000000004</v>
      </c>
      <c r="L167" s="9">
        <v>45567</v>
      </c>
      <c r="M167" s="43" t="s">
        <v>305</v>
      </c>
      <c r="N167" s="45" t="s">
        <v>311</v>
      </c>
      <c r="O167" s="2"/>
    </row>
    <row r="168" spans="1:15" s="1" customFormat="1">
      <c r="A168" s="3">
        <f t="shared" si="7"/>
        <v>167</v>
      </c>
      <c r="B168" s="483" t="s">
        <v>308</v>
      </c>
      <c r="C168" s="483" t="s">
        <v>309</v>
      </c>
      <c r="D168" s="492" t="s">
        <v>312</v>
      </c>
      <c r="E168" s="4">
        <v>35</v>
      </c>
      <c r="F168" s="414">
        <v>35</v>
      </c>
      <c r="G168" s="179">
        <v>45567</v>
      </c>
      <c r="H168" s="415">
        <v>1</v>
      </c>
      <c r="I168" s="446">
        <v>0.375</v>
      </c>
      <c r="J168" s="446">
        <v>0.40625</v>
      </c>
      <c r="K168" s="417">
        <f t="shared" si="6"/>
        <v>0.75</v>
      </c>
      <c r="L168" s="9">
        <v>45567</v>
      </c>
      <c r="M168" s="43" t="s">
        <v>305</v>
      </c>
      <c r="N168" s="45" t="s">
        <v>311</v>
      </c>
      <c r="O168" s="2"/>
    </row>
    <row r="169" spans="1:15" s="1" customFormat="1">
      <c r="A169" s="3">
        <f t="shared" si="7"/>
        <v>168</v>
      </c>
      <c r="B169" s="483" t="s">
        <v>313</v>
      </c>
      <c r="C169" s="483" t="s">
        <v>314</v>
      </c>
      <c r="D169" s="492" t="s">
        <v>310</v>
      </c>
      <c r="E169" s="4">
        <v>30</v>
      </c>
      <c r="F169" s="414">
        <v>120</v>
      </c>
      <c r="G169" s="179">
        <v>45567</v>
      </c>
      <c r="H169" s="415">
        <v>1</v>
      </c>
      <c r="I169" s="446">
        <v>0.375</v>
      </c>
      <c r="J169" s="446">
        <v>0.42708333333333331</v>
      </c>
      <c r="K169" s="417">
        <f t="shared" si="6"/>
        <v>1.2499999999999996</v>
      </c>
      <c r="L169" s="9">
        <v>45567</v>
      </c>
      <c r="M169" s="43" t="s">
        <v>305</v>
      </c>
      <c r="N169" s="45" t="s">
        <v>311</v>
      </c>
      <c r="O169" s="2"/>
    </row>
    <row r="170" spans="1:15" s="1" customFormat="1">
      <c r="A170" s="3">
        <f t="shared" si="7"/>
        <v>169</v>
      </c>
      <c r="B170" s="483" t="s">
        <v>313</v>
      </c>
      <c r="C170" s="483" t="s">
        <v>314</v>
      </c>
      <c r="D170" s="492" t="s">
        <v>275</v>
      </c>
      <c r="E170" s="4">
        <v>30</v>
      </c>
      <c r="F170" s="414">
        <v>120</v>
      </c>
      <c r="G170" s="179">
        <v>45567</v>
      </c>
      <c r="H170" s="415">
        <v>1</v>
      </c>
      <c r="I170" s="446">
        <v>0.375</v>
      </c>
      <c r="J170" s="446">
        <v>0.42708333333333331</v>
      </c>
      <c r="K170" s="417">
        <f t="shared" si="6"/>
        <v>1.2499999999999996</v>
      </c>
      <c r="L170" s="9">
        <v>45567</v>
      </c>
      <c r="M170" s="43" t="s">
        <v>305</v>
      </c>
      <c r="N170" s="45" t="s">
        <v>311</v>
      </c>
      <c r="O170" s="2"/>
    </row>
    <row r="171" spans="1:15" s="1" customFormat="1">
      <c r="A171" s="3">
        <f t="shared" si="7"/>
        <v>170</v>
      </c>
      <c r="B171" s="483" t="s">
        <v>313</v>
      </c>
      <c r="C171" s="483" t="s">
        <v>314</v>
      </c>
      <c r="D171" s="492" t="s">
        <v>312</v>
      </c>
      <c r="E171" s="4">
        <v>30</v>
      </c>
      <c r="F171" s="414">
        <v>60</v>
      </c>
      <c r="G171" s="179">
        <v>45567</v>
      </c>
      <c r="H171" s="415">
        <v>1</v>
      </c>
      <c r="I171" s="446">
        <v>0.375</v>
      </c>
      <c r="J171" s="446">
        <v>0.41666666666666669</v>
      </c>
      <c r="K171" s="417">
        <f t="shared" si="6"/>
        <v>1.0000000000000004</v>
      </c>
      <c r="L171" s="9">
        <v>45567</v>
      </c>
      <c r="M171" s="43" t="s">
        <v>305</v>
      </c>
      <c r="N171" s="45" t="s">
        <v>311</v>
      </c>
      <c r="O171" s="2"/>
    </row>
    <row r="172" spans="1:15" s="1" customFormat="1">
      <c r="A172" s="3">
        <f t="shared" si="7"/>
        <v>171</v>
      </c>
      <c r="B172" s="483" t="s">
        <v>315</v>
      </c>
      <c r="C172" s="483" t="s">
        <v>316</v>
      </c>
      <c r="D172" s="492" t="s">
        <v>310</v>
      </c>
      <c r="E172" s="4">
        <v>30</v>
      </c>
      <c r="F172" s="414">
        <v>60</v>
      </c>
      <c r="G172" s="179">
        <v>45567</v>
      </c>
      <c r="H172" s="415">
        <v>1</v>
      </c>
      <c r="I172" s="446">
        <v>0.375</v>
      </c>
      <c r="J172" s="446">
        <v>0.41666666666666669</v>
      </c>
      <c r="K172" s="417">
        <f t="shared" si="6"/>
        <v>1.0000000000000004</v>
      </c>
      <c r="L172" s="9">
        <v>45567</v>
      </c>
      <c r="M172" s="43" t="s">
        <v>305</v>
      </c>
      <c r="N172" s="45" t="s">
        <v>311</v>
      </c>
      <c r="O172" s="2"/>
    </row>
    <row r="173" spans="1:15" s="1" customFormat="1">
      <c r="A173" s="3">
        <f t="shared" si="7"/>
        <v>172</v>
      </c>
      <c r="B173" s="483" t="s">
        <v>317</v>
      </c>
      <c r="C173" s="483" t="s">
        <v>316</v>
      </c>
      <c r="D173" s="492" t="s">
        <v>89</v>
      </c>
      <c r="E173" s="4">
        <v>25</v>
      </c>
      <c r="F173" s="414">
        <v>50</v>
      </c>
      <c r="G173" s="179">
        <v>45567</v>
      </c>
      <c r="H173" s="415">
        <v>1</v>
      </c>
      <c r="I173" s="446">
        <v>0.375</v>
      </c>
      <c r="J173" s="446">
        <v>0.41666666666666669</v>
      </c>
      <c r="K173" s="417">
        <f t="shared" si="6"/>
        <v>1.0000000000000004</v>
      </c>
      <c r="L173" s="9">
        <v>45567</v>
      </c>
      <c r="M173" s="43" t="s">
        <v>305</v>
      </c>
      <c r="N173" s="45" t="s">
        <v>311</v>
      </c>
      <c r="O173" s="2"/>
    </row>
    <row r="174" spans="1:15" s="1" customFormat="1">
      <c r="A174" s="3">
        <f t="shared" si="7"/>
        <v>173</v>
      </c>
      <c r="B174" s="483" t="s">
        <v>317</v>
      </c>
      <c r="C174" s="483" t="s">
        <v>316</v>
      </c>
      <c r="D174" s="492" t="s">
        <v>318</v>
      </c>
      <c r="E174" s="4">
        <v>25</v>
      </c>
      <c r="F174" s="414">
        <v>50</v>
      </c>
      <c r="G174" s="179">
        <v>45567</v>
      </c>
      <c r="H174" s="415">
        <v>1</v>
      </c>
      <c r="I174" s="446">
        <v>0.375</v>
      </c>
      <c r="J174" s="446">
        <v>0.41666666666666669</v>
      </c>
      <c r="K174" s="417">
        <f t="shared" si="6"/>
        <v>1.0000000000000004</v>
      </c>
      <c r="L174" s="9">
        <v>45567</v>
      </c>
      <c r="M174" s="43" t="s">
        <v>305</v>
      </c>
      <c r="N174" s="45" t="s">
        <v>311</v>
      </c>
      <c r="O174" s="2"/>
    </row>
    <row r="175" spans="1:15" s="1" customFormat="1">
      <c r="A175" s="3">
        <f t="shared" si="7"/>
        <v>174</v>
      </c>
      <c r="B175" s="483" t="s">
        <v>319</v>
      </c>
      <c r="C175" s="483" t="s">
        <v>320</v>
      </c>
      <c r="D175" s="492" t="s">
        <v>321</v>
      </c>
      <c r="E175" s="4">
        <v>25</v>
      </c>
      <c r="F175" s="414">
        <v>25</v>
      </c>
      <c r="G175" s="179">
        <v>45567</v>
      </c>
      <c r="H175" s="415">
        <v>1</v>
      </c>
      <c r="I175" s="446">
        <v>0.375</v>
      </c>
      <c r="J175" s="446">
        <v>0.39583333333333331</v>
      </c>
      <c r="K175" s="417">
        <f t="shared" si="6"/>
        <v>0.49999999999999956</v>
      </c>
      <c r="L175" s="9">
        <v>45567</v>
      </c>
      <c r="M175" s="43" t="s">
        <v>305</v>
      </c>
      <c r="N175" s="45" t="s">
        <v>311</v>
      </c>
      <c r="O175" s="2"/>
    </row>
    <row r="176" spans="1:15" s="1" customFormat="1">
      <c r="A176" s="3">
        <f t="shared" si="7"/>
        <v>175</v>
      </c>
      <c r="B176" s="483" t="s">
        <v>319</v>
      </c>
      <c r="C176" s="483" t="s">
        <v>320</v>
      </c>
      <c r="D176" s="492" t="s">
        <v>322</v>
      </c>
      <c r="E176" s="4">
        <v>25</v>
      </c>
      <c r="F176" s="414">
        <v>50</v>
      </c>
      <c r="G176" s="179">
        <v>45567</v>
      </c>
      <c r="H176" s="415">
        <v>1</v>
      </c>
      <c r="I176" s="446">
        <v>0.375</v>
      </c>
      <c r="J176" s="446">
        <v>0.40625</v>
      </c>
      <c r="K176" s="417">
        <f t="shared" si="6"/>
        <v>0.75</v>
      </c>
      <c r="L176" s="9">
        <v>45567</v>
      </c>
      <c r="M176" s="43" t="s">
        <v>305</v>
      </c>
      <c r="N176" s="45" t="s">
        <v>311</v>
      </c>
      <c r="O176" s="2"/>
    </row>
    <row r="177" spans="1:15" s="1" customFormat="1">
      <c r="A177" s="3">
        <f t="shared" si="7"/>
        <v>176</v>
      </c>
      <c r="B177" s="483" t="s">
        <v>319</v>
      </c>
      <c r="C177" s="483" t="s">
        <v>320</v>
      </c>
      <c r="D177" s="492" t="s">
        <v>323</v>
      </c>
      <c r="E177" s="4">
        <v>25</v>
      </c>
      <c r="F177" s="414">
        <v>50</v>
      </c>
      <c r="G177" s="179">
        <v>45567</v>
      </c>
      <c r="H177" s="415">
        <v>1</v>
      </c>
      <c r="I177" s="446">
        <v>0.375</v>
      </c>
      <c r="J177" s="446">
        <v>0.40625</v>
      </c>
      <c r="K177" s="417">
        <f t="shared" si="6"/>
        <v>0.75</v>
      </c>
      <c r="L177" s="9">
        <v>45567</v>
      </c>
      <c r="M177" s="43" t="s">
        <v>305</v>
      </c>
      <c r="N177" s="45" t="s">
        <v>311</v>
      </c>
      <c r="O177" s="2"/>
    </row>
    <row r="178" spans="1:15" s="1" customFormat="1">
      <c r="A178" s="3">
        <f t="shared" si="7"/>
        <v>177</v>
      </c>
      <c r="B178" s="483" t="s">
        <v>324</v>
      </c>
      <c r="C178" s="483" t="s">
        <v>309</v>
      </c>
      <c r="D178" s="492" t="s">
        <v>310</v>
      </c>
      <c r="E178" s="4">
        <v>40</v>
      </c>
      <c r="F178" s="414">
        <v>80</v>
      </c>
      <c r="G178" s="179">
        <v>45567</v>
      </c>
      <c r="H178" s="415">
        <v>1</v>
      </c>
      <c r="I178" s="446">
        <v>0.375</v>
      </c>
      <c r="J178" s="446">
        <v>0.41666666666666669</v>
      </c>
      <c r="K178" s="417">
        <f t="shared" si="6"/>
        <v>1.0000000000000004</v>
      </c>
      <c r="L178" s="9">
        <v>45567</v>
      </c>
      <c r="M178" s="43" t="s">
        <v>305</v>
      </c>
      <c r="N178" s="45" t="s">
        <v>311</v>
      </c>
      <c r="O178" s="2"/>
    </row>
    <row r="179" spans="1:15" s="1" customFormat="1">
      <c r="A179" s="3">
        <f t="shared" si="7"/>
        <v>178</v>
      </c>
      <c r="B179" s="483" t="s">
        <v>324</v>
      </c>
      <c r="C179" s="483" t="s">
        <v>309</v>
      </c>
      <c r="D179" s="492" t="s">
        <v>275</v>
      </c>
      <c r="E179" s="4">
        <v>40</v>
      </c>
      <c r="F179" s="414">
        <v>80</v>
      </c>
      <c r="G179" s="179">
        <v>45567</v>
      </c>
      <c r="H179" s="415">
        <v>1</v>
      </c>
      <c r="I179" s="446">
        <v>0.375</v>
      </c>
      <c r="J179" s="446">
        <v>0.41666666666666669</v>
      </c>
      <c r="K179" s="417">
        <f t="shared" si="6"/>
        <v>1.0000000000000004</v>
      </c>
      <c r="L179" s="9">
        <v>45567</v>
      </c>
      <c r="M179" s="43" t="s">
        <v>305</v>
      </c>
      <c r="N179" s="45" t="s">
        <v>311</v>
      </c>
      <c r="O179" s="2"/>
    </row>
    <row r="180" spans="1:15" s="1" customFormat="1">
      <c r="A180" s="3">
        <f t="shared" si="7"/>
        <v>179</v>
      </c>
      <c r="B180" s="483" t="s">
        <v>324</v>
      </c>
      <c r="C180" s="483" t="s">
        <v>309</v>
      </c>
      <c r="D180" s="492" t="s">
        <v>312</v>
      </c>
      <c r="E180" s="4">
        <v>40</v>
      </c>
      <c r="F180" s="414">
        <v>40</v>
      </c>
      <c r="G180" s="179">
        <v>45567</v>
      </c>
      <c r="H180" s="415">
        <v>1</v>
      </c>
      <c r="I180" s="446">
        <v>0.375</v>
      </c>
      <c r="J180" s="446">
        <v>0.39583333333333331</v>
      </c>
      <c r="K180" s="417">
        <f t="shared" si="6"/>
        <v>0.49999999999999956</v>
      </c>
      <c r="L180" s="9">
        <v>45567</v>
      </c>
      <c r="M180" s="43" t="s">
        <v>305</v>
      </c>
      <c r="N180" s="45" t="s">
        <v>311</v>
      </c>
      <c r="O180" s="2"/>
    </row>
    <row r="181" spans="1:15" s="1" customFormat="1">
      <c r="A181" s="3">
        <f t="shared" si="7"/>
        <v>180</v>
      </c>
      <c r="B181" s="483" t="s">
        <v>325</v>
      </c>
      <c r="C181" s="483" t="s">
        <v>316</v>
      </c>
      <c r="D181" s="493" t="s">
        <v>310</v>
      </c>
      <c r="E181" s="4">
        <v>25</v>
      </c>
      <c r="F181" s="414">
        <v>50</v>
      </c>
      <c r="G181" s="179">
        <v>45567</v>
      </c>
      <c r="H181" s="415">
        <v>1</v>
      </c>
      <c r="I181" s="446">
        <v>0.375</v>
      </c>
      <c r="J181" s="446">
        <v>0.40625</v>
      </c>
      <c r="K181" s="417">
        <f t="shared" si="6"/>
        <v>0.75</v>
      </c>
      <c r="L181" s="9">
        <v>45567</v>
      </c>
      <c r="M181" s="43" t="s">
        <v>305</v>
      </c>
      <c r="N181" s="45" t="s">
        <v>311</v>
      </c>
      <c r="O181" s="2"/>
    </row>
    <row r="182" spans="1:15" s="1" customFormat="1">
      <c r="A182" s="4">
        <f t="shared" si="7"/>
        <v>181</v>
      </c>
      <c r="B182" s="494" t="s">
        <v>306</v>
      </c>
      <c r="C182" s="495" t="s">
        <v>307</v>
      </c>
      <c r="D182" s="496" t="s">
        <v>103</v>
      </c>
      <c r="E182" s="4">
        <v>3</v>
      </c>
      <c r="F182" s="414">
        <v>6</v>
      </c>
      <c r="G182" s="179">
        <v>45567</v>
      </c>
      <c r="H182" s="415">
        <v>1</v>
      </c>
      <c r="I182" s="446">
        <v>0.33333333333333331</v>
      </c>
      <c r="J182" s="446">
        <v>0.41666666666666669</v>
      </c>
      <c r="K182" s="417">
        <f t="shared" si="6"/>
        <v>2.0000000000000009</v>
      </c>
      <c r="L182" s="9">
        <v>45567</v>
      </c>
      <c r="M182" s="43" t="s">
        <v>305</v>
      </c>
      <c r="N182" s="3" t="s">
        <v>6</v>
      </c>
      <c r="O182" s="2"/>
    </row>
    <row r="183" spans="1:15" s="1" customFormat="1">
      <c r="A183" s="4">
        <f t="shared" si="7"/>
        <v>182</v>
      </c>
      <c r="B183" s="497" t="s">
        <v>326</v>
      </c>
      <c r="C183" s="498" t="s">
        <v>327</v>
      </c>
      <c r="D183" s="496" t="s">
        <v>107</v>
      </c>
      <c r="E183" s="4">
        <v>1</v>
      </c>
      <c r="F183" s="414">
        <v>1</v>
      </c>
      <c r="G183" s="179">
        <v>45567</v>
      </c>
      <c r="H183" s="415">
        <v>1</v>
      </c>
      <c r="I183" s="446">
        <v>0.33333333333333331</v>
      </c>
      <c r="J183" s="446">
        <v>0.35416666666666669</v>
      </c>
      <c r="K183" s="417">
        <f t="shared" si="6"/>
        <v>0.50000000000000089</v>
      </c>
      <c r="L183" s="9">
        <v>45567</v>
      </c>
      <c r="M183" s="43" t="s">
        <v>305</v>
      </c>
      <c r="N183" s="3" t="s">
        <v>6</v>
      </c>
      <c r="O183" s="2"/>
    </row>
    <row r="184" spans="1:15" s="1" customFormat="1">
      <c r="A184" s="4">
        <f t="shared" si="7"/>
        <v>183</v>
      </c>
      <c r="B184" s="497" t="s">
        <v>313</v>
      </c>
      <c r="C184" s="498" t="s">
        <v>314</v>
      </c>
      <c r="D184" s="496" t="s">
        <v>328</v>
      </c>
      <c r="E184" s="4">
        <v>15</v>
      </c>
      <c r="F184" s="414">
        <v>30</v>
      </c>
      <c r="G184" s="179">
        <v>45567</v>
      </c>
      <c r="H184" s="415">
        <v>1</v>
      </c>
      <c r="I184" s="446">
        <v>0.33333333333333331</v>
      </c>
      <c r="J184" s="446">
        <v>0.375</v>
      </c>
      <c r="K184" s="417">
        <f t="shared" si="6"/>
        <v>1.0000000000000004</v>
      </c>
      <c r="L184" s="9">
        <v>45567</v>
      </c>
      <c r="M184" s="43" t="s">
        <v>305</v>
      </c>
      <c r="N184" s="3" t="s">
        <v>8</v>
      </c>
      <c r="O184" s="2"/>
    </row>
    <row r="185" spans="1:15" s="1" customFormat="1">
      <c r="A185" s="4">
        <f t="shared" si="7"/>
        <v>184</v>
      </c>
      <c r="B185" s="499" t="s">
        <v>329</v>
      </c>
      <c r="C185" s="500" t="s">
        <v>330</v>
      </c>
      <c r="D185" s="501" t="s">
        <v>331</v>
      </c>
      <c r="E185" s="4">
        <v>1</v>
      </c>
      <c r="F185" s="414">
        <v>2</v>
      </c>
      <c r="G185" s="179">
        <v>45568</v>
      </c>
      <c r="H185" s="415">
        <v>1</v>
      </c>
      <c r="I185" s="446">
        <v>0.33333333333333331</v>
      </c>
      <c r="J185" s="446">
        <v>0.35416666666666669</v>
      </c>
      <c r="K185" s="417">
        <f t="shared" si="6"/>
        <v>0.50000000000000089</v>
      </c>
      <c r="L185" s="9">
        <v>45568</v>
      </c>
      <c r="M185" s="43" t="s">
        <v>305</v>
      </c>
      <c r="N185" s="46" t="s">
        <v>332</v>
      </c>
      <c r="O185" s="2"/>
    </row>
    <row r="186" spans="1:15" s="1" customFormat="1">
      <c r="A186" s="4">
        <f t="shared" si="7"/>
        <v>185</v>
      </c>
      <c r="B186" s="502" t="s">
        <v>334</v>
      </c>
      <c r="C186" s="48" t="s">
        <v>335</v>
      </c>
      <c r="D186" s="503" t="s">
        <v>280</v>
      </c>
      <c r="E186" s="4">
        <v>1</v>
      </c>
      <c r="F186" s="414">
        <v>1</v>
      </c>
      <c r="G186" s="179">
        <v>45569</v>
      </c>
      <c r="H186" s="415">
        <v>1</v>
      </c>
      <c r="I186" s="446">
        <v>0.375</v>
      </c>
      <c r="J186" s="446">
        <v>0.3888888888888889</v>
      </c>
      <c r="K186" s="417">
        <f t="shared" si="6"/>
        <v>0.33333333333333348</v>
      </c>
      <c r="L186" s="9">
        <v>45569</v>
      </c>
      <c r="M186" s="48" t="s">
        <v>305</v>
      </c>
      <c r="N186" s="49" t="s">
        <v>231</v>
      </c>
      <c r="O186" s="2"/>
    </row>
    <row r="187" spans="1:15" s="1" customFormat="1">
      <c r="A187" s="4">
        <f t="shared" si="7"/>
        <v>186</v>
      </c>
      <c r="B187" s="504" t="s">
        <v>338</v>
      </c>
      <c r="C187" s="505" t="s">
        <v>189</v>
      </c>
      <c r="D187" s="506" t="s">
        <v>74</v>
      </c>
      <c r="E187" s="4">
        <v>1</v>
      </c>
      <c r="F187" s="414">
        <v>1</v>
      </c>
      <c r="G187" s="179">
        <v>45569</v>
      </c>
      <c r="H187" s="415">
        <v>1</v>
      </c>
      <c r="I187" s="446">
        <v>0.375</v>
      </c>
      <c r="J187" s="446">
        <v>0.39583333333333331</v>
      </c>
      <c r="K187" s="417">
        <f t="shared" si="6"/>
        <v>0.49999999999999956</v>
      </c>
      <c r="L187" s="9">
        <v>45569</v>
      </c>
      <c r="M187" s="48" t="s">
        <v>305</v>
      </c>
      <c r="N187" s="50" t="s">
        <v>336</v>
      </c>
      <c r="O187" s="2"/>
    </row>
    <row r="188" spans="1:15" s="1" customFormat="1">
      <c r="A188" s="4">
        <f t="shared" si="7"/>
        <v>187</v>
      </c>
      <c r="B188" s="504" t="s">
        <v>337</v>
      </c>
      <c r="C188" s="505" t="s">
        <v>339</v>
      </c>
      <c r="D188" s="506" t="s">
        <v>106</v>
      </c>
      <c r="E188" s="4">
        <v>1</v>
      </c>
      <c r="F188" s="414">
        <v>2</v>
      </c>
      <c r="G188" s="179">
        <v>45569</v>
      </c>
      <c r="H188" s="415">
        <v>1</v>
      </c>
      <c r="I188" s="446">
        <v>0.375</v>
      </c>
      <c r="J188" s="446">
        <v>0.41666666666666669</v>
      </c>
      <c r="K188" s="417">
        <f t="shared" si="6"/>
        <v>1.0000000000000004</v>
      </c>
      <c r="L188" s="9">
        <v>45569</v>
      </c>
      <c r="M188" s="48" t="s">
        <v>305</v>
      </c>
      <c r="N188" s="3" t="s">
        <v>79</v>
      </c>
      <c r="O188" s="2"/>
    </row>
    <row r="189" spans="1:15" s="1" customFormat="1">
      <c r="A189" s="4">
        <f t="shared" si="7"/>
        <v>188</v>
      </c>
      <c r="B189" s="504" t="s">
        <v>340</v>
      </c>
      <c r="C189" s="505" t="s">
        <v>341</v>
      </c>
      <c r="D189" s="506" t="s">
        <v>188</v>
      </c>
      <c r="E189" s="4">
        <v>1</v>
      </c>
      <c r="F189" s="414">
        <v>2</v>
      </c>
      <c r="G189" s="179">
        <v>45569</v>
      </c>
      <c r="H189" s="415">
        <v>1</v>
      </c>
      <c r="I189" s="446">
        <v>0.375</v>
      </c>
      <c r="J189" s="446">
        <v>0.3888888888888889</v>
      </c>
      <c r="K189" s="417">
        <f t="shared" si="6"/>
        <v>0.33333333333333348</v>
      </c>
      <c r="L189" s="9">
        <v>45569</v>
      </c>
      <c r="M189" s="48" t="s">
        <v>305</v>
      </c>
      <c r="N189" s="3" t="s">
        <v>79</v>
      </c>
      <c r="O189" s="2"/>
    </row>
    <row r="190" spans="1:15" s="1" customFormat="1" ht="14.25" customHeight="1">
      <c r="A190" s="4">
        <f t="shared" si="7"/>
        <v>189</v>
      </c>
      <c r="B190" s="481" t="s">
        <v>84</v>
      </c>
      <c r="C190" s="13" t="s">
        <v>147</v>
      </c>
      <c r="D190" s="479" t="s">
        <v>149</v>
      </c>
      <c r="E190" s="507">
        <v>30</v>
      </c>
      <c r="F190" s="7">
        <v>30</v>
      </c>
      <c r="G190" s="426">
        <v>45571</v>
      </c>
      <c r="H190" s="508">
        <v>1</v>
      </c>
      <c r="I190" s="509">
        <v>0.29166666666666669</v>
      </c>
      <c r="J190" s="509">
        <v>0.625</v>
      </c>
      <c r="K190" s="417">
        <f t="shared" si="6"/>
        <v>8</v>
      </c>
      <c r="L190" s="510">
        <v>45571</v>
      </c>
      <c r="M190" s="511" t="s">
        <v>305</v>
      </c>
      <c r="N190" s="512" t="s">
        <v>7</v>
      </c>
      <c r="O190" s="513" t="s">
        <v>151</v>
      </c>
    </row>
    <row r="191" spans="1:15" s="1" customFormat="1" ht="14.25" customHeight="1">
      <c r="A191" s="4">
        <f t="shared" si="7"/>
        <v>190</v>
      </c>
      <c r="B191" s="481" t="s">
        <v>84</v>
      </c>
      <c r="C191" s="13" t="s">
        <v>147</v>
      </c>
      <c r="D191" s="514" t="s">
        <v>204</v>
      </c>
      <c r="E191" s="515"/>
      <c r="F191" s="7">
        <v>30</v>
      </c>
      <c r="G191" s="426">
        <v>45571</v>
      </c>
      <c r="H191" s="516"/>
      <c r="I191" s="517"/>
      <c r="J191" s="517"/>
      <c r="K191" s="417">
        <f t="shared" si="6"/>
        <v>0</v>
      </c>
      <c r="L191" s="518"/>
      <c r="M191" s="519"/>
      <c r="N191" s="520"/>
      <c r="O191" s="521"/>
    </row>
    <row r="192" spans="1:15" s="1" customFormat="1" ht="14.25" customHeight="1">
      <c r="A192" s="4">
        <f t="shared" si="7"/>
        <v>191</v>
      </c>
      <c r="B192" s="481" t="s">
        <v>84</v>
      </c>
      <c r="C192" s="13" t="s">
        <v>147</v>
      </c>
      <c r="D192" s="514" t="s">
        <v>333</v>
      </c>
      <c r="E192" s="7">
        <v>30</v>
      </c>
      <c r="F192" s="7">
        <v>30</v>
      </c>
      <c r="G192" s="426">
        <v>45569</v>
      </c>
      <c r="H192" s="427">
        <v>1</v>
      </c>
      <c r="I192" s="465">
        <v>0.29166666666666669</v>
      </c>
      <c r="J192" s="465">
        <v>0.64583333333333337</v>
      </c>
      <c r="K192" s="417">
        <f t="shared" si="6"/>
        <v>8.5</v>
      </c>
      <c r="L192" s="11">
        <v>45571</v>
      </c>
      <c r="M192" s="47" t="s">
        <v>305</v>
      </c>
      <c r="N192" s="38" t="s">
        <v>7</v>
      </c>
      <c r="O192" s="13" t="s">
        <v>151</v>
      </c>
    </row>
    <row r="193" spans="1:15" s="1" customFormat="1">
      <c r="A193" s="4">
        <f t="shared" si="7"/>
        <v>192</v>
      </c>
      <c r="B193" s="522" t="s">
        <v>342</v>
      </c>
      <c r="C193" s="51" t="s">
        <v>243</v>
      </c>
      <c r="D193" s="523" t="s">
        <v>280</v>
      </c>
      <c r="E193" s="4">
        <v>2</v>
      </c>
      <c r="F193" s="414">
        <v>4</v>
      </c>
      <c r="G193" s="179">
        <v>45573</v>
      </c>
      <c r="H193" s="415">
        <v>1</v>
      </c>
      <c r="I193" s="446">
        <v>0.58333333333333337</v>
      </c>
      <c r="J193" s="446">
        <v>0.625</v>
      </c>
      <c r="K193" s="417">
        <f t="shared" si="6"/>
        <v>0.99999999999999911</v>
      </c>
      <c r="L193" s="9">
        <v>45573</v>
      </c>
      <c r="M193" s="51" t="s">
        <v>343</v>
      </c>
      <c r="N193" s="52" t="s">
        <v>287</v>
      </c>
      <c r="O193" s="2"/>
    </row>
    <row r="194" spans="1:15" s="1" customFormat="1">
      <c r="A194" s="4">
        <f t="shared" si="7"/>
        <v>193</v>
      </c>
      <c r="B194" s="522" t="s">
        <v>342</v>
      </c>
      <c r="C194" s="51" t="s">
        <v>243</v>
      </c>
      <c r="D194" s="523" t="s">
        <v>183</v>
      </c>
      <c r="E194" s="4">
        <v>2</v>
      </c>
      <c r="F194" s="414">
        <v>4</v>
      </c>
      <c r="G194" s="179">
        <v>45573</v>
      </c>
      <c r="H194" s="415">
        <v>1</v>
      </c>
      <c r="I194" s="446">
        <v>0.58333333333333337</v>
      </c>
      <c r="J194" s="446">
        <v>0.625</v>
      </c>
      <c r="K194" s="417">
        <f t="shared" si="6"/>
        <v>0.99999999999999911</v>
      </c>
      <c r="L194" s="9">
        <v>45573</v>
      </c>
      <c r="M194" s="51" t="s">
        <v>343</v>
      </c>
      <c r="N194" s="52" t="s">
        <v>287</v>
      </c>
      <c r="O194" s="2"/>
    </row>
    <row r="195" spans="1:15" s="1" customFormat="1">
      <c r="A195" s="4">
        <f t="shared" si="7"/>
        <v>194</v>
      </c>
      <c r="B195" s="524" t="s">
        <v>344</v>
      </c>
      <c r="C195" s="525" t="s">
        <v>345</v>
      </c>
      <c r="D195" s="526" t="s">
        <v>346</v>
      </c>
      <c r="E195" s="4">
        <v>10</v>
      </c>
      <c r="F195" s="414">
        <v>20</v>
      </c>
      <c r="G195" s="179">
        <v>45575</v>
      </c>
      <c r="H195" s="415">
        <v>1</v>
      </c>
      <c r="I195" s="446">
        <v>0.625</v>
      </c>
      <c r="J195" s="446">
        <v>0.6875</v>
      </c>
      <c r="K195" s="417">
        <f t="shared" si="6"/>
        <v>1.5</v>
      </c>
      <c r="L195" s="9">
        <v>45575</v>
      </c>
      <c r="M195" s="51" t="s">
        <v>343</v>
      </c>
      <c r="N195" s="53" t="s">
        <v>231</v>
      </c>
      <c r="O195" s="2"/>
    </row>
    <row r="196" spans="1:15" s="1" customFormat="1">
      <c r="A196" s="4">
        <f t="shared" si="7"/>
        <v>195</v>
      </c>
      <c r="B196" s="524" t="s">
        <v>347</v>
      </c>
      <c r="C196" s="525" t="s">
        <v>348</v>
      </c>
      <c r="D196" s="526" t="s">
        <v>96</v>
      </c>
      <c r="E196" s="4">
        <v>2</v>
      </c>
      <c r="F196" s="414">
        <v>2</v>
      </c>
      <c r="G196" s="179">
        <v>45575</v>
      </c>
      <c r="H196" s="415">
        <v>1</v>
      </c>
      <c r="I196" s="446">
        <v>0.33333333333333331</v>
      </c>
      <c r="J196" s="446">
        <v>0.58333333333333337</v>
      </c>
      <c r="K196" s="417">
        <f t="shared" ref="K196:K259" si="8">(J196-I196)*24*H196</f>
        <v>6.0000000000000018</v>
      </c>
      <c r="L196" s="9">
        <v>45575</v>
      </c>
      <c r="M196" s="51" t="s">
        <v>343</v>
      </c>
      <c r="N196" s="3" t="s">
        <v>6</v>
      </c>
      <c r="O196" s="2"/>
    </row>
    <row r="197" spans="1:15" s="1" customFormat="1">
      <c r="A197" s="4">
        <f t="shared" si="7"/>
        <v>196</v>
      </c>
      <c r="B197" s="527" t="s">
        <v>349</v>
      </c>
      <c r="C197" s="528" t="s">
        <v>350</v>
      </c>
      <c r="D197" s="526" t="s">
        <v>96</v>
      </c>
      <c r="E197" s="4">
        <v>1</v>
      </c>
      <c r="F197" s="414">
        <v>1</v>
      </c>
      <c r="G197" s="179">
        <v>45576</v>
      </c>
      <c r="H197" s="415">
        <v>1</v>
      </c>
      <c r="I197" s="446">
        <v>0.58333333333333337</v>
      </c>
      <c r="J197" s="446">
        <v>0.625</v>
      </c>
      <c r="K197" s="417">
        <f t="shared" si="8"/>
        <v>0.99999999999999911</v>
      </c>
      <c r="L197" s="9">
        <v>45576</v>
      </c>
      <c r="M197" s="51" t="s">
        <v>343</v>
      </c>
      <c r="N197" s="3" t="s">
        <v>6</v>
      </c>
      <c r="O197" s="2"/>
    </row>
    <row r="198" spans="1:15" s="1" customFormat="1">
      <c r="A198" s="4">
        <f t="shared" si="7"/>
        <v>197</v>
      </c>
      <c r="B198" s="527" t="s">
        <v>351</v>
      </c>
      <c r="C198" s="528" t="s">
        <v>352</v>
      </c>
      <c r="D198" s="529" t="s">
        <v>107</v>
      </c>
      <c r="E198" s="4">
        <v>1</v>
      </c>
      <c r="F198" s="414">
        <v>1</v>
      </c>
      <c r="G198" s="179">
        <v>45576</v>
      </c>
      <c r="H198" s="415">
        <v>1</v>
      </c>
      <c r="I198" s="446">
        <v>0.58333333333333337</v>
      </c>
      <c r="J198" s="530">
        <v>0.61458333333333337</v>
      </c>
      <c r="K198" s="417">
        <f t="shared" si="8"/>
        <v>0.75</v>
      </c>
      <c r="L198" s="9">
        <v>45576</v>
      </c>
      <c r="M198" s="51" t="s">
        <v>343</v>
      </c>
      <c r="N198" s="3" t="s">
        <v>8</v>
      </c>
      <c r="O198" s="2"/>
    </row>
    <row r="199" spans="1:15" s="1" customFormat="1">
      <c r="A199" s="4">
        <f t="shared" si="7"/>
        <v>198</v>
      </c>
      <c r="B199" s="527" t="s">
        <v>353</v>
      </c>
      <c r="C199" s="528" t="s">
        <v>354</v>
      </c>
      <c r="D199" s="529" t="s">
        <v>280</v>
      </c>
      <c r="E199" s="4">
        <v>1</v>
      </c>
      <c r="F199" s="414">
        <v>1</v>
      </c>
      <c r="G199" s="179">
        <v>45576</v>
      </c>
      <c r="H199" s="415">
        <v>1</v>
      </c>
      <c r="I199" s="446">
        <v>0.58333333333333337</v>
      </c>
      <c r="J199" s="446">
        <v>0.59722222222222221</v>
      </c>
      <c r="K199" s="417">
        <f t="shared" si="8"/>
        <v>0.33333333333333215</v>
      </c>
      <c r="L199" s="9">
        <v>45576</v>
      </c>
      <c r="M199" s="55" t="s">
        <v>343</v>
      </c>
      <c r="N199" s="54" t="s">
        <v>9</v>
      </c>
      <c r="O199" s="2"/>
    </row>
    <row r="200" spans="1:15" s="1" customFormat="1">
      <c r="A200" s="4">
        <f t="shared" si="7"/>
        <v>199</v>
      </c>
      <c r="B200" s="531" t="s">
        <v>355</v>
      </c>
      <c r="C200" s="55" t="s">
        <v>356</v>
      </c>
      <c r="D200" s="532" t="s">
        <v>159</v>
      </c>
      <c r="E200" s="4">
        <v>5</v>
      </c>
      <c r="F200" s="414">
        <v>5</v>
      </c>
      <c r="G200" s="179">
        <v>45579</v>
      </c>
      <c r="H200" s="415">
        <v>1</v>
      </c>
      <c r="I200" s="446">
        <v>0.33333333333333331</v>
      </c>
      <c r="J200" s="446">
        <v>0.58333333333333337</v>
      </c>
      <c r="K200" s="417">
        <f t="shared" si="8"/>
        <v>6.0000000000000018</v>
      </c>
      <c r="L200" s="9">
        <v>45579</v>
      </c>
      <c r="M200" s="55" t="s">
        <v>357</v>
      </c>
      <c r="N200" s="3" t="s">
        <v>6</v>
      </c>
      <c r="O200" s="2"/>
    </row>
    <row r="201" spans="1:15" s="1" customFormat="1">
      <c r="A201" s="4">
        <f t="shared" si="7"/>
        <v>200</v>
      </c>
      <c r="B201" s="531" t="s">
        <v>355</v>
      </c>
      <c r="C201" s="55" t="s">
        <v>356</v>
      </c>
      <c r="D201" s="532" t="s">
        <v>107</v>
      </c>
      <c r="E201" s="4">
        <v>5</v>
      </c>
      <c r="F201" s="414">
        <v>5</v>
      </c>
      <c r="G201" s="179">
        <v>45579</v>
      </c>
      <c r="H201" s="415">
        <v>1</v>
      </c>
      <c r="I201" s="446">
        <v>0.33333333333333331</v>
      </c>
      <c r="J201" s="446">
        <v>0.54166666666666663</v>
      </c>
      <c r="K201" s="417">
        <f t="shared" si="8"/>
        <v>5</v>
      </c>
      <c r="L201" s="9">
        <v>45579</v>
      </c>
      <c r="M201" s="55" t="s">
        <v>357</v>
      </c>
      <c r="N201" s="3" t="s">
        <v>6</v>
      </c>
      <c r="O201" s="2"/>
    </row>
    <row r="202" spans="1:15" s="1" customFormat="1">
      <c r="A202" s="4">
        <f t="shared" si="7"/>
        <v>201</v>
      </c>
      <c r="B202" s="533" t="s">
        <v>358</v>
      </c>
      <c r="C202" s="534" t="s">
        <v>359</v>
      </c>
      <c r="D202" s="535" t="s">
        <v>122</v>
      </c>
      <c r="E202" s="4">
        <v>2</v>
      </c>
      <c r="F202" s="414">
        <v>2</v>
      </c>
      <c r="G202" s="179">
        <v>45580</v>
      </c>
      <c r="H202" s="415">
        <v>1</v>
      </c>
      <c r="I202" s="446">
        <v>0.54166666666666663</v>
      </c>
      <c r="J202" s="446">
        <v>0.58333333333333337</v>
      </c>
      <c r="K202" s="417">
        <f t="shared" si="8"/>
        <v>1.0000000000000018</v>
      </c>
      <c r="L202" s="9">
        <v>45580</v>
      </c>
      <c r="M202" s="55" t="s">
        <v>357</v>
      </c>
      <c r="N202" s="3" t="s">
        <v>8</v>
      </c>
      <c r="O202" s="2"/>
    </row>
    <row r="203" spans="1:15" s="1" customFormat="1">
      <c r="A203" s="4">
        <f t="shared" si="7"/>
        <v>202</v>
      </c>
      <c r="B203" s="533" t="s">
        <v>360</v>
      </c>
      <c r="C203" s="534" t="s">
        <v>361</v>
      </c>
      <c r="D203" s="535" t="s">
        <v>224</v>
      </c>
      <c r="E203" s="4">
        <v>1</v>
      </c>
      <c r="F203" s="414">
        <v>2</v>
      </c>
      <c r="G203" s="179">
        <v>45580</v>
      </c>
      <c r="H203" s="415">
        <v>1</v>
      </c>
      <c r="I203" s="446">
        <v>0.54166666666666663</v>
      </c>
      <c r="J203" s="446">
        <v>0.57291666666666663</v>
      </c>
      <c r="K203" s="417">
        <f t="shared" si="8"/>
        <v>0.75</v>
      </c>
      <c r="L203" s="9">
        <v>45580</v>
      </c>
      <c r="M203" s="55" t="s">
        <v>357</v>
      </c>
      <c r="N203" s="3" t="s">
        <v>6</v>
      </c>
      <c r="O203" s="2"/>
    </row>
    <row r="204" spans="1:15" s="1" customFormat="1">
      <c r="A204" s="4">
        <f t="shared" si="7"/>
        <v>203</v>
      </c>
      <c r="B204" s="533" t="s">
        <v>360</v>
      </c>
      <c r="C204" s="534" t="s">
        <v>361</v>
      </c>
      <c r="D204" s="535" t="s">
        <v>362</v>
      </c>
      <c r="E204" s="4">
        <v>1</v>
      </c>
      <c r="F204" s="414">
        <v>1</v>
      </c>
      <c r="G204" s="179">
        <v>45580</v>
      </c>
      <c r="H204" s="415">
        <v>1</v>
      </c>
      <c r="I204" s="446">
        <v>0.54166666666666663</v>
      </c>
      <c r="J204" s="446">
        <v>0.5625</v>
      </c>
      <c r="K204" s="417">
        <f t="shared" si="8"/>
        <v>0.50000000000000089</v>
      </c>
      <c r="L204" s="9">
        <v>45580</v>
      </c>
      <c r="M204" s="55" t="s">
        <v>357</v>
      </c>
      <c r="N204" s="3" t="s">
        <v>6</v>
      </c>
      <c r="O204" s="2"/>
    </row>
    <row r="205" spans="1:15" s="1" customFormat="1">
      <c r="A205" s="4">
        <f t="shared" si="7"/>
        <v>204</v>
      </c>
      <c r="B205" s="536" t="s">
        <v>363</v>
      </c>
      <c r="C205" s="537" t="s">
        <v>364</v>
      </c>
      <c r="D205" s="538" t="s">
        <v>365</v>
      </c>
      <c r="E205" s="4">
        <v>1</v>
      </c>
      <c r="F205" s="414">
        <v>1</v>
      </c>
      <c r="G205" s="179">
        <v>45580</v>
      </c>
      <c r="H205" s="415">
        <v>1</v>
      </c>
      <c r="I205" s="446">
        <v>0.54166666666666663</v>
      </c>
      <c r="J205" s="446">
        <v>0.5625</v>
      </c>
      <c r="K205" s="417">
        <f t="shared" si="8"/>
        <v>0.50000000000000089</v>
      </c>
      <c r="L205" s="9">
        <v>45580</v>
      </c>
      <c r="M205" s="55" t="s">
        <v>357</v>
      </c>
      <c r="N205" s="56" t="s">
        <v>11</v>
      </c>
      <c r="O205" s="2"/>
    </row>
    <row r="206" spans="1:15" s="1" customFormat="1">
      <c r="A206" s="4">
        <f t="shared" si="7"/>
        <v>205</v>
      </c>
      <c r="B206" s="536" t="s">
        <v>363</v>
      </c>
      <c r="C206" s="537" t="s">
        <v>364</v>
      </c>
      <c r="D206" s="538" t="s">
        <v>96</v>
      </c>
      <c r="E206" s="4">
        <v>1</v>
      </c>
      <c r="F206" s="414">
        <v>1</v>
      </c>
      <c r="G206" s="179">
        <v>45580</v>
      </c>
      <c r="H206" s="415">
        <v>1</v>
      </c>
      <c r="I206" s="446">
        <v>0.54166666666666663</v>
      </c>
      <c r="J206" s="446">
        <v>0.625</v>
      </c>
      <c r="K206" s="417">
        <f t="shared" si="8"/>
        <v>2.0000000000000009</v>
      </c>
      <c r="L206" s="9">
        <v>45580</v>
      </c>
      <c r="M206" s="55" t="s">
        <v>357</v>
      </c>
      <c r="N206" s="56" t="s">
        <v>11</v>
      </c>
      <c r="O206" s="2"/>
    </row>
    <row r="207" spans="1:15" s="1" customFormat="1">
      <c r="A207" s="4">
        <f t="shared" si="7"/>
        <v>206</v>
      </c>
      <c r="B207" s="539" t="s">
        <v>366</v>
      </c>
      <c r="C207" s="540" t="s">
        <v>367</v>
      </c>
      <c r="D207" s="541" t="s">
        <v>368</v>
      </c>
      <c r="E207" s="540">
        <v>20</v>
      </c>
      <c r="F207" s="414">
        <v>40</v>
      </c>
      <c r="G207" s="179">
        <v>45582</v>
      </c>
      <c r="H207" s="415">
        <v>1</v>
      </c>
      <c r="I207" s="446">
        <v>0.58333333333333337</v>
      </c>
      <c r="J207" s="446">
        <v>0.64583333333333337</v>
      </c>
      <c r="K207" s="417">
        <f t="shared" si="8"/>
        <v>1.5</v>
      </c>
      <c r="L207" s="9">
        <v>45582</v>
      </c>
      <c r="M207" s="55" t="s">
        <v>357</v>
      </c>
      <c r="N207" s="57" t="s">
        <v>369</v>
      </c>
      <c r="O207" s="2"/>
    </row>
    <row r="208" spans="1:15" s="1" customFormat="1">
      <c r="A208" s="4">
        <f t="shared" si="7"/>
        <v>207</v>
      </c>
      <c r="B208" s="539" t="s">
        <v>366</v>
      </c>
      <c r="C208" s="540" t="s">
        <v>367</v>
      </c>
      <c r="D208" s="541" t="s">
        <v>370</v>
      </c>
      <c r="E208" s="540">
        <v>20</v>
      </c>
      <c r="F208" s="414">
        <v>40</v>
      </c>
      <c r="G208" s="179">
        <v>45582</v>
      </c>
      <c r="H208" s="415">
        <v>1</v>
      </c>
      <c r="I208" s="446">
        <v>0.58333333333333337</v>
      </c>
      <c r="J208" s="446">
        <v>0.64583333333333337</v>
      </c>
      <c r="K208" s="417">
        <f t="shared" si="8"/>
        <v>1.5</v>
      </c>
      <c r="L208" s="9">
        <v>45582</v>
      </c>
      <c r="M208" s="55" t="s">
        <v>357</v>
      </c>
      <c r="N208" s="57" t="s">
        <v>369</v>
      </c>
      <c r="O208" s="2"/>
    </row>
    <row r="209" spans="1:15" s="1" customFormat="1">
      <c r="A209" s="4">
        <f t="shared" si="7"/>
        <v>208</v>
      </c>
      <c r="B209" s="539" t="s">
        <v>366</v>
      </c>
      <c r="C209" s="540" t="s">
        <v>367</v>
      </c>
      <c r="D209" s="541" t="s">
        <v>371</v>
      </c>
      <c r="E209" s="4">
        <v>20</v>
      </c>
      <c r="F209" s="414">
        <v>80</v>
      </c>
      <c r="G209" s="179">
        <v>45582</v>
      </c>
      <c r="H209" s="415">
        <v>1</v>
      </c>
      <c r="I209" s="446">
        <v>0.58333333333333337</v>
      </c>
      <c r="J209" s="446">
        <v>0.66666666666666663</v>
      </c>
      <c r="K209" s="417">
        <f t="shared" si="8"/>
        <v>1.9999999999999982</v>
      </c>
      <c r="L209" s="9">
        <v>45582</v>
      </c>
      <c r="M209" s="55" t="s">
        <v>357</v>
      </c>
      <c r="N209" s="57" t="s">
        <v>369</v>
      </c>
      <c r="O209" s="2"/>
    </row>
    <row r="210" spans="1:15" s="1" customFormat="1">
      <c r="A210" s="4">
        <f t="shared" si="7"/>
        <v>209</v>
      </c>
      <c r="B210" s="539" t="s">
        <v>373</v>
      </c>
      <c r="C210" s="540" t="s">
        <v>372</v>
      </c>
      <c r="D210" s="541" t="s">
        <v>219</v>
      </c>
      <c r="E210" s="4">
        <v>9</v>
      </c>
      <c r="F210" s="414">
        <v>18</v>
      </c>
      <c r="G210" s="179">
        <v>45582</v>
      </c>
      <c r="H210" s="415">
        <v>1</v>
      </c>
      <c r="I210" s="446">
        <v>0.58333333333333337</v>
      </c>
      <c r="J210" s="446">
        <v>0.60416666666666663</v>
      </c>
      <c r="K210" s="417">
        <f t="shared" si="8"/>
        <v>0.49999999999999822</v>
      </c>
      <c r="L210" s="9">
        <v>45582</v>
      </c>
      <c r="M210" s="55" t="s">
        <v>357</v>
      </c>
      <c r="N210" s="57" t="s">
        <v>369</v>
      </c>
      <c r="O210" s="2"/>
    </row>
    <row r="211" spans="1:15" s="1" customFormat="1">
      <c r="A211" s="4">
        <f t="shared" si="7"/>
        <v>210</v>
      </c>
      <c r="B211" s="539" t="s">
        <v>373</v>
      </c>
      <c r="C211" s="540" t="s">
        <v>372</v>
      </c>
      <c r="D211" s="541" t="s">
        <v>374</v>
      </c>
      <c r="E211" s="4">
        <v>9</v>
      </c>
      <c r="F211" s="414">
        <v>18</v>
      </c>
      <c r="G211" s="179">
        <v>45582</v>
      </c>
      <c r="H211" s="415">
        <v>1</v>
      </c>
      <c r="I211" s="446">
        <v>0.58333333333333337</v>
      </c>
      <c r="J211" s="446">
        <v>0.60416666666666663</v>
      </c>
      <c r="K211" s="417">
        <f t="shared" si="8"/>
        <v>0.49999999999999822</v>
      </c>
      <c r="L211" s="9">
        <v>45582</v>
      </c>
      <c r="M211" s="55" t="s">
        <v>357</v>
      </c>
      <c r="N211" s="57" t="s">
        <v>369</v>
      </c>
      <c r="O211" s="2"/>
    </row>
    <row r="212" spans="1:15" s="1" customFormat="1">
      <c r="A212" s="4">
        <f t="shared" si="7"/>
        <v>211</v>
      </c>
      <c r="B212" s="539" t="s">
        <v>373</v>
      </c>
      <c r="C212" s="540" t="s">
        <v>372</v>
      </c>
      <c r="D212" s="541" t="s">
        <v>375</v>
      </c>
      <c r="E212" s="4">
        <v>9</v>
      </c>
      <c r="F212" s="414">
        <v>18</v>
      </c>
      <c r="G212" s="179">
        <v>45582</v>
      </c>
      <c r="H212" s="415">
        <v>1</v>
      </c>
      <c r="I212" s="446">
        <v>0.58333333333333337</v>
      </c>
      <c r="J212" s="446">
        <v>0.625</v>
      </c>
      <c r="K212" s="417">
        <f t="shared" si="8"/>
        <v>0.99999999999999911</v>
      </c>
      <c r="L212" s="9">
        <v>45582</v>
      </c>
      <c r="M212" s="55" t="s">
        <v>357</v>
      </c>
      <c r="N212" s="57" t="s">
        <v>369</v>
      </c>
      <c r="O212" s="2"/>
    </row>
    <row r="213" spans="1:15" s="1" customFormat="1">
      <c r="A213" s="4">
        <f t="shared" si="7"/>
        <v>212</v>
      </c>
      <c r="B213" s="539" t="s">
        <v>376</v>
      </c>
      <c r="C213" s="540" t="s">
        <v>377</v>
      </c>
      <c r="D213" s="541" t="s">
        <v>67</v>
      </c>
      <c r="E213" s="4">
        <v>1</v>
      </c>
      <c r="F213" s="414">
        <v>1</v>
      </c>
      <c r="G213" s="179">
        <v>45582</v>
      </c>
      <c r="H213" s="415">
        <v>1</v>
      </c>
      <c r="I213" s="446">
        <v>0.58333333333333337</v>
      </c>
      <c r="J213" s="446">
        <v>0.59722222222222221</v>
      </c>
      <c r="K213" s="417">
        <f t="shared" si="8"/>
        <v>0.33333333333333215</v>
      </c>
      <c r="L213" s="9">
        <v>45582</v>
      </c>
      <c r="M213" s="55" t="s">
        <v>357</v>
      </c>
      <c r="N213" s="57" t="s">
        <v>332</v>
      </c>
      <c r="O213" s="2"/>
    </row>
    <row r="214" spans="1:15" s="1" customFormat="1">
      <c r="A214" s="4">
        <f t="shared" si="7"/>
        <v>213</v>
      </c>
      <c r="B214" s="481" t="s">
        <v>84</v>
      </c>
      <c r="C214" s="13" t="s">
        <v>147</v>
      </c>
      <c r="D214" s="542" t="s">
        <v>148</v>
      </c>
      <c r="E214" s="7">
        <v>30</v>
      </c>
      <c r="F214" s="425">
        <v>30</v>
      </c>
      <c r="G214" s="426">
        <v>45582</v>
      </c>
      <c r="H214" s="427">
        <v>1</v>
      </c>
      <c r="I214" s="465">
        <v>0.33333333333333331</v>
      </c>
      <c r="J214" s="465">
        <v>0.45833333333333331</v>
      </c>
      <c r="K214" s="417">
        <f t="shared" si="8"/>
        <v>3</v>
      </c>
      <c r="L214" s="11">
        <v>45583</v>
      </c>
      <c r="M214" s="58" t="s">
        <v>357</v>
      </c>
      <c r="N214" s="38" t="s">
        <v>7</v>
      </c>
      <c r="O214" s="13" t="s">
        <v>151</v>
      </c>
    </row>
    <row r="215" spans="1:15" s="1" customFormat="1">
      <c r="A215" s="4">
        <f t="shared" si="7"/>
        <v>214</v>
      </c>
      <c r="B215" s="481" t="s">
        <v>84</v>
      </c>
      <c r="C215" s="13" t="s">
        <v>147</v>
      </c>
      <c r="D215" s="542" t="s">
        <v>261</v>
      </c>
      <c r="E215" s="7">
        <v>30</v>
      </c>
      <c r="F215" s="425">
        <v>30</v>
      </c>
      <c r="G215" s="426">
        <v>45582</v>
      </c>
      <c r="H215" s="427">
        <v>1</v>
      </c>
      <c r="I215" s="465">
        <v>0.33333333333333331</v>
      </c>
      <c r="J215" s="465">
        <v>0.45833333333333331</v>
      </c>
      <c r="K215" s="417">
        <f t="shared" si="8"/>
        <v>3</v>
      </c>
      <c r="L215" s="11">
        <v>45583</v>
      </c>
      <c r="M215" s="58" t="s">
        <v>357</v>
      </c>
      <c r="N215" s="38" t="s">
        <v>7</v>
      </c>
      <c r="O215" s="13" t="s">
        <v>151</v>
      </c>
    </row>
    <row r="216" spans="1:15" s="1" customFormat="1">
      <c r="A216" s="4">
        <f t="shared" si="7"/>
        <v>215</v>
      </c>
      <c r="B216" s="481" t="s">
        <v>84</v>
      </c>
      <c r="C216" s="13" t="s">
        <v>147</v>
      </c>
      <c r="D216" s="542" t="s">
        <v>150</v>
      </c>
      <c r="E216" s="7">
        <v>30</v>
      </c>
      <c r="F216" s="425">
        <v>30</v>
      </c>
      <c r="G216" s="426">
        <v>45582</v>
      </c>
      <c r="H216" s="427">
        <v>1</v>
      </c>
      <c r="I216" s="465">
        <v>0.33333333333333331</v>
      </c>
      <c r="J216" s="465">
        <v>0.45833333333333331</v>
      </c>
      <c r="K216" s="417">
        <f t="shared" si="8"/>
        <v>3</v>
      </c>
      <c r="L216" s="11">
        <v>45583</v>
      </c>
      <c r="M216" s="58" t="s">
        <v>357</v>
      </c>
      <c r="N216" s="38" t="s">
        <v>7</v>
      </c>
      <c r="O216" s="13" t="s">
        <v>151</v>
      </c>
    </row>
    <row r="217" spans="1:15" s="1" customFormat="1">
      <c r="A217" s="4">
        <f t="shared" si="7"/>
        <v>216</v>
      </c>
      <c r="B217" s="481" t="s">
        <v>84</v>
      </c>
      <c r="C217" s="13" t="s">
        <v>147</v>
      </c>
      <c r="D217" s="542" t="s">
        <v>203</v>
      </c>
      <c r="E217" s="7">
        <v>30</v>
      </c>
      <c r="F217" s="425">
        <v>30</v>
      </c>
      <c r="G217" s="426">
        <v>45582</v>
      </c>
      <c r="H217" s="427">
        <v>1</v>
      </c>
      <c r="I217" s="465">
        <v>0.33333333333333331</v>
      </c>
      <c r="J217" s="465">
        <v>0.45833333333333331</v>
      </c>
      <c r="K217" s="417">
        <f t="shared" si="8"/>
        <v>3</v>
      </c>
      <c r="L217" s="11">
        <v>45583</v>
      </c>
      <c r="M217" s="58" t="s">
        <v>357</v>
      </c>
      <c r="N217" s="38" t="s">
        <v>7</v>
      </c>
      <c r="O217" s="13" t="s">
        <v>151</v>
      </c>
    </row>
    <row r="218" spans="1:15" s="1" customFormat="1">
      <c r="A218" s="4">
        <f t="shared" si="7"/>
        <v>217</v>
      </c>
      <c r="B218" s="481" t="s">
        <v>84</v>
      </c>
      <c r="C218" s="13" t="s">
        <v>147</v>
      </c>
      <c r="D218" s="542" t="s">
        <v>378</v>
      </c>
      <c r="E218" s="7">
        <v>30</v>
      </c>
      <c r="F218" s="425">
        <v>30</v>
      </c>
      <c r="G218" s="426">
        <v>45582</v>
      </c>
      <c r="H218" s="427">
        <v>1</v>
      </c>
      <c r="I218" s="465">
        <v>0.33333333333333331</v>
      </c>
      <c r="J218" s="465">
        <v>0.58333333333333337</v>
      </c>
      <c r="K218" s="417">
        <f t="shared" si="8"/>
        <v>6.0000000000000018</v>
      </c>
      <c r="L218" s="11">
        <v>45583</v>
      </c>
      <c r="M218" s="58" t="s">
        <v>357</v>
      </c>
      <c r="N218" s="38" t="s">
        <v>7</v>
      </c>
      <c r="O218" s="13" t="s">
        <v>151</v>
      </c>
    </row>
    <row r="219" spans="1:15" s="1" customFormat="1">
      <c r="A219" s="4">
        <f t="shared" si="7"/>
        <v>218</v>
      </c>
      <c r="B219" s="543" t="s">
        <v>379</v>
      </c>
      <c r="C219" s="7"/>
      <c r="D219" s="542" t="s">
        <v>148</v>
      </c>
      <c r="E219" s="7">
        <v>2</v>
      </c>
      <c r="F219" s="7">
        <v>2</v>
      </c>
      <c r="G219" s="426">
        <v>45582</v>
      </c>
      <c r="H219" s="427">
        <v>1</v>
      </c>
      <c r="I219" s="465">
        <v>0.33333333333333331</v>
      </c>
      <c r="J219" s="544">
        <v>0.35416666666666669</v>
      </c>
      <c r="K219" s="417">
        <f t="shared" si="8"/>
        <v>0.50000000000000089</v>
      </c>
      <c r="L219" s="11">
        <v>45583</v>
      </c>
      <c r="M219" s="58" t="s">
        <v>357</v>
      </c>
      <c r="N219" s="59" t="s">
        <v>185</v>
      </c>
      <c r="O219" s="60" t="s">
        <v>383</v>
      </c>
    </row>
    <row r="220" spans="1:15" s="1" customFormat="1">
      <c r="A220" s="4">
        <f t="shared" si="7"/>
        <v>219</v>
      </c>
      <c r="B220" s="543" t="s">
        <v>379</v>
      </c>
      <c r="C220" s="7"/>
      <c r="D220" s="542" t="s">
        <v>380</v>
      </c>
      <c r="E220" s="7">
        <v>5</v>
      </c>
      <c r="F220" s="7">
        <v>5</v>
      </c>
      <c r="G220" s="426">
        <v>45582</v>
      </c>
      <c r="H220" s="427">
        <v>1</v>
      </c>
      <c r="I220" s="465">
        <v>0.33333333333333331</v>
      </c>
      <c r="J220" s="465">
        <v>0.36458333333333331</v>
      </c>
      <c r="K220" s="417">
        <f t="shared" si="8"/>
        <v>0.75</v>
      </c>
      <c r="L220" s="11">
        <v>45583</v>
      </c>
      <c r="M220" s="64" t="s">
        <v>357</v>
      </c>
      <c r="N220" s="59" t="s">
        <v>185</v>
      </c>
      <c r="O220" s="60" t="s">
        <v>383</v>
      </c>
    </row>
    <row r="221" spans="1:15" s="1" customFormat="1">
      <c r="A221" s="4">
        <f t="shared" si="7"/>
        <v>220</v>
      </c>
      <c r="B221" s="543" t="s">
        <v>379</v>
      </c>
      <c r="C221" s="7"/>
      <c r="D221" s="542" t="s">
        <v>382</v>
      </c>
      <c r="E221" s="7">
        <v>6</v>
      </c>
      <c r="F221" s="7">
        <v>6</v>
      </c>
      <c r="G221" s="426">
        <v>45582</v>
      </c>
      <c r="H221" s="427">
        <v>1</v>
      </c>
      <c r="I221" s="465">
        <v>0.33333333333333331</v>
      </c>
      <c r="J221" s="465">
        <v>0.36458333333333331</v>
      </c>
      <c r="K221" s="417">
        <f t="shared" si="8"/>
        <v>0.75</v>
      </c>
      <c r="L221" s="11">
        <v>45583</v>
      </c>
      <c r="M221" s="58" t="s">
        <v>357</v>
      </c>
      <c r="N221" s="59" t="s">
        <v>185</v>
      </c>
      <c r="O221" s="60" t="s">
        <v>383</v>
      </c>
    </row>
    <row r="222" spans="1:15" s="1" customFormat="1">
      <c r="A222" s="4">
        <f t="shared" si="7"/>
        <v>221</v>
      </c>
      <c r="B222" s="543" t="s">
        <v>379</v>
      </c>
      <c r="C222" s="7"/>
      <c r="D222" s="542" t="s">
        <v>381</v>
      </c>
      <c r="E222" s="7">
        <v>2</v>
      </c>
      <c r="F222" s="7">
        <v>2</v>
      </c>
      <c r="G222" s="426">
        <v>45582</v>
      </c>
      <c r="H222" s="427">
        <v>1</v>
      </c>
      <c r="I222" s="465">
        <v>0.33333333333333331</v>
      </c>
      <c r="J222" s="544">
        <v>0.35416666666666669</v>
      </c>
      <c r="K222" s="417">
        <f t="shared" si="8"/>
        <v>0.50000000000000089</v>
      </c>
      <c r="L222" s="11">
        <v>45583</v>
      </c>
      <c r="M222" s="58" t="s">
        <v>357</v>
      </c>
      <c r="N222" s="59" t="s">
        <v>185</v>
      </c>
      <c r="O222" s="60" t="s">
        <v>383</v>
      </c>
    </row>
    <row r="223" spans="1:15" s="1" customFormat="1">
      <c r="A223" s="4">
        <f t="shared" si="7"/>
        <v>222</v>
      </c>
      <c r="B223" s="545" t="s">
        <v>384</v>
      </c>
      <c r="C223" s="61" t="s">
        <v>385</v>
      </c>
      <c r="D223" s="546" t="s">
        <v>227</v>
      </c>
      <c r="E223" s="4">
        <v>4</v>
      </c>
      <c r="F223" s="414">
        <v>144</v>
      </c>
      <c r="G223" s="547">
        <v>45584</v>
      </c>
      <c r="H223" s="420">
        <v>1</v>
      </c>
      <c r="I223" s="482">
        <v>0.33333333333333331</v>
      </c>
      <c r="J223" s="446">
        <v>0.375</v>
      </c>
      <c r="K223" s="417">
        <f t="shared" si="8"/>
        <v>1.0000000000000004</v>
      </c>
      <c r="L223" s="9">
        <v>45584</v>
      </c>
      <c r="M223" s="61" t="s">
        <v>386</v>
      </c>
      <c r="N223" s="62" t="s">
        <v>388</v>
      </c>
      <c r="O223" s="2"/>
    </row>
    <row r="224" spans="1:15" s="1" customFormat="1">
      <c r="A224" s="4">
        <f t="shared" ref="A224:A287" si="9">ROW()-1</f>
        <v>223</v>
      </c>
      <c r="B224" s="545" t="s">
        <v>384</v>
      </c>
      <c r="C224" s="61" t="s">
        <v>385</v>
      </c>
      <c r="D224" s="546" t="s">
        <v>387</v>
      </c>
      <c r="E224" s="4">
        <v>4</v>
      </c>
      <c r="F224" s="414">
        <v>24</v>
      </c>
      <c r="G224" s="547">
        <v>45584</v>
      </c>
      <c r="H224" s="420">
        <v>1</v>
      </c>
      <c r="I224" s="482">
        <v>0.33333333333333331</v>
      </c>
      <c r="J224" s="446">
        <v>0.35416666666666669</v>
      </c>
      <c r="K224" s="417">
        <f t="shared" si="8"/>
        <v>0.50000000000000089</v>
      </c>
      <c r="L224" s="9">
        <v>45584</v>
      </c>
      <c r="M224" s="61" t="s">
        <v>386</v>
      </c>
      <c r="N224" s="62" t="s">
        <v>388</v>
      </c>
      <c r="O224" s="2"/>
    </row>
    <row r="225" spans="1:15" s="1" customFormat="1">
      <c r="A225" s="4">
        <f t="shared" si="9"/>
        <v>224</v>
      </c>
      <c r="B225" s="545" t="s">
        <v>384</v>
      </c>
      <c r="C225" s="61" t="s">
        <v>385</v>
      </c>
      <c r="D225" s="546" t="s">
        <v>289</v>
      </c>
      <c r="E225" s="4">
        <v>4</v>
      </c>
      <c r="F225" s="414">
        <v>48</v>
      </c>
      <c r="G225" s="547">
        <v>45584</v>
      </c>
      <c r="H225" s="420">
        <v>1</v>
      </c>
      <c r="I225" s="482">
        <v>0.33333333333333331</v>
      </c>
      <c r="J225" s="446">
        <v>0.36458333333333331</v>
      </c>
      <c r="K225" s="417">
        <f t="shared" si="8"/>
        <v>0.75</v>
      </c>
      <c r="L225" s="9">
        <v>45584</v>
      </c>
      <c r="M225" s="61" t="s">
        <v>386</v>
      </c>
      <c r="N225" s="62" t="s">
        <v>388</v>
      </c>
      <c r="O225" s="2"/>
    </row>
    <row r="226" spans="1:15" s="1" customFormat="1">
      <c r="A226" s="4">
        <f t="shared" si="9"/>
        <v>225</v>
      </c>
      <c r="B226" s="548" t="s">
        <v>389</v>
      </c>
      <c r="C226" s="549" t="s">
        <v>390</v>
      </c>
      <c r="D226" s="550" t="s">
        <v>107</v>
      </c>
      <c r="E226" s="4">
        <v>1</v>
      </c>
      <c r="F226" s="414">
        <v>1</v>
      </c>
      <c r="G226" s="179">
        <v>45587</v>
      </c>
      <c r="H226" s="415">
        <v>1</v>
      </c>
      <c r="I226" s="446">
        <v>0.375</v>
      </c>
      <c r="J226" s="446">
        <v>0.3888888888888889</v>
      </c>
      <c r="K226" s="417">
        <f t="shared" si="8"/>
        <v>0.33333333333333348</v>
      </c>
      <c r="L226" s="9">
        <v>45587</v>
      </c>
      <c r="M226" s="61" t="s">
        <v>386</v>
      </c>
      <c r="N226" s="63" t="s">
        <v>7</v>
      </c>
      <c r="O226" s="2"/>
    </row>
    <row r="227" spans="1:15" s="1" customFormat="1">
      <c r="A227" s="4">
        <f t="shared" si="9"/>
        <v>226</v>
      </c>
      <c r="B227" s="548" t="s">
        <v>295</v>
      </c>
      <c r="C227" s="549" t="s">
        <v>296</v>
      </c>
      <c r="D227" s="550" t="s">
        <v>107</v>
      </c>
      <c r="E227" s="4">
        <v>1</v>
      </c>
      <c r="F227" s="414">
        <v>1</v>
      </c>
      <c r="G227" s="179">
        <v>45587</v>
      </c>
      <c r="H227" s="415">
        <v>1</v>
      </c>
      <c r="I227" s="446">
        <v>0.375</v>
      </c>
      <c r="J227" s="446">
        <v>0.38541666666666669</v>
      </c>
      <c r="K227" s="417">
        <f t="shared" si="8"/>
        <v>0.25000000000000044</v>
      </c>
      <c r="L227" s="9">
        <v>45587</v>
      </c>
      <c r="M227" s="61" t="s">
        <v>386</v>
      </c>
      <c r="N227" s="63" t="s">
        <v>287</v>
      </c>
      <c r="O227" s="2"/>
    </row>
    <row r="228" spans="1:15" s="1" customFormat="1">
      <c r="A228" s="4">
        <f t="shared" si="9"/>
        <v>227</v>
      </c>
      <c r="B228" s="548" t="s">
        <v>295</v>
      </c>
      <c r="C228" s="549" t="s">
        <v>296</v>
      </c>
      <c r="D228" s="550" t="s">
        <v>159</v>
      </c>
      <c r="E228" s="4">
        <v>1</v>
      </c>
      <c r="F228" s="414">
        <v>1</v>
      </c>
      <c r="G228" s="179">
        <v>45587</v>
      </c>
      <c r="H228" s="415">
        <v>1</v>
      </c>
      <c r="I228" s="446">
        <v>0.375</v>
      </c>
      <c r="J228" s="446">
        <v>0.38541666666666669</v>
      </c>
      <c r="K228" s="417">
        <f t="shared" si="8"/>
        <v>0.25000000000000044</v>
      </c>
      <c r="L228" s="9">
        <v>45587</v>
      </c>
      <c r="M228" s="61" t="s">
        <v>386</v>
      </c>
      <c r="N228" s="63" t="s">
        <v>287</v>
      </c>
      <c r="O228" s="2"/>
    </row>
    <row r="229" spans="1:15" s="1" customFormat="1">
      <c r="A229" s="4">
        <f t="shared" si="9"/>
        <v>228</v>
      </c>
      <c r="B229" s="548" t="s">
        <v>391</v>
      </c>
      <c r="C229" s="549" t="s">
        <v>392</v>
      </c>
      <c r="D229" s="550" t="s">
        <v>154</v>
      </c>
      <c r="E229" s="4">
        <v>2</v>
      </c>
      <c r="F229" s="414">
        <v>4</v>
      </c>
      <c r="G229" s="179">
        <v>45587</v>
      </c>
      <c r="H229" s="415">
        <v>1</v>
      </c>
      <c r="I229" s="446">
        <v>0.375</v>
      </c>
      <c r="J229" s="446">
        <v>0.40625</v>
      </c>
      <c r="K229" s="417">
        <f t="shared" si="8"/>
        <v>0.75</v>
      </c>
      <c r="L229" s="9">
        <v>45587</v>
      </c>
      <c r="M229" s="61" t="s">
        <v>386</v>
      </c>
      <c r="N229" s="63" t="s">
        <v>8</v>
      </c>
      <c r="O229" s="2"/>
    </row>
    <row r="230" spans="1:15" s="1" customFormat="1">
      <c r="A230" s="4">
        <f t="shared" si="9"/>
        <v>229</v>
      </c>
      <c r="B230" s="548" t="s">
        <v>393</v>
      </c>
      <c r="C230" s="549" t="s">
        <v>394</v>
      </c>
      <c r="D230" s="550" t="s">
        <v>159</v>
      </c>
      <c r="E230" s="4">
        <v>5</v>
      </c>
      <c r="F230" s="414">
        <v>10</v>
      </c>
      <c r="G230" s="179">
        <v>45587</v>
      </c>
      <c r="H230" s="415">
        <v>1</v>
      </c>
      <c r="I230" s="446">
        <v>0.375</v>
      </c>
      <c r="J230" s="446">
        <v>0.41666666666666669</v>
      </c>
      <c r="K230" s="417">
        <f t="shared" si="8"/>
        <v>1.0000000000000004</v>
      </c>
      <c r="L230" s="9">
        <v>45587</v>
      </c>
      <c r="M230" s="61" t="s">
        <v>386</v>
      </c>
      <c r="N230" s="63" t="s">
        <v>8</v>
      </c>
      <c r="O230" s="2"/>
    </row>
    <row r="231" spans="1:15" s="1" customFormat="1">
      <c r="A231" s="4">
        <f t="shared" si="9"/>
        <v>230</v>
      </c>
      <c r="B231" s="548" t="s">
        <v>395</v>
      </c>
      <c r="C231" s="549" t="s">
        <v>294</v>
      </c>
      <c r="D231" s="550" t="s">
        <v>396</v>
      </c>
      <c r="E231" s="4">
        <v>23</v>
      </c>
      <c r="F231" s="414">
        <v>46</v>
      </c>
      <c r="G231" s="179">
        <v>45587</v>
      </c>
      <c r="H231" s="415">
        <v>1</v>
      </c>
      <c r="I231" s="446">
        <v>0.375</v>
      </c>
      <c r="J231" s="446">
        <v>0.4375</v>
      </c>
      <c r="K231" s="417">
        <f t="shared" si="8"/>
        <v>1.5</v>
      </c>
      <c r="L231" s="9">
        <v>45587</v>
      </c>
      <c r="M231" s="61" t="s">
        <v>386</v>
      </c>
      <c r="N231" s="63" t="s">
        <v>8</v>
      </c>
      <c r="O231" s="2"/>
    </row>
    <row r="232" spans="1:15" s="1" customFormat="1">
      <c r="A232" s="4">
        <f t="shared" si="9"/>
        <v>231</v>
      </c>
      <c r="B232" s="548" t="s">
        <v>395</v>
      </c>
      <c r="C232" s="549" t="s">
        <v>294</v>
      </c>
      <c r="D232" s="550" t="s">
        <v>177</v>
      </c>
      <c r="E232" s="4">
        <v>23</v>
      </c>
      <c r="F232" s="414">
        <v>46</v>
      </c>
      <c r="G232" s="179">
        <v>45587</v>
      </c>
      <c r="H232" s="415">
        <v>1</v>
      </c>
      <c r="I232" s="446">
        <v>0.375</v>
      </c>
      <c r="J232" s="446">
        <v>0.4375</v>
      </c>
      <c r="K232" s="417">
        <f t="shared" si="8"/>
        <v>1.5</v>
      </c>
      <c r="L232" s="9">
        <v>45587</v>
      </c>
      <c r="M232" s="61" t="s">
        <v>386</v>
      </c>
      <c r="N232" s="63" t="s">
        <v>8</v>
      </c>
      <c r="O232" s="2"/>
    </row>
    <row r="233" spans="1:15" s="1" customFormat="1">
      <c r="A233" s="4">
        <f t="shared" si="9"/>
        <v>232</v>
      </c>
      <c r="B233" s="423" t="s">
        <v>84</v>
      </c>
      <c r="C233" s="7" t="s">
        <v>147</v>
      </c>
      <c r="D233" s="551" t="s">
        <v>397</v>
      </c>
      <c r="E233" s="7">
        <v>60</v>
      </c>
      <c r="F233" s="425">
        <v>60</v>
      </c>
      <c r="G233" s="552">
        <v>45590</v>
      </c>
      <c r="H233" s="427">
        <v>1</v>
      </c>
      <c r="I233" s="553">
        <v>0.54166666666666663</v>
      </c>
      <c r="J233" s="465">
        <v>0.60416666666666663</v>
      </c>
      <c r="K233" s="417">
        <f t="shared" si="8"/>
        <v>1.5</v>
      </c>
      <c r="L233" s="11">
        <v>45590</v>
      </c>
      <c r="M233" s="67" t="s">
        <v>407</v>
      </c>
      <c r="N233" s="38" t="s">
        <v>7</v>
      </c>
      <c r="O233" s="13" t="s">
        <v>151</v>
      </c>
    </row>
    <row r="234" spans="1:15" s="1" customFormat="1">
      <c r="A234" s="4">
        <f t="shared" si="9"/>
        <v>233</v>
      </c>
      <c r="B234" s="423" t="s">
        <v>84</v>
      </c>
      <c r="C234" s="7" t="s">
        <v>147</v>
      </c>
      <c r="D234" s="551" t="s">
        <v>149</v>
      </c>
      <c r="E234" s="7">
        <v>100</v>
      </c>
      <c r="F234" s="425">
        <v>100</v>
      </c>
      <c r="G234" s="552">
        <v>45591</v>
      </c>
      <c r="H234" s="427">
        <v>1</v>
      </c>
      <c r="I234" s="553">
        <v>0.54166666666666663</v>
      </c>
      <c r="J234" s="553">
        <v>0.66666666666666663</v>
      </c>
      <c r="K234" s="417">
        <f t="shared" si="8"/>
        <v>3</v>
      </c>
      <c r="L234" s="11">
        <v>45591</v>
      </c>
      <c r="M234" s="67" t="s">
        <v>407</v>
      </c>
      <c r="N234" s="38" t="s">
        <v>7</v>
      </c>
      <c r="O234" s="13" t="s">
        <v>151</v>
      </c>
    </row>
    <row r="235" spans="1:15" s="1" customFormat="1">
      <c r="A235" s="4">
        <f t="shared" si="9"/>
        <v>234</v>
      </c>
      <c r="B235" s="423" t="s">
        <v>84</v>
      </c>
      <c r="C235" s="7" t="s">
        <v>147</v>
      </c>
      <c r="D235" s="551" t="s">
        <v>91</v>
      </c>
      <c r="E235" s="7">
        <v>100</v>
      </c>
      <c r="F235" s="425">
        <v>100</v>
      </c>
      <c r="G235" s="552">
        <v>45591</v>
      </c>
      <c r="H235" s="427">
        <v>1</v>
      </c>
      <c r="I235" s="553">
        <v>0.54166666666666663</v>
      </c>
      <c r="J235" s="553">
        <v>0.66666666666666663</v>
      </c>
      <c r="K235" s="417">
        <f t="shared" si="8"/>
        <v>3</v>
      </c>
      <c r="L235" s="11">
        <v>45591</v>
      </c>
      <c r="M235" s="67" t="s">
        <v>407</v>
      </c>
      <c r="N235" s="38" t="s">
        <v>7</v>
      </c>
      <c r="O235" s="13" t="s">
        <v>151</v>
      </c>
    </row>
    <row r="236" spans="1:15" s="1" customFormat="1">
      <c r="A236" s="4">
        <f t="shared" si="9"/>
        <v>235</v>
      </c>
      <c r="B236" s="423" t="s">
        <v>84</v>
      </c>
      <c r="C236" s="7" t="s">
        <v>147</v>
      </c>
      <c r="D236" s="551" t="s">
        <v>203</v>
      </c>
      <c r="E236" s="7">
        <v>100</v>
      </c>
      <c r="F236" s="425">
        <v>100</v>
      </c>
      <c r="G236" s="552">
        <v>45591</v>
      </c>
      <c r="H236" s="427">
        <v>1</v>
      </c>
      <c r="I236" s="553">
        <v>0.54166666666666663</v>
      </c>
      <c r="J236" s="553">
        <v>0.66666666666666663</v>
      </c>
      <c r="K236" s="417">
        <f t="shared" si="8"/>
        <v>3</v>
      </c>
      <c r="L236" s="11">
        <v>45591</v>
      </c>
      <c r="M236" s="67" t="s">
        <v>407</v>
      </c>
      <c r="N236" s="38" t="s">
        <v>7</v>
      </c>
      <c r="O236" s="13" t="s">
        <v>151</v>
      </c>
    </row>
    <row r="237" spans="1:15" s="1" customFormat="1">
      <c r="A237" s="4">
        <f t="shared" si="9"/>
        <v>236</v>
      </c>
      <c r="B237" s="423" t="s">
        <v>84</v>
      </c>
      <c r="C237" s="7" t="s">
        <v>147</v>
      </c>
      <c r="D237" s="551" t="s">
        <v>204</v>
      </c>
      <c r="E237" s="7">
        <v>30</v>
      </c>
      <c r="F237" s="425">
        <v>30</v>
      </c>
      <c r="G237" s="552">
        <v>45591</v>
      </c>
      <c r="H237" s="427">
        <v>1</v>
      </c>
      <c r="I237" s="553">
        <v>0.54166666666666663</v>
      </c>
      <c r="J237" s="465">
        <v>0.58333333333333337</v>
      </c>
      <c r="K237" s="417">
        <f t="shared" si="8"/>
        <v>1.0000000000000018</v>
      </c>
      <c r="L237" s="11">
        <v>45590</v>
      </c>
      <c r="M237" s="67" t="s">
        <v>407</v>
      </c>
      <c r="N237" s="38" t="s">
        <v>7</v>
      </c>
      <c r="O237" s="13" t="s">
        <v>151</v>
      </c>
    </row>
    <row r="238" spans="1:15" s="1" customFormat="1">
      <c r="A238" s="4">
        <f t="shared" si="9"/>
        <v>237</v>
      </c>
      <c r="B238" s="423" t="s">
        <v>84</v>
      </c>
      <c r="C238" s="7" t="s">
        <v>147</v>
      </c>
      <c r="D238" s="551" t="s">
        <v>398</v>
      </c>
      <c r="E238" s="7">
        <v>30</v>
      </c>
      <c r="F238" s="425">
        <v>30</v>
      </c>
      <c r="G238" s="552">
        <v>45591</v>
      </c>
      <c r="H238" s="427">
        <v>1</v>
      </c>
      <c r="I238" s="553">
        <v>0.54166666666666663</v>
      </c>
      <c r="J238" s="465">
        <v>0.58333333333333337</v>
      </c>
      <c r="K238" s="417">
        <f t="shared" si="8"/>
        <v>1.0000000000000018</v>
      </c>
      <c r="L238" s="11">
        <v>45590</v>
      </c>
      <c r="M238" s="67" t="s">
        <v>407</v>
      </c>
      <c r="N238" s="38" t="s">
        <v>7</v>
      </c>
      <c r="O238" s="13" t="s">
        <v>151</v>
      </c>
    </row>
    <row r="239" spans="1:15" s="1" customFormat="1">
      <c r="A239" s="4">
        <f t="shared" si="9"/>
        <v>238</v>
      </c>
      <c r="B239" s="423" t="s">
        <v>84</v>
      </c>
      <c r="C239" s="7" t="s">
        <v>147</v>
      </c>
      <c r="D239" s="551" t="s">
        <v>399</v>
      </c>
      <c r="E239" s="7">
        <v>30</v>
      </c>
      <c r="F239" s="425">
        <v>30</v>
      </c>
      <c r="G239" s="552">
        <v>45591</v>
      </c>
      <c r="H239" s="427">
        <v>1</v>
      </c>
      <c r="I239" s="553">
        <v>0.54166666666666663</v>
      </c>
      <c r="J239" s="465">
        <v>0.58333333333333337</v>
      </c>
      <c r="K239" s="417">
        <f t="shared" si="8"/>
        <v>1.0000000000000018</v>
      </c>
      <c r="L239" s="11">
        <v>45590</v>
      </c>
      <c r="M239" s="67" t="s">
        <v>407</v>
      </c>
      <c r="N239" s="38" t="s">
        <v>7</v>
      </c>
      <c r="O239" s="13" t="s">
        <v>151</v>
      </c>
    </row>
    <row r="240" spans="1:15" s="1" customFormat="1">
      <c r="A240" s="4">
        <f t="shared" si="9"/>
        <v>239</v>
      </c>
      <c r="B240" s="423" t="s">
        <v>84</v>
      </c>
      <c r="C240" s="7" t="s">
        <v>147</v>
      </c>
      <c r="D240" s="551" t="s">
        <v>261</v>
      </c>
      <c r="E240" s="7">
        <v>30</v>
      </c>
      <c r="F240" s="425">
        <v>30</v>
      </c>
      <c r="G240" s="552">
        <v>45591</v>
      </c>
      <c r="H240" s="427">
        <v>1</v>
      </c>
      <c r="I240" s="553">
        <v>0.54166666666666663</v>
      </c>
      <c r="J240" s="465">
        <v>0.58333333333333337</v>
      </c>
      <c r="K240" s="417">
        <f t="shared" si="8"/>
        <v>1.0000000000000018</v>
      </c>
      <c r="L240" s="11">
        <v>45590</v>
      </c>
      <c r="M240" s="67" t="s">
        <v>407</v>
      </c>
      <c r="N240" s="38" t="s">
        <v>7</v>
      </c>
      <c r="O240" s="13" t="s">
        <v>151</v>
      </c>
    </row>
    <row r="241" spans="1:15" s="1" customFormat="1">
      <c r="A241" s="4">
        <f t="shared" si="9"/>
        <v>240</v>
      </c>
      <c r="B241" s="554" t="s">
        <v>400</v>
      </c>
      <c r="C241" s="555" t="s">
        <v>401</v>
      </c>
      <c r="D241" s="556" t="s">
        <v>262</v>
      </c>
      <c r="E241" s="7">
        <v>20</v>
      </c>
      <c r="F241" s="425">
        <v>20</v>
      </c>
      <c r="G241" s="426">
        <v>45591</v>
      </c>
      <c r="H241" s="427">
        <v>1</v>
      </c>
      <c r="I241" s="465">
        <v>0.33333333333333331</v>
      </c>
      <c r="J241" s="465">
        <v>0.45833333333333331</v>
      </c>
      <c r="K241" s="417">
        <f t="shared" si="8"/>
        <v>3</v>
      </c>
      <c r="L241" s="11">
        <v>45591</v>
      </c>
      <c r="M241" s="65" t="s">
        <v>386</v>
      </c>
      <c r="N241" s="68" t="s">
        <v>185</v>
      </c>
      <c r="O241" s="13"/>
    </row>
    <row r="242" spans="1:15" s="1" customFormat="1">
      <c r="A242" s="4">
        <f t="shared" si="9"/>
        <v>241</v>
      </c>
      <c r="B242" s="557" t="s">
        <v>402</v>
      </c>
      <c r="C242" s="558" t="s">
        <v>403</v>
      </c>
      <c r="D242" s="559" t="s">
        <v>404</v>
      </c>
      <c r="E242" s="4">
        <v>6</v>
      </c>
      <c r="F242" s="414">
        <v>12</v>
      </c>
      <c r="G242" s="179">
        <v>45590</v>
      </c>
      <c r="H242" s="415">
        <v>1</v>
      </c>
      <c r="I242" s="446">
        <v>0.54166666666666663</v>
      </c>
      <c r="J242" s="446">
        <v>0.58333333333333337</v>
      </c>
      <c r="K242" s="417">
        <f t="shared" si="8"/>
        <v>1.0000000000000018</v>
      </c>
      <c r="L242" s="4"/>
      <c r="M242" s="61" t="s">
        <v>386</v>
      </c>
      <c r="N242" s="3" t="s">
        <v>8</v>
      </c>
      <c r="O242" s="2"/>
    </row>
    <row r="243" spans="1:15" s="1" customFormat="1">
      <c r="A243" s="4">
        <f t="shared" si="9"/>
        <v>242</v>
      </c>
      <c r="B243" s="560" t="s">
        <v>405</v>
      </c>
      <c r="C243" s="66" t="s">
        <v>406</v>
      </c>
      <c r="D243" s="561" t="s">
        <v>96</v>
      </c>
      <c r="E243" s="4">
        <v>1</v>
      </c>
      <c r="F243" s="414">
        <v>4</v>
      </c>
      <c r="G243" s="179">
        <v>45591</v>
      </c>
      <c r="H243" s="415">
        <v>1</v>
      </c>
      <c r="I243" s="562">
        <v>0.58333333333333337</v>
      </c>
      <c r="J243" s="446">
        <v>0.60416666666666663</v>
      </c>
      <c r="K243" s="417">
        <f t="shared" si="8"/>
        <v>0.49999999999999822</v>
      </c>
      <c r="L243" s="9">
        <v>45591</v>
      </c>
      <c r="M243" s="66" t="s">
        <v>407</v>
      </c>
      <c r="N243" s="3" t="s">
        <v>8</v>
      </c>
      <c r="O243" s="2"/>
    </row>
    <row r="244" spans="1:15" s="1" customFormat="1">
      <c r="A244" s="4">
        <f t="shared" si="9"/>
        <v>243</v>
      </c>
      <c r="B244" s="560" t="s">
        <v>405</v>
      </c>
      <c r="C244" s="66" t="s">
        <v>406</v>
      </c>
      <c r="D244" s="561" t="s">
        <v>224</v>
      </c>
      <c r="E244" s="4">
        <v>1</v>
      </c>
      <c r="F244" s="414">
        <v>4</v>
      </c>
      <c r="G244" s="179">
        <v>45591</v>
      </c>
      <c r="H244" s="415">
        <v>1</v>
      </c>
      <c r="I244" s="562">
        <v>0.58333333333333337</v>
      </c>
      <c r="J244" s="446">
        <v>0.60416666666666663</v>
      </c>
      <c r="K244" s="417">
        <f t="shared" si="8"/>
        <v>0.49999999999999822</v>
      </c>
      <c r="L244" s="9">
        <v>45591</v>
      </c>
      <c r="M244" s="66" t="s">
        <v>407</v>
      </c>
      <c r="N244" s="3" t="s">
        <v>8</v>
      </c>
      <c r="O244" s="2"/>
    </row>
    <row r="245" spans="1:15" s="1" customFormat="1">
      <c r="A245" s="4">
        <f t="shared" si="9"/>
        <v>244</v>
      </c>
      <c r="B245" s="560" t="s">
        <v>405</v>
      </c>
      <c r="C245" s="66" t="s">
        <v>406</v>
      </c>
      <c r="D245" s="561" t="s">
        <v>408</v>
      </c>
      <c r="E245" s="4">
        <v>1</v>
      </c>
      <c r="F245" s="414">
        <v>4</v>
      </c>
      <c r="G245" s="179">
        <v>45591</v>
      </c>
      <c r="H245" s="415">
        <v>1</v>
      </c>
      <c r="I245" s="562">
        <v>0.58333333333333337</v>
      </c>
      <c r="J245" s="446">
        <v>0.60416666666666663</v>
      </c>
      <c r="K245" s="417">
        <f t="shared" si="8"/>
        <v>0.49999999999999822</v>
      </c>
      <c r="L245" s="9">
        <v>45591</v>
      </c>
      <c r="M245" s="66" t="s">
        <v>407</v>
      </c>
      <c r="N245" s="3" t="s">
        <v>8</v>
      </c>
      <c r="O245" s="2"/>
    </row>
    <row r="246" spans="1:15" s="1" customFormat="1">
      <c r="A246" s="4">
        <f t="shared" si="9"/>
        <v>245</v>
      </c>
      <c r="B246" s="560" t="s">
        <v>405</v>
      </c>
      <c r="C246" s="66" t="s">
        <v>406</v>
      </c>
      <c r="D246" s="561" t="s">
        <v>409</v>
      </c>
      <c r="E246" s="4">
        <v>1</v>
      </c>
      <c r="F246" s="414">
        <v>4</v>
      </c>
      <c r="G246" s="179">
        <v>45591</v>
      </c>
      <c r="H246" s="415">
        <v>1</v>
      </c>
      <c r="I246" s="562">
        <v>0.58333333333333337</v>
      </c>
      <c r="J246" s="446">
        <v>0.60416666666666663</v>
      </c>
      <c r="K246" s="417">
        <f t="shared" si="8"/>
        <v>0.49999999999999822</v>
      </c>
      <c r="L246" s="9">
        <v>45591</v>
      </c>
      <c r="M246" s="66" t="s">
        <v>407</v>
      </c>
      <c r="N246" s="3" t="s">
        <v>8</v>
      </c>
      <c r="O246" s="2"/>
    </row>
    <row r="247" spans="1:15" s="1" customFormat="1">
      <c r="A247" s="4">
        <f t="shared" si="9"/>
        <v>246</v>
      </c>
      <c r="B247" s="560" t="s">
        <v>405</v>
      </c>
      <c r="C247" s="66" t="s">
        <v>406</v>
      </c>
      <c r="D247" s="561" t="s">
        <v>410</v>
      </c>
      <c r="E247" s="4">
        <v>1</v>
      </c>
      <c r="F247" s="414">
        <v>4</v>
      </c>
      <c r="G247" s="179">
        <v>45591</v>
      </c>
      <c r="H247" s="415">
        <v>1</v>
      </c>
      <c r="I247" s="562">
        <v>0.58333333333333337</v>
      </c>
      <c r="J247" s="446">
        <v>0.60416666666666663</v>
      </c>
      <c r="K247" s="417">
        <f t="shared" si="8"/>
        <v>0.49999999999999822</v>
      </c>
      <c r="L247" s="9">
        <v>45591</v>
      </c>
      <c r="M247" s="66" t="s">
        <v>407</v>
      </c>
      <c r="N247" s="3" t="s">
        <v>8</v>
      </c>
      <c r="O247" s="2"/>
    </row>
    <row r="248" spans="1:15" s="1" customFormat="1">
      <c r="A248" s="4">
        <f t="shared" si="9"/>
        <v>247</v>
      </c>
      <c r="B248" s="560" t="s">
        <v>411</v>
      </c>
      <c r="C248" s="66" t="s">
        <v>412</v>
      </c>
      <c r="D248" s="561" t="s">
        <v>96</v>
      </c>
      <c r="E248" s="4">
        <v>1</v>
      </c>
      <c r="F248" s="414">
        <v>4</v>
      </c>
      <c r="G248" s="179">
        <v>45591</v>
      </c>
      <c r="H248" s="415">
        <v>1</v>
      </c>
      <c r="I248" s="562">
        <v>0.58333333333333337</v>
      </c>
      <c r="J248" s="446">
        <v>0.60416666666666663</v>
      </c>
      <c r="K248" s="417">
        <f t="shared" si="8"/>
        <v>0.49999999999999822</v>
      </c>
      <c r="L248" s="9">
        <v>45591</v>
      </c>
      <c r="M248" s="66" t="s">
        <v>407</v>
      </c>
      <c r="N248" s="3" t="s">
        <v>8</v>
      </c>
      <c r="O248" s="2"/>
    </row>
    <row r="249" spans="1:15" s="1" customFormat="1">
      <c r="A249" s="4">
        <f t="shared" si="9"/>
        <v>248</v>
      </c>
      <c r="B249" s="560" t="s">
        <v>411</v>
      </c>
      <c r="C249" s="66" t="s">
        <v>412</v>
      </c>
      <c r="D249" s="561" t="s">
        <v>224</v>
      </c>
      <c r="E249" s="4">
        <v>1</v>
      </c>
      <c r="F249" s="414">
        <v>4</v>
      </c>
      <c r="G249" s="179">
        <v>45591</v>
      </c>
      <c r="H249" s="415">
        <v>1</v>
      </c>
      <c r="I249" s="562">
        <v>0.58333333333333337</v>
      </c>
      <c r="J249" s="446">
        <v>0.60416666666666663</v>
      </c>
      <c r="K249" s="417">
        <f t="shared" si="8"/>
        <v>0.49999999999999822</v>
      </c>
      <c r="L249" s="9">
        <v>45591</v>
      </c>
      <c r="M249" s="66" t="s">
        <v>407</v>
      </c>
      <c r="N249" s="3" t="s">
        <v>8</v>
      </c>
      <c r="O249" s="2"/>
    </row>
    <row r="250" spans="1:15" s="1" customFormat="1">
      <c r="A250" s="4">
        <f t="shared" si="9"/>
        <v>249</v>
      </c>
      <c r="B250" s="560" t="s">
        <v>411</v>
      </c>
      <c r="C250" s="66" t="s">
        <v>412</v>
      </c>
      <c r="D250" s="561" t="s">
        <v>408</v>
      </c>
      <c r="E250" s="4">
        <v>1</v>
      </c>
      <c r="F250" s="414">
        <v>4</v>
      </c>
      <c r="G250" s="179">
        <v>45591</v>
      </c>
      <c r="H250" s="415">
        <v>1</v>
      </c>
      <c r="I250" s="562">
        <v>0.58333333333333337</v>
      </c>
      <c r="J250" s="446">
        <v>0.60416666666666663</v>
      </c>
      <c r="K250" s="417">
        <f t="shared" si="8"/>
        <v>0.49999999999999822</v>
      </c>
      <c r="L250" s="9">
        <v>45591</v>
      </c>
      <c r="M250" s="66" t="s">
        <v>407</v>
      </c>
      <c r="N250" s="3" t="s">
        <v>8</v>
      </c>
      <c r="O250" s="2"/>
    </row>
    <row r="251" spans="1:15" s="1" customFormat="1">
      <c r="A251" s="4">
        <f t="shared" si="9"/>
        <v>250</v>
      </c>
      <c r="B251" s="560" t="s">
        <v>411</v>
      </c>
      <c r="C251" s="66" t="s">
        <v>412</v>
      </c>
      <c r="D251" s="561" t="s">
        <v>409</v>
      </c>
      <c r="E251" s="4">
        <v>1</v>
      </c>
      <c r="F251" s="414">
        <v>4</v>
      </c>
      <c r="G251" s="179">
        <v>45591</v>
      </c>
      <c r="H251" s="415">
        <v>1</v>
      </c>
      <c r="I251" s="562">
        <v>0.58333333333333337</v>
      </c>
      <c r="J251" s="446">
        <v>0.60416666666666663</v>
      </c>
      <c r="K251" s="417">
        <f t="shared" si="8"/>
        <v>0.49999999999999822</v>
      </c>
      <c r="L251" s="9">
        <v>45591</v>
      </c>
      <c r="M251" s="66" t="s">
        <v>407</v>
      </c>
      <c r="N251" s="3" t="s">
        <v>8</v>
      </c>
      <c r="O251" s="2"/>
    </row>
    <row r="252" spans="1:15" s="1" customFormat="1">
      <c r="A252" s="4">
        <f t="shared" si="9"/>
        <v>251</v>
      </c>
      <c r="B252" s="560" t="s">
        <v>411</v>
      </c>
      <c r="C252" s="66" t="s">
        <v>412</v>
      </c>
      <c r="D252" s="561" t="s">
        <v>410</v>
      </c>
      <c r="E252" s="4">
        <v>1</v>
      </c>
      <c r="F252" s="414">
        <v>4</v>
      </c>
      <c r="G252" s="179">
        <v>45591</v>
      </c>
      <c r="H252" s="415">
        <v>1</v>
      </c>
      <c r="I252" s="562">
        <v>0.58333333333333337</v>
      </c>
      <c r="J252" s="446">
        <v>0.60416666666666663</v>
      </c>
      <c r="K252" s="417">
        <f t="shared" si="8"/>
        <v>0.49999999999999822</v>
      </c>
      <c r="L252" s="9">
        <v>45591</v>
      </c>
      <c r="M252" s="66" t="s">
        <v>407</v>
      </c>
      <c r="N252" s="3" t="s">
        <v>8</v>
      </c>
      <c r="O252" s="2"/>
    </row>
    <row r="253" spans="1:15" s="1" customFormat="1">
      <c r="A253" s="4">
        <f t="shared" si="9"/>
        <v>252</v>
      </c>
      <c r="B253" s="423" t="s">
        <v>84</v>
      </c>
      <c r="C253" s="7" t="s">
        <v>147</v>
      </c>
      <c r="D253" s="424" t="s">
        <v>204</v>
      </c>
      <c r="E253" s="7">
        <v>15</v>
      </c>
      <c r="F253" s="425">
        <v>15</v>
      </c>
      <c r="G253" s="426">
        <v>45593</v>
      </c>
      <c r="H253" s="427">
        <v>1</v>
      </c>
      <c r="I253" s="465">
        <v>0.33333333333333331</v>
      </c>
      <c r="J253" s="465">
        <v>0.47916666666666669</v>
      </c>
      <c r="K253" s="417">
        <f t="shared" si="8"/>
        <v>3.5000000000000009</v>
      </c>
      <c r="L253" s="11">
        <v>45593</v>
      </c>
      <c r="M253" s="69" t="s">
        <v>407</v>
      </c>
      <c r="N253" s="38" t="s">
        <v>7</v>
      </c>
      <c r="O253" s="13" t="s">
        <v>151</v>
      </c>
    </row>
    <row r="254" spans="1:15" s="1" customFormat="1">
      <c r="A254" s="4">
        <f t="shared" si="9"/>
        <v>253</v>
      </c>
      <c r="B254" s="412"/>
      <c r="C254" s="70" t="s">
        <v>420</v>
      </c>
      <c r="D254" s="563" t="s">
        <v>224</v>
      </c>
      <c r="E254" s="4">
        <v>5</v>
      </c>
      <c r="F254" s="414">
        <v>5</v>
      </c>
      <c r="G254" s="179">
        <v>45602</v>
      </c>
      <c r="H254" s="415">
        <v>1</v>
      </c>
      <c r="I254" s="446">
        <v>0.33333333333333331</v>
      </c>
      <c r="J254" s="446">
        <v>0.36458333333333331</v>
      </c>
      <c r="K254" s="417">
        <f t="shared" si="8"/>
        <v>0.75</v>
      </c>
      <c r="L254" s="9">
        <v>45602</v>
      </c>
      <c r="M254" s="70" t="s">
        <v>413</v>
      </c>
      <c r="N254" s="71" t="s">
        <v>185</v>
      </c>
      <c r="O254" s="2"/>
    </row>
    <row r="255" spans="1:15" s="1" customFormat="1">
      <c r="A255" s="4">
        <f t="shared" si="9"/>
        <v>254</v>
      </c>
      <c r="B255" s="564" t="s">
        <v>414</v>
      </c>
      <c r="C255" s="70" t="s">
        <v>120</v>
      </c>
      <c r="D255" s="563" t="s">
        <v>122</v>
      </c>
      <c r="E255" s="4">
        <v>2</v>
      </c>
      <c r="F255" s="414">
        <v>2</v>
      </c>
      <c r="G255" s="179">
        <v>45602</v>
      </c>
      <c r="H255" s="415">
        <v>1</v>
      </c>
      <c r="I255" s="446">
        <v>0.33333333333333331</v>
      </c>
      <c r="J255" s="446">
        <v>0.36458333333333331</v>
      </c>
      <c r="K255" s="417">
        <f t="shared" si="8"/>
        <v>0.75</v>
      </c>
      <c r="L255" s="9">
        <v>45602</v>
      </c>
      <c r="M255" s="70" t="s">
        <v>413</v>
      </c>
      <c r="N255" s="3" t="s">
        <v>8</v>
      </c>
      <c r="O255" s="2"/>
    </row>
    <row r="256" spans="1:15" s="1" customFormat="1">
      <c r="A256" s="4">
        <f t="shared" si="9"/>
        <v>255</v>
      </c>
      <c r="B256" s="564" t="s">
        <v>415</v>
      </c>
      <c r="C256" s="70" t="s">
        <v>129</v>
      </c>
      <c r="D256" s="563" t="s">
        <v>82</v>
      </c>
      <c r="E256" s="4">
        <v>1</v>
      </c>
      <c r="F256" s="414">
        <v>1</v>
      </c>
      <c r="G256" s="179">
        <v>45602</v>
      </c>
      <c r="H256" s="415">
        <v>1</v>
      </c>
      <c r="I256" s="446">
        <v>0.33333333333333331</v>
      </c>
      <c r="J256" s="446">
        <v>0.35416666666666669</v>
      </c>
      <c r="K256" s="417">
        <f t="shared" si="8"/>
        <v>0.50000000000000089</v>
      </c>
      <c r="L256" s="9">
        <v>45602</v>
      </c>
      <c r="M256" s="70" t="s">
        <v>413</v>
      </c>
      <c r="N256" s="71" t="s">
        <v>6</v>
      </c>
      <c r="O256" s="2"/>
    </row>
    <row r="257" spans="1:15" s="1" customFormat="1">
      <c r="A257" s="4">
        <f t="shared" si="9"/>
        <v>256</v>
      </c>
      <c r="B257" s="564" t="s">
        <v>415</v>
      </c>
      <c r="C257" s="70" t="s">
        <v>129</v>
      </c>
      <c r="D257" s="563" t="s">
        <v>365</v>
      </c>
      <c r="E257" s="4">
        <v>1</v>
      </c>
      <c r="F257" s="414">
        <v>1</v>
      </c>
      <c r="G257" s="179">
        <v>45602</v>
      </c>
      <c r="H257" s="415">
        <v>1</v>
      </c>
      <c r="I257" s="446">
        <v>0.33333333333333331</v>
      </c>
      <c r="J257" s="446">
        <v>0.35416666666666669</v>
      </c>
      <c r="K257" s="417">
        <f t="shared" si="8"/>
        <v>0.50000000000000089</v>
      </c>
      <c r="L257" s="9">
        <v>45602</v>
      </c>
      <c r="M257" s="70" t="s">
        <v>413</v>
      </c>
      <c r="N257" s="71" t="s">
        <v>6</v>
      </c>
      <c r="O257" s="2"/>
    </row>
    <row r="258" spans="1:15" s="1" customFormat="1">
      <c r="A258" s="4">
        <f t="shared" si="9"/>
        <v>257</v>
      </c>
      <c r="B258" s="564" t="s">
        <v>416</v>
      </c>
      <c r="C258" s="70" t="s">
        <v>418</v>
      </c>
      <c r="D258" s="563" t="s">
        <v>280</v>
      </c>
      <c r="E258" s="4">
        <v>1</v>
      </c>
      <c r="F258" s="414">
        <v>1</v>
      </c>
      <c r="G258" s="179">
        <v>45602</v>
      </c>
      <c r="H258" s="415">
        <v>1</v>
      </c>
      <c r="I258" s="446">
        <v>0.33333333333333331</v>
      </c>
      <c r="J258" s="446">
        <v>0.35416666666666669</v>
      </c>
      <c r="K258" s="417">
        <f t="shared" si="8"/>
        <v>0.50000000000000089</v>
      </c>
      <c r="L258" s="9">
        <v>45602</v>
      </c>
      <c r="M258" s="70" t="s">
        <v>413</v>
      </c>
      <c r="N258" s="71" t="s">
        <v>7</v>
      </c>
      <c r="O258" s="2"/>
    </row>
    <row r="259" spans="1:15" s="1" customFormat="1">
      <c r="A259" s="4">
        <f t="shared" si="9"/>
        <v>258</v>
      </c>
      <c r="B259" s="564" t="s">
        <v>417</v>
      </c>
      <c r="C259" s="70" t="s">
        <v>419</v>
      </c>
      <c r="D259" s="563" t="s">
        <v>107</v>
      </c>
      <c r="E259" s="4">
        <v>4</v>
      </c>
      <c r="F259" s="414">
        <v>4</v>
      </c>
      <c r="G259" s="179">
        <v>45602</v>
      </c>
      <c r="H259" s="415">
        <v>1</v>
      </c>
      <c r="I259" s="446">
        <v>0.33333333333333331</v>
      </c>
      <c r="J259" s="446">
        <v>0.35416666666666669</v>
      </c>
      <c r="K259" s="417">
        <f t="shared" si="8"/>
        <v>0.50000000000000089</v>
      </c>
      <c r="L259" s="9">
        <v>45602</v>
      </c>
      <c r="M259" s="70" t="s">
        <v>413</v>
      </c>
      <c r="N259" s="3" t="s">
        <v>8</v>
      </c>
      <c r="O259" s="2"/>
    </row>
    <row r="260" spans="1:15" s="1" customFormat="1">
      <c r="A260" s="4">
        <f t="shared" si="9"/>
        <v>259</v>
      </c>
      <c r="B260" s="564"/>
      <c r="C260" s="565" t="s">
        <v>427</v>
      </c>
      <c r="D260" s="566" t="s">
        <v>219</v>
      </c>
      <c r="E260" s="4">
        <v>14</v>
      </c>
      <c r="F260" s="414">
        <v>42</v>
      </c>
      <c r="G260" s="179">
        <v>45602</v>
      </c>
      <c r="H260" s="415">
        <v>1</v>
      </c>
      <c r="I260" s="446">
        <v>0.66666666666666663</v>
      </c>
      <c r="J260" s="446">
        <v>0.79166666666666663</v>
      </c>
      <c r="K260" s="417">
        <f t="shared" ref="K260:K323" si="10">(J260-I260)*24*H260</f>
        <v>3</v>
      </c>
      <c r="L260" s="9">
        <v>45602</v>
      </c>
      <c r="M260" s="70" t="s">
        <v>413</v>
      </c>
      <c r="N260" s="3" t="s">
        <v>8</v>
      </c>
      <c r="O260" s="2"/>
    </row>
    <row r="261" spans="1:15" s="1" customFormat="1">
      <c r="A261" s="4">
        <f t="shared" si="9"/>
        <v>260</v>
      </c>
      <c r="B261" s="423" t="s">
        <v>84</v>
      </c>
      <c r="C261" s="7" t="s">
        <v>147</v>
      </c>
      <c r="D261" s="567" t="s">
        <v>421</v>
      </c>
      <c r="E261" s="7">
        <v>30</v>
      </c>
      <c r="F261" s="7">
        <v>30</v>
      </c>
      <c r="G261" s="426">
        <v>45602</v>
      </c>
      <c r="H261" s="427">
        <v>1</v>
      </c>
      <c r="I261" s="465">
        <v>0.375</v>
      </c>
      <c r="J261" s="465">
        <v>0.41666666666666669</v>
      </c>
      <c r="K261" s="417">
        <f t="shared" si="10"/>
        <v>1.0000000000000004</v>
      </c>
      <c r="L261" s="11">
        <v>45602</v>
      </c>
      <c r="M261" s="72" t="s">
        <v>413</v>
      </c>
      <c r="N261" s="6" t="s">
        <v>7</v>
      </c>
      <c r="O261" s="13" t="s">
        <v>151</v>
      </c>
    </row>
    <row r="262" spans="1:15" s="1" customFormat="1">
      <c r="A262" s="4">
        <f t="shared" si="9"/>
        <v>261</v>
      </c>
      <c r="B262" s="423" t="s">
        <v>84</v>
      </c>
      <c r="C262" s="7" t="s">
        <v>147</v>
      </c>
      <c r="D262" s="567" t="s">
        <v>422</v>
      </c>
      <c r="E262" s="7">
        <v>30</v>
      </c>
      <c r="F262" s="7">
        <v>30</v>
      </c>
      <c r="G262" s="426">
        <v>45602</v>
      </c>
      <c r="H262" s="427">
        <v>1</v>
      </c>
      <c r="I262" s="465">
        <v>0.375</v>
      </c>
      <c r="J262" s="465">
        <v>0.41666666666666669</v>
      </c>
      <c r="K262" s="417">
        <f t="shared" si="10"/>
        <v>1.0000000000000004</v>
      </c>
      <c r="L262" s="11">
        <v>45602</v>
      </c>
      <c r="M262" s="72" t="s">
        <v>413</v>
      </c>
      <c r="N262" s="6" t="s">
        <v>7</v>
      </c>
      <c r="O262" s="13" t="s">
        <v>151</v>
      </c>
    </row>
    <row r="263" spans="1:15" s="1" customFormat="1">
      <c r="A263" s="4">
        <f t="shared" si="9"/>
        <v>262</v>
      </c>
      <c r="B263" s="423" t="s">
        <v>84</v>
      </c>
      <c r="C263" s="7" t="s">
        <v>147</v>
      </c>
      <c r="D263" s="567" t="s">
        <v>423</v>
      </c>
      <c r="E263" s="7">
        <v>30</v>
      </c>
      <c r="F263" s="7">
        <v>30</v>
      </c>
      <c r="G263" s="426">
        <v>45602</v>
      </c>
      <c r="H263" s="427">
        <v>1</v>
      </c>
      <c r="I263" s="465">
        <v>0.375</v>
      </c>
      <c r="J263" s="465">
        <v>0.41666666666666669</v>
      </c>
      <c r="K263" s="417">
        <f t="shared" si="10"/>
        <v>1.0000000000000004</v>
      </c>
      <c r="L263" s="11">
        <v>45602</v>
      </c>
      <c r="M263" s="72" t="s">
        <v>413</v>
      </c>
      <c r="N263" s="6" t="s">
        <v>7</v>
      </c>
      <c r="O263" s="13" t="s">
        <v>151</v>
      </c>
    </row>
    <row r="264" spans="1:15" s="1" customFormat="1">
      <c r="A264" s="4">
        <f t="shared" si="9"/>
        <v>263</v>
      </c>
      <c r="B264" s="423" t="s">
        <v>84</v>
      </c>
      <c r="C264" s="7" t="s">
        <v>147</v>
      </c>
      <c r="D264" s="567" t="s">
        <v>424</v>
      </c>
      <c r="E264" s="7">
        <v>30</v>
      </c>
      <c r="F264" s="7">
        <v>30</v>
      </c>
      <c r="G264" s="426">
        <v>45602</v>
      </c>
      <c r="H264" s="427">
        <v>1</v>
      </c>
      <c r="I264" s="465">
        <v>0.375</v>
      </c>
      <c r="J264" s="465">
        <v>0.41666666666666669</v>
      </c>
      <c r="K264" s="417">
        <f t="shared" si="10"/>
        <v>1.0000000000000004</v>
      </c>
      <c r="L264" s="11">
        <v>45602</v>
      </c>
      <c r="M264" s="72" t="s">
        <v>413</v>
      </c>
      <c r="N264" s="6" t="s">
        <v>7</v>
      </c>
      <c r="O264" s="13" t="s">
        <v>151</v>
      </c>
    </row>
    <row r="265" spans="1:15" s="1" customFormat="1">
      <c r="A265" s="4">
        <f t="shared" si="9"/>
        <v>264</v>
      </c>
      <c r="B265" s="423" t="s">
        <v>84</v>
      </c>
      <c r="C265" s="7" t="s">
        <v>147</v>
      </c>
      <c r="D265" s="567" t="s">
        <v>91</v>
      </c>
      <c r="E265" s="7">
        <v>60</v>
      </c>
      <c r="F265" s="7">
        <v>60</v>
      </c>
      <c r="G265" s="426">
        <v>45602</v>
      </c>
      <c r="H265" s="427">
        <v>1</v>
      </c>
      <c r="I265" s="465">
        <v>0.375</v>
      </c>
      <c r="J265" s="568">
        <v>0.45833333333333331</v>
      </c>
      <c r="K265" s="417">
        <f t="shared" si="10"/>
        <v>1.9999999999999996</v>
      </c>
      <c r="L265" s="11">
        <v>45602</v>
      </c>
      <c r="M265" s="72" t="s">
        <v>413</v>
      </c>
      <c r="N265" s="6" t="s">
        <v>7</v>
      </c>
      <c r="O265" s="13" t="s">
        <v>151</v>
      </c>
    </row>
    <row r="266" spans="1:15" s="1" customFormat="1">
      <c r="A266" s="4">
        <f t="shared" si="9"/>
        <v>265</v>
      </c>
      <c r="B266" s="423" t="s">
        <v>84</v>
      </c>
      <c r="C266" s="7" t="s">
        <v>147</v>
      </c>
      <c r="D266" s="567" t="s">
        <v>203</v>
      </c>
      <c r="E266" s="7">
        <v>30</v>
      </c>
      <c r="F266" s="7">
        <v>30</v>
      </c>
      <c r="G266" s="426">
        <v>45602</v>
      </c>
      <c r="H266" s="427">
        <v>1</v>
      </c>
      <c r="I266" s="465">
        <v>0.375</v>
      </c>
      <c r="J266" s="465">
        <v>0.41666666666666669</v>
      </c>
      <c r="K266" s="417">
        <f t="shared" si="10"/>
        <v>1.0000000000000004</v>
      </c>
      <c r="L266" s="11">
        <v>45602</v>
      </c>
      <c r="M266" s="72" t="s">
        <v>413</v>
      </c>
      <c r="N266" s="6" t="s">
        <v>7</v>
      </c>
      <c r="O266" s="13" t="s">
        <v>151</v>
      </c>
    </row>
    <row r="267" spans="1:15" s="1" customFormat="1">
      <c r="A267" s="4">
        <f t="shared" si="9"/>
        <v>266</v>
      </c>
      <c r="B267" s="423" t="s">
        <v>84</v>
      </c>
      <c r="C267" s="7" t="s">
        <v>147</v>
      </c>
      <c r="D267" s="567" t="s">
        <v>204</v>
      </c>
      <c r="E267" s="7">
        <v>30</v>
      </c>
      <c r="F267" s="7">
        <v>30</v>
      </c>
      <c r="G267" s="426">
        <v>45602</v>
      </c>
      <c r="H267" s="427">
        <v>1</v>
      </c>
      <c r="I267" s="465">
        <v>0.375</v>
      </c>
      <c r="J267" s="465">
        <v>0.41666666666666669</v>
      </c>
      <c r="K267" s="417">
        <f t="shared" si="10"/>
        <v>1.0000000000000004</v>
      </c>
      <c r="L267" s="11">
        <v>45602</v>
      </c>
      <c r="M267" s="72" t="s">
        <v>413</v>
      </c>
      <c r="N267" s="6" t="s">
        <v>7</v>
      </c>
      <c r="O267" s="13" t="s">
        <v>151</v>
      </c>
    </row>
    <row r="268" spans="1:15" s="1" customFormat="1">
      <c r="A268" s="4">
        <f t="shared" si="9"/>
        <v>267</v>
      </c>
      <c r="B268" s="423" t="s">
        <v>84</v>
      </c>
      <c r="C268" s="7" t="s">
        <v>147</v>
      </c>
      <c r="D268" s="567" t="s">
        <v>425</v>
      </c>
      <c r="E268" s="7">
        <v>30</v>
      </c>
      <c r="F268" s="7">
        <v>30</v>
      </c>
      <c r="G268" s="426">
        <v>45602</v>
      </c>
      <c r="H268" s="427">
        <v>1</v>
      </c>
      <c r="I268" s="465">
        <v>0.375</v>
      </c>
      <c r="J268" s="465">
        <v>0.58333333333333337</v>
      </c>
      <c r="K268" s="417">
        <f t="shared" si="10"/>
        <v>5.0000000000000009</v>
      </c>
      <c r="L268" s="11">
        <v>45602</v>
      </c>
      <c r="M268" s="72" t="s">
        <v>413</v>
      </c>
      <c r="N268" s="6" t="s">
        <v>7</v>
      </c>
      <c r="O268" s="13" t="s">
        <v>151</v>
      </c>
    </row>
    <row r="269" spans="1:15" s="1" customFormat="1">
      <c r="A269" s="4">
        <f t="shared" si="9"/>
        <v>268</v>
      </c>
      <c r="B269" s="423" t="s">
        <v>84</v>
      </c>
      <c r="C269" s="7" t="s">
        <v>147</v>
      </c>
      <c r="D269" s="567" t="s">
        <v>426</v>
      </c>
      <c r="E269" s="7">
        <v>60</v>
      </c>
      <c r="F269" s="7">
        <v>60</v>
      </c>
      <c r="G269" s="426">
        <v>45602</v>
      </c>
      <c r="H269" s="427">
        <v>1</v>
      </c>
      <c r="I269" s="465">
        <v>0.375</v>
      </c>
      <c r="J269" s="465">
        <v>0.41666666666666669</v>
      </c>
      <c r="K269" s="417">
        <f t="shared" si="10"/>
        <v>1.0000000000000004</v>
      </c>
      <c r="L269" s="11">
        <v>45602</v>
      </c>
      <c r="M269" s="72" t="s">
        <v>413</v>
      </c>
      <c r="N269" s="6" t="s">
        <v>7</v>
      </c>
      <c r="O269" s="13" t="s">
        <v>151</v>
      </c>
    </row>
    <row r="270" spans="1:15" s="1" customFormat="1">
      <c r="A270" s="4">
        <f t="shared" si="9"/>
        <v>269</v>
      </c>
      <c r="B270" s="412"/>
      <c r="C270" s="569" t="s">
        <v>431</v>
      </c>
      <c r="D270" s="570" t="s">
        <v>432</v>
      </c>
      <c r="E270" s="4">
        <v>3</v>
      </c>
      <c r="F270" s="414">
        <v>3</v>
      </c>
      <c r="G270" s="419">
        <v>45604</v>
      </c>
      <c r="H270" s="415">
        <v>1</v>
      </c>
      <c r="I270" s="446">
        <v>0.41666666666666669</v>
      </c>
      <c r="J270" s="446">
        <v>0.82638888888888884</v>
      </c>
      <c r="K270" s="417">
        <f t="shared" si="10"/>
        <v>9.8333333333333321</v>
      </c>
      <c r="L270" s="9">
        <v>45604</v>
      </c>
      <c r="M270" s="76" t="s">
        <v>413</v>
      </c>
      <c r="N270" s="77" t="s">
        <v>7</v>
      </c>
      <c r="O270" s="2"/>
    </row>
    <row r="271" spans="1:15" s="1" customFormat="1">
      <c r="A271" s="4">
        <f t="shared" si="9"/>
        <v>270</v>
      </c>
      <c r="B271" s="423" t="s">
        <v>84</v>
      </c>
      <c r="C271" s="7" t="s">
        <v>147</v>
      </c>
      <c r="D271" s="571" t="s">
        <v>428</v>
      </c>
      <c r="E271" s="7">
        <v>2</v>
      </c>
      <c r="F271" s="7">
        <v>2</v>
      </c>
      <c r="G271" s="426">
        <v>45607</v>
      </c>
      <c r="H271" s="427">
        <v>1</v>
      </c>
      <c r="I271" s="465">
        <v>0.41666666666666669</v>
      </c>
      <c r="J271" s="465">
        <v>0.4375</v>
      </c>
      <c r="K271" s="417">
        <f t="shared" si="10"/>
        <v>0.49999999999999956</v>
      </c>
      <c r="L271" s="11">
        <v>45606</v>
      </c>
      <c r="M271" s="73" t="s">
        <v>429</v>
      </c>
      <c r="N271" s="74" t="s">
        <v>185</v>
      </c>
      <c r="O271" s="75" t="s">
        <v>430</v>
      </c>
    </row>
    <row r="272" spans="1:15" s="1" customFormat="1">
      <c r="A272" s="4">
        <f t="shared" si="9"/>
        <v>271</v>
      </c>
      <c r="B272" s="423" t="s">
        <v>84</v>
      </c>
      <c r="C272" s="7" t="s">
        <v>147</v>
      </c>
      <c r="D272" s="571" t="s">
        <v>380</v>
      </c>
      <c r="E272" s="7">
        <v>4</v>
      </c>
      <c r="F272" s="7">
        <v>4</v>
      </c>
      <c r="G272" s="426">
        <v>45607</v>
      </c>
      <c r="H272" s="427">
        <v>1</v>
      </c>
      <c r="I272" s="465">
        <v>0.41666666666666669</v>
      </c>
      <c r="J272" s="465">
        <v>0.4375</v>
      </c>
      <c r="K272" s="417">
        <f t="shared" si="10"/>
        <v>0.49999999999999956</v>
      </c>
      <c r="L272" s="11">
        <v>45606</v>
      </c>
      <c r="M272" s="73" t="s">
        <v>429</v>
      </c>
      <c r="N272" s="74" t="s">
        <v>185</v>
      </c>
      <c r="O272" s="75" t="s">
        <v>430</v>
      </c>
    </row>
    <row r="273" spans="1:15" s="1" customFormat="1">
      <c r="A273" s="4">
        <f t="shared" si="9"/>
        <v>272</v>
      </c>
      <c r="B273" s="423" t="s">
        <v>84</v>
      </c>
      <c r="C273" s="7" t="s">
        <v>147</v>
      </c>
      <c r="D273" s="571" t="s">
        <v>203</v>
      </c>
      <c r="E273" s="7">
        <v>2</v>
      </c>
      <c r="F273" s="7">
        <v>2</v>
      </c>
      <c r="G273" s="426">
        <v>45607</v>
      </c>
      <c r="H273" s="427">
        <v>1</v>
      </c>
      <c r="I273" s="465">
        <v>0.41666666666666669</v>
      </c>
      <c r="J273" s="465">
        <v>0.4375</v>
      </c>
      <c r="K273" s="417">
        <f t="shared" si="10"/>
        <v>0.49999999999999956</v>
      </c>
      <c r="L273" s="11">
        <v>45606</v>
      </c>
      <c r="M273" s="73" t="s">
        <v>429</v>
      </c>
      <c r="N273" s="74" t="s">
        <v>185</v>
      </c>
      <c r="O273" s="75" t="s">
        <v>430</v>
      </c>
    </row>
    <row r="274" spans="1:15" s="1" customFormat="1">
      <c r="A274" s="4">
        <f t="shared" si="9"/>
        <v>273</v>
      </c>
      <c r="B274" s="423" t="s">
        <v>84</v>
      </c>
      <c r="C274" s="7" t="s">
        <v>147</v>
      </c>
      <c r="D274" s="571" t="s">
        <v>399</v>
      </c>
      <c r="E274" s="7">
        <v>4</v>
      </c>
      <c r="F274" s="7">
        <v>4</v>
      </c>
      <c r="G274" s="426">
        <v>45607</v>
      </c>
      <c r="H274" s="427">
        <v>1</v>
      </c>
      <c r="I274" s="465">
        <v>0.41666666666666669</v>
      </c>
      <c r="J274" s="465">
        <v>0.4375</v>
      </c>
      <c r="K274" s="417">
        <f t="shared" si="10"/>
        <v>0.49999999999999956</v>
      </c>
      <c r="L274" s="11">
        <v>45606</v>
      </c>
      <c r="M274" s="73" t="s">
        <v>429</v>
      </c>
      <c r="N274" s="74" t="s">
        <v>185</v>
      </c>
      <c r="O274" s="75" t="s">
        <v>430</v>
      </c>
    </row>
    <row r="275" spans="1:15" s="1" customFormat="1">
      <c r="A275" s="4">
        <f t="shared" si="9"/>
        <v>274</v>
      </c>
      <c r="B275" s="412"/>
      <c r="C275" s="78" t="s">
        <v>433</v>
      </c>
      <c r="D275" s="572" t="s">
        <v>434</v>
      </c>
      <c r="E275" s="4">
        <v>2</v>
      </c>
      <c r="F275" s="414">
        <v>2</v>
      </c>
      <c r="G275" s="573">
        <v>45607</v>
      </c>
      <c r="H275" s="420">
        <v>1</v>
      </c>
      <c r="I275" s="446">
        <v>0.29166666666666669</v>
      </c>
      <c r="J275" s="446">
        <v>0.41666666666666669</v>
      </c>
      <c r="K275" s="417">
        <f t="shared" si="10"/>
        <v>3</v>
      </c>
      <c r="L275" s="9">
        <v>45607</v>
      </c>
      <c r="M275" s="78" t="s">
        <v>435</v>
      </c>
      <c r="N275" s="77" t="s">
        <v>7</v>
      </c>
      <c r="O275" s="2"/>
    </row>
    <row r="276" spans="1:15" s="1" customFormat="1">
      <c r="A276" s="4">
        <f t="shared" si="9"/>
        <v>275</v>
      </c>
      <c r="B276" s="574" t="s">
        <v>436</v>
      </c>
      <c r="C276" s="78" t="s">
        <v>406</v>
      </c>
      <c r="D276" s="572" t="s">
        <v>437</v>
      </c>
      <c r="E276" s="4">
        <v>1</v>
      </c>
      <c r="F276" s="414">
        <v>1</v>
      </c>
      <c r="G276" s="573">
        <v>45607</v>
      </c>
      <c r="H276" s="420">
        <v>1</v>
      </c>
      <c r="I276" s="446">
        <v>0.33333333333333331</v>
      </c>
      <c r="J276" s="446">
        <v>0.34722222222222227</v>
      </c>
      <c r="K276" s="417">
        <f t="shared" si="10"/>
        <v>0.33333333333333481</v>
      </c>
      <c r="L276" s="9">
        <v>45607</v>
      </c>
      <c r="M276" s="78" t="s">
        <v>435</v>
      </c>
      <c r="N276" s="79" t="s">
        <v>6</v>
      </c>
      <c r="O276" s="2"/>
    </row>
    <row r="277" spans="1:15" s="1" customFormat="1">
      <c r="A277" s="4">
        <f t="shared" si="9"/>
        <v>276</v>
      </c>
      <c r="B277" s="574" t="s">
        <v>414</v>
      </c>
      <c r="C277" s="78" t="s">
        <v>120</v>
      </c>
      <c r="D277" s="572" t="s">
        <v>122</v>
      </c>
      <c r="E277" s="4">
        <v>1</v>
      </c>
      <c r="F277" s="414">
        <v>1</v>
      </c>
      <c r="G277" s="573">
        <v>45607</v>
      </c>
      <c r="H277" s="420">
        <v>1</v>
      </c>
      <c r="I277" s="446">
        <v>0.33333333333333331</v>
      </c>
      <c r="J277" s="446">
        <v>0.34722222222222227</v>
      </c>
      <c r="K277" s="417">
        <f t="shared" si="10"/>
        <v>0.33333333333333481</v>
      </c>
      <c r="L277" s="9">
        <v>45607</v>
      </c>
      <c r="M277" s="78" t="s">
        <v>435</v>
      </c>
      <c r="N277" s="79" t="s">
        <v>438</v>
      </c>
      <c r="O277" s="2"/>
    </row>
    <row r="278" spans="1:15" s="1" customFormat="1">
      <c r="A278" s="4">
        <f t="shared" si="9"/>
        <v>277</v>
      </c>
      <c r="B278" s="574" t="s">
        <v>415</v>
      </c>
      <c r="C278" s="78" t="s">
        <v>129</v>
      </c>
      <c r="D278" s="572" t="s">
        <v>439</v>
      </c>
      <c r="E278" s="4">
        <v>1</v>
      </c>
      <c r="F278" s="414">
        <v>1</v>
      </c>
      <c r="G278" s="573">
        <v>45607</v>
      </c>
      <c r="H278" s="420">
        <v>1</v>
      </c>
      <c r="I278" s="446">
        <v>0.33333333333333331</v>
      </c>
      <c r="J278" s="446">
        <v>0.34722222222222227</v>
      </c>
      <c r="K278" s="417">
        <f t="shared" si="10"/>
        <v>0.33333333333333481</v>
      </c>
      <c r="L278" s="9">
        <v>45607</v>
      </c>
      <c r="M278" s="78" t="s">
        <v>435</v>
      </c>
      <c r="N278" s="79" t="s">
        <v>336</v>
      </c>
      <c r="O278" s="2"/>
    </row>
    <row r="279" spans="1:15" s="1" customFormat="1">
      <c r="A279" s="4">
        <f t="shared" si="9"/>
        <v>278</v>
      </c>
      <c r="B279" s="574"/>
      <c r="C279" s="574" t="s">
        <v>283</v>
      </c>
      <c r="D279" s="572" t="s">
        <v>440</v>
      </c>
      <c r="E279" s="4">
        <v>2</v>
      </c>
      <c r="F279" s="414">
        <v>2</v>
      </c>
      <c r="G279" s="573">
        <v>45607</v>
      </c>
      <c r="H279" s="420">
        <v>1</v>
      </c>
      <c r="I279" s="446">
        <v>0.33333333333333331</v>
      </c>
      <c r="J279" s="446">
        <v>0.34722222222222227</v>
      </c>
      <c r="K279" s="417">
        <f t="shared" si="10"/>
        <v>0.33333333333333481</v>
      </c>
      <c r="L279" s="9">
        <v>45607</v>
      </c>
      <c r="M279" s="78" t="s">
        <v>435</v>
      </c>
      <c r="N279" s="79" t="s">
        <v>447</v>
      </c>
      <c r="O279" s="2"/>
    </row>
    <row r="280" spans="1:15" s="1" customFormat="1">
      <c r="A280" s="4">
        <f t="shared" si="9"/>
        <v>279</v>
      </c>
      <c r="B280" s="412"/>
      <c r="C280" s="574" t="s">
        <v>283</v>
      </c>
      <c r="D280" s="572" t="s">
        <v>441</v>
      </c>
      <c r="E280" s="4">
        <v>2</v>
      </c>
      <c r="F280" s="414">
        <v>2</v>
      </c>
      <c r="G280" s="573">
        <v>45607</v>
      </c>
      <c r="H280" s="420">
        <v>1</v>
      </c>
      <c r="I280" s="446">
        <v>0.33333333333333331</v>
      </c>
      <c r="J280" s="446">
        <v>0.34722222222222227</v>
      </c>
      <c r="K280" s="417">
        <f t="shared" si="10"/>
        <v>0.33333333333333481</v>
      </c>
      <c r="L280" s="9">
        <v>45607</v>
      </c>
      <c r="M280" s="78" t="s">
        <v>435</v>
      </c>
      <c r="N280" s="79" t="s">
        <v>447</v>
      </c>
      <c r="O280" s="2"/>
    </row>
    <row r="281" spans="1:15" s="1" customFormat="1">
      <c r="A281" s="4">
        <f t="shared" si="9"/>
        <v>280</v>
      </c>
      <c r="B281" s="412"/>
      <c r="C281" s="574" t="s">
        <v>283</v>
      </c>
      <c r="D281" s="572" t="s">
        <v>442</v>
      </c>
      <c r="E281" s="4">
        <v>1</v>
      </c>
      <c r="F281" s="414">
        <v>1</v>
      </c>
      <c r="G281" s="573">
        <v>45607</v>
      </c>
      <c r="H281" s="420">
        <v>1</v>
      </c>
      <c r="I281" s="446">
        <v>0.33333333333333331</v>
      </c>
      <c r="J281" s="446">
        <v>0.34722222222222227</v>
      </c>
      <c r="K281" s="417">
        <f t="shared" si="10"/>
        <v>0.33333333333333481</v>
      </c>
      <c r="L281" s="9">
        <v>45607</v>
      </c>
      <c r="M281" s="78" t="s">
        <v>435</v>
      </c>
      <c r="N281" s="79" t="s">
        <v>447</v>
      </c>
      <c r="O281" s="2"/>
    </row>
    <row r="282" spans="1:15" s="1" customFormat="1">
      <c r="A282" s="4">
        <f t="shared" si="9"/>
        <v>281</v>
      </c>
      <c r="B282" s="412"/>
      <c r="C282" s="574" t="s">
        <v>283</v>
      </c>
      <c r="D282" s="572" t="s">
        <v>443</v>
      </c>
      <c r="E282" s="4">
        <v>1</v>
      </c>
      <c r="F282" s="414">
        <v>8</v>
      </c>
      <c r="G282" s="573">
        <v>45607</v>
      </c>
      <c r="H282" s="420">
        <v>1</v>
      </c>
      <c r="I282" s="446">
        <v>0.33333333333333331</v>
      </c>
      <c r="J282" s="446">
        <v>0.35416666666666669</v>
      </c>
      <c r="K282" s="417">
        <f t="shared" si="10"/>
        <v>0.50000000000000089</v>
      </c>
      <c r="L282" s="9">
        <v>45607</v>
      </c>
      <c r="M282" s="78" t="s">
        <v>435</v>
      </c>
      <c r="N282" s="79" t="s">
        <v>447</v>
      </c>
      <c r="O282" s="2"/>
    </row>
    <row r="283" spans="1:15" s="1" customFormat="1">
      <c r="A283" s="4">
        <f t="shared" si="9"/>
        <v>282</v>
      </c>
      <c r="B283" s="412"/>
      <c r="C283" s="574" t="s">
        <v>283</v>
      </c>
      <c r="D283" s="572" t="s">
        <v>444</v>
      </c>
      <c r="E283" s="4">
        <v>1</v>
      </c>
      <c r="F283" s="414">
        <v>1</v>
      </c>
      <c r="G283" s="573">
        <v>45607</v>
      </c>
      <c r="H283" s="420">
        <v>1</v>
      </c>
      <c r="I283" s="446">
        <v>0.33333333333333331</v>
      </c>
      <c r="J283" s="446">
        <v>0.34722222222222227</v>
      </c>
      <c r="K283" s="417">
        <f t="shared" si="10"/>
        <v>0.33333333333333481</v>
      </c>
      <c r="L283" s="9">
        <v>45607</v>
      </c>
      <c r="M283" s="78" t="s">
        <v>435</v>
      </c>
      <c r="N283" s="79" t="s">
        <v>447</v>
      </c>
      <c r="O283" s="2"/>
    </row>
    <row r="284" spans="1:15" s="1" customFormat="1">
      <c r="A284" s="4">
        <f t="shared" si="9"/>
        <v>283</v>
      </c>
      <c r="B284" s="412"/>
      <c r="C284" s="574" t="s">
        <v>283</v>
      </c>
      <c r="D284" s="572" t="s">
        <v>89</v>
      </c>
      <c r="E284" s="4">
        <v>1</v>
      </c>
      <c r="F284" s="414">
        <v>1</v>
      </c>
      <c r="G284" s="573">
        <v>45607</v>
      </c>
      <c r="H284" s="420">
        <v>1</v>
      </c>
      <c r="I284" s="446">
        <v>0.33333333333333331</v>
      </c>
      <c r="J284" s="446">
        <v>0.34722222222222227</v>
      </c>
      <c r="K284" s="417">
        <f t="shared" si="10"/>
        <v>0.33333333333333481</v>
      </c>
      <c r="L284" s="9">
        <v>45607</v>
      </c>
      <c r="M284" s="78" t="s">
        <v>435</v>
      </c>
      <c r="N284" s="79" t="s">
        <v>447</v>
      </c>
      <c r="O284" s="2"/>
    </row>
    <row r="285" spans="1:15" s="1" customFormat="1">
      <c r="A285" s="4">
        <f t="shared" si="9"/>
        <v>284</v>
      </c>
      <c r="B285" s="412"/>
      <c r="C285" s="574" t="s">
        <v>283</v>
      </c>
      <c r="D285" s="572" t="s">
        <v>445</v>
      </c>
      <c r="E285" s="4">
        <v>1</v>
      </c>
      <c r="F285" s="414">
        <v>1</v>
      </c>
      <c r="G285" s="573">
        <v>45607</v>
      </c>
      <c r="H285" s="420">
        <v>1</v>
      </c>
      <c r="I285" s="446">
        <v>0.33333333333333331</v>
      </c>
      <c r="J285" s="446">
        <v>0.35416666666666669</v>
      </c>
      <c r="K285" s="417">
        <f t="shared" si="10"/>
        <v>0.50000000000000089</v>
      </c>
      <c r="L285" s="9">
        <v>45607</v>
      </c>
      <c r="M285" s="78" t="s">
        <v>435</v>
      </c>
      <c r="N285" s="79" t="s">
        <v>447</v>
      </c>
      <c r="O285" s="2"/>
    </row>
    <row r="286" spans="1:15" s="1" customFormat="1">
      <c r="A286" s="4">
        <f t="shared" si="9"/>
        <v>285</v>
      </c>
      <c r="B286" s="412"/>
      <c r="C286" s="78" t="s">
        <v>446</v>
      </c>
      <c r="D286" s="572" t="s">
        <v>275</v>
      </c>
      <c r="E286" s="4">
        <v>2</v>
      </c>
      <c r="F286" s="414">
        <v>2</v>
      </c>
      <c r="G286" s="573">
        <v>45607</v>
      </c>
      <c r="H286" s="420">
        <v>1</v>
      </c>
      <c r="I286" s="446">
        <v>0.33333333333333331</v>
      </c>
      <c r="J286" s="446">
        <v>0.35416666666666669</v>
      </c>
      <c r="K286" s="417">
        <f t="shared" si="10"/>
        <v>0.50000000000000089</v>
      </c>
      <c r="L286" s="9">
        <v>45607</v>
      </c>
      <c r="M286" s="78" t="s">
        <v>435</v>
      </c>
      <c r="N286" s="79" t="s">
        <v>447</v>
      </c>
      <c r="O286" s="2"/>
    </row>
    <row r="287" spans="1:15" s="1" customFormat="1">
      <c r="A287" s="4">
        <f t="shared" si="9"/>
        <v>286</v>
      </c>
      <c r="B287" s="412"/>
      <c r="C287" s="78" t="s">
        <v>446</v>
      </c>
      <c r="D287" s="572" t="s">
        <v>59</v>
      </c>
      <c r="E287" s="4">
        <v>2</v>
      </c>
      <c r="F287" s="414">
        <v>2</v>
      </c>
      <c r="G287" s="573">
        <v>45607</v>
      </c>
      <c r="H287" s="420">
        <v>1</v>
      </c>
      <c r="I287" s="446">
        <v>0.33333333333333331</v>
      </c>
      <c r="J287" s="446">
        <v>0.35416666666666669</v>
      </c>
      <c r="K287" s="417">
        <f t="shared" si="10"/>
        <v>0.50000000000000089</v>
      </c>
      <c r="L287" s="9">
        <v>45607</v>
      </c>
      <c r="M287" s="78" t="s">
        <v>435</v>
      </c>
      <c r="N287" s="79" t="s">
        <v>447</v>
      </c>
      <c r="O287" s="2"/>
    </row>
    <row r="288" spans="1:15" s="1" customFormat="1">
      <c r="A288" s="4">
        <f t="shared" ref="A288:A350" si="11">ROW()-1</f>
        <v>287</v>
      </c>
      <c r="B288" s="412"/>
      <c r="C288" s="78" t="s">
        <v>446</v>
      </c>
      <c r="D288" s="572" t="s">
        <v>448</v>
      </c>
      <c r="E288" s="4">
        <v>2</v>
      </c>
      <c r="F288" s="414">
        <v>2</v>
      </c>
      <c r="G288" s="573">
        <v>45607</v>
      </c>
      <c r="H288" s="420">
        <v>1</v>
      </c>
      <c r="I288" s="446">
        <v>0.33333333333333331</v>
      </c>
      <c r="J288" s="446">
        <v>0.35416666666666669</v>
      </c>
      <c r="K288" s="417">
        <f t="shared" si="10"/>
        <v>0.50000000000000089</v>
      </c>
      <c r="L288" s="9">
        <v>45607</v>
      </c>
      <c r="M288" s="78" t="s">
        <v>435</v>
      </c>
      <c r="N288" s="79" t="s">
        <v>447</v>
      </c>
      <c r="O288" s="2"/>
    </row>
    <row r="289" spans="1:15" s="1" customFormat="1">
      <c r="A289" s="4">
        <f t="shared" si="11"/>
        <v>288</v>
      </c>
      <c r="B289" s="412"/>
      <c r="C289" s="78" t="s">
        <v>446</v>
      </c>
      <c r="D289" s="572" t="s">
        <v>449</v>
      </c>
      <c r="E289" s="4">
        <v>1</v>
      </c>
      <c r="F289" s="414">
        <v>4</v>
      </c>
      <c r="G289" s="573">
        <v>45607</v>
      </c>
      <c r="H289" s="420">
        <v>1</v>
      </c>
      <c r="I289" s="446">
        <v>0.33333333333333331</v>
      </c>
      <c r="J289" s="446">
        <v>0.35416666666666669</v>
      </c>
      <c r="K289" s="417">
        <f t="shared" si="10"/>
        <v>0.50000000000000089</v>
      </c>
      <c r="L289" s="9">
        <v>45607</v>
      </c>
      <c r="M289" s="78" t="s">
        <v>435</v>
      </c>
      <c r="N289" s="79" t="s">
        <v>447</v>
      </c>
      <c r="O289" s="2"/>
    </row>
    <row r="290" spans="1:15" s="1" customFormat="1">
      <c r="A290" s="4">
        <f t="shared" si="11"/>
        <v>289</v>
      </c>
      <c r="B290" s="423" t="s">
        <v>84</v>
      </c>
      <c r="C290" s="7" t="s">
        <v>147</v>
      </c>
      <c r="D290" s="575" t="s">
        <v>450</v>
      </c>
      <c r="E290" s="7">
        <v>60</v>
      </c>
      <c r="F290" s="425">
        <v>60</v>
      </c>
      <c r="G290" s="576">
        <v>45610</v>
      </c>
      <c r="H290" s="427">
        <v>1</v>
      </c>
      <c r="I290" s="465">
        <v>0.375</v>
      </c>
      <c r="J290" s="465">
        <v>0.41666666666666669</v>
      </c>
      <c r="K290" s="417">
        <f t="shared" si="10"/>
        <v>1.0000000000000004</v>
      </c>
      <c r="L290" s="11">
        <v>45610</v>
      </c>
      <c r="M290" s="80" t="s">
        <v>435</v>
      </c>
      <c r="N290" s="6" t="s">
        <v>7</v>
      </c>
      <c r="O290" s="13" t="s">
        <v>151</v>
      </c>
    </row>
    <row r="291" spans="1:15" s="1" customFormat="1">
      <c r="A291" s="4">
        <f t="shared" si="11"/>
        <v>290</v>
      </c>
      <c r="B291" s="423" t="s">
        <v>84</v>
      </c>
      <c r="C291" s="7" t="s">
        <v>147</v>
      </c>
      <c r="D291" s="575" t="s">
        <v>91</v>
      </c>
      <c r="E291" s="7">
        <v>40</v>
      </c>
      <c r="F291" s="425">
        <v>60</v>
      </c>
      <c r="G291" s="576">
        <v>45610</v>
      </c>
      <c r="H291" s="427">
        <v>1</v>
      </c>
      <c r="I291" s="465">
        <v>0.375</v>
      </c>
      <c r="J291" s="465">
        <v>0.41666666666666669</v>
      </c>
      <c r="K291" s="417">
        <f t="shared" si="10"/>
        <v>1.0000000000000004</v>
      </c>
      <c r="L291" s="11">
        <v>45610</v>
      </c>
      <c r="M291" s="80" t="s">
        <v>435</v>
      </c>
      <c r="N291" s="6" t="s">
        <v>7</v>
      </c>
      <c r="O291" s="13" t="s">
        <v>151</v>
      </c>
    </row>
    <row r="292" spans="1:15" s="1" customFormat="1">
      <c r="A292" s="4">
        <f t="shared" si="11"/>
        <v>291</v>
      </c>
      <c r="B292" s="423" t="s">
        <v>84</v>
      </c>
      <c r="C292" s="7" t="s">
        <v>147</v>
      </c>
      <c r="D292" s="575" t="s">
        <v>150</v>
      </c>
      <c r="E292" s="7">
        <v>60</v>
      </c>
      <c r="F292" s="425">
        <v>60</v>
      </c>
      <c r="G292" s="576">
        <v>45610</v>
      </c>
      <c r="H292" s="427">
        <v>1</v>
      </c>
      <c r="I292" s="465">
        <v>0.375</v>
      </c>
      <c r="J292" s="465">
        <v>0.41666666666666669</v>
      </c>
      <c r="K292" s="417">
        <f t="shared" si="10"/>
        <v>1.0000000000000004</v>
      </c>
      <c r="L292" s="11">
        <v>45610</v>
      </c>
      <c r="M292" s="80" t="s">
        <v>435</v>
      </c>
      <c r="N292" s="6" t="s">
        <v>7</v>
      </c>
      <c r="O292" s="13" t="s">
        <v>151</v>
      </c>
    </row>
    <row r="293" spans="1:15" s="1" customFormat="1">
      <c r="A293" s="4">
        <f t="shared" si="11"/>
        <v>292</v>
      </c>
      <c r="B293" s="577" t="s">
        <v>451</v>
      </c>
      <c r="C293" s="81" t="s">
        <v>452</v>
      </c>
      <c r="D293" s="578" t="s">
        <v>453</v>
      </c>
      <c r="E293" s="4">
        <v>4</v>
      </c>
      <c r="F293" s="414">
        <v>8</v>
      </c>
      <c r="G293" s="179">
        <v>45610</v>
      </c>
      <c r="H293" s="415">
        <v>1</v>
      </c>
      <c r="I293" s="446">
        <v>0.33333333333333331</v>
      </c>
      <c r="J293" s="446">
        <v>0.36458333333333331</v>
      </c>
      <c r="K293" s="417">
        <f t="shared" si="10"/>
        <v>0.75</v>
      </c>
      <c r="L293" s="9">
        <v>45610</v>
      </c>
      <c r="M293" s="81" t="s">
        <v>429</v>
      </c>
      <c r="N293" s="82" t="s">
        <v>6</v>
      </c>
      <c r="O293" s="2"/>
    </row>
    <row r="294" spans="1:15" s="1" customFormat="1">
      <c r="A294" s="4">
        <f t="shared" si="11"/>
        <v>293</v>
      </c>
      <c r="B294" s="577" t="s">
        <v>454</v>
      </c>
      <c r="C294" s="81" t="s">
        <v>455</v>
      </c>
      <c r="D294" s="578" t="s">
        <v>96</v>
      </c>
      <c r="E294" s="4">
        <v>1</v>
      </c>
      <c r="F294" s="414">
        <v>1</v>
      </c>
      <c r="G294" s="179">
        <v>45610</v>
      </c>
      <c r="H294" s="415">
        <v>1</v>
      </c>
      <c r="I294" s="446">
        <v>0.54166666666666663</v>
      </c>
      <c r="J294" s="446">
        <v>0.57291666666666663</v>
      </c>
      <c r="K294" s="417">
        <f t="shared" si="10"/>
        <v>0.75</v>
      </c>
      <c r="L294" s="9">
        <v>45610</v>
      </c>
      <c r="M294" s="81" t="s">
        <v>429</v>
      </c>
      <c r="N294" s="3" t="s">
        <v>8</v>
      </c>
      <c r="O294" s="2"/>
    </row>
    <row r="295" spans="1:15" s="1" customFormat="1">
      <c r="A295" s="4">
        <f t="shared" si="11"/>
        <v>294</v>
      </c>
      <c r="B295" s="577" t="s">
        <v>456</v>
      </c>
      <c r="C295" s="81" t="s">
        <v>459</v>
      </c>
      <c r="D295" s="578" t="s">
        <v>457</v>
      </c>
      <c r="E295" s="4">
        <v>1</v>
      </c>
      <c r="F295" s="414">
        <v>1</v>
      </c>
      <c r="G295" s="179">
        <v>45610</v>
      </c>
      <c r="H295" s="415">
        <v>1</v>
      </c>
      <c r="I295" s="446">
        <v>0.54166666666666663</v>
      </c>
      <c r="J295" s="446">
        <v>0.57291666666666663</v>
      </c>
      <c r="K295" s="417">
        <f t="shared" si="10"/>
        <v>0.75</v>
      </c>
      <c r="L295" s="9">
        <v>45610</v>
      </c>
      <c r="M295" s="81" t="s">
        <v>429</v>
      </c>
      <c r="N295" s="3" t="s">
        <v>8</v>
      </c>
      <c r="O295" s="2"/>
    </row>
    <row r="296" spans="1:15" s="1" customFormat="1">
      <c r="A296" s="4">
        <f t="shared" si="11"/>
        <v>295</v>
      </c>
      <c r="B296" s="577" t="s">
        <v>458</v>
      </c>
      <c r="C296" s="81" t="s">
        <v>460</v>
      </c>
      <c r="D296" s="578" t="s">
        <v>89</v>
      </c>
      <c r="E296" s="4">
        <v>1</v>
      </c>
      <c r="F296" s="414">
        <v>1</v>
      </c>
      <c r="G296" s="179">
        <v>45610</v>
      </c>
      <c r="H296" s="415">
        <v>1</v>
      </c>
      <c r="I296" s="446">
        <v>0.54166666666666663</v>
      </c>
      <c r="J296" s="446">
        <v>0.57291666666666663</v>
      </c>
      <c r="K296" s="417">
        <f t="shared" si="10"/>
        <v>0.75</v>
      </c>
      <c r="L296" s="9">
        <v>45610</v>
      </c>
      <c r="M296" s="81" t="s">
        <v>429</v>
      </c>
      <c r="N296" s="82" t="s">
        <v>6</v>
      </c>
      <c r="O296" s="2"/>
    </row>
    <row r="297" spans="1:15" s="1" customFormat="1">
      <c r="A297" s="4">
        <f t="shared" si="11"/>
        <v>296</v>
      </c>
      <c r="B297" s="412"/>
      <c r="C297" s="81" t="s">
        <v>461</v>
      </c>
      <c r="D297" s="578" t="s">
        <v>286</v>
      </c>
      <c r="E297" s="4">
        <v>2</v>
      </c>
      <c r="F297" s="414">
        <v>4</v>
      </c>
      <c r="G297" s="179">
        <v>45610</v>
      </c>
      <c r="H297" s="415">
        <v>1</v>
      </c>
      <c r="I297" s="446">
        <v>0.54166666666666663</v>
      </c>
      <c r="J297" s="446">
        <v>0.57638888888888895</v>
      </c>
      <c r="K297" s="417">
        <f t="shared" si="10"/>
        <v>0.8333333333333357</v>
      </c>
      <c r="L297" s="9">
        <v>45610</v>
      </c>
      <c r="M297" s="81" t="s">
        <v>429</v>
      </c>
      <c r="N297" s="3" t="s">
        <v>8</v>
      </c>
      <c r="O297" s="2"/>
    </row>
    <row r="298" spans="1:15" s="1" customFormat="1">
      <c r="A298" s="4">
        <f t="shared" si="11"/>
        <v>297</v>
      </c>
      <c r="B298" s="579" t="s">
        <v>462</v>
      </c>
      <c r="C298" s="580" t="s">
        <v>463</v>
      </c>
      <c r="D298" s="581" t="s">
        <v>464</v>
      </c>
      <c r="E298" s="4">
        <v>1</v>
      </c>
      <c r="F298" s="414">
        <v>3</v>
      </c>
      <c r="G298" s="179">
        <v>45611</v>
      </c>
      <c r="H298" s="415">
        <v>1</v>
      </c>
      <c r="I298" s="446">
        <v>0.33333333333333331</v>
      </c>
      <c r="J298" s="446">
        <v>0.35416666666666669</v>
      </c>
      <c r="K298" s="417">
        <f t="shared" si="10"/>
        <v>0.50000000000000089</v>
      </c>
      <c r="L298" s="9">
        <v>45611</v>
      </c>
      <c r="M298" s="81" t="s">
        <v>429</v>
      </c>
      <c r="N298" s="3" t="s">
        <v>6</v>
      </c>
      <c r="O298" s="2"/>
    </row>
    <row r="299" spans="1:15" s="1" customFormat="1">
      <c r="A299" s="4">
        <f t="shared" si="11"/>
        <v>298</v>
      </c>
      <c r="B299" s="579" t="s">
        <v>462</v>
      </c>
      <c r="C299" s="580" t="s">
        <v>463</v>
      </c>
      <c r="D299" s="581" t="s">
        <v>465</v>
      </c>
      <c r="E299" s="4">
        <v>1</v>
      </c>
      <c r="F299" s="414">
        <v>3</v>
      </c>
      <c r="G299" s="179">
        <v>45611</v>
      </c>
      <c r="H299" s="415">
        <v>1</v>
      </c>
      <c r="I299" s="446">
        <v>0.33333333333333331</v>
      </c>
      <c r="J299" s="446">
        <v>0.35416666666666669</v>
      </c>
      <c r="K299" s="417">
        <f t="shared" si="10"/>
        <v>0.50000000000000089</v>
      </c>
      <c r="L299" s="9">
        <v>45611</v>
      </c>
      <c r="M299" s="81" t="s">
        <v>429</v>
      </c>
      <c r="N299" s="3" t="s">
        <v>6</v>
      </c>
      <c r="O299" s="2"/>
    </row>
    <row r="300" spans="1:15" s="1" customFormat="1">
      <c r="A300" s="4">
        <f t="shared" si="11"/>
        <v>299</v>
      </c>
      <c r="B300" s="579" t="s">
        <v>466</v>
      </c>
      <c r="C300" s="580" t="s">
        <v>467</v>
      </c>
      <c r="D300" s="581" t="s">
        <v>468</v>
      </c>
      <c r="E300" s="4">
        <v>1</v>
      </c>
      <c r="F300" s="414">
        <v>1</v>
      </c>
      <c r="G300" s="179">
        <v>45611</v>
      </c>
      <c r="H300" s="415">
        <v>1</v>
      </c>
      <c r="I300" s="446">
        <v>0.33333333333333331</v>
      </c>
      <c r="J300" s="446">
        <v>0.34722222222222227</v>
      </c>
      <c r="K300" s="417">
        <f t="shared" si="10"/>
        <v>0.33333333333333481</v>
      </c>
      <c r="L300" s="9">
        <v>45611</v>
      </c>
      <c r="M300" s="81" t="s">
        <v>429</v>
      </c>
      <c r="N300" s="83" t="s">
        <v>11</v>
      </c>
      <c r="O300" s="2"/>
    </row>
    <row r="301" spans="1:15" s="1" customFormat="1">
      <c r="A301" s="4">
        <f t="shared" si="11"/>
        <v>300</v>
      </c>
      <c r="B301" s="579" t="s">
        <v>466</v>
      </c>
      <c r="C301" s="580" t="s">
        <v>467</v>
      </c>
      <c r="D301" s="581" t="s">
        <v>469</v>
      </c>
      <c r="E301" s="4">
        <v>1</v>
      </c>
      <c r="F301" s="414">
        <v>1</v>
      </c>
      <c r="G301" s="179">
        <v>45611</v>
      </c>
      <c r="H301" s="415">
        <v>1</v>
      </c>
      <c r="I301" s="446">
        <v>0.33333333333333331</v>
      </c>
      <c r="J301" s="446">
        <v>0.34722222222222227</v>
      </c>
      <c r="K301" s="417">
        <f t="shared" si="10"/>
        <v>0.33333333333333481</v>
      </c>
      <c r="L301" s="9">
        <v>45611</v>
      </c>
      <c r="M301" s="81" t="s">
        <v>429</v>
      </c>
      <c r="N301" s="83" t="s">
        <v>11</v>
      </c>
      <c r="O301" s="2"/>
    </row>
    <row r="302" spans="1:15" s="1" customFormat="1">
      <c r="A302" s="4">
        <f t="shared" si="11"/>
        <v>301</v>
      </c>
      <c r="B302" s="582" t="s">
        <v>471</v>
      </c>
      <c r="C302" s="84" t="s">
        <v>472</v>
      </c>
      <c r="D302" s="583" t="s">
        <v>82</v>
      </c>
      <c r="E302" s="4">
        <v>12</v>
      </c>
      <c r="F302" s="414">
        <v>24</v>
      </c>
      <c r="G302" s="179">
        <v>45616</v>
      </c>
      <c r="H302" s="415">
        <v>1</v>
      </c>
      <c r="I302" s="446">
        <v>0.33333333333333331</v>
      </c>
      <c r="J302" s="446">
        <v>0.41666666666666669</v>
      </c>
      <c r="K302" s="417">
        <f t="shared" si="10"/>
        <v>2.0000000000000009</v>
      </c>
      <c r="L302" s="9">
        <v>45616</v>
      </c>
      <c r="M302" s="84" t="s">
        <v>470</v>
      </c>
      <c r="N302" s="85" t="s">
        <v>9</v>
      </c>
      <c r="O302" s="2"/>
    </row>
    <row r="303" spans="1:15" s="1" customFormat="1">
      <c r="A303" s="4">
        <f t="shared" si="11"/>
        <v>302</v>
      </c>
      <c r="B303" s="582" t="s">
        <v>473</v>
      </c>
      <c r="C303" s="84" t="s">
        <v>474</v>
      </c>
      <c r="D303" s="583" t="s">
        <v>82</v>
      </c>
      <c r="E303" s="4">
        <v>3</v>
      </c>
      <c r="F303" s="414">
        <v>6</v>
      </c>
      <c r="G303" s="179">
        <v>45616</v>
      </c>
      <c r="H303" s="415">
        <v>1</v>
      </c>
      <c r="I303" s="446">
        <v>0.33333333333333331</v>
      </c>
      <c r="J303" s="584">
        <v>0.375</v>
      </c>
      <c r="K303" s="417">
        <f t="shared" si="10"/>
        <v>1.0000000000000004</v>
      </c>
      <c r="L303" s="9">
        <v>45616</v>
      </c>
      <c r="M303" s="84" t="s">
        <v>470</v>
      </c>
      <c r="N303" s="85" t="s">
        <v>9</v>
      </c>
      <c r="O303" s="2"/>
    </row>
    <row r="304" spans="1:15" s="1" customFormat="1">
      <c r="A304" s="4">
        <f t="shared" si="11"/>
        <v>303</v>
      </c>
      <c r="B304" s="582" t="s">
        <v>391</v>
      </c>
      <c r="C304" s="84" t="s">
        <v>392</v>
      </c>
      <c r="D304" s="583" t="s">
        <v>82</v>
      </c>
      <c r="E304" s="4">
        <v>3</v>
      </c>
      <c r="F304" s="414">
        <v>6</v>
      </c>
      <c r="G304" s="179">
        <v>45616</v>
      </c>
      <c r="H304" s="415">
        <v>1</v>
      </c>
      <c r="I304" s="446">
        <v>0.33333333333333331</v>
      </c>
      <c r="J304" s="584">
        <v>0.375</v>
      </c>
      <c r="K304" s="417">
        <f t="shared" si="10"/>
        <v>1.0000000000000004</v>
      </c>
      <c r="L304" s="9">
        <v>45616</v>
      </c>
      <c r="M304" s="84" t="s">
        <v>470</v>
      </c>
      <c r="N304" s="85" t="s">
        <v>9</v>
      </c>
      <c r="O304" s="2"/>
    </row>
    <row r="305" spans="1:15" s="1" customFormat="1">
      <c r="A305" s="4">
        <f t="shared" si="11"/>
        <v>304</v>
      </c>
      <c r="B305" s="582" t="s">
        <v>475</v>
      </c>
      <c r="C305" s="84" t="s">
        <v>392</v>
      </c>
      <c r="D305" s="583" t="s">
        <v>82</v>
      </c>
      <c r="E305" s="4">
        <v>3</v>
      </c>
      <c r="F305" s="414">
        <v>6</v>
      </c>
      <c r="G305" s="179">
        <v>45616</v>
      </c>
      <c r="H305" s="415">
        <v>1</v>
      </c>
      <c r="I305" s="446">
        <v>0.33333333333333331</v>
      </c>
      <c r="J305" s="584">
        <v>0.375</v>
      </c>
      <c r="K305" s="417">
        <f t="shared" si="10"/>
        <v>1.0000000000000004</v>
      </c>
      <c r="L305" s="9">
        <v>45616</v>
      </c>
      <c r="M305" s="84" t="s">
        <v>470</v>
      </c>
      <c r="N305" s="85" t="s">
        <v>9</v>
      </c>
      <c r="O305" s="2"/>
    </row>
    <row r="306" spans="1:15" s="1" customFormat="1">
      <c r="A306" s="4">
        <f t="shared" si="11"/>
        <v>305</v>
      </c>
      <c r="B306" s="582" t="s">
        <v>476</v>
      </c>
      <c r="C306" s="84" t="s">
        <v>477</v>
      </c>
      <c r="D306" s="583" t="s">
        <v>107</v>
      </c>
      <c r="E306" s="4">
        <v>1</v>
      </c>
      <c r="F306" s="414">
        <v>1</v>
      </c>
      <c r="G306" s="179">
        <v>45616</v>
      </c>
      <c r="H306" s="415">
        <v>1</v>
      </c>
      <c r="I306" s="446">
        <v>0.33333333333333331</v>
      </c>
      <c r="J306" s="446">
        <v>0.34722222222222227</v>
      </c>
      <c r="K306" s="417">
        <f t="shared" si="10"/>
        <v>0.33333333333333481</v>
      </c>
      <c r="L306" s="9">
        <v>45616</v>
      </c>
      <c r="M306" s="84" t="s">
        <v>470</v>
      </c>
      <c r="N306" s="3" t="s">
        <v>8</v>
      </c>
      <c r="O306" s="2"/>
    </row>
    <row r="307" spans="1:15" s="1" customFormat="1">
      <c r="A307" s="4">
        <f t="shared" si="11"/>
        <v>306</v>
      </c>
      <c r="B307" s="582" t="s">
        <v>478</v>
      </c>
      <c r="C307" s="84" t="s">
        <v>385</v>
      </c>
      <c r="D307" s="583" t="s">
        <v>286</v>
      </c>
      <c r="E307" s="4">
        <v>1</v>
      </c>
      <c r="F307" s="414">
        <v>2</v>
      </c>
      <c r="G307" s="179">
        <v>45616</v>
      </c>
      <c r="H307" s="415">
        <v>1</v>
      </c>
      <c r="I307" s="446">
        <v>0.33333333333333331</v>
      </c>
      <c r="J307" s="446">
        <v>0.35416666666666669</v>
      </c>
      <c r="K307" s="417">
        <f t="shared" si="10"/>
        <v>0.50000000000000089</v>
      </c>
      <c r="L307" s="9">
        <v>45616</v>
      </c>
      <c r="M307" s="84" t="s">
        <v>470</v>
      </c>
      <c r="N307" s="3" t="s">
        <v>8</v>
      </c>
      <c r="O307" s="2"/>
    </row>
    <row r="308" spans="1:15" s="1" customFormat="1">
      <c r="A308" s="4">
        <f t="shared" si="11"/>
        <v>307</v>
      </c>
      <c r="B308" s="582" t="s">
        <v>480</v>
      </c>
      <c r="C308" s="84" t="s">
        <v>479</v>
      </c>
      <c r="D308" s="583" t="s">
        <v>106</v>
      </c>
      <c r="E308" s="4">
        <v>3</v>
      </c>
      <c r="F308" s="414">
        <v>15</v>
      </c>
      <c r="G308" s="179">
        <v>45617</v>
      </c>
      <c r="H308" s="415">
        <v>1</v>
      </c>
      <c r="I308" s="446">
        <v>0.41666666666666669</v>
      </c>
      <c r="J308" s="446">
        <v>0.45833333333333331</v>
      </c>
      <c r="K308" s="417">
        <f t="shared" si="10"/>
        <v>0.99999999999999911</v>
      </c>
      <c r="L308" s="9">
        <v>45617</v>
      </c>
      <c r="M308" s="84" t="s">
        <v>470</v>
      </c>
      <c r="N308" s="85" t="s">
        <v>6</v>
      </c>
      <c r="O308" s="2"/>
    </row>
    <row r="309" spans="1:15" s="1" customFormat="1">
      <c r="A309" s="4">
        <f t="shared" si="11"/>
        <v>308</v>
      </c>
      <c r="B309" s="582" t="s">
        <v>481</v>
      </c>
      <c r="C309" s="84" t="s">
        <v>482</v>
      </c>
      <c r="D309" s="583" t="s">
        <v>275</v>
      </c>
      <c r="E309" s="4">
        <v>8</v>
      </c>
      <c r="F309" s="414">
        <v>16</v>
      </c>
      <c r="G309" s="179">
        <v>45617</v>
      </c>
      <c r="H309" s="415">
        <v>1</v>
      </c>
      <c r="I309" s="446">
        <v>0.41666666666666669</v>
      </c>
      <c r="J309" s="446">
        <v>0.45833333333333331</v>
      </c>
      <c r="K309" s="417">
        <f t="shared" si="10"/>
        <v>0.99999999999999911</v>
      </c>
      <c r="L309" s="9">
        <v>45617</v>
      </c>
      <c r="M309" s="84" t="s">
        <v>470</v>
      </c>
      <c r="N309" s="85" t="s">
        <v>6</v>
      </c>
      <c r="O309" s="2"/>
    </row>
    <row r="310" spans="1:15" s="1" customFormat="1">
      <c r="A310" s="4">
        <f t="shared" si="11"/>
        <v>309</v>
      </c>
      <c r="B310" s="582" t="s">
        <v>483</v>
      </c>
      <c r="C310" s="84" t="s">
        <v>484</v>
      </c>
      <c r="D310" s="583" t="s">
        <v>122</v>
      </c>
      <c r="E310" s="4">
        <v>1</v>
      </c>
      <c r="F310" s="414">
        <v>1</v>
      </c>
      <c r="G310" s="179">
        <v>45617</v>
      </c>
      <c r="H310" s="415">
        <v>1</v>
      </c>
      <c r="I310" s="446">
        <v>0.375</v>
      </c>
      <c r="J310" s="446">
        <v>0.3888888888888889</v>
      </c>
      <c r="K310" s="417">
        <f t="shared" si="10"/>
        <v>0.33333333333333348</v>
      </c>
      <c r="L310" s="9">
        <v>45617</v>
      </c>
      <c r="M310" s="84" t="s">
        <v>470</v>
      </c>
      <c r="N310" s="85" t="s">
        <v>485</v>
      </c>
      <c r="O310" s="2"/>
    </row>
    <row r="311" spans="1:15" s="1" customFormat="1">
      <c r="A311" s="4">
        <f t="shared" si="11"/>
        <v>310</v>
      </c>
      <c r="B311" s="582" t="s">
        <v>483</v>
      </c>
      <c r="C311" s="84" t="s">
        <v>484</v>
      </c>
      <c r="D311" s="583" t="s">
        <v>96</v>
      </c>
      <c r="E311" s="4">
        <v>1</v>
      </c>
      <c r="F311" s="414">
        <v>1</v>
      </c>
      <c r="G311" s="179">
        <v>45617</v>
      </c>
      <c r="H311" s="415">
        <v>1</v>
      </c>
      <c r="I311" s="446">
        <v>0.375</v>
      </c>
      <c r="J311" s="446">
        <v>0.3888888888888889</v>
      </c>
      <c r="K311" s="417">
        <f t="shared" si="10"/>
        <v>0.33333333333333348</v>
      </c>
      <c r="L311" s="9">
        <v>45617</v>
      </c>
      <c r="M311" s="84" t="s">
        <v>470</v>
      </c>
      <c r="N311" s="85" t="s">
        <v>485</v>
      </c>
      <c r="O311" s="2"/>
    </row>
    <row r="312" spans="1:15" s="1" customFormat="1">
      <c r="A312" s="4">
        <f t="shared" si="11"/>
        <v>311</v>
      </c>
      <c r="B312" s="582" t="s">
        <v>486</v>
      </c>
      <c r="C312" s="84" t="s">
        <v>120</v>
      </c>
      <c r="D312" s="583" t="s">
        <v>122</v>
      </c>
      <c r="E312" s="4">
        <v>1</v>
      </c>
      <c r="F312" s="414">
        <v>1</v>
      </c>
      <c r="G312" s="179">
        <v>45617</v>
      </c>
      <c r="H312" s="415">
        <v>1</v>
      </c>
      <c r="I312" s="446">
        <v>0.375</v>
      </c>
      <c r="J312" s="446">
        <v>0.3888888888888889</v>
      </c>
      <c r="K312" s="417">
        <f t="shared" si="10"/>
        <v>0.33333333333333348</v>
      </c>
      <c r="L312" s="9">
        <v>45617</v>
      </c>
      <c r="M312" s="84" t="s">
        <v>470</v>
      </c>
      <c r="N312" s="85" t="s">
        <v>485</v>
      </c>
      <c r="O312" s="2"/>
    </row>
    <row r="313" spans="1:15" s="1" customFormat="1">
      <c r="A313" s="4">
        <f t="shared" si="11"/>
        <v>312</v>
      </c>
      <c r="B313" s="582" t="s">
        <v>487</v>
      </c>
      <c r="C313" s="84" t="s">
        <v>488</v>
      </c>
      <c r="D313" s="583" t="s">
        <v>312</v>
      </c>
      <c r="E313" s="4">
        <v>10</v>
      </c>
      <c r="F313" s="414">
        <v>10</v>
      </c>
      <c r="G313" s="179">
        <v>45617</v>
      </c>
      <c r="H313" s="415">
        <v>1</v>
      </c>
      <c r="I313" s="446">
        <v>0.375</v>
      </c>
      <c r="J313" s="446">
        <v>0.4375</v>
      </c>
      <c r="K313" s="417">
        <f t="shared" si="10"/>
        <v>1.5</v>
      </c>
      <c r="L313" s="9">
        <v>45617</v>
      </c>
      <c r="M313" s="84" t="s">
        <v>470</v>
      </c>
      <c r="N313" s="85" t="s">
        <v>6</v>
      </c>
      <c r="O313" s="2"/>
    </row>
    <row r="314" spans="1:15" s="1" customFormat="1">
      <c r="A314" s="4">
        <f t="shared" si="11"/>
        <v>313</v>
      </c>
      <c r="B314" s="582" t="s">
        <v>489</v>
      </c>
      <c r="C314" s="84" t="s">
        <v>490</v>
      </c>
      <c r="D314" s="583" t="s">
        <v>491</v>
      </c>
      <c r="E314" s="4">
        <v>100</v>
      </c>
      <c r="F314" s="414">
        <v>100</v>
      </c>
      <c r="G314" s="179">
        <v>45617</v>
      </c>
      <c r="H314" s="415">
        <v>1</v>
      </c>
      <c r="I314" s="446">
        <v>0.375</v>
      </c>
      <c r="J314" s="446">
        <v>0.41666666666666669</v>
      </c>
      <c r="K314" s="417">
        <f t="shared" si="10"/>
        <v>1.0000000000000004</v>
      </c>
      <c r="L314" s="9">
        <v>45617</v>
      </c>
      <c r="M314" s="84" t="s">
        <v>470</v>
      </c>
      <c r="N314" s="85" t="s">
        <v>9</v>
      </c>
      <c r="O314" s="2"/>
    </row>
    <row r="315" spans="1:15" s="1" customFormat="1">
      <c r="A315" s="4">
        <f t="shared" si="11"/>
        <v>314</v>
      </c>
      <c r="B315" s="582" t="s">
        <v>493</v>
      </c>
      <c r="C315" s="84" t="s">
        <v>492</v>
      </c>
      <c r="D315" s="583" t="s">
        <v>491</v>
      </c>
      <c r="E315" s="84">
        <v>200</v>
      </c>
      <c r="F315" s="414">
        <v>200</v>
      </c>
      <c r="G315" s="179">
        <v>45617</v>
      </c>
      <c r="H315" s="415">
        <v>1</v>
      </c>
      <c r="I315" s="446">
        <v>0.375</v>
      </c>
      <c r="J315" s="446">
        <v>0.41666666666666669</v>
      </c>
      <c r="K315" s="417">
        <f t="shared" si="10"/>
        <v>1.0000000000000004</v>
      </c>
      <c r="L315" s="9">
        <v>45617</v>
      </c>
      <c r="M315" s="84" t="s">
        <v>470</v>
      </c>
      <c r="N315" s="85" t="s">
        <v>9</v>
      </c>
      <c r="O315" s="2"/>
    </row>
    <row r="316" spans="1:15" s="1" customFormat="1">
      <c r="A316" s="4">
        <f t="shared" si="11"/>
        <v>315</v>
      </c>
      <c r="B316" s="423" t="s">
        <v>84</v>
      </c>
      <c r="C316" s="7" t="s">
        <v>147</v>
      </c>
      <c r="D316" s="575" t="s">
        <v>450</v>
      </c>
      <c r="E316" s="7">
        <v>30</v>
      </c>
      <c r="F316" s="425">
        <v>30</v>
      </c>
      <c r="G316" s="426">
        <v>45619</v>
      </c>
      <c r="H316" s="427">
        <v>1</v>
      </c>
      <c r="I316" s="465">
        <v>0.33333333333333331</v>
      </c>
      <c r="J316" s="465">
        <v>0.39583333333333331</v>
      </c>
      <c r="K316" s="417">
        <f t="shared" si="10"/>
        <v>1.5</v>
      </c>
      <c r="L316" s="426">
        <v>45619</v>
      </c>
      <c r="M316" s="86" t="s">
        <v>470</v>
      </c>
      <c r="N316" s="6" t="s">
        <v>7</v>
      </c>
      <c r="O316" s="13" t="s">
        <v>151</v>
      </c>
    </row>
    <row r="317" spans="1:15" s="1" customFormat="1">
      <c r="A317" s="4">
        <f t="shared" si="11"/>
        <v>316</v>
      </c>
      <c r="B317" s="423" t="s">
        <v>84</v>
      </c>
      <c r="C317" s="7" t="s">
        <v>147</v>
      </c>
      <c r="D317" s="575" t="s">
        <v>450</v>
      </c>
      <c r="E317" s="7">
        <v>100</v>
      </c>
      <c r="F317" s="425">
        <v>100</v>
      </c>
      <c r="G317" s="426">
        <v>45619</v>
      </c>
      <c r="H317" s="427">
        <v>1</v>
      </c>
      <c r="I317" s="465">
        <v>0.33333333333333331</v>
      </c>
      <c r="J317" s="465">
        <v>0.47916666666666669</v>
      </c>
      <c r="K317" s="417">
        <f t="shared" si="10"/>
        <v>3.5000000000000009</v>
      </c>
      <c r="L317" s="426">
        <v>45619</v>
      </c>
      <c r="M317" s="86" t="s">
        <v>470</v>
      </c>
      <c r="N317" s="6" t="s">
        <v>7</v>
      </c>
      <c r="O317" s="13" t="s">
        <v>151</v>
      </c>
    </row>
    <row r="318" spans="1:15" s="1" customFormat="1">
      <c r="A318" s="4">
        <f t="shared" si="11"/>
        <v>317</v>
      </c>
      <c r="B318" s="412"/>
      <c r="C318" s="585" t="s">
        <v>31</v>
      </c>
      <c r="D318" s="586" t="s">
        <v>434</v>
      </c>
      <c r="E318" s="4">
        <v>1</v>
      </c>
      <c r="F318" s="414">
        <v>1</v>
      </c>
      <c r="G318" s="179">
        <v>45619</v>
      </c>
      <c r="H318" s="415">
        <v>1</v>
      </c>
      <c r="I318" s="446">
        <v>0.375</v>
      </c>
      <c r="J318" s="446">
        <v>0.66666666666666663</v>
      </c>
      <c r="K318" s="417">
        <f t="shared" si="10"/>
        <v>6.9999999999999991</v>
      </c>
      <c r="L318" s="9">
        <v>45619</v>
      </c>
      <c r="M318" s="84" t="s">
        <v>470</v>
      </c>
      <c r="N318" s="87" t="s">
        <v>11</v>
      </c>
      <c r="O318" s="2"/>
    </row>
    <row r="319" spans="1:15" s="1" customFormat="1">
      <c r="A319" s="4">
        <f t="shared" si="11"/>
        <v>318</v>
      </c>
      <c r="B319" s="587" t="s">
        <v>494</v>
      </c>
      <c r="C319" s="4" t="s">
        <v>495</v>
      </c>
      <c r="D319" s="418"/>
      <c r="E319" s="4"/>
      <c r="F319" s="414"/>
      <c r="G319" s="179">
        <v>45617</v>
      </c>
      <c r="H319" s="415">
        <v>2</v>
      </c>
      <c r="I319" s="446">
        <v>0.41666666666666669</v>
      </c>
      <c r="J319" s="446">
        <v>0.8125</v>
      </c>
      <c r="K319" s="417">
        <f t="shared" si="10"/>
        <v>19</v>
      </c>
      <c r="L319" s="88">
        <v>45617</v>
      </c>
      <c r="M319" s="84" t="s">
        <v>470</v>
      </c>
      <c r="N319" s="3" t="s">
        <v>495</v>
      </c>
      <c r="O319" s="2"/>
    </row>
    <row r="320" spans="1:15" s="1" customFormat="1">
      <c r="A320" s="4">
        <f t="shared" si="11"/>
        <v>319</v>
      </c>
      <c r="B320" s="587" t="s">
        <v>494</v>
      </c>
      <c r="C320" s="4" t="s">
        <v>495</v>
      </c>
      <c r="D320" s="418"/>
      <c r="E320" s="4"/>
      <c r="F320" s="414"/>
      <c r="G320" s="179">
        <v>45618</v>
      </c>
      <c r="H320" s="415">
        <v>1</v>
      </c>
      <c r="I320" s="446">
        <v>0.33333333333333331</v>
      </c>
      <c r="J320" s="446">
        <v>0.83333333333333337</v>
      </c>
      <c r="K320" s="417">
        <f t="shared" si="10"/>
        <v>12</v>
      </c>
      <c r="L320" s="88">
        <v>45617</v>
      </c>
      <c r="M320" s="84" t="s">
        <v>470</v>
      </c>
      <c r="N320" s="3" t="s">
        <v>495</v>
      </c>
      <c r="O320" s="2"/>
    </row>
    <row r="321" spans="1:15" s="1" customFormat="1">
      <c r="A321" s="4">
        <f t="shared" si="11"/>
        <v>320</v>
      </c>
      <c r="B321" s="587" t="s">
        <v>494</v>
      </c>
      <c r="C321" s="4" t="s">
        <v>495</v>
      </c>
      <c r="D321" s="418"/>
      <c r="E321" s="4"/>
      <c r="F321" s="414"/>
      <c r="G321" s="179">
        <v>45619</v>
      </c>
      <c r="H321" s="415">
        <v>1</v>
      </c>
      <c r="I321" s="446">
        <v>0.33333333333333331</v>
      </c>
      <c r="J321" s="446">
        <v>0.79166666666666663</v>
      </c>
      <c r="K321" s="417">
        <f t="shared" si="10"/>
        <v>11</v>
      </c>
      <c r="L321" s="88">
        <v>45619</v>
      </c>
      <c r="M321" s="84" t="s">
        <v>470</v>
      </c>
      <c r="N321" s="3" t="s">
        <v>495</v>
      </c>
      <c r="O321" s="2"/>
    </row>
    <row r="322" spans="1:15" s="1" customFormat="1">
      <c r="A322" s="4">
        <f t="shared" si="11"/>
        <v>321</v>
      </c>
      <c r="B322" s="588" t="s">
        <v>496</v>
      </c>
      <c r="C322" s="89" t="s">
        <v>31</v>
      </c>
      <c r="D322" s="589" t="s">
        <v>96</v>
      </c>
      <c r="E322" s="4">
        <v>5</v>
      </c>
      <c r="F322" s="414">
        <v>5</v>
      </c>
      <c r="G322" s="179">
        <v>45623</v>
      </c>
      <c r="H322" s="415">
        <v>1</v>
      </c>
      <c r="I322" s="446">
        <v>0.54166666666666663</v>
      </c>
      <c r="J322" s="446">
        <v>0.75</v>
      </c>
      <c r="K322" s="417">
        <f t="shared" si="10"/>
        <v>5.0000000000000009</v>
      </c>
      <c r="L322" s="9">
        <v>45623</v>
      </c>
      <c r="M322" s="89" t="s">
        <v>497</v>
      </c>
      <c r="N322" s="90" t="s">
        <v>498</v>
      </c>
      <c r="O322" s="2"/>
    </row>
    <row r="323" spans="1:15" s="1" customFormat="1">
      <c r="A323" s="4">
        <f t="shared" si="11"/>
        <v>322</v>
      </c>
      <c r="B323" s="588" t="s">
        <v>499</v>
      </c>
      <c r="C323" s="89" t="s">
        <v>500</v>
      </c>
      <c r="D323" s="589" t="s">
        <v>409</v>
      </c>
      <c r="E323" s="4">
        <v>1</v>
      </c>
      <c r="F323" s="414">
        <v>4</v>
      </c>
      <c r="G323" s="179">
        <v>45623</v>
      </c>
      <c r="H323" s="415">
        <v>1</v>
      </c>
      <c r="I323" s="446">
        <v>0.54166666666666663</v>
      </c>
      <c r="J323" s="590">
        <v>0.5625</v>
      </c>
      <c r="K323" s="417">
        <f t="shared" si="10"/>
        <v>0.50000000000000089</v>
      </c>
      <c r="L323" s="9">
        <v>45623</v>
      </c>
      <c r="M323" s="89" t="s">
        <v>497</v>
      </c>
      <c r="N323" s="90" t="s">
        <v>508</v>
      </c>
      <c r="O323" s="2"/>
    </row>
    <row r="324" spans="1:15" s="1" customFormat="1">
      <c r="A324" s="4">
        <f t="shared" si="11"/>
        <v>323</v>
      </c>
      <c r="B324" s="588" t="s">
        <v>499</v>
      </c>
      <c r="C324" s="89" t="s">
        <v>500</v>
      </c>
      <c r="D324" s="589" t="s">
        <v>501</v>
      </c>
      <c r="E324" s="4">
        <v>1</v>
      </c>
      <c r="F324" s="414">
        <v>2</v>
      </c>
      <c r="G324" s="179">
        <v>45623</v>
      </c>
      <c r="H324" s="415">
        <v>1</v>
      </c>
      <c r="I324" s="446">
        <v>0.54166666666666663</v>
      </c>
      <c r="J324" s="446">
        <v>0.55555555555555558</v>
      </c>
      <c r="K324" s="417">
        <f t="shared" ref="K324:K387" si="12">(J324-I324)*24*H324</f>
        <v>0.33333333333333481</v>
      </c>
      <c r="L324" s="9">
        <v>45623</v>
      </c>
      <c r="M324" s="89" t="s">
        <v>497</v>
      </c>
      <c r="N324" s="90" t="s">
        <v>508</v>
      </c>
      <c r="O324" s="2"/>
    </row>
    <row r="325" spans="1:15" s="1" customFormat="1">
      <c r="A325" s="4">
        <f t="shared" si="11"/>
        <v>324</v>
      </c>
      <c r="B325" s="588" t="s">
        <v>502</v>
      </c>
      <c r="C325" s="89" t="s">
        <v>503</v>
      </c>
      <c r="D325" s="589" t="s">
        <v>409</v>
      </c>
      <c r="E325" s="4">
        <v>1</v>
      </c>
      <c r="F325" s="414">
        <v>4</v>
      </c>
      <c r="G325" s="179">
        <v>45623</v>
      </c>
      <c r="H325" s="415">
        <v>1</v>
      </c>
      <c r="I325" s="446">
        <v>0.54166666666666663</v>
      </c>
      <c r="J325" s="446">
        <v>0.5625</v>
      </c>
      <c r="K325" s="417">
        <f t="shared" si="12"/>
        <v>0.50000000000000089</v>
      </c>
      <c r="L325" s="9">
        <v>45623</v>
      </c>
      <c r="M325" s="89" t="s">
        <v>497</v>
      </c>
      <c r="N325" s="90" t="s">
        <v>508</v>
      </c>
      <c r="O325" s="2"/>
    </row>
    <row r="326" spans="1:15" s="1" customFormat="1">
      <c r="A326" s="4">
        <f t="shared" si="11"/>
        <v>325</v>
      </c>
      <c r="B326" s="588" t="s">
        <v>502</v>
      </c>
      <c r="C326" s="89" t="s">
        <v>503</v>
      </c>
      <c r="D326" s="589" t="s">
        <v>501</v>
      </c>
      <c r="E326" s="4">
        <v>1</v>
      </c>
      <c r="F326" s="414">
        <v>2</v>
      </c>
      <c r="G326" s="179">
        <v>45623</v>
      </c>
      <c r="H326" s="415">
        <v>1</v>
      </c>
      <c r="I326" s="446">
        <v>0.54166666666666663</v>
      </c>
      <c r="J326" s="590">
        <v>0.55555555555555558</v>
      </c>
      <c r="K326" s="417">
        <f t="shared" si="12"/>
        <v>0.33333333333333481</v>
      </c>
      <c r="L326" s="9">
        <v>45623</v>
      </c>
      <c r="M326" s="89" t="s">
        <v>497</v>
      </c>
      <c r="N326" s="90" t="s">
        <v>508</v>
      </c>
      <c r="O326" s="2"/>
    </row>
    <row r="327" spans="1:15" s="1" customFormat="1">
      <c r="A327" s="4">
        <f t="shared" si="11"/>
        <v>326</v>
      </c>
      <c r="B327" s="588" t="s">
        <v>504</v>
      </c>
      <c r="C327" s="89" t="s">
        <v>505</v>
      </c>
      <c r="D327" s="589" t="s">
        <v>409</v>
      </c>
      <c r="E327" s="4">
        <v>1</v>
      </c>
      <c r="F327" s="414">
        <v>18</v>
      </c>
      <c r="G327" s="179">
        <v>45623</v>
      </c>
      <c r="H327" s="415">
        <v>1</v>
      </c>
      <c r="I327" s="446">
        <v>0.54166666666666663</v>
      </c>
      <c r="J327" s="590">
        <v>0.58333333333333337</v>
      </c>
      <c r="K327" s="417">
        <f t="shared" si="12"/>
        <v>1.0000000000000018</v>
      </c>
      <c r="L327" s="9">
        <v>45623</v>
      </c>
      <c r="M327" s="89" t="s">
        <v>497</v>
      </c>
      <c r="N327" s="90" t="s">
        <v>508</v>
      </c>
      <c r="O327" s="2"/>
    </row>
    <row r="328" spans="1:15" s="1" customFormat="1">
      <c r="A328" s="4">
        <f t="shared" si="11"/>
        <v>327</v>
      </c>
      <c r="B328" s="588" t="s">
        <v>504</v>
      </c>
      <c r="C328" s="89" t="s">
        <v>505</v>
      </c>
      <c r="D328" s="589" t="s">
        <v>501</v>
      </c>
      <c r="E328" s="4">
        <v>3</v>
      </c>
      <c r="F328" s="414">
        <v>9</v>
      </c>
      <c r="G328" s="179">
        <v>45623</v>
      </c>
      <c r="H328" s="415">
        <v>1</v>
      </c>
      <c r="I328" s="446">
        <v>0.54166666666666663</v>
      </c>
      <c r="J328" s="446">
        <v>0.57291666666666663</v>
      </c>
      <c r="K328" s="417">
        <f t="shared" si="12"/>
        <v>0.75</v>
      </c>
      <c r="L328" s="9">
        <v>45623</v>
      </c>
      <c r="M328" s="89" t="s">
        <v>497</v>
      </c>
      <c r="N328" s="90" t="s">
        <v>508</v>
      </c>
      <c r="O328" s="2"/>
    </row>
    <row r="329" spans="1:15" s="1" customFormat="1">
      <c r="A329" s="4">
        <f t="shared" si="11"/>
        <v>328</v>
      </c>
      <c r="B329" s="588" t="s">
        <v>506</v>
      </c>
      <c r="C329" s="89" t="s">
        <v>507</v>
      </c>
      <c r="D329" s="589" t="s">
        <v>409</v>
      </c>
      <c r="E329" s="4">
        <v>3</v>
      </c>
      <c r="F329" s="414">
        <v>6</v>
      </c>
      <c r="G329" s="179">
        <v>45623</v>
      </c>
      <c r="H329" s="415">
        <v>1</v>
      </c>
      <c r="I329" s="446">
        <v>0.54166666666666663</v>
      </c>
      <c r="J329" s="446">
        <v>0.5625</v>
      </c>
      <c r="K329" s="417">
        <f t="shared" si="12"/>
        <v>0.50000000000000089</v>
      </c>
      <c r="L329" s="9">
        <v>45623</v>
      </c>
      <c r="M329" s="89" t="s">
        <v>497</v>
      </c>
      <c r="N329" s="90" t="s">
        <v>508</v>
      </c>
      <c r="O329" s="2"/>
    </row>
    <row r="330" spans="1:15" s="1" customFormat="1">
      <c r="A330" s="4">
        <f t="shared" si="11"/>
        <v>329</v>
      </c>
      <c r="B330" s="588" t="s">
        <v>506</v>
      </c>
      <c r="C330" s="89" t="s">
        <v>507</v>
      </c>
      <c r="D330" s="589" t="s">
        <v>501</v>
      </c>
      <c r="E330" s="4">
        <v>1</v>
      </c>
      <c r="F330" s="414">
        <v>3</v>
      </c>
      <c r="G330" s="179">
        <v>45623</v>
      </c>
      <c r="H330" s="415">
        <v>1</v>
      </c>
      <c r="I330" s="446">
        <v>0.54166666666666663</v>
      </c>
      <c r="J330" s="446">
        <v>0.55555555555555558</v>
      </c>
      <c r="K330" s="417">
        <f t="shared" si="12"/>
        <v>0.33333333333333481</v>
      </c>
      <c r="L330" s="9">
        <v>45623</v>
      </c>
      <c r="M330" s="89" t="s">
        <v>497</v>
      </c>
      <c r="N330" s="90" t="s">
        <v>508</v>
      </c>
      <c r="O330" s="2"/>
    </row>
    <row r="331" spans="1:15" s="1" customFormat="1">
      <c r="A331" s="4">
        <f t="shared" si="11"/>
        <v>330</v>
      </c>
      <c r="B331" s="588" t="s">
        <v>499</v>
      </c>
      <c r="C331" s="89" t="s">
        <v>500</v>
      </c>
      <c r="D331" s="589" t="s">
        <v>227</v>
      </c>
      <c r="E331" s="4">
        <v>1</v>
      </c>
      <c r="F331" s="414">
        <v>4</v>
      </c>
      <c r="G331" s="179">
        <v>45623</v>
      </c>
      <c r="H331" s="415">
        <v>1</v>
      </c>
      <c r="I331" s="446">
        <v>0.54166666666666663</v>
      </c>
      <c r="J331" s="446">
        <v>0.5625</v>
      </c>
      <c r="K331" s="417">
        <f t="shared" si="12"/>
        <v>0.50000000000000089</v>
      </c>
      <c r="L331" s="9">
        <v>45623</v>
      </c>
      <c r="M331" s="89" t="s">
        <v>497</v>
      </c>
      <c r="N331" s="90" t="s">
        <v>508</v>
      </c>
      <c r="O331" s="2"/>
    </row>
    <row r="332" spans="1:15" s="1" customFormat="1">
      <c r="A332" s="4">
        <f t="shared" si="11"/>
        <v>331</v>
      </c>
      <c r="B332" s="588" t="s">
        <v>499</v>
      </c>
      <c r="C332" s="89" t="s">
        <v>500</v>
      </c>
      <c r="D332" s="589" t="s">
        <v>106</v>
      </c>
      <c r="E332" s="4">
        <v>1</v>
      </c>
      <c r="F332" s="414">
        <v>8</v>
      </c>
      <c r="G332" s="179">
        <v>45623</v>
      </c>
      <c r="H332" s="415">
        <v>1</v>
      </c>
      <c r="I332" s="446">
        <v>0.54166666666666663</v>
      </c>
      <c r="J332" s="446">
        <v>0.56944444444444442</v>
      </c>
      <c r="K332" s="417">
        <f t="shared" si="12"/>
        <v>0.66666666666666696</v>
      </c>
      <c r="L332" s="9">
        <v>45623</v>
      </c>
      <c r="M332" s="89" t="s">
        <v>497</v>
      </c>
      <c r="N332" s="90" t="s">
        <v>508</v>
      </c>
      <c r="O332" s="2"/>
    </row>
    <row r="333" spans="1:15" s="1" customFormat="1">
      <c r="A333" s="4">
        <f t="shared" si="11"/>
        <v>332</v>
      </c>
      <c r="B333" s="588" t="s">
        <v>499</v>
      </c>
      <c r="C333" s="89" t="s">
        <v>500</v>
      </c>
      <c r="D333" s="589" t="s">
        <v>310</v>
      </c>
      <c r="E333" s="4">
        <v>1</v>
      </c>
      <c r="F333" s="414">
        <v>4</v>
      </c>
      <c r="G333" s="179">
        <v>45623</v>
      </c>
      <c r="H333" s="415">
        <v>1</v>
      </c>
      <c r="I333" s="446">
        <v>0.54166666666666663</v>
      </c>
      <c r="J333" s="446">
        <v>0.5625</v>
      </c>
      <c r="K333" s="417">
        <f t="shared" si="12"/>
        <v>0.50000000000000089</v>
      </c>
      <c r="L333" s="9">
        <v>45623</v>
      </c>
      <c r="M333" s="89" t="s">
        <v>497</v>
      </c>
      <c r="N333" s="90" t="s">
        <v>508</v>
      </c>
      <c r="O333" s="2"/>
    </row>
    <row r="334" spans="1:15" s="1" customFormat="1">
      <c r="A334" s="4">
        <f t="shared" si="11"/>
        <v>333</v>
      </c>
      <c r="B334" s="588" t="s">
        <v>499</v>
      </c>
      <c r="C334" s="89" t="s">
        <v>500</v>
      </c>
      <c r="D334" s="589" t="s">
        <v>365</v>
      </c>
      <c r="E334" s="4">
        <v>1</v>
      </c>
      <c r="F334" s="414">
        <v>2</v>
      </c>
      <c r="G334" s="179">
        <v>45623</v>
      </c>
      <c r="H334" s="415">
        <v>1</v>
      </c>
      <c r="I334" s="446">
        <v>0.54166666666666663</v>
      </c>
      <c r="J334" s="446">
        <v>0.5625</v>
      </c>
      <c r="K334" s="417">
        <f t="shared" si="12"/>
        <v>0.50000000000000089</v>
      </c>
      <c r="L334" s="9">
        <v>45623</v>
      </c>
      <c r="M334" s="89" t="s">
        <v>497</v>
      </c>
      <c r="N334" s="90" t="s">
        <v>508</v>
      </c>
      <c r="O334" s="2"/>
    </row>
    <row r="335" spans="1:15" s="1" customFormat="1">
      <c r="A335" s="4">
        <f t="shared" si="11"/>
        <v>334</v>
      </c>
      <c r="B335" s="588" t="s">
        <v>499</v>
      </c>
      <c r="C335" s="89" t="s">
        <v>500</v>
      </c>
      <c r="D335" s="589" t="s">
        <v>509</v>
      </c>
      <c r="E335" s="4">
        <v>1</v>
      </c>
      <c r="F335" s="414">
        <v>4</v>
      </c>
      <c r="G335" s="179">
        <v>45623</v>
      </c>
      <c r="H335" s="415">
        <v>1</v>
      </c>
      <c r="I335" s="446">
        <v>0.54166666666666663</v>
      </c>
      <c r="J335" s="446">
        <v>0.5625</v>
      </c>
      <c r="K335" s="417">
        <f t="shared" si="12"/>
        <v>0.50000000000000089</v>
      </c>
      <c r="L335" s="9">
        <v>45623</v>
      </c>
      <c r="M335" s="89" t="s">
        <v>497</v>
      </c>
      <c r="N335" s="90" t="s">
        <v>508</v>
      </c>
      <c r="O335" s="2"/>
    </row>
    <row r="336" spans="1:15" s="1" customFormat="1">
      <c r="A336" s="4">
        <f t="shared" si="11"/>
        <v>335</v>
      </c>
      <c r="B336" s="588" t="s">
        <v>499</v>
      </c>
      <c r="C336" s="89" t="s">
        <v>500</v>
      </c>
      <c r="D336" s="589" t="s">
        <v>74</v>
      </c>
      <c r="E336" s="4">
        <v>1</v>
      </c>
      <c r="F336" s="414">
        <v>2</v>
      </c>
      <c r="G336" s="179">
        <v>45623</v>
      </c>
      <c r="H336" s="415">
        <v>1</v>
      </c>
      <c r="I336" s="446">
        <v>0.54166666666666663</v>
      </c>
      <c r="J336" s="446">
        <v>0.5625</v>
      </c>
      <c r="K336" s="417">
        <f t="shared" si="12"/>
        <v>0.50000000000000089</v>
      </c>
      <c r="L336" s="9">
        <v>45623</v>
      </c>
      <c r="M336" s="89" t="s">
        <v>497</v>
      </c>
      <c r="N336" s="90" t="s">
        <v>508</v>
      </c>
      <c r="O336" s="2"/>
    </row>
    <row r="337" spans="1:15" s="1" customFormat="1">
      <c r="A337" s="4">
        <f t="shared" si="11"/>
        <v>336</v>
      </c>
      <c r="B337" s="588" t="s">
        <v>502</v>
      </c>
      <c r="C337" s="89" t="s">
        <v>503</v>
      </c>
      <c r="D337" s="589" t="s">
        <v>227</v>
      </c>
      <c r="E337" s="4">
        <v>1</v>
      </c>
      <c r="F337" s="414">
        <v>4</v>
      </c>
      <c r="G337" s="179">
        <v>45623</v>
      </c>
      <c r="H337" s="415">
        <v>1</v>
      </c>
      <c r="I337" s="446">
        <v>0.54166666666666663</v>
      </c>
      <c r="J337" s="446">
        <v>0.5625</v>
      </c>
      <c r="K337" s="417">
        <f t="shared" si="12"/>
        <v>0.50000000000000089</v>
      </c>
      <c r="L337" s="9">
        <v>45623</v>
      </c>
      <c r="M337" s="89" t="s">
        <v>497</v>
      </c>
      <c r="N337" s="90" t="s">
        <v>508</v>
      </c>
      <c r="O337" s="2"/>
    </row>
    <row r="338" spans="1:15" s="1" customFormat="1">
      <c r="A338" s="4">
        <f t="shared" si="11"/>
        <v>337</v>
      </c>
      <c r="B338" s="588" t="s">
        <v>502</v>
      </c>
      <c r="C338" s="89" t="s">
        <v>503</v>
      </c>
      <c r="D338" s="589" t="s">
        <v>106</v>
      </c>
      <c r="E338" s="4">
        <v>1</v>
      </c>
      <c r="F338" s="414">
        <v>8</v>
      </c>
      <c r="G338" s="179">
        <v>45623</v>
      </c>
      <c r="H338" s="415">
        <v>1</v>
      </c>
      <c r="I338" s="446">
        <v>0.54166666666666663</v>
      </c>
      <c r="J338" s="446">
        <v>0.57291666666666663</v>
      </c>
      <c r="K338" s="417">
        <f t="shared" si="12"/>
        <v>0.75</v>
      </c>
      <c r="L338" s="9">
        <v>45623</v>
      </c>
      <c r="M338" s="89" t="s">
        <v>497</v>
      </c>
      <c r="N338" s="90" t="s">
        <v>508</v>
      </c>
      <c r="O338" s="2"/>
    </row>
    <row r="339" spans="1:15" s="1" customFormat="1">
      <c r="A339" s="4">
        <f t="shared" si="11"/>
        <v>338</v>
      </c>
      <c r="B339" s="588" t="s">
        <v>502</v>
      </c>
      <c r="C339" s="89" t="s">
        <v>503</v>
      </c>
      <c r="D339" s="589" t="s">
        <v>310</v>
      </c>
      <c r="E339" s="4">
        <v>1</v>
      </c>
      <c r="F339" s="414">
        <v>4</v>
      </c>
      <c r="G339" s="179">
        <v>45623</v>
      </c>
      <c r="H339" s="415">
        <v>1</v>
      </c>
      <c r="I339" s="446">
        <v>0.54166666666666663</v>
      </c>
      <c r="J339" s="446">
        <v>0.5625</v>
      </c>
      <c r="K339" s="417">
        <f t="shared" si="12"/>
        <v>0.50000000000000089</v>
      </c>
      <c r="L339" s="9">
        <v>45623</v>
      </c>
      <c r="M339" s="89" t="s">
        <v>497</v>
      </c>
      <c r="N339" s="90" t="s">
        <v>508</v>
      </c>
      <c r="O339" s="2"/>
    </row>
    <row r="340" spans="1:15" s="1" customFormat="1">
      <c r="A340" s="4">
        <f t="shared" si="11"/>
        <v>339</v>
      </c>
      <c r="B340" s="588" t="s">
        <v>502</v>
      </c>
      <c r="C340" s="89" t="s">
        <v>503</v>
      </c>
      <c r="D340" s="589" t="s">
        <v>365</v>
      </c>
      <c r="E340" s="4">
        <v>1</v>
      </c>
      <c r="F340" s="414">
        <v>2</v>
      </c>
      <c r="G340" s="179">
        <v>45623</v>
      </c>
      <c r="H340" s="415">
        <v>1</v>
      </c>
      <c r="I340" s="446">
        <v>0.54166666666666663</v>
      </c>
      <c r="J340" s="446">
        <v>0.55555555555555558</v>
      </c>
      <c r="K340" s="417">
        <f t="shared" si="12"/>
        <v>0.33333333333333481</v>
      </c>
      <c r="L340" s="9">
        <v>45623</v>
      </c>
      <c r="M340" s="89" t="s">
        <v>497</v>
      </c>
      <c r="N340" s="90" t="s">
        <v>508</v>
      </c>
      <c r="O340" s="2"/>
    </row>
    <row r="341" spans="1:15" s="1" customFormat="1">
      <c r="A341" s="4">
        <f t="shared" si="11"/>
        <v>340</v>
      </c>
      <c r="B341" s="588" t="s">
        <v>502</v>
      </c>
      <c r="C341" s="89" t="s">
        <v>503</v>
      </c>
      <c r="D341" s="589" t="s">
        <v>509</v>
      </c>
      <c r="E341" s="4">
        <v>1</v>
      </c>
      <c r="F341" s="414">
        <v>2</v>
      </c>
      <c r="G341" s="179">
        <v>45623</v>
      </c>
      <c r="H341" s="415">
        <v>1</v>
      </c>
      <c r="I341" s="446">
        <v>0.54166666666666663</v>
      </c>
      <c r="J341" s="446">
        <v>0.55555555555555558</v>
      </c>
      <c r="K341" s="417">
        <f t="shared" si="12"/>
        <v>0.33333333333333481</v>
      </c>
      <c r="L341" s="9">
        <v>45623</v>
      </c>
      <c r="M341" s="89" t="s">
        <v>497</v>
      </c>
      <c r="N341" s="90" t="s">
        <v>508</v>
      </c>
      <c r="O341" s="2"/>
    </row>
    <row r="342" spans="1:15" s="1" customFormat="1">
      <c r="A342" s="4">
        <f t="shared" si="11"/>
        <v>341</v>
      </c>
      <c r="B342" s="588" t="s">
        <v>502</v>
      </c>
      <c r="C342" s="89" t="s">
        <v>503</v>
      </c>
      <c r="D342" s="589" t="s">
        <v>74</v>
      </c>
      <c r="E342" s="4">
        <v>1</v>
      </c>
      <c r="F342" s="414">
        <v>18</v>
      </c>
      <c r="G342" s="179">
        <v>45623</v>
      </c>
      <c r="H342" s="415">
        <v>1</v>
      </c>
      <c r="I342" s="446">
        <v>0.54166666666666663</v>
      </c>
      <c r="J342" s="446">
        <v>0.61458333333333337</v>
      </c>
      <c r="K342" s="417">
        <f t="shared" si="12"/>
        <v>1.7500000000000018</v>
      </c>
      <c r="L342" s="9">
        <v>45623</v>
      </c>
      <c r="M342" s="89" t="s">
        <v>497</v>
      </c>
      <c r="N342" s="90" t="s">
        <v>508</v>
      </c>
      <c r="O342" s="2"/>
    </row>
    <row r="343" spans="1:15" s="1" customFormat="1">
      <c r="A343" s="4">
        <f t="shared" si="11"/>
        <v>342</v>
      </c>
      <c r="B343" s="412" t="s">
        <v>504</v>
      </c>
      <c r="C343" s="4" t="s">
        <v>505</v>
      </c>
      <c r="D343" s="589" t="s">
        <v>227</v>
      </c>
      <c r="E343" s="4">
        <v>3</v>
      </c>
      <c r="F343" s="414">
        <v>36</v>
      </c>
      <c r="G343" s="179">
        <v>45623</v>
      </c>
      <c r="H343" s="415">
        <v>1</v>
      </c>
      <c r="I343" s="446">
        <v>0.54166666666666663</v>
      </c>
      <c r="J343" s="446">
        <v>0.58333333333333337</v>
      </c>
      <c r="K343" s="417">
        <f t="shared" si="12"/>
        <v>1.0000000000000018</v>
      </c>
      <c r="L343" s="9">
        <v>45623</v>
      </c>
      <c r="M343" s="89" t="s">
        <v>497</v>
      </c>
      <c r="N343" s="90" t="s">
        <v>508</v>
      </c>
      <c r="O343" s="2"/>
    </row>
    <row r="344" spans="1:15" s="1" customFormat="1">
      <c r="A344" s="4">
        <f t="shared" si="11"/>
        <v>343</v>
      </c>
      <c r="B344" s="412" t="s">
        <v>504</v>
      </c>
      <c r="C344" s="4" t="s">
        <v>505</v>
      </c>
      <c r="D344" s="589" t="s">
        <v>106</v>
      </c>
      <c r="E344" s="4">
        <v>3</v>
      </c>
      <c r="F344" s="414">
        <v>18</v>
      </c>
      <c r="G344" s="179">
        <v>45623</v>
      </c>
      <c r="H344" s="415">
        <v>1</v>
      </c>
      <c r="I344" s="446">
        <v>0.54166666666666663</v>
      </c>
      <c r="J344" s="446">
        <v>0.57291666666666663</v>
      </c>
      <c r="K344" s="417">
        <f t="shared" si="12"/>
        <v>0.75</v>
      </c>
      <c r="L344" s="9">
        <v>45623</v>
      </c>
      <c r="M344" s="89" t="s">
        <v>497</v>
      </c>
      <c r="N344" s="90" t="s">
        <v>508</v>
      </c>
      <c r="O344" s="2"/>
    </row>
    <row r="345" spans="1:15" s="1" customFormat="1">
      <c r="A345" s="4">
        <f t="shared" si="11"/>
        <v>344</v>
      </c>
      <c r="B345" s="412" t="s">
        <v>504</v>
      </c>
      <c r="C345" s="4" t="s">
        <v>505</v>
      </c>
      <c r="D345" s="589" t="s">
        <v>310</v>
      </c>
      <c r="E345" s="4">
        <v>3</v>
      </c>
      <c r="F345" s="414">
        <v>9</v>
      </c>
      <c r="G345" s="179">
        <v>45623</v>
      </c>
      <c r="H345" s="415">
        <v>1</v>
      </c>
      <c r="I345" s="446">
        <v>0.54166666666666663</v>
      </c>
      <c r="J345" s="446">
        <v>0.5625</v>
      </c>
      <c r="K345" s="417">
        <f t="shared" si="12"/>
        <v>0.50000000000000089</v>
      </c>
      <c r="L345" s="9">
        <v>45623</v>
      </c>
      <c r="M345" s="89" t="s">
        <v>497</v>
      </c>
      <c r="N345" s="90" t="s">
        <v>508</v>
      </c>
      <c r="O345" s="2"/>
    </row>
    <row r="346" spans="1:15" s="1" customFormat="1">
      <c r="A346" s="4">
        <f t="shared" si="11"/>
        <v>345</v>
      </c>
      <c r="B346" s="412" t="s">
        <v>504</v>
      </c>
      <c r="C346" s="4" t="s">
        <v>505</v>
      </c>
      <c r="D346" s="589" t="s">
        <v>365</v>
      </c>
      <c r="E346" s="4">
        <v>3</v>
      </c>
      <c r="F346" s="414">
        <v>18</v>
      </c>
      <c r="G346" s="179">
        <v>45623</v>
      </c>
      <c r="H346" s="415">
        <v>1</v>
      </c>
      <c r="I346" s="446">
        <v>0.54166666666666663</v>
      </c>
      <c r="J346" s="446">
        <v>0.57291666666666663</v>
      </c>
      <c r="K346" s="417">
        <f t="shared" si="12"/>
        <v>0.75</v>
      </c>
      <c r="L346" s="9">
        <v>45623</v>
      </c>
      <c r="M346" s="89" t="s">
        <v>497</v>
      </c>
      <c r="N346" s="90" t="s">
        <v>508</v>
      </c>
      <c r="O346" s="2"/>
    </row>
    <row r="347" spans="1:15" s="1" customFormat="1">
      <c r="A347" s="4">
        <f t="shared" si="11"/>
        <v>346</v>
      </c>
      <c r="B347" s="412" t="s">
        <v>504</v>
      </c>
      <c r="C347" s="4" t="s">
        <v>505</v>
      </c>
      <c r="D347" s="589" t="s">
        <v>509</v>
      </c>
      <c r="E347" s="4">
        <v>3</v>
      </c>
      <c r="F347" s="414">
        <v>9</v>
      </c>
      <c r="G347" s="179">
        <v>45623</v>
      </c>
      <c r="H347" s="415">
        <v>1</v>
      </c>
      <c r="I347" s="446">
        <v>0.54166666666666663</v>
      </c>
      <c r="J347" s="446">
        <v>0.5625</v>
      </c>
      <c r="K347" s="417">
        <f t="shared" si="12"/>
        <v>0.50000000000000089</v>
      </c>
      <c r="L347" s="9">
        <v>45623</v>
      </c>
      <c r="M347" s="89" t="s">
        <v>497</v>
      </c>
      <c r="N347" s="90" t="s">
        <v>508</v>
      </c>
      <c r="O347" s="2"/>
    </row>
    <row r="348" spans="1:15" s="1" customFormat="1">
      <c r="A348" s="4">
        <f t="shared" si="11"/>
        <v>347</v>
      </c>
      <c r="B348" s="412" t="s">
        <v>504</v>
      </c>
      <c r="C348" s="4" t="s">
        <v>505</v>
      </c>
      <c r="D348" s="589" t="s">
        <v>74</v>
      </c>
      <c r="E348" s="4">
        <v>3</v>
      </c>
      <c r="F348" s="414">
        <v>6</v>
      </c>
      <c r="G348" s="179">
        <v>45623</v>
      </c>
      <c r="H348" s="415">
        <v>1</v>
      </c>
      <c r="I348" s="446">
        <v>0.54166666666666663</v>
      </c>
      <c r="J348" s="446">
        <v>0.5625</v>
      </c>
      <c r="K348" s="417">
        <f t="shared" si="12"/>
        <v>0.50000000000000089</v>
      </c>
      <c r="L348" s="9">
        <v>45623</v>
      </c>
      <c r="M348" s="89" t="s">
        <v>497</v>
      </c>
      <c r="N348" s="90" t="s">
        <v>508</v>
      </c>
      <c r="O348" s="2"/>
    </row>
    <row r="349" spans="1:15" s="1" customFormat="1">
      <c r="A349" s="4">
        <f t="shared" si="11"/>
        <v>348</v>
      </c>
      <c r="B349" s="412" t="s">
        <v>506</v>
      </c>
      <c r="C349" s="4" t="s">
        <v>507</v>
      </c>
      <c r="D349" s="589" t="s">
        <v>227</v>
      </c>
      <c r="E349" s="4">
        <v>1</v>
      </c>
      <c r="F349" s="414">
        <v>12</v>
      </c>
      <c r="G349" s="179">
        <v>45623</v>
      </c>
      <c r="H349" s="415">
        <v>1</v>
      </c>
      <c r="I349" s="446">
        <v>0.54166666666666663</v>
      </c>
      <c r="J349" s="446">
        <v>0.57291666666666663</v>
      </c>
      <c r="K349" s="417">
        <f t="shared" si="12"/>
        <v>0.75</v>
      </c>
      <c r="L349" s="9">
        <v>45623</v>
      </c>
      <c r="M349" s="89" t="s">
        <v>497</v>
      </c>
      <c r="N349" s="90" t="s">
        <v>508</v>
      </c>
      <c r="O349" s="2"/>
    </row>
    <row r="350" spans="1:15" s="1" customFormat="1">
      <c r="A350" s="4">
        <f t="shared" si="11"/>
        <v>349</v>
      </c>
      <c r="B350" s="412" t="s">
        <v>506</v>
      </c>
      <c r="C350" s="4" t="s">
        <v>507</v>
      </c>
      <c r="D350" s="589" t="s">
        <v>106</v>
      </c>
      <c r="E350" s="4">
        <v>1</v>
      </c>
      <c r="F350" s="414">
        <v>6</v>
      </c>
      <c r="G350" s="179">
        <v>45623</v>
      </c>
      <c r="H350" s="415">
        <v>1</v>
      </c>
      <c r="I350" s="446">
        <v>0.54166666666666663</v>
      </c>
      <c r="J350" s="446">
        <v>0.5625</v>
      </c>
      <c r="K350" s="417">
        <f t="shared" si="12"/>
        <v>0.50000000000000089</v>
      </c>
      <c r="L350" s="9">
        <v>45623</v>
      </c>
      <c r="M350" s="89" t="s">
        <v>497</v>
      </c>
      <c r="N350" s="90" t="s">
        <v>508</v>
      </c>
      <c r="O350" s="2"/>
    </row>
    <row r="351" spans="1:15" s="1" customFormat="1">
      <c r="A351" s="4">
        <f t="shared" ref="A351:A411" si="13">ROW()-1</f>
        <v>350</v>
      </c>
      <c r="B351" s="412" t="s">
        <v>506</v>
      </c>
      <c r="C351" s="4" t="s">
        <v>507</v>
      </c>
      <c r="D351" s="589" t="s">
        <v>310</v>
      </c>
      <c r="E351" s="4">
        <v>1</v>
      </c>
      <c r="F351" s="414">
        <v>3</v>
      </c>
      <c r="G351" s="179">
        <v>45623</v>
      </c>
      <c r="H351" s="415">
        <v>1</v>
      </c>
      <c r="I351" s="446">
        <v>0.54166666666666663</v>
      </c>
      <c r="J351" s="590">
        <v>0.55555555555555558</v>
      </c>
      <c r="K351" s="417">
        <f t="shared" si="12"/>
        <v>0.33333333333333481</v>
      </c>
      <c r="L351" s="9">
        <v>45623</v>
      </c>
      <c r="M351" s="89" t="s">
        <v>497</v>
      </c>
      <c r="N351" s="90" t="s">
        <v>508</v>
      </c>
      <c r="O351" s="2"/>
    </row>
    <row r="352" spans="1:15" s="1" customFormat="1">
      <c r="A352" s="4">
        <f t="shared" si="13"/>
        <v>351</v>
      </c>
      <c r="B352" s="412" t="s">
        <v>506</v>
      </c>
      <c r="C352" s="4" t="s">
        <v>507</v>
      </c>
      <c r="D352" s="589" t="s">
        <v>365</v>
      </c>
      <c r="E352" s="4">
        <v>1</v>
      </c>
      <c r="F352" s="414">
        <v>6</v>
      </c>
      <c r="G352" s="179">
        <v>45623</v>
      </c>
      <c r="H352" s="415">
        <v>1</v>
      </c>
      <c r="I352" s="446">
        <v>0.54166666666666663</v>
      </c>
      <c r="J352" s="446">
        <v>0.5625</v>
      </c>
      <c r="K352" s="417">
        <f t="shared" si="12"/>
        <v>0.50000000000000089</v>
      </c>
      <c r="L352" s="9">
        <v>45623</v>
      </c>
      <c r="M352" s="89" t="s">
        <v>497</v>
      </c>
      <c r="N352" s="90" t="s">
        <v>508</v>
      </c>
      <c r="O352" s="2"/>
    </row>
    <row r="353" spans="1:15" s="1" customFormat="1">
      <c r="A353" s="4">
        <f t="shared" si="13"/>
        <v>352</v>
      </c>
      <c r="B353" s="412" t="s">
        <v>506</v>
      </c>
      <c r="C353" s="4" t="s">
        <v>507</v>
      </c>
      <c r="D353" s="589" t="s">
        <v>509</v>
      </c>
      <c r="E353" s="4">
        <v>1</v>
      </c>
      <c r="F353" s="414">
        <v>3</v>
      </c>
      <c r="G353" s="179">
        <v>45623</v>
      </c>
      <c r="H353" s="415">
        <v>1</v>
      </c>
      <c r="I353" s="446">
        <v>0.54166666666666663</v>
      </c>
      <c r="J353" s="590">
        <v>0.55555555555555558</v>
      </c>
      <c r="K353" s="417">
        <f t="shared" si="12"/>
        <v>0.33333333333333481</v>
      </c>
      <c r="L353" s="9">
        <v>45623</v>
      </c>
      <c r="M353" s="89" t="s">
        <v>497</v>
      </c>
      <c r="N353" s="90" t="s">
        <v>508</v>
      </c>
      <c r="O353" s="2"/>
    </row>
    <row r="354" spans="1:15" s="1" customFormat="1">
      <c r="A354" s="4">
        <f t="shared" si="13"/>
        <v>353</v>
      </c>
      <c r="B354" s="412" t="s">
        <v>506</v>
      </c>
      <c r="C354" s="4" t="s">
        <v>507</v>
      </c>
      <c r="D354" s="589" t="s">
        <v>74</v>
      </c>
      <c r="E354" s="4">
        <v>1</v>
      </c>
      <c r="F354" s="414">
        <v>3</v>
      </c>
      <c r="G354" s="179">
        <v>45623</v>
      </c>
      <c r="H354" s="415">
        <v>1</v>
      </c>
      <c r="I354" s="446">
        <v>0.54166666666666663</v>
      </c>
      <c r="J354" s="590">
        <v>0.55555555555555558</v>
      </c>
      <c r="K354" s="417">
        <f t="shared" si="12"/>
        <v>0.33333333333333481</v>
      </c>
      <c r="L354" s="9">
        <v>45623</v>
      </c>
      <c r="M354" s="89" t="s">
        <v>497</v>
      </c>
      <c r="N354" s="90" t="s">
        <v>508</v>
      </c>
      <c r="O354" s="2"/>
    </row>
    <row r="355" spans="1:15" s="1" customFormat="1">
      <c r="A355" s="4">
        <f t="shared" si="13"/>
        <v>354</v>
      </c>
      <c r="B355" s="591" t="s">
        <v>510</v>
      </c>
      <c r="C355" s="592" t="s">
        <v>511</v>
      </c>
      <c r="D355" s="593" t="s">
        <v>512</v>
      </c>
      <c r="E355" s="4">
        <v>1</v>
      </c>
      <c r="F355" s="414">
        <v>1</v>
      </c>
      <c r="G355" s="179">
        <v>45624</v>
      </c>
      <c r="H355" s="415">
        <v>1</v>
      </c>
      <c r="I355" s="594">
        <v>0.58333333333333337</v>
      </c>
      <c r="J355" s="446">
        <v>0.59722222222222221</v>
      </c>
      <c r="K355" s="417">
        <f t="shared" si="12"/>
        <v>0.33333333333333215</v>
      </c>
      <c r="L355" s="9">
        <v>45624</v>
      </c>
      <c r="M355" s="89" t="s">
        <v>497</v>
      </c>
      <c r="N355" s="91" t="s">
        <v>7</v>
      </c>
      <c r="O355" s="2"/>
    </row>
    <row r="356" spans="1:15" s="1" customFormat="1">
      <c r="A356" s="4">
        <f t="shared" si="13"/>
        <v>355</v>
      </c>
      <c r="B356" s="591" t="s">
        <v>510</v>
      </c>
      <c r="C356" s="592" t="s">
        <v>511</v>
      </c>
      <c r="D356" s="593" t="s">
        <v>513</v>
      </c>
      <c r="E356" s="4">
        <v>1</v>
      </c>
      <c r="F356" s="414">
        <v>1</v>
      </c>
      <c r="G356" s="179">
        <v>45624</v>
      </c>
      <c r="H356" s="415">
        <v>1</v>
      </c>
      <c r="I356" s="594">
        <v>0.58333333333333337</v>
      </c>
      <c r="J356" s="446">
        <v>0.59722222222222221</v>
      </c>
      <c r="K356" s="417">
        <f t="shared" si="12"/>
        <v>0.33333333333333215</v>
      </c>
      <c r="L356" s="9">
        <v>45624</v>
      </c>
      <c r="M356" s="89" t="s">
        <v>497</v>
      </c>
      <c r="N356" s="91" t="s">
        <v>7</v>
      </c>
      <c r="O356" s="2"/>
    </row>
    <row r="357" spans="1:15" s="1" customFormat="1">
      <c r="A357" s="4">
        <f t="shared" si="13"/>
        <v>356</v>
      </c>
      <c r="B357" s="591" t="s">
        <v>510</v>
      </c>
      <c r="C357" s="592" t="s">
        <v>511</v>
      </c>
      <c r="D357" s="593" t="s">
        <v>514</v>
      </c>
      <c r="E357" s="4">
        <v>1</v>
      </c>
      <c r="F357" s="414">
        <v>1</v>
      </c>
      <c r="G357" s="179">
        <v>45624</v>
      </c>
      <c r="H357" s="415">
        <v>1</v>
      </c>
      <c r="I357" s="594">
        <v>0.58333333333333337</v>
      </c>
      <c r="J357" s="446">
        <v>0.59722222222222221</v>
      </c>
      <c r="K357" s="417">
        <f t="shared" si="12"/>
        <v>0.33333333333333215</v>
      </c>
      <c r="L357" s="9">
        <v>45624</v>
      </c>
      <c r="M357" s="89" t="s">
        <v>497</v>
      </c>
      <c r="N357" s="91" t="s">
        <v>7</v>
      </c>
      <c r="O357" s="2"/>
    </row>
    <row r="358" spans="1:15" s="1" customFormat="1">
      <c r="A358" s="4">
        <f t="shared" si="13"/>
        <v>357</v>
      </c>
      <c r="B358" s="591" t="s">
        <v>510</v>
      </c>
      <c r="C358" s="592" t="s">
        <v>511</v>
      </c>
      <c r="D358" s="593" t="s">
        <v>515</v>
      </c>
      <c r="E358" s="4">
        <v>1</v>
      </c>
      <c r="F358" s="414">
        <v>1</v>
      </c>
      <c r="G358" s="179">
        <v>45624</v>
      </c>
      <c r="H358" s="415">
        <v>1</v>
      </c>
      <c r="I358" s="594">
        <v>0.58333333333333337</v>
      </c>
      <c r="J358" s="446">
        <v>0.59722222222222221</v>
      </c>
      <c r="K358" s="417">
        <f t="shared" si="12"/>
        <v>0.33333333333333215</v>
      </c>
      <c r="L358" s="9">
        <v>45624</v>
      </c>
      <c r="M358" s="89" t="s">
        <v>497</v>
      </c>
      <c r="N358" s="91" t="s">
        <v>7</v>
      </c>
      <c r="O358" s="2"/>
    </row>
    <row r="359" spans="1:15" s="1" customFormat="1">
      <c r="A359" s="4">
        <f t="shared" si="13"/>
        <v>358</v>
      </c>
      <c r="B359" s="595" t="s">
        <v>494</v>
      </c>
      <c r="C359" s="7" t="s">
        <v>495</v>
      </c>
      <c r="D359" s="424"/>
      <c r="E359" s="7"/>
      <c r="F359" s="425"/>
      <c r="G359" s="426">
        <v>45625</v>
      </c>
      <c r="H359" s="427">
        <v>2</v>
      </c>
      <c r="I359" s="465">
        <v>0.625</v>
      </c>
      <c r="J359" s="465">
        <v>0.83333333333333337</v>
      </c>
      <c r="K359" s="417">
        <f t="shared" si="12"/>
        <v>10.000000000000002</v>
      </c>
      <c r="L359" s="11">
        <v>45625</v>
      </c>
      <c r="M359" s="92" t="s">
        <v>497</v>
      </c>
      <c r="N359" s="6" t="s">
        <v>495</v>
      </c>
      <c r="O359" s="2"/>
    </row>
    <row r="360" spans="1:15" s="1" customFormat="1">
      <c r="A360" s="4">
        <f t="shared" si="13"/>
        <v>359</v>
      </c>
      <c r="B360" s="595" t="s">
        <v>494</v>
      </c>
      <c r="C360" s="7" t="s">
        <v>495</v>
      </c>
      <c r="D360" s="424"/>
      <c r="E360" s="7"/>
      <c r="F360" s="425"/>
      <c r="G360" s="426">
        <v>45626</v>
      </c>
      <c r="H360" s="427">
        <v>1</v>
      </c>
      <c r="I360" s="465">
        <v>0.29166666666666669</v>
      </c>
      <c r="J360" s="465">
        <v>0.625</v>
      </c>
      <c r="K360" s="417">
        <f t="shared" si="12"/>
        <v>8</v>
      </c>
      <c r="L360" s="11">
        <v>45626</v>
      </c>
      <c r="M360" s="92" t="s">
        <v>497</v>
      </c>
      <c r="N360" s="6" t="s">
        <v>495</v>
      </c>
      <c r="O360" s="2"/>
    </row>
    <row r="361" spans="1:15" s="1" customFormat="1">
      <c r="A361" s="4">
        <f t="shared" si="13"/>
        <v>360</v>
      </c>
      <c r="B361" s="596" t="s">
        <v>516</v>
      </c>
      <c r="C361" s="93" t="s">
        <v>517</v>
      </c>
      <c r="D361" s="597" t="s">
        <v>96</v>
      </c>
      <c r="E361" s="4">
        <v>1</v>
      </c>
      <c r="F361" s="414">
        <v>1</v>
      </c>
      <c r="G361" s="179">
        <v>45629</v>
      </c>
      <c r="H361" s="415">
        <v>1</v>
      </c>
      <c r="I361" s="446">
        <v>0.375</v>
      </c>
      <c r="J361" s="446">
        <v>0.39583333333333331</v>
      </c>
      <c r="K361" s="417">
        <f t="shared" si="12"/>
        <v>0.49999999999999956</v>
      </c>
      <c r="L361" s="9">
        <v>45629</v>
      </c>
      <c r="M361" s="93" t="s">
        <v>518</v>
      </c>
      <c r="N361" s="3" t="s">
        <v>8</v>
      </c>
      <c r="O361" s="2"/>
    </row>
    <row r="362" spans="1:15" s="1" customFormat="1">
      <c r="A362" s="4">
        <f t="shared" si="13"/>
        <v>361</v>
      </c>
      <c r="B362" s="596" t="s">
        <v>519</v>
      </c>
      <c r="C362" s="93" t="s">
        <v>520</v>
      </c>
      <c r="D362" s="597" t="s">
        <v>122</v>
      </c>
      <c r="E362" s="4">
        <v>1</v>
      </c>
      <c r="F362" s="414">
        <v>1</v>
      </c>
      <c r="G362" s="179">
        <v>45629</v>
      </c>
      <c r="H362" s="415">
        <v>1</v>
      </c>
      <c r="I362" s="446">
        <v>0.375</v>
      </c>
      <c r="J362" s="446">
        <v>0.3888888888888889</v>
      </c>
      <c r="K362" s="417">
        <f t="shared" si="12"/>
        <v>0.33333333333333348</v>
      </c>
      <c r="L362" s="9">
        <v>45629</v>
      </c>
      <c r="M362" s="93" t="s">
        <v>518</v>
      </c>
      <c r="N362" s="94" t="s">
        <v>287</v>
      </c>
      <c r="O362" s="2"/>
    </row>
    <row r="363" spans="1:15" s="1" customFormat="1">
      <c r="A363" s="4">
        <f t="shared" si="13"/>
        <v>362</v>
      </c>
      <c r="B363" s="596" t="s">
        <v>519</v>
      </c>
      <c r="C363" s="93" t="s">
        <v>520</v>
      </c>
      <c r="D363" s="597" t="s">
        <v>106</v>
      </c>
      <c r="E363" s="4">
        <v>1</v>
      </c>
      <c r="F363" s="414">
        <v>1</v>
      </c>
      <c r="G363" s="179">
        <v>45629</v>
      </c>
      <c r="H363" s="415">
        <v>1</v>
      </c>
      <c r="I363" s="446">
        <v>0.375</v>
      </c>
      <c r="J363" s="446">
        <v>0.3888888888888889</v>
      </c>
      <c r="K363" s="417">
        <f t="shared" si="12"/>
        <v>0.33333333333333348</v>
      </c>
      <c r="L363" s="9">
        <v>45629</v>
      </c>
      <c r="M363" s="93" t="s">
        <v>518</v>
      </c>
      <c r="N363" s="94" t="s">
        <v>287</v>
      </c>
      <c r="O363" s="2"/>
    </row>
    <row r="364" spans="1:15" s="1" customFormat="1">
      <c r="A364" s="4">
        <f t="shared" si="13"/>
        <v>363</v>
      </c>
      <c r="B364" s="596" t="s">
        <v>483</v>
      </c>
      <c r="C364" s="93" t="s">
        <v>484</v>
      </c>
      <c r="D364" s="597" t="s">
        <v>122</v>
      </c>
      <c r="E364" s="4">
        <v>1</v>
      </c>
      <c r="F364" s="414">
        <v>1</v>
      </c>
      <c r="G364" s="179">
        <v>45629</v>
      </c>
      <c r="H364" s="415">
        <v>1</v>
      </c>
      <c r="I364" s="446">
        <v>0.375</v>
      </c>
      <c r="J364" s="446">
        <v>0.39583333333333331</v>
      </c>
      <c r="K364" s="417">
        <f t="shared" si="12"/>
        <v>0.49999999999999956</v>
      </c>
      <c r="L364" s="9">
        <v>45629</v>
      </c>
      <c r="M364" s="93" t="s">
        <v>518</v>
      </c>
      <c r="N364" s="94" t="s">
        <v>485</v>
      </c>
      <c r="O364" s="2"/>
    </row>
    <row r="365" spans="1:15" s="1" customFormat="1">
      <c r="A365" s="4">
        <f t="shared" si="13"/>
        <v>364</v>
      </c>
      <c r="B365" s="596" t="s">
        <v>521</v>
      </c>
      <c r="C365" s="93" t="s">
        <v>316</v>
      </c>
      <c r="D365" s="597" t="s">
        <v>522</v>
      </c>
      <c r="E365" s="4">
        <v>1</v>
      </c>
      <c r="F365" s="414">
        <v>1</v>
      </c>
      <c r="G365" s="179">
        <v>45629</v>
      </c>
      <c r="H365" s="415">
        <v>1</v>
      </c>
      <c r="I365" s="446">
        <v>0.375</v>
      </c>
      <c r="J365" s="446">
        <v>0.45833333333333331</v>
      </c>
      <c r="K365" s="417">
        <f t="shared" si="12"/>
        <v>1.9999999999999996</v>
      </c>
      <c r="L365" s="9">
        <v>45629</v>
      </c>
      <c r="M365" s="93" t="s">
        <v>518</v>
      </c>
      <c r="N365" s="94" t="s">
        <v>191</v>
      </c>
      <c r="O365" s="2"/>
    </row>
    <row r="366" spans="1:15" s="1" customFormat="1">
      <c r="A366" s="4">
        <f t="shared" si="13"/>
        <v>365</v>
      </c>
      <c r="B366" s="598" t="s">
        <v>523</v>
      </c>
      <c r="C366" s="599" t="s">
        <v>524</v>
      </c>
      <c r="D366" s="600" t="s">
        <v>321</v>
      </c>
      <c r="E366" s="4">
        <v>1</v>
      </c>
      <c r="F366" s="414">
        <v>2</v>
      </c>
      <c r="G366" s="179">
        <v>45630</v>
      </c>
      <c r="H366" s="415">
        <v>1</v>
      </c>
      <c r="I366" s="446">
        <v>0.33333333333333331</v>
      </c>
      <c r="J366" s="446">
        <v>0.35416666666666669</v>
      </c>
      <c r="K366" s="417">
        <f t="shared" si="12"/>
        <v>0.50000000000000089</v>
      </c>
      <c r="L366" s="9">
        <v>45630</v>
      </c>
      <c r="M366" s="93" t="s">
        <v>518</v>
      </c>
      <c r="N366" s="3" t="s">
        <v>8</v>
      </c>
      <c r="O366" s="2"/>
    </row>
    <row r="367" spans="1:15" s="1" customFormat="1">
      <c r="A367" s="4">
        <f t="shared" si="13"/>
        <v>366</v>
      </c>
      <c r="B367" s="601" t="s">
        <v>525</v>
      </c>
      <c r="C367" s="602" t="s">
        <v>526</v>
      </c>
      <c r="D367" s="603" t="s">
        <v>107</v>
      </c>
      <c r="E367" s="4">
        <v>1</v>
      </c>
      <c r="F367" s="414">
        <v>2</v>
      </c>
      <c r="G367" s="179">
        <v>45631</v>
      </c>
      <c r="H367" s="415">
        <v>1</v>
      </c>
      <c r="I367" s="446">
        <v>0.54166666666666663</v>
      </c>
      <c r="J367" s="446">
        <v>0.5625</v>
      </c>
      <c r="K367" s="417">
        <f t="shared" si="12"/>
        <v>0.50000000000000089</v>
      </c>
      <c r="L367" s="9">
        <v>45631</v>
      </c>
      <c r="M367" s="93" t="s">
        <v>518</v>
      </c>
      <c r="N367" s="3" t="s">
        <v>8</v>
      </c>
      <c r="O367" s="2"/>
    </row>
    <row r="368" spans="1:15" s="1" customFormat="1">
      <c r="A368" s="4">
        <f t="shared" si="13"/>
        <v>367</v>
      </c>
      <c r="B368" s="601" t="s">
        <v>527</v>
      </c>
      <c r="C368" s="602" t="s">
        <v>528</v>
      </c>
      <c r="D368" s="603" t="s">
        <v>491</v>
      </c>
      <c r="E368" s="4">
        <v>103</v>
      </c>
      <c r="F368" s="414">
        <v>103</v>
      </c>
      <c r="G368" s="179">
        <v>45631</v>
      </c>
      <c r="H368" s="415">
        <v>1</v>
      </c>
      <c r="I368" s="446">
        <v>0.54166666666666663</v>
      </c>
      <c r="J368" s="446">
        <v>0.77083333333333337</v>
      </c>
      <c r="K368" s="417">
        <f t="shared" si="12"/>
        <v>5.5000000000000018</v>
      </c>
      <c r="L368" s="9">
        <v>45631</v>
      </c>
      <c r="M368" s="93" t="s">
        <v>518</v>
      </c>
      <c r="N368" s="3" t="s">
        <v>8</v>
      </c>
      <c r="O368" s="2"/>
    </row>
    <row r="369" spans="1:15" s="1" customFormat="1">
      <c r="A369" s="4">
        <f t="shared" si="13"/>
        <v>368</v>
      </c>
      <c r="B369" s="601" t="s">
        <v>527</v>
      </c>
      <c r="C369" s="602" t="s">
        <v>528</v>
      </c>
      <c r="D369" s="603" t="s">
        <v>491</v>
      </c>
      <c r="E369" s="4">
        <v>412</v>
      </c>
      <c r="F369" s="414">
        <v>412</v>
      </c>
      <c r="G369" s="179">
        <v>45631</v>
      </c>
      <c r="H369" s="415">
        <v>1</v>
      </c>
      <c r="I369" s="446">
        <v>0.54166666666666663</v>
      </c>
      <c r="J369" s="446">
        <v>0.77083333333333337</v>
      </c>
      <c r="K369" s="417">
        <f t="shared" si="12"/>
        <v>5.5000000000000018</v>
      </c>
      <c r="L369" s="9">
        <v>45631</v>
      </c>
      <c r="M369" s="93" t="s">
        <v>518</v>
      </c>
      <c r="N369" s="3" t="s">
        <v>8</v>
      </c>
      <c r="O369" s="2"/>
    </row>
    <row r="370" spans="1:15" s="1" customFormat="1">
      <c r="A370" s="4">
        <f t="shared" si="13"/>
        <v>369</v>
      </c>
      <c r="B370" s="604" t="s">
        <v>529</v>
      </c>
      <c r="C370" s="605" t="s">
        <v>530</v>
      </c>
      <c r="D370" s="606" t="s">
        <v>531</v>
      </c>
      <c r="E370" s="4">
        <v>7</v>
      </c>
      <c r="F370" s="414">
        <v>14</v>
      </c>
      <c r="G370" s="179">
        <v>45632</v>
      </c>
      <c r="H370" s="415">
        <v>1</v>
      </c>
      <c r="I370" s="446">
        <v>0.375</v>
      </c>
      <c r="J370" s="446">
        <v>0.41666666666666669</v>
      </c>
      <c r="K370" s="417">
        <f t="shared" si="12"/>
        <v>1.0000000000000004</v>
      </c>
      <c r="L370" s="9">
        <v>45632</v>
      </c>
      <c r="M370" s="93" t="s">
        <v>518</v>
      </c>
      <c r="N370" s="95" t="s">
        <v>6</v>
      </c>
      <c r="O370" s="2"/>
    </row>
    <row r="371" spans="1:15" s="1" customFormat="1">
      <c r="A371" s="4">
        <f t="shared" si="13"/>
        <v>370</v>
      </c>
      <c r="B371" s="604" t="s">
        <v>532</v>
      </c>
      <c r="C371" s="605" t="s">
        <v>31</v>
      </c>
      <c r="D371" s="606" t="s">
        <v>96</v>
      </c>
      <c r="E371" s="4">
        <v>3</v>
      </c>
      <c r="F371" s="414">
        <v>6</v>
      </c>
      <c r="G371" s="179">
        <v>45632</v>
      </c>
      <c r="H371" s="415">
        <v>1</v>
      </c>
      <c r="I371" s="446">
        <v>0.375</v>
      </c>
      <c r="J371" s="446">
        <v>0.54166666666666663</v>
      </c>
      <c r="K371" s="417">
        <f t="shared" si="12"/>
        <v>3.9999999999999991</v>
      </c>
      <c r="L371" s="9">
        <v>45632</v>
      </c>
      <c r="M371" s="93" t="s">
        <v>518</v>
      </c>
      <c r="N371" s="95" t="s">
        <v>6</v>
      </c>
      <c r="O371" s="2"/>
    </row>
    <row r="372" spans="1:15" s="1" customFormat="1">
      <c r="A372" s="4">
        <f t="shared" si="13"/>
        <v>371</v>
      </c>
      <c r="B372" s="604" t="s">
        <v>532</v>
      </c>
      <c r="C372" s="605" t="s">
        <v>31</v>
      </c>
      <c r="D372" s="606" t="s">
        <v>533</v>
      </c>
      <c r="E372" s="4">
        <v>6</v>
      </c>
      <c r="F372" s="414">
        <v>6</v>
      </c>
      <c r="G372" s="179">
        <v>45632</v>
      </c>
      <c r="H372" s="415">
        <v>1</v>
      </c>
      <c r="I372" s="446">
        <v>0.375</v>
      </c>
      <c r="J372" s="607">
        <v>0.45833333333333331</v>
      </c>
      <c r="K372" s="417">
        <f t="shared" si="12"/>
        <v>1.9999999999999996</v>
      </c>
      <c r="L372" s="9">
        <v>45632</v>
      </c>
      <c r="M372" s="93" t="s">
        <v>518</v>
      </c>
      <c r="N372" s="95" t="s">
        <v>6</v>
      </c>
      <c r="O372" s="2"/>
    </row>
    <row r="373" spans="1:15" s="1" customFormat="1">
      <c r="A373" s="4">
        <f t="shared" si="13"/>
        <v>372</v>
      </c>
      <c r="B373" s="608" t="s">
        <v>534</v>
      </c>
      <c r="C373" s="96" t="s">
        <v>535</v>
      </c>
      <c r="D373" s="609" t="s">
        <v>67</v>
      </c>
      <c r="E373" s="4">
        <v>309</v>
      </c>
      <c r="F373" s="414">
        <v>309</v>
      </c>
      <c r="G373" s="179">
        <v>45635</v>
      </c>
      <c r="H373" s="415">
        <v>1</v>
      </c>
      <c r="I373" s="446">
        <v>0.54166666666666663</v>
      </c>
      <c r="J373" s="446">
        <v>0.57291666666666663</v>
      </c>
      <c r="K373" s="417">
        <f t="shared" si="12"/>
        <v>0.75</v>
      </c>
      <c r="L373" s="9">
        <v>45635</v>
      </c>
      <c r="M373" s="96" t="s">
        <v>536</v>
      </c>
      <c r="N373" s="97" t="s">
        <v>537</v>
      </c>
      <c r="O373" s="2"/>
    </row>
    <row r="374" spans="1:15" s="1" customFormat="1">
      <c r="A374" s="4">
        <f t="shared" si="13"/>
        <v>373</v>
      </c>
      <c r="B374" s="608" t="s">
        <v>516</v>
      </c>
      <c r="C374" s="96" t="s">
        <v>517</v>
      </c>
      <c r="D374" s="609" t="s">
        <v>96</v>
      </c>
      <c r="E374" s="4">
        <v>26</v>
      </c>
      <c r="F374" s="414">
        <v>26</v>
      </c>
      <c r="G374" s="179">
        <v>45635</v>
      </c>
      <c r="H374" s="415">
        <v>1</v>
      </c>
      <c r="I374" s="446">
        <v>0.54166666666666663</v>
      </c>
      <c r="J374" s="446">
        <v>0.625</v>
      </c>
      <c r="K374" s="417">
        <f t="shared" si="12"/>
        <v>2.0000000000000009</v>
      </c>
      <c r="L374" s="9">
        <v>45635</v>
      </c>
      <c r="M374" s="96" t="s">
        <v>536</v>
      </c>
      <c r="N374" s="3" t="s">
        <v>8</v>
      </c>
      <c r="O374" s="2"/>
    </row>
    <row r="375" spans="1:15" s="1" customFormat="1">
      <c r="A375" s="4">
        <f t="shared" si="13"/>
        <v>374</v>
      </c>
      <c r="B375" s="608" t="s">
        <v>539</v>
      </c>
      <c r="C375" s="96" t="s">
        <v>538</v>
      </c>
      <c r="D375" s="609" t="s">
        <v>96</v>
      </c>
      <c r="E375" s="4">
        <v>12</v>
      </c>
      <c r="F375" s="414">
        <v>12</v>
      </c>
      <c r="G375" s="179">
        <v>45635</v>
      </c>
      <c r="H375" s="415">
        <v>1</v>
      </c>
      <c r="I375" s="446">
        <v>0.54166666666666663</v>
      </c>
      <c r="J375" s="446">
        <v>0.58333333333333337</v>
      </c>
      <c r="K375" s="417">
        <f t="shared" si="12"/>
        <v>1.0000000000000018</v>
      </c>
      <c r="L375" s="9">
        <v>45635</v>
      </c>
      <c r="M375" s="96" t="s">
        <v>536</v>
      </c>
      <c r="N375" s="3" t="s">
        <v>8</v>
      </c>
      <c r="O375" s="2"/>
    </row>
    <row r="376" spans="1:15" s="1" customFormat="1">
      <c r="A376" s="4">
        <f t="shared" si="13"/>
        <v>375</v>
      </c>
      <c r="B376" s="608" t="s">
        <v>540</v>
      </c>
      <c r="C376" s="96" t="s">
        <v>541</v>
      </c>
      <c r="D376" s="609" t="s">
        <v>96</v>
      </c>
      <c r="E376" s="4">
        <v>15</v>
      </c>
      <c r="F376" s="414">
        <v>15</v>
      </c>
      <c r="G376" s="179">
        <v>45635</v>
      </c>
      <c r="H376" s="415">
        <v>1</v>
      </c>
      <c r="I376" s="446">
        <v>0.54166666666666663</v>
      </c>
      <c r="J376" s="446">
        <v>0.58333333333333337</v>
      </c>
      <c r="K376" s="417">
        <f t="shared" si="12"/>
        <v>1.0000000000000018</v>
      </c>
      <c r="L376" s="9">
        <v>45635</v>
      </c>
      <c r="M376" s="96" t="s">
        <v>536</v>
      </c>
      <c r="N376" s="3" t="s">
        <v>8</v>
      </c>
      <c r="O376" s="2"/>
    </row>
    <row r="377" spans="1:15" s="1" customFormat="1">
      <c r="A377" s="4">
        <f t="shared" si="13"/>
        <v>376</v>
      </c>
      <c r="B377" s="608" t="s">
        <v>542</v>
      </c>
      <c r="C377" s="96" t="s">
        <v>543</v>
      </c>
      <c r="D377" s="609" t="s">
        <v>96</v>
      </c>
      <c r="E377" s="4">
        <v>10</v>
      </c>
      <c r="F377" s="414">
        <v>10</v>
      </c>
      <c r="G377" s="179">
        <v>45635</v>
      </c>
      <c r="H377" s="415">
        <v>1</v>
      </c>
      <c r="I377" s="446">
        <v>0.54166666666666663</v>
      </c>
      <c r="J377" s="446">
        <v>0.57291666666666663</v>
      </c>
      <c r="K377" s="417">
        <f t="shared" si="12"/>
        <v>0.75</v>
      </c>
      <c r="L377" s="9">
        <v>45635</v>
      </c>
      <c r="M377" s="96" t="s">
        <v>536</v>
      </c>
      <c r="N377" s="3" t="s">
        <v>8</v>
      </c>
      <c r="O377" s="2"/>
    </row>
    <row r="378" spans="1:15" s="1" customFormat="1">
      <c r="A378" s="4">
        <f t="shared" si="13"/>
        <v>377</v>
      </c>
      <c r="B378" s="608" t="s">
        <v>542</v>
      </c>
      <c r="C378" s="96" t="s">
        <v>543</v>
      </c>
      <c r="D378" s="609" t="s">
        <v>154</v>
      </c>
      <c r="E378" s="4">
        <v>10</v>
      </c>
      <c r="F378" s="414">
        <v>10</v>
      </c>
      <c r="G378" s="179">
        <v>45635</v>
      </c>
      <c r="H378" s="415">
        <v>1</v>
      </c>
      <c r="I378" s="446">
        <v>0.54166666666666663</v>
      </c>
      <c r="J378" s="446">
        <v>0.57291666666666663</v>
      </c>
      <c r="K378" s="417">
        <f t="shared" si="12"/>
        <v>0.75</v>
      </c>
      <c r="L378" s="9">
        <v>45635</v>
      </c>
      <c r="M378" s="96" t="s">
        <v>536</v>
      </c>
      <c r="N378" s="3" t="s">
        <v>8</v>
      </c>
      <c r="O378" s="2"/>
    </row>
    <row r="379" spans="1:15" s="1" customFormat="1">
      <c r="A379" s="4">
        <f t="shared" si="13"/>
        <v>378</v>
      </c>
      <c r="B379" s="608" t="s">
        <v>544</v>
      </c>
      <c r="C379" s="96" t="s">
        <v>545</v>
      </c>
      <c r="D379" s="609" t="s">
        <v>96</v>
      </c>
      <c r="E379" s="4">
        <v>15</v>
      </c>
      <c r="F379" s="414">
        <v>15</v>
      </c>
      <c r="G379" s="179">
        <v>45635</v>
      </c>
      <c r="H379" s="415">
        <v>1</v>
      </c>
      <c r="I379" s="446">
        <v>0.54166666666666663</v>
      </c>
      <c r="J379" s="446">
        <v>0.58333333333333337</v>
      </c>
      <c r="K379" s="417">
        <f t="shared" si="12"/>
        <v>1.0000000000000018</v>
      </c>
      <c r="L379" s="9">
        <v>45635</v>
      </c>
      <c r="M379" s="96" t="s">
        <v>536</v>
      </c>
      <c r="N379" s="3" t="s">
        <v>8</v>
      </c>
      <c r="O379" s="2"/>
    </row>
    <row r="380" spans="1:15" s="1" customFormat="1" ht="15" customHeight="1">
      <c r="A380" s="4">
        <f t="shared" si="13"/>
        <v>379</v>
      </c>
      <c r="B380" s="608" t="s">
        <v>546</v>
      </c>
      <c r="C380" s="96" t="s">
        <v>547</v>
      </c>
      <c r="D380" s="609" t="s">
        <v>96</v>
      </c>
      <c r="E380" s="4">
        <v>15</v>
      </c>
      <c r="F380" s="414">
        <v>15</v>
      </c>
      <c r="G380" s="179">
        <v>45635</v>
      </c>
      <c r="H380" s="415">
        <v>1</v>
      </c>
      <c r="I380" s="446">
        <v>0.54166666666666663</v>
      </c>
      <c r="J380" s="446">
        <v>0.58333333333333337</v>
      </c>
      <c r="K380" s="417">
        <f t="shared" si="12"/>
        <v>1.0000000000000018</v>
      </c>
      <c r="L380" s="9">
        <v>45635</v>
      </c>
      <c r="M380" s="96" t="s">
        <v>536</v>
      </c>
      <c r="N380" s="3" t="s">
        <v>8</v>
      </c>
      <c r="O380" s="2"/>
    </row>
    <row r="381" spans="1:15" s="1" customFormat="1">
      <c r="A381" s="4">
        <f t="shared" si="13"/>
        <v>380</v>
      </c>
      <c r="B381" s="412"/>
      <c r="C381" s="610" t="s">
        <v>548</v>
      </c>
      <c r="D381" s="611" t="s">
        <v>549</v>
      </c>
      <c r="E381" s="4">
        <v>44</v>
      </c>
      <c r="F381" s="414">
        <v>14</v>
      </c>
      <c r="G381" s="179">
        <v>45632</v>
      </c>
      <c r="H381" s="415">
        <v>3</v>
      </c>
      <c r="I381" s="446">
        <v>0.59722222222222221</v>
      </c>
      <c r="J381" s="446">
        <v>0.63194444444444442</v>
      </c>
      <c r="K381" s="417">
        <f t="shared" si="12"/>
        <v>2.4999999999999991</v>
      </c>
      <c r="L381" s="9">
        <v>45635</v>
      </c>
      <c r="M381" s="96" t="s">
        <v>536</v>
      </c>
      <c r="N381" s="91" t="s">
        <v>7</v>
      </c>
      <c r="O381" s="2"/>
    </row>
    <row r="382" spans="1:15" s="1" customFormat="1">
      <c r="A382" s="4">
        <f t="shared" si="13"/>
        <v>381</v>
      </c>
      <c r="B382" s="412"/>
      <c r="C382" s="610" t="s">
        <v>548</v>
      </c>
      <c r="D382" s="611" t="s">
        <v>549</v>
      </c>
      <c r="E382" s="4">
        <v>44</v>
      </c>
      <c r="F382" s="414">
        <v>10</v>
      </c>
      <c r="G382" s="179">
        <v>45633</v>
      </c>
      <c r="H382" s="415">
        <v>3</v>
      </c>
      <c r="I382" s="446">
        <v>0.59722222222222221</v>
      </c>
      <c r="J382" s="446">
        <v>0.63194444444444442</v>
      </c>
      <c r="K382" s="417">
        <f t="shared" si="12"/>
        <v>2.4999999999999991</v>
      </c>
      <c r="L382" s="9">
        <v>45635</v>
      </c>
      <c r="M382" s="96" t="s">
        <v>536</v>
      </c>
      <c r="N382" s="91" t="s">
        <v>7</v>
      </c>
      <c r="O382" s="2"/>
    </row>
    <row r="383" spans="1:15" s="1" customFormat="1">
      <c r="A383" s="4">
        <f t="shared" si="13"/>
        <v>382</v>
      </c>
      <c r="B383" s="412"/>
      <c r="C383" s="610" t="s">
        <v>548</v>
      </c>
      <c r="D383" s="611" t="s">
        <v>549</v>
      </c>
      <c r="E383" s="4">
        <v>44</v>
      </c>
      <c r="F383" s="414">
        <v>10</v>
      </c>
      <c r="G383" s="179">
        <v>45634</v>
      </c>
      <c r="H383" s="415">
        <v>3</v>
      </c>
      <c r="I383" s="446">
        <v>0.59722222222222221</v>
      </c>
      <c r="J383" s="446">
        <v>0.63194444444444442</v>
      </c>
      <c r="K383" s="417">
        <f t="shared" si="12"/>
        <v>2.4999999999999991</v>
      </c>
      <c r="L383" s="9">
        <v>45635</v>
      </c>
      <c r="M383" s="96" t="s">
        <v>536</v>
      </c>
      <c r="N383" s="91" t="s">
        <v>7</v>
      </c>
      <c r="O383" s="2"/>
    </row>
    <row r="384" spans="1:15" s="1" customFormat="1">
      <c r="A384" s="4">
        <f t="shared" si="13"/>
        <v>383</v>
      </c>
      <c r="B384" s="412"/>
      <c r="C384" s="610" t="s">
        <v>548</v>
      </c>
      <c r="D384" s="611" t="s">
        <v>549</v>
      </c>
      <c r="E384" s="4">
        <v>44</v>
      </c>
      <c r="F384" s="414">
        <v>10</v>
      </c>
      <c r="G384" s="179">
        <v>45635</v>
      </c>
      <c r="H384" s="415">
        <v>3</v>
      </c>
      <c r="I384" s="446">
        <v>0.59722222222222221</v>
      </c>
      <c r="J384" s="446">
        <v>0.63194444444444442</v>
      </c>
      <c r="K384" s="417">
        <f t="shared" si="12"/>
        <v>2.4999999999999991</v>
      </c>
      <c r="L384" s="9">
        <v>45635</v>
      </c>
      <c r="M384" s="96" t="s">
        <v>536</v>
      </c>
      <c r="N384" s="91" t="s">
        <v>7</v>
      </c>
      <c r="O384" s="2"/>
    </row>
    <row r="385" spans="1:15" s="1" customFormat="1">
      <c r="A385" s="4">
        <f t="shared" si="13"/>
        <v>384</v>
      </c>
      <c r="B385" s="612" t="s">
        <v>550</v>
      </c>
      <c r="C385" s="613" t="s">
        <v>551</v>
      </c>
      <c r="D385" s="614" t="s">
        <v>552</v>
      </c>
      <c r="E385" s="4">
        <v>1</v>
      </c>
      <c r="F385" s="414">
        <v>1</v>
      </c>
      <c r="G385" s="179">
        <v>45637</v>
      </c>
      <c r="H385" s="415">
        <v>2</v>
      </c>
      <c r="I385" s="446">
        <v>0.625</v>
      </c>
      <c r="J385" s="446">
        <v>0.8125</v>
      </c>
      <c r="K385" s="417">
        <f t="shared" si="12"/>
        <v>9</v>
      </c>
      <c r="L385" s="9">
        <v>45637</v>
      </c>
      <c r="M385" s="96" t="s">
        <v>536</v>
      </c>
      <c r="N385" s="91" t="s">
        <v>7</v>
      </c>
      <c r="O385" s="2"/>
    </row>
    <row r="386" spans="1:15" s="1" customFormat="1">
      <c r="A386" s="4">
        <f t="shared" si="13"/>
        <v>385</v>
      </c>
      <c r="B386" s="412"/>
      <c r="C386" s="615" t="s">
        <v>553</v>
      </c>
      <c r="D386" s="611" t="s">
        <v>549</v>
      </c>
      <c r="E386" s="4">
        <v>18</v>
      </c>
      <c r="F386" s="414">
        <v>44</v>
      </c>
      <c r="G386" s="179">
        <v>45639</v>
      </c>
      <c r="H386" s="415">
        <v>2</v>
      </c>
      <c r="I386" s="446">
        <v>0.37916666666666665</v>
      </c>
      <c r="J386" s="446">
        <v>0.8125</v>
      </c>
      <c r="K386" s="417">
        <f t="shared" si="12"/>
        <v>20.8</v>
      </c>
      <c r="L386" s="9">
        <v>45639</v>
      </c>
      <c r="M386" s="98" t="s">
        <v>555</v>
      </c>
      <c r="N386" s="3" t="s">
        <v>8</v>
      </c>
      <c r="O386" s="2"/>
    </row>
    <row r="387" spans="1:15" s="1" customFormat="1">
      <c r="A387" s="4">
        <f t="shared" si="13"/>
        <v>386</v>
      </c>
      <c r="B387" s="412"/>
      <c r="C387" s="615" t="s">
        <v>553</v>
      </c>
      <c r="D387" s="611" t="s">
        <v>549</v>
      </c>
      <c r="E387" s="4">
        <v>18</v>
      </c>
      <c r="F387" s="414">
        <v>118</v>
      </c>
      <c r="G387" s="179">
        <v>45642</v>
      </c>
      <c r="H387" s="415">
        <v>2</v>
      </c>
      <c r="I387" s="446">
        <v>0.29166666666666669</v>
      </c>
      <c r="J387" s="446">
        <v>0.64583333333333337</v>
      </c>
      <c r="K387" s="417">
        <f t="shared" si="12"/>
        <v>17</v>
      </c>
      <c r="L387" s="9">
        <v>45642</v>
      </c>
      <c r="M387" s="98" t="s">
        <v>555</v>
      </c>
      <c r="N387" s="3" t="s">
        <v>8</v>
      </c>
      <c r="O387" s="2"/>
    </row>
    <row r="388" spans="1:15" s="1" customFormat="1">
      <c r="A388" s="4">
        <f t="shared" si="13"/>
        <v>387</v>
      </c>
      <c r="B388" s="412"/>
      <c r="C388" s="99" t="s">
        <v>556</v>
      </c>
      <c r="D388" s="616" t="s">
        <v>557</v>
      </c>
      <c r="E388" s="7">
        <v>30</v>
      </c>
      <c r="F388" s="425">
        <v>30</v>
      </c>
      <c r="G388" s="617">
        <v>45644</v>
      </c>
      <c r="H388" s="427">
        <v>1</v>
      </c>
      <c r="I388" s="465">
        <v>0.375</v>
      </c>
      <c r="J388" s="465">
        <v>0.41666666666666669</v>
      </c>
      <c r="K388" s="417">
        <f t="shared" ref="K388:K451" si="14">(J388-I388)*24*H388</f>
        <v>1.0000000000000004</v>
      </c>
      <c r="L388" s="11">
        <v>45644</v>
      </c>
      <c r="M388" s="99" t="s">
        <v>555</v>
      </c>
      <c r="N388" s="6" t="s">
        <v>7</v>
      </c>
      <c r="O388" s="13" t="s">
        <v>151</v>
      </c>
    </row>
    <row r="389" spans="1:15" s="1" customFormat="1">
      <c r="A389" s="4">
        <f t="shared" si="13"/>
        <v>388</v>
      </c>
      <c r="B389" s="412"/>
      <c r="C389" s="99" t="s">
        <v>558</v>
      </c>
      <c r="D389" s="616" t="s">
        <v>557</v>
      </c>
      <c r="E389" s="7">
        <v>30</v>
      </c>
      <c r="F389" s="425">
        <v>30</v>
      </c>
      <c r="G389" s="617">
        <v>45644</v>
      </c>
      <c r="H389" s="427">
        <v>1</v>
      </c>
      <c r="I389" s="465">
        <v>0.375</v>
      </c>
      <c r="J389" s="465">
        <v>0.41666666666666669</v>
      </c>
      <c r="K389" s="417">
        <f t="shared" si="14"/>
        <v>1.0000000000000004</v>
      </c>
      <c r="L389" s="11">
        <v>45644</v>
      </c>
      <c r="M389" s="99" t="s">
        <v>555</v>
      </c>
      <c r="N389" s="6" t="s">
        <v>7</v>
      </c>
      <c r="O389" s="13" t="s">
        <v>151</v>
      </c>
    </row>
    <row r="390" spans="1:15" s="1" customFormat="1">
      <c r="A390" s="4">
        <f t="shared" si="13"/>
        <v>389</v>
      </c>
      <c r="B390" s="412"/>
      <c r="C390" s="98" t="s">
        <v>559</v>
      </c>
      <c r="D390" s="618" t="s">
        <v>560</v>
      </c>
      <c r="E390" s="4">
        <v>5</v>
      </c>
      <c r="F390" s="414">
        <v>10</v>
      </c>
      <c r="G390" s="179">
        <v>45644</v>
      </c>
      <c r="H390" s="415">
        <v>1</v>
      </c>
      <c r="I390" s="446">
        <v>0.33333333333333331</v>
      </c>
      <c r="J390" s="619">
        <v>0.39583333333333331</v>
      </c>
      <c r="K390" s="417">
        <f t="shared" si="14"/>
        <v>1.5</v>
      </c>
      <c r="L390" s="9">
        <v>45644</v>
      </c>
      <c r="M390" s="99" t="s">
        <v>555</v>
      </c>
      <c r="N390" s="100" t="s">
        <v>561</v>
      </c>
      <c r="O390" s="101" t="s">
        <v>562</v>
      </c>
    </row>
    <row r="391" spans="1:15" s="1" customFormat="1">
      <c r="A391" s="4">
        <f t="shared" si="13"/>
        <v>390</v>
      </c>
      <c r="B391" s="620" t="s">
        <v>563</v>
      </c>
      <c r="C391" s="98" t="s">
        <v>564</v>
      </c>
      <c r="D391" s="618" t="s">
        <v>565</v>
      </c>
      <c r="E391" s="4">
        <v>3</v>
      </c>
      <c r="F391" s="414">
        <v>3</v>
      </c>
      <c r="G391" s="179">
        <v>45644</v>
      </c>
      <c r="H391" s="415">
        <v>1</v>
      </c>
      <c r="I391" s="446">
        <v>0.375</v>
      </c>
      <c r="J391" s="446">
        <v>0.39583333333333331</v>
      </c>
      <c r="K391" s="417">
        <f t="shared" si="14"/>
        <v>0.49999999999999956</v>
      </c>
      <c r="L391" s="9">
        <v>45644</v>
      </c>
      <c r="M391" s="99" t="s">
        <v>555</v>
      </c>
      <c r="N391" s="3" t="s">
        <v>8</v>
      </c>
      <c r="O391" s="2"/>
    </row>
    <row r="392" spans="1:15" s="1" customFormat="1">
      <c r="A392" s="4">
        <f t="shared" si="13"/>
        <v>391</v>
      </c>
      <c r="B392" s="423" t="s">
        <v>494</v>
      </c>
      <c r="C392" s="7" t="s">
        <v>495</v>
      </c>
      <c r="D392" s="424"/>
      <c r="E392" s="7"/>
      <c r="F392" s="425"/>
      <c r="G392" s="426">
        <v>45645</v>
      </c>
      <c r="H392" s="427">
        <v>2</v>
      </c>
      <c r="I392" s="465">
        <v>0.33333333333333331</v>
      </c>
      <c r="J392" s="465">
        <v>0.64583333333333337</v>
      </c>
      <c r="K392" s="417">
        <f t="shared" si="14"/>
        <v>15.000000000000004</v>
      </c>
      <c r="L392" s="11">
        <v>45645</v>
      </c>
      <c r="M392" s="99" t="s">
        <v>555</v>
      </c>
      <c r="N392" s="6" t="s">
        <v>495</v>
      </c>
      <c r="O392" s="2"/>
    </row>
    <row r="393" spans="1:15" s="1" customFormat="1">
      <c r="A393" s="4">
        <f t="shared" si="13"/>
        <v>392</v>
      </c>
      <c r="B393" s="412"/>
      <c r="C393" s="621" t="s">
        <v>316</v>
      </c>
      <c r="D393" s="622" t="s">
        <v>567</v>
      </c>
      <c r="E393" s="4"/>
      <c r="F393" s="414">
        <v>1</v>
      </c>
      <c r="G393" s="179">
        <v>45645</v>
      </c>
      <c r="H393" s="415">
        <v>2</v>
      </c>
      <c r="I393" s="446">
        <v>0.54166666666666663</v>
      </c>
      <c r="J393" s="446">
        <v>0.64583333333333337</v>
      </c>
      <c r="K393" s="417">
        <f t="shared" si="14"/>
        <v>5.0000000000000036</v>
      </c>
      <c r="L393" s="9">
        <v>45645</v>
      </c>
      <c r="M393" s="4" t="s">
        <v>555</v>
      </c>
      <c r="N393" s="102" t="s">
        <v>6</v>
      </c>
      <c r="O393" s="2"/>
    </row>
    <row r="394" spans="1:15" s="1" customFormat="1">
      <c r="A394" s="4">
        <f t="shared" si="13"/>
        <v>393</v>
      </c>
      <c r="B394" s="623" t="s">
        <v>550</v>
      </c>
      <c r="C394" s="621" t="s">
        <v>551</v>
      </c>
      <c r="D394" s="622" t="s">
        <v>566</v>
      </c>
      <c r="E394" s="4"/>
      <c r="F394" s="414">
        <v>1</v>
      </c>
      <c r="G394" s="179">
        <v>45646</v>
      </c>
      <c r="H394" s="415">
        <v>2</v>
      </c>
      <c r="I394" s="446">
        <v>0.33333333333333331</v>
      </c>
      <c r="J394" s="446">
        <v>0.5</v>
      </c>
      <c r="K394" s="417">
        <f t="shared" si="14"/>
        <v>8</v>
      </c>
      <c r="L394" s="9">
        <v>45646</v>
      </c>
      <c r="M394" s="4" t="s">
        <v>555</v>
      </c>
      <c r="N394" s="3" t="s">
        <v>7</v>
      </c>
      <c r="O394" s="2"/>
    </row>
    <row r="395" spans="1:15" s="1" customFormat="1">
      <c r="A395" s="4">
        <f t="shared" si="13"/>
        <v>394</v>
      </c>
      <c r="B395" s="412"/>
      <c r="C395" s="621" t="s">
        <v>568</v>
      </c>
      <c r="D395" s="622" t="s">
        <v>549</v>
      </c>
      <c r="E395" s="4"/>
      <c r="F395" s="414">
        <v>1</v>
      </c>
      <c r="G395" s="179">
        <v>45646</v>
      </c>
      <c r="H395" s="415">
        <v>1</v>
      </c>
      <c r="I395" s="446">
        <v>0.33333333333333331</v>
      </c>
      <c r="J395" s="446">
        <v>0.375</v>
      </c>
      <c r="K395" s="417">
        <f t="shared" si="14"/>
        <v>1.0000000000000004</v>
      </c>
      <c r="L395" s="9">
        <v>45646</v>
      </c>
      <c r="M395" s="4" t="s">
        <v>555</v>
      </c>
      <c r="N395" s="3" t="s">
        <v>7</v>
      </c>
      <c r="O395" s="2"/>
    </row>
    <row r="396" spans="1:15" s="1" customFormat="1">
      <c r="A396" s="4">
        <f t="shared" si="13"/>
        <v>395</v>
      </c>
      <c r="B396" s="412"/>
      <c r="C396" s="103" t="s">
        <v>316</v>
      </c>
      <c r="D396" s="418"/>
      <c r="E396" s="4"/>
      <c r="F396" s="414">
        <v>1</v>
      </c>
      <c r="G396" s="179">
        <v>45650</v>
      </c>
      <c r="H396" s="415">
        <v>2</v>
      </c>
      <c r="I396" s="446">
        <v>0.54166666666666663</v>
      </c>
      <c r="J396" s="446">
        <v>0.60416666666666663</v>
      </c>
      <c r="K396" s="417">
        <f t="shared" si="14"/>
        <v>3</v>
      </c>
      <c r="L396" s="9">
        <v>45650</v>
      </c>
      <c r="M396" s="103" t="s">
        <v>569</v>
      </c>
      <c r="N396" s="104" t="s">
        <v>112</v>
      </c>
      <c r="O396" s="2"/>
    </row>
    <row r="397" spans="1:15" s="1" customFormat="1">
      <c r="A397" s="4">
        <f t="shared" si="13"/>
        <v>396</v>
      </c>
      <c r="B397" s="412"/>
      <c r="C397" s="103" t="s">
        <v>570</v>
      </c>
      <c r="D397" s="418"/>
      <c r="E397" s="4"/>
      <c r="F397" s="414">
        <v>40</v>
      </c>
      <c r="G397" s="179">
        <v>45650</v>
      </c>
      <c r="H397" s="415">
        <v>2</v>
      </c>
      <c r="I397" s="446">
        <v>0.41666666666666669</v>
      </c>
      <c r="J397" s="446">
        <v>0.625</v>
      </c>
      <c r="K397" s="417">
        <f t="shared" si="14"/>
        <v>10</v>
      </c>
      <c r="L397" s="9">
        <v>45650</v>
      </c>
      <c r="M397" s="103" t="s">
        <v>569</v>
      </c>
      <c r="N397" s="104" t="s">
        <v>112</v>
      </c>
      <c r="O397" s="2"/>
    </row>
    <row r="398" spans="1:15" s="1" customFormat="1">
      <c r="A398" s="4">
        <f t="shared" si="13"/>
        <v>397</v>
      </c>
      <c r="B398" s="412"/>
      <c r="C398" s="624" t="s">
        <v>571</v>
      </c>
      <c r="D398" s="625" t="s">
        <v>262</v>
      </c>
      <c r="E398" s="4">
        <v>3</v>
      </c>
      <c r="F398" s="414">
        <v>3</v>
      </c>
      <c r="G398" s="179">
        <v>45650</v>
      </c>
      <c r="H398" s="415">
        <v>1</v>
      </c>
      <c r="I398" s="446">
        <v>0.33333333333333331</v>
      </c>
      <c r="J398" s="446">
        <v>0.35416666666666669</v>
      </c>
      <c r="K398" s="417">
        <f t="shared" si="14"/>
        <v>0.50000000000000089</v>
      </c>
      <c r="L398" s="9">
        <v>45650</v>
      </c>
      <c r="M398" s="103" t="s">
        <v>569</v>
      </c>
      <c r="N398" s="104" t="s">
        <v>112</v>
      </c>
      <c r="O398" s="2"/>
    </row>
    <row r="399" spans="1:15" s="1" customFormat="1">
      <c r="A399" s="4">
        <f t="shared" si="13"/>
        <v>398</v>
      </c>
      <c r="B399" s="626" t="s">
        <v>572</v>
      </c>
      <c r="C399" s="624" t="s">
        <v>573</v>
      </c>
      <c r="D399" s="625" t="s">
        <v>74</v>
      </c>
      <c r="E399" s="4">
        <v>3</v>
      </c>
      <c r="F399" s="414">
        <v>3</v>
      </c>
      <c r="G399" s="179">
        <v>45650</v>
      </c>
      <c r="H399" s="415">
        <v>1</v>
      </c>
      <c r="I399" s="446">
        <v>0.33333333333333331</v>
      </c>
      <c r="J399" s="446">
        <v>0.35416666666666669</v>
      </c>
      <c r="K399" s="417">
        <f t="shared" si="14"/>
        <v>0.50000000000000089</v>
      </c>
      <c r="L399" s="9">
        <v>45650</v>
      </c>
      <c r="M399" s="103" t="s">
        <v>569</v>
      </c>
      <c r="N399" s="104" t="s">
        <v>11</v>
      </c>
      <c r="O399" s="2"/>
    </row>
    <row r="400" spans="1:15" s="1" customFormat="1">
      <c r="A400" s="4">
        <f t="shared" si="13"/>
        <v>399</v>
      </c>
      <c r="B400" s="626" t="s">
        <v>574</v>
      </c>
      <c r="C400" s="624" t="s">
        <v>575</v>
      </c>
      <c r="D400" s="625" t="s">
        <v>154</v>
      </c>
      <c r="E400" s="4">
        <v>6</v>
      </c>
      <c r="F400" s="414">
        <v>6</v>
      </c>
      <c r="G400" s="179">
        <v>45650</v>
      </c>
      <c r="H400" s="415">
        <v>1</v>
      </c>
      <c r="I400" s="446">
        <v>0.33333333333333331</v>
      </c>
      <c r="J400" s="446">
        <v>0.36458333333333331</v>
      </c>
      <c r="K400" s="417">
        <f t="shared" si="14"/>
        <v>0.75</v>
      </c>
      <c r="L400" s="9">
        <v>45650</v>
      </c>
      <c r="M400" s="103" t="s">
        <v>569</v>
      </c>
      <c r="N400" s="3" t="s">
        <v>8</v>
      </c>
      <c r="O400" s="2"/>
    </row>
    <row r="401" spans="1:15" s="1" customFormat="1">
      <c r="A401" s="4">
        <f t="shared" si="13"/>
        <v>400</v>
      </c>
      <c r="B401" s="626" t="s">
        <v>576</v>
      </c>
      <c r="C401" s="624" t="s">
        <v>577</v>
      </c>
      <c r="D401" s="625" t="s">
        <v>578</v>
      </c>
      <c r="E401" s="4">
        <v>23</v>
      </c>
      <c r="F401" s="414">
        <v>43</v>
      </c>
      <c r="G401" s="179">
        <v>45650</v>
      </c>
      <c r="H401" s="415">
        <v>1</v>
      </c>
      <c r="I401" s="446">
        <v>0.33333333333333331</v>
      </c>
      <c r="J401" s="446">
        <v>0.375</v>
      </c>
      <c r="K401" s="417">
        <f t="shared" si="14"/>
        <v>1.0000000000000004</v>
      </c>
      <c r="L401" s="9">
        <v>45650</v>
      </c>
      <c r="M401" s="103" t="s">
        <v>569</v>
      </c>
      <c r="N401" s="104" t="s">
        <v>9</v>
      </c>
      <c r="O401" s="2"/>
    </row>
    <row r="402" spans="1:15" s="1" customFormat="1">
      <c r="A402" s="4">
        <f t="shared" si="13"/>
        <v>401</v>
      </c>
      <c r="B402" s="626" t="s">
        <v>576</v>
      </c>
      <c r="C402" s="624" t="s">
        <v>577</v>
      </c>
      <c r="D402" s="625" t="s">
        <v>579</v>
      </c>
      <c r="E402" s="4">
        <v>23</v>
      </c>
      <c r="F402" s="414">
        <v>23</v>
      </c>
      <c r="G402" s="179">
        <v>45650</v>
      </c>
      <c r="H402" s="415">
        <v>1</v>
      </c>
      <c r="I402" s="446">
        <v>0.33333333333333331</v>
      </c>
      <c r="J402" s="446">
        <v>0.36458333333333331</v>
      </c>
      <c r="K402" s="417">
        <f t="shared" si="14"/>
        <v>0.75</v>
      </c>
      <c r="L402" s="9">
        <v>45650</v>
      </c>
      <c r="M402" s="103" t="s">
        <v>569</v>
      </c>
      <c r="N402" s="104" t="s">
        <v>9</v>
      </c>
      <c r="O402" s="2"/>
    </row>
    <row r="403" spans="1:15" s="1" customFormat="1">
      <c r="A403" s="4">
        <f t="shared" si="13"/>
        <v>402</v>
      </c>
      <c r="B403" s="626" t="s">
        <v>580</v>
      </c>
      <c r="C403" s="624" t="s">
        <v>314</v>
      </c>
      <c r="D403" s="625" t="s">
        <v>581</v>
      </c>
      <c r="E403" s="4">
        <v>2</v>
      </c>
      <c r="F403" s="414">
        <v>2</v>
      </c>
      <c r="G403" s="179">
        <v>45650</v>
      </c>
      <c r="H403" s="415">
        <v>1</v>
      </c>
      <c r="I403" s="446">
        <v>0.375</v>
      </c>
      <c r="J403" s="446">
        <v>0.3888888888888889</v>
      </c>
      <c r="K403" s="417">
        <f t="shared" si="14"/>
        <v>0.33333333333333348</v>
      </c>
      <c r="L403" s="9">
        <v>45650</v>
      </c>
      <c r="M403" s="103" t="s">
        <v>569</v>
      </c>
      <c r="N403" s="104" t="s">
        <v>11</v>
      </c>
      <c r="O403" s="2"/>
    </row>
    <row r="404" spans="1:15" s="1" customFormat="1">
      <c r="A404" s="4">
        <f t="shared" si="13"/>
        <v>403</v>
      </c>
      <c r="B404" s="626" t="s">
        <v>582</v>
      </c>
      <c r="C404" s="624" t="s">
        <v>583</v>
      </c>
      <c r="D404" s="625" t="s">
        <v>310</v>
      </c>
      <c r="E404" s="4">
        <v>1</v>
      </c>
      <c r="F404" s="414">
        <v>1</v>
      </c>
      <c r="G404" s="179">
        <v>45650</v>
      </c>
      <c r="H404" s="415">
        <v>1</v>
      </c>
      <c r="I404" s="446">
        <v>0.375</v>
      </c>
      <c r="J404" s="446">
        <v>0.3888888888888889</v>
      </c>
      <c r="K404" s="417">
        <f t="shared" si="14"/>
        <v>0.33333333333333348</v>
      </c>
      <c r="L404" s="9">
        <v>45650</v>
      </c>
      <c r="M404" s="103" t="s">
        <v>569</v>
      </c>
      <c r="N404" s="3" t="s">
        <v>6</v>
      </c>
      <c r="O404" s="2"/>
    </row>
    <row r="405" spans="1:15" s="1" customFormat="1">
      <c r="A405" s="4">
        <f t="shared" si="13"/>
        <v>404</v>
      </c>
      <c r="B405" s="626" t="s">
        <v>584</v>
      </c>
      <c r="C405" s="624" t="s">
        <v>585</v>
      </c>
      <c r="D405" s="625" t="s">
        <v>221</v>
      </c>
      <c r="E405" s="4">
        <v>50</v>
      </c>
      <c r="F405" s="414">
        <v>30</v>
      </c>
      <c r="G405" s="179">
        <v>45650</v>
      </c>
      <c r="H405" s="415">
        <v>1</v>
      </c>
      <c r="I405" s="446">
        <v>0.375</v>
      </c>
      <c r="J405" s="446">
        <v>0.40625</v>
      </c>
      <c r="K405" s="417">
        <f t="shared" si="14"/>
        <v>0.75</v>
      </c>
      <c r="L405" s="9">
        <v>45650</v>
      </c>
      <c r="M405" s="103" t="s">
        <v>569</v>
      </c>
      <c r="N405" s="3" t="s">
        <v>6</v>
      </c>
      <c r="O405" s="2"/>
    </row>
    <row r="406" spans="1:15" s="1" customFormat="1">
      <c r="A406" s="4">
        <f t="shared" si="13"/>
        <v>405</v>
      </c>
      <c r="B406" s="627" t="s">
        <v>586</v>
      </c>
      <c r="C406" s="628" t="s">
        <v>587</v>
      </c>
      <c r="D406" s="629" t="s">
        <v>219</v>
      </c>
      <c r="E406" s="4">
        <v>10</v>
      </c>
      <c r="F406" s="414">
        <v>30</v>
      </c>
      <c r="G406" s="179">
        <v>45652</v>
      </c>
      <c r="H406" s="415">
        <v>1</v>
      </c>
      <c r="I406" s="446">
        <v>0.54166666666666663</v>
      </c>
      <c r="J406" s="446">
        <v>0.58333333333333337</v>
      </c>
      <c r="K406" s="417">
        <f t="shared" si="14"/>
        <v>1.0000000000000018</v>
      </c>
      <c r="L406" s="9">
        <v>45652</v>
      </c>
      <c r="M406" s="103" t="s">
        <v>569</v>
      </c>
      <c r="N406" s="3" t="s">
        <v>6</v>
      </c>
      <c r="O406" s="2"/>
    </row>
    <row r="407" spans="1:15" s="1" customFormat="1">
      <c r="A407" s="4">
        <f t="shared" si="13"/>
        <v>406</v>
      </c>
      <c r="B407" s="412"/>
      <c r="C407" s="630" t="s">
        <v>588</v>
      </c>
      <c r="D407" s="631" t="s">
        <v>589</v>
      </c>
      <c r="E407" s="4">
        <v>3</v>
      </c>
      <c r="F407" s="414">
        <v>3</v>
      </c>
      <c r="G407" s="179">
        <v>45652</v>
      </c>
      <c r="H407" s="415">
        <v>2</v>
      </c>
      <c r="I407" s="446">
        <v>0.54166666666666663</v>
      </c>
      <c r="J407" s="446">
        <v>0.64583333333333337</v>
      </c>
      <c r="K407" s="417">
        <f t="shared" si="14"/>
        <v>5.0000000000000036</v>
      </c>
      <c r="L407" s="9">
        <v>45652</v>
      </c>
      <c r="M407" s="103" t="s">
        <v>569</v>
      </c>
      <c r="N407" s="104" t="s">
        <v>112</v>
      </c>
      <c r="O407" s="2"/>
    </row>
    <row r="408" spans="1:15" s="1" customFormat="1">
      <c r="A408" s="4">
        <f t="shared" si="13"/>
        <v>407</v>
      </c>
      <c r="B408" s="412"/>
      <c r="C408" s="630" t="s">
        <v>588</v>
      </c>
      <c r="D408" s="631" t="s">
        <v>589</v>
      </c>
      <c r="E408" s="4">
        <v>3</v>
      </c>
      <c r="F408" s="414">
        <v>3</v>
      </c>
      <c r="G408" s="179">
        <v>45653</v>
      </c>
      <c r="H408" s="415">
        <v>2</v>
      </c>
      <c r="I408" s="446">
        <v>0.29166666666666669</v>
      </c>
      <c r="J408" s="446">
        <v>0.64583333333333337</v>
      </c>
      <c r="K408" s="417">
        <f t="shared" si="14"/>
        <v>17</v>
      </c>
      <c r="L408" s="9">
        <v>45653</v>
      </c>
      <c r="M408" s="103" t="s">
        <v>569</v>
      </c>
      <c r="N408" s="104" t="s">
        <v>112</v>
      </c>
      <c r="O408" s="2"/>
    </row>
    <row r="409" spans="1:15" s="1" customFormat="1">
      <c r="A409" s="4">
        <f t="shared" si="13"/>
        <v>408</v>
      </c>
      <c r="B409" s="412"/>
      <c r="C409" s="632" t="s">
        <v>590</v>
      </c>
      <c r="D409" s="424" t="s">
        <v>557</v>
      </c>
      <c r="E409" s="7">
        <v>30</v>
      </c>
      <c r="F409" s="425">
        <v>30</v>
      </c>
      <c r="G409" s="426">
        <v>45655</v>
      </c>
      <c r="H409" s="427">
        <v>1</v>
      </c>
      <c r="I409" s="465">
        <v>0.33333333333333331</v>
      </c>
      <c r="J409" s="465">
        <v>0.375</v>
      </c>
      <c r="K409" s="417">
        <f t="shared" si="14"/>
        <v>1.0000000000000004</v>
      </c>
      <c r="L409" s="11">
        <v>45655</v>
      </c>
      <c r="M409" s="315" t="s">
        <v>1375</v>
      </c>
      <c r="N409" s="6" t="s">
        <v>7</v>
      </c>
      <c r="O409" s="13" t="s">
        <v>151</v>
      </c>
    </row>
    <row r="410" spans="1:15" s="1" customFormat="1">
      <c r="A410" s="4">
        <f t="shared" si="13"/>
        <v>409</v>
      </c>
      <c r="B410" s="412"/>
      <c r="C410" s="7" t="s">
        <v>558</v>
      </c>
      <c r="D410" s="424" t="s">
        <v>557</v>
      </c>
      <c r="E410" s="7">
        <v>30</v>
      </c>
      <c r="F410" s="425">
        <v>30</v>
      </c>
      <c r="G410" s="426">
        <v>45655</v>
      </c>
      <c r="H410" s="427">
        <v>1</v>
      </c>
      <c r="I410" s="465">
        <v>0.33333333333333331</v>
      </c>
      <c r="J410" s="465">
        <v>0.375</v>
      </c>
      <c r="K410" s="417">
        <f t="shared" si="14"/>
        <v>1.0000000000000004</v>
      </c>
      <c r="L410" s="11">
        <v>45655</v>
      </c>
      <c r="M410" s="315" t="s">
        <v>1375</v>
      </c>
      <c r="N410" s="6" t="s">
        <v>7</v>
      </c>
      <c r="O410" s="13" t="s">
        <v>151</v>
      </c>
    </row>
    <row r="411" spans="1:15" s="1" customFormat="1">
      <c r="A411" s="4">
        <f t="shared" si="13"/>
        <v>410</v>
      </c>
      <c r="B411" s="412"/>
      <c r="C411" s="632" t="s">
        <v>591</v>
      </c>
      <c r="D411" s="424" t="s">
        <v>557</v>
      </c>
      <c r="E411" s="7">
        <v>100</v>
      </c>
      <c r="F411" s="425">
        <v>100</v>
      </c>
      <c r="G411" s="426">
        <v>45655</v>
      </c>
      <c r="H411" s="427">
        <v>1</v>
      </c>
      <c r="I411" s="465">
        <v>0.33333333333333331</v>
      </c>
      <c r="J411" s="465">
        <v>0.41666666666666669</v>
      </c>
      <c r="K411" s="417">
        <f t="shared" si="14"/>
        <v>2.0000000000000009</v>
      </c>
      <c r="L411" s="11">
        <v>45655</v>
      </c>
      <c r="M411" s="315" t="s">
        <v>1375</v>
      </c>
      <c r="N411" s="6" t="s">
        <v>7</v>
      </c>
      <c r="O411" s="13" t="s">
        <v>151</v>
      </c>
    </row>
    <row r="412" spans="1:15" s="1" customFormat="1">
      <c r="A412" s="4">
        <f t="shared" ref="A412:A474" si="15">ROW()-1</f>
        <v>411</v>
      </c>
      <c r="B412" s="423" t="s">
        <v>84</v>
      </c>
      <c r="C412" s="7" t="s">
        <v>147</v>
      </c>
      <c r="D412" s="633" t="s">
        <v>91</v>
      </c>
      <c r="E412" s="7">
        <v>30</v>
      </c>
      <c r="F412" s="425">
        <v>30</v>
      </c>
      <c r="G412" s="426">
        <v>45660</v>
      </c>
      <c r="H412" s="427">
        <v>1</v>
      </c>
      <c r="I412" s="465">
        <v>0.54166666666666663</v>
      </c>
      <c r="J412" s="465">
        <v>0.58333333333333337</v>
      </c>
      <c r="K412" s="417">
        <f t="shared" si="14"/>
        <v>1.0000000000000018</v>
      </c>
      <c r="L412" s="11">
        <v>45660</v>
      </c>
      <c r="M412" s="315" t="s">
        <v>1375</v>
      </c>
      <c r="N412" s="6" t="s">
        <v>7</v>
      </c>
      <c r="O412" s="13" t="s">
        <v>151</v>
      </c>
    </row>
    <row r="413" spans="1:15" s="1" customFormat="1">
      <c r="A413" s="4">
        <f t="shared" si="15"/>
        <v>412</v>
      </c>
      <c r="B413" s="423" t="s">
        <v>84</v>
      </c>
      <c r="C413" s="7" t="s">
        <v>147</v>
      </c>
      <c r="D413" s="633" t="s">
        <v>592</v>
      </c>
      <c r="E413" s="7">
        <v>30</v>
      </c>
      <c r="F413" s="425">
        <v>30</v>
      </c>
      <c r="G413" s="426">
        <v>45660</v>
      </c>
      <c r="H413" s="427">
        <v>1</v>
      </c>
      <c r="I413" s="465">
        <v>0.54166666666666663</v>
      </c>
      <c r="J413" s="465">
        <v>0.58333333333333337</v>
      </c>
      <c r="K413" s="417">
        <f t="shared" si="14"/>
        <v>1.0000000000000018</v>
      </c>
      <c r="L413" s="11">
        <v>45660</v>
      </c>
      <c r="M413" s="315" t="s">
        <v>1375</v>
      </c>
      <c r="N413" s="6" t="s">
        <v>7</v>
      </c>
      <c r="O413" s="13" t="s">
        <v>151</v>
      </c>
    </row>
    <row r="414" spans="1:15" s="1" customFormat="1">
      <c r="A414" s="4">
        <f t="shared" si="15"/>
        <v>413</v>
      </c>
      <c r="B414" s="423" t="s">
        <v>84</v>
      </c>
      <c r="C414" s="7" t="s">
        <v>147</v>
      </c>
      <c r="D414" s="633" t="s">
        <v>593</v>
      </c>
      <c r="E414" s="7">
        <v>30</v>
      </c>
      <c r="F414" s="425">
        <v>30</v>
      </c>
      <c r="G414" s="426">
        <v>45660</v>
      </c>
      <c r="H414" s="427">
        <v>1</v>
      </c>
      <c r="I414" s="465">
        <v>0.54166666666666663</v>
      </c>
      <c r="J414" s="465">
        <v>0.58333333333333337</v>
      </c>
      <c r="K414" s="417">
        <f t="shared" si="14"/>
        <v>1.0000000000000018</v>
      </c>
      <c r="L414" s="11">
        <v>45660</v>
      </c>
      <c r="M414" s="315" t="s">
        <v>1375</v>
      </c>
      <c r="N414" s="6" t="s">
        <v>7</v>
      </c>
      <c r="O414" s="13" t="s">
        <v>151</v>
      </c>
    </row>
    <row r="415" spans="1:15" s="1" customFormat="1">
      <c r="A415" s="4">
        <f t="shared" si="15"/>
        <v>414</v>
      </c>
      <c r="B415" s="423" t="s">
        <v>84</v>
      </c>
      <c r="C415" s="7" t="s">
        <v>147</v>
      </c>
      <c r="D415" s="633" t="s">
        <v>333</v>
      </c>
      <c r="E415" s="7">
        <v>30</v>
      </c>
      <c r="F415" s="425">
        <v>30</v>
      </c>
      <c r="G415" s="426">
        <v>45660</v>
      </c>
      <c r="H415" s="427">
        <v>1</v>
      </c>
      <c r="I415" s="465">
        <v>0.54166666666666663</v>
      </c>
      <c r="J415" s="465">
        <v>0.58333333333333337</v>
      </c>
      <c r="K415" s="417">
        <f t="shared" si="14"/>
        <v>1.0000000000000018</v>
      </c>
      <c r="L415" s="11">
        <v>45660</v>
      </c>
      <c r="M415" s="315" t="s">
        <v>1375</v>
      </c>
      <c r="N415" s="6" t="s">
        <v>7</v>
      </c>
      <c r="O415" s="13" t="s">
        <v>151</v>
      </c>
    </row>
    <row r="416" spans="1:15" s="1" customFormat="1">
      <c r="A416" s="4">
        <f t="shared" si="15"/>
        <v>415</v>
      </c>
      <c r="B416" s="423" t="s">
        <v>84</v>
      </c>
      <c r="C416" s="7" t="s">
        <v>147</v>
      </c>
      <c r="D416" s="633" t="s">
        <v>150</v>
      </c>
      <c r="E416" s="7">
        <v>4</v>
      </c>
      <c r="F416" s="425">
        <v>4</v>
      </c>
      <c r="G416" s="426">
        <v>45660</v>
      </c>
      <c r="H416" s="427">
        <v>1</v>
      </c>
      <c r="I416" s="465">
        <v>0.375</v>
      </c>
      <c r="J416" s="465">
        <v>0.3888888888888889</v>
      </c>
      <c r="K416" s="417">
        <f t="shared" si="14"/>
        <v>0.33333333333333348</v>
      </c>
      <c r="L416" s="11">
        <v>45660</v>
      </c>
      <c r="M416" s="315" t="s">
        <v>1375</v>
      </c>
      <c r="N416" s="6" t="s">
        <v>112</v>
      </c>
      <c r="O416" s="106" t="s">
        <v>598</v>
      </c>
    </row>
    <row r="417" spans="1:15" s="1" customFormat="1">
      <c r="A417" s="4">
        <f t="shared" si="15"/>
        <v>416</v>
      </c>
      <c r="B417" s="634" t="s">
        <v>594</v>
      </c>
      <c r="C417" s="635" t="s">
        <v>595</v>
      </c>
      <c r="D417" s="636" t="s">
        <v>111</v>
      </c>
      <c r="E417" s="4">
        <v>3</v>
      </c>
      <c r="F417" s="414">
        <v>3</v>
      </c>
      <c r="G417" s="179">
        <v>45660</v>
      </c>
      <c r="H417" s="415">
        <v>1</v>
      </c>
      <c r="I417" s="446">
        <v>0.33333333333333331</v>
      </c>
      <c r="J417" s="446">
        <v>0.35416666666666669</v>
      </c>
      <c r="K417" s="417">
        <f t="shared" si="14"/>
        <v>0.50000000000000089</v>
      </c>
      <c r="L417" s="9">
        <v>45680</v>
      </c>
      <c r="M417" s="315" t="s">
        <v>1375</v>
      </c>
      <c r="N417" s="3" t="s">
        <v>7</v>
      </c>
      <c r="O417" s="2"/>
    </row>
    <row r="418" spans="1:15" s="1" customFormat="1">
      <c r="A418" s="4">
        <f t="shared" si="15"/>
        <v>417</v>
      </c>
      <c r="B418" s="634" t="s">
        <v>596</v>
      </c>
      <c r="C418" s="635" t="s">
        <v>597</v>
      </c>
      <c r="D418" s="636" t="s">
        <v>67</v>
      </c>
      <c r="E418" s="4">
        <v>1</v>
      </c>
      <c r="F418" s="414">
        <v>1</v>
      </c>
      <c r="G418" s="179">
        <v>45660</v>
      </c>
      <c r="H418" s="415">
        <v>1</v>
      </c>
      <c r="I418" s="446">
        <v>0.33333333333333331</v>
      </c>
      <c r="J418" s="446">
        <v>0.34722222222222227</v>
      </c>
      <c r="K418" s="417">
        <f t="shared" si="14"/>
        <v>0.33333333333333481</v>
      </c>
      <c r="L418" s="9">
        <v>45680</v>
      </c>
      <c r="M418" s="315" t="s">
        <v>1375</v>
      </c>
      <c r="N418" s="105" t="s">
        <v>8</v>
      </c>
      <c r="O418" s="2"/>
    </row>
    <row r="419" spans="1:15" s="1" customFormat="1">
      <c r="A419" s="4">
        <f t="shared" si="15"/>
        <v>418</v>
      </c>
      <c r="B419" s="412"/>
      <c r="C419" s="637" t="s">
        <v>599</v>
      </c>
      <c r="D419" s="638" t="s">
        <v>549</v>
      </c>
      <c r="E419" s="4">
        <v>34</v>
      </c>
      <c r="F419" s="414">
        <v>34</v>
      </c>
      <c r="G419" s="179">
        <v>45663</v>
      </c>
      <c r="H419" s="415">
        <v>2</v>
      </c>
      <c r="I419" s="446">
        <v>0.41666666666666669</v>
      </c>
      <c r="J419" s="446">
        <v>0.64583333333333337</v>
      </c>
      <c r="K419" s="417">
        <f t="shared" si="14"/>
        <v>11</v>
      </c>
      <c r="L419" s="9">
        <v>45663</v>
      </c>
      <c r="M419" s="316" t="s">
        <v>1376</v>
      </c>
      <c r="N419" s="107" t="s">
        <v>600</v>
      </c>
      <c r="O419" s="2"/>
    </row>
    <row r="420" spans="1:15" s="1" customFormat="1">
      <c r="A420" s="4">
        <f t="shared" si="15"/>
        <v>419</v>
      </c>
      <c r="B420" s="639" t="s">
        <v>601</v>
      </c>
      <c r="C420" s="640" t="s">
        <v>535</v>
      </c>
      <c r="D420" s="641" t="s">
        <v>491</v>
      </c>
      <c r="E420" s="4">
        <v>420</v>
      </c>
      <c r="F420" s="414">
        <v>420</v>
      </c>
      <c r="G420" s="179">
        <v>45664</v>
      </c>
      <c r="H420" s="415">
        <v>1</v>
      </c>
      <c r="I420" s="446">
        <v>0.625</v>
      </c>
      <c r="J420" s="446">
        <v>0.65625</v>
      </c>
      <c r="K420" s="417">
        <f t="shared" si="14"/>
        <v>0.75</v>
      </c>
      <c r="L420" s="9">
        <v>45664</v>
      </c>
      <c r="M420" s="316" t="s">
        <v>1376</v>
      </c>
      <c r="N420" s="3" t="s">
        <v>8</v>
      </c>
      <c r="O420" s="2"/>
    </row>
    <row r="421" spans="1:15" s="1" customFormat="1">
      <c r="A421" s="4">
        <f t="shared" si="15"/>
        <v>420</v>
      </c>
      <c r="B421" s="639" t="s">
        <v>602</v>
      </c>
      <c r="C421" s="640" t="s">
        <v>603</v>
      </c>
      <c r="D421" s="641" t="s">
        <v>491</v>
      </c>
      <c r="E421" s="4">
        <v>110</v>
      </c>
      <c r="F421" s="414">
        <v>110</v>
      </c>
      <c r="G421" s="179">
        <v>45664</v>
      </c>
      <c r="H421" s="415">
        <v>1</v>
      </c>
      <c r="I421" s="446">
        <v>0.625</v>
      </c>
      <c r="J421" s="446">
        <v>0.64583333333333337</v>
      </c>
      <c r="K421" s="417">
        <f t="shared" si="14"/>
        <v>0.50000000000000089</v>
      </c>
      <c r="L421" s="9">
        <v>45664</v>
      </c>
      <c r="M421" s="316" t="s">
        <v>1376</v>
      </c>
      <c r="N421" s="3" t="s">
        <v>8</v>
      </c>
      <c r="O421" s="2"/>
    </row>
    <row r="422" spans="1:15" s="1" customFormat="1">
      <c r="A422" s="4">
        <f t="shared" si="15"/>
        <v>421</v>
      </c>
      <c r="B422" s="642" t="s">
        <v>604</v>
      </c>
      <c r="C422" s="643" t="s">
        <v>320</v>
      </c>
      <c r="D422" s="644" t="s">
        <v>605</v>
      </c>
      <c r="E422" s="4">
        <v>1</v>
      </c>
      <c r="F422" s="414">
        <v>1</v>
      </c>
      <c r="G422" s="179">
        <v>45662</v>
      </c>
      <c r="H422" s="415">
        <v>1</v>
      </c>
      <c r="I422" s="446">
        <v>0.33333333333333331</v>
      </c>
      <c r="J422" s="446">
        <v>0.34722222222222227</v>
      </c>
      <c r="K422" s="417">
        <f t="shared" si="14"/>
        <v>0.33333333333333481</v>
      </c>
      <c r="L422" s="9">
        <v>45662</v>
      </c>
      <c r="M422" s="316" t="s">
        <v>1376</v>
      </c>
      <c r="N422" s="3" t="s">
        <v>7</v>
      </c>
      <c r="O422" s="2"/>
    </row>
    <row r="423" spans="1:15" s="1" customFormat="1">
      <c r="A423" s="4">
        <f t="shared" si="15"/>
        <v>422</v>
      </c>
      <c r="B423" s="642" t="s">
        <v>606</v>
      </c>
      <c r="C423" s="643" t="s">
        <v>559</v>
      </c>
      <c r="D423" s="644" t="s">
        <v>89</v>
      </c>
      <c r="E423" s="4">
        <v>1</v>
      </c>
      <c r="F423" s="414">
        <v>1</v>
      </c>
      <c r="G423" s="179">
        <v>45662</v>
      </c>
      <c r="H423" s="415">
        <v>1</v>
      </c>
      <c r="I423" s="446">
        <v>0.33333333333333331</v>
      </c>
      <c r="J423" s="446">
        <v>0.34722222222222227</v>
      </c>
      <c r="K423" s="417">
        <f t="shared" si="14"/>
        <v>0.33333333333333481</v>
      </c>
      <c r="L423" s="9">
        <v>45662</v>
      </c>
      <c r="M423" s="316" t="s">
        <v>1376</v>
      </c>
      <c r="N423" s="3" t="s">
        <v>8</v>
      </c>
      <c r="O423" s="108" t="s">
        <v>607</v>
      </c>
    </row>
    <row r="424" spans="1:15" s="1" customFormat="1">
      <c r="A424" s="4">
        <f t="shared" si="15"/>
        <v>423</v>
      </c>
      <c r="B424" s="642" t="s">
        <v>608</v>
      </c>
      <c r="C424" s="643" t="s">
        <v>609</v>
      </c>
      <c r="D424" s="644" t="s">
        <v>183</v>
      </c>
      <c r="E424" s="4">
        <v>1</v>
      </c>
      <c r="F424" s="414">
        <v>1</v>
      </c>
      <c r="G424" s="179">
        <v>45664</v>
      </c>
      <c r="H424" s="415">
        <v>1</v>
      </c>
      <c r="I424" s="446">
        <v>0.33333333333333331</v>
      </c>
      <c r="J424" s="446">
        <v>0.35416666666666669</v>
      </c>
      <c r="K424" s="417">
        <f t="shared" si="14"/>
        <v>0.50000000000000089</v>
      </c>
      <c r="L424" s="9">
        <v>45664</v>
      </c>
      <c r="M424" s="316" t="s">
        <v>1376</v>
      </c>
      <c r="N424" s="109" t="s">
        <v>6</v>
      </c>
      <c r="O424" s="2"/>
    </row>
    <row r="425" spans="1:15" s="1" customFormat="1">
      <c r="A425" s="4">
        <f t="shared" si="15"/>
        <v>424</v>
      </c>
      <c r="B425" s="642" t="s">
        <v>610</v>
      </c>
      <c r="C425" s="643" t="s">
        <v>611</v>
      </c>
      <c r="D425" s="644" t="s">
        <v>107</v>
      </c>
      <c r="E425" s="4">
        <v>1</v>
      </c>
      <c r="F425" s="414">
        <v>1</v>
      </c>
      <c r="G425" s="179">
        <v>45664</v>
      </c>
      <c r="H425" s="415">
        <v>1</v>
      </c>
      <c r="I425" s="446">
        <v>0.33333333333333331</v>
      </c>
      <c r="J425" s="446">
        <v>0.35416666666666669</v>
      </c>
      <c r="K425" s="417">
        <f t="shared" si="14"/>
        <v>0.50000000000000089</v>
      </c>
      <c r="L425" s="9">
        <v>45664</v>
      </c>
      <c r="M425" s="316" t="s">
        <v>1376</v>
      </c>
      <c r="N425" s="109" t="s">
        <v>191</v>
      </c>
      <c r="O425" s="2"/>
    </row>
    <row r="426" spans="1:15" s="1" customFormat="1">
      <c r="A426" s="4">
        <f t="shared" si="15"/>
        <v>425</v>
      </c>
      <c r="B426" s="412"/>
      <c r="C426" s="645" t="s">
        <v>612</v>
      </c>
      <c r="D426" s="646" t="s">
        <v>613</v>
      </c>
      <c r="E426" s="4">
        <v>1344</v>
      </c>
      <c r="F426" s="4">
        <v>1344</v>
      </c>
      <c r="G426" s="179">
        <v>45667</v>
      </c>
      <c r="H426" s="415">
        <v>4</v>
      </c>
      <c r="I426" s="446">
        <v>0.375</v>
      </c>
      <c r="J426" s="446">
        <v>0.58333333333333337</v>
      </c>
      <c r="K426" s="417">
        <f t="shared" si="14"/>
        <v>20.000000000000004</v>
      </c>
      <c r="L426" s="9">
        <v>45667</v>
      </c>
      <c r="M426" s="316" t="s">
        <v>1376</v>
      </c>
      <c r="N426" s="3"/>
      <c r="O426" s="2"/>
    </row>
    <row r="427" spans="1:15" s="1" customFormat="1">
      <c r="A427" s="4">
        <f t="shared" si="15"/>
        <v>426</v>
      </c>
      <c r="B427" s="412"/>
      <c r="C427" s="645" t="s">
        <v>612</v>
      </c>
      <c r="D427" s="646" t="s">
        <v>614</v>
      </c>
      <c r="E427" s="4">
        <v>672</v>
      </c>
      <c r="F427" s="4">
        <v>672</v>
      </c>
      <c r="G427" s="179">
        <v>45667</v>
      </c>
      <c r="H427" s="415">
        <v>4</v>
      </c>
      <c r="I427" s="446">
        <v>0.375</v>
      </c>
      <c r="J427" s="647">
        <v>0.47916666666666669</v>
      </c>
      <c r="K427" s="417">
        <f t="shared" si="14"/>
        <v>10.000000000000002</v>
      </c>
      <c r="L427" s="9">
        <v>45667</v>
      </c>
      <c r="M427" s="316" t="s">
        <v>1376</v>
      </c>
      <c r="N427" s="3"/>
      <c r="O427" s="2"/>
    </row>
    <row r="428" spans="1:15" s="1" customFormat="1">
      <c r="A428" s="4">
        <f t="shared" si="15"/>
        <v>427</v>
      </c>
      <c r="B428" s="412"/>
      <c r="C428" s="645" t="s">
        <v>612</v>
      </c>
      <c r="D428" s="646" t="s">
        <v>615</v>
      </c>
      <c r="E428" s="4">
        <v>448</v>
      </c>
      <c r="F428" s="4">
        <v>448</v>
      </c>
      <c r="G428" s="179">
        <v>45667</v>
      </c>
      <c r="H428" s="415">
        <v>4</v>
      </c>
      <c r="I428" s="446">
        <v>0.375</v>
      </c>
      <c r="J428" s="446">
        <v>0.4375</v>
      </c>
      <c r="K428" s="417">
        <f t="shared" si="14"/>
        <v>6</v>
      </c>
      <c r="L428" s="9">
        <v>45667</v>
      </c>
      <c r="M428" s="316" t="s">
        <v>1376</v>
      </c>
      <c r="N428" s="3"/>
      <c r="O428" s="2"/>
    </row>
    <row r="429" spans="1:15" s="1" customFormat="1">
      <c r="A429" s="4">
        <f t="shared" si="15"/>
        <v>428</v>
      </c>
      <c r="B429" s="412"/>
      <c r="C429" s="645" t="s">
        <v>612</v>
      </c>
      <c r="D429" s="646" t="s">
        <v>616</v>
      </c>
      <c r="E429" s="4">
        <v>224</v>
      </c>
      <c r="F429" s="4">
        <v>224</v>
      </c>
      <c r="G429" s="179">
        <v>45667</v>
      </c>
      <c r="H429" s="415">
        <v>4</v>
      </c>
      <c r="I429" s="446">
        <v>0.375</v>
      </c>
      <c r="J429" s="647">
        <v>0.40277777777777773</v>
      </c>
      <c r="K429" s="417">
        <f t="shared" si="14"/>
        <v>2.6666666666666625</v>
      </c>
      <c r="L429" s="9">
        <v>45667</v>
      </c>
      <c r="M429" s="316" t="s">
        <v>1376</v>
      </c>
      <c r="N429" s="3"/>
      <c r="O429" s="2"/>
    </row>
    <row r="430" spans="1:15" s="1" customFormat="1">
      <c r="A430" s="4">
        <f t="shared" si="15"/>
        <v>429</v>
      </c>
      <c r="B430" s="412"/>
      <c r="C430" s="645" t="s">
        <v>612</v>
      </c>
      <c r="D430" s="646" t="s">
        <v>617</v>
      </c>
      <c r="E430" s="4">
        <v>224</v>
      </c>
      <c r="F430" s="4">
        <v>224</v>
      </c>
      <c r="G430" s="179">
        <v>45667</v>
      </c>
      <c r="H430" s="415">
        <v>4</v>
      </c>
      <c r="I430" s="446">
        <v>0.375</v>
      </c>
      <c r="J430" s="647">
        <v>0.40277777777777773</v>
      </c>
      <c r="K430" s="417">
        <f t="shared" si="14"/>
        <v>2.6666666666666625</v>
      </c>
      <c r="L430" s="9">
        <v>45667</v>
      </c>
      <c r="M430" s="316" t="s">
        <v>1376</v>
      </c>
      <c r="N430" s="3"/>
      <c r="O430" s="2"/>
    </row>
    <row r="431" spans="1:15" s="1" customFormat="1">
      <c r="A431" s="4">
        <f t="shared" si="15"/>
        <v>430</v>
      </c>
      <c r="B431" s="412"/>
      <c r="C431" s="645" t="s">
        <v>612</v>
      </c>
      <c r="D431" s="646" t="s">
        <v>560</v>
      </c>
      <c r="E431" s="4">
        <v>448</v>
      </c>
      <c r="F431" s="4">
        <v>448</v>
      </c>
      <c r="G431" s="179">
        <v>45667</v>
      </c>
      <c r="H431" s="415">
        <v>4</v>
      </c>
      <c r="I431" s="446">
        <v>0.375</v>
      </c>
      <c r="J431" s="446">
        <v>0.41666666666666669</v>
      </c>
      <c r="K431" s="417">
        <f t="shared" si="14"/>
        <v>4.0000000000000018</v>
      </c>
      <c r="L431" s="9">
        <v>45667</v>
      </c>
      <c r="M431" s="316" t="s">
        <v>1376</v>
      </c>
      <c r="N431" s="3"/>
      <c r="O431" s="2"/>
    </row>
    <row r="432" spans="1:15" s="1" customFormat="1">
      <c r="A432" s="4">
        <f t="shared" si="15"/>
        <v>431</v>
      </c>
      <c r="B432" s="412"/>
      <c r="C432" s="645" t="s">
        <v>618</v>
      </c>
      <c r="D432" s="646" t="s">
        <v>614</v>
      </c>
      <c r="E432" s="4">
        <v>144</v>
      </c>
      <c r="F432" s="4">
        <v>144</v>
      </c>
      <c r="G432" s="179">
        <v>45667</v>
      </c>
      <c r="H432" s="415">
        <v>4</v>
      </c>
      <c r="I432" s="446">
        <v>0.33333333333333331</v>
      </c>
      <c r="J432" s="446">
        <v>0.3611111111111111</v>
      </c>
      <c r="K432" s="417">
        <f t="shared" si="14"/>
        <v>2.6666666666666679</v>
      </c>
      <c r="L432" s="9">
        <v>45667</v>
      </c>
      <c r="M432" s="316" t="s">
        <v>1376</v>
      </c>
      <c r="N432" s="3"/>
      <c r="O432" s="2"/>
    </row>
    <row r="433" spans="1:15" s="1" customFormat="1">
      <c r="A433" s="4">
        <f t="shared" si="15"/>
        <v>432</v>
      </c>
      <c r="B433" s="412"/>
      <c r="C433" s="645" t="s">
        <v>618</v>
      </c>
      <c r="D433" s="646" t="s">
        <v>615</v>
      </c>
      <c r="E433" s="4">
        <v>96</v>
      </c>
      <c r="F433" s="4">
        <v>96</v>
      </c>
      <c r="G433" s="179">
        <v>45667</v>
      </c>
      <c r="H433" s="415">
        <v>4</v>
      </c>
      <c r="I433" s="446">
        <v>0.33333333333333331</v>
      </c>
      <c r="J433" s="446">
        <v>0.35416666666666669</v>
      </c>
      <c r="K433" s="417">
        <f t="shared" si="14"/>
        <v>2.0000000000000036</v>
      </c>
      <c r="L433" s="9">
        <v>45667</v>
      </c>
      <c r="M433" s="316" t="s">
        <v>1376</v>
      </c>
      <c r="N433" s="3"/>
      <c r="O433" s="2"/>
    </row>
    <row r="434" spans="1:15" s="1" customFormat="1">
      <c r="A434" s="4">
        <f t="shared" si="15"/>
        <v>433</v>
      </c>
      <c r="B434" s="412"/>
      <c r="C434" s="645" t="s">
        <v>618</v>
      </c>
      <c r="D434" s="646" t="s">
        <v>617</v>
      </c>
      <c r="E434" s="4">
        <v>48</v>
      </c>
      <c r="F434" s="4">
        <v>48</v>
      </c>
      <c r="G434" s="179">
        <v>45667</v>
      </c>
      <c r="H434" s="415">
        <v>4</v>
      </c>
      <c r="I434" s="446">
        <v>0.33333333333333331</v>
      </c>
      <c r="J434" s="446">
        <v>0.35416666666666669</v>
      </c>
      <c r="K434" s="417">
        <f t="shared" si="14"/>
        <v>2.0000000000000036</v>
      </c>
      <c r="L434" s="9">
        <v>45667</v>
      </c>
      <c r="M434" s="316" t="s">
        <v>1376</v>
      </c>
      <c r="N434" s="3"/>
      <c r="O434" s="2"/>
    </row>
    <row r="435" spans="1:15" s="1" customFormat="1">
      <c r="A435" s="4">
        <f t="shared" si="15"/>
        <v>434</v>
      </c>
      <c r="B435" s="412"/>
      <c r="C435" s="645" t="s">
        <v>618</v>
      </c>
      <c r="D435" s="646" t="s">
        <v>560</v>
      </c>
      <c r="E435" s="4">
        <v>76</v>
      </c>
      <c r="F435" s="4">
        <v>76</v>
      </c>
      <c r="G435" s="179">
        <v>45667</v>
      </c>
      <c r="H435" s="415">
        <v>4</v>
      </c>
      <c r="I435" s="446">
        <v>0.33333333333333331</v>
      </c>
      <c r="J435" s="446">
        <v>0.35416666666666669</v>
      </c>
      <c r="K435" s="417">
        <f t="shared" si="14"/>
        <v>2.0000000000000036</v>
      </c>
      <c r="L435" s="9">
        <v>45667</v>
      </c>
      <c r="M435" s="316" t="s">
        <v>1376</v>
      </c>
      <c r="N435" s="3"/>
      <c r="O435" s="2"/>
    </row>
    <row r="436" spans="1:15" s="1" customFormat="1">
      <c r="A436" s="4">
        <f t="shared" si="15"/>
        <v>435</v>
      </c>
      <c r="B436" s="412"/>
      <c r="C436" s="645" t="s">
        <v>618</v>
      </c>
      <c r="D436" s="646" t="s">
        <v>616</v>
      </c>
      <c r="E436" s="4">
        <v>48</v>
      </c>
      <c r="F436" s="4">
        <v>48</v>
      </c>
      <c r="G436" s="179">
        <v>45667</v>
      </c>
      <c r="H436" s="415">
        <v>4</v>
      </c>
      <c r="I436" s="446">
        <v>0.33333333333333331</v>
      </c>
      <c r="J436" s="446">
        <v>0.35416666666666669</v>
      </c>
      <c r="K436" s="417">
        <f t="shared" si="14"/>
        <v>2.0000000000000036</v>
      </c>
      <c r="L436" s="9">
        <v>45667</v>
      </c>
      <c r="M436" s="316" t="s">
        <v>1376</v>
      </c>
      <c r="N436" s="3"/>
      <c r="O436" s="2"/>
    </row>
    <row r="437" spans="1:15" s="1" customFormat="1">
      <c r="A437" s="4">
        <f t="shared" si="15"/>
        <v>436</v>
      </c>
      <c r="B437" s="412"/>
      <c r="C437" s="645" t="s">
        <v>618</v>
      </c>
      <c r="D437" s="646" t="s">
        <v>613</v>
      </c>
      <c r="E437" s="4">
        <v>288</v>
      </c>
      <c r="F437" s="4">
        <v>288</v>
      </c>
      <c r="G437" s="179">
        <v>45667</v>
      </c>
      <c r="H437" s="415">
        <v>4</v>
      </c>
      <c r="I437" s="446">
        <v>0.33333333333333331</v>
      </c>
      <c r="J437" s="446">
        <v>0.375</v>
      </c>
      <c r="K437" s="417">
        <f t="shared" si="14"/>
        <v>4.0000000000000018</v>
      </c>
      <c r="L437" s="9">
        <v>45667</v>
      </c>
      <c r="M437" s="316" t="s">
        <v>1376</v>
      </c>
      <c r="N437" s="3"/>
      <c r="O437" s="2"/>
    </row>
    <row r="438" spans="1:15" s="1" customFormat="1">
      <c r="A438" s="4">
        <f t="shared" si="15"/>
        <v>437</v>
      </c>
      <c r="B438" s="412"/>
      <c r="C438" s="645" t="s">
        <v>619</v>
      </c>
      <c r="D438" s="646" t="s">
        <v>560</v>
      </c>
      <c r="E438" s="4">
        <v>120</v>
      </c>
      <c r="F438" s="4">
        <v>120</v>
      </c>
      <c r="G438" s="179">
        <v>45667</v>
      </c>
      <c r="H438" s="415">
        <v>4</v>
      </c>
      <c r="I438" s="446">
        <v>0.33333333333333331</v>
      </c>
      <c r="J438" s="446">
        <v>0.35416666666666669</v>
      </c>
      <c r="K438" s="417">
        <f t="shared" si="14"/>
        <v>2.0000000000000036</v>
      </c>
      <c r="L438" s="9">
        <v>45667</v>
      </c>
      <c r="M438" s="316" t="s">
        <v>1376</v>
      </c>
      <c r="N438" s="3"/>
      <c r="O438" s="2"/>
    </row>
    <row r="439" spans="1:15" s="1" customFormat="1">
      <c r="A439" s="4">
        <f t="shared" si="15"/>
        <v>438</v>
      </c>
      <c r="B439" s="412"/>
      <c r="C439" s="645" t="s">
        <v>619</v>
      </c>
      <c r="D439" s="646" t="s">
        <v>605</v>
      </c>
      <c r="E439" s="4">
        <v>120</v>
      </c>
      <c r="F439" s="4">
        <v>120</v>
      </c>
      <c r="G439" s="179">
        <v>45667</v>
      </c>
      <c r="H439" s="415">
        <v>4</v>
      </c>
      <c r="I439" s="446">
        <v>0.33333333333333331</v>
      </c>
      <c r="J439" s="446">
        <v>0.35416666666666669</v>
      </c>
      <c r="K439" s="417">
        <f t="shared" si="14"/>
        <v>2.0000000000000036</v>
      </c>
      <c r="L439" s="9">
        <v>45667</v>
      </c>
      <c r="M439" s="316" t="s">
        <v>1376</v>
      </c>
      <c r="N439" s="3"/>
      <c r="O439" s="2"/>
    </row>
    <row r="440" spans="1:15" s="1" customFormat="1">
      <c r="A440" s="4">
        <f t="shared" si="15"/>
        <v>439</v>
      </c>
      <c r="B440" s="412"/>
      <c r="C440" s="645" t="s">
        <v>620</v>
      </c>
      <c r="D440" s="646" t="s">
        <v>560</v>
      </c>
      <c r="E440" s="4">
        <v>120</v>
      </c>
      <c r="F440" s="4">
        <v>120</v>
      </c>
      <c r="G440" s="179">
        <v>45667</v>
      </c>
      <c r="H440" s="415">
        <v>4</v>
      </c>
      <c r="I440" s="446">
        <v>0.33333333333333331</v>
      </c>
      <c r="J440" s="446">
        <v>0.35416666666666669</v>
      </c>
      <c r="K440" s="417">
        <f t="shared" si="14"/>
        <v>2.0000000000000036</v>
      </c>
      <c r="L440" s="9">
        <v>45667</v>
      </c>
      <c r="M440" s="316" t="s">
        <v>1376</v>
      </c>
      <c r="N440" s="3"/>
      <c r="O440" s="2"/>
    </row>
    <row r="441" spans="1:15" s="1" customFormat="1">
      <c r="A441" s="4">
        <f t="shared" si="15"/>
        <v>440</v>
      </c>
      <c r="B441" s="412"/>
      <c r="C441" s="645" t="s">
        <v>620</v>
      </c>
      <c r="D441" s="646" t="s">
        <v>605</v>
      </c>
      <c r="E441" s="4">
        <v>120</v>
      </c>
      <c r="F441" s="4">
        <v>120</v>
      </c>
      <c r="G441" s="179">
        <v>45667</v>
      </c>
      <c r="H441" s="415">
        <v>4</v>
      </c>
      <c r="I441" s="446">
        <v>0.33333333333333331</v>
      </c>
      <c r="J441" s="446">
        <v>0.35416666666666669</v>
      </c>
      <c r="K441" s="417">
        <f t="shared" si="14"/>
        <v>2.0000000000000036</v>
      </c>
      <c r="L441" s="9">
        <v>45667</v>
      </c>
      <c r="M441" s="316" t="s">
        <v>1376</v>
      </c>
      <c r="N441" s="3"/>
      <c r="O441" s="2"/>
    </row>
    <row r="442" spans="1:15" s="1" customFormat="1">
      <c r="A442" s="4">
        <f t="shared" si="15"/>
        <v>441</v>
      </c>
      <c r="B442" s="412"/>
      <c r="C442" s="645" t="s">
        <v>621</v>
      </c>
      <c r="D442" s="646" t="s">
        <v>605</v>
      </c>
      <c r="E442" s="4">
        <v>6</v>
      </c>
      <c r="F442" s="414">
        <v>6</v>
      </c>
      <c r="G442" s="179">
        <v>45667</v>
      </c>
      <c r="H442" s="415">
        <v>1</v>
      </c>
      <c r="I442" s="446">
        <v>0.33333333333333331</v>
      </c>
      <c r="J442" s="446">
        <v>0.54652777777777783</v>
      </c>
      <c r="K442" s="417">
        <f t="shared" si="14"/>
        <v>5.1166666666666689</v>
      </c>
      <c r="L442" s="9">
        <v>45667</v>
      </c>
      <c r="M442" s="316" t="s">
        <v>1376</v>
      </c>
      <c r="N442" s="3"/>
      <c r="O442" s="2"/>
    </row>
    <row r="443" spans="1:15" s="1" customFormat="1">
      <c r="A443" s="4">
        <f t="shared" si="15"/>
        <v>442</v>
      </c>
      <c r="B443" s="412"/>
      <c r="C443" s="648" t="s">
        <v>588</v>
      </c>
      <c r="D443" s="649" t="s">
        <v>613</v>
      </c>
      <c r="E443" s="4">
        <v>480</v>
      </c>
      <c r="F443" s="414">
        <v>480</v>
      </c>
      <c r="G443" s="179">
        <v>45671</v>
      </c>
      <c r="H443" s="415">
        <v>4</v>
      </c>
      <c r="I443" s="446">
        <v>0.33333333333333331</v>
      </c>
      <c r="J443" s="446">
        <v>0.375</v>
      </c>
      <c r="K443" s="417">
        <f t="shared" si="14"/>
        <v>4.0000000000000018</v>
      </c>
      <c r="L443" s="9">
        <v>45671</v>
      </c>
      <c r="M443" s="316" t="s">
        <v>1377</v>
      </c>
      <c r="N443" s="3"/>
      <c r="O443" s="2"/>
    </row>
    <row r="444" spans="1:15" s="1" customFormat="1">
      <c r="A444" s="4">
        <f t="shared" si="15"/>
        <v>443</v>
      </c>
      <c r="B444" s="412"/>
      <c r="C444" s="648" t="s">
        <v>588</v>
      </c>
      <c r="D444" s="649" t="s">
        <v>615</v>
      </c>
      <c r="E444" s="4">
        <v>240</v>
      </c>
      <c r="F444" s="414">
        <v>240</v>
      </c>
      <c r="G444" s="179">
        <v>45671</v>
      </c>
      <c r="H444" s="415">
        <v>4</v>
      </c>
      <c r="I444" s="446">
        <v>0.33333333333333331</v>
      </c>
      <c r="J444" s="446">
        <v>0.36458333333333331</v>
      </c>
      <c r="K444" s="417">
        <f t="shared" si="14"/>
        <v>3</v>
      </c>
      <c r="L444" s="9">
        <v>45671</v>
      </c>
      <c r="M444" s="316" t="s">
        <v>1377</v>
      </c>
      <c r="N444" s="3"/>
      <c r="O444" s="2"/>
    </row>
    <row r="445" spans="1:15" s="1" customFormat="1">
      <c r="A445" s="4">
        <f t="shared" si="15"/>
        <v>444</v>
      </c>
      <c r="B445" s="412"/>
      <c r="C445" s="648" t="s">
        <v>588</v>
      </c>
      <c r="D445" s="649" t="s">
        <v>622</v>
      </c>
      <c r="E445" s="4">
        <v>60</v>
      </c>
      <c r="F445" s="414">
        <v>60</v>
      </c>
      <c r="G445" s="179">
        <v>45671</v>
      </c>
      <c r="H445" s="415">
        <v>4</v>
      </c>
      <c r="I445" s="446">
        <v>0.33333333333333331</v>
      </c>
      <c r="J445" s="446">
        <v>0.35416666666666669</v>
      </c>
      <c r="K445" s="417">
        <f t="shared" si="14"/>
        <v>2.0000000000000036</v>
      </c>
      <c r="L445" s="9">
        <v>45671</v>
      </c>
      <c r="M445" s="316" t="s">
        <v>1377</v>
      </c>
      <c r="N445" s="3"/>
      <c r="O445" s="2"/>
    </row>
    <row r="446" spans="1:15" s="1" customFormat="1">
      <c r="A446" s="4">
        <f t="shared" si="15"/>
        <v>445</v>
      </c>
      <c r="B446" s="412"/>
      <c r="C446" s="648" t="s">
        <v>588</v>
      </c>
      <c r="D446" s="649" t="s">
        <v>616</v>
      </c>
      <c r="E446" s="4">
        <v>60</v>
      </c>
      <c r="F446" s="414">
        <v>60</v>
      </c>
      <c r="G446" s="179">
        <v>45671</v>
      </c>
      <c r="H446" s="415">
        <v>4</v>
      </c>
      <c r="I446" s="446">
        <v>0.33333333333333331</v>
      </c>
      <c r="J446" s="446">
        <v>0.35416666666666669</v>
      </c>
      <c r="K446" s="417">
        <f t="shared" si="14"/>
        <v>2.0000000000000036</v>
      </c>
      <c r="L446" s="9">
        <v>45671</v>
      </c>
      <c r="M446" s="316" t="s">
        <v>1377</v>
      </c>
      <c r="N446" s="3"/>
      <c r="O446" s="2"/>
    </row>
    <row r="447" spans="1:15" s="1" customFormat="1">
      <c r="A447" s="4">
        <f t="shared" si="15"/>
        <v>446</v>
      </c>
      <c r="B447" s="412"/>
      <c r="C447" s="648" t="s">
        <v>588</v>
      </c>
      <c r="D447" s="649" t="s">
        <v>614</v>
      </c>
      <c r="E447" s="4">
        <v>240</v>
      </c>
      <c r="F447" s="414">
        <v>240</v>
      </c>
      <c r="G447" s="179">
        <v>45671</v>
      </c>
      <c r="H447" s="415">
        <v>4</v>
      </c>
      <c r="I447" s="446">
        <v>0.33333333333333331</v>
      </c>
      <c r="J447" s="446">
        <v>0.36458333333333331</v>
      </c>
      <c r="K447" s="417">
        <f t="shared" si="14"/>
        <v>3</v>
      </c>
      <c r="L447" s="9">
        <v>45671</v>
      </c>
      <c r="M447" s="316" t="s">
        <v>1377</v>
      </c>
      <c r="N447" s="3"/>
      <c r="O447" s="2"/>
    </row>
    <row r="448" spans="1:15" s="1" customFormat="1">
      <c r="A448" s="4">
        <f t="shared" si="15"/>
        <v>447</v>
      </c>
      <c r="B448" s="412"/>
      <c r="C448" s="648" t="s">
        <v>624</v>
      </c>
      <c r="D448" s="649" t="s">
        <v>513</v>
      </c>
      <c r="E448" s="4">
        <v>180</v>
      </c>
      <c r="F448" s="414">
        <v>180</v>
      </c>
      <c r="G448" s="179">
        <v>45671</v>
      </c>
      <c r="H448" s="415">
        <v>4</v>
      </c>
      <c r="I448" s="446">
        <v>0.33333333333333331</v>
      </c>
      <c r="J448" s="446">
        <v>0.35416666666666669</v>
      </c>
      <c r="K448" s="417">
        <f t="shared" si="14"/>
        <v>2.0000000000000036</v>
      </c>
      <c r="L448" s="9">
        <v>45671</v>
      </c>
      <c r="M448" s="316" t="s">
        <v>1377</v>
      </c>
      <c r="N448" s="3"/>
      <c r="O448" s="2"/>
    </row>
    <row r="449" spans="1:15" s="1" customFormat="1">
      <c r="A449" s="4">
        <f t="shared" si="15"/>
        <v>448</v>
      </c>
      <c r="B449" s="412"/>
      <c r="C449" s="648" t="s">
        <v>624</v>
      </c>
      <c r="D449" s="649" t="s">
        <v>514</v>
      </c>
      <c r="E449" s="4">
        <v>90</v>
      </c>
      <c r="F449" s="414">
        <v>90</v>
      </c>
      <c r="G449" s="179">
        <v>45671</v>
      </c>
      <c r="H449" s="415">
        <v>4</v>
      </c>
      <c r="I449" s="446">
        <v>0.33333333333333331</v>
      </c>
      <c r="J449" s="446">
        <v>0.35416666666666669</v>
      </c>
      <c r="K449" s="417">
        <f t="shared" si="14"/>
        <v>2.0000000000000036</v>
      </c>
      <c r="L449" s="9">
        <v>45671</v>
      </c>
      <c r="M449" s="316" t="s">
        <v>1377</v>
      </c>
      <c r="N449" s="3"/>
      <c r="O449" s="2"/>
    </row>
    <row r="450" spans="1:15" s="1" customFormat="1">
      <c r="A450" s="4">
        <f t="shared" si="15"/>
        <v>449</v>
      </c>
      <c r="B450" s="412"/>
      <c r="C450" s="648" t="s">
        <v>623</v>
      </c>
      <c r="D450" s="649" t="s">
        <v>615</v>
      </c>
      <c r="E450" s="4">
        <v>400</v>
      </c>
      <c r="F450" s="414">
        <v>400</v>
      </c>
      <c r="G450" s="179">
        <v>45671</v>
      </c>
      <c r="H450" s="415">
        <v>4</v>
      </c>
      <c r="I450" s="446">
        <v>0.33333333333333331</v>
      </c>
      <c r="J450" s="650">
        <v>0.375</v>
      </c>
      <c r="K450" s="417">
        <f t="shared" si="14"/>
        <v>4.0000000000000018</v>
      </c>
      <c r="L450" s="9">
        <v>45671</v>
      </c>
      <c r="M450" s="316" t="s">
        <v>1377</v>
      </c>
      <c r="N450" s="3"/>
      <c r="O450" s="2"/>
    </row>
    <row r="451" spans="1:15" s="1" customFormat="1">
      <c r="A451" s="4">
        <f t="shared" si="15"/>
        <v>450</v>
      </c>
      <c r="B451" s="412"/>
      <c r="C451" s="648" t="s">
        <v>623</v>
      </c>
      <c r="D451" s="649" t="s">
        <v>613</v>
      </c>
      <c r="E451" s="4">
        <v>800</v>
      </c>
      <c r="F451" s="414">
        <v>800</v>
      </c>
      <c r="G451" s="179">
        <v>45671</v>
      </c>
      <c r="H451" s="415">
        <v>4</v>
      </c>
      <c r="I451" s="446">
        <v>0.33333333333333331</v>
      </c>
      <c r="J451" s="650">
        <v>0.41666666666666669</v>
      </c>
      <c r="K451" s="417">
        <f t="shared" si="14"/>
        <v>8.0000000000000036</v>
      </c>
      <c r="L451" s="9">
        <v>45671</v>
      </c>
      <c r="M451" s="316" t="s">
        <v>1377</v>
      </c>
      <c r="N451" s="3"/>
      <c r="O451" s="2"/>
    </row>
    <row r="452" spans="1:15" s="1" customFormat="1">
      <c r="A452" s="4">
        <f t="shared" si="15"/>
        <v>451</v>
      </c>
      <c r="B452" s="412"/>
      <c r="C452" s="648" t="s">
        <v>623</v>
      </c>
      <c r="D452" s="649" t="s">
        <v>614</v>
      </c>
      <c r="E452" s="4">
        <v>400</v>
      </c>
      <c r="F452" s="414">
        <v>400</v>
      </c>
      <c r="G452" s="179">
        <v>45671</v>
      </c>
      <c r="H452" s="415">
        <v>4</v>
      </c>
      <c r="I452" s="446">
        <v>0.33333333333333331</v>
      </c>
      <c r="J452" s="446">
        <v>0.375</v>
      </c>
      <c r="K452" s="417">
        <f t="shared" ref="K452:K515" si="16">(J452-I452)*24*H452</f>
        <v>4.0000000000000018</v>
      </c>
      <c r="L452" s="9">
        <v>45671</v>
      </c>
      <c r="M452" s="316" t="s">
        <v>1377</v>
      </c>
      <c r="N452" s="3"/>
      <c r="O452" s="2"/>
    </row>
    <row r="453" spans="1:15" s="1" customFormat="1">
      <c r="A453" s="4">
        <f t="shared" si="15"/>
        <v>452</v>
      </c>
      <c r="B453" s="412"/>
      <c r="C453" s="648" t="s">
        <v>623</v>
      </c>
      <c r="D453" s="649" t="s">
        <v>616</v>
      </c>
      <c r="E453" s="4">
        <v>100</v>
      </c>
      <c r="F453" s="414">
        <v>100</v>
      </c>
      <c r="G453" s="179">
        <v>45671</v>
      </c>
      <c r="H453" s="415">
        <v>4</v>
      </c>
      <c r="I453" s="446">
        <v>0.33333333333333331</v>
      </c>
      <c r="J453" s="650">
        <v>0.36458333333333331</v>
      </c>
      <c r="K453" s="417">
        <f t="shared" si="16"/>
        <v>3</v>
      </c>
      <c r="L453" s="9">
        <v>45671</v>
      </c>
      <c r="M453" s="316" t="s">
        <v>1377</v>
      </c>
      <c r="N453" s="3"/>
      <c r="O453" s="2"/>
    </row>
    <row r="454" spans="1:15" s="1" customFormat="1">
      <c r="A454" s="4">
        <f t="shared" si="15"/>
        <v>453</v>
      </c>
      <c r="B454" s="412"/>
      <c r="C454" s="648" t="s">
        <v>623</v>
      </c>
      <c r="D454" s="649" t="s">
        <v>622</v>
      </c>
      <c r="E454" s="4">
        <v>100</v>
      </c>
      <c r="F454" s="414">
        <v>100</v>
      </c>
      <c r="G454" s="179">
        <v>45671</v>
      </c>
      <c r="H454" s="415">
        <v>4</v>
      </c>
      <c r="I454" s="446">
        <v>0.33333333333333331</v>
      </c>
      <c r="J454" s="650">
        <v>0.36458333333333331</v>
      </c>
      <c r="K454" s="417">
        <f t="shared" si="16"/>
        <v>3</v>
      </c>
      <c r="L454" s="9">
        <v>45671</v>
      </c>
      <c r="M454" s="316" t="s">
        <v>1377</v>
      </c>
      <c r="N454" s="3"/>
      <c r="O454" s="2"/>
    </row>
    <row r="455" spans="1:15" s="1" customFormat="1">
      <c r="A455" s="4">
        <f t="shared" si="15"/>
        <v>454</v>
      </c>
      <c r="B455" s="651" t="s">
        <v>626</v>
      </c>
      <c r="C455" s="652" t="s">
        <v>625</v>
      </c>
      <c r="D455" s="653" t="s">
        <v>224</v>
      </c>
      <c r="E455" s="4">
        <v>1</v>
      </c>
      <c r="F455" s="414">
        <v>1</v>
      </c>
      <c r="G455" s="179">
        <v>45672</v>
      </c>
      <c r="H455" s="415">
        <v>1</v>
      </c>
      <c r="I455" s="654">
        <v>0.375</v>
      </c>
      <c r="J455" s="446">
        <v>0.39583333333333331</v>
      </c>
      <c r="K455" s="417">
        <f t="shared" si="16"/>
        <v>0.49999999999999956</v>
      </c>
      <c r="L455" s="9">
        <v>45672</v>
      </c>
      <c r="M455" s="316" t="s">
        <v>1377</v>
      </c>
      <c r="N455" s="110" t="s">
        <v>6</v>
      </c>
      <c r="O455" s="2"/>
    </row>
    <row r="456" spans="1:15" s="1" customFormat="1">
      <c r="A456" s="4">
        <f t="shared" si="15"/>
        <v>455</v>
      </c>
      <c r="B456" s="651" t="s">
        <v>626</v>
      </c>
      <c r="C456" s="652" t="s">
        <v>625</v>
      </c>
      <c r="D456" s="653" t="s">
        <v>627</v>
      </c>
      <c r="E456" s="4">
        <v>1</v>
      </c>
      <c r="F456" s="414">
        <v>1</v>
      </c>
      <c r="G456" s="179">
        <v>45672</v>
      </c>
      <c r="H456" s="415">
        <v>1</v>
      </c>
      <c r="I456" s="654">
        <v>0.375</v>
      </c>
      <c r="J456" s="446">
        <v>0.3888888888888889</v>
      </c>
      <c r="K456" s="417">
        <f t="shared" si="16"/>
        <v>0.33333333333333348</v>
      </c>
      <c r="L456" s="9">
        <v>45672</v>
      </c>
      <c r="M456" s="316" t="s">
        <v>1377</v>
      </c>
      <c r="N456" s="110" t="s">
        <v>6</v>
      </c>
      <c r="O456" s="2"/>
    </row>
    <row r="457" spans="1:15" s="1" customFormat="1">
      <c r="A457" s="4">
        <f t="shared" si="15"/>
        <v>456</v>
      </c>
      <c r="B457" s="651" t="s">
        <v>628</v>
      </c>
      <c r="C457" s="652" t="s">
        <v>127</v>
      </c>
      <c r="D457" s="653" t="s">
        <v>365</v>
      </c>
      <c r="E457" s="4">
        <v>2</v>
      </c>
      <c r="F457" s="414">
        <v>2</v>
      </c>
      <c r="G457" s="179">
        <v>45672</v>
      </c>
      <c r="H457" s="415">
        <v>1</v>
      </c>
      <c r="I457" s="654">
        <v>0.375</v>
      </c>
      <c r="J457" s="446">
        <v>0.39583333333333331</v>
      </c>
      <c r="K457" s="417">
        <f t="shared" si="16"/>
        <v>0.49999999999999956</v>
      </c>
      <c r="L457" s="9">
        <v>45672</v>
      </c>
      <c r="M457" s="316" t="s">
        <v>1377</v>
      </c>
      <c r="N457" s="110" t="s">
        <v>6</v>
      </c>
      <c r="O457" s="2"/>
    </row>
    <row r="458" spans="1:15" s="1" customFormat="1">
      <c r="A458" s="4">
        <f t="shared" si="15"/>
        <v>457</v>
      </c>
      <c r="B458" s="651" t="s">
        <v>629</v>
      </c>
      <c r="C458" s="652" t="s">
        <v>630</v>
      </c>
      <c r="D458" s="653" t="s">
        <v>96</v>
      </c>
      <c r="E458" s="4">
        <v>2</v>
      </c>
      <c r="F458" s="414">
        <v>2</v>
      </c>
      <c r="G458" s="179">
        <v>45672</v>
      </c>
      <c r="H458" s="415">
        <v>1</v>
      </c>
      <c r="I458" s="654">
        <v>0.375</v>
      </c>
      <c r="J458" s="446">
        <v>0.40625</v>
      </c>
      <c r="K458" s="417">
        <f t="shared" si="16"/>
        <v>0.75</v>
      </c>
      <c r="L458" s="9">
        <v>45672</v>
      </c>
      <c r="M458" s="316" t="s">
        <v>1377</v>
      </c>
      <c r="N458" s="110" t="s">
        <v>8</v>
      </c>
      <c r="O458" s="2"/>
    </row>
    <row r="459" spans="1:15" s="1" customFormat="1">
      <c r="A459" s="4">
        <f t="shared" si="15"/>
        <v>458</v>
      </c>
      <c r="B459" s="651" t="s">
        <v>631</v>
      </c>
      <c r="C459" s="652" t="s">
        <v>309</v>
      </c>
      <c r="D459" s="653" t="s">
        <v>581</v>
      </c>
      <c r="E459" s="4">
        <v>1</v>
      </c>
      <c r="F459" s="414">
        <v>1</v>
      </c>
      <c r="G459" s="179">
        <v>45672</v>
      </c>
      <c r="H459" s="415">
        <v>1</v>
      </c>
      <c r="I459" s="446">
        <v>0.54166666666666663</v>
      </c>
      <c r="J459" s="446">
        <v>0.55555555555555558</v>
      </c>
      <c r="K459" s="417">
        <f t="shared" si="16"/>
        <v>0.33333333333333481</v>
      </c>
      <c r="L459" s="9">
        <v>45672</v>
      </c>
      <c r="M459" s="316" t="s">
        <v>1377</v>
      </c>
      <c r="N459" s="110" t="s">
        <v>8</v>
      </c>
      <c r="O459" s="2"/>
    </row>
    <row r="460" spans="1:15" s="1" customFormat="1">
      <c r="A460" s="4">
        <f t="shared" si="15"/>
        <v>459</v>
      </c>
      <c r="B460" s="651" t="s">
        <v>632</v>
      </c>
      <c r="C460" s="652" t="s">
        <v>535</v>
      </c>
      <c r="D460" s="653" t="s">
        <v>321</v>
      </c>
      <c r="E460" s="4">
        <v>1</v>
      </c>
      <c r="F460" s="414">
        <v>1</v>
      </c>
      <c r="G460" s="179">
        <v>45672</v>
      </c>
      <c r="H460" s="415">
        <v>1</v>
      </c>
      <c r="I460" s="446">
        <v>0.54166666666666663</v>
      </c>
      <c r="J460" s="446">
        <v>0.55555555555555558</v>
      </c>
      <c r="K460" s="417">
        <f t="shared" si="16"/>
        <v>0.33333333333333481</v>
      </c>
      <c r="L460" s="9">
        <v>45672</v>
      </c>
      <c r="M460" s="316" t="s">
        <v>1377</v>
      </c>
      <c r="N460" s="110" t="s">
        <v>7</v>
      </c>
      <c r="O460" s="2"/>
    </row>
    <row r="461" spans="1:15" s="1" customFormat="1">
      <c r="A461" s="4">
        <f t="shared" si="15"/>
        <v>460</v>
      </c>
      <c r="B461" s="412"/>
      <c r="C461" s="652" t="s">
        <v>625</v>
      </c>
      <c r="D461" s="653" t="s">
        <v>566</v>
      </c>
      <c r="E461" s="4">
        <v>1</v>
      </c>
      <c r="F461" s="414">
        <v>1</v>
      </c>
      <c r="G461" s="179">
        <v>45672</v>
      </c>
      <c r="H461" s="415">
        <v>2</v>
      </c>
      <c r="I461" s="446">
        <v>0.33333333333333331</v>
      </c>
      <c r="J461" s="446">
        <v>0.45833333333333331</v>
      </c>
      <c r="K461" s="417">
        <f t="shared" si="16"/>
        <v>6</v>
      </c>
      <c r="L461" s="9">
        <v>45672</v>
      </c>
      <c r="M461" s="316" t="s">
        <v>1377</v>
      </c>
      <c r="N461" s="110" t="s">
        <v>6</v>
      </c>
      <c r="O461" s="2"/>
    </row>
    <row r="462" spans="1:15" s="1" customFormat="1">
      <c r="A462" s="4">
        <f t="shared" si="15"/>
        <v>461</v>
      </c>
      <c r="B462" s="655" t="s">
        <v>633</v>
      </c>
      <c r="C462" s="656" t="s">
        <v>634</v>
      </c>
      <c r="D462" s="657" t="s">
        <v>183</v>
      </c>
      <c r="E462" s="4">
        <v>5</v>
      </c>
      <c r="F462" s="414">
        <v>10</v>
      </c>
      <c r="G462" s="179">
        <v>45674</v>
      </c>
      <c r="H462" s="415">
        <v>1</v>
      </c>
      <c r="I462" s="446">
        <v>0.375</v>
      </c>
      <c r="J462" s="446">
        <v>0.41666666666666669</v>
      </c>
      <c r="K462" s="417">
        <f t="shared" si="16"/>
        <v>1.0000000000000004</v>
      </c>
      <c r="L462" s="9">
        <v>45674</v>
      </c>
      <c r="M462" s="316" t="s">
        <v>1377</v>
      </c>
      <c r="N462" s="111" t="s">
        <v>9</v>
      </c>
      <c r="O462" s="2"/>
    </row>
    <row r="463" spans="1:15" s="1" customFormat="1">
      <c r="A463" s="4">
        <f t="shared" si="15"/>
        <v>462</v>
      </c>
      <c r="B463" s="655" t="s">
        <v>633</v>
      </c>
      <c r="C463" s="656" t="s">
        <v>634</v>
      </c>
      <c r="D463" s="657" t="s">
        <v>637</v>
      </c>
      <c r="E463" s="4">
        <v>5</v>
      </c>
      <c r="F463" s="414">
        <v>10</v>
      </c>
      <c r="G463" s="179">
        <v>45674</v>
      </c>
      <c r="H463" s="415">
        <v>1</v>
      </c>
      <c r="I463" s="446">
        <v>0.375</v>
      </c>
      <c r="J463" s="446">
        <v>0.41666666666666669</v>
      </c>
      <c r="K463" s="417">
        <f t="shared" si="16"/>
        <v>1.0000000000000004</v>
      </c>
      <c r="L463" s="9">
        <v>45674</v>
      </c>
      <c r="M463" s="316" t="s">
        <v>1377</v>
      </c>
      <c r="N463" s="111" t="s">
        <v>9</v>
      </c>
      <c r="O463" s="2"/>
    </row>
    <row r="464" spans="1:15" s="1" customFormat="1">
      <c r="A464" s="4">
        <f t="shared" si="15"/>
        <v>463</v>
      </c>
      <c r="B464" s="655" t="s">
        <v>633</v>
      </c>
      <c r="C464" s="656" t="s">
        <v>634</v>
      </c>
      <c r="D464" s="657" t="s">
        <v>638</v>
      </c>
      <c r="E464" s="4">
        <v>5</v>
      </c>
      <c r="F464" s="414">
        <v>10</v>
      </c>
      <c r="G464" s="179">
        <v>45674</v>
      </c>
      <c r="H464" s="415">
        <v>1</v>
      </c>
      <c r="I464" s="446">
        <v>0.375</v>
      </c>
      <c r="J464" s="446">
        <v>0.41666666666666669</v>
      </c>
      <c r="K464" s="417">
        <f t="shared" si="16"/>
        <v>1.0000000000000004</v>
      </c>
      <c r="L464" s="9">
        <v>45674</v>
      </c>
      <c r="M464" s="316" t="s">
        <v>1377</v>
      </c>
      <c r="N464" s="111" t="s">
        <v>9</v>
      </c>
      <c r="O464" s="2"/>
    </row>
    <row r="465" spans="1:15" s="1" customFormat="1">
      <c r="A465" s="4">
        <f t="shared" si="15"/>
        <v>464</v>
      </c>
      <c r="B465" s="655" t="s">
        <v>636</v>
      </c>
      <c r="C465" s="656" t="s">
        <v>635</v>
      </c>
      <c r="D465" s="657" t="s">
        <v>183</v>
      </c>
      <c r="E465" s="4">
        <v>5</v>
      </c>
      <c r="F465" s="414">
        <v>10</v>
      </c>
      <c r="G465" s="179">
        <v>45674</v>
      </c>
      <c r="H465" s="415">
        <v>1</v>
      </c>
      <c r="I465" s="446">
        <v>0.375</v>
      </c>
      <c r="J465" s="446">
        <v>0.41666666666666669</v>
      </c>
      <c r="K465" s="417">
        <f t="shared" si="16"/>
        <v>1.0000000000000004</v>
      </c>
      <c r="L465" s="9">
        <v>45674</v>
      </c>
      <c r="M465" s="316" t="s">
        <v>1377</v>
      </c>
      <c r="N465" s="111" t="s">
        <v>9</v>
      </c>
      <c r="O465" s="2"/>
    </row>
    <row r="466" spans="1:15" s="1" customFormat="1">
      <c r="A466" s="4">
        <f t="shared" si="15"/>
        <v>465</v>
      </c>
      <c r="B466" s="655" t="s">
        <v>636</v>
      </c>
      <c r="C466" s="656" t="s">
        <v>635</v>
      </c>
      <c r="D466" s="657" t="s">
        <v>637</v>
      </c>
      <c r="E466" s="4">
        <v>5</v>
      </c>
      <c r="F466" s="414">
        <v>10</v>
      </c>
      <c r="G466" s="179">
        <v>45674</v>
      </c>
      <c r="H466" s="415">
        <v>1</v>
      </c>
      <c r="I466" s="446">
        <v>0.375</v>
      </c>
      <c r="J466" s="446">
        <v>0.41666666666666669</v>
      </c>
      <c r="K466" s="417">
        <f t="shared" si="16"/>
        <v>1.0000000000000004</v>
      </c>
      <c r="L466" s="9">
        <v>45674</v>
      </c>
      <c r="M466" s="316" t="s">
        <v>1377</v>
      </c>
      <c r="N466" s="111" t="s">
        <v>9</v>
      </c>
      <c r="O466" s="2"/>
    </row>
    <row r="467" spans="1:15" s="1" customFormat="1">
      <c r="A467" s="4">
        <f t="shared" si="15"/>
        <v>466</v>
      </c>
      <c r="B467" s="655" t="s">
        <v>636</v>
      </c>
      <c r="C467" s="656" t="s">
        <v>635</v>
      </c>
      <c r="D467" s="657" t="s">
        <v>638</v>
      </c>
      <c r="E467" s="4">
        <v>5</v>
      </c>
      <c r="F467" s="414">
        <v>10</v>
      </c>
      <c r="G467" s="179">
        <v>45674</v>
      </c>
      <c r="H467" s="415">
        <v>1</v>
      </c>
      <c r="I467" s="446">
        <v>0.375</v>
      </c>
      <c r="J467" s="446">
        <v>0.41666666666666669</v>
      </c>
      <c r="K467" s="417">
        <f t="shared" si="16"/>
        <v>1.0000000000000004</v>
      </c>
      <c r="L467" s="9">
        <v>45674</v>
      </c>
      <c r="M467" s="316" t="s">
        <v>1377</v>
      </c>
      <c r="N467" s="111" t="s">
        <v>9</v>
      </c>
      <c r="O467" s="2"/>
    </row>
    <row r="468" spans="1:15" s="1" customFormat="1" ht="15" customHeight="1">
      <c r="A468" s="4">
        <f t="shared" si="15"/>
        <v>467</v>
      </c>
      <c r="B468" s="655" t="s">
        <v>639</v>
      </c>
      <c r="C468" s="656" t="s">
        <v>535</v>
      </c>
      <c r="D468" s="657" t="s">
        <v>89</v>
      </c>
      <c r="E468" s="4">
        <v>1</v>
      </c>
      <c r="F468" s="414">
        <v>1</v>
      </c>
      <c r="G468" s="179">
        <v>45674</v>
      </c>
      <c r="H468" s="415">
        <v>1</v>
      </c>
      <c r="I468" s="446">
        <v>0.375</v>
      </c>
      <c r="J468" s="446">
        <v>0.3888888888888889</v>
      </c>
      <c r="K468" s="417">
        <f t="shared" si="16"/>
        <v>0.33333333333333348</v>
      </c>
      <c r="L468" s="9">
        <v>45674</v>
      </c>
      <c r="M468" s="316" t="s">
        <v>1377</v>
      </c>
      <c r="N468" s="111" t="s">
        <v>7</v>
      </c>
      <c r="O468" s="2"/>
    </row>
    <row r="469" spans="1:15" s="1" customFormat="1" ht="15" customHeight="1">
      <c r="A469" s="4">
        <f t="shared" si="15"/>
        <v>468</v>
      </c>
      <c r="B469" s="412"/>
      <c r="C469" s="656" t="s">
        <v>640</v>
      </c>
      <c r="D469" s="657" t="s">
        <v>89</v>
      </c>
      <c r="E469" s="4">
        <v>1</v>
      </c>
      <c r="F469" s="414">
        <v>1</v>
      </c>
      <c r="G469" s="179">
        <v>45674</v>
      </c>
      <c r="H469" s="415">
        <v>1</v>
      </c>
      <c r="I469" s="446">
        <v>0.375</v>
      </c>
      <c r="J469" s="446">
        <v>0.3888888888888889</v>
      </c>
      <c r="K469" s="417">
        <f t="shared" si="16"/>
        <v>0.33333333333333348</v>
      </c>
      <c r="L469" s="9">
        <v>45674</v>
      </c>
      <c r="M469" s="316" t="s">
        <v>1377</v>
      </c>
      <c r="N469" s="110" t="s">
        <v>8</v>
      </c>
      <c r="O469" s="2"/>
    </row>
    <row r="470" spans="1:15" s="1" customFormat="1">
      <c r="A470" s="4">
        <f t="shared" si="15"/>
        <v>469</v>
      </c>
      <c r="B470" s="423" t="s">
        <v>84</v>
      </c>
      <c r="C470" s="7" t="s">
        <v>147</v>
      </c>
      <c r="D470" s="658" t="s">
        <v>149</v>
      </c>
      <c r="E470" s="7">
        <v>60</v>
      </c>
      <c r="F470" s="425">
        <v>60</v>
      </c>
      <c r="G470" s="426">
        <v>45674</v>
      </c>
      <c r="H470" s="427">
        <v>1</v>
      </c>
      <c r="I470" s="465">
        <v>0.33333333333333331</v>
      </c>
      <c r="J470" s="465">
        <v>0.375</v>
      </c>
      <c r="K470" s="417">
        <f t="shared" si="16"/>
        <v>1.0000000000000004</v>
      </c>
      <c r="L470" s="11">
        <v>45674</v>
      </c>
      <c r="M470" s="316" t="s">
        <v>1377</v>
      </c>
      <c r="N470" s="6" t="s">
        <v>7</v>
      </c>
      <c r="O470" s="13" t="s">
        <v>151</v>
      </c>
    </row>
    <row r="471" spans="1:15" s="1" customFormat="1">
      <c r="A471" s="4">
        <f t="shared" si="15"/>
        <v>470</v>
      </c>
      <c r="B471" s="423" t="s">
        <v>84</v>
      </c>
      <c r="C471" s="7" t="s">
        <v>147</v>
      </c>
      <c r="D471" s="658" t="s">
        <v>204</v>
      </c>
      <c r="E471" s="7">
        <v>30</v>
      </c>
      <c r="F471" s="425">
        <v>30</v>
      </c>
      <c r="G471" s="426">
        <v>45674</v>
      </c>
      <c r="H471" s="427">
        <v>1</v>
      </c>
      <c r="I471" s="465">
        <v>0.33333333333333331</v>
      </c>
      <c r="J471" s="465">
        <v>0.36458333333333331</v>
      </c>
      <c r="K471" s="417">
        <f t="shared" si="16"/>
        <v>0.75</v>
      </c>
      <c r="L471" s="11">
        <v>45674</v>
      </c>
      <c r="M471" s="316" t="s">
        <v>1377</v>
      </c>
      <c r="N471" s="6" t="s">
        <v>7</v>
      </c>
      <c r="O471" s="13" t="s">
        <v>151</v>
      </c>
    </row>
    <row r="472" spans="1:15" s="1" customFormat="1">
      <c r="A472" s="4">
        <f t="shared" si="15"/>
        <v>471</v>
      </c>
      <c r="B472" s="423" t="s">
        <v>84</v>
      </c>
      <c r="C472" s="7" t="s">
        <v>147</v>
      </c>
      <c r="D472" s="658" t="s">
        <v>148</v>
      </c>
      <c r="E472" s="7">
        <v>60</v>
      </c>
      <c r="F472" s="425">
        <v>60</v>
      </c>
      <c r="G472" s="426">
        <v>45674</v>
      </c>
      <c r="H472" s="427">
        <v>1</v>
      </c>
      <c r="I472" s="465">
        <v>0.33333333333333331</v>
      </c>
      <c r="J472" s="465">
        <v>0.375</v>
      </c>
      <c r="K472" s="417">
        <f t="shared" si="16"/>
        <v>1.0000000000000004</v>
      </c>
      <c r="L472" s="11">
        <v>45674</v>
      </c>
      <c r="M472" s="316" t="s">
        <v>1377</v>
      </c>
      <c r="N472" s="6" t="s">
        <v>7</v>
      </c>
      <c r="O472" s="13" t="s">
        <v>151</v>
      </c>
    </row>
    <row r="473" spans="1:15" s="1" customFormat="1">
      <c r="A473" s="4">
        <f t="shared" si="15"/>
        <v>472</v>
      </c>
      <c r="B473" s="423" t="s">
        <v>84</v>
      </c>
      <c r="C473" s="7" t="s">
        <v>147</v>
      </c>
      <c r="D473" s="658" t="s">
        <v>91</v>
      </c>
      <c r="E473" s="7">
        <v>30</v>
      </c>
      <c r="F473" s="425">
        <v>30</v>
      </c>
      <c r="G473" s="426">
        <v>45674</v>
      </c>
      <c r="H473" s="427">
        <v>1</v>
      </c>
      <c r="I473" s="465">
        <v>0.33333333333333331</v>
      </c>
      <c r="J473" s="465">
        <v>0.36458333333333331</v>
      </c>
      <c r="K473" s="417">
        <f t="shared" si="16"/>
        <v>0.75</v>
      </c>
      <c r="L473" s="11">
        <v>45674</v>
      </c>
      <c r="M473" s="316" t="s">
        <v>1377</v>
      </c>
      <c r="N473" s="6" t="s">
        <v>7</v>
      </c>
      <c r="O473" s="13" t="s">
        <v>151</v>
      </c>
    </row>
    <row r="474" spans="1:15" s="1" customFormat="1">
      <c r="A474" s="4">
        <f t="shared" si="15"/>
        <v>473</v>
      </c>
      <c r="B474" s="659" t="s">
        <v>641</v>
      </c>
      <c r="C474" s="660" t="s">
        <v>642</v>
      </c>
      <c r="D474" s="661" t="s">
        <v>107</v>
      </c>
      <c r="E474" s="4">
        <v>10</v>
      </c>
      <c r="F474" s="414">
        <v>10</v>
      </c>
      <c r="G474" s="179">
        <v>45674</v>
      </c>
      <c r="H474" s="415">
        <v>1</v>
      </c>
      <c r="I474" s="446">
        <v>0.54166666666666663</v>
      </c>
      <c r="J474" s="446">
        <v>0.5625</v>
      </c>
      <c r="K474" s="417">
        <f t="shared" si="16"/>
        <v>0.50000000000000089</v>
      </c>
      <c r="L474" s="9">
        <v>45674</v>
      </c>
      <c r="M474" s="316" t="s">
        <v>1377</v>
      </c>
      <c r="N474" s="112" t="s">
        <v>643</v>
      </c>
      <c r="O474" s="2"/>
    </row>
    <row r="475" spans="1:15" s="1" customFormat="1">
      <c r="A475" s="4">
        <f t="shared" ref="A475:A537" si="17">ROW()-1</f>
        <v>474</v>
      </c>
      <c r="B475" s="662" t="s">
        <v>644</v>
      </c>
      <c r="C475" s="663" t="s">
        <v>645</v>
      </c>
      <c r="D475" s="664" t="s">
        <v>96</v>
      </c>
      <c r="E475" s="4">
        <v>40</v>
      </c>
      <c r="F475" s="4">
        <v>40</v>
      </c>
      <c r="G475" s="179">
        <v>45676</v>
      </c>
      <c r="H475" s="415">
        <v>1</v>
      </c>
      <c r="I475" s="446">
        <v>0.375</v>
      </c>
      <c r="J475" s="446">
        <v>0.40625</v>
      </c>
      <c r="K475" s="417">
        <f t="shared" si="16"/>
        <v>0.75</v>
      </c>
      <c r="L475" s="9">
        <v>45676</v>
      </c>
      <c r="M475" s="316" t="s">
        <v>1378</v>
      </c>
      <c r="N475" s="3" t="s">
        <v>6</v>
      </c>
      <c r="O475" s="2"/>
    </row>
    <row r="476" spans="1:15" s="1" customFormat="1">
      <c r="A476" s="4">
        <f t="shared" si="17"/>
        <v>475</v>
      </c>
      <c r="B476" s="662" t="s">
        <v>646</v>
      </c>
      <c r="C476" s="663" t="s">
        <v>647</v>
      </c>
      <c r="D476" s="664" t="s">
        <v>648</v>
      </c>
      <c r="E476" s="4">
        <v>3</v>
      </c>
      <c r="F476" s="4">
        <v>3</v>
      </c>
      <c r="G476" s="179">
        <v>45676</v>
      </c>
      <c r="H476" s="415">
        <v>1</v>
      </c>
      <c r="I476" s="446">
        <v>0.375</v>
      </c>
      <c r="J476" s="446">
        <v>0.3888888888888889</v>
      </c>
      <c r="K476" s="417">
        <f t="shared" si="16"/>
        <v>0.33333333333333348</v>
      </c>
      <c r="L476" s="9">
        <v>45676</v>
      </c>
      <c r="M476" s="316" t="s">
        <v>1378</v>
      </c>
      <c r="N476" s="111" t="s">
        <v>7</v>
      </c>
      <c r="O476" s="2"/>
    </row>
    <row r="477" spans="1:15" s="1" customFormat="1">
      <c r="A477" s="4">
        <f t="shared" si="17"/>
        <v>476</v>
      </c>
      <c r="B477" s="662" t="s">
        <v>649</v>
      </c>
      <c r="C477" s="663" t="s">
        <v>650</v>
      </c>
      <c r="D477" s="664" t="s">
        <v>96</v>
      </c>
      <c r="E477" s="4">
        <v>12</v>
      </c>
      <c r="F477" s="4">
        <v>12</v>
      </c>
      <c r="G477" s="179">
        <v>45676</v>
      </c>
      <c r="H477" s="415">
        <v>1</v>
      </c>
      <c r="I477" s="446">
        <v>0.375</v>
      </c>
      <c r="J477" s="665">
        <v>0.39583333333333331</v>
      </c>
      <c r="K477" s="417">
        <f t="shared" si="16"/>
        <v>0.49999999999999956</v>
      </c>
      <c r="L477" s="9">
        <v>45676</v>
      </c>
      <c r="M477" s="316" t="s">
        <v>1378</v>
      </c>
      <c r="N477" s="113" t="s">
        <v>537</v>
      </c>
      <c r="O477" s="2"/>
    </row>
    <row r="478" spans="1:15" s="1" customFormat="1">
      <c r="A478" s="4">
        <f t="shared" si="17"/>
        <v>477</v>
      </c>
      <c r="B478" s="662" t="s">
        <v>651</v>
      </c>
      <c r="C478" s="663" t="s">
        <v>652</v>
      </c>
      <c r="D478" s="664" t="s">
        <v>183</v>
      </c>
      <c r="E478" s="4">
        <v>1</v>
      </c>
      <c r="F478" s="4">
        <v>1</v>
      </c>
      <c r="G478" s="179">
        <v>45676</v>
      </c>
      <c r="H478" s="415">
        <v>1</v>
      </c>
      <c r="I478" s="446">
        <v>0.375</v>
      </c>
      <c r="J478" s="446">
        <v>0.38541666666666669</v>
      </c>
      <c r="K478" s="417">
        <f t="shared" si="16"/>
        <v>0.25000000000000044</v>
      </c>
      <c r="L478" s="9">
        <v>45676</v>
      </c>
      <c r="M478" s="316" t="s">
        <v>1378</v>
      </c>
      <c r="N478" s="113" t="s">
        <v>653</v>
      </c>
      <c r="O478" s="2"/>
    </row>
    <row r="479" spans="1:15" s="1" customFormat="1">
      <c r="A479" s="4">
        <f t="shared" si="17"/>
        <v>478</v>
      </c>
      <c r="B479" s="412" t="s">
        <v>649</v>
      </c>
      <c r="C479" s="4" t="s">
        <v>650</v>
      </c>
      <c r="D479" s="664" t="s">
        <v>224</v>
      </c>
      <c r="E479" s="4">
        <v>12</v>
      </c>
      <c r="F479" s="4">
        <v>12</v>
      </c>
      <c r="G479" s="179">
        <v>45676</v>
      </c>
      <c r="H479" s="415">
        <v>1</v>
      </c>
      <c r="I479" s="446">
        <v>0.375</v>
      </c>
      <c r="J479" s="446">
        <v>0.39583333333333331</v>
      </c>
      <c r="K479" s="417">
        <f t="shared" si="16"/>
        <v>0.49999999999999956</v>
      </c>
      <c r="L479" s="9">
        <v>45676</v>
      </c>
      <c r="M479" s="316" t="s">
        <v>1378</v>
      </c>
      <c r="N479" s="113" t="s">
        <v>643</v>
      </c>
      <c r="O479" s="2"/>
    </row>
    <row r="480" spans="1:15" s="1" customFormat="1">
      <c r="A480" s="4">
        <f t="shared" si="17"/>
        <v>479</v>
      </c>
      <c r="B480" s="412" t="s">
        <v>649</v>
      </c>
      <c r="C480" s="4" t="s">
        <v>650</v>
      </c>
      <c r="D480" s="664" t="s">
        <v>408</v>
      </c>
      <c r="E480" s="4">
        <v>12</v>
      </c>
      <c r="F480" s="4">
        <v>12</v>
      </c>
      <c r="G480" s="179">
        <v>45676</v>
      </c>
      <c r="H480" s="415">
        <v>1</v>
      </c>
      <c r="I480" s="446">
        <v>0.375</v>
      </c>
      <c r="J480" s="446">
        <v>0.39583333333333331</v>
      </c>
      <c r="K480" s="417">
        <f t="shared" si="16"/>
        <v>0.49999999999999956</v>
      </c>
      <c r="L480" s="9">
        <v>45676</v>
      </c>
      <c r="M480" s="316" t="s">
        <v>1378</v>
      </c>
      <c r="N480" s="113" t="s">
        <v>643</v>
      </c>
      <c r="O480" s="2"/>
    </row>
    <row r="481" spans="1:15" s="1" customFormat="1">
      <c r="A481" s="4">
        <f t="shared" si="17"/>
        <v>480</v>
      </c>
      <c r="B481" s="412" t="s">
        <v>649</v>
      </c>
      <c r="C481" s="4" t="s">
        <v>650</v>
      </c>
      <c r="D481" s="664" t="s">
        <v>409</v>
      </c>
      <c r="E481" s="4">
        <v>12</v>
      </c>
      <c r="F481" s="4">
        <v>12</v>
      </c>
      <c r="G481" s="179">
        <v>45676</v>
      </c>
      <c r="H481" s="415">
        <v>1</v>
      </c>
      <c r="I481" s="446">
        <v>0.375</v>
      </c>
      <c r="J481" s="446">
        <v>0.39583333333333331</v>
      </c>
      <c r="K481" s="417">
        <f t="shared" si="16"/>
        <v>0.49999999999999956</v>
      </c>
      <c r="L481" s="9">
        <v>45676</v>
      </c>
      <c r="M481" s="316" t="s">
        <v>1378</v>
      </c>
      <c r="N481" s="113" t="s">
        <v>643</v>
      </c>
      <c r="O481" s="2"/>
    </row>
    <row r="482" spans="1:15" s="1" customFormat="1">
      <c r="A482" s="4">
        <f t="shared" si="17"/>
        <v>481</v>
      </c>
      <c r="B482" s="662" t="s">
        <v>654</v>
      </c>
      <c r="C482" s="663" t="s">
        <v>655</v>
      </c>
      <c r="D482" s="664" t="s">
        <v>154</v>
      </c>
      <c r="E482" s="4">
        <v>1</v>
      </c>
      <c r="F482" s="4">
        <v>1</v>
      </c>
      <c r="G482" s="179">
        <v>45676</v>
      </c>
      <c r="H482" s="415">
        <v>1</v>
      </c>
      <c r="I482" s="446">
        <v>0.375</v>
      </c>
      <c r="J482" s="446">
        <v>0.38541666666666669</v>
      </c>
      <c r="K482" s="417">
        <f t="shared" si="16"/>
        <v>0.25000000000000044</v>
      </c>
      <c r="L482" s="9">
        <v>45676</v>
      </c>
      <c r="M482" s="316" t="s">
        <v>1378</v>
      </c>
      <c r="N482" s="113" t="s">
        <v>8</v>
      </c>
      <c r="O482" s="2"/>
    </row>
    <row r="483" spans="1:15" s="1" customFormat="1">
      <c r="A483" s="4">
        <f t="shared" si="17"/>
        <v>482</v>
      </c>
      <c r="B483" s="662" t="s">
        <v>656</v>
      </c>
      <c r="C483" s="663" t="s">
        <v>657</v>
      </c>
      <c r="D483" s="664" t="s">
        <v>280</v>
      </c>
      <c r="E483" s="4">
        <v>2</v>
      </c>
      <c r="F483" s="4">
        <v>2</v>
      </c>
      <c r="G483" s="179">
        <v>45676</v>
      </c>
      <c r="H483" s="415">
        <v>1</v>
      </c>
      <c r="I483" s="446">
        <v>0.375</v>
      </c>
      <c r="J483" s="446">
        <v>0.38541666666666669</v>
      </c>
      <c r="K483" s="417">
        <f t="shared" si="16"/>
        <v>0.25000000000000044</v>
      </c>
      <c r="L483" s="9">
        <v>45676</v>
      </c>
      <c r="M483" s="316" t="s">
        <v>1378</v>
      </c>
      <c r="N483" s="113" t="s">
        <v>8</v>
      </c>
      <c r="O483" s="2"/>
    </row>
    <row r="484" spans="1:15" s="1" customFormat="1">
      <c r="A484" s="4">
        <f t="shared" si="17"/>
        <v>483</v>
      </c>
      <c r="B484" s="412"/>
      <c r="C484" s="666" t="s">
        <v>658</v>
      </c>
      <c r="D484" s="667" t="s">
        <v>659</v>
      </c>
      <c r="E484" s="4">
        <v>1</v>
      </c>
      <c r="F484" s="414">
        <v>1</v>
      </c>
      <c r="G484" s="179">
        <v>45676</v>
      </c>
      <c r="H484" s="415">
        <v>2</v>
      </c>
      <c r="I484" s="446">
        <v>0.54166666666666663</v>
      </c>
      <c r="J484" s="446">
        <v>0.66666666666666663</v>
      </c>
      <c r="K484" s="417">
        <f t="shared" si="16"/>
        <v>6</v>
      </c>
      <c r="L484" s="9">
        <v>45676</v>
      </c>
      <c r="M484" s="316" t="s">
        <v>1378</v>
      </c>
      <c r="N484" s="3"/>
      <c r="O484" s="2"/>
    </row>
    <row r="485" spans="1:15" s="1" customFormat="1">
      <c r="A485" s="4">
        <f t="shared" si="17"/>
        <v>484</v>
      </c>
      <c r="B485" s="668" t="s">
        <v>660</v>
      </c>
      <c r="C485" s="669" t="s">
        <v>642</v>
      </c>
      <c r="D485" s="667" t="s">
        <v>661</v>
      </c>
      <c r="E485" s="4">
        <v>4</v>
      </c>
      <c r="F485" s="414">
        <v>4</v>
      </c>
      <c r="G485" s="179">
        <v>45680</v>
      </c>
      <c r="H485" s="415">
        <v>3</v>
      </c>
      <c r="I485" s="446">
        <v>0.29166666666666669</v>
      </c>
      <c r="J485" s="446">
        <v>0.64583333333333337</v>
      </c>
      <c r="K485" s="417">
        <f t="shared" si="16"/>
        <v>25.5</v>
      </c>
      <c r="L485" s="9">
        <v>45680</v>
      </c>
      <c r="M485" s="316" t="s">
        <v>1378</v>
      </c>
      <c r="N485" s="114" t="s">
        <v>662</v>
      </c>
      <c r="O485" s="2"/>
    </row>
    <row r="486" spans="1:15" s="1" customFormat="1">
      <c r="A486" s="4">
        <f t="shared" si="17"/>
        <v>485</v>
      </c>
      <c r="B486" s="670" t="s">
        <v>663</v>
      </c>
      <c r="C486" s="671" t="s">
        <v>664</v>
      </c>
      <c r="D486" s="672" t="s">
        <v>96</v>
      </c>
      <c r="E486" s="4">
        <v>10</v>
      </c>
      <c r="F486" s="414">
        <v>10</v>
      </c>
      <c r="G486" s="179">
        <v>45680</v>
      </c>
      <c r="H486" s="415">
        <v>1</v>
      </c>
      <c r="I486" s="446">
        <v>0.54166666666666663</v>
      </c>
      <c r="J486" s="446">
        <v>0.57291666666666663</v>
      </c>
      <c r="K486" s="417">
        <f t="shared" si="16"/>
        <v>0.75</v>
      </c>
      <c r="L486" s="9">
        <v>45680</v>
      </c>
      <c r="M486" s="316" t="s">
        <v>1378</v>
      </c>
      <c r="N486" s="115" t="s">
        <v>9</v>
      </c>
      <c r="O486" s="2"/>
    </row>
    <row r="487" spans="1:15" s="1" customFormat="1">
      <c r="A487" s="4">
        <f t="shared" si="17"/>
        <v>486</v>
      </c>
      <c r="B487" s="673" t="s">
        <v>668</v>
      </c>
      <c r="C487" s="674" t="s">
        <v>669</v>
      </c>
      <c r="D487" s="675" t="s">
        <v>82</v>
      </c>
      <c r="E487" s="4">
        <v>1</v>
      </c>
      <c r="F487" s="414">
        <v>1</v>
      </c>
      <c r="G487" s="179">
        <v>45698</v>
      </c>
      <c r="H487" s="415">
        <v>1</v>
      </c>
      <c r="I487" s="446">
        <v>0.3125</v>
      </c>
      <c r="J487" s="446">
        <v>0.33333333333333331</v>
      </c>
      <c r="K487" s="417">
        <f t="shared" si="16"/>
        <v>0.49999999999999956</v>
      </c>
      <c r="L487" s="9">
        <v>45698</v>
      </c>
      <c r="M487" s="316" t="s">
        <v>1379</v>
      </c>
      <c r="N487" s="114" t="s">
        <v>662</v>
      </c>
      <c r="O487" s="2"/>
    </row>
    <row r="488" spans="1:15" s="1" customFormat="1">
      <c r="A488" s="4">
        <f t="shared" si="17"/>
        <v>487</v>
      </c>
      <c r="B488" s="412"/>
      <c r="C488" s="674" t="s">
        <v>665</v>
      </c>
      <c r="D488" s="675" t="s">
        <v>566</v>
      </c>
      <c r="E488" s="4">
        <v>1</v>
      </c>
      <c r="F488" s="414">
        <v>1</v>
      </c>
      <c r="G488" s="179">
        <v>45699</v>
      </c>
      <c r="H488" s="415">
        <v>2</v>
      </c>
      <c r="I488" s="446">
        <v>0.3125</v>
      </c>
      <c r="J488" s="446">
        <v>0.47222222222222227</v>
      </c>
      <c r="K488" s="417">
        <f t="shared" si="16"/>
        <v>7.6666666666666687</v>
      </c>
      <c r="L488" s="9">
        <v>45699</v>
      </c>
      <c r="M488" s="316" t="s">
        <v>1379</v>
      </c>
      <c r="N488" s="111" t="s">
        <v>7</v>
      </c>
      <c r="O488" s="2"/>
    </row>
    <row r="489" spans="1:15" s="1" customFormat="1">
      <c r="A489" s="4">
        <f t="shared" si="17"/>
        <v>488</v>
      </c>
      <c r="B489" s="412"/>
      <c r="C489" s="674" t="s">
        <v>666</v>
      </c>
      <c r="D489" s="675" t="s">
        <v>667</v>
      </c>
      <c r="E489" s="4">
        <v>1</v>
      </c>
      <c r="F489" s="414">
        <v>1</v>
      </c>
      <c r="G489" s="179">
        <v>45699</v>
      </c>
      <c r="H489" s="415">
        <v>1</v>
      </c>
      <c r="I489" s="446">
        <v>0.47222222222222227</v>
      </c>
      <c r="J489" s="446">
        <v>0.58333333333333337</v>
      </c>
      <c r="K489" s="417">
        <f t="shared" si="16"/>
        <v>2.6666666666666665</v>
      </c>
      <c r="L489" s="9">
        <v>45699</v>
      </c>
      <c r="M489" s="316" t="s">
        <v>1379</v>
      </c>
      <c r="N489" s="114" t="s">
        <v>662</v>
      </c>
      <c r="O489" s="2"/>
    </row>
    <row r="490" spans="1:15" s="1" customFormat="1">
      <c r="A490" s="4">
        <f t="shared" si="17"/>
        <v>489</v>
      </c>
      <c r="B490" s="676" t="s">
        <v>671</v>
      </c>
      <c r="C490" s="677" t="s">
        <v>670</v>
      </c>
      <c r="D490" s="678" t="s">
        <v>672</v>
      </c>
      <c r="E490" s="4">
        <v>1</v>
      </c>
      <c r="F490" s="414">
        <v>1</v>
      </c>
      <c r="G490" s="179">
        <v>45699</v>
      </c>
      <c r="H490" s="415">
        <v>1</v>
      </c>
      <c r="I490" s="446">
        <v>0.3125</v>
      </c>
      <c r="J490" s="446">
        <v>0.33333333333333331</v>
      </c>
      <c r="K490" s="417">
        <f t="shared" si="16"/>
        <v>0.49999999999999956</v>
      </c>
      <c r="L490" s="9">
        <v>45699</v>
      </c>
      <c r="M490" s="316" t="s">
        <v>1379</v>
      </c>
      <c r="N490" s="116" t="s">
        <v>6</v>
      </c>
      <c r="O490" s="2"/>
    </row>
    <row r="491" spans="1:15" s="1" customFormat="1">
      <c r="A491" s="4">
        <f t="shared" si="17"/>
        <v>490</v>
      </c>
      <c r="B491" s="423" t="s">
        <v>84</v>
      </c>
      <c r="C491" s="7" t="s">
        <v>147</v>
      </c>
      <c r="D491" s="679" t="s">
        <v>93</v>
      </c>
      <c r="E491" s="7">
        <v>90</v>
      </c>
      <c r="F491" s="425">
        <v>90</v>
      </c>
      <c r="G491" s="426">
        <v>45700</v>
      </c>
      <c r="H491" s="427">
        <v>1</v>
      </c>
      <c r="I491" s="465">
        <v>0.33333333333333331</v>
      </c>
      <c r="J491" s="465">
        <v>0.47916666666666669</v>
      </c>
      <c r="K491" s="417">
        <f t="shared" si="16"/>
        <v>3.5000000000000009</v>
      </c>
      <c r="L491" s="11">
        <v>45700</v>
      </c>
      <c r="M491" s="316" t="s">
        <v>1379</v>
      </c>
      <c r="N491" s="6" t="s">
        <v>7</v>
      </c>
      <c r="O491" s="13" t="s">
        <v>151</v>
      </c>
    </row>
    <row r="492" spans="1:15" s="1" customFormat="1">
      <c r="A492" s="4">
        <f t="shared" si="17"/>
        <v>491</v>
      </c>
      <c r="B492" s="412"/>
      <c r="C492" s="680" t="s">
        <v>673</v>
      </c>
      <c r="D492" s="681" t="s">
        <v>552</v>
      </c>
      <c r="E492" s="4">
        <v>1</v>
      </c>
      <c r="F492" s="414">
        <v>1</v>
      </c>
      <c r="G492" s="179">
        <v>45700</v>
      </c>
      <c r="H492" s="415">
        <v>2</v>
      </c>
      <c r="I492" s="446">
        <v>0.3125</v>
      </c>
      <c r="J492" s="446">
        <v>0.49305555555555558</v>
      </c>
      <c r="K492" s="417">
        <f t="shared" si="16"/>
        <v>8.6666666666666679</v>
      </c>
      <c r="L492" s="9">
        <v>45700</v>
      </c>
      <c r="M492" s="316" t="s">
        <v>1379</v>
      </c>
      <c r="N492" s="114" t="s">
        <v>662</v>
      </c>
      <c r="O492" s="2"/>
    </row>
    <row r="493" spans="1:15" s="1" customFormat="1">
      <c r="A493" s="4">
        <f t="shared" si="17"/>
        <v>492</v>
      </c>
      <c r="B493" s="682" t="s">
        <v>674</v>
      </c>
      <c r="C493" s="683" t="s">
        <v>675</v>
      </c>
      <c r="D493" s="684" t="s">
        <v>627</v>
      </c>
      <c r="E493" s="4">
        <v>1</v>
      </c>
      <c r="F493" s="414">
        <v>1</v>
      </c>
      <c r="G493" s="179">
        <v>45700</v>
      </c>
      <c r="H493" s="415">
        <v>1</v>
      </c>
      <c r="I493" s="446">
        <v>0.3125</v>
      </c>
      <c r="J493" s="685">
        <v>0.32291666666666669</v>
      </c>
      <c r="K493" s="417">
        <f t="shared" si="16"/>
        <v>0.25000000000000044</v>
      </c>
      <c r="L493" s="9">
        <v>45700</v>
      </c>
      <c r="M493" s="316" t="s">
        <v>1379</v>
      </c>
      <c r="N493" s="113" t="s">
        <v>8</v>
      </c>
      <c r="O493" s="2"/>
    </row>
    <row r="494" spans="1:15" s="1" customFormat="1">
      <c r="A494" s="4">
        <f t="shared" si="17"/>
        <v>493</v>
      </c>
      <c r="B494" s="682" t="s">
        <v>674</v>
      </c>
      <c r="C494" s="683" t="s">
        <v>675</v>
      </c>
      <c r="D494" s="684" t="s">
        <v>224</v>
      </c>
      <c r="E494" s="4">
        <v>1</v>
      </c>
      <c r="F494" s="414">
        <v>1</v>
      </c>
      <c r="G494" s="179">
        <v>45700</v>
      </c>
      <c r="H494" s="415">
        <v>1</v>
      </c>
      <c r="I494" s="446">
        <v>0.3125</v>
      </c>
      <c r="J494" s="685">
        <v>0.32291666666666669</v>
      </c>
      <c r="K494" s="417">
        <f t="shared" si="16"/>
        <v>0.25000000000000044</v>
      </c>
      <c r="L494" s="9">
        <v>45700</v>
      </c>
      <c r="M494" s="316" t="s">
        <v>1379</v>
      </c>
      <c r="N494" s="113" t="s">
        <v>8</v>
      </c>
      <c r="O494" s="2"/>
    </row>
    <row r="495" spans="1:15" s="1" customFormat="1">
      <c r="A495" s="4">
        <f t="shared" si="17"/>
        <v>494</v>
      </c>
      <c r="B495" s="682" t="s">
        <v>671</v>
      </c>
      <c r="C495" s="677" t="s">
        <v>670</v>
      </c>
      <c r="D495" s="684" t="s">
        <v>286</v>
      </c>
      <c r="E495" s="4">
        <v>1</v>
      </c>
      <c r="F495" s="414">
        <v>1</v>
      </c>
      <c r="G495" s="179">
        <v>45700</v>
      </c>
      <c r="H495" s="415">
        <v>1</v>
      </c>
      <c r="I495" s="446">
        <v>0.3125</v>
      </c>
      <c r="J495" s="685">
        <v>0.32291666666666669</v>
      </c>
      <c r="K495" s="417">
        <f t="shared" si="16"/>
        <v>0.25000000000000044</v>
      </c>
      <c r="L495" s="9">
        <v>45700</v>
      </c>
      <c r="M495" s="316" t="s">
        <v>1379</v>
      </c>
      <c r="N495" s="116" t="s">
        <v>6</v>
      </c>
      <c r="O495" s="2"/>
    </row>
    <row r="496" spans="1:15" s="1" customFormat="1">
      <c r="A496" s="4">
        <f t="shared" si="17"/>
        <v>495</v>
      </c>
      <c r="B496" s="682" t="s">
        <v>676</v>
      </c>
      <c r="C496" s="683" t="s">
        <v>677</v>
      </c>
      <c r="D496" s="684" t="s">
        <v>96</v>
      </c>
      <c r="E496" s="4">
        <v>10</v>
      </c>
      <c r="F496" s="414">
        <v>10</v>
      </c>
      <c r="G496" s="179">
        <v>45701</v>
      </c>
      <c r="H496" s="415">
        <v>1</v>
      </c>
      <c r="I496" s="446">
        <v>0.54166666666666663</v>
      </c>
      <c r="J496" s="685">
        <v>0.58333333333333337</v>
      </c>
      <c r="K496" s="417">
        <f t="shared" si="16"/>
        <v>1.0000000000000018</v>
      </c>
      <c r="L496" s="9">
        <v>45701</v>
      </c>
      <c r="M496" s="316" t="s">
        <v>1379</v>
      </c>
      <c r="N496" s="117" t="s">
        <v>9</v>
      </c>
      <c r="O496" s="2"/>
    </row>
    <row r="497" spans="1:15" s="1" customFormat="1">
      <c r="A497" s="4">
        <f t="shared" si="17"/>
        <v>496</v>
      </c>
      <c r="B497" s="686" t="s">
        <v>683</v>
      </c>
      <c r="C497" s="687" t="s">
        <v>678</v>
      </c>
      <c r="D497" s="688" t="s">
        <v>67</v>
      </c>
      <c r="E497" s="4">
        <v>2</v>
      </c>
      <c r="F497" s="414">
        <v>2</v>
      </c>
      <c r="G497" s="179">
        <v>45702</v>
      </c>
      <c r="H497" s="415">
        <v>1</v>
      </c>
      <c r="I497" s="446">
        <v>0.33333333333333331</v>
      </c>
      <c r="J497" s="446">
        <v>0.36805555555555558</v>
      </c>
      <c r="K497" s="417">
        <f t="shared" si="16"/>
        <v>0.83333333333333437</v>
      </c>
      <c r="L497" s="9">
        <v>45702</v>
      </c>
      <c r="M497" s="316" t="s">
        <v>1379</v>
      </c>
      <c r="N497" s="116" t="s">
        <v>6</v>
      </c>
      <c r="O497" s="2"/>
    </row>
    <row r="498" spans="1:15" s="1" customFormat="1">
      <c r="A498" s="4">
        <f t="shared" si="17"/>
        <v>497</v>
      </c>
      <c r="B498" s="686" t="s">
        <v>682</v>
      </c>
      <c r="C498" s="687" t="s">
        <v>679</v>
      </c>
      <c r="D498" s="688" t="s">
        <v>174</v>
      </c>
      <c r="E498" s="4">
        <v>2</v>
      </c>
      <c r="F498" s="414">
        <v>2</v>
      </c>
      <c r="G498" s="179">
        <v>45702</v>
      </c>
      <c r="H498" s="415">
        <v>1</v>
      </c>
      <c r="I498" s="446">
        <v>0.33333333333333331</v>
      </c>
      <c r="J498" s="689">
        <v>0.3611111111111111</v>
      </c>
      <c r="K498" s="417">
        <f t="shared" si="16"/>
        <v>0.66666666666666696</v>
      </c>
      <c r="L498" s="9">
        <v>45702</v>
      </c>
      <c r="M498" s="316" t="s">
        <v>1379</v>
      </c>
      <c r="N498" s="116" t="s">
        <v>6</v>
      </c>
      <c r="O498" s="2"/>
    </row>
    <row r="499" spans="1:15" s="1" customFormat="1">
      <c r="A499" s="4">
        <f t="shared" si="17"/>
        <v>498</v>
      </c>
      <c r="B499" s="686" t="s">
        <v>680</v>
      </c>
      <c r="C499" s="687" t="s">
        <v>681</v>
      </c>
      <c r="D499" s="688" t="s">
        <v>310</v>
      </c>
      <c r="E499" s="4">
        <v>68</v>
      </c>
      <c r="F499" s="414">
        <v>68</v>
      </c>
      <c r="G499" s="179">
        <v>45702</v>
      </c>
      <c r="H499" s="415">
        <v>2</v>
      </c>
      <c r="I499" s="446">
        <v>0.375</v>
      </c>
      <c r="J499" s="689">
        <v>0.47916666666666669</v>
      </c>
      <c r="K499" s="417">
        <f t="shared" si="16"/>
        <v>5.0000000000000009</v>
      </c>
      <c r="L499" s="9">
        <v>45702</v>
      </c>
      <c r="M499" s="316" t="s">
        <v>1379</v>
      </c>
      <c r="N499" s="116" t="s">
        <v>6</v>
      </c>
      <c r="O499" s="2"/>
    </row>
    <row r="500" spans="1:15" s="1" customFormat="1">
      <c r="A500" s="4">
        <f t="shared" si="17"/>
        <v>499</v>
      </c>
      <c r="B500" s="686" t="s">
        <v>684</v>
      </c>
      <c r="C500" s="687" t="s">
        <v>685</v>
      </c>
      <c r="D500" s="688" t="s">
        <v>310</v>
      </c>
      <c r="E500" s="4">
        <v>42</v>
      </c>
      <c r="F500" s="414">
        <v>42</v>
      </c>
      <c r="G500" s="179">
        <v>45702</v>
      </c>
      <c r="H500" s="415">
        <v>2</v>
      </c>
      <c r="I500" s="446">
        <v>0.375</v>
      </c>
      <c r="J500" s="446">
        <v>0.47222222222222227</v>
      </c>
      <c r="K500" s="417">
        <f t="shared" si="16"/>
        <v>4.6666666666666687</v>
      </c>
      <c r="L500" s="9">
        <v>45702</v>
      </c>
      <c r="M500" s="316" t="s">
        <v>1379</v>
      </c>
      <c r="N500" s="116" t="s">
        <v>6</v>
      </c>
      <c r="O500" s="2"/>
    </row>
    <row r="501" spans="1:15" s="1" customFormat="1">
      <c r="A501" s="4">
        <f t="shared" si="17"/>
        <v>500</v>
      </c>
      <c r="B501" s="423" t="s">
        <v>84</v>
      </c>
      <c r="C501" s="7" t="s">
        <v>147</v>
      </c>
      <c r="D501" s="690" t="s">
        <v>91</v>
      </c>
      <c r="E501" s="7">
        <v>30</v>
      </c>
      <c r="F501" s="425">
        <v>30</v>
      </c>
      <c r="G501" s="426">
        <v>45709</v>
      </c>
      <c r="H501" s="427">
        <v>1</v>
      </c>
      <c r="I501" s="465">
        <v>0.375</v>
      </c>
      <c r="J501" s="465">
        <v>0.40625</v>
      </c>
      <c r="K501" s="417">
        <f t="shared" si="16"/>
        <v>0.75</v>
      </c>
      <c r="L501" s="11">
        <v>45709</v>
      </c>
      <c r="M501" s="315" t="s">
        <v>1380</v>
      </c>
      <c r="N501" s="6" t="s">
        <v>7</v>
      </c>
      <c r="O501" s="13" t="s">
        <v>151</v>
      </c>
    </row>
    <row r="502" spans="1:15" s="1" customFormat="1">
      <c r="A502" s="4">
        <f t="shared" si="17"/>
        <v>501</v>
      </c>
      <c r="B502" s="423" t="s">
        <v>84</v>
      </c>
      <c r="C502" s="7" t="s">
        <v>147</v>
      </c>
      <c r="D502" s="690" t="s">
        <v>149</v>
      </c>
      <c r="E502" s="7">
        <v>60</v>
      </c>
      <c r="F502" s="425">
        <v>60</v>
      </c>
      <c r="G502" s="426">
        <v>45709</v>
      </c>
      <c r="H502" s="427">
        <v>1</v>
      </c>
      <c r="I502" s="465">
        <v>0.375</v>
      </c>
      <c r="J502" s="465">
        <v>0.41666666666666669</v>
      </c>
      <c r="K502" s="417">
        <f t="shared" si="16"/>
        <v>1.0000000000000004</v>
      </c>
      <c r="L502" s="11">
        <v>45709</v>
      </c>
      <c r="M502" s="315" t="s">
        <v>1380</v>
      </c>
      <c r="N502" s="6" t="s">
        <v>7</v>
      </c>
      <c r="O502" s="13" t="s">
        <v>151</v>
      </c>
    </row>
    <row r="503" spans="1:15" s="1" customFormat="1">
      <c r="A503" s="4">
        <f t="shared" si="17"/>
        <v>502</v>
      </c>
      <c r="B503" s="691" t="s">
        <v>686</v>
      </c>
      <c r="C503" s="692" t="s">
        <v>687</v>
      </c>
      <c r="D503" s="693" t="s">
        <v>177</v>
      </c>
      <c r="E503" s="4">
        <v>20</v>
      </c>
      <c r="F503" s="414">
        <v>20</v>
      </c>
      <c r="G503" s="179">
        <v>45709</v>
      </c>
      <c r="H503" s="415">
        <v>2</v>
      </c>
      <c r="I503" s="446">
        <v>0.625</v>
      </c>
      <c r="J503" s="446">
        <v>0.66666666666666663</v>
      </c>
      <c r="K503" s="417">
        <f t="shared" si="16"/>
        <v>1.9999999999999982</v>
      </c>
      <c r="L503" s="9">
        <v>45709</v>
      </c>
      <c r="M503" s="315" t="s">
        <v>1380</v>
      </c>
      <c r="N503" s="118" t="s">
        <v>185</v>
      </c>
      <c r="O503" s="119" t="s">
        <v>228</v>
      </c>
    </row>
    <row r="504" spans="1:15" s="1" customFormat="1">
      <c r="A504" s="4">
        <f t="shared" si="17"/>
        <v>503</v>
      </c>
      <c r="B504" s="423" t="s">
        <v>84</v>
      </c>
      <c r="C504" s="7" t="s">
        <v>147</v>
      </c>
      <c r="D504" s="690" t="s">
        <v>261</v>
      </c>
      <c r="E504" s="7">
        <v>2</v>
      </c>
      <c r="F504" s="425">
        <v>2</v>
      </c>
      <c r="G504" s="426">
        <v>45709</v>
      </c>
      <c r="H504" s="427">
        <v>1</v>
      </c>
      <c r="I504" s="465">
        <v>0.58333333333333337</v>
      </c>
      <c r="J504" s="465">
        <v>0.60416666666666663</v>
      </c>
      <c r="K504" s="417">
        <f t="shared" si="16"/>
        <v>0.49999999999999822</v>
      </c>
      <c r="L504" s="11">
        <v>45709</v>
      </c>
      <c r="M504" s="315" t="s">
        <v>1380</v>
      </c>
      <c r="N504" s="120" t="s">
        <v>185</v>
      </c>
      <c r="O504" s="121" t="s">
        <v>688</v>
      </c>
    </row>
    <row r="505" spans="1:15" s="1" customFormat="1">
      <c r="A505" s="4">
        <f t="shared" si="17"/>
        <v>504</v>
      </c>
      <c r="B505" s="694" t="s">
        <v>689</v>
      </c>
      <c r="C505" s="695" t="s">
        <v>690</v>
      </c>
      <c r="D505" s="696" t="s">
        <v>103</v>
      </c>
      <c r="E505" s="4">
        <v>1</v>
      </c>
      <c r="F505" s="414">
        <v>1</v>
      </c>
      <c r="G505" s="179">
        <v>45709</v>
      </c>
      <c r="H505" s="415">
        <v>1</v>
      </c>
      <c r="I505" s="446">
        <v>0.33333333333333331</v>
      </c>
      <c r="J505" s="446">
        <v>0.34722222222222227</v>
      </c>
      <c r="K505" s="417">
        <f t="shared" si="16"/>
        <v>0.33333333333333481</v>
      </c>
      <c r="L505" s="9">
        <v>45709</v>
      </c>
      <c r="M505" s="315" t="s">
        <v>1380</v>
      </c>
      <c r="N505" s="122" t="s">
        <v>11</v>
      </c>
      <c r="O505" s="2"/>
    </row>
    <row r="506" spans="1:15" s="1" customFormat="1">
      <c r="A506" s="4">
        <f t="shared" si="17"/>
        <v>505</v>
      </c>
      <c r="B506" s="412"/>
      <c r="C506" s="695" t="s">
        <v>691</v>
      </c>
      <c r="D506" s="696" t="s">
        <v>578</v>
      </c>
      <c r="E506" s="4">
        <v>30</v>
      </c>
      <c r="F506" s="414">
        <v>30</v>
      </c>
      <c r="G506" s="179">
        <v>45709</v>
      </c>
      <c r="H506" s="415">
        <v>1</v>
      </c>
      <c r="I506" s="446">
        <v>0.33333333333333331</v>
      </c>
      <c r="J506" s="446">
        <v>0.36458333333333331</v>
      </c>
      <c r="K506" s="417">
        <f t="shared" si="16"/>
        <v>0.75</v>
      </c>
      <c r="L506" s="9">
        <v>45709</v>
      </c>
      <c r="M506" s="315" t="s">
        <v>1380</v>
      </c>
      <c r="N506" s="122" t="s">
        <v>11</v>
      </c>
      <c r="O506" s="2"/>
    </row>
    <row r="507" spans="1:15" s="1" customFormat="1">
      <c r="A507" s="4">
        <f t="shared" si="17"/>
        <v>506</v>
      </c>
      <c r="B507" s="694" t="s">
        <v>692</v>
      </c>
      <c r="C507" s="695" t="s">
        <v>693</v>
      </c>
      <c r="D507" s="696" t="s">
        <v>694</v>
      </c>
      <c r="E507" s="4">
        <v>2</v>
      </c>
      <c r="F507" s="414">
        <v>2</v>
      </c>
      <c r="G507" s="179">
        <v>45709</v>
      </c>
      <c r="H507" s="415">
        <v>1</v>
      </c>
      <c r="I507" s="446">
        <v>0.33333333333333331</v>
      </c>
      <c r="J507" s="446">
        <v>0.35416666666666669</v>
      </c>
      <c r="K507" s="417">
        <f t="shared" si="16"/>
        <v>0.50000000000000089</v>
      </c>
      <c r="L507" s="9">
        <v>45709</v>
      </c>
      <c r="M507" s="315" t="s">
        <v>1380</v>
      </c>
      <c r="N507" s="122" t="s">
        <v>6</v>
      </c>
      <c r="O507" s="2"/>
    </row>
    <row r="508" spans="1:15" s="1" customFormat="1">
      <c r="A508" s="4">
        <f t="shared" si="17"/>
        <v>507</v>
      </c>
      <c r="B508" s="694" t="s">
        <v>695</v>
      </c>
      <c r="C508" s="695" t="s">
        <v>696</v>
      </c>
      <c r="D508" s="696" t="s">
        <v>122</v>
      </c>
      <c r="E508" s="4">
        <v>1</v>
      </c>
      <c r="F508" s="414">
        <v>1</v>
      </c>
      <c r="G508" s="179">
        <v>45709</v>
      </c>
      <c r="H508" s="415">
        <v>1</v>
      </c>
      <c r="I508" s="446">
        <v>0.33333333333333331</v>
      </c>
      <c r="J508" s="446">
        <v>0.35416666666666669</v>
      </c>
      <c r="K508" s="417">
        <f t="shared" si="16"/>
        <v>0.50000000000000089</v>
      </c>
      <c r="L508" s="9">
        <v>45709</v>
      </c>
      <c r="M508" s="315" t="s">
        <v>1380</v>
      </c>
      <c r="N508" s="122" t="s">
        <v>6</v>
      </c>
      <c r="O508" s="2"/>
    </row>
    <row r="509" spans="1:15" s="1" customFormat="1">
      <c r="A509" s="4">
        <f t="shared" si="17"/>
        <v>508</v>
      </c>
      <c r="B509" s="412"/>
      <c r="C509" s="697" t="s">
        <v>647</v>
      </c>
      <c r="D509" s="698" t="s">
        <v>697</v>
      </c>
      <c r="E509" s="4">
        <v>100</v>
      </c>
      <c r="F509" s="414">
        <v>100</v>
      </c>
      <c r="G509" s="179">
        <v>45719</v>
      </c>
      <c r="H509" s="415">
        <v>3</v>
      </c>
      <c r="I509" s="446">
        <v>0.29166666666666669</v>
      </c>
      <c r="J509" s="446">
        <v>0.625</v>
      </c>
      <c r="K509" s="417">
        <f t="shared" si="16"/>
        <v>24</v>
      </c>
      <c r="L509" s="9">
        <v>45719</v>
      </c>
      <c r="M509" s="316" t="s">
        <v>1381</v>
      </c>
      <c r="N509" s="123" t="s">
        <v>11</v>
      </c>
      <c r="O509" s="2"/>
    </row>
    <row r="510" spans="1:15" s="1" customFormat="1">
      <c r="A510" s="4">
        <f t="shared" si="17"/>
        <v>509</v>
      </c>
      <c r="B510" s="412"/>
      <c r="C510" s="697" t="s">
        <v>698</v>
      </c>
      <c r="D510" s="698" t="s">
        <v>699</v>
      </c>
      <c r="E510" s="4">
        <v>1</v>
      </c>
      <c r="F510" s="414">
        <v>1</v>
      </c>
      <c r="G510" s="179">
        <v>45720</v>
      </c>
      <c r="H510" s="415">
        <v>2</v>
      </c>
      <c r="I510" s="446">
        <v>0.29166666666666669</v>
      </c>
      <c r="J510" s="446">
        <v>0.77083333333333337</v>
      </c>
      <c r="K510" s="417">
        <f t="shared" si="16"/>
        <v>23</v>
      </c>
      <c r="L510" s="9">
        <v>45720</v>
      </c>
      <c r="M510" s="316" t="s">
        <v>1381</v>
      </c>
      <c r="N510" s="123" t="s">
        <v>11</v>
      </c>
      <c r="O510" s="2"/>
    </row>
    <row r="511" spans="1:15" s="1" customFormat="1">
      <c r="A511" s="4">
        <f t="shared" si="17"/>
        <v>510</v>
      </c>
      <c r="B511" s="412"/>
      <c r="C511" s="699" t="s">
        <v>577</v>
      </c>
      <c r="D511" s="700" t="s">
        <v>700</v>
      </c>
      <c r="E511" s="4">
        <v>5</v>
      </c>
      <c r="F511" s="414">
        <v>5</v>
      </c>
      <c r="G511" s="179">
        <v>45722</v>
      </c>
      <c r="H511" s="415">
        <v>4</v>
      </c>
      <c r="I511" s="446">
        <v>0.375</v>
      </c>
      <c r="J511" s="446">
        <v>0.80555555555555547</v>
      </c>
      <c r="K511" s="417">
        <f t="shared" si="16"/>
        <v>41.333333333333329</v>
      </c>
      <c r="L511" s="124">
        <v>45722</v>
      </c>
      <c r="M511" s="316" t="s">
        <v>1381</v>
      </c>
      <c r="N511" s="123" t="s">
        <v>11</v>
      </c>
      <c r="O511" s="2"/>
    </row>
    <row r="512" spans="1:15" s="1" customFormat="1">
      <c r="A512" s="4">
        <f t="shared" si="17"/>
        <v>511</v>
      </c>
      <c r="B512" s="412"/>
      <c r="C512" s="699" t="s">
        <v>701</v>
      </c>
      <c r="D512" s="700" t="s">
        <v>702</v>
      </c>
      <c r="E512" s="4"/>
      <c r="F512" s="414">
        <v>3</v>
      </c>
      <c r="G512" s="179">
        <v>45722</v>
      </c>
      <c r="H512" s="415">
        <v>3</v>
      </c>
      <c r="I512" s="446">
        <v>0.33333333333333331</v>
      </c>
      <c r="J512" s="701">
        <v>0.8125</v>
      </c>
      <c r="K512" s="417">
        <f t="shared" si="16"/>
        <v>34.5</v>
      </c>
      <c r="L512" s="124">
        <v>45722</v>
      </c>
      <c r="M512" s="316" t="s">
        <v>1381</v>
      </c>
      <c r="N512" s="125" t="s">
        <v>7</v>
      </c>
      <c r="O512" s="2"/>
    </row>
    <row r="513" spans="1:15" s="1" customFormat="1">
      <c r="A513" s="4">
        <f t="shared" si="17"/>
        <v>512</v>
      </c>
      <c r="B513" s="702" t="s">
        <v>703</v>
      </c>
      <c r="C513" s="703" t="s">
        <v>744</v>
      </c>
      <c r="D513" s="704"/>
      <c r="E513" s="4" t="e">
        <f>VLOOKUP(B513,'[1]SCHEDULE WK RM-MC WIP AT PANEL'!$C:$E,3,0)</f>
        <v>#N/A</v>
      </c>
      <c r="F513" s="414">
        <v>14</v>
      </c>
      <c r="G513" s="179">
        <v>45722</v>
      </c>
      <c r="H513" s="415">
        <v>6</v>
      </c>
      <c r="I513" s="446">
        <v>0.33333333333333331</v>
      </c>
      <c r="J513" s="446">
        <v>0.34722222222222227</v>
      </c>
      <c r="K513" s="417">
        <f t="shared" si="16"/>
        <v>2.0000000000000089</v>
      </c>
      <c r="L513" s="124">
        <v>45722</v>
      </c>
      <c r="M513" s="316" t="s">
        <v>1381</v>
      </c>
      <c r="N513" s="116" t="s">
        <v>6</v>
      </c>
      <c r="O513" s="2"/>
    </row>
    <row r="514" spans="1:15" s="1" customFormat="1">
      <c r="A514" s="4">
        <f t="shared" si="17"/>
        <v>513</v>
      </c>
      <c r="B514" s="702" t="s">
        <v>704</v>
      </c>
      <c r="C514" s="703" t="s">
        <v>744</v>
      </c>
      <c r="D514" s="704"/>
      <c r="E514" s="4" t="e">
        <f>VLOOKUP(B514,'[1]SCHEDULE WK RM-MC WIP AT PANEL'!$C:$E,3,0)</f>
        <v>#N/A</v>
      </c>
      <c r="F514" s="414">
        <v>24</v>
      </c>
      <c r="G514" s="179">
        <v>45722</v>
      </c>
      <c r="H514" s="415">
        <v>6</v>
      </c>
      <c r="I514" s="446">
        <v>0.33333333333333331</v>
      </c>
      <c r="J514" s="446">
        <v>0.35416666666666669</v>
      </c>
      <c r="K514" s="417">
        <f t="shared" si="16"/>
        <v>3.0000000000000053</v>
      </c>
      <c r="L514" s="124">
        <v>45722</v>
      </c>
      <c r="M514" s="316" t="s">
        <v>1381</v>
      </c>
      <c r="N514" s="116" t="s">
        <v>6</v>
      </c>
      <c r="O514" s="2"/>
    </row>
    <row r="515" spans="1:15" s="1" customFormat="1">
      <c r="A515" s="4">
        <f t="shared" si="17"/>
        <v>514</v>
      </c>
      <c r="B515" s="702" t="s">
        <v>705</v>
      </c>
      <c r="C515" s="703" t="s">
        <v>744</v>
      </c>
      <c r="D515" s="704"/>
      <c r="E515" s="4" t="e">
        <f>VLOOKUP(B515,'[1]SCHEDULE WK RM-MC WIP AT PANEL'!$C:$E,3,0)</f>
        <v>#N/A</v>
      </c>
      <c r="F515" s="414">
        <v>28</v>
      </c>
      <c r="G515" s="179">
        <v>45722</v>
      </c>
      <c r="H515" s="415">
        <v>6</v>
      </c>
      <c r="I515" s="446">
        <v>0.33333333333333331</v>
      </c>
      <c r="J515" s="446">
        <v>0.34722222222222227</v>
      </c>
      <c r="K515" s="417">
        <f t="shared" si="16"/>
        <v>2.0000000000000089</v>
      </c>
      <c r="L515" s="124">
        <v>45722</v>
      </c>
      <c r="M515" s="316" t="s">
        <v>1381</v>
      </c>
      <c r="N515" s="116" t="s">
        <v>6</v>
      </c>
      <c r="O515" s="2"/>
    </row>
    <row r="516" spans="1:15" s="1" customFormat="1">
      <c r="A516" s="4">
        <f t="shared" si="17"/>
        <v>515</v>
      </c>
      <c r="B516" s="702" t="s">
        <v>706</v>
      </c>
      <c r="C516" s="703" t="s">
        <v>745</v>
      </c>
      <c r="D516" s="704"/>
      <c r="E516" s="4" t="e">
        <f>VLOOKUP(B516,'[1]SCHEDULE WK RM-MC WIP AT PANEL'!$C:$E,3,0)</f>
        <v>#N/A</v>
      </c>
      <c r="F516" s="414">
        <v>18</v>
      </c>
      <c r="G516" s="179">
        <v>45722</v>
      </c>
      <c r="H516" s="415">
        <v>6</v>
      </c>
      <c r="I516" s="446">
        <v>0.33333333333333331</v>
      </c>
      <c r="J516" s="446">
        <v>0.35416666666666669</v>
      </c>
      <c r="K516" s="417">
        <f t="shared" ref="K516:K577" si="18">(J516-I516)*24*H516</f>
        <v>3.0000000000000053</v>
      </c>
      <c r="L516" s="124">
        <v>45722</v>
      </c>
      <c r="M516" s="316" t="s">
        <v>1381</v>
      </c>
      <c r="N516" s="116" t="s">
        <v>6</v>
      </c>
      <c r="O516" s="2"/>
    </row>
    <row r="517" spans="1:15" s="1" customFormat="1">
      <c r="A517" s="4">
        <f t="shared" si="17"/>
        <v>516</v>
      </c>
      <c r="B517" s="702" t="s">
        <v>707</v>
      </c>
      <c r="C517" s="703" t="s">
        <v>745</v>
      </c>
      <c r="D517" s="704"/>
      <c r="E517" s="4" t="e">
        <f>VLOOKUP(B517,'[1]SCHEDULE WK RM-MC WIP AT PANEL'!$C:$E,3,0)</f>
        <v>#N/A</v>
      </c>
      <c r="F517" s="414">
        <v>23</v>
      </c>
      <c r="G517" s="179">
        <v>45722</v>
      </c>
      <c r="H517" s="415">
        <v>6</v>
      </c>
      <c r="I517" s="446">
        <v>0.33333333333333331</v>
      </c>
      <c r="J517" s="446">
        <v>0.34722222222222227</v>
      </c>
      <c r="K517" s="417">
        <f t="shared" si="18"/>
        <v>2.0000000000000089</v>
      </c>
      <c r="L517" s="124">
        <v>45722</v>
      </c>
      <c r="M517" s="316" t="s">
        <v>1381</v>
      </c>
      <c r="N517" s="116" t="s">
        <v>6</v>
      </c>
      <c r="O517" s="2"/>
    </row>
    <row r="518" spans="1:15" s="1" customFormat="1">
      <c r="A518" s="4">
        <f t="shared" si="17"/>
        <v>517</v>
      </c>
      <c r="B518" s="702" t="s">
        <v>708</v>
      </c>
      <c r="C518" s="703" t="s">
        <v>746</v>
      </c>
      <c r="D518" s="704"/>
      <c r="E518" s="4" t="e">
        <f>VLOOKUP(B518,'[1]SCHEDULE WK RM-MC WIP AT PANEL'!$C:$E,3,0)</f>
        <v>#N/A</v>
      </c>
      <c r="F518" s="414">
        <v>16</v>
      </c>
      <c r="G518" s="179">
        <v>45722</v>
      </c>
      <c r="H518" s="415">
        <v>6</v>
      </c>
      <c r="I518" s="446">
        <v>0.33333333333333331</v>
      </c>
      <c r="J518" s="446">
        <v>0.34722222222222227</v>
      </c>
      <c r="K518" s="417">
        <f t="shared" si="18"/>
        <v>2.0000000000000089</v>
      </c>
      <c r="L518" s="124">
        <v>45722</v>
      </c>
      <c r="M518" s="316" t="s">
        <v>1381</v>
      </c>
      <c r="N518" s="116" t="s">
        <v>6</v>
      </c>
      <c r="O518" s="2"/>
    </row>
    <row r="519" spans="1:15" s="1" customFormat="1">
      <c r="A519" s="4">
        <f t="shared" si="17"/>
        <v>518</v>
      </c>
      <c r="B519" s="702" t="s">
        <v>709</v>
      </c>
      <c r="C519" s="703" t="s">
        <v>746</v>
      </c>
      <c r="D519" s="704"/>
      <c r="E519" s="4" t="e">
        <f>VLOOKUP(B519,'[1]SCHEDULE WK RM-MC WIP AT PANEL'!$C:$E,3,0)</f>
        <v>#N/A</v>
      </c>
      <c r="F519" s="414">
        <v>7</v>
      </c>
      <c r="G519" s="179">
        <v>45722</v>
      </c>
      <c r="H519" s="415">
        <v>6</v>
      </c>
      <c r="I519" s="446">
        <v>0.33333333333333331</v>
      </c>
      <c r="J519" s="446">
        <v>0.34722222222222227</v>
      </c>
      <c r="K519" s="417">
        <f t="shared" si="18"/>
        <v>2.0000000000000089</v>
      </c>
      <c r="L519" s="124">
        <v>45722</v>
      </c>
      <c r="M519" s="316" t="s">
        <v>1381</v>
      </c>
      <c r="N519" s="116" t="s">
        <v>6</v>
      </c>
      <c r="O519" s="2"/>
    </row>
    <row r="520" spans="1:15" s="1" customFormat="1">
      <c r="A520" s="4">
        <f t="shared" si="17"/>
        <v>519</v>
      </c>
      <c r="B520" s="705" t="s">
        <v>710</v>
      </c>
      <c r="C520" s="703" t="s">
        <v>747</v>
      </c>
      <c r="D520" s="704"/>
      <c r="E520" s="4" t="e">
        <f>VLOOKUP(B520,'[1]SCHEDULE WK RM-MC WIP AT PANEL'!$C:$E,3,0)</f>
        <v>#N/A</v>
      </c>
      <c r="F520" s="414">
        <v>16</v>
      </c>
      <c r="G520" s="179">
        <v>45722</v>
      </c>
      <c r="H520" s="415">
        <v>6</v>
      </c>
      <c r="I520" s="446">
        <v>0.33333333333333331</v>
      </c>
      <c r="J520" s="446">
        <v>0.34722222222222227</v>
      </c>
      <c r="K520" s="417">
        <f t="shared" si="18"/>
        <v>2.0000000000000089</v>
      </c>
      <c r="L520" s="124">
        <v>45722</v>
      </c>
      <c r="M520" s="316" t="s">
        <v>1381</v>
      </c>
      <c r="N520" s="116" t="s">
        <v>6</v>
      </c>
      <c r="O520" s="2"/>
    </row>
    <row r="521" spans="1:15" s="1" customFormat="1">
      <c r="A521" s="4">
        <f t="shared" si="17"/>
        <v>520</v>
      </c>
      <c r="B521" s="702" t="s">
        <v>711</v>
      </c>
      <c r="C521" s="703" t="s">
        <v>748</v>
      </c>
      <c r="D521" s="704"/>
      <c r="E521" s="4" t="e">
        <f>VLOOKUP(B521,'[1]SCHEDULE WK RM-MC WIP AT PANEL'!$C:$E,3,0)</f>
        <v>#N/A</v>
      </c>
      <c r="F521" s="414">
        <v>27</v>
      </c>
      <c r="G521" s="179">
        <v>45722</v>
      </c>
      <c r="H521" s="415">
        <v>6</v>
      </c>
      <c r="I521" s="446">
        <v>0.33333333333333331</v>
      </c>
      <c r="J521" s="446">
        <v>0.35416666666666669</v>
      </c>
      <c r="K521" s="417">
        <f t="shared" si="18"/>
        <v>3.0000000000000053</v>
      </c>
      <c r="L521" s="124">
        <v>45722</v>
      </c>
      <c r="M521" s="316" t="s">
        <v>1381</v>
      </c>
      <c r="N521" s="116" t="s">
        <v>6</v>
      </c>
      <c r="O521" s="2"/>
    </row>
    <row r="522" spans="1:15" s="1" customFormat="1">
      <c r="A522" s="4">
        <f t="shared" si="17"/>
        <v>521</v>
      </c>
      <c r="B522" s="702" t="s">
        <v>712</v>
      </c>
      <c r="C522" s="703" t="s">
        <v>749</v>
      </c>
      <c r="D522" s="704"/>
      <c r="E522" s="4" t="e">
        <f>VLOOKUP(B522,'[1]SCHEDULE WK RM-MC WIP AT PANEL'!$C:$E,3,0)</f>
        <v>#N/A</v>
      </c>
      <c r="F522" s="414">
        <v>10</v>
      </c>
      <c r="G522" s="179">
        <v>45722</v>
      </c>
      <c r="H522" s="415">
        <v>6</v>
      </c>
      <c r="I522" s="446">
        <v>0.33333333333333331</v>
      </c>
      <c r="J522" s="446">
        <v>0.34375</v>
      </c>
      <c r="K522" s="417">
        <f t="shared" si="18"/>
        <v>1.5000000000000027</v>
      </c>
      <c r="L522" s="124">
        <v>45722</v>
      </c>
      <c r="M522" s="316" t="s">
        <v>1381</v>
      </c>
      <c r="N522" s="116" t="s">
        <v>6</v>
      </c>
      <c r="O522" s="2"/>
    </row>
    <row r="523" spans="1:15" s="1" customFormat="1">
      <c r="A523" s="4">
        <f t="shared" si="17"/>
        <v>522</v>
      </c>
      <c r="B523" s="702" t="s">
        <v>713</v>
      </c>
      <c r="C523" s="703" t="s">
        <v>749</v>
      </c>
      <c r="D523" s="704"/>
      <c r="E523" s="4" t="e">
        <f>VLOOKUP(B523,'[1]SCHEDULE WK RM-MC WIP AT PANEL'!$C:$E,3,0)</f>
        <v>#N/A</v>
      </c>
      <c r="F523" s="414">
        <v>3</v>
      </c>
      <c r="G523" s="179">
        <v>45722</v>
      </c>
      <c r="H523" s="415">
        <v>6</v>
      </c>
      <c r="I523" s="446">
        <v>0.33333333333333331</v>
      </c>
      <c r="J523" s="446">
        <v>0.34375</v>
      </c>
      <c r="K523" s="417">
        <f t="shared" si="18"/>
        <v>1.5000000000000027</v>
      </c>
      <c r="L523" s="124">
        <v>45722</v>
      </c>
      <c r="M523" s="316" t="s">
        <v>1381</v>
      </c>
      <c r="N523" s="116" t="s">
        <v>6</v>
      </c>
      <c r="O523" s="2"/>
    </row>
    <row r="524" spans="1:15" s="1" customFormat="1">
      <c r="A524" s="4">
        <f t="shared" si="17"/>
        <v>523</v>
      </c>
      <c r="B524" s="702" t="s">
        <v>714</v>
      </c>
      <c r="C524" s="703" t="s">
        <v>750</v>
      </c>
      <c r="D524" s="704"/>
      <c r="E524" s="4" t="e">
        <f>VLOOKUP(B524,'[1]SCHEDULE WK RM-MC WIP AT PANEL'!$C:$E,3,0)</f>
        <v>#N/A</v>
      </c>
      <c r="F524" s="414">
        <v>21</v>
      </c>
      <c r="G524" s="179">
        <v>45722</v>
      </c>
      <c r="H524" s="415">
        <v>6</v>
      </c>
      <c r="I524" s="446">
        <v>0.33333333333333331</v>
      </c>
      <c r="J524" s="446">
        <v>0.35416666666666669</v>
      </c>
      <c r="K524" s="417">
        <f t="shared" si="18"/>
        <v>3.0000000000000053</v>
      </c>
      <c r="L524" s="124">
        <v>45722</v>
      </c>
      <c r="M524" s="316" t="s">
        <v>1381</v>
      </c>
      <c r="N524" s="116" t="s">
        <v>6</v>
      </c>
      <c r="O524" s="2"/>
    </row>
    <row r="525" spans="1:15" s="1" customFormat="1">
      <c r="A525" s="4">
        <f t="shared" si="17"/>
        <v>524</v>
      </c>
      <c r="B525" s="702" t="s">
        <v>715</v>
      </c>
      <c r="C525" s="703" t="s">
        <v>751</v>
      </c>
      <c r="D525" s="704"/>
      <c r="E525" s="4" t="e">
        <f>VLOOKUP(B525,'[1]SCHEDULE WK RM-MC WIP AT PANEL'!$C:$E,3,0)</f>
        <v>#N/A</v>
      </c>
      <c r="F525" s="414">
        <v>34</v>
      </c>
      <c r="G525" s="179">
        <v>45722</v>
      </c>
      <c r="H525" s="415">
        <v>6</v>
      </c>
      <c r="I525" s="446">
        <v>0.33333333333333331</v>
      </c>
      <c r="J525" s="446">
        <v>0.35416666666666669</v>
      </c>
      <c r="K525" s="417">
        <f t="shared" si="18"/>
        <v>3.0000000000000053</v>
      </c>
      <c r="L525" s="124">
        <v>45722</v>
      </c>
      <c r="M525" s="316" t="s">
        <v>1381</v>
      </c>
      <c r="N525" s="116" t="s">
        <v>6</v>
      </c>
      <c r="O525" s="2"/>
    </row>
    <row r="526" spans="1:15" s="1" customFormat="1">
      <c r="A526" s="4">
        <f t="shared" si="17"/>
        <v>525</v>
      </c>
      <c r="B526" s="702" t="s">
        <v>716</v>
      </c>
      <c r="C526" s="703" t="s">
        <v>752</v>
      </c>
      <c r="D526" s="704"/>
      <c r="E526" s="4" t="e">
        <f>VLOOKUP(B526,'[1]SCHEDULE WK RM-MC WIP AT PANEL'!$C:$E,3,0)</f>
        <v>#N/A</v>
      </c>
      <c r="F526" s="414">
        <v>18</v>
      </c>
      <c r="G526" s="179">
        <v>45722</v>
      </c>
      <c r="H526" s="415">
        <v>6</v>
      </c>
      <c r="I526" s="446">
        <v>0.33333333333333331</v>
      </c>
      <c r="J526" s="446">
        <v>0.34375</v>
      </c>
      <c r="K526" s="417">
        <f t="shared" si="18"/>
        <v>1.5000000000000027</v>
      </c>
      <c r="L526" s="124">
        <v>45722</v>
      </c>
      <c r="M526" s="316" t="s">
        <v>1381</v>
      </c>
      <c r="N526" s="116" t="s">
        <v>6</v>
      </c>
      <c r="O526" s="2"/>
    </row>
    <row r="527" spans="1:15" s="1" customFormat="1">
      <c r="A527" s="4">
        <f t="shared" si="17"/>
        <v>526</v>
      </c>
      <c r="B527" s="702" t="s">
        <v>717</v>
      </c>
      <c r="C527" s="703" t="s">
        <v>753</v>
      </c>
      <c r="D527" s="704"/>
      <c r="E527" s="4" t="e">
        <f>VLOOKUP(B527,'[1]SCHEDULE WK RM-MC WIP AT PANEL'!$C:$E,3,0)</f>
        <v>#N/A</v>
      </c>
      <c r="F527" s="414">
        <v>24</v>
      </c>
      <c r="G527" s="179">
        <v>45722</v>
      </c>
      <c r="H527" s="415">
        <v>6</v>
      </c>
      <c r="I527" s="446">
        <v>0.33333333333333331</v>
      </c>
      <c r="J527" s="446">
        <v>0.35416666666666669</v>
      </c>
      <c r="K527" s="417">
        <f t="shared" si="18"/>
        <v>3.0000000000000053</v>
      </c>
      <c r="L527" s="124">
        <v>45722</v>
      </c>
      <c r="M527" s="316" t="s">
        <v>1381</v>
      </c>
      <c r="N527" s="116" t="s">
        <v>6</v>
      </c>
      <c r="O527" s="2"/>
    </row>
    <row r="528" spans="1:15" s="1" customFormat="1">
      <c r="A528" s="4">
        <f t="shared" si="17"/>
        <v>527</v>
      </c>
      <c r="B528" s="702" t="s">
        <v>718</v>
      </c>
      <c r="C528" s="703" t="s">
        <v>754</v>
      </c>
      <c r="D528" s="704"/>
      <c r="E528" s="4" t="e">
        <f>VLOOKUP(B528,'[1]SCHEDULE WK RM-MC WIP AT PANEL'!$C:$E,3,0)</f>
        <v>#N/A</v>
      </c>
      <c r="F528" s="414">
        <v>31</v>
      </c>
      <c r="G528" s="179">
        <v>45722</v>
      </c>
      <c r="H528" s="415">
        <v>6</v>
      </c>
      <c r="I528" s="446">
        <v>0.33333333333333331</v>
      </c>
      <c r="J528" s="446">
        <v>0.34375</v>
      </c>
      <c r="K528" s="417">
        <f t="shared" si="18"/>
        <v>1.5000000000000027</v>
      </c>
      <c r="L528" s="124">
        <v>45722</v>
      </c>
      <c r="M528" s="316" t="s">
        <v>1381</v>
      </c>
      <c r="N528" s="116" t="s">
        <v>6</v>
      </c>
      <c r="O528" s="2"/>
    </row>
    <row r="529" spans="1:15" s="1" customFormat="1">
      <c r="A529" s="4">
        <f t="shared" si="17"/>
        <v>528</v>
      </c>
      <c r="B529" s="702" t="s">
        <v>719</v>
      </c>
      <c r="C529" s="703" t="s">
        <v>755</v>
      </c>
      <c r="D529" s="704"/>
      <c r="E529" s="4" t="e">
        <f>VLOOKUP(B529,'[1]SCHEDULE WK RM-MC WIP AT PANEL'!$C:$E,3,0)</f>
        <v>#N/A</v>
      </c>
      <c r="F529" s="414">
        <v>31</v>
      </c>
      <c r="G529" s="179">
        <v>45722</v>
      </c>
      <c r="H529" s="415">
        <v>6</v>
      </c>
      <c r="I529" s="446">
        <v>0.33333333333333331</v>
      </c>
      <c r="J529" s="446">
        <v>0.34375</v>
      </c>
      <c r="K529" s="417">
        <f t="shared" si="18"/>
        <v>1.5000000000000027</v>
      </c>
      <c r="L529" s="124">
        <v>45722</v>
      </c>
      <c r="M529" s="316" t="s">
        <v>1381</v>
      </c>
      <c r="N529" s="116" t="s">
        <v>6</v>
      </c>
      <c r="O529" s="2"/>
    </row>
    <row r="530" spans="1:15" s="1" customFormat="1">
      <c r="A530" s="4">
        <f t="shared" si="17"/>
        <v>529</v>
      </c>
      <c r="B530" s="702" t="s">
        <v>720</v>
      </c>
      <c r="C530" s="703" t="s">
        <v>755</v>
      </c>
      <c r="D530" s="704"/>
      <c r="E530" s="4" t="e">
        <f>VLOOKUP(B530,'[1]SCHEDULE WK RM-MC WIP AT PANEL'!$C:$E,3,0)</f>
        <v>#N/A</v>
      </c>
      <c r="F530" s="414">
        <v>37</v>
      </c>
      <c r="G530" s="179">
        <v>45722</v>
      </c>
      <c r="H530" s="415">
        <v>6</v>
      </c>
      <c r="I530" s="446">
        <v>0.33333333333333331</v>
      </c>
      <c r="J530" s="446">
        <v>0.34375</v>
      </c>
      <c r="K530" s="417">
        <f t="shared" si="18"/>
        <v>1.5000000000000027</v>
      </c>
      <c r="L530" s="124">
        <v>45722</v>
      </c>
      <c r="M530" s="316" t="s">
        <v>1381</v>
      </c>
      <c r="N530" s="116" t="s">
        <v>6</v>
      </c>
      <c r="O530" s="2"/>
    </row>
    <row r="531" spans="1:15" s="1" customFormat="1">
      <c r="A531" s="4">
        <f t="shared" si="17"/>
        <v>530</v>
      </c>
      <c r="B531" s="702" t="s">
        <v>721</v>
      </c>
      <c r="C531" s="703" t="s">
        <v>756</v>
      </c>
      <c r="D531" s="704"/>
      <c r="E531" s="4" t="e">
        <f>VLOOKUP(B531,'[1]SCHEDULE WK RM-MC WIP AT PANEL'!$C:$E,3,0)</f>
        <v>#N/A</v>
      </c>
      <c r="F531" s="414">
        <v>13</v>
      </c>
      <c r="G531" s="179">
        <v>45722</v>
      </c>
      <c r="H531" s="415">
        <v>6</v>
      </c>
      <c r="I531" s="446">
        <v>0.33333333333333331</v>
      </c>
      <c r="J531" s="446">
        <v>0.35416666666666669</v>
      </c>
      <c r="K531" s="417">
        <f t="shared" si="18"/>
        <v>3.0000000000000053</v>
      </c>
      <c r="L531" s="124">
        <v>45722</v>
      </c>
      <c r="M531" s="316" t="s">
        <v>1381</v>
      </c>
      <c r="N531" s="116" t="s">
        <v>6</v>
      </c>
      <c r="O531" s="2"/>
    </row>
    <row r="532" spans="1:15" s="1" customFormat="1">
      <c r="A532" s="4">
        <f t="shared" si="17"/>
        <v>531</v>
      </c>
      <c r="B532" s="702" t="s">
        <v>722</v>
      </c>
      <c r="C532" s="703" t="s">
        <v>757</v>
      </c>
      <c r="D532" s="704"/>
      <c r="E532" s="4" t="e">
        <f>VLOOKUP(B532,'[1]SCHEDULE WK RM-MC WIP AT PANEL'!$C:$E,3,0)</f>
        <v>#N/A</v>
      </c>
      <c r="F532" s="414">
        <v>2</v>
      </c>
      <c r="G532" s="179">
        <v>45722</v>
      </c>
      <c r="H532" s="415">
        <v>6</v>
      </c>
      <c r="I532" s="446">
        <v>0.33333333333333331</v>
      </c>
      <c r="J532" s="446">
        <v>0.34375</v>
      </c>
      <c r="K532" s="417">
        <f t="shared" si="18"/>
        <v>1.5000000000000027</v>
      </c>
      <c r="L532" s="124">
        <v>45722</v>
      </c>
      <c r="M532" s="316" t="s">
        <v>1381</v>
      </c>
      <c r="N532" s="116" t="s">
        <v>6</v>
      </c>
      <c r="O532" s="2"/>
    </row>
    <row r="533" spans="1:15" s="1" customFormat="1">
      <c r="A533" s="4">
        <f t="shared" si="17"/>
        <v>532</v>
      </c>
      <c r="B533" s="702" t="s">
        <v>723</v>
      </c>
      <c r="C533" s="703" t="s">
        <v>757</v>
      </c>
      <c r="D533" s="704"/>
      <c r="E533" s="4" t="e">
        <f>VLOOKUP(B533,'[1]SCHEDULE WK RM-MC WIP AT PANEL'!$C:$E,3,0)</f>
        <v>#N/A</v>
      </c>
      <c r="F533" s="414">
        <v>10</v>
      </c>
      <c r="G533" s="179">
        <v>45722</v>
      </c>
      <c r="H533" s="415">
        <v>6</v>
      </c>
      <c r="I533" s="446">
        <v>0.33333333333333331</v>
      </c>
      <c r="J533" s="446">
        <v>0.34375</v>
      </c>
      <c r="K533" s="417">
        <f t="shared" si="18"/>
        <v>1.5000000000000027</v>
      </c>
      <c r="L533" s="124">
        <v>45722</v>
      </c>
      <c r="M533" s="316" t="s">
        <v>1381</v>
      </c>
      <c r="N533" s="116" t="s">
        <v>6</v>
      </c>
      <c r="O533" s="2"/>
    </row>
    <row r="534" spans="1:15" s="1" customFormat="1">
      <c r="A534" s="4">
        <f t="shared" si="17"/>
        <v>533</v>
      </c>
      <c r="B534" s="702" t="s">
        <v>724</v>
      </c>
      <c r="C534" s="703" t="s">
        <v>758</v>
      </c>
      <c r="D534" s="704"/>
      <c r="E534" s="4" t="e">
        <f>VLOOKUP(B534,'[1]SCHEDULE WK RM-MC WIP AT PANEL'!$C:$E,3,0)</f>
        <v>#N/A</v>
      </c>
      <c r="F534" s="414">
        <v>2</v>
      </c>
      <c r="G534" s="179">
        <v>45722</v>
      </c>
      <c r="H534" s="415">
        <v>6</v>
      </c>
      <c r="I534" s="446">
        <v>0.33333333333333331</v>
      </c>
      <c r="J534" s="446">
        <v>0.34375</v>
      </c>
      <c r="K534" s="417">
        <f t="shared" si="18"/>
        <v>1.5000000000000027</v>
      </c>
      <c r="L534" s="124">
        <v>45722</v>
      </c>
      <c r="M534" s="316" t="s">
        <v>1381</v>
      </c>
      <c r="N534" s="116" t="s">
        <v>6</v>
      </c>
      <c r="O534" s="2"/>
    </row>
    <row r="535" spans="1:15" s="1" customFormat="1">
      <c r="A535" s="4">
        <f t="shared" si="17"/>
        <v>534</v>
      </c>
      <c r="B535" s="702" t="s">
        <v>725</v>
      </c>
      <c r="C535" s="703" t="s">
        <v>744</v>
      </c>
      <c r="D535" s="704"/>
      <c r="E535" s="4" t="e">
        <f>VLOOKUP(B535,'[1]SCHEDULE WK RM-MC WIP AT PANEL'!$C:$E,3,0)</f>
        <v>#N/A</v>
      </c>
      <c r="F535" s="414">
        <v>11</v>
      </c>
      <c r="G535" s="179">
        <v>45722</v>
      </c>
      <c r="H535" s="415">
        <v>6</v>
      </c>
      <c r="I535" s="446">
        <v>0.33333333333333331</v>
      </c>
      <c r="J535" s="446">
        <v>0.35416666666666669</v>
      </c>
      <c r="K535" s="417">
        <f t="shared" si="18"/>
        <v>3.0000000000000053</v>
      </c>
      <c r="L535" s="124">
        <v>45722</v>
      </c>
      <c r="M535" s="316" t="s">
        <v>1381</v>
      </c>
      <c r="N535" s="116" t="s">
        <v>6</v>
      </c>
      <c r="O535" s="2"/>
    </row>
    <row r="536" spans="1:15" s="1" customFormat="1">
      <c r="A536" s="4">
        <f t="shared" si="17"/>
        <v>535</v>
      </c>
      <c r="B536" s="702" t="s">
        <v>703</v>
      </c>
      <c r="C536" s="703" t="s">
        <v>744</v>
      </c>
      <c r="D536" s="704"/>
      <c r="E536" s="4" t="e">
        <f>VLOOKUP(B536,'[1]SCHEDULE WK RM-MC WIP AT PANEL'!$C:$E,3,0)</f>
        <v>#N/A</v>
      </c>
      <c r="F536" s="414">
        <v>14</v>
      </c>
      <c r="G536" s="179">
        <v>45722</v>
      </c>
      <c r="H536" s="415">
        <v>6</v>
      </c>
      <c r="I536" s="446">
        <v>0.33333333333333331</v>
      </c>
      <c r="J536" s="446">
        <v>0.34375</v>
      </c>
      <c r="K536" s="417">
        <f t="shared" si="18"/>
        <v>1.5000000000000027</v>
      </c>
      <c r="L536" s="124">
        <v>45722</v>
      </c>
      <c r="M536" s="316" t="s">
        <v>1381</v>
      </c>
      <c r="N536" s="116" t="s">
        <v>6</v>
      </c>
      <c r="O536" s="2"/>
    </row>
    <row r="537" spans="1:15" s="1" customFormat="1">
      <c r="A537" s="4">
        <f t="shared" si="17"/>
        <v>536</v>
      </c>
      <c r="B537" s="702" t="s">
        <v>704</v>
      </c>
      <c r="C537" s="703" t="s">
        <v>744</v>
      </c>
      <c r="D537" s="704"/>
      <c r="E537" s="4" t="e">
        <f>VLOOKUP(B537,'[1]SCHEDULE WK RM-MC WIP AT PANEL'!$C:$E,3,0)</f>
        <v>#N/A</v>
      </c>
      <c r="F537" s="414">
        <v>24</v>
      </c>
      <c r="G537" s="179">
        <v>45722</v>
      </c>
      <c r="H537" s="415">
        <v>6</v>
      </c>
      <c r="I537" s="446">
        <v>0.33333333333333331</v>
      </c>
      <c r="J537" s="446">
        <v>0.35416666666666669</v>
      </c>
      <c r="K537" s="417">
        <f t="shared" si="18"/>
        <v>3.0000000000000053</v>
      </c>
      <c r="L537" s="124">
        <v>45722</v>
      </c>
      <c r="M537" s="316" t="s">
        <v>1381</v>
      </c>
      <c r="N537" s="116" t="s">
        <v>6</v>
      </c>
      <c r="O537" s="2"/>
    </row>
    <row r="538" spans="1:15" s="1" customFormat="1">
      <c r="A538" s="4">
        <f t="shared" ref="A538:A601" si="19">ROW()-1</f>
        <v>537</v>
      </c>
      <c r="B538" s="702" t="s">
        <v>705</v>
      </c>
      <c r="C538" s="703" t="s">
        <v>744</v>
      </c>
      <c r="D538" s="704"/>
      <c r="E538" s="4" t="e">
        <f>VLOOKUP(B538,'[1]SCHEDULE WK RM-MC WIP AT PANEL'!$C:$E,3,0)</f>
        <v>#N/A</v>
      </c>
      <c r="F538" s="414">
        <v>28</v>
      </c>
      <c r="G538" s="179">
        <v>45722</v>
      </c>
      <c r="H538" s="415">
        <v>6</v>
      </c>
      <c r="I538" s="446">
        <v>0.33333333333333331</v>
      </c>
      <c r="J538" s="446">
        <v>0.34375</v>
      </c>
      <c r="K538" s="417">
        <f t="shared" si="18"/>
        <v>1.5000000000000027</v>
      </c>
      <c r="L538" s="124">
        <v>45722</v>
      </c>
      <c r="M538" s="316" t="s">
        <v>1381</v>
      </c>
      <c r="N538" s="116" t="s">
        <v>6</v>
      </c>
      <c r="O538" s="2"/>
    </row>
    <row r="539" spans="1:15" s="1" customFormat="1">
      <c r="A539" s="4">
        <f t="shared" si="19"/>
        <v>538</v>
      </c>
      <c r="B539" s="702" t="s">
        <v>706</v>
      </c>
      <c r="C539" s="703" t="s">
        <v>745</v>
      </c>
      <c r="D539" s="704"/>
      <c r="E539" s="4" t="e">
        <f>VLOOKUP(B539,'[1]SCHEDULE WK RM-MC WIP AT PANEL'!$C:$E,3,0)</f>
        <v>#N/A</v>
      </c>
      <c r="F539" s="414">
        <v>18</v>
      </c>
      <c r="G539" s="179">
        <v>45722</v>
      </c>
      <c r="H539" s="415">
        <v>6</v>
      </c>
      <c r="I539" s="446">
        <v>0.33333333333333331</v>
      </c>
      <c r="J539" s="446">
        <v>0.34375</v>
      </c>
      <c r="K539" s="417">
        <f t="shared" si="18"/>
        <v>1.5000000000000027</v>
      </c>
      <c r="L539" s="124">
        <v>45722</v>
      </c>
      <c r="M539" s="316" t="s">
        <v>1381</v>
      </c>
      <c r="N539" s="116" t="s">
        <v>6</v>
      </c>
      <c r="O539" s="2"/>
    </row>
    <row r="540" spans="1:15" s="1" customFormat="1">
      <c r="A540" s="4">
        <f t="shared" si="19"/>
        <v>539</v>
      </c>
      <c r="B540" s="702" t="s">
        <v>707</v>
      </c>
      <c r="C540" s="703" t="s">
        <v>745</v>
      </c>
      <c r="D540" s="704"/>
      <c r="E540" s="4" t="e">
        <f>VLOOKUP(B540,'[1]SCHEDULE WK RM-MC WIP AT PANEL'!$C:$E,3,0)</f>
        <v>#N/A</v>
      </c>
      <c r="F540" s="414">
        <v>23</v>
      </c>
      <c r="G540" s="179">
        <v>45722</v>
      </c>
      <c r="H540" s="415">
        <v>6</v>
      </c>
      <c r="I540" s="446">
        <v>0.33333333333333331</v>
      </c>
      <c r="J540" s="446">
        <v>0.34375</v>
      </c>
      <c r="K540" s="417">
        <f t="shared" si="18"/>
        <v>1.5000000000000027</v>
      </c>
      <c r="L540" s="124">
        <v>45722</v>
      </c>
      <c r="M540" s="316" t="s">
        <v>1381</v>
      </c>
      <c r="N540" s="116" t="s">
        <v>6</v>
      </c>
      <c r="O540" s="2"/>
    </row>
    <row r="541" spans="1:15" s="1" customFormat="1">
      <c r="A541" s="4">
        <f t="shared" si="19"/>
        <v>540</v>
      </c>
      <c r="B541" s="702" t="s">
        <v>726</v>
      </c>
      <c r="C541" s="703" t="s">
        <v>745</v>
      </c>
      <c r="D541" s="704"/>
      <c r="E541" s="4" t="e">
        <f>VLOOKUP(B541,'[1]SCHEDULE WK RM-MC WIP AT PANEL'!$C:$E,3,0)</f>
        <v>#N/A</v>
      </c>
      <c r="F541" s="414">
        <v>27</v>
      </c>
      <c r="G541" s="179">
        <v>45722</v>
      </c>
      <c r="H541" s="415">
        <v>6</v>
      </c>
      <c r="I541" s="446">
        <v>0.33333333333333331</v>
      </c>
      <c r="J541" s="446">
        <v>0.34375</v>
      </c>
      <c r="K541" s="417">
        <f t="shared" si="18"/>
        <v>1.5000000000000027</v>
      </c>
      <c r="L541" s="124">
        <v>45722</v>
      </c>
      <c r="M541" s="316" t="s">
        <v>1381</v>
      </c>
      <c r="N541" s="116" t="s">
        <v>6</v>
      </c>
      <c r="O541" s="2"/>
    </row>
    <row r="542" spans="1:15" s="1" customFormat="1">
      <c r="A542" s="4">
        <f t="shared" si="19"/>
        <v>541</v>
      </c>
      <c r="B542" s="702" t="s">
        <v>727</v>
      </c>
      <c r="C542" s="703" t="s">
        <v>745</v>
      </c>
      <c r="D542" s="704"/>
      <c r="E542" s="4" t="e">
        <f>VLOOKUP(B542,'[1]SCHEDULE WK RM-MC WIP AT PANEL'!$C:$E,3,0)</f>
        <v>#N/A</v>
      </c>
      <c r="F542" s="414">
        <v>31</v>
      </c>
      <c r="G542" s="179">
        <v>45722</v>
      </c>
      <c r="H542" s="415">
        <v>6</v>
      </c>
      <c r="I542" s="446">
        <v>0.33333333333333331</v>
      </c>
      <c r="J542" s="446">
        <v>0.35416666666666669</v>
      </c>
      <c r="K542" s="417">
        <f t="shared" si="18"/>
        <v>3.0000000000000053</v>
      </c>
      <c r="L542" s="124">
        <v>45722</v>
      </c>
      <c r="M542" s="316" t="s">
        <v>1381</v>
      </c>
      <c r="N542" s="116" t="s">
        <v>6</v>
      </c>
      <c r="O542" s="2"/>
    </row>
    <row r="543" spans="1:15" s="1" customFormat="1">
      <c r="A543" s="4">
        <f t="shared" si="19"/>
        <v>542</v>
      </c>
      <c r="B543" s="702" t="s">
        <v>708</v>
      </c>
      <c r="C543" s="703" t="s">
        <v>746</v>
      </c>
      <c r="D543" s="704"/>
      <c r="E543" s="4" t="e">
        <f>VLOOKUP(B543,'[1]SCHEDULE WK RM-MC WIP AT PANEL'!$C:$E,3,0)</f>
        <v>#N/A</v>
      </c>
      <c r="F543" s="414">
        <v>16</v>
      </c>
      <c r="G543" s="179">
        <v>45722</v>
      </c>
      <c r="H543" s="415">
        <v>6</v>
      </c>
      <c r="I543" s="446">
        <v>0.33333333333333331</v>
      </c>
      <c r="J543" s="446">
        <v>0.34375</v>
      </c>
      <c r="K543" s="417">
        <f t="shared" si="18"/>
        <v>1.5000000000000027</v>
      </c>
      <c r="L543" s="124">
        <v>45722</v>
      </c>
      <c r="M543" s="316" t="s">
        <v>1381</v>
      </c>
      <c r="N543" s="116" t="s">
        <v>6</v>
      </c>
      <c r="O543" s="2"/>
    </row>
    <row r="544" spans="1:15" s="1" customFormat="1">
      <c r="A544" s="4">
        <f t="shared" si="19"/>
        <v>543</v>
      </c>
      <c r="B544" s="702" t="s">
        <v>709</v>
      </c>
      <c r="C544" s="703" t="s">
        <v>746</v>
      </c>
      <c r="D544" s="704"/>
      <c r="E544" s="4" t="e">
        <f>VLOOKUP(B544,'[1]SCHEDULE WK RM-MC WIP AT PANEL'!$C:$E,3,0)</f>
        <v>#N/A</v>
      </c>
      <c r="F544" s="414">
        <v>7</v>
      </c>
      <c r="G544" s="179">
        <v>45722</v>
      </c>
      <c r="H544" s="415">
        <v>6</v>
      </c>
      <c r="I544" s="446">
        <v>0.33333333333333331</v>
      </c>
      <c r="J544" s="446">
        <v>0.35416666666666669</v>
      </c>
      <c r="K544" s="417">
        <f t="shared" si="18"/>
        <v>3.0000000000000053</v>
      </c>
      <c r="L544" s="124">
        <v>45722</v>
      </c>
      <c r="M544" s="316" t="s">
        <v>1381</v>
      </c>
      <c r="N544" s="116" t="s">
        <v>6</v>
      </c>
      <c r="O544" s="2"/>
    </row>
    <row r="545" spans="1:15" s="1" customFormat="1">
      <c r="A545" s="4">
        <f t="shared" si="19"/>
        <v>544</v>
      </c>
      <c r="B545" s="702" t="s">
        <v>710</v>
      </c>
      <c r="C545" s="703" t="s">
        <v>747</v>
      </c>
      <c r="D545" s="704"/>
      <c r="E545" s="4" t="e">
        <f>VLOOKUP(B545,'[1]SCHEDULE WK RM-MC WIP AT PANEL'!$C:$E,3,0)</f>
        <v>#N/A</v>
      </c>
      <c r="F545" s="414">
        <v>16</v>
      </c>
      <c r="G545" s="179">
        <v>45722</v>
      </c>
      <c r="H545" s="415">
        <v>6</v>
      </c>
      <c r="I545" s="446">
        <v>0.33333333333333331</v>
      </c>
      <c r="J545" s="446">
        <v>0.34375</v>
      </c>
      <c r="K545" s="417">
        <f t="shared" si="18"/>
        <v>1.5000000000000027</v>
      </c>
      <c r="L545" s="124">
        <v>45722</v>
      </c>
      <c r="M545" s="316" t="s">
        <v>1381</v>
      </c>
      <c r="N545" s="116" t="s">
        <v>6</v>
      </c>
      <c r="O545" s="2"/>
    </row>
    <row r="546" spans="1:15" s="1" customFormat="1">
      <c r="A546" s="4">
        <f t="shared" si="19"/>
        <v>545</v>
      </c>
      <c r="B546" s="702" t="s">
        <v>728</v>
      </c>
      <c r="C546" s="703" t="s">
        <v>759</v>
      </c>
      <c r="D546" s="704"/>
      <c r="E546" s="4" t="e">
        <f>VLOOKUP(B546,'[1]SCHEDULE WK RM-MC WIP AT PANEL'!$C:$E,3,0)</f>
        <v>#N/A</v>
      </c>
      <c r="F546" s="414">
        <v>17</v>
      </c>
      <c r="G546" s="179">
        <v>45722</v>
      </c>
      <c r="H546" s="415">
        <v>6</v>
      </c>
      <c r="I546" s="446">
        <v>0.33333333333333331</v>
      </c>
      <c r="J546" s="446">
        <v>0.34375</v>
      </c>
      <c r="K546" s="417">
        <f t="shared" si="18"/>
        <v>1.5000000000000027</v>
      </c>
      <c r="L546" s="124">
        <v>45722</v>
      </c>
      <c r="M546" s="316" t="s">
        <v>1381</v>
      </c>
      <c r="N546" s="116" t="s">
        <v>6</v>
      </c>
      <c r="O546" s="2"/>
    </row>
    <row r="547" spans="1:15" s="1" customFormat="1">
      <c r="A547" s="4">
        <f t="shared" si="19"/>
        <v>546</v>
      </c>
      <c r="B547" s="702" t="s">
        <v>729</v>
      </c>
      <c r="C547" s="703" t="s">
        <v>759</v>
      </c>
      <c r="D547" s="704"/>
      <c r="E547" s="4" t="e">
        <f>VLOOKUP(B547,'[1]SCHEDULE WK RM-MC WIP AT PANEL'!$C:$E,3,0)</f>
        <v>#N/A</v>
      </c>
      <c r="F547" s="414">
        <v>19</v>
      </c>
      <c r="G547" s="179">
        <v>45722</v>
      </c>
      <c r="H547" s="415">
        <v>6</v>
      </c>
      <c r="I547" s="446">
        <v>0.33333333333333331</v>
      </c>
      <c r="J547" s="446">
        <v>0.34375</v>
      </c>
      <c r="K547" s="417">
        <f t="shared" si="18"/>
        <v>1.5000000000000027</v>
      </c>
      <c r="L547" s="124">
        <v>45722</v>
      </c>
      <c r="M547" s="316" t="s">
        <v>1381</v>
      </c>
      <c r="N547" s="116" t="s">
        <v>6</v>
      </c>
      <c r="O547" s="2"/>
    </row>
    <row r="548" spans="1:15" s="1" customFormat="1">
      <c r="A548" s="4">
        <f t="shared" si="19"/>
        <v>547</v>
      </c>
      <c r="B548" s="702" t="s">
        <v>730</v>
      </c>
      <c r="C548" s="703" t="s">
        <v>760</v>
      </c>
      <c r="D548" s="704"/>
      <c r="E548" s="4" t="e">
        <f>VLOOKUP(B548,'[1]SCHEDULE WK RM-MC WIP AT PANEL'!$C:$E,3,0)</f>
        <v>#N/A</v>
      </c>
      <c r="F548" s="414">
        <v>10</v>
      </c>
      <c r="G548" s="179">
        <v>45722</v>
      </c>
      <c r="H548" s="415">
        <v>6</v>
      </c>
      <c r="I548" s="446">
        <v>0.33333333333333331</v>
      </c>
      <c r="J548" s="446">
        <v>0.34722222222222227</v>
      </c>
      <c r="K548" s="417">
        <f t="shared" si="18"/>
        <v>2.0000000000000089</v>
      </c>
      <c r="L548" s="124">
        <v>45722</v>
      </c>
      <c r="M548" s="316" t="s">
        <v>1381</v>
      </c>
      <c r="N548" s="116" t="s">
        <v>6</v>
      </c>
      <c r="O548" s="2"/>
    </row>
    <row r="549" spans="1:15" s="1" customFormat="1">
      <c r="A549" s="4">
        <f t="shared" si="19"/>
        <v>548</v>
      </c>
      <c r="B549" s="702" t="s">
        <v>731</v>
      </c>
      <c r="C549" s="703" t="s">
        <v>761</v>
      </c>
      <c r="D549" s="704"/>
      <c r="E549" s="4" t="e">
        <f>VLOOKUP(B549,'[1]SCHEDULE WK RM-MC WIP AT PANEL'!$C:$E,3,0)</f>
        <v>#N/A</v>
      </c>
      <c r="F549" s="414">
        <v>5</v>
      </c>
      <c r="G549" s="179">
        <v>45722</v>
      </c>
      <c r="H549" s="415">
        <v>6</v>
      </c>
      <c r="I549" s="446">
        <v>0.33333333333333331</v>
      </c>
      <c r="J549" s="446">
        <v>0.34722222222222227</v>
      </c>
      <c r="K549" s="417">
        <f t="shared" si="18"/>
        <v>2.0000000000000089</v>
      </c>
      <c r="L549" s="124">
        <v>45722</v>
      </c>
      <c r="M549" s="316" t="s">
        <v>1381</v>
      </c>
      <c r="N549" s="116" t="s">
        <v>6</v>
      </c>
      <c r="O549" s="2"/>
    </row>
    <row r="550" spans="1:15" s="1" customFormat="1">
      <c r="A550" s="4">
        <f t="shared" si="19"/>
        <v>549</v>
      </c>
      <c r="B550" s="702" t="s">
        <v>732</v>
      </c>
      <c r="C550" s="703" t="s">
        <v>761</v>
      </c>
      <c r="D550" s="704"/>
      <c r="E550" s="4" t="e">
        <f>VLOOKUP(B550,'[1]SCHEDULE WK RM-MC WIP AT PANEL'!$C:$E,3,0)</f>
        <v>#N/A</v>
      </c>
      <c r="F550" s="414">
        <v>5</v>
      </c>
      <c r="G550" s="179">
        <v>45722</v>
      </c>
      <c r="H550" s="415">
        <v>6</v>
      </c>
      <c r="I550" s="446">
        <v>0.33333333333333331</v>
      </c>
      <c r="J550" s="446">
        <v>0.34375</v>
      </c>
      <c r="K550" s="417">
        <f t="shared" si="18"/>
        <v>1.5000000000000027</v>
      </c>
      <c r="L550" s="124">
        <v>45722</v>
      </c>
      <c r="M550" s="316" t="s">
        <v>1381</v>
      </c>
      <c r="N550" s="116" t="s">
        <v>6</v>
      </c>
      <c r="O550" s="2"/>
    </row>
    <row r="551" spans="1:15" s="1" customFormat="1">
      <c r="A551" s="4">
        <f t="shared" si="19"/>
        <v>550</v>
      </c>
      <c r="B551" s="702" t="s">
        <v>733</v>
      </c>
      <c r="C551" s="703" t="s">
        <v>762</v>
      </c>
      <c r="D551" s="704"/>
      <c r="E551" s="4" t="e">
        <f>VLOOKUP(B551,'[1]SCHEDULE WK RM-MC WIP AT PANEL'!$C:$E,3,0)</f>
        <v>#N/A</v>
      </c>
      <c r="F551" s="414">
        <v>5</v>
      </c>
      <c r="G551" s="179">
        <v>45722</v>
      </c>
      <c r="H551" s="415">
        <v>6</v>
      </c>
      <c r="I551" s="446">
        <v>0.33333333333333331</v>
      </c>
      <c r="J551" s="446">
        <v>0.34722222222222227</v>
      </c>
      <c r="K551" s="417">
        <f t="shared" si="18"/>
        <v>2.0000000000000089</v>
      </c>
      <c r="L551" s="124">
        <v>45722</v>
      </c>
      <c r="M551" s="316" t="s">
        <v>1381</v>
      </c>
      <c r="N551" s="116" t="s">
        <v>6</v>
      </c>
      <c r="O551" s="2"/>
    </row>
    <row r="552" spans="1:15" s="1" customFormat="1">
      <c r="A552" s="4">
        <f t="shared" si="19"/>
        <v>551</v>
      </c>
      <c r="B552" s="702" t="s">
        <v>734</v>
      </c>
      <c r="C552" s="703" t="s">
        <v>762</v>
      </c>
      <c r="D552" s="704"/>
      <c r="E552" s="4" t="e">
        <f>VLOOKUP(B552,'[1]SCHEDULE WK RM-MC WIP AT PANEL'!$C:$E,3,0)</f>
        <v>#N/A</v>
      </c>
      <c r="F552" s="414">
        <v>5</v>
      </c>
      <c r="G552" s="179">
        <v>45722</v>
      </c>
      <c r="H552" s="415">
        <v>6</v>
      </c>
      <c r="I552" s="446">
        <v>0.33333333333333331</v>
      </c>
      <c r="J552" s="446">
        <v>0.34722222222222227</v>
      </c>
      <c r="K552" s="417">
        <f t="shared" si="18"/>
        <v>2.0000000000000089</v>
      </c>
      <c r="L552" s="124">
        <v>45722</v>
      </c>
      <c r="M552" s="316" t="s">
        <v>1381</v>
      </c>
      <c r="N552" s="116" t="s">
        <v>6</v>
      </c>
      <c r="O552" s="2"/>
    </row>
    <row r="553" spans="1:15" s="1" customFormat="1">
      <c r="A553" s="4">
        <f t="shared" si="19"/>
        <v>552</v>
      </c>
      <c r="B553" s="702" t="s">
        <v>735</v>
      </c>
      <c r="C553" s="703" t="s">
        <v>763</v>
      </c>
      <c r="D553" s="704"/>
      <c r="E553" s="4" t="e">
        <f>VLOOKUP(B553,'[1]SCHEDULE WK RM-MC WIP AT PANEL'!$C:$E,3,0)</f>
        <v>#N/A</v>
      </c>
      <c r="F553" s="414">
        <v>10</v>
      </c>
      <c r="G553" s="179">
        <v>45722</v>
      </c>
      <c r="H553" s="415">
        <v>6</v>
      </c>
      <c r="I553" s="446">
        <v>0.33333333333333331</v>
      </c>
      <c r="J553" s="446">
        <v>0.34722222222222227</v>
      </c>
      <c r="K553" s="417">
        <f t="shared" si="18"/>
        <v>2.0000000000000089</v>
      </c>
      <c r="L553" s="124">
        <v>45722</v>
      </c>
      <c r="M553" s="316" t="s">
        <v>1381</v>
      </c>
      <c r="N553" s="116" t="s">
        <v>6</v>
      </c>
      <c r="O553" s="2"/>
    </row>
    <row r="554" spans="1:15" s="1" customFormat="1">
      <c r="A554" s="4">
        <f t="shared" si="19"/>
        <v>553</v>
      </c>
      <c r="B554" s="702" t="s">
        <v>736</v>
      </c>
      <c r="C554" s="703" t="s">
        <v>763</v>
      </c>
      <c r="D554" s="704"/>
      <c r="E554" s="4" t="e">
        <f>VLOOKUP(B554,'[1]SCHEDULE WK RM-MC WIP AT PANEL'!$C:$E,3,0)</f>
        <v>#N/A</v>
      </c>
      <c r="F554" s="414">
        <v>10</v>
      </c>
      <c r="G554" s="179">
        <v>45722</v>
      </c>
      <c r="H554" s="415">
        <v>6</v>
      </c>
      <c r="I554" s="446">
        <v>0.33333333333333331</v>
      </c>
      <c r="J554" s="446">
        <v>0.34375</v>
      </c>
      <c r="K554" s="417">
        <f t="shared" si="18"/>
        <v>1.5000000000000027</v>
      </c>
      <c r="L554" s="124">
        <v>45722</v>
      </c>
      <c r="M554" s="316" t="s">
        <v>1381</v>
      </c>
      <c r="N554" s="116" t="s">
        <v>6</v>
      </c>
      <c r="O554" s="2"/>
    </row>
    <row r="555" spans="1:15" s="1" customFormat="1">
      <c r="A555" s="4">
        <f t="shared" si="19"/>
        <v>554</v>
      </c>
      <c r="B555" s="702" t="s">
        <v>737</v>
      </c>
      <c r="C555" s="703" t="s">
        <v>764</v>
      </c>
      <c r="D555" s="704"/>
      <c r="E555" s="4" t="e">
        <f>VLOOKUP(B555,'[1]SCHEDULE WK RM-MC WIP AT PANEL'!$C:$E,3,0)</f>
        <v>#N/A</v>
      </c>
      <c r="F555" s="414">
        <v>20</v>
      </c>
      <c r="G555" s="179">
        <v>45722</v>
      </c>
      <c r="H555" s="415">
        <v>6</v>
      </c>
      <c r="I555" s="446">
        <v>0.33333333333333331</v>
      </c>
      <c r="J555" s="446">
        <v>0.34375</v>
      </c>
      <c r="K555" s="417">
        <f t="shared" si="18"/>
        <v>1.5000000000000027</v>
      </c>
      <c r="L555" s="124">
        <v>45722</v>
      </c>
      <c r="M555" s="316" t="s">
        <v>1381</v>
      </c>
      <c r="N555" s="116" t="s">
        <v>6</v>
      </c>
      <c r="O555" s="2"/>
    </row>
    <row r="556" spans="1:15" s="1" customFormat="1">
      <c r="A556" s="4">
        <f t="shared" si="19"/>
        <v>555</v>
      </c>
      <c r="B556" s="702" t="s">
        <v>738</v>
      </c>
      <c r="C556" s="703" t="s">
        <v>765</v>
      </c>
      <c r="D556" s="704"/>
      <c r="E556" s="4" t="e">
        <f>VLOOKUP(B556,'[1]SCHEDULE WK RM-MC WIP AT PANEL'!$C:$E,3,0)</f>
        <v>#N/A</v>
      </c>
      <c r="F556" s="414">
        <v>10</v>
      </c>
      <c r="G556" s="179">
        <v>45722</v>
      </c>
      <c r="H556" s="415">
        <v>6</v>
      </c>
      <c r="I556" s="446">
        <v>0.33333333333333331</v>
      </c>
      <c r="J556" s="446">
        <v>0.34722222222222227</v>
      </c>
      <c r="K556" s="417">
        <f t="shared" si="18"/>
        <v>2.0000000000000089</v>
      </c>
      <c r="L556" s="124">
        <v>45722</v>
      </c>
      <c r="M556" s="316" t="s">
        <v>1381</v>
      </c>
      <c r="N556" s="116" t="s">
        <v>6</v>
      </c>
      <c r="O556" s="2"/>
    </row>
    <row r="557" spans="1:15" s="1" customFormat="1">
      <c r="A557" s="4">
        <f t="shared" si="19"/>
        <v>556</v>
      </c>
      <c r="B557" s="702" t="s">
        <v>739</v>
      </c>
      <c r="C557" s="703" t="s">
        <v>765</v>
      </c>
      <c r="D557" s="704"/>
      <c r="E557" s="4" t="e">
        <f>VLOOKUP(B557,'[1]SCHEDULE WK RM-MC WIP AT PANEL'!$C:$E,3,0)</f>
        <v>#N/A</v>
      </c>
      <c r="F557" s="414">
        <v>10</v>
      </c>
      <c r="G557" s="179">
        <v>45722</v>
      </c>
      <c r="H557" s="415">
        <v>6</v>
      </c>
      <c r="I557" s="446">
        <v>0.33333333333333331</v>
      </c>
      <c r="J557" s="446">
        <v>0.34375</v>
      </c>
      <c r="K557" s="417">
        <f t="shared" si="18"/>
        <v>1.5000000000000027</v>
      </c>
      <c r="L557" s="124">
        <v>45722</v>
      </c>
      <c r="M557" s="316" t="s">
        <v>1381</v>
      </c>
      <c r="N557" s="116" t="s">
        <v>6</v>
      </c>
      <c r="O557" s="2"/>
    </row>
    <row r="558" spans="1:15" s="1" customFormat="1">
      <c r="A558" s="4">
        <f t="shared" si="19"/>
        <v>557</v>
      </c>
      <c r="B558" s="702" t="s">
        <v>740</v>
      </c>
      <c r="C558" s="703" t="s">
        <v>766</v>
      </c>
      <c r="D558" s="704"/>
      <c r="E558" s="4" t="e">
        <f>VLOOKUP(B558,'[1]SCHEDULE WK RM-MC WIP AT PANEL'!$C:$E,3,0)</f>
        <v>#N/A</v>
      </c>
      <c r="F558" s="414">
        <v>10</v>
      </c>
      <c r="G558" s="179">
        <v>45722</v>
      </c>
      <c r="H558" s="415">
        <v>6</v>
      </c>
      <c r="I558" s="446">
        <v>0.33333333333333331</v>
      </c>
      <c r="J558" s="446">
        <v>0.34375</v>
      </c>
      <c r="K558" s="417">
        <f t="shared" si="18"/>
        <v>1.5000000000000027</v>
      </c>
      <c r="L558" s="124">
        <v>45722</v>
      </c>
      <c r="M558" s="316" t="s">
        <v>1381</v>
      </c>
      <c r="N558" s="116" t="s">
        <v>6</v>
      </c>
      <c r="O558" s="2"/>
    </row>
    <row r="559" spans="1:15" s="1" customFormat="1">
      <c r="A559" s="4">
        <f t="shared" si="19"/>
        <v>558</v>
      </c>
      <c r="B559" s="702" t="s">
        <v>741</v>
      </c>
      <c r="C559" s="703" t="s">
        <v>767</v>
      </c>
      <c r="D559" s="704"/>
      <c r="E559" s="4" t="e">
        <f>VLOOKUP(B559,'[1]SCHEDULE WK RM-MC WIP AT PANEL'!$C:$E,3,0)</f>
        <v>#N/A</v>
      </c>
      <c r="F559" s="414">
        <v>5</v>
      </c>
      <c r="G559" s="179">
        <v>45722</v>
      </c>
      <c r="H559" s="415">
        <v>6</v>
      </c>
      <c r="I559" s="446">
        <v>0.33333333333333331</v>
      </c>
      <c r="J559" s="446">
        <v>0.34375</v>
      </c>
      <c r="K559" s="417">
        <f t="shared" si="18"/>
        <v>1.5000000000000027</v>
      </c>
      <c r="L559" s="124">
        <v>45722</v>
      </c>
      <c r="M559" s="316" t="s">
        <v>1381</v>
      </c>
      <c r="N559" s="116" t="s">
        <v>6</v>
      </c>
      <c r="O559" s="2"/>
    </row>
    <row r="560" spans="1:15" s="1" customFormat="1">
      <c r="A560" s="4">
        <f t="shared" si="19"/>
        <v>559</v>
      </c>
      <c r="B560" s="702" t="s">
        <v>742</v>
      </c>
      <c r="C560" s="703" t="s">
        <v>767</v>
      </c>
      <c r="D560" s="704"/>
      <c r="E560" s="4" t="e">
        <f>VLOOKUP(B560,'[1]SCHEDULE WK RM-MC WIP AT PANEL'!$C:$E,3,0)</f>
        <v>#N/A</v>
      </c>
      <c r="F560" s="414">
        <v>5</v>
      </c>
      <c r="G560" s="179">
        <v>45722</v>
      </c>
      <c r="H560" s="415">
        <v>6</v>
      </c>
      <c r="I560" s="446">
        <v>0.33333333333333331</v>
      </c>
      <c r="J560" s="446">
        <v>0.34722222222222227</v>
      </c>
      <c r="K560" s="417">
        <f t="shared" si="18"/>
        <v>2.0000000000000089</v>
      </c>
      <c r="L560" s="124">
        <v>45722</v>
      </c>
      <c r="M560" s="316" t="s">
        <v>1381</v>
      </c>
      <c r="N560" s="116" t="s">
        <v>6</v>
      </c>
      <c r="O560" s="2"/>
    </row>
    <row r="561" spans="1:15" s="1" customFormat="1">
      <c r="A561" s="4">
        <f t="shared" si="19"/>
        <v>560</v>
      </c>
      <c r="B561" s="702" t="s">
        <v>743</v>
      </c>
      <c r="C561" s="703" t="s">
        <v>768</v>
      </c>
      <c r="D561" s="704"/>
      <c r="E561" s="4" t="e">
        <f>VLOOKUP(B561,'[1]SCHEDULE WK RM-MC WIP AT PANEL'!$C:$E,3,0)</f>
        <v>#N/A</v>
      </c>
      <c r="F561" s="414">
        <v>20</v>
      </c>
      <c r="G561" s="179">
        <v>45722</v>
      </c>
      <c r="H561" s="415">
        <v>6</v>
      </c>
      <c r="I561" s="446">
        <v>0.33333333333333331</v>
      </c>
      <c r="J561" s="446">
        <v>0.34722222222222227</v>
      </c>
      <c r="K561" s="417">
        <f t="shared" si="18"/>
        <v>2.0000000000000089</v>
      </c>
      <c r="L561" s="124">
        <v>45722</v>
      </c>
      <c r="M561" s="316" t="s">
        <v>1381</v>
      </c>
      <c r="N561" s="116" t="s">
        <v>6</v>
      </c>
      <c r="O561" s="2"/>
    </row>
    <row r="562" spans="1:15" s="1" customFormat="1">
      <c r="A562" s="4">
        <f t="shared" si="19"/>
        <v>561</v>
      </c>
      <c r="B562" s="423" t="s">
        <v>84</v>
      </c>
      <c r="C562" s="7" t="s">
        <v>147</v>
      </c>
      <c r="D562" s="690" t="s">
        <v>91</v>
      </c>
      <c r="E562" s="7">
        <v>30</v>
      </c>
      <c r="F562" s="425">
        <v>30</v>
      </c>
      <c r="G562" s="426">
        <v>45723</v>
      </c>
      <c r="H562" s="427">
        <v>1</v>
      </c>
      <c r="I562" s="465">
        <v>0.375</v>
      </c>
      <c r="J562" s="465">
        <v>0.41666666666666669</v>
      </c>
      <c r="K562" s="417">
        <f t="shared" si="18"/>
        <v>1.0000000000000004</v>
      </c>
      <c r="L562" s="11">
        <v>45723</v>
      </c>
      <c r="M562" s="316" t="s">
        <v>1381</v>
      </c>
      <c r="N562" s="6" t="s">
        <v>7</v>
      </c>
      <c r="O562" s="13" t="s">
        <v>151</v>
      </c>
    </row>
    <row r="563" spans="1:15" s="1" customFormat="1">
      <c r="A563" s="4">
        <f t="shared" si="19"/>
        <v>562</v>
      </c>
      <c r="B563" s="423" t="s">
        <v>84</v>
      </c>
      <c r="C563" s="7" t="s">
        <v>147</v>
      </c>
      <c r="D563" s="706" t="s">
        <v>205</v>
      </c>
      <c r="E563" s="7">
        <v>30</v>
      </c>
      <c r="F563" s="425">
        <v>30</v>
      </c>
      <c r="G563" s="426">
        <v>45723</v>
      </c>
      <c r="H563" s="427">
        <v>1</v>
      </c>
      <c r="I563" s="465">
        <v>0.375</v>
      </c>
      <c r="J563" s="465">
        <v>0.40625</v>
      </c>
      <c r="K563" s="417">
        <f t="shared" si="18"/>
        <v>0.75</v>
      </c>
      <c r="L563" s="11">
        <v>45723</v>
      </c>
      <c r="M563" s="316" t="s">
        <v>1381</v>
      </c>
      <c r="N563" s="6" t="s">
        <v>7</v>
      </c>
      <c r="O563" s="13" t="s">
        <v>151</v>
      </c>
    </row>
    <row r="564" spans="1:15" s="1" customFormat="1">
      <c r="A564" s="4">
        <f t="shared" si="19"/>
        <v>563</v>
      </c>
      <c r="B564" s="412"/>
      <c r="C564" s="703" t="s">
        <v>577</v>
      </c>
      <c r="D564" s="704" t="s">
        <v>700</v>
      </c>
      <c r="E564" s="4">
        <v>2</v>
      </c>
      <c r="F564" s="414">
        <v>2</v>
      </c>
      <c r="G564" s="179">
        <v>45723</v>
      </c>
      <c r="H564" s="415">
        <v>2</v>
      </c>
      <c r="I564" s="446">
        <v>0.29166666666666669</v>
      </c>
      <c r="J564" s="446">
        <v>0.375</v>
      </c>
      <c r="K564" s="417">
        <f t="shared" si="18"/>
        <v>3.9999999999999991</v>
      </c>
      <c r="L564" s="9">
        <v>45723</v>
      </c>
      <c r="M564" s="316" t="s">
        <v>1381</v>
      </c>
      <c r="N564" s="116" t="s">
        <v>6</v>
      </c>
      <c r="O564" s="2"/>
    </row>
    <row r="565" spans="1:15" s="1" customFormat="1">
      <c r="A565" s="4">
        <f t="shared" si="19"/>
        <v>564</v>
      </c>
      <c r="B565" s="412"/>
      <c r="C565" s="703" t="s">
        <v>769</v>
      </c>
      <c r="D565" s="704" t="s">
        <v>770</v>
      </c>
      <c r="E565" s="4">
        <v>1</v>
      </c>
      <c r="F565" s="414">
        <v>1</v>
      </c>
      <c r="G565" s="179">
        <v>45723</v>
      </c>
      <c r="H565" s="415">
        <v>2</v>
      </c>
      <c r="I565" s="446">
        <v>0.29166666666666669</v>
      </c>
      <c r="J565" s="446">
        <v>0.33333333333333331</v>
      </c>
      <c r="K565" s="417">
        <f t="shared" si="18"/>
        <v>1.9999999999999982</v>
      </c>
      <c r="L565" s="9">
        <v>45723</v>
      </c>
      <c r="M565" s="316" t="s">
        <v>1381</v>
      </c>
      <c r="N565" s="116" t="s">
        <v>6</v>
      </c>
      <c r="O565" s="2"/>
    </row>
    <row r="566" spans="1:15" s="1" customFormat="1">
      <c r="A566" s="4">
        <f t="shared" si="19"/>
        <v>565</v>
      </c>
      <c r="B566" s="707"/>
      <c r="C566" s="708" t="s">
        <v>577</v>
      </c>
      <c r="D566" s="704" t="s">
        <v>648</v>
      </c>
      <c r="E566" s="4">
        <v>1</v>
      </c>
      <c r="F566" s="414">
        <v>1</v>
      </c>
      <c r="G566" s="179">
        <v>45723</v>
      </c>
      <c r="H566" s="415">
        <v>1</v>
      </c>
      <c r="I566" s="446">
        <v>0.29166666666666669</v>
      </c>
      <c r="J566" s="446">
        <v>0.3125</v>
      </c>
      <c r="K566" s="417">
        <f t="shared" si="18"/>
        <v>0.49999999999999956</v>
      </c>
      <c r="L566" s="9">
        <v>45723</v>
      </c>
      <c r="M566" s="316" t="s">
        <v>1381</v>
      </c>
      <c r="N566" s="116" t="s">
        <v>6</v>
      </c>
      <c r="O566" s="2"/>
    </row>
    <row r="567" spans="1:15" s="1" customFormat="1">
      <c r="A567" s="4">
        <f t="shared" si="19"/>
        <v>566</v>
      </c>
      <c r="B567" s="412"/>
      <c r="C567" s="703" t="s">
        <v>603</v>
      </c>
      <c r="D567" s="704" t="s">
        <v>89</v>
      </c>
      <c r="E567" s="4">
        <v>1</v>
      </c>
      <c r="F567" s="414">
        <v>1</v>
      </c>
      <c r="G567" s="179">
        <v>45723</v>
      </c>
      <c r="H567" s="415">
        <v>1</v>
      </c>
      <c r="I567" s="446">
        <v>0.29166666666666669</v>
      </c>
      <c r="J567" s="446">
        <v>0.3125</v>
      </c>
      <c r="K567" s="417">
        <f t="shared" si="18"/>
        <v>0.49999999999999956</v>
      </c>
      <c r="L567" s="9">
        <v>45723</v>
      </c>
      <c r="M567" s="316" t="s">
        <v>1381</v>
      </c>
      <c r="N567" s="116" t="s">
        <v>6</v>
      </c>
      <c r="O567" s="2"/>
    </row>
    <row r="568" spans="1:15" s="1" customFormat="1">
      <c r="A568" s="4">
        <f t="shared" si="19"/>
        <v>567</v>
      </c>
      <c r="B568" s="412"/>
      <c r="C568" s="703" t="s">
        <v>535</v>
      </c>
      <c r="D568" s="704" t="s">
        <v>771</v>
      </c>
      <c r="E568" s="4">
        <v>1</v>
      </c>
      <c r="F568" s="414">
        <v>1</v>
      </c>
      <c r="G568" s="179">
        <v>45723</v>
      </c>
      <c r="H568" s="415">
        <v>1</v>
      </c>
      <c r="I568" s="446">
        <v>0.29166666666666669</v>
      </c>
      <c r="J568" s="446">
        <v>0.3125</v>
      </c>
      <c r="K568" s="417">
        <f t="shared" si="18"/>
        <v>0.49999999999999956</v>
      </c>
      <c r="L568" s="9">
        <v>45723</v>
      </c>
      <c r="M568" s="316" t="s">
        <v>1381</v>
      </c>
      <c r="N568" s="116" t="s">
        <v>6</v>
      </c>
      <c r="O568" s="2"/>
    </row>
    <row r="569" spans="1:15" s="1" customFormat="1">
      <c r="A569" s="4">
        <f t="shared" si="19"/>
        <v>568</v>
      </c>
      <c r="B569" s="412"/>
      <c r="C569" s="703" t="s">
        <v>772</v>
      </c>
      <c r="D569" s="704" t="s">
        <v>771</v>
      </c>
      <c r="E569" s="4">
        <v>1</v>
      </c>
      <c r="F569" s="414">
        <v>1</v>
      </c>
      <c r="G569" s="179">
        <v>45723</v>
      </c>
      <c r="H569" s="415">
        <v>1</v>
      </c>
      <c r="I569" s="446">
        <v>0.29166666666666669</v>
      </c>
      <c r="J569" s="446">
        <v>0.3125</v>
      </c>
      <c r="K569" s="417">
        <f t="shared" si="18"/>
        <v>0.49999999999999956</v>
      </c>
      <c r="L569" s="9">
        <v>45723</v>
      </c>
      <c r="M569" s="316" t="s">
        <v>1381</v>
      </c>
      <c r="N569" s="116" t="s">
        <v>6</v>
      </c>
      <c r="O569" s="2"/>
    </row>
    <row r="570" spans="1:15" s="1" customFormat="1">
      <c r="A570" s="4">
        <f t="shared" si="19"/>
        <v>569</v>
      </c>
      <c r="B570" s="412"/>
      <c r="C570" s="703" t="s">
        <v>630</v>
      </c>
      <c r="D570" s="704" t="s">
        <v>773</v>
      </c>
      <c r="E570" s="4">
        <v>1</v>
      </c>
      <c r="F570" s="414">
        <v>1</v>
      </c>
      <c r="G570" s="179">
        <v>45723</v>
      </c>
      <c r="H570" s="415">
        <v>1</v>
      </c>
      <c r="I570" s="446">
        <v>0.29166666666666669</v>
      </c>
      <c r="J570" s="446">
        <v>0.3125</v>
      </c>
      <c r="K570" s="417">
        <f t="shared" si="18"/>
        <v>0.49999999999999956</v>
      </c>
      <c r="L570" s="9">
        <v>45723</v>
      </c>
      <c r="M570" s="316" t="s">
        <v>1381</v>
      </c>
      <c r="N570" s="116" t="s">
        <v>6</v>
      </c>
      <c r="O570" s="2"/>
    </row>
    <row r="571" spans="1:15" s="1" customFormat="1">
      <c r="A571" s="4">
        <f t="shared" si="19"/>
        <v>570</v>
      </c>
      <c r="B571" s="412"/>
      <c r="C571" s="703" t="s">
        <v>774</v>
      </c>
      <c r="D571" s="704" t="s">
        <v>773</v>
      </c>
      <c r="E571" s="4">
        <v>1</v>
      </c>
      <c r="F571" s="414">
        <v>1</v>
      </c>
      <c r="G571" s="179">
        <v>45723</v>
      </c>
      <c r="H571" s="415">
        <v>1</v>
      </c>
      <c r="I571" s="446">
        <v>0.29166666666666669</v>
      </c>
      <c r="J571" s="446">
        <v>0.3125</v>
      </c>
      <c r="K571" s="417">
        <f t="shared" si="18"/>
        <v>0.49999999999999956</v>
      </c>
      <c r="L571" s="9">
        <v>45723</v>
      </c>
      <c r="M571" s="316" t="s">
        <v>1381</v>
      </c>
      <c r="N571" s="116" t="s">
        <v>6</v>
      </c>
      <c r="O571" s="2"/>
    </row>
    <row r="572" spans="1:15" s="1" customFormat="1">
      <c r="A572" s="4">
        <f t="shared" si="19"/>
        <v>571</v>
      </c>
      <c r="B572" s="412"/>
      <c r="C572" s="703" t="s">
        <v>775</v>
      </c>
      <c r="D572" s="704" t="s">
        <v>122</v>
      </c>
      <c r="E572" s="4">
        <v>2</v>
      </c>
      <c r="F572" s="414">
        <v>2</v>
      </c>
      <c r="G572" s="179">
        <v>45723</v>
      </c>
      <c r="H572" s="415">
        <v>1</v>
      </c>
      <c r="I572" s="446">
        <v>0.29166666666666669</v>
      </c>
      <c r="J572" s="446">
        <v>0.3125</v>
      </c>
      <c r="K572" s="417">
        <f t="shared" si="18"/>
        <v>0.49999999999999956</v>
      </c>
      <c r="L572" s="9">
        <v>45723</v>
      </c>
      <c r="M572" s="316" t="s">
        <v>1381</v>
      </c>
      <c r="N572" s="116" t="s">
        <v>6</v>
      </c>
      <c r="O572" s="126" t="s">
        <v>780</v>
      </c>
    </row>
    <row r="573" spans="1:15" s="1" customFormat="1">
      <c r="A573" s="4">
        <f t="shared" si="19"/>
        <v>572</v>
      </c>
      <c r="B573" s="412"/>
      <c r="C573" s="703" t="s">
        <v>776</v>
      </c>
      <c r="D573" s="704" t="s">
        <v>779</v>
      </c>
      <c r="E573" s="4"/>
      <c r="F573" s="414"/>
      <c r="G573" s="179">
        <v>45725</v>
      </c>
      <c r="H573" s="415">
        <v>3</v>
      </c>
      <c r="I573" s="446">
        <v>0.29166666666666669</v>
      </c>
      <c r="J573" s="446">
        <v>0.41666666666666669</v>
      </c>
      <c r="K573" s="417">
        <f t="shared" si="18"/>
        <v>9</v>
      </c>
      <c r="L573" s="9">
        <v>45725</v>
      </c>
      <c r="M573" s="316" t="s">
        <v>1381</v>
      </c>
      <c r="N573" s="116" t="s">
        <v>6</v>
      </c>
      <c r="O573" s="126" t="s">
        <v>780</v>
      </c>
    </row>
    <row r="574" spans="1:15" s="1" customFormat="1">
      <c r="A574" s="4">
        <f t="shared" si="19"/>
        <v>573</v>
      </c>
      <c r="B574" s="412"/>
      <c r="C574" s="703" t="s">
        <v>777</v>
      </c>
      <c r="D574" s="704" t="s">
        <v>779</v>
      </c>
      <c r="E574" s="4"/>
      <c r="F574" s="414"/>
      <c r="G574" s="179">
        <v>45725</v>
      </c>
      <c r="H574" s="415">
        <v>3</v>
      </c>
      <c r="I574" s="446">
        <v>0.29166666666666669</v>
      </c>
      <c r="J574" s="446">
        <v>0.39583333333333331</v>
      </c>
      <c r="K574" s="417">
        <f t="shared" si="18"/>
        <v>7.4999999999999973</v>
      </c>
      <c r="L574" s="9">
        <v>45725</v>
      </c>
      <c r="M574" s="316" t="s">
        <v>1381</v>
      </c>
      <c r="N574" s="116" t="s">
        <v>6</v>
      </c>
      <c r="O574" s="126" t="s">
        <v>780</v>
      </c>
    </row>
    <row r="575" spans="1:15" s="1" customFormat="1">
      <c r="A575" s="4">
        <f t="shared" si="19"/>
        <v>574</v>
      </c>
      <c r="B575" s="412"/>
      <c r="C575" s="703" t="s">
        <v>778</v>
      </c>
      <c r="D575" s="704" t="s">
        <v>779</v>
      </c>
      <c r="E575" s="4"/>
      <c r="F575" s="414"/>
      <c r="G575" s="179">
        <v>45725</v>
      </c>
      <c r="H575" s="415">
        <v>3</v>
      </c>
      <c r="I575" s="446">
        <v>0.29166666666666669</v>
      </c>
      <c r="J575" s="446">
        <v>0.39583333333333331</v>
      </c>
      <c r="K575" s="417">
        <f t="shared" si="18"/>
        <v>7.4999999999999973</v>
      </c>
      <c r="L575" s="9">
        <v>45725</v>
      </c>
      <c r="M575" s="316" t="s">
        <v>1381</v>
      </c>
      <c r="N575" s="116" t="s">
        <v>6</v>
      </c>
      <c r="O575" s="126" t="s">
        <v>780</v>
      </c>
    </row>
    <row r="576" spans="1:15" s="1" customFormat="1">
      <c r="A576" s="4">
        <f t="shared" si="19"/>
        <v>575</v>
      </c>
      <c r="B576" s="423" t="s">
        <v>84</v>
      </c>
      <c r="C576" s="7" t="s">
        <v>147</v>
      </c>
      <c r="D576" s="690" t="s">
        <v>91</v>
      </c>
      <c r="E576" s="7">
        <v>30</v>
      </c>
      <c r="F576" s="425">
        <v>30</v>
      </c>
      <c r="G576" s="426">
        <v>45728</v>
      </c>
      <c r="H576" s="427">
        <v>1</v>
      </c>
      <c r="I576" s="465">
        <v>0.57638888888888895</v>
      </c>
      <c r="J576" s="465">
        <v>0.60416666666666663</v>
      </c>
      <c r="K576" s="417">
        <f t="shared" si="18"/>
        <v>0.6666666666666643</v>
      </c>
      <c r="L576" s="11">
        <v>45728</v>
      </c>
      <c r="M576" s="315" t="s">
        <v>1382</v>
      </c>
      <c r="N576" s="6" t="s">
        <v>7</v>
      </c>
      <c r="O576" s="13" t="s">
        <v>151</v>
      </c>
    </row>
    <row r="577" spans="1:15" s="1" customFormat="1">
      <c r="A577" s="4">
        <f t="shared" si="19"/>
        <v>576</v>
      </c>
      <c r="B577" s="294" t="s">
        <v>781</v>
      </c>
      <c r="C577" s="294" t="s">
        <v>827</v>
      </c>
      <c r="D577" s="709" t="s">
        <v>861</v>
      </c>
      <c r="E577" s="294">
        <v>19</v>
      </c>
      <c r="F577" s="294">
        <v>19</v>
      </c>
      <c r="G577" s="179">
        <v>45731</v>
      </c>
      <c r="H577" s="130">
        <v>50</v>
      </c>
      <c r="I577" s="465">
        <v>0.29166666666666669</v>
      </c>
      <c r="J577" s="465">
        <v>0.5</v>
      </c>
      <c r="K577" s="417">
        <f t="shared" si="18"/>
        <v>250</v>
      </c>
      <c r="L577" s="9">
        <v>45731</v>
      </c>
      <c r="M577" s="316" t="s">
        <v>1382</v>
      </c>
      <c r="N577" s="133" t="s">
        <v>1007</v>
      </c>
      <c r="O577" s="134" t="s">
        <v>1005</v>
      </c>
    </row>
    <row r="578" spans="1:15" s="1" customFormat="1">
      <c r="A578" s="4">
        <f t="shared" si="19"/>
        <v>577</v>
      </c>
      <c r="B578" s="294" t="s">
        <v>781</v>
      </c>
      <c r="C578" s="294" t="s">
        <v>827</v>
      </c>
      <c r="D578" s="709" t="s">
        <v>862</v>
      </c>
      <c r="E578" s="294">
        <v>19</v>
      </c>
      <c r="F578" s="294">
        <v>19</v>
      </c>
      <c r="G578" s="179">
        <v>45731</v>
      </c>
      <c r="H578" s="130"/>
      <c r="I578" s="465"/>
      <c r="J578" s="465"/>
      <c r="K578" s="710"/>
      <c r="L578" s="9">
        <v>45731</v>
      </c>
      <c r="M578" s="316" t="s">
        <v>1382</v>
      </c>
      <c r="N578" s="133" t="s">
        <v>1007</v>
      </c>
      <c r="O578" s="134" t="s">
        <v>1005</v>
      </c>
    </row>
    <row r="579" spans="1:15" s="1" customFormat="1">
      <c r="A579" s="4">
        <f t="shared" si="19"/>
        <v>578</v>
      </c>
      <c r="B579" s="294" t="s">
        <v>781</v>
      </c>
      <c r="C579" s="294" t="s">
        <v>827</v>
      </c>
      <c r="D579" s="709" t="s">
        <v>863</v>
      </c>
      <c r="E579" s="294">
        <v>19</v>
      </c>
      <c r="F579" s="294">
        <v>19</v>
      </c>
      <c r="G579" s="179">
        <v>45731</v>
      </c>
      <c r="H579" s="130"/>
      <c r="I579" s="465"/>
      <c r="J579" s="465"/>
      <c r="K579" s="710"/>
      <c r="L579" s="9">
        <v>45731</v>
      </c>
      <c r="M579" s="316" t="s">
        <v>1382</v>
      </c>
      <c r="N579" s="133" t="s">
        <v>1007</v>
      </c>
      <c r="O579" s="134" t="s">
        <v>1005</v>
      </c>
    </row>
    <row r="580" spans="1:15" s="1" customFormat="1">
      <c r="A580" s="4">
        <f t="shared" si="19"/>
        <v>579</v>
      </c>
      <c r="B580" s="294" t="s">
        <v>781</v>
      </c>
      <c r="C580" s="294" t="s">
        <v>827</v>
      </c>
      <c r="D580" s="709" t="s">
        <v>864</v>
      </c>
      <c r="E580" s="294">
        <v>19</v>
      </c>
      <c r="F580" s="294">
        <v>19</v>
      </c>
      <c r="G580" s="179">
        <v>45731</v>
      </c>
      <c r="H580" s="130"/>
      <c r="I580" s="465"/>
      <c r="J580" s="465"/>
      <c r="K580" s="710"/>
      <c r="L580" s="9">
        <v>45731</v>
      </c>
      <c r="M580" s="316" t="s">
        <v>1382</v>
      </c>
      <c r="N580" s="133" t="s">
        <v>1007</v>
      </c>
      <c r="O580" s="134" t="s">
        <v>1005</v>
      </c>
    </row>
    <row r="581" spans="1:15" s="1" customFormat="1">
      <c r="A581" s="4">
        <f t="shared" si="19"/>
        <v>580</v>
      </c>
      <c r="B581" s="294" t="s">
        <v>781</v>
      </c>
      <c r="C581" s="294" t="s">
        <v>827</v>
      </c>
      <c r="D581" s="709" t="s">
        <v>865</v>
      </c>
      <c r="E581" s="294">
        <v>19</v>
      </c>
      <c r="F581" s="294">
        <v>19</v>
      </c>
      <c r="G581" s="179">
        <v>45731</v>
      </c>
      <c r="H581" s="130"/>
      <c r="I581" s="465"/>
      <c r="J581" s="465"/>
      <c r="K581" s="710"/>
      <c r="L581" s="9">
        <v>45731</v>
      </c>
      <c r="M581" s="316" t="s">
        <v>1382</v>
      </c>
      <c r="N581" s="133" t="s">
        <v>1007</v>
      </c>
      <c r="O581" s="134" t="s">
        <v>1005</v>
      </c>
    </row>
    <row r="582" spans="1:15" s="1" customFormat="1">
      <c r="A582" s="4">
        <f t="shared" si="19"/>
        <v>581</v>
      </c>
      <c r="B582" s="294" t="s">
        <v>781</v>
      </c>
      <c r="C582" s="294" t="s">
        <v>827</v>
      </c>
      <c r="D582" s="709" t="s">
        <v>866</v>
      </c>
      <c r="E582" s="294">
        <v>19</v>
      </c>
      <c r="F582" s="294">
        <v>19</v>
      </c>
      <c r="G582" s="179">
        <v>45731</v>
      </c>
      <c r="H582" s="130"/>
      <c r="I582" s="465"/>
      <c r="J582" s="465"/>
      <c r="K582" s="710"/>
      <c r="L582" s="9">
        <v>45731</v>
      </c>
      <c r="M582" s="316" t="s">
        <v>1382</v>
      </c>
      <c r="N582" s="133" t="s">
        <v>1007</v>
      </c>
      <c r="O582" s="134" t="s">
        <v>1005</v>
      </c>
    </row>
    <row r="583" spans="1:15" s="1" customFormat="1">
      <c r="A583" s="4">
        <f t="shared" si="19"/>
        <v>582</v>
      </c>
      <c r="B583" s="294" t="s">
        <v>782</v>
      </c>
      <c r="C583" s="294" t="s">
        <v>828</v>
      </c>
      <c r="D583" s="709" t="s">
        <v>867</v>
      </c>
      <c r="E583" s="294">
        <v>23</v>
      </c>
      <c r="F583" s="294">
        <v>23</v>
      </c>
      <c r="G583" s="179">
        <v>45731</v>
      </c>
      <c r="H583" s="130"/>
      <c r="I583" s="465"/>
      <c r="J583" s="465"/>
      <c r="K583" s="710"/>
      <c r="L583" s="9">
        <v>45731</v>
      </c>
      <c r="M583" s="316" t="s">
        <v>1382</v>
      </c>
      <c r="N583" s="133" t="s">
        <v>1007</v>
      </c>
      <c r="O583" s="134" t="s">
        <v>1005</v>
      </c>
    </row>
    <row r="584" spans="1:15" s="1" customFormat="1">
      <c r="A584" s="4">
        <f t="shared" si="19"/>
        <v>583</v>
      </c>
      <c r="B584" s="294" t="s">
        <v>782</v>
      </c>
      <c r="C584" s="294" t="s">
        <v>828</v>
      </c>
      <c r="D584" s="709" t="s">
        <v>868</v>
      </c>
      <c r="E584" s="294">
        <v>23</v>
      </c>
      <c r="F584" s="294">
        <v>23</v>
      </c>
      <c r="G584" s="179">
        <v>45731</v>
      </c>
      <c r="H584" s="130"/>
      <c r="I584" s="465"/>
      <c r="J584" s="465"/>
      <c r="K584" s="710"/>
      <c r="L584" s="9">
        <v>45731</v>
      </c>
      <c r="M584" s="316" t="s">
        <v>1382</v>
      </c>
      <c r="N584" s="133" t="s">
        <v>1007</v>
      </c>
      <c r="O584" s="134" t="s">
        <v>1005</v>
      </c>
    </row>
    <row r="585" spans="1:15" s="1" customFormat="1">
      <c r="A585" s="4">
        <f t="shared" si="19"/>
        <v>584</v>
      </c>
      <c r="B585" s="294" t="s">
        <v>783</v>
      </c>
      <c r="C585" s="294" t="s">
        <v>828</v>
      </c>
      <c r="D585" s="709" t="s">
        <v>867</v>
      </c>
      <c r="E585" s="294">
        <v>22</v>
      </c>
      <c r="F585" s="294">
        <v>22</v>
      </c>
      <c r="G585" s="179">
        <v>45731</v>
      </c>
      <c r="H585" s="130"/>
      <c r="I585" s="465"/>
      <c r="J585" s="465"/>
      <c r="K585" s="710"/>
      <c r="L585" s="9">
        <v>45731</v>
      </c>
      <c r="M585" s="316" t="s">
        <v>1382</v>
      </c>
      <c r="N585" s="133" t="s">
        <v>1007</v>
      </c>
      <c r="O585" s="134" t="s">
        <v>1005</v>
      </c>
    </row>
    <row r="586" spans="1:15" s="1" customFormat="1">
      <c r="A586" s="4">
        <f t="shared" si="19"/>
        <v>585</v>
      </c>
      <c r="B586" s="294" t="s">
        <v>783</v>
      </c>
      <c r="C586" s="294" t="s">
        <v>828</v>
      </c>
      <c r="D586" s="709" t="s">
        <v>868</v>
      </c>
      <c r="E586" s="294">
        <v>22</v>
      </c>
      <c r="F586" s="294">
        <v>22</v>
      </c>
      <c r="G586" s="179">
        <v>45731</v>
      </c>
      <c r="H586" s="130"/>
      <c r="I586" s="465"/>
      <c r="J586" s="465"/>
      <c r="K586" s="710"/>
      <c r="L586" s="9">
        <v>45731</v>
      </c>
      <c r="M586" s="316" t="s">
        <v>1382</v>
      </c>
      <c r="N586" s="133" t="s">
        <v>1007</v>
      </c>
      <c r="O586" s="134" t="s">
        <v>1005</v>
      </c>
    </row>
    <row r="587" spans="1:15" s="1" customFormat="1">
      <c r="A587" s="4">
        <f t="shared" si="19"/>
        <v>586</v>
      </c>
      <c r="B587" s="294" t="s">
        <v>784</v>
      </c>
      <c r="C587" s="294" t="s">
        <v>829</v>
      </c>
      <c r="D587" s="709" t="s">
        <v>513</v>
      </c>
      <c r="E587" s="294">
        <v>10</v>
      </c>
      <c r="F587" s="294">
        <v>10</v>
      </c>
      <c r="G587" s="179">
        <v>45731</v>
      </c>
      <c r="H587" s="130"/>
      <c r="I587" s="465"/>
      <c r="J587" s="465"/>
      <c r="K587" s="710"/>
      <c r="L587" s="9">
        <v>45731</v>
      </c>
      <c r="M587" s="316" t="s">
        <v>1382</v>
      </c>
      <c r="N587" s="133" t="s">
        <v>1007</v>
      </c>
      <c r="O587" s="134" t="s">
        <v>1005</v>
      </c>
    </row>
    <row r="588" spans="1:15" s="1" customFormat="1">
      <c r="A588" s="4">
        <f t="shared" si="19"/>
        <v>587</v>
      </c>
      <c r="B588" s="294" t="s">
        <v>784</v>
      </c>
      <c r="C588" s="294" t="s">
        <v>829</v>
      </c>
      <c r="D588" s="709" t="s">
        <v>617</v>
      </c>
      <c r="E588" s="294">
        <v>10</v>
      </c>
      <c r="F588" s="294">
        <v>10</v>
      </c>
      <c r="G588" s="179">
        <v>45731</v>
      </c>
      <c r="H588" s="130"/>
      <c r="I588" s="465"/>
      <c r="J588" s="465"/>
      <c r="K588" s="710"/>
      <c r="L588" s="9">
        <v>45731</v>
      </c>
      <c r="M588" s="316" t="s">
        <v>1382</v>
      </c>
      <c r="N588" s="133" t="s">
        <v>1007</v>
      </c>
      <c r="O588" s="134" t="s">
        <v>1005</v>
      </c>
    </row>
    <row r="589" spans="1:15" s="1" customFormat="1">
      <c r="A589" s="4">
        <f t="shared" si="19"/>
        <v>588</v>
      </c>
      <c r="B589" s="294" t="s">
        <v>784</v>
      </c>
      <c r="C589" s="294" t="s">
        <v>829</v>
      </c>
      <c r="D589" s="709" t="s">
        <v>514</v>
      </c>
      <c r="E589" s="294">
        <v>10</v>
      </c>
      <c r="F589" s="294">
        <v>10</v>
      </c>
      <c r="G589" s="179">
        <v>45731</v>
      </c>
      <c r="H589" s="130"/>
      <c r="I589" s="465"/>
      <c r="J589" s="465"/>
      <c r="K589" s="710"/>
      <c r="L589" s="9">
        <v>45731</v>
      </c>
      <c r="M589" s="316" t="s">
        <v>1382</v>
      </c>
      <c r="N589" s="133" t="s">
        <v>1007</v>
      </c>
      <c r="O589" s="134" t="s">
        <v>1005</v>
      </c>
    </row>
    <row r="590" spans="1:15" s="1" customFormat="1">
      <c r="A590" s="4">
        <f t="shared" si="19"/>
        <v>589</v>
      </c>
      <c r="B590" s="294" t="s">
        <v>784</v>
      </c>
      <c r="C590" s="294" t="s">
        <v>829</v>
      </c>
      <c r="D590" s="709" t="s">
        <v>560</v>
      </c>
      <c r="E590" s="294">
        <v>10</v>
      </c>
      <c r="F590" s="294">
        <v>10</v>
      </c>
      <c r="G590" s="179">
        <v>45731</v>
      </c>
      <c r="H590" s="130"/>
      <c r="I590" s="465"/>
      <c r="J590" s="465"/>
      <c r="K590" s="710"/>
      <c r="L590" s="9">
        <v>45731</v>
      </c>
      <c r="M590" s="316" t="s">
        <v>1382</v>
      </c>
      <c r="N590" s="133" t="s">
        <v>1007</v>
      </c>
      <c r="O590" s="134" t="s">
        <v>1005</v>
      </c>
    </row>
    <row r="591" spans="1:15" s="1" customFormat="1">
      <c r="A591" s="4">
        <f t="shared" si="19"/>
        <v>590</v>
      </c>
      <c r="B591" s="294" t="s">
        <v>785</v>
      </c>
      <c r="C591" s="294" t="s">
        <v>829</v>
      </c>
      <c r="D591" s="709" t="s">
        <v>513</v>
      </c>
      <c r="E591" s="294">
        <v>10</v>
      </c>
      <c r="F591" s="294">
        <v>10</v>
      </c>
      <c r="G591" s="179">
        <v>45731</v>
      </c>
      <c r="H591" s="130"/>
      <c r="I591" s="465"/>
      <c r="J591" s="465"/>
      <c r="K591" s="710"/>
      <c r="L591" s="9">
        <v>45731</v>
      </c>
      <c r="M591" s="316" t="s">
        <v>1382</v>
      </c>
      <c r="N591" s="133" t="s">
        <v>1007</v>
      </c>
      <c r="O591" s="134" t="s">
        <v>1005</v>
      </c>
    </row>
    <row r="592" spans="1:15" s="1" customFormat="1">
      <c r="A592" s="4">
        <f t="shared" si="19"/>
        <v>591</v>
      </c>
      <c r="B592" s="294" t="s">
        <v>785</v>
      </c>
      <c r="C592" s="294" t="s">
        <v>829</v>
      </c>
      <c r="D592" s="709" t="s">
        <v>617</v>
      </c>
      <c r="E592" s="294">
        <v>10</v>
      </c>
      <c r="F592" s="294">
        <v>10</v>
      </c>
      <c r="G592" s="179">
        <v>45731</v>
      </c>
      <c r="H592" s="130"/>
      <c r="I592" s="465"/>
      <c r="J592" s="465"/>
      <c r="K592" s="710"/>
      <c r="L592" s="9">
        <v>45731</v>
      </c>
      <c r="M592" s="316" t="s">
        <v>1382</v>
      </c>
      <c r="N592" s="133" t="s">
        <v>1007</v>
      </c>
      <c r="O592" s="134" t="s">
        <v>1005</v>
      </c>
    </row>
    <row r="593" spans="1:15" s="1" customFormat="1">
      <c r="A593" s="4">
        <f t="shared" si="19"/>
        <v>592</v>
      </c>
      <c r="B593" s="294" t="s">
        <v>785</v>
      </c>
      <c r="C593" s="294" t="s">
        <v>829</v>
      </c>
      <c r="D593" s="709" t="s">
        <v>514</v>
      </c>
      <c r="E593" s="294">
        <v>10</v>
      </c>
      <c r="F593" s="294">
        <v>10</v>
      </c>
      <c r="G593" s="179">
        <v>45731</v>
      </c>
      <c r="H593" s="130"/>
      <c r="I593" s="465"/>
      <c r="J593" s="465"/>
      <c r="K593" s="710"/>
      <c r="L593" s="9">
        <v>45731</v>
      </c>
      <c r="M593" s="316" t="s">
        <v>1382</v>
      </c>
      <c r="N593" s="133" t="s">
        <v>1007</v>
      </c>
      <c r="O593" s="134" t="s">
        <v>1005</v>
      </c>
    </row>
    <row r="594" spans="1:15" s="1" customFormat="1">
      <c r="A594" s="4">
        <f t="shared" si="19"/>
        <v>593</v>
      </c>
      <c r="B594" s="294" t="s">
        <v>785</v>
      </c>
      <c r="C594" s="294" t="s">
        <v>829</v>
      </c>
      <c r="D594" s="709" t="s">
        <v>560</v>
      </c>
      <c r="E594" s="294">
        <v>10</v>
      </c>
      <c r="F594" s="294">
        <v>10</v>
      </c>
      <c r="G594" s="179">
        <v>45731</v>
      </c>
      <c r="H594" s="130"/>
      <c r="I594" s="465"/>
      <c r="J594" s="465"/>
      <c r="K594" s="710"/>
      <c r="L594" s="9">
        <v>45731</v>
      </c>
      <c r="M594" s="316" t="s">
        <v>1382</v>
      </c>
      <c r="N594" s="133" t="s">
        <v>1007</v>
      </c>
      <c r="O594" s="134" t="s">
        <v>1005</v>
      </c>
    </row>
    <row r="595" spans="1:15" s="1" customFormat="1">
      <c r="A595" s="4">
        <f t="shared" si="19"/>
        <v>594</v>
      </c>
      <c r="B595" s="294" t="s">
        <v>786</v>
      </c>
      <c r="C595" s="294" t="s">
        <v>830</v>
      </c>
      <c r="D595" s="709" t="s">
        <v>861</v>
      </c>
      <c r="E595" s="294">
        <v>10</v>
      </c>
      <c r="F595" s="294">
        <v>10</v>
      </c>
      <c r="G595" s="179">
        <v>45731</v>
      </c>
      <c r="H595" s="130"/>
      <c r="I595" s="465"/>
      <c r="J595" s="465"/>
      <c r="K595" s="710"/>
      <c r="L595" s="9">
        <v>45731</v>
      </c>
      <c r="M595" s="316" t="s">
        <v>1382</v>
      </c>
      <c r="N595" s="133" t="s">
        <v>1007</v>
      </c>
      <c r="O595" s="134" t="s">
        <v>1005</v>
      </c>
    </row>
    <row r="596" spans="1:15" s="1" customFormat="1">
      <c r="A596" s="4">
        <f t="shared" si="19"/>
        <v>595</v>
      </c>
      <c r="B596" s="294" t="s">
        <v>786</v>
      </c>
      <c r="C596" s="294" t="s">
        <v>830</v>
      </c>
      <c r="D596" s="709" t="s">
        <v>863</v>
      </c>
      <c r="E596" s="294">
        <v>10</v>
      </c>
      <c r="F596" s="294">
        <v>10</v>
      </c>
      <c r="G596" s="179">
        <v>45731</v>
      </c>
      <c r="H596" s="130"/>
      <c r="I596" s="465"/>
      <c r="J596" s="465"/>
      <c r="K596" s="710"/>
      <c r="L596" s="9">
        <v>45731</v>
      </c>
      <c r="M596" s="316" t="s">
        <v>1382</v>
      </c>
      <c r="N596" s="133" t="s">
        <v>1007</v>
      </c>
      <c r="O596" s="134" t="s">
        <v>1005</v>
      </c>
    </row>
    <row r="597" spans="1:15" s="1" customFormat="1">
      <c r="A597" s="4">
        <f t="shared" si="19"/>
        <v>596</v>
      </c>
      <c r="B597" s="294" t="s">
        <v>787</v>
      </c>
      <c r="C597" s="294" t="s">
        <v>830</v>
      </c>
      <c r="D597" s="709" t="s">
        <v>861</v>
      </c>
      <c r="E597" s="294">
        <v>10</v>
      </c>
      <c r="F597" s="294">
        <v>10</v>
      </c>
      <c r="G597" s="179">
        <v>45731</v>
      </c>
      <c r="H597" s="130"/>
      <c r="I597" s="465"/>
      <c r="J597" s="465"/>
      <c r="K597" s="710"/>
      <c r="L597" s="9">
        <v>45731</v>
      </c>
      <c r="M597" s="316" t="s">
        <v>1382</v>
      </c>
      <c r="N597" s="133" t="s">
        <v>1007</v>
      </c>
      <c r="O597" s="134" t="s">
        <v>1005</v>
      </c>
    </row>
    <row r="598" spans="1:15" s="1" customFormat="1">
      <c r="A598" s="4">
        <f t="shared" si="19"/>
        <v>597</v>
      </c>
      <c r="B598" s="294" t="s">
        <v>787</v>
      </c>
      <c r="C598" s="294" t="s">
        <v>830</v>
      </c>
      <c r="D598" s="709" t="s">
        <v>863</v>
      </c>
      <c r="E598" s="294">
        <v>10</v>
      </c>
      <c r="F598" s="294">
        <v>10</v>
      </c>
      <c r="G598" s="179">
        <v>45731</v>
      </c>
      <c r="H598" s="130"/>
      <c r="I598" s="465"/>
      <c r="J598" s="465"/>
      <c r="K598" s="710"/>
      <c r="L598" s="9">
        <v>45731</v>
      </c>
      <c r="M598" s="316" t="s">
        <v>1382</v>
      </c>
      <c r="N598" s="133" t="s">
        <v>1007</v>
      </c>
      <c r="O598" s="134" t="s">
        <v>1005</v>
      </c>
    </row>
    <row r="599" spans="1:15" s="1" customFormat="1">
      <c r="A599" s="4">
        <f t="shared" si="19"/>
        <v>598</v>
      </c>
      <c r="B599" s="294" t="s">
        <v>788</v>
      </c>
      <c r="C599" s="294" t="s">
        <v>831</v>
      </c>
      <c r="D599" s="709" t="s">
        <v>861</v>
      </c>
      <c r="E599" s="294">
        <v>5</v>
      </c>
      <c r="F599" s="294">
        <v>5</v>
      </c>
      <c r="G599" s="179">
        <v>45731</v>
      </c>
      <c r="H599" s="130"/>
      <c r="I599" s="465"/>
      <c r="J599" s="465"/>
      <c r="K599" s="710"/>
      <c r="L599" s="9">
        <v>45731</v>
      </c>
      <c r="M599" s="316" t="s">
        <v>1382</v>
      </c>
      <c r="N599" s="133" t="s">
        <v>1007</v>
      </c>
      <c r="O599" s="134" t="s">
        <v>1005</v>
      </c>
    </row>
    <row r="600" spans="1:15" s="1" customFormat="1">
      <c r="A600" s="4">
        <f t="shared" si="19"/>
        <v>599</v>
      </c>
      <c r="B600" s="294" t="s">
        <v>788</v>
      </c>
      <c r="C600" s="294" t="s">
        <v>831</v>
      </c>
      <c r="D600" s="709" t="s">
        <v>863</v>
      </c>
      <c r="E600" s="294">
        <v>5</v>
      </c>
      <c r="F600" s="294">
        <v>5</v>
      </c>
      <c r="G600" s="179">
        <v>45731</v>
      </c>
      <c r="H600" s="130"/>
      <c r="I600" s="465"/>
      <c r="J600" s="465"/>
      <c r="K600" s="710"/>
      <c r="L600" s="9">
        <v>45731</v>
      </c>
      <c r="M600" s="316" t="s">
        <v>1382</v>
      </c>
      <c r="N600" s="133" t="s">
        <v>1007</v>
      </c>
      <c r="O600" s="134" t="s">
        <v>1005</v>
      </c>
    </row>
    <row r="601" spans="1:15" s="1" customFormat="1">
      <c r="A601" s="4">
        <f t="shared" si="19"/>
        <v>600</v>
      </c>
      <c r="B601" s="294" t="s">
        <v>789</v>
      </c>
      <c r="C601" s="294" t="s">
        <v>831</v>
      </c>
      <c r="D601" s="709" t="s">
        <v>861</v>
      </c>
      <c r="E601" s="294">
        <v>5</v>
      </c>
      <c r="F601" s="294">
        <v>5</v>
      </c>
      <c r="G601" s="179">
        <v>45731</v>
      </c>
      <c r="H601" s="130"/>
      <c r="I601" s="465"/>
      <c r="J601" s="465"/>
      <c r="K601" s="710"/>
      <c r="L601" s="9">
        <v>45731</v>
      </c>
      <c r="M601" s="316" t="s">
        <v>1382</v>
      </c>
      <c r="N601" s="133" t="s">
        <v>1007</v>
      </c>
      <c r="O601" s="134" t="s">
        <v>1005</v>
      </c>
    </row>
    <row r="602" spans="1:15" s="1" customFormat="1">
      <c r="A602" s="4">
        <f t="shared" ref="A602:A665" si="20">ROW()-1</f>
        <v>601</v>
      </c>
      <c r="B602" s="294" t="s">
        <v>789</v>
      </c>
      <c r="C602" s="294" t="s">
        <v>831</v>
      </c>
      <c r="D602" s="709" t="s">
        <v>863</v>
      </c>
      <c r="E602" s="294">
        <v>5</v>
      </c>
      <c r="F602" s="294">
        <v>5</v>
      </c>
      <c r="G602" s="179">
        <v>45731</v>
      </c>
      <c r="H602" s="130"/>
      <c r="I602" s="465"/>
      <c r="J602" s="465"/>
      <c r="K602" s="710"/>
      <c r="L602" s="9">
        <v>45731</v>
      </c>
      <c r="M602" s="316" t="s">
        <v>1382</v>
      </c>
      <c r="N602" s="133" t="s">
        <v>1007</v>
      </c>
      <c r="O602" s="134" t="s">
        <v>1005</v>
      </c>
    </row>
    <row r="603" spans="1:15" s="1" customFormat="1">
      <c r="A603" s="4">
        <f t="shared" si="20"/>
        <v>602</v>
      </c>
      <c r="B603" s="294" t="s">
        <v>790</v>
      </c>
      <c r="C603" s="294" t="s">
        <v>832</v>
      </c>
      <c r="D603" s="709" t="s">
        <v>861</v>
      </c>
      <c r="E603" s="294">
        <v>5</v>
      </c>
      <c r="F603" s="294">
        <v>5</v>
      </c>
      <c r="G603" s="179">
        <v>45731</v>
      </c>
      <c r="H603" s="130"/>
      <c r="I603" s="465"/>
      <c r="J603" s="465"/>
      <c r="K603" s="710"/>
      <c r="L603" s="9">
        <v>45731</v>
      </c>
      <c r="M603" s="316" t="s">
        <v>1382</v>
      </c>
      <c r="N603" s="133" t="s">
        <v>1007</v>
      </c>
      <c r="O603" s="134" t="s">
        <v>1005</v>
      </c>
    </row>
    <row r="604" spans="1:15" s="1" customFormat="1">
      <c r="A604" s="4">
        <f t="shared" si="20"/>
        <v>603</v>
      </c>
      <c r="B604" s="294" t="s">
        <v>790</v>
      </c>
      <c r="C604" s="294" t="s">
        <v>832</v>
      </c>
      <c r="D604" s="709" t="s">
        <v>863</v>
      </c>
      <c r="E604" s="294">
        <v>5</v>
      </c>
      <c r="F604" s="294">
        <v>5</v>
      </c>
      <c r="G604" s="179">
        <v>45731</v>
      </c>
      <c r="H604" s="130"/>
      <c r="I604" s="465"/>
      <c r="J604" s="465"/>
      <c r="K604" s="710"/>
      <c r="L604" s="9">
        <v>45731</v>
      </c>
      <c r="M604" s="316" t="s">
        <v>1382</v>
      </c>
      <c r="N604" s="133" t="s">
        <v>1007</v>
      </c>
      <c r="O604" s="134" t="s">
        <v>1005</v>
      </c>
    </row>
    <row r="605" spans="1:15" s="1" customFormat="1">
      <c r="A605" s="4">
        <f t="shared" si="20"/>
        <v>604</v>
      </c>
      <c r="B605" s="294" t="s">
        <v>791</v>
      </c>
      <c r="C605" s="294" t="s">
        <v>832</v>
      </c>
      <c r="D605" s="709" t="s">
        <v>861</v>
      </c>
      <c r="E605" s="294">
        <v>5</v>
      </c>
      <c r="F605" s="294">
        <v>5</v>
      </c>
      <c r="G605" s="179">
        <v>45731</v>
      </c>
      <c r="H605" s="130"/>
      <c r="I605" s="465"/>
      <c r="J605" s="465"/>
      <c r="K605" s="710"/>
      <c r="L605" s="9">
        <v>45731</v>
      </c>
      <c r="M605" s="316" t="s">
        <v>1382</v>
      </c>
      <c r="N605" s="133" t="s">
        <v>1007</v>
      </c>
      <c r="O605" s="134" t="s">
        <v>1005</v>
      </c>
    </row>
    <row r="606" spans="1:15" s="1" customFormat="1">
      <c r="A606" s="4">
        <f t="shared" si="20"/>
        <v>605</v>
      </c>
      <c r="B606" s="294" t="s">
        <v>791</v>
      </c>
      <c r="C606" s="294" t="s">
        <v>832</v>
      </c>
      <c r="D606" s="709" t="s">
        <v>863</v>
      </c>
      <c r="E606" s="294">
        <v>5</v>
      </c>
      <c r="F606" s="294">
        <v>5</v>
      </c>
      <c r="G606" s="179">
        <v>45731</v>
      </c>
      <c r="H606" s="130"/>
      <c r="I606" s="465"/>
      <c r="J606" s="465"/>
      <c r="K606" s="710"/>
      <c r="L606" s="9">
        <v>45731</v>
      </c>
      <c r="M606" s="316" t="s">
        <v>1382</v>
      </c>
      <c r="N606" s="133" t="s">
        <v>1007</v>
      </c>
      <c r="O606" s="134" t="s">
        <v>1005</v>
      </c>
    </row>
    <row r="607" spans="1:15" s="1" customFormat="1">
      <c r="A607" s="4">
        <f t="shared" si="20"/>
        <v>606</v>
      </c>
      <c r="B607" s="294" t="s">
        <v>792</v>
      </c>
      <c r="C607" s="294" t="s">
        <v>833</v>
      </c>
      <c r="D607" s="709" t="s">
        <v>513</v>
      </c>
      <c r="E607" s="294">
        <v>34</v>
      </c>
      <c r="F607" s="294">
        <v>34</v>
      </c>
      <c r="G607" s="179">
        <v>45731</v>
      </c>
      <c r="H607" s="130"/>
      <c r="I607" s="465"/>
      <c r="J607" s="465"/>
      <c r="K607" s="710"/>
      <c r="L607" s="9">
        <v>45731</v>
      </c>
      <c r="M607" s="316" t="s">
        <v>1382</v>
      </c>
      <c r="N607" s="133" t="s">
        <v>1007</v>
      </c>
      <c r="O607" s="134" t="s">
        <v>1005</v>
      </c>
    </row>
    <row r="608" spans="1:15" s="1" customFormat="1">
      <c r="A608" s="4">
        <f t="shared" si="20"/>
        <v>607</v>
      </c>
      <c r="B608" s="294" t="s">
        <v>793</v>
      </c>
      <c r="C608" s="294" t="s">
        <v>834</v>
      </c>
      <c r="D608" s="709" t="s">
        <v>513</v>
      </c>
      <c r="E608" s="294">
        <v>6</v>
      </c>
      <c r="F608" s="294">
        <v>6</v>
      </c>
      <c r="G608" s="179">
        <v>45731</v>
      </c>
      <c r="H608" s="130"/>
      <c r="I608" s="465"/>
      <c r="J608" s="465"/>
      <c r="K608" s="710"/>
      <c r="L608" s="9">
        <v>45731</v>
      </c>
      <c r="M608" s="316" t="s">
        <v>1382</v>
      </c>
      <c r="N608" s="133" t="s">
        <v>1007</v>
      </c>
      <c r="O608" s="134" t="s">
        <v>1005</v>
      </c>
    </row>
    <row r="609" spans="1:15" s="1" customFormat="1">
      <c r="A609" s="4">
        <f t="shared" si="20"/>
        <v>608</v>
      </c>
      <c r="B609" s="294" t="s">
        <v>794</v>
      </c>
      <c r="C609" s="294" t="s">
        <v>834</v>
      </c>
      <c r="D609" s="709" t="s">
        <v>513</v>
      </c>
      <c r="E609" s="294">
        <v>7</v>
      </c>
      <c r="F609" s="294">
        <v>7</v>
      </c>
      <c r="G609" s="179">
        <v>45731</v>
      </c>
      <c r="H609" s="130"/>
      <c r="I609" s="465"/>
      <c r="J609" s="465"/>
      <c r="K609" s="710"/>
      <c r="L609" s="9">
        <v>45731</v>
      </c>
      <c r="M609" s="316" t="s">
        <v>1382</v>
      </c>
      <c r="N609" s="133" t="s">
        <v>1007</v>
      </c>
      <c r="O609" s="134" t="s">
        <v>1005</v>
      </c>
    </row>
    <row r="610" spans="1:15" s="1" customFormat="1">
      <c r="A610" s="4">
        <f t="shared" si="20"/>
        <v>609</v>
      </c>
      <c r="B610" s="294" t="s">
        <v>795</v>
      </c>
      <c r="C610" s="294" t="s">
        <v>835</v>
      </c>
      <c r="D610" s="709" t="s">
        <v>869</v>
      </c>
      <c r="E610" s="294">
        <v>3</v>
      </c>
      <c r="F610" s="294">
        <v>3</v>
      </c>
      <c r="G610" s="179">
        <v>45731</v>
      </c>
      <c r="H610" s="130"/>
      <c r="I610" s="465"/>
      <c r="J610" s="465"/>
      <c r="K610" s="710"/>
      <c r="L610" s="9">
        <v>45731</v>
      </c>
      <c r="M610" s="316" t="s">
        <v>1382</v>
      </c>
      <c r="N610" s="133" t="s">
        <v>1007</v>
      </c>
      <c r="O610" s="134" t="s">
        <v>1005</v>
      </c>
    </row>
    <row r="611" spans="1:15" s="1" customFormat="1">
      <c r="A611" s="4">
        <f t="shared" si="20"/>
        <v>610</v>
      </c>
      <c r="B611" s="294" t="s">
        <v>796</v>
      </c>
      <c r="C611" s="294" t="s">
        <v>835</v>
      </c>
      <c r="D611" s="709" t="s">
        <v>869</v>
      </c>
      <c r="E611" s="294">
        <v>5</v>
      </c>
      <c r="F611" s="294">
        <v>5</v>
      </c>
      <c r="G611" s="179">
        <v>45731</v>
      </c>
      <c r="H611" s="130"/>
      <c r="I611" s="465"/>
      <c r="J611" s="465"/>
      <c r="K611" s="710"/>
      <c r="L611" s="9">
        <v>45731</v>
      </c>
      <c r="M611" s="316" t="s">
        <v>1382</v>
      </c>
      <c r="N611" s="133" t="s">
        <v>1007</v>
      </c>
      <c r="O611" s="134" t="s">
        <v>1005</v>
      </c>
    </row>
    <row r="612" spans="1:15" s="1" customFormat="1">
      <c r="A612" s="4">
        <f t="shared" si="20"/>
        <v>611</v>
      </c>
      <c r="B612" s="294" t="s">
        <v>797</v>
      </c>
      <c r="C612" s="294" t="s">
        <v>836</v>
      </c>
      <c r="D612" s="709" t="s">
        <v>869</v>
      </c>
      <c r="E612" s="294">
        <v>1</v>
      </c>
      <c r="F612" s="294">
        <v>1</v>
      </c>
      <c r="G612" s="179">
        <v>45731</v>
      </c>
      <c r="H612" s="130"/>
      <c r="I612" s="465"/>
      <c r="J612" s="465"/>
      <c r="K612" s="710"/>
      <c r="L612" s="9">
        <v>45731</v>
      </c>
      <c r="M612" s="316" t="s">
        <v>1382</v>
      </c>
      <c r="N612" s="133" t="s">
        <v>1007</v>
      </c>
      <c r="O612" s="134" t="s">
        <v>1005</v>
      </c>
    </row>
    <row r="613" spans="1:15" s="1" customFormat="1">
      <c r="A613" s="4">
        <f t="shared" si="20"/>
        <v>612</v>
      </c>
      <c r="B613" s="294" t="s">
        <v>798</v>
      </c>
      <c r="C613" s="294" t="s">
        <v>837</v>
      </c>
      <c r="D613" s="709" t="s">
        <v>869</v>
      </c>
      <c r="E613" s="294">
        <v>21</v>
      </c>
      <c r="F613" s="294">
        <v>21</v>
      </c>
      <c r="G613" s="179">
        <v>45731</v>
      </c>
      <c r="H613" s="130"/>
      <c r="I613" s="465"/>
      <c r="J613" s="465"/>
      <c r="K613" s="710"/>
      <c r="L613" s="9">
        <v>45731</v>
      </c>
      <c r="M613" s="316" t="s">
        <v>1382</v>
      </c>
      <c r="N613" s="133" t="s">
        <v>1007</v>
      </c>
      <c r="O613" s="134" t="s">
        <v>1005</v>
      </c>
    </row>
    <row r="614" spans="1:15" s="1" customFormat="1">
      <c r="A614" s="4">
        <f t="shared" si="20"/>
        <v>613</v>
      </c>
      <c r="B614" s="294" t="s">
        <v>799</v>
      </c>
      <c r="C614" s="294" t="s">
        <v>837</v>
      </c>
      <c r="D614" s="709" t="s">
        <v>869</v>
      </c>
      <c r="E614" s="294">
        <v>7</v>
      </c>
      <c r="F614" s="294">
        <v>7</v>
      </c>
      <c r="G614" s="179">
        <v>45731</v>
      </c>
      <c r="H614" s="130"/>
      <c r="I614" s="465"/>
      <c r="J614" s="465"/>
      <c r="K614" s="710"/>
      <c r="L614" s="9">
        <v>45731</v>
      </c>
      <c r="M614" s="316" t="s">
        <v>1382</v>
      </c>
      <c r="N614" s="133" t="s">
        <v>1007</v>
      </c>
      <c r="O614" s="134" t="s">
        <v>1005</v>
      </c>
    </row>
    <row r="615" spans="1:15" s="1" customFormat="1">
      <c r="A615" s="4">
        <f t="shared" si="20"/>
        <v>614</v>
      </c>
      <c r="B615" s="294" t="s">
        <v>800</v>
      </c>
      <c r="C615" s="294" t="s">
        <v>838</v>
      </c>
      <c r="D615" s="709" t="s">
        <v>869</v>
      </c>
      <c r="E615" s="294">
        <v>21</v>
      </c>
      <c r="F615" s="294">
        <v>21</v>
      </c>
      <c r="G615" s="179">
        <v>45731</v>
      </c>
      <c r="H615" s="130"/>
      <c r="I615" s="465"/>
      <c r="J615" s="465"/>
      <c r="K615" s="710"/>
      <c r="L615" s="9">
        <v>45731</v>
      </c>
      <c r="M615" s="316" t="s">
        <v>1382</v>
      </c>
      <c r="N615" s="133" t="s">
        <v>1007</v>
      </c>
      <c r="O615" s="134" t="s">
        <v>1005</v>
      </c>
    </row>
    <row r="616" spans="1:15" s="1" customFormat="1">
      <c r="A616" s="4">
        <f t="shared" si="20"/>
        <v>615</v>
      </c>
      <c r="B616" s="294" t="s">
        <v>801</v>
      </c>
      <c r="C616" s="294" t="s">
        <v>838</v>
      </c>
      <c r="D616" s="709" t="s">
        <v>869</v>
      </c>
      <c r="E616" s="294">
        <v>14</v>
      </c>
      <c r="F616" s="294">
        <v>14</v>
      </c>
      <c r="G616" s="179">
        <v>45731</v>
      </c>
      <c r="H616" s="130"/>
      <c r="I616" s="465"/>
      <c r="J616" s="465"/>
      <c r="K616" s="710"/>
      <c r="L616" s="9">
        <v>45731</v>
      </c>
      <c r="M616" s="316" t="s">
        <v>1382</v>
      </c>
      <c r="N616" s="133" t="s">
        <v>1007</v>
      </c>
      <c r="O616" s="134" t="s">
        <v>1005</v>
      </c>
    </row>
    <row r="617" spans="1:15" s="1" customFormat="1">
      <c r="A617" s="4">
        <f t="shared" si="20"/>
        <v>616</v>
      </c>
      <c r="B617" s="294" t="s">
        <v>802</v>
      </c>
      <c r="C617" s="294" t="s">
        <v>838</v>
      </c>
      <c r="D617" s="709" t="s">
        <v>869</v>
      </c>
      <c r="E617" s="294">
        <v>15</v>
      </c>
      <c r="F617" s="294">
        <v>15</v>
      </c>
      <c r="G617" s="179">
        <v>45731</v>
      </c>
      <c r="H617" s="130"/>
      <c r="I617" s="465"/>
      <c r="J617" s="465"/>
      <c r="K617" s="710"/>
      <c r="L617" s="9">
        <v>45731</v>
      </c>
      <c r="M617" s="316" t="s">
        <v>1382</v>
      </c>
      <c r="N617" s="133" t="s">
        <v>1007</v>
      </c>
      <c r="O617" s="134" t="s">
        <v>1005</v>
      </c>
    </row>
    <row r="618" spans="1:15" s="1" customFormat="1">
      <c r="A618" s="4">
        <f t="shared" si="20"/>
        <v>617</v>
      </c>
      <c r="B618" s="294" t="s">
        <v>803</v>
      </c>
      <c r="C618" s="294" t="s">
        <v>839</v>
      </c>
      <c r="D618" s="709" t="s">
        <v>869</v>
      </c>
      <c r="E618" s="294">
        <v>1</v>
      </c>
      <c r="F618" s="294">
        <v>1</v>
      </c>
      <c r="G618" s="179">
        <v>45731</v>
      </c>
      <c r="H618" s="130"/>
      <c r="I618" s="465"/>
      <c r="J618" s="465"/>
      <c r="K618" s="710"/>
      <c r="L618" s="9">
        <v>45731</v>
      </c>
      <c r="M618" s="316" t="s">
        <v>1382</v>
      </c>
      <c r="N618" s="133" t="s">
        <v>1007</v>
      </c>
      <c r="O618" s="134" t="s">
        <v>1005</v>
      </c>
    </row>
    <row r="619" spans="1:15" s="1" customFormat="1">
      <c r="A619" s="4">
        <f t="shared" si="20"/>
        <v>618</v>
      </c>
      <c r="B619" s="294" t="s">
        <v>804</v>
      </c>
      <c r="C619" s="294" t="s">
        <v>839</v>
      </c>
      <c r="D619" s="709" t="s">
        <v>869</v>
      </c>
      <c r="E619" s="294">
        <v>3</v>
      </c>
      <c r="F619" s="294">
        <v>3</v>
      </c>
      <c r="G619" s="179">
        <v>45731</v>
      </c>
      <c r="H619" s="130"/>
      <c r="I619" s="465"/>
      <c r="J619" s="465"/>
      <c r="K619" s="710"/>
      <c r="L619" s="9">
        <v>45731</v>
      </c>
      <c r="M619" s="316" t="s">
        <v>1382</v>
      </c>
      <c r="N619" s="133" t="s">
        <v>1007</v>
      </c>
      <c r="O619" s="134" t="s">
        <v>1005</v>
      </c>
    </row>
    <row r="620" spans="1:15" s="1" customFormat="1">
      <c r="A620" s="4">
        <f t="shared" si="20"/>
        <v>619</v>
      </c>
      <c r="B620" s="294" t="s">
        <v>805</v>
      </c>
      <c r="C620" s="294" t="s">
        <v>840</v>
      </c>
      <c r="D620" s="709" t="s">
        <v>870</v>
      </c>
      <c r="E620" s="294">
        <v>40</v>
      </c>
      <c r="F620" s="294">
        <v>40</v>
      </c>
      <c r="G620" s="179">
        <v>45731</v>
      </c>
      <c r="H620" s="130"/>
      <c r="I620" s="465"/>
      <c r="J620" s="465"/>
      <c r="K620" s="710"/>
      <c r="L620" s="9">
        <v>45731</v>
      </c>
      <c r="M620" s="316" t="s">
        <v>1382</v>
      </c>
      <c r="N620" s="133" t="s">
        <v>1007</v>
      </c>
      <c r="O620" s="134" t="s">
        <v>1005</v>
      </c>
    </row>
    <row r="621" spans="1:15" s="1" customFormat="1">
      <c r="A621" s="4">
        <f t="shared" si="20"/>
        <v>620</v>
      </c>
      <c r="B621" s="294" t="s">
        <v>805</v>
      </c>
      <c r="C621" s="294" t="s">
        <v>840</v>
      </c>
      <c r="D621" s="709" t="s">
        <v>871</v>
      </c>
      <c r="E621" s="294">
        <v>40</v>
      </c>
      <c r="F621" s="294">
        <v>40</v>
      </c>
      <c r="G621" s="179">
        <v>45731</v>
      </c>
      <c r="H621" s="130"/>
      <c r="I621" s="465"/>
      <c r="J621" s="465"/>
      <c r="K621" s="710"/>
      <c r="L621" s="9">
        <v>45731</v>
      </c>
      <c r="M621" s="316" t="s">
        <v>1382</v>
      </c>
      <c r="N621" s="133" t="s">
        <v>1007</v>
      </c>
      <c r="O621" s="134" t="s">
        <v>1005</v>
      </c>
    </row>
    <row r="622" spans="1:15" s="1" customFormat="1">
      <c r="A622" s="4">
        <f t="shared" si="20"/>
        <v>621</v>
      </c>
      <c r="B622" s="294" t="s">
        <v>805</v>
      </c>
      <c r="C622" s="294" t="s">
        <v>840</v>
      </c>
      <c r="D622" s="709" t="s">
        <v>872</v>
      </c>
      <c r="E622" s="294">
        <v>40</v>
      </c>
      <c r="F622" s="294">
        <v>40</v>
      </c>
      <c r="G622" s="179">
        <v>45731</v>
      </c>
      <c r="H622" s="130"/>
      <c r="I622" s="465"/>
      <c r="J622" s="465"/>
      <c r="K622" s="710"/>
      <c r="L622" s="9">
        <v>45731</v>
      </c>
      <c r="M622" s="316" t="s">
        <v>1382</v>
      </c>
      <c r="N622" s="133" t="s">
        <v>1007</v>
      </c>
      <c r="O622" s="134" t="s">
        <v>1005</v>
      </c>
    </row>
    <row r="623" spans="1:15" s="1" customFormat="1">
      <c r="A623" s="4">
        <f t="shared" si="20"/>
        <v>622</v>
      </c>
      <c r="B623" s="294" t="s">
        <v>806</v>
      </c>
      <c r="C623" s="294" t="s">
        <v>840</v>
      </c>
      <c r="D623" s="709" t="s">
        <v>870</v>
      </c>
      <c r="E623" s="294">
        <v>40</v>
      </c>
      <c r="F623" s="294">
        <v>40</v>
      </c>
      <c r="G623" s="179">
        <v>45731</v>
      </c>
      <c r="H623" s="130"/>
      <c r="I623" s="465"/>
      <c r="J623" s="465"/>
      <c r="K623" s="710"/>
      <c r="L623" s="9">
        <v>45731</v>
      </c>
      <c r="M623" s="316" t="s">
        <v>1382</v>
      </c>
      <c r="N623" s="133" t="s">
        <v>1007</v>
      </c>
      <c r="O623" s="134" t="s">
        <v>1005</v>
      </c>
    </row>
    <row r="624" spans="1:15" s="1" customFormat="1">
      <c r="A624" s="4">
        <f t="shared" si="20"/>
        <v>623</v>
      </c>
      <c r="B624" s="294" t="s">
        <v>806</v>
      </c>
      <c r="C624" s="294" t="s">
        <v>840</v>
      </c>
      <c r="D624" s="709" t="s">
        <v>871</v>
      </c>
      <c r="E624" s="294">
        <v>40</v>
      </c>
      <c r="F624" s="294">
        <v>40</v>
      </c>
      <c r="G624" s="179">
        <v>45731</v>
      </c>
      <c r="H624" s="130"/>
      <c r="I624" s="465"/>
      <c r="J624" s="465"/>
      <c r="K624" s="710"/>
      <c r="L624" s="9">
        <v>45731</v>
      </c>
      <c r="M624" s="316" t="s">
        <v>1382</v>
      </c>
      <c r="N624" s="133" t="s">
        <v>1007</v>
      </c>
      <c r="O624" s="134" t="s">
        <v>1005</v>
      </c>
    </row>
    <row r="625" spans="1:15" s="1" customFormat="1">
      <c r="A625" s="4">
        <f t="shared" si="20"/>
        <v>624</v>
      </c>
      <c r="B625" s="294" t="s">
        <v>806</v>
      </c>
      <c r="C625" s="294" t="s">
        <v>840</v>
      </c>
      <c r="D625" s="709" t="s">
        <v>872</v>
      </c>
      <c r="E625" s="294">
        <v>40</v>
      </c>
      <c r="F625" s="294">
        <v>40</v>
      </c>
      <c r="G625" s="179">
        <v>45731</v>
      </c>
      <c r="H625" s="130"/>
      <c r="I625" s="465"/>
      <c r="J625" s="465"/>
      <c r="K625" s="710"/>
      <c r="L625" s="9">
        <v>45731</v>
      </c>
      <c r="M625" s="316" t="s">
        <v>1382</v>
      </c>
      <c r="N625" s="133" t="s">
        <v>1007</v>
      </c>
      <c r="O625" s="134" t="s">
        <v>1005</v>
      </c>
    </row>
    <row r="626" spans="1:15" s="1" customFormat="1">
      <c r="A626" s="4">
        <f t="shared" si="20"/>
        <v>625</v>
      </c>
      <c r="B626" s="294" t="s">
        <v>807</v>
      </c>
      <c r="C626" s="294" t="s">
        <v>841</v>
      </c>
      <c r="D626" s="709" t="s">
        <v>873</v>
      </c>
      <c r="E626" s="294">
        <v>24</v>
      </c>
      <c r="F626" s="294">
        <v>24</v>
      </c>
      <c r="G626" s="179">
        <v>45731</v>
      </c>
      <c r="H626" s="130"/>
      <c r="I626" s="465"/>
      <c r="J626" s="465"/>
      <c r="K626" s="710"/>
      <c r="L626" s="9">
        <v>45731</v>
      </c>
      <c r="M626" s="316" t="s">
        <v>1382</v>
      </c>
      <c r="N626" s="133" t="s">
        <v>1007</v>
      </c>
      <c r="O626" s="134" t="s">
        <v>1005</v>
      </c>
    </row>
    <row r="627" spans="1:15" s="1" customFormat="1">
      <c r="A627" s="4">
        <f t="shared" si="20"/>
        <v>626</v>
      </c>
      <c r="B627" s="294" t="s">
        <v>807</v>
      </c>
      <c r="C627" s="294" t="s">
        <v>841</v>
      </c>
      <c r="D627" s="709" t="s">
        <v>863</v>
      </c>
      <c r="E627" s="294">
        <v>24</v>
      </c>
      <c r="F627" s="294">
        <v>24</v>
      </c>
      <c r="G627" s="179">
        <v>45731</v>
      </c>
      <c r="H627" s="130"/>
      <c r="I627" s="465"/>
      <c r="J627" s="465"/>
      <c r="K627" s="711"/>
      <c r="L627" s="9">
        <v>45731</v>
      </c>
      <c r="M627" s="316" t="s">
        <v>1382</v>
      </c>
      <c r="N627" s="133" t="s">
        <v>1007</v>
      </c>
      <c r="O627" s="134" t="s">
        <v>1005</v>
      </c>
    </row>
    <row r="628" spans="1:15" s="1" customFormat="1">
      <c r="A628" s="4">
        <f t="shared" si="20"/>
        <v>627</v>
      </c>
      <c r="B628" s="294" t="s">
        <v>807</v>
      </c>
      <c r="C628" s="294" t="s">
        <v>841</v>
      </c>
      <c r="D628" s="709" t="s">
        <v>874</v>
      </c>
      <c r="E628" s="294">
        <v>24</v>
      </c>
      <c r="F628" s="294">
        <v>24</v>
      </c>
      <c r="G628" s="179">
        <v>45731</v>
      </c>
      <c r="H628" s="130"/>
      <c r="I628" s="465"/>
      <c r="J628" s="465"/>
      <c r="K628" s="711"/>
      <c r="L628" s="9">
        <v>45731</v>
      </c>
      <c r="M628" s="316" t="s">
        <v>1382</v>
      </c>
      <c r="N628" s="133" t="s">
        <v>1007</v>
      </c>
      <c r="O628" s="134" t="s">
        <v>1005</v>
      </c>
    </row>
    <row r="629" spans="1:15" s="1" customFormat="1">
      <c r="A629" s="4">
        <f t="shared" si="20"/>
        <v>628</v>
      </c>
      <c r="B629" s="294" t="s">
        <v>807</v>
      </c>
      <c r="C629" s="294" t="s">
        <v>841</v>
      </c>
      <c r="D629" s="709" t="s">
        <v>875</v>
      </c>
      <c r="E629" s="294">
        <v>24</v>
      </c>
      <c r="F629" s="294">
        <v>24</v>
      </c>
      <c r="G629" s="179">
        <v>45731</v>
      </c>
      <c r="H629" s="130"/>
      <c r="I629" s="465"/>
      <c r="J629" s="465"/>
      <c r="K629" s="711"/>
      <c r="L629" s="9">
        <v>45731</v>
      </c>
      <c r="M629" s="316" t="s">
        <v>1382</v>
      </c>
      <c r="N629" s="133" t="s">
        <v>1007</v>
      </c>
      <c r="O629" s="134" t="s">
        <v>1005</v>
      </c>
    </row>
    <row r="630" spans="1:15" s="1" customFormat="1">
      <c r="A630" s="4">
        <f t="shared" si="20"/>
        <v>629</v>
      </c>
      <c r="B630" s="294" t="s">
        <v>807</v>
      </c>
      <c r="C630" s="294" t="s">
        <v>841</v>
      </c>
      <c r="D630" s="709" t="s">
        <v>861</v>
      </c>
      <c r="E630" s="294">
        <v>24</v>
      </c>
      <c r="F630" s="294">
        <v>24</v>
      </c>
      <c r="G630" s="179">
        <v>45731</v>
      </c>
      <c r="H630" s="130"/>
      <c r="I630" s="465"/>
      <c r="J630" s="465"/>
      <c r="K630" s="711"/>
      <c r="L630" s="9">
        <v>45731</v>
      </c>
      <c r="M630" s="316" t="s">
        <v>1382</v>
      </c>
      <c r="N630" s="133" t="s">
        <v>1007</v>
      </c>
      <c r="O630" s="134" t="s">
        <v>1005</v>
      </c>
    </row>
    <row r="631" spans="1:15" s="1" customFormat="1">
      <c r="A631" s="4">
        <f t="shared" si="20"/>
        <v>630</v>
      </c>
      <c r="B631" s="294" t="s">
        <v>807</v>
      </c>
      <c r="C631" s="294" t="s">
        <v>841</v>
      </c>
      <c r="D631" s="709" t="s">
        <v>876</v>
      </c>
      <c r="E631" s="294">
        <v>24</v>
      </c>
      <c r="F631" s="294">
        <v>24</v>
      </c>
      <c r="G631" s="179">
        <v>45731</v>
      </c>
      <c r="H631" s="130"/>
      <c r="I631" s="465"/>
      <c r="J631" s="465"/>
      <c r="K631" s="711"/>
      <c r="L631" s="9">
        <v>45731</v>
      </c>
      <c r="M631" s="316" t="s">
        <v>1382</v>
      </c>
      <c r="N631" s="133" t="s">
        <v>1007</v>
      </c>
      <c r="O631" s="134" t="s">
        <v>1005</v>
      </c>
    </row>
    <row r="632" spans="1:15" s="1" customFormat="1">
      <c r="A632" s="4">
        <f t="shared" si="20"/>
        <v>631</v>
      </c>
      <c r="B632" s="294" t="s">
        <v>808</v>
      </c>
      <c r="C632" s="294" t="s">
        <v>842</v>
      </c>
      <c r="D632" s="709" t="s">
        <v>874</v>
      </c>
      <c r="E632" s="294">
        <v>6</v>
      </c>
      <c r="F632" s="294">
        <v>6</v>
      </c>
      <c r="G632" s="179">
        <v>45731</v>
      </c>
      <c r="H632" s="130"/>
      <c r="I632" s="465"/>
      <c r="J632" s="465"/>
      <c r="K632" s="711"/>
      <c r="L632" s="9">
        <v>45731</v>
      </c>
      <c r="M632" s="316" t="s">
        <v>1382</v>
      </c>
      <c r="N632" s="133" t="s">
        <v>1007</v>
      </c>
      <c r="O632" s="134" t="s">
        <v>1005</v>
      </c>
    </row>
    <row r="633" spans="1:15" s="1" customFormat="1">
      <c r="A633" s="4">
        <f t="shared" si="20"/>
        <v>632</v>
      </c>
      <c r="B633" s="294" t="s">
        <v>808</v>
      </c>
      <c r="C633" s="294" t="s">
        <v>842</v>
      </c>
      <c r="D633" s="709" t="s">
        <v>873</v>
      </c>
      <c r="E633" s="294">
        <v>6</v>
      </c>
      <c r="F633" s="294">
        <v>6</v>
      </c>
      <c r="G633" s="179">
        <v>45731</v>
      </c>
      <c r="H633" s="130"/>
      <c r="I633" s="465"/>
      <c r="J633" s="465"/>
      <c r="K633" s="711"/>
      <c r="L633" s="9">
        <v>45731</v>
      </c>
      <c r="M633" s="316" t="s">
        <v>1382</v>
      </c>
      <c r="N633" s="133" t="s">
        <v>1007</v>
      </c>
      <c r="O633" s="134" t="s">
        <v>1005</v>
      </c>
    </row>
    <row r="634" spans="1:15" s="1" customFormat="1">
      <c r="A634" s="4">
        <f t="shared" si="20"/>
        <v>633</v>
      </c>
      <c r="B634" s="294" t="s">
        <v>809</v>
      </c>
      <c r="C634" s="294" t="s">
        <v>843</v>
      </c>
      <c r="D634" s="709" t="s">
        <v>873</v>
      </c>
      <c r="E634" s="294">
        <v>5</v>
      </c>
      <c r="F634" s="294">
        <v>5</v>
      </c>
      <c r="G634" s="179">
        <v>45731</v>
      </c>
      <c r="H634" s="130"/>
      <c r="I634" s="465"/>
      <c r="J634" s="465"/>
      <c r="K634" s="711"/>
      <c r="L634" s="9">
        <v>45731</v>
      </c>
      <c r="M634" s="316" t="s">
        <v>1382</v>
      </c>
      <c r="N634" s="133" t="s">
        <v>1007</v>
      </c>
      <c r="O634" s="134" t="s">
        <v>1005</v>
      </c>
    </row>
    <row r="635" spans="1:15" s="1" customFormat="1">
      <c r="A635" s="4">
        <f t="shared" si="20"/>
        <v>634</v>
      </c>
      <c r="B635" s="294" t="s">
        <v>809</v>
      </c>
      <c r="C635" s="294" t="s">
        <v>843</v>
      </c>
      <c r="D635" s="709" t="s">
        <v>874</v>
      </c>
      <c r="E635" s="294">
        <v>5</v>
      </c>
      <c r="F635" s="294">
        <v>5</v>
      </c>
      <c r="G635" s="179">
        <v>45731</v>
      </c>
      <c r="H635" s="130"/>
      <c r="I635" s="465"/>
      <c r="J635" s="465"/>
      <c r="K635" s="711"/>
      <c r="L635" s="9">
        <v>45731</v>
      </c>
      <c r="M635" s="316" t="s">
        <v>1382</v>
      </c>
      <c r="N635" s="133" t="s">
        <v>1007</v>
      </c>
      <c r="O635" s="134" t="s">
        <v>1005</v>
      </c>
    </row>
    <row r="636" spans="1:15" s="1" customFormat="1">
      <c r="A636" s="4">
        <f t="shared" si="20"/>
        <v>635</v>
      </c>
      <c r="B636" s="294" t="s">
        <v>810</v>
      </c>
      <c r="C636" s="294" t="s">
        <v>844</v>
      </c>
      <c r="D636" s="709" t="s">
        <v>874</v>
      </c>
      <c r="E636" s="294">
        <v>7</v>
      </c>
      <c r="F636" s="294">
        <v>7</v>
      </c>
      <c r="G636" s="179">
        <v>45731</v>
      </c>
      <c r="H636" s="130"/>
      <c r="I636" s="465"/>
      <c r="J636" s="465"/>
      <c r="K636" s="711"/>
      <c r="L636" s="9">
        <v>45731</v>
      </c>
      <c r="M636" s="316" t="s">
        <v>1382</v>
      </c>
      <c r="N636" s="133" t="s">
        <v>1007</v>
      </c>
      <c r="O636" s="134" t="s">
        <v>1005</v>
      </c>
    </row>
    <row r="637" spans="1:15" s="1" customFormat="1">
      <c r="A637" s="4">
        <f t="shared" si="20"/>
        <v>636</v>
      </c>
      <c r="B637" s="294" t="s">
        <v>810</v>
      </c>
      <c r="C637" s="294" t="s">
        <v>844</v>
      </c>
      <c r="D637" s="709" t="s">
        <v>873</v>
      </c>
      <c r="E637" s="294">
        <v>7</v>
      </c>
      <c r="F637" s="294">
        <v>7</v>
      </c>
      <c r="G637" s="179">
        <v>45731</v>
      </c>
      <c r="H637" s="130"/>
      <c r="I637" s="465"/>
      <c r="J637" s="465"/>
      <c r="K637" s="711"/>
      <c r="L637" s="9">
        <v>45731</v>
      </c>
      <c r="M637" s="316" t="s">
        <v>1382</v>
      </c>
      <c r="N637" s="133" t="s">
        <v>1007</v>
      </c>
      <c r="O637" s="134" t="s">
        <v>1005</v>
      </c>
    </row>
    <row r="638" spans="1:15" s="1" customFormat="1">
      <c r="A638" s="4">
        <f t="shared" si="20"/>
        <v>637</v>
      </c>
      <c r="B638" s="294" t="s">
        <v>811</v>
      </c>
      <c r="C638" s="294" t="s">
        <v>845</v>
      </c>
      <c r="D638" s="709" t="s">
        <v>874</v>
      </c>
      <c r="E638" s="294">
        <v>10</v>
      </c>
      <c r="F638" s="294">
        <v>10</v>
      </c>
      <c r="G638" s="179">
        <v>45731</v>
      </c>
      <c r="H638" s="130"/>
      <c r="I638" s="465"/>
      <c r="J638" s="465"/>
      <c r="K638" s="711"/>
      <c r="L638" s="9">
        <v>45731</v>
      </c>
      <c r="M638" s="316" t="s">
        <v>1382</v>
      </c>
      <c r="N638" s="133" t="s">
        <v>1007</v>
      </c>
      <c r="O638" s="134" t="s">
        <v>1005</v>
      </c>
    </row>
    <row r="639" spans="1:15" s="1" customFormat="1">
      <c r="A639" s="4">
        <f t="shared" si="20"/>
        <v>638</v>
      </c>
      <c r="B639" s="294" t="s">
        <v>811</v>
      </c>
      <c r="C639" s="294" t="s">
        <v>845</v>
      </c>
      <c r="D639" s="709" t="s">
        <v>873</v>
      </c>
      <c r="E639" s="294">
        <v>10</v>
      </c>
      <c r="F639" s="294">
        <v>10</v>
      </c>
      <c r="G639" s="179">
        <v>45731</v>
      </c>
      <c r="H639" s="130"/>
      <c r="I639" s="465"/>
      <c r="J639" s="465"/>
      <c r="K639" s="711"/>
      <c r="L639" s="9">
        <v>45731</v>
      </c>
      <c r="M639" s="316" t="s">
        <v>1382</v>
      </c>
      <c r="N639" s="133" t="s">
        <v>1007</v>
      </c>
      <c r="O639" s="134" t="s">
        <v>1005</v>
      </c>
    </row>
    <row r="640" spans="1:15" s="1" customFormat="1">
      <c r="A640" s="4">
        <f t="shared" si="20"/>
        <v>639</v>
      </c>
      <c r="B640" s="294" t="s">
        <v>812</v>
      </c>
      <c r="C640" s="294" t="s">
        <v>846</v>
      </c>
      <c r="D640" s="709" t="s">
        <v>874</v>
      </c>
      <c r="E640" s="294">
        <v>19</v>
      </c>
      <c r="F640" s="294">
        <v>19</v>
      </c>
      <c r="G640" s="179">
        <v>45731</v>
      </c>
      <c r="H640" s="130"/>
      <c r="I640" s="465"/>
      <c r="J640" s="465"/>
      <c r="K640" s="711"/>
      <c r="L640" s="9">
        <v>45731</v>
      </c>
      <c r="M640" s="316" t="s">
        <v>1382</v>
      </c>
      <c r="N640" s="133" t="s">
        <v>1007</v>
      </c>
      <c r="O640" s="134" t="s">
        <v>1005</v>
      </c>
    </row>
    <row r="641" spans="1:15" s="1" customFormat="1">
      <c r="A641" s="4">
        <f t="shared" si="20"/>
        <v>640</v>
      </c>
      <c r="B641" s="294" t="s">
        <v>812</v>
      </c>
      <c r="C641" s="294" t="s">
        <v>846</v>
      </c>
      <c r="D641" s="709" t="s">
        <v>873</v>
      </c>
      <c r="E641" s="294">
        <v>19</v>
      </c>
      <c r="F641" s="294">
        <v>19</v>
      </c>
      <c r="G641" s="179">
        <v>45731</v>
      </c>
      <c r="H641" s="130"/>
      <c r="I641" s="465"/>
      <c r="J641" s="465"/>
      <c r="K641" s="711"/>
      <c r="L641" s="9">
        <v>45731</v>
      </c>
      <c r="M641" s="316" t="s">
        <v>1382</v>
      </c>
      <c r="N641" s="133" t="s">
        <v>1007</v>
      </c>
      <c r="O641" s="134" t="s">
        <v>1005</v>
      </c>
    </row>
    <row r="642" spans="1:15" s="1" customFormat="1">
      <c r="A642" s="4">
        <f t="shared" si="20"/>
        <v>641</v>
      </c>
      <c r="B642" s="294" t="s">
        <v>813</v>
      </c>
      <c r="C642" s="294" t="s">
        <v>847</v>
      </c>
      <c r="D642" s="709" t="s">
        <v>874</v>
      </c>
      <c r="E642" s="294">
        <v>22</v>
      </c>
      <c r="F642" s="294">
        <v>22</v>
      </c>
      <c r="G642" s="179">
        <v>45731</v>
      </c>
      <c r="H642" s="130"/>
      <c r="I642" s="465"/>
      <c r="J642" s="465"/>
      <c r="K642" s="711"/>
      <c r="L642" s="9">
        <v>45731</v>
      </c>
      <c r="M642" s="316" t="s">
        <v>1382</v>
      </c>
      <c r="N642" s="133" t="s">
        <v>1007</v>
      </c>
      <c r="O642" s="134" t="s">
        <v>1005</v>
      </c>
    </row>
    <row r="643" spans="1:15" s="1" customFormat="1">
      <c r="A643" s="4">
        <f t="shared" si="20"/>
        <v>642</v>
      </c>
      <c r="B643" s="294" t="s">
        <v>813</v>
      </c>
      <c r="C643" s="294" t="s">
        <v>847</v>
      </c>
      <c r="D643" s="709" t="s">
        <v>873</v>
      </c>
      <c r="E643" s="294">
        <v>22</v>
      </c>
      <c r="F643" s="294">
        <v>22</v>
      </c>
      <c r="G643" s="179">
        <v>45731</v>
      </c>
      <c r="H643" s="130"/>
      <c r="I643" s="465"/>
      <c r="J643" s="465"/>
      <c r="K643" s="711"/>
      <c r="L643" s="9">
        <v>45731</v>
      </c>
      <c r="M643" s="316" t="s">
        <v>1382</v>
      </c>
      <c r="N643" s="133" t="s">
        <v>1007</v>
      </c>
      <c r="O643" s="134" t="s">
        <v>1005</v>
      </c>
    </row>
    <row r="644" spans="1:15" s="1" customFormat="1">
      <c r="A644" s="4">
        <f t="shared" si="20"/>
        <v>643</v>
      </c>
      <c r="B644" s="294" t="s">
        <v>814</v>
      </c>
      <c r="C644" s="294" t="s">
        <v>848</v>
      </c>
      <c r="D644" s="709" t="s">
        <v>873</v>
      </c>
      <c r="E644" s="294">
        <v>11</v>
      </c>
      <c r="F644" s="294">
        <v>11</v>
      </c>
      <c r="G644" s="179">
        <v>45731</v>
      </c>
      <c r="H644" s="130"/>
      <c r="I644" s="465"/>
      <c r="J644" s="465"/>
      <c r="K644" s="711"/>
      <c r="L644" s="9">
        <v>45731</v>
      </c>
      <c r="M644" s="316" t="s">
        <v>1382</v>
      </c>
      <c r="N644" s="133" t="s">
        <v>1007</v>
      </c>
      <c r="O644" s="134" t="s">
        <v>1005</v>
      </c>
    </row>
    <row r="645" spans="1:15" s="1" customFormat="1">
      <c r="A645" s="4">
        <f t="shared" si="20"/>
        <v>644</v>
      </c>
      <c r="B645" s="294" t="s">
        <v>814</v>
      </c>
      <c r="C645" s="294" t="s">
        <v>848</v>
      </c>
      <c r="D645" s="709" t="s">
        <v>874</v>
      </c>
      <c r="E645" s="294">
        <v>11</v>
      </c>
      <c r="F645" s="294">
        <v>11</v>
      </c>
      <c r="G645" s="179">
        <v>45731</v>
      </c>
      <c r="H645" s="130"/>
      <c r="I645" s="465"/>
      <c r="J645" s="465"/>
      <c r="K645" s="711"/>
      <c r="L645" s="9">
        <v>45731</v>
      </c>
      <c r="M645" s="316" t="s">
        <v>1382</v>
      </c>
      <c r="N645" s="133" t="s">
        <v>1007</v>
      </c>
      <c r="O645" s="134" t="s">
        <v>1005</v>
      </c>
    </row>
    <row r="646" spans="1:15" s="1" customFormat="1">
      <c r="A646" s="4">
        <f t="shared" si="20"/>
        <v>645</v>
      </c>
      <c r="B646" s="294" t="s">
        <v>815</v>
      </c>
      <c r="C646" s="294" t="s">
        <v>849</v>
      </c>
      <c r="D646" s="709" t="s">
        <v>873</v>
      </c>
      <c r="E646" s="294">
        <v>27</v>
      </c>
      <c r="F646" s="294">
        <v>27</v>
      </c>
      <c r="G646" s="179">
        <v>45731</v>
      </c>
      <c r="H646" s="130"/>
      <c r="I646" s="465"/>
      <c r="J646" s="465"/>
      <c r="K646" s="711"/>
      <c r="L646" s="9">
        <v>45731</v>
      </c>
      <c r="M646" s="316" t="s">
        <v>1382</v>
      </c>
      <c r="N646" s="133" t="s">
        <v>1007</v>
      </c>
      <c r="O646" s="134" t="s">
        <v>1005</v>
      </c>
    </row>
    <row r="647" spans="1:15" s="1" customFormat="1">
      <c r="A647" s="4">
        <f t="shared" si="20"/>
        <v>646</v>
      </c>
      <c r="B647" s="294" t="s">
        <v>815</v>
      </c>
      <c r="C647" s="294" t="s">
        <v>849</v>
      </c>
      <c r="D647" s="709" t="s">
        <v>874</v>
      </c>
      <c r="E647" s="294">
        <v>27</v>
      </c>
      <c r="F647" s="294">
        <v>27</v>
      </c>
      <c r="G647" s="179">
        <v>45731</v>
      </c>
      <c r="H647" s="130"/>
      <c r="I647" s="465"/>
      <c r="J647" s="465"/>
      <c r="K647" s="711"/>
      <c r="L647" s="9">
        <v>45731</v>
      </c>
      <c r="M647" s="316" t="s">
        <v>1382</v>
      </c>
      <c r="N647" s="133" t="s">
        <v>1007</v>
      </c>
      <c r="O647" s="134" t="s">
        <v>1005</v>
      </c>
    </row>
    <row r="648" spans="1:15" s="1" customFormat="1">
      <c r="A648" s="4">
        <f t="shared" si="20"/>
        <v>647</v>
      </c>
      <c r="B648" s="294" t="s">
        <v>816</v>
      </c>
      <c r="C648" s="294" t="s">
        <v>850</v>
      </c>
      <c r="D648" s="709" t="s">
        <v>874</v>
      </c>
      <c r="E648" s="294">
        <v>18</v>
      </c>
      <c r="F648" s="294">
        <v>18</v>
      </c>
      <c r="G648" s="179">
        <v>45731</v>
      </c>
      <c r="H648" s="130"/>
      <c r="I648" s="465"/>
      <c r="J648" s="465"/>
      <c r="K648" s="711"/>
      <c r="L648" s="9">
        <v>45731</v>
      </c>
      <c r="M648" s="316" t="s">
        <v>1382</v>
      </c>
      <c r="N648" s="133" t="s">
        <v>1007</v>
      </c>
      <c r="O648" s="134" t="s">
        <v>1005</v>
      </c>
    </row>
    <row r="649" spans="1:15" s="1" customFormat="1">
      <c r="A649" s="4">
        <f t="shared" si="20"/>
        <v>648</v>
      </c>
      <c r="B649" s="294" t="s">
        <v>816</v>
      </c>
      <c r="C649" s="294" t="s">
        <v>850</v>
      </c>
      <c r="D649" s="709" t="s">
        <v>877</v>
      </c>
      <c r="E649" s="294">
        <v>18</v>
      </c>
      <c r="F649" s="294">
        <v>18</v>
      </c>
      <c r="G649" s="179">
        <v>45731</v>
      </c>
      <c r="H649" s="130"/>
      <c r="I649" s="465"/>
      <c r="J649" s="465"/>
      <c r="K649" s="711"/>
      <c r="L649" s="9">
        <v>45731</v>
      </c>
      <c r="M649" s="316" t="s">
        <v>1382</v>
      </c>
      <c r="N649" s="133" t="s">
        <v>1007</v>
      </c>
      <c r="O649" s="134" t="s">
        <v>1005</v>
      </c>
    </row>
    <row r="650" spans="1:15" s="1" customFormat="1">
      <c r="A650" s="4">
        <f t="shared" si="20"/>
        <v>649</v>
      </c>
      <c r="B650" s="294" t="s">
        <v>816</v>
      </c>
      <c r="C650" s="294" t="s">
        <v>850</v>
      </c>
      <c r="D650" s="709" t="s">
        <v>873</v>
      </c>
      <c r="E650" s="294">
        <v>18</v>
      </c>
      <c r="F650" s="294">
        <v>18</v>
      </c>
      <c r="G650" s="179">
        <v>45731</v>
      </c>
      <c r="H650" s="130"/>
      <c r="I650" s="465"/>
      <c r="J650" s="465"/>
      <c r="K650" s="711"/>
      <c r="L650" s="9">
        <v>45731</v>
      </c>
      <c r="M650" s="316" t="s">
        <v>1382</v>
      </c>
      <c r="N650" s="133" t="s">
        <v>1007</v>
      </c>
      <c r="O650" s="134" t="s">
        <v>1005</v>
      </c>
    </row>
    <row r="651" spans="1:15" s="1" customFormat="1">
      <c r="A651" s="4">
        <f t="shared" si="20"/>
        <v>650</v>
      </c>
      <c r="B651" s="294" t="s">
        <v>816</v>
      </c>
      <c r="C651" s="294" t="s">
        <v>850</v>
      </c>
      <c r="D651" s="709" t="s">
        <v>878</v>
      </c>
      <c r="E651" s="294">
        <v>18</v>
      </c>
      <c r="F651" s="294">
        <v>18</v>
      </c>
      <c r="G651" s="179">
        <v>45731</v>
      </c>
      <c r="H651" s="130"/>
      <c r="I651" s="465"/>
      <c r="J651" s="465"/>
      <c r="K651" s="711"/>
      <c r="L651" s="9">
        <v>45731</v>
      </c>
      <c r="M651" s="316" t="s">
        <v>1382</v>
      </c>
      <c r="N651" s="133" t="s">
        <v>1007</v>
      </c>
      <c r="O651" s="134" t="s">
        <v>1005</v>
      </c>
    </row>
    <row r="652" spans="1:15" s="1" customFormat="1">
      <c r="A652" s="4">
        <f t="shared" si="20"/>
        <v>651</v>
      </c>
      <c r="B652" s="294" t="s">
        <v>817</v>
      </c>
      <c r="C652" s="294" t="s">
        <v>851</v>
      </c>
      <c r="D652" s="709" t="s">
        <v>874</v>
      </c>
      <c r="E652" s="294">
        <v>3</v>
      </c>
      <c r="F652" s="294">
        <v>3</v>
      </c>
      <c r="G652" s="179">
        <v>45731</v>
      </c>
      <c r="H652" s="130"/>
      <c r="I652" s="465"/>
      <c r="J652" s="465"/>
      <c r="K652" s="711"/>
      <c r="L652" s="9">
        <v>45731</v>
      </c>
      <c r="M652" s="316" t="s">
        <v>1382</v>
      </c>
      <c r="N652" s="133" t="s">
        <v>1007</v>
      </c>
      <c r="O652" s="134" t="s">
        <v>1005</v>
      </c>
    </row>
    <row r="653" spans="1:15" s="1" customFormat="1">
      <c r="A653" s="4">
        <f t="shared" si="20"/>
        <v>652</v>
      </c>
      <c r="B653" s="294" t="s">
        <v>817</v>
      </c>
      <c r="C653" s="294" t="s">
        <v>851</v>
      </c>
      <c r="D653" s="709" t="s">
        <v>877</v>
      </c>
      <c r="E653" s="294">
        <v>3</v>
      </c>
      <c r="F653" s="294">
        <v>3</v>
      </c>
      <c r="G653" s="179">
        <v>45731</v>
      </c>
      <c r="H653" s="130"/>
      <c r="I653" s="465"/>
      <c r="J653" s="465"/>
      <c r="K653" s="711"/>
      <c r="L653" s="9">
        <v>45731</v>
      </c>
      <c r="M653" s="316" t="s">
        <v>1382</v>
      </c>
      <c r="N653" s="133" t="s">
        <v>1007</v>
      </c>
      <c r="O653" s="134" t="s">
        <v>1005</v>
      </c>
    </row>
    <row r="654" spans="1:15" s="1" customFormat="1">
      <c r="A654" s="4">
        <f t="shared" si="20"/>
        <v>653</v>
      </c>
      <c r="B654" s="294" t="s">
        <v>817</v>
      </c>
      <c r="C654" s="294" t="s">
        <v>851</v>
      </c>
      <c r="D654" s="709" t="s">
        <v>873</v>
      </c>
      <c r="E654" s="294">
        <v>3</v>
      </c>
      <c r="F654" s="294">
        <v>3</v>
      </c>
      <c r="G654" s="179">
        <v>45731</v>
      </c>
      <c r="H654" s="130"/>
      <c r="I654" s="465"/>
      <c r="J654" s="465"/>
      <c r="K654" s="711"/>
      <c r="L654" s="9">
        <v>45731</v>
      </c>
      <c r="M654" s="316" t="s">
        <v>1382</v>
      </c>
      <c r="N654" s="133" t="s">
        <v>1007</v>
      </c>
      <c r="O654" s="134" t="s">
        <v>1005</v>
      </c>
    </row>
    <row r="655" spans="1:15" s="1" customFormat="1">
      <c r="A655" s="4">
        <f t="shared" si="20"/>
        <v>654</v>
      </c>
      <c r="B655" s="294" t="s">
        <v>817</v>
      </c>
      <c r="C655" s="294" t="s">
        <v>851</v>
      </c>
      <c r="D655" s="709" t="s">
        <v>878</v>
      </c>
      <c r="E655" s="294">
        <v>3</v>
      </c>
      <c r="F655" s="294">
        <v>3</v>
      </c>
      <c r="G655" s="179">
        <v>45731</v>
      </c>
      <c r="H655" s="130"/>
      <c r="I655" s="465"/>
      <c r="J655" s="465"/>
      <c r="K655" s="711"/>
      <c r="L655" s="9">
        <v>45731</v>
      </c>
      <c r="M655" s="316" t="s">
        <v>1382</v>
      </c>
      <c r="N655" s="133" t="s">
        <v>1007</v>
      </c>
      <c r="O655" s="134" t="s">
        <v>1005</v>
      </c>
    </row>
    <row r="656" spans="1:15" s="1" customFormat="1">
      <c r="A656" s="4">
        <f t="shared" si="20"/>
        <v>655</v>
      </c>
      <c r="B656" s="294" t="s">
        <v>818</v>
      </c>
      <c r="C656" s="294" t="s">
        <v>852</v>
      </c>
      <c r="D656" s="709" t="s">
        <v>878</v>
      </c>
      <c r="E656" s="294">
        <v>11</v>
      </c>
      <c r="F656" s="294">
        <v>11</v>
      </c>
      <c r="G656" s="179">
        <v>45731</v>
      </c>
      <c r="H656" s="130"/>
      <c r="I656" s="465"/>
      <c r="J656" s="465"/>
      <c r="K656" s="711"/>
      <c r="L656" s="9">
        <v>45731</v>
      </c>
      <c r="M656" s="316" t="s">
        <v>1382</v>
      </c>
      <c r="N656" s="133" t="s">
        <v>1007</v>
      </c>
      <c r="O656" s="134" t="s">
        <v>1005</v>
      </c>
    </row>
    <row r="657" spans="1:15" s="1" customFormat="1">
      <c r="A657" s="4">
        <f t="shared" si="20"/>
        <v>656</v>
      </c>
      <c r="B657" s="294" t="s">
        <v>818</v>
      </c>
      <c r="C657" s="294" t="s">
        <v>852</v>
      </c>
      <c r="D657" s="709" t="s">
        <v>879</v>
      </c>
      <c r="E657" s="294">
        <v>11</v>
      </c>
      <c r="F657" s="294">
        <v>11</v>
      </c>
      <c r="G657" s="179">
        <v>45731</v>
      </c>
      <c r="H657" s="130"/>
      <c r="I657" s="465"/>
      <c r="J657" s="465"/>
      <c r="K657" s="711"/>
      <c r="L657" s="9">
        <v>45731</v>
      </c>
      <c r="M657" s="316" t="s">
        <v>1382</v>
      </c>
      <c r="N657" s="133" t="s">
        <v>1007</v>
      </c>
      <c r="O657" s="134" t="s">
        <v>1005</v>
      </c>
    </row>
    <row r="658" spans="1:15" s="1" customFormat="1">
      <c r="A658" s="4">
        <f t="shared" si="20"/>
        <v>657</v>
      </c>
      <c r="B658" s="294" t="s">
        <v>818</v>
      </c>
      <c r="C658" s="294" t="s">
        <v>852</v>
      </c>
      <c r="D658" s="709" t="s">
        <v>880</v>
      </c>
      <c r="E658" s="294">
        <v>11</v>
      </c>
      <c r="F658" s="294">
        <v>11</v>
      </c>
      <c r="G658" s="179">
        <v>45731</v>
      </c>
      <c r="H658" s="130"/>
      <c r="I658" s="465"/>
      <c r="J658" s="465"/>
      <c r="K658" s="711"/>
      <c r="L658" s="9">
        <v>45731</v>
      </c>
      <c r="M658" s="316" t="s">
        <v>1382</v>
      </c>
      <c r="N658" s="133" t="s">
        <v>1007</v>
      </c>
      <c r="O658" s="134" t="s">
        <v>1005</v>
      </c>
    </row>
    <row r="659" spans="1:15" s="1" customFormat="1">
      <c r="A659" s="4">
        <f t="shared" si="20"/>
        <v>658</v>
      </c>
      <c r="B659" s="294" t="s">
        <v>818</v>
      </c>
      <c r="C659" s="294" t="s">
        <v>852</v>
      </c>
      <c r="D659" s="709" t="s">
        <v>881</v>
      </c>
      <c r="E659" s="294">
        <v>11</v>
      </c>
      <c r="F659" s="294">
        <v>11</v>
      </c>
      <c r="G659" s="179">
        <v>45731</v>
      </c>
      <c r="H659" s="130"/>
      <c r="I659" s="465"/>
      <c r="J659" s="465"/>
      <c r="K659" s="711"/>
      <c r="L659" s="9">
        <v>45731</v>
      </c>
      <c r="M659" s="316" t="s">
        <v>1382</v>
      </c>
      <c r="N659" s="133" t="s">
        <v>1007</v>
      </c>
      <c r="O659" s="134" t="s">
        <v>1005</v>
      </c>
    </row>
    <row r="660" spans="1:15" s="1" customFormat="1">
      <c r="A660" s="4">
        <f t="shared" si="20"/>
        <v>659</v>
      </c>
      <c r="B660" s="294" t="s">
        <v>818</v>
      </c>
      <c r="C660" s="294" t="s">
        <v>852</v>
      </c>
      <c r="D660" s="709" t="s">
        <v>882</v>
      </c>
      <c r="E660" s="294">
        <v>11</v>
      </c>
      <c r="F660" s="294">
        <v>11</v>
      </c>
      <c r="G660" s="179">
        <v>45731</v>
      </c>
      <c r="H660" s="130"/>
      <c r="I660" s="465"/>
      <c r="J660" s="465"/>
      <c r="K660" s="711"/>
      <c r="L660" s="9">
        <v>45731</v>
      </c>
      <c r="M660" s="316" t="s">
        <v>1382</v>
      </c>
      <c r="N660" s="133" t="s">
        <v>1007</v>
      </c>
      <c r="O660" s="134" t="s">
        <v>1005</v>
      </c>
    </row>
    <row r="661" spans="1:15" s="1" customFormat="1">
      <c r="A661" s="4">
        <f t="shared" si="20"/>
        <v>660</v>
      </c>
      <c r="B661" s="294" t="s">
        <v>818</v>
      </c>
      <c r="C661" s="294" t="s">
        <v>852</v>
      </c>
      <c r="D661" s="709" t="s">
        <v>883</v>
      </c>
      <c r="E661" s="294">
        <v>11</v>
      </c>
      <c r="F661" s="294">
        <v>11</v>
      </c>
      <c r="G661" s="179">
        <v>45731</v>
      </c>
      <c r="H661" s="130"/>
      <c r="I661" s="465"/>
      <c r="J661" s="465"/>
      <c r="K661" s="711"/>
      <c r="L661" s="9">
        <v>45731</v>
      </c>
      <c r="M661" s="316" t="s">
        <v>1382</v>
      </c>
      <c r="N661" s="133" t="s">
        <v>1007</v>
      </c>
      <c r="O661" s="134" t="s">
        <v>1005</v>
      </c>
    </row>
    <row r="662" spans="1:15" s="1" customFormat="1">
      <c r="A662" s="4">
        <f t="shared" si="20"/>
        <v>661</v>
      </c>
      <c r="B662" s="294" t="s">
        <v>818</v>
      </c>
      <c r="C662" s="294" t="s">
        <v>852</v>
      </c>
      <c r="D662" s="709" t="s">
        <v>874</v>
      </c>
      <c r="E662" s="294">
        <v>11</v>
      </c>
      <c r="F662" s="294">
        <v>11</v>
      </c>
      <c r="G662" s="179">
        <v>45731</v>
      </c>
      <c r="H662" s="130"/>
      <c r="I662" s="465"/>
      <c r="J662" s="465"/>
      <c r="K662" s="711"/>
      <c r="L662" s="9">
        <v>45731</v>
      </c>
      <c r="M662" s="316" t="s">
        <v>1382</v>
      </c>
      <c r="N662" s="133" t="s">
        <v>1007</v>
      </c>
      <c r="O662" s="134" t="s">
        <v>1005</v>
      </c>
    </row>
    <row r="663" spans="1:15" s="1" customFormat="1">
      <c r="A663" s="4">
        <f t="shared" si="20"/>
        <v>662</v>
      </c>
      <c r="B663" s="294" t="s">
        <v>818</v>
      </c>
      <c r="C663" s="294" t="s">
        <v>852</v>
      </c>
      <c r="D663" s="709" t="s">
        <v>861</v>
      </c>
      <c r="E663" s="294">
        <v>11</v>
      </c>
      <c r="F663" s="294">
        <v>11</v>
      </c>
      <c r="G663" s="179">
        <v>45731</v>
      </c>
      <c r="H663" s="130"/>
      <c r="I663" s="465"/>
      <c r="J663" s="465"/>
      <c r="K663" s="711"/>
      <c r="L663" s="9">
        <v>45731</v>
      </c>
      <c r="M663" s="316" t="s">
        <v>1382</v>
      </c>
      <c r="N663" s="133" t="s">
        <v>1007</v>
      </c>
      <c r="O663" s="134" t="s">
        <v>1005</v>
      </c>
    </row>
    <row r="664" spans="1:15" s="1" customFormat="1">
      <c r="A664" s="4">
        <f t="shared" si="20"/>
        <v>663</v>
      </c>
      <c r="B664" s="294" t="s">
        <v>819</v>
      </c>
      <c r="C664" s="294" t="s">
        <v>853</v>
      </c>
      <c r="D664" s="709" t="s">
        <v>878</v>
      </c>
      <c r="E664" s="294">
        <v>7</v>
      </c>
      <c r="F664" s="294">
        <v>7</v>
      </c>
      <c r="G664" s="179">
        <v>45731</v>
      </c>
      <c r="H664" s="130"/>
      <c r="I664" s="465"/>
      <c r="J664" s="465"/>
      <c r="K664" s="711"/>
      <c r="L664" s="9">
        <v>45731</v>
      </c>
      <c r="M664" s="316" t="s">
        <v>1382</v>
      </c>
      <c r="N664" s="133" t="s">
        <v>1007</v>
      </c>
      <c r="O664" s="134" t="s">
        <v>1005</v>
      </c>
    </row>
    <row r="665" spans="1:15" s="1" customFormat="1">
      <c r="A665" s="4">
        <f t="shared" si="20"/>
        <v>664</v>
      </c>
      <c r="B665" s="294" t="s">
        <v>819</v>
      </c>
      <c r="C665" s="294" t="s">
        <v>853</v>
      </c>
      <c r="D665" s="709" t="s">
        <v>879</v>
      </c>
      <c r="E665" s="294">
        <v>7</v>
      </c>
      <c r="F665" s="294">
        <v>7</v>
      </c>
      <c r="G665" s="179">
        <v>45731</v>
      </c>
      <c r="H665" s="130"/>
      <c r="I665" s="465"/>
      <c r="J665" s="465"/>
      <c r="K665" s="711"/>
      <c r="L665" s="9">
        <v>45731</v>
      </c>
      <c r="M665" s="316" t="s">
        <v>1382</v>
      </c>
      <c r="N665" s="133" t="s">
        <v>1007</v>
      </c>
      <c r="O665" s="134" t="s">
        <v>1005</v>
      </c>
    </row>
    <row r="666" spans="1:15" s="1" customFormat="1">
      <c r="A666" s="4">
        <f t="shared" ref="A666:A724" si="21">ROW()-1</f>
        <v>665</v>
      </c>
      <c r="B666" s="294" t="s">
        <v>819</v>
      </c>
      <c r="C666" s="294" t="s">
        <v>853</v>
      </c>
      <c r="D666" s="709" t="s">
        <v>874</v>
      </c>
      <c r="E666" s="294">
        <v>7</v>
      </c>
      <c r="F666" s="294">
        <v>7</v>
      </c>
      <c r="G666" s="179">
        <v>45731</v>
      </c>
      <c r="H666" s="130"/>
      <c r="I666" s="465"/>
      <c r="J666" s="465"/>
      <c r="K666" s="711"/>
      <c r="L666" s="9">
        <v>45731</v>
      </c>
      <c r="M666" s="316" t="s">
        <v>1382</v>
      </c>
      <c r="N666" s="133" t="s">
        <v>1007</v>
      </c>
      <c r="O666" s="134" t="s">
        <v>1005</v>
      </c>
    </row>
    <row r="667" spans="1:15" s="1" customFormat="1">
      <c r="A667" s="4">
        <f t="shared" si="21"/>
        <v>666</v>
      </c>
      <c r="B667" s="294" t="s">
        <v>819</v>
      </c>
      <c r="C667" s="294" t="s">
        <v>853</v>
      </c>
      <c r="D667" s="709" t="s">
        <v>861</v>
      </c>
      <c r="E667" s="294">
        <v>7</v>
      </c>
      <c r="F667" s="294">
        <v>7</v>
      </c>
      <c r="G667" s="179">
        <v>45731</v>
      </c>
      <c r="H667" s="130"/>
      <c r="I667" s="465"/>
      <c r="J667" s="465"/>
      <c r="K667" s="711"/>
      <c r="L667" s="9">
        <v>45731</v>
      </c>
      <c r="M667" s="316" t="s">
        <v>1382</v>
      </c>
      <c r="N667" s="133" t="s">
        <v>1007</v>
      </c>
      <c r="O667" s="134" t="s">
        <v>1005</v>
      </c>
    </row>
    <row r="668" spans="1:15" s="1" customFormat="1">
      <c r="A668" s="4">
        <f t="shared" si="21"/>
        <v>667</v>
      </c>
      <c r="B668" s="294" t="s">
        <v>819</v>
      </c>
      <c r="C668" s="294" t="s">
        <v>853</v>
      </c>
      <c r="D668" s="709" t="s">
        <v>880</v>
      </c>
      <c r="E668" s="294">
        <v>7</v>
      </c>
      <c r="F668" s="294">
        <v>7</v>
      </c>
      <c r="G668" s="179">
        <v>45731</v>
      </c>
      <c r="H668" s="130"/>
      <c r="I668" s="465"/>
      <c r="J668" s="465"/>
      <c r="K668" s="711"/>
      <c r="L668" s="9">
        <v>45731</v>
      </c>
      <c r="M668" s="316" t="s">
        <v>1382</v>
      </c>
      <c r="N668" s="133" t="s">
        <v>1007</v>
      </c>
      <c r="O668" s="134" t="s">
        <v>1005</v>
      </c>
    </row>
    <row r="669" spans="1:15" s="1" customFormat="1">
      <c r="A669" s="4">
        <f t="shared" si="21"/>
        <v>668</v>
      </c>
      <c r="B669" s="294" t="s">
        <v>819</v>
      </c>
      <c r="C669" s="294" t="s">
        <v>853</v>
      </c>
      <c r="D669" s="709" t="s">
        <v>881</v>
      </c>
      <c r="E669" s="294">
        <v>7</v>
      </c>
      <c r="F669" s="294">
        <v>7</v>
      </c>
      <c r="G669" s="179">
        <v>45731</v>
      </c>
      <c r="H669" s="130"/>
      <c r="I669" s="465"/>
      <c r="J669" s="465"/>
      <c r="K669" s="711"/>
      <c r="L669" s="9">
        <v>45731</v>
      </c>
      <c r="M669" s="316" t="s">
        <v>1382</v>
      </c>
      <c r="N669" s="133" t="s">
        <v>1007</v>
      </c>
      <c r="O669" s="134" t="s">
        <v>1005</v>
      </c>
    </row>
    <row r="670" spans="1:15" s="1" customFormat="1">
      <c r="A670" s="4">
        <f t="shared" si="21"/>
        <v>669</v>
      </c>
      <c r="B670" s="294" t="s">
        <v>819</v>
      </c>
      <c r="C670" s="294" t="s">
        <v>853</v>
      </c>
      <c r="D670" s="709" t="s">
        <v>882</v>
      </c>
      <c r="E670" s="294">
        <v>7</v>
      </c>
      <c r="F670" s="294">
        <v>7</v>
      </c>
      <c r="G670" s="179">
        <v>45731</v>
      </c>
      <c r="H670" s="130"/>
      <c r="I670" s="465"/>
      <c r="J670" s="465"/>
      <c r="K670" s="711"/>
      <c r="L670" s="9">
        <v>45731</v>
      </c>
      <c r="M670" s="316" t="s">
        <v>1382</v>
      </c>
      <c r="N670" s="133" t="s">
        <v>1007</v>
      </c>
      <c r="O670" s="134" t="s">
        <v>1005</v>
      </c>
    </row>
    <row r="671" spans="1:15" s="1" customFormat="1">
      <c r="A671" s="4">
        <f t="shared" si="21"/>
        <v>670</v>
      </c>
      <c r="B671" s="294" t="s">
        <v>819</v>
      </c>
      <c r="C671" s="294" t="s">
        <v>853</v>
      </c>
      <c r="D671" s="709" t="s">
        <v>883</v>
      </c>
      <c r="E671" s="294">
        <v>7</v>
      </c>
      <c r="F671" s="294">
        <v>7</v>
      </c>
      <c r="G671" s="179">
        <v>45731</v>
      </c>
      <c r="H671" s="130"/>
      <c r="I671" s="465"/>
      <c r="J671" s="465"/>
      <c r="K671" s="711"/>
      <c r="L671" s="9">
        <v>45731</v>
      </c>
      <c r="M671" s="316" t="s">
        <v>1382</v>
      </c>
      <c r="N671" s="133" t="s">
        <v>1007</v>
      </c>
      <c r="O671" s="134" t="s">
        <v>1005</v>
      </c>
    </row>
    <row r="672" spans="1:15" s="1" customFormat="1">
      <c r="A672" s="4">
        <f t="shared" si="21"/>
        <v>671</v>
      </c>
      <c r="B672" s="294" t="s">
        <v>820</v>
      </c>
      <c r="C672" s="294" t="s">
        <v>854</v>
      </c>
      <c r="D672" s="709" t="s">
        <v>878</v>
      </c>
      <c r="E672" s="294">
        <v>2</v>
      </c>
      <c r="F672" s="294">
        <v>2</v>
      </c>
      <c r="G672" s="179">
        <v>45731</v>
      </c>
      <c r="H672" s="130"/>
      <c r="I672" s="465"/>
      <c r="J672" s="465"/>
      <c r="K672" s="711"/>
      <c r="L672" s="9">
        <v>45731</v>
      </c>
      <c r="M672" s="316" t="s">
        <v>1382</v>
      </c>
      <c r="N672" s="133" t="s">
        <v>1007</v>
      </c>
      <c r="O672" s="134" t="s">
        <v>1005</v>
      </c>
    </row>
    <row r="673" spans="1:15" s="1" customFormat="1">
      <c r="A673" s="4">
        <f t="shared" si="21"/>
        <v>672</v>
      </c>
      <c r="B673" s="294" t="s">
        <v>820</v>
      </c>
      <c r="C673" s="294" t="s">
        <v>854</v>
      </c>
      <c r="D673" s="709" t="s">
        <v>879</v>
      </c>
      <c r="E673" s="294">
        <v>2</v>
      </c>
      <c r="F673" s="294">
        <v>2</v>
      </c>
      <c r="G673" s="179">
        <v>45731</v>
      </c>
      <c r="H673" s="130"/>
      <c r="I673" s="465"/>
      <c r="J673" s="465"/>
      <c r="K673" s="711"/>
      <c r="L673" s="9">
        <v>45731</v>
      </c>
      <c r="M673" s="316" t="s">
        <v>1382</v>
      </c>
      <c r="N673" s="133" t="s">
        <v>1007</v>
      </c>
      <c r="O673" s="134" t="s">
        <v>1005</v>
      </c>
    </row>
    <row r="674" spans="1:15" s="1" customFormat="1">
      <c r="A674" s="4">
        <f t="shared" si="21"/>
        <v>673</v>
      </c>
      <c r="B674" s="294" t="s">
        <v>820</v>
      </c>
      <c r="C674" s="294" t="s">
        <v>854</v>
      </c>
      <c r="D674" s="709" t="s">
        <v>874</v>
      </c>
      <c r="E674" s="294">
        <v>2</v>
      </c>
      <c r="F674" s="294">
        <v>2</v>
      </c>
      <c r="G674" s="179">
        <v>45731</v>
      </c>
      <c r="H674" s="130"/>
      <c r="I674" s="465"/>
      <c r="J674" s="465"/>
      <c r="K674" s="711"/>
      <c r="L674" s="9">
        <v>45731</v>
      </c>
      <c r="M674" s="316" t="s">
        <v>1382</v>
      </c>
      <c r="N674" s="133" t="s">
        <v>1007</v>
      </c>
      <c r="O674" s="134" t="s">
        <v>1005</v>
      </c>
    </row>
    <row r="675" spans="1:15" s="1" customFormat="1">
      <c r="A675" s="4">
        <f t="shared" si="21"/>
        <v>674</v>
      </c>
      <c r="B675" s="294" t="s">
        <v>820</v>
      </c>
      <c r="C675" s="294" t="s">
        <v>854</v>
      </c>
      <c r="D675" s="709" t="s">
        <v>861</v>
      </c>
      <c r="E675" s="294">
        <v>2</v>
      </c>
      <c r="F675" s="294">
        <v>2</v>
      </c>
      <c r="G675" s="179">
        <v>45731</v>
      </c>
      <c r="H675" s="130"/>
      <c r="I675" s="465"/>
      <c r="J675" s="465"/>
      <c r="K675" s="711"/>
      <c r="L675" s="9">
        <v>45731</v>
      </c>
      <c r="M675" s="316" t="s">
        <v>1382</v>
      </c>
      <c r="N675" s="133" t="s">
        <v>1007</v>
      </c>
      <c r="O675" s="134" t="s">
        <v>1005</v>
      </c>
    </row>
    <row r="676" spans="1:15" s="1" customFormat="1">
      <c r="A676" s="4">
        <f t="shared" si="21"/>
        <v>675</v>
      </c>
      <c r="B676" s="294" t="s">
        <v>820</v>
      </c>
      <c r="C676" s="294" t="s">
        <v>854</v>
      </c>
      <c r="D676" s="709" t="s">
        <v>880</v>
      </c>
      <c r="E676" s="294">
        <v>2</v>
      </c>
      <c r="F676" s="294">
        <v>2</v>
      </c>
      <c r="G676" s="179">
        <v>45731</v>
      </c>
      <c r="H676" s="130"/>
      <c r="I676" s="465"/>
      <c r="J676" s="465"/>
      <c r="K676" s="711"/>
      <c r="L676" s="9">
        <v>45731</v>
      </c>
      <c r="M676" s="316" t="s">
        <v>1382</v>
      </c>
      <c r="N676" s="133" t="s">
        <v>1007</v>
      </c>
      <c r="O676" s="134" t="s">
        <v>1005</v>
      </c>
    </row>
    <row r="677" spans="1:15" s="1" customFormat="1">
      <c r="A677" s="4">
        <f t="shared" si="21"/>
        <v>676</v>
      </c>
      <c r="B677" s="294" t="s">
        <v>820</v>
      </c>
      <c r="C677" s="294" t="s">
        <v>854</v>
      </c>
      <c r="D677" s="709" t="s">
        <v>881</v>
      </c>
      <c r="E677" s="294">
        <v>2</v>
      </c>
      <c r="F677" s="294">
        <v>2</v>
      </c>
      <c r="G677" s="179">
        <v>45731</v>
      </c>
      <c r="H677" s="130"/>
      <c r="I677" s="465"/>
      <c r="J677" s="465"/>
      <c r="K677" s="711"/>
      <c r="L677" s="9">
        <v>45731</v>
      </c>
      <c r="M677" s="316" t="s">
        <v>1382</v>
      </c>
      <c r="N677" s="133" t="s">
        <v>1007</v>
      </c>
      <c r="O677" s="134" t="s">
        <v>1005</v>
      </c>
    </row>
    <row r="678" spans="1:15" s="1" customFormat="1">
      <c r="A678" s="4">
        <f t="shared" si="21"/>
        <v>677</v>
      </c>
      <c r="B678" s="294" t="s">
        <v>820</v>
      </c>
      <c r="C678" s="294" t="s">
        <v>854</v>
      </c>
      <c r="D678" s="709" t="s">
        <v>882</v>
      </c>
      <c r="E678" s="294">
        <v>2</v>
      </c>
      <c r="F678" s="294">
        <v>2</v>
      </c>
      <c r="G678" s="179">
        <v>45731</v>
      </c>
      <c r="H678" s="130"/>
      <c r="I678" s="465"/>
      <c r="J678" s="465"/>
      <c r="K678" s="711"/>
      <c r="L678" s="9">
        <v>45731</v>
      </c>
      <c r="M678" s="316" t="s">
        <v>1382</v>
      </c>
      <c r="N678" s="133" t="s">
        <v>1007</v>
      </c>
      <c r="O678" s="134" t="s">
        <v>1005</v>
      </c>
    </row>
    <row r="679" spans="1:15" s="1" customFormat="1">
      <c r="A679" s="4">
        <f t="shared" si="21"/>
        <v>678</v>
      </c>
      <c r="B679" s="294" t="s">
        <v>820</v>
      </c>
      <c r="C679" s="294" t="s">
        <v>854</v>
      </c>
      <c r="D679" s="709" t="s">
        <v>883</v>
      </c>
      <c r="E679" s="294">
        <v>2</v>
      </c>
      <c r="F679" s="294">
        <v>2</v>
      </c>
      <c r="G679" s="179">
        <v>45731</v>
      </c>
      <c r="H679" s="130"/>
      <c r="I679" s="465"/>
      <c r="J679" s="465"/>
      <c r="K679" s="711"/>
      <c r="L679" s="9">
        <v>45731</v>
      </c>
      <c r="M679" s="316" t="s">
        <v>1382</v>
      </c>
      <c r="N679" s="133" t="s">
        <v>1007</v>
      </c>
      <c r="O679" s="134" t="s">
        <v>1005</v>
      </c>
    </row>
    <row r="680" spans="1:15" s="1" customFormat="1">
      <c r="A680" s="4">
        <f t="shared" si="21"/>
        <v>679</v>
      </c>
      <c r="B680" s="294" t="s">
        <v>821</v>
      </c>
      <c r="C680" s="294" t="s">
        <v>855</v>
      </c>
      <c r="D680" s="709" t="s">
        <v>880</v>
      </c>
      <c r="E680" s="294">
        <v>1</v>
      </c>
      <c r="F680" s="294">
        <v>1</v>
      </c>
      <c r="G680" s="179">
        <v>45731</v>
      </c>
      <c r="H680" s="130"/>
      <c r="I680" s="465"/>
      <c r="J680" s="465"/>
      <c r="K680" s="711"/>
      <c r="L680" s="9">
        <v>45731</v>
      </c>
      <c r="M680" s="316" t="s">
        <v>1382</v>
      </c>
      <c r="N680" s="133" t="s">
        <v>1007</v>
      </c>
      <c r="O680" s="134" t="s">
        <v>1005</v>
      </c>
    </row>
    <row r="681" spans="1:15" s="1" customFormat="1">
      <c r="A681" s="4">
        <f t="shared" si="21"/>
        <v>680</v>
      </c>
      <c r="B681" s="294" t="s">
        <v>821</v>
      </c>
      <c r="C681" s="294" t="s">
        <v>855</v>
      </c>
      <c r="D681" s="709" t="s">
        <v>882</v>
      </c>
      <c r="E681" s="294">
        <v>1</v>
      </c>
      <c r="F681" s="294">
        <v>1</v>
      </c>
      <c r="G681" s="179">
        <v>45731</v>
      </c>
      <c r="H681" s="130"/>
      <c r="I681" s="465"/>
      <c r="J681" s="465"/>
      <c r="K681" s="711"/>
      <c r="L681" s="9">
        <v>45731</v>
      </c>
      <c r="M681" s="316" t="s">
        <v>1382</v>
      </c>
      <c r="N681" s="133" t="s">
        <v>1007</v>
      </c>
      <c r="O681" s="134" t="s">
        <v>1005</v>
      </c>
    </row>
    <row r="682" spans="1:15" s="1" customFormat="1">
      <c r="A682" s="4">
        <f t="shared" si="21"/>
        <v>681</v>
      </c>
      <c r="B682" s="294" t="s">
        <v>821</v>
      </c>
      <c r="C682" s="294" t="s">
        <v>855</v>
      </c>
      <c r="D682" s="709" t="s">
        <v>874</v>
      </c>
      <c r="E682" s="294">
        <v>1</v>
      </c>
      <c r="F682" s="294">
        <v>1</v>
      </c>
      <c r="G682" s="179">
        <v>45731</v>
      </c>
      <c r="H682" s="130"/>
      <c r="I682" s="465"/>
      <c r="J682" s="465"/>
      <c r="K682" s="711"/>
      <c r="L682" s="9">
        <v>45731</v>
      </c>
      <c r="M682" s="316" t="s">
        <v>1382</v>
      </c>
      <c r="N682" s="133" t="s">
        <v>1007</v>
      </c>
      <c r="O682" s="134" t="s">
        <v>1005</v>
      </c>
    </row>
    <row r="683" spans="1:15" s="1" customFormat="1">
      <c r="A683" s="4">
        <f t="shared" si="21"/>
        <v>682</v>
      </c>
      <c r="B683" s="294" t="s">
        <v>821</v>
      </c>
      <c r="C683" s="294" t="s">
        <v>855</v>
      </c>
      <c r="D683" s="709" t="s">
        <v>877</v>
      </c>
      <c r="E683" s="294">
        <v>1</v>
      </c>
      <c r="F683" s="294">
        <v>1</v>
      </c>
      <c r="G683" s="179">
        <v>45731</v>
      </c>
      <c r="H683" s="130"/>
      <c r="I683" s="465"/>
      <c r="J683" s="465"/>
      <c r="K683" s="711"/>
      <c r="L683" s="9">
        <v>45731</v>
      </c>
      <c r="M683" s="316" t="s">
        <v>1382</v>
      </c>
      <c r="N683" s="133" t="s">
        <v>1007</v>
      </c>
      <c r="O683" s="134" t="s">
        <v>1005</v>
      </c>
    </row>
    <row r="684" spans="1:15" s="1" customFormat="1">
      <c r="A684" s="4">
        <f t="shared" si="21"/>
        <v>683</v>
      </c>
      <c r="B684" s="294" t="s">
        <v>821</v>
      </c>
      <c r="C684" s="294" t="s">
        <v>855</v>
      </c>
      <c r="D684" s="709" t="s">
        <v>861</v>
      </c>
      <c r="E684" s="294">
        <v>1</v>
      </c>
      <c r="F684" s="294">
        <v>1</v>
      </c>
      <c r="G684" s="179">
        <v>45731</v>
      </c>
      <c r="H684" s="130"/>
      <c r="I684" s="465"/>
      <c r="J684" s="465"/>
      <c r="K684" s="711"/>
      <c r="L684" s="9">
        <v>45731</v>
      </c>
      <c r="M684" s="316" t="s">
        <v>1382</v>
      </c>
      <c r="N684" s="133" t="s">
        <v>1007</v>
      </c>
      <c r="O684" s="134" t="s">
        <v>1005</v>
      </c>
    </row>
    <row r="685" spans="1:15" s="1" customFormat="1">
      <c r="A685" s="4">
        <f t="shared" si="21"/>
        <v>684</v>
      </c>
      <c r="B685" s="294" t="s">
        <v>821</v>
      </c>
      <c r="C685" s="294" t="s">
        <v>855</v>
      </c>
      <c r="D685" s="709" t="s">
        <v>863</v>
      </c>
      <c r="E685" s="294">
        <v>1</v>
      </c>
      <c r="F685" s="294">
        <v>1</v>
      </c>
      <c r="G685" s="179">
        <v>45731</v>
      </c>
      <c r="H685" s="130"/>
      <c r="I685" s="465"/>
      <c r="J685" s="465"/>
      <c r="K685" s="711"/>
      <c r="L685" s="9">
        <v>45731</v>
      </c>
      <c r="M685" s="316" t="s">
        <v>1382</v>
      </c>
      <c r="N685" s="133" t="s">
        <v>1007</v>
      </c>
      <c r="O685" s="134" t="s">
        <v>1005</v>
      </c>
    </row>
    <row r="686" spans="1:15" s="1" customFormat="1">
      <c r="A686" s="4">
        <f t="shared" si="21"/>
        <v>685</v>
      </c>
      <c r="B686" s="294" t="s">
        <v>822</v>
      </c>
      <c r="C686" s="294" t="s">
        <v>856</v>
      </c>
      <c r="D686" s="709" t="s">
        <v>880</v>
      </c>
      <c r="E686" s="294">
        <v>11</v>
      </c>
      <c r="F686" s="294">
        <v>11</v>
      </c>
      <c r="G686" s="179">
        <v>45731</v>
      </c>
      <c r="H686" s="130"/>
      <c r="I686" s="465"/>
      <c r="J686" s="465"/>
      <c r="K686" s="711"/>
      <c r="L686" s="9">
        <v>45731</v>
      </c>
      <c r="M686" s="316" t="s">
        <v>1382</v>
      </c>
      <c r="N686" s="133" t="s">
        <v>1007</v>
      </c>
      <c r="O686" s="134" t="s">
        <v>1005</v>
      </c>
    </row>
    <row r="687" spans="1:15" s="1" customFormat="1">
      <c r="A687" s="4">
        <f t="shared" si="21"/>
        <v>686</v>
      </c>
      <c r="B687" s="294" t="s">
        <v>822</v>
      </c>
      <c r="C687" s="294" t="s">
        <v>856</v>
      </c>
      <c r="D687" s="709" t="s">
        <v>882</v>
      </c>
      <c r="E687" s="294">
        <v>11</v>
      </c>
      <c r="F687" s="294">
        <v>11</v>
      </c>
      <c r="G687" s="179">
        <v>45731</v>
      </c>
      <c r="H687" s="130"/>
      <c r="I687" s="465"/>
      <c r="J687" s="465"/>
      <c r="K687" s="711"/>
      <c r="L687" s="9">
        <v>45731</v>
      </c>
      <c r="M687" s="316" t="s">
        <v>1382</v>
      </c>
      <c r="N687" s="133" t="s">
        <v>1007</v>
      </c>
      <c r="O687" s="134" t="s">
        <v>1005</v>
      </c>
    </row>
    <row r="688" spans="1:15" s="1" customFormat="1">
      <c r="A688" s="4">
        <f t="shared" si="21"/>
        <v>687</v>
      </c>
      <c r="B688" s="294" t="s">
        <v>822</v>
      </c>
      <c r="C688" s="294" t="s">
        <v>856</v>
      </c>
      <c r="D688" s="709" t="s">
        <v>874</v>
      </c>
      <c r="E688" s="294">
        <v>11</v>
      </c>
      <c r="F688" s="294">
        <v>11</v>
      </c>
      <c r="G688" s="179">
        <v>45731</v>
      </c>
      <c r="H688" s="130"/>
      <c r="I688" s="465"/>
      <c r="J688" s="465"/>
      <c r="K688" s="711"/>
      <c r="L688" s="9">
        <v>45731</v>
      </c>
      <c r="M688" s="316" t="s">
        <v>1382</v>
      </c>
      <c r="N688" s="133" t="s">
        <v>1007</v>
      </c>
      <c r="O688" s="134" t="s">
        <v>1005</v>
      </c>
    </row>
    <row r="689" spans="1:15" s="1" customFormat="1">
      <c r="A689" s="4">
        <f t="shared" si="21"/>
        <v>688</v>
      </c>
      <c r="B689" s="294" t="s">
        <v>822</v>
      </c>
      <c r="C689" s="294" t="s">
        <v>856</v>
      </c>
      <c r="D689" s="709" t="s">
        <v>877</v>
      </c>
      <c r="E689" s="294">
        <v>11</v>
      </c>
      <c r="F689" s="294">
        <v>11</v>
      </c>
      <c r="G689" s="179">
        <v>45731</v>
      </c>
      <c r="H689" s="130"/>
      <c r="I689" s="465"/>
      <c r="J689" s="465"/>
      <c r="K689" s="711"/>
      <c r="L689" s="9">
        <v>45731</v>
      </c>
      <c r="M689" s="316" t="s">
        <v>1382</v>
      </c>
      <c r="N689" s="133" t="s">
        <v>1007</v>
      </c>
      <c r="O689" s="134" t="s">
        <v>1005</v>
      </c>
    </row>
    <row r="690" spans="1:15" s="1" customFormat="1">
      <c r="A690" s="4">
        <f t="shared" si="21"/>
        <v>689</v>
      </c>
      <c r="B690" s="294" t="s">
        <v>822</v>
      </c>
      <c r="C690" s="294" t="s">
        <v>856</v>
      </c>
      <c r="D690" s="709" t="s">
        <v>861</v>
      </c>
      <c r="E690" s="294">
        <v>11</v>
      </c>
      <c r="F690" s="294">
        <v>11</v>
      </c>
      <c r="G690" s="179">
        <v>45731</v>
      </c>
      <c r="H690" s="130"/>
      <c r="I690" s="465"/>
      <c r="J690" s="465"/>
      <c r="K690" s="711"/>
      <c r="L690" s="9">
        <v>45731</v>
      </c>
      <c r="M690" s="316" t="s">
        <v>1382</v>
      </c>
      <c r="N690" s="133" t="s">
        <v>1007</v>
      </c>
      <c r="O690" s="134" t="s">
        <v>1005</v>
      </c>
    </row>
    <row r="691" spans="1:15" s="1" customFormat="1">
      <c r="A691" s="4">
        <f t="shared" si="21"/>
        <v>690</v>
      </c>
      <c r="B691" s="294" t="s">
        <v>822</v>
      </c>
      <c r="C691" s="294" t="s">
        <v>856</v>
      </c>
      <c r="D691" s="709" t="s">
        <v>863</v>
      </c>
      <c r="E691" s="294">
        <v>11</v>
      </c>
      <c r="F691" s="294">
        <v>11</v>
      </c>
      <c r="G691" s="179">
        <v>45731</v>
      </c>
      <c r="H691" s="130"/>
      <c r="I691" s="465"/>
      <c r="J691" s="465"/>
      <c r="K691" s="711"/>
      <c r="L691" s="9">
        <v>45731</v>
      </c>
      <c r="M691" s="316" t="s">
        <v>1382</v>
      </c>
      <c r="N691" s="133" t="s">
        <v>1007</v>
      </c>
      <c r="O691" s="134" t="s">
        <v>1005</v>
      </c>
    </row>
    <row r="692" spans="1:15" s="1" customFormat="1">
      <c r="A692" s="4">
        <f t="shared" si="21"/>
        <v>691</v>
      </c>
      <c r="B692" s="294" t="s">
        <v>823</v>
      </c>
      <c r="C692" s="294" t="s">
        <v>857</v>
      </c>
      <c r="D692" s="709" t="s">
        <v>880</v>
      </c>
      <c r="E692" s="294">
        <v>3</v>
      </c>
      <c r="F692" s="294">
        <v>3</v>
      </c>
      <c r="G692" s="179">
        <v>45731</v>
      </c>
      <c r="H692" s="130"/>
      <c r="I692" s="465"/>
      <c r="J692" s="465"/>
      <c r="K692" s="711"/>
      <c r="L692" s="9">
        <v>45731</v>
      </c>
      <c r="M692" s="316" t="s">
        <v>1382</v>
      </c>
      <c r="N692" s="133" t="s">
        <v>1007</v>
      </c>
      <c r="O692" s="134" t="s">
        <v>1005</v>
      </c>
    </row>
    <row r="693" spans="1:15" s="1" customFormat="1">
      <c r="A693" s="4">
        <f t="shared" si="21"/>
        <v>692</v>
      </c>
      <c r="B693" s="294" t="s">
        <v>823</v>
      </c>
      <c r="C693" s="294" t="s">
        <v>857</v>
      </c>
      <c r="D693" s="709" t="s">
        <v>882</v>
      </c>
      <c r="E693" s="294">
        <v>3</v>
      </c>
      <c r="F693" s="294">
        <v>3</v>
      </c>
      <c r="G693" s="179">
        <v>45731</v>
      </c>
      <c r="H693" s="130"/>
      <c r="I693" s="465"/>
      <c r="J693" s="465"/>
      <c r="K693" s="711"/>
      <c r="L693" s="9">
        <v>45731</v>
      </c>
      <c r="M693" s="316" t="s">
        <v>1382</v>
      </c>
      <c r="N693" s="133" t="s">
        <v>1007</v>
      </c>
      <c r="O693" s="134" t="s">
        <v>1005</v>
      </c>
    </row>
    <row r="694" spans="1:15" s="1" customFormat="1">
      <c r="A694" s="4">
        <f t="shared" si="21"/>
        <v>693</v>
      </c>
      <c r="B694" s="294" t="s">
        <v>823</v>
      </c>
      <c r="C694" s="294" t="s">
        <v>857</v>
      </c>
      <c r="D694" s="709" t="s">
        <v>874</v>
      </c>
      <c r="E694" s="294">
        <v>3</v>
      </c>
      <c r="F694" s="294">
        <v>3</v>
      </c>
      <c r="G694" s="179">
        <v>45731</v>
      </c>
      <c r="H694" s="130"/>
      <c r="I694" s="465"/>
      <c r="J694" s="465"/>
      <c r="K694" s="711"/>
      <c r="L694" s="9">
        <v>45731</v>
      </c>
      <c r="M694" s="316" t="s">
        <v>1382</v>
      </c>
      <c r="N694" s="133" t="s">
        <v>1007</v>
      </c>
      <c r="O694" s="134" t="s">
        <v>1005</v>
      </c>
    </row>
    <row r="695" spans="1:15" s="1" customFormat="1">
      <c r="A695" s="4">
        <f t="shared" si="21"/>
        <v>694</v>
      </c>
      <c r="B695" s="294" t="s">
        <v>823</v>
      </c>
      <c r="C695" s="294" t="s">
        <v>857</v>
      </c>
      <c r="D695" s="709" t="s">
        <v>877</v>
      </c>
      <c r="E695" s="294">
        <v>3</v>
      </c>
      <c r="F695" s="294">
        <v>3</v>
      </c>
      <c r="G695" s="179">
        <v>45731</v>
      </c>
      <c r="H695" s="130"/>
      <c r="I695" s="465"/>
      <c r="J695" s="465"/>
      <c r="K695" s="711"/>
      <c r="L695" s="9">
        <v>45731</v>
      </c>
      <c r="M695" s="316" t="s">
        <v>1382</v>
      </c>
      <c r="N695" s="133" t="s">
        <v>1007</v>
      </c>
      <c r="O695" s="134" t="s">
        <v>1005</v>
      </c>
    </row>
    <row r="696" spans="1:15" s="1" customFormat="1">
      <c r="A696" s="4">
        <f t="shared" si="21"/>
        <v>695</v>
      </c>
      <c r="B696" s="294" t="s">
        <v>823</v>
      </c>
      <c r="C696" s="294" t="s">
        <v>857</v>
      </c>
      <c r="D696" s="709" t="s">
        <v>861</v>
      </c>
      <c r="E696" s="294">
        <v>3</v>
      </c>
      <c r="F696" s="294">
        <v>3</v>
      </c>
      <c r="G696" s="179">
        <v>45731</v>
      </c>
      <c r="H696" s="130"/>
      <c r="I696" s="465"/>
      <c r="J696" s="465"/>
      <c r="K696" s="711"/>
      <c r="L696" s="9">
        <v>45731</v>
      </c>
      <c r="M696" s="316" t="s">
        <v>1382</v>
      </c>
      <c r="N696" s="133" t="s">
        <v>1007</v>
      </c>
      <c r="O696" s="134" t="s">
        <v>1005</v>
      </c>
    </row>
    <row r="697" spans="1:15" s="1" customFormat="1">
      <c r="A697" s="4">
        <f t="shared" si="21"/>
        <v>696</v>
      </c>
      <c r="B697" s="294" t="s">
        <v>823</v>
      </c>
      <c r="C697" s="294" t="s">
        <v>857</v>
      </c>
      <c r="D697" s="709" t="s">
        <v>863</v>
      </c>
      <c r="E697" s="294">
        <v>3</v>
      </c>
      <c r="F697" s="294">
        <v>3</v>
      </c>
      <c r="G697" s="179">
        <v>45731</v>
      </c>
      <c r="H697" s="130"/>
      <c r="I697" s="465"/>
      <c r="J697" s="465"/>
      <c r="K697" s="711"/>
      <c r="L697" s="9">
        <v>45731</v>
      </c>
      <c r="M697" s="316" t="s">
        <v>1382</v>
      </c>
      <c r="N697" s="133" t="s">
        <v>1007</v>
      </c>
      <c r="O697" s="134" t="s">
        <v>1005</v>
      </c>
    </row>
    <row r="698" spans="1:15" s="1" customFormat="1">
      <c r="A698" s="4">
        <f t="shared" si="21"/>
        <v>697</v>
      </c>
      <c r="B698" s="294" t="s">
        <v>824</v>
      </c>
      <c r="C698" s="294" t="s">
        <v>858</v>
      </c>
      <c r="D698" s="709" t="s">
        <v>874</v>
      </c>
      <c r="E698" s="294">
        <v>23</v>
      </c>
      <c r="F698" s="294">
        <v>23</v>
      </c>
      <c r="G698" s="179">
        <v>45731</v>
      </c>
      <c r="H698" s="130"/>
      <c r="I698" s="465"/>
      <c r="J698" s="465"/>
      <c r="K698" s="711"/>
      <c r="L698" s="9">
        <v>45731</v>
      </c>
      <c r="M698" s="316" t="s">
        <v>1382</v>
      </c>
      <c r="N698" s="133" t="s">
        <v>1007</v>
      </c>
      <c r="O698" s="134" t="s">
        <v>1005</v>
      </c>
    </row>
    <row r="699" spans="1:15" s="1" customFormat="1">
      <c r="A699" s="4">
        <f t="shared" si="21"/>
        <v>698</v>
      </c>
      <c r="B699" s="294" t="s">
        <v>824</v>
      </c>
      <c r="C699" s="294" t="s">
        <v>858</v>
      </c>
      <c r="D699" s="709" t="s">
        <v>873</v>
      </c>
      <c r="E699" s="294">
        <v>23</v>
      </c>
      <c r="F699" s="294">
        <v>23</v>
      </c>
      <c r="G699" s="179">
        <v>45731</v>
      </c>
      <c r="H699" s="130"/>
      <c r="I699" s="465"/>
      <c r="J699" s="465"/>
      <c r="K699" s="711"/>
      <c r="L699" s="9">
        <v>45731</v>
      </c>
      <c r="M699" s="316" t="s">
        <v>1382</v>
      </c>
      <c r="N699" s="133" t="s">
        <v>1007</v>
      </c>
      <c r="O699" s="134" t="s">
        <v>1005</v>
      </c>
    </row>
    <row r="700" spans="1:15" s="1" customFormat="1">
      <c r="A700" s="4">
        <f t="shared" si="21"/>
        <v>699</v>
      </c>
      <c r="B700" s="294" t="s">
        <v>825</v>
      </c>
      <c r="C700" s="294" t="s">
        <v>859</v>
      </c>
      <c r="D700" s="709" t="s">
        <v>874</v>
      </c>
      <c r="E700" s="294">
        <v>5</v>
      </c>
      <c r="F700" s="294">
        <v>5</v>
      </c>
      <c r="G700" s="179">
        <v>45731</v>
      </c>
      <c r="H700" s="130"/>
      <c r="I700" s="465"/>
      <c r="J700" s="465"/>
      <c r="K700" s="711"/>
      <c r="L700" s="9">
        <v>45731</v>
      </c>
      <c r="M700" s="316" t="s">
        <v>1382</v>
      </c>
      <c r="N700" s="133" t="s">
        <v>1007</v>
      </c>
      <c r="O700" s="134" t="s">
        <v>1005</v>
      </c>
    </row>
    <row r="701" spans="1:15" s="1" customFormat="1">
      <c r="A701" s="4">
        <f t="shared" si="21"/>
        <v>700</v>
      </c>
      <c r="B701" s="294" t="s">
        <v>825</v>
      </c>
      <c r="C701" s="294" t="s">
        <v>859</v>
      </c>
      <c r="D701" s="709" t="s">
        <v>873</v>
      </c>
      <c r="E701" s="294">
        <v>5</v>
      </c>
      <c r="F701" s="294">
        <v>5</v>
      </c>
      <c r="G701" s="179">
        <v>45731</v>
      </c>
      <c r="H701" s="130"/>
      <c r="I701" s="465"/>
      <c r="J701" s="465"/>
      <c r="K701" s="711"/>
      <c r="L701" s="9">
        <v>45731</v>
      </c>
      <c r="M701" s="316" t="s">
        <v>1382</v>
      </c>
      <c r="N701" s="133" t="s">
        <v>1007</v>
      </c>
      <c r="O701" s="134" t="s">
        <v>1005</v>
      </c>
    </row>
    <row r="702" spans="1:15" s="1" customFormat="1">
      <c r="A702" s="4">
        <f t="shared" si="21"/>
        <v>701</v>
      </c>
      <c r="B702" s="294" t="s">
        <v>826</v>
      </c>
      <c r="C702" s="294" t="s">
        <v>860</v>
      </c>
      <c r="D702" s="709" t="s">
        <v>873</v>
      </c>
      <c r="E702" s="294">
        <v>10</v>
      </c>
      <c r="F702" s="294">
        <v>10</v>
      </c>
      <c r="G702" s="179">
        <v>45731</v>
      </c>
      <c r="H702" s="130"/>
      <c r="I702" s="465"/>
      <c r="J702" s="465"/>
      <c r="K702" s="711"/>
      <c r="L702" s="9">
        <v>45731</v>
      </c>
      <c r="M702" s="316" t="s">
        <v>1382</v>
      </c>
      <c r="N702" s="133" t="s">
        <v>1007</v>
      </c>
      <c r="O702" s="134" t="s">
        <v>1005</v>
      </c>
    </row>
    <row r="703" spans="1:15" s="1" customFormat="1">
      <c r="A703" s="4">
        <f t="shared" si="21"/>
        <v>702</v>
      </c>
      <c r="B703" s="294" t="s">
        <v>826</v>
      </c>
      <c r="C703" s="294" t="s">
        <v>860</v>
      </c>
      <c r="D703" s="709" t="s">
        <v>874</v>
      </c>
      <c r="E703" s="294">
        <v>10</v>
      </c>
      <c r="F703" s="294">
        <v>10</v>
      </c>
      <c r="G703" s="179">
        <v>45731</v>
      </c>
      <c r="H703" s="130"/>
      <c r="I703" s="465"/>
      <c r="J703" s="465"/>
      <c r="K703" s="711"/>
      <c r="L703" s="9">
        <v>45731</v>
      </c>
      <c r="M703" s="316" t="s">
        <v>1382</v>
      </c>
      <c r="N703" s="133" t="s">
        <v>1007</v>
      </c>
      <c r="O703" s="134" t="s">
        <v>1005</v>
      </c>
    </row>
    <row r="704" spans="1:15" s="1" customFormat="1">
      <c r="A704" s="4">
        <f t="shared" si="21"/>
        <v>703</v>
      </c>
      <c r="B704" s="412"/>
      <c r="C704" s="712" t="s">
        <v>885</v>
      </c>
      <c r="D704" s="713" t="s">
        <v>884</v>
      </c>
      <c r="E704" s="4">
        <v>16</v>
      </c>
      <c r="F704" s="414">
        <v>16</v>
      </c>
      <c r="G704" s="179">
        <v>45731</v>
      </c>
      <c r="H704" s="415">
        <v>1</v>
      </c>
      <c r="I704" s="446">
        <v>0.33333333333333331</v>
      </c>
      <c r="J704" s="446">
        <v>0.375</v>
      </c>
      <c r="K704" s="417">
        <f t="shared" ref="K704:K725" si="22">(J704-I704)*24*H704</f>
        <v>1.0000000000000004</v>
      </c>
      <c r="L704" s="9">
        <v>45731</v>
      </c>
      <c r="M704" s="316" t="s">
        <v>1382</v>
      </c>
      <c r="N704" s="127" t="s">
        <v>185</v>
      </c>
      <c r="O704" s="2"/>
    </row>
    <row r="705" spans="1:15" s="1" customFormat="1">
      <c r="A705" s="4">
        <f t="shared" si="21"/>
        <v>704</v>
      </c>
      <c r="B705" s="412"/>
      <c r="C705" s="712" t="s">
        <v>886</v>
      </c>
      <c r="D705" s="713" t="s">
        <v>884</v>
      </c>
      <c r="E705" s="4">
        <v>26</v>
      </c>
      <c r="F705" s="414">
        <v>26</v>
      </c>
      <c r="G705" s="179">
        <v>45731</v>
      </c>
      <c r="H705" s="415">
        <v>1</v>
      </c>
      <c r="I705" s="446">
        <v>0.33333333333333331</v>
      </c>
      <c r="J705" s="446">
        <v>0.375</v>
      </c>
      <c r="K705" s="417">
        <f t="shared" si="22"/>
        <v>1.0000000000000004</v>
      </c>
      <c r="L705" s="9">
        <v>45731</v>
      </c>
      <c r="M705" s="316" t="s">
        <v>1382</v>
      </c>
      <c r="N705" s="127" t="s">
        <v>185</v>
      </c>
      <c r="O705" s="2"/>
    </row>
    <row r="706" spans="1:15" s="1" customFormat="1">
      <c r="A706" s="4">
        <f t="shared" si="21"/>
        <v>705</v>
      </c>
      <c r="B706" s="423" t="s">
        <v>84</v>
      </c>
      <c r="C706" s="714" t="s">
        <v>887</v>
      </c>
      <c r="D706" s="715" t="s">
        <v>888</v>
      </c>
      <c r="E706" s="7">
        <v>10</v>
      </c>
      <c r="F706" s="425">
        <v>10</v>
      </c>
      <c r="G706" s="426">
        <v>45731</v>
      </c>
      <c r="H706" s="427">
        <v>1</v>
      </c>
      <c r="I706" s="465">
        <v>0.29166666666666669</v>
      </c>
      <c r="J706" s="465">
        <v>0.5</v>
      </c>
      <c r="K706" s="417">
        <f t="shared" si="22"/>
        <v>5</v>
      </c>
      <c r="L706" s="11">
        <v>45731</v>
      </c>
      <c r="M706" s="316" t="s">
        <v>1382</v>
      </c>
      <c r="N706" s="6" t="s">
        <v>7</v>
      </c>
      <c r="O706" s="13" t="s">
        <v>151</v>
      </c>
    </row>
    <row r="707" spans="1:15" s="1" customFormat="1">
      <c r="A707" s="4">
        <f t="shared" si="21"/>
        <v>706</v>
      </c>
      <c r="B707" s="423" t="s">
        <v>84</v>
      </c>
      <c r="C707" s="714" t="s">
        <v>887</v>
      </c>
      <c r="D707" s="715" t="s">
        <v>205</v>
      </c>
      <c r="E707" s="716">
        <v>30</v>
      </c>
      <c r="F707" s="717">
        <v>30</v>
      </c>
      <c r="G707" s="426">
        <v>45731</v>
      </c>
      <c r="H707" s="508">
        <v>1</v>
      </c>
      <c r="I707" s="465">
        <v>0.33333333333333331</v>
      </c>
      <c r="J707" s="465">
        <v>0.375</v>
      </c>
      <c r="K707" s="417">
        <f t="shared" si="22"/>
        <v>1.0000000000000004</v>
      </c>
      <c r="L707" s="11">
        <v>45731</v>
      </c>
      <c r="M707" s="316" t="s">
        <v>1382</v>
      </c>
      <c r="N707" s="6" t="s">
        <v>7</v>
      </c>
      <c r="O707" s="13" t="s">
        <v>151</v>
      </c>
    </row>
    <row r="708" spans="1:15" s="1" customFormat="1">
      <c r="A708" s="4">
        <f t="shared" si="21"/>
        <v>707</v>
      </c>
      <c r="B708" s="718"/>
      <c r="C708" s="719" t="s">
        <v>889</v>
      </c>
      <c r="D708" s="720" t="s">
        <v>890</v>
      </c>
      <c r="E708" s="294">
        <v>480</v>
      </c>
      <c r="F708" s="294">
        <v>280</v>
      </c>
      <c r="G708" s="721">
        <v>45734</v>
      </c>
      <c r="H708" s="132">
        <v>4</v>
      </c>
      <c r="I708" s="722">
        <v>0.29166666666666669</v>
      </c>
      <c r="J708" s="446">
        <v>0.8125</v>
      </c>
      <c r="K708" s="417">
        <f t="shared" si="22"/>
        <v>49.999999999999993</v>
      </c>
      <c r="L708" s="179">
        <v>45734</v>
      </c>
      <c r="M708" s="316" t="s">
        <v>1383</v>
      </c>
      <c r="N708" s="127" t="s">
        <v>185</v>
      </c>
      <c r="O708" s="2"/>
    </row>
    <row r="709" spans="1:15" s="1" customFormat="1">
      <c r="A709" s="4">
        <f t="shared" si="21"/>
        <v>708</v>
      </c>
      <c r="B709" s="412"/>
      <c r="C709" s="719" t="s">
        <v>889</v>
      </c>
      <c r="D709" s="720" t="s">
        <v>890</v>
      </c>
      <c r="E709" s="294"/>
      <c r="F709" s="294"/>
      <c r="G709" s="721">
        <v>45734</v>
      </c>
      <c r="H709" s="132"/>
      <c r="I709" s="722">
        <v>0.29166666666666669</v>
      </c>
      <c r="J709" s="446">
        <v>0.8125</v>
      </c>
      <c r="K709" s="417">
        <f t="shared" si="22"/>
        <v>0</v>
      </c>
      <c r="L709" s="179">
        <v>45734</v>
      </c>
      <c r="M709" s="316" t="s">
        <v>1383</v>
      </c>
      <c r="N709" s="127" t="s">
        <v>185</v>
      </c>
      <c r="O709" s="2"/>
    </row>
    <row r="710" spans="1:15" s="1" customFormat="1">
      <c r="A710" s="4">
        <f t="shared" si="21"/>
        <v>709</v>
      </c>
      <c r="B710" s="412"/>
      <c r="C710" s="719" t="s">
        <v>889</v>
      </c>
      <c r="D710" s="720" t="s">
        <v>890</v>
      </c>
      <c r="E710" s="294"/>
      <c r="F710" s="294"/>
      <c r="G710" s="721">
        <v>45735</v>
      </c>
      <c r="H710" s="132"/>
      <c r="I710" s="722">
        <v>0.29166666666666669</v>
      </c>
      <c r="J710" s="446">
        <v>0.64583333333333337</v>
      </c>
      <c r="K710" s="417">
        <f t="shared" si="22"/>
        <v>0</v>
      </c>
      <c r="L710" s="179">
        <v>45735</v>
      </c>
      <c r="M710" s="316" t="s">
        <v>1383</v>
      </c>
      <c r="N710" s="127" t="s">
        <v>185</v>
      </c>
      <c r="O710" s="2"/>
    </row>
    <row r="711" spans="1:15" s="1" customFormat="1">
      <c r="A711" s="4">
        <f t="shared" si="21"/>
        <v>710</v>
      </c>
      <c r="B711" s="412"/>
      <c r="C711" s="719" t="s">
        <v>889</v>
      </c>
      <c r="D711" s="720" t="s">
        <v>890</v>
      </c>
      <c r="E711" s="294"/>
      <c r="F711" s="294"/>
      <c r="G711" s="721">
        <v>45735</v>
      </c>
      <c r="H711" s="132"/>
      <c r="I711" s="722">
        <v>0.29166666666666669</v>
      </c>
      <c r="J711" s="446">
        <v>0.64583333333333337</v>
      </c>
      <c r="K711" s="417">
        <f t="shared" si="22"/>
        <v>0</v>
      </c>
      <c r="L711" s="179">
        <v>45735</v>
      </c>
      <c r="M711" s="316" t="s">
        <v>1383</v>
      </c>
      <c r="N711" s="127" t="s">
        <v>185</v>
      </c>
      <c r="O711" s="2"/>
    </row>
    <row r="712" spans="1:15" s="1" customFormat="1">
      <c r="A712" s="4">
        <f t="shared" si="21"/>
        <v>711</v>
      </c>
      <c r="B712" s="412"/>
      <c r="C712" s="719" t="s">
        <v>889</v>
      </c>
      <c r="D712" s="720" t="s">
        <v>890</v>
      </c>
      <c r="E712" s="294"/>
      <c r="F712" s="294"/>
      <c r="G712" s="721">
        <v>45736</v>
      </c>
      <c r="H712" s="132"/>
      <c r="I712" s="722">
        <v>0.29166666666666669</v>
      </c>
      <c r="J712" s="446">
        <v>0.41666666666666669</v>
      </c>
      <c r="K712" s="417">
        <f t="shared" si="22"/>
        <v>0</v>
      </c>
      <c r="L712" s="179">
        <v>45736</v>
      </c>
      <c r="M712" s="316" t="s">
        <v>1383</v>
      </c>
      <c r="N712" s="127" t="s">
        <v>185</v>
      </c>
      <c r="O712" s="2"/>
    </row>
    <row r="713" spans="1:15" s="1" customFormat="1">
      <c r="A713" s="4">
        <f t="shared" si="21"/>
        <v>712</v>
      </c>
      <c r="B713" s="412"/>
      <c r="C713" s="719" t="s">
        <v>889</v>
      </c>
      <c r="D713" s="720" t="s">
        <v>890</v>
      </c>
      <c r="E713" s="294"/>
      <c r="F713" s="294"/>
      <c r="G713" s="721">
        <v>45736</v>
      </c>
      <c r="H713" s="132"/>
      <c r="I713" s="722">
        <v>0.29166666666666669</v>
      </c>
      <c r="J713" s="446">
        <v>0.41666666666666669</v>
      </c>
      <c r="K713" s="417">
        <f t="shared" si="22"/>
        <v>0</v>
      </c>
      <c r="L713" s="179">
        <v>45736</v>
      </c>
      <c r="M713" s="316" t="s">
        <v>1383</v>
      </c>
      <c r="N713" s="127" t="s">
        <v>185</v>
      </c>
      <c r="O713" s="2"/>
    </row>
    <row r="714" spans="1:15" s="1" customFormat="1">
      <c r="A714" s="4">
        <f t="shared" si="21"/>
        <v>713</v>
      </c>
      <c r="B714" s="412"/>
      <c r="C714" s="719" t="s">
        <v>893</v>
      </c>
      <c r="D714" s="723" t="s">
        <v>440</v>
      </c>
      <c r="E714" s="404">
        <v>15</v>
      </c>
      <c r="F714" s="407">
        <v>30</v>
      </c>
      <c r="G714" s="179">
        <v>45736</v>
      </c>
      <c r="H714" s="409">
        <v>1</v>
      </c>
      <c r="I714" s="446">
        <v>0.54166666666666663</v>
      </c>
      <c r="J714" s="446">
        <v>0.57291666666666663</v>
      </c>
      <c r="K714" s="417">
        <f t="shared" si="22"/>
        <v>0.75</v>
      </c>
      <c r="L714" s="9">
        <v>45736</v>
      </c>
      <c r="M714" s="316" t="s">
        <v>1383</v>
      </c>
      <c r="N714" s="128" t="s">
        <v>6</v>
      </c>
      <c r="O714" s="2"/>
    </row>
    <row r="715" spans="1:15" s="1" customFormat="1">
      <c r="A715" s="4">
        <f t="shared" si="21"/>
        <v>714</v>
      </c>
      <c r="B715" s="412"/>
      <c r="C715" s="719" t="s">
        <v>577</v>
      </c>
      <c r="D715" s="723" t="s">
        <v>895</v>
      </c>
      <c r="E715" s="4">
        <v>3</v>
      </c>
      <c r="F715" s="414">
        <v>3</v>
      </c>
      <c r="G715" s="179">
        <v>45736</v>
      </c>
      <c r="H715" s="415">
        <v>1</v>
      </c>
      <c r="I715" s="446">
        <v>0.54166666666666663</v>
      </c>
      <c r="J715" s="446">
        <v>0.57291666666666663</v>
      </c>
      <c r="K715" s="417">
        <f t="shared" si="22"/>
        <v>0.75</v>
      </c>
      <c r="L715" s="4"/>
      <c r="M715" s="316" t="s">
        <v>1383</v>
      </c>
      <c r="N715" s="128" t="s">
        <v>6</v>
      </c>
      <c r="O715" s="2"/>
    </row>
    <row r="716" spans="1:15" s="1" customFormat="1">
      <c r="A716" s="4">
        <f t="shared" si="21"/>
        <v>715</v>
      </c>
      <c r="B716" s="412"/>
      <c r="C716" s="719" t="s">
        <v>896</v>
      </c>
      <c r="D716" s="723" t="s">
        <v>897</v>
      </c>
      <c r="E716" s="4">
        <v>1</v>
      </c>
      <c r="F716" s="414">
        <v>1</v>
      </c>
      <c r="G716" s="179">
        <v>45736</v>
      </c>
      <c r="H716" s="415">
        <v>1</v>
      </c>
      <c r="I716" s="446">
        <v>0.41666666666666669</v>
      </c>
      <c r="J716" s="446">
        <v>0.44791666666666669</v>
      </c>
      <c r="K716" s="417">
        <f t="shared" si="22"/>
        <v>0.75</v>
      </c>
      <c r="L716" s="4"/>
      <c r="M716" s="316" t="s">
        <v>1383</v>
      </c>
      <c r="N716" s="128" t="s">
        <v>653</v>
      </c>
      <c r="O716" s="2"/>
    </row>
    <row r="717" spans="1:15" s="1" customFormat="1">
      <c r="A717" s="4">
        <f t="shared" si="21"/>
        <v>716</v>
      </c>
      <c r="B717" s="412"/>
      <c r="C717" s="719" t="s">
        <v>898</v>
      </c>
      <c r="D717" s="723" t="s">
        <v>96</v>
      </c>
      <c r="E717" s="4">
        <v>1</v>
      </c>
      <c r="F717" s="414">
        <v>1</v>
      </c>
      <c r="G717" s="179">
        <v>45736</v>
      </c>
      <c r="H717" s="415">
        <v>1</v>
      </c>
      <c r="I717" s="446">
        <v>0.33333333333333331</v>
      </c>
      <c r="J717" s="446">
        <v>0.36458333333333331</v>
      </c>
      <c r="K717" s="417">
        <f t="shared" si="22"/>
        <v>0.75</v>
      </c>
      <c r="L717" s="9">
        <v>45736</v>
      </c>
      <c r="M717" s="316" t="s">
        <v>1383</v>
      </c>
      <c r="N717" s="127" t="s">
        <v>185</v>
      </c>
      <c r="O717" s="129" t="s">
        <v>894</v>
      </c>
    </row>
    <row r="718" spans="1:15" s="1" customFormat="1">
      <c r="A718" s="4">
        <f t="shared" si="21"/>
        <v>717</v>
      </c>
      <c r="B718" s="412"/>
      <c r="C718" s="719" t="s">
        <v>899</v>
      </c>
      <c r="D718" s="723" t="s">
        <v>262</v>
      </c>
      <c r="E718" s="4">
        <v>2</v>
      </c>
      <c r="F718" s="414">
        <v>2</v>
      </c>
      <c r="G718" s="179">
        <v>45736</v>
      </c>
      <c r="H718" s="415">
        <v>1</v>
      </c>
      <c r="I718" s="446">
        <v>0.33333333333333331</v>
      </c>
      <c r="J718" s="446">
        <v>0.36458333333333331</v>
      </c>
      <c r="K718" s="417">
        <f t="shared" si="22"/>
        <v>0.75</v>
      </c>
      <c r="L718" s="9">
        <v>45736</v>
      </c>
      <c r="M718" s="316" t="s">
        <v>1383</v>
      </c>
      <c r="N718" s="127" t="s">
        <v>185</v>
      </c>
      <c r="O718" s="129" t="s">
        <v>894</v>
      </c>
    </row>
    <row r="719" spans="1:15" s="1" customFormat="1">
      <c r="A719" s="4">
        <f t="shared" si="21"/>
        <v>718</v>
      </c>
      <c r="B719" s="412"/>
      <c r="C719" s="719" t="s">
        <v>535</v>
      </c>
      <c r="D719" s="723" t="s">
        <v>321</v>
      </c>
      <c r="E719" s="4">
        <v>1</v>
      </c>
      <c r="F719" s="414">
        <v>1</v>
      </c>
      <c r="G719" s="179">
        <v>45735</v>
      </c>
      <c r="H719" s="415">
        <v>5</v>
      </c>
      <c r="I719" s="446">
        <v>0.375</v>
      </c>
      <c r="J719" s="446">
        <v>0.3888888888888889</v>
      </c>
      <c r="K719" s="417">
        <f t="shared" si="22"/>
        <v>1.6666666666666674</v>
      </c>
      <c r="L719" s="9">
        <v>45735</v>
      </c>
      <c r="M719" s="316" t="s">
        <v>1383</v>
      </c>
      <c r="N719" s="128" t="s">
        <v>6</v>
      </c>
      <c r="O719" s="2"/>
    </row>
    <row r="720" spans="1:15" s="1" customFormat="1">
      <c r="A720" s="4">
        <f t="shared" si="21"/>
        <v>719</v>
      </c>
      <c r="B720" s="412"/>
      <c r="C720" s="719" t="s">
        <v>900</v>
      </c>
      <c r="D720" s="723" t="s">
        <v>103</v>
      </c>
      <c r="E720" s="4">
        <v>1</v>
      </c>
      <c r="F720" s="414">
        <v>1</v>
      </c>
      <c r="G720" s="179">
        <v>45734</v>
      </c>
      <c r="H720" s="415">
        <v>1</v>
      </c>
      <c r="I720" s="446">
        <v>0.375</v>
      </c>
      <c r="J720" s="724">
        <v>0.41666666666666669</v>
      </c>
      <c r="K720" s="417">
        <f t="shared" si="22"/>
        <v>1.0000000000000004</v>
      </c>
      <c r="L720" s="9">
        <v>45734</v>
      </c>
      <c r="M720" s="316" t="s">
        <v>1383</v>
      </c>
      <c r="N720" s="128" t="s">
        <v>11</v>
      </c>
      <c r="O720" s="2"/>
    </row>
    <row r="721" spans="1:15" s="1" customFormat="1">
      <c r="A721" s="4">
        <f t="shared" si="21"/>
        <v>720</v>
      </c>
      <c r="B721" s="412"/>
      <c r="C721" s="719" t="s">
        <v>901</v>
      </c>
      <c r="D721" s="723" t="s">
        <v>107</v>
      </c>
      <c r="E721" s="4">
        <v>3</v>
      </c>
      <c r="F721" s="414">
        <v>3</v>
      </c>
      <c r="G721" s="179">
        <v>45734</v>
      </c>
      <c r="H721" s="415">
        <v>1</v>
      </c>
      <c r="I721" s="446">
        <v>0.375</v>
      </c>
      <c r="J721" s="724">
        <v>0.41666666666666669</v>
      </c>
      <c r="K721" s="417">
        <f t="shared" si="22"/>
        <v>1.0000000000000004</v>
      </c>
      <c r="L721" s="9">
        <v>45734</v>
      </c>
      <c r="M721" s="316" t="s">
        <v>1383</v>
      </c>
      <c r="N721" s="128" t="s">
        <v>6</v>
      </c>
      <c r="O721" s="2"/>
    </row>
    <row r="722" spans="1:15" s="1" customFormat="1">
      <c r="A722" s="4">
        <f t="shared" si="21"/>
        <v>721</v>
      </c>
      <c r="B722" s="423" t="s">
        <v>84</v>
      </c>
      <c r="C722" s="714" t="s">
        <v>887</v>
      </c>
      <c r="D722" s="725" t="s">
        <v>91</v>
      </c>
      <c r="E722" s="7">
        <v>30</v>
      </c>
      <c r="F722" s="425">
        <v>10</v>
      </c>
      <c r="G722" s="426">
        <v>45736</v>
      </c>
      <c r="H722" s="427">
        <v>1</v>
      </c>
      <c r="I722" s="465">
        <v>0.54166666666666663</v>
      </c>
      <c r="J722" s="465">
        <v>0.60416666666666663</v>
      </c>
      <c r="K722" s="417">
        <f t="shared" si="22"/>
        <v>1.5</v>
      </c>
      <c r="L722" s="11">
        <v>45736</v>
      </c>
      <c r="M722" s="316" t="s">
        <v>1383</v>
      </c>
      <c r="N722" s="6" t="s">
        <v>7</v>
      </c>
      <c r="O722" s="13" t="s">
        <v>151</v>
      </c>
    </row>
    <row r="723" spans="1:15" s="1" customFormat="1">
      <c r="A723" s="4">
        <f t="shared" si="21"/>
        <v>722</v>
      </c>
      <c r="B723" s="423" t="s">
        <v>84</v>
      </c>
      <c r="C723" s="714" t="s">
        <v>887</v>
      </c>
      <c r="D723" s="725" t="s">
        <v>902</v>
      </c>
      <c r="E723" s="7">
        <v>30</v>
      </c>
      <c r="F723" s="425">
        <v>30</v>
      </c>
      <c r="G723" s="426">
        <v>45736</v>
      </c>
      <c r="H723" s="427">
        <v>1</v>
      </c>
      <c r="I723" s="465">
        <v>0.54166666666666663</v>
      </c>
      <c r="J723" s="465">
        <v>0.60416666666666663</v>
      </c>
      <c r="K723" s="417">
        <f t="shared" si="22"/>
        <v>1.5</v>
      </c>
      <c r="L723" s="11">
        <v>45736</v>
      </c>
      <c r="M723" s="316" t="s">
        <v>1383</v>
      </c>
      <c r="N723" s="6" t="s">
        <v>7</v>
      </c>
      <c r="O723" s="13" t="s">
        <v>151</v>
      </c>
    </row>
    <row r="724" spans="1:15" s="1" customFormat="1">
      <c r="A724" s="4">
        <f t="shared" si="21"/>
        <v>723</v>
      </c>
      <c r="B724" s="412"/>
      <c r="C724" s="726" t="s">
        <v>891</v>
      </c>
      <c r="D724" s="725" t="s">
        <v>892</v>
      </c>
      <c r="E724" s="7"/>
      <c r="F724" s="425"/>
      <c r="G724" s="426">
        <v>45736</v>
      </c>
      <c r="H724" s="508"/>
      <c r="I724" s="509">
        <v>0.29166666666666669</v>
      </c>
      <c r="J724" s="509">
        <v>0.5</v>
      </c>
      <c r="K724" s="417">
        <f t="shared" si="22"/>
        <v>0</v>
      </c>
      <c r="L724" s="11">
        <v>45736</v>
      </c>
      <c r="M724" s="316" t="s">
        <v>1383</v>
      </c>
      <c r="N724" s="131" t="s">
        <v>185</v>
      </c>
      <c r="O724" s="129"/>
    </row>
    <row r="725" spans="1:15" s="1" customFormat="1">
      <c r="A725" s="4">
        <f t="shared" ref="A725:A788" si="23">ROW()-1</f>
        <v>724</v>
      </c>
      <c r="B725" s="703" t="s">
        <v>903</v>
      </c>
      <c r="C725" s="4" t="s">
        <v>956</v>
      </c>
      <c r="D725" s="418" t="s">
        <v>992</v>
      </c>
      <c r="E725" s="4" t="e">
        <f>VLOOKUP(B725,#REF!,3,0)</f>
        <v>#REF!</v>
      </c>
      <c r="F725" s="414">
        <f>VLOOKUP(B725,[2]Sổ!$A:$I,9,0)</f>
        <v>25</v>
      </c>
      <c r="G725" s="727">
        <v>45737</v>
      </c>
      <c r="H725" s="728">
        <v>5</v>
      </c>
      <c r="I725" s="729">
        <v>0.29166666666666669</v>
      </c>
      <c r="J725" s="729">
        <v>0.375</v>
      </c>
      <c r="K725" s="417">
        <f t="shared" si="22"/>
        <v>9.9999999999999982</v>
      </c>
      <c r="L725" s="135">
        <v>45737</v>
      </c>
      <c r="M725" s="316" t="s">
        <v>1383</v>
      </c>
      <c r="N725" s="133" t="s">
        <v>1007</v>
      </c>
      <c r="O725" s="134" t="s">
        <v>1005</v>
      </c>
    </row>
    <row r="726" spans="1:15" s="1" customFormat="1">
      <c r="A726" s="4">
        <f t="shared" si="23"/>
        <v>725</v>
      </c>
      <c r="B726" s="703" t="s">
        <v>904</v>
      </c>
      <c r="C726" s="4" t="s">
        <v>956</v>
      </c>
      <c r="D726" s="418" t="s">
        <v>992</v>
      </c>
      <c r="E726" s="4" t="e">
        <f>VLOOKUP(B726,#REF!,3,0)</f>
        <v>#REF!</v>
      </c>
      <c r="F726" s="414">
        <f>VLOOKUP(B726,[2]Summary!$A:$I,9,0)</f>
        <v>14</v>
      </c>
      <c r="G726" s="727">
        <v>45737</v>
      </c>
      <c r="H726" s="728"/>
      <c r="I726" s="729"/>
      <c r="J726" s="729"/>
      <c r="K726" s="730"/>
      <c r="L726" s="135">
        <v>45737</v>
      </c>
      <c r="M726" s="316" t="s">
        <v>1383</v>
      </c>
      <c r="N726" s="133" t="s">
        <v>1007</v>
      </c>
      <c r="O726" s="134" t="s">
        <v>1005</v>
      </c>
    </row>
    <row r="727" spans="1:15" s="1" customFormat="1">
      <c r="A727" s="4">
        <f t="shared" si="23"/>
        <v>726</v>
      </c>
      <c r="B727" s="703" t="s">
        <v>905</v>
      </c>
      <c r="C727" s="4" t="s">
        <v>957</v>
      </c>
      <c r="D727" s="418" t="s">
        <v>605</v>
      </c>
      <c r="E727" s="4" t="e">
        <f>VLOOKUP(B727,#REF!,3,0)</f>
        <v>#REF!</v>
      </c>
      <c r="F727" s="414">
        <f>VLOOKUP(B727,[2]Sổ!$A:$I,9,0)</f>
        <v>50</v>
      </c>
      <c r="G727" s="727">
        <v>45737</v>
      </c>
      <c r="H727" s="728"/>
      <c r="I727" s="729"/>
      <c r="J727" s="729"/>
      <c r="K727" s="730"/>
      <c r="L727" s="135">
        <v>45737</v>
      </c>
      <c r="M727" s="316" t="s">
        <v>1383</v>
      </c>
      <c r="N727" s="133" t="s">
        <v>1007</v>
      </c>
      <c r="O727" s="134" t="s">
        <v>1005</v>
      </c>
    </row>
    <row r="728" spans="1:15" s="1" customFormat="1">
      <c r="A728" s="4">
        <f t="shared" si="23"/>
        <v>727</v>
      </c>
      <c r="B728" s="703" t="s">
        <v>905</v>
      </c>
      <c r="C728" s="4" t="s">
        <v>957</v>
      </c>
      <c r="D728" s="418" t="s">
        <v>993</v>
      </c>
      <c r="E728" s="4" t="e">
        <f>VLOOKUP(B728,#REF!,3,0)</f>
        <v>#REF!</v>
      </c>
      <c r="F728" s="414">
        <f>VLOOKUP(B728,[2]Sổ!$A:$I,9,0)</f>
        <v>50</v>
      </c>
      <c r="G728" s="727">
        <v>45737</v>
      </c>
      <c r="H728" s="728"/>
      <c r="I728" s="729"/>
      <c r="J728" s="729"/>
      <c r="K728" s="730"/>
      <c r="L728" s="135">
        <v>45737</v>
      </c>
      <c r="M728" s="316" t="s">
        <v>1383</v>
      </c>
      <c r="N728" s="133" t="s">
        <v>1007</v>
      </c>
      <c r="O728" s="134" t="s">
        <v>1005</v>
      </c>
    </row>
    <row r="729" spans="1:15" s="1" customFormat="1">
      <c r="A729" s="4">
        <f t="shared" si="23"/>
        <v>728</v>
      </c>
      <c r="B729" s="703" t="s">
        <v>906</v>
      </c>
      <c r="C729" s="4" t="s">
        <v>958</v>
      </c>
      <c r="D729" s="418" t="s">
        <v>605</v>
      </c>
      <c r="E729" s="4" t="e">
        <f>VLOOKUP(B729,#REF!,3,0)</f>
        <v>#REF!</v>
      </c>
      <c r="F729" s="414">
        <f>VLOOKUP(B729,[2]Summary!$A:$I,9,0)</f>
        <v>24</v>
      </c>
      <c r="G729" s="727">
        <v>45737</v>
      </c>
      <c r="H729" s="728"/>
      <c r="I729" s="729"/>
      <c r="J729" s="729"/>
      <c r="K729" s="730"/>
      <c r="L729" s="135">
        <v>45737</v>
      </c>
      <c r="M729" s="316" t="s">
        <v>1383</v>
      </c>
      <c r="N729" s="133" t="s">
        <v>1007</v>
      </c>
      <c r="O729" s="134" t="s">
        <v>1005</v>
      </c>
    </row>
    <row r="730" spans="1:15" s="1" customFormat="1">
      <c r="A730" s="4">
        <f t="shared" si="23"/>
        <v>729</v>
      </c>
      <c r="B730" s="703" t="s">
        <v>906</v>
      </c>
      <c r="C730" s="4" t="s">
        <v>958</v>
      </c>
      <c r="D730" s="418" t="s">
        <v>993</v>
      </c>
      <c r="E730" s="4" t="e">
        <f>VLOOKUP(B730,#REF!,3,0)</f>
        <v>#REF!</v>
      </c>
      <c r="F730" s="414">
        <f>VLOOKUP(B730,[2]Summary!$A:$I,9,0)</f>
        <v>24</v>
      </c>
      <c r="G730" s="727">
        <v>45737</v>
      </c>
      <c r="H730" s="728"/>
      <c r="I730" s="729"/>
      <c r="J730" s="729"/>
      <c r="K730" s="730"/>
      <c r="L730" s="135">
        <v>45737</v>
      </c>
      <c r="M730" s="316" t="s">
        <v>1383</v>
      </c>
      <c r="N730" s="133" t="s">
        <v>1007</v>
      </c>
      <c r="O730" s="134" t="s">
        <v>1005</v>
      </c>
    </row>
    <row r="731" spans="1:15" s="1" customFormat="1">
      <c r="A731" s="4">
        <f t="shared" si="23"/>
        <v>730</v>
      </c>
      <c r="B731" s="703" t="s">
        <v>907</v>
      </c>
      <c r="C731" s="4" t="s">
        <v>959</v>
      </c>
      <c r="D731" s="418" t="s">
        <v>605</v>
      </c>
      <c r="E731" s="4" t="e">
        <f>VLOOKUP(B731,#REF!,3,0)</f>
        <v>#REF!</v>
      </c>
      <c r="F731" s="414">
        <f>VLOOKUP(B731,[2]Summary!$A:$I,9,0)</f>
        <v>4</v>
      </c>
      <c r="G731" s="727">
        <v>45737</v>
      </c>
      <c r="H731" s="728"/>
      <c r="I731" s="729"/>
      <c r="J731" s="729"/>
      <c r="K731" s="730"/>
      <c r="L731" s="135">
        <v>45737</v>
      </c>
      <c r="M731" s="316" t="s">
        <v>1383</v>
      </c>
      <c r="N731" s="133" t="s">
        <v>1007</v>
      </c>
      <c r="O731" s="134" t="s">
        <v>1005</v>
      </c>
    </row>
    <row r="732" spans="1:15" s="1" customFormat="1">
      <c r="A732" s="4">
        <f t="shared" si="23"/>
        <v>731</v>
      </c>
      <c r="B732" s="703" t="s">
        <v>907</v>
      </c>
      <c r="C732" s="4" t="s">
        <v>959</v>
      </c>
      <c r="D732" s="418" t="s">
        <v>993</v>
      </c>
      <c r="E732" s="4" t="e">
        <f>VLOOKUP(B732,#REF!,3,0)</f>
        <v>#REF!</v>
      </c>
      <c r="F732" s="414">
        <f>VLOOKUP(B732,[2]Summary!$A:$I,9,0)</f>
        <v>4</v>
      </c>
      <c r="G732" s="727">
        <v>45737</v>
      </c>
      <c r="H732" s="728"/>
      <c r="I732" s="729"/>
      <c r="J732" s="729"/>
      <c r="K732" s="730"/>
      <c r="L732" s="135">
        <v>45737</v>
      </c>
      <c r="M732" s="316" t="s">
        <v>1383</v>
      </c>
      <c r="N732" s="133" t="s">
        <v>1007</v>
      </c>
      <c r="O732" s="134" t="s">
        <v>1005</v>
      </c>
    </row>
    <row r="733" spans="1:15" s="1" customFormat="1">
      <c r="A733" s="4">
        <f t="shared" si="23"/>
        <v>732</v>
      </c>
      <c r="B733" s="703" t="s">
        <v>908</v>
      </c>
      <c r="C733" s="4" t="s">
        <v>959</v>
      </c>
      <c r="D733" s="418" t="s">
        <v>605</v>
      </c>
      <c r="E733" s="4" t="e">
        <f>VLOOKUP(B733,#REF!,3,0)</f>
        <v>#REF!</v>
      </c>
      <c r="F733" s="414">
        <f>VLOOKUP(B733,[2]Summary!$A:$I,9,0)</f>
        <v>4</v>
      </c>
      <c r="G733" s="727">
        <v>45737</v>
      </c>
      <c r="H733" s="728"/>
      <c r="I733" s="729"/>
      <c r="J733" s="729"/>
      <c r="K733" s="730"/>
      <c r="L733" s="135">
        <v>45737</v>
      </c>
      <c r="M733" s="316" t="s">
        <v>1383</v>
      </c>
      <c r="N733" s="133" t="s">
        <v>1007</v>
      </c>
      <c r="O733" s="134" t="s">
        <v>1005</v>
      </c>
    </row>
    <row r="734" spans="1:15" s="1" customFormat="1">
      <c r="A734" s="4">
        <f t="shared" si="23"/>
        <v>733</v>
      </c>
      <c r="B734" s="703" t="s">
        <v>908</v>
      </c>
      <c r="C734" s="4" t="s">
        <v>959</v>
      </c>
      <c r="D734" s="418" t="s">
        <v>993</v>
      </c>
      <c r="E734" s="4" t="e">
        <f>VLOOKUP(B734,#REF!,3,0)</f>
        <v>#REF!</v>
      </c>
      <c r="F734" s="414">
        <f>VLOOKUP(B734,[2]Summary!$A:$I,9,0)</f>
        <v>4</v>
      </c>
      <c r="G734" s="727">
        <v>45737</v>
      </c>
      <c r="H734" s="728"/>
      <c r="I734" s="729"/>
      <c r="J734" s="729"/>
      <c r="K734" s="730"/>
      <c r="L734" s="135">
        <v>45737</v>
      </c>
      <c r="M734" s="316" t="s">
        <v>1383</v>
      </c>
      <c r="N734" s="133" t="s">
        <v>1007</v>
      </c>
      <c r="O734" s="134" t="s">
        <v>1005</v>
      </c>
    </row>
    <row r="735" spans="1:15" s="1" customFormat="1">
      <c r="A735" s="4">
        <f t="shared" si="23"/>
        <v>734</v>
      </c>
      <c r="B735" s="703" t="s">
        <v>909</v>
      </c>
      <c r="C735" s="4" t="s">
        <v>960</v>
      </c>
      <c r="D735" s="418" t="s">
        <v>605</v>
      </c>
      <c r="E735" s="4" t="e">
        <f>VLOOKUP(B735,#REF!,3,0)</f>
        <v>#REF!</v>
      </c>
      <c r="F735" s="414">
        <f>VLOOKUP(B735,[2]Summary!$A:$I,9,0)</f>
        <v>10</v>
      </c>
      <c r="G735" s="727">
        <v>45737</v>
      </c>
      <c r="H735" s="728"/>
      <c r="I735" s="729"/>
      <c r="J735" s="729"/>
      <c r="K735" s="730"/>
      <c r="L735" s="135">
        <v>45737</v>
      </c>
      <c r="M735" s="316" t="s">
        <v>1383</v>
      </c>
      <c r="N735" s="133" t="s">
        <v>1007</v>
      </c>
      <c r="O735" s="134" t="s">
        <v>1005</v>
      </c>
    </row>
    <row r="736" spans="1:15" s="1" customFormat="1">
      <c r="A736" s="4">
        <f t="shared" si="23"/>
        <v>735</v>
      </c>
      <c r="B736" s="703" t="s">
        <v>909</v>
      </c>
      <c r="C736" s="4" t="s">
        <v>960</v>
      </c>
      <c r="D736" s="418" t="s">
        <v>993</v>
      </c>
      <c r="E736" s="4" t="e">
        <f>VLOOKUP(B736,#REF!,3,0)</f>
        <v>#REF!</v>
      </c>
      <c r="F736" s="414">
        <f>VLOOKUP(B736,[2]Summary!$A:$I,9,0)</f>
        <v>10</v>
      </c>
      <c r="G736" s="727">
        <v>45737</v>
      </c>
      <c r="H736" s="728"/>
      <c r="I736" s="729"/>
      <c r="J736" s="729"/>
      <c r="K736" s="730"/>
      <c r="L736" s="135">
        <v>45737</v>
      </c>
      <c r="M736" s="316" t="s">
        <v>1383</v>
      </c>
      <c r="N736" s="133" t="s">
        <v>1007</v>
      </c>
      <c r="O736" s="134" t="s">
        <v>1005</v>
      </c>
    </row>
    <row r="737" spans="1:15" s="1" customFormat="1">
      <c r="A737" s="4">
        <f t="shared" si="23"/>
        <v>736</v>
      </c>
      <c r="B737" s="703" t="s">
        <v>910</v>
      </c>
      <c r="C737" s="4" t="s">
        <v>960</v>
      </c>
      <c r="D737" s="418" t="s">
        <v>605</v>
      </c>
      <c r="E737" s="4" t="e">
        <f>VLOOKUP(B737,#REF!,3,0)</f>
        <v>#REF!</v>
      </c>
      <c r="F737" s="414">
        <f>VLOOKUP(B737,[2]Sổ!$A:$I,9,0)</f>
        <v>20</v>
      </c>
      <c r="G737" s="727">
        <v>45737</v>
      </c>
      <c r="H737" s="728"/>
      <c r="I737" s="729"/>
      <c r="J737" s="729"/>
      <c r="K737" s="730"/>
      <c r="L737" s="135">
        <v>45737</v>
      </c>
      <c r="M737" s="316" t="s">
        <v>1383</v>
      </c>
      <c r="N737" s="133" t="s">
        <v>1007</v>
      </c>
      <c r="O737" s="134" t="s">
        <v>1005</v>
      </c>
    </row>
    <row r="738" spans="1:15" s="1" customFormat="1">
      <c r="A738" s="4">
        <f t="shared" si="23"/>
        <v>737</v>
      </c>
      <c r="B738" s="703" t="s">
        <v>910</v>
      </c>
      <c r="C738" s="4" t="s">
        <v>960</v>
      </c>
      <c r="D738" s="418" t="s">
        <v>993</v>
      </c>
      <c r="E738" s="4" t="e">
        <f>VLOOKUP(B738,#REF!,3,0)</f>
        <v>#REF!</v>
      </c>
      <c r="F738" s="414">
        <f>VLOOKUP(B738,[2]Sổ!$A:$I,9,0)</f>
        <v>20</v>
      </c>
      <c r="G738" s="727">
        <v>45737</v>
      </c>
      <c r="H738" s="728"/>
      <c r="I738" s="729"/>
      <c r="J738" s="729"/>
      <c r="K738" s="730"/>
      <c r="L738" s="135">
        <v>45737</v>
      </c>
      <c r="M738" s="316" t="s">
        <v>1383</v>
      </c>
      <c r="N738" s="133" t="s">
        <v>1007</v>
      </c>
      <c r="O738" s="134" t="s">
        <v>1005</v>
      </c>
    </row>
    <row r="739" spans="1:15" s="1" customFormat="1">
      <c r="A739" s="4">
        <f t="shared" si="23"/>
        <v>738</v>
      </c>
      <c r="B739" s="703" t="s">
        <v>911</v>
      </c>
      <c r="C739" s="4" t="s">
        <v>961</v>
      </c>
      <c r="D739" s="418" t="s">
        <v>993</v>
      </c>
      <c r="E739" s="4" t="e">
        <f>VLOOKUP(B739,#REF!,3,0)</f>
        <v>#REF!</v>
      </c>
      <c r="F739" s="414">
        <f>VLOOKUP(B739,[2]Sổ!$A:$I,9,0)</f>
        <v>90</v>
      </c>
      <c r="G739" s="727">
        <v>45737</v>
      </c>
      <c r="H739" s="728"/>
      <c r="I739" s="729"/>
      <c r="J739" s="729"/>
      <c r="K739" s="730"/>
      <c r="L739" s="135">
        <v>45737</v>
      </c>
      <c r="M739" s="316" t="s">
        <v>1383</v>
      </c>
      <c r="N739" s="133" t="s">
        <v>1007</v>
      </c>
      <c r="O739" s="134" t="s">
        <v>1005</v>
      </c>
    </row>
    <row r="740" spans="1:15" s="1" customFormat="1">
      <c r="A740" s="4">
        <f t="shared" si="23"/>
        <v>739</v>
      </c>
      <c r="B740" s="703" t="s">
        <v>912</v>
      </c>
      <c r="C740" s="4" t="s">
        <v>962</v>
      </c>
      <c r="D740" s="418" t="s">
        <v>993</v>
      </c>
      <c r="E740" s="4" t="e">
        <f>VLOOKUP(B740,#REF!,3,0)</f>
        <v>#REF!</v>
      </c>
      <c r="F740" s="414">
        <f>VLOOKUP(B740,[2]Summary!$A:$I,9,0)</f>
        <v>46</v>
      </c>
      <c r="G740" s="727">
        <v>45737</v>
      </c>
      <c r="H740" s="728"/>
      <c r="I740" s="729"/>
      <c r="J740" s="729"/>
      <c r="K740" s="730"/>
      <c r="L740" s="135">
        <v>45737</v>
      </c>
      <c r="M740" s="316" t="s">
        <v>1383</v>
      </c>
      <c r="N740" s="133" t="s">
        <v>1007</v>
      </c>
      <c r="O740" s="134" t="s">
        <v>1005</v>
      </c>
    </row>
    <row r="741" spans="1:15" s="1" customFormat="1">
      <c r="A741" s="4">
        <f t="shared" si="23"/>
        <v>740</v>
      </c>
      <c r="B741" s="703" t="s">
        <v>913</v>
      </c>
      <c r="C741" s="4" t="s">
        <v>963</v>
      </c>
      <c r="D741" s="418" t="s">
        <v>993</v>
      </c>
      <c r="E741" s="4" t="e">
        <f>VLOOKUP(B741,#REF!,3,0)</f>
        <v>#REF!</v>
      </c>
      <c r="F741" s="414">
        <f>VLOOKUP(B741,[2]Summary!$A:$I,9,0)</f>
        <v>8</v>
      </c>
      <c r="G741" s="727">
        <v>45737</v>
      </c>
      <c r="H741" s="728"/>
      <c r="I741" s="729"/>
      <c r="J741" s="729"/>
      <c r="K741" s="730"/>
      <c r="L741" s="135">
        <v>45737</v>
      </c>
      <c r="M741" s="316" t="s">
        <v>1383</v>
      </c>
      <c r="N741" s="133" t="s">
        <v>1007</v>
      </c>
      <c r="O741" s="134" t="s">
        <v>1005</v>
      </c>
    </row>
    <row r="742" spans="1:15" s="1" customFormat="1">
      <c r="A742" s="4">
        <f t="shared" si="23"/>
        <v>741</v>
      </c>
      <c r="B742" s="703" t="s">
        <v>914</v>
      </c>
      <c r="C742" s="4" t="s">
        <v>963</v>
      </c>
      <c r="D742" s="418" t="s">
        <v>993</v>
      </c>
      <c r="E742" s="4" t="e">
        <f>VLOOKUP(B742,#REF!,3,0)</f>
        <v>#REF!</v>
      </c>
      <c r="F742" s="414">
        <f>VLOOKUP(B742,[2]Summary!$A:$I,9,0)</f>
        <v>10</v>
      </c>
      <c r="G742" s="727">
        <v>45737</v>
      </c>
      <c r="H742" s="728"/>
      <c r="I742" s="729"/>
      <c r="J742" s="729"/>
      <c r="K742" s="730"/>
      <c r="L742" s="135">
        <v>45737</v>
      </c>
      <c r="M742" s="316" t="s">
        <v>1383</v>
      </c>
      <c r="N742" s="133" t="s">
        <v>1007</v>
      </c>
      <c r="O742" s="134" t="s">
        <v>1005</v>
      </c>
    </row>
    <row r="743" spans="1:15" s="1" customFormat="1">
      <c r="A743" s="4">
        <f t="shared" si="23"/>
        <v>742</v>
      </c>
      <c r="B743" s="703" t="s">
        <v>915</v>
      </c>
      <c r="C743" s="4" t="s">
        <v>964</v>
      </c>
      <c r="D743" s="418" t="s">
        <v>993</v>
      </c>
      <c r="E743" s="4" t="e">
        <f>VLOOKUP(B743,#REF!,3,0)</f>
        <v>#REF!</v>
      </c>
      <c r="F743" s="414">
        <f>VLOOKUP(B743,[2]Sổ!$A:$I,9,0)</f>
        <v>22</v>
      </c>
      <c r="G743" s="727">
        <v>45737</v>
      </c>
      <c r="H743" s="728"/>
      <c r="I743" s="729"/>
      <c r="J743" s="729"/>
      <c r="K743" s="730"/>
      <c r="L743" s="135">
        <v>45737</v>
      </c>
      <c r="M743" s="316" t="s">
        <v>1383</v>
      </c>
      <c r="N743" s="133" t="s">
        <v>1007</v>
      </c>
      <c r="O743" s="134" t="s">
        <v>1005</v>
      </c>
    </row>
    <row r="744" spans="1:15" s="1" customFormat="1">
      <c r="A744" s="4">
        <f t="shared" si="23"/>
        <v>743</v>
      </c>
      <c r="B744" s="703" t="s">
        <v>916</v>
      </c>
      <c r="C744" s="4" t="s">
        <v>965</v>
      </c>
      <c r="D744" s="418" t="s">
        <v>993</v>
      </c>
      <c r="E744" s="4" t="e">
        <f>VLOOKUP(B744,#REF!,3,0)</f>
        <v>#REF!</v>
      </c>
      <c r="F744" s="414">
        <f>VLOOKUP(B744,[2]Sổ!$A:$I,9,0)</f>
        <v>2</v>
      </c>
      <c r="G744" s="727">
        <v>45737</v>
      </c>
      <c r="H744" s="728"/>
      <c r="I744" s="729"/>
      <c r="J744" s="729"/>
      <c r="K744" s="730"/>
      <c r="L744" s="135">
        <v>45737</v>
      </c>
      <c r="M744" s="316" t="s">
        <v>1383</v>
      </c>
      <c r="N744" s="133" t="s">
        <v>1007</v>
      </c>
      <c r="O744" s="134" t="s">
        <v>1005</v>
      </c>
    </row>
    <row r="745" spans="1:15" s="1" customFormat="1">
      <c r="A745" s="4">
        <f t="shared" si="23"/>
        <v>744</v>
      </c>
      <c r="B745" s="703" t="s">
        <v>917</v>
      </c>
      <c r="C745" s="4" t="s">
        <v>966</v>
      </c>
      <c r="D745" s="418" t="s">
        <v>993</v>
      </c>
      <c r="E745" s="4" t="e">
        <f>VLOOKUP(B745,#REF!,3,0)</f>
        <v>#REF!</v>
      </c>
      <c r="F745" s="414">
        <f>VLOOKUP(B745,[2]Sổ!$A:$I,9,0)</f>
        <v>40</v>
      </c>
      <c r="G745" s="727">
        <v>45737</v>
      </c>
      <c r="H745" s="728"/>
      <c r="I745" s="729"/>
      <c r="J745" s="729"/>
      <c r="K745" s="730"/>
      <c r="L745" s="135">
        <v>45737</v>
      </c>
      <c r="M745" s="316" t="s">
        <v>1383</v>
      </c>
      <c r="N745" s="133" t="s">
        <v>1007</v>
      </c>
      <c r="O745" s="134" t="s">
        <v>1005</v>
      </c>
    </row>
    <row r="746" spans="1:15" s="1" customFormat="1">
      <c r="A746" s="4">
        <f t="shared" si="23"/>
        <v>745</v>
      </c>
      <c r="B746" s="703" t="s">
        <v>918</v>
      </c>
      <c r="C746" s="4" t="s">
        <v>967</v>
      </c>
      <c r="D746" s="418" t="s">
        <v>579</v>
      </c>
      <c r="E746" s="4" t="e">
        <f>VLOOKUP(B746,#REF!,3,0)</f>
        <v>#REF!</v>
      </c>
      <c r="F746" s="414">
        <f>VLOOKUP(B746,[2]Sổ!$A:$I,9,0)</f>
        <v>44</v>
      </c>
      <c r="G746" s="727">
        <v>45737</v>
      </c>
      <c r="H746" s="728"/>
      <c r="I746" s="729"/>
      <c r="J746" s="729"/>
      <c r="K746" s="730"/>
      <c r="L746" s="135">
        <v>45737</v>
      </c>
      <c r="M746" s="316" t="s">
        <v>1383</v>
      </c>
      <c r="N746" s="133" t="s">
        <v>1007</v>
      </c>
      <c r="O746" s="134" t="s">
        <v>1005</v>
      </c>
    </row>
    <row r="747" spans="1:15" s="1" customFormat="1">
      <c r="A747" s="4">
        <f t="shared" si="23"/>
        <v>746</v>
      </c>
      <c r="B747" s="703" t="s">
        <v>919</v>
      </c>
      <c r="C747" s="4" t="s">
        <v>967</v>
      </c>
      <c r="D747" s="418" t="s">
        <v>579</v>
      </c>
      <c r="E747" s="4" t="e">
        <f>VLOOKUP(B747,#REF!,3,0)</f>
        <v>#REF!</v>
      </c>
      <c r="F747" s="414">
        <f>VLOOKUP(B747,[2]Summary!$A:$I,9,0)</f>
        <v>22</v>
      </c>
      <c r="G747" s="727">
        <v>45737</v>
      </c>
      <c r="H747" s="728"/>
      <c r="I747" s="729"/>
      <c r="J747" s="729"/>
      <c r="K747" s="730"/>
      <c r="L747" s="135">
        <v>45737</v>
      </c>
      <c r="M747" s="316" t="s">
        <v>1383</v>
      </c>
      <c r="N747" s="133" t="s">
        <v>1007</v>
      </c>
      <c r="O747" s="134" t="s">
        <v>1005</v>
      </c>
    </row>
    <row r="748" spans="1:15" s="1" customFormat="1">
      <c r="A748" s="4">
        <f t="shared" si="23"/>
        <v>747</v>
      </c>
      <c r="B748" s="703" t="s">
        <v>920</v>
      </c>
      <c r="C748" s="4" t="s">
        <v>968</v>
      </c>
      <c r="D748" s="418" t="s">
        <v>579</v>
      </c>
      <c r="E748" s="4" t="e">
        <f>VLOOKUP(B748,#REF!,3,0)</f>
        <v>#REF!</v>
      </c>
      <c r="F748" s="414">
        <f>VLOOKUP(B748,[2]Summary!$A:$I,9,0)</f>
        <v>2</v>
      </c>
      <c r="G748" s="727">
        <v>45737</v>
      </c>
      <c r="H748" s="728"/>
      <c r="I748" s="729"/>
      <c r="J748" s="729"/>
      <c r="K748" s="730"/>
      <c r="L748" s="135">
        <v>45737</v>
      </c>
      <c r="M748" s="316" t="s">
        <v>1383</v>
      </c>
      <c r="N748" s="133" t="s">
        <v>1007</v>
      </c>
      <c r="O748" s="134" t="s">
        <v>1005</v>
      </c>
    </row>
    <row r="749" spans="1:15" s="1" customFormat="1">
      <c r="A749" s="4">
        <f t="shared" si="23"/>
        <v>748</v>
      </c>
      <c r="B749" s="703" t="s">
        <v>921</v>
      </c>
      <c r="C749" s="4" t="s">
        <v>969</v>
      </c>
      <c r="D749" s="418" t="s">
        <v>579</v>
      </c>
      <c r="E749" s="4" t="e">
        <f>VLOOKUP(B749,#REF!,3,0)</f>
        <v>#REF!</v>
      </c>
      <c r="F749" s="414">
        <f>VLOOKUP(B749,[2]Summary!$A:$I,9,0)</f>
        <v>10</v>
      </c>
      <c r="G749" s="727">
        <v>45737</v>
      </c>
      <c r="H749" s="728"/>
      <c r="I749" s="729"/>
      <c r="J749" s="729"/>
      <c r="K749" s="730"/>
      <c r="L749" s="135">
        <v>45737</v>
      </c>
      <c r="M749" s="316" t="s">
        <v>1383</v>
      </c>
      <c r="N749" s="133" t="s">
        <v>1007</v>
      </c>
      <c r="O749" s="134" t="s">
        <v>1005</v>
      </c>
    </row>
    <row r="750" spans="1:15" s="1" customFormat="1">
      <c r="A750" s="4">
        <f t="shared" si="23"/>
        <v>749</v>
      </c>
      <c r="B750" s="703" t="s">
        <v>922</v>
      </c>
      <c r="C750" s="4" t="s">
        <v>969</v>
      </c>
      <c r="D750" s="418" t="s">
        <v>579</v>
      </c>
      <c r="E750" s="4" t="e">
        <f>VLOOKUP(B750,#REF!,3,0)</f>
        <v>#REF!</v>
      </c>
      <c r="F750" s="414">
        <f>VLOOKUP(B750,[2]Sổ!$A:$I,9,0)</f>
        <v>20</v>
      </c>
      <c r="G750" s="727">
        <v>45737</v>
      </c>
      <c r="H750" s="728"/>
      <c r="I750" s="729"/>
      <c r="J750" s="729"/>
      <c r="K750" s="730"/>
      <c r="L750" s="135">
        <v>45737</v>
      </c>
      <c r="M750" s="316" t="s">
        <v>1383</v>
      </c>
      <c r="N750" s="133" t="s">
        <v>1007</v>
      </c>
      <c r="O750" s="134" t="s">
        <v>1005</v>
      </c>
    </row>
    <row r="751" spans="1:15" s="1" customFormat="1">
      <c r="A751" s="4">
        <f t="shared" si="23"/>
        <v>750</v>
      </c>
      <c r="B751" s="703" t="s">
        <v>923</v>
      </c>
      <c r="C751" s="4" t="s">
        <v>970</v>
      </c>
      <c r="D751" s="418" t="s">
        <v>579</v>
      </c>
      <c r="E751" s="4" t="e">
        <f>VLOOKUP(B751,#REF!,3,0)</f>
        <v>#REF!</v>
      </c>
      <c r="F751" s="414">
        <f>VLOOKUP(B751,[2]Sổ!$A:$I,9,0)</f>
        <v>50</v>
      </c>
      <c r="G751" s="727">
        <v>45737</v>
      </c>
      <c r="H751" s="728"/>
      <c r="I751" s="729"/>
      <c r="J751" s="729"/>
      <c r="K751" s="730"/>
      <c r="L751" s="135">
        <v>45737</v>
      </c>
      <c r="M751" s="316" t="s">
        <v>1383</v>
      </c>
      <c r="N751" s="133" t="s">
        <v>1007</v>
      </c>
      <c r="O751" s="134" t="s">
        <v>1005</v>
      </c>
    </row>
    <row r="752" spans="1:15" s="1" customFormat="1">
      <c r="A752" s="4">
        <f t="shared" si="23"/>
        <v>751</v>
      </c>
      <c r="B752" s="703" t="s">
        <v>924</v>
      </c>
      <c r="C752" s="4" t="s">
        <v>971</v>
      </c>
      <c r="D752" s="418" t="s">
        <v>579</v>
      </c>
      <c r="E752" s="4" t="e">
        <f>VLOOKUP(B752,#REF!,3,0)</f>
        <v>#REF!</v>
      </c>
      <c r="F752" s="414">
        <f>VLOOKUP(B752,[2]Summary!$A:$I,9,0)</f>
        <v>30</v>
      </c>
      <c r="G752" s="727">
        <v>45737</v>
      </c>
      <c r="H752" s="728"/>
      <c r="I752" s="729"/>
      <c r="J752" s="729"/>
      <c r="K752" s="730"/>
      <c r="L752" s="135">
        <v>45737</v>
      </c>
      <c r="M752" s="316" t="s">
        <v>1383</v>
      </c>
      <c r="N752" s="133" t="s">
        <v>1007</v>
      </c>
      <c r="O752" s="134" t="s">
        <v>1005</v>
      </c>
    </row>
    <row r="753" spans="1:15" s="1" customFormat="1">
      <c r="A753" s="4">
        <f t="shared" si="23"/>
        <v>752</v>
      </c>
      <c r="B753" s="703" t="s">
        <v>925</v>
      </c>
      <c r="C753" s="4" t="s">
        <v>972</v>
      </c>
      <c r="D753" s="418" t="s">
        <v>579</v>
      </c>
      <c r="E753" s="4" t="e">
        <f>VLOOKUP(B753,#REF!,3,0)</f>
        <v>#REF!</v>
      </c>
      <c r="F753" s="414">
        <f>VLOOKUP(B753,[2]Summary!$A:$I,9,0)</f>
        <v>4</v>
      </c>
      <c r="G753" s="727">
        <v>45737</v>
      </c>
      <c r="H753" s="728"/>
      <c r="I753" s="729"/>
      <c r="J753" s="729"/>
      <c r="K753" s="730"/>
      <c r="L753" s="135">
        <v>45737</v>
      </c>
      <c r="M753" s="316" t="s">
        <v>1383</v>
      </c>
      <c r="N753" s="133" t="s">
        <v>1007</v>
      </c>
      <c r="O753" s="134" t="s">
        <v>1005</v>
      </c>
    </row>
    <row r="754" spans="1:15" s="1" customFormat="1">
      <c r="A754" s="4">
        <f t="shared" si="23"/>
        <v>753</v>
      </c>
      <c r="B754" s="703" t="s">
        <v>926</v>
      </c>
      <c r="C754" s="4" t="s">
        <v>972</v>
      </c>
      <c r="D754" s="418" t="s">
        <v>579</v>
      </c>
      <c r="E754" s="4" t="e">
        <f>VLOOKUP(B754,#REF!,3,0)</f>
        <v>#REF!</v>
      </c>
      <c r="F754" s="414">
        <f>VLOOKUP(B754,[2]Summary!$A:$I,9,0)</f>
        <v>4</v>
      </c>
      <c r="G754" s="727">
        <v>45737</v>
      </c>
      <c r="H754" s="728"/>
      <c r="I754" s="729"/>
      <c r="J754" s="729"/>
      <c r="K754" s="730"/>
      <c r="L754" s="135">
        <v>45737</v>
      </c>
      <c r="M754" s="316" t="s">
        <v>1383</v>
      </c>
      <c r="N754" s="133" t="s">
        <v>1007</v>
      </c>
      <c r="O754" s="134" t="s">
        <v>1005</v>
      </c>
    </row>
    <row r="755" spans="1:15" s="1" customFormat="1">
      <c r="A755" s="4">
        <f t="shared" si="23"/>
        <v>754</v>
      </c>
      <c r="B755" s="703" t="s">
        <v>927</v>
      </c>
      <c r="C755" s="4" t="s">
        <v>973</v>
      </c>
      <c r="D755" s="418" t="s">
        <v>178</v>
      </c>
      <c r="E755" s="4" t="e">
        <f>VLOOKUP(B755,#REF!,3,0)</f>
        <v>#REF!</v>
      </c>
      <c r="F755" s="414">
        <f>VLOOKUP(B755,[2]Sổ!$A:$I,9,0)</f>
        <v>100</v>
      </c>
      <c r="G755" s="727">
        <v>45737</v>
      </c>
      <c r="H755" s="728"/>
      <c r="I755" s="729"/>
      <c r="J755" s="729"/>
      <c r="K755" s="730"/>
      <c r="L755" s="135">
        <v>45737</v>
      </c>
      <c r="M755" s="316" t="s">
        <v>1383</v>
      </c>
      <c r="N755" s="133" t="s">
        <v>1007</v>
      </c>
      <c r="O755" s="134" t="s">
        <v>1005</v>
      </c>
    </row>
    <row r="756" spans="1:15" s="1" customFormat="1">
      <c r="A756" s="4">
        <f t="shared" si="23"/>
        <v>755</v>
      </c>
      <c r="B756" s="703" t="s">
        <v>928</v>
      </c>
      <c r="C756" s="4" t="s">
        <v>973</v>
      </c>
      <c r="D756" s="418" t="s">
        <v>178</v>
      </c>
      <c r="E756" s="4" t="e">
        <f>VLOOKUP(B756,#REF!,3,0)</f>
        <v>#REF!</v>
      </c>
      <c r="F756" s="414">
        <f>VLOOKUP(B756,[2]Summary!$A:$I,9,0)</f>
        <v>6</v>
      </c>
      <c r="G756" s="727">
        <v>45737</v>
      </c>
      <c r="H756" s="728"/>
      <c r="I756" s="729"/>
      <c r="J756" s="729"/>
      <c r="K756" s="730"/>
      <c r="L756" s="135">
        <v>45737</v>
      </c>
      <c r="M756" s="316" t="s">
        <v>1383</v>
      </c>
      <c r="N756" s="133" t="s">
        <v>1007</v>
      </c>
      <c r="O756" s="134" t="s">
        <v>1005</v>
      </c>
    </row>
    <row r="757" spans="1:15" s="1" customFormat="1">
      <c r="A757" s="4">
        <f t="shared" si="23"/>
        <v>756</v>
      </c>
      <c r="B757" s="703" t="s">
        <v>927</v>
      </c>
      <c r="C757" s="4" t="s">
        <v>973</v>
      </c>
      <c r="D757" s="418" t="s">
        <v>993</v>
      </c>
      <c r="E757" s="4" t="e">
        <f>VLOOKUP(B757,#REF!,3,0)</f>
        <v>#REF!</v>
      </c>
      <c r="F757" s="414">
        <f>VLOOKUP(B757,[2]Sổ!$A:$I,9,0)</f>
        <v>100</v>
      </c>
      <c r="G757" s="727">
        <v>45737</v>
      </c>
      <c r="H757" s="728"/>
      <c r="I757" s="729"/>
      <c r="J757" s="729"/>
      <c r="K757" s="730"/>
      <c r="L757" s="135">
        <v>45737</v>
      </c>
      <c r="M757" s="316" t="s">
        <v>1383</v>
      </c>
      <c r="N757" s="133" t="s">
        <v>1007</v>
      </c>
      <c r="O757" s="134" t="s">
        <v>1005</v>
      </c>
    </row>
    <row r="758" spans="1:15" s="1" customFormat="1">
      <c r="A758" s="4">
        <f t="shared" si="23"/>
        <v>757</v>
      </c>
      <c r="B758" s="703" t="s">
        <v>928</v>
      </c>
      <c r="C758" s="4" t="s">
        <v>973</v>
      </c>
      <c r="D758" s="418" t="s">
        <v>993</v>
      </c>
      <c r="E758" s="4" t="e">
        <f>VLOOKUP(B758,#REF!,3,0)</f>
        <v>#REF!</v>
      </c>
      <c r="F758" s="414">
        <f>VLOOKUP(B758,[2]Summary!$A:$I,9,0)</f>
        <v>6</v>
      </c>
      <c r="G758" s="727">
        <v>45737</v>
      </c>
      <c r="H758" s="728"/>
      <c r="I758" s="729"/>
      <c r="J758" s="729"/>
      <c r="K758" s="730"/>
      <c r="L758" s="135">
        <v>45737</v>
      </c>
      <c r="M758" s="316" t="s">
        <v>1383</v>
      </c>
      <c r="N758" s="133" t="s">
        <v>1007</v>
      </c>
      <c r="O758" s="134" t="s">
        <v>1005</v>
      </c>
    </row>
    <row r="759" spans="1:15" s="1" customFormat="1">
      <c r="A759" s="4">
        <f t="shared" si="23"/>
        <v>758</v>
      </c>
      <c r="B759" s="703" t="s">
        <v>929</v>
      </c>
      <c r="C759" s="4" t="s">
        <v>974</v>
      </c>
      <c r="D759" s="418" t="s">
        <v>178</v>
      </c>
      <c r="E759" s="4" t="e">
        <f>VLOOKUP(B759,#REF!,3,0)</f>
        <v>#REF!</v>
      </c>
      <c r="F759" s="414">
        <f>VLOOKUP(B759,[2]Summary!$A:$I,9,0)</f>
        <v>46</v>
      </c>
      <c r="G759" s="727">
        <v>45737</v>
      </c>
      <c r="H759" s="728"/>
      <c r="I759" s="729"/>
      <c r="J759" s="729"/>
      <c r="K759" s="730"/>
      <c r="L759" s="135">
        <v>45737</v>
      </c>
      <c r="M759" s="316" t="s">
        <v>1383</v>
      </c>
      <c r="N759" s="133" t="s">
        <v>1007</v>
      </c>
      <c r="O759" s="134" t="s">
        <v>1005</v>
      </c>
    </row>
    <row r="760" spans="1:15" s="1" customFormat="1">
      <c r="A760" s="4">
        <f t="shared" si="23"/>
        <v>759</v>
      </c>
      <c r="B760" s="703" t="s">
        <v>930</v>
      </c>
      <c r="C760" s="4" t="s">
        <v>974</v>
      </c>
      <c r="D760" s="418" t="s">
        <v>178</v>
      </c>
      <c r="E760" s="4" t="e">
        <f>VLOOKUP(B760,#REF!,3,0)</f>
        <v>#REF!</v>
      </c>
      <c r="F760" s="414">
        <f>VLOOKUP(B760,[2]Summary!$A:$I,9,0)</f>
        <v>40</v>
      </c>
      <c r="G760" s="727">
        <v>45737</v>
      </c>
      <c r="H760" s="728"/>
      <c r="I760" s="729"/>
      <c r="J760" s="729"/>
      <c r="K760" s="730"/>
      <c r="L760" s="135">
        <v>45737</v>
      </c>
      <c r="M760" s="316" t="s">
        <v>1383</v>
      </c>
      <c r="N760" s="133" t="s">
        <v>1007</v>
      </c>
      <c r="O760" s="134" t="s">
        <v>1005</v>
      </c>
    </row>
    <row r="761" spans="1:15" s="1" customFormat="1">
      <c r="A761" s="4">
        <f t="shared" si="23"/>
        <v>760</v>
      </c>
      <c r="B761" s="703" t="s">
        <v>929</v>
      </c>
      <c r="C761" s="4" t="s">
        <v>974</v>
      </c>
      <c r="D761" s="418" t="s">
        <v>993</v>
      </c>
      <c r="E761" s="4" t="e">
        <f>VLOOKUP(B761,#REF!,3,0)</f>
        <v>#REF!</v>
      </c>
      <c r="F761" s="414">
        <f>VLOOKUP(B761,[2]Summary!$A:$I,9,0)</f>
        <v>46</v>
      </c>
      <c r="G761" s="727">
        <v>45737</v>
      </c>
      <c r="H761" s="728"/>
      <c r="I761" s="729"/>
      <c r="J761" s="729"/>
      <c r="K761" s="730"/>
      <c r="L761" s="135">
        <v>45737</v>
      </c>
      <c r="M761" s="316" t="s">
        <v>1383</v>
      </c>
      <c r="N761" s="133" t="s">
        <v>1007</v>
      </c>
      <c r="O761" s="134" t="s">
        <v>1005</v>
      </c>
    </row>
    <row r="762" spans="1:15" s="1" customFormat="1">
      <c r="A762" s="4">
        <f t="shared" si="23"/>
        <v>761</v>
      </c>
      <c r="B762" s="703" t="s">
        <v>930</v>
      </c>
      <c r="C762" s="4" t="s">
        <v>974</v>
      </c>
      <c r="D762" s="418" t="s">
        <v>993</v>
      </c>
      <c r="E762" s="4" t="e">
        <f>VLOOKUP(B762,#REF!,3,0)</f>
        <v>#REF!</v>
      </c>
      <c r="F762" s="414">
        <f>VLOOKUP(B762,[2]Summary!$A:$I,9,0)</f>
        <v>40</v>
      </c>
      <c r="G762" s="727">
        <v>45737</v>
      </c>
      <c r="H762" s="728"/>
      <c r="I762" s="729"/>
      <c r="J762" s="729"/>
      <c r="K762" s="730"/>
      <c r="L762" s="135">
        <v>45737</v>
      </c>
      <c r="M762" s="316" t="s">
        <v>1383</v>
      </c>
      <c r="N762" s="133" t="s">
        <v>1007</v>
      </c>
      <c r="O762" s="134" t="s">
        <v>1005</v>
      </c>
    </row>
    <row r="763" spans="1:15" s="1" customFormat="1">
      <c r="A763" s="4">
        <f t="shared" si="23"/>
        <v>762</v>
      </c>
      <c r="B763" s="703" t="s">
        <v>931</v>
      </c>
      <c r="C763" s="4" t="s">
        <v>975</v>
      </c>
      <c r="D763" s="418" t="s">
        <v>178</v>
      </c>
      <c r="E763" s="4" t="e">
        <f>VLOOKUP(B763,#REF!,3,0)</f>
        <v>#REF!</v>
      </c>
      <c r="F763" s="414">
        <f>VLOOKUP(B763,[2]Summary!$A:$I,9,0)</f>
        <v>6</v>
      </c>
      <c r="G763" s="727">
        <v>45737</v>
      </c>
      <c r="H763" s="728"/>
      <c r="I763" s="729"/>
      <c r="J763" s="729"/>
      <c r="K763" s="730"/>
      <c r="L763" s="135">
        <v>45737</v>
      </c>
      <c r="M763" s="316" t="s">
        <v>1383</v>
      </c>
      <c r="N763" s="133" t="s">
        <v>1007</v>
      </c>
      <c r="O763" s="134" t="s">
        <v>1005</v>
      </c>
    </row>
    <row r="764" spans="1:15" s="1" customFormat="1">
      <c r="A764" s="4">
        <f t="shared" si="23"/>
        <v>763</v>
      </c>
      <c r="B764" s="703" t="s">
        <v>932</v>
      </c>
      <c r="C764" s="4" t="s">
        <v>975</v>
      </c>
      <c r="D764" s="418" t="s">
        <v>178</v>
      </c>
      <c r="E764" s="4" t="e">
        <f>VLOOKUP(B764,#REF!,3,0)</f>
        <v>#REF!</v>
      </c>
      <c r="F764" s="414">
        <f>VLOOKUP(B764,[2]Sổ!$A:$I,9,0)</f>
        <v>14</v>
      </c>
      <c r="G764" s="727">
        <v>45737</v>
      </c>
      <c r="H764" s="728"/>
      <c r="I764" s="729"/>
      <c r="J764" s="729"/>
      <c r="K764" s="730"/>
      <c r="L764" s="135">
        <v>45737</v>
      </c>
      <c r="M764" s="316" t="s">
        <v>1383</v>
      </c>
      <c r="N764" s="133" t="s">
        <v>1007</v>
      </c>
      <c r="O764" s="134" t="s">
        <v>1005</v>
      </c>
    </row>
    <row r="765" spans="1:15" s="1" customFormat="1">
      <c r="A765" s="4">
        <f t="shared" si="23"/>
        <v>764</v>
      </c>
      <c r="B765" s="703" t="s">
        <v>931</v>
      </c>
      <c r="C765" s="4" t="s">
        <v>975</v>
      </c>
      <c r="D765" s="418" t="s">
        <v>993</v>
      </c>
      <c r="E765" s="4" t="e">
        <f>VLOOKUP(B765,#REF!,3,0)</f>
        <v>#REF!</v>
      </c>
      <c r="F765" s="414">
        <f>VLOOKUP(B765,[2]Summary!$A:$I,9,0)</f>
        <v>6</v>
      </c>
      <c r="G765" s="727">
        <v>45737</v>
      </c>
      <c r="H765" s="728"/>
      <c r="I765" s="729"/>
      <c r="J765" s="729"/>
      <c r="K765" s="730"/>
      <c r="L765" s="135">
        <v>45737</v>
      </c>
      <c r="M765" s="316" t="s">
        <v>1383</v>
      </c>
      <c r="N765" s="133" t="s">
        <v>1007</v>
      </c>
      <c r="O765" s="134" t="s">
        <v>1005</v>
      </c>
    </row>
    <row r="766" spans="1:15" s="1" customFormat="1">
      <c r="A766" s="4">
        <f t="shared" si="23"/>
        <v>765</v>
      </c>
      <c r="B766" s="703" t="s">
        <v>932</v>
      </c>
      <c r="C766" s="4" t="s">
        <v>975</v>
      </c>
      <c r="D766" s="418" t="s">
        <v>993</v>
      </c>
      <c r="E766" s="4" t="e">
        <f>VLOOKUP(B766,#REF!,3,0)</f>
        <v>#REF!</v>
      </c>
      <c r="F766" s="414">
        <f>VLOOKUP(B766,[2]Sổ!$A:$I,9,0)</f>
        <v>14</v>
      </c>
      <c r="G766" s="727">
        <v>45737</v>
      </c>
      <c r="H766" s="728"/>
      <c r="I766" s="729"/>
      <c r="J766" s="729"/>
      <c r="K766" s="730"/>
      <c r="L766" s="135">
        <v>45737</v>
      </c>
      <c r="M766" s="316" t="s">
        <v>1383</v>
      </c>
      <c r="N766" s="133" t="s">
        <v>1007</v>
      </c>
      <c r="O766" s="134" t="s">
        <v>1005</v>
      </c>
    </row>
    <row r="767" spans="1:15" s="1" customFormat="1">
      <c r="A767" s="4">
        <f t="shared" si="23"/>
        <v>766</v>
      </c>
      <c r="B767" s="703" t="s">
        <v>933</v>
      </c>
      <c r="C767" s="4" t="s">
        <v>976</v>
      </c>
      <c r="D767" s="418" t="s">
        <v>994</v>
      </c>
      <c r="E767" s="4" t="e">
        <f>VLOOKUP(B767,#REF!,3,0)</f>
        <v>#REF!</v>
      </c>
      <c r="F767" s="414">
        <f>VLOOKUP(B767,[2]Summary!$A:$I,9,0)</f>
        <v>26</v>
      </c>
      <c r="G767" s="727">
        <v>45737</v>
      </c>
      <c r="H767" s="728"/>
      <c r="I767" s="729"/>
      <c r="J767" s="729"/>
      <c r="K767" s="730"/>
      <c r="L767" s="135">
        <v>45737</v>
      </c>
      <c r="M767" s="316" t="s">
        <v>1383</v>
      </c>
      <c r="N767" s="133" t="s">
        <v>1007</v>
      </c>
      <c r="O767" s="134" t="s">
        <v>1005</v>
      </c>
    </row>
    <row r="768" spans="1:15" s="1" customFormat="1">
      <c r="A768" s="4">
        <f t="shared" si="23"/>
        <v>767</v>
      </c>
      <c r="B768" s="703" t="s">
        <v>934</v>
      </c>
      <c r="C768" s="4" t="s">
        <v>976</v>
      </c>
      <c r="D768" s="418" t="s">
        <v>994</v>
      </c>
      <c r="E768" s="4" t="e">
        <f>VLOOKUP(B768,#REF!,3,0)</f>
        <v>#REF!</v>
      </c>
      <c r="F768" s="414">
        <f>VLOOKUP(B768,[2]Sổ!$A:$I,9,0)</f>
        <v>54</v>
      </c>
      <c r="G768" s="727">
        <v>45737</v>
      </c>
      <c r="H768" s="728"/>
      <c r="I768" s="729"/>
      <c r="J768" s="729"/>
      <c r="K768" s="730"/>
      <c r="L768" s="135">
        <v>45737</v>
      </c>
      <c r="M768" s="316" t="s">
        <v>1383</v>
      </c>
      <c r="N768" s="133" t="s">
        <v>1007</v>
      </c>
      <c r="O768" s="134" t="s">
        <v>1005</v>
      </c>
    </row>
    <row r="769" spans="1:15" s="1" customFormat="1">
      <c r="A769" s="4">
        <f t="shared" si="23"/>
        <v>768</v>
      </c>
      <c r="B769" s="703" t="s">
        <v>935</v>
      </c>
      <c r="C769" s="4" t="s">
        <v>977</v>
      </c>
      <c r="D769" s="418" t="s">
        <v>994</v>
      </c>
      <c r="E769" s="4" t="e">
        <f>VLOOKUP(B769,#REF!,3,0)</f>
        <v>#REF!</v>
      </c>
      <c r="F769" s="414">
        <f>VLOOKUP(B769,[2]Summary!$A:$I,9,0)</f>
        <v>4</v>
      </c>
      <c r="G769" s="727">
        <v>45737</v>
      </c>
      <c r="H769" s="728"/>
      <c r="I769" s="729"/>
      <c r="J769" s="729"/>
      <c r="K769" s="730"/>
      <c r="L769" s="135">
        <v>45737</v>
      </c>
      <c r="M769" s="316" t="s">
        <v>1383</v>
      </c>
      <c r="N769" s="133" t="s">
        <v>1007</v>
      </c>
      <c r="O769" s="134" t="s">
        <v>1005</v>
      </c>
    </row>
    <row r="770" spans="1:15" s="1" customFormat="1">
      <c r="A770" s="4">
        <f t="shared" si="23"/>
        <v>769</v>
      </c>
      <c r="B770" s="703" t="s">
        <v>936</v>
      </c>
      <c r="C770" s="4" t="s">
        <v>978</v>
      </c>
      <c r="D770" s="418" t="s">
        <v>579</v>
      </c>
      <c r="E770" s="4" t="e">
        <f>VLOOKUP(B770,#REF!,3,0)</f>
        <v>#REF!</v>
      </c>
      <c r="F770" s="414">
        <f>VLOOKUP(B770,[2]Summary!$A:$I,9,0)</f>
        <v>36</v>
      </c>
      <c r="G770" s="727">
        <v>45737</v>
      </c>
      <c r="H770" s="728"/>
      <c r="I770" s="729"/>
      <c r="J770" s="729"/>
      <c r="K770" s="730"/>
      <c r="L770" s="135">
        <v>45737</v>
      </c>
      <c r="M770" s="316" t="s">
        <v>1383</v>
      </c>
      <c r="N770" s="133" t="s">
        <v>1007</v>
      </c>
      <c r="O770" s="134" t="s">
        <v>1005</v>
      </c>
    </row>
    <row r="771" spans="1:15" s="1" customFormat="1">
      <c r="A771" s="4">
        <f t="shared" si="23"/>
        <v>770</v>
      </c>
      <c r="B771" s="703" t="s">
        <v>937</v>
      </c>
      <c r="C771" s="4" t="s">
        <v>978</v>
      </c>
      <c r="D771" s="418" t="s">
        <v>579</v>
      </c>
      <c r="E771" s="4" t="e">
        <f>VLOOKUP(B771,#REF!,3,0)</f>
        <v>#REF!</v>
      </c>
      <c r="F771" s="414">
        <f>VLOOKUP(B771,[2]Sổ!$A:$I,9,0)</f>
        <v>74</v>
      </c>
      <c r="G771" s="727">
        <v>45737</v>
      </c>
      <c r="H771" s="728"/>
      <c r="I771" s="729"/>
      <c r="J771" s="729"/>
      <c r="K771" s="730"/>
      <c r="L771" s="135">
        <v>45737</v>
      </c>
      <c r="M771" s="316" t="s">
        <v>1383</v>
      </c>
      <c r="N771" s="133" t="s">
        <v>1007</v>
      </c>
      <c r="O771" s="134" t="s">
        <v>1005</v>
      </c>
    </row>
    <row r="772" spans="1:15" s="1" customFormat="1">
      <c r="A772" s="4">
        <f t="shared" si="23"/>
        <v>771</v>
      </c>
      <c r="B772" s="703" t="s">
        <v>938</v>
      </c>
      <c r="C772" s="4" t="s">
        <v>979</v>
      </c>
      <c r="D772" s="418" t="s">
        <v>579</v>
      </c>
      <c r="E772" s="4" t="e">
        <f>VLOOKUP(B772,#REF!,3,0)</f>
        <v>#REF!</v>
      </c>
      <c r="F772" s="414">
        <f>VLOOKUP(B772,[2]Summary!$A:$I,9,0)</f>
        <v>2</v>
      </c>
      <c r="G772" s="727">
        <v>45737</v>
      </c>
      <c r="H772" s="728"/>
      <c r="I772" s="729"/>
      <c r="J772" s="729"/>
      <c r="K772" s="730"/>
      <c r="L772" s="135">
        <v>45737</v>
      </c>
      <c r="M772" s="316" t="s">
        <v>1383</v>
      </c>
      <c r="N772" s="133" t="s">
        <v>1007</v>
      </c>
      <c r="O772" s="134" t="s">
        <v>1005</v>
      </c>
    </row>
    <row r="773" spans="1:15" s="1" customFormat="1">
      <c r="A773" s="4">
        <f t="shared" si="23"/>
        <v>772</v>
      </c>
      <c r="B773" s="703" t="s">
        <v>939</v>
      </c>
      <c r="C773" s="4" t="s">
        <v>979</v>
      </c>
      <c r="D773" s="418" t="s">
        <v>579</v>
      </c>
      <c r="E773" s="4" t="e">
        <f>VLOOKUP(B773,#REF!,3,0)</f>
        <v>#REF!</v>
      </c>
      <c r="F773" s="414">
        <f>VLOOKUP(B773,[2]Summary!$A:$I,9,0)</f>
        <v>4</v>
      </c>
      <c r="G773" s="727">
        <v>45737</v>
      </c>
      <c r="H773" s="728"/>
      <c r="I773" s="729"/>
      <c r="J773" s="729"/>
      <c r="K773" s="730"/>
      <c r="L773" s="135">
        <v>45737</v>
      </c>
      <c r="M773" s="316" t="s">
        <v>1383</v>
      </c>
      <c r="N773" s="133" t="s">
        <v>1007</v>
      </c>
      <c r="O773" s="134" t="s">
        <v>1005</v>
      </c>
    </row>
    <row r="774" spans="1:15" s="1" customFormat="1">
      <c r="A774" s="4">
        <f t="shared" si="23"/>
        <v>773</v>
      </c>
      <c r="B774" s="703" t="s">
        <v>940</v>
      </c>
      <c r="C774" s="4" t="s">
        <v>980</v>
      </c>
      <c r="D774" s="418" t="s">
        <v>579</v>
      </c>
      <c r="E774" s="4" t="e">
        <f>VLOOKUP(B774,#REF!,3,0)</f>
        <v>#REF!</v>
      </c>
      <c r="F774" s="414">
        <f>VLOOKUP(B774,[2]Sổ!$A:$I,9,0)</f>
        <v>2</v>
      </c>
      <c r="G774" s="727">
        <v>45737</v>
      </c>
      <c r="H774" s="728"/>
      <c r="I774" s="729"/>
      <c r="J774" s="729"/>
      <c r="K774" s="730"/>
      <c r="L774" s="135">
        <v>45737</v>
      </c>
      <c r="M774" s="316" t="s">
        <v>1383</v>
      </c>
      <c r="N774" s="133" t="s">
        <v>1007</v>
      </c>
      <c r="O774" s="134" t="s">
        <v>1005</v>
      </c>
    </row>
    <row r="775" spans="1:15" s="1" customFormat="1">
      <c r="A775" s="4">
        <f t="shared" si="23"/>
        <v>774</v>
      </c>
      <c r="B775" s="703" t="s">
        <v>941</v>
      </c>
      <c r="C775" s="4" t="s">
        <v>981</v>
      </c>
      <c r="D775" s="418" t="s">
        <v>262</v>
      </c>
      <c r="E775" s="4" t="e">
        <f>VLOOKUP(B775,#REF!,3,0)</f>
        <v>#REF!</v>
      </c>
      <c r="F775" s="414">
        <f>VLOOKUP(B775,[2]Sổ!$A:$I,9,0)</f>
        <v>32</v>
      </c>
      <c r="G775" s="727">
        <v>45737</v>
      </c>
      <c r="H775" s="728"/>
      <c r="I775" s="729"/>
      <c r="J775" s="729"/>
      <c r="K775" s="730"/>
      <c r="L775" s="135">
        <v>45737</v>
      </c>
      <c r="M775" s="316" t="s">
        <v>1383</v>
      </c>
      <c r="N775" s="133" t="s">
        <v>1007</v>
      </c>
      <c r="O775" s="134" t="s">
        <v>1005</v>
      </c>
    </row>
    <row r="776" spans="1:15" s="1" customFormat="1">
      <c r="A776" s="4">
        <f t="shared" si="23"/>
        <v>775</v>
      </c>
      <c r="B776" s="703" t="s">
        <v>942</v>
      </c>
      <c r="C776" s="4" t="s">
        <v>982</v>
      </c>
      <c r="D776" s="418" t="s">
        <v>262</v>
      </c>
      <c r="E776" s="4" t="e">
        <f>VLOOKUP(B776,#REF!,3,0)</f>
        <v>#REF!</v>
      </c>
      <c r="F776" s="414">
        <f>VLOOKUP(B776,[2]Sổ!$A:$I,9,0)</f>
        <v>20</v>
      </c>
      <c r="G776" s="727">
        <v>45737</v>
      </c>
      <c r="H776" s="728"/>
      <c r="I776" s="729"/>
      <c r="J776" s="729"/>
      <c r="K776" s="730"/>
      <c r="L776" s="135">
        <v>45737</v>
      </c>
      <c r="M776" s="316" t="s">
        <v>1383</v>
      </c>
      <c r="N776" s="133" t="s">
        <v>1007</v>
      </c>
      <c r="O776" s="134" t="s">
        <v>1005</v>
      </c>
    </row>
    <row r="777" spans="1:15" s="1" customFormat="1">
      <c r="A777" s="4">
        <f t="shared" si="23"/>
        <v>776</v>
      </c>
      <c r="B777" s="703" t="s">
        <v>943</v>
      </c>
      <c r="C777" s="4" t="s">
        <v>983</v>
      </c>
      <c r="D777" s="418" t="s">
        <v>262</v>
      </c>
      <c r="E777" s="4" t="e">
        <f>VLOOKUP(B777,#REF!,3,0)</f>
        <v>#REF!</v>
      </c>
      <c r="F777" s="414">
        <f>VLOOKUP(B777,[2]Sổ!$A:$I,9,0)</f>
        <v>22</v>
      </c>
      <c r="G777" s="727">
        <v>45737</v>
      </c>
      <c r="H777" s="728"/>
      <c r="I777" s="729"/>
      <c r="J777" s="729"/>
      <c r="K777" s="730"/>
      <c r="L777" s="135">
        <v>45737</v>
      </c>
      <c r="M777" s="316" t="s">
        <v>1383</v>
      </c>
      <c r="N777" s="133" t="s">
        <v>1007</v>
      </c>
      <c r="O777" s="134" t="s">
        <v>1005</v>
      </c>
    </row>
    <row r="778" spans="1:15" s="1" customFormat="1">
      <c r="A778" s="4">
        <f t="shared" si="23"/>
        <v>777</v>
      </c>
      <c r="B778" s="703" t="s">
        <v>944</v>
      </c>
      <c r="C778" s="4" t="s">
        <v>984</v>
      </c>
      <c r="D778" s="418" t="s">
        <v>262</v>
      </c>
      <c r="E778" s="4" t="e">
        <f>VLOOKUP(B778,#REF!,3,0)</f>
        <v>#REF!</v>
      </c>
      <c r="F778" s="414">
        <f>VLOOKUP(B778,[2]Sổ!$A:$I,9,0)</f>
        <v>32</v>
      </c>
      <c r="G778" s="727">
        <v>45737</v>
      </c>
      <c r="H778" s="728"/>
      <c r="I778" s="729"/>
      <c r="J778" s="729"/>
      <c r="K778" s="730"/>
      <c r="L778" s="135">
        <v>45737</v>
      </c>
      <c r="M778" s="316" t="s">
        <v>1383</v>
      </c>
      <c r="N778" s="133" t="s">
        <v>1007</v>
      </c>
      <c r="O778" s="134" t="s">
        <v>1005</v>
      </c>
    </row>
    <row r="779" spans="1:15" s="1" customFormat="1">
      <c r="A779" s="4">
        <f t="shared" si="23"/>
        <v>778</v>
      </c>
      <c r="B779" s="703" t="s">
        <v>945</v>
      </c>
      <c r="C779" s="4" t="s">
        <v>985</v>
      </c>
      <c r="D779" s="418" t="s">
        <v>995</v>
      </c>
      <c r="E779" s="4" t="e">
        <f>VLOOKUP(B779,#REF!,3,0)</f>
        <v>#REF!</v>
      </c>
      <c r="F779" s="414">
        <f>VLOOKUP(B779,[2]Sổ!$A:$I,9,0)</f>
        <v>35</v>
      </c>
      <c r="G779" s="727">
        <v>45737</v>
      </c>
      <c r="H779" s="728"/>
      <c r="I779" s="729"/>
      <c r="J779" s="729"/>
      <c r="K779" s="730"/>
      <c r="L779" s="135">
        <v>45737</v>
      </c>
      <c r="M779" s="316" t="s">
        <v>1383</v>
      </c>
      <c r="N779" s="133" t="s">
        <v>1007</v>
      </c>
      <c r="O779" s="134" t="s">
        <v>1005</v>
      </c>
    </row>
    <row r="780" spans="1:15" s="1" customFormat="1">
      <c r="A780" s="4">
        <f t="shared" si="23"/>
        <v>779</v>
      </c>
      <c r="B780" s="703" t="s">
        <v>946</v>
      </c>
      <c r="C780" s="4" t="s">
        <v>985</v>
      </c>
      <c r="D780" s="418" t="s">
        <v>995</v>
      </c>
      <c r="E780" s="4" t="e">
        <f>VLOOKUP(B780,#REF!,3,0)</f>
        <v>#REF!</v>
      </c>
      <c r="F780" s="414">
        <f>VLOOKUP(B780,[2]Summary!$A:$I,9,0)</f>
        <v>17</v>
      </c>
      <c r="G780" s="727">
        <v>45737</v>
      </c>
      <c r="H780" s="728"/>
      <c r="I780" s="729"/>
      <c r="J780" s="729"/>
      <c r="K780" s="730"/>
      <c r="L780" s="135">
        <v>45737</v>
      </c>
      <c r="M780" s="316" t="s">
        <v>1383</v>
      </c>
      <c r="N780" s="133" t="s">
        <v>1007</v>
      </c>
      <c r="O780" s="134" t="s">
        <v>1005</v>
      </c>
    </row>
    <row r="781" spans="1:15" s="1" customFormat="1">
      <c r="A781" s="4">
        <f t="shared" si="23"/>
        <v>780</v>
      </c>
      <c r="B781" s="703" t="s">
        <v>947</v>
      </c>
      <c r="C781" s="4" t="s">
        <v>986</v>
      </c>
      <c r="D781" s="418" t="s">
        <v>996</v>
      </c>
      <c r="E781" s="4" t="e">
        <f>VLOOKUP(B781,#REF!,3,0)</f>
        <v>#REF!</v>
      </c>
      <c r="F781" s="414">
        <f>VLOOKUP(B781,[2]Sổ!$A:$I,9,0)</f>
        <v>20</v>
      </c>
      <c r="G781" s="727">
        <v>45737</v>
      </c>
      <c r="H781" s="728"/>
      <c r="I781" s="729"/>
      <c r="J781" s="729"/>
      <c r="K781" s="730"/>
      <c r="L781" s="135">
        <v>45737</v>
      </c>
      <c r="M781" s="316" t="s">
        <v>1383</v>
      </c>
      <c r="N781" s="133" t="s">
        <v>1007</v>
      </c>
      <c r="O781" s="134" t="s">
        <v>1005</v>
      </c>
    </row>
    <row r="782" spans="1:15" s="1" customFormat="1">
      <c r="A782" s="4">
        <f t="shared" si="23"/>
        <v>781</v>
      </c>
      <c r="B782" s="703" t="s">
        <v>947</v>
      </c>
      <c r="C782" s="4" t="s">
        <v>986</v>
      </c>
      <c r="D782" s="418" t="s">
        <v>997</v>
      </c>
      <c r="E782" s="4" t="e">
        <f>VLOOKUP(B782,#REF!,3,0)</f>
        <v>#REF!</v>
      </c>
      <c r="F782" s="414">
        <f>VLOOKUP(B782,[2]Sổ!$A:$I,9,0)</f>
        <v>20</v>
      </c>
      <c r="G782" s="727">
        <v>45737</v>
      </c>
      <c r="H782" s="728"/>
      <c r="I782" s="729"/>
      <c r="J782" s="729"/>
      <c r="K782" s="730"/>
      <c r="L782" s="135">
        <v>45737</v>
      </c>
      <c r="M782" s="316" t="s">
        <v>1383</v>
      </c>
      <c r="N782" s="133" t="s">
        <v>1007</v>
      </c>
      <c r="O782" s="134" t="s">
        <v>1005</v>
      </c>
    </row>
    <row r="783" spans="1:15" s="1" customFormat="1">
      <c r="A783" s="4">
        <f t="shared" si="23"/>
        <v>782</v>
      </c>
      <c r="B783" s="703" t="s">
        <v>947</v>
      </c>
      <c r="C783" s="4" t="s">
        <v>986</v>
      </c>
      <c r="D783" s="418" t="s">
        <v>883</v>
      </c>
      <c r="E783" s="4" t="e">
        <f>VLOOKUP(B783,#REF!,3,0)</f>
        <v>#REF!</v>
      </c>
      <c r="F783" s="414">
        <f>VLOOKUP(B783,[2]Sổ!$A:$I,9,0)</f>
        <v>20</v>
      </c>
      <c r="G783" s="727">
        <v>45737</v>
      </c>
      <c r="H783" s="728"/>
      <c r="I783" s="729"/>
      <c r="J783" s="729"/>
      <c r="K783" s="730"/>
      <c r="L783" s="135">
        <v>45737</v>
      </c>
      <c r="M783" s="316" t="s">
        <v>1383</v>
      </c>
      <c r="N783" s="133" t="s">
        <v>1007</v>
      </c>
      <c r="O783" s="134" t="s">
        <v>1005</v>
      </c>
    </row>
    <row r="784" spans="1:15" s="1" customFormat="1">
      <c r="A784" s="4">
        <f t="shared" si="23"/>
        <v>783</v>
      </c>
      <c r="B784" s="703" t="s">
        <v>948</v>
      </c>
      <c r="C784" s="4" t="s">
        <v>986</v>
      </c>
      <c r="D784" s="418" t="s">
        <v>996</v>
      </c>
      <c r="E784" s="4" t="e">
        <f>VLOOKUP(B784,#REF!,3,0)</f>
        <v>#REF!</v>
      </c>
      <c r="F784" s="414">
        <f>VLOOKUP(B784,[2]Summary!$A:$I,9,0)</f>
        <v>10</v>
      </c>
      <c r="G784" s="727">
        <v>45737</v>
      </c>
      <c r="H784" s="728"/>
      <c r="I784" s="729"/>
      <c r="J784" s="729"/>
      <c r="K784" s="730"/>
      <c r="L784" s="135">
        <v>45737</v>
      </c>
      <c r="M784" s="316" t="s">
        <v>1383</v>
      </c>
      <c r="N784" s="133" t="s">
        <v>1007</v>
      </c>
      <c r="O784" s="134" t="s">
        <v>1005</v>
      </c>
    </row>
    <row r="785" spans="1:15" s="1" customFormat="1">
      <c r="A785" s="4">
        <f t="shared" si="23"/>
        <v>784</v>
      </c>
      <c r="B785" s="703" t="s">
        <v>948</v>
      </c>
      <c r="C785" s="4" t="s">
        <v>986</v>
      </c>
      <c r="D785" s="418" t="s">
        <v>997</v>
      </c>
      <c r="E785" s="4" t="e">
        <f>VLOOKUP(B785,#REF!,3,0)</f>
        <v>#REF!</v>
      </c>
      <c r="F785" s="414">
        <f>VLOOKUP(B785,[2]Summary!$A:$I,9,0)</f>
        <v>10</v>
      </c>
      <c r="G785" s="727">
        <v>45737</v>
      </c>
      <c r="H785" s="728"/>
      <c r="I785" s="729"/>
      <c r="J785" s="729"/>
      <c r="K785" s="730"/>
      <c r="L785" s="135">
        <v>45737</v>
      </c>
      <c r="M785" s="316" t="s">
        <v>1383</v>
      </c>
      <c r="N785" s="133" t="s">
        <v>1007</v>
      </c>
      <c r="O785" s="134" t="s">
        <v>1005</v>
      </c>
    </row>
    <row r="786" spans="1:15" s="1" customFormat="1">
      <c r="A786" s="4">
        <f t="shared" si="23"/>
        <v>785</v>
      </c>
      <c r="B786" s="703" t="s">
        <v>948</v>
      </c>
      <c r="C786" s="4" t="s">
        <v>986</v>
      </c>
      <c r="D786" s="418" t="s">
        <v>883</v>
      </c>
      <c r="E786" s="4" t="e">
        <f>VLOOKUP(B786,#REF!,3,0)</f>
        <v>#REF!</v>
      </c>
      <c r="F786" s="414">
        <f>VLOOKUP(B786,[2]Summary!$A:$I,9,0)</f>
        <v>10</v>
      </c>
      <c r="G786" s="727">
        <v>45737</v>
      </c>
      <c r="H786" s="728"/>
      <c r="I786" s="729"/>
      <c r="J786" s="729"/>
      <c r="K786" s="730"/>
      <c r="L786" s="135">
        <v>45737</v>
      </c>
      <c r="M786" s="316" t="s">
        <v>1383</v>
      </c>
      <c r="N786" s="133" t="s">
        <v>1007</v>
      </c>
      <c r="O786" s="134" t="s">
        <v>1005</v>
      </c>
    </row>
    <row r="787" spans="1:15" s="1" customFormat="1">
      <c r="A787" s="4">
        <f t="shared" si="23"/>
        <v>786</v>
      </c>
      <c r="B787" s="703" t="s">
        <v>949</v>
      </c>
      <c r="C787" s="4" t="s">
        <v>987</v>
      </c>
      <c r="D787" s="418" t="s">
        <v>998</v>
      </c>
      <c r="E787" s="4" t="e">
        <f>VLOOKUP(B787,#REF!,3,0)</f>
        <v>#REF!</v>
      </c>
      <c r="F787" s="414">
        <f>VLOOKUP(B787,[2]Sổ!$A:$I,9,0)</f>
        <v>20</v>
      </c>
      <c r="G787" s="727">
        <v>45737</v>
      </c>
      <c r="H787" s="728"/>
      <c r="I787" s="729"/>
      <c r="J787" s="729"/>
      <c r="K787" s="730"/>
      <c r="L787" s="135">
        <v>45737</v>
      </c>
      <c r="M787" s="316" t="s">
        <v>1383</v>
      </c>
      <c r="N787" s="133" t="s">
        <v>1007</v>
      </c>
      <c r="O787" s="134" t="s">
        <v>1005</v>
      </c>
    </row>
    <row r="788" spans="1:15" s="1" customFormat="1">
      <c r="A788" s="4">
        <f t="shared" si="23"/>
        <v>787</v>
      </c>
      <c r="B788" s="703" t="s">
        <v>950</v>
      </c>
      <c r="C788" s="4" t="s">
        <v>988</v>
      </c>
      <c r="D788" s="418" t="s">
        <v>998</v>
      </c>
      <c r="E788" s="4" t="e">
        <f>VLOOKUP(B788,#REF!,3,0)</f>
        <v>#REF!</v>
      </c>
      <c r="F788" s="414">
        <f>VLOOKUP(B788,[2]Sổ!$A:$I,9,0)</f>
        <v>20</v>
      </c>
      <c r="G788" s="727">
        <v>45737</v>
      </c>
      <c r="H788" s="728"/>
      <c r="I788" s="729"/>
      <c r="J788" s="729"/>
      <c r="K788" s="730"/>
      <c r="L788" s="135">
        <v>45737</v>
      </c>
      <c r="M788" s="316" t="s">
        <v>1383</v>
      </c>
      <c r="N788" s="133" t="s">
        <v>1007</v>
      </c>
      <c r="O788" s="134" t="s">
        <v>1005</v>
      </c>
    </row>
    <row r="789" spans="1:15" s="1" customFormat="1">
      <c r="A789" s="4">
        <f t="shared" ref="A789:A852" si="24">ROW()-1</f>
        <v>788</v>
      </c>
      <c r="B789" s="703" t="s">
        <v>951</v>
      </c>
      <c r="C789" s="4" t="s">
        <v>988</v>
      </c>
      <c r="D789" s="418" t="s">
        <v>998</v>
      </c>
      <c r="E789" s="4" t="e">
        <f>VLOOKUP(B789,#REF!,3,0)</f>
        <v>#REF!</v>
      </c>
      <c r="F789" s="414">
        <f>VLOOKUP(B789,[2]Summary!$A:$I,9,0)</f>
        <v>10</v>
      </c>
      <c r="G789" s="727">
        <v>45737</v>
      </c>
      <c r="H789" s="728"/>
      <c r="I789" s="729"/>
      <c r="J789" s="729"/>
      <c r="K789" s="730"/>
      <c r="L789" s="135">
        <v>45737</v>
      </c>
      <c r="M789" s="316" t="s">
        <v>1383</v>
      </c>
      <c r="N789" s="133" t="s">
        <v>1007</v>
      </c>
      <c r="O789" s="134" t="s">
        <v>1005</v>
      </c>
    </row>
    <row r="790" spans="1:15" s="1" customFormat="1">
      <c r="A790" s="4">
        <f t="shared" si="24"/>
        <v>789</v>
      </c>
      <c r="B790" s="703" t="s">
        <v>952</v>
      </c>
      <c r="C790" s="4" t="s">
        <v>989</v>
      </c>
      <c r="D790" s="418" t="s">
        <v>999</v>
      </c>
      <c r="E790" s="4" t="e">
        <f>VLOOKUP(B790,#REF!,3,0)</f>
        <v>#REF!</v>
      </c>
      <c r="F790" s="414">
        <f>VLOOKUP(B790,[2]Summary!$A:$I,9,0)</f>
        <v>88</v>
      </c>
      <c r="G790" s="727">
        <v>45737</v>
      </c>
      <c r="H790" s="728"/>
      <c r="I790" s="729"/>
      <c r="J790" s="729"/>
      <c r="K790" s="730"/>
      <c r="L790" s="135">
        <v>45737</v>
      </c>
      <c r="M790" s="316" t="s">
        <v>1383</v>
      </c>
      <c r="N790" s="133" t="s">
        <v>1007</v>
      </c>
      <c r="O790" s="134" t="s">
        <v>1005</v>
      </c>
    </row>
    <row r="791" spans="1:15" s="1" customFormat="1">
      <c r="A791" s="4">
        <f t="shared" si="24"/>
        <v>790</v>
      </c>
      <c r="B791" s="703" t="s">
        <v>952</v>
      </c>
      <c r="C791" s="4" t="s">
        <v>989</v>
      </c>
      <c r="D791" s="418" t="s">
        <v>1000</v>
      </c>
      <c r="E791" s="4" t="e">
        <f>VLOOKUP(B791,#REF!,3,0)</f>
        <v>#REF!</v>
      </c>
      <c r="F791" s="414">
        <f>VLOOKUP(B791,[2]Summary!$A:$I,9,0)</f>
        <v>88</v>
      </c>
      <c r="G791" s="727">
        <v>45737</v>
      </c>
      <c r="H791" s="728"/>
      <c r="I791" s="729"/>
      <c r="J791" s="729"/>
      <c r="K791" s="730"/>
      <c r="L791" s="135">
        <v>45737</v>
      </c>
      <c r="M791" s="316" t="s">
        <v>1383</v>
      </c>
      <c r="N791" s="133" t="s">
        <v>1007</v>
      </c>
      <c r="O791" s="134" t="s">
        <v>1005</v>
      </c>
    </row>
    <row r="792" spans="1:15" s="1" customFormat="1">
      <c r="A792" s="4">
        <f t="shared" si="24"/>
        <v>791</v>
      </c>
      <c r="B792" s="703" t="s">
        <v>952</v>
      </c>
      <c r="C792" s="4" t="s">
        <v>989</v>
      </c>
      <c r="D792" s="418" t="s">
        <v>1001</v>
      </c>
      <c r="E792" s="4" t="e">
        <f>VLOOKUP(B792,#REF!,3,0)</f>
        <v>#REF!</v>
      </c>
      <c r="F792" s="414">
        <f>VLOOKUP(B792,[2]Summary!$A:$I,9,0)</f>
        <v>88</v>
      </c>
      <c r="G792" s="727">
        <v>45737</v>
      </c>
      <c r="H792" s="728"/>
      <c r="I792" s="729"/>
      <c r="J792" s="729"/>
      <c r="K792" s="730"/>
      <c r="L792" s="135">
        <v>45737</v>
      </c>
      <c r="M792" s="316" t="s">
        <v>1383</v>
      </c>
      <c r="N792" s="133" t="s">
        <v>1007</v>
      </c>
      <c r="O792" s="134" t="s">
        <v>1005</v>
      </c>
    </row>
    <row r="793" spans="1:15" s="1" customFormat="1">
      <c r="A793" s="4">
        <f t="shared" si="24"/>
        <v>792</v>
      </c>
      <c r="B793" s="703" t="s">
        <v>953</v>
      </c>
      <c r="C793" s="4" t="s">
        <v>989</v>
      </c>
      <c r="D793" s="418" t="s">
        <v>999</v>
      </c>
      <c r="E793" s="4" t="e">
        <f>VLOOKUP(B793,#REF!,3,0)</f>
        <v>#REF!</v>
      </c>
      <c r="F793" s="414">
        <f>VLOOKUP(B793,[2]Sổ!$A:$I,9,0)</f>
        <v>130</v>
      </c>
      <c r="G793" s="727">
        <v>45737</v>
      </c>
      <c r="H793" s="728"/>
      <c r="I793" s="729"/>
      <c r="J793" s="729"/>
      <c r="K793" s="730"/>
      <c r="L793" s="135">
        <v>45737</v>
      </c>
      <c r="M793" s="316" t="s">
        <v>1383</v>
      </c>
      <c r="N793" s="133" t="s">
        <v>1007</v>
      </c>
      <c r="O793" s="134" t="s">
        <v>1005</v>
      </c>
    </row>
    <row r="794" spans="1:15" s="1" customFormat="1">
      <c r="A794" s="4">
        <f t="shared" si="24"/>
        <v>793</v>
      </c>
      <c r="B794" s="703" t="s">
        <v>953</v>
      </c>
      <c r="C794" s="4" t="s">
        <v>989</v>
      </c>
      <c r="D794" s="418" t="s">
        <v>1000</v>
      </c>
      <c r="E794" s="4" t="e">
        <f>VLOOKUP(B794,#REF!,3,0)</f>
        <v>#REF!</v>
      </c>
      <c r="F794" s="414">
        <f>VLOOKUP(B794,[2]Sổ!$A:$I,9,0)</f>
        <v>130</v>
      </c>
      <c r="G794" s="727">
        <v>45737</v>
      </c>
      <c r="H794" s="728"/>
      <c r="I794" s="729"/>
      <c r="J794" s="729"/>
      <c r="K794" s="730"/>
      <c r="L794" s="135">
        <v>45737</v>
      </c>
      <c r="M794" s="316" t="s">
        <v>1383</v>
      </c>
      <c r="N794" s="133" t="s">
        <v>1007</v>
      </c>
      <c r="O794" s="134" t="s">
        <v>1005</v>
      </c>
    </row>
    <row r="795" spans="1:15" s="1" customFormat="1">
      <c r="A795" s="4">
        <f t="shared" si="24"/>
        <v>794</v>
      </c>
      <c r="B795" s="703" t="s">
        <v>953</v>
      </c>
      <c r="C795" s="4" t="s">
        <v>989</v>
      </c>
      <c r="D795" s="418" t="s">
        <v>1001</v>
      </c>
      <c r="E795" s="4" t="e">
        <f>VLOOKUP(B795,#REF!,3,0)</f>
        <v>#REF!</v>
      </c>
      <c r="F795" s="414">
        <f>VLOOKUP(B795,[2]Sổ!$A:$I,9,0)</f>
        <v>130</v>
      </c>
      <c r="G795" s="727">
        <v>45737</v>
      </c>
      <c r="H795" s="728"/>
      <c r="I795" s="729"/>
      <c r="J795" s="729"/>
      <c r="K795" s="730"/>
      <c r="L795" s="135">
        <v>45737</v>
      </c>
      <c r="M795" s="316" t="s">
        <v>1383</v>
      </c>
      <c r="N795" s="133" t="s">
        <v>1007</v>
      </c>
      <c r="O795" s="134" t="s">
        <v>1005</v>
      </c>
    </row>
    <row r="796" spans="1:15" s="1" customFormat="1">
      <c r="A796" s="4">
        <f t="shared" si="24"/>
        <v>795</v>
      </c>
      <c r="B796" s="703" t="s">
        <v>954</v>
      </c>
      <c r="C796" s="4" t="s">
        <v>990</v>
      </c>
      <c r="D796" s="418" t="s">
        <v>1002</v>
      </c>
      <c r="E796" s="4" t="e">
        <f>VLOOKUP(B796,#REF!,3,0)</f>
        <v>#REF!</v>
      </c>
      <c r="F796" s="414">
        <f>VLOOKUP(B796,[2]Sổ!$A:$I,9,0)</f>
        <v>12</v>
      </c>
      <c r="G796" s="727">
        <v>45737</v>
      </c>
      <c r="H796" s="728"/>
      <c r="I796" s="729"/>
      <c r="J796" s="729"/>
      <c r="K796" s="730"/>
      <c r="L796" s="135">
        <v>45737</v>
      </c>
      <c r="M796" s="316" t="s">
        <v>1383</v>
      </c>
      <c r="N796" s="133" t="s">
        <v>1007</v>
      </c>
      <c r="O796" s="134" t="s">
        <v>1005</v>
      </c>
    </row>
    <row r="797" spans="1:15" s="1" customFormat="1">
      <c r="A797" s="4">
        <f t="shared" si="24"/>
        <v>796</v>
      </c>
      <c r="B797" s="703" t="s">
        <v>955</v>
      </c>
      <c r="C797" s="4" t="s">
        <v>991</v>
      </c>
      <c r="D797" s="418" t="s">
        <v>1002</v>
      </c>
      <c r="E797" s="4" t="e">
        <f>VLOOKUP(B797,#REF!,3,0)</f>
        <v>#REF!</v>
      </c>
      <c r="F797" s="414">
        <f>VLOOKUP(B797,[2]Sổ!$A:$I,9,0)</f>
        <v>3</v>
      </c>
      <c r="G797" s="727">
        <v>45737</v>
      </c>
      <c r="H797" s="728"/>
      <c r="I797" s="729"/>
      <c r="J797" s="729"/>
      <c r="K797" s="730"/>
      <c r="L797" s="135">
        <v>45737</v>
      </c>
      <c r="M797" s="316" t="s">
        <v>1383</v>
      </c>
      <c r="N797" s="133" t="s">
        <v>1007</v>
      </c>
      <c r="O797" s="134" t="s">
        <v>1005</v>
      </c>
    </row>
    <row r="798" spans="1:15" s="1" customFormat="1">
      <c r="A798" s="4">
        <f t="shared" si="24"/>
        <v>797</v>
      </c>
      <c r="B798" s="703" t="s">
        <v>905</v>
      </c>
      <c r="C798" s="4" t="s">
        <v>957</v>
      </c>
      <c r="D798" s="418" t="s">
        <v>617</v>
      </c>
      <c r="E798" s="4" t="e">
        <f>VLOOKUP(B798,#REF!,3,0)</f>
        <v>#REF!</v>
      </c>
      <c r="F798" s="414">
        <f>VLOOKUP(B798,[2]Sổ!$A:$I,9,0)</f>
        <v>50</v>
      </c>
      <c r="G798" s="727">
        <v>45737</v>
      </c>
      <c r="H798" s="728"/>
      <c r="I798" s="729"/>
      <c r="J798" s="729"/>
      <c r="K798" s="730"/>
      <c r="L798" s="135">
        <v>45737</v>
      </c>
      <c r="M798" s="316" t="s">
        <v>1383</v>
      </c>
      <c r="N798" s="133" t="s">
        <v>1007</v>
      </c>
      <c r="O798" s="134" t="s">
        <v>1005</v>
      </c>
    </row>
    <row r="799" spans="1:15" s="1" customFormat="1">
      <c r="A799" s="4">
        <f t="shared" si="24"/>
        <v>798</v>
      </c>
      <c r="B799" s="703" t="s">
        <v>906</v>
      </c>
      <c r="C799" s="4" t="s">
        <v>958</v>
      </c>
      <c r="D799" s="418" t="s">
        <v>617</v>
      </c>
      <c r="E799" s="4" t="e">
        <f>VLOOKUP(B799,#REF!,3,0)</f>
        <v>#REF!</v>
      </c>
      <c r="F799" s="414">
        <f>VLOOKUP(B799,[2]Summary!$A:$I,9,0)</f>
        <v>24</v>
      </c>
      <c r="G799" s="727">
        <v>45737</v>
      </c>
      <c r="H799" s="728"/>
      <c r="I799" s="729"/>
      <c r="J799" s="729"/>
      <c r="K799" s="730"/>
      <c r="L799" s="135">
        <v>45737</v>
      </c>
      <c r="M799" s="316" t="s">
        <v>1383</v>
      </c>
      <c r="N799" s="133" t="s">
        <v>1007</v>
      </c>
      <c r="O799" s="134" t="s">
        <v>1005</v>
      </c>
    </row>
    <row r="800" spans="1:15" s="1" customFormat="1">
      <c r="A800" s="4">
        <f t="shared" si="24"/>
        <v>799</v>
      </c>
      <c r="B800" s="703" t="s">
        <v>907</v>
      </c>
      <c r="C800" s="4" t="s">
        <v>959</v>
      </c>
      <c r="D800" s="418" t="s">
        <v>617</v>
      </c>
      <c r="E800" s="4" t="e">
        <f>VLOOKUP(B800,#REF!,3,0)</f>
        <v>#REF!</v>
      </c>
      <c r="F800" s="414">
        <f>VLOOKUP(B800,[2]Summary!$A:$I,9,0)</f>
        <v>4</v>
      </c>
      <c r="G800" s="727">
        <v>45737</v>
      </c>
      <c r="H800" s="728"/>
      <c r="I800" s="729"/>
      <c r="J800" s="729"/>
      <c r="K800" s="730"/>
      <c r="L800" s="135">
        <v>45737</v>
      </c>
      <c r="M800" s="316" t="s">
        <v>1383</v>
      </c>
      <c r="N800" s="133" t="s">
        <v>1007</v>
      </c>
      <c r="O800" s="134" t="s">
        <v>1005</v>
      </c>
    </row>
    <row r="801" spans="1:15" s="1" customFormat="1">
      <c r="A801" s="4">
        <f t="shared" si="24"/>
        <v>800</v>
      </c>
      <c r="B801" s="703" t="s">
        <v>908</v>
      </c>
      <c r="C801" s="4" t="s">
        <v>959</v>
      </c>
      <c r="D801" s="418" t="s">
        <v>617</v>
      </c>
      <c r="E801" s="4" t="e">
        <f>VLOOKUP(B801,#REF!,3,0)</f>
        <v>#REF!</v>
      </c>
      <c r="F801" s="414">
        <f>VLOOKUP(B801,[2]Summary!$A:$I,9,0)</f>
        <v>4</v>
      </c>
      <c r="G801" s="727">
        <v>45737</v>
      </c>
      <c r="H801" s="728"/>
      <c r="I801" s="729"/>
      <c r="J801" s="729"/>
      <c r="K801" s="730"/>
      <c r="L801" s="135">
        <v>45737</v>
      </c>
      <c r="M801" s="316" t="s">
        <v>1383</v>
      </c>
      <c r="N801" s="133" t="s">
        <v>1007</v>
      </c>
      <c r="O801" s="134" t="s">
        <v>1005</v>
      </c>
    </row>
    <row r="802" spans="1:15" s="1" customFormat="1">
      <c r="A802" s="4">
        <f t="shared" si="24"/>
        <v>801</v>
      </c>
      <c r="B802" s="703" t="s">
        <v>909</v>
      </c>
      <c r="C802" s="4" t="s">
        <v>960</v>
      </c>
      <c r="D802" s="418" t="s">
        <v>617</v>
      </c>
      <c r="E802" s="4" t="e">
        <f>VLOOKUP(B802,#REF!,3,0)</f>
        <v>#REF!</v>
      </c>
      <c r="F802" s="414">
        <f>VLOOKUP(B802,[2]Summary!$A:$I,9,0)</f>
        <v>10</v>
      </c>
      <c r="G802" s="727">
        <v>45737</v>
      </c>
      <c r="H802" s="728"/>
      <c r="I802" s="729"/>
      <c r="J802" s="729"/>
      <c r="K802" s="730"/>
      <c r="L802" s="135">
        <v>45737</v>
      </c>
      <c r="M802" s="316" t="s">
        <v>1383</v>
      </c>
      <c r="N802" s="133" t="s">
        <v>1007</v>
      </c>
      <c r="O802" s="134" t="s">
        <v>1005</v>
      </c>
    </row>
    <row r="803" spans="1:15" s="1" customFormat="1">
      <c r="A803" s="4">
        <f t="shared" si="24"/>
        <v>802</v>
      </c>
      <c r="B803" s="703" t="s">
        <v>910</v>
      </c>
      <c r="C803" s="4" t="s">
        <v>960</v>
      </c>
      <c r="D803" s="418" t="s">
        <v>617</v>
      </c>
      <c r="E803" s="4" t="e">
        <f>VLOOKUP(B803,#REF!,3,0)</f>
        <v>#REF!</v>
      </c>
      <c r="F803" s="414">
        <f>VLOOKUP(B803,[2]Sổ!$A:$I,9,0)</f>
        <v>20</v>
      </c>
      <c r="G803" s="727">
        <v>45737</v>
      </c>
      <c r="H803" s="728"/>
      <c r="I803" s="729"/>
      <c r="J803" s="729"/>
      <c r="K803" s="730"/>
      <c r="L803" s="135">
        <v>45737</v>
      </c>
      <c r="M803" s="316" t="s">
        <v>1383</v>
      </c>
      <c r="N803" s="133" t="s">
        <v>1007</v>
      </c>
      <c r="O803" s="134" t="s">
        <v>1005</v>
      </c>
    </row>
    <row r="804" spans="1:15" s="1" customFormat="1">
      <c r="A804" s="4">
        <f t="shared" si="24"/>
        <v>803</v>
      </c>
      <c r="B804" s="703" t="s">
        <v>911</v>
      </c>
      <c r="C804" s="4" t="s">
        <v>961</v>
      </c>
      <c r="D804" s="418" t="s">
        <v>1003</v>
      </c>
      <c r="E804" s="4" t="e">
        <f>VLOOKUP(B804,#REF!,3,0)</f>
        <v>#REF!</v>
      </c>
      <c r="F804" s="414">
        <f>VLOOKUP(B804,[2]Sổ!$A:$I,9,0)</f>
        <v>90</v>
      </c>
      <c r="G804" s="727">
        <v>45737</v>
      </c>
      <c r="H804" s="728"/>
      <c r="I804" s="729"/>
      <c r="J804" s="729"/>
      <c r="K804" s="730"/>
      <c r="L804" s="135">
        <v>45737</v>
      </c>
      <c r="M804" s="316" t="s">
        <v>1383</v>
      </c>
      <c r="N804" s="133" t="s">
        <v>1007</v>
      </c>
      <c r="O804" s="134" t="s">
        <v>1005</v>
      </c>
    </row>
    <row r="805" spans="1:15" s="1" customFormat="1">
      <c r="A805" s="4">
        <f t="shared" si="24"/>
        <v>804</v>
      </c>
      <c r="B805" s="703" t="s">
        <v>912</v>
      </c>
      <c r="C805" s="4" t="s">
        <v>962</v>
      </c>
      <c r="D805" s="418" t="s">
        <v>1003</v>
      </c>
      <c r="E805" s="4" t="e">
        <f>VLOOKUP(B805,#REF!,3,0)</f>
        <v>#REF!</v>
      </c>
      <c r="F805" s="414">
        <f>VLOOKUP(B805,[2]Summary!$A:$I,9,0)</f>
        <v>46</v>
      </c>
      <c r="G805" s="727">
        <v>45737</v>
      </c>
      <c r="H805" s="728"/>
      <c r="I805" s="729"/>
      <c r="J805" s="729"/>
      <c r="K805" s="730"/>
      <c r="L805" s="135">
        <v>45737</v>
      </c>
      <c r="M805" s="316" t="s">
        <v>1383</v>
      </c>
      <c r="N805" s="133" t="s">
        <v>1007</v>
      </c>
      <c r="O805" s="134" t="s">
        <v>1005</v>
      </c>
    </row>
    <row r="806" spans="1:15" s="1" customFormat="1">
      <c r="A806" s="4">
        <f t="shared" si="24"/>
        <v>805</v>
      </c>
      <c r="B806" s="703" t="s">
        <v>913</v>
      </c>
      <c r="C806" s="4" t="s">
        <v>963</v>
      </c>
      <c r="D806" s="418" t="s">
        <v>1003</v>
      </c>
      <c r="E806" s="4" t="e">
        <f>VLOOKUP(B806,#REF!,3,0)</f>
        <v>#REF!</v>
      </c>
      <c r="F806" s="414">
        <f>VLOOKUP(B806,[2]Summary!$A:$I,9,0)</f>
        <v>8</v>
      </c>
      <c r="G806" s="727">
        <v>45737</v>
      </c>
      <c r="H806" s="728"/>
      <c r="I806" s="729"/>
      <c r="J806" s="729"/>
      <c r="K806" s="730"/>
      <c r="L806" s="135">
        <v>45737</v>
      </c>
      <c r="M806" s="316" t="s">
        <v>1383</v>
      </c>
      <c r="N806" s="133" t="s">
        <v>1007</v>
      </c>
      <c r="O806" s="134" t="s">
        <v>1005</v>
      </c>
    </row>
    <row r="807" spans="1:15" s="1" customFormat="1">
      <c r="A807" s="4">
        <f t="shared" si="24"/>
        <v>806</v>
      </c>
      <c r="B807" s="703" t="s">
        <v>914</v>
      </c>
      <c r="C807" s="4" t="s">
        <v>963</v>
      </c>
      <c r="D807" s="418" t="s">
        <v>1003</v>
      </c>
      <c r="E807" s="4" t="e">
        <f>VLOOKUP(B807,#REF!,3,0)</f>
        <v>#REF!</v>
      </c>
      <c r="F807" s="414">
        <f>VLOOKUP(B807,[2]Summary!$A:$I,9,0)</f>
        <v>10</v>
      </c>
      <c r="G807" s="727">
        <v>45737</v>
      </c>
      <c r="H807" s="728"/>
      <c r="I807" s="729"/>
      <c r="J807" s="729"/>
      <c r="K807" s="730"/>
      <c r="L807" s="135">
        <v>45737</v>
      </c>
      <c r="M807" s="316" t="s">
        <v>1383</v>
      </c>
      <c r="N807" s="133" t="s">
        <v>1007</v>
      </c>
      <c r="O807" s="134" t="s">
        <v>1005</v>
      </c>
    </row>
    <row r="808" spans="1:15" s="1" customFormat="1">
      <c r="A808" s="4">
        <f t="shared" si="24"/>
        <v>807</v>
      </c>
      <c r="B808" s="703" t="s">
        <v>915</v>
      </c>
      <c r="C808" s="4" t="s">
        <v>964</v>
      </c>
      <c r="D808" s="418" t="s">
        <v>1003</v>
      </c>
      <c r="E808" s="4" t="e">
        <f>VLOOKUP(B808,#REF!,3,0)</f>
        <v>#REF!</v>
      </c>
      <c r="F808" s="414">
        <f>VLOOKUP(B808,[2]Sổ!$A:$I,9,0)</f>
        <v>22</v>
      </c>
      <c r="G808" s="727">
        <v>45737</v>
      </c>
      <c r="H808" s="728"/>
      <c r="I808" s="729"/>
      <c r="J808" s="729"/>
      <c r="K808" s="730"/>
      <c r="L808" s="135">
        <v>45737</v>
      </c>
      <c r="M808" s="316" t="s">
        <v>1383</v>
      </c>
      <c r="N808" s="133" t="s">
        <v>1007</v>
      </c>
      <c r="O808" s="134" t="s">
        <v>1005</v>
      </c>
    </row>
    <row r="809" spans="1:15" s="1" customFormat="1">
      <c r="A809" s="4">
        <f t="shared" si="24"/>
        <v>808</v>
      </c>
      <c r="B809" s="703" t="s">
        <v>916</v>
      </c>
      <c r="C809" s="4" t="s">
        <v>965</v>
      </c>
      <c r="D809" s="418" t="s">
        <v>1003</v>
      </c>
      <c r="E809" s="4" t="e">
        <f>VLOOKUP(B809,#REF!,3,0)</f>
        <v>#REF!</v>
      </c>
      <c r="F809" s="414">
        <f>VLOOKUP(B809,[2]Sổ!$A:$I,9,0)</f>
        <v>2</v>
      </c>
      <c r="G809" s="727">
        <v>45737</v>
      </c>
      <c r="H809" s="728"/>
      <c r="I809" s="729"/>
      <c r="J809" s="729"/>
      <c r="K809" s="730"/>
      <c r="L809" s="135">
        <v>45737</v>
      </c>
      <c r="M809" s="316" t="s">
        <v>1383</v>
      </c>
      <c r="N809" s="133" t="s">
        <v>1007</v>
      </c>
      <c r="O809" s="134" t="s">
        <v>1005</v>
      </c>
    </row>
    <row r="810" spans="1:15" s="1" customFormat="1">
      <c r="A810" s="4">
        <f t="shared" si="24"/>
        <v>809</v>
      </c>
      <c r="B810" s="703" t="s">
        <v>917</v>
      </c>
      <c r="C810" s="4" t="s">
        <v>966</v>
      </c>
      <c r="D810" s="418" t="s">
        <v>1003</v>
      </c>
      <c r="E810" s="4" t="e">
        <f>VLOOKUP(B810,#REF!,3,0)</f>
        <v>#REF!</v>
      </c>
      <c r="F810" s="414">
        <f>VLOOKUP(B810,[2]Sổ!$A:$I,9,0)</f>
        <v>40</v>
      </c>
      <c r="G810" s="727">
        <v>45737</v>
      </c>
      <c r="H810" s="728"/>
      <c r="I810" s="729"/>
      <c r="J810" s="729"/>
      <c r="K810" s="730"/>
      <c r="L810" s="135">
        <v>45737</v>
      </c>
      <c r="M810" s="316" t="s">
        <v>1383</v>
      </c>
      <c r="N810" s="133" t="s">
        <v>1007</v>
      </c>
      <c r="O810" s="134" t="s">
        <v>1005</v>
      </c>
    </row>
    <row r="811" spans="1:15" s="1" customFormat="1">
      <c r="A811" s="4">
        <f t="shared" si="24"/>
        <v>810</v>
      </c>
      <c r="B811" s="703" t="s">
        <v>927</v>
      </c>
      <c r="C811" s="4" t="s">
        <v>973</v>
      </c>
      <c r="D811" s="418" t="s">
        <v>1003</v>
      </c>
      <c r="E811" s="4" t="e">
        <f>VLOOKUP(B811,#REF!,3,0)</f>
        <v>#REF!</v>
      </c>
      <c r="F811" s="414">
        <f>VLOOKUP(B811,[2]Sổ!$A:$I,9,0)</f>
        <v>100</v>
      </c>
      <c r="G811" s="727">
        <v>45737</v>
      </c>
      <c r="H811" s="728"/>
      <c r="I811" s="729"/>
      <c r="J811" s="729"/>
      <c r="K811" s="730"/>
      <c r="L811" s="135">
        <v>45737</v>
      </c>
      <c r="M811" s="316" t="s">
        <v>1383</v>
      </c>
      <c r="N811" s="133" t="s">
        <v>1007</v>
      </c>
      <c r="O811" s="134" t="s">
        <v>1005</v>
      </c>
    </row>
    <row r="812" spans="1:15" s="1" customFormat="1">
      <c r="A812" s="4">
        <f t="shared" si="24"/>
        <v>811</v>
      </c>
      <c r="B812" s="703" t="s">
        <v>928</v>
      </c>
      <c r="C812" s="4" t="s">
        <v>973</v>
      </c>
      <c r="D812" s="418" t="s">
        <v>1003</v>
      </c>
      <c r="E812" s="4" t="e">
        <f>VLOOKUP(B812,#REF!,3,0)</f>
        <v>#REF!</v>
      </c>
      <c r="F812" s="414">
        <f>VLOOKUP(B812,[2]Summary!$A:$I,9,0)</f>
        <v>6</v>
      </c>
      <c r="G812" s="727">
        <v>45737</v>
      </c>
      <c r="H812" s="728"/>
      <c r="I812" s="729"/>
      <c r="J812" s="729"/>
      <c r="K812" s="730"/>
      <c r="L812" s="135">
        <v>45737</v>
      </c>
      <c r="M812" s="316" t="s">
        <v>1383</v>
      </c>
      <c r="N812" s="133" t="s">
        <v>1007</v>
      </c>
      <c r="O812" s="134" t="s">
        <v>1005</v>
      </c>
    </row>
    <row r="813" spans="1:15" s="1" customFormat="1">
      <c r="A813" s="4">
        <f t="shared" si="24"/>
        <v>812</v>
      </c>
      <c r="B813" s="703" t="s">
        <v>929</v>
      </c>
      <c r="C813" s="4" t="s">
        <v>974</v>
      </c>
      <c r="D813" s="418" t="s">
        <v>1003</v>
      </c>
      <c r="E813" s="4" t="e">
        <f>VLOOKUP(B813,#REF!,3,0)</f>
        <v>#REF!</v>
      </c>
      <c r="F813" s="414">
        <f>VLOOKUP(B813,[2]Summary!$A:$I,9,0)</f>
        <v>46</v>
      </c>
      <c r="G813" s="727">
        <v>45737</v>
      </c>
      <c r="H813" s="728"/>
      <c r="I813" s="729"/>
      <c r="J813" s="729"/>
      <c r="K813" s="730"/>
      <c r="L813" s="135">
        <v>45737</v>
      </c>
      <c r="M813" s="316" t="s">
        <v>1383</v>
      </c>
      <c r="N813" s="133" t="s">
        <v>1007</v>
      </c>
      <c r="O813" s="134" t="s">
        <v>1005</v>
      </c>
    </row>
    <row r="814" spans="1:15" s="1" customFormat="1">
      <c r="A814" s="4">
        <f t="shared" si="24"/>
        <v>813</v>
      </c>
      <c r="B814" s="703" t="s">
        <v>930</v>
      </c>
      <c r="C814" s="4" t="s">
        <v>974</v>
      </c>
      <c r="D814" s="418" t="s">
        <v>1003</v>
      </c>
      <c r="E814" s="4" t="e">
        <f>VLOOKUP(B814,#REF!,3,0)</f>
        <v>#REF!</v>
      </c>
      <c r="F814" s="414">
        <f>VLOOKUP(B814,[2]Summary!$A:$I,9,0)</f>
        <v>40</v>
      </c>
      <c r="G814" s="727">
        <v>45737</v>
      </c>
      <c r="H814" s="728"/>
      <c r="I814" s="729"/>
      <c r="J814" s="729"/>
      <c r="K814" s="730"/>
      <c r="L814" s="135">
        <v>45737</v>
      </c>
      <c r="M814" s="316" t="s">
        <v>1383</v>
      </c>
      <c r="N814" s="133" t="s">
        <v>1007</v>
      </c>
      <c r="O814" s="134" t="s">
        <v>1005</v>
      </c>
    </row>
    <row r="815" spans="1:15" s="1" customFormat="1">
      <c r="A815" s="4">
        <f t="shared" si="24"/>
        <v>814</v>
      </c>
      <c r="B815" s="703" t="s">
        <v>931</v>
      </c>
      <c r="C815" s="4" t="s">
        <v>975</v>
      </c>
      <c r="D815" s="418" t="s">
        <v>1003</v>
      </c>
      <c r="E815" s="4" t="e">
        <f>VLOOKUP(B815,#REF!,3,0)</f>
        <v>#REF!</v>
      </c>
      <c r="F815" s="414">
        <f>VLOOKUP(B815,[2]Summary!$A:$I,9,0)</f>
        <v>6</v>
      </c>
      <c r="G815" s="727">
        <v>45737</v>
      </c>
      <c r="H815" s="728"/>
      <c r="I815" s="729"/>
      <c r="J815" s="729"/>
      <c r="K815" s="730"/>
      <c r="L815" s="135">
        <v>45737</v>
      </c>
      <c r="M815" s="316" t="s">
        <v>1383</v>
      </c>
      <c r="N815" s="133" t="s">
        <v>1007</v>
      </c>
      <c r="O815" s="134" t="s">
        <v>1005</v>
      </c>
    </row>
    <row r="816" spans="1:15" s="1" customFormat="1">
      <c r="A816" s="4">
        <f t="shared" si="24"/>
        <v>815</v>
      </c>
      <c r="B816" s="703" t="s">
        <v>932</v>
      </c>
      <c r="C816" s="4" t="s">
        <v>975</v>
      </c>
      <c r="D816" s="418" t="s">
        <v>1003</v>
      </c>
      <c r="E816" s="4" t="e">
        <f>VLOOKUP(B816,#REF!,3,0)</f>
        <v>#REF!</v>
      </c>
      <c r="F816" s="414">
        <f>VLOOKUP(B816,[2]Sổ!$A:$I,9,0)</f>
        <v>14</v>
      </c>
      <c r="G816" s="727">
        <v>45737</v>
      </c>
      <c r="H816" s="728"/>
      <c r="I816" s="729"/>
      <c r="J816" s="729"/>
      <c r="K816" s="730"/>
      <c r="L816" s="135">
        <v>45737</v>
      </c>
      <c r="M816" s="316" t="s">
        <v>1383</v>
      </c>
      <c r="N816" s="133" t="s">
        <v>1007</v>
      </c>
      <c r="O816" s="134" t="s">
        <v>1005</v>
      </c>
    </row>
    <row r="817" spans="1:15" s="1" customFormat="1">
      <c r="A817" s="4">
        <f t="shared" si="24"/>
        <v>816</v>
      </c>
      <c r="B817" s="703" t="s">
        <v>933</v>
      </c>
      <c r="C817" s="4" t="s">
        <v>976</v>
      </c>
      <c r="D817" s="418" t="s">
        <v>1004</v>
      </c>
      <c r="E817" s="4" t="e">
        <f>VLOOKUP(B817,#REF!,3,0)</f>
        <v>#REF!</v>
      </c>
      <c r="F817" s="414">
        <f>VLOOKUP(B817,[2]Summary!$A:$I,9,0)</f>
        <v>26</v>
      </c>
      <c r="G817" s="727">
        <v>45737</v>
      </c>
      <c r="H817" s="728"/>
      <c r="I817" s="729"/>
      <c r="J817" s="729"/>
      <c r="K817" s="730"/>
      <c r="L817" s="135">
        <v>45737</v>
      </c>
      <c r="M817" s="316" t="s">
        <v>1383</v>
      </c>
      <c r="N817" s="133" t="s">
        <v>1007</v>
      </c>
      <c r="O817" s="134" t="s">
        <v>1005</v>
      </c>
    </row>
    <row r="818" spans="1:15" s="1" customFormat="1">
      <c r="A818" s="4">
        <f t="shared" si="24"/>
        <v>817</v>
      </c>
      <c r="B818" s="703" t="s">
        <v>934</v>
      </c>
      <c r="C818" s="4" t="s">
        <v>976</v>
      </c>
      <c r="D818" s="418" t="s">
        <v>1004</v>
      </c>
      <c r="E818" s="4" t="e">
        <f>VLOOKUP(B818,#REF!,3,0)</f>
        <v>#REF!</v>
      </c>
      <c r="F818" s="414">
        <f>VLOOKUP(B818,[2]Sổ!$A:$I,9,0)</f>
        <v>54</v>
      </c>
      <c r="G818" s="727">
        <v>45737</v>
      </c>
      <c r="H818" s="728"/>
      <c r="I818" s="729"/>
      <c r="J818" s="729"/>
      <c r="K818" s="730"/>
      <c r="L818" s="135">
        <v>45737</v>
      </c>
      <c r="M818" s="316" t="s">
        <v>1383</v>
      </c>
      <c r="N818" s="133" t="s">
        <v>1007</v>
      </c>
      <c r="O818" s="134" t="s">
        <v>1005</v>
      </c>
    </row>
    <row r="819" spans="1:15" s="1" customFormat="1">
      <c r="A819" s="4">
        <f t="shared" si="24"/>
        <v>818</v>
      </c>
      <c r="B819" s="703" t="s">
        <v>935</v>
      </c>
      <c r="C819" s="4" t="s">
        <v>977</v>
      </c>
      <c r="D819" s="418" t="s">
        <v>1004</v>
      </c>
      <c r="E819" s="4" t="e">
        <f>VLOOKUP(B819,#REF!,3,0)</f>
        <v>#REF!</v>
      </c>
      <c r="F819" s="414">
        <f>VLOOKUP(B819,[2]Summary!$A:$I,9,0)</f>
        <v>4</v>
      </c>
      <c r="G819" s="727">
        <v>45737</v>
      </c>
      <c r="H819" s="728"/>
      <c r="I819" s="729"/>
      <c r="J819" s="729"/>
      <c r="K819" s="730"/>
      <c r="L819" s="135">
        <v>45737</v>
      </c>
      <c r="M819" s="316" t="s">
        <v>1383</v>
      </c>
      <c r="N819" s="133" t="s">
        <v>1007</v>
      </c>
      <c r="O819" s="134" t="s">
        <v>1005</v>
      </c>
    </row>
    <row r="820" spans="1:15" s="1" customFormat="1">
      <c r="A820" s="4">
        <f t="shared" si="24"/>
        <v>819</v>
      </c>
      <c r="B820" s="703" t="s">
        <v>936</v>
      </c>
      <c r="C820" s="4" t="s">
        <v>978</v>
      </c>
      <c r="D820" s="418" t="s">
        <v>174</v>
      </c>
      <c r="E820" s="4" t="e">
        <f>VLOOKUP(B820,#REF!,3,0)</f>
        <v>#REF!</v>
      </c>
      <c r="F820" s="414">
        <f>VLOOKUP(B820,[2]Summary!$A:$I,9,0)</f>
        <v>36</v>
      </c>
      <c r="G820" s="727">
        <v>45737</v>
      </c>
      <c r="H820" s="728"/>
      <c r="I820" s="729"/>
      <c r="J820" s="729"/>
      <c r="K820" s="730"/>
      <c r="L820" s="135">
        <v>45737</v>
      </c>
      <c r="M820" s="316" t="s">
        <v>1383</v>
      </c>
      <c r="N820" s="133" t="s">
        <v>1007</v>
      </c>
      <c r="O820" s="134" t="s">
        <v>1005</v>
      </c>
    </row>
    <row r="821" spans="1:15" s="1" customFormat="1">
      <c r="A821" s="4">
        <f t="shared" si="24"/>
        <v>820</v>
      </c>
      <c r="B821" s="703" t="s">
        <v>937</v>
      </c>
      <c r="C821" s="4" t="s">
        <v>978</v>
      </c>
      <c r="D821" s="418" t="s">
        <v>174</v>
      </c>
      <c r="E821" s="4" t="e">
        <f>VLOOKUP(B821,#REF!,3,0)</f>
        <v>#REF!</v>
      </c>
      <c r="F821" s="414">
        <f>VLOOKUP(B821,[2]Sổ!$A:$I,9,0)</f>
        <v>74</v>
      </c>
      <c r="G821" s="727">
        <v>45737</v>
      </c>
      <c r="H821" s="728"/>
      <c r="I821" s="729"/>
      <c r="J821" s="729"/>
      <c r="K821" s="730"/>
      <c r="L821" s="135">
        <v>45737</v>
      </c>
      <c r="M821" s="316" t="s">
        <v>1383</v>
      </c>
      <c r="N821" s="133" t="s">
        <v>1007</v>
      </c>
      <c r="O821" s="134" t="s">
        <v>1005</v>
      </c>
    </row>
    <row r="822" spans="1:15" s="1" customFormat="1">
      <c r="A822" s="4">
        <f t="shared" si="24"/>
        <v>821</v>
      </c>
      <c r="B822" s="703" t="s">
        <v>938</v>
      </c>
      <c r="C822" s="4" t="s">
        <v>979</v>
      </c>
      <c r="D822" s="418" t="s">
        <v>174</v>
      </c>
      <c r="E822" s="4" t="e">
        <f>VLOOKUP(B822,#REF!,3,0)</f>
        <v>#REF!</v>
      </c>
      <c r="F822" s="414">
        <f>VLOOKUP(B822,[2]Summary!$A:$I,9,0)</f>
        <v>2</v>
      </c>
      <c r="G822" s="727">
        <v>45737</v>
      </c>
      <c r="H822" s="728"/>
      <c r="I822" s="729"/>
      <c r="J822" s="729"/>
      <c r="K822" s="730"/>
      <c r="L822" s="135">
        <v>45737</v>
      </c>
      <c r="M822" s="316" t="s">
        <v>1383</v>
      </c>
      <c r="N822" s="133" t="s">
        <v>1007</v>
      </c>
      <c r="O822" s="134" t="s">
        <v>1005</v>
      </c>
    </row>
    <row r="823" spans="1:15" s="1" customFormat="1">
      <c r="A823" s="4">
        <f t="shared" si="24"/>
        <v>822</v>
      </c>
      <c r="B823" s="703" t="s">
        <v>939</v>
      </c>
      <c r="C823" s="4" t="s">
        <v>979</v>
      </c>
      <c r="D823" s="418" t="s">
        <v>174</v>
      </c>
      <c r="E823" s="4" t="e">
        <f>VLOOKUP(B823,#REF!,3,0)</f>
        <v>#REF!</v>
      </c>
      <c r="F823" s="414">
        <f>VLOOKUP(B823,[2]Summary!$A:$I,9,0)</f>
        <v>4</v>
      </c>
      <c r="G823" s="727">
        <v>45737</v>
      </c>
      <c r="H823" s="728"/>
      <c r="I823" s="729"/>
      <c r="J823" s="729"/>
      <c r="K823" s="730"/>
      <c r="L823" s="135">
        <v>45737</v>
      </c>
      <c r="M823" s="316" t="s">
        <v>1383</v>
      </c>
      <c r="N823" s="133" t="s">
        <v>1007</v>
      </c>
      <c r="O823" s="134" t="s">
        <v>1005</v>
      </c>
    </row>
    <row r="824" spans="1:15" s="1" customFormat="1">
      <c r="A824" s="4">
        <f t="shared" si="24"/>
        <v>823</v>
      </c>
      <c r="B824" s="703" t="s">
        <v>940</v>
      </c>
      <c r="C824" s="4" t="s">
        <v>980</v>
      </c>
      <c r="D824" s="418" t="s">
        <v>174</v>
      </c>
      <c r="E824" s="4" t="e">
        <f>VLOOKUP(B824,#REF!,3,0)</f>
        <v>#REF!</v>
      </c>
      <c r="F824" s="414">
        <f>VLOOKUP(B824,[2]Sổ!$A:$I,9,0)</f>
        <v>2</v>
      </c>
      <c r="G824" s="727">
        <v>45737</v>
      </c>
      <c r="H824" s="728"/>
      <c r="I824" s="729"/>
      <c r="J824" s="729"/>
      <c r="K824" s="730"/>
      <c r="L824" s="135">
        <v>45737</v>
      </c>
      <c r="M824" s="316" t="s">
        <v>1383</v>
      </c>
      <c r="N824" s="133" t="s">
        <v>1007</v>
      </c>
      <c r="O824" s="134" t="s">
        <v>1005</v>
      </c>
    </row>
    <row r="825" spans="1:15" s="1" customFormat="1">
      <c r="A825" s="4">
        <f t="shared" si="24"/>
        <v>824</v>
      </c>
      <c r="B825" s="423" t="s">
        <v>84</v>
      </c>
      <c r="C825" s="714" t="s">
        <v>887</v>
      </c>
      <c r="D825" s="731" t="s">
        <v>1006</v>
      </c>
      <c r="E825" s="7">
        <v>48</v>
      </c>
      <c r="F825" s="425">
        <v>48</v>
      </c>
      <c r="G825" s="426">
        <v>45736</v>
      </c>
      <c r="H825" s="516">
        <v>1</v>
      </c>
      <c r="I825" s="517">
        <v>0.54166666666666663</v>
      </c>
      <c r="J825" s="517">
        <v>0.60416666666666663</v>
      </c>
      <c r="K825" s="417">
        <f t="shared" ref="K825:K888" si="25">(J825-I825)*24*H825</f>
        <v>1.5</v>
      </c>
      <c r="L825" s="11">
        <v>45736</v>
      </c>
      <c r="M825" s="316" t="s">
        <v>1383</v>
      </c>
      <c r="N825" s="6" t="s">
        <v>7</v>
      </c>
      <c r="O825" s="13" t="s">
        <v>151</v>
      </c>
    </row>
    <row r="826" spans="1:15" s="1" customFormat="1">
      <c r="A826" s="4">
        <f t="shared" si="24"/>
        <v>825</v>
      </c>
      <c r="B826" s="423" t="s">
        <v>84</v>
      </c>
      <c r="C826" s="714" t="s">
        <v>887</v>
      </c>
      <c r="D826" s="731" t="s">
        <v>205</v>
      </c>
      <c r="E826" s="7">
        <v>10</v>
      </c>
      <c r="F826" s="425">
        <v>10</v>
      </c>
      <c r="G826" s="426">
        <v>45736</v>
      </c>
      <c r="H826" s="427">
        <v>1</v>
      </c>
      <c r="I826" s="465">
        <v>0.72916666666666663</v>
      </c>
      <c r="J826" s="465">
        <v>0.76388888888888884</v>
      </c>
      <c r="K826" s="417">
        <f t="shared" si="25"/>
        <v>0.83333333333333304</v>
      </c>
      <c r="L826" s="11">
        <v>45736</v>
      </c>
      <c r="M826" s="316" t="s">
        <v>1383</v>
      </c>
      <c r="N826" s="6" t="s">
        <v>7</v>
      </c>
      <c r="O826" s="13" t="s">
        <v>151</v>
      </c>
    </row>
    <row r="827" spans="1:15" s="1" customFormat="1">
      <c r="A827" s="4">
        <f t="shared" si="24"/>
        <v>826</v>
      </c>
      <c r="B827" s="732" t="s">
        <v>1008</v>
      </c>
      <c r="C827" s="733" t="s">
        <v>1009</v>
      </c>
      <c r="D827" s="734" t="s">
        <v>773</v>
      </c>
      <c r="E827" s="4">
        <v>1</v>
      </c>
      <c r="F827" s="414">
        <v>1</v>
      </c>
      <c r="G827" s="179">
        <v>45737</v>
      </c>
      <c r="H827" s="415">
        <v>1</v>
      </c>
      <c r="I827" s="446">
        <v>0.33333333333333331</v>
      </c>
      <c r="J827" s="446">
        <v>0.34722222222222227</v>
      </c>
      <c r="K827" s="417">
        <f t="shared" si="25"/>
        <v>0.33333333333333481</v>
      </c>
      <c r="L827" s="9">
        <v>45737</v>
      </c>
      <c r="M827" s="137" t="s">
        <v>1019</v>
      </c>
      <c r="N827" s="136" t="s">
        <v>6</v>
      </c>
      <c r="O827" s="2"/>
    </row>
    <row r="828" spans="1:15" s="1" customFormat="1">
      <c r="A828" s="4">
        <f t="shared" si="24"/>
        <v>827</v>
      </c>
      <c r="B828" s="732" t="s">
        <v>1010</v>
      </c>
      <c r="C828" s="733" t="s">
        <v>1011</v>
      </c>
      <c r="D828" s="734" t="s">
        <v>227</v>
      </c>
      <c r="E828" s="4">
        <v>2</v>
      </c>
      <c r="F828" s="414">
        <v>2</v>
      </c>
      <c r="G828" s="179">
        <v>45737</v>
      </c>
      <c r="H828" s="415">
        <v>1</v>
      </c>
      <c r="I828" s="446">
        <v>0.33333333333333331</v>
      </c>
      <c r="J828" s="446">
        <v>0.34722222222222227</v>
      </c>
      <c r="K828" s="417">
        <f t="shared" si="25"/>
        <v>0.33333333333333481</v>
      </c>
      <c r="L828" s="9">
        <v>45737</v>
      </c>
      <c r="M828" s="137" t="s">
        <v>1019</v>
      </c>
      <c r="N828" s="136" t="s">
        <v>11</v>
      </c>
      <c r="O828" s="2"/>
    </row>
    <row r="829" spans="1:15" s="1" customFormat="1">
      <c r="A829" s="4">
        <f t="shared" si="24"/>
        <v>828</v>
      </c>
      <c r="B829" s="732" t="s">
        <v>1012</v>
      </c>
      <c r="C829" s="733" t="s">
        <v>559</v>
      </c>
      <c r="D829" s="734" t="s">
        <v>1013</v>
      </c>
      <c r="E829" s="4">
        <v>2</v>
      </c>
      <c r="F829" s="414">
        <v>2</v>
      </c>
      <c r="G829" s="179">
        <v>45737</v>
      </c>
      <c r="H829" s="415">
        <v>1</v>
      </c>
      <c r="I829" s="446">
        <v>0.33333333333333331</v>
      </c>
      <c r="J829" s="446">
        <v>0.34722222222222227</v>
      </c>
      <c r="K829" s="417">
        <f t="shared" si="25"/>
        <v>0.33333333333333481</v>
      </c>
      <c r="L829" s="9">
        <v>45737</v>
      </c>
      <c r="M829" s="137" t="s">
        <v>1019</v>
      </c>
      <c r="N829" s="136" t="s">
        <v>6</v>
      </c>
      <c r="O829" s="2"/>
    </row>
    <row r="830" spans="1:15" s="1" customFormat="1">
      <c r="A830" s="4">
        <f t="shared" si="24"/>
        <v>829</v>
      </c>
      <c r="B830" s="732" t="s">
        <v>1014</v>
      </c>
      <c r="C830" s="733" t="s">
        <v>314</v>
      </c>
      <c r="D830" s="734" t="s">
        <v>581</v>
      </c>
      <c r="E830" s="4">
        <v>2</v>
      </c>
      <c r="F830" s="414">
        <v>2</v>
      </c>
      <c r="G830" s="179">
        <v>45737</v>
      </c>
      <c r="H830" s="415">
        <v>1</v>
      </c>
      <c r="I830" s="446">
        <v>0.33333333333333331</v>
      </c>
      <c r="J830" s="446">
        <v>0.34722222222222227</v>
      </c>
      <c r="K830" s="417">
        <f t="shared" si="25"/>
        <v>0.33333333333333481</v>
      </c>
      <c r="L830" s="9">
        <v>45737</v>
      </c>
      <c r="M830" s="137" t="s">
        <v>1019</v>
      </c>
      <c r="N830" s="136" t="s">
        <v>6</v>
      </c>
      <c r="O830" s="2"/>
    </row>
    <row r="831" spans="1:15" s="1" customFormat="1">
      <c r="A831" s="4">
        <f t="shared" si="24"/>
        <v>830</v>
      </c>
      <c r="B831" s="412"/>
      <c r="C831" s="733" t="s">
        <v>1015</v>
      </c>
      <c r="D831" s="734" t="s">
        <v>1016</v>
      </c>
      <c r="E831" s="4">
        <v>2</v>
      </c>
      <c r="F831" s="414">
        <v>2</v>
      </c>
      <c r="G831" s="179">
        <v>45737</v>
      </c>
      <c r="H831" s="415">
        <v>1</v>
      </c>
      <c r="I831" s="446">
        <v>0.58333333333333337</v>
      </c>
      <c r="J831" s="735">
        <v>0.61111111111111105</v>
      </c>
      <c r="K831" s="417">
        <f t="shared" si="25"/>
        <v>0.6666666666666643</v>
      </c>
      <c r="L831" s="9">
        <v>45737</v>
      </c>
      <c r="M831" s="137" t="s">
        <v>1019</v>
      </c>
      <c r="N831" s="136" t="s">
        <v>185</v>
      </c>
      <c r="O831" s="2"/>
    </row>
    <row r="832" spans="1:15" s="1" customFormat="1">
      <c r="A832" s="4">
        <f t="shared" si="24"/>
        <v>831</v>
      </c>
      <c r="B832" s="412"/>
      <c r="C832" s="733" t="s">
        <v>1015</v>
      </c>
      <c r="D832" s="734" t="s">
        <v>75</v>
      </c>
      <c r="E832" s="4">
        <v>4</v>
      </c>
      <c r="F832" s="414">
        <v>4</v>
      </c>
      <c r="G832" s="179">
        <v>45737</v>
      </c>
      <c r="H832" s="415">
        <v>1</v>
      </c>
      <c r="I832" s="446">
        <v>0.58333333333333337</v>
      </c>
      <c r="J832" s="735">
        <v>0.625</v>
      </c>
      <c r="K832" s="417">
        <f t="shared" si="25"/>
        <v>0.99999999999999911</v>
      </c>
      <c r="L832" s="9">
        <v>45737</v>
      </c>
      <c r="M832" s="137" t="s">
        <v>1019</v>
      </c>
      <c r="N832" s="136" t="s">
        <v>185</v>
      </c>
      <c r="O832" s="2"/>
    </row>
    <row r="833" spans="1:15" s="1" customFormat="1">
      <c r="A833" s="4">
        <f t="shared" si="24"/>
        <v>832</v>
      </c>
      <c r="B833" s="412"/>
      <c r="C833" s="733" t="s">
        <v>1015</v>
      </c>
      <c r="D833" s="734" t="s">
        <v>244</v>
      </c>
      <c r="E833" s="4">
        <v>4</v>
      </c>
      <c r="F833" s="414">
        <v>4</v>
      </c>
      <c r="G833" s="179">
        <v>45737</v>
      </c>
      <c r="H833" s="415">
        <v>1</v>
      </c>
      <c r="I833" s="446">
        <v>0.58333333333333337</v>
      </c>
      <c r="J833" s="735">
        <v>0.625</v>
      </c>
      <c r="K833" s="417">
        <f t="shared" si="25"/>
        <v>0.99999999999999911</v>
      </c>
      <c r="L833" s="9">
        <v>45737</v>
      </c>
      <c r="M833" s="137" t="s">
        <v>1019</v>
      </c>
      <c r="N833" s="136" t="s">
        <v>185</v>
      </c>
      <c r="O833" s="2"/>
    </row>
    <row r="834" spans="1:15" s="1" customFormat="1">
      <c r="A834" s="4">
        <f t="shared" si="24"/>
        <v>833</v>
      </c>
      <c r="B834" s="412"/>
      <c r="C834" s="733" t="s">
        <v>1015</v>
      </c>
      <c r="D834" s="734" t="s">
        <v>230</v>
      </c>
      <c r="E834" s="4">
        <v>2</v>
      </c>
      <c r="F834" s="414">
        <v>2</v>
      </c>
      <c r="G834" s="179">
        <v>45737</v>
      </c>
      <c r="H834" s="415">
        <v>1</v>
      </c>
      <c r="I834" s="446">
        <v>0.58333333333333337</v>
      </c>
      <c r="J834" s="735">
        <v>0.61111111111111105</v>
      </c>
      <c r="K834" s="417">
        <f t="shared" si="25"/>
        <v>0.6666666666666643</v>
      </c>
      <c r="L834" s="9">
        <v>45737</v>
      </c>
      <c r="M834" s="137" t="s">
        <v>1019</v>
      </c>
      <c r="N834" s="136" t="s">
        <v>185</v>
      </c>
      <c r="O834" s="2"/>
    </row>
    <row r="835" spans="1:15" s="1" customFormat="1">
      <c r="A835" s="4">
        <f t="shared" si="24"/>
        <v>834</v>
      </c>
      <c r="B835" s="412"/>
      <c r="C835" s="733" t="s">
        <v>1015</v>
      </c>
      <c r="D835" s="734" t="s">
        <v>1017</v>
      </c>
      <c r="E835" s="4">
        <v>2</v>
      </c>
      <c r="F835" s="414">
        <v>2</v>
      </c>
      <c r="G835" s="179">
        <v>45737</v>
      </c>
      <c r="H835" s="415">
        <v>1</v>
      </c>
      <c r="I835" s="446">
        <v>0.58333333333333337</v>
      </c>
      <c r="J835" s="446">
        <v>0.625</v>
      </c>
      <c r="K835" s="417">
        <f t="shared" si="25"/>
        <v>0.99999999999999911</v>
      </c>
      <c r="L835" s="9">
        <v>45737</v>
      </c>
      <c r="M835" s="137" t="s">
        <v>1019</v>
      </c>
      <c r="N835" s="136" t="s">
        <v>185</v>
      </c>
      <c r="O835" s="2"/>
    </row>
    <row r="836" spans="1:15" s="1" customFormat="1">
      <c r="A836" s="4">
        <f t="shared" si="24"/>
        <v>835</v>
      </c>
      <c r="B836" s="412"/>
      <c r="C836" s="733" t="s">
        <v>1015</v>
      </c>
      <c r="D836" s="734" t="s">
        <v>1018</v>
      </c>
      <c r="E836" s="4">
        <v>2</v>
      </c>
      <c r="F836" s="414">
        <v>2</v>
      </c>
      <c r="G836" s="179">
        <v>45737</v>
      </c>
      <c r="H836" s="415">
        <v>1</v>
      </c>
      <c r="I836" s="446">
        <v>0.58333333333333337</v>
      </c>
      <c r="J836" s="446">
        <v>0.625</v>
      </c>
      <c r="K836" s="417">
        <f t="shared" si="25"/>
        <v>0.99999999999999911</v>
      </c>
      <c r="L836" s="9">
        <v>45737</v>
      </c>
      <c r="M836" s="137" t="s">
        <v>1019</v>
      </c>
      <c r="N836" s="136" t="s">
        <v>185</v>
      </c>
      <c r="O836" s="2"/>
    </row>
    <row r="837" spans="1:15" s="1" customFormat="1">
      <c r="A837" s="4">
        <f t="shared" si="24"/>
        <v>836</v>
      </c>
      <c r="B837" s="732" t="s">
        <v>1020</v>
      </c>
      <c r="C837" s="733" t="s">
        <v>314</v>
      </c>
      <c r="D837" s="734" t="s">
        <v>581</v>
      </c>
      <c r="E837" s="4">
        <v>2</v>
      </c>
      <c r="F837" s="414">
        <v>2</v>
      </c>
      <c r="G837" s="179">
        <v>45737</v>
      </c>
      <c r="H837" s="415">
        <v>1</v>
      </c>
      <c r="I837" s="446">
        <v>0.33333333333333331</v>
      </c>
      <c r="J837" s="446">
        <v>0.34722222222222227</v>
      </c>
      <c r="K837" s="417">
        <f t="shared" si="25"/>
        <v>0.33333333333333481</v>
      </c>
      <c r="L837" s="9">
        <v>45737</v>
      </c>
      <c r="M837" s="137" t="s">
        <v>1019</v>
      </c>
      <c r="N837" s="136" t="s">
        <v>6</v>
      </c>
      <c r="O837" s="2"/>
    </row>
    <row r="838" spans="1:15" s="1" customFormat="1">
      <c r="A838" s="4">
        <f t="shared" si="24"/>
        <v>837</v>
      </c>
      <c r="B838" s="732" t="s">
        <v>1012</v>
      </c>
      <c r="C838" s="733" t="s">
        <v>559</v>
      </c>
      <c r="D838" s="734" t="s">
        <v>1013</v>
      </c>
      <c r="E838" s="4">
        <v>2</v>
      </c>
      <c r="F838" s="414">
        <v>2</v>
      </c>
      <c r="G838" s="179">
        <v>45737</v>
      </c>
      <c r="H838" s="415">
        <v>1</v>
      </c>
      <c r="I838" s="446">
        <v>0.33333333333333331</v>
      </c>
      <c r="J838" s="446">
        <v>0.34722222222222227</v>
      </c>
      <c r="K838" s="417">
        <f t="shared" si="25"/>
        <v>0.33333333333333481</v>
      </c>
      <c r="L838" s="9">
        <v>45737</v>
      </c>
      <c r="M838" s="137" t="s">
        <v>1019</v>
      </c>
      <c r="N838" s="136" t="s">
        <v>6</v>
      </c>
      <c r="O838" s="2"/>
    </row>
    <row r="839" spans="1:15" s="1" customFormat="1">
      <c r="A839" s="4">
        <f t="shared" si="24"/>
        <v>838</v>
      </c>
      <c r="B839" s="732" t="s">
        <v>1012</v>
      </c>
      <c r="C839" s="733" t="s">
        <v>559</v>
      </c>
      <c r="D839" s="734" t="s">
        <v>773</v>
      </c>
      <c r="E839" s="4">
        <v>2</v>
      </c>
      <c r="F839" s="414">
        <v>2</v>
      </c>
      <c r="G839" s="179">
        <v>45737</v>
      </c>
      <c r="H839" s="415">
        <v>1</v>
      </c>
      <c r="I839" s="446">
        <v>0.33333333333333331</v>
      </c>
      <c r="J839" s="446">
        <v>0.34722222222222227</v>
      </c>
      <c r="K839" s="417">
        <f t="shared" si="25"/>
        <v>0.33333333333333481</v>
      </c>
      <c r="L839" s="9">
        <v>45737</v>
      </c>
      <c r="M839" s="137" t="s">
        <v>1019</v>
      </c>
      <c r="N839" s="136" t="s">
        <v>6</v>
      </c>
      <c r="O839" s="2"/>
    </row>
    <row r="840" spans="1:15" s="1" customFormat="1">
      <c r="A840" s="4">
        <f t="shared" si="24"/>
        <v>839</v>
      </c>
      <c r="B840" s="732" t="s">
        <v>1021</v>
      </c>
      <c r="C840" s="733" t="s">
        <v>1022</v>
      </c>
      <c r="D840" s="734" t="s">
        <v>773</v>
      </c>
      <c r="E840" s="4">
        <v>2</v>
      </c>
      <c r="F840" s="414">
        <v>2</v>
      </c>
      <c r="G840" s="179">
        <v>45737</v>
      </c>
      <c r="H840" s="415">
        <v>1</v>
      </c>
      <c r="I840" s="446">
        <v>0.33333333333333331</v>
      </c>
      <c r="J840" s="446">
        <v>0.34027777777777773</v>
      </c>
      <c r="K840" s="417">
        <f t="shared" si="25"/>
        <v>0.16666666666666607</v>
      </c>
      <c r="L840" s="9">
        <v>45737</v>
      </c>
      <c r="M840" s="137" t="s">
        <v>1019</v>
      </c>
      <c r="N840" s="136" t="s">
        <v>6</v>
      </c>
      <c r="O840" s="2"/>
    </row>
    <row r="841" spans="1:15" s="1" customFormat="1">
      <c r="A841" s="4">
        <f t="shared" si="24"/>
        <v>840</v>
      </c>
      <c r="B841" s="412" t="s">
        <v>1026</v>
      </c>
      <c r="C841" s="4" t="s">
        <v>1027</v>
      </c>
      <c r="D841" s="418" t="s">
        <v>96</v>
      </c>
      <c r="E841" s="4">
        <v>1</v>
      </c>
      <c r="F841" s="414">
        <v>1</v>
      </c>
      <c r="G841" s="179">
        <v>45743</v>
      </c>
      <c r="H841" s="415">
        <v>1</v>
      </c>
      <c r="I841" s="446">
        <v>0.41666666666666669</v>
      </c>
      <c r="J841" s="446">
        <v>0.47916666666666669</v>
      </c>
      <c r="K841" s="417">
        <f t="shared" si="25"/>
        <v>1.5</v>
      </c>
      <c r="L841" s="9">
        <v>45715</v>
      </c>
      <c r="M841" s="4" t="s">
        <v>1019</v>
      </c>
      <c r="N841" s="139" t="s">
        <v>6</v>
      </c>
      <c r="O841" s="2"/>
    </row>
    <row r="842" spans="1:15" s="1" customFormat="1">
      <c r="A842" s="4">
        <f t="shared" si="24"/>
        <v>841</v>
      </c>
      <c r="B842" s="412" t="s">
        <v>1028</v>
      </c>
      <c r="C842" s="4" t="s">
        <v>1029</v>
      </c>
      <c r="D842" s="418" t="s">
        <v>230</v>
      </c>
      <c r="E842" s="4">
        <v>7</v>
      </c>
      <c r="F842" s="414">
        <v>7</v>
      </c>
      <c r="G842" s="179">
        <v>45743</v>
      </c>
      <c r="H842" s="415">
        <v>1</v>
      </c>
      <c r="I842" s="446">
        <v>0.33333333333333331</v>
      </c>
      <c r="J842" s="446">
        <v>0.34722222222222227</v>
      </c>
      <c r="K842" s="417">
        <f t="shared" si="25"/>
        <v>0.33333333333333481</v>
      </c>
      <c r="L842" s="9">
        <v>45743</v>
      </c>
      <c r="M842" s="4" t="s">
        <v>1019</v>
      </c>
      <c r="N842" s="139" t="s">
        <v>6</v>
      </c>
      <c r="O842" s="2"/>
    </row>
    <row r="843" spans="1:15" s="1" customFormat="1">
      <c r="A843" s="4">
        <f t="shared" si="24"/>
        <v>842</v>
      </c>
      <c r="B843" s="412" t="s">
        <v>1030</v>
      </c>
      <c r="C843" s="4" t="s">
        <v>1031</v>
      </c>
      <c r="D843" s="418" t="s">
        <v>174</v>
      </c>
      <c r="E843" s="4">
        <v>1</v>
      </c>
      <c r="F843" s="414">
        <v>1</v>
      </c>
      <c r="G843" s="179">
        <v>45742</v>
      </c>
      <c r="H843" s="415">
        <v>1</v>
      </c>
      <c r="I843" s="446">
        <v>0.33333333333333331</v>
      </c>
      <c r="J843" s="446">
        <v>0.34722222222222227</v>
      </c>
      <c r="K843" s="417">
        <f t="shared" si="25"/>
        <v>0.33333333333333481</v>
      </c>
      <c r="L843" s="9">
        <v>45742</v>
      </c>
      <c r="M843" s="4" t="s">
        <v>1019</v>
      </c>
      <c r="N843" s="139" t="s">
        <v>8</v>
      </c>
      <c r="O843" s="2"/>
    </row>
    <row r="844" spans="1:15" s="1" customFormat="1">
      <c r="A844" s="4">
        <f t="shared" si="24"/>
        <v>843</v>
      </c>
      <c r="B844" s="736" t="s">
        <v>1032</v>
      </c>
      <c r="C844" s="737" t="s">
        <v>1033</v>
      </c>
      <c r="D844" s="738" t="s">
        <v>178</v>
      </c>
      <c r="E844" s="4">
        <v>1</v>
      </c>
      <c r="F844" s="414">
        <v>1</v>
      </c>
      <c r="G844" s="179">
        <v>45742</v>
      </c>
      <c r="H844" s="415">
        <v>1</v>
      </c>
      <c r="I844" s="446">
        <v>0.33333333333333331</v>
      </c>
      <c r="J844" s="446">
        <v>0.35416666666666669</v>
      </c>
      <c r="K844" s="417">
        <f t="shared" si="25"/>
        <v>0.50000000000000089</v>
      </c>
      <c r="L844" s="9">
        <v>45742</v>
      </c>
      <c r="M844" s="4" t="s">
        <v>1019</v>
      </c>
      <c r="N844" s="139" t="s">
        <v>8</v>
      </c>
      <c r="O844" s="2"/>
    </row>
    <row r="845" spans="1:15" s="1" customFormat="1">
      <c r="A845" s="4">
        <f t="shared" si="24"/>
        <v>844</v>
      </c>
      <c r="B845" s="736" t="s">
        <v>1034</v>
      </c>
      <c r="C845" s="737" t="s">
        <v>1035</v>
      </c>
      <c r="D845" s="738" t="s">
        <v>154</v>
      </c>
      <c r="E845" s="4">
        <v>1</v>
      </c>
      <c r="F845" s="414">
        <v>1</v>
      </c>
      <c r="G845" s="179">
        <v>45742</v>
      </c>
      <c r="H845" s="415">
        <v>1</v>
      </c>
      <c r="I845" s="446">
        <v>0.33333333333333331</v>
      </c>
      <c r="J845" s="446">
        <v>0.35416666666666669</v>
      </c>
      <c r="K845" s="417">
        <f t="shared" si="25"/>
        <v>0.50000000000000089</v>
      </c>
      <c r="L845" s="9">
        <v>45742</v>
      </c>
      <c r="M845" s="4" t="s">
        <v>1019</v>
      </c>
      <c r="N845" s="139" t="s">
        <v>8</v>
      </c>
      <c r="O845" s="2"/>
    </row>
    <row r="846" spans="1:15" s="1" customFormat="1">
      <c r="A846" s="4">
        <f t="shared" si="24"/>
        <v>845</v>
      </c>
      <c r="B846" s="736" t="s">
        <v>1036</v>
      </c>
      <c r="C846" s="737" t="s">
        <v>1037</v>
      </c>
      <c r="D846" s="738" t="s">
        <v>1038</v>
      </c>
      <c r="E846" s="4">
        <v>1</v>
      </c>
      <c r="F846" s="414">
        <v>1</v>
      </c>
      <c r="G846" s="179">
        <v>45742</v>
      </c>
      <c r="H846" s="415">
        <v>1</v>
      </c>
      <c r="I846" s="446">
        <v>0.375</v>
      </c>
      <c r="J846" s="446">
        <v>0.3888888888888889</v>
      </c>
      <c r="K846" s="417">
        <f t="shared" si="25"/>
        <v>0.33333333333333348</v>
      </c>
      <c r="L846" s="9">
        <v>45742</v>
      </c>
      <c r="M846" s="4" t="s">
        <v>1019</v>
      </c>
      <c r="N846" s="139" t="s">
        <v>6</v>
      </c>
      <c r="O846" s="2"/>
    </row>
    <row r="847" spans="1:15" s="1" customFormat="1">
      <c r="A847" s="4">
        <f t="shared" si="24"/>
        <v>846</v>
      </c>
      <c r="B847" s="736" t="s">
        <v>1021</v>
      </c>
      <c r="C847" s="737" t="s">
        <v>1039</v>
      </c>
      <c r="D847" s="738" t="s">
        <v>773</v>
      </c>
      <c r="E847" s="4">
        <v>2</v>
      </c>
      <c r="F847" s="414">
        <v>2</v>
      </c>
      <c r="G847" s="179">
        <v>45742</v>
      </c>
      <c r="H847" s="415">
        <v>1</v>
      </c>
      <c r="I847" s="446">
        <v>0.33333333333333331</v>
      </c>
      <c r="J847" s="446">
        <v>0.34722222222222227</v>
      </c>
      <c r="K847" s="417">
        <f t="shared" si="25"/>
        <v>0.33333333333333481</v>
      </c>
      <c r="L847" s="9">
        <v>45742</v>
      </c>
      <c r="M847" s="4" t="s">
        <v>1019</v>
      </c>
      <c r="N847" s="139" t="s">
        <v>6</v>
      </c>
      <c r="O847" s="2"/>
    </row>
    <row r="848" spans="1:15" s="1" customFormat="1">
      <c r="A848" s="4">
        <f t="shared" si="24"/>
        <v>847</v>
      </c>
      <c r="B848" s="412"/>
      <c r="C848" s="739" t="s">
        <v>1040</v>
      </c>
      <c r="D848" s="740" t="s">
        <v>183</v>
      </c>
      <c r="E848" s="4">
        <v>10</v>
      </c>
      <c r="F848" s="414">
        <v>10</v>
      </c>
      <c r="G848" s="179">
        <v>45744</v>
      </c>
      <c r="H848" s="415">
        <v>2</v>
      </c>
      <c r="I848" s="446">
        <v>0.4375</v>
      </c>
      <c r="J848" s="446">
        <v>0.60416666666666663</v>
      </c>
      <c r="K848" s="417">
        <f t="shared" si="25"/>
        <v>7.9999999999999982</v>
      </c>
      <c r="L848" s="9">
        <v>45744</v>
      </c>
      <c r="M848" s="4" t="s">
        <v>1019</v>
      </c>
      <c r="N848" s="140" t="s">
        <v>9</v>
      </c>
      <c r="O848" s="2"/>
    </row>
    <row r="849" spans="1:15" s="1" customFormat="1">
      <c r="A849" s="4">
        <f t="shared" si="24"/>
        <v>848</v>
      </c>
      <c r="B849" s="412"/>
      <c r="C849" s="739" t="s">
        <v>1041</v>
      </c>
      <c r="D849" s="740" t="s">
        <v>1042</v>
      </c>
      <c r="E849" s="4">
        <v>1</v>
      </c>
      <c r="F849" s="414">
        <v>1</v>
      </c>
      <c r="G849" s="179">
        <v>45744</v>
      </c>
      <c r="H849" s="415">
        <v>2</v>
      </c>
      <c r="I849" s="446">
        <v>0.29166666666666669</v>
      </c>
      <c r="J849" s="446">
        <v>0.54166666666666663</v>
      </c>
      <c r="K849" s="417">
        <f>(J849-I849)*24*H849</f>
        <v>11.999999999999996</v>
      </c>
      <c r="L849" s="9">
        <v>45744</v>
      </c>
      <c r="M849" s="4" t="s">
        <v>1019</v>
      </c>
      <c r="N849" s="139" t="s">
        <v>6</v>
      </c>
      <c r="O849" s="2"/>
    </row>
    <row r="850" spans="1:15" s="1" customFormat="1">
      <c r="A850" s="4">
        <f t="shared" si="24"/>
        <v>849</v>
      </c>
      <c r="B850" s="412"/>
      <c r="C850" s="739" t="s">
        <v>314</v>
      </c>
      <c r="D850" s="740" t="s">
        <v>1043</v>
      </c>
      <c r="E850" s="4">
        <v>1</v>
      </c>
      <c r="F850" s="414">
        <v>1</v>
      </c>
      <c r="G850" s="179">
        <v>45744</v>
      </c>
      <c r="H850" s="415">
        <v>2</v>
      </c>
      <c r="I850" s="446">
        <v>0.54166666666666663</v>
      </c>
      <c r="J850" s="446">
        <v>0.625</v>
      </c>
      <c r="K850" s="417">
        <f t="shared" si="25"/>
        <v>4.0000000000000018</v>
      </c>
      <c r="L850" s="9">
        <v>45744</v>
      </c>
      <c r="M850" s="4" t="s">
        <v>1019</v>
      </c>
      <c r="N850" s="139" t="s">
        <v>6</v>
      </c>
      <c r="O850" s="2"/>
    </row>
    <row r="851" spans="1:15" s="1" customFormat="1">
      <c r="A851" s="4">
        <f t="shared" si="24"/>
        <v>850</v>
      </c>
      <c r="B851" s="741" t="s">
        <v>1045</v>
      </c>
      <c r="C851" s="141" t="s">
        <v>1044</v>
      </c>
      <c r="D851" s="742" t="s">
        <v>1046</v>
      </c>
      <c r="E851" s="4">
        <v>20</v>
      </c>
      <c r="F851" s="414">
        <v>40</v>
      </c>
      <c r="G851" s="179">
        <v>45744</v>
      </c>
      <c r="H851" s="415">
        <v>1</v>
      </c>
      <c r="I851" s="446">
        <v>0.625</v>
      </c>
      <c r="J851" s="446">
        <v>0.66666666666666663</v>
      </c>
      <c r="K851" s="417">
        <f t="shared" si="25"/>
        <v>0.99999999999999911</v>
      </c>
      <c r="L851" s="9">
        <v>45744</v>
      </c>
      <c r="M851" s="141" t="s">
        <v>1019</v>
      </c>
      <c r="N851" s="142" t="s">
        <v>6</v>
      </c>
      <c r="O851" s="2"/>
    </row>
    <row r="852" spans="1:15" s="1" customFormat="1">
      <c r="A852" s="4">
        <f t="shared" si="24"/>
        <v>851</v>
      </c>
      <c r="B852" s="741" t="s">
        <v>1047</v>
      </c>
      <c r="C852" s="141" t="s">
        <v>603</v>
      </c>
      <c r="D852" s="742" t="s">
        <v>882</v>
      </c>
      <c r="E852" s="4">
        <v>1</v>
      </c>
      <c r="F852" s="414">
        <v>1</v>
      </c>
      <c r="G852" s="179">
        <v>45744</v>
      </c>
      <c r="H852" s="415">
        <v>1</v>
      </c>
      <c r="I852" s="446">
        <v>0.6875</v>
      </c>
      <c r="J852" s="446">
        <v>0.70138888888888884</v>
      </c>
      <c r="K852" s="417">
        <f t="shared" si="25"/>
        <v>0.33333333333333215</v>
      </c>
      <c r="L852" s="9">
        <v>45744</v>
      </c>
      <c r="M852" s="141" t="s">
        <v>1019</v>
      </c>
      <c r="N852" s="142" t="s">
        <v>6</v>
      </c>
      <c r="O852" s="2"/>
    </row>
    <row r="853" spans="1:15" s="1" customFormat="1">
      <c r="A853" s="4">
        <f t="shared" ref="A853:A896" si="26">ROW()-1</f>
        <v>852</v>
      </c>
      <c r="B853" s="743" t="s">
        <v>1048</v>
      </c>
      <c r="C853" s="744" t="s">
        <v>316</v>
      </c>
      <c r="D853" s="745" t="s">
        <v>439</v>
      </c>
      <c r="E853" s="4">
        <v>4</v>
      </c>
      <c r="F853" s="414">
        <v>4</v>
      </c>
      <c r="G853" s="179">
        <v>45747</v>
      </c>
      <c r="H853" s="415">
        <v>1</v>
      </c>
      <c r="I853" s="446">
        <v>0.625</v>
      </c>
      <c r="J853" s="446">
        <v>0.65277777777777779</v>
      </c>
      <c r="K853" s="417">
        <f t="shared" si="25"/>
        <v>0.66666666666666696</v>
      </c>
      <c r="L853" s="9">
        <v>45747</v>
      </c>
      <c r="M853" s="147" t="s">
        <v>1067</v>
      </c>
      <c r="N853" s="143" t="s">
        <v>8</v>
      </c>
      <c r="O853" s="2"/>
    </row>
    <row r="854" spans="1:15" s="1" customFormat="1">
      <c r="A854" s="4">
        <f t="shared" si="26"/>
        <v>853</v>
      </c>
      <c r="B854" s="412"/>
      <c r="C854" s="744" t="s">
        <v>316</v>
      </c>
      <c r="D854" s="745" t="s">
        <v>1049</v>
      </c>
      <c r="E854" s="4">
        <v>20</v>
      </c>
      <c r="F854" s="414">
        <v>40</v>
      </c>
      <c r="G854" s="179">
        <v>45747</v>
      </c>
      <c r="H854" s="130"/>
      <c r="I854" s="446"/>
      <c r="J854" s="446"/>
      <c r="K854" s="746">
        <f>(J855-I855)*24*H854</f>
        <v>0</v>
      </c>
      <c r="L854" s="9">
        <v>45747</v>
      </c>
      <c r="M854" s="147" t="s">
        <v>1067</v>
      </c>
      <c r="N854" s="143" t="s">
        <v>11</v>
      </c>
      <c r="O854" s="2"/>
    </row>
    <row r="855" spans="1:15" s="1" customFormat="1">
      <c r="A855" s="4">
        <f t="shared" si="26"/>
        <v>854</v>
      </c>
      <c r="B855" s="412"/>
      <c r="C855" s="744" t="s">
        <v>314</v>
      </c>
      <c r="D855" s="745" t="s">
        <v>1050</v>
      </c>
      <c r="E855" s="4">
        <v>15</v>
      </c>
      <c r="F855" s="414">
        <v>30</v>
      </c>
      <c r="G855" s="179">
        <v>45747</v>
      </c>
      <c r="H855" s="747">
        <v>3</v>
      </c>
      <c r="I855" s="446">
        <v>0.33333333333333331</v>
      </c>
      <c r="J855" s="446">
        <v>0.55555555555555558</v>
      </c>
      <c r="K855" s="748"/>
      <c r="L855" s="9">
        <v>45747</v>
      </c>
      <c r="M855" s="147" t="s">
        <v>1067</v>
      </c>
      <c r="N855" s="143" t="s">
        <v>11</v>
      </c>
      <c r="O855" s="2"/>
    </row>
    <row r="856" spans="1:15" s="1" customFormat="1">
      <c r="A856" s="4">
        <f t="shared" si="26"/>
        <v>855</v>
      </c>
      <c r="B856" s="412"/>
      <c r="C856" s="744" t="s">
        <v>309</v>
      </c>
      <c r="D856" s="745" t="s">
        <v>1049</v>
      </c>
      <c r="E856" s="4">
        <v>45</v>
      </c>
      <c r="F856" s="414">
        <v>45</v>
      </c>
      <c r="G856" s="179">
        <v>45747</v>
      </c>
      <c r="H856" s="409"/>
      <c r="I856" s="446"/>
      <c r="J856" s="446"/>
      <c r="K856" s="749"/>
      <c r="L856" s="9">
        <v>45747</v>
      </c>
      <c r="M856" s="147" t="s">
        <v>1067</v>
      </c>
      <c r="N856" s="143" t="s">
        <v>11</v>
      </c>
      <c r="O856" s="2"/>
    </row>
    <row r="857" spans="1:15" s="1" customFormat="1">
      <c r="A857" s="4">
        <f t="shared" si="26"/>
        <v>856</v>
      </c>
      <c r="B857" s="412"/>
      <c r="C857" s="750" t="s">
        <v>1051</v>
      </c>
      <c r="D857" s="751" t="s">
        <v>1052</v>
      </c>
      <c r="E857" s="4">
        <v>4</v>
      </c>
      <c r="F857" s="414">
        <v>4</v>
      </c>
      <c r="G857" s="179">
        <v>45748</v>
      </c>
      <c r="H857" s="415">
        <v>1</v>
      </c>
      <c r="I857" s="446">
        <v>0.375</v>
      </c>
      <c r="J857" s="446">
        <v>0.41666666666666669</v>
      </c>
      <c r="K857" s="417">
        <f t="shared" si="25"/>
        <v>1.0000000000000004</v>
      </c>
      <c r="L857" s="9">
        <v>45748</v>
      </c>
      <c r="M857" s="147" t="s">
        <v>1067</v>
      </c>
      <c r="N857" s="144" t="s">
        <v>185</v>
      </c>
      <c r="O857" s="145" t="s">
        <v>1053</v>
      </c>
    </row>
    <row r="858" spans="1:15" s="1" customFormat="1">
      <c r="A858" s="4">
        <f t="shared" si="26"/>
        <v>857</v>
      </c>
      <c r="B858" s="412"/>
      <c r="C858" s="750" t="s">
        <v>1051</v>
      </c>
      <c r="D858" s="751" t="s">
        <v>1052</v>
      </c>
      <c r="E858" s="4">
        <v>2</v>
      </c>
      <c r="F858" s="414">
        <v>2</v>
      </c>
      <c r="G858" s="179">
        <v>45748</v>
      </c>
      <c r="H858" s="415">
        <v>1</v>
      </c>
      <c r="I858" s="446">
        <v>0.40277777777777773</v>
      </c>
      <c r="J858" s="446">
        <v>0.4375</v>
      </c>
      <c r="K858" s="417">
        <f t="shared" si="25"/>
        <v>0.83333333333333437</v>
      </c>
      <c r="L858" s="9">
        <v>45748</v>
      </c>
      <c r="M858" s="147" t="s">
        <v>1067</v>
      </c>
      <c r="N858" s="144" t="s">
        <v>185</v>
      </c>
      <c r="O858" s="145" t="s">
        <v>1054</v>
      </c>
    </row>
    <row r="859" spans="1:15" s="1" customFormat="1">
      <c r="A859" s="4">
        <f t="shared" si="26"/>
        <v>858</v>
      </c>
      <c r="B859" s="412"/>
      <c r="C859" s="750" t="s">
        <v>1051</v>
      </c>
      <c r="D859" s="751" t="s">
        <v>1055</v>
      </c>
      <c r="E859" s="4">
        <v>2</v>
      </c>
      <c r="F859" s="414">
        <v>2</v>
      </c>
      <c r="G859" s="179">
        <v>45748</v>
      </c>
      <c r="H859" s="415">
        <v>1</v>
      </c>
      <c r="I859" s="446">
        <v>0.4375</v>
      </c>
      <c r="J859" s="446">
        <v>0.47222222222222227</v>
      </c>
      <c r="K859" s="417">
        <f t="shared" si="25"/>
        <v>0.83333333333333437</v>
      </c>
      <c r="L859" s="9">
        <v>45748</v>
      </c>
      <c r="M859" s="147" t="s">
        <v>1067</v>
      </c>
      <c r="N859" s="144" t="s">
        <v>185</v>
      </c>
      <c r="O859" s="145" t="s">
        <v>1054</v>
      </c>
    </row>
    <row r="860" spans="1:15" s="1" customFormat="1">
      <c r="A860" s="4">
        <f t="shared" si="26"/>
        <v>859</v>
      </c>
      <c r="B860" s="752" t="s">
        <v>1056</v>
      </c>
      <c r="C860" s="147" t="s">
        <v>1057</v>
      </c>
      <c r="D860" s="753" t="s">
        <v>310</v>
      </c>
      <c r="E860" s="4">
        <v>5</v>
      </c>
      <c r="F860" s="414">
        <v>5</v>
      </c>
      <c r="G860" s="179">
        <v>45750</v>
      </c>
      <c r="H860" s="415">
        <v>2</v>
      </c>
      <c r="I860" s="446">
        <v>0.33333333333333331</v>
      </c>
      <c r="J860" s="446">
        <v>0.3611111111111111</v>
      </c>
      <c r="K860" s="417">
        <f t="shared" si="25"/>
        <v>1.3333333333333339</v>
      </c>
      <c r="L860" s="9">
        <v>45750</v>
      </c>
      <c r="M860" s="147" t="s">
        <v>1067</v>
      </c>
      <c r="N860" s="146" t="s">
        <v>485</v>
      </c>
      <c r="O860" s="2"/>
    </row>
    <row r="861" spans="1:15" s="1" customFormat="1">
      <c r="A861" s="4">
        <f t="shared" si="26"/>
        <v>860</v>
      </c>
      <c r="B861" s="752" t="s">
        <v>1056</v>
      </c>
      <c r="C861" s="147" t="s">
        <v>1057</v>
      </c>
      <c r="D861" s="753" t="s">
        <v>111</v>
      </c>
      <c r="E861" s="4">
        <v>1</v>
      </c>
      <c r="F861" s="414">
        <v>1</v>
      </c>
      <c r="G861" s="179">
        <v>45750</v>
      </c>
      <c r="H861" s="415">
        <v>2</v>
      </c>
      <c r="I861" s="446">
        <v>0.33333333333333331</v>
      </c>
      <c r="J861" s="446">
        <v>0.34722222222222227</v>
      </c>
      <c r="K861" s="417">
        <f t="shared" si="25"/>
        <v>0.66666666666666963</v>
      </c>
      <c r="L861" s="9">
        <v>45750</v>
      </c>
      <c r="M861" s="147" t="s">
        <v>1067</v>
      </c>
      <c r="N861" s="146" t="s">
        <v>485</v>
      </c>
      <c r="O861" s="2"/>
    </row>
    <row r="862" spans="1:15" s="1" customFormat="1">
      <c r="A862" s="4">
        <f t="shared" si="26"/>
        <v>861</v>
      </c>
      <c r="B862" s="752" t="s">
        <v>1058</v>
      </c>
      <c r="C862" s="147" t="s">
        <v>1059</v>
      </c>
      <c r="D862" s="753" t="s">
        <v>122</v>
      </c>
      <c r="E862" s="4">
        <v>8</v>
      </c>
      <c r="F862" s="414">
        <v>8</v>
      </c>
      <c r="G862" s="179">
        <v>45750</v>
      </c>
      <c r="H862" s="415">
        <v>1</v>
      </c>
      <c r="I862" s="446">
        <v>0.375</v>
      </c>
      <c r="J862" s="446">
        <v>0.40277777777777773</v>
      </c>
      <c r="K862" s="417">
        <f t="shared" si="25"/>
        <v>0.66666666666666563</v>
      </c>
      <c r="L862" s="9">
        <v>45750</v>
      </c>
      <c r="M862" s="147" t="s">
        <v>1067</v>
      </c>
      <c r="N862" s="146" t="s">
        <v>8</v>
      </c>
      <c r="O862" s="2"/>
    </row>
    <row r="863" spans="1:15" s="1" customFormat="1">
      <c r="A863" s="4">
        <f t="shared" si="26"/>
        <v>862</v>
      </c>
      <c r="B863" s="752" t="s">
        <v>1060</v>
      </c>
      <c r="C863" s="147" t="s">
        <v>1061</v>
      </c>
      <c r="D863" s="753" t="s">
        <v>439</v>
      </c>
      <c r="E863" s="4">
        <v>1</v>
      </c>
      <c r="F863" s="414">
        <v>1</v>
      </c>
      <c r="G863" s="179">
        <v>45750</v>
      </c>
      <c r="H863" s="415">
        <v>1</v>
      </c>
      <c r="I863" s="446">
        <v>0.375</v>
      </c>
      <c r="J863" s="446">
        <v>0.3888888888888889</v>
      </c>
      <c r="K863" s="417">
        <f t="shared" si="25"/>
        <v>0.33333333333333348</v>
      </c>
      <c r="L863" s="9">
        <v>45750</v>
      </c>
      <c r="M863" s="147" t="s">
        <v>1067</v>
      </c>
      <c r="N863" s="146" t="s">
        <v>8</v>
      </c>
      <c r="O863" s="2"/>
    </row>
    <row r="864" spans="1:15" s="1" customFormat="1">
      <c r="A864" s="4">
        <f t="shared" si="26"/>
        <v>863</v>
      </c>
      <c r="B864" s="752" t="s">
        <v>1062</v>
      </c>
      <c r="C864" s="147" t="s">
        <v>314</v>
      </c>
      <c r="D864" s="753" t="s">
        <v>581</v>
      </c>
      <c r="E864" s="4">
        <v>10</v>
      </c>
      <c r="F864" s="414">
        <v>10</v>
      </c>
      <c r="G864" s="179">
        <v>45750</v>
      </c>
      <c r="H864" s="415">
        <v>2</v>
      </c>
      <c r="I864" s="446">
        <v>0.33333333333333331</v>
      </c>
      <c r="J864" s="446">
        <v>0.375</v>
      </c>
      <c r="K864" s="417">
        <f t="shared" si="25"/>
        <v>2.0000000000000009</v>
      </c>
      <c r="L864" s="9">
        <v>45750</v>
      </c>
      <c r="M864" s="147" t="s">
        <v>1067</v>
      </c>
      <c r="N864" s="146" t="s">
        <v>11</v>
      </c>
      <c r="O864" s="2"/>
    </row>
    <row r="865" spans="1:15" s="1" customFormat="1">
      <c r="A865" s="4">
        <f t="shared" si="26"/>
        <v>864</v>
      </c>
      <c r="B865" s="752" t="s">
        <v>1063</v>
      </c>
      <c r="C865" s="147" t="s">
        <v>1064</v>
      </c>
      <c r="D865" s="753" t="s">
        <v>122</v>
      </c>
      <c r="E865" s="4">
        <v>1</v>
      </c>
      <c r="F865" s="414">
        <v>1</v>
      </c>
      <c r="G865" s="179">
        <v>45750</v>
      </c>
      <c r="H865" s="415">
        <v>1</v>
      </c>
      <c r="I865" s="446">
        <v>0.54166666666666663</v>
      </c>
      <c r="J865" s="446">
        <v>0.56944444444444442</v>
      </c>
      <c r="K865" s="417">
        <f t="shared" si="25"/>
        <v>0.66666666666666696</v>
      </c>
      <c r="L865" s="9">
        <v>45750</v>
      </c>
      <c r="M865" s="147" t="s">
        <v>1067</v>
      </c>
      <c r="N865" s="146" t="s">
        <v>6</v>
      </c>
      <c r="O865" s="2"/>
    </row>
    <row r="866" spans="1:15" s="1" customFormat="1">
      <c r="A866" s="4">
        <f t="shared" si="26"/>
        <v>865</v>
      </c>
      <c r="B866" s="752" t="s">
        <v>812</v>
      </c>
      <c r="C866" s="147" t="s">
        <v>1065</v>
      </c>
      <c r="D866" s="753" t="s">
        <v>183</v>
      </c>
      <c r="E866" s="4">
        <v>19</v>
      </c>
      <c r="F866" s="414">
        <v>19</v>
      </c>
      <c r="G866" s="179">
        <v>45750</v>
      </c>
      <c r="H866" s="415">
        <v>1</v>
      </c>
      <c r="I866" s="446">
        <v>0.58333333333333337</v>
      </c>
      <c r="J866" s="446">
        <v>0.60416666666666663</v>
      </c>
      <c r="K866" s="417">
        <f t="shared" si="25"/>
        <v>0.49999999999999822</v>
      </c>
      <c r="L866" s="9">
        <v>45750</v>
      </c>
      <c r="M866" s="147" t="s">
        <v>1067</v>
      </c>
      <c r="N866" s="146" t="s">
        <v>6</v>
      </c>
      <c r="O866" s="2"/>
    </row>
    <row r="867" spans="1:15" s="1" customFormat="1">
      <c r="A867" s="4">
        <f t="shared" si="26"/>
        <v>866</v>
      </c>
      <c r="B867" s="752" t="s">
        <v>813</v>
      </c>
      <c r="C867" s="147" t="s">
        <v>1066</v>
      </c>
      <c r="D867" s="753" t="s">
        <v>183</v>
      </c>
      <c r="E867" s="4">
        <v>22</v>
      </c>
      <c r="F867" s="414">
        <v>22</v>
      </c>
      <c r="G867" s="179">
        <v>45750</v>
      </c>
      <c r="H867" s="415">
        <v>1</v>
      </c>
      <c r="I867" s="446">
        <v>0.58333333333333337</v>
      </c>
      <c r="J867" s="446">
        <v>0.60416666666666663</v>
      </c>
      <c r="K867" s="417">
        <f t="shared" si="25"/>
        <v>0.49999999999999822</v>
      </c>
      <c r="L867" s="9">
        <v>45750</v>
      </c>
      <c r="M867" s="147" t="s">
        <v>1067</v>
      </c>
      <c r="N867" s="146" t="s">
        <v>6</v>
      </c>
      <c r="O867" s="2"/>
    </row>
    <row r="868" spans="1:15" s="1" customFormat="1">
      <c r="A868" s="4">
        <f t="shared" si="26"/>
        <v>867</v>
      </c>
      <c r="B868" s="754" t="s">
        <v>1069</v>
      </c>
      <c r="C868" s="755" t="s">
        <v>535</v>
      </c>
      <c r="D868" s="756" t="s">
        <v>879</v>
      </c>
      <c r="E868" s="4">
        <v>2</v>
      </c>
      <c r="F868" s="414">
        <v>2</v>
      </c>
      <c r="G868" s="757">
        <v>45756</v>
      </c>
      <c r="H868" s="758">
        <v>1</v>
      </c>
      <c r="I868" s="759">
        <v>0.33333333333333331</v>
      </c>
      <c r="J868" s="759">
        <v>0.375</v>
      </c>
      <c r="K868" s="417">
        <f>(J868-I868)*24*H868</f>
        <v>1.0000000000000004</v>
      </c>
      <c r="L868" s="9">
        <v>45756</v>
      </c>
      <c r="M868" s="148" t="s">
        <v>1067</v>
      </c>
      <c r="N868" s="149" t="s">
        <v>6</v>
      </c>
      <c r="O868" s="2"/>
    </row>
    <row r="869" spans="1:15" s="1" customFormat="1">
      <c r="A869" s="4">
        <f t="shared" si="26"/>
        <v>868</v>
      </c>
      <c r="B869" s="412"/>
      <c r="C869" s="148" t="s">
        <v>535</v>
      </c>
      <c r="D869" s="756" t="s">
        <v>1070</v>
      </c>
      <c r="E869" s="4">
        <v>1</v>
      </c>
      <c r="F869" s="414">
        <v>1</v>
      </c>
      <c r="G869" s="757">
        <v>45756</v>
      </c>
      <c r="H869" s="758">
        <v>1</v>
      </c>
      <c r="I869" s="759">
        <v>0.375</v>
      </c>
      <c r="J869" s="759">
        <v>0.39583333333333331</v>
      </c>
      <c r="K869" s="417">
        <f t="shared" si="25"/>
        <v>0.49999999999999956</v>
      </c>
      <c r="L869" s="9">
        <v>45756</v>
      </c>
      <c r="M869" s="148" t="s">
        <v>1067</v>
      </c>
      <c r="N869" s="149" t="s">
        <v>6</v>
      </c>
      <c r="O869" s="2"/>
    </row>
    <row r="870" spans="1:15" s="1" customFormat="1">
      <c r="A870" s="4">
        <f t="shared" si="26"/>
        <v>869</v>
      </c>
      <c r="B870" s="412"/>
      <c r="C870" s="148" t="s">
        <v>535</v>
      </c>
      <c r="D870" s="756" t="s">
        <v>869</v>
      </c>
      <c r="E870" s="4">
        <v>1</v>
      </c>
      <c r="F870" s="414">
        <v>1</v>
      </c>
      <c r="G870" s="757">
        <v>45756</v>
      </c>
      <c r="H870" s="758">
        <v>1</v>
      </c>
      <c r="I870" s="759">
        <v>0.39583333333333331</v>
      </c>
      <c r="J870" s="759">
        <v>0.41666666666666669</v>
      </c>
      <c r="K870" s="417">
        <f t="shared" si="25"/>
        <v>0.50000000000000089</v>
      </c>
      <c r="L870" s="9">
        <v>45756</v>
      </c>
      <c r="M870" s="148" t="s">
        <v>1067</v>
      </c>
      <c r="N870" s="149" t="s">
        <v>6</v>
      </c>
      <c r="O870" s="2"/>
    </row>
    <row r="871" spans="1:15" s="1" customFormat="1">
      <c r="A871" s="4">
        <f t="shared" si="26"/>
        <v>870</v>
      </c>
      <c r="B871" s="755" t="s">
        <v>1071</v>
      </c>
      <c r="C871" s="148" t="s">
        <v>1072</v>
      </c>
      <c r="D871" s="756" t="s">
        <v>1073</v>
      </c>
      <c r="E871" s="4">
        <v>24</v>
      </c>
      <c r="F871" s="414">
        <v>24</v>
      </c>
      <c r="G871" s="757">
        <v>45756</v>
      </c>
      <c r="H871" s="758">
        <v>1</v>
      </c>
      <c r="I871" s="759">
        <v>0.29166666666666669</v>
      </c>
      <c r="J871" s="759">
        <v>0.79166666666666663</v>
      </c>
      <c r="K871" s="417">
        <f>(J871-I871)*24*H871</f>
        <v>11.999999999999998</v>
      </c>
      <c r="L871" s="9">
        <v>45756</v>
      </c>
      <c r="M871" s="148" t="s">
        <v>1067</v>
      </c>
      <c r="N871" s="149" t="s">
        <v>6</v>
      </c>
      <c r="O871" s="2"/>
    </row>
    <row r="872" spans="1:15" s="1" customFormat="1">
      <c r="A872" s="4">
        <f t="shared" si="26"/>
        <v>871</v>
      </c>
      <c r="B872" s="412"/>
      <c r="C872" s="148" t="s">
        <v>1072</v>
      </c>
      <c r="D872" s="756" t="s">
        <v>1074</v>
      </c>
      <c r="E872" s="4">
        <v>12</v>
      </c>
      <c r="F872" s="414">
        <v>12</v>
      </c>
      <c r="G872" s="757">
        <v>45756</v>
      </c>
      <c r="H872" s="758">
        <v>1</v>
      </c>
      <c r="I872" s="759">
        <v>0.29166666666666669</v>
      </c>
      <c r="J872" s="759">
        <v>0.625</v>
      </c>
      <c r="K872" s="417">
        <f>(J872-I872)*24*H872</f>
        <v>8</v>
      </c>
      <c r="L872" s="9">
        <v>45756</v>
      </c>
      <c r="M872" s="148" t="s">
        <v>1067</v>
      </c>
      <c r="N872" s="149" t="s">
        <v>6</v>
      </c>
      <c r="O872" s="2"/>
    </row>
    <row r="873" spans="1:15" s="1" customFormat="1">
      <c r="A873" s="4">
        <f t="shared" si="26"/>
        <v>872</v>
      </c>
      <c r="B873" s="412"/>
      <c r="C873" s="148" t="s">
        <v>1072</v>
      </c>
      <c r="D873" s="756" t="s">
        <v>368</v>
      </c>
      <c r="E873" s="4">
        <v>12</v>
      </c>
      <c r="F873" s="414">
        <v>12</v>
      </c>
      <c r="G873" s="757">
        <v>45756</v>
      </c>
      <c r="H873" s="758">
        <v>1</v>
      </c>
      <c r="I873" s="759">
        <v>0.33333333333333331</v>
      </c>
      <c r="J873" s="759">
        <v>0.66666666666666663</v>
      </c>
      <c r="K873" s="417">
        <f t="shared" si="25"/>
        <v>8</v>
      </c>
      <c r="L873" s="9">
        <v>45756</v>
      </c>
      <c r="M873" s="148" t="s">
        <v>1067</v>
      </c>
      <c r="N873" s="149" t="s">
        <v>6</v>
      </c>
      <c r="O873" s="2"/>
    </row>
    <row r="874" spans="1:15" s="1" customFormat="1">
      <c r="A874" s="4">
        <f t="shared" si="26"/>
        <v>873</v>
      </c>
      <c r="B874" s="755" t="s">
        <v>1075</v>
      </c>
      <c r="C874" s="148" t="s">
        <v>1064</v>
      </c>
      <c r="D874" s="756" t="s">
        <v>122</v>
      </c>
      <c r="E874" s="4">
        <v>1</v>
      </c>
      <c r="F874" s="414">
        <v>1</v>
      </c>
      <c r="G874" s="757">
        <v>45756</v>
      </c>
      <c r="H874" s="758">
        <v>1</v>
      </c>
      <c r="I874" s="759">
        <v>0.66666666666666663</v>
      </c>
      <c r="J874" s="759">
        <v>0.68055555555555547</v>
      </c>
      <c r="K874" s="417">
        <f t="shared" si="25"/>
        <v>0.33333333333333215</v>
      </c>
      <c r="L874" s="9">
        <v>45756</v>
      </c>
      <c r="M874" s="148" t="s">
        <v>1067</v>
      </c>
      <c r="N874" s="150" t="s">
        <v>8</v>
      </c>
      <c r="O874" s="2"/>
    </row>
    <row r="875" spans="1:15" s="1" customFormat="1">
      <c r="A875" s="4">
        <f t="shared" si="26"/>
        <v>874</v>
      </c>
      <c r="B875" s="760" t="s">
        <v>1077</v>
      </c>
      <c r="C875" s="761" t="s">
        <v>1076</v>
      </c>
      <c r="D875" s="762" t="s">
        <v>286</v>
      </c>
      <c r="E875" s="4">
        <v>1</v>
      </c>
      <c r="F875" s="414">
        <v>1</v>
      </c>
      <c r="G875" s="757">
        <v>45756</v>
      </c>
      <c r="H875" s="758">
        <v>1</v>
      </c>
      <c r="I875" s="446">
        <v>0.6875</v>
      </c>
      <c r="J875" s="446">
        <v>0.70138888888888884</v>
      </c>
      <c r="K875" s="417">
        <f t="shared" si="25"/>
        <v>0.33333333333333215</v>
      </c>
      <c r="L875" s="9">
        <v>45756</v>
      </c>
      <c r="M875" s="148" t="s">
        <v>1067</v>
      </c>
      <c r="N875" s="150" t="s">
        <v>1078</v>
      </c>
      <c r="O875" s="2"/>
    </row>
    <row r="876" spans="1:15" s="1" customFormat="1">
      <c r="A876" s="4">
        <f t="shared" si="26"/>
        <v>875</v>
      </c>
      <c r="B876" s="760" t="s">
        <v>1077</v>
      </c>
      <c r="C876" s="761" t="s">
        <v>1079</v>
      </c>
      <c r="D876" s="762" t="s">
        <v>672</v>
      </c>
      <c r="E876" s="4">
        <v>1</v>
      </c>
      <c r="F876" s="414">
        <v>1</v>
      </c>
      <c r="G876" s="757">
        <v>45756</v>
      </c>
      <c r="H876" s="758">
        <v>1</v>
      </c>
      <c r="I876" s="446">
        <v>0.70833333333333337</v>
      </c>
      <c r="J876" s="446">
        <v>0.72222222222222221</v>
      </c>
      <c r="K876" s="417">
        <f t="shared" si="25"/>
        <v>0.33333333333333215</v>
      </c>
      <c r="L876" s="9">
        <v>45756</v>
      </c>
      <c r="M876" s="148" t="s">
        <v>1067</v>
      </c>
      <c r="N876" s="150" t="s">
        <v>1078</v>
      </c>
      <c r="O876" s="2"/>
    </row>
    <row r="877" spans="1:15" s="1" customFormat="1">
      <c r="A877" s="4">
        <f t="shared" si="26"/>
        <v>876</v>
      </c>
      <c r="B877" s="763" t="s">
        <v>1080</v>
      </c>
      <c r="C877" s="764" t="s">
        <v>1082</v>
      </c>
      <c r="D877" s="765" t="s">
        <v>1081</v>
      </c>
      <c r="E877" s="4">
        <v>8</v>
      </c>
      <c r="F877" s="414">
        <v>8</v>
      </c>
      <c r="G877" s="179">
        <v>45757</v>
      </c>
      <c r="H877" s="415">
        <v>1</v>
      </c>
      <c r="I877" s="446">
        <v>0.33333333333333331</v>
      </c>
      <c r="J877" s="446">
        <v>0.47916666666666669</v>
      </c>
      <c r="K877" s="417">
        <f t="shared" si="25"/>
        <v>3.5000000000000009</v>
      </c>
      <c r="L877" s="9">
        <v>45757</v>
      </c>
      <c r="M877" s="157" t="s">
        <v>1104</v>
      </c>
      <c r="N877" s="151" t="s">
        <v>6</v>
      </c>
      <c r="O877" s="2"/>
    </row>
    <row r="878" spans="1:15" s="1" customFormat="1">
      <c r="A878" s="4">
        <f t="shared" si="26"/>
        <v>877</v>
      </c>
      <c r="B878" s="412"/>
      <c r="C878" s="764" t="s">
        <v>1083</v>
      </c>
      <c r="D878" s="765" t="s">
        <v>1081</v>
      </c>
      <c r="E878" s="4">
        <v>3</v>
      </c>
      <c r="F878" s="414">
        <v>3</v>
      </c>
      <c r="G878" s="179">
        <v>45757</v>
      </c>
      <c r="H878" s="415">
        <v>1</v>
      </c>
      <c r="I878" s="446">
        <v>0.54166666666666663</v>
      </c>
      <c r="J878" s="446">
        <v>0.59722222222222221</v>
      </c>
      <c r="K878" s="417">
        <f t="shared" si="25"/>
        <v>1.3333333333333339</v>
      </c>
      <c r="L878" s="9">
        <v>45757</v>
      </c>
      <c r="M878" s="157" t="s">
        <v>1104</v>
      </c>
      <c r="N878" s="151" t="s">
        <v>6</v>
      </c>
      <c r="O878" s="2"/>
    </row>
    <row r="879" spans="1:15" s="1" customFormat="1">
      <c r="A879" s="4">
        <f t="shared" si="26"/>
        <v>878</v>
      </c>
      <c r="B879" s="766" t="s">
        <v>1084</v>
      </c>
      <c r="C879" s="764" t="s">
        <v>1076</v>
      </c>
      <c r="D879" s="767" t="s">
        <v>286</v>
      </c>
      <c r="E879" s="4">
        <v>1</v>
      </c>
      <c r="F879" s="414">
        <v>1</v>
      </c>
      <c r="G879" s="179">
        <v>45758</v>
      </c>
      <c r="H879" s="415">
        <v>1</v>
      </c>
      <c r="I879" s="446">
        <v>0.59722222222222221</v>
      </c>
      <c r="J879" s="446">
        <v>0.61111111111111105</v>
      </c>
      <c r="K879" s="417">
        <f t="shared" si="25"/>
        <v>0.33333333333333215</v>
      </c>
      <c r="L879" s="9">
        <v>45758</v>
      </c>
      <c r="M879" s="157" t="s">
        <v>1104</v>
      </c>
      <c r="N879" s="152" t="s">
        <v>6</v>
      </c>
      <c r="O879" s="2"/>
    </row>
    <row r="880" spans="1:15" s="1" customFormat="1">
      <c r="A880" s="4">
        <f t="shared" si="26"/>
        <v>879</v>
      </c>
      <c r="B880" s="412"/>
      <c r="C880" s="764" t="s">
        <v>1076</v>
      </c>
      <c r="D880" s="767" t="s">
        <v>672</v>
      </c>
      <c r="E880" s="4">
        <v>1</v>
      </c>
      <c r="F880" s="414">
        <v>1</v>
      </c>
      <c r="G880" s="768">
        <v>45758</v>
      </c>
      <c r="H880" s="415">
        <v>1</v>
      </c>
      <c r="I880" s="446">
        <v>0.61805555555555558</v>
      </c>
      <c r="J880" s="446">
        <v>0.63194444444444442</v>
      </c>
      <c r="K880" s="417">
        <f>(J880-I880)*24*H880</f>
        <v>0.33333333333333215</v>
      </c>
      <c r="L880" s="9">
        <v>45758</v>
      </c>
      <c r="M880" s="157" t="s">
        <v>1104</v>
      </c>
      <c r="N880" s="152" t="s">
        <v>6</v>
      </c>
      <c r="O880" s="2"/>
    </row>
    <row r="881" spans="1:15" s="1" customFormat="1">
      <c r="A881" s="4">
        <f t="shared" si="26"/>
        <v>880</v>
      </c>
      <c r="B881" s="769" t="s">
        <v>1085</v>
      </c>
      <c r="C881" s="770" t="s">
        <v>1086</v>
      </c>
      <c r="D881" s="771" t="s">
        <v>183</v>
      </c>
      <c r="E881" s="4">
        <v>25</v>
      </c>
      <c r="F881" s="414">
        <v>75</v>
      </c>
      <c r="G881" s="179">
        <v>45761</v>
      </c>
      <c r="H881" s="415">
        <v>2</v>
      </c>
      <c r="I881" s="446">
        <v>0.33333333333333331</v>
      </c>
      <c r="J881" s="446">
        <v>0.375</v>
      </c>
      <c r="K881" s="417">
        <f t="shared" si="25"/>
        <v>2.0000000000000009</v>
      </c>
      <c r="L881" s="9">
        <v>45761</v>
      </c>
      <c r="M881" s="157" t="s">
        <v>1105</v>
      </c>
      <c r="N881" s="153" t="s">
        <v>653</v>
      </c>
      <c r="O881" s="2"/>
    </row>
    <row r="882" spans="1:15" s="1" customFormat="1">
      <c r="A882" s="4">
        <f t="shared" si="26"/>
        <v>881</v>
      </c>
      <c r="B882" s="412"/>
      <c r="C882" s="770" t="s">
        <v>595</v>
      </c>
      <c r="D882" s="771" t="s">
        <v>310</v>
      </c>
      <c r="E882" s="4">
        <v>8</v>
      </c>
      <c r="F882" s="414">
        <v>8</v>
      </c>
      <c r="G882" s="179">
        <v>45761</v>
      </c>
      <c r="H882" s="415">
        <v>2</v>
      </c>
      <c r="I882" s="446">
        <v>0.35416666666666669</v>
      </c>
      <c r="J882" s="446">
        <v>0.39583333333333331</v>
      </c>
      <c r="K882" s="417">
        <f t="shared" si="25"/>
        <v>1.9999999999999982</v>
      </c>
      <c r="L882" s="9">
        <v>45761</v>
      </c>
      <c r="M882" s="157" t="s">
        <v>1105</v>
      </c>
      <c r="N882" s="153" t="s">
        <v>653</v>
      </c>
      <c r="O882" s="2"/>
    </row>
    <row r="883" spans="1:15" s="1" customFormat="1">
      <c r="A883" s="4">
        <f t="shared" si="26"/>
        <v>882</v>
      </c>
      <c r="B883" s="412"/>
      <c r="C883" s="770" t="s">
        <v>577</v>
      </c>
      <c r="D883" s="771" t="s">
        <v>882</v>
      </c>
      <c r="E883" s="4">
        <v>3</v>
      </c>
      <c r="F883" s="414">
        <v>5</v>
      </c>
      <c r="G883" s="179">
        <v>45761</v>
      </c>
      <c r="H883" s="415">
        <v>1</v>
      </c>
      <c r="I883" s="446">
        <v>0.41666666666666669</v>
      </c>
      <c r="J883" s="446">
        <v>0.47916666666666669</v>
      </c>
      <c r="K883" s="417">
        <f t="shared" si="25"/>
        <v>1.5</v>
      </c>
      <c r="L883" s="9">
        <v>45761</v>
      </c>
      <c r="M883" s="157" t="s">
        <v>1105</v>
      </c>
      <c r="N883" s="153" t="s">
        <v>653</v>
      </c>
      <c r="O883" s="2"/>
    </row>
    <row r="884" spans="1:15" s="1" customFormat="1">
      <c r="A884" s="4">
        <f t="shared" si="26"/>
        <v>883</v>
      </c>
      <c r="B884" s="412"/>
      <c r="C884" s="772" t="s">
        <v>1087</v>
      </c>
      <c r="D884" s="773" t="s">
        <v>1088</v>
      </c>
      <c r="E884" s="4">
        <v>0</v>
      </c>
      <c r="F884" s="414">
        <v>3</v>
      </c>
      <c r="G884" s="179">
        <v>45762</v>
      </c>
      <c r="H884" s="415">
        <v>1</v>
      </c>
      <c r="I884" s="446">
        <v>0.33333333333333331</v>
      </c>
      <c r="J884" s="446">
        <v>0.44444444444444442</v>
      </c>
      <c r="K884" s="417">
        <f>(J884-I884)*24*H884</f>
        <v>2.6666666666666665</v>
      </c>
      <c r="L884" s="9">
        <v>45762</v>
      </c>
      <c r="M884" s="157" t="s">
        <v>1105</v>
      </c>
      <c r="N884" s="154" t="s">
        <v>1089</v>
      </c>
      <c r="O884" s="2"/>
    </row>
    <row r="885" spans="1:15" s="1" customFormat="1">
      <c r="A885" s="4">
        <f t="shared" si="26"/>
        <v>884</v>
      </c>
      <c r="B885" s="774" t="s">
        <v>1090</v>
      </c>
      <c r="C885" s="775" t="s">
        <v>1091</v>
      </c>
      <c r="D885" s="776" t="s">
        <v>1052</v>
      </c>
      <c r="E885" s="4">
        <v>1</v>
      </c>
      <c r="F885" s="414">
        <v>1</v>
      </c>
      <c r="G885" s="179">
        <v>45762</v>
      </c>
      <c r="H885" s="415">
        <v>1</v>
      </c>
      <c r="I885" s="446">
        <v>0.375</v>
      </c>
      <c r="J885" s="446">
        <v>0.3888888888888889</v>
      </c>
      <c r="K885" s="417">
        <f t="shared" si="25"/>
        <v>0.33333333333333348</v>
      </c>
      <c r="L885" s="9">
        <v>45762</v>
      </c>
      <c r="M885" s="157" t="s">
        <v>1105</v>
      </c>
      <c r="N885" s="155" t="s">
        <v>8</v>
      </c>
      <c r="O885" s="2"/>
    </row>
    <row r="886" spans="1:15" s="1" customFormat="1">
      <c r="A886" s="4">
        <f t="shared" si="26"/>
        <v>885</v>
      </c>
      <c r="B886" s="774" t="s">
        <v>1092</v>
      </c>
      <c r="C886" s="775" t="s">
        <v>1093</v>
      </c>
      <c r="D886" s="776" t="s">
        <v>1046</v>
      </c>
      <c r="E886" s="4">
        <v>1</v>
      </c>
      <c r="F886" s="414">
        <v>4</v>
      </c>
      <c r="G886" s="179">
        <v>45762</v>
      </c>
      <c r="H886" s="415">
        <v>1</v>
      </c>
      <c r="I886" s="446">
        <v>0.41666666666666669</v>
      </c>
      <c r="J886" s="446">
        <v>0.45833333333333331</v>
      </c>
      <c r="K886" s="417">
        <f t="shared" si="25"/>
        <v>0.99999999999999911</v>
      </c>
      <c r="L886" s="9">
        <v>45762</v>
      </c>
      <c r="M886" s="157" t="s">
        <v>1105</v>
      </c>
      <c r="N886" s="155" t="s">
        <v>6</v>
      </c>
      <c r="O886" s="2"/>
    </row>
    <row r="887" spans="1:15" s="1" customFormat="1">
      <c r="A887" s="4">
        <f t="shared" si="26"/>
        <v>886</v>
      </c>
      <c r="B887" s="774" t="s">
        <v>1095</v>
      </c>
      <c r="C887" s="774" t="s">
        <v>1094</v>
      </c>
      <c r="D887" s="776" t="s">
        <v>862</v>
      </c>
      <c r="E887" s="4">
        <v>1</v>
      </c>
      <c r="F887" s="414">
        <v>1</v>
      </c>
      <c r="G887" s="179">
        <v>45762</v>
      </c>
      <c r="H887" s="415">
        <v>1</v>
      </c>
      <c r="I887" s="446">
        <v>0.47222222222222227</v>
      </c>
      <c r="J887" s="446">
        <v>0.4861111111111111</v>
      </c>
      <c r="K887" s="417">
        <f t="shared" si="25"/>
        <v>0.33333333333333215</v>
      </c>
      <c r="L887" s="9">
        <v>45762</v>
      </c>
      <c r="M887" s="157" t="s">
        <v>1105</v>
      </c>
      <c r="N887" s="155" t="s">
        <v>9</v>
      </c>
      <c r="O887" s="2"/>
    </row>
    <row r="888" spans="1:15" s="1" customFormat="1">
      <c r="A888" s="4">
        <f t="shared" si="26"/>
        <v>887</v>
      </c>
      <c r="B888" s="777" t="s">
        <v>1097</v>
      </c>
      <c r="C888" s="778" t="s">
        <v>1096</v>
      </c>
      <c r="D888" s="779" t="s">
        <v>297</v>
      </c>
      <c r="E888" s="4">
        <v>0</v>
      </c>
      <c r="F888" s="414">
        <v>1</v>
      </c>
      <c r="G888" s="780">
        <v>45764</v>
      </c>
      <c r="H888" s="415">
        <v>1</v>
      </c>
      <c r="I888" s="446">
        <v>0.35416666666666669</v>
      </c>
      <c r="J888" s="446">
        <v>0.375</v>
      </c>
      <c r="K888" s="417">
        <f t="shared" si="25"/>
        <v>0.49999999999999956</v>
      </c>
      <c r="L888" s="9">
        <v>45764</v>
      </c>
      <c r="M888" s="157" t="s">
        <v>1105</v>
      </c>
      <c r="N888" s="156" t="s">
        <v>653</v>
      </c>
      <c r="O888" s="2"/>
    </row>
    <row r="889" spans="1:15" s="1" customFormat="1">
      <c r="A889" s="4">
        <f t="shared" si="26"/>
        <v>888</v>
      </c>
      <c r="B889" s="777" t="s">
        <v>1099</v>
      </c>
      <c r="C889" s="778" t="s">
        <v>1098</v>
      </c>
      <c r="D889" s="779" t="s">
        <v>1100</v>
      </c>
      <c r="E889" s="4">
        <v>3</v>
      </c>
      <c r="F889" s="414">
        <v>3</v>
      </c>
      <c r="G889" s="179">
        <v>45764</v>
      </c>
      <c r="H889" s="415">
        <v>1</v>
      </c>
      <c r="I889" s="446">
        <v>0.39583333333333331</v>
      </c>
      <c r="J889" s="446">
        <v>0.4236111111111111</v>
      </c>
      <c r="K889" s="417">
        <f t="shared" ref="K889:K898" si="27">(J889-I889)*24*H889</f>
        <v>0.66666666666666696</v>
      </c>
      <c r="L889" s="9">
        <v>45764</v>
      </c>
      <c r="M889" s="157" t="s">
        <v>1105</v>
      </c>
      <c r="N889" s="156" t="s">
        <v>11</v>
      </c>
      <c r="O889" s="2"/>
    </row>
    <row r="890" spans="1:15" s="1" customFormat="1">
      <c r="A890" s="4">
        <f t="shared" si="26"/>
        <v>889</v>
      </c>
      <c r="B890" s="777" t="s">
        <v>1101</v>
      </c>
      <c r="C890" s="778" t="s">
        <v>1035</v>
      </c>
      <c r="D890" s="779" t="s">
        <v>1100</v>
      </c>
      <c r="E890" s="4">
        <v>0</v>
      </c>
      <c r="F890" s="414">
        <v>1</v>
      </c>
      <c r="G890" s="179">
        <v>45764</v>
      </c>
      <c r="H890" s="415">
        <v>1</v>
      </c>
      <c r="I890" s="446">
        <v>0.43055555555555558</v>
      </c>
      <c r="J890" s="446">
        <v>0.44444444444444442</v>
      </c>
      <c r="K890" s="417">
        <f t="shared" si="27"/>
        <v>0.33333333333333215</v>
      </c>
      <c r="L890" s="9">
        <v>45764</v>
      </c>
      <c r="M890" s="157" t="s">
        <v>1105</v>
      </c>
      <c r="N890" s="156" t="s">
        <v>6</v>
      </c>
      <c r="O890" s="2"/>
    </row>
    <row r="891" spans="1:15" s="1" customFormat="1">
      <c r="A891" s="4">
        <f t="shared" si="26"/>
        <v>890</v>
      </c>
      <c r="B891" s="777" t="s">
        <v>1103</v>
      </c>
      <c r="C891" s="778" t="s">
        <v>1102</v>
      </c>
      <c r="D891" s="779" t="s">
        <v>286</v>
      </c>
      <c r="E891" s="4">
        <v>5</v>
      </c>
      <c r="F891" s="414">
        <v>5</v>
      </c>
      <c r="G891" s="179">
        <v>45764</v>
      </c>
      <c r="H891" s="415">
        <v>1</v>
      </c>
      <c r="I891" s="446">
        <v>0.45833333333333331</v>
      </c>
      <c r="J891" s="446">
        <v>0.47916666666666669</v>
      </c>
      <c r="K891" s="417">
        <f t="shared" si="27"/>
        <v>0.50000000000000089</v>
      </c>
      <c r="L891" s="9">
        <v>45764</v>
      </c>
      <c r="M891" s="157" t="s">
        <v>1105</v>
      </c>
      <c r="N891" s="156" t="s">
        <v>8</v>
      </c>
      <c r="O891" s="2"/>
    </row>
    <row r="892" spans="1:15" s="1" customFormat="1">
      <c r="A892" s="4">
        <f t="shared" si="26"/>
        <v>891</v>
      </c>
      <c r="B892" s="777" t="s">
        <v>1103</v>
      </c>
      <c r="C892" s="778" t="s">
        <v>1102</v>
      </c>
      <c r="D892" s="779" t="s">
        <v>672</v>
      </c>
      <c r="E892" s="4">
        <v>5</v>
      </c>
      <c r="F892" s="414">
        <v>5</v>
      </c>
      <c r="G892" s="179">
        <v>45764</v>
      </c>
      <c r="H892" s="415">
        <v>1</v>
      </c>
      <c r="I892" s="446">
        <v>0.54166666666666663</v>
      </c>
      <c r="J892" s="446">
        <v>0.5625</v>
      </c>
      <c r="K892" s="417">
        <f t="shared" si="27"/>
        <v>0.50000000000000089</v>
      </c>
      <c r="L892" s="9">
        <v>45754</v>
      </c>
      <c r="M892" s="157" t="s">
        <v>1105</v>
      </c>
      <c r="N892" s="156" t="s">
        <v>8</v>
      </c>
      <c r="O892" s="2"/>
    </row>
    <row r="893" spans="1:15" s="1" customFormat="1">
      <c r="A893" s="4">
        <f t="shared" si="26"/>
        <v>892</v>
      </c>
      <c r="B893" s="412"/>
      <c r="C893" s="781" t="s">
        <v>320</v>
      </c>
      <c r="D893" s="782" t="s">
        <v>605</v>
      </c>
      <c r="E893" s="4"/>
      <c r="F893" s="414">
        <v>1</v>
      </c>
      <c r="G893" s="179">
        <v>45765</v>
      </c>
      <c r="H893" s="415">
        <v>1</v>
      </c>
      <c r="I893" s="446">
        <v>0.54166666666666663</v>
      </c>
      <c r="J893" s="446">
        <v>0.5625</v>
      </c>
      <c r="K893" s="783">
        <f t="shared" si="27"/>
        <v>0.50000000000000089</v>
      </c>
      <c r="L893" s="9">
        <v>45765</v>
      </c>
      <c r="M893" s="157" t="s">
        <v>1105</v>
      </c>
      <c r="N893" s="158" t="s">
        <v>1107</v>
      </c>
      <c r="O893" s="2"/>
    </row>
    <row r="894" spans="1:15" s="1" customFormat="1">
      <c r="A894" s="4">
        <f t="shared" si="26"/>
        <v>893</v>
      </c>
      <c r="B894" s="412"/>
      <c r="C894" s="784" t="s">
        <v>339</v>
      </c>
      <c r="D894" s="785" t="s">
        <v>1106</v>
      </c>
      <c r="E894" s="4"/>
      <c r="F894" s="414">
        <v>1</v>
      </c>
      <c r="G894" s="179">
        <v>45762</v>
      </c>
      <c r="H894" s="415">
        <v>2</v>
      </c>
      <c r="I894" s="446">
        <v>0.64583333333333337</v>
      </c>
      <c r="J894" s="446">
        <v>0.80555555555555547</v>
      </c>
      <c r="K894" s="417">
        <f t="shared" si="27"/>
        <v>7.6666666666666607</v>
      </c>
      <c r="L894" s="9">
        <v>45762</v>
      </c>
      <c r="M894" s="157" t="s">
        <v>1105</v>
      </c>
      <c r="N894" s="158" t="s">
        <v>1107</v>
      </c>
      <c r="O894" s="2"/>
    </row>
    <row r="895" spans="1:15" s="1" customFormat="1">
      <c r="A895" s="4">
        <f t="shared" si="26"/>
        <v>894</v>
      </c>
      <c r="B895" s="412"/>
      <c r="C895" s="784" t="s">
        <v>1108</v>
      </c>
      <c r="D895" s="785" t="s">
        <v>1109</v>
      </c>
      <c r="E895" s="4"/>
      <c r="F895" s="414">
        <v>2</v>
      </c>
      <c r="G895" s="179">
        <v>45763</v>
      </c>
      <c r="H895" s="415">
        <v>1</v>
      </c>
      <c r="I895" s="446">
        <v>0.29166666666666669</v>
      </c>
      <c r="J895" s="446">
        <v>0.47916666666666669</v>
      </c>
      <c r="K895" s="417">
        <f t="shared" si="27"/>
        <v>4.5</v>
      </c>
      <c r="L895" s="9">
        <v>45763</v>
      </c>
      <c r="M895" s="157" t="s">
        <v>1105</v>
      </c>
      <c r="N895" s="158" t="s">
        <v>1107</v>
      </c>
      <c r="O895" s="2"/>
    </row>
    <row r="896" spans="1:15" s="1" customFormat="1">
      <c r="A896" s="4">
        <f t="shared" si="26"/>
        <v>895</v>
      </c>
      <c r="B896" s="412"/>
      <c r="C896" s="784" t="s">
        <v>1110</v>
      </c>
      <c r="D896" s="785" t="s">
        <v>1111</v>
      </c>
      <c r="E896" s="4"/>
      <c r="F896" s="414">
        <v>2</v>
      </c>
      <c r="G896" s="179">
        <v>45765</v>
      </c>
      <c r="H896" s="415">
        <v>1</v>
      </c>
      <c r="I896" s="446">
        <v>0.59027777777777779</v>
      </c>
      <c r="J896" s="786">
        <v>0.65972222222222221</v>
      </c>
      <c r="K896" s="417">
        <f t="shared" si="27"/>
        <v>1.6666666666666661</v>
      </c>
      <c r="L896" s="9">
        <v>45765</v>
      </c>
      <c r="M896" s="157" t="s">
        <v>1105</v>
      </c>
      <c r="N896" s="158" t="s">
        <v>561</v>
      </c>
      <c r="O896" s="2"/>
    </row>
    <row r="897" spans="1:15" s="1" customFormat="1">
      <c r="A897" s="4"/>
      <c r="B897" s="412"/>
      <c r="C897" s="784" t="s">
        <v>1112</v>
      </c>
      <c r="D897" s="785" t="s">
        <v>1052</v>
      </c>
      <c r="E897" s="4"/>
      <c r="F897" s="414">
        <v>40</v>
      </c>
      <c r="G897" s="179">
        <v>45765</v>
      </c>
      <c r="H897" s="415">
        <v>3</v>
      </c>
      <c r="I897" s="446">
        <v>0.61111111111111105</v>
      </c>
      <c r="J897" s="446">
        <v>0.66666666666666663</v>
      </c>
      <c r="K897" s="417">
        <f t="shared" si="27"/>
        <v>4.0000000000000018</v>
      </c>
      <c r="L897" s="159">
        <v>45765</v>
      </c>
      <c r="M897" s="157" t="s">
        <v>1105</v>
      </c>
      <c r="N897" s="160" t="s">
        <v>662</v>
      </c>
      <c r="O897" s="2"/>
    </row>
    <row r="898" spans="1:15" s="1" customFormat="1">
      <c r="A898" s="4"/>
      <c r="B898" s="412"/>
      <c r="C898" s="787" t="s">
        <v>1113</v>
      </c>
      <c r="D898" s="788" t="s">
        <v>1106</v>
      </c>
      <c r="E898" s="4"/>
      <c r="F898" s="414">
        <v>1</v>
      </c>
      <c r="G898" s="179">
        <v>45765</v>
      </c>
      <c r="H898" s="415">
        <v>2</v>
      </c>
      <c r="I898" s="446">
        <v>0.65972222222222221</v>
      </c>
      <c r="J898" s="446">
        <v>0.80555555555555547</v>
      </c>
      <c r="K898" s="417">
        <f t="shared" si="27"/>
        <v>6.9999999999999964</v>
      </c>
      <c r="L898" s="9">
        <v>45765</v>
      </c>
      <c r="M898" s="157" t="s">
        <v>1105</v>
      </c>
      <c r="N898" s="160" t="s">
        <v>561</v>
      </c>
      <c r="O898" s="2"/>
    </row>
    <row r="899" spans="1:15" s="1" customFormat="1">
      <c r="A899" s="4"/>
      <c r="B899" s="412"/>
      <c r="C899" s="787" t="s">
        <v>1113</v>
      </c>
      <c r="D899" s="789" t="s">
        <v>1106</v>
      </c>
      <c r="E899" s="4"/>
      <c r="F899" s="414">
        <v>1</v>
      </c>
      <c r="G899" s="179">
        <v>45766</v>
      </c>
      <c r="H899" s="415">
        <v>2</v>
      </c>
      <c r="I899" s="446">
        <v>0.29166666666666669</v>
      </c>
      <c r="J899" s="446">
        <v>0.5625</v>
      </c>
      <c r="K899" s="417">
        <f t="shared" ref="K899:K961" si="28">(J899-I899)*24*H899</f>
        <v>13</v>
      </c>
      <c r="L899" s="9">
        <v>45766</v>
      </c>
      <c r="M899" s="157" t="s">
        <v>1105</v>
      </c>
      <c r="N899" s="161" t="s">
        <v>561</v>
      </c>
      <c r="O899" s="2"/>
    </row>
    <row r="900" spans="1:15" s="1" customFormat="1">
      <c r="A900" s="4"/>
      <c r="B900" s="790" t="s">
        <v>1114</v>
      </c>
      <c r="C900" s="162" t="s">
        <v>316</v>
      </c>
      <c r="D900" s="791" t="s">
        <v>1055</v>
      </c>
      <c r="E900" s="4">
        <v>1</v>
      </c>
      <c r="F900" s="414">
        <v>2</v>
      </c>
      <c r="G900" s="179">
        <v>45768</v>
      </c>
      <c r="H900" s="415">
        <v>1</v>
      </c>
      <c r="I900" s="446">
        <v>0.33333333333333331</v>
      </c>
      <c r="J900" s="446">
        <v>0.3611111111111111</v>
      </c>
      <c r="K900" s="417">
        <f t="shared" si="28"/>
        <v>0.66666666666666696</v>
      </c>
      <c r="L900" s="9">
        <v>45768</v>
      </c>
      <c r="M900" s="162" t="s">
        <v>1115</v>
      </c>
      <c r="N900" s="163" t="s">
        <v>11</v>
      </c>
      <c r="O900" s="2"/>
    </row>
    <row r="901" spans="1:15" s="1" customFormat="1">
      <c r="A901" s="4"/>
      <c r="B901" s="412"/>
      <c r="C901" s="162" t="s">
        <v>316</v>
      </c>
      <c r="D901" s="791" t="s">
        <v>1116</v>
      </c>
      <c r="E901" s="4">
        <v>1</v>
      </c>
      <c r="F901" s="414">
        <v>2</v>
      </c>
      <c r="G901" s="179">
        <v>45768</v>
      </c>
      <c r="H901" s="415">
        <v>1</v>
      </c>
      <c r="I901" s="446">
        <v>0.36805555555555558</v>
      </c>
      <c r="J901" s="446">
        <v>0.39583333333333331</v>
      </c>
      <c r="K901" s="417">
        <f t="shared" si="28"/>
        <v>0.66666666666666563</v>
      </c>
      <c r="L901" s="9">
        <v>45768</v>
      </c>
      <c r="M901" s="162" t="s">
        <v>1115</v>
      </c>
      <c r="N901" s="163" t="s">
        <v>11</v>
      </c>
      <c r="O901" s="2"/>
    </row>
    <row r="902" spans="1:15" s="1" customFormat="1">
      <c r="A902" s="4"/>
      <c r="B902" s="412"/>
      <c r="C902" s="162" t="s">
        <v>316</v>
      </c>
      <c r="D902" s="791" t="s">
        <v>1052</v>
      </c>
      <c r="E902" s="4"/>
      <c r="F902" s="414">
        <v>1</v>
      </c>
      <c r="G902" s="179">
        <v>45768</v>
      </c>
      <c r="H902" s="415">
        <v>1</v>
      </c>
      <c r="I902" s="446">
        <v>0.40277777777777773</v>
      </c>
      <c r="J902" s="446">
        <v>0.41666666666666669</v>
      </c>
      <c r="K902" s="417">
        <f t="shared" si="28"/>
        <v>0.33333333333333481</v>
      </c>
      <c r="L902" s="9">
        <v>45768</v>
      </c>
      <c r="M902" s="162" t="s">
        <v>1115</v>
      </c>
      <c r="N902" s="163" t="s">
        <v>11</v>
      </c>
      <c r="O902" s="2"/>
    </row>
    <row r="903" spans="1:15" s="1" customFormat="1">
      <c r="A903" s="4"/>
      <c r="B903" s="790" t="s">
        <v>1121</v>
      </c>
      <c r="C903" s="162" t="s">
        <v>309</v>
      </c>
      <c r="D903" s="791" t="s">
        <v>1117</v>
      </c>
      <c r="E903" s="4">
        <v>1</v>
      </c>
      <c r="F903" s="414">
        <v>2</v>
      </c>
      <c r="G903" s="179">
        <v>45768</v>
      </c>
      <c r="H903" s="415">
        <v>1</v>
      </c>
      <c r="I903" s="446">
        <v>0.4236111111111111</v>
      </c>
      <c r="J903" s="446">
        <v>0.4513888888888889</v>
      </c>
      <c r="K903" s="417">
        <f t="shared" si="28"/>
        <v>0.66666666666666696</v>
      </c>
      <c r="L903" s="9">
        <v>45768</v>
      </c>
      <c r="M903" s="162" t="s">
        <v>1115</v>
      </c>
      <c r="N903" s="163" t="s">
        <v>11</v>
      </c>
      <c r="O903" s="2"/>
    </row>
    <row r="904" spans="1:15" s="1" customFormat="1">
      <c r="A904" s="4"/>
      <c r="B904" s="412"/>
      <c r="C904" s="162" t="s">
        <v>309</v>
      </c>
      <c r="D904" s="791" t="s">
        <v>1118</v>
      </c>
      <c r="E904" s="4">
        <v>1</v>
      </c>
      <c r="F904" s="414">
        <v>2</v>
      </c>
      <c r="G904" s="179">
        <v>45768</v>
      </c>
      <c r="H904" s="415">
        <v>1</v>
      </c>
      <c r="I904" s="446">
        <v>0.45833333333333331</v>
      </c>
      <c r="J904" s="446">
        <v>0.4861111111111111</v>
      </c>
      <c r="K904" s="417">
        <f t="shared" si="28"/>
        <v>0.66666666666666696</v>
      </c>
      <c r="L904" s="9">
        <v>45768</v>
      </c>
      <c r="M904" s="162" t="s">
        <v>1115</v>
      </c>
      <c r="N904" s="163" t="s">
        <v>8</v>
      </c>
      <c r="O904" s="2"/>
    </row>
    <row r="905" spans="1:15" s="1" customFormat="1">
      <c r="A905" s="4"/>
      <c r="B905" s="790" t="s">
        <v>1120</v>
      </c>
      <c r="C905" s="162" t="s">
        <v>1057</v>
      </c>
      <c r="D905" s="791" t="s">
        <v>310</v>
      </c>
      <c r="E905" s="4"/>
      <c r="F905" s="414">
        <v>3</v>
      </c>
      <c r="G905" s="179">
        <v>45768</v>
      </c>
      <c r="H905" s="415">
        <v>1</v>
      </c>
      <c r="I905" s="446">
        <v>0.54166666666666663</v>
      </c>
      <c r="J905" s="446">
        <v>0.56944444444444442</v>
      </c>
      <c r="K905" s="417">
        <f t="shared" si="28"/>
        <v>0.66666666666666696</v>
      </c>
      <c r="L905" s="9">
        <v>45768</v>
      </c>
      <c r="M905" s="162" t="s">
        <v>1115</v>
      </c>
      <c r="N905" s="163" t="s">
        <v>6</v>
      </c>
      <c r="O905" s="2"/>
    </row>
    <row r="906" spans="1:15" s="1" customFormat="1">
      <c r="A906" s="4"/>
      <c r="B906" s="790" t="s">
        <v>1119</v>
      </c>
      <c r="C906" s="162" t="s">
        <v>320</v>
      </c>
      <c r="D906" s="791" t="s">
        <v>605</v>
      </c>
      <c r="E906" s="4"/>
      <c r="F906" s="414">
        <v>1</v>
      </c>
      <c r="G906" s="179">
        <v>45768</v>
      </c>
      <c r="H906" s="415">
        <v>1</v>
      </c>
      <c r="I906" s="446">
        <v>0.58333333333333337</v>
      </c>
      <c r="J906" s="446">
        <v>0.59722222222222221</v>
      </c>
      <c r="K906" s="417">
        <f t="shared" si="28"/>
        <v>0.33333333333333215</v>
      </c>
      <c r="L906" s="9">
        <v>45768</v>
      </c>
      <c r="M906" s="162" t="s">
        <v>1115</v>
      </c>
      <c r="N906" s="163" t="s">
        <v>6</v>
      </c>
      <c r="O906" s="2"/>
    </row>
    <row r="907" spans="1:15" s="1" customFormat="1">
      <c r="A907" s="4"/>
      <c r="B907" s="412"/>
      <c r="C907" s="164" t="s">
        <v>1122</v>
      </c>
      <c r="D907" s="792" t="s">
        <v>1123</v>
      </c>
      <c r="E907" s="4">
        <v>6</v>
      </c>
      <c r="F907" s="414">
        <v>6</v>
      </c>
      <c r="G907" s="179">
        <v>45770</v>
      </c>
      <c r="H907" s="415">
        <v>1</v>
      </c>
      <c r="I907" s="446">
        <v>0.625</v>
      </c>
      <c r="J907" s="446">
        <v>0.70833333333333337</v>
      </c>
      <c r="K907" s="417">
        <f t="shared" si="28"/>
        <v>2.0000000000000009</v>
      </c>
      <c r="L907" s="9">
        <v>45770</v>
      </c>
      <c r="M907" s="164" t="s">
        <v>1115</v>
      </c>
      <c r="N907" s="165" t="s">
        <v>1124</v>
      </c>
      <c r="O907" s="2"/>
    </row>
    <row r="908" spans="1:15" s="1" customFormat="1">
      <c r="A908" s="4"/>
      <c r="B908" s="793" t="s">
        <v>1129</v>
      </c>
      <c r="C908" s="166" t="s">
        <v>1125</v>
      </c>
      <c r="D908" s="794" t="s">
        <v>1126</v>
      </c>
      <c r="E908" s="4">
        <v>1</v>
      </c>
      <c r="F908" s="414">
        <v>1</v>
      </c>
      <c r="G908" s="179">
        <v>45771</v>
      </c>
      <c r="H908" s="415">
        <v>1</v>
      </c>
      <c r="I908" s="446">
        <v>0.375</v>
      </c>
      <c r="J908" s="446">
        <v>0.3888888888888889</v>
      </c>
      <c r="K908" s="417">
        <f t="shared" si="28"/>
        <v>0.33333333333333348</v>
      </c>
      <c r="L908" s="9">
        <v>45771</v>
      </c>
      <c r="M908" s="166" t="s">
        <v>1115</v>
      </c>
      <c r="N908" s="167" t="s">
        <v>8</v>
      </c>
      <c r="O908" s="2"/>
    </row>
    <row r="909" spans="1:15" s="1" customFormat="1">
      <c r="A909" s="4"/>
      <c r="B909" s="793" t="s">
        <v>1128</v>
      </c>
      <c r="C909" s="166" t="s">
        <v>1127</v>
      </c>
      <c r="D909" s="794" t="s">
        <v>103</v>
      </c>
      <c r="E909" s="4"/>
      <c r="F909" s="414">
        <v>1</v>
      </c>
      <c r="G909" s="179">
        <v>45771</v>
      </c>
      <c r="H909" s="415">
        <v>1</v>
      </c>
      <c r="I909" s="446">
        <v>0.39583333333333331</v>
      </c>
      <c r="J909" s="446">
        <v>0.40972222222222227</v>
      </c>
      <c r="K909" s="417">
        <f t="shared" si="28"/>
        <v>0.33333333333333481</v>
      </c>
      <c r="L909" s="9">
        <v>45771</v>
      </c>
      <c r="M909" s="166" t="s">
        <v>1115</v>
      </c>
      <c r="N909" s="167" t="s">
        <v>8</v>
      </c>
      <c r="O909" s="2"/>
    </row>
    <row r="910" spans="1:15" s="1" customFormat="1">
      <c r="A910" s="4"/>
      <c r="B910" s="795" t="s">
        <v>1130</v>
      </c>
      <c r="C910" s="168" t="s">
        <v>1082</v>
      </c>
      <c r="D910" s="796" t="s">
        <v>1100</v>
      </c>
      <c r="E910" s="4">
        <v>1</v>
      </c>
      <c r="F910" s="414">
        <v>1</v>
      </c>
      <c r="G910" s="179">
        <v>45771</v>
      </c>
      <c r="H910" s="415">
        <v>1</v>
      </c>
      <c r="I910" s="446">
        <v>0.625</v>
      </c>
      <c r="J910" s="446">
        <v>0.63888888888888895</v>
      </c>
      <c r="K910" s="417">
        <f t="shared" si="28"/>
        <v>0.33333333333333481</v>
      </c>
      <c r="L910" s="9">
        <v>45771</v>
      </c>
      <c r="M910" s="168" t="s">
        <v>1115</v>
      </c>
      <c r="N910" s="169" t="s">
        <v>7</v>
      </c>
      <c r="O910" s="2"/>
    </row>
    <row r="911" spans="1:15" s="1" customFormat="1">
      <c r="A911" s="4"/>
      <c r="B911" s="412"/>
      <c r="C911" s="170" t="s">
        <v>1131</v>
      </c>
      <c r="D911" s="797" t="s">
        <v>1133</v>
      </c>
      <c r="E911" s="4"/>
      <c r="F911" s="414">
        <v>3</v>
      </c>
      <c r="G911" s="179">
        <v>45771</v>
      </c>
      <c r="H911" s="415">
        <v>3</v>
      </c>
      <c r="I911" s="446">
        <v>0.45833333333333331</v>
      </c>
      <c r="J911" s="446">
        <v>0.75</v>
      </c>
      <c r="K911" s="417">
        <f>(J911-I911)*24*H911</f>
        <v>21</v>
      </c>
      <c r="L911" s="9">
        <v>45771</v>
      </c>
      <c r="M911" s="170" t="s">
        <v>1115</v>
      </c>
      <c r="N911" s="160" t="s">
        <v>662</v>
      </c>
      <c r="O911" s="2"/>
    </row>
    <row r="912" spans="1:15" s="1" customFormat="1">
      <c r="A912" s="4"/>
      <c r="B912" s="412"/>
      <c r="C912" s="170" t="s">
        <v>1131</v>
      </c>
      <c r="D912" s="798" t="s">
        <v>1132</v>
      </c>
      <c r="E912" s="4"/>
      <c r="F912" s="414">
        <v>1</v>
      </c>
      <c r="G912" s="179">
        <v>45771</v>
      </c>
      <c r="H912" s="415">
        <v>3</v>
      </c>
      <c r="I912" s="446">
        <v>0.70833333333333337</v>
      </c>
      <c r="J912" s="446">
        <v>0.75</v>
      </c>
      <c r="K912" s="417">
        <f t="shared" si="28"/>
        <v>2.9999999999999973</v>
      </c>
      <c r="L912" s="9">
        <v>45771</v>
      </c>
      <c r="M912" s="170" t="s">
        <v>1115</v>
      </c>
      <c r="N912" s="160" t="s">
        <v>662</v>
      </c>
      <c r="O912" s="2"/>
    </row>
    <row r="913" spans="1:15" s="1" customFormat="1">
      <c r="A913" s="4"/>
      <c r="B913" s="412"/>
      <c r="C913" s="799" t="s">
        <v>1134</v>
      </c>
      <c r="D913" s="798" t="s">
        <v>1132</v>
      </c>
      <c r="E913" s="4"/>
      <c r="F913" s="414">
        <v>1</v>
      </c>
      <c r="G913" s="179">
        <v>45772</v>
      </c>
      <c r="H913" s="415">
        <v>3</v>
      </c>
      <c r="I913" s="446">
        <v>0.29166666666666669</v>
      </c>
      <c r="J913" s="446">
        <v>0.60416666666666663</v>
      </c>
      <c r="K913" s="417">
        <f t="shared" si="28"/>
        <v>22.499999999999993</v>
      </c>
      <c r="L913" s="9">
        <v>45772</v>
      </c>
      <c r="M913" s="171" t="s">
        <v>1138</v>
      </c>
      <c r="N913" s="160" t="s">
        <v>662</v>
      </c>
      <c r="O913" s="2"/>
    </row>
    <row r="914" spans="1:15" s="1" customFormat="1">
      <c r="A914" s="4"/>
      <c r="B914" s="412"/>
      <c r="C914" s="799" t="s">
        <v>1135</v>
      </c>
      <c r="D914" s="797" t="s">
        <v>1136</v>
      </c>
      <c r="E914" s="4">
        <v>1</v>
      </c>
      <c r="F914" s="414">
        <v>1</v>
      </c>
      <c r="G914" s="179">
        <v>45772</v>
      </c>
      <c r="H914" s="415">
        <v>1</v>
      </c>
      <c r="I914" s="446">
        <v>0.41666666666666669</v>
      </c>
      <c r="J914" s="446">
        <v>0.43055555555555558</v>
      </c>
      <c r="K914" s="417">
        <f t="shared" si="28"/>
        <v>0.33333333333333348</v>
      </c>
      <c r="L914" s="9">
        <v>45772</v>
      </c>
      <c r="M914" s="171" t="s">
        <v>1138</v>
      </c>
      <c r="N914" s="160" t="s">
        <v>662</v>
      </c>
      <c r="O914" s="2"/>
    </row>
    <row r="915" spans="1:15" s="1" customFormat="1">
      <c r="A915" s="4"/>
      <c r="B915" s="412"/>
      <c r="C915" s="799" t="s">
        <v>1135</v>
      </c>
      <c r="D915" s="800" t="s">
        <v>1137</v>
      </c>
      <c r="E915" s="4">
        <v>1</v>
      </c>
      <c r="F915" s="414">
        <v>1</v>
      </c>
      <c r="G915" s="179">
        <v>45772</v>
      </c>
      <c r="H915" s="415">
        <v>1</v>
      </c>
      <c r="I915" s="446">
        <v>0.43055555555555558</v>
      </c>
      <c r="J915" s="446">
        <v>0.44444444444444442</v>
      </c>
      <c r="K915" s="417">
        <f t="shared" si="28"/>
        <v>0.33333333333333215</v>
      </c>
      <c r="L915" s="9">
        <v>45772</v>
      </c>
      <c r="M915" s="171" t="s">
        <v>1138</v>
      </c>
      <c r="N915" s="160" t="s">
        <v>662</v>
      </c>
      <c r="O915" s="2"/>
    </row>
    <row r="916" spans="1:15" s="1" customFormat="1">
      <c r="A916" s="4"/>
      <c r="B916" s="412"/>
      <c r="C916" s="801" t="s">
        <v>772</v>
      </c>
      <c r="D916" s="802" t="s">
        <v>879</v>
      </c>
      <c r="E916" s="4">
        <v>1</v>
      </c>
      <c r="F916" s="414">
        <v>1</v>
      </c>
      <c r="G916" s="179">
        <v>45772</v>
      </c>
      <c r="H916" s="415">
        <v>1</v>
      </c>
      <c r="I916" s="446">
        <v>0.60416666666666663</v>
      </c>
      <c r="J916" s="446">
        <v>0.61805555555555558</v>
      </c>
      <c r="K916" s="417">
        <f t="shared" si="28"/>
        <v>0.33333333333333481</v>
      </c>
      <c r="L916" s="9">
        <v>45772</v>
      </c>
      <c r="M916" s="171" t="s">
        <v>1138</v>
      </c>
      <c r="N916" s="172" t="s">
        <v>1139</v>
      </c>
      <c r="O916" s="2"/>
    </row>
    <row r="917" spans="1:15" s="1" customFormat="1">
      <c r="A917" s="4"/>
      <c r="B917" s="803" t="s">
        <v>1119</v>
      </c>
      <c r="C917" s="174" t="s">
        <v>320</v>
      </c>
      <c r="D917" s="804" t="s">
        <v>869</v>
      </c>
      <c r="E917" s="4">
        <v>1</v>
      </c>
      <c r="F917" s="414">
        <v>1</v>
      </c>
      <c r="G917" s="179">
        <v>45773</v>
      </c>
      <c r="H917" s="415">
        <v>1</v>
      </c>
      <c r="I917" s="446">
        <v>0.41666666666666669</v>
      </c>
      <c r="J917" s="446">
        <v>0.43055555555555558</v>
      </c>
      <c r="K917" s="417">
        <f t="shared" si="28"/>
        <v>0.33333333333333348</v>
      </c>
      <c r="L917" s="9">
        <v>45773</v>
      </c>
      <c r="M917" s="171" t="s">
        <v>1138</v>
      </c>
      <c r="N917" s="173" t="s">
        <v>8</v>
      </c>
      <c r="O917" s="2"/>
    </row>
    <row r="918" spans="1:15" s="1" customFormat="1">
      <c r="A918" s="4"/>
      <c r="B918" s="803" t="s">
        <v>1141</v>
      </c>
      <c r="C918" s="174" t="s">
        <v>1140</v>
      </c>
      <c r="D918" s="804" t="s">
        <v>310</v>
      </c>
      <c r="E918" s="4">
        <v>2</v>
      </c>
      <c r="F918" s="414">
        <v>2</v>
      </c>
      <c r="G918" s="179">
        <v>45774</v>
      </c>
      <c r="H918" s="415">
        <v>1</v>
      </c>
      <c r="I918" s="446">
        <v>0.34722222222222227</v>
      </c>
      <c r="J918" s="446">
        <v>0.375</v>
      </c>
      <c r="K918" s="417">
        <f t="shared" si="28"/>
        <v>0.66666666666666563</v>
      </c>
      <c r="L918" s="9">
        <v>45774</v>
      </c>
      <c r="M918" s="171" t="s">
        <v>1138</v>
      </c>
      <c r="N918" s="173" t="s">
        <v>6</v>
      </c>
      <c r="O918" s="2"/>
    </row>
    <row r="919" spans="1:15" s="1" customFormat="1">
      <c r="A919" s="4"/>
      <c r="B919" s="803" t="s">
        <v>1119</v>
      </c>
      <c r="C919" s="174" t="s">
        <v>320</v>
      </c>
      <c r="D919" s="804" t="s">
        <v>74</v>
      </c>
      <c r="E919" s="4">
        <v>1</v>
      </c>
      <c r="F919" s="414">
        <v>1</v>
      </c>
      <c r="G919" s="179">
        <v>45774</v>
      </c>
      <c r="H919" s="415">
        <v>1</v>
      </c>
      <c r="I919" s="446">
        <v>0.375</v>
      </c>
      <c r="J919" s="446">
        <v>0.3888888888888889</v>
      </c>
      <c r="K919" s="417">
        <f t="shared" si="28"/>
        <v>0.33333333333333348</v>
      </c>
      <c r="L919" s="9">
        <v>45774</v>
      </c>
      <c r="M919" s="174" t="s">
        <v>1138</v>
      </c>
      <c r="N919" s="173" t="s">
        <v>11</v>
      </c>
      <c r="O919" s="2"/>
    </row>
    <row r="920" spans="1:15" s="1" customFormat="1">
      <c r="A920" s="4"/>
      <c r="B920" s="412"/>
      <c r="C920" s="174" t="s">
        <v>577</v>
      </c>
      <c r="D920" s="804" t="s">
        <v>1142</v>
      </c>
      <c r="E920" s="4">
        <v>1</v>
      </c>
      <c r="F920" s="414">
        <v>1</v>
      </c>
      <c r="G920" s="179">
        <v>45774</v>
      </c>
      <c r="H920" s="415">
        <v>1</v>
      </c>
      <c r="I920" s="446">
        <v>0.3888888888888889</v>
      </c>
      <c r="J920" s="446">
        <v>0.40277777777777773</v>
      </c>
      <c r="K920" s="417">
        <f t="shared" si="28"/>
        <v>0.33333333333333215</v>
      </c>
      <c r="L920" s="9">
        <v>45774</v>
      </c>
      <c r="M920" s="174" t="s">
        <v>1138</v>
      </c>
      <c r="N920" s="173" t="s">
        <v>1139</v>
      </c>
      <c r="O920" s="2"/>
    </row>
    <row r="921" spans="1:15" s="1" customFormat="1">
      <c r="A921" s="4"/>
      <c r="B921" s="805" t="s">
        <v>1144</v>
      </c>
      <c r="C921" s="806" t="s">
        <v>1143</v>
      </c>
      <c r="D921" s="807" t="s">
        <v>111</v>
      </c>
      <c r="E921" s="4">
        <v>1</v>
      </c>
      <c r="F921" s="414">
        <v>2</v>
      </c>
      <c r="G921" s="179">
        <v>45775</v>
      </c>
      <c r="H921" s="415">
        <v>1</v>
      </c>
      <c r="I921" s="808">
        <v>0.61111111111111105</v>
      </c>
      <c r="J921" s="446">
        <v>0.63888888888888895</v>
      </c>
      <c r="K921" s="417">
        <f t="shared" si="28"/>
        <v>0.66666666666666963</v>
      </c>
      <c r="L921" s="9">
        <v>45775</v>
      </c>
      <c r="M921" s="174" t="s">
        <v>1138</v>
      </c>
      <c r="N921" s="175" t="s">
        <v>7</v>
      </c>
      <c r="O921" s="2"/>
    </row>
    <row r="922" spans="1:15" s="1" customFormat="1">
      <c r="A922" s="4"/>
      <c r="B922" s="805" t="s">
        <v>1145</v>
      </c>
      <c r="C922" s="806" t="s">
        <v>309</v>
      </c>
      <c r="D922" s="807" t="s">
        <v>1049</v>
      </c>
      <c r="E922" s="4">
        <v>3</v>
      </c>
      <c r="F922" s="414">
        <v>3</v>
      </c>
      <c r="G922" s="179">
        <v>45775</v>
      </c>
      <c r="H922" s="415">
        <v>1</v>
      </c>
      <c r="I922" s="446">
        <v>0.63888888888888895</v>
      </c>
      <c r="J922" s="446">
        <v>0.68055555555555547</v>
      </c>
      <c r="K922" s="417">
        <f t="shared" si="28"/>
        <v>0.99999999999999645</v>
      </c>
      <c r="L922" s="9">
        <v>45775</v>
      </c>
      <c r="M922" s="174" t="s">
        <v>1138</v>
      </c>
      <c r="N922" s="175" t="s">
        <v>7</v>
      </c>
      <c r="O922" s="2"/>
    </row>
    <row r="923" spans="1:15" s="1" customFormat="1">
      <c r="A923" s="4"/>
      <c r="B923" s="805" t="s">
        <v>1146</v>
      </c>
      <c r="C923" s="806" t="s">
        <v>1147</v>
      </c>
      <c r="D923" s="807" t="s">
        <v>1148</v>
      </c>
      <c r="E923" s="4">
        <v>40</v>
      </c>
      <c r="F923" s="414">
        <v>40</v>
      </c>
      <c r="G923" s="179">
        <v>45775</v>
      </c>
      <c r="H923" s="415">
        <v>2</v>
      </c>
      <c r="I923" s="446">
        <v>0.54166666666666663</v>
      </c>
      <c r="J923" s="446">
        <v>0.625</v>
      </c>
      <c r="K923" s="417">
        <f t="shared" si="28"/>
        <v>4.0000000000000018</v>
      </c>
      <c r="L923" s="9">
        <v>45775</v>
      </c>
      <c r="M923" s="174" t="s">
        <v>1138</v>
      </c>
      <c r="N923" s="175" t="s">
        <v>9</v>
      </c>
      <c r="O923" s="2"/>
    </row>
    <row r="924" spans="1:15" s="1" customFormat="1">
      <c r="A924" s="4"/>
      <c r="B924" s="809" t="s">
        <v>1141</v>
      </c>
      <c r="C924" s="176" t="s">
        <v>1140</v>
      </c>
      <c r="D924" s="810" t="s">
        <v>310</v>
      </c>
      <c r="E924" s="4">
        <v>1</v>
      </c>
      <c r="F924" s="414">
        <v>1</v>
      </c>
      <c r="G924" s="179">
        <v>45776</v>
      </c>
      <c r="H924" s="415">
        <v>1</v>
      </c>
      <c r="I924" s="446">
        <v>0.54166666666666663</v>
      </c>
      <c r="J924" s="446">
        <v>0.55555555555555558</v>
      </c>
      <c r="K924" s="417">
        <f t="shared" si="28"/>
        <v>0.33333333333333481</v>
      </c>
      <c r="L924" s="9">
        <v>45776</v>
      </c>
      <c r="M924" s="176" t="s">
        <v>1138</v>
      </c>
      <c r="N924" s="177" t="s">
        <v>6</v>
      </c>
      <c r="O924" s="2"/>
    </row>
    <row r="925" spans="1:15" s="1" customFormat="1">
      <c r="A925" s="4"/>
      <c r="B925" s="811" t="s">
        <v>1149</v>
      </c>
      <c r="C925" s="812" t="s">
        <v>1150</v>
      </c>
      <c r="D925" s="813" t="s">
        <v>286</v>
      </c>
      <c r="E925" s="4">
        <v>2</v>
      </c>
      <c r="F925" s="414">
        <v>2</v>
      </c>
      <c r="G925" s="179">
        <v>45776</v>
      </c>
      <c r="H925" s="415">
        <v>1</v>
      </c>
      <c r="I925" s="446">
        <v>0.29166666666666669</v>
      </c>
      <c r="J925" s="446">
        <v>0.31944444444444448</v>
      </c>
      <c r="K925" s="417">
        <f t="shared" si="28"/>
        <v>0.66666666666666696</v>
      </c>
      <c r="L925" s="179">
        <v>45776</v>
      </c>
      <c r="M925" s="176" t="s">
        <v>1138</v>
      </c>
      <c r="N925" s="178" t="s">
        <v>8</v>
      </c>
      <c r="O925" s="2"/>
    </row>
    <row r="926" spans="1:15" s="1" customFormat="1">
      <c r="A926" s="4"/>
      <c r="B926" s="811" t="s">
        <v>1151</v>
      </c>
      <c r="C926" s="812" t="s">
        <v>1135</v>
      </c>
      <c r="D926" s="813" t="s">
        <v>1152</v>
      </c>
      <c r="E926" s="4">
        <v>1</v>
      </c>
      <c r="F926" s="414">
        <v>1</v>
      </c>
      <c r="G926" s="179">
        <v>45776</v>
      </c>
      <c r="H926" s="415">
        <v>1</v>
      </c>
      <c r="I926" s="446">
        <v>0.34722222222222227</v>
      </c>
      <c r="J926" s="446">
        <v>0.3611111111111111</v>
      </c>
      <c r="K926" s="417">
        <f t="shared" si="28"/>
        <v>0.33333333333333215</v>
      </c>
      <c r="L926" s="179">
        <v>45776</v>
      </c>
      <c r="M926" s="176" t="s">
        <v>1138</v>
      </c>
      <c r="N926" s="178" t="s">
        <v>9</v>
      </c>
      <c r="O926" s="2"/>
    </row>
    <row r="927" spans="1:15" s="1" customFormat="1">
      <c r="A927" s="4"/>
      <c r="B927" s="811" t="s">
        <v>1151</v>
      </c>
      <c r="C927" s="812" t="s">
        <v>1135</v>
      </c>
      <c r="D927" s="813" t="s">
        <v>1153</v>
      </c>
      <c r="E927" s="4">
        <v>1</v>
      </c>
      <c r="F927" s="414">
        <v>1</v>
      </c>
      <c r="G927" s="179">
        <v>45776</v>
      </c>
      <c r="H927" s="415">
        <v>1</v>
      </c>
      <c r="I927" s="446">
        <v>0.3611111111111111</v>
      </c>
      <c r="J927" s="446">
        <v>0.375</v>
      </c>
      <c r="K927" s="417">
        <f t="shared" si="28"/>
        <v>0.33333333333333348</v>
      </c>
      <c r="L927" s="179">
        <v>45776</v>
      </c>
      <c r="M927" s="176" t="s">
        <v>1138</v>
      </c>
      <c r="N927" s="178" t="s">
        <v>9</v>
      </c>
      <c r="O927" s="2"/>
    </row>
    <row r="928" spans="1:15" s="1" customFormat="1">
      <c r="A928" s="814"/>
      <c r="B928" s="470"/>
      <c r="C928" s="815" t="s">
        <v>307</v>
      </c>
      <c r="D928" s="816" t="s">
        <v>107</v>
      </c>
      <c r="E928" s="814">
        <v>1</v>
      </c>
      <c r="F928" s="817">
        <v>1</v>
      </c>
      <c r="G928" s="818">
        <v>45776</v>
      </c>
      <c r="H928" s="130">
        <v>1</v>
      </c>
      <c r="I928" s="397">
        <v>0.41666666666666669</v>
      </c>
      <c r="J928" s="397">
        <v>0.43055555555555558</v>
      </c>
      <c r="K928" s="819">
        <f t="shared" si="28"/>
        <v>0.33333333333333348</v>
      </c>
      <c r="L928" s="180">
        <v>45776</v>
      </c>
      <c r="M928" s="181" t="s">
        <v>1138</v>
      </c>
      <c r="N928" s="182" t="s">
        <v>8</v>
      </c>
      <c r="O928" s="183"/>
    </row>
    <row r="929" spans="1:15" s="1" customFormat="1">
      <c r="A929" s="294"/>
      <c r="B929" s="477"/>
      <c r="C929" s="185" t="s">
        <v>309</v>
      </c>
      <c r="D929" s="820" t="s">
        <v>1111</v>
      </c>
      <c r="E929" s="294"/>
      <c r="F929" s="821">
        <v>1</v>
      </c>
      <c r="G929" s="822">
        <v>45776</v>
      </c>
      <c r="H929" s="728">
        <v>1</v>
      </c>
      <c r="I929" s="729">
        <v>0.33333333333333331</v>
      </c>
      <c r="J929" s="729">
        <v>0.45833333333333331</v>
      </c>
      <c r="K929" s="823">
        <f t="shared" si="28"/>
        <v>3</v>
      </c>
      <c r="L929" s="17">
        <v>45776</v>
      </c>
      <c r="M929" s="184" t="s">
        <v>1138</v>
      </c>
      <c r="N929" s="185" t="s">
        <v>662</v>
      </c>
      <c r="O929" s="2"/>
    </row>
    <row r="930" spans="1:15" s="1" customFormat="1">
      <c r="A930" s="294"/>
      <c r="B930" s="477"/>
      <c r="C930" s="824" t="s">
        <v>1154</v>
      </c>
      <c r="D930" s="825" t="s">
        <v>615</v>
      </c>
      <c r="E930" s="294">
        <v>36</v>
      </c>
      <c r="F930" s="821">
        <v>576</v>
      </c>
      <c r="G930" s="822">
        <v>45776</v>
      </c>
      <c r="H930" s="728">
        <v>4</v>
      </c>
      <c r="I930" s="729">
        <v>0.29166666666666669</v>
      </c>
      <c r="J930" s="729">
        <v>0.5</v>
      </c>
      <c r="K930" s="823">
        <f t="shared" si="28"/>
        <v>20</v>
      </c>
      <c r="L930" s="17">
        <v>45776</v>
      </c>
      <c r="M930" s="184" t="s">
        <v>1138</v>
      </c>
      <c r="N930" s="185" t="s">
        <v>662</v>
      </c>
      <c r="O930" s="2"/>
    </row>
    <row r="931" spans="1:15" s="1" customFormat="1">
      <c r="A931" s="294"/>
      <c r="B931" s="477"/>
      <c r="C931" s="824" t="s">
        <v>1154</v>
      </c>
      <c r="D931" s="825" t="s">
        <v>1155</v>
      </c>
      <c r="E931" s="294">
        <v>36</v>
      </c>
      <c r="F931" s="821">
        <f>288+144</f>
        <v>432</v>
      </c>
      <c r="G931" s="822">
        <v>45776</v>
      </c>
      <c r="H931" s="728">
        <v>4</v>
      </c>
      <c r="I931" s="729">
        <v>0.54166666666666663</v>
      </c>
      <c r="J931" s="729">
        <v>0.66666666666666663</v>
      </c>
      <c r="K931" s="823">
        <f t="shared" si="28"/>
        <v>12</v>
      </c>
      <c r="L931" s="17">
        <v>45776</v>
      </c>
      <c r="M931" s="184" t="s">
        <v>1138</v>
      </c>
      <c r="N931" s="185" t="s">
        <v>662</v>
      </c>
      <c r="O931" s="2"/>
    </row>
    <row r="932" spans="1:15" s="1" customFormat="1">
      <c r="A932" s="294"/>
      <c r="B932" s="477"/>
      <c r="C932" s="186" t="s">
        <v>1156</v>
      </c>
      <c r="D932" s="826" t="s">
        <v>1046</v>
      </c>
      <c r="E932" s="294">
        <v>5</v>
      </c>
      <c r="F932" s="821">
        <v>5</v>
      </c>
      <c r="G932" s="822">
        <v>45780</v>
      </c>
      <c r="H932" s="728">
        <v>1</v>
      </c>
      <c r="I932" s="729">
        <v>0.33333333333333331</v>
      </c>
      <c r="J932" s="729">
        <v>0.40277777777777773</v>
      </c>
      <c r="K932" s="823">
        <f t="shared" si="28"/>
        <v>1.6666666666666661</v>
      </c>
      <c r="L932" s="17">
        <v>45780</v>
      </c>
      <c r="M932" s="186" t="s">
        <v>1157</v>
      </c>
      <c r="N932" s="186" t="s">
        <v>8</v>
      </c>
      <c r="O932" s="2"/>
    </row>
    <row r="933" spans="1:15" s="1" customFormat="1">
      <c r="A933" s="294"/>
      <c r="B933" s="477"/>
      <c r="C933" s="827" t="s">
        <v>1158</v>
      </c>
      <c r="D933" s="828" t="s">
        <v>111</v>
      </c>
      <c r="E933" s="294">
        <v>1</v>
      </c>
      <c r="F933" s="821">
        <v>2</v>
      </c>
      <c r="G933" s="822">
        <v>45782</v>
      </c>
      <c r="H933" s="728">
        <v>1</v>
      </c>
      <c r="I933" s="729">
        <v>0.33333333333333331</v>
      </c>
      <c r="J933" s="729">
        <v>0.3611111111111111</v>
      </c>
      <c r="K933" s="823">
        <f t="shared" si="28"/>
        <v>0.66666666666666696</v>
      </c>
      <c r="L933" s="17">
        <v>45782</v>
      </c>
      <c r="M933" s="186" t="s">
        <v>1157</v>
      </c>
      <c r="N933" s="187" t="s">
        <v>653</v>
      </c>
      <c r="O933" s="2"/>
    </row>
    <row r="934" spans="1:15" s="1" customFormat="1">
      <c r="A934" s="294"/>
      <c r="B934" s="477"/>
      <c r="C934" s="187" t="s">
        <v>1159</v>
      </c>
      <c r="D934" s="829" t="s">
        <v>445</v>
      </c>
      <c r="E934" s="294">
        <v>3</v>
      </c>
      <c r="F934" s="821">
        <v>3</v>
      </c>
      <c r="G934" s="822">
        <v>45782</v>
      </c>
      <c r="H934" s="728">
        <v>1</v>
      </c>
      <c r="I934" s="729">
        <v>0.34722222222222227</v>
      </c>
      <c r="J934" s="729">
        <v>0.375</v>
      </c>
      <c r="K934" s="823">
        <f t="shared" si="28"/>
        <v>0.66666666666666563</v>
      </c>
      <c r="L934" s="17">
        <v>45782</v>
      </c>
      <c r="M934" s="186" t="s">
        <v>1157</v>
      </c>
      <c r="N934" s="187" t="s">
        <v>6</v>
      </c>
      <c r="O934" s="2"/>
    </row>
    <row r="935" spans="1:15" s="1" customFormat="1">
      <c r="A935" s="294"/>
      <c r="B935" s="830" t="s">
        <v>1161</v>
      </c>
      <c r="C935" s="187" t="s">
        <v>535</v>
      </c>
      <c r="D935" s="829" t="s">
        <v>1070</v>
      </c>
      <c r="E935" s="294">
        <v>4</v>
      </c>
      <c r="F935" s="821">
        <v>4</v>
      </c>
      <c r="G935" s="822">
        <v>45783</v>
      </c>
      <c r="H935" s="728">
        <v>1</v>
      </c>
      <c r="I935" s="729">
        <v>0.375</v>
      </c>
      <c r="J935" s="729">
        <v>0.3888888888888889</v>
      </c>
      <c r="K935" s="823">
        <f t="shared" si="28"/>
        <v>0.33333333333333348</v>
      </c>
      <c r="L935" s="17">
        <v>45783</v>
      </c>
      <c r="M935" s="186" t="s">
        <v>1157</v>
      </c>
      <c r="N935" s="187" t="s">
        <v>7</v>
      </c>
      <c r="O935" s="189" t="s">
        <v>1160</v>
      </c>
    </row>
    <row r="936" spans="1:15" s="1" customFormat="1">
      <c r="A936" s="294"/>
      <c r="B936" s="830" t="s">
        <v>1161</v>
      </c>
      <c r="C936" s="187" t="s">
        <v>535</v>
      </c>
      <c r="D936" s="820" t="s">
        <v>869</v>
      </c>
      <c r="E936" s="294">
        <v>1</v>
      </c>
      <c r="F936" s="821">
        <v>1</v>
      </c>
      <c r="G936" s="822">
        <v>45783</v>
      </c>
      <c r="H936" s="728">
        <v>1</v>
      </c>
      <c r="I936" s="729">
        <v>0.625</v>
      </c>
      <c r="J936" s="729">
        <v>0.63888888888888895</v>
      </c>
      <c r="K936" s="823">
        <f t="shared" si="28"/>
        <v>0.33333333333333481</v>
      </c>
      <c r="L936" s="17">
        <v>45783</v>
      </c>
      <c r="M936" s="188" t="s">
        <v>1157</v>
      </c>
      <c r="N936" s="188" t="s">
        <v>8</v>
      </c>
      <c r="O936" s="189" t="s">
        <v>1160</v>
      </c>
    </row>
    <row r="937" spans="1:15" s="1" customFormat="1">
      <c r="A937" s="294"/>
      <c r="B937" s="477"/>
      <c r="C937" s="190" t="s">
        <v>403</v>
      </c>
      <c r="D937" s="831" t="s">
        <v>1001</v>
      </c>
      <c r="E937" s="294">
        <v>45</v>
      </c>
      <c r="F937" s="821">
        <v>90</v>
      </c>
      <c r="G937" s="822">
        <v>45784</v>
      </c>
      <c r="H937" s="728">
        <v>1</v>
      </c>
      <c r="I937" s="729">
        <v>0.33333333333333331</v>
      </c>
      <c r="J937" s="729">
        <v>0.36458333333333331</v>
      </c>
      <c r="K937" s="823">
        <f>(J937-I937)*24*H937</f>
        <v>0.75</v>
      </c>
      <c r="L937" s="17">
        <v>45784</v>
      </c>
      <c r="M937" s="188" t="s">
        <v>1157</v>
      </c>
      <c r="N937" s="190" t="s">
        <v>9</v>
      </c>
      <c r="O937" s="191" t="s">
        <v>1162</v>
      </c>
    </row>
    <row r="938" spans="1:15" s="1" customFormat="1">
      <c r="A938" s="294"/>
      <c r="B938" s="477"/>
      <c r="C938" s="190" t="s">
        <v>403</v>
      </c>
      <c r="D938" s="831" t="s">
        <v>1001</v>
      </c>
      <c r="E938" s="294">
        <v>45</v>
      </c>
      <c r="F938" s="821">
        <v>90</v>
      </c>
      <c r="G938" s="17">
        <v>45784</v>
      </c>
      <c r="H938" s="832">
        <v>1</v>
      </c>
      <c r="I938" s="833">
        <v>0.36458333333333331</v>
      </c>
      <c r="J938" s="729">
        <v>0.39583333333333331</v>
      </c>
      <c r="K938" s="823">
        <f>(J938-I938)*24*H938</f>
        <v>0.75</v>
      </c>
      <c r="L938" s="17">
        <v>45784</v>
      </c>
      <c r="M938" s="188" t="s">
        <v>1157</v>
      </c>
      <c r="N938" s="190" t="s">
        <v>9</v>
      </c>
      <c r="O938" s="191" t="s">
        <v>1162</v>
      </c>
    </row>
    <row r="939" spans="1:15" s="1" customFormat="1">
      <c r="A939" s="294"/>
      <c r="B939" s="477"/>
      <c r="C939" s="191" t="s">
        <v>1163</v>
      </c>
      <c r="D939" s="834" t="s">
        <v>408</v>
      </c>
      <c r="E939" s="294">
        <v>1</v>
      </c>
      <c r="F939" s="821">
        <v>1</v>
      </c>
      <c r="G939" s="822">
        <v>45785</v>
      </c>
      <c r="H939" s="728">
        <v>1</v>
      </c>
      <c r="I939" s="729">
        <v>0.40277777777777773</v>
      </c>
      <c r="J939" s="729">
        <v>0.41666666666666669</v>
      </c>
      <c r="K939" s="823">
        <f>(J939-I939)*24*H939</f>
        <v>0.33333333333333481</v>
      </c>
      <c r="L939" s="17">
        <v>45785</v>
      </c>
      <c r="M939" s="188" t="s">
        <v>1157</v>
      </c>
      <c r="N939" s="191" t="s">
        <v>653</v>
      </c>
      <c r="O939" s="192" t="s">
        <v>1164</v>
      </c>
    </row>
    <row r="940" spans="1:15" s="1" customFormat="1">
      <c r="A940" s="294"/>
      <c r="B940" s="423" t="s">
        <v>84</v>
      </c>
      <c r="C940" s="714" t="s">
        <v>887</v>
      </c>
      <c r="D940" s="835" t="s">
        <v>425</v>
      </c>
      <c r="E940" s="294"/>
      <c r="F940" s="821">
        <v>30</v>
      </c>
      <c r="G940" s="822">
        <v>45787</v>
      </c>
      <c r="H940" s="728">
        <v>2</v>
      </c>
      <c r="I940" s="729">
        <v>0.29166666666666669</v>
      </c>
      <c r="J940" s="729">
        <v>0.4375</v>
      </c>
      <c r="K940" s="823">
        <f t="shared" si="28"/>
        <v>6.9999999999999991</v>
      </c>
      <c r="L940" s="17">
        <v>45787</v>
      </c>
      <c r="M940" s="193" t="s">
        <v>1165</v>
      </c>
      <c r="N940" s="6" t="s">
        <v>7</v>
      </c>
      <c r="O940" s="13" t="s">
        <v>151</v>
      </c>
    </row>
    <row r="941" spans="1:15" s="1" customFormat="1">
      <c r="A941" s="294"/>
      <c r="B941" s="836"/>
      <c r="C941" s="837" t="s">
        <v>603</v>
      </c>
      <c r="D941" s="838" t="s">
        <v>882</v>
      </c>
      <c r="E941" s="294">
        <v>3</v>
      </c>
      <c r="F941" s="821">
        <v>3</v>
      </c>
      <c r="G941" s="822">
        <v>45789</v>
      </c>
      <c r="H941" s="728">
        <v>1</v>
      </c>
      <c r="I941" s="729">
        <v>0.3125</v>
      </c>
      <c r="J941" s="729">
        <v>0.35416666666666669</v>
      </c>
      <c r="K941" s="823">
        <f t="shared" si="28"/>
        <v>1.0000000000000004</v>
      </c>
      <c r="L941" s="17">
        <v>45789</v>
      </c>
      <c r="M941" s="193" t="s">
        <v>1165</v>
      </c>
      <c r="N941" s="194" t="s">
        <v>6</v>
      </c>
      <c r="O941" s="195" t="s">
        <v>1166</v>
      </c>
    </row>
    <row r="942" spans="1:15" s="1" customFormat="1">
      <c r="A942" s="294"/>
      <c r="B942" s="477"/>
      <c r="C942" s="194" t="s">
        <v>595</v>
      </c>
      <c r="D942" s="839" t="s">
        <v>111</v>
      </c>
      <c r="E942" s="294">
        <v>2</v>
      </c>
      <c r="F942" s="821">
        <v>2</v>
      </c>
      <c r="G942" s="822">
        <v>45789</v>
      </c>
      <c r="H942" s="728">
        <v>1</v>
      </c>
      <c r="I942" s="729">
        <v>0.35416666666666669</v>
      </c>
      <c r="J942" s="729">
        <v>0.375</v>
      </c>
      <c r="K942" s="823">
        <f t="shared" si="28"/>
        <v>0.49999999999999956</v>
      </c>
      <c r="L942" s="17">
        <v>45789</v>
      </c>
      <c r="M942" s="193" t="s">
        <v>1165</v>
      </c>
      <c r="N942" s="194" t="s">
        <v>8</v>
      </c>
      <c r="O942" s="195" t="s">
        <v>1167</v>
      </c>
    </row>
    <row r="943" spans="1:15" s="1" customFormat="1">
      <c r="A943" s="294"/>
      <c r="B943" s="477"/>
      <c r="C943" s="196" t="s">
        <v>1168</v>
      </c>
      <c r="D943" s="840" t="s">
        <v>1100</v>
      </c>
      <c r="E943" s="294">
        <v>1</v>
      </c>
      <c r="F943" s="821">
        <v>2</v>
      </c>
      <c r="G943" s="822">
        <v>45790</v>
      </c>
      <c r="H943" s="728">
        <v>1</v>
      </c>
      <c r="I943" s="729">
        <v>0.33333333333333331</v>
      </c>
      <c r="J943" s="729">
        <v>0.35416666666666669</v>
      </c>
      <c r="K943" s="823">
        <f t="shared" si="28"/>
        <v>0.50000000000000089</v>
      </c>
      <c r="L943" s="17">
        <v>45790</v>
      </c>
      <c r="M943" s="193" t="s">
        <v>1165</v>
      </c>
      <c r="N943" s="196" t="s">
        <v>185</v>
      </c>
      <c r="O943" s="197" t="s">
        <v>1169</v>
      </c>
    </row>
    <row r="944" spans="1:15" s="1" customFormat="1">
      <c r="A944" s="294"/>
      <c r="B944" s="477"/>
      <c r="C944" s="196" t="s">
        <v>1170</v>
      </c>
      <c r="D944" s="840" t="s">
        <v>1100</v>
      </c>
      <c r="E944" s="294">
        <v>1</v>
      </c>
      <c r="F944" s="821">
        <v>2</v>
      </c>
      <c r="G944" s="822">
        <v>45790</v>
      </c>
      <c r="H944" s="728">
        <v>1</v>
      </c>
      <c r="I944" s="729">
        <v>0.35416666666666669</v>
      </c>
      <c r="J944" s="729">
        <v>0.375</v>
      </c>
      <c r="K944" s="823">
        <f t="shared" si="28"/>
        <v>0.49999999999999956</v>
      </c>
      <c r="L944" s="17">
        <v>45790</v>
      </c>
      <c r="M944" s="193" t="s">
        <v>1165</v>
      </c>
      <c r="N944" s="196" t="s">
        <v>185</v>
      </c>
      <c r="O944" s="197" t="s">
        <v>1169</v>
      </c>
    </row>
    <row r="945" spans="1:15" s="1" customFormat="1">
      <c r="A945" s="294"/>
      <c r="B945" s="477"/>
      <c r="C945" s="196" t="s">
        <v>1171</v>
      </c>
      <c r="D945" s="840" t="s">
        <v>1100</v>
      </c>
      <c r="E945" s="294">
        <v>1</v>
      </c>
      <c r="F945" s="821">
        <v>2</v>
      </c>
      <c r="G945" s="822">
        <v>45790</v>
      </c>
      <c r="H945" s="728">
        <v>1</v>
      </c>
      <c r="I945" s="729">
        <v>0.375</v>
      </c>
      <c r="J945" s="729">
        <v>0.39583333333333331</v>
      </c>
      <c r="K945" s="823">
        <f t="shared" si="28"/>
        <v>0.49999999999999956</v>
      </c>
      <c r="L945" s="17">
        <v>45790</v>
      </c>
      <c r="M945" s="193" t="s">
        <v>1165</v>
      </c>
      <c r="N945" s="196" t="s">
        <v>185</v>
      </c>
      <c r="O945" s="197" t="s">
        <v>1169</v>
      </c>
    </row>
    <row r="946" spans="1:15" s="1" customFormat="1">
      <c r="A946" s="294"/>
      <c r="B946" s="477"/>
      <c r="C946" s="196" t="s">
        <v>1172</v>
      </c>
      <c r="D946" s="840" t="s">
        <v>1100</v>
      </c>
      <c r="E946" s="294">
        <v>1</v>
      </c>
      <c r="F946" s="821">
        <v>2</v>
      </c>
      <c r="G946" s="822">
        <v>45790</v>
      </c>
      <c r="H946" s="728">
        <v>1</v>
      </c>
      <c r="I946" s="729">
        <v>0.39583333333333331</v>
      </c>
      <c r="J946" s="729">
        <v>0.41666666666666669</v>
      </c>
      <c r="K946" s="823">
        <f t="shared" si="28"/>
        <v>0.50000000000000089</v>
      </c>
      <c r="L946" s="17">
        <v>45790</v>
      </c>
      <c r="M946" s="193" t="s">
        <v>1165</v>
      </c>
      <c r="N946" s="196" t="s">
        <v>185</v>
      </c>
      <c r="O946" s="197" t="s">
        <v>1169</v>
      </c>
    </row>
    <row r="947" spans="1:15" s="1" customFormat="1">
      <c r="A947" s="294"/>
      <c r="B947" s="477"/>
      <c r="C947" s="196" t="s">
        <v>1168</v>
      </c>
      <c r="D947" s="840" t="s">
        <v>861</v>
      </c>
      <c r="E947" s="294">
        <v>1</v>
      </c>
      <c r="F947" s="821">
        <v>1</v>
      </c>
      <c r="G947" s="822">
        <v>45790</v>
      </c>
      <c r="H947" s="728">
        <v>2</v>
      </c>
      <c r="I947" s="729">
        <v>0.33333333333333331</v>
      </c>
      <c r="J947" s="729">
        <v>0.34375</v>
      </c>
      <c r="K947" s="823">
        <f t="shared" si="28"/>
        <v>0.50000000000000089</v>
      </c>
      <c r="L947" s="17">
        <v>45790</v>
      </c>
      <c r="M947" s="193" t="s">
        <v>1165</v>
      </c>
      <c r="N947" s="196" t="s">
        <v>185</v>
      </c>
      <c r="O947" s="197" t="s">
        <v>1169</v>
      </c>
    </row>
    <row r="948" spans="1:15" s="1" customFormat="1">
      <c r="A948" s="294"/>
      <c r="B948" s="477"/>
      <c r="C948" s="196" t="s">
        <v>1170</v>
      </c>
      <c r="D948" s="840" t="s">
        <v>861</v>
      </c>
      <c r="E948" s="294">
        <v>1</v>
      </c>
      <c r="F948" s="821">
        <v>1</v>
      </c>
      <c r="G948" s="822">
        <v>45790</v>
      </c>
      <c r="H948" s="728">
        <v>2</v>
      </c>
      <c r="I948" s="729">
        <v>0.34375</v>
      </c>
      <c r="J948" s="729">
        <v>0.35416666666666669</v>
      </c>
      <c r="K948" s="823">
        <f t="shared" si="28"/>
        <v>0.50000000000000089</v>
      </c>
      <c r="L948" s="17">
        <v>45790</v>
      </c>
      <c r="M948" s="193" t="s">
        <v>1165</v>
      </c>
      <c r="N948" s="196" t="s">
        <v>185</v>
      </c>
      <c r="O948" s="197" t="s">
        <v>1169</v>
      </c>
    </row>
    <row r="949" spans="1:15" s="1" customFormat="1">
      <c r="A949" s="294"/>
      <c r="B949" s="477"/>
      <c r="C949" s="196" t="s">
        <v>1171</v>
      </c>
      <c r="D949" s="840" t="s">
        <v>861</v>
      </c>
      <c r="E949" s="294">
        <v>1</v>
      </c>
      <c r="F949" s="821">
        <v>1</v>
      </c>
      <c r="G949" s="822">
        <v>45790</v>
      </c>
      <c r="H949" s="728">
        <v>2</v>
      </c>
      <c r="I949" s="729">
        <v>0.35416666666666669</v>
      </c>
      <c r="J949" s="841">
        <v>0.36458333333333331</v>
      </c>
      <c r="K949" s="823">
        <f t="shared" si="28"/>
        <v>0.49999999999999822</v>
      </c>
      <c r="L949" s="17">
        <v>45790</v>
      </c>
      <c r="M949" s="193" t="s">
        <v>1165</v>
      </c>
      <c r="N949" s="196" t="s">
        <v>185</v>
      </c>
      <c r="O949" s="197" t="s">
        <v>1169</v>
      </c>
    </row>
    <row r="950" spans="1:15" s="1" customFormat="1">
      <c r="A950" s="294"/>
      <c r="B950" s="477"/>
      <c r="C950" s="196" t="s">
        <v>1172</v>
      </c>
      <c r="D950" s="840" t="s">
        <v>861</v>
      </c>
      <c r="E950" s="294">
        <v>1</v>
      </c>
      <c r="F950" s="821">
        <v>1</v>
      </c>
      <c r="G950" s="822">
        <v>45790</v>
      </c>
      <c r="H950" s="728">
        <v>2</v>
      </c>
      <c r="I950" s="729">
        <v>0.36458333333333331</v>
      </c>
      <c r="J950" s="729">
        <v>0.375</v>
      </c>
      <c r="K950" s="823">
        <f t="shared" si="28"/>
        <v>0.50000000000000089</v>
      </c>
      <c r="L950" s="17">
        <v>45790</v>
      </c>
      <c r="M950" s="193" t="s">
        <v>1165</v>
      </c>
      <c r="N950" s="196" t="s">
        <v>185</v>
      </c>
      <c r="O950" s="197" t="s">
        <v>1169</v>
      </c>
    </row>
    <row r="951" spans="1:15" s="1" customFormat="1">
      <c r="A951" s="294"/>
      <c r="B951" s="477"/>
      <c r="C951" s="196" t="s">
        <v>1168</v>
      </c>
      <c r="D951" s="840" t="s">
        <v>82</v>
      </c>
      <c r="E951" s="294">
        <v>1</v>
      </c>
      <c r="F951" s="821">
        <v>1</v>
      </c>
      <c r="G951" s="822">
        <v>45790</v>
      </c>
      <c r="H951" s="728">
        <v>2</v>
      </c>
      <c r="I951" s="729">
        <v>0.41666666666666669</v>
      </c>
      <c r="J951" s="729">
        <v>0.43055555555555558</v>
      </c>
      <c r="K951" s="823">
        <f t="shared" si="28"/>
        <v>0.66666666666666696</v>
      </c>
      <c r="L951" s="17">
        <v>45790</v>
      </c>
      <c r="M951" s="193" t="s">
        <v>1165</v>
      </c>
      <c r="N951" s="196" t="s">
        <v>185</v>
      </c>
      <c r="O951" s="197" t="s">
        <v>1169</v>
      </c>
    </row>
    <row r="952" spans="1:15" s="1" customFormat="1">
      <c r="A952" s="294"/>
      <c r="B952" s="477"/>
      <c r="C952" s="196" t="s">
        <v>1170</v>
      </c>
      <c r="D952" s="840" t="s">
        <v>82</v>
      </c>
      <c r="E952" s="294">
        <v>1</v>
      </c>
      <c r="F952" s="821">
        <v>1</v>
      </c>
      <c r="G952" s="822">
        <v>45790</v>
      </c>
      <c r="H952" s="728">
        <v>2</v>
      </c>
      <c r="I952" s="729">
        <v>0.43055555555555558</v>
      </c>
      <c r="J952" s="729">
        <v>0.44444444444444442</v>
      </c>
      <c r="K952" s="823">
        <f t="shared" si="28"/>
        <v>0.6666666666666643</v>
      </c>
      <c r="L952" s="17">
        <v>45790</v>
      </c>
      <c r="M952" s="193" t="s">
        <v>1165</v>
      </c>
      <c r="N952" s="196" t="s">
        <v>185</v>
      </c>
      <c r="O952" s="197" t="s">
        <v>1169</v>
      </c>
    </row>
    <row r="953" spans="1:15" s="1" customFormat="1">
      <c r="A953" s="294"/>
      <c r="B953" s="477"/>
      <c r="C953" s="196" t="s">
        <v>1171</v>
      </c>
      <c r="D953" s="840" t="s">
        <v>82</v>
      </c>
      <c r="E953" s="294">
        <v>1</v>
      </c>
      <c r="F953" s="821">
        <v>1</v>
      </c>
      <c r="G953" s="822">
        <v>45790</v>
      </c>
      <c r="H953" s="728">
        <v>2</v>
      </c>
      <c r="I953" s="729">
        <v>0.44444444444444442</v>
      </c>
      <c r="J953" s="729">
        <v>0.45833333333333331</v>
      </c>
      <c r="K953" s="823">
        <f t="shared" si="28"/>
        <v>0.66666666666666696</v>
      </c>
      <c r="L953" s="17">
        <v>45790</v>
      </c>
      <c r="M953" s="193" t="s">
        <v>1165</v>
      </c>
      <c r="N953" s="196" t="s">
        <v>185</v>
      </c>
      <c r="O953" s="197" t="s">
        <v>1169</v>
      </c>
    </row>
    <row r="954" spans="1:15" s="1" customFormat="1">
      <c r="A954" s="404"/>
      <c r="B954" s="405"/>
      <c r="C954" s="196" t="s">
        <v>1172</v>
      </c>
      <c r="D954" s="840" t="s">
        <v>82</v>
      </c>
      <c r="E954" s="404">
        <v>1</v>
      </c>
      <c r="F954" s="407">
        <v>1</v>
      </c>
      <c r="G954" s="822">
        <v>45790</v>
      </c>
      <c r="H954" s="728">
        <v>2</v>
      </c>
      <c r="I954" s="398">
        <v>0.45833333333333331</v>
      </c>
      <c r="J954" s="398">
        <v>0.47222222222222227</v>
      </c>
      <c r="K954" s="411">
        <f t="shared" si="28"/>
        <v>0.66666666666666963</v>
      </c>
      <c r="L954" s="17">
        <v>45790</v>
      </c>
      <c r="M954" s="193" t="s">
        <v>1165</v>
      </c>
      <c r="N954" s="196" t="s">
        <v>185</v>
      </c>
      <c r="O954" s="197" t="s">
        <v>1169</v>
      </c>
    </row>
    <row r="955" spans="1:15" s="1" customFormat="1">
      <c r="A955" s="4"/>
      <c r="B955" s="412"/>
      <c r="C955" s="198" t="s">
        <v>698</v>
      </c>
      <c r="D955" s="418"/>
      <c r="E955" s="4">
        <v>1</v>
      </c>
      <c r="F955" s="414">
        <v>1</v>
      </c>
      <c r="G955" s="179">
        <v>45791</v>
      </c>
      <c r="H955" s="415">
        <v>2</v>
      </c>
      <c r="I955" s="446">
        <v>0.33333333333333331</v>
      </c>
      <c r="J955" s="446">
        <v>0.58333333333333337</v>
      </c>
      <c r="K955" s="417">
        <f t="shared" si="28"/>
        <v>12.000000000000004</v>
      </c>
      <c r="L955" s="9">
        <v>45791</v>
      </c>
      <c r="M955" s="198" t="s">
        <v>1165</v>
      </c>
      <c r="N955" s="200" t="s">
        <v>662</v>
      </c>
      <c r="O955" s="199" t="s">
        <v>1173</v>
      </c>
    </row>
    <row r="956" spans="1:15" s="1" customFormat="1">
      <c r="A956" s="4"/>
      <c r="B956" s="412"/>
      <c r="C956" s="201" t="s">
        <v>1174</v>
      </c>
      <c r="D956" s="418"/>
      <c r="E956" s="4"/>
      <c r="F956" s="414">
        <v>1</v>
      </c>
      <c r="G956" s="179">
        <v>45792</v>
      </c>
      <c r="H956" s="415">
        <v>1</v>
      </c>
      <c r="I956" s="446">
        <v>0.40625</v>
      </c>
      <c r="J956" s="446">
        <v>0.66666666666666663</v>
      </c>
      <c r="K956" s="417">
        <f t="shared" si="28"/>
        <v>6.2499999999999991</v>
      </c>
      <c r="L956" s="9">
        <v>45792</v>
      </c>
      <c r="M956" s="201" t="s">
        <v>1165</v>
      </c>
      <c r="N956" s="200" t="s">
        <v>662</v>
      </c>
      <c r="O956" s="202" t="s">
        <v>1175</v>
      </c>
    </row>
    <row r="957" spans="1:15" s="1" customFormat="1">
      <c r="A957" s="4"/>
      <c r="B957" s="412"/>
      <c r="C957" s="842" t="s">
        <v>49</v>
      </c>
      <c r="D957" s="843" t="s">
        <v>188</v>
      </c>
      <c r="E957" s="4">
        <v>4</v>
      </c>
      <c r="F957" s="414">
        <v>4</v>
      </c>
      <c r="G957" s="179">
        <v>45792</v>
      </c>
      <c r="H957" s="415">
        <v>2</v>
      </c>
      <c r="I957" s="446">
        <v>0.3125</v>
      </c>
      <c r="J957" s="446">
        <v>0.3263888888888889</v>
      </c>
      <c r="K957" s="417">
        <f t="shared" si="28"/>
        <v>0.66666666666666696</v>
      </c>
      <c r="L957" s="9">
        <v>45792</v>
      </c>
      <c r="M957" s="201" t="s">
        <v>1165</v>
      </c>
      <c r="N957" s="3"/>
      <c r="O957" s="203" t="s">
        <v>1181</v>
      </c>
    </row>
    <row r="958" spans="1:15" s="1" customFormat="1">
      <c r="A958" s="4"/>
      <c r="B958" s="412"/>
      <c r="C958" s="842" t="s">
        <v>49</v>
      </c>
      <c r="D958" s="843" t="s">
        <v>219</v>
      </c>
      <c r="E958" s="4">
        <v>4</v>
      </c>
      <c r="F958" s="414">
        <v>4</v>
      </c>
      <c r="G958" s="179">
        <v>45792</v>
      </c>
      <c r="H958" s="415">
        <v>2</v>
      </c>
      <c r="I958" s="446">
        <v>0.3263888888888889</v>
      </c>
      <c r="J958" s="446">
        <v>0.34027777777777773</v>
      </c>
      <c r="K958" s="417">
        <f t="shared" si="28"/>
        <v>0.6666666666666643</v>
      </c>
      <c r="L958" s="9">
        <v>45792</v>
      </c>
      <c r="M958" s="201" t="s">
        <v>1165</v>
      </c>
      <c r="N958" s="3"/>
      <c r="O958" s="203" t="s">
        <v>1181</v>
      </c>
    </row>
    <row r="959" spans="1:15" s="1" customFormat="1">
      <c r="A959" s="4"/>
      <c r="B959" s="412"/>
      <c r="C959" s="842" t="s">
        <v>49</v>
      </c>
      <c r="D959" s="843" t="s">
        <v>273</v>
      </c>
      <c r="E959" s="4">
        <v>4</v>
      </c>
      <c r="F959" s="414">
        <v>4</v>
      </c>
      <c r="G959" s="179">
        <v>45792</v>
      </c>
      <c r="H959" s="415">
        <v>2</v>
      </c>
      <c r="I959" s="446">
        <v>0.34027777777777773</v>
      </c>
      <c r="J959" s="446">
        <v>0.35416666666666669</v>
      </c>
      <c r="K959" s="417">
        <f t="shared" si="28"/>
        <v>0.66666666666666963</v>
      </c>
      <c r="L959" s="9">
        <v>45792</v>
      </c>
      <c r="M959" s="201" t="s">
        <v>1165</v>
      </c>
      <c r="N959" s="3"/>
      <c r="O959" s="203" t="s">
        <v>1181</v>
      </c>
    </row>
    <row r="960" spans="1:15" s="1" customFormat="1">
      <c r="A960" s="4"/>
      <c r="B960" s="412"/>
      <c r="C960" s="842" t="s">
        <v>49</v>
      </c>
      <c r="D960" s="843" t="s">
        <v>1176</v>
      </c>
      <c r="E960" s="4">
        <v>4</v>
      </c>
      <c r="F960" s="414">
        <v>4</v>
      </c>
      <c r="G960" s="179">
        <v>45792</v>
      </c>
      <c r="H960" s="415">
        <v>2</v>
      </c>
      <c r="I960" s="446">
        <v>0.35416666666666669</v>
      </c>
      <c r="J960" s="446">
        <v>0.36805555555555558</v>
      </c>
      <c r="K960" s="417">
        <f t="shared" si="28"/>
        <v>0.66666666666666696</v>
      </c>
      <c r="L960" s="9">
        <v>45792</v>
      </c>
      <c r="M960" s="201" t="s">
        <v>1165</v>
      </c>
      <c r="N960" s="3"/>
      <c r="O960" s="203" t="s">
        <v>1181</v>
      </c>
    </row>
    <row r="961" spans="1:15" s="1" customFormat="1">
      <c r="A961" s="4"/>
      <c r="B961" s="412"/>
      <c r="C961" s="842" t="s">
        <v>49</v>
      </c>
      <c r="D961" s="843" t="s">
        <v>1177</v>
      </c>
      <c r="E961" s="4">
        <v>4</v>
      </c>
      <c r="F961" s="414">
        <v>4</v>
      </c>
      <c r="G961" s="179">
        <v>45792</v>
      </c>
      <c r="H961" s="415">
        <v>2</v>
      </c>
      <c r="I961" s="446">
        <v>0.36805555555555558</v>
      </c>
      <c r="J961" s="446">
        <v>0.38194444444444442</v>
      </c>
      <c r="K961" s="417">
        <f t="shared" si="28"/>
        <v>0.6666666666666643</v>
      </c>
      <c r="L961" s="9">
        <v>45792</v>
      </c>
      <c r="M961" s="201" t="s">
        <v>1165</v>
      </c>
      <c r="N961" s="3"/>
      <c r="O961" s="203" t="s">
        <v>1181</v>
      </c>
    </row>
    <row r="962" spans="1:15" s="1" customFormat="1">
      <c r="A962" s="4"/>
      <c r="B962" s="412"/>
      <c r="C962" s="842" t="s">
        <v>49</v>
      </c>
      <c r="D962" s="843" t="s">
        <v>1178</v>
      </c>
      <c r="E962" s="4">
        <v>4</v>
      </c>
      <c r="F962" s="414">
        <v>4</v>
      </c>
      <c r="G962" s="179">
        <v>45792</v>
      </c>
      <c r="H962" s="415">
        <v>2</v>
      </c>
      <c r="I962" s="446">
        <v>0.38194444444444442</v>
      </c>
      <c r="J962" s="446">
        <v>0.39583333333333331</v>
      </c>
      <c r="K962" s="417">
        <f t="shared" ref="K962:K965" si="29">(J962-I962)*24*H962</f>
        <v>0.66666666666666696</v>
      </c>
      <c r="L962" s="9">
        <v>45792</v>
      </c>
      <c r="M962" s="201" t="s">
        <v>1165</v>
      </c>
      <c r="N962" s="3"/>
      <c r="O962" s="203" t="s">
        <v>1181</v>
      </c>
    </row>
    <row r="963" spans="1:15" s="1" customFormat="1">
      <c r="A963" s="4"/>
      <c r="B963" s="412"/>
      <c r="C963" s="842" t="s">
        <v>49</v>
      </c>
      <c r="D963" s="843" t="s">
        <v>1179</v>
      </c>
      <c r="E963" s="4">
        <v>4</v>
      </c>
      <c r="F963" s="414">
        <v>4</v>
      </c>
      <c r="G963" s="179">
        <v>45792</v>
      </c>
      <c r="H963" s="415">
        <v>2</v>
      </c>
      <c r="I963" s="446">
        <v>0.39583333333333331</v>
      </c>
      <c r="J963" s="446">
        <v>0.40972222222222227</v>
      </c>
      <c r="K963" s="417">
        <f>(J963-I963)*24*H963</f>
        <v>0.66666666666666963</v>
      </c>
      <c r="L963" s="9">
        <v>45792</v>
      </c>
      <c r="M963" s="201" t="s">
        <v>1165</v>
      </c>
      <c r="N963" s="3"/>
      <c r="O963" s="203" t="s">
        <v>1181</v>
      </c>
    </row>
    <row r="964" spans="1:15" s="1" customFormat="1">
      <c r="A964" s="4"/>
      <c r="B964" s="412"/>
      <c r="C964" s="842" t="s">
        <v>49</v>
      </c>
      <c r="D964" s="843" t="s">
        <v>1180</v>
      </c>
      <c r="E964" s="4">
        <v>4</v>
      </c>
      <c r="F964" s="414">
        <v>4</v>
      </c>
      <c r="G964" s="179">
        <v>45792</v>
      </c>
      <c r="H964" s="415">
        <v>2</v>
      </c>
      <c r="I964" s="446">
        <v>0.40972222222222227</v>
      </c>
      <c r="J964" s="446">
        <v>0.4236111111111111</v>
      </c>
      <c r="K964" s="417">
        <f>(J964-I964)*24*H964</f>
        <v>0.6666666666666643</v>
      </c>
      <c r="L964" s="9">
        <v>45792</v>
      </c>
      <c r="M964" s="201" t="s">
        <v>1165</v>
      </c>
      <c r="N964" s="3"/>
      <c r="O964" s="203" t="s">
        <v>1181</v>
      </c>
    </row>
    <row r="965" spans="1:15" s="1" customFormat="1">
      <c r="A965" s="4"/>
      <c r="B965" s="412"/>
      <c r="C965" s="842" t="s">
        <v>49</v>
      </c>
      <c r="D965" s="843" t="s">
        <v>106</v>
      </c>
      <c r="E965" s="4">
        <v>4</v>
      </c>
      <c r="F965" s="414">
        <v>4</v>
      </c>
      <c r="G965" s="179">
        <v>45792</v>
      </c>
      <c r="H965" s="415">
        <v>2</v>
      </c>
      <c r="I965" s="446">
        <v>0.4236111111111111</v>
      </c>
      <c r="J965" s="446">
        <v>0.4375</v>
      </c>
      <c r="K965" s="417">
        <f t="shared" si="29"/>
        <v>0.66666666666666696</v>
      </c>
      <c r="L965" s="9">
        <v>45792</v>
      </c>
      <c r="M965" s="201" t="s">
        <v>1165</v>
      </c>
      <c r="N965" s="3"/>
      <c r="O965" s="203" t="s">
        <v>1181</v>
      </c>
    </row>
    <row r="966" spans="1:15" s="1" customFormat="1">
      <c r="A966" s="4"/>
      <c r="B966" s="844" t="s">
        <v>557</v>
      </c>
      <c r="C966" s="845" t="s">
        <v>1182</v>
      </c>
      <c r="D966" s="843"/>
      <c r="E966" s="4"/>
      <c r="F966" s="414">
        <v>30</v>
      </c>
      <c r="G966" s="179">
        <v>45792</v>
      </c>
      <c r="H966" s="415">
        <v>1</v>
      </c>
      <c r="I966" s="446">
        <v>0.375</v>
      </c>
      <c r="J966" s="446">
        <v>0.41666666666666669</v>
      </c>
      <c r="K966" s="417">
        <f t="shared" ref="K966:K1029" si="30">(J966-I966)*24*H966</f>
        <v>1.0000000000000004</v>
      </c>
      <c r="L966" s="9">
        <v>45792</v>
      </c>
      <c r="M966" s="201" t="s">
        <v>1165</v>
      </c>
      <c r="N966" s="204" t="s">
        <v>1184</v>
      </c>
      <c r="O966" s="2"/>
    </row>
    <row r="967" spans="1:15" s="1" customFormat="1">
      <c r="A967" s="4"/>
      <c r="B967" s="844" t="s">
        <v>557</v>
      </c>
      <c r="C967" s="845" t="s">
        <v>1183</v>
      </c>
      <c r="D967" s="843"/>
      <c r="E967" s="4"/>
      <c r="F967" s="414">
        <v>30</v>
      </c>
      <c r="G967" s="179">
        <v>45792</v>
      </c>
      <c r="H967" s="415">
        <v>1</v>
      </c>
      <c r="I967" s="446">
        <v>0.41666666666666669</v>
      </c>
      <c r="J967" s="446">
        <v>0.45833333333333331</v>
      </c>
      <c r="K967" s="417">
        <f t="shared" si="30"/>
        <v>0.99999999999999911</v>
      </c>
      <c r="L967" s="9">
        <v>45792</v>
      </c>
      <c r="M967" s="201" t="s">
        <v>1165</v>
      </c>
      <c r="N967" s="204" t="s">
        <v>1184</v>
      </c>
      <c r="O967" s="2"/>
    </row>
    <row r="968" spans="1:15" s="1" customFormat="1">
      <c r="A968" s="4"/>
      <c r="B968" s="844" t="s">
        <v>557</v>
      </c>
      <c r="C968" s="845" t="s">
        <v>205</v>
      </c>
      <c r="D968" s="843"/>
      <c r="E968" s="4"/>
      <c r="F968" s="414">
        <v>30</v>
      </c>
      <c r="G968" s="179">
        <v>45792</v>
      </c>
      <c r="H968" s="415">
        <v>1</v>
      </c>
      <c r="I968" s="446">
        <v>0.45833333333333331</v>
      </c>
      <c r="J968" s="446">
        <v>0.5</v>
      </c>
      <c r="K968" s="417">
        <f t="shared" si="30"/>
        <v>1.0000000000000004</v>
      </c>
      <c r="L968" s="9">
        <v>45792</v>
      </c>
      <c r="M968" s="209" t="s">
        <v>1165</v>
      </c>
      <c r="N968" s="204" t="s">
        <v>1184</v>
      </c>
      <c r="O968" s="2"/>
    </row>
    <row r="969" spans="1:15" s="1" customFormat="1">
      <c r="A969" s="4"/>
      <c r="B969" s="412"/>
      <c r="C969" s="846" t="s">
        <v>595</v>
      </c>
      <c r="D969" s="847" t="s">
        <v>310</v>
      </c>
      <c r="E969" s="4">
        <v>1</v>
      </c>
      <c r="F969" s="414">
        <v>1</v>
      </c>
      <c r="G969" s="179">
        <v>45794</v>
      </c>
      <c r="H969" s="415">
        <v>1</v>
      </c>
      <c r="I969" s="446">
        <v>0.33333333333333331</v>
      </c>
      <c r="J969" s="446">
        <v>0.34375</v>
      </c>
      <c r="K969" s="417">
        <f t="shared" si="30"/>
        <v>0.25000000000000044</v>
      </c>
      <c r="L969" s="9">
        <v>45794</v>
      </c>
      <c r="M969" s="209" t="s">
        <v>1200</v>
      </c>
      <c r="N969" s="205" t="s">
        <v>7</v>
      </c>
      <c r="O969" s="206" t="s">
        <v>1185</v>
      </c>
    </row>
    <row r="970" spans="1:15" s="1" customFormat="1">
      <c r="A970" s="4"/>
      <c r="B970" s="412"/>
      <c r="C970" s="846" t="s">
        <v>595</v>
      </c>
      <c r="D970" s="847" t="s">
        <v>111</v>
      </c>
      <c r="E970" s="4">
        <v>2</v>
      </c>
      <c r="F970" s="414">
        <v>2</v>
      </c>
      <c r="G970" s="179">
        <v>45794</v>
      </c>
      <c r="H970" s="415">
        <v>1</v>
      </c>
      <c r="I970" s="446">
        <v>0.34375</v>
      </c>
      <c r="J970" s="446">
        <v>0.3576388888888889</v>
      </c>
      <c r="K970" s="417">
        <f t="shared" si="30"/>
        <v>0.33333333333333348</v>
      </c>
      <c r="L970" s="9">
        <v>45794</v>
      </c>
      <c r="M970" s="209" t="s">
        <v>1200</v>
      </c>
      <c r="N970" s="205" t="s">
        <v>7</v>
      </c>
      <c r="O970" s="206" t="s">
        <v>1185</v>
      </c>
    </row>
    <row r="971" spans="1:15" s="1" customFormat="1">
      <c r="A971" s="4"/>
      <c r="B971" s="412"/>
      <c r="C971" s="846" t="s">
        <v>30</v>
      </c>
      <c r="D971" s="847" t="s">
        <v>1186</v>
      </c>
      <c r="E971" s="4"/>
      <c r="F971" s="414">
        <v>3</v>
      </c>
      <c r="G971" s="179">
        <v>45794</v>
      </c>
      <c r="H971" s="415">
        <v>1</v>
      </c>
      <c r="I971" s="446">
        <v>0.3611111111111111</v>
      </c>
      <c r="J971" s="446">
        <v>0.40277777777777773</v>
      </c>
      <c r="K971" s="417">
        <f t="shared" si="30"/>
        <v>0.99999999999999911</v>
      </c>
      <c r="L971" s="9">
        <v>45794</v>
      </c>
      <c r="M971" s="209" t="s">
        <v>1200</v>
      </c>
      <c r="N971" s="205" t="s">
        <v>6</v>
      </c>
      <c r="O971" s="206" t="s">
        <v>1187</v>
      </c>
    </row>
    <row r="972" spans="1:15" s="1" customFormat="1">
      <c r="A972" s="4"/>
      <c r="B972" s="412"/>
      <c r="C972" s="846" t="s">
        <v>1174</v>
      </c>
      <c r="D972" s="847" t="s">
        <v>1046</v>
      </c>
      <c r="E972" s="4">
        <v>1</v>
      </c>
      <c r="F972" s="414">
        <v>1</v>
      </c>
      <c r="G972" s="179">
        <v>45793</v>
      </c>
      <c r="H972" s="415">
        <v>1</v>
      </c>
      <c r="I972" s="446">
        <v>0.33333333333333331</v>
      </c>
      <c r="J972" s="446">
        <v>0.34375</v>
      </c>
      <c r="K972" s="417">
        <f t="shared" si="30"/>
        <v>0.25000000000000044</v>
      </c>
      <c r="L972" s="9">
        <v>45793</v>
      </c>
      <c r="M972" s="209" t="s">
        <v>1200</v>
      </c>
      <c r="N972" s="205" t="s">
        <v>8</v>
      </c>
      <c r="O972" s="206" t="s">
        <v>1188</v>
      </c>
    </row>
    <row r="973" spans="1:15" s="1" customFormat="1">
      <c r="A973" s="4"/>
      <c r="B973" s="412"/>
      <c r="C973" s="4"/>
      <c r="D973" s="847" t="s">
        <v>874</v>
      </c>
      <c r="E973" s="4">
        <v>1</v>
      </c>
      <c r="F973" s="414">
        <v>2</v>
      </c>
      <c r="G973" s="179">
        <v>45793</v>
      </c>
      <c r="H973" s="415">
        <v>1</v>
      </c>
      <c r="I973" s="446">
        <v>0.34375</v>
      </c>
      <c r="J973" s="446">
        <v>0.36458333333333331</v>
      </c>
      <c r="K973" s="417">
        <f t="shared" si="30"/>
        <v>0.49999999999999956</v>
      </c>
      <c r="L973" s="9">
        <v>45793</v>
      </c>
      <c r="M973" s="209" t="s">
        <v>1200</v>
      </c>
      <c r="N973" s="205" t="s">
        <v>8</v>
      </c>
      <c r="O973" s="206" t="s">
        <v>1188</v>
      </c>
    </row>
    <row r="974" spans="1:15" s="1" customFormat="1">
      <c r="A974" s="4"/>
      <c r="B974" s="412"/>
      <c r="C974" s="4"/>
      <c r="D974" s="847" t="s">
        <v>873</v>
      </c>
      <c r="E974" s="4">
        <v>1</v>
      </c>
      <c r="F974" s="414">
        <v>2</v>
      </c>
      <c r="G974" s="179">
        <v>45793</v>
      </c>
      <c r="H974" s="415">
        <v>1</v>
      </c>
      <c r="I974" s="446">
        <v>0.36458333333333331</v>
      </c>
      <c r="J974" s="446">
        <v>0.38541666666666669</v>
      </c>
      <c r="K974" s="417">
        <f t="shared" si="30"/>
        <v>0.50000000000000089</v>
      </c>
      <c r="L974" s="9">
        <v>45793</v>
      </c>
      <c r="M974" s="209" t="s">
        <v>1200</v>
      </c>
      <c r="N974" s="205" t="s">
        <v>8</v>
      </c>
      <c r="O974" s="206" t="s">
        <v>1188</v>
      </c>
    </row>
    <row r="975" spans="1:15" s="1" customFormat="1">
      <c r="A975" s="4"/>
      <c r="B975" s="412"/>
      <c r="C975" s="4"/>
      <c r="D975" s="847" t="s">
        <v>1100</v>
      </c>
      <c r="E975" s="4">
        <v>1</v>
      </c>
      <c r="F975" s="414">
        <v>2</v>
      </c>
      <c r="G975" s="179">
        <v>45793</v>
      </c>
      <c r="H975" s="415">
        <v>1</v>
      </c>
      <c r="I975" s="446">
        <v>0.38541666666666669</v>
      </c>
      <c r="J975" s="446">
        <v>0.40625</v>
      </c>
      <c r="K975" s="417">
        <f t="shared" si="30"/>
        <v>0.49999999999999956</v>
      </c>
      <c r="L975" s="9">
        <v>45793</v>
      </c>
      <c r="M975" s="209" t="s">
        <v>1200</v>
      </c>
      <c r="N975" s="205" t="s">
        <v>8</v>
      </c>
      <c r="O975" s="206" t="s">
        <v>1188</v>
      </c>
    </row>
    <row r="976" spans="1:15" s="1" customFormat="1">
      <c r="A976" s="4"/>
      <c r="B976" s="412"/>
      <c r="C976" s="4"/>
      <c r="D976" s="847" t="s">
        <v>861</v>
      </c>
      <c r="E976" s="4">
        <v>1</v>
      </c>
      <c r="F976" s="414">
        <v>2</v>
      </c>
      <c r="G976" s="179">
        <v>45793</v>
      </c>
      <c r="H976" s="415">
        <v>1</v>
      </c>
      <c r="I976" s="446">
        <v>0.40625</v>
      </c>
      <c r="J976" s="446">
        <v>0.42708333333333331</v>
      </c>
      <c r="K976" s="417">
        <f t="shared" si="30"/>
        <v>0.49999999999999956</v>
      </c>
      <c r="L976" s="9">
        <v>45793</v>
      </c>
      <c r="M976" s="209" t="s">
        <v>1200</v>
      </c>
      <c r="N976" s="205" t="s">
        <v>8</v>
      </c>
      <c r="O976" s="206" t="s">
        <v>1188</v>
      </c>
    </row>
    <row r="977" spans="1:15" s="1" customFormat="1">
      <c r="A977" s="4"/>
      <c r="B977" s="412"/>
      <c r="C977" s="4"/>
      <c r="D977" s="847" t="s">
        <v>262</v>
      </c>
      <c r="E977" s="4">
        <v>1</v>
      </c>
      <c r="F977" s="414">
        <v>2</v>
      </c>
      <c r="G977" s="179">
        <v>45793</v>
      </c>
      <c r="H977" s="415">
        <v>1</v>
      </c>
      <c r="I977" s="446">
        <v>0.42708333333333331</v>
      </c>
      <c r="J977" s="446">
        <v>0.44791666666666669</v>
      </c>
      <c r="K977" s="417">
        <f t="shared" si="30"/>
        <v>0.50000000000000089</v>
      </c>
      <c r="L977" s="9">
        <v>45793</v>
      </c>
      <c r="M977" s="209" t="s">
        <v>1200</v>
      </c>
      <c r="N977" s="205" t="s">
        <v>8</v>
      </c>
      <c r="O977" s="206" t="s">
        <v>1188</v>
      </c>
    </row>
    <row r="978" spans="1:15" s="1" customFormat="1">
      <c r="A978" s="4"/>
      <c r="B978" s="412"/>
      <c r="C978" s="4"/>
      <c r="D978" s="847" t="s">
        <v>183</v>
      </c>
      <c r="E978" s="4">
        <v>1</v>
      </c>
      <c r="F978" s="414">
        <v>2</v>
      </c>
      <c r="G978" s="179">
        <v>45793</v>
      </c>
      <c r="H978" s="415">
        <v>1</v>
      </c>
      <c r="I978" s="446">
        <v>0.44791666666666669</v>
      </c>
      <c r="J978" s="446">
        <v>0.46875</v>
      </c>
      <c r="K978" s="417">
        <f t="shared" si="30"/>
        <v>0.49999999999999956</v>
      </c>
      <c r="L978" s="9">
        <v>45793</v>
      </c>
      <c r="M978" s="209" t="s">
        <v>1200</v>
      </c>
      <c r="N978" s="205" t="s">
        <v>8</v>
      </c>
      <c r="O978" s="206" t="s">
        <v>1188</v>
      </c>
    </row>
    <row r="979" spans="1:15" s="1" customFormat="1">
      <c r="A979" s="4"/>
      <c r="B979" s="412"/>
      <c r="C979" s="4"/>
      <c r="D979" s="847" t="s">
        <v>439</v>
      </c>
      <c r="E979" s="4">
        <v>1</v>
      </c>
      <c r="F979" s="414">
        <v>2</v>
      </c>
      <c r="G979" s="179">
        <v>45793</v>
      </c>
      <c r="H979" s="415">
        <v>1</v>
      </c>
      <c r="I979" s="446">
        <v>0.46875</v>
      </c>
      <c r="J979" s="446">
        <v>0.48958333333333331</v>
      </c>
      <c r="K979" s="417">
        <f t="shared" si="30"/>
        <v>0.49999999999999956</v>
      </c>
      <c r="L979" s="9">
        <v>45793</v>
      </c>
      <c r="M979" s="209" t="s">
        <v>1200</v>
      </c>
      <c r="N979" s="205" t="s">
        <v>8</v>
      </c>
      <c r="O979" s="206" t="s">
        <v>1188</v>
      </c>
    </row>
    <row r="980" spans="1:15" s="1" customFormat="1">
      <c r="A980" s="4"/>
      <c r="B980" s="412"/>
      <c r="C980" s="846" t="s">
        <v>595</v>
      </c>
      <c r="D980" s="847" t="s">
        <v>1189</v>
      </c>
      <c r="E980" s="4">
        <v>5</v>
      </c>
      <c r="F980" s="414">
        <v>5</v>
      </c>
      <c r="G980" s="179">
        <v>45793</v>
      </c>
      <c r="H980" s="415">
        <v>2</v>
      </c>
      <c r="I980" s="446">
        <v>0.54166666666666663</v>
      </c>
      <c r="J980" s="446">
        <v>0.54861111111111105</v>
      </c>
      <c r="K980" s="417">
        <f t="shared" si="30"/>
        <v>0.33333333333333215</v>
      </c>
      <c r="L980" s="9">
        <v>45793</v>
      </c>
      <c r="M980" s="209" t="s">
        <v>1200</v>
      </c>
      <c r="N980" s="205" t="s">
        <v>8</v>
      </c>
      <c r="O980" s="207" t="s">
        <v>1190</v>
      </c>
    </row>
    <row r="981" spans="1:15" s="1" customFormat="1">
      <c r="A981" s="4"/>
      <c r="B981" s="412"/>
      <c r="C981" s="209" t="s">
        <v>577</v>
      </c>
      <c r="D981" s="848" t="s">
        <v>1142</v>
      </c>
      <c r="E981" s="4">
        <v>3</v>
      </c>
      <c r="F981" s="414">
        <v>6</v>
      </c>
      <c r="G981" s="179">
        <v>45793</v>
      </c>
      <c r="H981" s="415">
        <v>2</v>
      </c>
      <c r="I981" s="446">
        <v>0.54861111111111105</v>
      </c>
      <c r="J981" s="446">
        <v>0.56944444444444442</v>
      </c>
      <c r="K981" s="417">
        <f t="shared" si="30"/>
        <v>1.0000000000000018</v>
      </c>
      <c r="L981" s="9">
        <v>45793</v>
      </c>
      <c r="M981" s="209" t="s">
        <v>1200</v>
      </c>
      <c r="N981" s="208" t="s">
        <v>11</v>
      </c>
      <c r="O981" s="207" t="s">
        <v>1191</v>
      </c>
    </row>
    <row r="982" spans="1:15" s="1" customFormat="1">
      <c r="A982" s="4"/>
      <c r="B982" s="412"/>
      <c r="C982" s="4"/>
      <c r="D982" s="848" t="s">
        <v>882</v>
      </c>
      <c r="E982" s="4">
        <v>1</v>
      </c>
      <c r="F982" s="414">
        <v>2</v>
      </c>
      <c r="G982" s="179">
        <v>45793</v>
      </c>
      <c r="H982" s="415">
        <v>2</v>
      </c>
      <c r="I982" s="446">
        <v>0.56944444444444442</v>
      </c>
      <c r="J982" s="446">
        <v>0.57638888888888895</v>
      </c>
      <c r="K982" s="417">
        <f t="shared" si="30"/>
        <v>0.33333333333333748</v>
      </c>
      <c r="L982" s="9">
        <v>45793</v>
      </c>
      <c r="M982" s="209" t="s">
        <v>1200</v>
      </c>
      <c r="N982" s="208" t="s">
        <v>11</v>
      </c>
      <c r="O982" s="207" t="s">
        <v>1191</v>
      </c>
    </row>
    <row r="983" spans="1:15" s="1" customFormat="1">
      <c r="A983" s="4"/>
      <c r="B983" s="412"/>
      <c r="C983" s="4"/>
      <c r="D983" s="848" t="s">
        <v>1192</v>
      </c>
      <c r="E983" s="4">
        <v>3</v>
      </c>
      <c r="F983" s="414">
        <v>3</v>
      </c>
      <c r="G983" s="179">
        <v>45793</v>
      </c>
      <c r="H983" s="415">
        <v>2</v>
      </c>
      <c r="I983" s="446">
        <v>0.57638888888888895</v>
      </c>
      <c r="J983" s="446">
        <v>0.59027777777777779</v>
      </c>
      <c r="K983" s="417">
        <f t="shared" si="30"/>
        <v>0.6666666666666643</v>
      </c>
      <c r="L983" s="9">
        <v>45793</v>
      </c>
      <c r="M983" s="209" t="s">
        <v>1200</v>
      </c>
      <c r="N983" s="208" t="s">
        <v>11</v>
      </c>
      <c r="O983" s="207" t="s">
        <v>1191</v>
      </c>
    </row>
    <row r="984" spans="1:15" s="1" customFormat="1">
      <c r="A984" s="4"/>
      <c r="B984" s="412"/>
      <c r="C984" s="209" t="s">
        <v>652</v>
      </c>
      <c r="D984" s="848" t="s">
        <v>878</v>
      </c>
      <c r="E984" s="4">
        <v>1</v>
      </c>
      <c r="F984" s="414">
        <v>1</v>
      </c>
      <c r="G984" s="179">
        <v>45793</v>
      </c>
      <c r="H984" s="415">
        <v>2</v>
      </c>
      <c r="I984" s="446">
        <v>0.59722222222222221</v>
      </c>
      <c r="J984" s="446">
        <v>0.61111111111111105</v>
      </c>
      <c r="K984" s="417">
        <f t="shared" si="30"/>
        <v>0.6666666666666643</v>
      </c>
      <c r="L984" s="9">
        <v>45793</v>
      </c>
      <c r="M984" s="209" t="s">
        <v>1200</v>
      </c>
      <c r="N984" s="208" t="s">
        <v>6</v>
      </c>
      <c r="O984" s="207" t="s">
        <v>1191</v>
      </c>
    </row>
    <row r="985" spans="1:15" s="1" customFormat="1">
      <c r="A985" s="4"/>
      <c r="B985" s="412"/>
      <c r="C985" s="4"/>
      <c r="D985" s="848" t="s">
        <v>882</v>
      </c>
      <c r="E985" s="4">
        <v>1</v>
      </c>
      <c r="F985" s="414">
        <v>1</v>
      </c>
      <c r="G985" s="179">
        <v>45793</v>
      </c>
      <c r="H985" s="415">
        <v>2</v>
      </c>
      <c r="I985" s="446">
        <v>0.61111111111111105</v>
      </c>
      <c r="J985" s="446">
        <v>0.625</v>
      </c>
      <c r="K985" s="417">
        <f t="shared" si="30"/>
        <v>0.66666666666666963</v>
      </c>
      <c r="L985" s="9">
        <v>45793</v>
      </c>
      <c r="M985" s="209" t="s">
        <v>1200</v>
      </c>
      <c r="N985" s="208" t="s">
        <v>6</v>
      </c>
      <c r="O985" s="207" t="s">
        <v>1191</v>
      </c>
    </row>
    <row r="986" spans="1:15" s="1" customFormat="1">
      <c r="A986" s="4"/>
      <c r="B986" s="412"/>
      <c r="C986" s="209" t="s">
        <v>1125</v>
      </c>
      <c r="D986" s="848" t="s">
        <v>1117</v>
      </c>
      <c r="E986" s="4">
        <v>1</v>
      </c>
      <c r="F986" s="414">
        <v>2</v>
      </c>
      <c r="G986" s="179">
        <v>45793</v>
      </c>
      <c r="H986" s="415">
        <v>2</v>
      </c>
      <c r="I986" s="446">
        <v>0.625</v>
      </c>
      <c r="J986" s="446">
        <v>0.64583333333333337</v>
      </c>
      <c r="K986" s="417">
        <f t="shared" si="30"/>
        <v>1.0000000000000018</v>
      </c>
      <c r="L986" s="9">
        <v>45793</v>
      </c>
      <c r="M986" s="209" t="s">
        <v>1200</v>
      </c>
      <c r="N986" s="208" t="s">
        <v>6</v>
      </c>
      <c r="O986" s="207" t="s">
        <v>1193</v>
      </c>
    </row>
    <row r="987" spans="1:15" s="1" customFormat="1">
      <c r="A987" s="4"/>
      <c r="B987" s="412"/>
      <c r="C987" s="4"/>
      <c r="D987" s="848" t="s">
        <v>1194</v>
      </c>
      <c r="E987" s="4">
        <v>1</v>
      </c>
      <c r="F987" s="414">
        <v>2</v>
      </c>
      <c r="G987" s="179">
        <v>45793</v>
      </c>
      <c r="H987" s="415">
        <v>2</v>
      </c>
      <c r="I987" s="446">
        <v>0.64583333333333337</v>
      </c>
      <c r="J987" s="446">
        <v>0.66666666666666663</v>
      </c>
      <c r="K987" s="417">
        <f t="shared" si="30"/>
        <v>0.99999999999999645</v>
      </c>
      <c r="L987" s="9">
        <v>45793</v>
      </c>
      <c r="M987" s="209" t="s">
        <v>1200</v>
      </c>
      <c r="N987" s="208" t="s">
        <v>6</v>
      </c>
      <c r="O987" s="207" t="s">
        <v>1193</v>
      </c>
    </row>
    <row r="988" spans="1:15" s="1" customFormat="1">
      <c r="A988" s="4"/>
      <c r="B988" s="412"/>
      <c r="C988" s="209" t="s">
        <v>250</v>
      </c>
      <c r="D988" s="848" t="s">
        <v>1046</v>
      </c>
      <c r="E988" s="4">
        <v>1</v>
      </c>
      <c r="F988" s="414">
        <v>1</v>
      </c>
      <c r="G988" s="179">
        <v>45793</v>
      </c>
      <c r="H988" s="415">
        <v>2</v>
      </c>
      <c r="I988" s="446">
        <v>0.54166666666666663</v>
      </c>
      <c r="J988" s="446">
        <v>0.55208333333333337</v>
      </c>
      <c r="K988" s="417">
        <f t="shared" si="30"/>
        <v>0.50000000000000355</v>
      </c>
      <c r="L988" s="9">
        <v>45793</v>
      </c>
      <c r="M988" s="209" t="s">
        <v>1200</v>
      </c>
      <c r="N988" s="208" t="s">
        <v>6</v>
      </c>
      <c r="O988" s="207" t="s">
        <v>1195</v>
      </c>
    </row>
    <row r="989" spans="1:15" s="1" customFormat="1">
      <c r="A989" s="4"/>
      <c r="B989" s="412"/>
      <c r="C989" s="209" t="s">
        <v>1196</v>
      </c>
      <c r="D989" s="848" t="s">
        <v>286</v>
      </c>
      <c r="E989" s="4">
        <v>15</v>
      </c>
      <c r="F989" s="414">
        <v>15</v>
      </c>
      <c r="G989" s="179">
        <v>45793</v>
      </c>
      <c r="H989" s="415">
        <v>2</v>
      </c>
      <c r="I989" s="446">
        <v>0.5625</v>
      </c>
      <c r="J989" s="446">
        <v>0.60416666666666663</v>
      </c>
      <c r="K989" s="417">
        <f t="shared" si="30"/>
        <v>1.9999999999999982</v>
      </c>
      <c r="L989" s="9">
        <v>45793</v>
      </c>
      <c r="M989" s="209" t="s">
        <v>1200</v>
      </c>
      <c r="N989" s="208" t="s">
        <v>6</v>
      </c>
      <c r="O989" s="207" t="s">
        <v>1197</v>
      </c>
    </row>
    <row r="990" spans="1:15" s="1" customFormat="1">
      <c r="A990" s="4"/>
      <c r="B990" s="412"/>
      <c r="C990" s="209" t="s">
        <v>1198</v>
      </c>
      <c r="D990" s="848" t="s">
        <v>408</v>
      </c>
      <c r="E990" s="4">
        <v>18</v>
      </c>
      <c r="F990" s="414">
        <v>18</v>
      </c>
      <c r="G990" s="179">
        <v>45793</v>
      </c>
      <c r="H990" s="415">
        <v>2</v>
      </c>
      <c r="I990" s="446">
        <v>0.60416666666666663</v>
      </c>
      <c r="J990" s="446">
        <v>0.64583333333333337</v>
      </c>
      <c r="K990" s="417">
        <f t="shared" si="30"/>
        <v>2.0000000000000036</v>
      </c>
      <c r="L990" s="9">
        <v>45793</v>
      </c>
      <c r="M990" s="209" t="s">
        <v>1200</v>
      </c>
      <c r="N990" s="208" t="s">
        <v>6</v>
      </c>
      <c r="O990" s="207" t="s">
        <v>1199</v>
      </c>
    </row>
    <row r="991" spans="1:15" s="1" customFormat="1">
      <c r="A991" s="4"/>
      <c r="B991" s="412"/>
      <c r="C991" s="210" t="s">
        <v>1201</v>
      </c>
      <c r="D991" s="849" t="s">
        <v>237</v>
      </c>
      <c r="E991" s="4">
        <v>1</v>
      </c>
      <c r="F991" s="414">
        <v>1</v>
      </c>
      <c r="G991" s="179">
        <v>45796</v>
      </c>
      <c r="H991" s="415">
        <v>1</v>
      </c>
      <c r="I991" s="446">
        <v>0.375</v>
      </c>
      <c r="J991" s="446">
        <v>0.38541666666666669</v>
      </c>
      <c r="K991" s="417">
        <f t="shared" si="30"/>
        <v>0.25000000000000044</v>
      </c>
      <c r="L991" s="9">
        <v>45796</v>
      </c>
      <c r="M991" s="210" t="s">
        <v>1200</v>
      </c>
      <c r="N991" s="211" t="s">
        <v>8</v>
      </c>
      <c r="O991" s="212" t="s">
        <v>1202</v>
      </c>
    </row>
    <row r="992" spans="1:15" s="1" customFormat="1">
      <c r="A992" s="4"/>
      <c r="B992" s="850" t="s">
        <v>557</v>
      </c>
      <c r="C992" s="851" t="s">
        <v>1206</v>
      </c>
      <c r="D992" s="843"/>
      <c r="E992" s="4"/>
      <c r="F992" s="414">
        <v>4</v>
      </c>
      <c r="G992" s="179">
        <v>45796</v>
      </c>
      <c r="H992" s="415">
        <v>2</v>
      </c>
      <c r="I992" s="446">
        <v>0.3888888888888889</v>
      </c>
      <c r="J992" s="446">
        <v>0.40972222222222227</v>
      </c>
      <c r="K992" s="417">
        <f t="shared" si="30"/>
        <v>1.0000000000000018</v>
      </c>
      <c r="L992" s="9">
        <v>45796</v>
      </c>
      <c r="M992" s="210" t="s">
        <v>1200</v>
      </c>
      <c r="N992" s="215" t="s">
        <v>185</v>
      </c>
      <c r="O992" s="213" t="s">
        <v>1207</v>
      </c>
    </row>
    <row r="993" spans="1:15" s="1" customFormat="1">
      <c r="A993" s="4"/>
      <c r="B993" s="850" t="s">
        <v>557</v>
      </c>
      <c r="C993" s="851" t="s">
        <v>1203</v>
      </c>
      <c r="D993" s="843"/>
      <c r="E993" s="4"/>
      <c r="F993" s="414">
        <v>1</v>
      </c>
      <c r="G993" s="179">
        <v>45796</v>
      </c>
      <c r="H993" s="415">
        <v>2</v>
      </c>
      <c r="I993" s="446">
        <v>0.40972222222222227</v>
      </c>
      <c r="J993" s="446">
        <v>0.41666666666666669</v>
      </c>
      <c r="K993" s="417">
        <f t="shared" si="30"/>
        <v>0.33333333333333215</v>
      </c>
      <c r="L993" s="9">
        <v>45796</v>
      </c>
      <c r="M993" s="210" t="s">
        <v>1200</v>
      </c>
      <c r="N993" s="215" t="s">
        <v>185</v>
      </c>
      <c r="O993" s="213" t="s">
        <v>1207</v>
      </c>
    </row>
    <row r="994" spans="1:15" s="1" customFormat="1">
      <c r="A994" s="4"/>
      <c r="B994" s="850" t="s">
        <v>557</v>
      </c>
      <c r="C994" s="851" t="s">
        <v>1204</v>
      </c>
      <c r="D994" s="843"/>
      <c r="E994" s="4"/>
      <c r="F994" s="414">
        <v>1</v>
      </c>
      <c r="G994" s="179">
        <v>45796</v>
      </c>
      <c r="H994" s="415">
        <v>2</v>
      </c>
      <c r="I994" s="446">
        <v>0.4236111111111111</v>
      </c>
      <c r="J994" s="852">
        <v>0.43055555555555558</v>
      </c>
      <c r="K994" s="417">
        <f t="shared" si="30"/>
        <v>0.33333333333333481</v>
      </c>
      <c r="L994" s="9">
        <v>45796</v>
      </c>
      <c r="M994" s="210" t="s">
        <v>1200</v>
      </c>
      <c r="N994" s="215" t="s">
        <v>185</v>
      </c>
      <c r="O994" s="213" t="s">
        <v>1207</v>
      </c>
    </row>
    <row r="995" spans="1:15" s="1" customFormat="1">
      <c r="A995" s="4"/>
      <c r="B995" s="850" t="s">
        <v>557</v>
      </c>
      <c r="C995" s="851" t="s">
        <v>1205</v>
      </c>
      <c r="D995" s="843"/>
      <c r="E995" s="4"/>
      <c r="F995" s="414">
        <v>2</v>
      </c>
      <c r="G995" s="179">
        <v>45796</v>
      </c>
      <c r="H995" s="415">
        <v>2</v>
      </c>
      <c r="I995" s="446">
        <v>0.43055555555555558</v>
      </c>
      <c r="J995" s="446">
        <v>0.44097222222222227</v>
      </c>
      <c r="K995" s="417">
        <f t="shared" si="30"/>
        <v>0.50000000000000089</v>
      </c>
      <c r="L995" s="9">
        <v>45796</v>
      </c>
      <c r="M995" s="210" t="s">
        <v>1200</v>
      </c>
      <c r="N995" s="215" t="s">
        <v>185</v>
      </c>
      <c r="O995" s="213" t="s">
        <v>1207</v>
      </c>
    </row>
    <row r="996" spans="1:15" s="1" customFormat="1">
      <c r="A996" s="4"/>
      <c r="B996" s="850" t="s">
        <v>557</v>
      </c>
      <c r="C996" s="853" t="s">
        <v>1212</v>
      </c>
      <c r="D996" s="854" t="s">
        <v>1213</v>
      </c>
      <c r="E996" s="4"/>
      <c r="F996" s="414">
        <v>20</v>
      </c>
      <c r="G996" s="179">
        <v>45797</v>
      </c>
      <c r="H996" s="415">
        <v>1</v>
      </c>
      <c r="I996" s="446">
        <v>0.375</v>
      </c>
      <c r="J996" s="446">
        <v>0.3923611111111111</v>
      </c>
      <c r="K996" s="417">
        <f t="shared" si="30"/>
        <v>0.41666666666666652</v>
      </c>
      <c r="L996" s="179">
        <v>45797</v>
      </c>
      <c r="M996" s="210" t="s">
        <v>1200</v>
      </c>
      <c r="N996" s="214" t="s">
        <v>1184</v>
      </c>
      <c r="O996" s="216" t="s">
        <v>151</v>
      </c>
    </row>
    <row r="997" spans="1:15" s="1" customFormat="1">
      <c r="A997" s="4"/>
      <c r="B997" s="850" t="s">
        <v>557</v>
      </c>
      <c r="C997" s="4"/>
      <c r="D997" s="854" t="s">
        <v>1208</v>
      </c>
      <c r="E997" s="4"/>
      <c r="F997" s="414">
        <v>20</v>
      </c>
      <c r="G997" s="179">
        <v>45797</v>
      </c>
      <c r="H997" s="415">
        <v>1</v>
      </c>
      <c r="I997" s="446">
        <v>0.39583333333333331</v>
      </c>
      <c r="J997" s="446">
        <v>0.41319444444444442</v>
      </c>
      <c r="K997" s="417">
        <f t="shared" si="30"/>
        <v>0.41666666666666652</v>
      </c>
      <c r="L997" s="179">
        <v>45797</v>
      </c>
      <c r="M997" s="210" t="s">
        <v>1200</v>
      </c>
      <c r="N997" s="214" t="s">
        <v>1184</v>
      </c>
      <c r="O997" s="216" t="s">
        <v>151</v>
      </c>
    </row>
    <row r="998" spans="1:15" s="1" customFormat="1">
      <c r="A998" s="4"/>
      <c r="B998" s="850" t="s">
        <v>557</v>
      </c>
      <c r="C998" s="4"/>
      <c r="D998" s="854" t="s">
        <v>1209</v>
      </c>
      <c r="E998" s="4"/>
      <c r="F998" s="414">
        <v>20</v>
      </c>
      <c r="G998" s="179">
        <v>45797</v>
      </c>
      <c r="H998" s="415">
        <v>1</v>
      </c>
      <c r="I998" s="446">
        <v>0.41666666666666669</v>
      </c>
      <c r="J998" s="446">
        <v>0.43055555555555558</v>
      </c>
      <c r="K998" s="417">
        <f t="shared" si="30"/>
        <v>0.33333333333333348</v>
      </c>
      <c r="L998" s="179">
        <v>45797</v>
      </c>
      <c r="M998" s="210" t="s">
        <v>1200</v>
      </c>
      <c r="N998" s="214" t="s">
        <v>1184</v>
      </c>
      <c r="O998" s="216" t="s">
        <v>151</v>
      </c>
    </row>
    <row r="999" spans="1:15" s="1" customFormat="1">
      <c r="A999" s="4"/>
      <c r="B999" s="850" t="s">
        <v>557</v>
      </c>
      <c r="C999" s="4"/>
      <c r="D999" s="854" t="s">
        <v>409</v>
      </c>
      <c r="E999" s="4"/>
      <c r="F999" s="414">
        <v>20</v>
      </c>
      <c r="G999" s="179">
        <v>45797</v>
      </c>
      <c r="H999" s="415">
        <v>1</v>
      </c>
      <c r="I999" s="446">
        <v>0.43055555555555558</v>
      </c>
      <c r="J999" s="446">
        <v>0.44444444444444442</v>
      </c>
      <c r="K999" s="417">
        <f t="shared" si="30"/>
        <v>0.33333333333333215</v>
      </c>
      <c r="L999" s="179">
        <v>45797</v>
      </c>
      <c r="M999" s="210" t="s">
        <v>1200</v>
      </c>
      <c r="N999" s="214" t="s">
        <v>1184</v>
      </c>
      <c r="O999" s="216" t="s">
        <v>151</v>
      </c>
    </row>
    <row r="1000" spans="1:15" s="1" customFormat="1">
      <c r="A1000" s="4"/>
      <c r="B1000" s="850" t="s">
        <v>557</v>
      </c>
      <c r="C1000" s="853" t="s">
        <v>1210</v>
      </c>
      <c r="D1000" s="854" t="s">
        <v>1211</v>
      </c>
      <c r="E1000" s="4"/>
      <c r="F1000" s="414">
        <v>14</v>
      </c>
      <c r="G1000" s="179">
        <v>45797</v>
      </c>
      <c r="H1000" s="415">
        <v>1</v>
      </c>
      <c r="I1000" s="855">
        <v>0.44444444444444442</v>
      </c>
      <c r="J1000" s="446">
        <v>0.46527777777777773</v>
      </c>
      <c r="K1000" s="417">
        <f t="shared" si="30"/>
        <v>0.49999999999999956</v>
      </c>
      <c r="L1000" s="179">
        <v>45797</v>
      </c>
      <c r="M1000" s="210" t="s">
        <v>1200</v>
      </c>
      <c r="N1000" s="214" t="s">
        <v>1184</v>
      </c>
      <c r="O1000" s="216" t="s">
        <v>151</v>
      </c>
    </row>
    <row r="1001" spans="1:15" s="1" customFormat="1">
      <c r="A1001" s="4"/>
      <c r="B1001" s="856" t="s">
        <v>557</v>
      </c>
      <c r="C1001" s="857" t="s">
        <v>1214</v>
      </c>
      <c r="D1001" s="843"/>
      <c r="E1001" s="4"/>
      <c r="F1001" s="414">
        <v>31</v>
      </c>
      <c r="G1001" s="179">
        <v>45798</v>
      </c>
      <c r="H1001" s="415">
        <v>1</v>
      </c>
      <c r="I1001" s="446">
        <v>0.375</v>
      </c>
      <c r="J1001" s="446">
        <v>0.625</v>
      </c>
      <c r="K1001" s="417">
        <f t="shared" si="30"/>
        <v>6</v>
      </c>
      <c r="L1001" s="9">
        <v>45798</v>
      </c>
      <c r="M1001" s="210" t="s">
        <v>1200</v>
      </c>
      <c r="N1001" s="214" t="s">
        <v>1184</v>
      </c>
      <c r="O1001" s="216" t="s">
        <v>151</v>
      </c>
    </row>
    <row r="1002" spans="1:15" s="1" customFormat="1">
      <c r="A1002" s="4"/>
      <c r="B1002" s="858" t="s">
        <v>1151</v>
      </c>
      <c r="C1002" s="859" t="s">
        <v>1135</v>
      </c>
      <c r="D1002" s="860" t="s">
        <v>262</v>
      </c>
      <c r="E1002" s="4">
        <v>1</v>
      </c>
      <c r="F1002" s="414">
        <v>2</v>
      </c>
      <c r="G1002" s="179">
        <v>45798</v>
      </c>
      <c r="H1002" s="415">
        <v>1</v>
      </c>
      <c r="I1002" s="446">
        <v>0.375</v>
      </c>
      <c r="J1002" s="446">
        <v>0.3888888888888889</v>
      </c>
      <c r="K1002" s="417">
        <f t="shared" si="30"/>
        <v>0.33333333333333348</v>
      </c>
      <c r="L1002" s="9">
        <v>45798</v>
      </c>
      <c r="M1002" s="210" t="s">
        <v>1200</v>
      </c>
      <c r="N1002" s="217" t="s">
        <v>9</v>
      </c>
      <c r="O1002" s="218" t="s">
        <v>1216</v>
      </c>
    </row>
    <row r="1003" spans="1:15" s="1" customFormat="1">
      <c r="A1003" s="4"/>
      <c r="B1003" s="412"/>
      <c r="C1003" s="4"/>
      <c r="D1003" s="860" t="s">
        <v>183</v>
      </c>
      <c r="E1003" s="4">
        <v>1</v>
      </c>
      <c r="F1003" s="414">
        <v>1</v>
      </c>
      <c r="G1003" s="179">
        <v>45798</v>
      </c>
      <c r="H1003" s="415">
        <v>1</v>
      </c>
      <c r="I1003" s="446">
        <v>0.3888888888888889</v>
      </c>
      <c r="J1003" s="446">
        <v>0.39583333333333331</v>
      </c>
      <c r="K1003" s="417">
        <f t="shared" si="30"/>
        <v>0.16666666666666607</v>
      </c>
      <c r="L1003" s="9">
        <v>45798</v>
      </c>
      <c r="M1003" s="210" t="s">
        <v>1200</v>
      </c>
      <c r="N1003" s="217" t="s">
        <v>9</v>
      </c>
      <c r="O1003" s="218" t="s">
        <v>1216</v>
      </c>
    </row>
    <row r="1004" spans="1:15" s="1" customFormat="1">
      <c r="A1004" s="4"/>
      <c r="B1004" s="412"/>
      <c r="C1004" s="859" t="s">
        <v>1158</v>
      </c>
      <c r="D1004" s="860" t="s">
        <v>111</v>
      </c>
      <c r="E1004" s="4">
        <v>1</v>
      </c>
      <c r="F1004" s="414">
        <v>2</v>
      </c>
      <c r="G1004" s="179">
        <v>45798</v>
      </c>
      <c r="H1004" s="415">
        <v>1</v>
      </c>
      <c r="I1004" s="446">
        <v>0.39583333333333331</v>
      </c>
      <c r="J1004" s="446">
        <v>0.40972222222222227</v>
      </c>
      <c r="K1004" s="417">
        <f t="shared" si="30"/>
        <v>0.33333333333333481</v>
      </c>
      <c r="L1004" s="9">
        <v>45798</v>
      </c>
      <c r="M1004" s="210" t="s">
        <v>1200</v>
      </c>
      <c r="N1004" s="217" t="s">
        <v>8</v>
      </c>
      <c r="O1004" s="218" t="s">
        <v>1215</v>
      </c>
    </row>
    <row r="1005" spans="1:15" s="1" customFormat="1">
      <c r="A1005" s="4"/>
      <c r="B1005" s="412"/>
      <c r="C1005" s="859" t="s">
        <v>1158</v>
      </c>
      <c r="D1005" s="860" t="s">
        <v>111</v>
      </c>
      <c r="E1005" s="4">
        <v>2</v>
      </c>
      <c r="F1005" s="414">
        <v>3</v>
      </c>
      <c r="G1005" s="179">
        <v>45799</v>
      </c>
      <c r="H1005" s="415">
        <v>1</v>
      </c>
      <c r="I1005" s="446">
        <v>0.33333333333333331</v>
      </c>
      <c r="J1005" s="446">
        <v>0.35416666666666669</v>
      </c>
      <c r="K1005" s="417">
        <f t="shared" si="30"/>
        <v>0.50000000000000089</v>
      </c>
      <c r="L1005" s="9">
        <v>45799</v>
      </c>
      <c r="M1005" s="210" t="s">
        <v>1200</v>
      </c>
      <c r="N1005" s="219" t="s">
        <v>8</v>
      </c>
      <c r="O1005" s="220" t="s">
        <v>1166</v>
      </c>
    </row>
    <row r="1006" spans="1:15" s="1" customFormat="1">
      <c r="A1006" s="4"/>
      <c r="B1006" s="412"/>
      <c r="C1006" s="861" t="s">
        <v>1217</v>
      </c>
      <c r="D1006" s="862" t="s">
        <v>1052</v>
      </c>
      <c r="E1006" s="4">
        <v>1</v>
      </c>
      <c r="F1006" s="414">
        <v>2</v>
      </c>
      <c r="G1006" s="179">
        <v>45799</v>
      </c>
      <c r="H1006" s="415">
        <v>1</v>
      </c>
      <c r="I1006" s="446">
        <v>0.35416666666666669</v>
      </c>
      <c r="J1006" s="446">
        <v>0.3611111111111111</v>
      </c>
      <c r="K1006" s="417">
        <f t="shared" si="30"/>
        <v>0.16666666666666607</v>
      </c>
      <c r="L1006" s="9">
        <v>45799</v>
      </c>
      <c r="M1006" s="210" t="s">
        <v>1200</v>
      </c>
      <c r="N1006" s="219" t="s">
        <v>8</v>
      </c>
      <c r="O1006" s="220" t="s">
        <v>1218</v>
      </c>
    </row>
    <row r="1007" spans="1:15" s="1" customFormat="1">
      <c r="A1007" s="4"/>
      <c r="B1007" s="412"/>
      <c r="C1007" s="859" t="s">
        <v>1158</v>
      </c>
      <c r="D1007" s="862" t="s">
        <v>869</v>
      </c>
      <c r="E1007" s="4">
        <v>1</v>
      </c>
      <c r="F1007" s="414">
        <v>1</v>
      </c>
      <c r="G1007" s="179">
        <v>45799</v>
      </c>
      <c r="H1007" s="415">
        <v>1</v>
      </c>
      <c r="I1007" s="446">
        <v>0.36805555555555558</v>
      </c>
      <c r="J1007" s="446">
        <v>0.375</v>
      </c>
      <c r="K1007" s="417">
        <f t="shared" si="30"/>
        <v>0.16666666666666607</v>
      </c>
      <c r="L1007" s="9">
        <v>45799</v>
      </c>
      <c r="M1007" s="210" t="s">
        <v>1200</v>
      </c>
      <c r="N1007" s="219" t="s">
        <v>6</v>
      </c>
      <c r="O1007" s="220" t="s">
        <v>1219</v>
      </c>
    </row>
    <row r="1008" spans="1:15" s="1" customFormat="1">
      <c r="A1008" s="4"/>
      <c r="B1008" s="412"/>
      <c r="C1008" s="859" t="s">
        <v>1158</v>
      </c>
      <c r="D1008" s="862" t="s">
        <v>1049</v>
      </c>
      <c r="E1008" s="4">
        <v>2</v>
      </c>
      <c r="F1008" s="414">
        <v>4</v>
      </c>
      <c r="G1008" s="179">
        <v>45799</v>
      </c>
      <c r="H1008" s="415">
        <v>1</v>
      </c>
      <c r="I1008" s="446">
        <v>0.375</v>
      </c>
      <c r="J1008" s="446">
        <v>0.40277777777777773</v>
      </c>
      <c r="K1008" s="417">
        <f t="shared" si="30"/>
        <v>0.66666666666666563</v>
      </c>
      <c r="L1008" s="9">
        <v>45799</v>
      </c>
      <c r="M1008" s="210" t="s">
        <v>1200</v>
      </c>
      <c r="N1008" s="219" t="s">
        <v>8</v>
      </c>
      <c r="O1008" s="220" t="s">
        <v>1220</v>
      </c>
    </row>
    <row r="1009" spans="1:15" s="1" customFormat="1">
      <c r="A1009" s="4"/>
      <c r="B1009" s="412"/>
      <c r="C1009" s="859" t="s">
        <v>1158</v>
      </c>
      <c r="D1009" s="863" t="s">
        <v>1221</v>
      </c>
      <c r="E1009" s="4">
        <v>1</v>
      </c>
      <c r="F1009" s="414">
        <v>2</v>
      </c>
      <c r="G1009" s="179">
        <v>45799</v>
      </c>
      <c r="H1009" s="415">
        <v>1</v>
      </c>
      <c r="I1009" s="446">
        <v>0.54861111111111105</v>
      </c>
      <c r="J1009" s="446">
        <v>0.5625</v>
      </c>
      <c r="K1009" s="417">
        <f t="shared" si="30"/>
        <v>0.33333333333333481</v>
      </c>
      <c r="L1009" s="9">
        <v>45799</v>
      </c>
      <c r="M1009" s="210" t="s">
        <v>1200</v>
      </c>
      <c r="N1009" s="219" t="s">
        <v>6</v>
      </c>
      <c r="O1009" s="220" t="s">
        <v>1219</v>
      </c>
    </row>
    <row r="1010" spans="1:15" s="1" customFormat="1">
      <c r="A1010" s="4"/>
      <c r="B1010" s="412"/>
      <c r="C1010" s="859" t="s">
        <v>1158</v>
      </c>
      <c r="D1010" s="863" t="s">
        <v>174</v>
      </c>
      <c r="E1010" s="4">
        <v>1</v>
      </c>
      <c r="F1010" s="414">
        <v>2</v>
      </c>
      <c r="G1010" s="179">
        <v>45799</v>
      </c>
      <c r="H1010" s="415">
        <v>1</v>
      </c>
      <c r="I1010" s="446">
        <v>0.5625</v>
      </c>
      <c r="J1010" s="446">
        <v>0.58333333333333337</v>
      </c>
      <c r="K1010" s="417">
        <f t="shared" si="30"/>
        <v>0.50000000000000089</v>
      </c>
      <c r="L1010" s="9">
        <v>45799</v>
      </c>
      <c r="M1010" s="210" t="s">
        <v>1200</v>
      </c>
      <c r="N1010" s="219" t="s">
        <v>6</v>
      </c>
      <c r="O1010" s="220" t="s">
        <v>1219</v>
      </c>
    </row>
    <row r="1011" spans="1:15" s="1" customFormat="1">
      <c r="A1011" s="4"/>
      <c r="B1011" s="412"/>
      <c r="C1011" s="859" t="s">
        <v>1158</v>
      </c>
      <c r="D1011" s="863" t="s">
        <v>579</v>
      </c>
      <c r="E1011" s="4">
        <v>1</v>
      </c>
      <c r="F1011" s="414">
        <v>2</v>
      </c>
      <c r="G1011" s="179">
        <v>45799</v>
      </c>
      <c r="H1011" s="415">
        <v>1</v>
      </c>
      <c r="I1011" s="446">
        <v>0.58333333333333337</v>
      </c>
      <c r="J1011" s="446">
        <v>0.60416666666666663</v>
      </c>
      <c r="K1011" s="417">
        <f t="shared" si="30"/>
        <v>0.49999999999999822</v>
      </c>
      <c r="L1011" s="9">
        <v>45799</v>
      </c>
      <c r="M1011" s="210" t="s">
        <v>1200</v>
      </c>
      <c r="N1011" s="219" t="s">
        <v>6</v>
      </c>
      <c r="O1011" s="220" t="s">
        <v>1219</v>
      </c>
    </row>
    <row r="1012" spans="1:15" s="1" customFormat="1">
      <c r="A1012" s="4"/>
      <c r="B1012" s="412"/>
      <c r="C1012" s="859" t="s">
        <v>1158</v>
      </c>
      <c r="D1012" s="864" t="s">
        <v>1222</v>
      </c>
      <c r="E1012" s="4"/>
      <c r="F1012" s="414">
        <v>1</v>
      </c>
      <c r="G1012" s="179">
        <v>45799</v>
      </c>
      <c r="H1012" s="415">
        <v>1</v>
      </c>
      <c r="I1012" s="446">
        <v>0.33333333333333331</v>
      </c>
      <c r="J1012" s="446">
        <v>0.35416666666666669</v>
      </c>
      <c r="K1012" s="417">
        <f t="shared" si="30"/>
        <v>0.50000000000000089</v>
      </c>
      <c r="L1012" s="9">
        <v>45799</v>
      </c>
      <c r="M1012" s="210" t="s">
        <v>1200</v>
      </c>
      <c r="N1012" s="219" t="s">
        <v>6</v>
      </c>
      <c r="O1012" s="220" t="s">
        <v>1219</v>
      </c>
    </row>
    <row r="1013" spans="1:15" s="1" customFormat="1">
      <c r="A1013" s="4"/>
      <c r="B1013" s="412"/>
      <c r="C1013" s="865" t="s">
        <v>1223</v>
      </c>
      <c r="D1013" s="866" t="s">
        <v>67</v>
      </c>
      <c r="E1013" s="4"/>
      <c r="F1013" s="414">
        <v>4</v>
      </c>
      <c r="G1013" s="179">
        <v>45800</v>
      </c>
      <c r="H1013" s="415">
        <v>2</v>
      </c>
      <c r="I1013" s="446">
        <v>0.45833333333333331</v>
      </c>
      <c r="J1013" s="446">
        <v>0.5</v>
      </c>
      <c r="K1013" s="417">
        <f t="shared" si="30"/>
        <v>2.0000000000000009</v>
      </c>
      <c r="L1013" s="9">
        <v>45800</v>
      </c>
      <c r="M1013" s="210" t="s">
        <v>1224</v>
      </c>
      <c r="N1013" s="219" t="s">
        <v>6</v>
      </c>
      <c r="O1013" s="221" t="s">
        <v>1225</v>
      </c>
    </row>
    <row r="1014" spans="1:15" s="1" customFormat="1">
      <c r="A1014" s="4"/>
      <c r="B1014" s="412"/>
      <c r="C1014" s="867" t="s">
        <v>1140</v>
      </c>
      <c r="D1014" s="868" t="s">
        <v>111</v>
      </c>
      <c r="E1014" s="4">
        <v>2</v>
      </c>
      <c r="F1014" s="414">
        <v>2</v>
      </c>
      <c r="G1014" s="179">
        <v>45801</v>
      </c>
      <c r="H1014" s="415">
        <v>1</v>
      </c>
      <c r="I1014" s="446">
        <v>0.57638888888888895</v>
      </c>
      <c r="J1014" s="446">
        <v>0.60416666666666663</v>
      </c>
      <c r="K1014" s="417">
        <f t="shared" si="30"/>
        <v>0.6666666666666643</v>
      </c>
      <c r="L1014" s="9">
        <v>45801</v>
      </c>
      <c r="M1014" s="210" t="s">
        <v>1224</v>
      </c>
      <c r="N1014" s="222" t="s">
        <v>7</v>
      </c>
      <c r="O1014" s="223" t="s">
        <v>1226</v>
      </c>
    </row>
    <row r="1015" spans="1:15" s="1" customFormat="1">
      <c r="A1015" s="4"/>
      <c r="B1015" s="412"/>
      <c r="C1015" s="869" t="s">
        <v>250</v>
      </c>
      <c r="D1015" s="870" t="s">
        <v>1046</v>
      </c>
      <c r="E1015" s="4">
        <v>1</v>
      </c>
      <c r="F1015" s="414">
        <v>1</v>
      </c>
      <c r="G1015" s="179">
        <v>45804</v>
      </c>
      <c r="H1015" s="415">
        <v>1</v>
      </c>
      <c r="I1015" s="446">
        <v>0.375</v>
      </c>
      <c r="J1015" s="446">
        <v>0.3888888888888889</v>
      </c>
      <c r="K1015" s="417">
        <f t="shared" si="30"/>
        <v>0.33333333333333348</v>
      </c>
      <c r="L1015" s="9">
        <v>45804</v>
      </c>
      <c r="M1015" s="210" t="s">
        <v>1224</v>
      </c>
      <c r="N1015" s="224" t="s">
        <v>653</v>
      </c>
      <c r="O1015" s="225" t="s">
        <v>1227</v>
      </c>
    </row>
    <row r="1016" spans="1:15" s="1" customFormat="1">
      <c r="A1016" s="4"/>
      <c r="B1016" s="412"/>
      <c r="C1016" s="869" t="s">
        <v>1201</v>
      </c>
      <c r="D1016" s="870" t="s">
        <v>1046</v>
      </c>
      <c r="E1016" s="4">
        <v>3</v>
      </c>
      <c r="F1016" s="414">
        <v>3</v>
      </c>
      <c r="G1016" s="179">
        <v>45804</v>
      </c>
      <c r="H1016" s="415">
        <v>1</v>
      </c>
      <c r="I1016" s="446">
        <v>0.3888888888888889</v>
      </c>
      <c r="J1016" s="446">
        <v>0.43055555555555558</v>
      </c>
      <c r="K1016" s="417">
        <f t="shared" si="30"/>
        <v>1.0000000000000004</v>
      </c>
      <c r="L1016" s="9">
        <v>45804</v>
      </c>
      <c r="M1016" s="210" t="s">
        <v>1224</v>
      </c>
      <c r="N1016" s="224" t="s">
        <v>653</v>
      </c>
      <c r="O1016" s="225" t="s">
        <v>1228</v>
      </c>
    </row>
    <row r="1017" spans="1:15" s="1" customFormat="1">
      <c r="A1017" s="4"/>
      <c r="B1017" s="412"/>
      <c r="C1017" s="869" t="s">
        <v>577</v>
      </c>
      <c r="D1017" s="870" t="s">
        <v>1142</v>
      </c>
      <c r="E1017" s="4"/>
      <c r="F1017" s="414">
        <v>1</v>
      </c>
      <c r="G1017" s="179">
        <v>45804</v>
      </c>
      <c r="H1017" s="415">
        <v>1</v>
      </c>
      <c r="I1017" s="446">
        <v>0.4375</v>
      </c>
      <c r="J1017" s="446">
        <v>0.44791666666666669</v>
      </c>
      <c r="K1017" s="417">
        <f t="shared" si="30"/>
        <v>0.25000000000000044</v>
      </c>
      <c r="L1017" s="9">
        <v>45804</v>
      </c>
      <c r="M1017" s="210" t="s">
        <v>1224</v>
      </c>
      <c r="N1017" s="224" t="s">
        <v>653</v>
      </c>
      <c r="O1017" s="225" t="s">
        <v>1229</v>
      </c>
    </row>
    <row r="1018" spans="1:15" s="1" customFormat="1">
      <c r="A1018" s="4"/>
      <c r="B1018" s="871"/>
      <c r="C1018" s="871" t="s">
        <v>1230</v>
      </c>
      <c r="D1018" s="870" t="s">
        <v>107</v>
      </c>
      <c r="E1018" s="4">
        <v>1</v>
      </c>
      <c r="F1018" s="414">
        <v>1</v>
      </c>
      <c r="G1018" s="179">
        <v>45804</v>
      </c>
      <c r="H1018" s="415">
        <v>1</v>
      </c>
      <c r="I1018" s="446">
        <v>0.45833333333333331</v>
      </c>
      <c r="J1018" s="446">
        <v>0.47222222222222227</v>
      </c>
      <c r="K1018" s="417">
        <f t="shared" si="30"/>
        <v>0.33333333333333481</v>
      </c>
      <c r="L1018" s="9">
        <v>45804</v>
      </c>
      <c r="M1018" s="210" t="s">
        <v>1224</v>
      </c>
      <c r="N1018" s="224" t="s">
        <v>185</v>
      </c>
      <c r="O1018" s="225" t="s">
        <v>1169</v>
      </c>
    </row>
    <row r="1019" spans="1:15" s="1" customFormat="1">
      <c r="A1019" s="4"/>
      <c r="B1019" s="412"/>
      <c r="C1019" s="871" t="s">
        <v>1230</v>
      </c>
      <c r="D1019" s="870" t="s">
        <v>1231</v>
      </c>
      <c r="E1019" s="4">
        <v>1</v>
      </c>
      <c r="F1019" s="414">
        <v>1</v>
      </c>
      <c r="G1019" s="179">
        <v>45804</v>
      </c>
      <c r="H1019" s="415">
        <v>1</v>
      </c>
      <c r="I1019" s="446">
        <v>0.47222222222222227</v>
      </c>
      <c r="J1019" s="446">
        <v>0.4861111111111111</v>
      </c>
      <c r="K1019" s="417">
        <f t="shared" si="30"/>
        <v>0.33333333333333215</v>
      </c>
      <c r="L1019" s="9">
        <v>45804</v>
      </c>
      <c r="M1019" s="210" t="s">
        <v>1224</v>
      </c>
      <c r="N1019" s="224" t="s">
        <v>185</v>
      </c>
      <c r="O1019" s="225" t="s">
        <v>1169</v>
      </c>
    </row>
    <row r="1020" spans="1:15" s="1" customFormat="1">
      <c r="A1020" s="4"/>
      <c r="B1020" s="412"/>
      <c r="C1020" s="871" t="s">
        <v>1230</v>
      </c>
      <c r="D1020" s="870" t="s">
        <v>1152</v>
      </c>
      <c r="E1020" s="4">
        <v>1</v>
      </c>
      <c r="F1020" s="414">
        <v>1</v>
      </c>
      <c r="G1020" s="179">
        <v>45804</v>
      </c>
      <c r="H1020" s="415">
        <v>1</v>
      </c>
      <c r="I1020" s="446">
        <v>0.4861111111111111</v>
      </c>
      <c r="J1020" s="446">
        <v>0.5</v>
      </c>
      <c r="K1020" s="417">
        <f t="shared" si="30"/>
        <v>0.33333333333333348</v>
      </c>
      <c r="L1020" s="9">
        <v>45804</v>
      </c>
      <c r="M1020" s="210" t="s">
        <v>1224</v>
      </c>
      <c r="N1020" s="224" t="s">
        <v>185</v>
      </c>
      <c r="O1020" s="225" t="s">
        <v>1169</v>
      </c>
    </row>
    <row r="1021" spans="1:15" s="1" customFormat="1">
      <c r="A1021" s="4"/>
      <c r="B1021" s="412"/>
      <c r="C1021" s="228" t="s">
        <v>1125</v>
      </c>
      <c r="D1021" s="872" t="s">
        <v>1049</v>
      </c>
      <c r="E1021" s="4">
        <v>1</v>
      </c>
      <c r="F1021" s="414">
        <v>2</v>
      </c>
      <c r="G1021" s="179">
        <v>45805</v>
      </c>
      <c r="H1021" s="415">
        <v>1</v>
      </c>
      <c r="I1021" s="446">
        <v>0.36805555555555558</v>
      </c>
      <c r="J1021" s="446">
        <v>0.3888888888888889</v>
      </c>
      <c r="K1021" s="417">
        <f t="shared" si="30"/>
        <v>0.49999999999999956</v>
      </c>
      <c r="L1021" s="9">
        <v>45805</v>
      </c>
      <c r="M1021" s="210" t="s">
        <v>1224</v>
      </c>
      <c r="N1021" s="226" t="s">
        <v>11</v>
      </c>
      <c r="O1021" s="227" t="s">
        <v>1232</v>
      </c>
    </row>
    <row r="1022" spans="1:15" s="1" customFormat="1">
      <c r="A1022" s="4"/>
      <c r="B1022" s="412"/>
      <c r="C1022" s="228" t="s">
        <v>1233</v>
      </c>
      <c r="D1022" s="872" t="s">
        <v>280</v>
      </c>
      <c r="E1022" s="4">
        <v>1</v>
      </c>
      <c r="F1022" s="414">
        <v>1</v>
      </c>
      <c r="G1022" s="179">
        <v>45805</v>
      </c>
      <c r="H1022" s="415">
        <v>1</v>
      </c>
      <c r="I1022" s="446">
        <v>0.40277777777777773</v>
      </c>
      <c r="J1022" s="446">
        <v>0.41666666666666669</v>
      </c>
      <c r="K1022" s="417">
        <f t="shared" si="30"/>
        <v>0.33333333333333481</v>
      </c>
      <c r="L1022" s="9">
        <v>45805</v>
      </c>
      <c r="M1022" s="228" t="s">
        <v>1224</v>
      </c>
      <c r="N1022" s="226" t="s">
        <v>653</v>
      </c>
      <c r="O1022" s="227" t="s">
        <v>1234</v>
      </c>
    </row>
    <row r="1023" spans="1:15" s="1" customFormat="1">
      <c r="A1023" s="4"/>
      <c r="B1023" s="412"/>
      <c r="C1023" s="873" t="s">
        <v>1235</v>
      </c>
      <c r="D1023" s="874" t="s">
        <v>1046</v>
      </c>
      <c r="E1023" s="4">
        <v>12</v>
      </c>
      <c r="F1023" s="414">
        <v>12</v>
      </c>
      <c r="G1023" s="875">
        <v>45800</v>
      </c>
      <c r="H1023" s="415">
        <v>1</v>
      </c>
      <c r="I1023" s="446">
        <v>0.375</v>
      </c>
      <c r="J1023" s="446">
        <v>0.5</v>
      </c>
      <c r="K1023" s="417">
        <f t="shared" si="30"/>
        <v>3</v>
      </c>
      <c r="L1023" s="9">
        <v>45800</v>
      </c>
      <c r="M1023" s="228" t="s">
        <v>1224</v>
      </c>
      <c r="N1023" s="229" t="s">
        <v>653</v>
      </c>
      <c r="O1023" s="230" t="s">
        <v>1236</v>
      </c>
    </row>
    <row r="1024" spans="1:15" s="1" customFormat="1">
      <c r="A1024" s="4"/>
      <c r="B1024" s="412"/>
      <c r="C1024" s="876" t="s">
        <v>316</v>
      </c>
      <c r="D1024" s="877" t="s">
        <v>1116</v>
      </c>
      <c r="E1024" s="4">
        <v>0</v>
      </c>
      <c r="F1024" s="414">
        <v>3</v>
      </c>
      <c r="G1024" s="179">
        <v>45807</v>
      </c>
      <c r="H1024" s="415">
        <v>1</v>
      </c>
      <c r="I1024" s="446">
        <v>0.41666666666666669</v>
      </c>
      <c r="J1024" s="446">
        <v>0.44791666666666669</v>
      </c>
      <c r="K1024" s="417">
        <f t="shared" si="30"/>
        <v>0.75</v>
      </c>
      <c r="L1024" s="9">
        <v>45807</v>
      </c>
      <c r="M1024" s="228" t="s">
        <v>1224</v>
      </c>
      <c r="N1024" s="231" t="s">
        <v>662</v>
      </c>
      <c r="O1024" s="2"/>
    </row>
    <row r="1025" spans="1:15" s="1" customFormat="1">
      <c r="A1025" s="4"/>
      <c r="B1025" s="412"/>
      <c r="C1025" s="878" t="s">
        <v>577</v>
      </c>
      <c r="D1025" s="879" t="s">
        <v>882</v>
      </c>
      <c r="E1025" s="4"/>
      <c r="F1025" s="414">
        <v>3</v>
      </c>
      <c r="G1025" s="179">
        <v>45808</v>
      </c>
      <c r="H1025" s="415">
        <v>1</v>
      </c>
      <c r="I1025" s="446">
        <v>0.33333333333333331</v>
      </c>
      <c r="J1025" s="446">
        <v>0.375</v>
      </c>
      <c r="K1025" s="417">
        <f t="shared" si="30"/>
        <v>1.0000000000000004</v>
      </c>
      <c r="L1025" s="9">
        <v>45808</v>
      </c>
      <c r="M1025" s="228" t="s">
        <v>1224</v>
      </c>
      <c r="N1025" s="232" t="s">
        <v>8</v>
      </c>
      <c r="O1025" s="233" t="s">
        <v>1237</v>
      </c>
    </row>
    <row r="1026" spans="1:15" s="1" customFormat="1">
      <c r="A1026" s="4"/>
      <c r="B1026" s="412"/>
      <c r="C1026" s="880" t="s">
        <v>1238</v>
      </c>
      <c r="D1026" s="881" t="s">
        <v>107</v>
      </c>
      <c r="E1026" s="4"/>
      <c r="F1026" s="414">
        <v>1</v>
      </c>
      <c r="G1026" s="179">
        <v>45808</v>
      </c>
      <c r="H1026" s="415">
        <v>1</v>
      </c>
      <c r="I1026" s="446">
        <v>0.375</v>
      </c>
      <c r="J1026" s="446">
        <v>0.3888888888888889</v>
      </c>
      <c r="K1026" s="417">
        <f t="shared" si="30"/>
        <v>0.33333333333333348</v>
      </c>
      <c r="L1026" s="9">
        <v>45808</v>
      </c>
      <c r="M1026" s="228" t="s">
        <v>1224</v>
      </c>
      <c r="N1026" s="224" t="s">
        <v>185</v>
      </c>
      <c r="O1026" s="213" t="s">
        <v>1207</v>
      </c>
    </row>
    <row r="1027" spans="1:15" s="1" customFormat="1">
      <c r="A1027" s="4"/>
      <c r="B1027" s="412"/>
      <c r="C1027" s="880" t="s">
        <v>1239</v>
      </c>
      <c r="D1027" s="881" t="s">
        <v>107</v>
      </c>
      <c r="E1027" s="4"/>
      <c r="F1027" s="414">
        <v>1</v>
      </c>
      <c r="G1027" s="179">
        <v>45808</v>
      </c>
      <c r="H1027" s="415">
        <v>1</v>
      </c>
      <c r="I1027" s="446">
        <v>0.3888888888888889</v>
      </c>
      <c r="J1027" s="446">
        <v>0.40277777777777773</v>
      </c>
      <c r="K1027" s="417">
        <f t="shared" si="30"/>
        <v>0.33333333333333215</v>
      </c>
      <c r="L1027" s="9">
        <v>45808</v>
      </c>
      <c r="M1027" s="228" t="s">
        <v>1224</v>
      </c>
      <c r="N1027" s="224" t="s">
        <v>185</v>
      </c>
      <c r="O1027" s="213" t="s">
        <v>1207</v>
      </c>
    </row>
    <row r="1028" spans="1:15" s="1" customFormat="1">
      <c r="A1028" s="4"/>
      <c r="B1028" s="412"/>
      <c r="C1028" s="880" t="s">
        <v>1239</v>
      </c>
      <c r="D1028" s="882" t="s">
        <v>1240</v>
      </c>
      <c r="E1028" s="4">
        <v>1</v>
      </c>
      <c r="F1028" s="414">
        <v>1</v>
      </c>
      <c r="G1028" s="179">
        <v>45808</v>
      </c>
      <c r="H1028" s="415">
        <v>1</v>
      </c>
      <c r="I1028" s="446">
        <v>0.33333333333333331</v>
      </c>
      <c r="J1028" s="446">
        <v>0.34375</v>
      </c>
      <c r="K1028" s="417">
        <f t="shared" si="30"/>
        <v>0.25000000000000044</v>
      </c>
      <c r="L1028" s="9">
        <v>45808</v>
      </c>
      <c r="M1028" s="228" t="s">
        <v>1224</v>
      </c>
      <c r="N1028" s="224" t="s">
        <v>185</v>
      </c>
      <c r="O1028" s="213" t="s">
        <v>1207</v>
      </c>
    </row>
    <row r="1029" spans="1:15" s="1" customFormat="1">
      <c r="A1029" s="4"/>
      <c r="B1029" s="412"/>
      <c r="C1029" s="880" t="s">
        <v>1239</v>
      </c>
      <c r="D1029" s="882" t="s">
        <v>1241</v>
      </c>
      <c r="E1029" s="4">
        <v>1</v>
      </c>
      <c r="F1029" s="414">
        <v>1</v>
      </c>
      <c r="G1029" s="179">
        <v>45808</v>
      </c>
      <c r="H1029" s="415">
        <v>1</v>
      </c>
      <c r="I1029" s="446">
        <v>0.34375</v>
      </c>
      <c r="J1029" s="446">
        <v>0.35416666666666669</v>
      </c>
      <c r="K1029" s="417">
        <f t="shared" si="30"/>
        <v>0.25000000000000044</v>
      </c>
      <c r="L1029" s="9">
        <v>45808</v>
      </c>
      <c r="M1029" s="228" t="s">
        <v>1224</v>
      </c>
      <c r="N1029" s="224" t="s">
        <v>185</v>
      </c>
      <c r="O1029" s="213" t="s">
        <v>1207</v>
      </c>
    </row>
    <row r="1030" spans="1:15" s="1" customFormat="1">
      <c r="A1030" s="4"/>
      <c r="B1030" s="412"/>
      <c r="C1030" s="880" t="s">
        <v>1238</v>
      </c>
      <c r="D1030" s="882" t="s">
        <v>1242</v>
      </c>
      <c r="E1030" s="4">
        <v>1</v>
      </c>
      <c r="F1030" s="414">
        <v>1</v>
      </c>
      <c r="G1030" s="179">
        <v>45808</v>
      </c>
      <c r="H1030" s="415">
        <v>1</v>
      </c>
      <c r="I1030" s="446">
        <v>0.35416666666666669</v>
      </c>
      <c r="J1030" s="446">
        <v>0.36458333333333331</v>
      </c>
      <c r="K1030" s="417">
        <f t="shared" ref="K1030:K1035" si="31">(J1030-I1030)*24*H1030</f>
        <v>0.24999999999999911</v>
      </c>
      <c r="L1030" s="9">
        <v>45808</v>
      </c>
      <c r="M1030" s="228" t="s">
        <v>1224</v>
      </c>
      <c r="N1030" s="224" t="s">
        <v>185</v>
      </c>
      <c r="O1030" s="213" t="s">
        <v>1207</v>
      </c>
    </row>
    <row r="1031" spans="1:15" s="1" customFormat="1">
      <c r="A1031" s="4"/>
      <c r="B1031" s="412"/>
      <c r="C1031" s="880" t="s">
        <v>1238</v>
      </c>
      <c r="D1031" s="882" t="s">
        <v>1243</v>
      </c>
      <c r="E1031" s="4">
        <v>1</v>
      </c>
      <c r="F1031" s="414">
        <v>1</v>
      </c>
      <c r="G1031" s="179">
        <v>45808</v>
      </c>
      <c r="H1031" s="415">
        <v>1</v>
      </c>
      <c r="I1031" s="446">
        <v>0.36458333333333331</v>
      </c>
      <c r="J1031" s="446">
        <v>0.375</v>
      </c>
      <c r="K1031" s="417">
        <f t="shared" si="31"/>
        <v>0.25000000000000044</v>
      </c>
      <c r="L1031" s="9">
        <v>45808</v>
      </c>
      <c r="M1031" s="228" t="s">
        <v>1224</v>
      </c>
      <c r="N1031" s="224" t="s">
        <v>185</v>
      </c>
      <c r="O1031" s="213" t="s">
        <v>1207</v>
      </c>
    </row>
    <row r="1032" spans="1:15" s="1" customFormat="1">
      <c r="A1032" s="4"/>
      <c r="B1032" s="412"/>
      <c r="C1032" s="880" t="s">
        <v>1238</v>
      </c>
      <c r="D1032" s="882" t="s">
        <v>1244</v>
      </c>
      <c r="E1032" s="4">
        <v>1</v>
      </c>
      <c r="F1032" s="414">
        <v>1</v>
      </c>
      <c r="G1032" s="179">
        <v>45808</v>
      </c>
      <c r="H1032" s="415">
        <v>1</v>
      </c>
      <c r="I1032" s="446">
        <v>0.375</v>
      </c>
      <c r="J1032" s="446">
        <v>0.38541666666666669</v>
      </c>
      <c r="K1032" s="417">
        <f t="shared" si="31"/>
        <v>0.25000000000000044</v>
      </c>
      <c r="L1032" s="9">
        <v>45808</v>
      </c>
      <c r="M1032" s="228" t="s">
        <v>1224</v>
      </c>
      <c r="N1032" s="224" t="s">
        <v>185</v>
      </c>
      <c r="O1032" s="213" t="s">
        <v>1207</v>
      </c>
    </row>
    <row r="1033" spans="1:15" s="1" customFormat="1">
      <c r="A1033" s="4"/>
      <c r="B1033" s="412"/>
      <c r="C1033" s="883" t="s">
        <v>1239</v>
      </c>
      <c r="D1033" s="882" t="s">
        <v>1242</v>
      </c>
      <c r="E1033" s="4">
        <v>1</v>
      </c>
      <c r="F1033" s="414">
        <v>1</v>
      </c>
      <c r="G1033" s="179">
        <v>45808</v>
      </c>
      <c r="H1033" s="415">
        <v>1</v>
      </c>
      <c r="I1033" s="446">
        <v>0.38541666666666669</v>
      </c>
      <c r="J1033" s="446">
        <v>0.39583333333333331</v>
      </c>
      <c r="K1033" s="417">
        <f t="shared" si="31"/>
        <v>0.24999999999999911</v>
      </c>
      <c r="L1033" s="9">
        <v>45808</v>
      </c>
      <c r="M1033" s="228" t="s">
        <v>1224</v>
      </c>
      <c r="N1033" s="224" t="s">
        <v>185</v>
      </c>
      <c r="O1033" s="213" t="s">
        <v>1207</v>
      </c>
    </row>
    <row r="1034" spans="1:15" s="1" customFormat="1">
      <c r="A1034" s="4"/>
      <c r="B1034" s="412"/>
      <c r="C1034" s="234" t="s">
        <v>1245</v>
      </c>
      <c r="D1034" s="843"/>
      <c r="E1034" s="4"/>
      <c r="F1034" s="414">
        <v>1</v>
      </c>
      <c r="G1034" s="179">
        <v>45810</v>
      </c>
      <c r="H1034" s="415">
        <v>2</v>
      </c>
      <c r="I1034" s="446">
        <v>0.35416666666666669</v>
      </c>
      <c r="J1034" s="446">
        <v>0.58333333333333337</v>
      </c>
      <c r="K1034" s="417">
        <f t="shared" si="31"/>
        <v>11</v>
      </c>
      <c r="L1034" s="9">
        <v>45810</v>
      </c>
      <c r="M1034" s="234" t="s">
        <v>1246</v>
      </c>
      <c r="N1034" s="235" t="s">
        <v>662</v>
      </c>
      <c r="O1034" s="236" t="s">
        <v>1247</v>
      </c>
    </row>
    <row r="1035" spans="1:15" s="1" customFormat="1">
      <c r="A1035" s="4"/>
      <c r="B1035" s="412"/>
      <c r="C1035" s="234" t="s">
        <v>1245</v>
      </c>
      <c r="D1035" s="884" t="s">
        <v>1248</v>
      </c>
      <c r="E1035" s="4">
        <v>1</v>
      </c>
      <c r="F1035" s="414">
        <v>1</v>
      </c>
      <c r="G1035" s="179">
        <v>45811</v>
      </c>
      <c r="H1035" s="415">
        <v>2</v>
      </c>
      <c r="I1035" s="446">
        <v>0.38541666666666669</v>
      </c>
      <c r="J1035" s="446">
        <v>0.39583333333333331</v>
      </c>
      <c r="K1035" s="417">
        <f t="shared" si="31"/>
        <v>0.49999999999999822</v>
      </c>
      <c r="L1035" s="9">
        <v>45811</v>
      </c>
      <c r="M1035" s="234" t="s">
        <v>1246</v>
      </c>
      <c r="N1035" s="237" t="s">
        <v>11</v>
      </c>
      <c r="O1035" s="238" t="s">
        <v>1252</v>
      </c>
    </row>
    <row r="1036" spans="1:15" s="1" customFormat="1">
      <c r="A1036" s="4"/>
      <c r="B1036" s="412"/>
      <c r="C1036" s="234" t="s">
        <v>1245</v>
      </c>
      <c r="D1036" s="884" t="s">
        <v>1249</v>
      </c>
      <c r="E1036" s="4">
        <v>1</v>
      </c>
      <c r="F1036" s="414">
        <v>1</v>
      </c>
      <c r="G1036" s="179">
        <v>45811</v>
      </c>
      <c r="H1036" s="415">
        <v>2</v>
      </c>
      <c r="I1036" s="446">
        <v>0.40277777777777773</v>
      </c>
      <c r="J1036" s="446">
        <v>0.41319444444444442</v>
      </c>
      <c r="K1036" s="417">
        <f t="shared" ref="K1036:K1099" si="32">(J1036-I1036)*24*H1036</f>
        <v>0.50000000000000089</v>
      </c>
      <c r="L1036" s="9">
        <v>45811</v>
      </c>
      <c r="M1036" s="234" t="s">
        <v>1246</v>
      </c>
      <c r="N1036" s="237" t="s">
        <v>11</v>
      </c>
      <c r="O1036" s="238" t="s">
        <v>1252</v>
      </c>
    </row>
    <row r="1037" spans="1:15" s="1" customFormat="1">
      <c r="A1037" s="4"/>
      <c r="B1037" s="412"/>
      <c r="C1037" s="234" t="s">
        <v>1245</v>
      </c>
      <c r="D1037" s="884" t="s">
        <v>992</v>
      </c>
      <c r="E1037" s="4">
        <v>1</v>
      </c>
      <c r="F1037" s="414">
        <v>1</v>
      </c>
      <c r="G1037" s="179">
        <v>45811</v>
      </c>
      <c r="H1037" s="415">
        <v>2</v>
      </c>
      <c r="I1037" s="446">
        <v>0.4201388888888889</v>
      </c>
      <c r="J1037" s="446">
        <v>0.43055555555555558</v>
      </c>
      <c r="K1037" s="417">
        <f t="shared" si="32"/>
        <v>0.50000000000000089</v>
      </c>
      <c r="L1037" s="9">
        <v>45811</v>
      </c>
      <c r="M1037" s="234" t="s">
        <v>1246</v>
      </c>
      <c r="N1037" s="237" t="s">
        <v>11</v>
      </c>
      <c r="O1037" s="238" t="s">
        <v>1252</v>
      </c>
    </row>
    <row r="1038" spans="1:15" s="1" customFormat="1">
      <c r="A1038" s="4"/>
      <c r="B1038" s="412"/>
      <c r="C1038" s="885" t="s">
        <v>1250</v>
      </c>
      <c r="D1038" s="884" t="s">
        <v>286</v>
      </c>
      <c r="E1038" s="4">
        <v>1</v>
      </c>
      <c r="F1038" s="414">
        <v>1</v>
      </c>
      <c r="G1038" s="179">
        <v>45811</v>
      </c>
      <c r="H1038" s="415">
        <v>1</v>
      </c>
      <c r="I1038" s="446">
        <v>0.4513888888888889</v>
      </c>
      <c r="J1038" s="446">
        <v>0.49305555555555558</v>
      </c>
      <c r="K1038" s="417">
        <f t="shared" si="32"/>
        <v>1.0000000000000004</v>
      </c>
      <c r="L1038" s="9">
        <v>45811</v>
      </c>
      <c r="M1038" s="234" t="s">
        <v>1246</v>
      </c>
      <c r="N1038" s="237" t="s">
        <v>11</v>
      </c>
      <c r="O1038" s="238" t="s">
        <v>1251</v>
      </c>
    </row>
    <row r="1039" spans="1:15" s="1" customFormat="1">
      <c r="A1039" s="4"/>
      <c r="B1039" s="412"/>
      <c r="C1039" s="886" t="s">
        <v>1253</v>
      </c>
      <c r="D1039" s="887" t="s">
        <v>107</v>
      </c>
      <c r="E1039" s="4">
        <v>1</v>
      </c>
      <c r="F1039" s="414">
        <v>1</v>
      </c>
      <c r="G1039" s="179">
        <v>45812</v>
      </c>
      <c r="H1039" s="415">
        <v>1</v>
      </c>
      <c r="I1039" s="446">
        <v>0.3923611111111111</v>
      </c>
      <c r="J1039" s="446">
        <v>0.40277777777777773</v>
      </c>
      <c r="K1039" s="417">
        <f t="shared" si="32"/>
        <v>0.24999999999999911</v>
      </c>
      <c r="L1039" s="9">
        <v>45812</v>
      </c>
      <c r="M1039" s="234" t="s">
        <v>1246</v>
      </c>
      <c r="N1039" s="239" t="s">
        <v>8</v>
      </c>
      <c r="O1039" s="240" t="s">
        <v>1254</v>
      </c>
    </row>
    <row r="1040" spans="1:15" s="1" customFormat="1">
      <c r="A1040" s="4"/>
      <c r="B1040" s="412"/>
      <c r="C1040" s="886" t="s">
        <v>1235</v>
      </c>
      <c r="D1040" s="887" t="s">
        <v>1046</v>
      </c>
      <c r="E1040" s="4">
        <v>5</v>
      </c>
      <c r="F1040" s="414">
        <v>5</v>
      </c>
      <c r="G1040" s="179">
        <v>45812</v>
      </c>
      <c r="H1040" s="415">
        <v>1</v>
      </c>
      <c r="I1040" s="446">
        <v>0.40277777777777773</v>
      </c>
      <c r="J1040" s="446">
        <v>0.4201388888888889</v>
      </c>
      <c r="K1040" s="417">
        <f t="shared" si="32"/>
        <v>0.41666666666666785</v>
      </c>
      <c r="L1040" s="9">
        <v>45812</v>
      </c>
      <c r="M1040" s="234" t="s">
        <v>1246</v>
      </c>
      <c r="N1040" s="239" t="s">
        <v>11</v>
      </c>
      <c r="O1040" s="240" t="s">
        <v>1255</v>
      </c>
    </row>
    <row r="1041" spans="1:15" s="1" customFormat="1">
      <c r="A1041" s="4"/>
      <c r="B1041" s="412"/>
      <c r="C1041" s="886" t="s">
        <v>1256</v>
      </c>
      <c r="D1041" s="887" t="s">
        <v>864</v>
      </c>
      <c r="E1041" s="4">
        <v>1</v>
      </c>
      <c r="F1041" s="414">
        <v>2</v>
      </c>
      <c r="G1041" s="179">
        <v>45812</v>
      </c>
      <c r="H1041" s="415">
        <v>1</v>
      </c>
      <c r="I1041" s="446">
        <v>0.4375</v>
      </c>
      <c r="J1041" s="446">
        <v>0.44791666666666669</v>
      </c>
      <c r="K1041" s="417">
        <f t="shared" si="32"/>
        <v>0.25000000000000044</v>
      </c>
      <c r="L1041" s="9">
        <v>45812</v>
      </c>
      <c r="M1041" s="234" t="s">
        <v>1246</v>
      </c>
      <c r="N1041" s="239" t="s">
        <v>8</v>
      </c>
      <c r="O1041" s="240" t="s">
        <v>1257</v>
      </c>
    </row>
    <row r="1042" spans="1:15" s="1" customFormat="1">
      <c r="A1042" s="4"/>
      <c r="B1042" s="412"/>
      <c r="C1042" s="886" t="s">
        <v>603</v>
      </c>
      <c r="D1042" s="887" t="s">
        <v>882</v>
      </c>
      <c r="E1042" s="4">
        <v>4</v>
      </c>
      <c r="F1042" s="414">
        <v>4</v>
      </c>
      <c r="G1042" s="179">
        <v>45812</v>
      </c>
      <c r="H1042" s="415">
        <v>1</v>
      </c>
      <c r="I1042" s="446">
        <v>0.45833333333333331</v>
      </c>
      <c r="J1042" s="446">
        <v>0.47916666666666669</v>
      </c>
      <c r="K1042" s="417">
        <f t="shared" si="32"/>
        <v>0.50000000000000089</v>
      </c>
      <c r="L1042" s="9">
        <v>45812</v>
      </c>
      <c r="M1042" s="234" t="s">
        <v>1246</v>
      </c>
      <c r="N1042" s="239" t="s">
        <v>8</v>
      </c>
      <c r="O1042" s="240" t="s">
        <v>1258</v>
      </c>
    </row>
    <row r="1043" spans="1:15" s="1" customFormat="1">
      <c r="A1043" s="4"/>
      <c r="B1043" s="412"/>
      <c r="C1043" s="886" t="s">
        <v>1125</v>
      </c>
      <c r="D1043" s="887" t="s">
        <v>878</v>
      </c>
      <c r="E1043" s="4">
        <v>3</v>
      </c>
      <c r="F1043" s="414">
        <v>6</v>
      </c>
      <c r="G1043" s="179">
        <v>45812</v>
      </c>
      <c r="H1043" s="415">
        <v>1</v>
      </c>
      <c r="I1043" s="446">
        <v>0.54166666666666663</v>
      </c>
      <c r="J1043" s="446">
        <v>0.56944444444444442</v>
      </c>
      <c r="K1043" s="417">
        <f>(J1043-I1043)*24*H1043</f>
        <v>0.66666666666666696</v>
      </c>
      <c r="L1043" s="9">
        <v>45812</v>
      </c>
      <c r="M1043" s="234" t="s">
        <v>1246</v>
      </c>
      <c r="N1043" s="239" t="s">
        <v>8</v>
      </c>
      <c r="O1043" s="240" t="s">
        <v>1259</v>
      </c>
    </row>
    <row r="1044" spans="1:15" s="1" customFormat="1">
      <c r="A1044" s="4"/>
      <c r="B1044" s="412"/>
      <c r="C1044" s="886" t="s">
        <v>1250</v>
      </c>
      <c r="D1044" s="887" t="s">
        <v>96</v>
      </c>
      <c r="E1044" s="4">
        <v>1</v>
      </c>
      <c r="F1044" s="414">
        <v>1</v>
      </c>
      <c r="G1044" s="179">
        <v>45812</v>
      </c>
      <c r="H1044" s="415">
        <v>1</v>
      </c>
      <c r="I1044" s="446">
        <v>0.58333333333333337</v>
      </c>
      <c r="J1044" s="446">
        <v>0.59027777777777779</v>
      </c>
      <c r="K1044" s="417">
        <f t="shared" si="32"/>
        <v>0.16666666666666607</v>
      </c>
      <c r="L1044" s="9">
        <v>45812</v>
      </c>
      <c r="M1044" s="234" t="s">
        <v>1246</v>
      </c>
      <c r="N1044" s="239" t="s">
        <v>11</v>
      </c>
      <c r="O1044" s="240" t="s">
        <v>1251</v>
      </c>
    </row>
    <row r="1045" spans="1:15" s="1" customFormat="1">
      <c r="A1045" s="4"/>
      <c r="B1045" s="412"/>
      <c r="C1045" s="888" t="s">
        <v>403</v>
      </c>
      <c r="D1045" s="889" t="s">
        <v>107</v>
      </c>
      <c r="E1045" s="4">
        <v>1</v>
      </c>
      <c r="F1045" s="414">
        <v>1</v>
      </c>
      <c r="G1045" s="179">
        <v>45812</v>
      </c>
      <c r="H1045" s="415">
        <v>1</v>
      </c>
      <c r="I1045" s="446">
        <v>0.60069444444444442</v>
      </c>
      <c r="J1045" s="446">
        <v>0</v>
      </c>
      <c r="K1045" s="417">
        <f t="shared" si="32"/>
        <v>-14.416666666666666</v>
      </c>
      <c r="L1045" s="9">
        <v>45812</v>
      </c>
      <c r="M1045" s="234" t="s">
        <v>1246</v>
      </c>
      <c r="N1045" s="241" t="s">
        <v>6</v>
      </c>
      <c r="O1045" s="242" t="s">
        <v>1188</v>
      </c>
    </row>
    <row r="1046" spans="1:15" s="1" customFormat="1">
      <c r="A1046" s="4"/>
      <c r="B1046" s="412"/>
      <c r="C1046" s="890" t="s">
        <v>1260</v>
      </c>
      <c r="D1046" s="891" t="s">
        <v>1126</v>
      </c>
      <c r="E1046" s="4">
        <v>1</v>
      </c>
      <c r="F1046" s="414">
        <v>1</v>
      </c>
      <c r="G1046" s="179">
        <v>45812</v>
      </c>
      <c r="H1046" s="415">
        <v>1</v>
      </c>
      <c r="I1046" s="446">
        <v>0.67361111111111116</v>
      </c>
      <c r="J1046" s="446">
        <v>0.68055555555555547</v>
      </c>
      <c r="K1046" s="417">
        <f t="shared" si="32"/>
        <v>0.16666666666666341</v>
      </c>
      <c r="L1046" s="9">
        <v>45812</v>
      </c>
      <c r="M1046" s="234" t="s">
        <v>1246</v>
      </c>
      <c r="N1046" s="243" t="s">
        <v>311</v>
      </c>
      <c r="O1046" s="244" t="s">
        <v>1261</v>
      </c>
    </row>
    <row r="1047" spans="1:15" s="1" customFormat="1">
      <c r="A1047" s="4"/>
      <c r="B1047" s="412"/>
      <c r="C1047" s="890" t="s">
        <v>1262</v>
      </c>
      <c r="D1047" s="891" t="s">
        <v>1126</v>
      </c>
      <c r="E1047" s="4">
        <v>1</v>
      </c>
      <c r="F1047" s="414">
        <v>1</v>
      </c>
      <c r="G1047" s="179">
        <v>45812</v>
      </c>
      <c r="H1047" s="415">
        <v>1</v>
      </c>
      <c r="I1047" s="446">
        <v>0.68402777777777779</v>
      </c>
      <c r="J1047" s="446">
        <v>0.69097222222222221</v>
      </c>
      <c r="K1047" s="417">
        <f t="shared" si="32"/>
        <v>0.16666666666666607</v>
      </c>
      <c r="L1047" s="9">
        <v>45812</v>
      </c>
      <c r="M1047" s="234" t="s">
        <v>1246</v>
      </c>
      <c r="N1047" s="243" t="s">
        <v>311</v>
      </c>
      <c r="O1047" s="244" t="s">
        <v>1261</v>
      </c>
    </row>
    <row r="1048" spans="1:15" s="1" customFormat="1">
      <c r="A1048" s="4"/>
      <c r="B1048" s="412"/>
      <c r="C1048" s="890" t="s">
        <v>30</v>
      </c>
      <c r="D1048" s="891" t="s">
        <v>1263</v>
      </c>
      <c r="E1048" s="4">
        <v>2</v>
      </c>
      <c r="F1048" s="414">
        <v>2</v>
      </c>
      <c r="G1048" s="179">
        <v>45812</v>
      </c>
      <c r="H1048" s="415">
        <v>1</v>
      </c>
      <c r="I1048" s="446">
        <v>0.69097222222222221</v>
      </c>
      <c r="J1048" s="446">
        <v>0.70138888888888884</v>
      </c>
      <c r="K1048" s="417">
        <f t="shared" si="32"/>
        <v>0.24999999999999911</v>
      </c>
      <c r="L1048" s="9">
        <v>45812</v>
      </c>
      <c r="M1048" s="234" t="s">
        <v>1246</v>
      </c>
      <c r="N1048" s="243" t="s">
        <v>6</v>
      </c>
      <c r="O1048" s="244" t="s">
        <v>1264</v>
      </c>
    </row>
    <row r="1049" spans="1:15" s="1" customFormat="1">
      <c r="A1049" s="4"/>
      <c r="B1049" s="892" t="s">
        <v>557</v>
      </c>
      <c r="C1049" s="4"/>
      <c r="D1049" s="893" t="s">
        <v>150</v>
      </c>
      <c r="E1049" s="4"/>
      <c r="F1049" s="414">
        <v>30</v>
      </c>
      <c r="G1049" s="179">
        <v>45813</v>
      </c>
      <c r="H1049" s="415">
        <v>1</v>
      </c>
      <c r="I1049" s="446">
        <v>0.41666666666666669</v>
      </c>
      <c r="J1049" s="446">
        <v>0.45833333333333331</v>
      </c>
      <c r="K1049" s="417">
        <f t="shared" si="32"/>
        <v>0.99999999999999911</v>
      </c>
      <c r="L1049" s="9">
        <v>45813</v>
      </c>
      <c r="M1049" s="234" t="s">
        <v>1246</v>
      </c>
      <c r="N1049" s="6" t="s">
        <v>7</v>
      </c>
      <c r="O1049" s="13" t="s">
        <v>151</v>
      </c>
    </row>
    <row r="1050" spans="1:15" s="1" customFormat="1">
      <c r="A1050" s="4"/>
      <c r="B1050" s="892" t="s">
        <v>557</v>
      </c>
      <c r="C1050" s="4"/>
      <c r="D1050" s="893" t="s">
        <v>1265</v>
      </c>
      <c r="E1050" s="4"/>
      <c r="F1050" s="414">
        <v>20</v>
      </c>
      <c r="G1050" s="179">
        <v>45813</v>
      </c>
      <c r="H1050" s="415">
        <v>1</v>
      </c>
      <c r="I1050" s="446">
        <v>0.54861111111111105</v>
      </c>
      <c r="J1050" s="446">
        <v>0.57638888888888895</v>
      </c>
      <c r="K1050" s="417">
        <f t="shared" si="32"/>
        <v>0.66666666666666963</v>
      </c>
      <c r="L1050" s="9">
        <v>45813</v>
      </c>
      <c r="M1050" s="234" t="s">
        <v>1246</v>
      </c>
      <c r="N1050" s="6" t="s">
        <v>7</v>
      </c>
      <c r="O1050" s="13" t="s">
        <v>151</v>
      </c>
    </row>
    <row r="1051" spans="1:15" s="1" customFormat="1">
      <c r="A1051" s="4"/>
      <c r="B1051" s="892" t="s">
        <v>557</v>
      </c>
      <c r="C1051" s="4"/>
      <c r="D1051" s="893" t="s">
        <v>422</v>
      </c>
      <c r="E1051" s="4"/>
      <c r="F1051" s="414">
        <v>15</v>
      </c>
      <c r="G1051" s="179">
        <v>45813</v>
      </c>
      <c r="H1051" s="415">
        <v>1</v>
      </c>
      <c r="I1051" s="446">
        <v>0.58333333333333337</v>
      </c>
      <c r="J1051" s="446">
        <v>0.60416666666666663</v>
      </c>
      <c r="K1051" s="417">
        <f t="shared" si="32"/>
        <v>0.49999999999999822</v>
      </c>
      <c r="L1051" s="9">
        <v>45813</v>
      </c>
      <c r="M1051" s="234" t="s">
        <v>1246</v>
      </c>
      <c r="N1051" s="6" t="s">
        <v>7</v>
      </c>
      <c r="O1051" s="13" t="s">
        <v>151</v>
      </c>
    </row>
    <row r="1052" spans="1:15" s="1" customFormat="1">
      <c r="A1052" s="4"/>
      <c r="B1052" s="892" t="s">
        <v>557</v>
      </c>
      <c r="C1052" s="4"/>
      <c r="D1052" s="893" t="s">
        <v>378</v>
      </c>
      <c r="E1052" s="4"/>
      <c r="F1052" s="414">
        <v>30</v>
      </c>
      <c r="G1052" s="179">
        <v>45813</v>
      </c>
      <c r="H1052" s="415">
        <v>2</v>
      </c>
      <c r="I1052" s="446">
        <v>0.6875</v>
      </c>
      <c r="J1052" s="446">
        <v>0.79166666666666663</v>
      </c>
      <c r="K1052" s="417">
        <f t="shared" si="32"/>
        <v>4.9999999999999982</v>
      </c>
      <c r="L1052" s="9">
        <v>45813</v>
      </c>
      <c r="M1052" s="234" t="s">
        <v>1246</v>
      </c>
      <c r="N1052" s="6" t="s">
        <v>7</v>
      </c>
      <c r="O1052" s="13" t="s">
        <v>151</v>
      </c>
    </row>
    <row r="1053" spans="1:15" s="1" customFormat="1">
      <c r="A1053" s="4"/>
      <c r="B1053" s="412"/>
      <c r="C1053" s="894" t="s">
        <v>1266</v>
      </c>
      <c r="D1053" s="895" t="s">
        <v>1267</v>
      </c>
      <c r="E1053" s="4"/>
      <c r="F1053" s="414">
        <v>1</v>
      </c>
      <c r="G1053" s="179">
        <v>45814</v>
      </c>
      <c r="H1053" s="415">
        <v>1</v>
      </c>
      <c r="I1053" s="446">
        <v>0.54166666666666663</v>
      </c>
      <c r="J1053" s="446">
        <v>0.64583333333333337</v>
      </c>
      <c r="K1053" s="417">
        <f t="shared" si="32"/>
        <v>2.5000000000000018</v>
      </c>
      <c r="L1053" s="9">
        <v>45814</v>
      </c>
      <c r="M1053" s="234" t="s">
        <v>1246</v>
      </c>
      <c r="N1053" s="245" t="s">
        <v>6</v>
      </c>
      <c r="O1053" s="246" t="s">
        <v>1268</v>
      </c>
    </row>
    <row r="1054" spans="1:15" s="1" customFormat="1">
      <c r="A1054" s="4"/>
      <c r="B1054" s="412"/>
      <c r="C1054" s="894" t="s">
        <v>1266</v>
      </c>
      <c r="D1054" s="895" t="s">
        <v>1267</v>
      </c>
      <c r="E1054" s="4"/>
      <c r="F1054" s="414">
        <v>1</v>
      </c>
      <c r="G1054" s="179">
        <v>45815</v>
      </c>
      <c r="H1054" s="415">
        <v>1</v>
      </c>
      <c r="I1054" s="446">
        <v>0.29166666666666669</v>
      </c>
      <c r="J1054" s="446">
        <v>0.375</v>
      </c>
      <c r="K1054" s="417">
        <f t="shared" si="32"/>
        <v>1.9999999999999996</v>
      </c>
      <c r="L1054" s="9">
        <v>45815</v>
      </c>
      <c r="M1054" s="234" t="s">
        <v>1246</v>
      </c>
      <c r="N1054" s="245" t="s">
        <v>6</v>
      </c>
      <c r="O1054" s="246" t="s">
        <v>1268</v>
      </c>
    </row>
    <row r="1055" spans="1:15" s="1" customFormat="1">
      <c r="A1055" s="4"/>
      <c r="B1055" s="412"/>
      <c r="C1055" s="894" t="s">
        <v>403</v>
      </c>
      <c r="D1055" s="895" t="s">
        <v>107</v>
      </c>
      <c r="E1055" s="4">
        <v>1</v>
      </c>
      <c r="F1055" s="414">
        <v>1</v>
      </c>
      <c r="G1055" s="179">
        <v>45815</v>
      </c>
      <c r="H1055" s="415">
        <v>1</v>
      </c>
      <c r="I1055" s="446">
        <v>0.38194444444444442</v>
      </c>
      <c r="J1055" s="446">
        <v>0.3888888888888889</v>
      </c>
      <c r="K1055" s="417">
        <f t="shared" si="32"/>
        <v>0.16666666666666741</v>
      </c>
      <c r="L1055" s="9">
        <v>45815</v>
      </c>
      <c r="M1055" s="234" t="s">
        <v>1246</v>
      </c>
      <c r="N1055" s="245" t="s">
        <v>6</v>
      </c>
      <c r="O1055" s="246" t="s">
        <v>1269</v>
      </c>
    </row>
    <row r="1056" spans="1:15" s="1" customFormat="1">
      <c r="A1056" s="4"/>
      <c r="B1056" s="412"/>
      <c r="C1056" s="894" t="s">
        <v>403</v>
      </c>
      <c r="D1056" s="896" t="s">
        <v>1270</v>
      </c>
      <c r="E1056" s="4"/>
      <c r="F1056" s="414">
        <v>1</v>
      </c>
      <c r="G1056" s="179">
        <v>45814</v>
      </c>
      <c r="H1056" s="415">
        <v>1</v>
      </c>
      <c r="I1056" s="446">
        <v>0.375</v>
      </c>
      <c r="J1056" s="446">
        <v>0.75</v>
      </c>
      <c r="K1056" s="417">
        <f t="shared" si="32"/>
        <v>9</v>
      </c>
      <c r="L1056" s="9">
        <v>45814</v>
      </c>
      <c r="M1056" s="234" t="s">
        <v>1246</v>
      </c>
      <c r="N1056" s="247" t="s">
        <v>662</v>
      </c>
      <c r="O1056" s="248" t="s">
        <v>1271</v>
      </c>
    </row>
    <row r="1057" spans="1:15" s="1" customFormat="1">
      <c r="A1057" s="4"/>
      <c r="B1057" s="412"/>
      <c r="C1057" s="249" t="s">
        <v>1272</v>
      </c>
      <c r="D1057" s="897" t="s">
        <v>1274</v>
      </c>
      <c r="E1057" s="4"/>
      <c r="F1057" s="414">
        <v>1</v>
      </c>
      <c r="G1057" s="179">
        <v>45817</v>
      </c>
      <c r="H1057" s="415">
        <v>1</v>
      </c>
      <c r="I1057" s="446">
        <v>0.375</v>
      </c>
      <c r="J1057" s="446">
        <v>0.66666666666666663</v>
      </c>
      <c r="K1057" s="417">
        <f t="shared" si="32"/>
        <v>6.9999999999999991</v>
      </c>
      <c r="L1057" s="9">
        <v>45817</v>
      </c>
      <c r="M1057" s="249" t="s">
        <v>1276</v>
      </c>
      <c r="N1057" s="247" t="s">
        <v>662</v>
      </c>
      <c r="O1057" s="250" t="s">
        <v>1277</v>
      </c>
    </row>
    <row r="1058" spans="1:15" s="1" customFormat="1">
      <c r="A1058" s="4"/>
      <c r="B1058" s="412"/>
      <c r="C1058" s="249" t="s">
        <v>1273</v>
      </c>
      <c r="D1058" s="897" t="s">
        <v>1275</v>
      </c>
      <c r="E1058" s="4"/>
      <c r="F1058" s="414">
        <v>1</v>
      </c>
      <c r="G1058" s="179">
        <v>45817</v>
      </c>
      <c r="H1058" s="415">
        <v>1</v>
      </c>
      <c r="I1058" s="446">
        <v>0.65625</v>
      </c>
      <c r="J1058" s="446">
        <v>0.66666666666666663</v>
      </c>
      <c r="K1058" s="417">
        <f t="shared" si="32"/>
        <v>0.24999999999999911</v>
      </c>
      <c r="L1058" s="9">
        <v>45817</v>
      </c>
      <c r="M1058" s="249" t="s">
        <v>1276</v>
      </c>
      <c r="N1058" s="247" t="s">
        <v>662</v>
      </c>
      <c r="O1058" s="250" t="s">
        <v>1278</v>
      </c>
    </row>
    <row r="1059" spans="1:15" s="1" customFormat="1">
      <c r="A1059" s="4"/>
      <c r="B1059" s="412"/>
      <c r="C1059" s="249" t="s">
        <v>1235</v>
      </c>
      <c r="D1059" s="897" t="s">
        <v>1046</v>
      </c>
      <c r="E1059" s="4">
        <v>6</v>
      </c>
      <c r="F1059" s="414">
        <v>6</v>
      </c>
      <c r="G1059" s="179">
        <v>45817</v>
      </c>
      <c r="H1059" s="415">
        <v>1</v>
      </c>
      <c r="I1059" s="446">
        <v>0.58333333333333337</v>
      </c>
      <c r="J1059" s="446">
        <v>0.61111111111111105</v>
      </c>
      <c r="K1059" s="417">
        <f t="shared" si="32"/>
        <v>0.6666666666666643</v>
      </c>
      <c r="L1059" s="9">
        <v>45817</v>
      </c>
      <c r="M1059" s="249" t="s">
        <v>1276</v>
      </c>
      <c r="N1059" s="251" t="s">
        <v>8</v>
      </c>
      <c r="O1059" s="250" t="s">
        <v>1279</v>
      </c>
    </row>
    <row r="1060" spans="1:15" s="1" customFormat="1">
      <c r="A1060" s="4"/>
      <c r="B1060" s="892" t="s">
        <v>557</v>
      </c>
      <c r="C1060" s="898" t="s">
        <v>1280</v>
      </c>
      <c r="D1060" s="899" t="s">
        <v>67</v>
      </c>
      <c r="E1060" s="4">
        <v>10</v>
      </c>
      <c r="F1060" s="414">
        <v>10</v>
      </c>
      <c r="G1060" s="179">
        <v>45817</v>
      </c>
      <c r="H1060" s="415">
        <v>1</v>
      </c>
      <c r="I1060" s="446">
        <v>0.625</v>
      </c>
      <c r="J1060" s="446">
        <v>0.65972222222222221</v>
      </c>
      <c r="K1060" s="417">
        <f t="shared" si="32"/>
        <v>0.83333333333333304</v>
      </c>
      <c r="L1060" s="9">
        <v>45817</v>
      </c>
      <c r="M1060" s="249" t="s">
        <v>1276</v>
      </c>
      <c r="N1060" s="6" t="s">
        <v>7</v>
      </c>
      <c r="O1060" s="252" t="s">
        <v>1281</v>
      </c>
    </row>
    <row r="1061" spans="1:15" s="1" customFormat="1">
      <c r="A1061" s="4"/>
      <c r="B1061" s="412"/>
      <c r="C1061" s="900" t="s">
        <v>1282</v>
      </c>
      <c r="D1061" s="901" t="s">
        <v>111</v>
      </c>
      <c r="E1061" s="4">
        <v>3</v>
      </c>
      <c r="F1061" s="414">
        <v>3</v>
      </c>
      <c r="G1061" s="179">
        <v>45817</v>
      </c>
      <c r="H1061" s="415">
        <v>1</v>
      </c>
      <c r="I1061" s="446">
        <v>0.66666666666666663</v>
      </c>
      <c r="J1061" s="446">
        <v>0.6875</v>
      </c>
      <c r="K1061" s="417">
        <f t="shared" si="32"/>
        <v>0.50000000000000089</v>
      </c>
      <c r="L1061" s="9">
        <v>45817</v>
      </c>
      <c r="M1061" s="249" t="s">
        <v>1276</v>
      </c>
      <c r="N1061" s="253" t="s">
        <v>8</v>
      </c>
      <c r="O1061" s="254" t="s">
        <v>1259</v>
      </c>
    </row>
    <row r="1062" spans="1:15" s="1" customFormat="1">
      <c r="A1062" s="4"/>
      <c r="B1062" s="412"/>
      <c r="C1062" s="900" t="s">
        <v>577</v>
      </c>
      <c r="D1062" s="901" t="s">
        <v>1192</v>
      </c>
      <c r="E1062" s="4">
        <v>1</v>
      </c>
      <c r="F1062" s="414">
        <v>1</v>
      </c>
      <c r="G1062" s="179">
        <v>45819</v>
      </c>
      <c r="H1062" s="415">
        <v>1</v>
      </c>
      <c r="I1062" s="446">
        <v>0.34722222222222227</v>
      </c>
      <c r="J1062" s="446">
        <v>0.3576388888888889</v>
      </c>
      <c r="K1062" s="417">
        <f t="shared" si="32"/>
        <v>0.24999999999999911</v>
      </c>
      <c r="L1062" s="9">
        <v>45819</v>
      </c>
      <c r="M1062" s="249" t="s">
        <v>1276</v>
      </c>
      <c r="N1062" s="253" t="s">
        <v>6</v>
      </c>
      <c r="O1062" s="254" t="s">
        <v>1283</v>
      </c>
    </row>
    <row r="1063" spans="1:15" s="1" customFormat="1">
      <c r="A1063" s="4"/>
      <c r="B1063" s="412"/>
      <c r="C1063" s="4"/>
      <c r="D1063" s="901" t="s">
        <v>1142</v>
      </c>
      <c r="E1063" s="4">
        <v>1</v>
      </c>
      <c r="F1063" s="414">
        <v>2</v>
      </c>
      <c r="G1063" s="179">
        <v>45819</v>
      </c>
      <c r="H1063" s="415">
        <v>1</v>
      </c>
      <c r="I1063" s="446">
        <v>0.3576388888888889</v>
      </c>
      <c r="J1063" s="446">
        <v>0.375</v>
      </c>
      <c r="K1063" s="417">
        <f t="shared" si="32"/>
        <v>0.41666666666666652</v>
      </c>
      <c r="L1063" s="9">
        <v>45819</v>
      </c>
      <c r="M1063" s="249" t="s">
        <v>1276</v>
      </c>
      <c r="N1063" s="253" t="s">
        <v>6</v>
      </c>
      <c r="O1063" s="254" t="s">
        <v>1283</v>
      </c>
    </row>
    <row r="1064" spans="1:15" s="1" customFormat="1">
      <c r="A1064" s="4"/>
      <c r="B1064" s="412"/>
      <c r="C1064" s="900" t="s">
        <v>283</v>
      </c>
      <c r="D1064" s="901" t="s">
        <v>882</v>
      </c>
      <c r="E1064" s="4">
        <v>3</v>
      </c>
      <c r="F1064" s="414">
        <v>3</v>
      </c>
      <c r="G1064" s="179">
        <v>45820</v>
      </c>
      <c r="H1064" s="415">
        <v>1</v>
      </c>
      <c r="I1064" s="446">
        <v>0.54166666666666663</v>
      </c>
      <c r="J1064" s="446">
        <v>0.5625</v>
      </c>
      <c r="K1064" s="417">
        <f t="shared" si="32"/>
        <v>0.50000000000000089</v>
      </c>
      <c r="L1064" s="9">
        <v>45819</v>
      </c>
      <c r="M1064" s="249" t="s">
        <v>1276</v>
      </c>
      <c r="N1064" s="253" t="s">
        <v>8</v>
      </c>
      <c r="O1064" s="254" t="s">
        <v>1284</v>
      </c>
    </row>
    <row r="1065" spans="1:15" s="1" customFormat="1">
      <c r="A1065" s="4"/>
      <c r="B1065" s="412"/>
      <c r="C1065" s="4"/>
      <c r="D1065" s="901" t="s">
        <v>882</v>
      </c>
      <c r="E1065" s="4">
        <v>11</v>
      </c>
      <c r="F1065" s="414">
        <v>11</v>
      </c>
      <c r="G1065" s="179">
        <v>45820</v>
      </c>
      <c r="H1065" s="415">
        <v>1</v>
      </c>
      <c r="I1065" s="446">
        <v>0.58333333333333337</v>
      </c>
      <c r="J1065" s="446">
        <v>0.625</v>
      </c>
      <c r="K1065" s="417">
        <f t="shared" si="32"/>
        <v>0.99999999999999911</v>
      </c>
      <c r="L1065" s="9">
        <v>45820</v>
      </c>
      <c r="M1065" s="249" t="s">
        <v>1276</v>
      </c>
      <c r="N1065" s="253" t="s">
        <v>8</v>
      </c>
      <c r="O1065" s="255" t="s">
        <v>1285</v>
      </c>
    </row>
    <row r="1066" spans="1:15" s="1" customFormat="1">
      <c r="A1066" s="4"/>
      <c r="B1066" s="412"/>
      <c r="C1066" s="902" t="s">
        <v>559</v>
      </c>
      <c r="D1066" s="903" t="s">
        <v>882</v>
      </c>
      <c r="E1066" s="4">
        <v>1</v>
      </c>
      <c r="F1066" s="414">
        <v>1</v>
      </c>
      <c r="G1066" s="179">
        <v>45820</v>
      </c>
      <c r="H1066" s="415">
        <v>1</v>
      </c>
      <c r="I1066" s="446">
        <v>0.60416666666666663</v>
      </c>
      <c r="J1066" s="446">
        <v>0.61458333333333337</v>
      </c>
      <c r="K1066" s="417">
        <f t="shared" si="32"/>
        <v>0.25000000000000178</v>
      </c>
      <c r="L1066" s="9">
        <v>45820</v>
      </c>
      <c r="M1066" s="249" t="s">
        <v>1276</v>
      </c>
      <c r="N1066" s="256" t="s">
        <v>11</v>
      </c>
      <c r="O1066" s="257" t="s">
        <v>1286</v>
      </c>
    </row>
    <row r="1067" spans="1:15" s="1" customFormat="1">
      <c r="A1067" s="4"/>
      <c r="B1067" s="412"/>
      <c r="C1067" s="4"/>
      <c r="D1067" s="903" t="s">
        <v>1192</v>
      </c>
      <c r="E1067" s="4">
        <v>1</v>
      </c>
      <c r="F1067" s="414">
        <v>1</v>
      </c>
      <c r="G1067" s="179">
        <v>45820</v>
      </c>
      <c r="H1067" s="415">
        <v>1</v>
      </c>
      <c r="I1067" s="446">
        <v>0.61458333333333337</v>
      </c>
      <c r="J1067" s="446">
        <v>0.625</v>
      </c>
      <c r="K1067" s="417">
        <f t="shared" si="32"/>
        <v>0.24999999999999911</v>
      </c>
      <c r="L1067" s="9">
        <v>45820</v>
      </c>
      <c r="M1067" s="249" t="s">
        <v>1276</v>
      </c>
      <c r="N1067" s="256" t="s">
        <v>11</v>
      </c>
      <c r="O1067" s="257" t="s">
        <v>1286</v>
      </c>
    </row>
    <row r="1068" spans="1:15" s="1" customFormat="1">
      <c r="A1068" s="4"/>
      <c r="B1068" s="412"/>
      <c r="C1068" s="904" t="s">
        <v>595</v>
      </c>
      <c r="D1068" s="905" t="s">
        <v>111</v>
      </c>
      <c r="E1068" s="4"/>
      <c r="F1068" s="414">
        <v>1</v>
      </c>
      <c r="G1068" s="179">
        <v>45820</v>
      </c>
      <c r="H1068" s="415">
        <v>1</v>
      </c>
      <c r="I1068" s="446">
        <v>0.57638888888888895</v>
      </c>
      <c r="J1068" s="446">
        <v>0.58680555555555558</v>
      </c>
      <c r="K1068" s="417">
        <f t="shared" si="32"/>
        <v>0.24999999999999911</v>
      </c>
      <c r="L1068" s="9">
        <v>45820</v>
      </c>
      <c r="M1068" s="249" t="s">
        <v>1276</v>
      </c>
      <c r="N1068" s="258" t="s">
        <v>6</v>
      </c>
      <c r="O1068" s="259" t="s">
        <v>1287</v>
      </c>
    </row>
    <row r="1069" spans="1:15" s="1" customFormat="1">
      <c r="A1069" s="4"/>
      <c r="B1069" s="412"/>
      <c r="C1069" s="904" t="s">
        <v>559</v>
      </c>
      <c r="D1069" s="905" t="s">
        <v>882</v>
      </c>
      <c r="E1069" s="4">
        <v>1</v>
      </c>
      <c r="F1069" s="414">
        <v>1</v>
      </c>
      <c r="G1069" s="179">
        <v>45820</v>
      </c>
      <c r="H1069" s="415">
        <v>1</v>
      </c>
      <c r="I1069" s="446">
        <v>0.58680555555555558</v>
      </c>
      <c r="J1069" s="446">
        <v>0.59722222222222221</v>
      </c>
      <c r="K1069" s="417">
        <f t="shared" si="32"/>
        <v>0.24999999999999911</v>
      </c>
      <c r="L1069" s="9">
        <v>45820</v>
      </c>
      <c r="M1069" s="249" t="s">
        <v>1276</v>
      </c>
      <c r="N1069" s="258" t="s">
        <v>6</v>
      </c>
      <c r="O1069" s="259" t="s">
        <v>1288</v>
      </c>
    </row>
    <row r="1070" spans="1:15" s="1" customFormat="1">
      <c r="A1070" s="4"/>
      <c r="B1070" s="412"/>
      <c r="C1070" s="904" t="s">
        <v>1289</v>
      </c>
      <c r="D1070" s="905" t="s">
        <v>861</v>
      </c>
      <c r="E1070" s="4">
        <v>13</v>
      </c>
      <c r="F1070" s="414">
        <v>26</v>
      </c>
      <c r="G1070" s="179">
        <v>45821</v>
      </c>
      <c r="H1070" s="415">
        <v>1</v>
      </c>
      <c r="I1070" s="446">
        <v>0.54861111111111105</v>
      </c>
      <c r="J1070" s="446">
        <v>0.58333333333333337</v>
      </c>
      <c r="K1070" s="417">
        <f t="shared" si="32"/>
        <v>0.8333333333333357</v>
      </c>
      <c r="L1070" s="9">
        <v>45821</v>
      </c>
      <c r="M1070" s="249" t="s">
        <v>1276</v>
      </c>
      <c r="N1070" s="258" t="s">
        <v>6</v>
      </c>
      <c r="O1070" s="259" t="s">
        <v>1290</v>
      </c>
    </row>
    <row r="1071" spans="1:15" s="1" customFormat="1">
      <c r="A1071" s="4"/>
      <c r="B1071" s="892" t="s">
        <v>557</v>
      </c>
      <c r="C1071" s="4"/>
      <c r="D1071" s="906" t="s">
        <v>261</v>
      </c>
      <c r="E1071" s="4"/>
      <c r="F1071" s="414">
        <v>60</v>
      </c>
      <c r="G1071" s="179">
        <v>45821</v>
      </c>
      <c r="H1071" s="415">
        <v>1</v>
      </c>
      <c r="I1071" s="446">
        <v>0.375</v>
      </c>
      <c r="J1071" s="446">
        <v>0.41666666666666669</v>
      </c>
      <c r="K1071" s="417">
        <f t="shared" si="32"/>
        <v>1.0000000000000004</v>
      </c>
      <c r="L1071" s="9">
        <v>45821</v>
      </c>
      <c r="M1071" s="249" t="s">
        <v>1276</v>
      </c>
      <c r="N1071" s="6" t="s">
        <v>7</v>
      </c>
      <c r="O1071" s="13" t="s">
        <v>151</v>
      </c>
    </row>
    <row r="1072" spans="1:15" s="1" customFormat="1">
      <c r="A1072" s="4"/>
      <c r="B1072" s="892" t="s">
        <v>557</v>
      </c>
      <c r="C1072" s="4"/>
      <c r="D1072" s="906" t="s">
        <v>902</v>
      </c>
      <c r="E1072" s="4"/>
      <c r="F1072" s="414">
        <v>66</v>
      </c>
      <c r="G1072" s="179">
        <v>45821</v>
      </c>
      <c r="H1072" s="415">
        <v>1</v>
      </c>
      <c r="I1072" s="446">
        <v>0.41666666666666669</v>
      </c>
      <c r="J1072" s="446">
        <v>0.46527777777777773</v>
      </c>
      <c r="K1072" s="417">
        <f t="shared" si="32"/>
        <v>1.1666666666666652</v>
      </c>
      <c r="L1072" s="9">
        <v>45821</v>
      </c>
      <c r="M1072" s="249" t="s">
        <v>1276</v>
      </c>
      <c r="N1072" s="6" t="s">
        <v>7</v>
      </c>
      <c r="O1072" s="13" t="s">
        <v>151</v>
      </c>
    </row>
    <row r="1073" spans="1:15" s="1" customFormat="1">
      <c r="A1073" s="4"/>
      <c r="B1073" s="892" t="s">
        <v>557</v>
      </c>
      <c r="C1073" s="4"/>
      <c r="D1073" s="906" t="s">
        <v>397</v>
      </c>
      <c r="E1073" s="4"/>
      <c r="F1073" s="414">
        <v>300</v>
      </c>
      <c r="G1073" s="179">
        <v>45821</v>
      </c>
      <c r="H1073" s="415">
        <v>1</v>
      </c>
      <c r="I1073" s="446">
        <v>0.54166666666666663</v>
      </c>
      <c r="J1073" s="446">
        <v>0.625</v>
      </c>
      <c r="K1073" s="417">
        <f t="shared" si="32"/>
        <v>2.0000000000000009</v>
      </c>
      <c r="L1073" s="9">
        <v>45821</v>
      </c>
      <c r="M1073" s="249" t="s">
        <v>1276</v>
      </c>
      <c r="N1073" s="6" t="s">
        <v>7</v>
      </c>
      <c r="O1073" s="13" t="s">
        <v>151</v>
      </c>
    </row>
    <row r="1074" spans="1:15" s="1" customFormat="1">
      <c r="A1074" s="4"/>
      <c r="B1074" s="892" t="s">
        <v>557</v>
      </c>
      <c r="C1074" s="4"/>
      <c r="D1074" s="906" t="s">
        <v>91</v>
      </c>
      <c r="E1074" s="4"/>
      <c r="F1074" s="414">
        <v>100</v>
      </c>
      <c r="G1074" s="179">
        <v>45821</v>
      </c>
      <c r="H1074" s="415">
        <v>1</v>
      </c>
      <c r="I1074" s="446">
        <v>0.40277777777777773</v>
      </c>
      <c r="J1074" s="446">
        <v>0.4861111111111111</v>
      </c>
      <c r="K1074" s="417">
        <f t="shared" si="32"/>
        <v>2.0000000000000009</v>
      </c>
      <c r="L1074" s="9">
        <v>45821</v>
      </c>
      <c r="M1074" s="249" t="s">
        <v>1276</v>
      </c>
      <c r="N1074" s="6" t="s">
        <v>7</v>
      </c>
      <c r="O1074" s="13" t="s">
        <v>151</v>
      </c>
    </row>
    <row r="1075" spans="1:15" s="1" customFormat="1">
      <c r="A1075" s="4"/>
      <c r="B1075" s="412"/>
      <c r="C1075" s="260" t="s">
        <v>1291</v>
      </c>
      <c r="D1075" s="907" t="s">
        <v>1106</v>
      </c>
      <c r="E1075" s="4"/>
      <c r="F1075" s="414">
        <v>1</v>
      </c>
      <c r="G1075" s="179">
        <v>45824</v>
      </c>
      <c r="H1075" s="415">
        <v>1</v>
      </c>
      <c r="I1075" s="446">
        <v>0.3888888888888889</v>
      </c>
      <c r="J1075" s="446">
        <v>0.70833333333333337</v>
      </c>
      <c r="K1075" s="417">
        <f t="shared" si="32"/>
        <v>7.6666666666666679</v>
      </c>
      <c r="L1075" s="9">
        <v>45824</v>
      </c>
      <c r="M1075" s="260" t="s">
        <v>1292</v>
      </c>
      <c r="N1075" s="261" t="s">
        <v>6</v>
      </c>
      <c r="O1075" s="262" t="s">
        <v>1293</v>
      </c>
    </row>
    <row r="1076" spans="1:15" s="1" customFormat="1">
      <c r="A1076" s="4"/>
      <c r="B1076" s="412"/>
      <c r="C1076" s="260" t="s">
        <v>1294</v>
      </c>
      <c r="D1076" s="907" t="s">
        <v>1295</v>
      </c>
      <c r="E1076" s="4"/>
      <c r="F1076" s="414">
        <v>1</v>
      </c>
      <c r="G1076" s="179">
        <v>45822</v>
      </c>
      <c r="H1076" s="415">
        <v>1</v>
      </c>
      <c r="I1076" s="446">
        <v>0.3125</v>
      </c>
      <c r="J1076" s="446">
        <v>0.625</v>
      </c>
      <c r="K1076" s="417">
        <f t="shared" si="32"/>
        <v>7.5</v>
      </c>
      <c r="L1076" s="9">
        <v>45822</v>
      </c>
      <c r="M1076" s="260" t="s">
        <v>1292</v>
      </c>
      <c r="N1076" s="261" t="s">
        <v>11</v>
      </c>
      <c r="O1076" s="262" t="s">
        <v>1296</v>
      </c>
    </row>
    <row r="1077" spans="1:15" s="1" customFormat="1">
      <c r="A1077" s="4"/>
      <c r="B1077" s="412"/>
      <c r="C1077" s="908" t="s">
        <v>1297</v>
      </c>
      <c r="D1077" s="909" t="s">
        <v>1298</v>
      </c>
      <c r="E1077" s="4"/>
      <c r="F1077" s="414">
        <v>1</v>
      </c>
      <c r="G1077" s="179">
        <v>45824</v>
      </c>
      <c r="H1077" s="415">
        <v>1</v>
      </c>
      <c r="I1077" s="446">
        <v>0.33333333333333331</v>
      </c>
      <c r="J1077" s="446">
        <v>0.75</v>
      </c>
      <c r="K1077" s="417">
        <f t="shared" si="32"/>
        <v>10</v>
      </c>
      <c r="L1077" s="9">
        <v>45824</v>
      </c>
      <c r="M1077" s="260" t="s">
        <v>1292</v>
      </c>
      <c r="N1077" s="264" t="s">
        <v>1300</v>
      </c>
      <c r="O1077" s="263" t="s">
        <v>1299</v>
      </c>
    </row>
    <row r="1078" spans="1:15" s="1" customFormat="1">
      <c r="A1078" s="4"/>
      <c r="B1078" s="412"/>
      <c r="C1078" s="908" t="s">
        <v>1297</v>
      </c>
      <c r="D1078" s="909" t="s">
        <v>1298</v>
      </c>
      <c r="E1078" s="4"/>
      <c r="F1078" s="414">
        <v>1</v>
      </c>
      <c r="G1078" s="179">
        <v>45825</v>
      </c>
      <c r="H1078" s="415">
        <v>1</v>
      </c>
      <c r="I1078" s="446">
        <v>0.3125</v>
      </c>
      <c r="J1078" s="446">
        <v>0.45833333333333331</v>
      </c>
      <c r="K1078" s="417">
        <f t="shared" si="32"/>
        <v>3.4999999999999996</v>
      </c>
      <c r="L1078" s="9">
        <v>45825</v>
      </c>
      <c r="M1078" s="260" t="s">
        <v>1292</v>
      </c>
      <c r="N1078" s="264" t="s">
        <v>1300</v>
      </c>
      <c r="O1078" s="263" t="s">
        <v>1299</v>
      </c>
    </row>
    <row r="1079" spans="1:15" s="1" customFormat="1">
      <c r="A1079" s="4"/>
      <c r="B1079" s="412"/>
      <c r="C1079" s="910" t="s">
        <v>1210</v>
      </c>
      <c r="D1079" s="911" t="s">
        <v>74</v>
      </c>
      <c r="E1079" s="4">
        <v>1</v>
      </c>
      <c r="F1079" s="414">
        <v>1</v>
      </c>
      <c r="G1079" s="179">
        <v>45826</v>
      </c>
      <c r="H1079" s="415">
        <v>1</v>
      </c>
      <c r="I1079" s="446">
        <v>0.58333333333333337</v>
      </c>
      <c r="J1079" s="446">
        <v>0.59027777777777779</v>
      </c>
      <c r="K1079" s="417">
        <f t="shared" si="32"/>
        <v>0.16666666666666607</v>
      </c>
      <c r="L1079" s="9">
        <v>45826</v>
      </c>
      <c r="M1079" s="260" t="s">
        <v>1292</v>
      </c>
      <c r="N1079" s="265" t="s">
        <v>7</v>
      </c>
      <c r="O1079" s="266" t="s">
        <v>1301</v>
      </c>
    </row>
    <row r="1080" spans="1:15" s="1" customFormat="1">
      <c r="A1080" s="4"/>
      <c r="B1080" s="412"/>
      <c r="C1080" s="910" t="s">
        <v>1210</v>
      </c>
      <c r="D1080" s="911" t="s">
        <v>310</v>
      </c>
      <c r="E1080" s="4">
        <v>3</v>
      </c>
      <c r="F1080" s="414">
        <v>3</v>
      </c>
      <c r="G1080" s="179">
        <v>45826</v>
      </c>
      <c r="H1080" s="415">
        <v>1</v>
      </c>
      <c r="I1080" s="446">
        <v>0.59027777777777779</v>
      </c>
      <c r="J1080" s="446">
        <v>0.60763888888888895</v>
      </c>
      <c r="K1080" s="417">
        <f t="shared" si="32"/>
        <v>0.41666666666666785</v>
      </c>
      <c r="L1080" s="9">
        <v>45826</v>
      </c>
      <c r="M1080" s="260" t="s">
        <v>1292</v>
      </c>
      <c r="N1080" s="265" t="s">
        <v>7</v>
      </c>
      <c r="O1080" s="266" t="s">
        <v>1301</v>
      </c>
    </row>
    <row r="1081" spans="1:15" s="1" customFormat="1">
      <c r="A1081" s="4"/>
      <c r="B1081" s="412"/>
      <c r="C1081" s="267" t="s">
        <v>1302</v>
      </c>
      <c r="D1081" s="912" t="s">
        <v>1046</v>
      </c>
      <c r="E1081" s="4">
        <v>13</v>
      </c>
      <c r="F1081" s="414">
        <v>13</v>
      </c>
      <c r="G1081" s="179">
        <v>45828</v>
      </c>
      <c r="H1081" s="415">
        <v>1</v>
      </c>
      <c r="I1081" s="446">
        <v>0.54166666666666663</v>
      </c>
      <c r="J1081" s="446">
        <v>0.60416666666666663</v>
      </c>
      <c r="K1081" s="417">
        <f t="shared" si="32"/>
        <v>1.5</v>
      </c>
      <c r="L1081" s="9">
        <v>45828</v>
      </c>
      <c r="M1081" s="267" t="s">
        <v>1303</v>
      </c>
      <c r="N1081" s="268" t="s">
        <v>6</v>
      </c>
      <c r="O1081" s="269" t="s">
        <v>1304</v>
      </c>
    </row>
    <row r="1082" spans="1:15" s="1" customFormat="1">
      <c r="A1082" s="4"/>
      <c r="B1082" s="913" t="s">
        <v>557</v>
      </c>
      <c r="C1082" s="4"/>
      <c r="D1082" s="914" t="s">
        <v>422</v>
      </c>
      <c r="E1082" s="4"/>
      <c r="F1082" s="414">
        <v>30</v>
      </c>
      <c r="G1082" s="179">
        <v>45828</v>
      </c>
      <c r="H1082" s="415">
        <v>1</v>
      </c>
      <c r="I1082" s="446">
        <v>0.375</v>
      </c>
      <c r="J1082" s="446">
        <v>0.39583333333333331</v>
      </c>
      <c r="K1082" s="417">
        <f t="shared" si="32"/>
        <v>0.49999999999999956</v>
      </c>
      <c r="L1082" s="9">
        <v>45828</v>
      </c>
      <c r="M1082" s="267" t="s">
        <v>1303</v>
      </c>
      <c r="N1082" s="6" t="s">
        <v>7</v>
      </c>
      <c r="O1082" s="13" t="s">
        <v>151</v>
      </c>
    </row>
    <row r="1083" spans="1:15" s="1" customFormat="1">
      <c r="A1083" s="4"/>
      <c r="B1083" s="913" t="s">
        <v>557</v>
      </c>
      <c r="C1083" s="4"/>
      <c r="D1083" s="914" t="s">
        <v>399</v>
      </c>
      <c r="E1083" s="4"/>
      <c r="F1083" s="414">
        <v>30</v>
      </c>
      <c r="G1083" s="179">
        <v>45828</v>
      </c>
      <c r="H1083" s="415">
        <v>1</v>
      </c>
      <c r="I1083" s="446">
        <v>0.39583333333333331</v>
      </c>
      <c r="J1083" s="446">
        <v>0.41666666666666669</v>
      </c>
      <c r="K1083" s="417">
        <f t="shared" si="32"/>
        <v>0.50000000000000089</v>
      </c>
      <c r="L1083" s="9">
        <v>45828</v>
      </c>
      <c r="M1083" s="267" t="s">
        <v>1303</v>
      </c>
      <c r="N1083" s="6" t="s">
        <v>7</v>
      </c>
      <c r="O1083" s="13" t="s">
        <v>151</v>
      </c>
    </row>
    <row r="1084" spans="1:15" s="1" customFormat="1">
      <c r="A1084" s="4"/>
      <c r="B1084" s="913" t="s">
        <v>557</v>
      </c>
      <c r="C1084" s="4"/>
      <c r="D1084" s="914" t="s">
        <v>204</v>
      </c>
      <c r="E1084" s="4"/>
      <c r="F1084" s="414">
        <v>30</v>
      </c>
      <c r="G1084" s="179">
        <v>45828</v>
      </c>
      <c r="H1084" s="415">
        <v>1</v>
      </c>
      <c r="I1084" s="446">
        <v>0.41666666666666669</v>
      </c>
      <c r="J1084" s="446">
        <v>0.4375</v>
      </c>
      <c r="K1084" s="417">
        <f t="shared" si="32"/>
        <v>0.49999999999999956</v>
      </c>
      <c r="L1084" s="9">
        <v>45828</v>
      </c>
      <c r="M1084" s="267" t="s">
        <v>1303</v>
      </c>
      <c r="N1084" s="6" t="s">
        <v>7</v>
      </c>
      <c r="O1084" s="13" t="s">
        <v>151</v>
      </c>
    </row>
    <row r="1085" spans="1:15" s="1" customFormat="1">
      <c r="A1085" s="4"/>
      <c r="B1085" s="913" t="s">
        <v>557</v>
      </c>
      <c r="C1085" s="4"/>
      <c r="D1085" s="914" t="s">
        <v>425</v>
      </c>
      <c r="E1085" s="4"/>
      <c r="F1085" s="414">
        <v>20</v>
      </c>
      <c r="G1085" s="179">
        <v>45828</v>
      </c>
      <c r="H1085" s="415">
        <v>2</v>
      </c>
      <c r="I1085" s="446">
        <v>0.54166666666666663</v>
      </c>
      <c r="J1085" s="446">
        <v>0.625</v>
      </c>
      <c r="K1085" s="417">
        <f t="shared" si="32"/>
        <v>4.0000000000000018</v>
      </c>
      <c r="L1085" s="9">
        <v>45828</v>
      </c>
      <c r="M1085" s="267" t="s">
        <v>1303</v>
      </c>
      <c r="N1085" s="6" t="s">
        <v>7</v>
      </c>
      <c r="O1085" s="13" t="s">
        <v>151</v>
      </c>
    </row>
    <row r="1086" spans="1:15" s="1" customFormat="1">
      <c r="A1086" s="4"/>
      <c r="B1086" s="412"/>
      <c r="C1086" s="915" t="s">
        <v>1122</v>
      </c>
      <c r="D1086" s="916" t="s">
        <v>1305</v>
      </c>
      <c r="E1086" s="4">
        <v>1</v>
      </c>
      <c r="F1086" s="414">
        <v>1</v>
      </c>
      <c r="G1086" s="179">
        <v>45829</v>
      </c>
      <c r="H1086" s="415">
        <v>1</v>
      </c>
      <c r="I1086" s="446">
        <v>0.59375</v>
      </c>
      <c r="J1086" s="446">
        <v>0.60069444444444442</v>
      </c>
      <c r="K1086" s="417">
        <f t="shared" si="32"/>
        <v>0.16666666666666607</v>
      </c>
      <c r="L1086" s="9">
        <v>45829</v>
      </c>
      <c r="M1086" s="267" t="s">
        <v>1303</v>
      </c>
      <c r="N1086" s="270" t="s">
        <v>185</v>
      </c>
      <c r="O1086" s="271" t="s">
        <v>1169</v>
      </c>
    </row>
    <row r="1087" spans="1:15" s="1" customFormat="1">
      <c r="A1087" s="4"/>
      <c r="B1087" s="412"/>
      <c r="C1087" s="915" t="s">
        <v>1122</v>
      </c>
      <c r="D1087" s="916" t="s">
        <v>1306</v>
      </c>
      <c r="E1087" s="4">
        <v>1</v>
      </c>
      <c r="F1087" s="414">
        <v>1</v>
      </c>
      <c r="G1087" s="179">
        <v>45829</v>
      </c>
      <c r="H1087" s="415">
        <v>1</v>
      </c>
      <c r="I1087" s="446">
        <v>0.60069444444444442</v>
      </c>
      <c r="J1087" s="446">
        <v>0.60763888888888895</v>
      </c>
      <c r="K1087" s="417">
        <f t="shared" si="32"/>
        <v>0.16666666666666874</v>
      </c>
      <c r="L1087" s="272">
        <v>45829</v>
      </c>
      <c r="M1087" s="267" t="s">
        <v>1303</v>
      </c>
      <c r="N1087" s="270" t="s">
        <v>185</v>
      </c>
      <c r="O1087" s="271" t="s">
        <v>1169</v>
      </c>
    </row>
    <row r="1088" spans="1:15" s="1" customFormat="1">
      <c r="A1088" s="4"/>
      <c r="B1088" s="412"/>
      <c r="C1088" s="915" t="s">
        <v>1122</v>
      </c>
      <c r="D1088" s="916" t="s">
        <v>122</v>
      </c>
      <c r="E1088" s="4">
        <v>1</v>
      </c>
      <c r="F1088" s="414">
        <v>1</v>
      </c>
      <c r="G1088" s="179">
        <v>45829</v>
      </c>
      <c r="H1088" s="415">
        <v>1</v>
      </c>
      <c r="I1088" s="446">
        <v>0.60763888888888895</v>
      </c>
      <c r="J1088" s="446">
        <v>0.61458333333333337</v>
      </c>
      <c r="K1088" s="417">
        <f t="shared" si="32"/>
        <v>0.16666666666666607</v>
      </c>
      <c r="L1088" s="272">
        <v>45829</v>
      </c>
      <c r="M1088" s="267" t="s">
        <v>1303</v>
      </c>
      <c r="N1088" s="270" t="s">
        <v>185</v>
      </c>
      <c r="O1088" s="271" t="s">
        <v>1169</v>
      </c>
    </row>
    <row r="1089" spans="1:15" s="1" customFormat="1">
      <c r="A1089" s="4"/>
      <c r="B1089" s="412"/>
      <c r="C1089" s="917" t="s">
        <v>1307</v>
      </c>
      <c r="D1089" s="918" t="s">
        <v>566</v>
      </c>
      <c r="E1089" s="4"/>
      <c r="F1089" s="414">
        <v>1</v>
      </c>
      <c r="G1089" s="179">
        <v>45832</v>
      </c>
      <c r="H1089" s="415">
        <v>1</v>
      </c>
      <c r="I1089" s="446">
        <v>0.58333333333333337</v>
      </c>
      <c r="J1089" s="446">
        <v>0.79166666666666663</v>
      </c>
      <c r="K1089" s="417">
        <f t="shared" si="32"/>
        <v>4.9999999999999982</v>
      </c>
      <c r="L1089" s="9">
        <v>45832</v>
      </c>
      <c r="M1089" s="267" t="s">
        <v>1303</v>
      </c>
      <c r="N1089" s="273" t="s">
        <v>8</v>
      </c>
      <c r="O1089" s="274" t="s">
        <v>1308</v>
      </c>
    </row>
    <row r="1090" spans="1:15" s="1" customFormat="1">
      <c r="A1090" s="4"/>
      <c r="B1090" s="412"/>
      <c r="C1090" s="917" t="s">
        <v>1307</v>
      </c>
      <c r="D1090" s="918" t="s">
        <v>566</v>
      </c>
      <c r="E1090" s="4"/>
      <c r="F1090" s="414">
        <v>1</v>
      </c>
      <c r="G1090" s="179">
        <v>45833</v>
      </c>
      <c r="H1090" s="415">
        <v>1</v>
      </c>
      <c r="I1090" s="446">
        <v>0.29166666666666669</v>
      </c>
      <c r="J1090" s="446">
        <v>0.35416666666666669</v>
      </c>
      <c r="K1090" s="417">
        <f t="shared" si="32"/>
        <v>1.5</v>
      </c>
      <c r="L1090" s="9">
        <v>45833</v>
      </c>
      <c r="M1090" s="267" t="s">
        <v>1303</v>
      </c>
      <c r="N1090" s="273" t="s">
        <v>8</v>
      </c>
      <c r="O1090" s="274" t="s">
        <v>1308</v>
      </c>
    </row>
    <row r="1091" spans="1:15" s="1" customFormat="1">
      <c r="A1091" s="4"/>
      <c r="B1091" s="412"/>
      <c r="C1091" s="275" t="s">
        <v>595</v>
      </c>
      <c r="D1091" s="919" t="s">
        <v>111</v>
      </c>
      <c r="E1091" s="4">
        <v>4</v>
      </c>
      <c r="F1091" s="414">
        <v>4</v>
      </c>
      <c r="G1091" s="179">
        <v>45839</v>
      </c>
      <c r="H1091" s="415">
        <v>1</v>
      </c>
      <c r="I1091" s="446">
        <v>0.33333333333333331</v>
      </c>
      <c r="J1091" s="446">
        <v>0.375</v>
      </c>
      <c r="K1091" s="417">
        <f t="shared" si="32"/>
        <v>1.0000000000000004</v>
      </c>
      <c r="L1091" s="9">
        <v>45839</v>
      </c>
      <c r="M1091" s="275" t="s">
        <v>1309</v>
      </c>
      <c r="N1091" s="276" t="s">
        <v>653</v>
      </c>
      <c r="O1091" s="277" t="s">
        <v>1310</v>
      </c>
    </row>
    <row r="1092" spans="1:15" s="1" customFormat="1">
      <c r="A1092" s="4"/>
      <c r="B1092" s="412"/>
      <c r="C1092" s="275" t="s">
        <v>1282</v>
      </c>
      <c r="D1092" s="919" t="s">
        <v>111</v>
      </c>
      <c r="E1092" s="4">
        <v>1</v>
      </c>
      <c r="F1092" s="414">
        <v>1</v>
      </c>
      <c r="G1092" s="179">
        <v>45840</v>
      </c>
      <c r="H1092" s="415">
        <v>1</v>
      </c>
      <c r="I1092" s="446">
        <v>0.48958333333333331</v>
      </c>
      <c r="J1092" s="446">
        <v>0.5</v>
      </c>
      <c r="K1092" s="417">
        <f t="shared" si="32"/>
        <v>0.25000000000000044</v>
      </c>
      <c r="L1092" s="9">
        <v>45840</v>
      </c>
      <c r="M1092" s="275" t="s">
        <v>1309</v>
      </c>
      <c r="N1092" s="276" t="s">
        <v>6</v>
      </c>
      <c r="O1092" s="277" t="s">
        <v>1229</v>
      </c>
    </row>
    <row r="1093" spans="1:15" s="1" customFormat="1">
      <c r="A1093" s="4"/>
      <c r="B1093" s="412"/>
      <c r="C1093" s="920" t="s">
        <v>1311</v>
      </c>
      <c r="D1093" s="921" t="s">
        <v>874</v>
      </c>
      <c r="E1093" s="4">
        <v>5</v>
      </c>
      <c r="F1093" s="414">
        <v>5</v>
      </c>
      <c r="G1093" s="179">
        <v>45841</v>
      </c>
      <c r="H1093" s="415">
        <v>2</v>
      </c>
      <c r="I1093" s="446">
        <v>0.41666666666666669</v>
      </c>
      <c r="J1093" s="446">
        <v>0.47916666666666669</v>
      </c>
      <c r="K1093" s="417">
        <f t="shared" si="32"/>
        <v>3</v>
      </c>
      <c r="L1093" s="9">
        <v>45841</v>
      </c>
      <c r="M1093" s="275" t="s">
        <v>1309</v>
      </c>
      <c r="N1093" s="278" t="s">
        <v>9</v>
      </c>
      <c r="O1093" s="279" t="s">
        <v>1312</v>
      </c>
    </row>
    <row r="1094" spans="1:15" s="1" customFormat="1">
      <c r="A1094" s="4"/>
      <c r="B1094" s="412"/>
      <c r="C1094" s="920" t="s">
        <v>1311</v>
      </c>
      <c r="D1094" s="921" t="s">
        <v>880</v>
      </c>
      <c r="E1094" s="4">
        <v>5</v>
      </c>
      <c r="F1094" s="414">
        <v>5</v>
      </c>
      <c r="G1094" s="179">
        <v>45841</v>
      </c>
      <c r="H1094" s="415">
        <v>2</v>
      </c>
      <c r="I1094" s="446">
        <v>0.54166666666666663</v>
      </c>
      <c r="J1094" s="446">
        <v>0.58333333333333337</v>
      </c>
      <c r="K1094" s="417">
        <f t="shared" si="32"/>
        <v>2.0000000000000036</v>
      </c>
      <c r="L1094" s="9">
        <v>45841</v>
      </c>
      <c r="M1094" s="275" t="s">
        <v>1309</v>
      </c>
      <c r="N1094" s="278" t="s">
        <v>9</v>
      </c>
      <c r="O1094" s="279" t="s">
        <v>1312</v>
      </c>
    </row>
    <row r="1095" spans="1:15" s="1" customFormat="1">
      <c r="A1095" s="4"/>
      <c r="B1095" s="412"/>
      <c r="C1095" s="920" t="s">
        <v>1313</v>
      </c>
      <c r="D1095" s="921" t="s">
        <v>1046</v>
      </c>
      <c r="E1095" s="4">
        <v>4</v>
      </c>
      <c r="F1095" s="414">
        <v>8</v>
      </c>
      <c r="G1095" s="179">
        <v>45842</v>
      </c>
      <c r="H1095" s="415">
        <v>2</v>
      </c>
      <c r="I1095" s="446">
        <v>0.54166666666666663</v>
      </c>
      <c r="J1095" s="446">
        <v>0.625</v>
      </c>
      <c r="K1095" s="417">
        <f t="shared" si="32"/>
        <v>4.0000000000000018</v>
      </c>
      <c r="L1095" s="9">
        <v>45842</v>
      </c>
      <c r="M1095" s="275" t="s">
        <v>1309</v>
      </c>
      <c r="N1095" s="278" t="s">
        <v>185</v>
      </c>
      <c r="O1095" s="279" t="s">
        <v>1314</v>
      </c>
    </row>
    <row r="1096" spans="1:15" s="1" customFormat="1">
      <c r="A1096" s="4"/>
      <c r="B1096" s="412"/>
      <c r="C1096" s="920" t="s">
        <v>1313</v>
      </c>
      <c r="D1096" s="921" t="s">
        <v>122</v>
      </c>
      <c r="E1096" s="4">
        <v>4</v>
      </c>
      <c r="F1096" s="414">
        <v>4</v>
      </c>
      <c r="G1096" s="179">
        <v>45842</v>
      </c>
      <c r="H1096" s="415">
        <v>2</v>
      </c>
      <c r="I1096" s="446">
        <v>0.625</v>
      </c>
      <c r="J1096" s="446">
        <v>0.70833333333333337</v>
      </c>
      <c r="K1096" s="417">
        <f t="shared" si="32"/>
        <v>4.0000000000000018</v>
      </c>
      <c r="L1096" s="9">
        <v>45842</v>
      </c>
      <c r="M1096" s="275" t="s">
        <v>1309</v>
      </c>
      <c r="N1096" s="278" t="s">
        <v>185</v>
      </c>
      <c r="O1096" s="279" t="s">
        <v>1314</v>
      </c>
    </row>
    <row r="1097" spans="1:15" s="1" customFormat="1">
      <c r="A1097" s="4"/>
      <c r="B1097" s="412"/>
      <c r="C1097" s="280" t="s">
        <v>1315</v>
      </c>
      <c r="D1097" s="922" t="s">
        <v>1316</v>
      </c>
      <c r="E1097" s="4">
        <v>0</v>
      </c>
      <c r="F1097" s="414">
        <v>2</v>
      </c>
      <c r="G1097" s="179">
        <v>45842</v>
      </c>
      <c r="H1097" s="415">
        <v>2</v>
      </c>
      <c r="I1097" s="446">
        <v>0.54166666666666663</v>
      </c>
      <c r="J1097" s="446">
        <v>0.79166666666666663</v>
      </c>
      <c r="K1097" s="417">
        <f t="shared" si="32"/>
        <v>12</v>
      </c>
      <c r="L1097" s="9">
        <v>45842</v>
      </c>
      <c r="M1097" s="280" t="s">
        <v>1317</v>
      </c>
      <c r="N1097" s="281" t="s">
        <v>1318</v>
      </c>
      <c r="O1097" s="282" t="s">
        <v>1319</v>
      </c>
    </row>
    <row r="1098" spans="1:15" s="1" customFormat="1">
      <c r="A1098" s="4"/>
      <c r="B1098" s="412"/>
      <c r="C1098" s="280" t="s">
        <v>1315</v>
      </c>
      <c r="D1098" s="922" t="s">
        <v>1316</v>
      </c>
      <c r="E1098" s="4">
        <v>0</v>
      </c>
      <c r="F1098" s="414">
        <v>2</v>
      </c>
      <c r="G1098" s="179">
        <v>45843</v>
      </c>
      <c r="H1098" s="415">
        <v>2</v>
      </c>
      <c r="I1098" s="446">
        <v>0.29166666666666669</v>
      </c>
      <c r="J1098" s="446">
        <v>0.58333333333333337</v>
      </c>
      <c r="K1098" s="417">
        <f t="shared" si="32"/>
        <v>14</v>
      </c>
      <c r="L1098" s="9">
        <v>45843</v>
      </c>
      <c r="M1098" s="280" t="s">
        <v>1317</v>
      </c>
      <c r="N1098" s="281" t="s">
        <v>1318</v>
      </c>
      <c r="O1098" s="282" t="s">
        <v>1319</v>
      </c>
    </row>
    <row r="1099" spans="1:15" s="1" customFormat="1">
      <c r="A1099" s="4"/>
      <c r="B1099" s="412"/>
      <c r="C1099" s="280" t="s">
        <v>1315</v>
      </c>
      <c r="D1099" s="922" t="s">
        <v>1316</v>
      </c>
      <c r="E1099" s="4">
        <v>0</v>
      </c>
      <c r="F1099" s="414">
        <v>2</v>
      </c>
      <c r="G1099" s="179">
        <v>45845</v>
      </c>
      <c r="H1099" s="415">
        <v>2</v>
      </c>
      <c r="I1099" s="446">
        <v>0.29166666666666669</v>
      </c>
      <c r="J1099" s="446">
        <v>0.45833333333333331</v>
      </c>
      <c r="K1099" s="417">
        <f t="shared" si="32"/>
        <v>7.9999999999999982</v>
      </c>
      <c r="L1099" s="9">
        <v>45845</v>
      </c>
      <c r="M1099" s="280" t="s">
        <v>1317</v>
      </c>
      <c r="N1099" s="281" t="s">
        <v>1318</v>
      </c>
      <c r="O1099" s="282" t="s">
        <v>1319</v>
      </c>
    </row>
    <row r="1100" spans="1:15" s="1" customFormat="1">
      <c r="A1100" s="4"/>
      <c r="B1100" s="412"/>
      <c r="C1100" s="923" t="s">
        <v>1320</v>
      </c>
      <c r="D1100" s="924" t="s">
        <v>552</v>
      </c>
      <c r="E1100" s="4">
        <v>0</v>
      </c>
      <c r="F1100" s="414">
        <v>2</v>
      </c>
      <c r="G1100" s="179">
        <v>45842</v>
      </c>
      <c r="H1100" s="415">
        <v>2</v>
      </c>
      <c r="I1100" s="446">
        <v>0.29166666666666669</v>
      </c>
      <c r="J1100" s="446">
        <v>0.45833333333333331</v>
      </c>
      <c r="K1100" s="417">
        <f t="shared" ref="K1100:K1164" si="33">(J1100-I1100)*24*H1100</f>
        <v>7.9999999999999982</v>
      </c>
      <c r="L1100" s="9">
        <v>45842</v>
      </c>
      <c r="M1100" s="280" t="s">
        <v>1317</v>
      </c>
      <c r="N1100" s="261" t="s">
        <v>11</v>
      </c>
      <c r="O1100" s="283" t="s">
        <v>1321</v>
      </c>
    </row>
    <row r="1101" spans="1:15" s="1" customFormat="1">
      <c r="A1101" s="4"/>
      <c r="B1101" s="412"/>
      <c r="C1101" s="925" t="s">
        <v>1322</v>
      </c>
      <c r="D1101" s="926" t="s">
        <v>219</v>
      </c>
      <c r="E1101" s="4">
        <v>80</v>
      </c>
      <c r="F1101" s="414">
        <v>80</v>
      </c>
      <c r="G1101" s="179">
        <v>45849</v>
      </c>
      <c r="H1101" s="415">
        <v>2</v>
      </c>
      <c r="I1101" s="927">
        <v>0.41666666666666669</v>
      </c>
      <c r="J1101" s="446">
        <v>0.5</v>
      </c>
      <c r="K1101" s="417">
        <f t="shared" si="33"/>
        <v>3.9999999999999991</v>
      </c>
      <c r="L1101" s="9">
        <v>45849</v>
      </c>
      <c r="M1101" s="316" t="s">
        <v>1384</v>
      </c>
      <c r="N1101" s="284" t="s">
        <v>9</v>
      </c>
      <c r="O1101" s="285" t="s">
        <v>1323</v>
      </c>
    </row>
    <row r="1102" spans="1:15" s="1" customFormat="1">
      <c r="A1102" s="4"/>
      <c r="B1102" s="412"/>
      <c r="C1102" s="925" t="s">
        <v>1322</v>
      </c>
      <c r="D1102" s="926" t="s">
        <v>1126</v>
      </c>
      <c r="E1102" s="4">
        <v>80</v>
      </c>
      <c r="F1102" s="414">
        <v>160</v>
      </c>
      <c r="G1102" s="179">
        <v>45849</v>
      </c>
      <c r="H1102" s="415">
        <v>2</v>
      </c>
      <c r="I1102" s="446">
        <v>0.54166666666666663</v>
      </c>
      <c r="J1102" s="446">
        <v>0.66666666666666663</v>
      </c>
      <c r="K1102" s="417">
        <f t="shared" si="33"/>
        <v>6</v>
      </c>
      <c r="L1102" s="9">
        <v>45849</v>
      </c>
      <c r="M1102" s="316" t="s">
        <v>1384</v>
      </c>
      <c r="N1102" s="284" t="s">
        <v>9</v>
      </c>
      <c r="O1102" s="285" t="s">
        <v>1323</v>
      </c>
    </row>
    <row r="1103" spans="1:15" s="1" customFormat="1">
      <c r="A1103" s="4"/>
      <c r="B1103" s="412"/>
      <c r="C1103" s="925" t="s">
        <v>1324</v>
      </c>
      <c r="D1103" s="926" t="s">
        <v>111</v>
      </c>
      <c r="E1103" s="4">
        <v>3</v>
      </c>
      <c r="F1103" s="414">
        <v>3</v>
      </c>
      <c r="G1103" s="179">
        <v>45849</v>
      </c>
      <c r="H1103" s="415">
        <v>1</v>
      </c>
      <c r="I1103" s="446">
        <v>0.66666666666666663</v>
      </c>
      <c r="J1103" s="446">
        <v>0.68055555555555547</v>
      </c>
      <c r="K1103" s="417">
        <f t="shared" si="33"/>
        <v>0.33333333333333215</v>
      </c>
      <c r="L1103" s="9">
        <v>45849</v>
      </c>
      <c r="M1103" s="316" t="s">
        <v>1384</v>
      </c>
      <c r="N1103" s="284" t="s">
        <v>653</v>
      </c>
      <c r="O1103" s="285" t="s">
        <v>1325</v>
      </c>
    </row>
    <row r="1104" spans="1:15" s="1" customFormat="1">
      <c r="A1104" s="4"/>
      <c r="B1104" s="412"/>
      <c r="C1104" s="925" t="s">
        <v>1326</v>
      </c>
      <c r="D1104" s="926" t="s">
        <v>1327</v>
      </c>
      <c r="E1104" s="4">
        <v>1</v>
      </c>
      <c r="F1104" s="414">
        <v>1</v>
      </c>
      <c r="G1104" s="179">
        <v>45849</v>
      </c>
      <c r="H1104" s="415">
        <v>1</v>
      </c>
      <c r="I1104" s="446">
        <v>0.68055555555555547</v>
      </c>
      <c r="J1104" s="446">
        <v>0.6875</v>
      </c>
      <c r="K1104" s="417">
        <f t="shared" si="33"/>
        <v>0.16666666666666874</v>
      </c>
      <c r="L1104" s="9">
        <v>45849</v>
      </c>
      <c r="M1104" s="316" t="s">
        <v>1384</v>
      </c>
      <c r="N1104" s="284" t="s">
        <v>8</v>
      </c>
      <c r="O1104" s="285" t="s">
        <v>1328</v>
      </c>
    </row>
    <row r="1105" spans="1:15" s="1" customFormat="1">
      <c r="A1105" s="4"/>
      <c r="B1105" s="412"/>
      <c r="C1105" s="925" t="s">
        <v>1324</v>
      </c>
      <c r="D1105" s="926" t="s">
        <v>111</v>
      </c>
      <c r="E1105" s="4">
        <v>9</v>
      </c>
      <c r="F1105" s="414">
        <v>9</v>
      </c>
      <c r="G1105" s="179">
        <v>45852</v>
      </c>
      <c r="H1105" s="415">
        <v>1</v>
      </c>
      <c r="I1105" s="446">
        <v>0.5625</v>
      </c>
      <c r="J1105" s="446">
        <v>0.57986111111111105</v>
      </c>
      <c r="K1105" s="417">
        <f t="shared" si="33"/>
        <v>0.41666666666666519</v>
      </c>
      <c r="L1105" s="9">
        <v>45852</v>
      </c>
      <c r="M1105" s="316" t="s">
        <v>1384</v>
      </c>
      <c r="N1105" s="284" t="s">
        <v>1329</v>
      </c>
      <c r="O1105" s="285" t="s">
        <v>1330</v>
      </c>
    </row>
    <row r="1106" spans="1:15" s="1" customFormat="1">
      <c r="A1106" s="4"/>
      <c r="B1106" s="412"/>
      <c r="C1106" s="925" t="s">
        <v>1331</v>
      </c>
      <c r="D1106" s="926" t="s">
        <v>1332</v>
      </c>
      <c r="E1106" s="4">
        <v>2</v>
      </c>
      <c r="F1106" s="414">
        <v>6</v>
      </c>
      <c r="G1106" s="179">
        <v>45853</v>
      </c>
      <c r="H1106" s="415">
        <v>1</v>
      </c>
      <c r="I1106" s="446">
        <v>0.35416666666666669</v>
      </c>
      <c r="J1106" s="446">
        <v>0.375</v>
      </c>
      <c r="K1106" s="417">
        <f t="shared" si="33"/>
        <v>0.49999999999999956</v>
      </c>
      <c r="L1106" s="9">
        <v>45853</v>
      </c>
      <c r="M1106" s="316" t="s">
        <v>1384</v>
      </c>
      <c r="N1106" s="284" t="s">
        <v>8</v>
      </c>
      <c r="O1106" s="285" t="s">
        <v>1333</v>
      </c>
    </row>
    <row r="1107" spans="1:15" s="1" customFormat="1">
      <c r="A1107" s="4"/>
      <c r="B1107" s="412"/>
      <c r="C1107" s="925" t="s">
        <v>1331</v>
      </c>
      <c r="D1107" s="926" t="s">
        <v>1334</v>
      </c>
      <c r="E1107" s="4">
        <v>5</v>
      </c>
      <c r="F1107" s="414">
        <v>10</v>
      </c>
      <c r="G1107" s="179">
        <v>45853</v>
      </c>
      <c r="H1107" s="415">
        <v>1</v>
      </c>
      <c r="I1107" s="446">
        <v>0.375</v>
      </c>
      <c r="J1107" s="446">
        <v>0.39583333333333331</v>
      </c>
      <c r="K1107" s="417">
        <f t="shared" si="33"/>
        <v>0.49999999999999956</v>
      </c>
      <c r="L1107" s="9">
        <v>45853</v>
      </c>
      <c r="M1107" s="316" t="s">
        <v>1384</v>
      </c>
      <c r="N1107" s="284" t="s">
        <v>8</v>
      </c>
      <c r="O1107" s="285" t="s">
        <v>1333</v>
      </c>
    </row>
    <row r="1108" spans="1:15" s="1" customFormat="1">
      <c r="A1108" s="4"/>
      <c r="B1108" s="412"/>
      <c r="C1108" s="928" t="s">
        <v>1335</v>
      </c>
      <c r="D1108" s="929" t="s">
        <v>1100</v>
      </c>
      <c r="E1108" s="4">
        <v>2</v>
      </c>
      <c r="F1108" s="414">
        <v>6</v>
      </c>
      <c r="G1108" s="179">
        <v>45854</v>
      </c>
      <c r="H1108" s="415">
        <v>1</v>
      </c>
      <c r="I1108" s="446">
        <v>0.375</v>
      </c>
      <c r="J1108" s="446">
        <v>0.39583333333333331</v>
      </c>
      <c r="K1108" s="417">
        <f t="shared" si="33"/>
        <v>0.49999999999999956</v>
      </c>
      <c r="L1108" s="9">
        <v>45854</v>
      </c>
      <c r="M1108" s="316" t="s">
        <v>1384</v>
      </c>
      <c r="N1108" s="286" t="s">
        <v>185</v>
      </c>
      <c r="O1108" s="287" t="s">
        <v>1336</v>
      </c>
    </row>
    <row r="1109" spans="1:15" s="1" customFormat="1">
      <c r="A1109" s="4"/>
      <c r="B1109" s="412"/>
      <c r="C1109" s="928" t="s">
        <v>1337</v>
      </c>
      <c r="D1109" s="929" t="s">
        <v>1338</v>
      </c>
      <c r="E1109" s="4">
        <v>1</v>
      </c>
      <c r="F1109" s="414">
        <v>1</v>
      </c>
      <c r="G1109" s="179">
        <v>45854</v>
      </c>
      <c r="H1109" s="415">
        <v>1</v>
      </c>
      <c r="I1109" s="446">
        <v>0.38541666666666669</v>
      </c>
      <c r="J1109" s="446">
        <v>0.3923611111111111</v>
      </c>
      <c r="K1109" s="417">
        <f t="shared" si="33"/>
        <v>0.16666666666666607</v>
      </c>
      <c r="L1109" s="9">
        <v>45854</v>
      </c>
      <c r="M1109" s="316" t="s">
        <v>1384</v>
      </c>
      <c r="N1109" s="286" t="s">
        <v>1339</v>
      </c>
      <c r="O1109" s="287" t="s">
        <v>1340</v>
      </c>
    </row>
    <row r="1110" spans="1:15" s="1" customFormat="1">
      <c r="A1110" s="4"/>
      <c r="B1110" s="412"/>
      <c r="C1110" s="928" t="s">
        <v>1341</v>
      </c>
      <c r="D1110" s="929" t="s">
        <v>1073</v>
      </c>
      <c r="E1110" s="4">
        <v>1</v>
      </c>
      <c r="F1110" s="414">
        <v>2</v>
      </c>
      <c r="G1110" s="179">
        <v>45854</v>
      </c>
      <c r="H1110" s="415">
        <v>1</v>
      </c>
      <c r="I1110" s="446">
        <v>0.38194444444444442</v>
      </c>
      <c r="J1110" s="446">
        <v>0.3888888888888889</v>
      </c>
      <c r="K1110" s="417">
        <f t="shared" si="33"/>
        <v>0.16666666666666741</v>
      </c>
      <c r="L1110" s="9">
        <v>45854</v>
      </c>
      <c r="M1110" s="316" t="s">
        <v>1384</v>
      </c>
      <c r="N1110" s="286" t="s">
        <v>1339</v>
      </c>
      <c r="O1110" s="287" t="s">
        <v>1340</v>
      </c>
    </row>
    <row r="1111" spans="1:15" s="1" customFormat="1">
      <c r="A1111" s="814"/>
      <c r="B1111" s="470"/>
      <c r="C1111" s="930" t="s">
        <v>1341</v>
      </c>
      <c r="D1111" s="931" t="s">
        <v>1074</v>
      </c>
      <c r="E1111" s="814">
        <v>1</v>
      </c>
      <c r="F1111" s="817">
        <v>2</v>
      </c>
      <c r="G1111" s="818">
        <v>45854</v>
      </c>
      <c r="H1111" s="130">
        <v>1</v>
      </c>
      <c r="I1111" s="397">
        <v>0.3888888888888889</v>
      </c>
      <c r="J1111" s="397">
        <v>0.40277777777777773</v>
      </c>
      <c r="K1111" s="819">
        <f t="shared" si="33"/>
        <v>0.33333333333333215</v>
      </c>
      <c r="L1111" s="180">
        <v>45854</v>
      </c>
      <c r="M1111" s="316" t="s">
        <v>1384</v>
      </c>
      <c r="N1111" s="288" t="s">
        <v>1339</v>
      </c>
      <c r="O1111" s="289" t="s">
        <v>1340</v>
      </c>
    </row>
    <row r="1112" spans="1:15">
      <c r="B1112" s="932" t="s">
        <v>557</v>
      </c>
      <c r="D1112" s="933" t="s">
        <v>87</v>
      </c>
      <c r="F1112" s="821">
        <v>24</v>
      </c>
      <c r="G1112" s="822">
        <v>45859</v>
      </c>
      <c r="H1112" s="728">
        <v>2</v>
      </c>
      <c r="I1112" s="729">
        <v>0.41666666666666669</v>
      </c>
      <c r="J1112" s="729">
        <v>0.58333333333333337</v>
      </c>
      <c r="K1112" s="823">
        <f t="shared" si="33"/>
        <v>8</v>
      </c>
      <c r="L1112" s="17">
        <v>45859</v>
      </c>
      <c r="M1112" s="317" t="s">
        <v>1385</v>
      </c>
      <c r="N1112" s="13" t="s">
        <v>7</v>
      </c>
      <c r="O1112" s="13" t="s">
        <v>151</v>
      </c>
    </row>
    <row r="1113" spans="1:15" s="1" customFormat="1">
      <c r="A1113" s="404"/>
      <c r="B1113" s="405"/>
      <c r="C1113" s="934" t="s">
        <v>406</v>
      </c>
      <c r="D1113" s="935" t="s">
        <v>437</v>
      </c>
      <c r="E1113" s="404">
        <v>1</v>
      </c>
      <c r="F1113" s="407">
        <v>1</v>
      </c>
      <c r="G1113" s="408">
        <v>45863</v>
      </c>
      <c r="H1113" s="409">
        <v>1</v>
      </c>
      <c r="I1113" s="398">
        <v>0.41666666666666669</v>
      </c>
      <c r="J1113" s="398">
        <v>0.4236111111111111</v>
      </c>
      <c r="K1113" s="411">
        <f t="shared" si="33"/>
        <v>0.16666666666666607</v>
      </c>
      <c r="L1113" s="295">
        <v>45863</v>
      </c>
      <c r="M1113" s="317" t="s">
        <v>1385</v>
      </c>
      <c r="N1113" s="296" t="s">
        <v>653</v>
      </c>
      <c r="O1113" s="297" t="s">
        <v>1342</v>
      </c>
    </row>
    <row r="1114" spans="1:15" s="1" customFormat="1">
      <c r="A1114" s="4"/>
      <c r="B1114" s="412"/>
      <c r="C1114" s="936" t="s">
        <v>595</v>
      </c>
      <c r="D1114" s="937" t="s">
        <v>111</v>
      </c>
      <c r="E1114" s="4"/>
      <c r="F1114" s="414">
        <v>1</v>
      </c>
      <c r="G1114" s="179">
        <v>45863</v>
      </c>
      <c r="H1114" s="415">
        <v>1</v>
      </c>
      <c r="I1114" s="446">
        <v>0.42708333333333331</v>
      </c>
      <c r="J1114" s="446">
        <v>0.43402777777777773</v>
      </c>
      <c r="K1114" s="417">
        <f t="shared" si="33"/>
        <v>0.16666666666666607</v>
      </c>
      <c r="L1114" s="9">
        <v>45863</v>
      </c>
      <c r="M1114" s="317" t="s">
        <v>1385</v>
      </c>
      <c r="N1114" s="298" t="s">
        <v>7</v>
      </c>
      <c r="O1114" s="299" t="s">
        <v>1343</v>
      </c>
    </row>
    <row r="1115" spans="1:15" s="1" customFormat="1">
      <c r="A1115" s="4"/>
      <c r="B1115" s="412"/>
      <c r="C1115" s="936" t="s">
        <v>595</v>
      </c>
      <c r="D1115" s="937" t="s">
        <v>310</v>
      </c>
      <c r="E1115" s="4"/>
      <c r="F1115" s="414">
        <v>1</v>
      </c>
      <c r="G1115" s="179">
        <v>45863</v>
      </c>
      <c r="H1115" s="415">
        <v>1</v>
      </c>
      <c r="I1115" s="446">
        <v>0.43402777777777773</v>
      </c>
      <c r="J1115" s="446">
        <v>0.4375</v>
      </c>
      <c r="K1115" s="417">
        <f t="shared" si="33"/>
        <v>8.333333333333437E-2</v>
      </c>
      <c r="L1115" s="9">
        <v>45863</v>
      </c>
      <c r="M1115" s="317" t="s">
        <v>1385</v>
      </c>
      <c r="N1115" s="298" t="s">
        <v>7</v>
      </c>
      <c r="O1115" s="299" t="s">
        <v>1343</v>
      </c>
    </row>
    <row r="1116" spans="1:15" s="1" customFormat="1">
      <c r="A1116" s="4"/>
      <c r="B1116" s="412"/>
      <c r="C1116" s="938" t="s">
        <v>1344</v>
      </c>
      <c r="D1116" s="939" t="s">
        <v>773</v>
      </c>
      <c r="E1116" s="4">
        <v>1</v>
      </c>
      <c r="F1116" s="414">
        <v>2</v>
      </c>
      <c r="G1116" s="179">
        <v>45864</v>
      </c>
      <c r="H1116" s="415">
        <v>1</v>
      </c>
      <c r="I1116" s="446">
        <v>0.375</v>
      </c>
      <c r="J1116" s="446">
        <v>0.38541666666666669</v>
      </c>
      <c r="K1116" s="417">
        <f t="shared" si="33"/>
        <v>0.25000000000000044</v>
      </c>
      <c r="L1116" s="9">
        <v>45864</v>
      </c>
      <c r="M1116" s="316" t="s">
        <v>1386</v>
      </c>
      <c r="N1116" s="300" t="s">
        <v>1346</v>
      </c>
      <c r="O1116" s="301" t="s">
        <v>1347</v>
      </c>
    </row>
    <row r="1117" spans="1:15" s="1" customFormat="1">
      <c r="A1117" s="4"/>
      <c r="B1117" s="412"/>
      <c r="C1117" s="938" t="s">
        <v>1344</v>
      </c>
      <c r="D1117" s="939" t="s">
        <v>882</v>
      </c>
      <c r="E1117" s="4">
        <v>1</v>
      </c>
      <c r="F1117" s="414">
        <v>1</v>
      </c>
      <c r="G1117" s="179">
        <v>45864</v>
      </c>
      <c r="H1117" s="415">
        <v>1</v>
      </c>
      <c r="I1117" s="446">
        <v>0.38541666666666669</v>
      </c>
      <c r="J1117" s="446">
        <v>0.3888888888888889</v>
      </c>
      <c r="K1117" s="417">
        <f t="shared" si="33"/>
        <v>8.3333333333333037E-2</v>
      </c>
      <c r="L1117" s="9">
        <v>45864</v>
      </c>
      <c r="M1117" s="316" t="s">
        <v>1386</v>
      </c>
      <c r="N1117" s="300" t="s">
        <v>1346</v>
      </c>
      <c r="O1117" s="301" t="s">
        <v>1347</v>
      </c>
    </row>
    <row r="1118" spans="1:15" s="1" customFormat="1">
      <c r="A1118" s="4"/>
      <c r="B1118" s="412"/>
      <c r="C1118" s="938" t="s">
        <v>1344</v>
      </c>
      <c r="D1118" s="939" t="s">
        <v>1345</v>
      </c>
      <c r="E1118" s="4">
        <v>1</v>
      </c>
      <c r="F1118" s="414">
        <v>1</v>
      </c>
      <c r="G1118" s="179">
        <v>45864</v>
      </c>
      <c r="H1118" s="415">
        <v>1</v>
      </c>
      <c r="I1118" s="446">
        <v>0.3888888888888889</v>
      </c>
      <c r="J1118" s="446">
        <v>0.3923611111111111</v>
      </c>
      <c r="K1118" s="417">
        <f t="shared" si="33"/>
        <v>8.3333333333333037E-2</v>
      </c>
      <c r="L1118" s="9">
        <v>45864</v>
      </c>
      <c r="M1118" s="316" t="s">
        <v>1386</v>
      </c>
      <c r="N1118" s="300" t="s">
        <v>1346</v>
      </c>
      <c r="O1118" s="301" t="s">
        <v>1347</v>
      </c>
    </row>
    <row r="1119" spans="1:15" s="1" customFormat="1">
      <c r="A1119" s="4"/>
      <c r="B1119" s="412"/>
      <c r="C1119" s="938" t="s">
        <v>1348</v>
      </c>
      <c r="D1119" s="939" t="s">
        <v>1046</v>
      </c>
      <c r="E1119" s="4">
        <v>1</v>
      </c>
      <c r="F1119" s="414">
        <v>2</v>
      </c>
      <c r="G1119" s="179">
        <v>45864</v>
      </c>
      <c r="H1119" s="415">
        <v>1</v>
      </c>
      <c r="I1119" s="446">
        <v>0.39583333333333331</v>
      </c>
      <c r="J1119" s="446">
        <v>0.40277777777777773</v>
      </c>
      <c r="K1119" s="417">
        <f t="shared" si="33"/>
        <v>0.16666666666666607</v>
      </c>
      <c r="L1119" s="9">
        <v>45864</v>
      </c>
      <c r="M1119" s="316" t="s">
        <v>1386</v>
      </c>
      <c r="N1119" s="300" t="s">
        <v>653</v>
      </c>
      <c r="O1119" s="301" t="s">
        <v>1349</v>
      </c>
    </row>
    <row r="1120" spans="1:15" s="1" customFormat="1">
      <c r="A1120" s="4"/>
      <c r="B1120" s="412"/>
      <c r="C1120" s="938" t="s">
        <v>1348</v>
      </c>
      <c r="D1120" s="939" t="s">
        <v>1100</v>
      </c>
      <c r="E1120" s="4">
        <v>1</v>
      </c>
      <c r="F1120" s="414">
        <v>2</v>
      </c>
      <c r="G1120" s="179">
        <v>45864</v>
      </c>
      <c r="H1120" s="415">
        <v>1</v>
      </c>
      <c r="I1120" s="446">
        <v>0.40277777777777773</v>
      </c>
      <c r="J1120" s="446">
        <v>0.40972222222222227</v>
      </c>
      <c r="K1120" s="417">
        <f t="shared" si="33"/>
        <v>0.16666666666666874</v>
      </c>
      <c r="L1120" s="9">
        <v>45864</v>
      </c>
      <c r="M1120" s="316" t="s">
        <v>1386</v>
      </c>
      <c r="N1120" s="300" t="s">
        <v>653</v>
      </c>
      <c r="O1120" s="301" t="s">
        <v>1349</v>
      </c>
    </row>
    <row r="1121" spans="1:15" s="1" customFormat="1">
      <c r="A1121" s="4"/>
      <c r="B1121" s="412"/>
      <c r="C1121" s="940" t="s">
        <v>1350</v>
      </c>
      <c r="D1121" s="941" t="s">
        <v>286</v>
      </c>
      <c r="E1121" s="4">
        <v>1</v>
      </c>
      <c r="F1121" s="414">
        <v>1</v>
      </c>
      <c r="G1121" s="179">
        <v>45869</v>
      </c>
      <c r="H1121" s="415">
        <v>4</v>
      </c>
      <c r="I1121" s="446">
        <v>0.33333333333333331</v>
      </c>
      <c r="J1121" s="446">
        <v>0.34027777777777773</v>
      </c>
      <c r="K1121" s="417">
        <f t="shared" si="33"/>
        <v>0.6666666666666643</v>
      </c>
      <c r="L1121" s="9">
        <v>45869</v>
      </c>
      <c r="M1121" s="316" t="s">
        <v>1386</v>
      </c>
      <c r="N1121" s="302" t="s">
        <v>11</v>
      </c>
      <c r="O1121" s="303" t="s">
        <v>1351</v>
      </c>
    </row>
    <row r="1122" spans="1:15" s="1" customFormat="1">
      <c r="A1122" s="4"/>
      <c r="B1122" s="412"/>
      <c r="C1122" s="940" t="s">
        <v>1350</v>
      </c>
      <c r="D1122" s="941" t="s">
        <v>96</v>
      </c>
      <c r="E1122" s="4">
        <v>1</v>
      </c>
      <c r="F1122" s="414">
        <v>1</v>
      </c>
      <c r="G1122" s="179">
        <v>45869</v>
      </c>
      <c r="H1122" s="415">
        <v>4</v>
      </c>
      <c r="I1122" s="446">
        <v>0.34027777777777773</v>
      </c>
      <c r="J1122" s="446">
        <v>0.34722222222222227</v>
      </c>
      <c r="K1122" s="417">
        <f t="shared" si="33"/>
        <v>0.66666666666667496</v>
      </c>
      <c r="L1122" s="9">
        <v>45869</v>
      </c>
      <c r="M1122" s="316" t="s">
        <v>1386</v>
      </c>
      <c r="N1122" s="302" t="s">
        <v>11</v>
      </c>
      <c r="O1122" s="303" t="s">
        <v>1351</v>
      </c>
    </row>
    <row r="1123" spans="1:15" s="1" customFormat="1">
      <c r="A1123" s="4"/>
      <c r="B1123" s="412"/>
      <c r="C1123" s="940" t="s">
        <v>1350</v>
      </c>
      <c r="D1123" s="941" t="s">
        <v>227</v>
      </c>
      <c r="E1123" s="4">
        <v>1</v>
      </c>
      <c r="F1123" s="414">
        <v>8</v>
      </c>
      <c r="G1123" s="179">
        <v>45869</v>
      </c>
      <c r="H1123" s="415">
        <v>4</v>
      </c>
      <c r="I1123" s="446">
        <v>0.35069444444444442</v>
      </c>
      <c r="J1123" s="446">
        <v>0.3611111111111111</v>
      </c>
      <c r="K1123" s="417">
        <f t="shared" si="33"/>
        <v>1.0000000000000018</v>
      </c>
      <c r="L1123" s="9">
        <v>45869</v>
      </c>
      <c r="M1123" s="316" t="s">
        <v>1386</v>
      </c>
      <c r="N1123" s="302" t="s">
        <v>11</v>
      </c>
      <c r="O1123" s="303" t="s">
        <v>1351</v>
      </c>
    </row>
    <row r="1124" spans="1:15" s="1" customFormat="1">
      <c r="A1124" s="4"/>
      <c r="B1124" s="412"/>
      <c r="C1124" s="4"/>
      <c r="D1124" s="941" t="s">
        <v>106</v>
      </c>
      <c r="E1124" s="4">
        <v>1</v>
      </c>
      <c r="F1124" s="414">
        <v>2</v>
      </c>
      <c r="G1124" s="179">
        <v>45869</v>
      </c>
      <c r="H1124" s="415">
        <v>4</v>
      </c>
      <c r="I1124" s="446">
        <v>0.36458333333333331</v>
      </c>
      <c r="J1124" s="446">
        <v>0.37152777777777773</v>
      </c>
      <c r="K1124" s="417">
        <f t="shared" si="33"/>
        <v>0.6666666666666643</v>
      </c>
      <c r="L1124" s="9">
        <v>45869</v>
      </c>
      <c r="M1124" s="316" t="s">
        <v>1386</v>
      </c>
      <c r="N1124" s="302" t="s">
        <v>11</v>
      </c>
      <c r="O1124" s="303" t="s">
        <v>1351</v>
      </c>
    </row>
    <row r="1125" spans="1:15" s="1" customFormat="1">
      <c r="A1125" s="4"/>
      <c r="B1125" s="412"/>
      <c r="C1125" s="4"/>
      <c r="D1125" s="941" t="s">
        <v>310</v>
      </c>
      <c r="E1125" s="4">
        <v>1</v>
      </c>
      <c r="F1125" s="414">
        <v>2</v>
      </c>
      <c r="G1125" s="179">
        <v>45869</v>
      </c>
      <c r="H1125" s="415">
        <v>4</v>
      </c>
      <c r="I1125" s="446">
        <v>0.375</v>
      </c>
      <c r="J1125" s="446">
        <v>0.38194444444444442</v>
      </c>
      <c r="K1125" s="417">
        <f t="shared" si="33"/>
        <v>0.6666666666666643</v>
      </c>
      <c r="L1125" s="9">
        <v>45869</v>
      </c>
      <c r="M1125" s="316" t="s">
        <v>1386</v>
      </c>
      <c r="N1125" s="302" t="s">
        <v>11</v>
      </c>
      <c r="O1125" s="303" t="s">
        <v>1351</v>
      </c>
    </row>
    <row r="1126" spans="1:15" s="1" customFormat="1">
      <c r="A1126" s="4"/>
      <c r="B1126" s="412"/>
      <c r="C1126" s="4"/>
      <c r="D1126" s="941" t="s">
        <v>509</v>
      </c>
      <c r="E1126" s="4">
        <v>1</v>
      </c>
      <c r="F1126" s="414">
        <v>1</v>
      </c>
      <c r="G1126" s="179">
        <v>45869</v>
      </c>
      <c r="H1126" s="415">
        <v>4</v>
      </c>
      <c r="I1126" s="446">
        <v>0.38194444444444442</v>
      </c>
      <c r="J1126" s="446">
        <v>0.38541666666666669</v>
      </c>
      <c r="K1126" s="417">
        <f t="shared" si="33"/>
        <v>0.33333333333333748</v>
      </c>
      <c r="L1126" s="9">
        <v>45869</v>
      </c>
      <c r="M1126" s="316" t="s">
        <v>1386</v>
      </c>
      <c r="N1126" s="302" t="s">
        <v>11</v>
      </c>
      <c r="O1126" s="303" t="s">
        <v>1351</v>
      </c>
    </row>
    <row r="1127" spans="1:15" s="1" customFormat="1">
      <c r="A1127" s="4"/>
      <c r="B1127" s="412"/>
      <c r="C1127" s="4"/>
      <c r="D1127" s="941" t="s">
        <v>188</v>
      </c>
      <c r="E1127" s="4">
        <v>1</v>
      </c>
      <c r="F1127" s="414">
        <v>1</v>
      </c>
      <c r="G1127" s="179">
        <v>45869</v>
      </c>
      <c r="H1127" s="415">
        <v>4</v>
      </c>
      <c r="I1127" s="446">
        <v>0.3888888888888889</v>
      </c>
      <c r="J1127" s="446">
        <v>0.3923611111111111</v>
      </c>
      <c r="K1127" s="417">
        <f t="shared" si="33"/>
        <v>0.33333333333333215</v>
      </c>
      <c r="L1127" s="9">
        <v>45869</v>
      </c>
      <c r="M1127" s="316" t="s">
        <v>1386</v>
      </c>
      <c r="N1127" s="302" t="s">
        <v>11</v>
      </c>
      <c r="O1127" s="303" t="s">
        <v>1351</v>
      </c>
    </row>
    <row r="1128" spans="1:15" s="1" customFormat="1">
      <c r="A1128" s="4"/>
      <c r="B1128" s="412"/>
      <c r="C1128" s="4"/>
      <c r="D1128" s="941" t="s">
        <v>103</v>
      </c>
      <c r="E1128" s="4">
        <v>1</v>
      </c>
      <c r="F1128" s="414">
        <v>2</v>
      </c>
      <c r="G1128" s="179">
        <v>45869</v>
      </c>
      <c r="H1128" s="415">
        <v>4</v>
      </c>
      <c r="I1128" s="446">
        <v>0.39583333333333331</v>
      </c>
      <c r="J1128" s="446">
        <v>0.40277777777777773</v>
      </c>
      <c r="K1128" s="417">
        <f t="shared" si="33"/>
        <v>0.6666666666666643</v>
      </c>
      <c r="L1128" s="9">
        <v>45869</v>
      </c>
      <c r="M1128" s="316" t="s">
        <v>1386</v>
      </c>
      <c r="N1128" s="302" t="s">
        <v>11</v>
      </c>
      <c r="O1128" s="303" t="s">
        <v>1351</v>
      </c>
    </row>
    <row r="1129" spans="1:15" s="1" customFormat="1">
      <c r="A1129" s="4"/>
      <c r="B1129" s="412"/>
      <c r="C1129" s="940" t="s">
        <v>1352</v>
      </c>
      <c r="D1129" s="941" t="s">
        <v>107</v>
      </c>
      <c r="E1129" s="4">
        <v>8</v>
      </c>
      <c r="F1129" s="414">
        <v>8</v>
      </c>
      <c r="G1129" s="179">
        <v>45869</v>
      </c>
      <c r="H1129" s="415">
        <v>4</v>
      </c>
      <c r="I1129" s="446">
        <v>0.41666666666666669</v>
      </c>
      <c r="J1129" s="446">
        <v>0.4375</v>
      </c>
      <c r="K1129" s="417">
        <f t="shared" si="33"/>
        <v>1.9999999999999982</v>
      </c>
      <c r="L1129" s="9">
        <v>45869</v>
      </c>
      <c r="M1129" s="316" t="s">
        <v>1386</v>
      </c>
      <c r="N1129" s="302" t="s">
        <v>1353</v>
      </c>
      <c r="O1129" s="303" t="s">
        <v>1354</v>
      </c>
    </row>
    <row r="1130" spans="1:15" s="1" customFormat="1">
      <c r="A1130" s="4"/>
      <c r="B1130" s="412"/>
      <c r="C1130" s="940" t="s">
        <v>1355</v>
      </c>
      <c r="D1130" s="941" t="s">
        <v>873</v>
      </c>
      <c r="E1130" s="4">
        <v>3</v>
      </c>
      <c r="F1130" s="414">
        <v>6</v>
      </c>
      <c r="G1130" s="179">
        <v>45869</v>
      </c>
      <c r="H1130" s="415">
        <v>4</v>
      </c>
      <c r="I1130" s="446">
        <v>0.44097222222222227</v>
      </c>
      <c r="J1130" s="446">
        <v>0.4548611111111111</v>
      </c>
      <c r="K1130" s="417">
        <f t="shared" si="33"/>
        <v>1.3333333333333286</v>
      </c>
      <c r="L1130" s="9">
        <v>45869</v>
      </c>
      <c r="M1130" s="316" t="s">
        <v>1386</v>
      </c>
      <c r="N1130" s="302" t="s">
        <v>1353</v>
      </c>
      <c r="O1130" s="303" t="s">
        <v>1356</v>
      </c>
    </row>
    <row r="1131" spans="1:15" s="1" customFormat="1">
      <c r="A1131" s="4"/>
      <c r="B1131" s="412"/>
      <c r="C1131" s="940" t="s">
        <v>1357</v>
      </c>
      <c r="D1131" s="941" t="s">
        <v>103</v>
      </c>
      <c r="E1131" s="4">
        <v>1</v>
      </c>
      <c r="F1131" s="414">
        <v>1</v>
      </c>
      <c r="G1131" s="179">
        <v>45869</v>
      </c>
      <c r="H1131" s="415">
        <v>4</v>
      </c>
      <c r="I1131" s="446">
        <v>0.4548611111111111</v>
      </c>
      <c r="J1131" s="446">
        <v>0.45833333333333331</v>
      </c>
      <c r="K1131" s="417">
        <f t="shared" si="33"/>
        <v>0.33333333333333215</v>
      </c>
      <c r="L1131" s="9">
        <v>45869</v>
      </c>
      <c r="M1131" s="316" t="s">
        <v>1386</v>
      </c>
      <c r="N1131" s="302" t="s">
        <v>1353</v>
      </c>
      <c r="O1131" s="303" t="s">
        <v>1358</v>
      </c>
    </row>
    <row r="1132" spans="1:15" s="1" customFormat="1">
      <c r="A1132" s="4"/>
      <c r="B1132" s="412"/>
      <c r="C1132" s="942" t="s">
        <v>1359</v>
      </c>
      <c r="D1132" s="943" t="s">
        <v>1153</v>
      </c>
      <c r="E1132" s="4">
        <v>3</v>
      </c>
      <c r="F1132" s="414">
        <v>12</v>
      </c>
      <c r="G1132" s="179">
        <v>45871</v>
      </c>
      <c r="H1132" s="415">
        <v>1</v>
      </c>
      <c r="I1132" s="446">
        <v>0.375</v>
      </c>
      <c r="J1132" s="446">
        <v>0.39583333333333331</v>
      </c>
      <c r="K1132" s="417">
        <v>0.49999999999999956</v>
      </c>
      <c r="L1132" s="9">
        <v>45871</v>
      </c>
      <c r="M1132" s="316" t="s">
        <v>1387</v>
      </c>
      <c r="N1132" s="304" t="s">
        <v>9</v>
      </c>
      <c r="O1132" s="305" t="s">
        <v>1363</v>
      </c>
    </row>
    <row r="1133" spans="1:15" s="1" customFormat="1">
      <c r="A1133" s="4"/>
      <c r="B1133" s="412"/>
      <c r="C1133" s="4" t="s">
        <v>1322</v>
      </c>
      <c r="D1133" s="843" t="s">
        <v>617</v>
      </c>
      <c r="E1133" s="4">
        <v>2</v>
      </c>
      <c r="F1133" s="414">
        <v>4</v>
      </c>
      <c r="G1133" s="179">
        <v>45871</v>
      </c>
      <c r="H1133" s="415">
        <v>4</v>
      </c>
      <c r="I1133" s="446">
        <v>0.39583333333333331</v>
      </c>
      <c r="J1133" s="446">
        <v>0.40277777777777773</v>
      </c>
      <c r="K1133" s="417">
        <v>0.6666666666666643</v>
      </c>
      <c r="L1133" s="9">
        <v>45871</v>
      </c>
      <c r="M1133" s="316" t="s">
        <v>1387</v>
      </c>
      <c r="N1133" s="310" t="s">
        <v>231</v>
      </c>
      <c r="O1133" s="2" t="s">
        <v>1362</v>
      </c>
    </row>
    <row r="1134" spans="1:15" s="1" customFormat="1">
      <c r="A1134" s="4"/>
      <c r="B1134" s="412"/>
      <c r="C1134" s="4"/>
      <c r="D1134" s="843" t="s">
        <v>273</v>
      </c>
      <c r="E1134" s="4">
        <v>2</v>
      </c>
      <c r="F1134" s="414">
        <v>2</v>
      </c>
      <c r="G1134" s="179">
        <v>45871</v>
      </c>
      <c r="H1134" s="415">
        <v>4</v>
      </c>
      <c r="I1134" s="446">
        <v>0.40277777777777773</v>
      </c>
      <c r="J1134" s="446">
        <v>0.40972222222222227</v>
      </c>
      <c r="K1134" s="417">
        <v>0.66666666666667496</v>
      </c>
      <c r="L1134" s="9">
        <v>45871</v>
      </c>
      <c r="M1134" s="316" t="s">
        <v>1387</v>
      </c>
      <c r="N1134" s="310" t="s">
        <v>231</v>
      </c>
      <c r="O1134" s="2" t="s">
        <v>1362</v>
      </c>
    </row>
    <row r="1135" spans="1:15" s="1" customFormat="1">
      <c r="A1135" s="4"/>
      <c r="B1135" s="412"/>
      <c r="C1135" s="4"/>
      <c r="D1135" s="843" t="s">
        <v>513</v>
      </c>
      <c r="E1135" s="4">
        <v>2</v>
      </c>
      <c r="F1135" s="414">
        <v>4</v>
      </c>
      <c r="G1135" s="179">
        <v>45871</v>
      </c>
      <c r="H1135" s="415">
        <v>4</v>
      </c>
      <c r="I1135" s="446">
        <v>0.40972222222222227</v>
      </c>
      <c r="J1135" s="446">
        <v>0.42708333333333331</v>
      </c>
      <c r="K1135" s="417">
        <v>1.6666666666666607</v>
      </c>
      <c r="L1135" s="9">
        <v>45871</v>
      </c>
      <c r="M1135" s="316" t="s">
        <v>1387</v>
      </c>
      <c r="N1135" s="310" t="s">
        <v>231</v>
      </c>
      <c r="O1135" s="2" t="s">
        <v>1362</v>
      </c>
    </row>
    <row r="1136" spans="1:15" s="1" customFormat="1">
      <c r="A1136" s="4"/>
      <c r="B1136" s="412"/>
      <c r="C1136" s="4"/>
      <c r="D1136" s="843" t="s">
        <v>219</v>
      </c>
      <c r="E1136" s="4">
        <v>2</v>
      </c>
      <c r="F1136" s="414">
        <v>2</v>
      </c>
      <c r="G1136" s="179">
        <v>45871</v>
      </c>
      <c r="H1136" s="415">
        <v>4</v>
      </c>
      <c r="I1136" s="446">
        <v>0.43055555555555558</v>
      </c>
      <c r="J1136" s="446">
        <v>0.4375</v>
      </c>
      <c r="K1136" s="417">
        <v>0.6666666666666643</v>
      </c>
      <c r="L1136" s="9">
        <v>45871</v>
      </c>
      <c r="M1136" s="316" t="s">
        <v>1387</v>
      </c>
      <c r="N1136" s="310" t="s">
        <v>231</v>
      </c>
      <c r="O1136" s="2" t="s">
        <v>1362</v>
      </c>
    </row>
    <row r="1137" spans="1:15" s="1" customFormat="1">
      <c r="A1137" s="4"/>
      <c r="B1137" s="412"/>
      <c r="C1137" s="4"/>
      <c r="D1137" s="843" t="s">
        <v>1360</v>
      </c>
      <c r="E1137" s="4">
        <v>2</v>
      </c>
      <c r="F1137" s="414">
        <v>2</v>
      </c>
      <c r="G1137" s="179">
        <v>45871</v>
      </c>
      <c r="H1137" s="415">
        <v>4</v>
      </c>
      <c r="I1137" s="446">
        <v>0.4375</v>
      </c>
      <c r="J1137" s="446">
        <v>0.44444444444444442</v>
      </c>
      <c r="K1137" s="417">
        <v>0.6666666666666643</v>
      </c>
      <c r="L1137" s="9">
        <v>45871</v>
      </c>
      <c r="M1137" s="316" t="s">
        <v>1387</v>
      </c>
      <c r="N1137" s="310" t="s">
        <v>231</v>
      </c>
      <c r="O1137" s="2" t="s">
        <v>1362</v>
      </c>
    </row>
    <row r="1138" spans="1:15" s="1" customFormat="1">
      <c r="A1138" s="4"/>
      <c r="B1138" s="412"/>
      <c r="C1138" s="4"/>
      <c r="D1138" s="843" t="s">
        <v>560</v>
      </c>
      <c r="E1138" s="4">
        <v>2</v>
      </c>
      <c r="F1138" s="414">
        <v>2</v>
      </c>
      <c r="G1138" s="179">
        <v>45871</v>
      </c>
      <c r="H1138" s="415">
        <v>4</v>
      </c>
      <c r="I1138" s="446">
        <v>0.44444444444444442</v>
      </c>
      <c r="J1138" s="446">
        <v>0.4513888888888889</v>
      </c>
      <c r="K1138" s="417">
        <v>0.66666666666666963</v>
      </c>
      <c r="L1138" s="9">
        <v>45871</v>
      </c>
      <c r="M1138" s="316" t="s">
        <v>1387</v>
      </c>
      <c r="N1138" s="310" t="s">
        <v>231</v>
      </c>
      <c r="O1138" s="2" t="s">
        <v>1362</v>
      </c>
    </row>
    <row r="1139" spans="1:15" s="1" customFormat="1">
      <c r="A1139" s="4"/>
      <c r="B1139" s="412"/>
      <c r="C1139" s="4"/>
      <c r="D1139" s="843" t="s">
        <v>1361</v>
      </c>
      <c r="E1139" s="4">
        <v>2</v>
      </c>
      <c r="F1139" s="414">
        <v>4</v>
      </c>
      <c r="G1139" s="179">
        <v>45871</v>
      </c>
      <c r="H1139" s="415">
        <v>4</v>
      </c>
      <c r="I1139" s="446">
        <v>0.4513888888888889</v>
      </c>
      <c r="J1139" s="446">
        <v>0.47222222222222227</v>
      </c>
      <c r="K1139" s="417">
        <v>2.0000000000000036</v>
      </c>
      <c r="L1139" s="9">
        <v>45871</v>
      </c>
      <c r="M1139" s="316" t="s">
        <v>1387</v>
      </c>
      <c r="N1139" s="310" t="s">
        <v>231</v>
      </c>
      <c r="O1139" s="2" t="s">
        <v>1362</v>
      </c>
    </row>
    <row r="1140" spans="1:15" s="1" customFormat="1">
      <c r="A1140" s="4"/>
      <c r="B1140" s="412"/>
      <c r="C1140" s="4"/>
      <c r="D1140" s="843" t="s">
        <v>514</v>
      </c>
      <c r="E1140" s="4">
        <v>2</v>
      </c>
      <c r="F1140" s="414">
        <v>2</v>
      </c>
      <c r="G1140" s="179">
        <v>45871</v>
      </c>
      <c r="H1140" s="415">
        <v>4</v>
      </c>
      <c r="I1140" s="446">
        <v>0.47222222222222227</v>
      </c>
      <c r="J1140" s="446">
        <v>0.47916666666666669</v>
      </c>
      <c r="K1140" s="417">
        <v>0.6666666666666643</v>
      </c>
      <c r="L1140" s="9">
        <v>45871</v>
      </c>
      <c r="M1140" s="316" t="s">
        <v>1387</v>
      </c>
      <c r="N1140" s="310" t="s">
        <v>231</v>
      </c>
      <c r="O1140" s="2" t="s">
        <v>1362</v>
      </c>
    </row>
    <row r="1141" spans="1:15" s="1" customFormat="1">
      <c r="A1141" s="4"/>
      <c r="B1141" s="944" t="s">
        <v>1364</v>
      </c>
      <c r="C1141" s="4"/>
      <c r="D1141" s="945" t="s">
        <v>380</v>
      </c>
      <c r="E1141" s="4"/>
      <c r="F1141" s="414">
        <v>15</v>
      </c>
      <c r="G1141" s="179">
        <v>45874</v>
      </c>
      <c r="H1141" s="415">
        <v>4</v>
      </c>
      <c r="I1141" s="446">
        <v>0.33333333333333331</v>
      </c>
      <c r="J1141" s="446">
        <v>0.41666666666666669</v>
      </c>
      <c r="K1141" s="417">
        <f t="shared" si="33"/>
        <v>8.0000000000000036</v>
      </c>
      <c r="L1141" s="9">
        <v>45874</v>
      </c>
      <c r="M1141" s="316" t="s">
        <v>1387</v>
      </c>
      <c r="N1141" s="13" t="s">
        <v>7</v>
      </c>
      <c r="O1141" s="13" t="s">
        <v>151</v>
      </c>
    </row>
    <row r="1142" spans="1:15" s="1" customFormat="1">
      <c r="A1142" s="4"/>
      <c r="B1142" s="412"/>
      <c r="C1142" s="4"/>
      <c r="D1142" s="945" t="s">
        <v>204</v>
      </c>
      <c r="E1142" s="4"/>
      <c r="F1142" s="414">
        <v>30</v>
      </c>
      <c r="G1142" s="179">
        <v>45871</v>
      </c>
      <c r="H1142" s="415">
        <v>1</v>
      </c>
      <c r="I1142" s="446">
        <v>0.41666666666666669</v>
      </c>
      <c r="J1142" s="446">
        <v>0.43055555555555558</v>
      </c>
      <c r="K1142" s="417">
        <f t="shared" si="33"/>
        <v>0.33333333333333348</v>
      </c>
      <c r="L1142" s="9">
        <v>45871</v>
      </c>
      <c r="M1142" s="316" t="s">
        <v>1387</v>
      </c>
      <c r="N1142" s="13" t="s">
        <v>7</v>
      </c>
      <c r="O1142" s="13" t="s">
        <v>151</v>
      </c>
    </row>
    <row r="1143" spans="1:15" s="1" customFormat="1">
      <c r="A1143" s="4"/>
      <c r="B1143" s="412"/>
      <c r="C1143" s="4"/>
      <c r="D1143" s="945" t="s">
        <v>203</v>
      </c>
      <c r="E1143" s="4"/>
      <c r="F1143" s="414">
        <v>30</v>
      </c>
      <c r="G1143" s="179">
        <v>45871</v>
      </c>
      <c r="H1143" s="415">
        <v>1</v>
      </c>
      <c r="I1143" s="446">
        <v>0.43055555555555558</v>
      </c>
      <c r="J1143" s="446">
        <v>0.44444444444444442</v>
      </c>
      <c r="K1143" s="417">
        <f t="shared" si="33"/>
        <v>0.33333333333333215</v>
      </c>
      <c r="L1143" s="9">
        <v>45871</v>
      </c>
      <c r="M1143" s="316" t="s">
        <v>1387</v>
      </c>
      <c r="N1143" s="13" t="s">
        <v>7</v>
      </c>
      <c r="O1143" s="13" t="s">
        <v>151</v>
      </c>
    </row>
    <row r="1144" spans="1:15" s="1" customFormat="1">
      <c r="A1144" s="4"/>
      <c r="B1144" s="412"/>
      <c r="C1144" s="4"/>
      <c r="D1144" s="945" t="s">
        <v>399</v>
      </c>
      <c r="E1144" s="4"/>
      <c r="F1144" s="414">
        <v>30</v>
      </c>
      <c r="G1144" s="179">
        <v>45871</v>
      </c>
      <c r="H1144" s="415">
        <v>1</v>
      </c>
      <c r="I1144" s="446">
        <v>0.44444444444444442</v>
      </c>
      <c r="J1144" s="446">
        <v>0.45833333333333331</v>
      </c>
      <c r="K1144" s="417">
        <f t="shared" si="33"/>
        <v>0.33333333333333348</v>
      </c>
      <c r="L1144" s="9">
        <v>45871</v>
      </c>
      <c r="M1144" s="316" t="s">
        <v>1387</v>
      </c>
      <c r="N1144" s="13" t="s">
        <v>7</v>
      </c>
      <c r="O1144" s="13" t="s">
        <v>151</v>
      </c>
    </row>
    <row r="1145" spans="1:15" s="1" customFormat="1">
      <c r="A1145" s="4"/>
      <c r="B1145" s="412"/>
      <c r="C1145" s="4"/>
      <c r="D1145" s="945" t="s">
        <v>1365</v>
      </c>
      <c r="E1145" s="4"/>
      <c r="F1145" s="414">
        <v>30</v>
      </c>
      <c r="G1145" s="179">
        <v>45871</v>
      </c>
      <c r="H1145" s="415">
        <v>1</v>
      </c>
      <c r="I1145" s="446">
        <v>0.47222222222222227</v>
      </c>
      <c r="J1145" s="446">
        <v>0.4861111111111111</v>
      </c>
      <c r="K1145" s="417">
        <f t="shared" si="33"/>
        <v>0.33333333333333215</v>
      </c>
      <c r="L1145" s="9">
        <v>45871</v>
      </c>
      <c r="M1145" s="316" t="s">
        <v>1387</v>
      </c>
      <c r="N1145" s="13" t="s">
        <v>7</v>
      </c>
      <c r="O1145" s="13" t="s">
        <v>151</v>
      </c>
    </row>
    <row r="1146" spans="1:15" s="1" customFormat="1">
      <c r="A1146" s="4"/>
      <c r="B1146" s="412"/>
      <c r="C1146" s="946" t="s">
        <v>595</v>
      </c>
      <c r="D1146" s="947" t="s">
        <v>111</v>
      </c>
      <c r="E1146" s="4">
        <v>2</v>
      </c>
      <c r="F1146" s="414">
        <v>2</v>
      </c>
      <c r="G1146" s="179">
        <v>45871</v>
      </c>
      <c r="H1146" s="415">
        <v>1</v>
      </c>
      <c r="I1146" s="446">
        <v>0.54166666666666663</v>
      </c>
      <c r="J1146" s="446">
        <v>0.55208333333333337</v>
      </c>
      <c r="K1146" s="417">
        <f t="shared" si="33"/>
        <v>0.25000000000000178</v>
      </c>
      <c r="L1146" s="9">
        <v>45871</v>
      </c>
      <c r="M1146" s="316" t="s">
        <v>1387</v>
      </c>
      <c r="N1146" s="306" t="s">
        <v>7</v>
      </c>
      <c r="O1146" s="307" t="s">
        <v>1366</v>
      </c>
    </row>
    <row r="1147" spans="1:15" s="1" customFormat="1">
      <c r="A1147" s="4"/>
      <c r="B1147" s="412"/>
      <c r="C1147" s="946" t="s">
        <v>1210</v>
      </c>
      <c r="D1147" s="947" t="s">
        <v>310</v>
      </c>
      <c r="E1147" s="4"/>
      <c r="F1147" s="414">
        <v>1</v>
      </c>
      <c r="G1147" s="179">
        <v>45871</v>
      </c>
      <c r="H1147" s="415">
        <v>1</v>
      </c>
      <c r="I1147" s="446">
        <v>0.54166666666666663</v>
      </c>
      <c r="J1147" s="446">
        <v>0.54513888888888895</v>
      </c>
      <c r="K1147" s="417">
        <f t="shared" si="33"/>
        <v>8.3333333333335702E-2</v>
      </c>
      <c r="L1147" s="9">
        <v>45871</v>
      </c>
      <c r="M1147" s="316" t="s">
        <v>1387</v>
      </c>
      <c r="N1147" s="306" t="s">
        <v>11</v>
      </c>
      <c r="O1147" s="307" t="s">
        <v>1367</v>
      </c>
    </row>
    <row r="1148" spans="1:15" s="1" customFormat="1">
      <c r="A1148" s="4"/>
      <c r="B1148" s="412"/>
      <c r="C1148" s="4"/>
      <c r="D1148" s="947" t="s">
        <v>869</v>
      </c>
      <c r="E1148" s="4"/>
      <c r="F1148" s="414">
        <v>1</v>
      </c>
      <c r="G1148" s="179">
        <v>45871</v>
      </c>
      <c r="H1148" s="415">
        <v>1</v>
      </c>
      <c r="I1148" s="446">
        <v>0.54513888888888895</v>
      </c>
      <c r="J1148" s="446">
        <v>0.54861111111111105</v>
      </c>
      <c r="K1148" s="417">
        <f t="shared" si="33"/>
        <v>8.3333333333330373E-2</v>
      </c>
      <c r="L1148" s="9">
        <v>45871</v>
      </c>
      <c r="M1148" s="316" t="s">
        <v>1387</v>
      </c>
      <c r="N1148" s="306" t="s">
        <v>11</v>
      </c>
      <c r="O1148" s="307" t="s">
        <v>1367</v>
      </c>
    </row>
    <row r="1149" spans="1:15" s="1" customFormat="1">
      <c r="A1149" s="4"/>
      <c r="B1149" s="412"/>
      <c r="C1149" s="948" t="s">
        <v>1368</v>
      </c>
      <c r="D1149" s="949" t="s">
        <v>1046</v>
      </c>
      <c r="E1149" s="4">
        <v>3</v>
      </c>
      <c r="F1149" s="414">
        <v>12</v>
      </c>
      <c r="G1149" s="179">
        <v>45871</v>
      </c>
      <c r="H1149" s="415">
        <v>1</v>
      </c>
      <c r="I1149" s="446">
        <v>0.41666666666666669</v>
      </c>
      <c r="J1149" s="446">
        <v>0.4375</v>
      </c>
      <c r="K1149" s="417">
        <f t="shared" si="33"/>
        <v>0.49999999999999956</v>
      </c>
      <c r="L1149" s="9">
        <v>45871</v>
      </c>
      <c r="M1149" s="316" t="s">
        <v>1387</v>
      </c>
      <c r="N1149" s="308" t="s">
        <v>9</v>
      </c>
      <c r="O1149" s="309" t="s">
        <v>1369</v>
      </c>
    </row>
    <row r="1150" spans="1:15" s="1" customFormat="1">
      <c r="A1150" s="4"/>
      <c r="B1150" s="944" t="s">
        <v>1364</v>
      </c>
      <c r="C1150" s="4"/>
      <c r="D1150" s="950" t="s">
        <v>425</v>
      </c>
      <c r="E1150" s="4"/>
      <c r="F1150" s="414">
        <v>30</v>
      </c>
      <c r="G1150" s="179">
        <v>45875</v>
      </c>
      <c r="H1150" s="415">
        <v>5</v>
      </c>
      <c r="I1150" s="446">
        <v>0.29166666666666669</v>
      </c>
      <c r="J1150" s="446">
        <v>0.35416666666666669</v>
      </c>
      <c r="K1150" s="417">
        <f t="shared" si="33"/>
        <v>7.5</v>
      </c>
      <c r="L1150" s="9">
        <v>45875</v>
      </c>
      <c r="M1150" s="316" t="s">
        <v>1387</v>
      </c>
      <c r="N1150" s="13" t="s">
        <v>7</v>
      </c>
      <c r="O1150" s="13" t="s">
        <v>151</v>
      </c>
    </row>
    <row r="1151" spans="1:15" s="1" customFormat="1">
      <c r="A1151" s="4"/>
      <c r="B1151" s="412"/>
      <c r="C1151" s="951" t="s">
        <v>577</v>
      </c>
      <c r="D1151" s="952" t="s">
        <v>882</v>
      </c>
      <c r="E1151" s="4">
        <v>1</v>
      </c>
      <c r="F1151" s="414">
        <v>1</v>
      </c>
      <c r="G1151" s="179">
        <v>45876</v>
      </c>
      <c r="H1151" s="415">
        <v>1</v>
      </c>
      <c r="I1151" s="446">
        <v>0.59027777777777779</v>
      </c>
      <c r="J1151" s="446">
        <v>0.59375</v>
      </c>
      <c r="K1151" s="417">
        <f t="shared" si="33"/>
        <v>8.3333333333333037E-2</v>
      </c>
      <c r="L1151" s="9">
        <v>45876</v>
      </c>
      <c r="M1151" s="316" t="s">
        <v>1388</v>
      </c>
      <c r="N1151" s="2" t="s">
        <v>7</v>
      </c>
      <c r="O1151" s="312" t="s">
        <v>1370</v>
      </c>
    </row>
    <row r="1152" spans="1:15" s="1" customFormat="1">
      <c r="A1152" s="4"/>
      <c r="B1152" s="412"/>
      <c r="C1152" s="951" t="s">
        <v>1371</v>
      </c>
      <c r="D1152" s="843"/>
      <c r="E1152" s="4"/>
      <c r="F1152" s="414">
        <v>1</v>
      </c>
      <c r="G1152" s="179">
        <v>45876</v>
      </c>
      <c r="H1152" s="415">
        <v>1</v>
      </c>
      <c r="I1152" s="446">
        <v>0.34722222222222227</v>
      </c>
      <c r="J1152" s="446">
        <v>0.59722222222222221</v>
      </c>
      <c r="K1152" s="417">
        <f t="shared" si="33"/>
        <v>5.9999999999999982</v>
      </c>
      <c r="L1152" s="9">
        <v>45876</v>
      </c>
      <c r="M1152" s="316" t="s">
        <v>1388</v>
      </c>
      <c r="N1152" s="311" t="s">
        <v>11</v>
      </c>
      <c r="O1152" s="312" t="s">
        <v>1372</v>
      </c>
    </row>
    <row r="1153" spans="1:15" s="1" customFormat="1">
      <c r="A1153" s="4"/>
      <c r="B1153" s="412"/>
      <c r="C1153" s="953" t="s">
        <v>1373</v>
      </c>
      <c r="D1153" s="954" t="s">
        <v>1046</v>
      </c>
      <c r="E1153" s="4">
        <v>50</v>
      </c>
      <c r="F1153" s="414">
        <v>100</v>
      </c>
      <c r="G1153" s="179">
        <v>45878</v>
      </c>
      <c r="H1153" s="415">
        <v>10</v>
      </c>
      <c r="I1153" s="446">
        <v>0.29166666666666669</v>
      </c>
      <c r="J1153" s="446">
        <v>0.60416666666666663</v>
      </c>
      <c r="K1153" s="417">
        <f>(J1153-I1153)*24*H1153</f>
        <v>74.999999999999986</v>
      </c>
      <c r="L1153" s="9">
        <v>45878</v>
      </c>
      <c r="M1153" s="316" t="s">
        <v>1388</v>
      </c>
      <c r="N1153" s="313" t="s">
        <v>9</v>
      </c>
      <c r="O1153" s="314" t="s">
        <v>1374</v>
      </c>
    </row>
    <row r="1154" spans="1:15" s="1" customFormat="1">
      <c r="A1154" s="4"/>
      <c r="B1154" s="412"/>
      <c r="C1154" s="953" t="s">
        <v>1373</v>
      </c>
      <c r="D1154" s="954" t="s">
        <v>861</v>
      </c>
      <c r="E1154" s="4">
        <v>50</v>
      </c>
      <c r="F1154" s="414">
        <v>100</v>
      </c>
      <c r="G1154" s="179">
        <v>45878</v>
      </c>
      <c r="H1154" s="415">
        <v>10</v>
      </c>
      <c r="I1154" s="446">
        <v>0.29166666666666669</v>
      </c>
      <c r="J1154" s="446">
        <v>0.60416666666666663</v>
      </c>
      <c r="K1154" s="417">
        <f t="shared" si="33"/>
        <v>74.999999999999986</v>
      </c>
      <c r="L1154" s="9">
        <v>45878</v>
      </c>
      <c r="M1154" s="316" t="s">
        <v>1388</v>
      </c>
      <c r="N1154" s="313" t="s">
        <v>9</v>
      </c>
      <c r="O1154" s="314" t="s">
        <v>1374</v>
      </c>
    </row>
    <row r="1155" spans="1:15" s="1" customFormat="1">
      <c r="A1155" s="4"/>
      <c r="B1155" s="412"/>
      <c r="C1155" s="955" t="s">
        <v>1390</v>
      </c>
      <c r="D1155" s="956" t="s">
        <v>183</v>
      </c>
      <c r="E1155" s="4"/>
      <c r="F1155" s="414">
        <v>1</v>
      </c>
      <c r="G1155" s="179">
        <v>45881</v>
      </c>
      <c r="H1155" s="415">
        <v>1</v>
      </c>
      <c r="I1155" s="446">
        <v>0.40972222222222227</v>
      </c>
      <c r="J1155" s="446">
        <v>0.41666666666666669</v>
      </c>
      <c r="K1155" s="417">
        <f t="shared" si="33"/>
        <v>0.16666666666666607</v>
      </c>
      <c r="L1155" s="9">
        <v>45881</v>
      </c>
      <c r="M1155" s="316" t="s">
        <v>1388</v>
      </c>
      <c r="N1155" s="320" t="s">
        <v>1391</v>
      </c>
      <c r="O1155" s="321" t="s">
        <v>1392</v>
      </c>
    </row>
    <row r="1156" spans="1:15" s="1" customFormat="1">
      <c r="A1156" s="4"/>
      <c r="B1156" s="412"/>
      <c r="C1156" s="955" t="s">
        <v>1393</v>
      </c>
      <c r="D1156" s="956" t="s">
        <v>1046</v>
      </c>
      <c r="E1156" s="4"/>
      <c r="F1156" s="414">
        <v>1</v>
      </c>
      <c r="G1156" s="179">
        <v>45881</v>
      </c>
      <c r="H1156" s="415">
        <v>1</v>
      </c>
      <c r="I1156" s="446">
        <v>0.41666666666666669</v>
      </c>
      <c r="J1156" s="446">
        <v>0.42708333333333331</v>
      </c>
      <c r="K1156" s="417">
        <f t="shared" si="33"/>
        <v>0.24999999999999911</v>
      </c>
      <c r="L1156" s="9">
        <v>45881</v>
      </c>
      <c r="M1156" s="316" t="s">
        <v>1388</v>
      </c>
      <c r="N1156" s="320" t="s">
        <v>1394</v>
      </c>
      <c r="O1156" s="2"/>
    </row>
    <row r="1157" spans="1:15" s="1" customFormat="1">
      <c r="A1157" s="4"/>
      <c r="B1157" s="412"/>
      <c r="C1157" s="4" t="s">
        <v>1395</v>
      </c>
      <c r="D1157" s="843" t="s">
        <v>111</v>
      </c>
      <c r="E1157" s="4"/>
      <c r="F1157" s="414">
        <v>3</v>
      </c>
      <c r="G1157" s="179">
        <v>45882</v>
      </c>
      <c r="H1157" s="415">
        <v>1</v>
      </c>
      <c r="I1157" s="446">
        <v>0.66666666666666663</v>
      </c>
      <c r="J1157" s="446">
        <v>0.67361111111111116</v>
      </c>
      <c r="K1157" s="417">
        <v>0.16666666666666874</v>
      </c>
      <c r="L1157" s="9">
        <v>45882</v>
      </c>
      <c r="M1157" s="4" t="s">
        <v>1388</v>
      </c>
      <c r="N1157" s="3" t="s">
        <v>79</v>
      </c>
      <c r="O1157" s="2" t="s">
        <v>1396</v>
      </c>
    </row>
    <row r="1158" spans="1:15" s="1" customFormat="1">
      <c r="A1158" s="4"/>
      <c r="B1158" s="412"/>
      <c r="C1158" s="957" t="s">
        <v>1357</v>
      </c>
      <c r="D1158" s="958" t="s">
        <v>103</v>
      </c>
      <c r="E1158" s="4">
        <v>3</v>
      </c>
      <c r="F1158" s="414">
        <v>3</v>
      </c>
      <c r="G1158" s="179">
        <v>45882</v>
      </c>
      <c r="H1158" s="415">
        <v>1</v>
      </c>
      <c r="I1158" s="446">
        <v>0.59027777777777779</v>
      </c>
      <c r="J1158" s="446">
        <v>0.60069444444444442</v>
      </c>
      <c r="K1158" s="417">
        <v>0.16666666666666874</v>
      </c>
      <c r="L1158" s="9">
        <v>45882</v>
      </c>
      <c r="M1158" s="4" t="s">
        <v>1388</v>
      </c>
      <c r="N1158" s="322" t="s">
        <v>1400</v>
      </c>
      <c r="O1158" s="323" t="s">
        <v>1401</v>
      </c>
    </row>
    <row r="1159" spans="1:15" s="1" customFormat="1">
      <c r="A1159" s="4"/>
      <c r="B1159" s="412"/>
      <c r="C1159" s="4" t="s">
        <v>1397</v>
      </c>
      <c r="D1159" s="843"/>
      <c r="E1159" s="4"/>
      <c r="F1159" s="414">
        <v>1</v>
      </c>
      <c r="G1159" s="179">
        <v>45882</v>
      </c>
      <c r="H1159" s="415">
        <v>1</v>
      </c>
      <c r="I1159" s="446">
        <v>0.68055555555555547</v>
      </c>
      <c r="J1159" s="446">
        <v>0.6875</v>
      </c>
      <c r="K1159" s="417">
        <v>0.16666666666666874</v>
      </c>
      <c r="L1159" s="9">
        <v>45882</v>
      </c>
      <c r="M1159" s="4" t="s">
        <v>1388</v>
      </c>
      <c r="N1159" s="3" t="s">
        <v>332</v>
      </c>
      <c r="O1159" s="2" t="s">
        <v>1398</v>
      </c>
    </row>
    <row r="1160" spans="1:15" s="1" customFormat="1">
      <c r="A1160" s="4"/>
      <c r="B1160" s="944" t="s">
        <v>1364</v>
      </c>
      <c r="C1160" s="4"/>
      <c r="D1160" s="959" t="s">
        <v>1399</v>
      </c>
      <c r="E1160" s="4"/>
      <c r="F1160" s="414">
        <v>25</v>
      </c>
      <c r="G1160" s="179">
        <v>45883</v>
      </c>
      <c r="H1160" s="415">
        <v>2</v>
      </c>
      <c r="I1160" s="446">
        <v>0.33333333333333331</v>
      </c>
      <c r="J1160" s="446">
        <v>0.375</v>
      </c>
      <c r="K1160" s="417">
        <f t="shared" si="33"/>
        <v>2.0000000000000009</v>
      </c>
      <c r="L1160" s="9">
        <v>45883</v>
      </c>
      <c r="M1160" s="4" t="s">
        <v>1388</v>
      </c>
      <c r="N1160" s="13" t="s">
        <v>7</v>
      </c>
      <c r="O1160" s="13" t="s">
        <v>151</v>
      </c>
    </row>
    <row r="1161" spans="1:15" s="1" customFormat="1">
      <c r="A1161" s="4"/>
      <c r="B1161" s="944" t="s">
        <v>1364</v>
      </c>
      <c r="C1161" s="4"/>
      <c r="D1161" s="959" t="s">
        <v>378</v>
      </c>
      <c r="E1161" s="4"/>
      <c r="F1161" s="414">
        <v>50</v>
      </c>
      <c r="G1161" s="179">
        <v>45883</v>
      </c>
      <c r="H1161" s="415">
        <v>2</v>
      </c>
      <c r="I1161" s="446">
        <v>0.33333333333333331</v>
      </c>
      <c r="J1161" s="446">
        <v>0.41666666666666669</v>
      </c>
      <c r="K1161" s="417">
        <f t="shared" si="33"/>
        <v>4.0000000000000018</v>
      </c>
      <c r="L1161" s="9">
        <v>45883</v>
      </c>
      <c r="M1161" s="4" t="s">
        <v>1388</v>
      </c>
      <c r="N1161" s="13" t="s">
        <v>7</v>
      </c>
      <c r="O1161" s="13" t="s">
        <v>151</v>
      </c>
    </row>
    <row r="1162" spans="1:15" s="1" customFormat="1">
      <c r="A1162" s="4"/>
      <c r="B1162" s="412"/>
      <c r="C1162" s="324" t="s">
        <v>1402</v>
      </c>
      <c r="D1162" s="960" t="s">
        <v>1403</v>
      </c>
      <c r="E1162" s="4">
        <v>1</v>
      </c>
      <c r="F1162" s="414">
        <v>1</v>
      </c>
      <c r="G1162" s="179">
        <v>45888</v>
      </c>
      <c r="H1162" s="415">
        <v>1</v>
      </c>
      <c r="I1162" s="446">
        <v>0.375</v>
      </c>
      <c r="J1162" s="446">
        <v>0.38194444444444442</v>
      </c>
      <c r="K1162" s="417">
        <f t="shared" si="33"/>
        <v>0.16666666666666607</v>
      </c>
      <c r="L1162" s="9">
        <v>45888</v>
      </c>
      <c r="M1162" s="324" t="s">
        <v>1404</v>
      </c>
      <c r="N1162" s="325" t="s">
        <v>1353</v>
      </c>
      <c r="O1162" s="326" t="s">
        <v>1405</v>
      </c>
    </row>
    <row r="1163" spans="1:15" s="1" customFormat="1">
      <c r="A1163" s="4"/>
      <c r="B1163" s="412"/>
      <c r="C1163" s="324" t="s">
        <v>1406</v>
      </c>
      <c r="D1163" s="960" t="s">
        <v>286</v>
      </c>
      <c r="E1163" s="4">
        <v>2</v>
      </c>
      <c r="F1163" s="414">
        <v>2</v>
      </c>
      <c r="G1163" s="179">
        <v>45888</v>
      </c>
      <c r="H1163" s="415">
        <v>1</v>
      </c>
      <c r="I1163" s="446">
        <v>0.38194444444444442</v>
      </c>
      <c r="J1163" s="446">
        <v>0.3888888888888889</v>
      </c>
      <c r="K1163" s="417">
        <f t="shared" si="33"/>
        <v>0.16666666666666741</v>
      </c>
      <c r="L1163" s="9">
        <v>45888</v>
      </c>
      <c r="M1163" s="324" t="s">
        <v>1404</v>
      </c>
      <c r="N1163" s="325" t="s">
        <v>1353</v>
      </c>
      <c r="O1163" s="326" t="s">
        <v>1407</v>
      </c>
    </row>
    <row r="1164" spans="1:15" s="1" customFormat="1">
      <c r="A1164" s="4"/>
      <c r="B1164" s="412"/>
      <c r="C1164" s="324" t="s">
        <v>1408</v>
      </c>
      <c r="D1164" s="960" t="s">
        <v>1409</v>
      </c>
      <c r="E1164" s="4">
        <v>5</v>
      </c>
      <c r="F1164" s="414">
        <v>5</v>
      </c>
      <c r="G1164" s="179">
        <v>45888</v>
      </c>
      <c r="H1164" s="415">
        <v>1</v>
      </c>
      <c r="I1164" s="446">
        <v>0.3888888888888889</v>
      </c>
      <c r="J1164" s="446">
        <v>0.40277777777777773</v>
      </c>
      <c r="K1164" s="417">
        <f t="shared" si="33"/>
        <v>0.33333333333333215</v>
      </c>
      <c r="L1164" s="9">
        <v>45888</v>
      </c>
      <c r="M1164" s="324" t="s">
        <v>1404</v>
      </c>
      <c r="N1164" s="325" t="s">
        <v>1353</v>
      </c>
      <c r="O1164" s="326" t="s">
        <v>1410</v>
      </c>
    </row>
    <row r="1165" spans="1:15" s="1" customFormat="1">
      <c r="A1165" s="4"/>
      <c r="B1165" s="412"/>
      <c r="C1165" s="4" t="s">
        <v>1373</v>
      </c>
      <c r="D1165" s="843" t="s">
        <v>1411</v>
      </c>
      <c r="E1165" s="4"/>
      <c r="F1165" s="414">
        <v>1</v>
      </c>
      <c r="G1165" s="179">
        <v>45888</v>
      </c>
      <c r="H1165" s="415">
        <v>1</v>
      </c>
      <c r="I1165" s="446">
        <v>0.41666666666666669</v>
      </c>
      <c r="J1165" s="446">
        <v>0.77083333333333337</v>
      </c>
      <c r="K1165" s="417">
        <f t="shared" ref="K1165:K1228" si="34">(J1165-I1165)*24*H1165</f>
        <v>8.5</v>
      </c>
      <c r="L1165" s="9">
        <v>45888</v>
      </c>
      <c r="M1165" s="324" t="s">
        <v>1404</v>
      </c>
      <c r="N1165" s="327" t="s">
        <v>11</v>
      </c>
      <c r="O1165" s="328" t="s">
        <v>1412</v>
      </c>
    </row>
    <row r="1166" spans="1:15" s="1" customFormat="1">
      <c r="A1166" s="4"/>
      <c r="B1166" s="412"/>
      <c r="C1166" s="4" t="s">
        <v>1373</v>
      </c>
      <c r="D1166" s="961" t="s">
        <v>286</v>
      </c>
      <c r="E1166" s="4">
        <v>3</v>
      </c>
      <c r="F1166" s="414">
        <v>3</v>
      </c>
      <c r="G1166" s="179">
        <v>45889</v>
      </c>
      <c r="H1166" s="415">
        <v>2</v>
      </c>
      <c r="I1166" s="446">
        <v>0.33333333333333331</v>
      </c>
      <c r="J1166" s="446">
        <v>0.75</v>
      </c>
      <c r="K1166" s="417">
        <f t="shared" si="34"/>
        <v>20</v>
      </c>
      <c r="L1166" s="9">
        <v>45889</v>
      </c>
      <c r="M1166" s="324" t="s">
        <v>1404</v>
      </c>
      <c r="N1166" s="327" t="s">
        <v>185</v>
      </c>
      <c r="O1166" s="328" t="s">
        <v>1413</v>
      </c>
    </row>
    <row r="1167" spans="1:15" s="1" customFormat="1">
      <c r="A1167" s="4"/>
      <c r="B1167" s="412"/>
      <c r="C1167" s="962" t="s">
        <v>1331</v>
      </c>
      <c r="D1167" s="963" t="s">
        <v>1411</v>
      </c>
      <c r="E1167" s="4"/>
      <c r="F1167" s="414">
        <v>1</v>
      </c>
      <c r="G1167" s="179">
        <v>45889</v>
      </c>
      <c r="H1167" s="415">
        <v>2</v>
      </c>
      <c r="I1167" s="446">
        <v>0.64583333333333337</v>
      </c>
      <c r="J1167" s="446">
        <v>0.79166666666666663</v>
      </c>
      <c r="K1167" s="417">
        <f t="shared" si="34"/>
        <v>6.9999999999999964</v>
      </c>
      <c r="L1167" s="9">
        <v>45889</v>
      </c>
      <c r="M1167" s="324" t="s">
        <v>1404</v>
      </c>
      <c r="N1167" s="330" t="s">
        <v>653</v>
      </c>
      <c r="O1167" s="329" t="s">
        <v>1414</v>
      </c>
    </row>
    <row r="1168" spans="1:15" s="1" customFormat="1">
      <c r="A1168" s="4"/>
      <c r="B1168" s="412"/>
      <c r="C1168" s="962" t="s">
        <v>1331</v>
      </c>
      <c r="D1168" s="963" t="s">
        <v>1411</v>
      </c>
      <c r="E1168" s="4"/>
      <c r="F1168" s="414">
        <v>1</v>
      </c>
      <c r="G1168" s="179">
        <v>45890</v>
      </c>
      <c r="H1168" s="415">
        <v>1</v>
      </c>
      <c r="I1168" s="446">
        <v>0.29166666666666669</v>
      </c>
      <c r="J1168" s="446">
        <v>0.45833333333333331</v>
      </c>
      <c r="K1168" s="417">
        <f>(J1168-I1168)*24*H1168</f>
        <v>3.9999999999999991</v>
      </c>
      <c r="L1168" s="9">
        <v>45890</v>
      </c>
      <c r="M1168" s="324" t="s">
        <v>1404</v>
      </c>
      <c r="N1168" s="330" t="s">
        <v>653</v>
      </c>
      <c r="O1168" s="329" t="s">
        <v>1414</v>
      </c>
    </row>
    <row r="1169" spans="1:15" s="1" customFormat="1">
      <c r="A1169" s="4"/>
      <c r="B1169" s="412"/>
      <c r="C1169" s="962" t="s">
        <v>1331</v>
      </c>
      <c r="D1169" s="963" t="s">
        <v>1411</v>
      </c>
      <c r="E1169" s="4"/>
      <c r="F1169" s="414">
        <v>1</v>
      </c>
      <c r="G1169" s="179">
        <v>45890</v>
      </c>
      <c r="H1169" s="415">
        <v>3</v>
      </c>
      <c r="I1169" s="446">
        <v>0.45833333333333331</v>
      </c>
      <c r="J1169" s="446">
        <v>0.75</v>
      </c>
      <c r="K1169" s="417">
        <f t="shared" si="34"/>
        <v>21</v>
      </c>
      <c r="L1169" s="9">
        <v>45890</v>
      </c>
      <c r="M1169" s="324" t="s">
        <v>1404</v>
      </c>
      <c r="N1169" s="330" t="s">
        <v>653</v>
      </c>
      <c r="O1169" s="329" t="s">
        <v>1414</v>
      </c>
    </row>
    <row r="1170" spans="1:15" s="1" customFormat="1">
      <c r="A1170" s="4"/>
      <c r="B1170" s="412"/>
      <c r="C1170" s="962" t="s">
        <v>1331</v>
      </c>
      <c r="D1170" s="963" t="s">
        <v>1411</v>
      </c>
      <c r="E1170" s="4"/>
      <c r="F1170" s="414">
        <v>1</v>
      </c>
      <c r="G1170" s="179">
        <v>45891</v>
      </c>
      <c r="H1170" s="415">
        <v>2</v>
      </c>
      <c r="I1170" s="446">
        <v>0.29166666666666669</v>
      </c>
      <c r="J1170" s="446">
        <v>0.75</v>
      </c>
      <c r="K1170" s="417">
        <f t="shared" si="34"/>
        <v>22</v>
      </c>
      <c r="L1170" s="9">
        <v>45891</v>
      </c>
      <c r="M1170" s="331" t="s">
        <v>1415</v>
      </c>
      <c r="N1170" s="330" t="s">
        <v>653</v>
      </c>
      <c r="O1170" s="329" t="s">
        <v>1414</v>
      </c>
    </row>
    <row r="1171" spans="1:15" s="1" customFormat="1">
      <c r="A1171" s="4"/>
      <c r="B1171" s="412"/>
      <c r="C1171" s="964" t="s">
        <v>1416</v>
      </c>
      <c r="D1171" s="965" t="s">
        <v>1417</v>
      </c>
      <c r="E1171" s="4"/>
      <c r="F1171" s="414">
        <v>1</v>
      </c>
      <c r="G1171" s="179">
        <v>45891</v>
      </c>
      <c r="H1171" s="415">
        <v>1</v>
      </c>
      <c r="I1171" s="446">
        <v>0.41666666666666669</v>
      </c>
      <c r="J1171" s="446">
        <v>0.43055555555555558</v>
      </c>
      <c r="K1171" s="417">
        <f t="shared" si="34"/>
        <v>0.33333333333333348</v>
      </c>
      <c r="L1171" s="9">
        <v>45891</v>
      </c>
      <c r="M1171" s="331" t="s">
        <v>1415</v>
      </c>
      <c r="N1171" s="330" t="s">
        <v>653</v>
      </c>
      <c r="O1171" s="332" t="s">
        <v>1418</v>
      </c>
    </row>
    <row r="1172" spans="1:15" s="1" customFormat="1">
      <c r="A1172" s="4"/>
      <c r="B1172" s="412"/>
      <c r="C1172" s="964" t="s">
        <v>1419</v>
      </c>
      <c r="D1172" s="965" t="s">
        <v>874</v>
      </c>
      <c r="E1172" s="4"/>
      <c r="F1172" s="414">
        <v>1</v>
      </c>
      <c r="G1172" s="179">
        <v>45891</v>
      </c>
      <c r="H1172" s="415">
        <v>1</v>
      </c>
      <c r="I1172" s="446">
        <v>0.77083333333333337</v>
      </c>
      <c r="J1172" s="446">
        <v>0.77777777777777779</v>
      </c>
      <c r="K1172" s="417">
        <f t="shared" si="34"/>
        <v>0.16666666666666607</v>
      </c>
      <c r="L1172" s="9">
        <v>45891</v>
      </c>
      <c r="M1172" s="331" t="s">
        <v>1415</v>
      </c>
      <c r="N1172" s="330" t="s">
        <v>653</v>
      </c>
      <c r="O1172" s="332" t="s">
        <v>1420</v>
      </c>
    </row>
    <row r="1173" spans="1:15" s="1" customFormat="1">
      <c r="A1173" s="4"/>
      <c r="B1173" s="412"/>
      <c r="C1173" s="964" t="s">
        <v>595</v>
      </c>
      <c r="D1173" s="965" t="s">
        <v>111</v>
      </c>
      <c r="E1173" s="4"/>
      <c r="F1173" s="414">
        <v>1</v>
      </c>
      <c r="G1173" s="179">
        <v>45894</v>
      </c>
      <c r="H1173" s="415">
        <v>1</v>
      </c>
      <c r="I1173" s="446">
        <v>0.58333333333333337</v>
      </c>
      <c r="J1173" s="446">
        <v>0.59027777777777779</v>
      </c>
      <c r="K1173" s="417">
        <f t="shared" si="34"/>
        <v>0.16666666666666607</v>
      </c>
      <c r="L1173" s="9">
        <v>45894</v>
      </c>
      <c r="M1173" s="331" t="s">
        <v>1415</v>
      </c>
      <c r="N1173" s="333" t="s">
        <v>7</v>
      </c>
      <c r="O1173" s="332" t="s">
        <v>1229</v>
      </c>
    </row>
    <row r="1174" spans="1:15" s="1" customFormat="1">
      <c r="A1174" s="4"/>
      <c r="B1174" s="412"/>
      <c r="C1174" s="964" t="s">
        <v>595</v>
      </c>
      <c r="D1174" s="965" t="s">
        <v>310</v>
      </c>
      <c r="E1174" s="4"/>
      <c r="F1174" s="414">
        <v>1</v>
      </c>
      <c r="G1174" s="179">
        <v>45894</v>
      </c>
      <c r="H1174" s="415">
        <v>1</v>
      </c>
      <c r="I1174" s="446">
        <v>0.59027777777777779</v>
      </c>
      <c r="J1174" s="446">
        <v>0.59375</v>
      </c>
      <c r="K1174" s="417">
        <f t="shared" si="34"/>
        <v>8.3333333333333037E-2</v>
      </c>
      <c r="L1174" s="9">
        <v>45894</v>
      </c>
      <c r="M1174" s="331" t="s">
        <v>1415</v>
      </c>
      <c r="N1174" s="333" t="s">
        <v>7</v>
      </c>
      <c r="O1174" s="332" t="s">
        <v>1229</v>
      </c>
    </row>
    <row r="1175" spans="1:15" s="1" customFormat="1">
      <c r="A1175" s="4"/>
      <c r="B1175" s="412"/>
      <c r="C1175" s="966" t="s">
        <v>29</v>
      </c>
      <c r="D1175" s="967" t="s">
        <v>1100</v>
      </c>
      <c r="E1175" s="4"/>
      <c r="F1175" s="414">
        <v>150</v>
      </c>
      <c r="G1175" s="179">
        <v>45894</v>
      </c>
      <c r="H1175" s="415">
        <v>2</v>
      </c>
      <c r="I1175" s="446">
        <v>0.54166666666666663</v>
      </c>
      <c r="J1175" s="446">
        <v>0.625</v>
      </c>
      <c r="K1175" s="417">
        <f t="shared" si="34"/>
        <v>4.0000000000000018</v>
      </c>
      <c r="L1175" s="9">
        <v>45894</v>
      </c>
      <c r="M1175" s="331" t="s">
        <v>1415</v>
      </c>
      <c r="N1175" s="334" t="s">
        <v>9</v>
      </c>
      <c r="O1175" s="335" t="s">
        <v>1421</v>
      </c>
    </row>
    <row r="1176" spans="1:15" s="1" customFormat="1">
      <c r="A1176" s="4"/>
      <c r="B1176" s="968" t="s">
        <v>557</v>
      </c>
      <c r="C1176" s="969" t="s">
        <v>1422</v>
      </c>
      <c r="D1176" s="843"/>
      <c r="E1176" s="4"/>
      <c r="F1176" s="414">
        <v>10</v>
      </c>
      <c r="G1176" s="179">
        <v>45897</v>
      </c>
      <c r="H1176" s="415">
        <v>1</v>
      </c>
      <c r="I1176" s="446">
        <v>0.29166666666666669</v>
      </c>
      <c r="J1176" s="446">
        <v>0.33333333333333331</v>
      </c>
      <c r="K1176" s="417">
        <f t="shared" si="34"/>
        <v>0.99999999999999911</v>
      </c>
      <c r="L1176" s="9">
        <v>45897</v>
      </c>
      <c r="M1176" s="331" t="s">
        <v>1415</v>
      </c>
      <c r="N1176" s="336" t="s">
        <v>1184</v>
      </c>
      <c r="O1176" s="2" t="s">
        <v>151</v>
      </c>
    </row>
    <row r="1177" spans="1:15" s="1" customFormat="1">
      <c r="A1177" s="4"/>
      <c r="B1177" s="968" t="s">
        <v>557</v>
      </c>
      <c r="C1177" s="969" t="s">
        <v>1423</v>
      </c>
      <c r="D1177" s="843"/>
      <c r="E1177" s="4"/>
      <c r="F1177" s="414">
        <v>54</v>
      </c>
      <c r="G1177" s="179">
        <v>45897</v>
      </c>
      <c r="H1177" s="415">
        <v>2</v>
      </c>
      <c r="I1177" s="446">
        <v>0.41666666666666669</v>
      </c>
      <c r="J1177" s="446">
        <v>0.54166666666666663</v>
      </c>
      <c r="K1177" s="417">
        <f t="shared" si="34"/>
        <v>5.9999999999999973</v>
      </c>
      <c r="L1177" s="9">
        <v>45897</v>
      </c>
      <c r="M1177" s="331" t="s">
        <v>1415</v>
      </c>
      <c r="N1177" s="336" t="s">
        <v>1184</v>
      </c>
      <c r="O1177" s="2" t="s">
        <v>151</v>
      </c>
    </row>
    <row r="1178" spans="1:15" s="1" customFormat="1">
      <c r="A1178" s="4"/>
      <c r="B1178" s="968" t="s">
        <v>557</v>
      </c>
      <c r="C1178" s="969" t="s">
        <v>1424</v>
      </c>
      <c r="D1178" s="843"/>
      <c r="E1178" s="4"/>
      <c r="F1178" s="414">
        <v>9</v>
      </c>
      <c r="G1178" s="179">
        <v>45897</v>
      </c>
      <c r="H1178" s="415">
        <v>1</v>
      </c>
      <c r="I1178" s="446">
        <v>0.58333333333333337</v>
      </c>
      <c r="J1178" s="446">
        <v>0.75</v>
      </c>
      <c r="K1178" s="417">
        <f t="shared" si="34"/>
        <v>3.9999999999999991</v>
      </c>
      <c r="L1178" s="9">
        <v>45897</v>
      </c>
      <c r="M1178" s="331" t="s">
        <v>1415</v>
      </c>
      <c r="N1178" s="336" t="s">
        <v>1184</v>
      </c>
      <c r="O1178" s="2" t="s">
        <v>151</v>
      </c>
    </row>
    <row r="1179" spans="1:15" s="1" customFormat="1" ht="16.149999999999999" customHeight="1">
      <c r="A1179" s="4"/>
      <c r="B1179" s="412"/>
      <c r="C1179" s="969" t="s">
        <v>1425</v>
      </c>
      <c r="D1179" s="843" t="s">
        <v>1411</v>
      </c>
      <c r="E1179" s="4"/>
      <c r="F1179" s="414">
        <v>1</v>
      </c>
      <c r="G1179" s="179">
        <v>45897</v>
      </c>
      <c r="H1179" s="415">
        <v>2</v>
      </c>
      <c r="I1179" s="446">
        <v>0.58333333333333337</v>
      </c>
      <c r="J1179" s="446">
        <v>0.79166666666666663</v>
      </c>
      <c r="K1179" s="417">
        <f t="shared" si="34"/>
        <v>9.9999999999999964</v>
      </c>
      <c r="L1179" s="9">
        <v>45897</v>
      </c>
      <c r="M1179" s="331" t="s">
        <v>1415</v>
      </c>
      <c r="N1179" s="336" t="s">
        <v>185</v>
      </c>
      <c r="O1179" s="337" t="s">
        <v>1426</v>
      </c>
    </row>
    <row r="1180" spans="1:15" s="1" customFormat="1" ht="16.149999999999999" customHeight="1">
      <c r="A1180" s="4"/>
      <c r="B1180" s="412"/>
      <c r="C1180" s="969" t="s">
        <v>1425</v>
      </c>
      <c r="D1180" s="843" t="s">
        <v>1411</v>
      </c>
      <c r="E1180" s="4"/>
      <c r="F1180" s="414">
        <v>1</v>
      </c>
      <c r="G1180" s="179">
        <v>45897</v>
      </c>
      <c r="H1180" s="415">
        <v>2</v>
      </c>
      <c r="I1180" s="446">
        <v>0.29166666666666669</v>
      </c>
      <c r="J1180" s="446">
        <v>0.39583333333333331</v>
      </c>
      <c r="K1180" s="417">
        <f t="shared" si="34"/>
        <v>4.9999999999999982</v>
      </c>
      <c r="L1180" s="9">
        <v>45897</v>
      </c>
      <c r="M1180" s="331" t="s">
        <v>1415</v>
      </c>
      <c r="N1180" s="336" t="s">
        <v>185</v>
      </c>
      <c r="O1180" s="337" t="s">
        <v>1426</v>
      </c>
    </row>
    <row r="1181" spans="1:15" s="1" customFormat="1" ht="16.149999999999999" customHeight="1">
      <c r="A1181" s="4"/>
      <c r="B1181" s="412"/>
      <c r="C1181" s="969" t="s">
        <v>1425</v>
      </c>
      <c r="D1181" s="843" t="s">
        <v>1411</v>
      </c>
      <c r="E1181" s="4"/>
      <c r="F1181" s="414">
        <v>1</v>
      </c>
      <c r="G1181" s="179">
        <v>45897</v>
      </c>
      <c r="H1181" s="415">
        <v>2</v>
      </c>
      <c r="I1181" s="446">
        <v>0.41666666666666669</v>
      </c>
      <c r="J1181" s="446">
        <v>0.75</v>
      </c>
      <c r="K1181" s="417">
        <f t="shared" si="34"/>
        <v>16</v>
      </c>
      <c r="L1181" s="9">
        <v>45897</v>
      </c>
      <c r="M1181" s="331" t="s">
        <v>1415</v>
      </c>
      <c r="N1181" s="336" t="s">
        <v>185</v>
      </c>
      <c r="O1181" s="337" t="s">
        <v>1426</v>
      </c>
    </row>
    <row r="1182" spans="1:15" s="1" customFormat="1" ht="16.149999999999999" customHeight="1">
      <c r="A1182" s="4"/>
      <c r="B1182" s="412"/>
      <c r="C1182" s="969" t="s">
        <v>1425</v>
      </c>
      <c r="D1182" s="843" t="s">
        <v>1411</v>
      </c>
      <c r="E1182" s="4"/>
      <c r="F1182" s="414">
        <v>1</v>
      </c>
      <c r="G1182" s="179">
        <v>45897</v>
      </c>
      <c r="H1182" s="415">
        <v>2</v>
      </c>
      <c r="I1182" s="446">
        <v>0.29166666666666669</v>
      </c>
      <c r="J1182" s="446">
        <v>0.75</v>
      </c>
      <c r="K1182" s="417">
        <f t="shared" si="34"/>
        <v>22</v>
      </c>
      <c r="L1182" s="9">
        <v>45897</v>
      </c>
      <c r="M1182" s="331" t="s">
        <v>1415</v>
      </c>
      <c r="N1182" s="336" t="s">
        <v>185</v>
      </c>
      <c r="O1182" s="337" t="s">
        <v>1426</v>
      </c>
    </row>
    <row r="1183" spans="1:15" s="1" customFormat="1" ht="16.149999999999999" customHeight="1">
      <c r="A1183" s="4"/>
      <c r="B1183" s="412"/>
      <c r="C1183" s="969" t="s">
        <v>1425</v>
      </c>
      <c r="D1183" s="843" t="s">
        <v>1411</v>
      </c>
      <c r="E1183" s="4"/>
      <c r="F1183" s="414">
        <v>1</v>
      </c>
      <c r="G1183" s="179">
        <v>45897</v>
      </c>
      <c r="H1183" s="415">
        <v>2</v>
      </c>
      <c r="I1183" s="446">
        <v>0.29166666666666669</v>
      </c>
      <c r="J1183" s="446">
        <v>0.39583333333333331</v>
      </c>
      <c r="K1183" s="417">
        <f t="shared" si="34"/>
        <v>4.9999999999999982</v>
      </c>
      <c r="L1183" s="9">
        <v>45897</v>
      </c>
      <c r="M1183" s="331" t="s">
        <v>1415</v>
      </c>
      <c r="N1183" s="336" t="s">
        <v>185</v>
      </c>
      <c r="O1183" s="337" t="s">
        <v>1426</v>
      </c>
    </row>
    <row r="1184" spans="1:15" s="1" customFormat="1">
      <c r="A1184" s="4"/>
      <c r="B1184" s="412"/>
      <c r="C1184" s="969" t="s">
        <v>1427</v>
      </c>
      <c r="D1184" s="970" t="s">
        <v>992</v>
      </c>
      <c r="E1184" s="4"/>
      <c r="F1184" s="414">
        <v>11</v>
      </c>
      <c r="G1184" s="179">
        <v>45897</v>
      </c>
      <c r="H1184" s="415">
        <v>1</v>
      </c>
      <c r="I1184" s="446">
        <v>0.45833333333333331</v>
      </c>
      <c r="J1184" s="446">
        <v>0.46875</v>
      </c>
      <c r="K1184" s="417">
        <f t="shared" si="34"/>
        <v>0.25000000000000044</v>
      </c>
      <c r="L1184" s="9">
        <v>45897</v>
      </c>
      <c r="M1184" s="331" t="s">
        <v>1415</v>
      </c>
      <c r="N1184" s="339" t="s">
        <v>1430</v>
      </c>
      <c r="O1184" s="338" t="s">
        <v>1429</v>
      </c>
    </row>
    <row r="1185" spans="1:15" s="1" customFormat="1">
      <c r="A1185" s="4"/>
      <c r="B1185" s="412"/>
      <c r="C1185" s="969" t="s">
        <v>1428</v>
      </c>
      <c r="D1185" s="970" t="s">
        <v>992</v>
      </c>
      <c r="E1185" s="4"/>
      <c r="F1185" s="414">
        <v>11</v>
      </c>
      <c r="G1185" s="179">
        <v>45897</v>
      </c>
      <c r="H1185" s="415">
        <v>1</v>
      </c>
      <c r="I1185" s="446">
        <v>0.46875</v>
      </c>
      <c r="J1185" s="446">
        <v>0.47916666666666669</v>
      </c>
      <c r="K1185" s="417">
        <f t="shared" si="34"/>
        <v>0.25000000000000044</v>
      </c>
      <c r="L1185" s="9">
        <v>45897</v>
      </c>
      <c r="M1185" s="331" t="s">
        <v>1415</v>
      </c>
      <c r="N1185" s="339" t="s">
        <v>1430</v>
      </c>
      <c r="O1185" s="338" t="s">
        <v>1429</v>
      </c>
    </row>
    <row r="1186" spans="1:15" s="1" customFormat="1">
      <c r="A1186" s="4"/>
      <c r="B1186" s="412"/>
      <c r="C1186" s="340" t="s">
        <v>1431</v>
      </c>
      <c r="D1186" s="971" t="s">
        <v>1046</v>
      </c>
      <c r="E1186" s="4"/>
      <c r="F1186" s="414">
        <v>1</v>
      </c>
      <c r="G1186" s="179">
        <v>45898</v>
      </c>
      <c r="H1186" s="415">
        <v>1</v>
      </c>
      <c r="I1186" s="446">
        <v>0.375</v>
      </c>
      <c r="J1186" s="446">
        <v>0.38541666666666669</v>
      </c>
      <c r="K1186" s="417">
        <f t="shared" si="34"/>
        <v>0.25000000000000044</v>
      </c>
      <c r="L1186" s="9">
        <v>45898</v>
      </c>
      <c r="M1186" s="340" t="s">
        <v>1432</v>
      </c>
      <c r="N1186" s="341" t="s">
        <v>1346</v>
      </c>
      <c r="O1186" s="342" t="s">
        <v>894</v>
      </c>
    </row>
    <row r="1187" spans="1:15" s="1" customFormat="1">
      <c r="A1187" s="4"/>
      <c r="B1187" s="968" t="s">
        <v>557</v>
      </c>
      <c r="C1187" s="972"/>
      <c r="D1187" s="843" t="s">
        <v>1433</v>
      </c>
      <c r="E1187" s="4"/>
      <c r="F1187" s="414">
        <v>48</v>
      </c>
      <c r="G1187" s="179">
        <v>45903</v>
      </c>
      <c r="H1187" s="415">
        <v>2</v>
      </c>
      <c r="I1187" s="446">
        <v>0.33333333333333331</v>
      </c>
      <c r="J1187" s="446">
        <v>0.5</v>
      </c>
      <c r="K1187" s="417">
        <f t="shared" si="34"/>
        <v>8</v>
      </c>
      <c r="L1187" s="9">
        <v>45903</v>
      </c>
      <c r="M1187" s="340" t="s">
        <v>1432</v>
      </c>
      <c r="N1187" s="343" t="s">
        <v>1184</v>
      </c>
      <c r="O1187" s="2" t="s">
        <v>151</v>
      </c>
    </row>
    <row r="1188" spans="1:15" s="1" customFormat="1">
      <c r="A1188" s="4"/>
      <c r="B1188" s="412"/>
      <c r="C1188" s="973" t="s">
        <v>1393</v>
      </c>
      <c r="D1188" s="974" t="s">
        <v>1046</v>
      </c>
      <c r="E1188" s="4"/>
      <c r="F1188" s="414">
        <v>4</v>
      </c>
      <c r="G1188" s="179">
        <v>45906</v>
      </c>
      <c r="H1188" s="415">
        <v>1</v>
      </c>
      <c r="I1188" s="446">
        <v>0.54166666666666663</v>
      </c>
      <c r="J1188" s="446">
        <v>0.55208333333333337</v>
      </c>
      <c r="K1188" s="417">
        <f t="shared" si="34"/>
        <v>0.25000000000000178</v>
      </c>
      <c r="L1188" s="9">
        <v>45906</v>
      </c>
      <c r="M1188" s="340" t="s">
        <v>1432</v>
      </c>
      <c r="N1188" s="345" t="s">
        <v>1346</v>
      </c>
      <c r="O1188" s="344" t="s">
        <v>894</v>
      </c>
    </row>
    <row r="1189" spans="1:15" s="1" customFormat="1">
      <c r="A1189" s="4"/>
      <c r="B1189" s="412"/>
      <c r="C1189" s="973" t="s">
        <v>1434</v>
      </c>
      <c r="D1189" s="974" t="s">
        <v>1435</v>
      </c>
      <c r="E1189" s="4"/>
      <c r="F1189" s="414">
        <v>2</v>
      </c>
      <c r="G1189" s="179">
        <v>45906</v>
      </c>
      <c r="H1189" s="415">
        <v>1</v>
      </c>
      <c r="I1189" s="446">
        <v>0.58333333333333337</v>
      </c>
      <c r="J1189" s="446">
        <v>0.59027777777777779</v>
      </c>
      <c r="K1189" s="417">
        <f t="shared" si="34"/>
        <v>0.16666666666666607</v>
      </c>
      <c r="L1189" s="9">
        <v>45906</v>
      </c>
      <c r="M1189" s="340" t="s">
        <v>1432</v>
      </c>
      <c r="N1189" s="345" t="s">
        <v>79</v>
      </c>
      <c r="O1189" s="344" t="s">
        <v>1436</v>
      </c>
    </row>
    <row r="1190" spans="1:15" s="1" customFormat="1">
      <c r="A1190" s="4"/>
      <c r="B1190" s="412"/>
      <c r="C1190" s="973" t="s">
        <v>1437</v>
      </c>
      <c r="D1190" s="974" t="s">
        <v>1438</v>
      </c>
      <c r="E1190" s="4"/>
      <c r="F1190" s="414">
        <v>70</v>
      </c>
      <c r="G1190" s="179">
        <v>45906</v>
      </c>
      <c r="H1190" s="415">
        <v>1</v>
      </c>
      <c r="I1190" s="446">
        <v>0.59027777777777779</v>
      </c>
      <c r="J1190" s="446">
        <v>0.625</v>
      </c>
      <c r="K1190" s="417">
        <f t="shared" si="34"/>
        <v>0.83333333333333304</v>
      </c>
      <c r="L1190" s="9">
        <v>45906</v>
      </c>
      <c r="M1190" s="340" t="s">
        <v>1432</v>
      </c>
      <c r="N1190" s="345" t="s">
        <v>9</v>
      </c>
      <c r="O1190" s="344" t="s">
        <v>1439</v>
      </c>
    </row>
    <row r="1191" spans="1:15" s="1" customFormat="1">
      <c r="A1191" s="4"/>
      <c r="B1191" s="968" t="s">
        <v>557</v>
      </c>
      <c r="C1191" s="346" t="s">
        <v>1441</v>
      </c>
      <c r="D1191" s="843"/>
      <c r="E1191" s="4"/>
      <c r="F1191" s="414">
        <v>500</v>
      </c>
      <c r="G1191" s="179">
        <v>45908</v>
      </c>
      <c r="H1191" s="415">
        <v>2</v>
      </c>
      <c r="I1191" s="446">
        <v>0.33333333333333331</v>
      </c>
      <c r="J1191" s="446">
        <v>0.45833333333333331</v>
      </c>
      <c r="K1191" s="417">
        <f t="shared" si="34"/>
        <v>6</v>
      </c>
      <c r="L1191" s="9">
        <v>45908</v>
      </c>
      <c r="M1191" s="346" t="s">
        <v>1440</v>
      </c>
      <c r="N1191" s="3" t="s">
        <v>1184</v>
      </c>
      <c r="O1191" s="2" t="s">
        <v>151</v>
      </c>
    </row>
    <row r="1192" spans="1:15" s="1" customFormat="1">
      <c r="A1192" s="4"/>
      <c r="B1192" s="412"/>
      <c r="C1192" s="975" t="s">
        <v>1324</v>
      </c>
      <c r="D1192" s="976" t="s">
        <v>310</v>
      </c>
      <c r="E1192" s="4"/>
      <c r="F1192" s="414">
        <v>1</v>
      </c>
      <c r="G1192" s="179">
        <v>45909</v>
      </c>
      <c r="H1192" s="415">
        <v>1</v>
      </c>
      <c r="I1192" s="446">
        <v>0.58333333333333337</v>
      </c>
      <c r="J1192" s="446">
        <v>0.58680555555555558</v>
      </c>
      <c r="K1192" s="417">
        <f t="shared" si="34"/>
        <v>8.3333333333333037E-2</v>
      </c>
      <c r="L1192" s="9">
        <v>45909</v>
      </c>
      <c r="M1192" s="346" t="s">
        <v>1440</v>
      </c>
      <c r="N1192" s="347" t="s">
        <v>7</v>
      </c>
      <c r="O1192" s="348" t="s">
        <v>1442</v>
      </c>
    </row>
    <row r="1193" spans="1:15" s="1" customFormat="1">
      <c r="A1193" s="4"/>
      <c r="B1193" s="412"/>
      <c r="C1193" s="975" t="s">
        <v>1443</v>
      </c>
      <c r="D1193" s="976" t="s">
        <v>1444</v>
      </c>
      <c r="E1193" s="4"/>
      <c r="F1193" s="414">
        <v>1</v>
      </c>
      <c r="G1193" s="179">
        <v>45909</v>
      </c>
      <c r="H1193" s="415">
        <v>1</v>
      </c>
      <c r="I1193" s="446">
        <v>0.54166666666666663</v>
      </c>
      <c r="J1193" s="446">
        <v>0.79166666666666663</v>
      </c>
      <c r="K1193" s="417">
        <f t="shared" si="34"/>
        <v>6</v>
      </c>
      <c r="L1193" s="9">
        <v>45909</v>
      </c>
      <c r="M1193" s="346" t="s">
        <v>1440</v>
      </c>
      <c r="N1193" s="347" t="s">
        <v>8</v>
      </c>
      <c r="O1193" s="348" t="s">
        <v>1445</v>
      </c>
    </row>
    <row r="1194" spans="1:15" s="1" customFormat="1">
      <c r="A1194" s="4"/>
      <c r="B1194" s="412"/>
      <c r="C1194" s="977" t="s">
        <v>1446</v>
      </c>
      <c r="D1194" s="843"/>
      <c r="E1194" s="4"/>
      <c r="F1194" s="414">
        <v>1</v>
      </c>
      <c r="G1194" s="179">
        <v>45910</v>
      </c>
      <c r="H1194" s="415">
        <v>1</v>
      </c>
      <c r="I1194" s="446">
        <v>0.54166666666666663</v>
      </c>
      <c r="J1194" s="446">
        <v>0.66666666666666663</v>
      </c>
      <c r="K1194" s="417">
        <f t="shared" si="34"/>
        <v>3</v>
      </c>
      <c r="L1194" s="9">
        <v>45910</v>
      </c>
      <c r="M1194" s="346" t="s">
        <v>1440</v>
      </c>
      <c r="N1194" s="349" t="s">
        <v>231</v>
      </c>
      <c r="O1194" s="350" t="s">
        <v>1447</v>
      </c>
    </row>
    <row r="1195" spans="1:15" s="1" customFormat="1">
      <c r="A1195" s="4"/>
      <c r="B1195" s="412"/>
      <c r="C1195" s="351" t="s">
        <v>1425</v>
      </c>
      <c r="D1195" s="978" t="s">
        <v>862</v>
      </c>
      <c r="E1195" s="4"/>
      <c r="F1195" s="414">
        <v>71</v>
      </c>
      <c r="G1195" s="179">
        <v>45916</v>
      </c>
      <c r="H1195" s="415">
        <v>1</v>
      </c>
      <c r="I1195" s="446">
        <v>0.33333333333333331</v>
      </c>
      <c r="J1195" s="446">
        <v>0.36805555555555558</v>
      </c>
      <c r="K1195" s="417">
        <f t="shared" si="34"/>
        <v>0.83333333333333437</v>
      </c>
      <c r="L1195" s="9">
        <v>45916</v>
      </c>
      <c r="M1195" s="351" t="s">
        <v>1448</v>
      </c>
      <c r="N1195" s="352" t="s">
        <v>1451</v>
      </c>
      <c r="O1195" s="353" t="s">
        <v>1449</v>
      </c>
    </row>
    <row r="1196" spans="1:15" s="1" customFormat="1">
      <c r="A1196" s="4"/>
      <c r="B1196" s="412"/>
      <c r="C1196" s="351" t="s">
        <v>1425</v>
      </c>
      <c r="D1196" s="978" t="s">
        <v>1450</v>
      </c>
      <c r="E1196" s="4"/>
      <c r="F1196" s="414">
        <v>71</v>
      </c>
      <c r="G1196" s="179">
        <v>45916</v>
      </c>
      <c r="H1196" s="415">
        <v>1</v>
      </c>
      <c r="I1196" s="446">
        <v>0.37152777777777773</v>
      </c>
      <c r="J1196" s="446">
        <v>0.40625</v>
      </c>
      <c r="K1196" s="417">
        <f t="shared" si="34"/>
        <v>0.83333333333333437</v>
      </c>
      <c r="L1196" s="9">
        <v>45916</v>
      </c>
      <c r="M1196" s="351" t="s">
        <v>1448</v>
      </c>
      <c r="N1196" s="352" t="s">
        <v>1451</v>
      </c>
      <c r="O1196" s="353" t="s">
        <v>1449</v>
      </c>
    </row>
    <row r="1197" spans="1:15" s="1" customFormat="1">
      <c r="A1197" s="4"/>
      <c r="B1197" s="412"/>
      <c r="C1197" s="351" t="s">
        <v>1425</v>
      </c>
      <c r="D1197" s="978" t="s">
        <v>862</v>
      </c>
      <c r="E1197" s="4"/>
      <c r="F1197" s="414">
        <v>25</v>
      </c>
      <c r="G1197" s="179">
        <v>45916</v>
      </c>
      <c r="H1197" s="415">
        <v>1</v>
      </c>
      <c r="I1197" s="446">
        <v>0.40972222222222227</v>
      </c>
      <c r="J1197" s="446">
        <v>0.42708333333333331</v>
      </c>
      <c r="K1197" s="417">
        <f t="shared" si="34"/>
        <v>0.41666666666666519</v>
      </c>
      <c r="L1197" s="9">
        <v>45916</v>
      </c>
      <c r="M1197" s="351" t="s">
        <v>1448</v>
      </c>
      <c r="N1197" s="352" t="s">
        <v>1451</v>
      </c>
      <c r="O1197" s="353" t="s">
        <v>1449</v>
      </c>
    </row>
    <row r="1198" spans="1:15" s="1" customFormat="1">
      <c r="A1198" s="4"/>
      <c r="B1198" s="412"/>
      <c r="C1198" s="351" t="s">
        <v>1425</v>
      </c>
      <c r="D1198" s="978" t="s">
        <v>1450</v>
      </c>
      <c r="E1198" s="4"/>
      <c r="F1198" s="414">
        <v>25</v>
      </c>
      <c r="G1198" s="179">
        <v>45916</v>
      </c>
      <c r="H1198" s="415">
        <v>1</v>
      </c>
      <c r="I1198" s="446">
        <v>0.42708333333333331</v>
      </c>
      <c r="J1198" s="446">
        <v>0.44444444444444442</v>
      </c>
      <c r="K1198" s="417">
        <f t="shared" si="34"/>
        <v>0.41666666666666652</v>
      </c>
      <c r="L1198" s="9">
        <v>45916</v>
      </c>
      <c r="M1198" s="351" t="s">
        <v>1448</v>
      </c>
      <c r="N1198" s="352" t="s">
        <v>1451</v>
      </c>
      <c r="O1198" s="353" t="s">
        <v>1449</v>
      </c>
    </row>
    <row r="1199" spans="1:15" s="1" customFormat="1">
      <c r="A1199" s="4"/>
      <c r="B1199" s="412"/>
      <c r="C1199" s="351" t="s">
        <v>1452</v>
      </c>
      <c r="D1199" s="978" t="s">
        <v>862</v>
      </c>
      <c r="E1199" s="4"/>
      <c r="F1199" s="414">
        <v>25</v>
      </c>
      <c r="G1199" s="179">
        <v>45916</v>
      </c>
      <c r="H1199" s="415">
        <v>1</v>
      </c>
      <c r="I1199" s="446">
        <v>0.44444444444444442</v>
      </c>
      <c r="J1199" s="446">
        <v>0.4548611111111111</v>
      </c>
      <c r="K1199" s="417">
        <f t="shared" si="34"/>
        <v>0.25000000000000044</v>
      </c>
      <c r="L1199" s="9">
        <v>45916</v>
      </c>
      <c r="M1199" s="351" t="s">
        <v>1448</v>
      </c>
      <c r="N1199" s="352" t="s">
        <v>1451</v>
      </c>
      <c r="O1199" s="353" t="s">
        <v>1449</v>
      </c>
    </row>
    <row r="1200" spans="1:15" s="1" customFormat="1">
      <c r="A1200" s="4"/>
      <c r="B1200" s="412"/>
      <c r="C1200" s="351" t="s">
        <v>1452</v>
      </c>
      <c r="D1200" s="978" t="s">
        <v>1450</v>
      </c>
      <c r="E1200" s="4"/>
      <c r="F1200" s="414">
        <v>25</v>
      </c>
      <c r="G1200" s="179">
        <v>45916</v>
      </c>
      <c r="H1200" s="415">
        <v>1</v>
      </c>
      <c r="I1200" s="446">
        <v>0.4548611111111111</v>
      </c>
      <c r="J1200" s="446">
        <v>0.46875</v>
      </c>
      <c r="K1200" s="417">
        <f t="shared" si="34"/>
        <v>0.33333333333333348</v>
      </c>
      <c r="L1200" s="9">
        <v>45916</v>
      </c>
      <c r="M1200" s="351" t="s">
        <v>1448</v>
      </c>
      <c r="N1200" s="352" t="s">
        <v>1451</v>
      </c>
      <c r="O1200" s="353" t="s">
        <v>1449</v>
      </c>
    </row>
    <row r="1201" spans="1:15" s="1" customFormat="1">
      <c r="A1201" s="4"/>
      <c r="B1201" s="412"/>
      <c r="C1201" s="351" t="s">
        <v>1453</v>
      </c>
      <c r="D1201" s="978" t="s">
        <v>862</v>
      </c>
      <c r="E1201" s="4"/>
      <c r="F1201" s="414">
        <v>25</v>
      </c>
      <c r="G1201" s="179">
        <v>45916</v>
      </c>
      <c r="H1201" s="415">
        <v>1</v>
      </c>
      <c r="I1201" s="446">
        <v>0.47222222222222227</v>
      </c>
      <c r="J1201" s="446">
        <v>0.4861111111111111</v>
      </c>
      <c r="K1201" s="417">
        <f t="shared" si="34"/>
        <v>0.33333333333333215</v>
      </c>
      <c r="L1201" s="9">
        <v>45916</v>
      </c>
      <c r="M1201" s="351" t="s">
        <v>1448</v>
      </c>
      <c r="N1201" s="352" t="s">
        <v>1451</v>
      </c>
      <c r="O1201" s="353" t="s">
        <v>1449</v>
      </c>
    </row>
    <row r="1202" spans="1:15" s="1" customFormat="1">
      <c r="A1202" s="4"/>
      <c r="B1202" s="412"/>
      <c r="C1202" s="351" t="s">
        <v>1453</v>
      </c>
      <c r="D1202" s="978" t="s">
        <v>1450</v>
      </c>
      <c r="E1202" s="4"/>
      <c r="F1202" s="414">
        <v>25</v>
      </c>
      <c r="G1202" s="179">
        <v>45916</v>
      </c>
      <c r="H1202" s="415">
        <v>1</v>
      </c>
      <c r="I1202" s="446">
        <v>0.4861111111111111</v>
      </c>
      <c r="J1202" s="446">
        <v>0.49652777777777773</v>
      </c>
      <c r="K1202" s="417">
        <f t="shared" si="34"/>
        <v>0.24999999999999911</v>
      </c>
      <c r="L1202" s="9">
        <v>45916</v>
      </c>
      <c r="M1202" s="351" t="s">
        <v>1448</v>
      </c>
      <c r="N1202" s="352" t="s">
        <v>1451</v>
      </c>
      <c r="O1202" s="353" t="s">
        <v>1449</v>
      </c>
    </row>
    <row r="1203" spans="1:15" s="1" customFormat="1">
      <c r="A1203" s="4"/>
      <c r="B1203" s="412"/>
      <c r="C1203" s="979" t="s">
        <v>1454</v>
      </c>
      <c r="D1203" s="978" t="s">
        <v>1046</v>
      </c>
      <c r="E1203" s="4"/>
      <c r="F1203" s="414">
        <v>20</v>
      </c>
      <c r="G1203" s="179">
        <v>45916</v>
      </c>
      <c r="H1203" s="415">
        <v>6</v>
      </c>
      <c r="I1203" s="446">
        <v>0.3125</v>
      </c>
      <c r="J1203" s="446">
        <v>0.33333333333333331</v>
      </c>
      <c r="K1203" s="417">
        <f t="shared" si="34"/>
        <v>2.9999999999999973</v>
      </c>
      <c r="L1203" s="9">
        <v>45916</v>
      </c>
      <c r="M1203" s="351" t="s">
        <v>1448</v>
      </c>
      <c r="N1203" s="352" t="s">
        <v>9</v>
      </c>
      <c r="O1203" s="353" t="s">
        <v>1455</v>
      </c>
    </row>
    <row r="1204" spans="1:15" s="1" customFormat="1">
      <c r="A1204" s="4"/>
      <c r="B1204" s="412"/>
      <c r="C1204" s="979" t="s">
        <v>1456</v>
      </c>
      <c r="D1204" s="978" t="s">
        <v>1046</v>
      </c>
      <c r="E1204" s="4"/>
      <c r="F1204" s="414">
        <v>20</v>
      </c>
      <c r="G1204" s="179">
        <v>45916</v>
      </c>
      <c r="H1204" s="415">
        <v>6</v>
      </c>
      <c r="I1204" s="446">
        <v>0.33333333333333331</v>
      </c>
      <c r="J1204" s="446">
        <v>0.375</v>
      </c>
      <c r="K1204" s="417">
        <f t="shared" si="34"/>
        <v>6.0000000000000027</v>
      </c>
      <c r="L1204" s="9">
        <v>45916</v>
      </c>
      <c r="M1204" s="351" t="s">
        <v>1448</v>
      </c>
      <c r="N1204" s="352" t="s">
        <v>9</v>
      </c>
      <c r="O1204" s="353" t="s">
        <v>1455</v>
      </c>
    </row>
    <row r="1205" spans="1:15" s="1" customFormat="1">
      <c r="A1205" s="4"/>
      <c r="B1205" s="412"/>
      <c r="C1205" s="979" t="s">
        <v>1457</v>
      </c>
      <c r="D1205" s="978" t="s">
        <v>1046</v>
      </c>
      <c r="E1205" s="4"/>
      <c r="F1205" s="414">
        <v>20</v>
      </c>
      <c r="G1205" s="179">
        <v>45916</v>
      </c>
      <c r="H1205" s="415">
        <v>6</v>
      </c>
      <c r="I1205" s="446">
        <v>0.375</v>
      </c>
      <c r="J1205" s="446">
        <v>0.39583333333333331</v>
      </c>
      <c r="K1205" s="417">
        <f t="shared" si="34"/>
        <v>2.9999999999999973</v>
      </c>
      <c r="L1205" s="9">
        <v>45916</v>
      </c>
      <c r="M1205" s="351" t="s">
        <v>1448</v>
      </c>
      <c r="N1205" s="352" t="s">
        <v>9</v>
      </c>
      <c r="O1205" s="353" t="s">
        <v>1455</v>
      </c>
    </row>
    <row r="1206" spans="1:15" s="1" customFormat="1">
      <c r="A1206" s="4"/>
      <c r="B1206" s="412"/>
      <c r="C1206" s="351" t="s">
        <v>1459</v>
      </c>
      <c r="D1206" s="978" t="s">
        <v>1046</v>
      </c>
      <c r="E1206" s="4"/>
      <c r="F1206" s="414">
        <v>100</v>
      </c>
      <c r="G1206" s="179">
        <v>45916</v>
      </c>
      <c r="H1206" s="415">
        <v>2</v>
      </c>
      <c r="I1206" s="446">
        <v>0.3125</v>
      </c>
      <c r="J1206" s="446">
        <v>0.45833333333333331</v>
      </c>
      <c r="K1206" s="417">
        <f t="shared" si="34"/>
        <v>6.9999999999999991</v>
      </c>
      <c r="L1206" s="9">
        <v>45916</v>
      </c>
      <c r="M1206" s="351" t="s">
        <v>1448</v>
      </c>
      <c r="N1206" s="352" t="s">
        <v>1451</v>
      </c>
      <c r="O1206" s="353" t="s">
        <v>1458</v>
      </c>
    </row>
    <row r="1207" spans="1:15" s="1" customFormat="1">
      <c r="A1207" s="4"/>
      <c r="B1207" s="412"/>
      <c r="C1207" s="351" t="s">
        <v>1459</v>
      </c>
      <c r="D1207" s="978" t="s">
        <v>1074</v>
      </c>
      <c r="E1207" s="4"/>
      <c r="F1207" s="414">
        <v>100</v>
      </c>
      <c r="G1207" s="179">
        <v>45916</v>
      </c>
      <c r="H1207" s="415">
        <v>2</v>
      </c>
      <c r="I1207" s="446">
        <v>0.54166666666666663</v>
      </c>
      <c r="J1207" s="446">
        <v>0.75</v>
      </c>
      <c r="K1207" s="417">
        <f t="shared" si="34"/>
        <v>10.000000000000002</v>
      </c>
      <c r="L1207" s="9">
        <v>45916</v>
      </c>
      <c r="M1207" s="351" t="s">
        <v>1448</v>
      </c>
      <c r="N1207" s="352" t="s">
        <v>1451</v>
      </c>
      <c r="O1207" s="353" t="s">
        <v>1458</v>
      </c>
    </row>
    <row r="1208" spans="1:15" s="1" customFormat="1">
      <c r="A1208" s="4"/>
      <c r="B1208" s="412"/>
      <c r="C1208" s="351" t="s">
        <v>1459</v>
      </c>
      <c r="D1208" s="978" t="s">
        <v>1046</v>
      </c>
      <c r="E1208" s="4">
        <v>61</v>
      </c>
      <c r="F1208" s="414">
        <v>122</v>
      </c>
      <c r="G1208" s="179">
        <v>45917</v>
      </c>
      <c r="H1208" s="415">
        <v>2</v>
      </c>
      <c r="I1208" s="446">
        <v>0.33333333333333331</v>
      </c>
      <c r="J1208" s="446">
        <v>0.5</v>
      </c>
      <c r="K1208" s="417">
        <f t="shared" si="34"/>
        <v>8</v>
      </c>
      <c r="L1208" s="9">
        <v>45917</v>
      </c>
      <c r="M1208" s="351" t="s">
        <v>1448</v>
      </c>
      <c r="N1208" s="352" t="s">
        <v>1451</v>
      </c>
      <c r="O1208" s="353" t="s">
        <v>1458</v>
      </c>
    </row>
    <row r="1209" spans="1:15" s="1" customFormat="1">
      <c r="A1209" s="4"/>
      <c r="B1209" s="412"/>
      <c r="C1209" s="351" t="s">
        <v>1459</v>
      </c>
      <c r="D1209" s="978" t="s">
        <v>1074</v>
      </c>
      <c r="E1209" s="4">
        <v>4</v>
      </c>
      <c r="F1209" s="414">
        <v>8</v>
      </c>
      <c r="G1209" s="179">
        <v>45917</v>
      </c>
      <c r="H1209" s="415">
        <v>2</v>
      </c>
      <c r="I1209" s="446">
        <v>0.54166666666666663</v>
      </c>
      <c r="J1209" s="446">
        <v>0.60416666666666663</v>
      </c>
      <c r="K1209" s="417">
        <f t="shared" si="34"/>
        <v>3</v>
      </c>
      <c r="L1209" s="9">
        <v>45917</v>
      </c>
      <c r="M1209" s="351" t="s">
        <v>1448</v>
      </c>
      <c r="N1209" s="352" t="s">
        <v>1451</v>
      </c>
      <c r="O1209" s="353" t="s">
        <v>1458</v>
      </c>
    </row>
    <row r="1210" spans="1:15" s="1" customFormat="1">
      <c r="A1210" s="4"/>
      <c r="B1210" s="412"/>
      <c r="C1210" s="980" t="s">
        <v>1460</v>
      </c>
      <c r="D1210" s="981" t="s">
        <v>1338</v>
      </c>
      <c r="E1210" s="4">
        <v>50</v>
      </c>
      <c r="F1210" s="414">
        <v>100</v>
      </c>
      <c r="G1210" s="179">
        <v>45919</v>
      </c>
      <c r="H1210" s="415">
        <v>3</v>
      </c>
      <c r="I1210" s="446">
        <v>0.33333333333333331</v>
      </c>
      <c r="J1210" s="446">
        <v>0.41666666666666669</v>
      </c>
      <c r="K1210" s="417">
        <f t="shared" si="34"/>
        <v>6.0000000000000027</v>
      </c>
      <c r="L1210" s="9">
        <v>45919</v>
      </c>
      <c r="M1210" s="351" t="s">
        <v>1448</v>
      </c>
      <c r="N1210" s="352" t="s">
        <v>1451</v>
      </c>
      <c r="O1210" s="353" t="s">
        <v>1458</v>
      </c>
    </row>
    <row r="1211" spans="1:15" s="1" customFormat="1">
      <c r="A1211" s="4"/>
      <c r="B1211" s="412"/>
      <c r="C1211" s="980" t="s">
        <v>1460</v>
      </c>
      <c r="D1211" s="981" t="s">
        <v>1338</v>
      </c>
      <c r="E1211" s="4">
        <v>25</v>
      </c>
      <c r="F1211" s="414">
        <v>50</v>
      </c>
      <c r="G1211" s="179">
        <v>45919</v>
      </c>
      <c r="H1211" s="415">
        <v>3</v>
      </c>
      <c r="I1211" s="446">
        <v>0.41666666666666669</v>
      </c>
      <c r="J1211" s="446">
        <v>0.5</v>
      </c>
      <c r="K1211" s="417">
        <f t="shared" si="34"/>
        <v>5.9999999999999982</v>
      </c>
      <c r="L1211" s="9">
        <v>45919</v>
      </c>
      <c r="M1211" s="351" t="s">
        <v>1448</v>
      </c>
      <c r="N1211" s="352" t="s">
        <v>1451</v>
      </c>
      <c r="O1211" s="353" t="s">
        <v>1458</v>
      </c>
    </row>
    <row r="1212" spans="1:15" s="1" customFormat="1">
      <c r="A1212" s="4"/>
      <c r="B1212" s="412"/>
      <c r="C1212" s="354" t="s">
        <v>1461</v>
      </c>
      <c r="D1212" s="982" t="s">
        <v>533</v>
      </c>
      <c r="E1212" s="4">
        <v>1</v>
      </c>
      <c r="F1212" s="414">
        <v>1</v>
      </c>
      <c r="G1212" s="179">
        <v>45920</v>
      </c>
      <c r="H1212" s="415">
        <v>1</v>
      </c>
      <c r="I1212" s="446">
        <v>0.71527777777777779</v>
      </c>
      <c r="J1212" s="446">
        <v>0.72222222222222221</v>
      </c>
      <c r="K1212" s="417">
        <f t="shared" si="34"/>
        <v>0.16666666666666607</v>
      </c>
      <c r="L1212" s="9">
        <v>45920</v>
      </c>
      <c r="M1212" s="354" t="s">
        <v>1462</v>
      </c>
      <c r="N1212" s="355" t="s">
        <v>653</v>
      </c>
      <c r="O1212" s="356" t="s">
        <v>1463</v>
      </c>
    </row>
    <row r="1213" spans="1:15" s="1" customFormat="1">
      <c r="A1213" s="4"/>
      <c r="B1213" s="412"/>
      <c r="C1213" s="4"/>
      <c r="D1213" s="983" t="s">
        <v>1465</v>
      </c>
      <c r="E1213" s="4"/>
      <c r="F1213" s="414"/>
      <c r="G1213" s="179">
        <v>45922</v>
      </c>
      <c r="H1213" s="415">
        <v>6</v>
      </c>
      <c r="I1213" s="446">
        <v>0.44444444444444442</v>
      </c>
      <c r="J1213" s="446">
        <v>0.45833333333333331</v>
      </c>
      <c r="K1213" s="417">
        <f t="shared" si="34"/>
        <v>2.0000000000000009</v>
      </c>
      <c r="L1213" s="9">
        <v>45922</v>
      </c>
      <c r="M1213" s="354" t="s">
        <v>1462</v>
      </c>
      <c r="N1213" s="357" t="s">
        <v>231</v>
      </c>
      <c r="O1213" s="358" t="s">
        <v>1464</v>
      </c>
    </row>
    <row r="1214" spans="1:15" s="1" customFormat="1">
      <c r="A1214" s="4"/>
      <c r="B1214" s="412"/>
      <c r="C1214" s="984" t="s">
        <v>1466</v>
      </c>
      <c r="D1214" s="985" t="s">
        <v>861</v>
      </c>
      <c r="E1214" s="4">
        <v>2</v>
      </c>
      <c r="F1214" s="414">
        <v>2</v>
      </c>
      <c r="G1214" s="179">
        <v>45922</v>
      </c>
      <c r="H1214" s="415">
        <v>1</v>
      </c>
      <c r="I1214" s="986">
        <v>0.70833333333333337</v>
      </c>
      <c r="J1214" s="446">
        <v>0.71527777777777779</v>
      </c>
      <c r="K1214" s="417">
        <f t="shared" si="34"/>
        <v>0.16666666666666607</v>
      </c>
      <c r="L1214" s="9">
        <v>45922</v>
      </c>
      <c r="M1214" s="354" t="s">
        <v>1462</v>
      </c>
      <c r="N1214" s="359" t="s">
        <v>1346</v>
      </c>
      <c r="O1214" s="360" t="s">
        <v>1169</v>
      </c>
    </row>
    <row r="1215" spans="1:15" s="1" customFormat="1">
      <c r="A1215" s="4"/>
      <c r="B1215" s="412"/>
      <c r="C1215" s="984" t="s">
        <v>1466</v>
      </c>
      <c r="D1215" s="985" t="s">
        <v>863</v>
      </c>
      <c r="E1215" s="4">
        <v>2</v>
      </c>
      <c r="F1215" s="414">
        <v>2</v>
      </c>
      <c r="G1215" s="179">
        <v>45922</v>
      </c>
      <c r="H1215" s="415">
        <v>1</v>
      </c>
      <c r="I1215" s="446">
        <v>0.71875</v>
      </c>
      <c r="J1215" s="446">
        <v>0.72569444444444453</v>
      </c>
      <c r="K1215" s="417">
        <f t="shared" si="34"/>
        <v>0.16666666666666874</v>
      </c>
      <c r="L1215" s="9">
        <v>45922</v>
      </c>
      <c r="M1215" s="354" t="s">
        <v>1462</v>
      </c>
      <c r="N1215" s="359" t="s">
        <v>1346</v>
      </c>
      <c r="O1215" s="360" t="s">
        <v>1169</v>
      </c>
    </row>
    <row r="1216" spans="1:15" s="1" customFormat="1">
      <c r="A1216" s="4"/>
      <c r="B1216" s="412"/>
      <c r="C1216" s="987" t="s">
        <v>1425</v>
      </c>
      <c r="D1216" s="988" t="s">
        <v>122</v>
      </c>
      <c r="E1216" s="4">
        <v>25</v>
      </c>
      <c r="F1216" s="414">
        <v>50</v>
      </c>
      <c r="G1216" s="179">
        <v>45923</v>
      </c>
      <c r="H1216" s="415">
        <v>1</v>
      </c>
      <c r="I1216" s="446">
        <v>0.34375</v>
      </c>
      <c r="J1216" s="446">
        <v>0.3611111111111111</v>
      </c>
      <c r="K1216" s="417">
        <f t="shared" si="34"/>
        <v>0.41666666666666652</v>
      </c>
      <c r="L1216" s="9">
        <v>45923</v>
      </c>
      <c r="M1216" s="354" t="s">
        <v>1462</v>
      </c>
      <c r="N1216" s="302" t="s">
        <v>1353</v>
      </c>
      <c r="O1216" s="361" t="s">
        <v>1467</v>
      </c>
    </row>
    <row r="1217" spans="1:15" s="1" customFormat="1">
      <c r="A1217" s="4"/>
      <c r="B1217" s="412"/>
      <c r="C1217" s="987" t="s">
        <v>1468</v>
      </c>
      <c r="D1217" s="988" t="s">
        <v>1046</v>
      </c>
      <c r="E1217" s="4"/>
      <c r="F1217" s="414">
        <v>4</v>
      </c>
      <c r="G1217" s="179">
        <v>45923</v>
      </c>
      <c r="H1217" s="415">
        <v>1</v>
      </c>
      <c r="I1217" s="446">
        <v>0.38194444444444442</v>
      </c>
      <c r="J1217" s="446">
        <v>0.3888888888888889</v>
      </c>
      <c r="K1217" s="417">
        <f t="shared" si="34"/>
        <v>0.16666666666666741</v>
      </c>
      <c r="L1217" s="9">
        <v>45923</v>
      </c>
      <c r="M1217" s="354" t="s">
        <v>1462</v>
      </c>
      <c r="N1217" s="302" t="s">
        <v>1353</v>
      </c>
      <c r="O1217" s="361" t="s">
        <v>1469</v>
      </c>
    </row>
    <row r="1218" spans="1:15" s="1" customFormat="1">
      <c r="A1218" s="4"/>
      <c r="B1218" s="412"/>
      <c r="C1218" s="987" t="s">
        <v>1470</v>
      </c>
      <c r="D1218" s="988" t="s">
        <v>1046</v>
      </c>
      <c r="E1218" s="4"/>
      <c r="F1218" s="414">
        <v>1</v>
      </c>
      <c r="G1218" s="179">
        <v>45923</v>
      </c>
      <c r="H1218" s="415">
        <v>1</v>
      </c>
      <c r="I1218" s="446">
        <v>0.3888888888888889</v>
      </c>
      <c r="J1218" s="446">
        <v>0.3923611111111111</v>
      </c>
      <c r="K1218" s="417">
        <f t="shared" si="34"/>
        <v>8.3333333333333037E-2</v>
      </c>
      <c r="L1218" s="9">
        <v>45923</v>
      </c>
      <c r="M1218" s="354" t="s">
        <v>1462</v>
      </c>
      <c r="N1218" s="359" t="s">
        <v>1346</v>
      </c>
      <c r="O1218" s="361" t="s">
        <v>1169</v>
      </c>
    </row>
    <row r="1219" spans="1:15" s="1" customFormat="1">
      <c r="A1219" s="4"/>
      <c r="B1219" s="412"/>
      <c r="C1219" s="989" t="s">
        <v>1471</v>
      </c>
      <c r="D1219" s="990" t="s">
        <v>1472</v>
      </c>
      <c r="E1219" s="4">
        <v>10</v>
      </c>
      <c r="F1219" s="414">
        <v>10</v>
      </c>
      <c r="G1219" s="179">
        <v>45924</v>
      </c>
      <c r="H1219" s="415">
        <v>1</v>
      </c>
      <c r="I1219" s="446">
        <v>0.41666666666666669</v>
      </c>
      <c r="J1219" s="446">
        <v>0.4375</v>
      </c>
      <c r="K1219" s="417">
        <f t="shared" si="34"/>
        <v>0.49999999999999956</v>
      </c>
      <c r="L1219" s="9">
        <v>45924</v>
      </c>
      <c r="M1219" s="354" t="s">
        <v>1462</v>
      </c>
      <c r="N1219" s="362" t="s">
        <v>1353</v>
      </c>
      <c r="O1219" s="363" t="s">
        <v>1473</v>
      </c>
    </row>
    <row r="1220" spans="1:15" s="1" customFormat="1">
      <c r="A1220" s="4"/>
      <c r="B1220" s="412"/>
      <c r="C1220" s="989" t="s">
        <v>1471</v>
      </c>
      <c r="D1220" s="990" t="s">
        <v>1474</v>
      </c>
      <c r="E1220" s="4">
        <v>10</v>
      </c>
      <c r="F1220" s="414">
        <v>20</v>
      </c>
      <c r="G1220" s="179">
        <v>45924</v>
      </c>
      <c r="H1220" s="415">
        <v>1</v>
      </c>
      <c r="I1220" s="446">
        <v>0.44097222222222227</v>
      </c>
      <c r="J1220" s="446">
        <v>0.47222222222222227</v>
      </c>
      <c r="K1220" s="417">
        <f t="shared" si="34"/>
        <v>0.75</v>
      </c>
      <c r="L1220" s="9">
        <v>45924</v>
      </c>
      <c r="M1220" s="354" t="s">
        <v>1462</v>
      </c>
      <c r="N1220" s="362" t="s">
        <v>1353</v>
      </c>
      <c r="O1220" s="363" t="s">
        <v>1473</v>
      </c>
    </row>
    <row r="1221" spans="1:15" s="1" customFormat="1">
      <c r="A1221" s="4"/>
      <c r="B1221" s="412"/>
      <c r="C1221" s="364" t="s">
        <v>1475</v>
      </c>
      <c r="D1221" s="991" t="s">
        <v>375</v>
      </c>
      <c r="E1221" s="4">
        <v>1</v>
      </c>
      <c r="F1221" s="414">
        <v>2</v>
      </c>
      <c r="G1221" s="179">
        <v>45931</v>
      </c>
      <c r="H1221" s="415">
        <v>2</v>
      </c>
      <c r="I1221" s="446">
        <v>0.58333333333333337</v>
      </c>
      <c r="J1221" s="446">
        <v>0.59722222222222221</v>
      </c>
      <c r="K1221" s="417">
        <f t="shared" si="34"/>
        <v>0.6666666666666643</v>
      </c>
      <c r="L1221" s="9">
        <v>45931</v>
      </c>
      <c r="M1221" s="364" t="s">
        <v>1476</v>
      </c>
      <c r="N1221" s="365" t="s">
        <v>1353</v>
      </c>
      <c r="O1221" s="366" t="s">
        <v>1405</v>
      </c>
    </row>
    <row r="1222" spans="1:15" s="1" customFormat="1">
      <c r="A1222" s="4"/>
      <c r="B1222" s="412"/>
      <c r="C1222" s="364" t="s">
        <v>1477</v>
      </c>
      <c r="D1222" s="991" t="s">
        <v>1478</v>
      </c>
      <c r="E1222" s="4">
        <v>1</v>
      </c>
      <c r="F1222" s="414">
        <v>1</v>
      </c>
      <c r="G1222" s="179">
        <v>45931</v>
      </c>
      <c r="H1222" s="415">
        <v>2</v>
      </c>
      <c r="I1222" s="446">
        <v>0.59722222222222221</v>
      </c>
      <c r="J1222" s="446">
        <v>0.61111111111111105</v>
      </c>
      <c r="K1222" s="417">
        <f t="shared" si="34"/>
        <v>0.6666666666666643</v>
      </c>
      <c r="L1222" s="9">
        <v>45931</v>
      </c>
      <c r="M1222" s="364" t="s">
        <v>1476</v>
      </c>
      <c r="N1222" s="365" t="s">
        <v>1353</v>
      </c>
      <c r="O1222" s="366" t="s">
        <v>1405</v>
      </c>
    </row>
    <row r="1223" spans="1:15" s="1" customFormat="1">
      <c r="A1223" s="4"/>
      <c r="B1223" s="412"/>
      <c r="C1223" s="364" t="s">
        <v>1479</v>
      </c>
      <c r="D1223" s="991" t="s">
        <v>874</v>
      </c>
      <c r="E1223" s="4">
        <v>2</v>
      </c>
      <c r="F1223" s="414">
        <v>4</v>
      </c>
      <c r="G1223" s="179">
        <v>45931</v>
      </c>
      <c r="H1223" s="415">
        <v>2</v>
      </c>
      <c r="I1223" s="446">
        <v>0.61111111111111105</v>
      </c>
      <c r="J1223" s="446">
        <v>0.63888888888888895</v>
      </c>
      <c r="K1223" s="417">
        <f t="shared" si="34"/>
        <v>1.3333333333333393</v>
      </c>
      <c r="L1223" s="9">
        <v>45931</v>
      </c>
      <c r="M1223" s="364" t="s">
        <v>1476</v>
      </c>
      <c r="N1223" s="365" t="s">
        <v>9</v>
      </c>
      <c r="O1223" s="366" t="s">
        <v>1480</v>
      </c>
    </row>
    <row r="1224" spans="1:15" s="1" customFormat="1">
      <c r="A1224" s="4"/>
      <c r="B1224" s="412"/>
      <c r="C1224" s="364" t="s">
        <v>1481</v>
      </c>
      <c r="D1224" s="991" t="s">
        <v>1126</v>
      </c>
      <c r="E1224" s="4">
        <v>1</v>
      </c>
      <c r="F1224" s="414">
        <v>1</v>
      </c>
      <c r="G1224" s="179">
        <v>45931</v>
      </c>
      <c r="H1224" s="415">
        <v>2</v>
      </c>
      <c r="I1224" s="446">
        <v>0.63888888888888895</v>
      </c>
      <c r="J1224" s="446">
        <v>0.64583333333333337</v>
      </c>
      <c r="K1224" s="417">
        <f t="shared" si="34"/>
        <v>0.33333333333333215</v>
      </c>
      <c r="L1224" s="9">
        <v>45931</v>
      </c>
      <c r="M1224" s="364" t="s">
        <v>1476</v>
      </c>
      <c r="N1224" s="365" t="s">
        <v>1353</v>
      </c>
      <c r="O1224" s="366" t="s">
        <v>1482</v>
      </c>
    </row>
    <row r="1225" spans="1:15" s="1" customFormat="1">
      <c r="A1225" s="4"/>
      <c r="B1225" s="412"/>
      <c r="C1225" s="992" t="s">
        <v>1483</v>
      </c>
      <c r="D1225" s="993" t="s">
        <v>82</v>
      </c>
      <c r="E1225" s="4"/>
      <c r="F1225" s="414">
        <v>2</v>
      </c>
      <c r="G1225" s="179">
        <v>45932</v>
      </c>
      <c r="H1225" s="415">
        <v>1</v>
      </c>
      <c r="I1225" s="446">
        <v>0.54166666666666663</v>
      </c>
      <c r="J1225" s="446">
        <v>0.55555555555555558</v>
      </c>
      <c r="K1225" s="417">
        <f t="shared" si="34"/>
        <v>0.33333333333333481</v>
      </c>
      <c r="L1225" s="9">
        <v>45932</v>
      </c>
      <c r="M1225" s="364" t="s">
        <v>1476</v>
      </c>
      <c r="N1225" s="367" t="s">
        <v>8</v>
      </c>
      <c r="O1225" s="368" t="s">
        <v>1485</v>
      </c>
    </row>
    <row r="1226" spans="1:15" s="1" customFormat="1">
      <c r="A1226" s="4"/>
      <c r="B1226" s="412"/>
      <c r="C1226" s="992" t="s">
        <v>1484</v>
      </c>
      <c r="D1226" s="993" t="s">
        <v>82</v>
      </c>
      <c r="E1226" s="4"/>
      <c r="F1226" s="414">
        <v>2</v>
      </c>
      <c r="G1226" s="179">
        <v>45932</v>
      </c>
      <c r="H1226" s="415">
        <v>1</v>
      </c>
      <c r="I1226" s="446">
        <v>0.55555555555555558</v>
      </c>
      <c r="J1226" s="446">
        <v>0.56944444444444442</v>
      </c>
      <c r="K1226" s="417">
        <f t="shared" si="34"/>
        <v>0.33333333333333215</v>
      </c>
      <c r="L1226" s="9">
        <v>45932</v>
      </c>
      <c r="M1226" s="364" t="s">
        <v>1476</v>
      </c>
      <c r="N1226" s="367" t="s">
        <v>8</v>
      </c>
      <c r="O1226" s="368" t="s">
        <v>1485</v>
      </c>
    </row>
    <row r="1227" spans="1:15" s="1" customFormat="1">
      <c r="A1227" s="4"/>
      <c r="B1227" s="412"/>
      <c r="C1227" s="369" t="s">
        <v>1486</v>
      </c>
      <c r="D1227" s="994" t="s">
        <v>1487</v>
      </c>
      <c r="E1227" s="4"/>
      <c r="F1227" s="414">
        <v>4</v>
      </c>
      <c r="G1227" s="179">
        <v>45934</v>
      </c>
      <c r="H1227" s="415">
        <v>1</v>
      </c>
      <c r="I1227" s="446">
        <v>0.55208333333333337</v>
      </c>
      <c r="J1227" s="446">
        <v>0.56944444444444442</v>
      </c>
      <c r="K1227" s="417">
        <f t="shared" si="34"/>
        <v>0.41666666666666519</v>
      </c>
      <c r="L1227" s="9">
        <v>45934</v>
      </c>
      <c r="M1227" s="369" t="s">
        <v>1488</v>
      </c>
      <c r="N1227" s="370" t="s">
        <v>1353</v>
      </c>
      <c r="O1227" s="371" t="s">
        <v>1491</v>
      </c>
    </row>
    <row r="1228" spans="1:15" s="1" customFormat="1">
      <c r="A1228" s="4"/>
      <c r="B1228" s="412"/>
      <c r="C1228" s="369" t="s">
        <v>1489</v>
      </c>
      <c r="D1228" s="994" t="s">
        <v>107</v>
      </c>
      <c r="E1228" s="4"/>
      <c r="F1228" s="414">
        <v>6</v>
      </c>
      <c r="G1228" s="179">
        <v>45934</v>
      </c>
      <c r="H1228" s="415">
        <v>1</v>
      </c>
      <c r="I1228" s="446">
        <v>0.56944444444444442</v>
      </c>
      <c r="J1228" s="446">
        <v>0.59375</v>
      </c>
      <c r="K1228" s="417">
        <f t="shared" si="34"/>
        <v>0.58333333333333393</v>
      </c>
      <c r="L1228" s="9">
        <v>45934</v>
      </c>
      <c r="M1228" s="369" t="s">
        <v>1488</v>
      </c>
      <c r="N1228" s="370" t="s">
        <v>1353</v>
      </c>
      <c r="O1228" s="371" t="s">
        <v>1490</v>
      </c>
    </row>
    <row r="1229" spans="1:15" s="1" customFormat="1">
      <c r="A1229" s="4"/>
      <c r="B1229" s="412"/>
      <c r="C1229" s="995" t="s">
        <v>1492</v>
      </c>
      <c r="D1229" s="994" t="s">
        <v>107</v>
      </c>
      <c r="E1229" s="4"/>
      <c r="F1229" s="414">
        <v>1</v>
      </c>
      <c r="G1229" s="179">
        <v>45936</v>
      </c>
      <c r="H1229" s="415">
        <v>1</v>
      </c>
      <c r="I1229" s="446">
        <v>0.30555555555555552</v>
      </c>
      <c r="J1229" s="446">
        <v>0.3125</v>
      </c>
      <c r="K1229" s="417">
        <f t="shared" ref="K1229:K1286" si="35">(J1229-I1229)*24*H1229</f>
        <v>0.16666666666666741</v>
      </c>
      <c r="L1229" s="9">
        <v>45936</v>
      </c>
      <c r="M1229" s="369" t="s">
        <v>1488</v>
      </c>
      <c r="N1229" s="370" t="s">
        <v>1353</v>
      </c>
      <c r="O1229" s="372" t="s">
        <v>1493</v>
      </c>
    </row>
    <row r="1230" spans="1:15" s="1" customFormat="1">
      <c r="A1230" s="4"/>
      <c r="B1230" s="968" t="s">
        <v>557</v>
      </c>
      <c r="C1230" s="996" t="s">
        <v>1494</v>
      </c>
      <c r="D1230" s="843"/>
      <c r="E1230" s="4"/>
      <c r="F1230" s="414">
        <v>30</v>
      </c>
      <c r="G1230" s="179">
        <v>45936</v>
      </c>
      <c r="H1230" s="415">
        <v>1</v>
      </c>
      <c r="I1230" s="446">
        <v>0.54166666666666663</v>
      </c>
      <c r="J1230" s="446">
        <v>0.60416666666666663</v>
      </c>
      <c r="K1230" s="417">
        <f t="shared" si="35"/>
        <v>1.5</v>
      </c>
      <c r="L1230" s="9">
        <v>45936</v>
      </c>
      <c r="M1230" s="369" t="s">
        <v>1488</v>
      </c>
      <c r="N1230" s="373" t="s">
        <v>1184</v>
      </c>
      <c r="O1230" s="374" t="s">
        <v>151</v>
      </c>
    </row>
    <row r="1231" spans="1:15" s="1" customFormat="1">
      <c r="A1231" s="4"/>
      <c r="B1231" s="968" t="s">
        <v>557</v>
      </c>
      <c r="C1231" s="996" t="s">
        <v>1441</v>
      </c>
      <c r="D1231" s="843"/>
      <c r="E1231" s="4"/>
      <c r="F1231" s="414">
        <v>91</v>
      </c>
      <c r="G1231" s="179">
        <v>45936</v>
      </c>
      <c r="H1231" s="415">
        <v>1</v>
      </c>
      <c r="I1231" s="446">
        <v>0.60416666666666663</v>
      </c>
      <c r="J1231" s="446">
        <v>0.66666666666666663</v>
      </c>
      <c r="K1231" s="417">
        <f t="shared" si="35"/>
        <v>1.5</v>
      </c>
      <c r="L1231" s="9">
        <v>45936</v>
      </c>
      <c r="M1231" s="369" t="s">
        <v>1488</v>
      </c>
      <c r="N1231" s="373" t="s">
        <v>1184</v>
      </c>
      <c r="O1231" s="374" t="s">
        <v>151</v>
      </c>
    </row>
    <row r="1232" spans="1:15" s="1" customFormat="1">
      <c r="A1232" s="4"/>
      <c r="B1232" s="412"/>
      <c r="C1232" s="997" t="s">
        <v>1495</v>
      </c>
      <c r="D1232" s="998" t="s">
        <v>107</v>
      </c>
      <c r="E1232" s="4"/>
      <c r="F1232" s="414">
        <v>2</v>
      </c>
      <c r="G1232" s="179">
        <v>45937</v>
      </c>
      <c r="H1232" s="415">
        <v>1</v>
      </c>
      <c r="I1232" s="446">
        <v>0.32291666666666669</v>
      </c>
      <c r="J1232" s="446">
        <v>0.34027777777777773</v>
      </c>
      <c r="K1232" s="417">
        <f t="shared" si="35"/>
        <v>0.41666666666666519</v>
      </c>
      <c r="L1232" s="9">
        <v>45937</v>
      </c>
      <c r="M1232" s="369" t="s">
        <v>1488</v>
      </c>
      <c r="N1232" s="375" t="s">
        <v>11</v>
      </c>
      <c r="O1232" s="376" t="s">
        <v>1496</v>
      </c>
    </row>
    <row r="1233" spans="1:15" s="1" customFormat="1">
      <c r="A1233" s="4"/>
      <c r="B1233" s="412"/>
      <c r="C1233" s="377" t="s">
        <v>1373</v>
      </c>
      <c r="D1233" s="999" t="s">
        <v>286</v>
      </c>
      <c r="E1233" s="4">
        <v>1</v>
      </c>
      <c r="F1233" s="414">
        <v>1</v>
      </c>
      <c r="G1233" s="179">
        <v>45945</v>
      </c>
      <c r="H1233" s="415">
        <v>1</v>
      </c>
      <c r="I1233" s="446">
        <v>0.45833333333333331</v>
      </c>
      <c r="J1233" s="446">
        <v>0.47222222222222227</v>
      </c>
      <c r="K1233" s="417">
        <f t="shared" si="35"/>
        <v>0.33333333333333481</v>
      </c>
      <c r="L1233" s="9">
        <v>45945</v>
      </c>
      <c r="M1233" s="377" t="s">
        <v>1497</v>
      </c>
      <c r="N1233" s="378" t="s">
        <v>79</v>
      </c>
      <c r="O1233" s="379" t="s">
        <v>1498</v>
      </c>
    </row>
    <row r="1234" spans="1:15" s="1" customFormat="1">
      <c r="A1234" s="4"/>
      <c r="B1234" s="968" t="s">
        <v>557</v>
      </c>
      <c r="C1234" s="996" t="s">
        <v>1441</v>
      </c>
      <c r="D1234" s="843"/>
      <c r="E1234" s="4"/>
      <c r="F1234" s="414">
        <v>120</v>
      </c>
      <c r="G1234" s="179">
        <v>45946</v>
      </c>
      <c r="H1234" s="415">
        <v>1</v>
      </c>
      <c r="I1234" s="446">
        <v>0.375</v>
      </c>
      <c r="J1234" s="446">
        <v>0.45833333333333331</v>
      </c>
      <c r="K1234" s="417">
        <f t="shared" si="35"/>
        <v>1.9999999999999996</v>
      </c>
      <c r="L1234" s="9">
        <v>45946</v>
      </c>
      <c r="M1234" s="377" t="s">
        <v>1497</v>
      </c>
      <c r="N1234" s="3" t="s">
        <v>1184</v>
      </c>
      <c r="O1234" s="2" t="s">
        <v>151</v>
      </c>
    </row>
    <row r="1235" spans="1:15" s="1" customFormat="1">
      <c r="A1235" s="4"/>
      <c r="B1235" s="412"/>
      <c r="C1235" s="380" t="s">
        <v>316</v>
      </c>
      <c r="D1235" s="1000" t="s">
        <v>1499</v>
      </c>
      <c r="E1235" s="4"/>
      <c r="F1235" s="414">
        <v>120</v>
      </c>
      <c r="G1235" s="179">
        <v>45951</v>
      </c>
      <c r="H1235" s="415">
        <v>2</v>
      </c>
      <c r="I1235" s="446">
        <v>0.33333333333333331</v>
      </c>
      <c r="J1235" s="446">
        <v>0.45833333333333331</v>
      </c>
      <c r="K1235" s="417">
        <f t="shared" si="35"/>
        <v>6</v>
      </c>
      <c r="L1235" s="9">
        <v>45951</v>
      </c>
      <c r="M1235" s="380" t="s">
        <v>1500</v>
      </c>
      <c r="N1235" s="381" t="s">
        <v>9</v>
      </c>
      <c r="O1235" s="382" t="s">
        <v>1501</v>
      </c>
    </row>
    <row r="1236" spans="1:15" s="1" customFormat="1">
      <c r="A1236" s="4"/>
      <c r="B1236" s="412"/>
      <c r="C1236" s="380" t="s">
        <v>1460</v>
      </c>
      <c r="D1236" s="1000" t="s">
        <v>1338</v>
      </c>
      <c r="E1236" s="4"/>
      <c r="F1236" s="414">
        <v>100</v>
      </c>
      <c r="G1236" s="179">
        <v>45951</v>
      </c>
      <c r="H1236" s="415">
        <v>2</v>
      </c>
      <c r="I1236" s="446">
        <v>0.375</v>
      </c>
      <c r="J1236" s="446">
        <v>0.5</v>
      </c>
      <c r="K1236" s="417">
        <f t="shared" si="35"/>
        <v>6</v>
      </c>
      <c r="L1236" s="9">
        <v>45951</v>
      </c>
      <c r="M1236" s="380" t="s">
        <v>1500</v>
      </c>
      <c r="N1236" s="381" t="s">
        <v>79</v>
      </c>
      <c r="O1236" s="382" t="s">
        <v>1502</v>
      </c>
    </row>
    <row r="1237" spans="1:15" s="1" customFormat="1">
      <c r="A1237" s="814"/>
      <c r="B1237" s="968" t="s">
        <v>557</v>
      </c>
      <c r="C1237" s="996" t="s">
        <v>1441</v>
      </c>
      <c r="D1237" s="1001"/>
      <c r="E1237" s="814"/>
      <c r="F1237" s="817">
        <v>160</v>
      </c>
      <c r="G1237" s="179">
        <v>45953</v>
      </c>
      <c r="H1237" s="130">
        <v>2</v>
      </c>
      <c r="I1237" s="397">
        <v>0.375</v>
      </c>
      <c r="J1237" s="397">
        <v>0.5</v>
      </c>
      <c r="K1237" s="819">
        <f t="shared" si="35"/>
        <v>6</v>
      </c>
      <c r="L1237" s="383">
        <v>45953</v>
      </c>
      <c r="M1237" s="380" t="s">
        <v>1500</v>
      </c>
      <c r="N1237" s="373" t="s">
        <v>1184</v>
      </c>
      <c r="O1237" s="374" t="s">
        <v>151</v>
      </c>
    </row>
    <row r="1238" spans="1:15">
      <c r="B1238" s="968" t="s">
        <v>557</v>
      </c>
      <c r="C1238" s="384" t="s">
        <v>1494</v>
      </c>
      <c r="D1238" s="963"/>
      <c r="F1238" s="821">
        <v>72</v>
      </c>
      <c r="G1238" s="179">
        <v>45957</v>
      </c>
      <c r="H1238" s="832">
        <v>2</v>
      </c>
      <c r="I1238" s="397">
        <v>0.375</v>
      </c>
      <c r="J1238" s="397">
        <v>0.39583333333333331</v>
      </c>
      <c r="K1238" s="819">
        <f t="shared" si="35"/>
        <v>0.99999999999999911</v>
      </c>
      <c r="L1238" s="17">
        <v>45957</v>
      </c>
      <c r="M1238" s="380" t="s">
        <v>1500</v>
      </c>
      <c r="N1238" s="373" t="s">
        <v>1184</v>
      </c>
      <c r="O1238" s="374" t="s">
        <v>151</v>
      </c>
    </row>
    <row r="1239" spans="1:15">
      <c r="B1239" s="968" t="s">
        <v>557</v>
      </c>
      <c r="C1239" s="384" t="s">
        <v>1504</v>
      </c>
      <c r="D1239" s="1002"/>
      <c r="F1239" s="821">
        <v>100</v>
      </c>
      <c r="G1239" s="179">
        <v>45957</v>
      </c>
      <c r="H1239" s="832">
        <v>2</v>
      </c>
      <c r="I1239" s="397">
        <v>0.39583333333333331</v>
      </c>
      <c r="J1239" s="397">
        <v>0.41666666666666669</v>
      </c>
      <c r="K1239" s="819">
        <f t="shared" si="35"/>
        <v>1.0000000000000018</v>
      </c>
      <c r="L1239" s="17">
        <v>45957</v>
      </c>
      <c r="M1239" s="380" t="s">
        <v>1500</v>
      </c>
      <c r="N1239" s="373" t="s">
        <v>1184</v>
      </c>
      <c r="O1239" s="374" t="s">
        <v>151</v>
      </c>
    </row>
    <row r="1240" spans="1:15">
      <c r="C1240" s="1003" t="s">
        <v>1506</v>
      </c>
      <c r="D1240" s="1004" t="s">
        <v>1046</v>
      </c>
      <c r="F1240" s="821">
        <v>2</v>
      </c>
      <c r="G1240" s="179">
        <v>45957</v>
      </c>
      <c r="H1240" s="1344">
        <v>2</v>
      </c>
      <c r="I1240" s="1341">
        <v>0.54166666666666663</v>
      </c>
      <c r="J1240" s="1335">
        <v>0.58333333333333337</v>
      </c>
      <c r="K1240" s="1338">
        <f t="shared" si="35"/>
        <v>2.0000000000000036</v>
      </c>
      <c r="L1240" s="17">
        <v>45957</v>
      </c>
      <c r="M1240" s="380" t="s">
        <v>1500</v>
      </c>
      <c r="N1240" s="359" t="s">
        <v>1346</v>
      </c>
      <c r="O1240" s="360" t="s">
        <v>1169</v>
      </c>
    </row>
    <row r="1241" spans="1:15">
      <c r="C1241" s="1003" t="s">
        <v>1506</v>
      </c>
      <c r="D1241" s="1004" t="s">
        <v>1507</v>
      </c>
      <c r="F1241" s="821">
        <v>2</v>
      </c>
      <c r="G1241" s="179">
        <v>45957</v>
      </c>
      <c r="H1241" s="1345"/>
      <c r="I1241" s="1342"/>
      <c r="J1241" s="1336"/>
      <c r="K1241" s="1339"/>
      <c r="L1241" s="17">
        <v>45957</v>
      </c>
      <c r="M1241" s="380" t="s">
        <v>1500</v>
      </c>
      <c r="N1241" s="359" t="s">
        <v>1346</v>
      </c>
      <c r="O1241" s="360" t="s">
        <v>1169</v>
      </c>
    </row>
    <row r="1242" spans="1:15">
      <c r="C1242" s="1003" t="s">
        <v>1506</v>
      </c>
      <c r="D1242" s="1004" t="s">
        <v>861</v>
      </c>
      <c r="F1242" s="821">
        <v>2</v>
      </c>
      <c r="G1242" s="179">
        <v>45957</v>
      </c>
      <c r="H1242" s="1345"/>
      <c r="I1242" s="1342"/>
      <c r="J1242" s="1336"/>
      <c r="K1242" s="1339"/>
      <c r="L1242" s="17">
        <v>45957</v>
      </c>
      <c r="M1242" s="380" t="s">
        <v>1500</v>
      </c>
      <c r="N1242" s="359" t="s">
        <v>1346</v>
      </c>
      <c r="O1242" s="360" t="s">
        <v>1169</v>
      </c>
    </row>
    <row r="1243" spans="1:15">
      <c r="C1243" s="1003" t="s">
        <v>1506</v>
      </c>
      <c r="D1243" s="1004" t="s">
        <v>866</v>
      </c>
      <c r="F1243" s="821">
        <v>2</v>
      </c>
      <c r="G1243" s="179">
        <v>45957</v>
      </c>
      <c r="H1243" s="1345"/>
      <c r="I1243" s="1342"/>
      <c r="J1243" s="1336"/>
      <c r="K1243" s="1339"/>
      <c r="L1243" s="17">
        <v>45957</v>
      </c>
      <c r="M1243" s="380" t="s">
        <v>1500</v>
      </c>
      <c r="N1243" s="359" t="s">
        <v>1346</v>
      </c>
      <c r="O1243" s="360" t="s">
        <v>1169</v>
      </c>
    </row>
    <row r="1244" spans="1:15">
      <c r="C1244" s="1003" t="s">
        <v>1506</v>
      </c>
      <c r="D1244" s="1004" t="s">
        <v>1192</v>
      </c>
      <c r="F1244" s="821">
        <v>2</v>
      </c>
      <c r="G1244" s="179">
        <v>45957</v>
      </c>
      <c r="H1244" s="1345"/>
      <c r="I1244" s="1342"/>
      <c r="J1244" s="1336"/>
      <c r="K1244" s="1339"/>
      <c r="L1244" s="17">
        <v>45957</v>
      </c>
      <c r="M1244" s="380" t="s">
        <v>1500</v>
      </c>
      <c r="N1244" s="359" t="s">
        <v>1346</v>
      </c>
      <c r="O1244" s="360" t="s">
        <v>1169</v>
      </c>
    </row>
    <row r="1245" spans="1:15">
      <c r="C1245" s="1003" t="s">
        <v>1506</v>
      </c>
      <c r="D1245" s="1004" t="s">
        <v>1508</v>
      </c>
      <c r="F1245" s="821">
        <v>2</v>
      </c>
      <c r="G1245" s="179">
        <v>45957</v>
      </c>
      <c r="H1245" s="1345"/>
      <c r="I1245" s="1342"/>
      <c r="J1245" s="1336"/>
      <c r="K1245" s="1339"/>
      <c r="L1245" s="17">
        <v>45957</v>
      </c>
      <c r="M1245" s="380" t="s">
        <v>1500</v>
      </c>
      <c r="N1245" s="359" t="s">
        <v>1346</v>
      </c>
      <c r="O1245" s="360" t="s">
        <v>1169</v>
      </c>
    </row>
    <row r="1246" spans="1:15">
      <c r="C1246" s="1003" t="s">
        <v>1506</v>
      </c>
      <c r="D1246" s="1004" t="s">
        <v>1509</v>
      </c>
      <c r="F1246" s="821">
        <v>2</v>
      </c>
      <c r="G1246" s="179">
        <v>45957</v>
      </c>
      <c r="H1246" s="1345"/>
      <c r="I1246" s="1342"/>
      <c r="J1246" s="1336"/>
      <c r="K1246" s="1339"/>
      <c r="L1246" s="17">
        <v>45957</v>
      </c>
      <c r="M1246" s="380" t="s">
        <v>1500</v>
      </c>
      <c r="N1246" s="359" t="s">
        <v>1346</v>
      </c>
      <c r="O1246" s="360" t="s">
        <v>1169</v>
      </c>
    </row>
    <row r="1247" spans="1:15">
      <c r="C1247" s="1003" t="s">
        <v>1506</v>
      </c>
      <c r="D1247" s="1004" t="s">
        <v>870</v>
      </c>
      <c r="F1247" s="821">
        <v>2</v>
      </c>
      <c r="G1247" s="179">
        <v>45957</v>
      </c>
      <c r="H1247" s="1345"/>
      <c r="I1247" s="1342"/>
      <c r="J1247" s="1336"/>
      <c r="K1247" s="1339"/>
      <c r="L1247" s="17">
        <v>45957</v>
      </c>
      <c r="M1247" s="380" t="s">
        <v>1500</v>
      </c>
      <c r="N1247" s="359" t="s">
        <v>1346</v>
      </c>
      <c r="O1247" s="360" t="s">
        <v>1169</v>
      </c>
    </row>
    <row r="1248" spans="1:15">
      <c r="C1248" s="1003" t="s">
        <v>1506</v>
      </c>
      <c r="D1248" s="1004" t="s">
        <v>1510</v>
      </c>
      <c r="F1248" s="821">
        <v>2</v>
      </c>
      <c r="G1248" s="179">
        <v>45957</v>
      </c>
      <c r="H1248" s="1345"/>
      <c r="I1248" s="1342"/>
      <c r="J1248" s="1336"/>
      <c r="K1248" s="1339"/>
      <c r="L1248" s="17">
        <v>45957</v>
      </c>
      <c r="M1248" s="380" t="s">
        <v>1500</v>
      </c>
      <c r="N1248" s="359" t="s">
        <v>1346</v>
      </c>
      <c r="O1248" s="360" t="s">
        <v>1169</v>
      </c>
    </row>
    <row r="1249" spans="1:15">
      <c r="C1249" s="1003" t="s">
        <v>1506</v>
      </c>
      <c r="D1249" s="1004" t="s">
        <v>1126</v>
      </c>
      <c r="F1249" s="821">
        <v>2</v>
      </c>
      <c r="G1249" s="179">
        <v>45957</v>
      </c>
      <c r="H1249" s="1346"/>
      <c r="I1249" s="1343"/>
      <c r="J1249" s="1337"/>
      <c r="K1249" s="1340"/>
      <c r="L1249" s="17">
        <v>45957</v>
      </c>
      <c r="M1249" s="380" t="s">
        <v>1500</v>
      </c>
      <c r="N1249" s="359" t="s">
        <v>1346</v>
      </c>
      <c r="O1249" s="360" t="s">
        <v>1169</v>
      </c>
    </row>
    <row r="1250" spans="1:15">
      <c r="C1250" s="385" t="s">
        <v>1511</v>
      </c>
      <c r="D1250" s="1005" t="s">
        <v>1512</v>
      </c>
      <c r="E1250" s="294">
        <v>1</v>
      </c>
      <c r="F1250" s="821">
        <v>1</v>
      </c>
      <c r="G1250" s="179">
        <v>45958</v>
      </c>
      <c r="H1250" s="832">
        <v>1</v>
      </c>
      <c r="I1250" s="397">
        <v>0.63541666666666663</v>
      </c>
      <c r="J1250" s="397">
        <v>0.63888888888888895</v>
      </c>
      <c r="K1250" s="417">
        <f t="shared" si="35"/>
        <v>8.3333333333335702E-2</v>
      </c>
      <c r="L1250" s="17">
        <v>45958</v>
      </c>
      <c r="M1250" s="380" t="s">
        <v>1500</v>
      </c>
      <c r="N1250" s="385" t="s">
        <v>332</v>
      </c>
      <c r="O1250" s="386" t="s">
        <v>1514</v>
      </c>
    </row>
    <row r="1251" spans="1:15">
      <c r="C1251" s="385" t="s">
        <v>1348</v>
      </c>
      <c r="D1251" s="1005" t="s">
        <v>1513</v>
      </c>
      <c r="E1251" s="294">
        <v>1</v>
      </c>
      <c r="F1251" s="821">
        <v>1</v>
      </c>
      <c r="G1251" s="179">
        <v>45958</v>
      </c>
      <c r="H1251" s="832">
        <v>1</v>
      </c>
      <c r="I1251" s="397">
        <v>0.63888888888888895</v>
      </c>
      <c r="J1251" s="397">
        <v>0.64236111111111105</v>
      </c>
      <c r="K1251" s="417">
        <f t="shared" si="35"/>
        <v>8.3333333333330373E-2</v>
      </c>
      <c r="L1251" s="17">
        <v>45958</v>
      </c>
      <c r="M1251" s="380" t="s">
        <v>1500</v>
      </c>
      <c r="N1251" s="385" t="s">
        <v>8</v>
      </c>
      <c r="O1251" s="386" t="s">
        <v>1515</v>
      </c>
    </row>
    <row r="1252" spans="1:15">
      <c r="C1252" s="1006" t="s">
        <v>1517</v>
      </c>
      <c r="D1252" s="1007" t="s">
        <v>1512</v>
      </c>
      <c r="E1252" s="294">
        <v>2</v>
      </c>
      <c r="F1252" s="821">
        <v>4</v>
      </c>
      <c r="G1252" s="179">
        <v>45961</v>
      </c>
      <c r="H1252" s="832">
        <v>1</v>
      </c>
      <c r="I1252" s="397">
        <v>0.375</v>
      </c>
      <c r="J1252" s="397">
        <v>0.41666666666666669</v>
      </c>
      <c r="K1252" s="417">
        <f t="shared" si="35"/>
        <v>1.0000000000000004</v>
      </c>
      <c r="L1252" s="17">
        <v>45961</v>
      </c>
      <c r="M1252" s="384" t="s">
        <v>1505</v>
      </c>
      <c r="N1252" s="359" t="s">
        <v>1346</v>
      </c>
      <c r="O1252" s="387" t="s">
        <v>1516</v>
      </c>
    </row>
    <row r="1253" spans="1:15">
      <c r="C1253" s="389" t="s">
        <v>1518</v>
      </c>
      <c r="D1253" s="1008" t="s">
        <v>122</v>
      </c>
      <c r="F1253" s="821">
        <v>1</v>
      </c>
      <c r="G1253" s="179">
        <v>45964</v>
      </c>
      <c r="H1253" s="832">
        <v>1</v>
      </c>
      <c r="I1253" s="397">
        <v>0.35416666666666669</v>
      </c>
      <c r="J1253" s="397">
        <v>0.36458333333333331</v>
      </c>
      <c r="K1253" s="417">
        <f t="shared" si="35"/>
        <v>0.24999999999999911</v>
      </c>
      <c r="L1253" s="17">
        <v>45964</v>
      </c>
      <c r="M1253" s="384" t="s">
        <v>1505</v>
      </c>
      <c r="N1253" s="359" t="s">
        <v>1346</v>
      </c>
      <c r="O1253" s="388" t="s">
        <v>1519</v>
      </c>
    </row>
    <row r="1254" spans="1:15">
      <c r="C1254" s="389" t="s">
        <v>1520</v>
      </c>
      <c r="D1254" s="1008" t="s">
        <v>873</v>
      </c>
      <c r="F1254" s="821">
        <v>3</v>
      </c>
      <c r="G1254" s="179">
        <v>45964</v>
      </c>
      <c r="H1254" s="832">
        <v>1</v>
      </c>
      <c r="I1254" s="397">
        <v>0.40972222222222227</v>
      </c>
      <c r="J1254" s="397">
        <v>0.43055555555555558</v>
      </c>
      <c r="K1254" s="417">
        <f t="shared" si="35"/>
        <v>0.49999999999999956</v>
      </c>
      <c r="L1254" s="17">
        <v>45964</v>
      </c>
      <c r="M1254" s="384" t="s">
        <v>1505</v>
      </c>
      <c r="N1254" s="389" t="s">
        <v>653</v>
      </c>
      <c r="O1254" s="388" t="s">
        <v>1521</v>
      </c>
    </row>
    <row r="1255" spans="1:15">
      <c r="B1255" s="1009" t="s">
        <v>557</v>
      </c>
      <c r="C1255" s="391" t="s">
        <v>1522</v>
      </c>
      <c r="F1255" s="821">
        <v>30</v>
      </c>
      <c r="G1255" s="179">
        <v>45965</v>
      </c>
      <c r="H1255" s="832">
        <v>1</v>
      </c>
      <c r="I1255" s="397">
        <v>0.54166666666666663</v>
      </c>
      <c r="J1255" s="397">
        <v>0.57638888888888895</v>
      </c>
      <c r="K1255" s="417">
        <f t="shared" si="35"/>
        <v>0.8333333333333357</v>
      </c>
      <c r="L1255" s="390">
        <v>45965</v>
      </c>
      <c r="M1255" s="384" t="s">
        <v>1505</v>
      </c>
      <c r="N1255" s="294" t="s">
        <v>1184</v>
      </c>
      <c r="O1255" s="2" t="s">
        <v>151</v>
      </c>
    </row>
    <row r="1256" spans="1:15">
      <c r="C1256" s="391" t="s">
        <v>1523</v>
      </c>
      <c r="D1256" s="1010" t="s">
        <v>280</v>
      </c>
      <c r="F1256" s="821">
        <v>1</v>
      </c>
      <c r="G1256" s="179">
        <v>45965</v>
      </c>
      <c r="H1256" s="832">
        <v>1</v>
      </c>
      <c r="I1256" s="397">
        <v>0.3611111111111111</v>
      </c>
      <c r="J1256" s="397">
        <v>0.37152777777777773</v>
      </c>
      <c r="K1256" s="417">
        <f t="shared" si="35"/>
        <v>0.24999999999999911</v>
      </c>
      <c r="L1256" s="390">
        <v>45965</v>
      </c>
      <c r="M1256" s="384" t="s">
        <v>1505</v>
      </c>
      <c r="N1256" s="391" t="s">
        <v>1353</v>
      </c>
      <c r="O1256" s="392" t="s">
        <v>1524</v>
      </c>
    </row>
    <row r="1257" spans="1:15">
      <c r="C1257" s="391" t="s">
        <v>1525</v>
      </c>
      <c r="D1257" s="1010" t="s">
        <v>1526</v>
      </c>
      <c r="F1257" s="821">
        <v>5</v>
      </c>
      <c r="G1257" s="179">
        <v>45965</v>
      </c>
      <c r="H1257" s="832">
        <v>1</v>
      </c>
      <c r="I1257" s="397">
        <v>0.41666666666666669</v>
      </c>
      <c r="J1257" s="397">
        <v>0.4375</v>
      </c>
      <c r="K1257" s="417">
        <f t="shared" si="35"/>
        <v>0.49999999999999956</v>
      </c>
      <c r="L1257" s="390">
        <v>45965</v>
      </c>
      <c r="M1257" s="384" t="s">
        <v>1505</v>
      </c>
      <c r="N1257" s="391" t="s">
        <v>537</v>
      </c>
      <c r="O1257" s="392" t="s">
        <v>1527</v>
      </c>
    </row>
    <row r="1258" spans="1:15">
      <c r="C1258" s="1011" t="s">
        <v>1528</v>
      </c>
      <c r="D1258" s="1012" t="s">
        <v>159</v>
      </c>
      <c r="F1258" s="821">
        <v>4</v>
      </c>
      <c r="G1258" s="179">
        <v>45965</v>
      </c>
      <c r="H1258" s="832">
        <v>1</v>
      </c>
      <c r="I1258" s="397">
        <v>0.625</v>
      </c>
      <c r="J1258" s="397">
        <v>0.63888888888888895</v>
      </c>
      <c r="K1258" s="417">
        <f t="shared" si="35"/>
        <v>0.33333333333333481</v>
      </c>
      <c r="L1258" s="390">
        <v>45965</v>
      </c>
      <c r="M1258" s="384" t="s">
        <v>1505</v>
      </c>
      <c r="N1258" s="389" t="s">
        <v>653</v>
      </c>
      <c r="O1258" s="393" t="s">
        <v>1529</v>
      </c>
    </row>
    <row r="1259" spans="1:15">
      <c r="C1259" s="1013" t="s">
        <v>1530</v>
      </c>
      <c r="D1259" s="1014" t="s">
        <v>1531</v>
      </c>
      <c r="F1259" s="821">
        <v>4</v>
      </c>
      <c r="G1259" s="179">
        <v>45966</v>
      </c>
      <c r="H1259" s="832">
        <v>1</v>
      </c>
      <c r="I1259" s="397">
        <v>0.38194444444444442</v>
      </c>
      <c r="J1259" s="397">
        <v>0.39583333333333331</v>
      </c>
      <c r="K1259" s="417">
        <f t="shared" si="35"/>
        <v>0.33333333333333348</v>
      </c>
      <c r="L1259" s="17">
        <v>45966</v>
      </c>
      <c r="M1259" s="384" t="s">
        <v>1505</v>
      </c>
      <c r="N1259" s="389" t="s">
        <v>653</v>
      </c>
      <c r="O1259" s="394" t="s">
        <v>1532</v>
      </c>
    </row>
    <row r="1260" spans="1:15">
      <c r="C1260" s="1013" t="s">
        <v>1530</v>
      </c>
      <c r="D1260" s="1014" t="s">
        <v>1533</v>
      </c>
      <c r="F1260" s="821">
        <v>2</v>
      </c>
      <c r="G1260" s="179">
        <v>45966</v>
      </c>
      <c r="H1260" s="832">
        <v>1</v>
      </c>
      <c r="I1260" s="397">
        <v>0.39583333333333331</v>
      </c>
      <c r="J1260" s="397">
        <v>0.40625</v>
      </c>
      <c r="K1260" s="417">
        <f t="shared" si="35"/>
        <v>0.25000000000000044</v>
      </c>
      <c r="L1260" s="17">
        <v>45966</v>
      </c>
      <c r="M1260" s="384" t="s">
        <v>1505</v>
      </c>
      <c r="N1260" s="389" t="s">
        <v>653</v>
      </c>
      <c r="O1260" s="394" t="s">
        <v>1532</v>
      </c>
    </row>
    <row r="1261" spans="1:15">
      <c r="C1261" s="395" t="s">
        <v>1534</v>
      </c>
      <c r="D1261" s="1015" t="s">
        <v>874</v>
      </c>
      <c r="F1261" s="821">
        <v>2</v>
      </c>
      <c r="G1261" s="179">
        <v>45967</v>
      </c>
      <c r="H1261" s="832">
        <v>1</v>
      </c>
      <c r="I1261" s="397">
        <v>0.57638888888888895</v>
      </c>
      <c r="J1261" s="397">
        <v>0.59722222222222221</v>
      </c>
      <c r="K1261" s="417">
        <f t="shared" si="35"/>
        <v>0.49999999999999822</v>
      </c>
      <c r="L1261" s="17">
        <v>45967</v>
      </c>
      <c r="M1261" s="384" t="s">
        <v>1505</v>
      </c>
      <c r="N1261" s="395" t="s">
        <v>185</v>
      </c>
      <c r="O1261" s="396" t="s">
        <v>1535</v>
      </c>
    </row>
    <row r="1262" spans="1:15" s="399" customFormat="1" ht="30">
      <c r="A1262" s="709"/>
      <c r="B1262" s="709"/>
      <c r="C1262" s="1014" t="s">
        <v>1530</v>
      </c>
      <c r="D1262" s="402" t="s">
        <v>1536</v>
      </c>
      <c r="E1262" s="709">
        <v>80</v>
      </c>
      <c r="F1262" s="1016">
        <v>800</v>
      </c>
      <c r="G1262" s="1017">
        <v>45967</v>
      </c>
      <c r="H1262" s="1018">
        <v>7</v>
      </c>
      <c r="I1262" s="1019">
        <v>0.29166666666666669</v>
      </c>
      <c r="J1262" s="1019">
        <v>0.6875</v>
      </c>
      <c r="K1262" s="1020">
        <f>(J1262-I1262)*24*H1262</f>
        <v>66.5</v>
      </c>
      <c r="L1262" s="400">
        <v>45967</v>
      </c>
      <c r="M1262" s="401" t="s">
        <v>1505</v>
      </c>
      <c r="N1262" s="402" t="s">
        <v>653</v>
      </c>
      <c r="O1262" s="403" t="s">
        <v>1532</v>
      </c>
    </row>
    <row r="1263" spans="1:15" ht="25.15" customHeight="1">
      <c r="C1263" s="1022" t="s">
        <v>1538</v>
      </c>
      <c r="D1263" s="1023" t="s">
        <v>1537</v>
      </c>
      <c r="F1263" s="821">
        <v>5</v>
      </c>
      <c r="G1263" s="179">
        <v>45969</v>
      </c>
      <c r="H1263" s="832">
        <v>1</v>
      </c>
      <c r="I1263" s="397">
        <v>0.33333333333333331</v>
      </c>
      <c r="J1263" s="397">
        <v>0.3611111111111111</v>
      </c>
      <c r="K1263" s="417">
        <f t="shared" si="35"/>
        <v>0.66666666666666696</v>
      </c>
      <c r="L1263" s="17">
        <v>45969</v>
      </c>
      <c r="M1263" s="1024" t="s">
        <v>1539</v>
      </c>
      <c r="N1263" s="1022" t="s">
        <v>185</v>
      </c>
      <c r="O1263" s="1025" t="s">
        <v>1540</v>
      </c>
    </row>
    <row r="1264" spans="1:15" ht="25.15" customHeight="1">
      <c r="C1264" s="1027" t="s">
        <v>1542</v>
      </c>
      <c r="D1264" s="1028" t="s">
        <v>1543</v>
      </c>
      <c r="E1264" s="294">
        <v>4</v>
      </c>
      <c r="F1264" s="821">
        <v>4</v>
      </c>
      <c r="G1264" s="179">
        <v>45971</v>
      </c>
      <c r="H1264" s="832">
        <v>1</v>
      </c>
      <c r="I1264" s="397">
        <v>0.35416666666666669</v>
      </c>
      <c r="J1264" s="397">
        <v>0.37152777777777773</v>
      </c>
      <c r="K1264" s="417">
        <f t="shared" si="35"/>
        <v>0.41666666666666519</v>
      </c>
      <c r="L1264" s="17">
        <v>45971</v>
      </c>
      <c r="M1264" s="1024" t="s">
        <v>1539</v>
      </c>
      <c r="N1264" s="1027" t="s">
        <v>79</v>
      </c>
      <c r="O1264" s="1029" t="s">
        <v>1544</v>
      </c>
    </row>
    <row r="1265" spans="2:15" ht="25.15" customHeight="1">
      <c r="B1265" s="1009" t="s">
        <v>557</v>
      </c>
      <c r="C1265" s="1035" t="s">
        <v>1441</v>
      </c>
      <c r="F1265" s="821">
        <v>40</v>
      </c>
      <c r="G1265" s="179">
        <v>45971</v>
      </c>
      <c r="H1265" s="832">
        <v>2</v>
      </c>
      <c r="I1265" s="397">
        <v>0.375</v>
      </c>
      <c r="J1265" s="397">
        <v>0.3888888888888889</v>
      </c>
      <c r="K1265" s="417">
        <f t="shared" si="35"/>
        <v>0.66666666666666696</v>
      </c>
      <c r="L1265" s="17">
        <v>45971</v>
      </c>
      <c r="M1265" s="1024" t="s">
        <v>1539</v>
      </c>
      <c r="N1265" s="1035" t="s">
        <v>1184</v>
      </c>
      <c r="O1265" s="2" t="s">
        <v>151</v>
      </c>
    </row>
    <row r="1266" spans="2:15" ht="25.15" customHeight="1">
      <c r="B1266" s="1009" t="s">
        <v>557</v>
      </c>
      <c r="C1266" s="1036" t="s">
        <v>1545</v>
      </c>
      <c r="F1266" s="821">
        <v>39</v>
      </c>
      <c r="G1266" s="179">
        <v>45972</v>
      </c>
      <c r="H1266" s="832">
        <v>2</v>
      </c>
      <c r="I1266" s="397">
        <v>0.59722222222222221</v>
      </c>
      <c r="J1266" s="397">
        <v>0.61111111111111105</v>
      </c>
      <c r="K1266" s="417">
        <f t="shared" si="35"/>
        <v>0.6666666666666643</v>
      </c>
      <c r="L1266" s="17">
        <v>45972</v>
      </c>
      <c r="M1266" s="1024" t="s">
        <v>1539</v>
      </c>
      <c r="N1266" s="1035" t="s">
        <v>1184</v>
      </c>
      <c r="O1266" s="2" t="s">
        <v>151</v>
      </c>
    </row>
    <row r="1267" spans="2:15" ht="25.15" customHeight="1">
      <c r="C1267" s="1037" t="s">
        <v>595</v>
      </c>
      <c r="D1267" s="1038" t="s">
        <v>310</v>
      </c>
      <c r="F1267" s="821">
        <v>1</v>
      </c>
      <c r="G1267" s="179">
        <v>45973</v>
      </c>
      <c r="H1267" s="832">
        <v>1</v>
      </c>
      <c r="I1267" s="397">
        <v>0.36805555555555558</v>
      </c>
      <c r="J1267" s="397">
        <v>0.37152777777777773</v>
      </c>
      <c r="K1267" s="417">
        <f t="shared" si="35"/>
        <v>8.3333333333331705E-2</v>
      </c>
      <c r="L1267" s="17">
        <v>45973</v>
      </c>
      <c r="M1267" s="1024" t="s">
        <v>1539</v>
      </c>
      <c r="N1267" s="1037" t="s">
        <v>7</v>
      </c>
      <c r="O1267" s="1039" t="s">
        <v>1546</v>
      </c>
    </row>
    <row r="1268" spans="2:15" ht="25.15" customHeight="1">
      <c r="C1268" s="1040" t="s">
        <v>1547</v>
      </c>
      <c r="D1268" s="1041" t="s">
        <v>122</v>
      </c>
      <c r="F1268" s="821">
        <v>2</v>
      </c>
      <c r="G1268" s="179">
        <v>45974</v>
      </c>
      <c r="H1268" s="832">
        <v>1</v>
      </c>
      <c r="I1268" s="397">
        <v>0.34027777777777773</v>
      </c>
      <c r="J1268" s="397">
        <v>0.35069444444444442</v>
      </c>
      <c r="K1268" s="417">
        <f t="shared" si="35"/>
        <v>0.25000000000000044</v>
      </c>
      <c r="L1268" s="17">
        <v>45974</v>
      </c>
      <c r="M1268" s="1024" t="s">
        <v>1539</v>
      </c>
      <c r="N1268" s="1040" t="s">
        <v>79</v>
      </c>
      <c r="O1268" s="1042" t="s">
        <v>1548</v>
      </c>
    </row>
    <row r="1269" spans="2:15" ht="25.15" customHeight="1">
      <c r="C1269" s="1045" t="s">
        <v>1549</v>
      </c>
      <c r="F1269" s="821">
        <v>2</v>
      </c>
      <c r="G1269" s="179">
        <v>45974</v>
      </c>
      <c r="H1269" s="832">
        <v>1</v>
      </c>
      <c r="I1269" s="397">
        <v>0.59027777777777779</v>
      </c>
      <c r="J1269" s="397">
        <v>0.62152777777777779</v>
      </c>
      <c r="K1269" s="417">
        <f t="shared" si="35"/>
        <v>0.75</v>
      </c>
      <c r="L1269" s="17">
        <v>45974</v>
      </c>
      <c r="M1269" s="1024" t="s">
        <v>1539</v>
      </c>
      <c r="N1269" s="1043" t="s">
        <v>185</v>
      </c>
      <c r="O1269" s="1044" t="s">
        <v>1169</v>
      </c>
    </row>
    <row r="1270" spans="2:15" ht="25.15" customHeight="1">
      <c r="C1270" s="1046" t="s">
        <v>1550</v>
      </c>
      <c r="D1270" s="1047" t="s">
        <v>861</v>
      </c>
      <c r="F1270" s="821">
        <v>120</v>
      </c>
      <c r="G1270" s="179">
        <v>45975</v>
      </c>
      <c r="H1270" s="832">
        <v>4</v>
      </c>
      <c r="I1270" s="397">
        <v>0.3125</v>
      </c>
      <c r="J1270" s="397">
        <v>0.39583333333333331</v>
      </c>
      <c r="K1270" s="417">
        <f t="shared" si="35"/>
        <v>7.9999999999999982</v>
      </c>
      <c r="L1270" s="17">
        <v>45975</v>
      </c>
      <c r="M1270" s="1048" t="s">
        <v>1551</v>
      </c>
      <c r="N1270" s="1046" t="s">
        <v>79</v>
      </c>
      <c r="O1270" s="1049" t="s">
        <v>1552</v>
      </c>
    </row>
    <row r="1271" spans="2:15" ht="25.15" customHeight="1">
      <c r="C1271" s="1050" t="s">
        <v>1553</v>
      </c>
      <c r="D1271" s="1051" t="s">
        <v>1554</v>
      </c>
      <c r="F1271" s="821">
        <v>4</v>
      </c>
      <c r="G1271" s="179">
        <v>45975</v>
      </c>
      <c r="H1271" s="832">
        <v>1</v>
      </c>
      <c r="I1271" s="397">
        <v>0.59027777777777779</v>
      </c>
      <c r="J1271" s="397">
        <v>0.61111111111111105</v>
      </c>
      <c r="K1271" s="417">
        <f t="shared" si="35"/>
        <v>0.49999999999999822</v>
      </c>
      <c r="L1271" s="17">
        <v>45975</v>
      </c>
      <c r="M1271" s="1048" t="s">
        <v>1551</v>
      </c>
      <c r="N1271" s="1050" t="s">
        <v>185</v>
      </c>
      <c r="O1271" s="1044" t="s">
        <v>1169</v>
      </c>
    </row>
    <row r="1272" spans="2:15" ht="25.15" customHeight="1">
      <c r="C1272" s="1052" t="s">
        <v>1555</v>
      </c>
      <c r="D1272" s="1053" t="s">
        <v>183</v>
      </c>
      <c r="E1272" s="294">
        <v>25</v>
      </c>
      <c r="F1272" s="821">
        <v>50</v>
      </c>
      <c r="G1272" s="179">
        <v>45976</v>
      </c>
      <c r="H1272" s="832">
        <v>2</v>
      </c>
      <c r="I1272" s="397">
        <v>0.2951388888888889</v>
      </c>
      <c r="J1272" s="397">
        <v>0.30902777777777779</v>
      </c>
      <c r="K1272" s="417">
        <f t="shared" si="35"/>
        <v>0.66666666666666696</v>
      </c>
      <c r="L1272" s="17">
        <v>45976</v>
      </c>
      <c r="M1272" s="1048" t="s">
        <v>1551</v>
      </c>
      <c r="N1272" s="1052" t="s">
        <v>1353</v>
      </c>
      <c r="O1272" s="1054" t="s">
        <v>1556</v>
      </c>
    </row>
    <row r="1273" spans="2:15" ht="25.15" customHeight="1">
      <c r="C1273" s="1059" t="s">
        <v>1558</v>
      </c>
      <c r="D1273" s="1060" t="s">
        <v>219</v>
      </c>
      <c r="E1273" s="294">
        <v>1</v>
      </c>
      <c r="F1273" s="821">
        <v>2</v>
      </c>
      <c r="G1273" s="1061">
        <v>45978</v>
      </c>
      <c r="H1273" s="832">
        <v>1</v>
      </c>
      <c r="I1273" s="397">
        <v>0.61111111111111105</v>
      </c>
      <c r="J1273" s="397">
        <v>0.61805555555555558</v>
      </c>
      <c r="K1273" s="417">
        <f t="shared" si="35"/>
        <v>0.16666666666666874</v>
      </c>
      <c r="L1273" s="17">
        <v>45978</v>
      </c>
      <c r="M1273" s="1048" t="s">
        <v>1551</v>
      </c>
      <c r="N1273" s="1052" t="s">
        <v>1353</v>
      </c>
      <c r="O1273" s="1062" t="s">
        <v>1559</v>
      </c>
    </row>
    <row r="1274" spans="2:15" ht="25.15" customHeight="1">
      <c r="B1274" s="1009" t="s">
        <v>557</v>
      </c>
      <c r="C1274" s="1036" t="s">
        <v>1545</v>
      </c>
      <c r="D1274" s="1065" t="s">
        <v>1560</v>
      </c>
      <c r="F1274" s="821">
        <v>24</v>
      </c>
      <c r="G1274" s="179">
        <v>45979</v>
      </c>
      <c r="H1274" s="832">
        <v>1</v>
      </c>
      <c r="I1274" s="397">
        <v>0.375</v>
      </c>
      <c r="J1274" s="397">
        <v>0.3923611111111111</v>
      </c>
      <c r="K1274" s="417">
        <f t="shared" si="35"/>
        <v>0.41666666666666652</v>
      </c>
      <c r="L1274" s="17">
        <v>45979</v>
      </c>
      <c r="M1274" s="1048" t="s">
        <v>1551</v>
      </c>
      <c r="N1274" s="1064" t="s">
        <v>1184</v>
      </c>
      <c r="O1274" s="2" t="s">
        <v>151</v>
      </c>
    </row>
    <row r="1275" spans="2:15" ht="25.15" customHeight="1">
      <c r="B1275" s="1009" t="s">
        <v>557</v>
      </c>
      <c r="C1275" s="1064" t="s">
        <v>1561</v>
      </c>
      <c r="D1275" s="1065" t="s">
        <v>1560</v>
      </c>
      <c r="F1275" s="821">
        <v>30</v>
      </c>
      <c r="G1275" s="179">
        <v>45979</v>
      </c>
      <c r="H1275" s="832">
        <v>1</v>
      </c>
      <c r="I1275" s="397">
        <v>0.3923611111111111</v>
      </c>
      <c r="J1275" s="397">
        <v>0.41666666666666669</v>
      </c>
      <c r="K1275" s="417">
        <f t="shared" si="35"/>
        <v>0.58333333333333393</v>
      </c>
      <c r="L1275" s="17">
        <v>45979</v>
      </c>
      <c r="M1275" s="1048" t="s">
        <v>1551</v>
      </c>
      <c r="N1275" s="1064" t="s">
        <v>1184</v>
      </c>
      <c r="O1275" s="2" t="s">
        <v>151</v>
      </c>
    </row>
    <row r="1276" spans="2:15" ht="25.15" customHeight="1">
      <c r="C1276" s="294" t="s">
        <v>1550</v>
      </c>
      <c r="D1276" s="1066" t="s">
        <v>1100</v>
      </c>
      <c r="F1276" s="821">
        <v>3</v>
      </c>
      <c r="G1276" s="179">
        <v>45979</v>
      </c>
      <c r="H1276" s="832">
        <v>1</v>
      </c>
      <c r="I1276" s="397">
        <v>0.4375</v>
      </c>
      <c r="J1276" s="397">
        <v>0.4513888888888889</v>
      </c>
      <c r="K1276" s="417">
        <f t="shared" si="35"/>
        <v>0.33333333333333348</v>
      </c>
      <c r="L1276" s="17">
        <v>45979</v>
      </c>
      <c r="M1276" s="1048" t="s">
        <v>1551</v>
      </c>
      <c r="N1276" s="1067" t="s">
        <v>79</v>
      </c>
      <c r="O1276" s="1068" t="s">
        <v>1552</v>
      </c>
    </row>
    <row r="1277" spans="2:15" ht="25.15" customHeight="1">
      <c r="C1277" s="294" t="s">
        <v>1550</v>
      </c>
      <c r="D1277" s="1066" t="s">
        <v>865</v>
      </c>
      <c r="F1277" s="821">
        <v>6</v>
      </c>
      <c r="G1277" s="179">
        <v>45979</v>
      </c>
      <c r="H1277" s="832">
        <v>1</v>
      </c>
      <c r="I1277" s="397">
        <v>0.4548611111111111</v>
      </c>
      <c r="J1277" s="397">
        <v>0.47222222222222227</v>
      </c>
      <c r="K1277" s="417">
        <f t="shared" si="35"/>
        <v>0.41666666666666785</v>
      </c>
      <c r="L1277" s="17">
        <v>45980</v>
      </c>
      <c r="M1277" s="1048" t="s">
        <v>1551</v>
      </c>
      <c r="N1277" s="1067" t="s">
        <v>79</v>
      </c>
      <c r="O1277" s="1049" t="s">
        <v>1552</v>
      </c>
    </row>
    <row r="1278" spans="2:15" ht="25.15" customHeight="1">
      <c r="C1278" s="1067" t="s">
        <v>1562</v>
      </c>
      <c r="D1278" s="1066" t="s">
        <v>107</v>
      </c>
      <c r="E1278" s="294">
        <v>3</v>
      </c>
      <c r="F1278" s="821">
        <v>6</v>
      </c>
      <c r="G1278" s="179">
        <v>45979</v>
      </c>
      <c r="H1278" s="832">
        <v>1</v>
      </c>
      <c r="I1278" s="397">
        <v>0.47222222222222227</v>
      </c>
      <c r="J1278" s="397">
        <v>0.4826388888888889</v>
      </c>
      <c r="K1278" s="417">
        <f t="shared" si="35"/>
        <v>0.24999999999999911</v>
      </c>
      <c r="L1278" s="17">
        <v>45981</v>
      </c>
      <c r="M1278" s="1048" t="s">
        <v>1551</v>
      </c>
      <c r="N1278" s="1067" t="s">
        <v>185</v>
      </c>
      <c r="O1278" s="1068" t="s">
        <v>1563</v>
      </c>
    </row>
    <row r="1279" spans="2:15" ht="25.15" customHeight="1">
      <c r="B1279" s="1009" t="s">
        <v>557</v>
      </c>
      <c r="C1279" s="1069" t="s">
        <v>1441</v>
      </c>
      <c r="D1279" s="1065" t="s">
        <v>1560</v>
      </c>
      <c r="F1279" s="821">
        <v>80</v>
      </c>
      <c r="G1279" s="179">
        <v>45980</v>
      </c>
      <c r="H1279" s="832">
        <v>2</v>
      </c>
      <c r="I1279" s="397">
        <v>0.30555555555555552</v>
      </c>
      <c r="J1279" s="397">
        <v>0.33333333333333331</v>
      </c>
      <c r="K1279" s="417">
        <f t="shared" si="35"/>
        <v>1.3333333333333339</v>
      </c>
      <c r="L1279" s="17">
        <v>45982</v>
      </c>
      <c r="M1279" s="1048" t="s">
        <v>1551</v>
      </c>
      <c r="N1279" s="294" t="s">
        <v>1184</v>
      </c>
      <c r="O1279" s="2" t="s">
        <v>151</v>
      </c>
    </row>
    <row r="1280" spans="2:15" ht="25.15" customHeight="1">
      <c r="B1280" s="1009" t="s">
        <v>557</v>
      </c>
      <c r="C1280" s="1069" t="s">
        <v>1494</v>
      </c>
      <c r="D1280" s="1065" t="s">
        <v>1560</v>
      </c>
      <c r="F1280" s="821">
        <v>36</v>
      </c>
      <c r="G1280" s="179">
        <v>45980</v>
      </c>
      <c r="H1280" s="832">
        <v>2</v>
      </c>
      <c r="I1280" s="397">
        <v>0.33680555555555558</v>
      </c>
      <c r="J1280" s="397">
        <v>0.35069444444444442</v>
      </c>
      <c r="K1280" s="417">
        <f t="shared" si="35"/>
        <v>0.6666666666666643</v>
      </c>
      <c r="L1280" s="17">
        <v>45983</v>
      </c>
      <c r="M1280" s="1048" t="s">
        <v>1551</v>
      </c>
      <c r="N1280" s="294" t="s">
        <v>1184</v>
      </c>
      <c r="O1280" s="2" t="s">
        <v>151</v>
      </c>
    </row>
    <row r="1281" spans="2:15" ht="25.15" customHeight="1">
      <c r="C1281" s="1070" t="s">
        <v>114</v>
      </c>
      <c r="D1281" s="1071" t="s">
        <v>103</v>
      </c>
      <c r="E1281" s="294">
        <v>1</v>
      </c>
      <c r="F1281" s="821">
        <v>1</v>
      </c>
      <c r="G1281" s="179">
        <v>45981</v>
      </c>
      <c r="H1281" s="832">
        <v>1</v>
      </c>
      <c r="I1281" s="397">
        <v>0.40972222222222227</v>
      </c>
      <c r="J1281" s="397">
        <v>0.4152777777777778</v>
      </c>
      <c r="K1281" s="417">
        <f t="shared" si="35"/>
        <v>0.13333333333333286</v>
      </c>
      <c r="L1281" s="17">
        <v>45984</v>
      </c>
      <c r="M1281" s="1048" t="s">
        <v>1551</v>
      </c>
      <c r="N1281" s="1070" t="s">
        <v>79</v>
      </c>
      <c r="O1281" s="1072" t="s">
        <v>1564</v>
      </c>
    </row>
    <row r="1282" spans="2:15" ht="25.15" customHeight="1">
      <c r="C1282" s="1070" t="s">
        <v>1565</v>
      </c>
      <c r="D1282" s="1071" t="s">
        <v>1566</v>
      </c>
      <c r="F1282" s="821">
        <v>16</v>
      </c>
      <c r="G1282" s="179">
        <v>45981</v>
      </c>
      <c r="H1282" s="832">
        <v>1</v>
      </c>
      <c r="I1282" s="397">
        <v>0.41666666666666669</v>
      </c>
      <c r="J1282" s="397">
        <v>0.4375</v>
      </c>
      <c r="K1282" s="417">
        <f t="shared" si="35"/>
        <v>0.49999999999999956</v>
      </c>
      <c r="L1282" s="17">
        <v>45985</v>
      </c>
      <c r="M1282" s="1048" t="s">
        <v>1551</v>
      </c>
      <c r="N1282" s="1070" t="s">
        <v>9</v>
      </c>
      <c r="O1282" s="1072" t="s">
        <v>1567</v>
      </c>
    </row>
    <row r="1283" spans="2:15" ht="25.15" customHeight="1">
      <c r="B1283" s="1009" t="s">
        <v>557</v>
      </c>
      <c r="C1283" s="1073" t="s">
        <v>1568</v>
      </c>
      <c r="D1283" s="1074" t="s">
        <v>1512</v>
      </c>
      <c r="E1283" s="294">
        <v>20</v>
      </c>
      <c r="F1283" s="821">
        <v>40</v>
      </c>
      <c r="G1283" s="179">
        <v>45981</v>
      </c>
      <c r="H1283" s="1332">
        <v>2</v>
      </c>
      <c r="I1283" s="1335">
        <v>0.54166666666666663</v>
      </c>
      <c r="J1283" s="1335">
        <v>0.5625</v>
      </c>
      <c r="K1283" s="1338">
        <f t="shared" si="35"/>
        <v>1.0000000000000018</v>
      </c>
      <c r="L1283" s="1364">
        <v>45981</v>
      </c>
      <c r="M1283" s="1355" t="s">
        <v>1551</v>
      </c>
      <c r="N1283" s="1358" t="s">
        <v>1184</v>
      </c>
      <c r="O1283" s="1361" t="s">
        <v>151</v>
      </c>
    </row>
    <row r="1284" spans="2:15" ht="25.15" customHeight="1">
      <c r="B1284" s="1009" t="s">
        <v>557</v>
      </c>
      <c r="C1284" s="1073" t="s">
        <v>1568</v>
      </c>
      <c r="D1284" s="1074" t="s">
        <v>1409</v>
      </c>
      <c r="E1284" s="294">
        <v>20</v>
      </c>
      <c r="F1284" s="821">
        <v>40</v>
      </c>
      <c r="G1284" s="179">
        <v>45981</v>
      </c>
      <c r="H1284" s="1333"/>
      <c r="I1284" s="1336"/>
      <c r="J1284" s="1336"/>
      <c r="K1284" s="1339"/>
      <c r="L1284" s="1365"/>
      <c r="M1284" s="1356"/>
      <c r="N1284" s="1359"/>
      <c r="O1284" s="1362"/>
    </row>
    <row r="1285" spans="2:15" ht="25.15" customHeight="1">
      <c r="B1285" s="1009" t="s">
        <v>557</v>
      </c>
      <c r="C1285" s="1073" t="s">
        <v>1568</v>
      </c>
      <c r="D1285" s="1074" t="s">
        <v>70</v>
      </c>
      <c r="E1285" s="294">
        <v>1</v>
      </c>
      <c r="F1285" s="821">
        <v>20</v>
      </c>
      <c r="G1285" s="179">
        <v>45981</v>
      </c>
      <c r="H1285" s="1334"/>
      <c r="I1285" s="1337"/>
      <c r="J1285" s="1337"/>
      <c r="K1285" s="1340"/>
      <c r="L1285" s="1366"/>
      <c r="M1285" s="1357"/>
      <c r="N1285" s="1360"/>
      <c r="O1285" s="1363"/>
    </row>
    <row r="1286" spans="2:15" ht="25.15" customHeight="1">
      <c r="C1286" s="1075" t="s">
        <v>1569</v>
      </c>
      <c r="D1286" s="1076" t="s">
        <v>280</v>
      </c>
      <c r="E1286" s="294">
        <v>1</v>
      </c>
      <c r="F1286" s="821">
        <v>2</v>
      </c>
      <c r="G1286" s="179">
        <v>45982</v>
      </c>
      <c r="H1286" s="832">
        <v>1</v>
      </c>
      <c r="I1286" s="1063">
        <v>0.34027777777777773</v>
      </c>
      <c r="J1286" s="1063">
        <v>0.3611111111111111</v>
      </c>
      <c r="K1286" s="417">
        <f t="shared" si="35"/>
        <v>0.50000000000000089</v>
      </c>
      <c r="L1286" s="17">
        <v>45982</v>
      </c>
      <c r="M1286" s="1077" t="s">
        <v>1570</v>
      </c>
      <c r="N1286" s="1037" t="s">
        <v>7</v>
      </c>
      <c r="O1286" s="1078" t="s">
        <v>1571</v>
      </c>
    </row>
    <row r="1287" spans="2:15" ht="25.15" customHeight="1">
      <c r="C1287" s="1080" t="s">
        <v>1572</v>
      </c>
      <c r="D1287" s="1081" t="s">
        <v>1327</v>
      </c>
      <c r="F1287" s="821">
        <v>12</v>
      </c>
      <c r="G1287" s="179">
        <v>45983</v>
      </c>
      <c r="H1287" s="832">
        <v>1</v>
      </c>
      <c r="I1287" s="1063">
        <v>0.3888888888888889</v>
      </c>
      <c r="J1287" s="1063">
        <v>0.39583333333333331</v>
      </c>
      <c r="K1287" s="417">
        <f t="shared" ref="K1287:K1347" si="36">(J1287-I1287)*24*H1287</f>
        <v>0.16666666666666607</v>
      </c>
      <c r="L1287" s="17">
        <v>45983</v>
      </c>
      <c r="M1287" s="1077" t="s">
        <v>1570</v>
      </c>
      <c r="N1287" s="1080" t="s">
        <v>185</v>
      </c>
      <c r="O1287" s="1082" t="s">
        <v>1573</v>
      </c>
    </row>
    <row r="1288" spans="2:15" ht="25.15" customHeight="1">
      <c r="B1288" s="1009" t="s">
        <v>557</v>
      </c>
      <c r="C1288" s="1069" t="s">
        <v>1494</v>
      </c>
      <c r="D1288" s="1065" t="s">
        <v>1560</v>
      </c>
      <c r="F1288" s="821">
        <v>60</v>
      </c>
      <c r="G1288" s="179">
        <v>45987</v>
      </c>
      <c r="H1288" s="832">
        <v>2</v>
      </c>
      <c r="I1288" s="1063">
        <v>0.60416666666666663</v>
      </c>
      <c r="J1288" s="1063">
        <v>0.64583333333333337</v>
      </c>
      <c r="K1288" s="417">
        <f t="shared" si="36"/>
        <v>2.0000000000000036</v>
      </c>
      <c r="L1288" s="17">
        <v>45987</v>
      </c>
      <c r="M1288" s="1077" t="s">
        <v>1570</v>
      </c>
      <c r="N1288" s="294" t="s">
        <v>1184</v>
      </c>
      <c r="O1288" s="2" t="s">
        <v>151</v>
      </c>
    </row>
    <row r="1289" spans="2:15" ht="25.15" customHeight="1">
      <c r="B1289" s="1009" t="s">
        <v>557</v>
      </c>
      <c r="C1289" s="1083" t="s">
        <v>1574</v>
      </c>
      <c r="D1289" s="1065" t="s">
        <v>1560</v>
      </c>
      <c r="F1289" s="821">
        <v>30</v>
      </c>
      <c r="G1289" s="179">
        <v>45989</v>
      </c>
      <c r="H1289" s="832">
        <v>1</v>
      </c>
      <c r="I1289" s="1063">
        <v>0.41666666666666669</v>
      </c>
      <c r="J1289" s="1063">
        <v>0.45833333333333331</v>
      </c>
      <c r="K1289" s="417">
        <f t="shared" si="36"/>
        <v>0.99999999999999911</v>
      </c>
      <c r="L1289" s="17">
        <v>45989</v>
      </c>
      <c r="M1289" s="1084" t="s">
        <v>1575</v>
      </c>
      <c r="N1289" s="294" t="s">
        <v>1184</v>
      </c>
      <c r="O1289" s="2" t="s">
        <v>151</v>
      </c>
    </row>
    <row r="1290" spans="2:15" ht="25.15" customHeight="1">
      <c r="B1290" s="1009" t="s">
        <v>557</v>
      </c>
      <c r="C1290" s="1085" t="s">
        <v>1538</v>
      </c>
      <c r="D1290" s="1065" t="s">
        <v>1560</v>
      </c>
      <c r="F1290" s="821">
        <v>70</v>
      </c>
      <c r="G1290" s="179">
        <v>45992</v>
      </c>
      <c r="H1290" s="832">
        <v>2</v>
      </c>
      <c r="I1290" s="1063">
        <v>0.41666666666666669</v>
      </c>
      <c r="J1290" s="1063">
        <v>0.4375</v>
      </c>
      <c r="K1290" s="417">
        <f t="shared" si="36"/>
        <v>0.99999999999999911</v>
      </c>
      <c r="L1290" s="17">
        <v>45992</v>
      </c>
      <c r="M1290" s="1084" t="s">
        <v>1575</v>
      </c>
      <c r="N1290" s="294" t="s">
        <v>1184</v>
      </c>
      <c r="O1290" s="2" t="s">
        <v>151</v>
      </c>
    </row>
    <row r="1291" spans="2:15" ht="25.15" customHeight="1">
      <c r="C1291" s="1086" t="s">
        <v>1555</v>
      </c>
      <c r="D1291" s="1087" t="s">
        <v>183</v>
      </c>
      <c r="F1291" s="821">
        <v>2</v>
      </c>
      <c r="G1291" s="179">
        <v>45992</v>
      </c>
      <c r="H1291" s="832">
        <v>2</v>
      </c>
      <c r="I1291" s="1063">
        <v>0.5625</v>
      </c>
      <c r="J1291" s="1063">
        <v>0.58333333333333337</v>
      </c>
      <c r="K1291" s="417">
        <f t="shared" si="36"/>
        <v>1.0000000000000018</v>
      </c>
      <c r="L1291" s="1088">
        <v>45992</v>
      </c>
      <c r="M1291" s="1084" t="s">
        <v>1575</v>
      </c>
      <c r="N1291" s="1086" t="s">
        <v>653</v>
      </c>
      <c r="O1291" s="1089" t="s">
        <v>1576</v>
      </c>
    </row>
    <row r="1292" spans="2:15" ht="25.15" customHeight="1">
      <c r="C1292" s="1091" t="s">
        <v>1210</v>
      </c>
      <c r="D1292" s="1092" t="s">
        <v>74</v>
      </c>
      <c r="F1292" s="821">
        <v>6</v>
      </c>
      <c r="G1292" s="179">
        <v>45993</v>
      </c>
      <c r="H1292" s="832">
        <v>1</v>
      </c>
      <c r="I1292" s="1063">
        <v>0.3125</v>
      </c>
      <c r="J1292" s="1063">
        <v>0.32291666666666669</v>
      </c>
      <c r="K1292" s="417">
        <f t="shared" si="36"/>
        <v>0.25000000000000044</v>
      </c>
      <c r="L1292" s="17">
        <v>45993</v>
      </c>
      <c r="M1292" s="1084" t="s">
        <v>1575</v>
      </c>
      <c r="N1292" s="1086" t="s">
        <v>653</v>
      </c>
      <c r="O1292" s="1093" t="s">
        <v>1577</v>
      </c>
    </row>
    <row r="1293" spans="2:15" ht="25.15" customHeight="1">
      <c r="B1293" s="1009" t="s">
        <v>557</v>
      </c>
      <c r="C1293" s="1085" t="s">
        <v>1538</v>
      </c>
      <c r="D1293" s="1065" t="s">
        <v>1560</v>
      </c>
      <c r="F1293" s="821">
        <v>110</v>
      </c>
      <c r="G1293" s="179">
        <v>45993</v>
      </c>
      <c r="H1293" s="832">
        <v>2</v>
      </c>
      <c r="I1293" s="1063">
        <v>0.59722222222222221</v>
      </c>
      <c r="J1293" s="1063">
        <v>0.625</v>
      </c>
      <c r="K1293" s="417">
        <f>(J1293-I1293)*24*H1293</f>
        <v>1.3333333333333339</v>
      </c>
      <c r="L1293" s="17">
        <v>45993</v>
      </c>
      <c r="M1293" s="1084" t="s">
        <v>1575</v>
      </c>
      <c r="N1293" s="294" t="s">
        <v>1184</v>
      </c>
      <c r="O1293" s="2" t="s">
        <v>151</v>
      </c>
    </row>
    <row r="1294" spans="2:15" ht="25.15" customHeight="1">
      <c r="B1294" s="1009" t="s">
        <v>557</v>
      </c>
      <c r="C1294" s="1095" t="s">
        <v>1579</v>
      </c>
      <c r="D1294" s="1094" t="s">
        <v>1578</v>
      </c>
      <c r="F1294" s="821">
        <v>10</v>
      </c>
      <c r="G1294" s="179">
        <v>45995</v>
      </c>
      <c r="H1294" s="832">
        <v>1</v>
      </c>
      <c r="I1294" s="1063">
        <v>0.30555555555555552</v>
      </c>
      <c r="J1294" s="1090">
        <v>0.3263888888888889</v>
      </c>
      <c r="K1294" s="417">
        <f>(J1294-I1294)*24*H1294</f>
        <v>0.50000000000000089</v>
      </c>
      <c r="L1294" s="17">
        <v>45995</v>
      </c>
      <c r="M1294" s="1084" t="s">
        <v>1575</v>
      </c>
      <c r="N1294" s="1095" t="s">
        <v>185</v>
      </c>
      <c r="O1294" s="1096" t="s">
        <v>1169</v>
      </c>
    </row>
    <row r="1295" spans="2:15" ht="25.15" customHeight="1">
      <c r="B1295" s="1009" t="s">
        <v>557</v>
      </c>
      <c r="C1295" s="1098" t="s">
        <v>1494</v>
      </c>
      <c r="D1295" s="1097" t="s">
        <v>1560</v>
      </c>
      <c r="F1295" s="821">
        <f>22+32</f>
        <v>54</v>
      </c>
      <c r="G1295" s="179">
        <v>45997</v>
      </c>
      <c r="H1295" s="832">
        <v>2</v>
      </c>
      <c r="I1295" s="1063">
        <v>0.33333333333333331</v>
      </c>
      <c r="J1295" s="1063">
        <v>0.34722222222222227</v>
      </c>
      <c r="K1295" s="417">
        <f t="shared" si="36"/>
        <v>0.66666666666666963</v>
      </c>
      <c r="L1295" s="17">
        <v>45997</v>
      </c>
      <c r="M1295" s="1099" t="s">
        <v>1580</v>
      </c>
      <c r="N1295" s="294" t="s">
        <v>1184</v>
      </c>
      <c r="O1295" s="2" t="s">
        <v>151</v>
      </c>
    </row>
    <row r="1296" spans="2:15" ht="25.15" customHeight="1">
      <c r="B1296" s="1009" t="s">
        <v>557</v>
      </c>
      <c r="C1296" s="1100" t="s">
        <v>1581</v>
      </c>
      <c r="D1296" s="1097" t="s">
        <v>1560</v>
      </c>
      <c r="F1296" s="821">
        <v>30</v>
      </c>
      <c r="G1296" s="179">
        <v>46002</v>
      </c>
      <c r="H1296" s="832">
        <v>2</v>
      </c>
      <c r="I1296" s="1063">
        <v>0.58333333333333337</v>
      </c>
      <c r="J1296" s="1063">
        <v>0.59375</v>
      </c>
      <c r="K1296" s="417">
        <f t="shared" si="36"/>
        <v>0.49999999999999822</v>
      </c>
      <c r="L1296" s="17">
        <v>46002</v>
      </c>
      <c r="M1296" s="1099" t="s">
        <v>1580</v>
      </c>
      <c r="N1296" s="294" t="s">
        <v>1184</v>
      </c>
      <c r="O1296" s="2" t="s">
        <v>151</v>
      </c>
    </row>
    <row r="1297" spans="2:15" ht="25.15" customHeight="1">
      <c r="B1297" s="1009" t="s">
        <v>557</v>
      </c>
      <c r="C1297" s="1101" t="s">
        <v>1441</v>
      </c>
      <c r="D1297" s="1097" t="s">
        <v>1560</v>
      </c>
      <c r="F1297" s="821">
        <f>133+22</f>
        <v>155</v>
      </c>
      <c r="G1297" s="1102">
        <v>46004</v>
      </c>
      <c r="H1297" s="832">
        <v>2</v>
      </c>
      <c r="I1297" s="1063">
        <v>0.375</v>
      </c>
      <c r="J1297" s="1063">
        <v>0.40625</v>
      </c>
      <c r="K1297" s="417">
        <f t="shared" si="36"/>
        <v>1.5</v>
      </c>
      <c r="L1297" s="17">
        <v>46004</v>
      </c>
      <c r="M1297" s="1103" t="s">
        <v>1582</v>
      </c>
      <c r="N1297" s="294" t="s">
        <v>1184</v>
      </c>
      <c r="O1297" s="2" t="s">
        <v>151</v>
      </c>
    </row>
    <row r="1298" spans="2:15" ht="25.15" customHeight="1">
      <c r="B1298" s="1009" t="s">
        <v>557</v>
      </c>
      <c r="C1298" s="1104" t="s">
        <v>1494</v>
      </c>
      <c r="D1298" s="1097" t="s">
        <v>1560</v>
      </c>
      <c r="F1298" s="821">
        <v>24</v>
      </c>
      <c r="G1298" s="1102">
        <v>46004</v>
      </c>
      <c r="H1298" s="832">
        <v>1</v>
      </c>
      <c r="I1298" s="1063">
        <v>0.40625</v>
      </c>
      <c r="J1298" s="1063">
        <v>0.4201388888888889</v>
      </c>
      <c r="K1298" s="417">
        <f t="shared" si="36"/>
        <v>0.33333333333333348</v>
      </c>
      <c r="L1298" s="17">
        <v>46004</v>
      </c>
      <c r="M1298" s="1103" t="s">
        <v>1582</v>
      </c>
      <c r="N1298" s="294" t="s">
        <v>1184</v>
      </c>
      <c r="O1298" s="2" t="s">
        <v>151</v>
      </c>
    </row>
    <row r="1299" spans="2:15" ht="25.15" customHeight="1">
      <c r="C1299" s="1105" t="s">
        <v>1583</v>
      </c>
      <c r="D1299" s="1106" t="s">
        <v>437</v>
      </c>
      <c r="F1299" s="821">
        <v>8</v>
      </c>
      <c r="G1299" s="1102">
        <v>46004</v>
      </c>
      <c r="H1299" s="832">
        <v>2</v>
      </c>
      <c r="I1299" s="1063">
        <v>0.3125</v>
      </c>
      <c r="J1299" s="1063">
        <v>0.36805555555555558</v>
      </c>
      <c r="K1299" s="417">
        <f t="shared" si="36"/>
        <v>2.6666666666666679</v>
      </c>
      <c r="L1299" s="17">
        <v>46004</v>
      </c>
      <c r="M1299" s="1103" t="s">
        <v>1582</v>
      </c>
      <c r="N1299" s="1105" t="s">
        <v>653</v>
      </c>
      <c r="O1299" s="1107" t="s">
        <v>1584</v>
      </c>
    </row>
    <row r="1300" spans="2:15" ht="25.15" customHeight="1">
      <c r="C1300" s="1108" t="s">
        <v>309</v>
      </c>
      <c r="D1300" s="1109" t="s">
        <v>879</v>
      </c>
      <c r="F1300" s="821">
        <v>2</v>
      </c>
      <c r="G1300" s="179">
        <v>46013</v>
      </c>
      <c r="H1300" s="832">
        <v>1</v>
      </c>
      <c r="I1300" s="1063">
        <v>0.33333333333333331</v>
      </c>
      <c r="J1300" s="1063">
        <v>0.34027777777777773</v>
      </c>
      <c r="K1300" s="417">
        <f t="shared" si="36"/>
        <v>0.16666666666666607</v>
      </c>
      <c r="L1300" s="17">
        <v>46013</v>
      </c>
      <c r="M1300" s="1110" t="s">
        <v>1585</v>
      </c>
      <c r="N1300" s="1108" t="s">
        <v>1400</v>
      </c>
      <c r="O1300" s="1111" t="s">
        <v>1586</v>
      </c>
    </row>
    <row r="1301" spans="2:15" ht="25.15" customHeight="1">
      <c r="C1301" s="1108" t="s">
        <v>595</v>
      </c>
      <c r="D1301" s="1109" t="s">
        <v>310</v>
      </c>
      <c r="F1301" s="821">
        <v>4</v>
      </c>
      <c r="G1301" s="179">
        <v>46013</v>
      </c>
      <c r="H1301" s="832">
        <v>1</v>
      </c>
      <c r="I1301" s="1063">
        <v>0.34027777777777773</v>
      </c>
      <c r="J1301" s="1063">
        <v>0.35069444444444442</v>
      </c>
      <c r="K1301" s="417">
        <f t="shared" si="36"/>
        <v>0.25000000000000044</v>
      </c>
      <c r="L1301" s="17">
        <v>46013</v>
      </c>
      <c r="M1301" s="1110" t="s">
        <v>1585</v>
      </c>
      <c r="N1301" s="1108" t="s">
        <v>1400</v>
      </c>
      <c r="O1301" s="1111" t="s">
        <v>1589</v>
      </c>
    </row>
    <row r="1302" spans="2:15" ht="25.15" customHeight="1">
      <c r="C1302" s="1108" t="s">
        <v>1587</v>
      </c>
      <c r="D1302" s="1109" t="s">
        <v>1588</v>
      </c>
      <c r="F1302" s="821">
        <v>4</v>
      </c>
      <c r="G1302" s="179">
        <v>46013</v>
      </c>
      <c r="H1302" s="832">
        <v>1</v>
      </c>
      <c r="I1302" s="1063">
        <v>0.35069444444444442</v>
      </c>
      <c r="J1302" s="1063">
        <v>0.3611111111111111</v>
      </c>
      <c r="K1302" s="417">
        <f t="shared" si="36"/>
        <v>0.25000000000000044</v>
      </c>
      <c r="L1302" s="17">
        <v>46013</v>
      </c>
      <c r="M1302" s="1110" t="s">
        <v>1585</v>
      </c>
      <c r="N1302" s="1108" t="s">
        <v>1400</v>
      </c>
      <c r="O1302" s="1111" t="s">
        <v>1589</v>
      </c>
    </row>
    <row r="1303" spans="2:15" ht="25.15" customHeight="1">
      <c r="B1303" s="1009" t="s">
        <v>557</v>
      </c>
      <c r="C1303" s="1112" t="s">
        <v>1590</v>
      </c>
      <c r="D1303" s="1097" t="s">
        <v>1560</v>
      </c>
      <c r="F1303" s="821">
        <v>16</v>
      </c>
      <c r="G1303" s="179">
        <v>46013</v>
      </c>
      <c r="H1303" s="832">
        <v>1</v>
      </c>
      <c r="I1303" s="1063">
        <v>0.54861111111111105</v>
      </c>
      <c r="J1303" s="1063">
        <v>0.56944444444444442</v>
      </c>
      <c r="K1303" s="417">
        <f t="shared" si="36"/>
        <v>0.50000000000000089</v>
      </c>
      <c r="L1303" s="17">
        <v>46013</v>
      </c>
      <c r="M1303" s="1110" t="s">
        <v>1585</v>
      </c>
      <c r="N1303" s="294" t="s">
        <v>1184</v>
      </c>
      <c r="O1303" s="2" t="s">
        <v>151</v>
      </c>
    </row>
    <row r="1304" spans="2:15" ht="25.15" customHeight="1">
      <c r="B1304" s="1009" t="s">
        <v>557</v>
      </c>
      <c r="C1304" s="1113" t="s">
        <v>1522</v>
      </c>
      <c r="D1304" s="1097" t="s">
        <v>1560</v>
      </c>
      <c r="F1304" s="821">
        <v>62</v>
      </c>
      <c r="G1304" s="179">
        <v>46014</v>
      </c>
      <c r="H1304" s="832">
        <v>2</v>
      </c>
      <c r="I1304" s="1063">
        <v>0.375</v>
      </c>
      <c r="J1304" s="1063">
        <v>0.38541666666666669</v>
      </c>
      <c r="K1304" s="417">
        <f t="shared" si="36"/>
        <v>0.50000000000000089</v>
      </c>
      <c r="L1304" s="17">
        <v>46014</v>
      </c>
      <c r="M1304" s="1110" t="s">
        <v>1585</v>
      </c>
      <c r="N1304" s="294" t="s">
        <v>1184</v>
      </c>
      <c r="O1304" s="2" t="s">
        <v>151</v>
      </c>
    </row>
    <row r="1305" spans="2:15" ht="25.15" customHeight="1">
      <c r="B1305" s="1009" t="s">
        <v>557</v>
      </c>
      <c r="C1305" s="1113" t="s">
        <v>1591</v>
      </c>
      <c r="D1305" s="1097" t="s">
        <v>1560</v>
      </c>
      <c r="F1305" s="821">
        <v>48</v>
      </c>
      <c r="G1305" s="179">
        <v>46014</v>
      </c>
      <c r="H1305" s="832">
        <v>2</v>
      </c>
      <c r="I1305" s="1063">
        <v>0.41666666666666669</v>
      </c>
      <c r="J1305" s="1063">
        <v>0.42708333333333331</v>
      </c>
      <c r="K1305" s="417">
        <f t="shared" si="36"/>
        <v>0.49999999999999822</v>
      </c>
      <c r="L1305" s="17">
        <v>46014</v>
      </c>
      <c r="M1305" s="1110" t="s">
        <v>1585</v>
      </c>
      <c r="N1305" s="294" t="s">
        <v>1184</v>
      </c>
      <c r="O1305" s="2" t="s">
        <v>151</v>
      </c>
    </row>
    <row r="1306" spans="2:15" ht="25.15" customHeight="1">
      <c r="B1306" s="1009" t="s">
        <v>557</v>
      </c>
      <c r="C1306" s="1114" t="s">
        <v>1592</v>
      </c>
      <c r="D1306" s="1097" t="s">
        <v>1560</v>
      </c>
      <c r="F1306" s="821">
        <v>44</v>
      </c>
      <c r="G1306" s="179">
        <v>46015</v>
      </c>
      <c r="H1306" s="832">
        <v>2</v>
      </c>
      <c r="I1306" s="1063">
        <v>0.625</v>
      </c>
      <c r="J1306" s="1063">
        <v>0.63541666666666663</v>
      </c>
      <c r="K1306" s="417">
        <f t="shared" si="36"/>
        <v>0.49999999999999822</v>
      </c>
      <c r="L1306" s="17">
        <v>46015</v>
      </c>
      <c r="M1306" s="1110" t="s">
        <v>1585</v>
      </c>
      <c r="N1306" s="294" t="s">
        <v>1184</v>
      </c>
      <c r="O1306" s="2" t="s">
        <v>151</v>
      </c>
    </row>
    <row r="1307" spans="2:15" ht="25.15" customHeight="1">
      <c r="C1307" s="1114" t="s">
        <v>1593</v>
      </c>
      <c r="D1307" s="1115" t="s">
        <v>1417</v>
      </c>
      <c r="E1307" s="294">
        <v>2</v>
      </c>
      <c r="F1307" s="821">
        <v>8</v>
      </c>
      <c r="G1307" s="179">
        <v>46015</v>
      </c>
      <c r="H1307" s="832">
        <v>2</v>
      </c>
      <c r="I1307" s="1063">
        <v>0.61111111111111105</v>
      </c>
      <c r="J1307" s="1063">
        <v>0.62152777777777779</v>
      </c>
      <c r="K1307" s="417">
        <f t="shared" si="36"/>
        <v>0.50000000000000355</v>
      </c>
      <c r="L1307" s="17">
        <v>46015</v>
      </c>
      <c r="M1307" s="1110" t="s">
        <v>1585</v>
      </c>
      <c r="N1307" s="1118" t="s">
        <v>185</v>
      </c>
      <c r="O1307" s="1116" t="s">
        <v>1594</v>
      </c>
    </row>
    <row r="1308" spans="2:15" ht="25.15" customHeight="1">
      <c r="C1308" s="1114" t="s">
        <v>1593</v>
      </c>
      <c r="D1308" s="1117" t="s">
        <v>1595</v>
      </c>
      <c r="E1308" s="294">
        <v>2</v>
      </c>
      <c r="F1308" s="821">
        <v>2</v>
      </c>
      <c r="G1308" s="179">
        <v>46015</v>
      </c>
      <c r="H1308" s="832">
        <v>2</v>
      </c>
      <c r="I1308" s="1063">
        <v>0.63194444444444442</v>
      </c>
      <c r="J1308" s="1063">
        <v>0.63541666666666663</v>
      </c>
      <c r="K1308" s="417">
        <f t="shared" si="36"/>
        <v>0.16666666666666607</v>
      </c>
      <c r="L1308" s="17">
        <v>46015</v>
      </c>
      <c r="M1308" s="1110" t="s">
        <v>1585</v>
      </c>
      <c r="N1308" s="1118" t="s">
        <v>185</v>
      </c>
      <c r="O1308" s="1116" t="s">
        <v>1594</v>
      </c>
    </row>
    <row r="1309" spans="2:15" ht="25.15" customHeight="1">
      <c r="C1309" s="1114" t="s">
        <v>1593</v>
      </c>
      <c r="D1309" s="1117" t="s">
        <v>1596</v>
      </c>
      <c r="E1309" s="294">
        <v>2</v>
      </c>
      <c r="F1309" s="821">
        <v>2</v>
      </c>
      <c r="G1309" s="179">
        <v>46015</v>
      </c>
      <c r="H1309" s="832">
        <v>2</v>
      </c>
      <c r="I1309" s="1063">
        <v>0.63541666666666663</v>
      </c>
      <c r="J1309" s="1063">
        <v>0.63888888888888895</v>
      </c>
      <c r="K1309" s="417">
        <f t="shared" si="36"/>
        <v>0.1666666666666714</v>
      </c>
      <c r="L1309" s="17">
        <v>46015</v>
      </c>
      <c r="M1309" s="1110" t="s">
        <v>1585</v>
      </c>
      <c r="N1309" s="1118" t="s">
        <v>185</v>
      </c>
      <c r="O1309" s="1116" t="s">
        <v>1594</v>
      </c>
    </row>
    <row r="1310" spans="2:15" ht="25.15" customHeight="1">
      <c r="B1310" s="1009" t="s">
        <v>557</v>
      </c>
      <c r="C1310" s="1114" t="s">
        <v>1592</v>
      </c>
      <c r="D1310" s="1097" t="s">
        <v>1560</v>
      </c>
      <c r="F1310" s="821">
        <v>25</v>
      </c>
      <c r="G1310" s="179">
        <v>46017</v>
      </c>
      <c r="H1310" s="832">
        <v>2</v>
      </c>
      <c r="I1310" s="1063">
        <v>0.6875</v>
      </c>
      <c r="J1310" s="1063">
        <v>0.69791666666666663</v>
      </c>
      <c r="K1310" s="417">
        <f t="shared" si="36"/>
        <v>0.49999999999999822</v>
      </c>
      <c r="L1310" s="17">
        <v>46017</v>
      </c>
      <c r="M1310" s="1119" t="s">
        <v>1597</v>
      </c>
      <c r="N1310" s="294" t="s">
        <v>1184</v>
      </c>
      <c r="O1310" s="2" t="s">
        <v>151</v>
      </c>
    </row>
    <row r="1311" spans="2:15" ht="25.15" customHeight="1">
      <c r="B1311" s="1009" t="s">
        <v>557</v>
      </c>
      <c r="C1311" s="1120" t="s">
        <v>1598</v>
      </c>
      <c r="D1311" s="1097" t="s">
        <v>1560</v>
      </c>
      <c r="F1311" s="821">
        <v>35</v>
      </c>
      <c r="G1311" s="179">
        <v>46018</v>
      </c>
      <c r="H1311" s="832">
        <v>2</v>
      </c>
      <c r="I1311" s="1063">
        <v>0.38194444444444442</v>
      </c>
      <c r="J1311" s="1063">
        <v>0.3923611111111111</v>
      </c>
      <c r="K1311" s="417">
        <f t="shared" si="36"/>
        <v>0.50000000000000089</v>
      </c>
      <c r="L1311" s="17">
        <v>46018</v>
      </c>
      <c r="M1311" s="1119" t="s">
        <v>1597</v>
      </c>
      <c r="N1311" s="294" t="s">
        <v>1184</v>
      </c>
      <c r="O1311" s="2" t="s">
        <v>151</v>
      </c>
    </row>
    <row r="1312" spans="2:15" ht="25.15" customHeight="1">
      <c r="B1312" s="1009" t="s">
        <v>557</v>
      </c>
      <c r="C1312" s="1121" t="s">
        <v>1599</v>
      </c>
      <c r="D1312" s="1097" t="s">
        <v>1560</v>
      </c>
      <c r="F1312" s="821">
        <v>32</v>
      </c>
      <c r="G1312" s="179">
        <v>46020</v>
      </c>
      <c r="H1312" s="832">
        <v>2</v>
      </c>
      <c r="I1312" s="1063">
        <v>0.54861111111111105</v>
      </c>
      <c r="J1312" s="1063">
        <v>0.55555555555555558</v>
      </c>
      <c r="K1312" s="417">
        <f t="shared" si="36"/>
        <v>0.33333333333333748</v>
      </c>
      <c r="L1312" s="17">
        <v>46020</v>
      </c>
      <c r="M1312" s="1119" t="s">
        <v>1597</v>
      </c>
      <c r="N1312" s="294" t="s">
        <v>1184</v>
      </c>
      <c r="O1312" s="2" t="s">
        <v>151</v>
      </c>
    </row>
    <row r="1313" spans="2:15" ht="25.15" customHeight="1">
      <c r="B1313" s="1009" t="s">
        <v>557</v>
      </c>
      <c r="C1313" s="1121" t="s">
        <v>1600</v>
      </c>
      <c r="D1313" s="1097" t="s">
        <v>1560</v>
      </c>
      <c r="F1313" s="821">
        <v>36</v>
      </c>
      <c r="G1313" s="179">
        <v>46020</v>
      </c>
      <c r="H1313" s="832">
        <v>2</v>
      </c>
      <c r="I1313" s="1063">
        <v>0.55555555555555558</v>
      </c>
      <c r="J1313" s="1063">
        <v>0.56597222222222221</v>
      </c>
      <c r="K1313" s="417">
        <f t="shared" si="36"/>
        <v>0.49999999999999822</v>
      </c>
      <c r="L1313" s="17">
        <v>46020</v>
      </c>
      <c r="M1313" s="1119" t="s">
        <v>1597</v>
      </c>
      <c r="N1313" s="294" t="s">
        <v>1184</v>
      </c>
      <c r="O1313" s="2" t="s">
        <v>151</v>
      </c>
    </row>
    <row r="1314" spans="2:15" ht="25.15" customHeight="1">
      <c r="B1314" s="1009" t="s">
        <v>557</v>
      </c>
      <c r="C1314" s="1121" t="s">
        <v>1441</v>
      </c>
      <c r="D1314" s="1097" t="s">
        <v>1560</v>
      </c>
      <c r="F1314" s="821">
        <v>48</v>
      </c>
      <c r="G1314" s="179">
        <v>46020</v>
      </c>
      <c r="H1314" s="832">
        <v>2</v>
      </c>
      <c r="I1314" s="1063">
        <v>0.56597222222222221</v>
      </c>
      <c r="J1314" s="1063">
        <v>0.57638888888888895</v>
      </c>
      <c r="K1314" s="417">
        <f t="shared" si="36"/>
        <v>0.50000000000000355</v>
      </c>
      <c r="L1314" s="17">
        <v>46020</v>
      </c>
      <c r="M1314" s="1119" t="s">
        <v>1597</v>
      </c>
      <c r="N1314" s="294" t="s">
        <v>1184</v>
      </c>
      <c r="O1314" s="2" t="s">
        <v>151</v>
      </c>
    </row>
    <row r="1315" spans="2:15" ht="25.15" customHeight="1">
      <c r="B1315" s="1009" t="s">
        <v>557</v>
      </c>
      <c r="C1315" s="1121" t="s">
        <v>1601</v>
      </c>
      <c r="D1315" s="1097" t="s">
        <v>1560</v>
      </c>
      <c r="F1315" s="821">
        <v>47</v>
      </c>
      <c r="G1315" s="179">
        <v>46020</v>
      </c>
      <c r="H1315" s="832">
        <v>2</v>
      </c>
      <c r="I1315" s="1063">
        <v>0.57638888888888895</v>
      </c>
      <c r="J1315" s="1063">
        <v>0.59027777777777779</v>
      </c>
      <c r="K1315" s="417">
        <f t="shared" si="36"/>
        <v>0.6666666666666643</v>
      </c>
      <c r="L1315" s="17">
        <v>46020</v>
      </c>
      <c r="M1315" s="1119" t="s">
        <v>1597</v>
      </c>
      <c r="N1315" s="294" t="s">
        <v>1184</v>
      </c>
      <c r="O1315" s="2" t="s">
        <v>151</v>
      </c>
    </row>
    <row r="1316" spans="2:15" ht="25.15" customHeight="1">
      <c r="B1316" s="1009" t="s">
        <v>557</v>
      </c>
      <c r="C1316" s="1123" t="s">
        <v>1424</v>
      </c>
      <c r="D1316" s="1097" t="s">
        <v>1560</v>
      </c>
      <c r="F1316" s="821">
        <v>40</v>
      </c>
      <c r="G1316" s="179">
        <v>46021</v>
      </c>
      <c r="H1316" s="832">
        <v>2</v>
      </c>
      <c r="I1316" s="1063">
        <v>0.58333333333333337</v>
      </c>
      <c r="J1316" s="1063">
        <v>0.60416666666666663</v>
      </c>
      <c r="K1316" s="417">
        <f t="shared" si="36"/>
        <v>0.99999999999999645</v>
      </c>
      <c r="L1316" s="17">
        <v>46021</v>
      </c>
      <c r="M1316" s="1119" t="s">
        <v>1597</v>
      </c>
      <c r="N1316" s="294" t="s">
        <v>1184</v>
      </c>
      <c r="O1316" s="2" t="s">
        <v>151</v>
      </c>
    </row>
    <row r="1317" spans="2:15" ht="25.15" customHeight="1">
      <c r="B1317" s="1009" t="s">
        <v>557</v>
      </c>
      <c r="C1317" s="1123" t="s">
        <v>1592</v>
      </c>
      <c r="D1317" s="1097" t="s">
        <v>1560</v>
      </c>
      <c r="F1317" s="821">
        <v>40</v>
      </c>
      <c r="G1317" s="179">
        <v>46021</v>
      </c>
      <c r="H1317" s="832">
        <v>2</v>
      </c>
      <c r="I1317" s="1063">
        <v>0.60416666666666663</v>
      </c>
      <c r="J1317" s="1063">
        <v>0.625</v>
      </c>
      <c r="K1317" s="417">
        <f t="shared" si="36"/>
        <v>1.0000000000000018</v>
      </c>
      <c r="L1317" s="17">
        <v>46021</v>
      </c>
      <c r="M1317" s="1119" t="s">
        <v>1597</v>
      </c>
      <c r="N1317" s="294" t="s">
        <v>1184</v>
      </c>
      <c r="O1317" s="2" t="s">
        <v>151</v>
      </c>
    </row>
    <row r="1318" spans="2:15" ht="25.15" customHeight="1">
      <c r="C1318" s="1123" t="s">
        <v>309</v>
      </c>
      <c r="D1318" s="1124" t="s">
        <v>878</v>
      </c>
      <c r="F1318" s="821">
        <v>2</v>
      </c>
      <c r="G1318" s="179">
        <v>46021</v>
      </c>
      <c r="H1318" s="832">
        <v>1</v>
      </c>
      <c r="I1318" s="1063">
        <v>0.59375</v>
      </c>
      <c r="J1318" s="1063">
        <v>0.60416666666666663</v>
      </c>
      <c r="K1318" s="417">
        <f t="shared" si="36"/>
        <v>0.24999999999999911</v>
      </c>
      <c r="L1318" s="17">
        <v>46021</v>
      </c>
      <c r="M1318" s="1119" t="s">
        <v>1597</v>
      </c>
      <c r="N1318" s="1123" t="s">
        <v>79</v>
      </c>
      <c r="O1318" s="1125" t="s">
        <v>1602</v>
      </c>
    </row>
    <row r="1319" spans="2:15" ht="25.15" customHeight="1">
      <c r="B1319" s="1009" t="s">
        <v>557</v>
      </c>
      <c r="C1319" s="1126" t="s">
        <v>1603</v>
      </c>
      <c r="D1319" s="1097" t="s">
        <v>1560</v>
      </c>
      <c r="F1319" s="821">
        <v>50</v>
      </c>
      <c r="G1319" s="179">
        <v>46022</v>
      </c>
      <c r="H1319" s="832">
        <v>2</v>
      </c>
      <c r="I1319" s="1063">
        <v>0.47222222222222227</v>
      </c>
      <c r="J1319" s="1063">
        <v>0.4861111111111111</v>
      </c>
      <c r="K1319" s="417">
        <f t="shared" si="36"/>
        <v>0.6666666666666643</v>
      </c>
      <c r="L1319" s="17">
        <v>46022</v>
      </c>
      <c r="M1319" s="1119" t="s">
        <v>1597</v>
      </c>
      <c r="N1319" s="294" t="s">
        <v>1184</v>
      </c>
      <c r="O1319" s="2" t="s">
        <v>151</v>
      </c>
    </row>
    <row r="1320" spans="2:15" ht="25.15" customHeight="1">
      <c r="B1320" s="1009" t="s">
        <v>557</v>
      </c>
      <c r="C1320" s="1127" t="s">
        <v>1441</v>
      </c>
      <c r="D1320" s="1097" t="s">
        <v>1560</v>
      </c>
      <c r="F1320" s="821">
        <v>45</v>
      </c>
      <c r="G1320" s="179">
        <v>46024</v>
      </c>
      <c r="H1320" s="832">
        <v>2</v>
      </c>
      <c r="I1320" s="1122">
        <v>0.54861111111111105</v>
      </c>
      <c r="J1320" s="1122">
        <v>0.5625</v>
      </c>
      <c r="K1320" s="417">
        <f t="shared" si="36"/>
        <v>0.66666666666666963</v>
      </c>
      <c r="L1320" s="17">
        <v>46024</v>
      </c>
      <c r="M1320" s="1128" t="s">
        <v>1604</v>
      </c>
      <c r="N1320" s="294" t="s">
        <v>1184</v>
      </c>
      <c r="O1320" s="2" t="s">
        <v>151</v>
      </c>
    </row>
    <row r="1321" spans="2:15" ht="25.15" customHeight="1">
      <c r="B1321" s="1009" t="s">
        <v>557</v>
      </c>
      <c r="C1321" s="1129" t="s">
        <v>1581</v>
      </c>
      <c r="D1321" s="1097" t="s">
        <v>1560</v>
      </c>
      <c r="F1321" s="821">
        <v>80</v>
      </c>
      <c r="G1321" s="179">
        <v>46025</v>
      </c>
      <c r="H1321" s="832">
        <v>2</v>
      </c>
      <c r="I1321" s="1122">
        <v>0.67361111111111116</v>
      </c>
      <c r="J1321" s="1122">
        <v>0.70138888888888884</v>
      </c>
      <c r="K1321" s="417">
        <f t="shared" si="36"/>
        <v>1.3333333333333286</v>
      </c>
      <c r="L1321" s="17">
        <v>46025</v>
      </c>
      <c r="M1321" s="1128" t="s">
        <v>1604</v>
      </c>
      <c r="N1321" s="294" t="s">
        <v>1184</v>
      </c>
      <c r="O1321" s="2" t="s">
        <v>151</v>
      </c>
    </row>
    <row r="1322" spans="2:15" ht="25.15" customHeight="1">
      <c r="B1322" s="1130"/>
      <c r="C1322" s="1130" t="s">
        <v>1605</v>
      </c>
      <c r="D1322" s="1131" t="s">
        <v>864</v>
      </c>
      <c r="F1322" s="821">
        <v>3</v>
      </c>
      <c r="G1322" s="179">
        <v>46034</v>
      </c>
      <c r="H1322" s="832">
        <v>1</v>
      </c>
      <c r="I1322" s="1063">
        <v>0.63888888888888895</v>
      </c>
      <c r="J1322" s="1063">
        <v>0.64166666666666672</v>
      </c>
      <c r="K1322" s="417">
        <f t="shared" si="36"/>
        <v>6.666666666666643E-2</v>
      </c>
      <c r="L1322" s="17">
        <v>46034</v>
      </c>
      <c r="M1322" s="1133" t="s">
        <v>1607</v>
      </c>
      <c r="N1322" s="1130" t="s">
        <v>9</v>
      </c>
      <c r="O1322" s="1132" t="s">
        <v>1606</v>
      </c>
    </row>
    <row r="1323" spans="2:15" ht="25.15" customHeight="1">
      <c r="C1323" s="1130" t="s">
        <v>1605</v>
      </c>
      <c r="D1323" s="1131" t="s">
        <v>375</v>
      </c>
      <c r="F1323" s="821">
        <v>6</v>
      </c>
      <c r="G1323" s="179">
        <v>46034</v>
      </c>
      <c r="H1323" s="832">
        <v>1</v>
      </c>
      <c r="I1323" s="1063">
        <v>0.64236111111111105</v>
      </c>
      <c r="J1323" s="1063">
        <v>0.64652777777777781</v>
      </c>
      <c r="K1323" s="417">
        <f t="shared" si="36"/>
        <v>0.10000000000000231</v>
      </c>
      <c r="L1323" s="17">
        <v>46034</v>
      </c>
      <c r="M1323" s="1133" t="s">
        <v>1607</v>
      </c>
      <c r="N1323" s="1130" t="s">
        <v>9</v>
      </c>
      <c r="O1323" s="1132" t="s">
        <v>1606</v>
      </c>
    </row>
    <row r="1324" spans="2:15" ht="25.15" customHeight="1">
      <c r="B1324" s="1009" t="s">
        <v>557</v>
      </c>
      <c r="C1324" s="1113" t="s">
        <v>1591</v>
      </c>
      <c r="D1324" s="1097" t="s">
        <v>1560</v>
      </c>
      <c r="F1324" s="821">
        <v>42</v>
      </c>
      <c r="G1324" s="179">
        <v>46035</v>
      </c>
      <c r="H1324" s="832">
        <v>1</v>
      </c>
      <c r="I1324" s="1063">
        <v>0.60416666666666663</v>
      </c>
      <c r="J1324" s="1063">
        <v>0.64583333333333337</v>
      </c>
      <c r="K1324" s="417">
        <f t="shared" si="36"/>
        <v>1.0000000000000018</v>
      </c>
      <c r="L1324" s="17">
        <v>46035</v>
      </c>
      <c r="M1324" s="1133" t="s">
        <v>1607</v>
      </c>
      <c r="N1324" s="1134" t="s">
        <v>1184</v>
      </c>
      <c r="O1324" s="1135" t="s">
        <v>151</v>
      </c>
    </row>
    <row r="1325" spans="2:15" ht="25.15" customHeight="1">
      <c r="C1325" s="1134" t="s">
        <v>1610</v>
      </c>
      <c r="D1325" s="1136" t="s">
        <v>439</v>
      </c>
      <c r="F1325" s="821">
        <v>10</v>
      </c>
      <c r="G1325" s="179">
        <v>46035</v>
      </c>
      <c r="H1325" s="832">
        <v>1</v>
      </c>
      <c r="I1325" s="1063">
        <v>0.54861111111111105</v>
      </c>
      <c r="J1325" s="1063">
        <v>0.55902777777777779</v>
      </c>
      <c r="K1325" s="417">
        <f t="shared" si="36"/>
        <v>0.25000000000000178</v>
      </c>
      <c r="L1325" s="17">
        <v>46035</v>
      </c>
      <c r="M1325" s="1133" t="s">
        <v>1607</v>
      </c>
      <c r="N1325" s="1134" t="s">
        <v>1608</v>
      </c>
      <c r="O1325" s="1135" t="s">
        <v>1609</v>
      </c>
    </row>
    <row r="1326" spans="2:15" ht="25.15" customHeight="1">
      <c r="C1326" s="1134" t="s">
        <v>1611</v>
      </c>
      <c r="D1326" s="1136" t="s">
        <v>439</v>
      </c>
      <c r="F1326" s="821">
        <v>10</v>
      </c>
      <c r="G1326" s="179">
        <v>46035</v>
      </c>
      <c r="H1326" s="832">
        <v>1</v>
      </c>
      <c r="I1326" s="1063">
        <v>0.55902777777777779</v>
      </c>
      <c r="J1326" s="1063">
        <v>0.56944444444444442</v>
      </c>
      <c r="K1326" s="417">
        <f t="shared" si="36"/>
        <v>0.24999999999999911</v>
      </c>
      <c r="L1326" s="17">
        <v>46035</v>
      </c>
      <c r="M1326" s="1133" t="s">
        <v>1607</v>
      </c>
      <c r="N1326" s="1134" t="s">
        <v>1608</v>
      </c>
      <c r="O1326" s="1135" t="s">
        <v>1609</v>
      </c>
    </row>
    <row r="1327" spans="2:15" ht="25.15" customHeight="1">
      <c r="C1327" s="1134" t="s">
        <v>1612</v>
      </c>
      <c r="D1327" s="1136" t="s">
        <v>1613</v>
      </c>
      <c r="F1327" s="821">
        <v>10</v>
      </c>
      <c r="G1327" s="179">
        <v>46035</v>
      </c>
      <c r="H1327" s="832">
        <v>1</v>
      </c>
      <c r="I1327" s="1063">
        <v>0.56944444444444442</v>
      </c>
      <c r="J1327" s="1063">
        <v>0.57986111111111105</v>
      </c>
      <c r="K1327" s="417">
        <f t="shared" si="36"/>
        <v>0.24999999999999911</v>
      </c>
      <c r="L1327" s="17">
        <v>46035</v>
      </c>
      <c r="M1327" s="1133" t="s">
        <v>1607</v>
      </c>
      <c r="N1327" s="1134" t="s">
        <v>1608</v>
      </c>
      <c r="O1327" s="1135" t="s">
        <v>1609</v>
      </c>
    </row>
    <row r="1328" spans="2:15" ht="25.15" customHeight="1">
      <c r="C1328" s="1134" t="s">
        <v>1614</v>
      </c>
      <c r="D1328" s="1136" t="s">
        <v>1613</v>
      </c>
      <c r="F1328" s="821">
        <v>10</v>
      </c>
      <c r="G1328" s="179">
        <v>46035</v>
      </c>
      <c r="H1328" s="832">
        <v>1</v>
      </c>
      <c r="I1328" s="1063">
        <v>0.57986111111111105</v>
      </c>
      <c r="J1328" s="1063">
        <v>0.59027777777777779</v>
      </c>
      <c r="K1328" s="417">
        <f t="shared" si="36"/>
        <v>0.25000000000000178</v>
      </c>
      <c r="L1328" s="17">
        <v>46035</v>
      </c>
      <c r="M1328" s="1133" t="s">
        <v>1607</v>
      </c>
      <c r="N1328" s="1134" t="s">
        <v>1608</v>
      </c>
      <c r="O1328" s="1135" t="s">
        <v>1609</v>
      </c>
    </row>
    <row r="1329" spans="2:15" ht="25.15" customHeight="1">
      <c r="C1329" s="1137" t="s">
        <v>1615</v>
      </c>
      <c r="D1329" s="1138" t="s">
        <v>1560</v>
      </c>
      <c r="F1329" s="821">
        <v>15</v>
      </c>
      <c r="G1329" s="179">
        <v>46036</v>
      </c>
      <c r="H1329" s="832">
        <v>2</v>
      </c>
      <c r="I1329" s="1063">
        <v>0.3125</v>
      </c>
      <c r="J1329" s="1063">
        <v>0.46875</v>
      </c>
      <c r="K1329" s="417">
        <f t="shared" si="36"/>
        <v>7.5</v>
      </c>
      <c r="L1329" s="17">
        <v>46036</v>
      </c>
      <c r="M1329" s="1133" t="s">
        <v>1607</v>
      </c>
      <c r="N1329" s="1137" t="s">
        <v>1184</v>
      </c>
      <c r="O1329" s="2" t="s">
        <v>151</v>
      </c>
    </row>
    <row r="1330" spans="2:15" ht="25.15" customHeight="1">
      <c r="C1330" s="1137" t="s">
        <v>1616</v>
      </c>
      <c r="D1330" s="1138" t="s">
        <v>107</v>
      </c>
      <c r="F1330" s="821">
        <v>80</v>
      </c>
      <c r="G1330" s="179">
        <v>46036</v>
      </c>
      <c r="H1330" s="832">
        <v>6</v>
      </c>
      <c r="I1330" s="1063">
        <v>0.5625</v>
      </c>
      <c r="J1330" s="1063">
        <v>0.57638888888888895</v>
      </c>
      <c r="K1330" s="417">
        <f t="shared" si="36"/>
        <v>2.0000000000000089</v>
      </c>
      <c r="L1330" s="17">
        <v>46036</v>
      </c>
      <c r="M1330" s="1133" t="s">
        <v>1607</v>
      </c>
      <c r="N1330" s="1137" t="s">
        <v>79</v>
      </c>
      <c r="O1330" s="1139" t="s">
        <v>1617</v>
      </c>
    </row>
    <row r="1331" spans="2:15" ht="25.15" customHeight="1">
      <c r="C1331" s="1140" t="s">
        <v>1618</v>
      </c>
      <c r="D1331" s="1141" t="s">
        <v>1046</v>
      </c>
      <c r="F1331" s="821">
        <v>2</v>
      </c>
      <c r="G1331" s="179">
        <v>46037</v>
      </c>
      <c r="H1331" s="832">
        <v>1</v>
      </c>
      <c r="I1331" s="1063">
        <v>0.58333333333333337</v>
      </c>
      <c r="J1331" s="1063">
        <v>0.60416666666666663</v>
      </c>
      <c r="K1331" s="417">
        <f t="shared" si="36"/>
        <v>0.49999999999999822</v>
      </c>
      <c r="L1331" s="17">
        <v>46037</v>
      </c>
      <c r="M1331" s="1133" t="s">
        <v>1607</v>
      </c>
      <c r="N1331" s="1140" t="s">
        <v>79</v>
      </c>
      <c r="O1331" s="1142" t="s">
        <v>1619</v>
      </c>
    </row>
    <row r="1332" spans="2:15" ht="25.15" customHeight="1">
      <c r="B1332" s="1009" t="s">
        <v>557</v>
      </c>
      <c r="C1332" s="1140" t="s">
        <v>1620</v>
      </c>
      <c r="D1332" s="1141" t="s">
        <v>1560</v>
      </c>
      <c r="F1332" s="821">
        <v>15</v>
      </c>
      <c r="G1332" s="179">
        <v>46037</v>
      </c>
      <c r="H1332" s="832">
        <v>1</v>
      </c>
      <c r="I1332" s="1063">
        <v>0.33333333333333331</v>
      </c>
      <c r="J1332" s="1063">
        <v>0.54166666666666663</v>
      </c>
      <c r="K1332" s="417">
        <f t="shared" si="36"/>
        <v>5</v>
      </c>
      <c r="L1332" s="17">
        <v>46037</v>
      </c>
      <c r="M1332" s="1133" t="s">
        <v>1607</v>
      </c>
      <c r="N1332" s="1137" t="s">
        <v>1184</v>
      </c>
      <c r="O1332" s="2" t="s">
        <v>151</v>
      </c>
    </row>
    <row r="1333" spans="2:15" ht="25.15" customHeight="1">
      <c r="C1333" s="1153" t="s">
        <v>1494</v>
      </c>
      <c r="D1333" s="1154" t="s">
        <v>1632</v>
      </c>
      <c r="F1333" s="821">
        <v>50</v>
      </c>
      <c r="G1333" s="1155">
        <v>46048</v>
      </c>
      <c r="H1333" s="832">
        <v>1</v>
      </c>
      <c r="I1333" s="1063">
        <v>0.66666666666666663</v>
      </c>
      <c r="J1333" s="1063">
        <v>0.68402777777777779</v>
      </c>
      <c r="K1333" s="417">
        <f t="shared" si="36"/>
        <v>0.41666666666666785</v>
      </c>
      <c r="L1333" s="17">
        <v>46048</v>
      </c>
      <c r="M1333" s="1156" t="s">
        <v>1633</v>
      </c>
      <c r="N1333" s="1153" t="s">
        <v>185</v>
      </c>
      <c r="O1333" s="1157" t="s">
        <v>1169</v>
      </c>
    </row>
    <row r="1334" spans="2:15" ht="25.15" customHeight="1">
      <c r="C1334" s="1153" t="s">
        <v>1631</v>
      </c>
      <c r="D1334" s="1154" t="s">
        <v>1632</v>
      </c>
      <c r="F1334" s="821">
        <v>50</v>
      </c>
      <c r="G1334" s="179">
        <v>46048</v>
      </c>
      <c r="H1334" s="832">
        <v>1</v>
      </c>
      <c r="I1334" s="1063">
        <v>0.6875</v>
      </c>
      <c r="J1334" s="1063">
        <v>0.70486111111111116</v>
      </c>
      <c r="K1334" s="417">
        <f t="shared" si="36"/>
        <v>0.41666666666666785</v>
      </c>
      <c r="L1334" s="17">
        <v>46048</v>
      </c>
      <c r="M1334" s="1156" t="s">
        <v>1633</v>
      </c>
      <c r="N1334" s="1153" t="s">
        <v>185</v>
      </c>
      <c r="O1334" s="1157" t="s">
        <v>1169</v>
      </c>
    </row>
    <row r="1335" spans="2:15" ht="25.15" customHeight="1">
      <c r="B1335" s="1009" t="s">
        <v>557</v>
      </c>
      <c r="C1335" s="1144" t="s">
        <v>91</v>
      </c>
      <c r="D1335" s="1141" t="s">
        <v>1560</v>
      </c>
      <c r="F1335" s="821">
        <v>30</v>
      </c>
      <c r="G1335" s="179">
        <v>46041</v>
      </c>
      <c r="H1335" s="832">
        <v>1</v>
      </c>
      <c r="I1335" s="1152">
        <v>0.375</v>
      </c>
      <c r="J1335" s="1152">
        <v>0.39583333333333331</v>
      </c>
      <c r="K1335" s="417">
        <f t="shared" si="36"/>
        <v>0.49999999999999956</v>
      </c>
      <c r="L1335" s="17">
        <v>46041</v>
      </c>
      <c r="M1335" s="1143" t="s">
        <v>1621</v>
      </c>
      <c r="N1335" s="1137" t="s">
        <v>1184</v>
      </c>
    </row>
    <row r="1336" spans="2:15" ht="25.15" customHeight="1">
      <c r="C1336" s="1144" t="s">
        <v>1622</v>
      </c>
      <c r="D1336" s="1145" t="s">
        <v>375</v>
      </c>
      <c r="F1336" s="821">
        <v>2</v>
      </c>
      <c r="G1336" s="179">
        <v>46041</v>
      </c>
      <c r="H1336" s="832">
        <v>1</v>
      </c>
      <c r="I1336" s="1152">
        <v>0.375</v>
      </c>
      <c r="J1336" s="1152">
        <v>0.38194444444444442</v>
      </c>
      <c r="K1336" s="417">
        <f>(J1336-I1336)*24*H1336</f>
        <v>0.16666666666666607</v>
      </c>
      <c r="L1336" s="17">
        <v>46041</v>
      </c>
      <c r="M1336" s="1143" t="s">
        <v>1621</v>
      </c>
      <c r="O1336" s="1146" t="s">
        <v>1623</v>
      </c>
    </row>
    <row r="1337" spans="2:15" ht="25.15" customHeight="1">
      <c r="C1337" s="1149" t="s">
        <v>1626</v>
      </c>
      <c r="D1337" s="1147" t="s">
        <v>1624</v>
      </c>
      <c r="F1337" s="821">
        <v>16</v>
      </c>
      <c r="G1337" s="179">
        <v>46044</v>
      </c>
      <c r="H1337" s="832">
        <v>2</v>
      </c>
      <c r="I1337" s="1152">
        <v>0.33333333333333331</v>
      </c>
      <c r="J1337" s="1152">
        <v>0.40625</v>
      </c>
      <c r="K1337" s="417">
        <f t="shared" ref="K1337:K1340" si="37">(J1337-I1337)*24*H1337</f>
        <v>3.5000000000000009</v>
      </c>
      <c r="L1337" s="17">
        <v>46044</v>
      </c>
      <c r="M1337" s="1143" t="s">
        <v>1621</v>
      </c>
      <c r="N1337" s="1140" t="s">
        <v>79</v>
      </c>
      <c r="O1337" s="1148" t="s">
        <v>1625</v>
      </c>
    </row>
    <row r="1338" spans="2:15" ht="25.15" customHeight="1">
      <c r="C1338" s="1149" t="s">
        <v>307</v>
      </c>
      <c r="D1338" s="1150" t="s">
        <v>107</v>
      </c>
      <c r="F1338" s="821">
        <v>4</v>
      </c>
      <c r="G1338" s="179">
        <v>46045</v>
      </c>
      <c r="H1338" s="832">
        <v>1</v>
      </c>
      <c r="I1338" s="1152">
        <v>0.375</v>
      </c>
      <c r="J1338" s="1152">
        <v>0.41666666666666669</v>
      </c>
      <c r="K1338" s="417">
        <f t="shared" si="37"/>
        <v>1.0000000000000004</v>
      </c>
      <c r="L1338" s="17">
        <v>46045</v>
      </c>
      <c r="M1338" s="1143" t="s">
        <v>1621</v>
      </c>
      <c r="N1338" s="1140" t="s">
        <v>79</v>
      </c>
    </row>
    <row r="1339" spans="2:15" ht="25.15" customHeight="1">
      <c r="C1339" s="1149" t="s">
        <v>1627</v>
      </c>
      <c r="D1339" s="1150" t="s">
        <v>310</v>
      </c>
      <c r="F1339" s="821">
        <v>4</v>
      </c>
      <c r="G1339" s="179">
        <v>46045</v>
      </c>
      <c r="H1339" s="832">
        <v>2</v>
      </c>
      <c r="I1339" s="1152">
        <v>0.375</v>
      </c>
      <c r="J1339" s="1152">
        <v>0.39930555555555558</v>
      </c>
      <c r="K1339" s="417">
        <f t="shared" si="37"/>
        <v>1.1666666666666679</v>
      </c>
      <c r="L1339" s="17">
        <v>46045</v>
      </c>
      <c r="M1339" s="1143" t="s">
        <v>1621</v>
      </c>
      <c r="N1339" s="1140" t="s">
        <v>79</v>
      </c>
    </row>
    <row r="1340" spans="2:15" ht="25.15" customHeight="1">
      <c r="B1340" s="1151" t="s">
        <v>1628</v>
      </c>
      <c r="C1340" s="1149" t="s">
        <v>1629</v>
      </c>
      <c r="F1340" s="821">
        <v>1</v>
      </c>
      <c r="G1340" s="179">
        <v>46045</v>
      </c>
      <c r="H1340" s="1332">
        <v>2</v>
      </c>
      <c r="I1340" s="1335">
        <v>0.41666666666666669</v>
      </c>
      <c r="J1340" s="1335">
        <v>0.4375</v>
      </c>
      <c r="K1340" s="1338">
        <f t="shared" si="37"/>
        <v>0.99999999999999911</v>
      </c>
      <c r="L1340" s="1364">
        <v>46045</v>
      </c>
      <c r="M1340" s="1143" t="s">
        <v>1621</v>
      </c>
      <c r="N1340" s="1367" t="s">
        <v>79</v>
      </c>
    </row>
    <row r="1341" spans="2:15" ht="25.15" customHeight="1">
      <c r="B1341" s="1151" t="s">
        <v>1628</v>
      </c>
      <c r="C1341" s="1149" t="s">
        <v>1630</v>
      </c>
      <c r="F1341" s="821">
        <v>1</v>
      </c>
      <c r="G1341" s="179">
        <v>46045</v>
      </c>
      <c r="H1341" s="1334"/>
      <c r="I1341" s="1337"/>
      <c r="J1341" s="1337"/>
      <c r="K1341" s="1340"/>
      <c r="L1341" s="1366"/>
      <c r="M1341" s="1143" t="s">
        <v>1621</v>
      </c>
      <c r="N1341" s="1368"/>
    </row>
    <row r="1342" spans="2:15" ht="25.15" customHeight="1">
      <c r="B1342" s="1009" t="s">
        <v>557</v>
      </c>
      <c r="C1342" s="1158" t="s">
        <v>150</v>
      </c>
      <c r="D1342" s="1159" t="s">
        <v>1560</v>
      </c>
      <c r="F1342" s="821">
        <v>1</v>
      </c>
      <c r="G1342" s="179">
        <v>46049</v>
      </c>
      <c r="H1342" s="832">
        <v>1</v>
      </c>
      <c r="I1342" s="1063">
        <v>0.66666666666666663</v>
      </c>
      <c r="J1342" s="1063">
        <v>0.6875</v>
      </c>
      <c r="K1342" s="417">
        <f t="shared" si="36"/>
        <v>0.50000000000000089</v>
      </c>
      <c r="L1342" s="17">
        <v>46049</v>
      </c>
      <c r="M1342" s="1160" t="s">
        <v>1633</v>
      </c>
      <c r="N1342" s="294" t="s">
        <v>1184</v>
      </c>
      <c r="O1342" s="2" t="s">
        <v>151</v>
      </c>
    </row>
    <row r="1343" spans="2:15" ht="25.15" customHeight="1">
      <c r="B1343" s="1009" t="s">
        <v>557</v>
      </c>
      <c r="C1343" s="1161" t="s">
        <v>91</v>
      </c>
      <c r="D1343" s="1159" t="s">
        <v>1560</v>
      </c>
      <c r="F1343" s="821">
        <v>24</v>
      </c>
      <c r="G1343" s="179">
        <v>46050</v>
      </c>
      <c r="H1343" s="832">
        <v>2</v>
      </c>
      <c r="I1343" s="1063">
        <v>0.56944444444444442</v>
      </c>
      <c r="J1343" s="1063">
        <v>0.58333333333333337</v>
      </c>
      <c r="K1343" s="417">
        <f t="shared" si="36"/>
        <v>0.66666666666666963</v>
      </c>
      <c r="L1343" s="17">
        <v>46050</v>
      </c>
      <c r="M1343" s="1160" t="s">
        <v>1633</v>
      </c>
      <c r="N1343" s="294" t="s">
        <v>1184</v>
      </c>
      <c r="O1343" s="2" t="s">
        <v>151</v>
      </c>
    </row>
    <row r="1344" spans="2:15" ht="25.15" customHeight="1">
      <c r="C1344" s="1161" t="s">
        <v>1634</v>
      </c>
      <c r="D1344" s="1162" t="s">
        <v>107</v>
      </c>
      <c r="F1344" s="821">
        <v>1</v>
      </c>
      <c r="G1344" s="179">
        <v>46050</v>
      </c>
      <c r="H1344" s="832">
        <v>1</v>
      </c>
      <c r="I1344" s="1063">
        <v>0.59722222222222221</v>
      </c>
      <c r="J1344" s="1063">
        <v>0.61111111111111105</v>
      </c>
      <c r="K1344" s="417">
        <f t="shared" si="36"/>
        <v>0.33333333333333215</v>
      </c>
      <c r="L1344" s="17">
        <v>46050</v>
      </c>
      <c r="M1344" s="1160" t="s">
        <v>1633</v>
      </c>
      <c r="N1344" s="1161" t="s">
        <v>8</v>
      </c>
      <c r="O1344" s="1163" t="s">
        <v>1635</v>
      </c>
    </row>
    <row r="1345" spans="3:15" ht="25.15" customHeight="1">
      <c r="C1345" s="1164" t="s">
        <v>1636</v>
      </c>
      <c r="D1345" s="1165" t="s">
        <v>1637</v>
      </c>
      <c r="F1345" s="821">
        <v>3</v>
      </c>
      <c r="G1345" s="179">
        <v>46051</v>
      </c>
      <c r="H1345" s="832">
        <v>1</v>
      </c>
      <c r="I1345" s="1063">
        <v>0.64236111111111105</v>
      </c>
      <c r="J1345" s="1063">
        <v>0.64722222222222225</v>
      </c>
      <c r="K1345" s="417">
        <f t="shared" si="36"/>
        <v>0.11666666666666892</v>
      </c>
      <c r="L1345" s="17">
        <v>46051</v>
      </c>
      <c r="M1345" s="1160" t="s">
        <v>1633</v>
      </c>
      <c r="N1345" s="391" t="s">
        <v>1353</v>
      </c>
      <c r="O1345" s="1166" t="s">
        <v>1638</v>
      </c>
    </row>
    <row r="1346" spans="3:15" ht="25.15" customHeight="1">
      <c r="C1346" s="1164" t="s">
        <v>1636</v>
      </c>
      <c r="D1346" s="1165" t="s">
        <v>408</v>
      </c>
      <c r="F1346" s="821">
        <v>2</v>
      </c>
      <c r="G1346" s="179">
        <v>46051</v>
      </c>
      <c r="H1346" s="832">
        <v>1</v>
      </c>
      <c r="I1346" s="1063">
        <v>0.64930555555555558</v>
      </c>
      <c r="J1346" s="1063">
        <v>0.65277777777777779</v>
      </c>
      <c r="K1346" s="417">
        <f t="shared" si="36"/>
        <v>8.3333333333333037E-2</v>
      </c>
      <c r="L1346" s="17">
        <v>46051</v>
      </c>
      <c r="M1346" s="1160" t="s">
        <v>1633</v>
      </c>
      <c r="N1346" s="391" t="s">
        <v>1353</v>
      </c>
      <c r="O1346" s="1166" t="s">
        <v>1638</v>
      </c>
    </row>
    <row r="1347" spans="3:15" ht="25.15" customHeight="1">
      <c r="C1347" s="1167" t="s">
        <v>446</v>
      </c>
      <c r="D1347" s="1168" t="s">
        <v>107</v>
      </c>
      <c r="F1347" s="821">
        <v>2</v>
      </c>
      <c r="G1347" s="179">
        <v>46053</v>
      </c>
      <c r="H1347" s="832">
        <v>2</v>
      </c>
      <c r="I1347" s="1063">
        <v>0.2951388888888889</v>
      </c>
      <c r="J1347" s="1063">
        <v>0.30902777777777779</v>
      </c>
      <c r="K1347" s="417">
        <f t="shared" si="36"/>
        <v>0.66666666666666696</v>
      </c>
      <c r="L1347" s="17">
        <v>46053</v>
      </c>
      <c r="M1347" s="1169" t="s">
        <v>1639</v>
      </c>
      <c r="N1347" s="1167" t="s">
        <v>653</v>
      </c>
      <c r="O1347" s="1170" t="s">
        <v>1640</v>
      </c>
    </row>
    <row r="1348" spans="3:15" ht="25.15" customHeight="1">
      <c r="C1348" s="1167" t="s">
        <v>1643</v>
      </c>
      <c r="D1348" s="1168" t="s">
        <v>1641</v>
      </c>
      <c r="F1348" s="821">
        <v>4</v>
      </c>
      <c r="G1348" s="179">
        <v>46053</v>
      </c>
      <c r="H1348" s="832">
        <v>2</v>
      </c>
      <c r="I1348" s="1063">
        <v>0.2986111111111111</v>
      </c>
      <c r="J1348" s="1063">
        <v>0.30902777777777779</v>
      </c>
      <c r="K1348" s="417">
        <f t="shared" ref="K1348:K1411" si="38">(J1348-I1348)*24*H1348</f>
        <v>0.50000000000000089</v>
      </c>
      <c r="L1348" s="17">
        <v>46053</v>
      </c>
      <c r="M1348" s="1169" t="s">
        <v>1639</v>
      </c>
      <c r="N1348" s="1167" t="s">
        <v>1346</v>
      </c>
      <c r="O1348" s="1170" t="s">
        <v>1642</v>
      </c>
    </row>
    <row r="1349" spans="3:15" ht="25.15" customHeight="1">
      <c r="C1349" s="1167" t="s">
        <v>1644</v>
      </c>
      <c r="D1349" s="1168" t="s">
        <v>1645</v>
      </c>
      <c r="F1349" s="821">
        <v>4</v>
      </c>
      <c r="G1349" s="179">
        <v>46053</v>
      </c>
      <c r="H1349" s="832">
        <v>2</v>
      </c>
      <c r="I1349" s="1063">
        <v>0.30555555555555552</v>
      </c>
      <c r="J1349" s="1063">
        <v>0.31944444444444448</v>
      </c>
      <c r="K1349" s="417">
        <f t="shared" si="38"/>
        <v>0.66666666666666963</v>
      </c>
      <c r="L1349" s="17">
        <v>46053</v>
      </c>
      <c r="M1349" s="1169" t="s">
        <v>1639</v>
      </c>
      <c r="N1349" s="1167" t="s">
        <v>1346</v>
      </c>
      <c r="O1349" s="1170" t="s">
        <v>1642</v>
      </c>
    </row>
    <row r="1350" spans="3:15" ht="25.15" customHeight="1">
      <c r="G1350" s="179"/>
      <c r="I1350" s="1063">
        <v>0</v>
      </c>
      <c r="J1350" s="1063">
        <v>0</v>
      </c>
      <c r="K1350" s="417">
        <f t="shared" si="38"/>
        <v>0</v>
      </c>
    </row>
    <row r="1351" spans="3:15" ht="25.15" customHeight="1">
      <c r="G1351" s="179"/>
      <c r="I1351" s="1063">
        <v>0</v>
      </c>
      <c r="J1351" s="1063">
        <v>0</v>
      </c>
      <c r="K1351" s="417">
        <f t="shared" si="38"/>
        <v>0</v>
      </c>
    </row>
    <row r="1352" spans="3:15" ht="25.15" customHeight="1">
      <c r="G1352" s="179"/>
      <c r="I1352" s="1063">
        <v>0</v>
      </c>
      <c r="J1352" s="1063">
        <v>0</v>
      </c>
      <c r="K1352" s="417">
        <f t="shared" si="38"/>
        <v>0</v>
      </c>
    </row>
    <row r="1353" spans="3:15" ht="25.15" customHeight="1">
      <c r="G1353" s="179"/>
      <c r="I1353" s="1063">
        <v>0</v>
      </c>
      <c r="J1353" s="1063">
        <v>0</v>
      </c>
      <c r="K1353" s="417">
        <f t="shared" si="38"/>
        <v>0</v>
      </c>
    </row>
    <row r="1354" spans="3:15" ht="25.15" customHeight="1">
      <c r="G1354" s="179"/>
      <c r="I1354" s="1063">
        <v>0</v>
      </c>
      <c r="J1354" s="1063">
        <v>0</v>
      </c>
      <c r="K1354" s="417">
        <f t="shared" si="38"/>
        <v>0</v>
      </c>
    </row>
    <row r="1355" spans="3:15" ht="25.15" customHeight="1">
      <c r="G1355" s="179"/>
      <c r="I1355" s="1063">
        <v>0</v>
      </c>
      <c r="J1355" s="1063">
        <v>0</v>
      </c>
      <c r="K1355" s="417">
        <f t="shared" si="38"/>
        <v>0</v>
      </c>
    </row>
    <row r="1356" spans="3:15" ht="25.15" customHeight="1">
      <c r="G1356" s="179"/>
      <c r="I1356" s="1063">
        <v>0</v>
      </c>
      <c r="J1356" s="1063">
        <v>0</v>
      </c>
      <c r="K1356" s="417">
        <f t="shared" si="38"/>
        <v>0</v>
      </c>
    </row>
    <row r="1357" spans="3:15" ht="25.15" customHeight="1">
      <c r="G1357" s="179"/>
      <c r="I1357" s="1063">
        <v>0</v>
      </c>
      <c r="J1357" s="1063">
        <v>0</v>
      </c>
      <c r="K1357" s="417">
        <f t="shared" si="38"/>
        <v>0</v>
      </c>
    </row>
    <row r="1358" spans="3:15" ht="25.15" customHeight="1">
      <c r="G1358" s="179"/>
      <c r="I1358" s="1063">
        <v>0</v>
      </c>
      <c r="J1358" s="1063">
        <v>0</v>
      </c>
      <c r="K1358" s="417">
        <f t="shared" si="38"/>
        <v>0</v>
      </c>
    </row>
    <row r="1359" spans="3:15" ht="25.15" customHeight="1">
      <c r="G1359" s="179"/>
      <c r="I1359" s="1063">
        <v>0</v>
      </c>
      <c r="J1359" s="1063">
        <v>0</v>
      </c>
      <c r="K1359" s="417">
        <f t="shared" si="38"/>
        <v>0</v>
      </c>
    </row>
    <row r="1360" spans="3:15" ht="25.15" customHeight="1">
      <c r="G1360" s="179"/>
      <c r="I1360" s="1063">
        <v>0</v>
      </c>
      <c r="J1360" s="1063">
        <v>0</v>
      </c>
      <c r="K1360" s="417">
        <f t="shared" si="38"/>
        <v>0</v>
      </c>
    </row>
    <row r="1361" spans="7:11" ht="25.15" customHeight="1">
      <c r="G1361" s="179"/>
      <c r="I1361" s="1063">
        <v>0</v>
      </c>
      <c r="J1361" s="1063">
        <v>0</v>
      </c>
      <c r="K1361" s="417">
        <f t="shared" si="38"/>
        <v>0</v>
      </c>
    </row>
    <row r="1362" spans="7:11" ht="25.15" customHeight="1">
      <c r="G1362" s="179"/>
      <c r="I1362" s="1063">
        <v>0</v>
      </c>
      <c r="J1362" s="1063">
        <v>0</v>
      </c>
      <c r="K1362" s="417">
        <f t="shared" si="38"/>
        <v>0</v>
      </c>
    </row>
    <row r="1363" spans="7:11" ht="25.15" customHeight="1">
      <c r="G1363" s="179"/>
      <c r="I1363" s="1063">
        <v>0</v>
      </c>
      <c r="J1363" s="1063">
        <v>0</v>
      </c>
      <c r="K1363" s="417">
        <f t="shared" si="38"/>
        <v>0</v>
      </c>
    </row>
    <row r="1364" spans="7:11" ht="25.15" customHeight="1">
      <c r="G1364" s="179"/>
      <c r="I1364" s="1063">
        <v>0</v>
      </c>
      <c r="J1364" s="1063">
        <v>0</v>
      </c>
      <c r="K1364" s="417">
        <f t="shared" si="38"/>
        <v>0</v>
      </c>
    </row>
    <row r="1365" spans="7:11" ht="25.15" customHeight="1">
      <c r="G1365" s="179"/>
      <c r="I1365" s="1063">
        <v>0</v>
      </c>
      <c r="J1365" s="1063">
        <v>0</v>
      </c>
      <c r="K1365" s="417">
        <f t="shared" si="38"/>
        <v>0</v>
      </c>
    </row>
    <row r="1366" spans="7:11" ht="25.15" customHeight="1">
      <c r="G1366" s="179"/>
      <c r="I1366" s="1063">
        <v>0</v>
      </c>
      <c r="J1366" s="1063">
        <v>0</v>
      </c>
      <c r="K1366" s="417">
        <f t="shared" si="38"/>
        <v>0</v>
      </c>
    </row>
    <row r="1367" spans="7:11" ht="25.15" customHeight="1">
      <c r="G1367" s="179"/>
      <c r="I1367" s="1063">
        <v>0</v>
      </c>
      <c r="J1367" s="1063">
        <v>0</v>
      </c>
      <c r="K1367" s="417">
        <f t="shared" si="38"/>
        <v>0</v>
      </c>
    </row>
    <row r="1368" spans="7:11" ht="25.15" customHeight="1">
      <c r="G1368" s="179"/>
      <c r="I1368" s="1063">
        <v>0</v>
      </c>
      <c r="J1368" s="1063">
        <v>0</v>
      </c>
      <c r="K1368" s="417">
        <f t="shared" si="38"/>
        <v>0</v>
      </c>
    </row>
    <row r="1369" spans="7:11" ht="25.15" customHeight="1">
      <c r="G1369" s="179"/>
      <c r="I1369" s="1063">
        <v>0</v>
      </c>
      <c r="J1369" s="1063">
        <v>0</v>
      </c>
      <c r="K1369" s="417">
        <f t="shared" si="38"/>
        <v>0</v>
      </c>
    </row>
    <row r="1370" spans="7:11" ht="25.15" customHeight="1">
      <c r="G1370" s="179"/>
      <c r="I1370" s="1063">
        <v>0</v>
      </c>
      <c r="J1370" s="1063">
        <v>0</v>
      </c>
      <c r="K1370" s="417">
        <f t="shared" si="38"/>
        <v>0</v>
      </c>
    </row>
    <row r="1371" spans="7:11" ht="25.15" customHeight="1">
      <c r="G1371" s="179"/>
      <c r="I1371" s="1063">
        <v>0</v>
      </c>
      <c r="J1371" s="1063">
        <v>0</v>
      </c>
      <c r="K1371" s="417">
        <f t="shared" si="38"/>
        <v>0</v>
      </c>
    </row>
    <row r="1372" spans="7:11" ht="25.15" customHeight="1">
      <c r="G1372" s="179"/>
      <c r="I1372" s="1063">
        <v>0</v>
      </c>
      <c r="J1372" s="1063">
        <v>0</v>
      </c>
      <c r="K1372" s="417">
        <f t="shared" si="38"/>
        <v>0</v>
      </c>
    </row>
    <row r="1373" spans="7:11" ht="25.15" customHeight="1">
      <c r="G1373" s="179"/>
      <c r="I1373" s="1063">
        <v>0</v>
      </c>
      <c r="J1373" s="1063">
        <v>0</v>
      </c>
      <c r="K1373" s="417">
        <f t="shared" si="38"/>
        <v>0</v>
      </c>
    </row>
    <row r="1374" spans="7:11" ht="25.15" customHeight="1">
      <c r="G1374" s="179"/>
      <c r="I1374" s="1063">
        <v>0</v>
      </c>
      <c r="J1374" s="1063">
        <v>0</v>
      </c>
      <c r="K1374" s="417">
        <f t="shared" si="38"/>
        <v>0</v>
      </c>
    </row>
    <row r="1375" spans="7:11" ht="25.15" customHeight="1">
      <c r="G1375" s="179"/>
      <c r="I1375" s="1063">
        <v>0</v>
      </c>
      <c r="J1375" s="1063">
        <v>0</v>
      </c>
      <c r="K1375" s="417">
        <f t="shared" si="38"/>
        <v>0</v>
      </c>
    </row>
    <row r="1376" spans="7:11" ht="25.15" customHeight="1">
      <c r="G1376" s="179"/>
      <c r="I1376" s="1063">
        <v>0</v>
      </c>
      <c r="J1376" s="1063">
        <v>0</v>
      </c>
      <c r="K1376" s="417">
        <f t="shared" si="38"/>
        <v>0</v>
      </c>
    </row>
    <row r="1377" spans="7:11" ht="25.15" customHeight="1">
      <c r="G1377" s="179"/>
      <c r="I1377" s="1063">
        <v>0</v>
      </c>
      <c r="J1377" s="1063">
        <v>0</v>
      </c>
      <c r="K1377" s="417">
        <f t="shared" si="38"/>
        <v>0</v>
      </c>
    </row>
    <row r="1378" spans="7:11" ht="25.15" customHeight="1">
      <c r="G1378" s="179"/>
      <c r="I1378" s="1063">
        <v>0</v>
      </c>
      <c r="J1378" s="1063">
        <v>0</v>
      </c>
      <c r="K1378" s="417">
        <f t="shared" si="38"/>
        <v>0</v>
      </c>
    </row>
    <row r="1379" spans="7:11" ht="25.15" customHeight="1">
      <c r="G1379" s="179"/>
      <c r="I1379" s="1063">
        <v>0</v>
      </c>
      <c r="J1379" s="1063">
        <v>0</v>
      </c>
      <c r="K1379" s="417">
        <f t="shared" si="38"/>
        <v>0</v>
      </c>
    </row>
    <row r="1380" spans="7:11" ht="25.15" customHeight="1">
      <c r="G1380" s="179"/>
      <c r="I1380" s="1063">
        <v>0</v>
      </c>
      <c r="J1380" s="1063">
        <v>0</v>
      </c>
      <c r="K1380" s="417">
        <f t="shared" si="38"/>
        <v>0</v>
      </c>
    </row>
    <row r="1381" spans="7:11" ht="25.15" customHeight="1">
      <c r="G1381" s="179"/>
      <c r="I1381" s="1063">
        <v>0</v>
      </c>
      <c r="J1381" s="1063">
        <v>0</v>
      </c>
      <c r="K1381" s="417">
        <f t="shared" si="38"/>
        <v>0</v>
      </c>
    </row>
    <row r="1382" spans="7:11" ht="25.15" customHeight="1">
      <c r="G1382" s="179"/>
      <c r="I1382" s="1063">
        <v>0</v>
      </c>
      <c r="J1382" s="1063">
        <v>0</v>
      </c>
      <c r="K1382" s="417">
        <f t="shared" si="38"/>
        <v>0</v>
      </c>
    </row>
    <row r="1383" spans="7:11" ht="25.15" customHeight="1">
      <c r="G1383" s="179"/>
      <c r="I1383" s="1063">
        <v>0</v>
      </c>
      <c r="J1383" s="1063">
        <v>0</v>
      </c>
      <c r="K1383" s="417">
        <f t="shared" si="38"/>
        <v>0</v>
      </c>
    </row>
    <row r="1384" spans="7:11" ht="25.15" customHeight="1">
      <c r="G1384" s="179"/>
      <c r="I1384" s="1063">
        <v>0</v>
      </c>
      <c r="J1384" s="1063">
        <v>0</v>
      </c>
      <c r="K1384" s="417">
        <f t="shared" si="38"/>
        <v>0</v>
      </c>
    </row>
    <row r="1385" spans="7:11" ht="25.15" customHeight="1">
      <c r="G1385" s="179"/>
      <c r="I1385" s="1063">
        <v>0</v>
      </c>
      <c r="J1385" s="1063">
        <v>0</v>
      </c>
      <c r="K1385" s="417">
        <f t="shared" si="38"/>
        <v>0</v>
      </c>
    </row>
    <row r="1386" spans="7:11" ht="25.15" customHeight="1">
      <c r="G1386" s="179"/>
      <c r="I1386" s="1063">
        <v>0</v>
      </c>
      <c r="J1386" s="1063">
        <v>0</v>
      </c>
      <c r="K1386" s="417">
        <f t="shared" si="38"/>
        <v>0</v>
      </c>
    </row>
    <row r="1387" spans="7:11" ht="25.15" customHeight="1">
      <c r="G1387" s="179"/>
      <c r="I1387" s="1063">
        <v>0</v>
      </c>
      <c r="J1387" s="1063">
        <v>0</v>
      </c>
      <c r="K1387" s="417">
        <f t="shared" si="38"/>
        <v>0</v>
      </c>
    </row>
    <row r="1388" spans="7:11" ht="25.15" customHeight="1">
      <c r="G1388" s="179"/>
      <c r="I1388" s="1063">
        <v>0</v>
      </c>
      <c r="J1388" s="1063">
        <v>0</v>
      </c>
      <c r="K1388" s="417">
        <f t="shared" si="38"/>
        <v>0</v>
      </c>
    </row>
    <row r="1389" spans="7:11" ht="25.15" customHeight="1">
      <c r="G1389" s="179"/>
      <c r="I1389" s="1063">
        <v>0</v>
      </c>
      <c r="J1389" s="1063">
        <v>0</v>
      </c>
      <c r="K1389" s="417">
        <f t="shared" si="38"/>
        <v>0</v>
      </c>
    </row>
    <row r="1390" spans="7:11" ht="25.15" customHeight="1">
      <c r="G1390" s="179"/>
      <c r="I1390" s="1063">
        <v>0</v>
      </c>
      <c r="J1390" s="1063">
        <v>0</v>
      </c>
      <c r="K1390" s="417">
        <f t="shared" si="38"/>
        <v>0</v>
      </c>
    </row>
    <row r="1391" spans="7:11" ht="25.15" customHeight="1">
      <c r="G1391" s="179"/>
      <c r="I1391" s="1063">
        <v>0</v>
      </c>
      <c r="J1391" s="1063">
        <v>0</v>
      </c>
      <c r="K1391" s="417">
        <f t="shared" si="38"/>
        <v>0</v>
      </c>
    </row>
    <row r="1392" spans="7:11" ht="25.15" customHeight="1">
      <c r="G1392" s="179"/>
      <c r="I1392" s="1063">
        <v>0</v>
      </c>
      <c r="J1392" s="1063">
        <v>0</v>
      </c>
      <c r="K1392" s="417">
        <f t="shared" si="38"/>
        <v>0</v>
      </c>
    </row>
    <row r="1393" spans="7:11" ht="25.15" customHeight="1">
      <c r="G1393" s="179"/>
      <c r="I1393" s="1063">
        <v>0</v>
      </c>
      <c r="J1393" s="1063">
        <v>0</v>
      </c>
      <c r="K1393" s="417">
        <f t="shared" si="38"/>
        <v>0</v>
      </c>
    </row>
    <row r="1394" spans="7:11" ht="25.15" customHeight="1">
      <c r="G1394" s="179"/>
      <c r="I1394" s="1063">
        <v>0</v>
      </c>
      <c r="J1394" s="1063">
        <v>0</v>
      </c>
      <c r="K1394" s="417">
        <f t="shared" si="38"/>
        <v>0</v>
      </c>
    </row>
    <row r="1395" spans="7:11" ht="25.15" customHeight="1">
      <c r="G1395" s="179"/>
      <c r="I1395" s="1063">
        <v>0</v>
      </c>
      <c r="J1395" s="1063">
        <v>0</v>
      </c>
      <c r="K1395" s="417">
        <f t="shared" si="38"/>
        <v>0</v>
      </c>
    </row>
    <row r="1396" spans="7:11" ht="25.15" customHeight="1">
      <c r="G1396" s="179"/>
      <c r="I1396" s="1063">
        <v>0</v>
      </c>
      <c r="J1396" s="1063">
        <v>0</v>
      </c>
      <c r="K1396" s="417">
        <f t="shared" si="38"/>
        <v>0</v>
      </c>
    </row>
    <row r="1397" spans="7:11" ht="25.15" customHeight="1">
      <c r="G1397" s="179"/>
      <c r="I1397" s="1063">
        <v>0</v>
      </c>
      <c r="J1397" s="1063">
        <v>0</v>
      </c>
      <c r="K1397" s="417">
        <f t="shared" si="38"/>
        <v>0</v>
      </c>
    </row>
    <row r="1398" spans="7:11" ht="25.15" customHeight="1">
      <c r="G1398" s="179"/>
      <c r="I1398" s="1063">
        <v>0</v>
      </c>
      <c r="J1398" s="1063">
        <v>0</v>
      </c>
      <c r="K1398" s="417">
        <f t="shared" si="38"/>
        <v>0</v>
      </c>
    </row>
    <row r="1399" spans="7:11" ht="25.15" customHeight="1">
      <c r="G1399" s="179"/>
      <c r="I1399" s="1063">
        <v>0</v>
      </c>
      <c r="J1399" s="1063">
        <v>0</v>
      </c>
      <c r="K1399" s="417">
        <f t="shared" si="38"/>
        <v>0</v>
      </c>
    </row>
    <row r="1400" spans="7:11" ht="25.15" customHeight="1">
      <c r="G1400" s="179"/>
      <c r="I1400" s="1063">
        <v>0</v>
      </c>
      <c r="J1400" s="1063">
        <v>0</v>
      </c>
      <c r="K1400" s="417">
        <f t="shared" si="38"/>
        <v>0</v>
      </c>
    </row>
    <row r="1401" spans="7:11" ht="25.15" customHeight="1">
      <c r="G1401" s="179"/>
      <c r="I1401" s="1063">
        <v>0</v>
      </c>
      <c r="J1401" s="1063">
        <v>0</v>
      </c>
      <c r="K1401" s="417">
        <f t="shared" si="38"/>
        <v>0</v>
      </c>
    </row>
    <row r="1402" spans="7:11" ht="25.15" customHeight="1">
      <c r="G1402" s="179"/>
      <c r="I1402" s="1063">
        <v>0</v>
      </c>
      <c r="J1402" s="1063">
        <v>0</v>
      </c>
      <c r="K1402" s="417">
        <f t="shared" si="38"/>
        <v>0</v>
      </c>
    </row>
    <row r="1403" spans="7:11" ht="25.15" customHeight="1">
      <c r="G1403" s="179"/>
      <c r="I1403" s="1063">
        <v>0</v>
      </c>
      <c r="J1403" s="1063">
        <v>0</v>
      </c>
      <c r="K1403" s="417">
        <f t="shared" si="38"/>
        <v>0</v>
      </c>
    </row>
    <row r="1404" spans="7:11" ht="25.15" customHeight="1">
      <c r="G1404" s="179"/>
      <c r="I1404" s="1063">
        <v>0</v>
      </c>
      <c r="J1404" s="1063">
        <v>0</v>
      </c>
      <c r="K1404" s="417">
        <f t="shared" si="38"/>
        <v>0</v>
      </c>
    </row>
    <row r="1405" spans="7:11" ht="25.15" customHeight="1">
      <c r="G1405" s="179"/>
      <c r="I1405" s="1063">
        <v>0</v>
      </c>
      <c r="J1405" s="1063">
        <v>0</v>
      </c>
      <c r="K1405" s="417">
        <f t="shared" si="38"/>
        <v>0</v>
      </c>
    </row>
    <row r="1406" spans="7:11" ht="25.15" customHeight="1">
      <c r="G1406" s="179"/>
      <c r="I1406" s="1063">
        <v>0</v>
      </c>
      <c r="J1406" s="1063">
        <v>0</v>
      </c>
      <c r="K1406" s="417">
        <f t="shared" si="38"/>
        <v>0</v>
      </c>
    </row>
    <row r="1407" spans="7:11" ht="25.15" customHeight="1">
      <c r="G1407" s="179"/>
      <c r="I1407" s="1063">
        <v>0</v>
      </c>
      <c r="J1407" s="1063">
        <v>0</v>
      </c>
      <c r="K1407" s="417">
        <f t="shared" si="38"/>
        <v>0</v>
      </c>
    </row>
    <row r="1408" spans="7:11" ht="25.15" customHeight="1">
      <c r="G1408" s="179"/>
      <c r="I1408" s="1063">
        <v>0</v>
      </c>
      <c r="J1408" s="1063">
        <v>0</v>
      </c>
      <c r="K1408" s="417">
        <f t="shared" si="38"/>
        <v>0</v>
      </c>
    </row>
    <row r="1409" spans="7:11" ht="25.15" customHeight="1">
      <c r="G1409" s="179"/>
      <c r="I1409" s="1063">
        <v>0</v>
      </c>
      <c r="J1409" s="1063">
        <v>0</v>
      </c>
      <c r="K1409" s="417">
        <f t="shared" si="38"/>
        <v>0</v>
      </c>
    </row>
    <row r="1410" spans="7:11" ht="25.15" customHeight="1">
      <c r="G1410" s="179"/>
      <c r="I1410" s="1063">
        <v>0</v>
      </c>
      <c r="J1410" s="1063">
        <v>0</v>
      </c>
      <c r="K1410" s="417">
        <f t="shared" si="38"/>
        <v>0</v>
      </c>
    </row>
    <row r="1411" spans="7:11" ht="25.15" customHeight="1">
      <c r="G1411" s="179"/>
      <c r="I1411" s="1063">
        <v>0</v>
      </c>
      <c r="J1411" s="1063">
        <v>0</v>
      </c>
      <c r="K1411" s="417">
        <f t="shared" si="38"/>
        <v>0</v>
      </c>
    </row>
    <row r="1412" spans="7:11" ht="25.15" customHeight="1">
      <c r="G1412" s="179"/>
      <c r="I1412" s="1063">
        <v>0</v>
      </c>
      <c r="J1412" s="1063">
        <v>0</v>
      </c>
      <c r="K1412" s="417">
        <f t="shared" ref="K1412:K1475" si="39">(J1412-I1412)*24*H1412</f>
        <v>0</v>
      </c>
    </row>
    <row r="1413" spans="7:11" ht="25.15" customHeight="1">
      <c r="G1413" s="179"/>
      <c r="I1413" s="1063">
        <v>0</v>
      </c>
      <c r="J1413" s="1063">
        <v>0</v>
      </c>
      <c r="K1413" s="417">
        <f t="shared" si="39"/>
        <v>0</v>
      </c>
    </row>
    <row r="1414" spans="7:11" ht="25.15" customHeight="1">
      <c r="G1414" s="179"/>
      <c r="I1414" s="1063">
        <v>0</v>
      </c>
      <c r="J1414" s="1063">
        <v>0</v>
      </c>
      <c r="K1414" s="417">
        <f t="shared" si="39"/>
        <v>0</v>
      </c>
    </row>
    <row r="1415" spans="7:11" ht="25.15" customHeight="1">
      <c r="G1415" s="179"/>
      <c r="I1415" s="1063">
        <v>0</v>
      </c>
      <c r="J1415" s="1063">
        <v>0</v>
      </c>
      <c r="K1415" s="417">
        <f t="shared" si="39"/>
        <v>0</v>
      </c>
    </row>
    <row r="1416" spans="7:11" ht="25.15" customHeight="1">
      <c r="G1416" s="179"/>
      <c r="I1416" s="1063">
        <v>0</v>
      </c>
      <c r="J1416" s="1063">
        <v>0</v>
      </c>
      <c r="K1416" s="417">
        <f t="shared" si="39"/>
        <v>0</v>
      </c>
    </row>
    <row r="1417" spans="7:11" ht="25.15" customHeight="1">
      <c r="G1417" s="179"/>
      <c r="I1417" s="1063">
        <v>0</v>
      </c>
      <c r="J1417" s="1063">
        <v>0</v>
      </c>
      <c r="K1417" s="417">
        <f t="shared" si="39"/>
        <v>0</v>
      </c>
    </row>
    <row r="1418" spans="7:11" ht="25.15" customHeight="1">
      <c r="G1418" s="179"/>
      <c r="I1418" s="1063">
        <v>0</v>
      </c>
      <c r="J1418" s="1063">
        <v>0</v>
      </c>
      <c r="K1418" s="417">
        <f t="shared" si="39"/>
        <v>0</v>
      </c>
    </row>
    <row r="1419" spans="7:11" ht="25.15" customHeight="1">
      <c r="G1419" s="179"/>
      <c r="I1419" s="1063">
        <v>0</v>
      </c>
      <c r="J1419" s="1063">
        <v>0</v>
      </c>
      <c r="K1419" s="417">
        <f t="shared" si="39"/>
        <v>0</v>
      </c>
    </row>
    <row r="1420" spans="7:11" ht="25.15" customHeight="1">
      <c r="G1420" s="179"/>
      <c r="I1420" s="1063">
        <v>0</v>
      </c>
      <c r="J1420" s="1063">
        <v>0</v>
      </c>
      <c r="K1420" s="417">
        <f t="shared" si="39"/>
        <v>0</v>
      </c>
    </row>
    <row r="1421" spans="7:11" ht="25.15" customHeight="1">
      <c r="G1421" s="179"/>
      <c r="I1421" s="1063">
        <v>0</v>
      </c>
      <c r="J1421" s="1063">
        <v>0</v>
      </c>
      <c r="K1421" s="417">
        <f t="shared" si="39"/>
        <v>0</v>
      </c>
    </row>
    <row r="1422" spans="7:11" ht="25.15" customHeight="1">
      <c r="G1422" s="179"/>
      <c r="I1422" s="1063">
        <v>0</v>
      </c>
      <c r="J1422" s="1063">
        <v>0</v>
      </c>
      <c r="K1422" s="417">
        <f t="shared" si="39"/>
        <v>0</v>
      </c>
    </row>
    <row r="1423" spans="7:11" ht="25.15" customHeight="1">
      <c r="G1423" s="179"/>
      <c r="I1423" s="1063">
        <v>0</v>
      </c>
      <c r="J1423" s="1063">
        <v>0</v>
      </c>
      <c r="K1423" s="417">
        <f t="shared" si="39"/>
        <v>0</v>
      </c>
    </row>
    <row r="1424" spans="7:11" ht="25.15" customHeight="1">
      <c r="G1424" s="179"/>
      <c r="I1424" s="1063">
        <v>0</v>
      </c>
      <c r="J1424" s="1063">
        <v>0</v>
      </c>
      <c r="K1424" s="417">
        <f t="shared" si="39"/>
        <v>0</v>
      </c>
    </row>
    <row r="1425" spans="7:11" ht="25.15" customHeight="1">
      <c r="G1425" s="179"/>
      <c r="I1425" s="1063">
        <v>0</v>
      </c>
      <c r="J1425" s="1063">
        <v>0</v>
      </c>
      <c r="K1425" s="417">
        <f t="shared" si="39"/>
        <v>0</v>
      </c>
    </row>
    <row r="1426" spans="7:11" ht="25.15" customHeight="1">
      <c r="G1426" s="179"/>
      <c r="I1426" s="1063">
        <v>0</v>
      </c>
      <c r="J1426" s="1063">
        <v>0</v>
      </c>
      <c r="K1426" s="417">
        <f t="shared" si="39"/>
        <v>0</v>
      </c>
    </row>
    <row r="1427" spans="7:11" ht="25.15" customHeight="1">
      <c r="G1427" s="179"/>
      <c r="I1427" s="1063">
        <v>0</v>
      </c>
      <c r="J1427" s="1063">
        <v>0</v>
      </c>
      <c r="K1427" s="417">
        <f t="shared" si="39"/>
        <v>0</v>
      </c>
    </row>
    <row r="1428" spans="7:11" ht="25.15" customHeight="1">
      <c r="G1428" s="179"/>
      <c r="I1428" s="1063">
        <v>0</v>
      </c>
      <c r="J1428" s="1063">
        <v>0</v>
      </c>
      <c r="K1428" s="417">
        <f t="shared" si="39"/>
        <v>0</v>
      </c>
    </row>
    <row r="1429" spans="7:11" ht="25.15" customHeight="1">
      <c r="G1429" s="179"/>
      <c r="I1429" s="1063">
        <v>0</v>
      </c>
      <c r="J1429" s="1063">
        <v>0</v>
      </c>
      <c r="K1429" s="417">
        <f t="shared" si="39"/>
        <v>0</v>
      </c>
    </row>
    <row r="1430" spans="7:11" ht="25.15" customHeight="1">
      <c r="G1430" s="179"/>
      <c r="I1430" s="1063">
        <v>0</v>
      </c>
      <c r="J1430" s="1063">
        <v>0</v>
      </c>
      <c r="K1430" s="417">
        <f t="shared" si="39"/>
        <v>0</v>
      </c>
    </row>
    <row r="1431" spans="7:11" ht="25.15" customHeight="1">
      <c r="G1431" s="179"/>
      <c r="I1431" s="1063">
        <v>0</v>
      </c>
      <c r="J1431" s="1063">
        <v>0</v>
      </c>
      <c r="K1431" s="417">
        <f t="shared" si="39"/>
        <v>0</v>
      </c>
    </row>
    <row r="1432" spans="7:11" ht="25.15" customHeight="1">
      <c r="G1432" s="179"/>
      <c r="I1432" s="1063">
        <v>0</v>
      </c>
      <c r="J1432" s="1063">
        <v>0</v>
      </c>
      <c r="K1432" s="417">
        <f t="shared" si="39"/>
        <v>0</v>
      </c>
    </row>
    <row r="1433" spans="7:11" ht="25.15" customHeight="1">
      <c r="G1433" s="179"/>
      <c r="I1433" s="1063">
        <v>0</v>
      </c>
      <c r="J1433" s="1063">
        <v>0</v>
      </c>
      <c r="K1433" s="417">
        <f t="shared" si="39"/>
        <v>0</v>
      </c>
    </row>
    <row r="1434" spans="7:11" ht="25.15" customHeight="1">
      <c r="G1434" s="179"/>
      <c r="I1434" s="1063">
        <v>0</v>
      </c>
      <c r="J1434" s="1063">
        <v>0</v>
      </c>
      <c r="K1434" s="417">
        <f t="shared" si="39"/>
        <v>0</v>
      </c>
    </row>
    <row r="1435" spans="7:11" ht="25.15" customHeight="1">
      <c r="G1435" s="179"/>
      <c r="I1435" s="1063">
        <v>0</v>
      </c>
      <c r="J1435" s="1063">
        <v>0</v>
      </c>
      <c r="K1435" s="417">
        <f t="shared" si="39"/>
        <v>0</v>
      </c>
    </row>
    <row r="1436" spans="7:11" ht="25.15" customHeight="1">
      <c r="G1436" s="179"/>
      <c r="I1436" s="1063">
        <v>0</v>
      </c>
      <c r="J1436" s="1063">
        <v>0</v>
      </c>
      <c r="K1436" s="417">
        <f t="shared" si="39"/>
        <v>0</v>
      </c>
    </row>
    <row r="1437" spans="7:11" ht="25.15" customHeight="1">
      <c r="G1437" s="179"/>
      <c r="I1437" s="1063">
        <v>0</v>
      </c>
      <c r="J1437" s="1063">
        <v>0</v>
      </c>
      <c r="K1437" s="417">
        <f t="shared" si="39"/>
        <v>0</v>
      </c>
    </row>
    <row r="1438" spans="7:11" ht="25.15" customHeight="1">
      <c r="G1438" s="179"/>
      <c r="I1438" s="1063">
        <v>0</v>
      </c>
      <c r="J1438" s="1063">
        <v>0</v>
      </c>
      <c r="K1438" s="417">
        <f t="shared" si="39"/>
        <v>0</v>
      </c>
    </row>
    <row r="1439" spans="7:11" ht="25.15" customHeight="1">
      <c r="G1439" s="179"/>
      <c r="I1439" s="1063">
        <v>0</v>
      </c>
      <c r="J1439" s="1063">
        <v>0</v>
      </c>
      <c r="K1439" s="417">
        <f t="shared" si="39"/>
        <v>0</v>
      </c>
    </row>
    <row r="1440" spans="7:11" ht="25.15" customHeight="1">
      <c r="G1440" s="179"/>
      <c r="I1440" s="1063">
        <v>0</v>
      </c>
      <c r="J1440" s="1063">
        <v>0</v>
      </c>
      <c r="K1440" s="417">
        <f t="shared" si="39"/>
        <v>0</v>
      </c>
    </row>
    <row r="1441" spans="7:11" ht="25.15" customHeight="1">
      <c r="G1441" s="179"/>
      <c r="I1441" s="1063">
        <v>0</v>
      </c>
      <c r="J1441" s="1063">
        <v>0</v>
      </c>
      <c r="K1441" s="417">
        <f t="shared" si="39"/>
        <v>0</v>
      </c>
    </row>
    <row r="1442" spans="7:11" ht="25.15" customHeight="1">
      <c r="G1442" s="179"/>
      <c r="I1442" s="1063">
        <v>0</v>
      </c>
      <c r="J1442" s="1063">
        <v>0</v>
      </c>
      <c r="K1442" s="417">
        <f t="shared" si="39"/>
        <v>0</v>
      </c>
    </row>
    <row r="1443" spans="7:11" ht="25.15" customHeight="1">
      <c r="G1443" s="179"/>
      <c r="I1443" s="1063">
        <v>0</v>
      </c>
      <c r="J1443" s="1063">
        <v>0</v>
      </c>
      <c r="K1443" s="417">
        <f t="shared" si="39"/>
        <v>0</v>
      </c>
    </row>
    <row r="1444" spans="7:11" ht="25.15" customHeight="1">
      <c r="G1444" s="179"/>
      <c r="I1444" s="1063">
        <v>0</v>
      </c>
      <c r="J1444" s="1063">
        <v>0</v>
      </c>
      <c r="K1444" s="417">
        <f t="shared" si="39"/>
        <v>0</v>
      </c>
    </row>
    <row r="1445" spans="7:11" ht="25.15" customHeight="1">
      <c r="G1445" s="179"/>
      <c r="I1445" s="1063">
        <v>0</v>
      </c>
      <c r="J1445" s="1063">
        <v>0</v>
      </c>
      <c r="K1445" s="417">
        <f t="shared" si="39"/>
        <v>0</v>
      </c>
    </row>
    <row r="1446" spans="7:11" ht="25.15" customHeight="1">
      <c r="G1446" s="179"/>
      <c r="I1446" s="1063">
        <v>0</v>
      </c>
      <c r="J1446" s="1063">
        <v>0</v>
      </c>
      <c r="K1446" s="417">
        <f t="shared" si="39"/>
        <v>0</v>
      </c>
    </row>
    <row r="1447" spans="7:11" ht="25.15" customHeight="1">
      <c r="G1447" s="179"/>
      <c r="I1447" s="1063">
        <v>0</v>
      </c>
      <c r="J1447" s="1063">
        <v>0</v>
      </c>
      <c r="K1447" s="417">
        <f t="shared" si="39"/>
        <v>0</v>
      </c>
    </row>
    <row r="1448" spans="7:11" ht="25.15" customHeight="1">
      <c r="G1448" s="179"/>
      <c r="I1448" s="1063">
        <v>0</v>
      </c>
      <c r="J1448" s="1063">
        <v>0</v>
      </c>
      <c r="K1448" s="417">
        <f t="shared" si="39"/>
        <v>0</v>
      </c>
    </row>
    <row r="1449" spans="7:11" ht="25.15" customHeight="1">
      <c r="G1449" s="179"/>
      <c r="I1449" s="1063">
        <v>0</v>
      </c>
      <c r="J1449" s="1063">
        <v>0</v>
      </c>
      <c r="K1449" s="417">
        <f t="shared" si="39"/>
        <v>0</v>
      </c>
    </row>
    <row r="1450" spans="7:11" ht="25.15" customHeight="1">
      <c r="G1450" s="179"/>
      <c r="I1450" s="1063">
        <v>0</v>
      </c>
      <c r="J1450" s="1063">
        <v>0</v>
      </c>
      <c r="K1450" s="417">
        <f t="shared" si="39"/>
        <v>0</v>
      </c>
    </row>
    <row r="1451" spans="7:11" ht="25.15" customHeight="1">
      <c r="G1451" s="179"/>
      <c r="I1451" s="1063">
        <v>0</v>
      </c>
      <c r="J1451" s="1063">
        <v>0</v>
      </c>
      <c r="K1451" s="417">
        <f t="shared" si="39"/>
        <v>0</v>
      </c>
    </row>
    <row r="1452" spans="7:11" ht="25.15" customHeight="1">
      <c r="G1452" s="179"/>
      <c r="I1452" s="1063">
        <v>0</v>
      </c>
      <c r="J1452" s="1063">
        <v>0</v>
      </c>
      <c r="K1452" s="417">
        <f t="shared" si="39"/>
        <v>0</v>
      </c>
    </row>
    <row r="1453" spans="7:11" ht="25.15" customHeight="1">
      <c r="G1453" s="179"/>
      <c r="I1453" s="1063">
        <v>0</v>
      </c>
      <c r="J1453" s="1063">
        <v>0</v>
      </c>
      <c r="K1453" s="417">
        <f t="shared" si="39"/>
        <v>0</v>
      </c>
    </row>
    <row r="1454" spans="7:11" ht="25.15" customHeight="1">
      <c r="G1454" s="179"/>
      <c r="I1454" s="1063">
        <v>0</v>
      </c>
      <c r="J1454" s="1063">
        <v>0</v>
      </c>
      <c r="K1454" s="417">
        <f t="shared" si="39"/>
        <v>0</v>
      </c>
    </row>
    <row r="1455" spans="7:11" ht="25.15" customHeight="1">
      <c r="G1455" s="179"/>
      <c r="I1455" s="1063">
        <v>0</v>
      </c>
      <c r="J1455" s="1063">
        <v>0</v>
      </c>
      <c r="K1455" s="417">
        <f t="shared" si="39"/>
        <v>0</v>
      </c>
    </row>
    <row r="1456" spans="7:11" ht="25.15" customHeight="1">
      <c r="G1456" s="179"/>
      <c r="I1456" s="1063">
        <v>0</v>
      </c>
      <c r="J1456" s="1063">
        <v>0</v>
      </c>
      <c r="K1456" s="417">
        <f t="shared" si="39"/>
        <v>0</v>
      </c>
    </row>
    <row r="1457" spans="7:11" ht="25.15" customHeight="1">
      <c r="G1457" s="179"/>
      <c r="I1457" s="1063">
        <v>0</v>
      </c>
      <c r="J1457" s="1063">
        <v>0</v>
      </c>
      <c r="K1457" s="417">
        <f t="shared" si="39"/>
        <v>0</v>
      </c>
    </row>
    <row r="1458" spans="7:11" ht="25.15" customHeight="1">
      <c r="G1458" s="179"/>
      <c r="I1458" s="1063">
        <v>0</v>
      </c>
      <c r="J1458" s="1063">
        <v>0</v>
      </c>
      <c r="K1458" s="417">
        <f t="shared" si="39"/>
        <v>0</v>
      </c>
    </row>
    <row r="1459" spans="7:11" ht="25.15" customHeight="1">
      <c r="G1459" s="179"/>
      <c r="I1459" s="1063">
        <v>0</v>
      </c>
      <c r="J1459" s="1063">
        <v>0</v>
      </c>
      <c r="K1459" s="417">
        <f t="shared" si="39"/>
        <v>0</v>
      </c>
    </row>
    <row r="1460" spans="7:11" ht="25.15" customHeight="1">
      <c r="G1460" s="179"/>
      <c r="I1460" s="1063">
        <v>0</v>
      </c>
      <c r="J1460" s="1063">
        <v>0</v>
      </c>
      <c r="K1460" s="417">
        <f t="shared" si="39"/>
        <v>0</v>
      </c>
    </row>
    <row r="1461" spans="7:11" ht="25.15" customHeight="1">
      <c r="G1461" s="179"/>
      <c r="I1461" s="1063">
        <v>0</v>
      </c>
      <c r="J1461" s="1063">
        <v>0</v>
      </c>
      <c r="K1461" s="417">
        <f t="shared" si="39"/>
        <v>0</v>
      </c>
    </row>
    <row r="1462" spans="7:11" ht="25.15" customHeight="1">
      <c r="G1462" s="179"/>
      <c r="I1462" s="1063">
        <v>0</v>
      </c>
      <c r="J1462" s="1063">
        <v>0</v>
      </c>
      <c r="K1462" s="417">
        <f t="shared" si="39"/>
        <v>0</v>
      </c>
    </row>
    <row r="1463" spans="7:11" ht="25.15" customHeight="1">
      <c r="G1463" s="179"/>
      <c r="I1463" s="1063">
        <v>0</v>
      </c>
      <c r="J1463" s="1063">
        <v>0</v>
      </c>
      <c r="K1463" s="417">
        <f t="shared" si="39"/>
        <v>0</v>
      </c>
    </row>
    <row r="1464" spans="7:11" ht="25.15" customHeight="1">
      <c r="G1464" s="179"/>
      <c r="I1464" s="1063">
        <v>0</v>
      </c>
      <c r="J1464" s="1063">
        <v>0</v>
      </c>
      <c r="K1464" s="417">
        <f t="shared" si="39"/>
        <v>0</v>
      </c>
    </row>
    <row r="1465" spans="7:11" ht="25.15" customHeight="1">
      <c r="G1465" s="179"/>
      <c r="I1465" s="1063">
        <v>0</v>
      </c>
      <c r="J1465" s="1063">
        <v>0</v>
      </c>
      <c r="K1465" s="417">
        <f t="shared" si="39"/>
        <v>0</v>
      </c>
    </row>
    <row r="1466" spans="7:11" ht="25.15" customHeight="1">
      <c r="G1466" s="179"/>
      <c r="I1466" s="1063">
        <v>0</v>
      </c>
      <c r="J1466" s="1063">
        <v>0</v>
      </c>
      <c r="K1466" s="417">
        <f t="shared" si="39"/>
        <v>0</v>
      </c>
    </row>
    <row r="1467" spans="7:11" ht="25.15" customHeight="1">
      <c r="G1467" s="179"/>
      <c r="I1467" s="1063">
        <v>0</v>
      </c>
      <c r="J1467" s="1063">
        <v>0</v>
      </c>
      <c r="K1467" s="417">
        <f t="shared" si="39"/>
        <v>0</v>
      </c>
    </row>
    <row r="1468" spans="7:11" ht="25.15" customHeight="1">
      <c r="G1468" s="179"/>
      <c r="I1468" s="1063">
        <v>0</v>
      </c>
      <c r="J1468" s="1063">
        <v>0</v>
      </c>
      <c r="K1468" s="417">
        <f t="shared" si="39"/>
        <v>0</v>
      </c>
    </row>
    <row r="1469" spans="7:11" ht="25.15" customHeight="1">
      <c r="G1469" s="179"/>
      <c r="I1469" s="1063">
        <v>0</v>
      </c>
      <c r="J1469" s="1063">
        <v>0</v>
      </c>
      <c r="K1469" s="417">
        <f t="shared" si="39"/>
        <v>0</v>
      </c>
    </row>
    <row r="1470" spans="7:11" ht="25.15" customHeight="1">
      <c r="G1470" s="179"/>
      <c r="I1470" s="1063">
        <v>0</v>
      </c>
      <c r="J1470" s="1063">
        <v>0</v>
      </c>
      <c r="K1470" s="417">
        <f t="shared" si="39"/>
        <v>0</v>
      </c>
    </row>
    <row r="1471" spans="7:11" ht="25.15" customHeight="1">
      <c r="G1471" s="179"/>
      <c r="I1471" s="1063">
        <v>0</v>
      </c>
      <c r="J1471" s="1063">
        <v>0</v>
      </c>
      <c r="K1471" s="417">
        <f t="shared" si="39"/>
        <v>0</v>
      </c>
    </row>
    <row r="1472" spans="7:11" ht="25.15" customHeight="1">
      <c r="G1472" s="179"/>
      <c r="I1472" s="1063">
        <v>0</v>
      </c>
      <c r="J1472" s="1063">
        <v>0</v>
      </c>
      <c r="K1472" s="417">
        <f t="shared" si="39"/>
        <v>0</v>
      </c>
    </row>
    <row r="1473" spans="7:11" ht="25.15" customHeight="1">
      <c r="G1473" s="179"/>
      <c r="I1473" s="1063">
        <v>0</v>
      </c>
      <c r="J1473" s="1063">
        <v>0</v>
      </c>
      <c r="K1473" s="417">
        <f t="shared" si="39"/>
        <v>0</v>
      </c>
    </row>
    <row r="1474" spans="7:11" ht="25.15" customHeight="1">
      <c r="G1474" s="179"/>
      <c r="I1474" s="1063">
        <v>0</v>
      </c>
      <c r="J1474" s="1063">
        <v>0</v>
      </c>
      <c r="K1474" s="417">
        <f t="shared" si="39"/>
        <v>0</v>
      </c>
    </row>
    <row r="1475" spans="7:11" ht="25.15" customHeight="1">
      <c r="G1475" s="179"/>
      <c r="I1475" s="1063">
        <v>0</v>
      </c>
      <c r="J1475" s="1063">
        <v>0</v>
      </c>
      <c r="K1475" s="417">
        <f t="shared" si="39"/>
        <v>0</v>
      </c>
    </row>
    <row r="1476" spans="7:11" ht="25.15" customHeight="1">
      <c r="G1476" s="179"/>
      <c r="I1476" s="1063">
        <v>0</v>
      </c>
      <c r="J1476" s="1063">
        <v>0</v>
      </c>
      <c r="K1476" s="417">
        <f t="shared" ref="K1476:K1539" si="40">(J1476-I1476)*24*H1476</f>
        <v>0</v>
      </c>
    </row>
    <row r="1477" spans="7:11" ht="25.15" customHeight="1">
      <c r="G1477" s="179"/>
      <c r="I1477" s="1063">
        <v>0</v>
      </c>
      <c r="J1477" s="1063">
        <v>0</v>
      </c>
      <c r="K1477" s="417">
        <f t="shared" si="40"/>
        <v>0</v>
      </c>
    </row>
    <row r="1478" spans="7:11" ht="25.15" customHeight="1">
      <c r="G1478" s="179"/>
      <c r="I1478" s="1063">
        <v>0</v>
      </c>
      <c r="J1478" s="1063">
        <v>0</v>
      </c>
      <c r="K1478" s="417">
        <f t="shared" si="40"/>
        <v>0</v>
      </c>
    </row>
    <row r="1479" spans="7:11" ht="25.15" customHeight="1">
      <c r="G1479" s="179"/>
      <c r="I1479" s="1063">
        <v>0</v>
      </c>
      <c r="J1479" s="1063">
        <v>0</v>
      </c>
      <c r="K1479" s="417">
        <f t="shared" si="40"/>
        <v>0</v>
      </c>
    </row>
    <row r="1480" spans="7:11" ht="25.15" customHeight="1">
      <c r="G1480" s="179"/>
      <c r="I1480" s="1063">
        <v>0</v>
      </c>
      <c r="J1480" s="1063">
        <v>0</v>
      </c>
      <c r="K1480" s="417">
        <f t="shared" si="40"/>
        <v>0</v>
      </c>
    </row>
    <row r="1481" spans="7:11" ht="25.15" customHeight="1">
      <c r="G1481" s="179"/>
      <c r="I1481" s="1063">
        <v>0</v>
      </c>
      <c r="J1481" s="1063">
        <v>0</v>
      </c>
      <c r="K1481" s="417">
        <f t="shared" si="40"/>
        <v>0</v>
      </c>
    </row>
    <row r="1482" spans="7:11" ht="25.15" customHeight="1">
      <c r="G1482" s="179"/>
      <c r="I1482" s="1063">
        <v>0</v>
      </c>
      <c r="J1482" s="1063">
        <v>0</v>
      </c>
      <c r="K1482" s="417">
        <f t="shared" si="40"/>
        <v>0</v>
      </c>
    </row>
    <row r="1483" spans="7:11" ht="25.15" customHeight="1">
      <c r="G1483" s="179"/>
      <c r="I1483" s="1063">
        <v>0</v>
      </c>
      <c r="J1483" s="1063">
        <v>0</v>
      </c>
      <c r="K1483" s="417">
        <f t="shared" si="40"/>
        <v>0</v>
      </c>
    </row>
    <row r="1484" spans="7:11" ht="25.15" customHeight="1">
      <c r="G1484" s="179"/>
      <c r="I1484" s="1063">
        <v>0</v>
      </c>
      <c r="J1484" s="1063">
        <v>0</v>
      </c>
      <c r="K1484" s="417">
        <f t="shared" si="40"/>
        <v>0</v>
      </c>
    </row>
    <row r="1485" spans="7:11" ht="25.15" customHeight="1">
      <c r="G1485" s="179"/>
      <c r="I1485" s="1063">
        <v>0</v>
      </c>
      <c r="J1485" s="1063">
        <v>0</v>
      </c>
      <c r="K1485" s="417">
        <f t="shared" si="40"/>
        <v>0</v>
      </c>
    </row>
    <row r="1486" spans="7:11" ht="25.15" customHeight="1">
      <c r="G1486" s="179"/>
      <c r="I1486" s="1063">
        <v>0</v>
      </c>
      <c r="J1486" s="1063">
        <v>0</v>
      </c>
      <c r="K1486" s="417">
        <f t="shared" si="40"/>
        <v>0</v>
      </c>
    </row>
    <row r="1487" spans="7:11" ht="25.15" customHeight="1">
      <c r="G1487" s="179"/>
      <c r="I1487" s="1063">
        <v>0</v>
      </c>
      <c r="J1487" s="1063">
        <v>0</v>
      </c>
      <c r="K1487" s="417">
        <f t="shared" si="40"/>
        <v>0</v>
      </c>
    </row>
    <row r="1488" spans="7:11" ht="25.15" customHeight="1">
      <c r="G1488" s="179"/>
      <c r="I1488" s="1063">
        <v>0</v>
      </c>
      <c r="J1488" s="1063">
        <v>0</v>
      </c>
      <c r="K1488" s="417">
        <f t="shared" si="40"/>
        <v>0</v>
      </c>
    </row>
    <row r="1489" spans="7:11" ht="25.15" customHeight="1">
      <c r="G1489" s="179"/>
      <c r="I1489" s="1063">
        <v>0</v>
      </c>
      <c r="J1489" s="1063">
        <v>0</v>
      </c>
      <c r="K1489" s="417">
        <f t="shared" si="40"/>
        <v>0</v>
      </c>
    </row>
    <row r="1490" spans="7:11" ht="25.15" customHeight="1">
      <c r="G1490" s="179"/>
      <c r="I1490" s="1063">
        <v>0</v>
      </c>
      <c r="J1490" s="1063">
        <v>0</v>
      </c>
      <c r="K1490" s="417">
        <f t="shared" si="40"/>
        <v>0</v>
      </c>
    </row>
    <row r="1491" spans="7:11" ht="25.15" customHeight="1">
      <c r="G1491" s="179"/>
      <c r="I1491" s="1063">
        <v>0</v>
      </c>
      <c r="J1491" s="1063">
        <v>0</v>
      </c>
      <c r="K1491" s="417">
        <f t="shared" si="40"/>
        <v>0</v>
      </c>
    </row>
    <row r="1492" spans="7:11" ht="25.15" customHeight="1">
      <c r="G1492" s="179"/>
      <c r="I1492" s="1063">
        <v>0</v>
      </c>
      <c r="J1492" s="1063">
        <v>0</v>
      </c>
      <c r="K1492" s="417">
        <f t="shared" si="40"/>
        <v>0</v>
      </c>
    </row>
    <row r="1493" spans="7:11" ht="25.15" customHeight="1">
      <c r="G1493" s="179"/>
      <c r="I1493" s="1063">
        <v>0</v>
      </c>
      <c r="J1493" s="1063">
        <v>0</v>
      </c>
      <c r="K1493" s="417">
        <f t="shared" si="40"/>
        <v>0</v>
      </c>
    </row>
    <row r="1494" spans="7:11" ht="25.15" customHeight="1">
      <c r="G1494" s="179"/>
      <c r="I1494" s="1063">
        <v>0</v>
      </c>
      <c r="J1494" s="1063">
        <v>0</v>
      </c>
      <c r="K1494" s="417">
        <f t="shared" si="40"/>
        <v>0</v>
      </c>
    </row>
    <row r="1495" spans="7:11" ht="25.15" customHeight="1">
      <c r="G1495" s="179"/>
      <c r="I1495" s="1063">
        <v>0</v>
      </c>
      <c r="J1495" s="1063">
        <v>0</v>
      </c>
      <c r="K1495" s="417">
        <f t="shared" si="40"/>
        <v>0</v>
      </c>
    </row>
    <row r="1496" spans="7:11" ht="25.15" customHeight="1">
      <c r="G1496" s="179"/>
      <c r="I1496" s="1063">
        <v>0</v>
      </c>
      <c r="J1496" s="1063">
        <v>0</v>
      </c>
      <c r="K1496" s="417">
        <f t="shared" si="40"/>
        <v>0</v>
      </c>
    </row>
    <row r="1497" spans="7:11" ht="25.15" customHeight="1">
      <c r="G1497" s="179"/>
      <c r="I1497" s="1063">
        <v>0</v>
      </c>
      <c r="J1497" s="1063">
        <v>0</v>
      </c>
      <c r="K1497" s="417">
        <f t="shared" si="40"/>
        <v>0</v>
      </c>
    </row>
    <row r="1498" spans="7:11" ht="25.15" customHeight="1">
      <c r="G1498" s="179"/>
      <c r="I1498" s="1063">
        <v>0</v>
      </c>
      <c r="J1498" s="1063">
        <v>0</v>
      </c>
      <c r="K1498" s="417">
        <f t="shared" si="40"/>
        <v>0</v>
      </c>
    </row>
    <row r="1499" spans="7:11" ht="25.15" customHeight="1">
      <c r="G1499" s="179"/>
      <c r="I1499" s="1063">
        <v>0</v>
      </c>
      <c r="J1499" s="1063">
        <v>0</v>
      </c>
      <c r="K1499" s="417">
        <f t="shared" si="40"/>
        <v>0</v>
      </c>
    </row>
    <row r="1500" spans="7:11" ht="25.15" customHeight="1">
      <c r="G1500" s="179"/>
      <c r="I1500" s="1063">
        <v>0</v>
      </c>
      <c r="J1500" s="1063">
        <v>0</v>
      </c>
      <c r="K1500" s="417">
        <f t="shared" si="40"/>
        <v>0</v>
      </c>
    </row>
    <row r="1501" spans="7:11" ht="25.15" customHeight="1">
      <c r="G1501" s="179"/>
      <c r="I1501" s="1063">
        <v>0</v>
      </c>
      <c r="J1501" s="1063">
        <v>0</v>
      </c>
      <c r="K1501" s="417">
        <f t="shared" si="40"/>
        <v>0</v>
      </c>
    </row>
    <row r="1502" spans="7:11" ht="25.15" customHeight="1">
      <c r="G1502" s="179"/>
      <c r="I1502" s="1063">
        <v>0</v>
      </c>
      <c r="J1502" s="1063">
        <v>0</v>
      </c>
      <c r="K1502" s="417">
        <f t="shared" si="40"/>
        <v>0</v>
      </c>
    </row>
    <row r="1503" spans="7:11" ht="25.15" customHeight="1">
      <c r="G1503" s="179"/>
      <c r="I1503" s="1063">
        <v>0</v>
      </c>
      <c r="J1503" s="1063">
        <v>0</v>
      </c>
      <c r="K1503" s="417">
        <f t="shared" si="40"/>
        <v>0</v>
      </c>
    </row>
    <row r="1504" spans="7:11" ht="25.15" customHeight="1">
      <c r="G1504" s="179"/>
      <c r="I1504" s="1063">
        <v>0</v>
      </c>
      <c r="J1504" s="1063">
        <v>0</v>
      </c>
      <c r="K1504" s="417">
        <f t="shared" si="40"/>
        <v>0</v>
      </c>
    </row>
    <row r="1505" spans="7:11" ht="25.15" customHeight="1">
      <c r="G1505" s="179"/>
      <c r="I1505" s="1063">
        <v>0</v>
      </c>
      <c r="J1505" s="1063">
        <v>0</v>
      </c>
      <c r="K1505" s="417">
        <f t="shared" si="40"/>
        <v>0</v>
      </c>
    </row>
    <row r="1506" spans="7:11" ht="25.15" customHeight="1">
      <c r="G1506" s="179"/>
      <c r="I1506" s="1063">
        <v>0</v>
      </c>
      <c r="J1506" s="1063">
        <v>0</v>
      </c>
      <c r="K1506" s="417">
        <f t="shared" si="40"/>
        <v>0</v>
      </c>
    </row>
    <row r="1507" spans="7:11" ht="25.15" customHeight="1">
      <c r="G1507" s="179"/>
      <c r="I1507" s="1063">
        <v>0</v>
      </c>
      <c r="J1507" s="1063">
        <v>0</v>
      </c>
      <c r="K1507" s="417">
        <f t="shared" si="40"/>
        <v>0</v>
      </c>
    </row>
    <row r="1508" spans="7:11" ht="25.15" customHeight="1">
      <c r="G1508" s="179"/>
      <c r="I1508" s="1063">
        <v>0</v>
      </c>
      <c r="J1508" s="1063">
        <v>0</v>
      </c>
      <c r="K1508" s="417">
        <f t="shared" si="40"/>
        <v>0</v>
      </c>
    </row>
    <row r="1509" spans="7:11" ht="25.15" customHeight="1">
      <c r="G1509" s="179"/>
      <c r="I1509" s="1063">
        <v>0</v>
      </c>
      <c r="J1509" s="1063">
        <v>0</v>
      </c>
      <c r="K1509" s="417">
        <f t="shared" si="40"/>
        <v>0</v>
      </c>
    </row>
    <row r="1510" spans="7:11" ht="25.15" customHeight="1">
      <c r="G1510" s="179"/>
      <c r="I1510" s="1063">
        <v>0</v>
      </c>
      <c r="J1510" s="1063">
        <v>0</v>
      </c>
      <c r="K1510" s="417">
        <f t="shared" si="40"/>
        <v>0</v>
      </c>
    </row>
    <row r="1511" spans="7:11" ht="25.15" customHeight="1">
      <c r="G1511" s="179"/>
      <c r="I1511" s="1063">
        <v>0</v>
      </c>
      <c r="J1511" s="1063">
        <v>0</v>
      </c>
      <c r="K1511" s="417">
        <f t="shared" si="40"/>
        <v>0</v>
      </c>
    </row>
    <row r="1512" spans="7:11" ht="25.15" customHeight="1">
      <c r="G1512" s="179"/>
      <c r="I1512" s="1063">
        <v>0</v>
      </c>
      <c r="J1512" s="1063">
        <v>0</v>
      </c>
      <c r="K1512" s="417">
        <f t="shared" si="40"/>
        <v>0</v>
      </c>
    </row>
    <row r="1513" spans="7:11" ht="25.15" customHeight="1">
      <c r="G1513" s="179"/>
      <c r="I1513" s="1063">
        <v>0</v>
      </c>
      <c r="J1513" s="1063">
        <v>0</v>
      </c>
      <c r="K1513" s="417">
        <f t="shared" si="40"/>
        <v>0</v>
      </c>
    </row>
    <row r="1514" spans="7:11" ht="25.15" customHeight="1">
      <c r="G1514" s="179"/>
      <c r="I1514" s="1063">
        <v>0</v>
      </c>
      <c r="J1514" s="1063">
        <v>0</v>
      </c>
      <c r="K1514" s="417">
        <f t="shared" si="40"/>
        <v>0</v>
      </c>
    </row>
    <row r="1515" spans="7:11" ht="25.15" customHeight="1">
      <c r="G1515" s="179"/>
      <c r="I1515" s="1063">
        <v>0</v>
      </c>
      <c r="J1515" s="1063">
        <v>0</v>
      </c>
      <c r="K1515" s="417">
        <f t="shared" si="40"/>
        <v>0</v>
      </c>
    </row>
    <row r="1516" spans="7:11" ht="25.15" customHeight="1">
      <c r="G1516" s="179"/>
      <c r="I1516" s="1063">
        <v>0</v>
      </c>
      <c r="J1516" s="1063">
        <v>0</v>
      </c>
      <c r="K1516" s="417">
        <f t="shared" si="40"/>
        <v>0</v>
      </c>
    </row>
    <row r="1517" spans="7:11" ht="25.15" customHeight="1">
      <c r="G1517" s="179"/>
      <c r="I1517" s="1063">
        <v>0</v>
      </c>
      <c r="J1517" s="1063">
        <v>0</v>
      </c>
      <c r="K1517" s="417">
        <f t="shared" si="40"/>
        <v>0</v>
      </c>
    </row>
    <row r="1518" spans="7:11" ht="25.15" customHeight="1">
      <c r="G1518" s="179"/>
      <c r="I1518" s="1063">
        <v>0</v>
      </c>
      <c r="J1518" s="1063">
        <v>0</v>
      </c>
      <c r="K1518" s="417">
        <f t="shared" si="40"/>
        <v>0</v>
      </c>
    </row>
    <row r="1519" spans="7:11" ht="25.15" customHeight="1">
      <c r="G1519" s="179"/>
      <c r="I1519" s="1063">
        <v>0</v>
      </c>
      <c r="J1519" s="1063">
        <v>0</v>
      </c>
      <c r="K1519" s="417">
        <f t="shared" si="40"/>
        <v>0</v>
      </c>
    </row>
    <row r="1520" spans="7:11" ht="25.15" customHeight="1">
      <c r="G1520" s="179"/>
      <c r="I1520" s="1063">
        <v>0</v>
      </c>
      <c r="J1520" s="1063">
        <v>0</v>
      </c>
      <c r="K1520" s="417">
        <f t="shared" si="40"/>
        <v>0</v>
      </c>
    </row>
    <row r="1521" spans="7:11" ht="25.15" customHeight="1">
      <c r="G1521" s="179"/>
      <c r="I1521" s="1063">
        <v>0</v>
      </c>
      <c r="J1521" s="1063">
        <v>0</v>
      </c>
      <c r="K1521" s="417">
        <f t="shared" si="40"/>
        <v>0</v>
      </c>
    </row>
    <row r="1522" spans="7:11" ht="25.15" customHeight="1">
      <c r="G1522" s="179"/>
      <c r="I1522" s="1063">
        <v>0</v>
      </c>
      <c r="J1522" s="1063">
        <v>0</v>
      </c>
      <c r="K1522" s="417">
        <f t="shared" si="40"/>
        <v>0</v>
      </c>
    </row>
    <row r="1523" spans="7:11" ht="25.15" customHeight="1">
      <c r="G1523" s="179"/>
      <c r="I1523" s="1063">
        <v>0</v>
      </c>
      <c r="J1523" s="1063">
        <v>0</v>
      </c>
      <c r="K1523" s="417">
        <f t="shared" si="40"/>
        <v>0</v>
      </c>
    </row>
    <row r="1524" spans="7:11" ht="25.15" customHeight="1">
      <c r="G1524" s="179"/>
      <c r="I1524" s="1063">
        <v>0</v>
      </c>
      <c r="J1524" s="1063">
        <v>0</v>
      </c>
      <c r="K1524" s="417">
        <f t="shared" si="40"/>
        <v>0</v>
      </c>
    </row>
    <row r="1525" spans="7:11" ht="25.15" customHeight="1">
      <c r="G1525" s="179"/>
      <c r="I1525" s="1063">
        <v>0</v>
      </c>
      <c r="J1525" s="1063">
        <v>0</v>
      </c>
      <c r="K1525" s="417">
        <f t="shared" si="40"/>
        <v>0</v>
      </c>
    </row>
    <row r="1526" spans="7:11" ht="25.15" customHeight="1">
      <c r="G1526" s="179"/>
      <c r="I1526" s="1063">
        <v>0</v>
      </c>
      <c r="J1526" s="1063">
        <v>0</v>
      </c>
      <c r="K1526" s="417">
        <f t="shared" si="40"/>
        <v>0</v>
      </c>
    </row>
    <row r="1527" spans="7:11" ht="25.15" customHeight="1">
      <c r="G1527" s="179"/>
      <c r="I1527" s="1063">
        <v>0</v>
      </c>
      <c r="J1527" s="1063">
        <v>0</v>
      </c>
      <c r="K1527" s="417">
        <f t="shared" si="40"/>
        <v>0</v>
      </c>
    </row>
    <row r="1528" spans="7:11" ht="25.15" customHeight="1">
      <c r="G1528" s="179"/>
      <c r="I1528" s="1063">
        <v>0</v>
      </c>
      <c r="J1528" s="1063">
        <v>0</v>
      </c>
      <c r="K1528" s="417">
        <f t="shared" si="40"/>
        <v>0</v>
      </c>
    </row>
    <row r="1529" spans="7:11" ht="25.15" customHeight="1">
      <c r="G1529" s="179"/>
      <c r="I1529" s="1063">
        <v>0</v>
      </c>
      <c r="J1529" s="1063">
        <v>0</v>
      </c>
      <c r="K1529" s="417">
        <f t="shared" si="40"/>
        <v>0</v>
      </c>
    </row>
    <row r="1530" spans="7:11" ht="25.15" customHeight="1">
      <c r="G1530" s="179"/>
      <c r="I1530" s="1063">
        <v>0</v>
      </c>
      <c r="J1530" s="1063">
        <v>0</v>
      </c>
      <c r="K1530" s="417">
        <f t="shared" si="40"/>
        <v>0</v>
      </c>
    </row>
    <row r="1531" spans="7:11" ht="25.15" customHeight="1">
      <c r="G1531" s="179"/>
      <c r="I1531" s="1063">
        <v>0</v>
      </c>
      <c r="J1531" s="1063">
        <v>0</v>
      </c>
      <c r="K1531" s="417">
        <f t="shared" si="40"/>
        <v>0</v>
      </c>
    </row>
    <row r="1532" spans="7:11" ht="25.15" customHeight="1">
      <c r="G1532" s="179"/>
      <c r="I1532" s="1063">
        <v>0</v>
      </c>
      <c r="J1532" s="1063">
        <v>0</v>
      </c>
      <c r="K1532" s="417">
        <f t="shared" si="40"/>
        <v>0</v>
      </c>
    </row>
    <row r="1533" spans="7:11" ht="25.15" customHeight="1">
      <c r="G1533" s="179"/>
      <c r="I1533" s="1063">
        <v>0</v>
      </c>
      <c r="J1533" s="1063">
        <v>0</v>
      </c>
      <c r="K1533" s="417">
        <f t="shared" si="40"/>
        <v>0</v>
      </c>
    </row>
    <row r="1534" spans="7:11" ht="25.15" customHeight="1">
      <c r="G1534" s="179"/>
      <c r="I1534" s="1063">
        <v>0</v>
      </c>
      <c r="J1534" s="1063">
        <v>0</v>
      </c>
      <c r="K1534" s="417">
        <f t="shared" si="40"/>
        <v>0</v>
      </c>
    </row>
    <row r="1535" spans="7:11" ht="25.15" customHeight="1">
      <c r="G1535" s="179"/>
      <c r="I1535" s="1063">
        <v>0</v>
      </c>
      <c r="J1535" s="1063">
        <v>0</v>
      </c>
      <c r="K1535" s="417">
        <f t="shared" si="40"/>
        <v>0</v>
      </c>
    </row>
    <row r="1536" spans="7:11" ht="25.15" customHeight="1">
      <c r="G1536" s="179"/>
      <c r="I1536" s="1063">
        <v>0</v>
      </c>
      <c r="J1536" s="1063">
        <v>0</v>
      </c>
      <c r="K1536" s="417">
        <f t="shared" si="40"/>
        <v>0</v>
      </c>
    </row>
    <row r="1537" spans="7:11" ht="25.15" customHeight="1">
      <c r="G1537" s="179"/>
      <c r="I1537" s="1063">
        <v>0</v>
      </c>
      <c r="J1537" s="1063">
        <v>0</v>
      </c>
      <c r="K1537" s="417">
        <f t="shared" si="40"/>
        <v>0</v>
      </c>
    </row>
    <row r="1538" spans="7:11" ht="25.15" customHeight="1">
      <c r="G1538" s="179"/>
      <c r="I1538" s="1063">
        <v>0</v>
      </c>
      <c r="J1538" s="1063">
        <v>0</v>
      </c>
      <c r="K1538" s="417">
        <f t="shared" si="40"/>
        <v>0</v>
      </c>
    </row>
    <row r="1539" spans="7:11" ht="25.15" customHeight="1">
      <c r="G1539" s="179"/>
      <c r="I1539" s="1063">
        <v>0</v>
      </c>
      <c r="J1539" s="1063">
        <v>0</v>
      </c>
      <c r="K1539" s="417">
        <f t="shared" si="40"/>
        <v>0</v>
      </c>
    </row>
    <row r="1540" spans="7:11" ht="25.15" customHeight="1">
      <c r="G1540" s="179"/>
      <c r="I1540" s="1063">
        <v>0</v>
      </c>
      <c r="J1540" s="1063">
        <v>0</v>
      </c>
      <c r="K1540" s="417">
        <f t="shared" ref="K1540:K1603" si="41">(J1540-I1540)*24*H1540</f>
        <v>0</v>
      </c>
    </row>
    <row r="1541" spans="7:11" ht="25.15" customHeight="1">
      <c r="G1541" s="179"/>
      <c r="I1541" s="1063">
        <v>0</v>
      </c>
      <c r="J1541" s="1063">
        <v>0</v>
      </c>
      <c r="K1541" s="417">
        <f t="shared" si="41"/>
        <v>0</v>
      </c>
    </row>
    <row r="1542" spans="7:11" ht="25.15" customHeight="1">
      <c r="G1542" s="179"/>
      <c r="I1542" s="1063">
        <v>0</v>
      </c>
      <c r="J1542" s="1063">
        <v>0</v>
      </c>
      <c r="K1542" s="417">
        <f t="shared" si="41"/>
        <v>0</v>
      </c>
    </row>
    <row r="1543" spans="7:11" ht="25.15" customHeight="1">
      <c r="G1543" s="179"/>
      <c r="I1543" s="1063">
        <v>0</v>
      </c>
      <c r="J1543" s="1063">
        <v>0</v>
      </c>
      <c r="K1543" s="417">
        <f t="shared" si="41"/>
        <v>0</v>
      </c>
    </row>
    <row r="1544" spans="7:11" ht="25.15" customHeight="1">
      <c r="G1544" s="179"/>
      <c r="I1544" s="1063">
        <v>0</v>
      </c>
      <c r="J1544" s="1063">
        <v>0</v>
      </c>
      <c r="K1544" s="417">
        <f t="shared" si="41"/>
        <v>0</v>
      </c>
    </row>
    <row r="1545" spans="7:11" ht="25.15" customHeight="1">
      <c r="G1545" s="179"/>
      <c r="I1545" s="1063">
        <v>0</v>
      </c>
      <c r="J1545" s="1063">
        <v>0</v>
      </c>
      <c r="K1545" s="417">
        <f t="shared" si="41"/>
        <v>0</v>
      </c>
    </row>
    <row r="1546" spans="7:11" ht="25.15" customHeight="1">
      <c r="G1546" s="179"/>
      <c r="I1546" s="1063">
        <v>0</v>
      </c>
      <c r="J1546" s="1063">
        <v>0</v>
      </c>
      <c r="K1546" s="417">
        <f t="shared" si="41"/>
        <v>0</v>
      </c>
    </row>
    <row r="1547" spans="7:11" ht="25.15" customHeight="1">
      <c r="G1547" s="179"/>
      <c r="I1547" s="1063">
        <v>0</v>
      </c>
      <c r="J1547" s="1063">
        <v>0</v>
      </c>
      <c r="K1547" s="417">
        <f t="shared" si="41"/>
        <v>0</v>
      </c>
    </row>
    <row r="1548" spans="7:11" ht="25.15" customHeight="1">
      <c r="G1548" s="179"/>
      <c r="I1548" s="1063">
        <v>0</v>
      </c>
      <c r="J1548" s="1063">
        <v>0</v>
      </c>
      <c r="K1548" s="417">
        <f t="shared" si="41"/>
        <v>0</v>
      </c>
    </row>
    <row r="1549" spans="7:11" ht="25.15" customHeight="1">
      <c r="G1549" s="179"/>
      <c r="I1549" s="1063">
        <v>0</v>
      </c>
      <c r="J1549" s="1063">
        <v>0</v>
      </c>
      <c r="K1549" s="417">
        <f t="shared" si="41"/>
        <v>0</v>
      </c>
    </row>
    <row r="1550" spans="7:11" ht="25.15" customHeight="1">
      <c r="G1550" s="179"/>
      <c r="I1550" s="1063">
        <v>0</v>
      </c>
      <c r="J1550" s="1063">
        <v>0</v>
      </c>
      <c r="K1550" s="417">
        <f t="shared" si="41"/>
        <v>0</v>
      </c>
    </row>
    <row r="1551" spans="7:11" ht="25.15" customHeight="1">
      <c r="G1551" s="179"/>
      <c r="I1551" s="1063">
        <v>0</v>
      </c>
      <c r="J1551" s="1063">
        <v>0</v>
      </c>
      <c r="K1551" s="417">
        <f t="shared" si="41"/>
        <v>0</v>
      </c>
    </row>
    <row r="1552" spans="7:11" ht="25.15" customHeight="1">
      <c r="G1552" s="179"/>
      <c r="I1552" s="1063">
        <v>0</v>
      </c>
      <c r="J1552" s="1063">
        <v>0</v>
      </c>
      <c r="K1552" s="417">
        <f t="shared" si="41"/>
        <v>0</v>
      </c>
    </row>
    <row r="1553" spans="7:11" ht="25.15" customHeight="1">
      <c r="G1553" s="179"/>
      <c r="I1553" s="1063">
        <v>0</v>
      </c>
      <c r="J1553" s="1063">
        <v>0</v>
      </c>
      <c r="K1553" s="417">
        <f t="shared" si="41"/>
        <v>0</v>
      </c>
    </row>
    <row r="1554" spans="7:11" ht="25.15" customHeight="1">
      <c r="G1554" s="179"/>
      <c r="I1554" s="1063">
        <v>0</v>
      </c>
      <c r="J1554" s="1063">
        <v>0</v>
      </c>
      <c r="K1554" s="417">
        <f t="shared" si="41"/>
        <v>0</v>
      </c>
    </row>
    <row r="1555" spans="7:11" ht="25.15" customHeight="1">
      <c r="G1555" s="179"/>
      <c r="I1555" s="1063">
        <v>0</v>
      </c>
      <c r="J1555" s="1063">
        <v>0</v>
      </c>
      <c r="K1555" s="417">
        <f t="shared" si="41"/>
        <v>0</v>
      </c>
    </row>
    <row r="1556" spans="7:11" ht="25.15" customHeight="1">
      <c r="G1556" s="179"/>
      <c r="I1556" s="1063">
        <v>0</v>
      </c>
      <c r="J1556" s="1063">
        <v>0</v>
      </c>
      <c r="K1556" s="417">
        <f t="shared" si="41"/>
        <v>0</v>
      </c>
    </row>
    <row r="1557" spans="7:11" ht="25.15" customHeight="1">
      <c r="G1557" s="179"/>
      <c r="I1557" s="1063">
        <v>0</v>
      </c>
      <c r="J1557" s="1063">
        <v>0</v>
      </c>
      <c r="K1557" s="417">
        <f t="shared" si="41"/>
        <v>0</v>
      </c>
    </row>
    <row r="1558" spans="7:11" ht="25.15" customHeight="1">
      <c r="G1558" s="179"/>
      <c r="I1558" s="1063">
        <v>0</v>
      </c>
      <c r="J1558" s="1063">
        <v>0</v>
      </c>
      <c r="K1558" s="417">
        <f t="shared" si="41"/>
        <v>0</v>
      </c>
    </row>
    <row r="1559" spans="7:11" ht="25.15" customHeight="1">
      <c r="G1559" s="179"/>
      <c r="I1559" s="1063">
        <v>0</v>
      </c>
      <c r="J1559" s="1063">
        <v>0</v>
      </c>
      <c r="K1559" s="417">
        <f t="shared" si="41"/>
        <v>0</v>
      </c>
    </row>
    <row r="1560" spans="7:11" ht="25.15" customHeight="1">
      <c r="G1560" s="179"/>
      <c r="I1560" s="1063">
        <v>0</v>
      </c>
      <c r="J1560" s="1063">
        <v>0</v>
      </c>
      <c r="K1560" s="417">
        <f t="shared" si="41"/>
        <v>0</v>
      </c>
    </row>
    <row r="1561" spans="7:11" ht="25.15" customHeight="1">
      <c r="G1561" s="179"/>
      <c r="I1561" s="1063">
        <v>0</v>
      </c>
      <c r="J1561" s="1063">
        <v>0</v>
      </c>
      <c r="K1561" s="417">
        <f t="shared" si="41"/>
        <v>0</v>
      </c>
    </row>
    <row r="1562" spans="7:11" ht="25.15" customHeight="1">
      <c r="G1562" s="179"/>
      <c r="I1562" s="1063">
        <v>0</v>
      </c>
      <c r="J1562" s="1063">
        <v>0</v>
      </c>
      <c r="K1562" s="417">
        <f t="shared" si="41"/>
        <v>0</v>
      </c>
    </row>
    <row r="1563" spans="7:11" ht="25.15" customHeight="1">
      <c r="G1563" s="179"/>
      <c r="I1563" s="1063">
        <v>0</v>
      </c>
      <c r="J1563" s="1063">
        <v>0</v>
      </c>
      <c r="K1563" s="417">
        <f t="shared" si="41"/>
        <v>0</v>
      </c>
    </row>
    <row r="1564" spans="7:11" ht="25.15" customHeight="1">
      <c r="G1564" s="179"/>
      <c r="I1564" s="1063">
        <v>0</v>
      </c>
      <c r="J1564" s="1063">
        <v>0</v>
      </c>
      <c r="K1564" s="417">
        <f t="shared" si="41"/>
        <v>0</v>
      </c>
    </row>
    <row r="1565" spans="7:11" ht="25.15" customHeight="1">
      <c r="G1565" s="179"/>
      <c r="I1565" s="1063">
        <v>0</v>
      </c>
      <c r="J1565" s="1063">
        <v>0</v>
      </c>
      <c r="K1565" s="417">
        <f t="shared" si="41"/>
        <v>0</v>
      </c>
    </row>
    <row r="1566" spans="7:11" ht="25.15" customHeight="1">
      <c r="G1566" s="179"/>
      <c r="I1566" s="1063">
        <v>0</v>
      </c>
      <c r="J1566" s="1063">
        <v>0</v>
      </c>
      <c r="K1566" s="417">
        <f t="shared" si="41"/>
        <v>0</v>
      </c>
    </row>
    <row r="1567" spans="7:11" ht="25.15" customHeight="1">
      <c r="G1567" s="179"/>
      <c r="I1567" s="1063">
        <v>0</v>
      </c>
      <c r="J1567" s="1063">
        <v>0</v>
      </c>
      <c r="K1567" s="417">
        <f t="shared" si="41"/>
        <v>0</v>
      </c>
    </row>
    <row r="1568" spans="7:11" ht="25.15" customHeight="1">
      <c r="G1568" s="179"/>
      <c r="I1568" s="1063">
        <v>0</v>
      </c>
      <c r="J1568" s="1063">
        <v>0</v>
      </c>
      <c r="K1568" s="417">
        <f t="shared" si="41"/>
        <v>0</v>
      </c>
    </row>
    <row r="1569" spans="7:11" ht="25.15" customHeight="1">
      <c r="G1569" s="179"/>
      <c r="I1569" s="1063">
        <v>0</v>
      </c>
      <c r="J1569" s="1063">
        <v>0</v>
      </c>
      <c r="K1569" s="417">
        <f t="shared" si="41"/>
        <v>0</v>
      </c>
    </row>
    <row r="1570" spans="7:11" ht="25.15" customHeight="1">
      <c r="G1570" s="179"/>
      <c r="I1570" s="1063">
        <v>0</v>
      </c>
      <c r="J1570" s="1063">
        <v>0</v>
      </c>
      <c r="K1570" s="417">
        <f t="shared" si="41"/>
        <v>0</v>
      </c>
    </row>
    <row r="1571" spans="7:11" ht="25.15" customHeight="1">
      <c r="G1571" s="179"/>
      <c r="I1571" s="1063">
        <v>0</v>
      </c>
      <c r="J1571" s="1063">
        <v>0</v>
      </c>
      <c r="K1571" s="417">
        <f t="shared" si="41"/>
        <v>0</v>
      </c>
    </row>
    <row r="1572" spans="7:11" ht="25.15" customHeight="1">
      <c r="G1572" s="179"/>
      <c r="I1572" s="1063">
        <v>0</v>
      </c>
      <c r="J1572" s="1063">
        <v>0</v>
      </c>
      <c r="K1572" s="417">
        <f t="shared" si="41"/>
        <v>0</v>
      </c>
    </row>
    <row r="1573" spans="7:11" ht="25.15" customHeight="1">
      <c r="G1573" s="179"/>
      <c r="I1573" s="1063">
        <v>0</v>
      </c>
      <c r="J1573" s="1063">
        <v>0</v>
      </c>
      <c r="K1573" s="417">
        <f t="shared" si="41"/>
        <v>0</v>
      </c>
    </row>
    <row r="1574" spans="7:11" ht="25.15" customHeight="1">
      <c r="G1574" s="179"/>
      <c r="I1574" s="1063">
        <v>0</v>
      </c>
      <c r="J1574" s="1063">
        <v>0</v>
      </c>
      <c r="K1574" s="417">
        <f t="shared" si="41"/>
        <v>0</v>
      </c>
    </row>
    <row r="1575" spans="7:11" ht="25.15" customHeight="1">
      <c r="G1575" s="179"/>
      <c r="I1575" s="1063">
        <v>0</v>
      </c>
      <c r="J1575" s="1063">
        <v>0</v>
      </c>
      <c r="K1575" s="417">
        <f t="shared" si="41"/>
        <v>0</v>
      </c>
    </row>
    <row r="1576" spans="7:11" ht="25.15" customHeight="1">
      <c r="G1576" s="179"/>
      <c r="I1576" s="1063">
        <v>0</v>
      </c>
      <c r="J1576" s="1063">
        <v>0</v>
      </c>
      <c r="K1576" s="417">
        <f t="shared" si="41"/>
        <v>0</v>
      </c>
    </row>
    <row r="1577" spans="7:11" ht="25.15" customHeight="1">
      <c r="G1577" s="179"/>
      <c r="I1577" s="1063">
        <v>0</v>
      </c>
      <c r="J1577" s="1063">
        <v>0</v>
      </c>
      <c r="K1577" s="417">
        <f t="shared" si="41"/>
        <v>0</v>
      </c>
    </row>
    <row r="1578" spans="7:11" ht="25.15" customHeight="1">
      <c r="G1578" s="179"/>
      <c r="I1578" s="1063">
        <v>0</v>
      </c>
      <c r="J1578" s="1063">
        <v>0</v>
      </c>
      <c r="K1578" s="417">
        <f t="shared" si="41"/>
        <v>0</v>
      </c>
    </row>
    <row r="1579" spans="7:11" ht="25.15" customHeight="1">
      <c r="G1579" s="179"/>
      <c r="I1579" s="1063">
        <v>0</v>
      </c>
      <c r="J1579" s="1063">
        <v>0</v>
      </c>
      <c r="K1579" s="417">
        <f t="shared" si="41"/>
        <v>0</v>
      </c>
    </row>
    <row r="1580" spans="7:11" ht="25.15" customHeight="1">
      <c r="G1580" s="179"/>
      <c r="I1580" s="1063">
        <v>0</v>
      </c>
      <c r="J1580" s="1063">
        <v>0</v>
      </c>
      <c r="K1580" s="417">
        <f t="shared" si="41"/>
        <v>0</v>
      </c>
    </row>
    <row r="1581" spans="7:11" ht="25.15" customHeight="1">
      <c r="G1581" s="179"/>
      <c r="I1581" s="1063">
        <v>0</v>
      </c>
      <c r="J1581" s="1063">
        <v>0</v>
      </c>
      <c r="K1581" s="417">
        <f t="shared" si="41"/>
        <v>0</v>
      </c>
    </row>
    <row r="1582" spans="7:11" ht="25.15" customHeight="1">
      <c r="G1582" s="179"/>
      <c r="I1582" s="1063">
        <v>0</v>
      </c>
      <c r="J1582" s="1063">
        <v>0</v>
      </c>
      <c r="K1582" s="417">
        <f t="shared" si="41"/>
        <v>0</v>
      </c>
    </row>
    <row r="1583" spans="7:11" ht="25.15" customHeight="1">
      <c r="G1583" s="179"/>
      <c r="I1583" s="1063">
        <v>0</v>
      </c>
      <c r="J1583" s="1063">
        <v>0</v>
      </c>
      <c r="K1583" s="417">
        <f t="shared" si="41"/>
        <v>0</v>
      </c>
    </row>
    <row r="1584" spans="7:11" ht="25.15" customHeight="1">
      <c r="G1584" s="179"/>
      <c r="I1584" s="1063">
        <v>0</v>
      </c>
      <c r="J1584" s="1063">
        <v>0</v>
      </c>
      <c r="K1584" s="417">
        <f t="shared" si="41"/>
        <v>0</v>
      </c>
    </row>
    <row r="1585" spans="7:11" ht="25.15" customHeight="1">
      <c r="G1585" s="179"/>
      <c r="I1585" s="1063">
        <v>0</v>
      </c>
      <c r="J1585" s="1063">
        <v>0</v>
      </c>
      <c r="K1585" s="417">
        <f t="shared" si="41"/>
        <v>0</v>
      </c>
    </row>
    <row r="1586" spans="7:11" ht="25.15" customHeight="1">
      <c r="G1586" s="179"/>
      <c r="I1586" s="1063">
        <v>0</v>
      </c>
      <c r="J1586" s="1063">
        <v>0</v>
      </c>
      <c r="K1586" s="417">
        <f t="shared" si="41"/>
        <v>0</v>
      </c>
    </row>
    <row r="1587" spans="7:11" ht="25.15" customHeight="1">
      <c r="G1587" s="179"/>
      <c r="I1587" s="1063">
        <v>0</v>
      </c>
      <c r="J1587" s="1063">
        <v>0</v>
      </c>
      <c r="K1587" s="417">
        <f t="shared" si="41"/>
        <v>0</v>
      </c>
    </row>
    <row r="1588" spans="7:11" ht="25.15" customHeight="1">
      <c r="G1588" s="179"/>
      <c r="I1588" s="1063">
        <v>0</v>
      </c>
      <c r="J1588" s="1063">
        <v>0</v>
      </c>
      <c r="K1588" s="417">
        <f t="shared" si="41"/>
        <v>0</v>
      </c>
    </row>
    <row r="1589" spans="7:11" ht="25.15" customHeight="1">
      <c r="G1589" s="179"/>
      <c r="I1589" s="1063">
        <v>0</v>
      </c>
      <c r="J1589" s="1063">
        <v>0</v>
      </c>
      <c r="K1589" s="417">
        <f t="shared" si="41"/>
        <v>0</v>
      </c>
    </row>
    <row r="1590" spans="7:11" ht="25.15" customHeight="1">
      <c r="G1590" s="179"/>
      <c r="I1590" s="1063">
        <v>0</v>
      </c>
      <c r="J1590" s="1063">
        <v>0</v>
      </c>
      <c r="K1590" s="417">
        <f t="shared" si="41"/>
        <v>0</v>
      </c>
    </row>
    <row r="1591" spans="7:11" ht="25.15" customHeight="1">
      <c r="G1591" s="179"/>
      <c r="I1591" s="1063">
        <v>0</v>
      </c>
      <c r="J1591" s="1063">
        <v>0</v>
      </c>
      <c r="K1591" s="417">
        <f t="shared" si="41"/>
        <v>0</v>
      </c>
    </row>
    <row r="1592" spans="7:11" ht="25.15" customHeight="1">
      <c r="G1592" s="179"/>
      <c r="I1592" s="1063">
        <v>0</v>
      </c>
      <c r="J1592" s="1063">
        <v>0</v>
      </c>
      <c r="K1592" s="417">
        <f t="shared" si="41"/>
        <v>0</v>
      </c>
    </row>
    <row r="1593" spans="7:11" ht="25.15" customHeight="1">
      <c r="G1593" s="179"/>
      <c r="I1593" s="1063">
        <v>0</v>
      </c>
      <c r="J1593" s="1063">
        <v>0</v>
      </c>
      <c r="K1593" s="417">
        <f t="shared" si="41"/>
        <v>0</v>
      </c>
    </row>
    <row r="1594" spans="7:11" ht="25.15" customHeight="1">
      <c r="G1594" s="179"/>
      <c r="I1594" s="1063">
        <v>0</v>
      </c>
      <c r="J1594" s="1063">
        <v>0</v>
      </c>
      <c r="K1594" s="417">
        <f t="shared" si="41"/>
        <v>0</v>
      </c>
    </row>
    <row r="1595" spans="7:11" ht="25.15" customHeight="1">
      <c r="G1595" s="179"/>
      <c r="I1595" s="1063">
        <v>0</v>
      </c>
      <c r="J1595" s="1063">
        <v>0</v>
      </c>
      <c r="K1595" s="417">
        <f t="shared" si="41"/>
        <v>0</v>
      </c>
    </row>
    <row r="1596" spans="7:11" ht="25.15" customHeight="1">
      <c r="G1596" s="179"/>
      <c r="I1596" s="1063">
        <v>0</v>
      </c>
      <c r="J1596" s="1063">
        <v>0</v>
      </c>
      <c r="K1596" s="417">
        <f t="shared" si="41"/>
        <v>0</v>
      </c>
    </row>
    <row r="1597" spans="7:11" ht="25.15" customHeight="1">
      <c r="G1597" s="179"/>
      <c r="I1597" s="1063">
        <v>0</v>
      </c>
      <c r="J1597" s="1063">
        <v>0</v>
      </c>
      <c r="K1597" s="417">
        <f t="shared" si="41"/>
        <v>0</v>
      </c>
    </row>
    <row r="1598" spans="7:11" ht="25.15" customHeight="1">
      <c r="G1598" s="179"/>
      <c r="I1598" s="1063">
        <v>0</v>
      </c>
      <c r="J1598" s="1063">
        <v>0</v>
      </c>
      <c r="K1598" s="417">
        <f t="shared" si="41"/>
        <v>0</v>
      </c>
    </row>
    <row r="1599" spans="7:11" ht="25.15" customHeight="1">
      <c r="G1599" s="179"/>
      <c r="I1599" s="1063">
        <v>0</v>
      </c>
      <c r="J1599" s="1063">
        <v>0</v>
      </c>
      <c r="K1599" s="417">
        <f t="shared" si="41"/>
        <v>0</v>
      </c>
    </row>
    <row r="1600" spans="7:11" ht="25.15" customHeight="1">
      <c r="G1600" s="179"/>
      <c r="I1600" s="1063">
        <v>0</v>
      </c>
      <c r="J1600" s="1063">
        <v>0</v>
      </c>
      <c r="K1600" s="417">
        <f t="shared" si="41"/>
        <v>0</v>
      </c>
    </row>
    <row r="1601" spans="7:11" ht="25.15" customHeight="1">
      <c r="G1601" s="179"/>
      <c r="I1601" s="1063">
        <v>0</v>
      </c>
      <c r="J1601" s="1063">
        <v>0</v>
      </c>
      <c r="K1601" s="417">
        <f t="shared" si="41"/>
        <v>0</v>
      </c>
    </row>
    <row r="1602" spans="7:11" ht="25.15" customHeight="1">
      <c r="G1602" s="179"/>
      <c r="I1602" s="1063">
        <v>0</v>
      </c>
      <c r="J1602" s="1063">
        <v>0</v>
      </c>
      <c r="K1602" s="417">
        <f t="shared" si="41"/>
        <v>0</v>
      </c>
    </row>
    <row r="1603" spans="7:11" ht="25.15" customHeight="1">
      <c r="G1603" s="179"/>
      <c r="I1603" s="1063">
        <v>0</v>
      </c>
      <c r="J1603" s="1063">
        <v>0</v>
      </c>
      <c r="K1603" s="417">
        <f t="shared" si="41"/>
        <v>0</v>
      </c>
    </row>
    <row r="1604" spans="7:11" ht="25.15" customHeight="1">
      <c r="G1604" s="179"/>
      <c r="I1604" s="1063">
        <v>0</v>
      </c>
      <c r="J1604" s="1063">
        <v>0</v>
      </c>
      <c r="K1604" s="417">
        <f t="shared" ref="K1604:K1660" si="42">(J1604-I1604)*24*H1604</f>
        <v>0</v>
      </c>
    </row>
    <row r="1605" spans="7:11" ht="25.15" customHeight="1">
      <c r="G1605" s="179"/>
      <c r="I1605" s="1063">
        <v>0</v>
      </c>
      <c r="J1605" s="1063">
        <v>0</v>
      </c>
      <c r="K1605" s="417">
        <f t="shared" si="42"/>
        <v>0</v>
      </c>
    </row>
    <row r="1606" spans="7:11" ht="25.15" customHeight="1">
      <c r="G1606" s="179"/>
      <c r="I1606" s="1063">
        <v>0</v>
      </c>
      <c r="J1606" s="1063">
        <v>0</v>
      </c>
      <c r="K1606" s="417">
        <f t="shared" si="42"/>
        <v>0</v>
      </c>
    </row>
    <row r="1607" spans="7:11" ht="25.15" customHeight="1">
      <c r="G1607" s="179"/>
      <c r="I1607" s="1063">
        <v>0</v>
      </c>
      <c r="J1607" s="1063">
        <v>0</v>
      </c>
      <c r="K1607" s="417">
        <f t="shared" si="42"/>
        <v>0</v>
      </c>
    </row>
    <row r="1608" spans="7:11" ht="25.15" customHeight="1">
      <c r="G1608" s="179"/>
      <c r="I1608" s="1063">
        <v>0</v>
      </c>
      <c r="J1608" s="1063">
        <v>0</v>
      </c>
      <c r="K1608" s="417">
        <f t="shared" si="42"/>
        <v>0</v>
      </c>
    </row>
    <row r="1609" spans="7:11" ht="25.15" customHeight="1">
      <c r="G1609" s="179"/>
      <c r="I1609" s="1063">
        <v>0</v>
      </c>
      <c r="J1609" s="1063">
        <v>0</v>
      </c>
      <c r="K1609" s="417">
        <f t="shared" si="42"/>
        <v>0</v>
      </c>
    </row>
    <row r="1610" spans="7:11" ht="25.15" customHeight="1">
      <c r="G1610" s="179"/>
      <c r="I1610" s="1063">
        <v>0</v>
      </c>
      <c r="J1610" s="1063">
        <v>0</v>
      </c>
      <c r="K1610" s="417">
        <f t="shared" si="42"/>
        <v>0</v>
      </c>
    </row>
    <row r="1611" spans="7:11" ht="25.15" customHeight="1">
      <c r="G1611" s="179"/>
      <c r="I1611" s="1063">
        <v>0</v>
      </c>
      <c r="J1611" s="1063">
        <v>0</v>
      </c>
      <c r="K1611" s="417">
        <f t="shared" si="42"/>
        <v>0</v>
      </c>
    </row>
    <row r="1612" spans="7:11" ht="25.15" customHeight="1">
      <c r="G1612" s="179"/>
      <c r="I1612" s="1063">
        <v>0</v>
      </c>
      <c r="J1612" s="1063">
        <v>0</v>
      </c>
      <c r="K1612" s="417">
        <f t="shared" si="42"/>
        <v>0</v>
      </c>
    </row>
    <row r="1613" spans="7:11" ht="25.15" customHeight="1">
      <c r="G1613" s="179"/>
      <c r="I1613" s="1063">
        <v>0</v>
      </c>
      <c r="J1613" s="1063">
        <v>0</v>
      </c>
      <c r="K1613" s="417">
        <f t="shared" si="42"/>
        <v>0</v>
      </c>
    </row>
    <row r="1614" spans="7:11" ht="25.15" customHeight="1">
      <c r="G1614" s="179"/>
      <c r="I1614" s="1063">
        <v>0</v>
      </c>
      <c r="J1614" s="1063">
        <v>0</v>
      </c>
      <c r="K1614" s="417">
        <f t="shared" si="42"/>
        <v>0</v>
      </c>
    </row>
    <row r="1615" spans="7:11" ht="25.15" customHeight="1">
      <c r="G1615" s="179"/>
      <c r="I1615" s="1063">
        <v>0</v>
      </c>
      <c r="J1615" s="1063">
        <v>0</v>
      </c>
      <c r="K1615" s="417">
        <f t="shared" si="42"/>
        <v>0</v>
      </c>
    </row>
    <row r="1616" spans="7:11" ht="25.15" customHeight="1">
      <c r="G1616" s="179"/>
      <c r="I1616" s="1063">
        <v>0</v>
      </c>
      <c r="J1616" s="1063">
        <v>0</v>
      </c>
      <c r="K1616" s="417">
        <f t="shared" si="42"/>
        <v>0</v>
      </c>
    </row>
    <row r="1617" spans="7:11" ht="25.15" customHeight="1">
      <c r="G1617" s="179"/>
      <c r="I1617" s="1063">
        <v>0</v>
      </c>
      <c r="J1617" s="1063">
        <v>0</v>
      </c>
      <c r="K1617" s="417">
        <f t="shared" si="42"/>
        <v>0</v>
      </c>
    </row>
    <row r="1618" spans="7:11" ht="25.15" customHeight="1">
      <c r="G1618" s="179"/>
      <c r="I1618" s="1063">
        <v>0</v>
      </c>
      <c r="J1618" s="1063">
        <v>0</v>
      </c>
      <c r="K1618" s="417">
        <f t="shared" si="42"/>
        <v>0</v>
      </c>
    </row>
    <row r="1619" spans="7:11" ht="25.15" customHeight="1">
      <c r="G1619" s="179"/>
      <c r="I1619" s="1063">
        <v>0</v>
      </c>
      <c r="J1619" s="1063">
        <v>0</v>
      </c>
      <c r="K1619" s="417">
        <f t="shared" si="42"/>
        <v>0</v>
      </c>
    </row>
    <row r="1620" spans="7:11" ht="25.15" customHeight="1">
      <c r="G1620" s="179"/>
      <c r="I1620" s="1063">
        <v>0</v>
      </c>
      <c r="J1620" s="1063">
        <v>0</v>
      </c>
      <c r="K1620" s="417">
        <f t="shared" si="42"/>
        <v>0</v>
      </c>
    </row>
    <row r="1621" spans="7:11" ht="25.15" customHeight="1">
      <c r="G1621" s="179"/>
      <c r="I1621" s="1063">
        <v>0</v>
      </c>
      <c r="J1621" s="1063">
        <v>0</v>
      </c>
      <c r="K1621" s="417">
        <f t="shared" si="42"/>
        <v>0</v>
      </c>
    </row>
    <row r="1622" spans="7:11" ht="25.15" customHeight="1">
      <c r="G1622" s="179"/>
      <c r="I1622" s="1063">
        <v>0</v>
      </c>
      <c r="J1622" s="1063">
        <v>0</v>
      </c>
      <c r="K1622" s="417">
        <f t="shared" si="42"/>
        <v>0</v>
      </c>
    </row>
    <row r="1623" spans="7:11" ht="25.15" customHeight="1">
      <c r="G1623" s="179"/>
      <c r="I1623" s="1063">
        <v>0</v>
      </c>
      <c r="J1623" s="1063">
        <v>0</v>
      </c>
      <c r="K1623" s="417">
        <f t="shared" si="42"/>
        <v>0</v>
      </c>
    </row>
    <row r="1624" spans="7:11" ht="25.15" customHeight="1">
      <c r="G1624" s="179"/>
      <c r="I1624" s="1063">
        <v>0</v>
      </c>
      <c r="J1624" s="1063">
        <v>0</v>
      </c>
      <c r="K1624" s="417">
        <f t="shared" si="42"/>
        <v>0</v>
      </c>
    </row>
    <row r="1625" spans="7:11" ht="25.15" customHeight="1">
      <c r="G1625" s="179"/>
      <c r="I1625" s="1063">
        <v>0</v>
      </c>
      <c r="J1625" s="1063">
        <v>0</v>
      </c>
      <c r="K1625" s="417">
        <f t="shared" si="42"/>
        <v>0</v>
      </c>
    </row>
    <row r="1626" spans="7:11" ht="25.15" customHeight="1">
      <c r="G1626" s="179"/>
      <c r="I1626" s="1063">
        <v>0</v>
      </c>
      <c r="J1626" s="1063">
        <v>0</v>
      </c>
      <c r="K1626" s="417">
        <f t="shared" si="42"/>
        <v>0</v>
      </c>
    </row>
    <row r="1627" spans="7:11" ht="25.15" customHeight="1">
      <c r="G1627" s="179"/>
      <c r="I1627" s="1063">
        <v>0</v>
      </c>
      <c r="J1627" s="1063">
        <v>0</v>
      </c>
      <c r="K1627" s="417">
        <f t="shared" si="42"/>
        <v>0</v>
      </c>
    </row>
    <row r="1628" spans="7:11" ht="25.15" customHeight="1">
      <c r="G1628" s="179"/>
      <c r="I1628" s="1063">
        <v>0</v>
      </c>
      <c r="J1628" s="1063">
        <v>0</v>
      </c>
      <c r="K1628" s="417">
        <f t="shared" si="42"/>
        <v>0</v>
      </c>
    </row>
    <row r="1629" spans="7:11" ht="25.15" customHeight="1">
      <c r="G1629" s="179"/>
      <c r="I1629" s="1063">
        <v>0</v>
      </c>
      <c r="J1629" s="1063">
        <v>0</v>
      </c>
      <c r="K1629" s="417">
        <f t="shared" si="42"/>
        <v>0</v>
      </c>
    </row>
    <row r="1630" spans="7:11" ht="25.15" customHeight="1">
      <c r="G1630" s="179"/>
      <c r="I1630" s="1063">
        <v>0</v>
      </c>
      <c r="J1630" s="1063">
        <v>0</v>
      </c>
      <c r="K1630" s="417">
        <f t="shared" si="42"/>
        <v>0</v>
      </c>
    </row>
    <row r="1631" spans="7:11" ht="25.15" customHeight="1">
      <c r="G1631" s="179"/>
      <c r="I1631" s="1063">
        <v>0</v>
      </c>
      <c r="J1631" s="1063">
        <v>0</v>
      </c>
      <c r="K1631" s="417">
        <f t="shared" si="42"/>
        <v>0</v>
      </c>
    </row>
    <row r="1632" spans="7:11" ht="25.15" customHeight="1">
      <c r="G1632" s="179"/>
      <c r="I1632" s="1063">
        <v>0</v>
      </c>
      <c r="J1632" s="1063">
        <v>0</v>
      </c>
      <c r="K1632" s="417">
        <f t="shared" si="42"/>
        <v>0</v>
      </c>
    </row>
    <row r="1633" spans="2:15" ht="25.15" customHeight="1">
      <c r="G1633" s="179"/>
      <c r="I1633" s="1063">
        <v>0</v>
      </c>
      <c r="J1633" s="1063">
        <v>0</v>
      </c>
      <c r="K1633" s="417">
        <f t="shared" si="42"/>
        <v>0</v>
      </c>
    </row>
    <row r="1634" spans="2:15" ht="25.15" customHeight="1">
      <c r="G1634" s="179"/>
      <c r="I1634" s="1063">
        <v>0</v>
      </c>
      <c r="J1634" s="1063">
        <v>0</v>
      </c>
      <c r="K1634" s="417">
        <f t="shared" si="42"/>
        <v>0</v>
      </c>
    </row>
    <row r="1635" spans="2:15">
      <c r="G1635" s="179"/>
      <c r="I1635" s="1063">
        <v>0</v>
      </c>
      <c r="J1635" s="1063">
        <v>0</v>
      </c>
      <c r="K1635" s="417">
        <f t="shared" si="42"/>
        <v>0</v>
      </c>
    </row>
    <row r="1636" spans="2:15" ht="25.15" hidden="1" customHeight="1">
      <c r="C1636" s="1172" t="s">
        <v>91</v>
      </c>
      <c r="D1636" s="1171" t="s">
        <v>1646</v>
      </c>
      <c r="F1636" s="821">
        <v>48</v>
      </c>
      <c r="G1636" s="179">
        <v>46057</v>
      </c>
      <c r="H1636" s="832">
        <v>2</v>
      </c>
      <c r="I1636" s="1063">
        <v>0.33333333333333331</v>
      </c>
      <c r="J1636" s="1063">
        <v>0.375</v>
      </c>
      <c r="K1636" s="417">
        <f t="shared" si="42"/>
        <v>2.0000000000000009</v>
      </c>
      <c r="L1636" s="17">
        <v>46057</v>
      </c>
      <c r="M1636" s="1169" t="s">
        <v>1639</v>
      </c>
      <c r="N1636" s="1172" t="s">
        <v>1184</v>
      </c>
      <c r="O1636" s="1173" t="s">
        <v>1364</v>
      </c>
    </row>
    <row r="1637" spans="2:15" ht="25.15" hidden="1" customHeight="1">
      <c r="C1637" s="1172" t="s">
        <v>91</v>
      </c>
      <c r="D1637" s="1171" t="s">
        <v>1646</v>
      </c>
      <c r="F1637" s="821">
        <v>24</v>
      </c>
      <c r="G1637" s="179">
        <v>46084</v>
      </c>
      <c r="H1637" s="832">
        <v>2</v>
      </c>
      <c r="I1637" s="1063">
        <v>0.375</v>
      </c>
      <c r="J1637" s="1063">
        <v>0.40277777777777773</v>
      </c>
      <c r="K1637" s="417">
        <f t="shared" si="42"/>
        <v>1.3333333333333313</v>
      </c>
      <c r="L1637" s="17">
        <v>46084</v>
      </c>
      <c r="M1637" s="1174" t="s">
        <v>1647</v>
      </c>
      <c r="N1637" s="1172" t="s">
        <v>1184</v>
      </c>
      <c r="O1637" s="1173" t="s">
        <v>1364</v>
      </c>
    </row>
    <row r="1638" spans="2:15" ht="25.15" customHeight="1">
      <c r="B1638" s="1180" t="s">
        <v>1651</v>
      </c>
      <c r="C1638" s="1177" t="s">
        <v>1648</v>
      </c>
      <c r="D1638" s="1178" t="s">
        <v>1649</v>
      </c>
      <c r="F1638" s="821">
        <v>3</v>
      </c>
      <c r="G1638" s="179">
        <v>46086</v>
      </c>
      <c r="H1638" s="832">
        <v>2</v>
      </c>
      <c r="I1638" s="1063">
        <v>0.375</v>
      </c>
      <c r="J1638" s="1063">
        <v>0.38541666666666669</v>
      </c>
      <c r="K1638" s="417">
        <f t="shared" si="42"/>
        <v>0.50000000000000089</v>
      </c>
      <c r="L1638" s="179">
        <v>46086</v>
      </c>
      <c r="M1638" s="1174" t="s">
        <v>1647</v>
      </c>
      <c r="N1638" s="1167" t="s">
        <v>653</v>
      </c>
      <c r="O1638" s="1179" t="s">
        <v>1650</v>
      </c>
    </row>
    <row r="1639" spans="2:15" ht="25.15" customHeight="1">
      <c r="B1639" s="1180" t="s">
        <v>1651</v>
      </c>
      <c r="C1639" s="1177" t="s">
        <v>1648</v>
      </c>
      <c r="D1639" s="1178" t="s">
        <v>374</v>
      </c>
      <c r="F1639" s="821">
        <v>3</v>
      </c>
      <c r="G1639" s="179">
        <v>46086</v>
      </c>
      <c r="H1639" s="832">
        <v>2</v>
      </c>
      <c r="I1639" s="1175">
        <v>0.375</v>
      </c>
      <c r="J1639" s="1175">
        <v>0.3888888888888889</v>
      </c>
      <c r="K1639" s="417">
        <f t="shared" si="42"/>
        <v>0.66666666666666696</v>
      </c>
      <c r="L1639" s="179">
        <v>46086</v>
      </c>
      <c r="M1639" s="1174" t="s">
        <v>1647</v>
      </c>
      <c r="N1639" s="1167" t="s">
        <v>653</v>
      </c>
      <c r="O1639" s="1179" t="s">
        <v>1650</v>
      </c>
    </row>
    <row r="1640" spans="2:15" ht="25.15" customHeight="1">
      <c r="B1640" s="1180" t="s">
        <v>1652</v>
      </c>
      <c r="C1640" s="1177" t="s">
        <v>1648</v>
      </c>
      <c r="D1640" s="1178" t="s">
        <v>1649</v>
      </c>
      <c r="F1640" s="821">
        <v>3</v>
      </c>
      <c r="G1640" s="179">
        <v>46086</v>
      </c>
      <c r="H1640" s="832">
        <v>2</v>
      </c>
      <c r="I1640" s="1063">
        <v>0.66666666666666663</v>
      </c>
      <c r="J1640" s="1063">
        <v>0.69791666666666663</v>
      </c>
      <c r="K1640" s="417">
        <f t="shared" si="42"/>
        <v>1.5</v>
      </c>
      <c r="L1640" s="179">
        <v>46086</v>
      </c>
      <c r="M1640" s="1174" t="s">
        <v>1647</v>
      </c>
      <c r="N1640" s="1167" t="s">
        <v>653</v>
      </c>
      <c r="O1640" s="1179" t="s">
        <v>1650</v>
      </c>
    </row>
    <row r="1641" spans="2:15" ht="25.15" hidden="1" customHeight="1">
      <c r="B1641" s="1180" t="s">
        <v>1652</v>
      </c>
      <c r="C1641" s="1177" t="s">
        <v>1648</v>
      </c>
      <c r="D1641" s="1178" t="s">
        <v>374</v>
      </c>
      <c r="F1641" s="821">
        <v>3</v>
      </c>
      <c r="G1641" s="179">
        <v>46086</v>
      </c>
      <c r="H1641" s="832">
        <v>2</v>
      </c>
      <c r="I1641" s="1176">
        <v>0.66666666666666663</v>
      </c>
      <c r="J1641" s="1176">
        <v>0.69791666666666663</v>
      </c>
      <c r="K1641" s="417">
        <f t="shared" si="42"/>
        <v>1.5</v>
      </c>
      <c r="L1641" s="179">
        <v>46086</v>
      </c>
      <c r="M1641" s="1174" t="s">
        <v>1647</v>
      </c>
      <c r="N1641" s="1167" t="s">
        <v>653</v>
      </c>
      <c r="O1641" s="1179" t="s">
        <v>1650</v>
      </c>
    </row>
    <row r="1642" spans="2:15" ht="25.15" hidden="1" customHeight="1">
      <c r="C1642" s="1181" t="s">
        <v>1653</v>
      </c>
      <c r="D1642" s="1182" t="s">
        <v>637</v>
      </c>
      <c r="F1642" s="821">
        <v>6</v>
      </c>
      <c r="G1642" s="179">
        <v>46087</v>
      </c>
      <c r="H1642" s="832">
        <v>2</v>
      </c>
      <c r="I1642" s="1063">
        <v>0.41666666666666669</v>
      </c>
      <c r="J1642" s="1063">
        <v>0.4236111111111111</v>
      </c>
      <c r="K1642" s="417">
        <f t="shared" si="42"/>
        <v>0.33333333333333215</v>
      </c>
      <c r="L1642" s="17">
        <v>46087</v>
      </c>
      <c r="M1642" s="1174" t="s">
        <v>1647</v>
      </c>
      <c r="N1642" s="1183" t="s">
        <v>1654</v>
      </c>
      <c r="O1642" s="1184" t="s">
        <v>1655</v>
      </c>
    </row>
    <row r="1643" spans="2:15" ht="25.15" customHeight="1">
      <c r="C1643" s="1183" t="s">
        <v>1627</v>
      </c>
      <c r="D1643" s="1185" t="s">
        <v>227</v>
      </c>
      <c r="F1643" s="821">
        <v>8</v>
      </c>
      <c r="G1643" s="179">
        <v>46090</v>
      </c>
      <c r="H1643" s="1197">
        <v>2</v>
      </c>
      <c r="I1643" s="1194">
        <v>0.41666666666666669</v>
      </c>
      <c r="J1643" s="1194">
        <v>0.4513888888888889</v>
      </c>
      <c r="K1643" s="1191">
        <f t="shared" si="42"/>
        <v>1.6666666666666661</v>
      </c>
      <c r="L1643" s="17">
        <v>46090</v>
      </c>
      <c r="M1643" s="1186" t="s">
        <v>1656</v>
      </c>
      <c r="N1643" s="1183" t="s">
        <v>9</v>
      </c>
    </row>
    <row r="1644" spans="2:15" ht="25.15" customHeight="1">
      <c r="C1644" s="1183" t="s">
        <v>1627</v>
      </c>
      <c r="D1644" s="1185" t="s">
        <v>106</v>
      </c>
      <c r="F1644" s="821">
        <v>4</v>
      </c>
      <c r="G1644" s="179">
        <v>46090</v>
      </c>
      <c r="H1644" s="1199"/>
      <c r="I1644" s="1195"/>
      <c r="J1644" s="1195"/>
      <c r="K1644" s="1193"/>
      <c r="L1644" s="17">
        <v>46090</v>
      </c>
      <c r="M1644" s="1186" t="s">
        <v>1656</v>
      </c>
      <c r="N1644" s="1183" t="s">
        <v>9</v>
      </c>
    </row>
    <row r="1645" spans="2:15" ht="25.15" customHeight="1">
      <c r="C1645" s="1183" t="s">
        <v>1627</v>
      </c>
      <c r="D1645" s="1185" t="s">
        <v>310</v>
      </c>
      <c r="F1645" s="821">
        <v>4</v>
      </c>
      <c r="G1645" s="179">
        <v>46090</v>
      </c>
      <c r="H1645" s="1198"/>
      <c r="I1645" s="1196"/>
      <c r="J1645" s="1196"/>
      <c r="K1645" s="1192"/>
      <c r="L1645" s="17">
        <v>46090</v>
      </c>
      <c r="M1645" s="1186" t="s">
        <v>1656</v>
      </c>
      <c r="N1645" s="1183" t="s">
        <v>9</v>
      </c>
    </row>
    <row r="1646" spans="2:15" ht="25.15" customHeight="1">
      <c r="B1646" s="1183" t="s">
        <v>1658</v>
      </c>
      <c r="C1646" s="1170" t="s">
        <v>1642</v>
      </c>
      <c r="D1646" s="1185" t="s">
        <v>1657</v>
      </c>
      <c r="F1646" s="821">
        <v>2</v>
      </c>
      <c r="G1646" s="179">
        <v>46090</v>
      </c>
      <c r="H1646" s="1197">
        <v>2</v>
      </c>
      <c r="I1646" s="1194">
        <v>0.54166666666666663</v>
      </c>
      <c r="J1646" s="1194">
        <v>0.57291666666666663</v>
      </c>
      <c r="K1646" s="1191">
        <f t="shared" si="42"/>
        <v>1.5</v>
      </c>
      <c r="L1646" s="17">
        <v>46090</v>
      </c>
      <c r="M1646" s="1186" t="s">
        <v>1656</v>
      </c>
      <c r="N1646" s="1183" t="s">
        <v>185</v>
      </c>
    </row>
    <row r="1647" spans="2:15" ht="25.15" customHeight="1">
      <c r="B1647" s="1183" t="s">
        <v>1659</v>
      </c>
      <c r="C1647" s="1170" t="s">
        <v>1642</v>
      </c>
      <c r="D1647" s="1185" t="s">
        <v>1657</v>
      </c>
      <c r="F1647" s="821">
        <v>2</v>
      </c>
      <c r="G1647" s="179">
        <v>46090</v>
      </c>
      <c r="H1647" s="1199"/>
      <c r="I1647" s="1195"/>
      <c r="J1647" s="1195"/>
      <c r="K1647" s="1193"/>
      <c r="L1647" s="17">
        <v>46090</v>
      </c>
      <c r="M1647" s="1186" t="s">
        <v>1656</v>
      </c>
      <c r="N1647" s="1183" t="s">
        <v>185</v>
      </c>
    </row>
    <row r="1648" spans="2:15" ht="25.15" customHeight="1">
      <c r="B1648" s="1183" t="s">
        <v>1660</v>
      </c>
      <c r="C1648" s="1170" t="s">
        <v>1642</v>
      </c>
      <c r="D1648" s="1185" t="s">
        <v>1657</v>
      </c>
      <c r="F1648" s="821">
        <v>4</v>
      </c>
      <c r="G1648" s="179">
        <v>46090</v>
      </c>
      <c r="H1648" s="1198"/>
      <c r="I1648" s="1196"/>
      <c r="J1648" s="1196"/>
      <c r="K1648" s="1192"/>
      <c r="L1648" s="17">
        <v>46090</v>
      </c>
      <c r="M1648" s="1186" t="s">
        <v>1656</v>
      </c>
      <c r="N1648" s="1183" t="s">
        <v>185</v>
      </c>
    </row>
    <row r="1649" spans="2:15" ht="25.15" customHeight="1">
      <c r="B1649" s="1183" t="s">
        <v>1658</v>
      </c>
      <c r="C1649" s="1188" t="s">
        <v>1661</v>
      </c>
      <c r="D1649" s="1185" t="s">
        <v>1657</v>
      </c>
      <c r="F1649" s="821">
        <v>10</v>
      </c>
      <c r="G1649" s="179">
        <v>46093</v>
      </c>
      <c r="H1649" s="1197">
        <v>2</v>
      </c>
      <c r="I1649" s="1194">
        <v>0.375</v>
      </c>
      <c r="J1649" s="1194">
        <v>0.45833333333333331</v>
      </c>
      <c r="K1649" s="1191">
        <f t="shared" si="42"/>
        <v>3.9999999999999991</v>
      </c>
      <c r="L1649" s="17">
        <v>46093</v>
      </c>
      <c r="M1649" s="1186" t="s">
        <v>1656</v>
      </c>
      <c r="N1649" s="1183" t="s">
        <v>185</v>
      </c>
    </row>
    <row r="1650" spans="2:15" ht="25.15" customHeight="1">
      <c r="B1650" s="1183" t="s">
        <v>1659</v>
      </c>
      <c r="C1650" s="1188" t="s">
        <v>1661</v>
      </c>
      <c r="D1650" s="1185" t="s">
        <v>1657</v>
      </c>
      <c r="F1650" s="821">
        <v>10</v>
      </c>
      <c r="G1650" s="179">
        <v>46093</v>
      </c>
      <c r="H1650" s="1199"/>
      <c r="I1650" s="1195"/>
      <c r="J1650" s="1195"/>
      <c r="K1650" s="1193"/>
      <c r="L1650" s="17">
        <v>46093</v>
      </c>
      <c r="M1650" s="1186" t="s">
        <v>1656</v>
      </c>
      <c r="N1650" s="1183" t="s">
        <v>185</v>
      </c>
    </row>
    <row r="1651" spans="2:15" ht="25.15" customHeight="1">
      <c r="B1651" s="1183" t="s">
        <v>1660</v>
      </c>
      <c r="C1651" s="1188" t="s">
        <v>1661</v>
      </c>
      <c r="D1651" s="1185" t="s">
        <v>1657</v>
      </c>
      <c r="F1651" s="821">
        <v>20</v>
      </c>
      <c r="G1651" s="179">
        <v>46093</v>
      </c>
      <c r="H1651" s="1198"/>
      <c r="I1651" s="1196"/>
      <c r="J1651" s="1196"/>
      <c r="K1651" s="1192"/>
      <c r="L1651" s="17">
        <v>46093</v>
      </c>
      <c r="M1651" s="1186" t="s">
        <v>1656</v>
      </c>
      <c r="N1651" s="1183" t="s">
        <v>185</v>
      </c>
    </row>
    <row r="1652" spans="2:15" ht="25.15" customHeight="1">
      <c r="B1652" s="1183"/>
      <c r="C1652" s="1188" t="s">
        <v>147</v>
      </c>
      <c r="D1652" s="1189" t="s">
        <v>1662</v>
      </c>
      <c r="F1652" s="821">
        <v>24</v>
      </c>
      <c r="G1652" s="179">
        <v>46093</v>
      </c>
      <c r="H1652" s="832">
        <v>2</v>
      </c>
      <c r="I1652" s="1187">
        <v>0.41666666666666669</v>
      </c>
      <c r="J1652" s="1063">
        <v>0.43055555555555558</v>
      </c>
      <c r="K1652" s="417">
        <f t="shared" si="42"/>
        <v>0.66666666666666696</v>
      </c>
      <c r="L1652" s="17">
        <v>46093</v>
      </c>
      <c r="M1652" s="1186" t="s">
        <v>1656</v>
      </c>
      <c r="N1652" s="1188" t="s">
        <v>1184</v>
      </c>
      <c r="O1652" s="1190" t="s">
        <v>1364</v>
      </c>
    </row>
    <row r="1653" spans="2:15" ht="25.15" customHeight="1">
      <c r="B1653" s="1183" t="s">
        <v>1658</v>
      </c>
      <c r="C1653" s="1188" t="s">
        <v>1534</v>
      </c>
      <c r="D1653" s="1189" t="s">
        <v>1663</v>
      </c>
      <c r="F1653" s="821">
        <v>1</v>
      </c>
      <c r="G1653" s="179">
        <v>46093</v>
      </c>
      <c r="H1653" s="1197">
        <v>2</v>
      </c>
      <c r="I1653" s="1194">
        <v>0.33333333333333331</v>
      </c>
      <c r="J1653" s="1194">
        <v>0.34722222222222227</v>
      </c>
      <c r="K1653" s="1191">
        <f t="shared" ref="K1653" si="43">(J1653-I1653)*24*H1653</f>
        <v>0.66666666666666963</v>
      </c>
      <c r="L1653" s="17">
        <v>46093</v>
      </c>
      <c r="M1653" s="1186" t="s">
        <v>1656</v>
      </c>
      <c r="N1653" s="1183" t="s">
        <v>185</v>
      </c>
    </row>
    <row r="1654" spans="2:15" ht="25.15" customHeight="1">
      <c r="B1654" s="1183" t="s">
        <v>1659</v>
      </c>
      <c r="C1654" s="1188" t="s">
        <v>1534</v>
      </c>
      <c r="D1654" s="1189" t="s">
        <v>1663</v>
      </c>
      <c r="F1654" s="821">
        <v>1</v>
      </c>
      <c r="G1654" s="179">
        <v>46093</v>
      </c>
      <c r="H1654" s="1199"/>
      <c r="I1654" s="1195"/>
      <c r="J1654" s="1195"/>
      <c r="K1654" s="1193"/>
      <c r="L1654" s="17">
        <v>46093</v>
      </c>
      <c r="M1654" s="1186" t="s">
        <v>1656</v>
      </c>
      <c r="N1654" s="1183" t="s">
        <v>185</v>
      </c>
    </row>
    <row r="1655" spans="2:15" ht="25.15" customHeight="1">
      <c r="C1655" s="1188" t="s">
        <v>1664</v>
      </c>
      <c r="D1655" s="1189" t="s">
        <v>1665</v>
      </c>
      <c r="F1655" s="821">
        <v>4</v>
      </c>
      <c r="G1655" s="179">
        <v>46093</v>
      </c>
      <c r="H1655" s="1198"/>
      <c r="I1655" s="1196"/>
      <c r="J1655" s="1196"/>
      <c r="K1655" s="1192"/>
      <c r="L1655" s="17">
        <v>46093</v>
      </c>
      <c r="M1655" s="1186" t="s">
        <v>1656</v>
      </c>
      <c r="N1655" s="1183" t="s">
        <v>185</v>
      </c>
    </row>
    <row r="1656" spans="2:15" ht="25.15" customHeight="1">
      <c r="B1656" s="1183" t="s">
        <v>1658</v>
      </c>
      <c r="C1656" s="1170" t="s">
        <v>1642</v>
      </c>
      <c r="D1656" s="1189" t="s">
        <v>1663</v>
      </c>
      <c r="F1656" s="821">
        <v>1</v>
      </c>
      <c r="G1656" s="179">
        <v>46093</v>
      </c>
      <c r="H1656" s="1197">
        <v>2</v>
      </c>
      <c r="I1656" s="1194">
        <v>0.66666666666666663</v>
      </c>
      <c r="J1656" s="1194">
        <v>0.67361111111111116</v>
      </c>
      <c r="K1656" s="1191">
        <f t="shared" si="42"/>
        <v>0.33333333333333748</v>
      </c>
      <c r="L1656" s="17">
        <v>46093</v>
      </c>
      <c r="M1656" s="1186" t="s">
        <v>1656</v>
      </c>
      <c r="N1656" s="1183" t="s">
        <v>185</v>
      </c>
    </row>
    <row r="1657" spans="2:15" ht="25.15" customHeight="1">
      <c r="B1657" s="1183" t="s">
        <v>1659</v>
      </c>
      <c r="C1657" s="1170" t="s">
        <v>1642</v>
      </c>
      <c r="D1657" s="1189" t="s">
        <v>1663</v>
      </c>
      <c r="F1657" s="821">
        <v>1</v>
      </c>
      <c r="G1657" s="179">
        <v>46093</v>
      </c>
      <c r="H1657" s="1198"/>
      <c r="I1657" s="1196"/>
      <c r="J1657" s="1196"/>
      <c r="K1657" s="1192"/>
      <c r="L1657" s="17">
        <v>46093</v>
      </c>
      <c r="M1657" s="1186" t="s">
        <v>1656</v>
      </c>
      <c r="N1657" s="1183" t="s">
        <v>185</v>
      </c>
    </row>
    <row r="1658" spans="2:15" ht="25.15" customHeight="1">
      <c r="B1658" s="1200" t="s">
        <v>1666</v>
      </c>
      <c r="C1658" s="1201" t="s">
        <v>1364</v>
      </c>
      <c r="D1658" s="1189" t="s">
        <v>1662</v>
      </c>
      <c r="F1658" s="821">
        <v>69</v>
      </c>
      <c r="G1658" s="179"/>
      <c r="H1658" s="821">
        <v>2</v>
      </c>
      <c r="I1658" s="1063">
        <v>0.54166666666666663</v>
      </c>
      <c r="J1658" s="1063">
        <v>0.58333333333333337</v>
      </c>
      <c r="K1658" s="417">
        <f t="shared" si="42"/>
        <v>2.0000000000000036</v>
      </c>
      <c r="L1658" s="17">
        <v>46095</v>
      </c>
      <c r="M1658" s="1186" t="s">
        <v>1656</v>
      </c>
      <c r="N1658" s="1200" t="s">
        <v>1184</v>
      </c>
    </row>
    <row r="1659" spans="2:15" ht="25.15" customHeight="1">
      <c r="B1659" s="1200" t="s">
        <v>1667</v>
      </c>
      <c r="C1659" s="1201" t="s">
        <v>1364</v>
      </c>
      <c r="D1659" s="1189" t="s">
        <v>1662</v>
      </c>
      <c r="F1659" s="821">
        <v>39</v>
      </c>
      <c r="G1659" s="179"/>
      <c r="H1659" s="821">
        <v>2</v>
      </c>
      <c r="I1659" s="1187">
        <v>0.54166666666666663</v>
      </c>
      <c r="J1659" s="1187">
        <v>0.58333333333333337</v>
      </c>
      <c r="K1659" s="417">
        <f t="shared" si="42"/>
        <v>2.0000000000000036</v>
      </c>
      <c r="L1659" s="17">
        <v>46095</v>
      </c>
      <c r="M1659" s="1186" t="s">
        <v>1656</v>
      </c>
      <c r="N1659" s="1200" t="s">
        <v>1184</v>
      </c>
    </row>
    <row r="1660" spans="2:15" ht="25.15" customHeight="1">
      <c r="B1660" s="1200" t="s">
        <v>1668</v>
      </c>
      <c r="C1660" s="1201" t="s">
        <v>1364</v>
      </c>
      <c r="D1660" s="1189" t="s">
        <v>1662</v>
      </c>
      <c r="F1660" s="821">
        <v>48</v>
      </c>
      <c r="G1660" s="179"/>
      <c r="H1660" s="821">
        <v>2</v>
      </c>
      <c r="I1660" s="1063">
        <v>0</v>
      </c>
      <c r="J1660" s="1063">
        <v>0</v>
      </c>
      <c r="K1660" s="417">
        <f t="shared" si="42"/>
        <v>0</v>
      </c>
      <c r="L1660" s="17">
        <v>46095</v>
      </c>
      <c r="M1660" s="1186" t="s">
        <v>1656</v>
      </c>
      <c r="N1660" s="1200" t="s">
        <v>1184</v>
      </c>
    </row>
    <row r="1661" spans="2:15" ht="25.15" hidden="1" customHeight="1">
      <c r="B1661" s="1200" t="s">
        <v>1669</v>
      </c>
      <c r="C1661" s="1201" t="s">
        <v>1364</v>
      </c>
      <c r="D1661" s="1189" t="s">
        <v>1662</v>
      </c>
      <c r="F1661" s="821">
        <v>72</v>
      </c>
      <c r="G1661" s="179"/>
      <c r="H1661" s="821">
        <v>2</v>
      </c>
      <c r="I1661" s="1063">
        <v>0</v>
      </c>
      <c r="J1661" s="1063">
        <v>0</v>
      </c>
      <c r="K1661" s="417">
        <f t="shared" ref="K1661:K1724" si="44">(J1661-I1661)*24*H1661</f>
        <v>0</v>
      </c>
      <c r="L1661" s="17">
        <v>46095</v>
      </c>
      <c r="M1661" s="1186" t="s">
        <v>1656</v>
      </c>
      <c r="N1661" s="1200" t="s">
        <v>1184</v>
      </c>
    </row>
    <row r="1662" spans="2:15" ht="25.15" customHeight="1">
      <c r="B1662" s="294">
        <v>29168</v>
      </c>
      <c r="C1662" s="1203" t="s">
        <v>1670</v>
      </c>
      <c r="D1662" s="1204" t="s">
        <v>1671</v>
      </c>
      <c r="G1662" s="179"/>
      <c r="H1662" s="832">
        <v>1</v>
      </c>
      <c r="I1662" s="1063">
        <v>0.33333333333333331</v>
      </c>
      <c r="J1662" s="1063">
        <v>0.6875</v>
      </c>
      <c r="K1662" s="417">
        <f t="shared" si="44"/>
        <v>8.5</v>
      </c>
      <c r="L1662" s="17">
        <v>46097</v>
      </c>
      <c r="M1662" s="1211" t="s">
        <v>1682</v>
      </c>
    </row>
    <row r="1663" spans="2:15" ht="25.15" customHeight="1">
      <c r="B1663" s="1203" t="s">
        <v>1672</v>
      </c>
      <c r="C1663" s="1201" t="s">
        <v>1364</v>
      </c>
      <c r="D1663" s="1189" t="s">
        <v>1662</v>
      </c>
      <c r="F1663" s="821">
        <v>20</v>
      </c>
      <c r="G1663" s="179"/>
      <c r="H1663" s="832">
        <v>2</v>
      </c>
      <c r="I1663" s="1063">
        <v>0.625</v>
      </c>
      <c r="J1663" s="1205">
        <v>0.63888888888888895</v>
      </c>
      <c r="K1663" s="417">
        <f t="shared" si="44"/>
        <v>0.66666666666666963</v>
      </c>
      <c r="L1663" s="17">
        <v>46097</v>
      </c>
      <c r="M1663" s="1211" t="s">
        <v>1682</v>
      </c>
      <c r="N1663" s="1200" t="s">
        <v>1184</v>
      </c>
    </row>
    <row r="1664" spans="2:15" ht="25.15" customHeight="1">
      <c r="B1664" s="294">
        <v>29168</v>
      </c>
      <c r="C1664" s="1203" t="s">
        <v>1670</v>
      </c>
      <c r="D1664" s="1204" t="s">
        <v>1671</v>
      </c>
      <c r="G1664" s="179"/>
      <c r="H1664" s="832">
        <v>1</v>
      </c>
      <c r="I1664" s="1202">
        <v>0.33333333333333331</v>
      </c>
      <c r="J1664" s="1202">
        <v>0.6875</v>
      </c>
      <c r="K1664" s="417">
        <f t="shared" si="44"/>
        <v>8.5</v>
      </c>
      <c r="L1664" s="17">
        <v>46098</v>
      </c>
      <c r="M1664" s="1211" t="s">
        <v>1682</v>
      </c>
    </row>
    <row r="1665" spans="2:14" ht="25.15" hidden="1" customHeight="1">
      <c r="B1665" s="1206" t="s">
        <v>1673</v>
      </c>
      <c r="C1665" s="1201" t="s">
        <v>1364</v>
      </c>
      <c r="D1665" s="1189" t="s">
        <v>1662</v>
      </c>
      <c r="F1665" s="821">
        <v>15</v>
      </c>
      <c r="G1665" s="179"/>
      <c r="H1665" s="832">
        <v>2</v>
      </c>
      <c r="I1665" s="1063">
        <v>0.41666666666666669</v>
      </c>
      <c r="J1665" s="1063">
        <v>0.42708333333333331</v>
      </c>
      <c r="K1665" s="417">
        <f t="shared" si="44"/>
        <v>0.49999999999999822</v>
      </c>
      <c r="L1665" s="17">
        <v>46099</v>
      </c>
      <c r="M1665" s="1211" t="s">
        <v>1682</v>
      </c>
      <c r="N1665" s="1200" t="s">
        <v>1184</v>
      </c>
    </row>
    <row r="1666" spans="2:14" ht="25.15" customHeight="1">
      <c r="B1666" s="1207" t="s">
        <v>1674</v>
      </c>
      <c r="C1666" s="1201" t="s">
        <v>1364</v>
      </c>
      <c r="D1666" s="1189" t="s">
        <v>1662</v>
      </c>
      <c r="F1666" s="821">
        <v>21</v>
      </c>
      <c r="G1666" s="179"/>
      <c r="H1666" s="832">
        <v>2</v>
      </c>
      <c r="I1666" s="1063">
        <v>0.375</v>
      </c>
      <c r="J1666" s="1063">
        <v>0.39583333333333331</v>
      </c>
      <c r="K1666" s="417">
        <f t="shared" si="44"/>
        <v>0.99999999999999911</v>
      </c>
      <c r="L1666" s="17">
        <v>46100</v>
      </c>
      <c r="M1666" s="1211" t="s">
        <v>1682</v>
      </c>
      <c r="N1666" s="1200" t="s">
        <v>1184</v>
      </c>
    </row>
    <row r="1667" spans="2:14" ht="25.15" customHeight="1">
      <c r="C1667" s="1207" t="s">
        <v>1675</v>
      </c>
      <c r="D1667" s="1208" t="s">
        <v>78</v>
      </c>
      <c r="F1667" s="821">
        <v>1</v>
      </c>
      <c r="G1667" s="179"/>
      <c r="H1667" s="1344">
        <v>2</v>
      </c>
      <c r="I1667" s="1341">
        <v>0.41666666666666669</v>
      </c>
      <c r="J1667" s="1335">
        <v>0.4236111111111111</v>
      </c>
      <c r="K1667" s="1338">
        <f t="shared" si="44"/>
        <v>0.33333333333333215</v>
      </c>
      <c r="L1667" s="17">
        <v>46100</v>
      </c>
      <c r="M1667" s="1211" t="s">
        <v>1682</v>
      </c>
    </row>
    <row r="1668" spans="2:14" ht="25.15" customHeight="1">
      <c r="C1668" s="1207" t="s">
        <v>1675</v>
      </c>
      <c r="D1668" s="1208" t="s">
        <v>1676</v>
      </c>
      <c r="F1668" s="821">
        <v>5</v>
      </c>
      <c r="G1668" s="179"/>
      <c r="H1668" s="1345"/>
      <c r="I1668" s="1342"/>
      <c r="J1668" s="1336"/>
      <c r="K1668" s="1339"/>
      <c r="L1668" s="17">
        <v>46100</v>
      </c>
      <c r="M1668" s="1211" t="s">
        <v>1682</v>
      </c>
    </row>
    <row r="1669" spans="2:14" ht="25.15" hidden="1" customHeight="1">
      <c r="C1669" s="1207" t="s">
        <v>1677</v>
      </c>
      <c r="D1669" s="1208" t="s">
        <v>1676</v>
      </c>
      <c r="F1669" s="821">
        <v>3</v>
      </c>
      <c r="G1669" s="179"/>
      <c r="H1669" s="1345"/>
      <c r="I1669" s="1342"/>
      <c r="J1669" s="1336"/>
      <c r="K1669" s="1339"/>
      <c r="L1669" s="17">
        <v>46100</v>
      </c>
      <c r="M1669" s="1211" t="s">
        <v>1682</v>
      </c>
    </row>
    <row r="1670" spans="2:14" ht="25.15" hidden="1" customHeight="1">
      <c r="C1670" s="1207" t="s">
        <v>1677</v>
      </c>
      <c r="D1670" s="1208" t="s">
        <v>1676</v>
      </c>
      <c r="F1670" s="821">
        <v>2</v>
      </c>
      <c r="G1670" s="179"/>
      <c r="H1670" s="1346"/>
      <c r="I1670" s="1343"/>
      <c r="J1670" s="1337"/>
      <c r="K1670" s="1340"/>
      <c r="L1670" s="17">
        <v>46100</v>
      </c>
      <c r="M1670" s="1211" t="s">
        <v>1682</v>
      </c>
    </row>
    <row r="1671" spans="2:14" ht="25.15" customHeight="1">
      <c r="C1671" s="1209" t="s">
        <v>1678</v>
      </c>
      <c r="D1671" s="1210" t="s">
        <v>96</v>
      </c>
      <c r="F1671" s="821">
        <v>70</v>
      </c>
      <c r="G1671" s="179"/>
      <c r="H1671" s="1344">
        <v>2</v>
      </c>
      <c r="I1671" s="1341">
        <v>0.29166666666666669</v>
      </c>
      <c r="J1671" s="1335">
        <v>0.5</v>
      </c>
      <c r="K1671" s="1338">
        <f t="shared" si="44"/>
        <v>10</v>
      </c>
      <c r="L1671" s="17">
        <v>46102</v>
      </c>
      <c r="M1671" s="1211" t="s">
        <v>1682</v>
      </c>
    </row>
    <row r="1672" spans="2:14" ht="25.15" customHeight="1">
      <c r="C1672" s="1209" t="s">
        <v>1678</v>
      </c>
      <c r="D1672" s="1210" t="s">
        <v>515</v>
      </c>
      <c r="F1672" s="821">
        <v>140</v>
      </c>
      <c r="G1672" s="179"/>
      <c r="H1672" s="1345"/>
      <c r="I1672" s="1342"/>
      <c r="J1672" s="1336"/>
      <c r="K1672" s="1339"/>
      <c r="L1672" s="17">
        <v>46102</v>
      </c>
      <c r="M1672" s="1211" t="s">
        <v>1682</v>
      </c>
    </row>
    <row r="1673" spans="2:14" ht="25.15" customHeight="1">
      <c r="C1673" s="1209" t="s">
        <v>1678</v>
      </c>
      <c r="D1673" s="1210" t="s">
        <v>312</v>
      </c>
      <c r="F1673" s="821">
        <v>70</v>
      </c>
      <c r="G1673" s="179"/>
      <c r="H1673" s="1346"/>
      <c r="I1673" s="1343"/>
      <c r="J1673" s="1337"/>
      <c r="K1673" s="1340"/>
      <c r="L1673" s="17">
        <v>46102</v>
      </c>
      <c r="M1673" s="1211" t="s">
        <v>1682</v>
      </c>
    </row>
    <row r="1674" spans="2:14" ht="25.15" customHeight="1">
      <c r="B1674" s="1209" t="s">
        <v>1679</v>
      </c>
      <c r="C1674" s="1201" t="s">
        <v>1364</v>
      </c>
      <c r="D1674" s="1210" t="s">
        <v>1662</v>
      </c>
      <c r="F1674" s="821">
        <v>44</v>
      </c>
      <c r="G1674" s="179"/>
      <c r="H1674" s="1344">
        <v>2</v>
      </c>
      <c r="I1674" s="1341">
        <v>0.375</v>
      </c>
      <c r="J1674" s="1335">
        <v>0.40972222222222227</v>
      </c>
      <c r="K1674" s="1338">
        <f>(J1674-I1674)*24*H1674</f>
        <v>1.6666666666666687</v>
      </c>
      <c r="L1674" s="17">
        <v>46102</v>
      </c>
      <c r="M1674" s="1211" t="s">
        <v>1682</v>
      </c>
      <c r="N1674" s="1200" t="s">
        <v>1184</v>
      </c>
    </row>
    <row r="1675" spans="2:14" ht="25.15" customHeight="1">
      <c r="C1675" s="1209" t="s">
        <v>1680</v>
      </c>
      <c r="D1675" s="1210" t="s">
        <v>1681</v>
      </c>
      <c r="F1675" s="821">
        <v>8</v>
      </c>
      <c r="G1675" s="179"/>
      <c r="H1675" s="1345"/>
      <c r="I1675" s="1342"/>
      <c r="J1675" s="1336"/>
      <c r="K1675" s="1339"/>
      <c r="L1675" s="17">
        <v>46102</v>
      </c>
      <c r="M1675" s="1211" t="s">
        <v>1682</v>
      </c>
    </row>
    <row r="1676" spans="2:14" ht="25.15" customHeight="1">
      <c r="C1676" s="1209" t="s">
        <v>1680</v>
      </c>
      <c r="D1676" s="1210" t="s">
        <v>869</v>
      </c>
      <c r="F1676" s="821">
        <v>4</v>
      </c>
      <c r="G1676" s="179"/>
      <c r="H1676" s="1345"/>
      <c r="I1676" s="1342"/>
      <c r="J1676" s="1336"/>
      <c r="K1676" s="1339"/>
      <c r="L1676" s="17">
        <v>46102</v>
      </c>
      <c r="M1676" s="1211" t="s">
        <v>1682</v>
      </c>
    </row>
    <row r="1677" spans="2:14" ht="25.15" hidden="1" customHeight="1">
      <c r="C1677" s="1209" t="s">
        <v>1680</v>
      </c>
      <c r="D1677" s="1210" t="s">
        <v>312</v>
      </c>
      <c r="F1677" s="821">
        <v>4</v>
      </c>
      <c r="G1677" s="179"/>
      <c r="H1677" s="1345"/>
      <c r="I1677" s="1342"/>
      <c r="J1677" s="1336"/>
      <c r="K1677" s="1339"/>
      <c r="L1677" s="17">
        <v>46102</v>
      </c>
      <c r="M1677" s="1211" t="s">
        <v>1682</v>
      </c>
    </row>
    <row r="1678" spans="2:14" ht="25.15" hidden="1" customHeight="1">
      <c r="C1678" s="1209" t="s">
        <v>1680</v>
      </c>
      <c r="D1678" s="1210" t="s">
        <v>515</v>
      </c>
      <c r="F1678" s="821">
        <v>4</v>
      </c>
      <c r="G1678" s="179"/>
      <c r="H1678" s="1346"/>
      <c r="I1678" s="1343"/>
      <c r="J1678" s="1337"/>
      <c r="K1678" s="1340"/>
      <c r="L1678" s="17">
        <v>46102</v>
      </c>
      <c r="M1678" s="1211" t="s">
        <v>1682</v>
      </c>
    </row>
    <row r="1679" spans="2:14" ht="25.15" customHeight="1">
      <c r="C1679" s="1212" t="s">
        <v>1683</v>
      </c>
      <c r="D1679" s="1213" t="s">
        <v>1684</v>
      </c>
      <c r="F1679" s="821">
        <v>45</v>
      </c>
      <c r="G1679" s="179"/>
      <c r="H1679" s="1332">
        <v>2</v>
      </c>
      <c r="I1679" s="1353">
        <v>0.33333333333333331</v>
      </c>
      <c r="J1679" s="1353">
        <v>0.67708333333333337</v>
      </c>
      <c r="K1679" s="1338">
        <f t="shared" si="44"/>
        <v>16.500000000000004</v>
      </c>
      <c r="L1679" s="17">
        <v>46104</v>
      </c>
      <c r="M1679" s="1214" t="s">
        <v>1685</v>
      </c>
    </row>
    <row r="1680" spans="2:14" ht="25.15" customHeight="1">
      <c r="C1680" s="1212" t="s">
        <v>1683</v>
      </c>
      <c r="D1680" s="1213" t="s">
        <v>1684</v>
      </c>
      <c r="F1680" s="821">
        <v>45</v>
      </c>
      <c r="G1680" s="179"/>
      <c r="H1680" s="1334"/>
      <c r="I1680" s="1354"/>
      <c r="J1680" s="1354"/>
      <c r="K1680" s="1340"/>
      <c r="L1680" s="17">
        <v>46104</v>
      </c>
      <c r="M1680" s="1214" t="s">
        <v>1685</v>
      </c>
    </row>
    <row r="1681" spans="2:15" ht="25.15" customHeight="1">
      <c r="B1681" s="1212" t="s">
        <v>1674</v>
      </c>
      <c r="C1681" s="1201" t="s">
        <v>1364</v>
      </c>
      <c r="D1681" s="1210" t="s">
        <v>1662</v>
      </c>
      <c r="F1681" s="821">
        <v>20</v>
      </c>
      <c r="G1681" s="179"/>
      <c r="H1681" s="832">
        <v>2</v>
      </c>
      <c r="I1681" s="1063">
        <v>0.66666666666666663</v>
      </c>
      <c r="J1681" s="1063">
        <v>0.68055555555555547</v>
      </c>
      <c r="K1681" s="417">
        <f t="shared" si="44"/>
        <v>0.6666666666666643</v>
      </c>
      <c r="L1681" s="17">
        <v>46104</v>
      </c>
      <c r="M1681" s="1214" t="s">
        <v>1685</v>
      </c>
    </row>
    <row r="1682" spans="2:15" ht="25.15" customHeight="1">
      <c r="B1682" s="1215" t="s">
        <v>1686</v>
      </c>
      <c r="C1682" s="1201" t="s">
        <v>1364</v>
      </c>
      <c r="D1682" s="1210" t="s">
        <v>1662</v>
      </c>
      <c r="F1682" s="821">
        <v>48</v>
      </c>
      <c r="G1682" s="179"/>
      <c r="H1682" s="832">
        <v>2</v>
      </c>
      <c r="I1682" s="1063">
        <v>0.54166666666666663</v>
      </c>
      <c r="J1682" s="1063">
        <v>0.56597222222222221</v>
      </c>
      <c r="K1682" s="417">
        <f t="shared" si="44"/>
        <v>1.1666666666666679</v>
      </c>
      <c r="L1682" s="17">
        <v>46105</v>
      </c>
      <c r="M1682" s="1214" t="s">
        <v>1685</v>
      </c>
      <c r="N1682" s="1215" t="s">
        <v>1184</v>
      </c>
    </row>
    <row r="1683" spans="2:15" ht="25.15" customHeight="1">
      <c r="B1683" s="1215" t="s">
        <v>1689</v>
      </c>
      <c r="C1683" s="1215" t="s">
        <v>1687</v>
      </c>
      <c r="D1683" s="1216" t="s">
        <v>1688</v>
      </c>
      <c r="E1683" s="294">
        <v>2</v>
      </c>
      <c r="F1683" s="821">
        <v>4</v>
      </c>
      <c r="G1683" s="179"/>
      <c r="H1683" s="832">
        <v>2</v>
      </c>
      <c r="I1683" s="1063">
        <v>0.75</v>
      </c>
      <c r="J1683" s="1217">
        <v>0.76388888888888884</v>
      </c>
      <c r="K1683" s="417">
        <f t="shared" si="44"/>
        <v>0.6666666666666643</v>
      </c>
      <c r="L1683" s="17">
        <v>46105</v>
      </c>
      <c r="M1683" s="1214" t="s">
        <v>1685</v>
      </c>
      <c r="N1683" s="1215" t="s">
        <v>185</v>
      </c>
      <c r="O1683" s="1218" t="s">
        <v>1690</v>
      </c>
    </row>
    <row r="1684" spans="2:15" ht="25.15" customHeight="1">
      <c r="B1684" s="1215" t="s">
        <v>1691</v>
      </c>
      <c r="C1684" s="1215" t="s">
        <v>1692</v>
      </c>
      <c r="D1684" s="1216" t="s">
        <v>1693</v>
      </c>
      <c r="F1684" s="821">
        <v>4</v>
      </c>
      <c r="G1684" s="179"/>
      <c r="H1684" s="832">
        <v>6</v>
      </c>
      <c r="I1684" s="1063">
        <v>0.29166666666666669</v>
      </c>
      <c r="J1684" s="1063">
        <v>0.79166666666666663</v>
      </c>
      <c r="K1684" s="417">
        <f t="shared" si="44"/>
        <v>71.999999999999986</v>
      </c>
      <c r="L1684" s="17">
        <v>46105</v>
      </c>
      <c r="M1684" s="1214" t="s">
        <v>1685</v>
      </c>
      <c r="N1684" s="1215" t="s">
        <v>185</v>
      </c>
      <c r="O1684" s="1218" t="s">
        <v>1694</v>
      </c>
    </row>
    <row r="1685" spans="2:15" ht="25.15" hidden="1" customHeight="1">
      <c r="C1685" s="1219" t="s">
        <v>1695</v>
      </c>
      <c r="D1685" s="1220" t="s">
        <v>188</v>
      </c>
      <c r="E1685" s="294">
        <v>2</v>
      </c>
      <c r="F1685" s="821">
        <v>8</v>
      </c>
      <c r="G1685" s="179"/>
      <c r="H1685" s="832">
        <v>2</v>
      </c>
      <c r="I1685" s="1063">
        <v>0.375</v>
      </c>
      <c r="J1685" s="1063">
        <v>0.3888888888888889</v>
      </c>
      <c r="K1685" s="417">
        <f t="shared" si="44"/>
        <v>0.66666666666666696</v>
      </c>
      <c r="L1685" s="17">
        <v>46106</v>
      </c>
      <c r="M1685" s="1214" t="s">
        <v>1685</v>
      </c>
      <c r="N1685" s="1219" t="s">
        <v>653</v>
      </c>
      <c r="O1685" s="1221" t="s">
        <v>1696</v>
      </c>
    </row>
    <row r="1686" spans="2:15" ht="25.15" customHeight="1">
      <c r="C1686" s="1222" t="s">
        <v>1697</v>
      </c>
      <c r="D1686" s="1223" t="s">
        <v>513</v>
      </c>
      <c r="F1686" s="821">
        <v>32</v>
      </c>
      <c r="G1686" s="179"/>
      <c r="H1686" s="832">
        <v>1</v>
      </c>
      <c r="I1686" s="1063">
        <v>0.41666666666666669</v>
      </c>
      <c r="J1686" s="1063">
        <v>0.44791666666666669</v>
      </c>
      <c r="K1686" s="417">
        <f t="shared" si="44"/>
        <v>0.75</v>
      </c>
      <c r="L1686" s="17">
        <v>46108</v>
      </c>
      <c r="M1686" s="1214" t="s">
        <v>1685</v>
      </c>
      <c r="N1686" s="1222" t="s">
        <v>6</v>
      </c>
      <c r="O1686" s="1221" t="s">
        <v>1696</v>
      </c>
    </row>
    <row r="1687" spans="2:15" ht="25.15" customHeight="1">
      <c r="C1687" s="1222" t="s">
        <v>1698</v>
      </c>
      <c r="D1687" s="1223" t="s">
        <v>111</v>
      </c>
      <c r="E1687" s="294">
        <v>1</v>
      </c>
      <c r="F1687" s="821">
        <v>2</v>
      </c>
      <c r="G1687" s="179"/>
      <c r="I1687" s="1063">
        <v>0</v>
      </c>
      <c r="J1687" s="1063">
        <v>0</v>
      </c>
      <c r="K1687" s="417">
        <f t="shared" si="44"/>
        <v>0</v>
      </c>
      <c r="L1687" s="17">
        <v>46108</v>
      </c>
      <c r="M1687" s="1214" t="s">
        <v>1685</v>
      </c>
      <c r="N1687" s="1222" t="s">
        <v>8</v>
      </c>
      <c r="O1687" s="1221" t="s">
        <v>1696</v>
      </c>
    </row>
    <row r="1688" spans="2:15" ht="25.15" customHeight="1">
      <c r="B1688" s="1222" t="s">
        <v>1699</v>
      </c>
      <c r="C1688" s="1201" t="s">
        <v>1364</v>
      </c>
      <c r="D1688" s="1210" t="s">
        <v>1662</v>
      </c>
      <c r="E1688" s="1210"/>
      <c r="F1688" s="821">
        <v>58</v>
      </c>
      <c r="G1688" s="179"/>
      <c r="I1688" s="1063">
        <v>0</v>
      </c>
      <c r="J1688" s="1063">
        <v>0</v>
      </c>
      <c r="K1688" s="417">
        <f t="shared" si="44"/>
        <v>0</v>
      </c>
      <c r="L1688" s="17">
        <v>46108</v>
      </c>
      <c r="M1688" s="1214" t="s">
        <v>1685</v>
      </c>
      <c r="N1688" s="1215" t="s">
        <v>1184</v>
      </c>
      <c r="O1688" s="1218" t="s">
        <v>1690</v>
      </c>
    </row>
    <row r="1689" spans="2:15" ht="25.15" hidden="1" customHeight="1">
      <c r="B1689" s="1224" t="s">
        <v>1702</v>
      </c>
      <c r="C1689" s="1224" t="s">
        <v>1700</v>
      </c>
      <c r="D1689" s="1225" t="s">
        <v>1701</v>
      </c>
      <c r="E1689" s="294">
        <v>1</v>
      </c>
      <c r="F1689" s="821">
        <v>3</v>
      </c>
      <c r="G1689" s="179"/>
      <c r="H1689" s="832">
        <v>1</v>
      </c>
      <c r="I1689" s="1063">
        <v>0.375</v>
      </c>
      <c r="J1689" s="1063">
        <v>0.4375</v>
      </c>
      <c r="K1689" s="417">
        <f t="shared" si="44"/>
        <v>1.5</v>
      </c>
      <c r="L1689" s="17">
        <v>46111</v>
      </c>
      <c r="M1689" s="1226" t="s">
        <v>1703</v>
      </c>
      <c r="N1689" s="1215" t="s">
        <v>185</v>
      </c>
      <c r="O1689" s="1218" t="s">
        <v>1690</v>
      </c>
    </row>
    <row r="1690" spans="2:15" ht="25.15" hidden="1" customHeight="1">
      <c r="B1690" s="1224" t="s">
        <v>1702</v>
      </c>
      <c r="C1690" s="1227" t="s">
        <v>1704</v>
      </c>
      <c r="D1690" s="1228" t="s">
        <v>96</v>
      </c>
      <c r="E1690" s="294">
        <v>2</v>
      </c>
      <c r="F1690" s="821">
        <v>8</v>
      </c>
      <c r="G1690" s="179"/>
      <c r="H1690" s="832">
        <v>1</v>
      </c>
      <c r="I1690" s="1063">
        <v>0.41666666666666669</v>
      </c>
      <c r="J1690" s="1063">
        <v>0.47222222222222227</v>
      </c>
      <c r="K1690" s="417">
        <f t="shared" si="44"/>
        <v>1.3333333333333339</v>
      </c>
      <c r="L1690" s="17">
        <v>46112</v>
      </c>
      <c r="M1690" s="1226" t="s">
        <v>1703</v>
      </c>
      <c r="O1690" s="1229" t="s">
        <v>1705</v>
      </c>
    </row>
    <row r="1691" spans="2:15" ht="25.15" customHeight="1">
      <c r="B1691" s="1230" t="s">
        <v>1672</v>
      </c>
      <c r="C1691" s="1201" t="s">
        <v>1364</v>
      </c>
      <c r="D1691" s="1210" t="s">
        <v>1662</v>
      </c>
      <c r="F1691" s="821">
        <v>55</v>
      </c>
      <c r="G1691" s="179"/>
      <c r="H1691" s="1332">
        <v>2</v>
      </c>
      <c r="I1691" s="1335">
        <v>0.41666666666666669</v>
      </c>
      <c r="J1691" s="1335">
        <v>0.47916666666666669</v>
      </c>
      <c r="K1691" s="1338">
        <f t="shared" si="44"/>
        <v>3</v>
      </c>
      <c r="L1691" s="1330">
        <v>46114</v>
      </c>
      <c r="M1691" s="1349" t="s">
        <v>1703</v>
      </c>
    </row>
    <row r="1692" spans="2:15" ht="25.15" customHeight="1">
      <c r="B1692" s="1230" t="s">
        <v>1706</v>
      </c>
      <c r="C1692" s="1201" t="s">
        <v>1364</v>
      </c>
      <c r="D1692" s="1210" t="s">
        <v>1662</v>
      </c>
      <c r="F1692" s="821">
        <v>40</v>
      </c>
      <c r="G1692" s="179"/>
      <c r="H1692" s="1333"/>
      <c r="I1692" s="1336"/>
      <c r="J1692" s="1336"/>
      <c r="K1692" s="1339"/>
      <c r="L1692" s="1352"/>
      <c r="M1692" s="1350"/>
      <c r="N1692" s="1215" t="s">
        <v>1184</v>
      </c>
      <c r="O1692" s="1218" t="s">
        <v>1690</v>
      </c>
    </row>
    <row r="1693" spans="2:15" ht="25.15" customHeight="1">
      <c r="B1693" s="1230" t="s">
        <v>1707</v>
      </c>
      <c r="C1693" s="1201" t="s">
        <v>1364</v>
      </c>
      <c r="D1693" s="1210" t="s">
        <v>1662</v>
      </c>
      <c r="F1693" s="821">
        <v>46</v>
      </c>
      <c r="G1693" s="179"/>
      <c r="H1693" s="1334"/>
      <c r="I1693" s="1337"/>
      <c r="J1693" s="1337"/>
      <c r="K1693" s="1340"/>
      <c r="L1693" s="1331"/>
      <c r="M1693" s="1351"/>
    </row>
    <row r="1694" spans="2:15" ht="25.15" hidden="1" customHeight="1">
      <c r="B1694" s="1242" t="s">
        <v>1710</v>
      </c>
      <c r="C1694" s="1242" t="s">
        <v>1709</v>
      </c>
      <c r="D1694" s="1243" t="s">
        <v>96</v>
      </c>
      <c r="E1694" s="294">
        <v>50</v>
      </c>
      <c r="F1694" s="821">
        <v>100</v>
      </c>
      <c r="G1694" s="179"/>
      <c r="H1694" s="832">
        <v>2</v>
      </c>
      <c r="I1694" s="1063">
        <v>0.33333333333333331</v>
      </c>
      <c r="J1694" s="1063">
        <v>0.39583333333333331</v>
      </c>
      <c r="K1694" s="417">
        <f t="shared" si="44"/>
        <v>3</v>
      </c>
      <c r="L1694" s="17">
        <v>46120</v>
      </c>
      <c r="M1694" s="1244" t="s">
        <v>1711</v>
      </c>
      <c r="N1694" s="1242" t="s">
        <v>9</v>
      </c>
      <c r="O1694" s="1221" t="s">
        <v>1696</v>
      </c>
    </row>
    <row r="1695" spans="2:15" ht="25.15" hidden="1" customHeight="1">
      <c r="B1695" s="1242" t="s">
        <v>1712</v>
      </c>
      <c r="C1695" s="1201" t="s">
        <v>1364</v>
      </c>
      <c r="D1695" s="1243" t="s">
        <v>1646</v>
      </c>
      <c r="F1695" s="821">
        <v>20</v>
      </c>
      <c r="G1695" s="179"/>
      <c r="H1695" s="832">
        <v>2</v>
      </c>
      <c r="I1695" s="1063">
        <v>0.33333333333333331</v>
      </c>
      <c r="J1695" s="1063">
        <v>0.34722222222222227</v>
      </c>
      <c r="K1695" s="417">
        <f t="shared" si="44"/>
        <v>0.66666666666666963</v>
      </c>
      <c r="L1695" s="17">
        <v>46120</v>
      </c>
      <c r="M1695" s="1244" t="s">
        <v>1711</v>
      </c>
      <c r="N1695" s="1215" t="s">
        <v>1184</v>
      </c>
      <c r="O1695" s="1218" t="s">
        <v>1690</v>
      </c>
    </row>
    <row r="1696" spans="2:15" ht="25.15" customHeight="1">
      <c r="B1696" s="1242" t="s">
        <v>1710</v>
      </c>
      <c r="C1696" s="1201" t="s">
        <v>1364</v>
      </c>
      <c r="D1696" s="1245" t="s">
        <v>1713</v>
      </c>
      <c r="E1696" s="294">
        <v>80</v>
      </c>
      <c r="F1696" s="821">
        <v>160</v>
      </c>
      <c r="G1696" s="179"/>
      <c r="H1696" s="832">
        <v>2</v>
      </c>
      <c r="I1696" s="1063">
        <v>0.375</v>
      </c>
      <c r="J1696" s="1246">
        <v>0.39583333333333331</v>
      </c>
      <c r="K1696" s="417">
        <f t="shared" si="44"/>
        <v>0.99999999999999911</v>
      </c>
      <c r="L1696" s="17">
        <v>46122</v>
      </c>
      <c r="M1696" s="1255" t="s">
        <v>1711</v>
      </c>
      <c r="N1696" s="1247" t="s">
        <v>185</v>
      </c>
      <c r="O1696" s="1218" t="s">
        <v>1690</v>
      </c>
    </row>
    <row r="1697" spans="2:15" ht="25.15" customHeight="1">
      <c r="B1697" s="1242" t="s">
        <v>1710</v>
      </c>
      <c r="C1697" s="1201" t="s">
        <v>1364</v>
      </c>
      <c r="D1697" s="1245" t="s">
        <v>1646</v>
      </c>
      <c r="E1697" s="294">
        <v>60</v>
      </c>
      <c r="F1697" s="821">
        <v>120</v>
      </c>
      <c r="G1697" s="179"/>
      <c r="H1697" s="832">
        <v>2</v>
      </c>
      <c r="I1697" s="1241">
        <v>0.375</v>
      </c>
      <c r="J1697" s="1246">
        <v>0.39583333333333331</v>
      </c>
      <c r="K1697" s="417">
        <f t="shared" si="44"/>
        <v>0.99999999999999911</v>
      </c>
      <c r="L1697" s="17">
        <v>46122</v>
      </c>
      <c r="M1697" s="1255" t="s">
        <v>1711</v>
      </c>
      <c r="N1697" s="1215" t="s">
        <v>1184</v>
      </c>
      <c r="O1697" s="1218" t="s">
        <v>1690</v>
      </c>
    </row>
    <row r="1698" spans="2:15" ht="25.15" customHeight="1">
      <c r="B1698" s="1242" t="s">
        <v>1710</v>
      </c>
      <c r="C1698" s="1248" t="s">
        <v>1715</v>
      </c>
      <c r="D1698" s="1245" t="s">
        <v>1716</v>
      </c>
      <c r="E1698" s="294">
        <v>50</v>
      </c>
      <c r="F1698" s="821">
        <v>50</v>
      </c>
      <c r="G1698" s="179"/>
      <c r="H1698" s="832">
        <v>2</v>
      </c>
      <c r="I1698" s="1063">
        <v>0.54166666666666663</v>
      </c>
      <c r="J1698" s="1063">
        <v>0.625</v>
      </c>
      <c r="K1698" s="417">
        <f t="shared" si="44"/>
        <v>4.0000000000000018</v>
      </c>
      <c r="L1698" s="17">
        <v>46122</v>
      </c>
      <c r="M1698" s="1255" t="s">
        <v>1711</v>
      </c>
      <c r="N1698" s="1247" t="s">
        <v>653</v>
      </c>
      <c r="O1698" s="1248" t="s">
        <v>1696</v>
      </c>
    </row>
    <row r="1699" spans="2:15" ht="25.15" customHeight="1">
      <c r="B1699" s="1250" t="s">
        <v>1673</v>
      </c>
      <c r="C1699" s="1201" t="s">
        <v>1364</v>
      </c>
      <c r="D1699" s="1249" t="s">
        <v>1718</v>
      </c>
      <c r="F1699" s="821">
        <v>60</v>
      </c>
      <c r="G1699" s="179"/>
      <c r="H1699" s="832">
        <v>2</v>
      </c>
      <c r="I1699" s="1063">
        <v>0.29166666666666669</v>
      </c>
      <c r="J1699" s="1063">
        <v>0.58333333333333337</v>
      </c>
      <c r="K1699" s="417">
        <f t="shared" si="44"/>
        <v>14</v>
      </c>
      <c r="L1699" s="17">
        <v>46126</v>
      </c>
      <c r="M1699" s="1255" t="s">
        <v>1714</v>
      </c>
      <c r="N1699" s="1215" t="s">
        <v>1184</v>
      </c>
      <c r="O1699" s="1201" t="s">
        <v>1364</v>
      </c>
    </row>
    <row r="1700" spans="2:15" ht="25.15" customHeight="1">
      <c r="B1700" s="1250" t="s">
        <v>1719</v>
      </c>
      <c r="C1700" s="1201" t="s">
        <v>1364</v>
      </c>
      <c r="D1700" s="1249" t="s">
        <v>1718</v>
      </c>
      <c r="F1700" s="821">
        <v>60</v>
      </c>
      <c r="G1700" s="179"/>
      <c r="H1700" s="832">
        <v>2</v>
      </c>
      <c r="I1700" s="1341">
        <v>0.33333333333333331</v>
      </c>
      <c r="J1700" s="1335">
        <v>0.39583333333333331</v>
      </c>
      <c r="K1700" s="1338">
        <f t="shared" si="44"/>
        <v>3</v>
      </c>
      <c r="L1700" s="17">
        <v>46126</v>
      </c>
      <c r="M1700" s="1255" t="s">
        <v>1714</v>
      </c>
      <c r="N1700" s="1215" t="s">
        <v>1184</v>
      </c>
      <c r="O1700" s="1201" t="s">
        <v>1364</v>
      </c>
    </row>
    <row r="1701" spans="2:15" ht="25.15" customHeight="1">
      <c r="B1701" s="1250" t="s">
        <v>1720</v>
      </c>
      <c r="C1701" s="1201" t="s">
        <v>1364</v>
      </c>
      <c r="D1701" s="1249" t="s">
        <v>1718</v>
      </c>
      <c r="F1701" s="821">
        <v>60</v>
      </c>
      <c r="G1701" s="179"/>
      <c r="H1701" s="832">
        <v>2</v>
      </c>
      <c r="I1701" s="1342"/>
      <c r="J1701" s="1336"/>
      <c r="K1701" s="1339"/>
      <c r="L1701" s="17">
        <v>46126</v>
      </c>
      <c r="M1701" s="1255" t="s">
        <v>1714</v>
      </c>
      <c r="N1701" s="1215" t="s">
        <v>1184</v>
      </c>
      <c r="O1701" s="1201" t="s">
        <v>1364</v>
      </c>
    </row>
    <row r="1702" spans="2:15" ht="25.15" customHeight="1">
      <c r="B1702" s="1250" t="s">
        <v>1720</v>
      </c>
      <c r="C1702" s="1201" t="s">
        <v>1364</v>
      </c>
      <c r="D1702" s="1249" t="s">
        <v>1713</v>
      </c>
      <c r="F1702" s="821">
        <v>80</v>
      </c>
      <c r="G1702" s="179"/>
      <c r="H1702" s="832">
        <v>2</v>
      </c>
      <c r="I1702" s="1343"/>
      <c r="J1702" s="1337"/>
      <c r="K1702" s="1340"/>
      <c r="L1702" s="17">
        <v>46126</v>
      </c>
      <c r="M1702" s="1255" t="s">
        <v>1714</v>
      </c>
      <c r="N1702" s="1215" t="s">
        <v>1184</v>
      </c>
      <c r="O1702" s="1201" t="s">
        <v>1364</v>
      </c>
    </row>
    <row r="1703" spans="2:15" ht="25.15" customHeight="1">
      <c r="B1703" s="1252" t="s">
        <v>1689</v>
      </c>
      <c r="C1703" s="1252" t="s">
        <v>1721</v>
      </c>
      <c r="D1703" s="1253" t="s">
        <v>1701</v>
      </c>
      <c r="E1703" s="294">
        <v>1</v>
      </c>
      <c r="F1703" s="821">
        <v>4</v>
      </c>
      <c r="G1703" s="179"/>
      <c r="H1703" s="1344">
        <v>2</v>
      </c>
      <c r="I1703" s="1341">
        <v>0.33333333333333331</v>
      </c>
      <c r="J1703" s="1335">
        <v>0.375</v>
      </c>
      <c r="K1703" s="1338">
        <f t="shared" si="44"/>
        <v>2.0000000000000009</v>
      </c>
      <c r="L1703" s="1330">
        <v>46130</v>
      </c>
      <c r="M1703" s="1371" t="s">
        <v>1714</v>
      </c>
      <c r="N1703" s="1373" t="s">
        <v>185</v>
      </c>
      <c r="O1703" s="1369" t="s">
        <v>1723</v>
      </c>
    </row>
    <row r="1704" spans="2:15" ht="25.15" customHeight="1">
      <c r="B1704" s="1252" t="s">
        <v>1722</v>
      </c>
      <c r="C1704" s="1252" t="s">
        <v>1721</v>
      </c>
      <c r="D1704" s="1253" t="s">
        <v>1701</v>
      </c>
      <c r="E1704" s="294">
        <v>1</v>
      </c>
      <c r="F1704" s="821">
        <v>2</v>
      </c>
      <c r="G1704" s="179"/>
      <c r="H1704" s="1346"/>
      <c r="I1704" s="1343"/>
      <c r="J1704" s="1337"/>
      <c r="K1704" s="1340"/>
      <c r="L1704" s="1331"/>
      <c r="M1704" s="1372"/>
      <c r="N1704" s="1374"/>
      <c r="O1704" s="1370"/>
    </row>
    <row r="1705" spans="2:15" ht="25.15" customHeight="1">
      <c r="B1705" s="1254" t="s">
        <v>1724</v>
      </c>
      <c r="C1705" s="1201" t="s">
        <v>1364</v>
      </c>
      <c r="D1705" s="1245" t="s">
        <v>1646</v>
      </c>
      <c r="F1705" s="821">
        <v>40</v>
      </c>
      <c r="G1705" s="179"/>
      <c r="H1705" s="832">
        <v>2</v>
      </c>
      <c r="I1705" s="1063">
        <v>0.33333333333333331</v>
      </c>
      <c r="J1705" s="1063">
        <v>0.39583333333333331</v>
      </c>
      <c r="K1705" s="417">
        <f t="shared" si="44"/>
        <v>3</v>
      </c>
      <c r="L1705" s="17">
        <v>46133</v>
      </c>
      <c r="M1705" s="1255" t="s">
        <v>1717</v>
      </c>
      <c r="N1705" s="1215" t="s">
        <v>1184</v>
      </c>
      <c r="O1705" s="1201" t="s">
        <v>1364</v>
      </c>
    </row>
    <row r="1706" spans="2:15" ht="25.15" customHeight="1">
      <c r="B1706" s="1254" t="s">
        <v>1674</v>
      </c>
      <c r="C1706" s="1201" t="s">
        <v>1364</v>
      </c>
      <c r="D1706" s="1245" t="s">
        <v>1646</v>
      </c>
      <c r="F1706" s="821">
        <v>50</v>
      </c>
      <c r="G1706" s="179"/>
      <c r="H1706" s="832">
        <v>2</v>
      </c>
      <c r="I1706" s="1251">
        <v>0.33333333333333331</v>
      </c>
      <c r="J1706" s="1251">
        <v>0.39583333333333331</v>
      </c>
      <c r="K1706" s="417">
        <f t="shared" si="44"/>
        <v>3</v>
      </c>
      <c r="L1706" s="17">
        <v>46133</v>
      </c>
      <c r="M1706" s="1255" t="s">
        <v>1717</v>
      </c>
      <c r="N1706" s="1215" t="s">
        <v>1184</v>
      </c>
      <c r="O1706" s="1201" t="s">
        <v>1364</v>
      </c>
    </row>
    <row r="1707" spans="2:15" ht="25.15" customHeight="1">
      <c r="B1707" s="1254" t="s">
        <v>1725</v>
      </c>
      <c r="C1707" s="1201" t="s">
        <v>1364</v>
      </c>
      <c r="D1707" s="1245" t="s">
        <v>1646</v>
      </c>
      <c r="F1707" s="821">
        <v>50</v>
      </c>
      <c r="G1707" s="179"/>
      <c r="H1707" s="1332">
        <v>2</v>
      </c>
      <c r="I1707" s="1335">
        <v>0.33333333333333331</v>
      </c>
      <c r="J1707" s="1335">
        <v>0.39583333333333331</v>
      </c>
      <c r="K1707" s="1338">
        <f t="shared" si="44"/>
        <v>3</v>
      </c>
      <c r="L1707" s="17">
        <v>46133</v>
      </c>
      <c r="M1707" s="1255" t="s">
        <v>1717</v>
      </c>
      <c r="N1707" s="1215" t="s">
        <v>1184</v>
      </c>
      <c r="O1707" s="1201" t="s">
        <v>1364</v>
      </c>
    </row>
    <row r="1708" spans="2:15" ht="25.15" hidden="1" customHeight="1">
      <c r="B1708" s="1254" t="s">
        <v>1719</v>
      </c>
      <c r="C1708" s="1201" t="s">
        <v>1364</v>
      </c>
      <c r="D1708" s="1245" t="s">
        <v>1646</v>
      </c>
      <c r="F1708" s="821">
        <v>50</v>
      </c>
      <c r="G1708" s="179"/>
      <c r="H1708" s="1334"/>
      <c r="I1708" s="1337"/>
      <c r="J1708" s="1337"/>
      <c r="K1708" s="1340"/>
      <c r="L1708" s="17">
        <v>46133</v>
      </c>
      <c r="M1708" s="1255" t="s">
        <v>1717</v>
      </c>
      <c r="N1708" s="1215" t="s">
        <v>1184</v>
      </c>
      <c r="O1708" s="1201" t="s">
        <v>1364</v>
      </c>
    </row>
    <row r="1709" spans="2:15" ht="25.15" customHeight="1">
      <c r="B1709" s="1256" t="s">
        <v>1673</v>
      </c>
      <c r="C1709" s="1201" t="s">
        <v>1364</v>
      </c>
      <c r="D1709" s="1245" t="s">
        <v>1646</v>
      </c>
      <c r="F1709" s="821">
        <v>50</v>
      </c>
      <c r="G1709" s="179"/>
      <c r="H1709" s="1344">
        <v>2</v>
      </c>
      <c r="I1709" s="1341">
        <v>0.375</v>
      </c>
      <c r="J1709" s="1335">
        <v>0.40277777777777773</v>
      </c>
      <c r="K1709" s="1191">
        <f t="shared" si="44"/>
        <v>1.3333333333333313</v>
      </c>
      <c r="L1709" s="17">
        <v>46134</v>
      </c>
      <c r="M1709" s="1255" t="s">
        <v>1717</v>
      </c>
      <c r="N1709" s="1215" t="s">
        <v>1184</v>
      </c>
      <c r="O1709" s="1201" t="s">
        <v>1364</v>
      </c>
    </row>
    <row r="1710" spans="2:15" ht="25.15" customHeight="1">
      <c r="B1710" s="1256" t="s">
        <v>1674</v>
      </c>
      <c r="C1710" s="1201" t="s">
        <v>1364</v>
      </c>
      <c r="D1710" s="1257" t="s">
        <v>1726</v>
      </c>
      <c r="F1710" s="821">
        <v>20</v>
      </c>
      <c r="G1710" s="179"/>
      <c r="H1710" s="1346"/>
      <c r="I1710" s="1343"/>
      <c r="J1710" s="1337"/>
      <c r="K1710" s="1192"/>
      <c r="L1710" s="17">
        <v>46134</v>
      </c>
      <c r="M1710" s="1255" t="s">
        <v>1717</v>
      </c>
      <c r="N1710" s="1215" t="s">
        <v>1184</v>
      </c>
      <c r="O1710" s="1201" t="s">
        <v>1364</v>
      </c>
    </row>
    <row r="1711" spans="2:15" ht="25.15" customHeight="1">
      <c r="B1711" s="1256" t="s">
        <v>1666</v>
      </c>
      <c r="C1711" s="1256" t="s">
        <v>1642</v>
      </c>
      <c r="D1711" s="1257"/>
      <c r="F1711" s="821">
        <v>10</v>
      </c>
      <c r="G1711" s="179"/>
      <c r="H1711" s="832">
        <v>2</v>
      </c>
      <c r="I1711" s="1063">
        <v>0.33333333333333331</v>
      </c>
      <c r="J1711" s="1063">
        <v>0.3611111111111111</v>
      </c>
      <c r="K1711" s="417">
        <f t="shared" si="44"/>
        <v>1.3333333333333339</v>
      </c>
      <c r="L1711" s="17">
        <v>46134</v>
      </c>
      <c r="M1711" s="1255" t="s">
        <v>1717</v>
      </c>
      <c r="N1711" s="1256" t="s">
        <v>185</v>
      </c>
      <c r="O1711" s="2" t="s">
        <v>1690</v>
      </c>
    </row>
    <row r="1712" spans="2:15" ht="25.15" hidden="1" customHeight="1">
      <c r="B1712" s="1256" t="s">
        <v>1689</v>
      </c>
      <c r="C1712" s="1256" t="s">
        <v>1727</v>
      </c>
      <c r="D1712" s="1257" t="s">
        <v>280</v>
      </c>
      <c r="F1712" s="821">
        <v>2</v>
      </c>
      <c r="G1712" s="179"/>
      <c r="H1712" s="832">
        <v>2</v>
      </c>
      <c r="I1712" s="1063">
        <v>0.41666666666666669</v>
      </c>
      <c r="J1712" s="1063">
        <v>0.4375</v>
      </c>
      <c r="K1712" s="417">
        <f t="shared" si="44"/>
        <v>0.99999999999999911</v>
      </c>
      <c r="L1712" s="17">
        <v>46134</v>
      </c>
      <c r="M1712" s="1255" t="s">
        <v>1717</v>
      </c>
    </row>
    <row r="1713" spans="2:16" ht="25.15" hidden="1" customHeight="1">
      <c r="C1713" s="1258" t="s">
        <v>1728</v>
      </c>
      <c r="D1713" s="1259" t="s">
        <v>275</v>
      </c>
      <c r="F1713" s="821">
        <v>85</v>
      </c>
      <c r="G1713" s="179"/>
      <c r="H1713" s="832">
        <v>2</v>
      </c>
      <c r="I1713" s="1063">
        <v>0.375</v>
      </c>
      <c r="J1713" s="1063">
        <v>0.41666666666666669</v>
      </c>
      <c r="K1713" s="417">
        <f t="shared" si="44"/>
        <v>2.0000000000000009</v>
      </c>
      <c r="L1713" s="17">
        <v>46140</v>
      </c>
      <c r="M1713" s="1260" t="s">
        <v>1729</v>
      </c>
      <c r="N1713" s="1247" t="s">
        <v>653</v>
      </c>
      <c r="O1713" s="1248" t="s">
        <v>1696</v>
      </c>
    </row>
    <row r="1714" spans="2:16" ht="25.15" customHeight="1">
      <c r="B1714" s="1262" t="s">
        <v>1673</v>
      </c>
      <c r="C1714" s="1262" t="s">
        <v>1642</v>
      </c>
      <c r="D1714" s="1262" t="s">
        <v>1730</v>
      </c>
      <c r="F1714" s="821">
        <v>4</v>
      </c>
      <c r="G1714" s="179"/>
      <c r="H1714" s="1344">
        <v>2</v>
      </c>
      <c r="I1714" s="1341">
        <v>0.54166666666666663</v>
      </c>
      <c r="J1714" s="1375">
        <v>0.5625</v>
      </c>
      <c r="K1714" s="1338">
        <f t="shared" si="44"/>
        <v>1.0000000000000018</v>
      </c>
      <c r="L1714" s="17">
        <v>46141</v>
      </c>
      <c r="M1714" s="1266" t="s">
        <v>1734</v>
      </c>
      <c r="N1714" s="1262" t="s">
        <v>1732</v>
      </c>
    </row>
    <row r="1715" spans="2:16" ht="25.15" customHeight="1">
      <c r="B1715" s="1262" t="s">
        <v>1720</v>
      </c>
      <c r="C1715" s="1262" t="s">
        <v>1642</v>
      </c>
      <c r="D1715" s="1262" t="s">
        <v>1731</v>
      </c>
      <c r="F1715" s="821">
        <v>35</v>
      </c>
      <c r="G1715" s="179"/>
      <c r="H1715" s="1346"/>
      <c r="I1715" s="1343"/>
      <c r="J1715" s="1376"/>
      <c r="K1715" s="1340"/>
      <c r="L1715" s="17">
        <v>46141</v>
      </c>
      <c r="M1715" s="1266" t="s">
        <v>1734</v>
      </c>
      <c r="N1715" s="1262" t="s">
        <v>1732</v>
      </c>
    </row>
    <row r="1716" spans="2:16" ht="25.15" customHeight="1">
      <c r="B1716" s="1262" t="s">
        <v>1666</v>
      </c>
      <c r="C1716" s="1262" t="s">
        <v>1642</v>
      </c>
      <c r="F1716" s="1347">
        <v>50</v>
      </c>
      <c r="G1716" s="179"/>
      <c r="H1716" s="1344">
        <v>4</v>
      </c>
      <c r="I1716" s="1341">
        <v>0.54166666666666663</v>
      </c>
      <c r="J1716" s="1335">
        <v>0.57638888888888895</v>
      </c>
      <c r="K1716" s="1338">
        <f t="shared" si="44"/>
        <v>3.3333333333333428</v>
      </c>
      <c r="L1716" s="17">
        <v>46141</v>
      </c>
      <c r="M1716" s="1266" t="s">
        <v>1734</v>
      </c>
      <c r="N1716" s="1262" t="s">
        <v>1732</v>
      </c>
    </row>
    <row r="1717" spans="2:16" ht="25.15" hidden="1" customHeight="1">
      <c r="B1717" s="1262" t="s">
        <v>1672</v>
      </c>
      <c r="C1717" s="1262" t="s">
        <v>1642</v>
      </c>
      <c r="F1717" s="1348"/>
      <c r="G1717" s="179"/>
      <c r="H1717" s="1346"/>
      <c r="I1717" s="1343"/>
      <c r="J1717" s="1337"/>
      <c r="K1717" s="1340"/>
      <c r="L1717" s="17">
        <v>46141</v>
      </c>
      <c r="M1717" s="1266" t="s">
        <v>1734</v>
      </c>
      <c r="N1717" s="1262" t="s">
        <v>1732</v>
      </c>
    </row>
    <row r="1718" spans="2:16" ht="25.15" customHeight="1">
      <c r="B1718" s="1265" t="s">
        <v>1673</v>
      </c>
      <c r="C1718" s="1262" t="s">
        <v>1642</v>
      </c>
      <c r="D1718" s="1264" t="s">
        <v>1733</v>
      </c>
      <c r="F1718" s="821">
        <v>10</v>
      </c>
      <c r="G1718" s="179"/>
      <c r="H1718" s="832">
        <v>2</v>
      </c>
      <c r="I1718" s="1063">
        <v>0.375</v>
      </c>
      <c r="J1718" s="1063">
        <v>0.3923611111111111</v>
      </c>
      <c r="K1718" s="417">
        <f t="shared" si="44"/>
        <v>0.83333333333333304</v>
      </c>
      <c r="L1718" s="17">
        <v>46147</v>
      </c>
      <c r="M1718" s="1266" t="s">
        <v>1735</v>
      </c>
      <c r="N1718" s="1262" t="s">
        <v>1732</v>
      </c>
      <c r="P1718" s="40">
        <f>17+18+15</f>
        <v>50</v>
      </c>
    </row>
    <row r="1719" spans="2:16" ht="25.15" customHeight="1">
      <c r="B1719" s="1265" t="s">
        <v>1673</v>
      </c>
      <c r="C1719" s="1262" t="s">
        <v>1642</v>
      </c>
      <c r="D1719" s="1264" t="s">
        <v>1736</v>
      </c>
      <c r="F1719" s="821">
        <v>20</v>
      </c>
      <c r="G1719" s="179"/>
      <c r="H1719" s="832">
        <v>1</v>
      </c>
      <c r="I1719" s="1063">
        <v>0.41666666666666669</v>
      </c>
      <c r="J1719" s="1063">
        <v>0.42708333333333331</v>
      </c>
      <c r="K1719" s="417">
        <f>(J1719-I1719)*24*H1719</f>
        <v>0.24999999999999911</v>
      </c>
      <c r="L1719" s="17">
        <v>46147</v>
      </c>
      <c r="M1719" s="1266" t="s">
        <v>1735</v>
      </c>
      <c r="N1719" s="1262" t="s">
        <v>1732</v>
      </c>
    </row>
    <row r="1720" spans="2:16" ht="25.15" customHeight="1">
      <c r="B1720" s="1265" t="s">
        <v>1720</v>
      </c>
      <c r="C1720" s="1262" t="s">
        <v>1642</v>
      </c>
      <c r="D1720" s="1264" t="s">
        <v>1737</v>
      </c>
      <c r="F1720" s="821">
        <v>12</v>
      </c>
      <c r="G1720" s="179"/>
      <c r="H1720" s="832">
        <v>1</v>
      </c>
      <c r="I1720" s="1261">
        <v>0.41666666666666669</v>
      </c>
      <c r="J1720" s="1261">
        <v>0.42708333333333331</v>
      </c>
      <c r="K1720" s="417">
        <f t="shared" si="44"/>
        <v>0.24999999999999911</v>
      </c>
      <c r="L1720" s="17">
        <v>46147</v>
      </c>
      <c r="M1720" s="1266" t="s">
        <v>1735</v>
      </c>
      <c r="N1720" s="1262" t="s">
        <v>1732</v>
      </c>
    </row>
    <row r="1721" spans="2:16" ht="25.15" customHeight="1">
      <c r="B1721" s="1268" t="s">
        <v>1738</v>
      </c>
      <c r="C1721" s="1262" t="s">
        <v>1642</v>
      </c>
      <c r="D1721" s="1268" t="s">
        <v>1739</v>
      </c>
      <c r="F1721" s="821">
        <v>6</v>
      </c>
      <c r="G1721" s="179"/>
      <c r="H1721" s="832">
        <v>1</v>
      </c>
      <c r="I1721" s="1063">
        <v>0.70833333333333337</v>
      </c>
      <c r="J1721" s="1063">
        <v>0.71319444444444446</v>
      </c>
      <c r="K1721" s="417">
        <f t="shared" si="44"/>
        <v>0.11666666666666625</v>
      </c>
      <c r="L1721" s="17">
        <v>46148</v>
      </c>
      <c r="M1721" s="1266" t="s">
        <v>1735</v>
      </c>
      <c r="N1721" s="1262" t="s">
        <v>1732</v>
      </c>
    </row>
    <row r="1722" spans="2:16" ht="25.15" customHeight="1">
      <c r="B1722" s="1268" t="s">
        <v>1666</v>
      </c>
      <c r="C1722" s="1262" t="s">
        <v>1642</v>
      </c>
      <c r="D1722" s="1269" t="s">
        <v>1740</v>
      </c>
      <c r="F1722" s="821">
        <v>6</v>
      </c>
      <c r="G1722" s="179"/>
      <c r="H1722" s="832">
        <v>1</v>
      </c>
      <c r="I1722" s="1263">
        <v>0.70833333333333337</v>
      </c>
      <c r="J1722" s="1263">
        <v>0.71319444444444446</v>
      </c>
      <c r="K1722" s="417">
        <f t="shared" si="44"/>
        <v>0.11666666666666625</v>
      </c>
      <c r="L1722" s="17">
        <v>46148</v>
      </c>
      <c r="M1722" s="1266" t="s">
        <v>1735</v>
      </c>
      <c r="N1722" s="1262" t="s">
        <v>1732</v>
      </c>
    </row>
    <row r="1723" spans="2:16" ht="25.15" customHeight="1">
      <c r="C1723" s="1268" t="s">
        <v>1728</v>
      </c>
      <c r="D1723" s="1269" t="s">
        <v>122</v>
      </c>
      <c r="F1723" s="821">
        <v>56</v>
      </c>
      <c r="G1723" s="179"/>
      <c r="H1723" s="832">
        <v>2</v>
      </c>
      <c r="I1723" s="1063">
        <v>0.375</v>
      </c>
      <c r="J1723" s="1270">
        <v>0.41666666666666669</v>
      </c>
      <c r="K1723" s="417">
        <f t="shared" si="44"/>
        <v>2.0000000000000009</v>
      </c>
      <c r="L1723" s="17">
        <v>46148</v>
      </c>
      <c r="M1723" s="1266" t="s">
        <v>1735</v>
      </c>
      <c r="N1723" s="1130" t="s">
        <v>9</v>
      </c>
      <c r="O1723" s="1271" t="s">
        <v>1741</v>
      </c>
    </row>
    <row r="1724" spans="2:16" ht="25.15" customHeight="1">
      <c r="B1724" s="1272" t="s">
        <v>1742</v>
      </c>
      <c r="C1724" s="1262" t="s">
        <v>1642</v>
      </c>
      <c r="D1724" s="1273" t="s">
        <v>1646</v>
      </c>
      <c r="F1724" s="821">
        <v>15</v>
      </c>
      <c r="G1724" s="179"/>
      <c r="H1724" s="1344">
        <v>2</v>
      </c>
      <c r="I1724" s="1341">
        <v>0.375</v>
      </c>
      <c r="J1724" s="1335">
        <v>0.41666666666666669</v>
      </c>
      <c r="K1724" s="1338">
        <f t="shared" si="44"/>
        <v>2.0000000000000009</v>
      </c>
      <c r="L1724" s="17">
        <v>46151</v>
      </c>
      <c r="M1724" s="1266" t="s">
        <v>1735</v>
      </c>
      <c r="N1724" s="1272" t="s">
        <v>1184</v>
      </c>
    </row>
    <row r="1725" spans="2:16" ht="25.15" customHeight="1">
      <c r="B1725" s="1272" t="s">
        <v>1679</v>
      </c>
      <c r="C1725" s="1262" t="s">
        <v>1642</v>
      </c>
      <c r="D1725" s="1273" t="s">
        <v>1646</v>
      </c>
      <c r="F1725" s="821">
        <v>30</v>
      </c>
      <c r="G1725" s="179"/>
      <c r="H1725" s="1345"/>
      <c r="I1725" s="1342"/>
      <c r="J1725" s="1336"/>
      <c r="K1725" s="1339"/>
      <c r="L1725" s="17">
        <v>46151</v>
      </c>
      <c r="M1725" s="1266" t="s">
        <v>1735</v>
      </c>
      <c r="N1725" s="1272" t="s">
        <v>1184</v>
      </c>
    </row>
    <row r="1726" spans="2:16" ht="25.15" customHeight="1">
      <c r="B1726" s="1272" t="s">
        <v>1719</v>
      </c>
      <c r="C1726" s="1262" t="s">
        <v>1642</v>
      </c>
      <c r="D1726" s="1273" t="s">
        <v>1646</v>
      </c>
      <c r="F1726" s="821">
        <v>45</v>
      </c>
      <c r="G1726" s="179"/>
      <c r="H1726" s="1346"/>
      <c r="I1726" s="1343"/>
      <c r="J1726" s="1337"/>
      <c r="K1726" s="1340"/>
      <c r="L1726" s="17">
        <v>46151</v>
      </c>
      <c r="M1726" s="1266" t="s">
        <v>1735</v>
      </c>
      <c r="N1726" s="1272" t="s">
        <v>1184</v>
      </c>
    </row>
    <row r="1727" spans="2:16" ht="25.15" customHeight="1">
      <c r="C1727" s="1272" t="s">
        <v>1743</v>
      </c>
      <c r="D1727" s="1273" t="s">
        <v>106</v>
      </c>
      <c r="F1727" s="821">
        <v>80</v>
      </c>
      <c r="G1727" s="179"/>
      <c r="H1727" s="832">
        <v>2</v>
      </c>
      <c r="I1727" s="1063">
        <v>0.41666666666666669</v>
      </c>
      <c r="J1727" s="1274">
        <v>0.48958333333333331</v>
      </c>
      <c r="K1727" s="417">
        <f t="shared" ref="K1727:K1788" si="45">(J1727-I1727)*24*H1727</f>
        <v>3.4999999999999982</v>
      </c>
      <c r="L1727" s="17">
        <v>46151</v>
      </c>
      <c r="M1727" s="1266" t="s">
        <v>1735</v>
      </c>
      <c r="N1727" s="1130" t="s">
        <v>9</v>
      </c>
      <c r="O1727" s="1271" t="s">
        <v>1741</v>
      </c>
    </row>
    <row r="1728" spans="2:16" ht="25.15" customHeight="1">
      <c r="C1728" s="1272" t="s">
        <v>1743</v>
      </c>
      <c r="D1728" s="1273" t="s">
        <v>227</v>
      </c>
      <c r="F1728" s="821">
        <v>80</v>
      </c>
      <c r="G1728" s="179"/>
      <c r="H1728" s="832">
        <v>1</v>
      </c>
      <c r="I1728" s="1063">
        <v>0.33333333333333331</v>
      </c>
      <c r="J1728" s="1063">
        <v>0.37152777777777773</v>
      </c>
      <c r="K1728" s="417">
        <f t="shared" si="45"/>
        <v>0.91666666666666607</v>
      </c>
      <c r="L1728" s="17">
        <v>46151</v>
      </c>
      <c r="M1728" s="1266" t="s">
        <v>1735</v>
      </c>
      <c r="N1728" s="1130" t="s">
        <v>9</v>
      </c>
      <c r="O1728" s="1271" t="s">
        <v>1741</v>
      </c>
    </row>
    <row r="1729" spans="2:15" ht="25.15" customHeight="1">
      <c r="C1729" s="1272" t="s">
        <v>1743</v>
      </c>
      <c r="D1729" s="1273" t="s">
        <v>154</v>
      </c>
      <c r="F1729" s="821">
        <v>80</v>
      </c>
      <c r="G1729" s="179"/>
      <c r="H1729" s="832">
        <v>1</v>
      </c>
      <c r="I1729" s="1267">
        <v>0.33333333333333331</v>
      </c>
      <c r="J1729" s="1267">
        <v>0.37152777777777773</v>
      </c>
      <c r="K1729" s="417">
        <f t="shared" si="45"/>
        <v>0.91666666666666607</v>
      </c>
      <c r="L1729" s="17">
        <v>46151</v>
      </c>
      <c r="M1729" s="1266" t="s">
        <v>1735</v>
      </c>
      <c r="N1729" s="1130" t="s">
        <v>9</v>
      </c>
      <c r="O1729" s="1271" t="s">
        <v>1741</v>
      </c>
    </row>
    <row r="1730" spans="2:15" ht="25.15" hidden="1" customHeight="1">
      <c r="B1730" s="1276" t="s">
        <v>1744</v>
      </c>
      <c r="C1730" s="1262" t="s">
        <v>1642</v>
      </c>
      <c r="D1730" s="1273" t="s">
        <v>1646</v>
      </c>
      <c r="F1730" s="821">
        <v>8</v>
      </c>
      <c r="G1730" s="179"/>
      <c r="H1730" s="832">
        <v>2</v>
      </c>
      <c r="I1730" s="1063">
        <v>0.41666666666666669</v>
      </c>
      <c r="J1730" s="1063">
        <v>0.42708333333333331</v>
      </c>
      <c r="K1730" s="417">
        <f t="shared" si="45"/>
        <v>0.49999999999999822</v>
      </c>
      <c r="L1730" s="17">
        <v>46151</v>
      </c>
      <c r="M1730" s="1266" t="s">
        <v>1735</v>
      </c>
      <c r="N1730" s="1272" t="s">
        <v>1184</v>
      </c>
    </row>
    <row r="1731" spans="2:15" ht="25.15" customHeight="1">
      <c r="B1731" s="1278" t="s">
        <v>1745</v>
      </c>
      <c r="C1731" s="1262" t="s">
        <v>1642</v>
      </c>
      <c r="D1731" s="1273" t="s">
        <v>1646</v>
      </c>
      <c r="F1731" s="821">
        <v>30</v>
      </c>
      <c r="G1731" s="179"/>
      <c r="H1731" s="832">
        <v>2</v>
      </c>
      <c r="I1731" s="1063">
        <v>0.41666666666666669</v>
      </c>
      <c r="J1731" s="1063">
        <v>0.43055555555555558</v>
      </c>
      <c r="K1731" s="417">
        <f t="shared" si="45"/>
        <v>0.66666666666666696</v>
      </c>
      <c r="L1731" s="1280">
        <v>46157</v>
      </c>
      <c r="M1731" s="1279" t="s">
        <v>1746</v>
      </c>
      <c r="N1731" s="1272" t="s">
        <v>1184</v>
      </c>
    </row>
    <row r="1732" spans="2:15" ht="25.15" customHeight="1">
      <c r="B1732" s="1278" t="s">
        <v>1666</v>
      </c>
      <c r="C1732" s="1262" t="s">
        <v>1642</v>
      </c>
      <c r="D1732" s="1273" t="s">
        <v>1646</v>
      </c>
      <c r="F1732" s="821">
        <v>20</v>
      </c>
      <c r="G1732" s="179"/>
      <c r="H1732" s="832">
        <v>2</v>
      </c>
      <c r="I1732" s="1275">
        <v>0.41666666666666669</v>
      </c>
      <c r="J1732" s="1275">
        <v>0.43055555555555558</v>
      </c>
      <c r="K1732" s="417">
        <f t="shared" si="45"/>
        <v>0.66666666666666696</v>
      </c>
      <c r="L1732" s="1280">
        <v>46157</v>
      </c>
      <c r="M1732" s="1279" t="s">
        <v>1746</v>
      </c>
      <c r="N1732" s="1272" t="s">
        <v>1184</v>
      </c>
    </row>
    <row r="1733" spans="2:15" ht="25.15" customHeight="1">
      <c r="B1733" s="1278" t="s">
        <v>1710</v>
      </c>
      <c r="C1733" s="1278" t="s">
        <v>1747</v>
      </c>
      <c r="D1733" s="1281" t="s">
        <v>1681</v>
      </c>
      <c r="F1733" s="821">
        <v>2</v>
      </c>
      <c r="G1733" s="179"/>
      <c r="H1733" s="832">
        <v>1</v>
      </c>
      <c r="I1733" s="1063">
        <v>0.375</v>
      </c>
      <c r="J1733" s="1063">
        <v>0.38055555555555554</v>
      </c>
      <c r="K1733" s="417">
        <f t="shared" si="45"/>
        <v>0.13333333333333286</v>
      </c>
      <c r="L1733" s="1280">
        <v>46157</v>
      </c>
      <c r="M1733" s="1279" t="s">
        <v>1746</v>
      </c>
      <c r="N1733" s="1278" t="s">
        <v>1748</v>
      </c>
      <c r="O1733" s="1282" t="s">
        <v>1749</v>
      </c>
    </row>
    <row r="1734" spans="2:15" ht="25.15" customHeight="1">
      <c r="B1734" s="1278" t="s">
        <v>1710</v>
      </c>
      <c r="C1734" s="1278" t="s">
        <v>1747</v>
      </c>
      <c r="D1734" s="1281" t="s">
        <v>869</v>
      </c>
      <c r="F1734" s="821">
        <v>4</v>
      </c>
      <c r="G1734" s="179"/>
      <c r="H1734" s="832">
        <v>1</v>
      </c>
      <c r="I1734" s="1275">
        <v>0.375</v>
      </c>
      <c r="J1734" s="1275">
        <v>0.38055555555555554</v>
      </c>
      <c r="K1734" s="417">
        <f t="shared" ref="K1734" si="46">(J1734-I1734)*24*H1734</f>
        <v>0.13333333333333286</v>
      </c>
      <c r="L1734" s="1280">
        <v>46157</v>
      </c>
      <c r="M1734" s="1279" t="s">
        <v>1746</v>
      </c>
      <c r="N1734" s="1278" t="s">
        <v>1748</v>
      </c>
      <c r="O1734" s="1282" t="s">
        <v>1749</v>
      </c>
    </row>
    <row r="1735" spans="2:15" ht="25.15" customHeight="1">
      <c r="B1735" s="1278" t="s">
        <v>1666</v>
      </c>
      <c r="C1735" s="1262" t="s">
        <v>1642</v>
      </c>
      <c r="D1735" s="1273" t="s">
        <v>1646</v>
      </c>
      <c r="F1735" s="821">
        <v>100</v>
      </c>
      <c r="G1735" s="179"/>
      <c r="H1735" s="832">
        <v>1</v>
      </c>
      <c r="I1735" s="1283">
        <v>0.33333333333333331</v>
      </c>
      <c r="J1735" s="1063">
        <v>0.35416666666666669</v>
      </c>
      <c r="K1735" s="417">
        <f t="shared" si="45"/>
        <v>0.50000000000000089</v>
      </c>
      <c r="L1735" s="1280">
        <v>46157</v>
      </c>
      <c r="M1735" s="1279" t="s">
        <v>1746</v>
      </c>
      <c r="N1735" s="1272" t="s">
        <v>1184</v>
      </c>
    </row>
    <row r="1736" spans="2:15" ht="25.15" customHeight="1">
      <c r="B1736" s="1278" t="s">
        <v>1679</v>
      </c>
      <c r="C1736" s="1262" t="s">
        <v>1642</v>
      </c>
      <c r="D1736" s="1273" t="s">
        <v>1646</v>
      </c>
      <c r="F1736" s="821">
        <v>8</v>
      </c>
      <c r="G1736" s="179"/>
      <c r="H1736" s="832">
        <v>1</v>
      </c>
      <c r="I1736" s="1283">
        <v>0.33333333333333331</v>
      </c>
      <c r="J1736" s="1275">
        <v>0.35416666666666669</v>
      </c>
      <c r="K1736" s="417">
        <f t="shared" si="45"/>
        <v>0.50000000000000089</v>
      </c>
      <c r="L1736" s="1280">
        <v>46157</v>
      </c>
      <c r="M1736" s="1279" t="s">
        <v>1746</v>
      </c>
      <c r="N1736" s="1272" t="s">
        <v>1184</v>
      </c>
    </row>
    <row r="1737" spans="2:15" ht="25.15" customHeight="1">
      <c r="B1737" s="1278" t="s">
        <v>1751</v>
      </c>
      <c r="C1737" s="1278" t="s">
        <v>1750</v>
      </c>
      <c r="D1737" s="1281" t="s">
        <v>103</v>
      </c>
      <c r="F1737" s="821">
        <v>20</v>
      </c>
      <c r="G1737" s="179"/>
      <c r="H1737" s="832">
        <v>2</v>
      </c>
      <c r="I1737" s="1063">
        <v>0.45833333333333331</v>
      </c>
      <c r="J1737" s="1063">
        <v>0.47222222222222227</v>
      </c>
      <c r="K1737" s="417">
        <f t="shared" si="45"/>
        <v>0.66666666666666963</v>
      </c>
      <c r="L1737" s="1280">
        <v>46157</v>
      </c>
      <c r="M1737" s="1279" t="s">
        <v>1746</v>
      </c>
      <c r="N1737" s="1278" t="s">
        <v>9</v>
      </c>
    </row>
    <row r="1738" spans="2:15" ht="25.15" customHeight="1">
      <c r="B1738" s="1285" t="s">
        <v>1674</v>
      </c>
      <c r="C1738" s="1262" t="s">
        <v>1642</v>
      </c>
      <c r="D1738" s="1273" t="s">
        <v>1646</v>
      </c>
      <c r="F1738" s="821">
        <v>20</v>
      </c>
      <c r="G1738" s="179"/>
      <c r="H1738" s="832">
        <v>2</v>
      </c>
      <c r="I1738" s="1063">
        <v>0.41666666666666669</v>
      </c>
      <c r="J1738" s="1063">
        <v>0.43055555555555558</v>
      </c>
      <c r="K1738" s="417">
        <f t="shared" si="45"/>
        <v>0.66666666666666696</v>
      </c>
      <c r="L1738" s="17">
        <v>46158</v>
      </c>
      <c r="M1738" s="1279" t="s">
        <v>1746</v>
      </c>
      <c r="N1738" s="1272" t="s">
        <v>1184</v>
      </c>
    </row>
    <row r="1739" spans="2:15" ht="25.15" customHeight="1">
      <c r="B1739" s="1285" t="s">
        <v>1699</v>
      </c>
      <c r="C1739" s="1262" t="s">
        <v>1642</v>
      </c>
      <c r="D1739" s="1273" t="s">
        <v>1646</v>
      </c>
      <c r="F1739" s="821">
        <v>60</v>
      </c>
      <c r="G1739" s="179"/>
      <c r="H1739" s="832">
        <v>2</v>
      </c>
      <c r="I1739" s="1063">
        <v>0.41666666666666669</v>
      </c>
      <c r="J1739" s="1063">
        <v>0.4375</v>
      </c>
      <c r="K1739" s="417">
        <f t="shared" si="45"/>
        <v>0.99999999999999911</v>
      </c>
      <c r="L1739" s="17">
        <v>46158</v>
      </c>
      <c r="M1739" s="1279" t="s">
        <v>1746</v>
      </c>
      <c r="N1739" s="1272" t="s">
        <v>1184</v>
      </c>
    </row>
    <row r="1740" spans="2:15" ht="25.15" hidden="1" customHeight="1">
      <c r="B1740" s="1285" t="s">
        <v>1752</v>
      </c>
      <c r="C1740" s="1262" t="s">
        <v>1642</v>
      </c>
      <c r="D1740" s="1273" t="s">
        <v>1646</v>
      </c>
      <c r="F1740" s="821">
        <v>100</v>
      </c>
      <c r="G1740" s="179"/>
      <c r="H1740" s="832">
        <v>2</v>
      </c>
      <c r="I1740" s="1063">
        <v>0.375</v>
      </c>
      <c r="J1740" s="1063">
        <v>0.40972222222222227</v>
      </c>
      <c r="K1740" s="417">
        <f t="shared" si="45"/>
        <v>1.6666666666666687</v>
      </c>
      <c r="L1740" s="17">
        <v>46158</v>
      </c>
      <c r="M1740" s="1279" t="s">
        <v>1746</v>
      </c>
      <c r="N1740" s="1272" t="s">
        <v>1184</v>
      </c>
    </row>
    <row r="1741" spans="2:15" ht="25.15" hidden="1" customHeight="1">
      <c r="B1741" s="1285" t="s">
        <v>1753</v>
      </c>
      <c r="C1741" s="1262" t="s">
        <v>1642</v>
      </c>
      <c r="D1741" s="1273" t="s">
        <v>1646</v>
      </c>
      <c r="F1741" s="821">
        <v>30</v>
      </c>
      <c r="G1741" s="179"/>
      <c r="H1741" s="832">
        <v>2</v>
      </c>
      <c r="I1741" s="1277">
        <v>0.41666666666666669</v>
      </c>
      <c r="J1741" s="1063">
        <v>0.43055555555555558</v>
      </c>
      <c r="K1741" s="417">
        <f t="shared" si="45"/>
        <v>0.66666666666666696</v>
      </c>
      <c r="L1741" s="17">
        <v>46158</v>
      </c>
      <c r="M1741" s="1279" t="s">
        <v>1746</v>
      </c>
      <c r="N1741" s="1272" t="s">
        <v>1184</v>
      </c>
    </row>
    <row r="1742" spans="2:15" ht="25.15" customHeight="1">
      <c r="B1742" s="1287" t="s">
        <v>1707</v>
      </c>
      <c r="C1742" s="1262" t="s">
        <v>1642</v>
      </c>
      <c r="D1742" s="1273" t="s">
        <v>1646</v>
      </c>
      <c r="F1742" s="821">
        <v>30</v>
      </c>
      <c r="G1742" s="179"/>
      <c r="H1742" s="832">
        <v>1</v>
      </c>
      <c r="I1742" s="1063">
        <v>0.375</v>
      </c>
      <c r="J1742" s="1063">
        <v>0.39930555555555558</v>
      </c>
      <c r="K1742" s="417">
        <f t="shared" si="45"/>
        <v>0.58333333333333393</v>
      </c>
      <c r="L1742" s="17">
        <v>46163</v>
      </c>
      <c r="M1742" s="1286" t="s">
        <v>1754</v>
      </c>
      <c r="N1742" s="1272" t="s">
        <v>1184</v>
      </c>
    </row>
    <row r="1743" spans="2:15" ht="25.15" customHeight="1">
      <c r="B1743" s="1287" t="s">
        <v>1755</v>
      </c>
      <c r="C1743" s="1262" t="s">
        <v>1642</v>
      </c>
      <c r="D1743" s="1288" t="s">
        <v>1718</v>
      </c>
      <c r="F1743" s="821">
        <v>60</v>
      </c>
      <c r="G1743" s="179"/>
      <c r="H1743" s="832">
        <v>2</v>
      </c>
      <c r="I1743" s="1063">
        <v>0.29166666666666669</v>
      </c>
      <c r="J1743" s="1063">
        <v>0.5</v>
      </c>
      <c r="K1743" s="417">
        <f t="shared" si="45"/>
        <v>10</v>
      </c>
      <c r="L1743" s="17">
        <v>46163</v>
      </c>
      <c r="M1743" s="1286" t="s">
        <v>1754</v>
      </c>
      <c r="N1743" s="1272" t="s">
        <v>1184</v>
      </c>
      <c r="O1743" s="1289" t="s">
        <v>1756</v>
      </c>
    </row>
    <row r="1744" spans="2:15" ht="25.15" customHeight="1">
      <c r="B1744" s="1287" t="s">
        <v>1757</v>
      </c>
      <c r="C1744" s="1262" t="s">
        <v>1642</v>
      </c>
      <c r="D1744" s="1288" t="s">
        <v>1713</v>
      </c>
      <c r="F1744" s="821">
        <v>60</v>
      </c>
      <c r="G1744" s="179"/>
      <c r="H1744" s="832">
        <v>1</v>
      </c>
      <c r="I1744" s="1063">
        <v>0.33333333333333331</v>
      </c>
      <c r="J1744" s="1063">
        <v>0.35069444444444442</v>
      </c>
      <c r="K1744" s="417">
        <f t="shared" si="45"/>
        <v>0.41666666666666652</v>
      </c>
      <c r="L1744" s="17">
        <v>46163</v>
      </c>
      <c r="M1744" s="1286" t="s">
        <v>1754</v>
      </c>
      <c r="N1744" s="1272" t="s">
        <v>1184</v>
      </c>
    </row>
    <row r="1745" spans="2:17" ht="25.15" customHeight="1">
      <c r="B1745" s="1287" t="s">
        <v>1720</v>
      </c>
      <c r="C1745" s="1262" t="s">
        <v>1642</v>
      </c>
      <c r="D1745" s="1288" t="s">
        <v>1713</v>
      </c>
      <c r="F1745" s="821">
        <v>60</v>
      </c>
      <c r="G1745" s="179"/>
      <c r="H1745" s="832">
        <v>1</v>
      </c>
      <c r="I1745" s="1284">
        <v>0.33333333333333331</v>
      </c>
      <c r="J1745" s="1284">
        <v>0.35069444444444442</v>
      </c>
      <c r="K1745" s="417">
        <f t="shared" si="45"/>
        <v>0.41666666666666652</v>
      </c>
      <c r="L1745" s="17">
        <v>46163</v>
      </c>
      <c r="M1745" s="1286" t="s">
        <v>1754</v>
      </c>
      <c r="N1745" s="1272" t="s">
        <v>1184</v>
      </c>
    </row>
    <row r="1746" spans="2:17" ht="25.15" customHeight="1">
      <c r="B1746" s="1287" t="s">
        <v>1757</v>
      </c>
      <c r="C1746" s="1262" t="s">
        <v>1642</v>
      </c>
      <c r="D1746" s="1273" t="s">
        <v>1646</v>
      </c>
      <c r="F1746" s="821">
        <v>60</v>
      </c>
      <c r="G1746" s="179"/>
      <c r="H1746" s="832">
        <v>1</v>
      </c>
      <c r="I1746" s="1063">
        <v>0.375</v>
      </c>
      <c r="J1746" s="1063">
        <v>0.4375</v>
      </c>
      <c r="K1746" s="417">
        <f t="shared" si="45"/>
        <v>1.5</v>
      </c>
      <c r="L1746" s="17">
        <v>46163</v>
      </c>
      <c r="M1746" s="1286" t="s">
        <v>1754</v>
      </c>
      <c r="N1746" s="1272" t="s">
        <v>1184</v>
      </c>
      <c r="O1746" s="1289" t="s">
        <v>1758</v>
      </c>
    </row>
    <row r="1747" spans="2:17" ht="25.15" customHeight="1">
      <c r="B1747" s="1287" t="s">
        <v>1720</v>
      </c>
      <c r="C1747" s="1262" t="s">
        <v>1642</v>
      </c>
      <c r="D1747" s="1273" t="s">
        <v>1646</v>
      </c>
      <c r="F1747" s="821">
        <v>60</v>
      </c>
      <c r="G1747" s="179"/>
      <c r="H1747" s="832">
        <v>1</v>
      </c>
      <c r="I1747" s="1284">
        <v>0.375</v>
      </c>
      <c r="J1747" s="1284">
        <v>0.4375</v>
      </c>
      <c r="K1747" s="417">
        <f t="shared" si="45"/>
        <v>1.5</v>
      </c>
      <c r="L1747" s="17">
        <v>46163</v>
      </c>
      <c r="M1747" s="1286" t="s">
        <v>1754</v>
      </c>
      <c r="N1747" s="1272" t="s">
        <v>1184</v>
      </c>
    </row>
    <row r="1748" spans="2:17" ht="25.15" customHeight="1">
      <c r="B1748" s="1290" t="s">
        <v>1745</v>
      </c>
      <c r="C1748" s="1262" t="s">
        <v>1642</v>
      </c>
      <c r="D1748" s="1291" t="s">
        <v>1759</v>
      </c>
      <c r="F1748" s="821">
        <v>20</v>
      </c>
      <c r="G1748" s="179"/>
      <c r="H1748" s="832">
        <v>2</v>
      </c>
      <c r="I1748" s="1063">
        <v>0.375</v>
      </c>
      <c r="J1748" s="1063">
        <v>0.3888888888888889</v>
      </c>
      <c r="K1748" s="417">
        <f t="shared" si="45"/>
        <v>0.66666666666666696</v>
      </c>
      <c r="L1748" s="17">
        <v>46165</v>
      </c>
      <c r="M1748" s="1286" t="s">
        <v>1754</v>
      </c>
      <c r="N1748" s="1262" t="s">
        <v>1732</v>
      </c>
    </row>
    <row r="1749" spans="2:17" ht="25.15" customHeight="1">
      <c r="B1749" s="1292" t="s">
        <v>1760</v>
      </c>
      <c r="D1749" s="1293" t="s">
        <v>1761</v>
      </c>
      <c r="F1749" s="821">
        <v>20</v>
      </c>
      <c r="G1749" s="179"/>
      <c r="H1749" s="832">
        <v>2</v>
      </c>
      <c r="I1749" s="1063">
        <v>0.375</v>
      </c>
      <c r="J1749" s="1063">
        <v>0.40277777777777773</v>
      </c>
      <c r="K1749" s="417">
        <f t="shared" si="45"/>
        <v>1.3333333333333313</v>
      </c>
      <c r="L1749" s="17">
        <v>46172</v>
      </c>
      <c r="M1749" s="1294" t="s">
        <v>1762</v>
      </c>
      <c r="N1749" s="1262" t="s">
        <v>1732</v>
      </c>
    </row>
    <row r="1750" spans="2:17" ht="25.15" customHeight="1">
      <c r="B1750" s="1296" t="s">
        <v>1673</v>
      </c>
      <c r="C1750" s="1296" t="s">
        <v>1764</v>
      </c>
      <c r="D1750" s="1297" t="s">
        <v>67</v>
      </c>
      <c r="F1750" s="821">
        <v>80</v>
      </c>
      <c r="G1750" s="179"/>
      <c r="H1750" s="832">
        <v>2</v>
      </c>
      <c r="I1750" s="1063">
        <v>0.375</v>
      </c>
      <c r="J1750" s="1063">
        <v>0.4375</v>
      </c>
      <c r="K1750" s="417">
        <f t="shared" si="45"/>
        <v>3</v>
      </c>
      <c r="L1750" s="17">
        <v>46179</v>
      </c>
      <c r="M1750" s="1295" t="s">
        <v>1763</v>
      </c>
    </row>
    <row r="1751" spans="2:17" ht="25.15" hidden="1" customHeight="1">
      <c r="B1751" s="1296" t="s">
        <v>1719</v>
      </c>
      <c r="C1751" s="1296" t="s">
        <v>1764</v>
      </c>
      <c r="D1751" s="1297" t="s">
        <v>67</v>
      </c>
      <c r="F1751" s="821">
        <v>80</v>
      </c>
      <c r="G1751" s="179"/>
      <c r="I1751" s="1063">
        <v>0</v>
      </c>
      <c r="J1751" s="1063">
        <v>0</v>
      </c>
      <c r="K1751" s="417">
        <f t="shared" si="45"/>
        <v>0</v>
      </c>
      <c r="L1751" s="17">
        <v>46179</v>
      </c>
      <c r="M1751" s="1295" t="s">
        <v>1763</v>
      </c>
    </row>
    <row r="1752" spans="2:17" ht="25.15" hidden="1" customHeight="1">
      <c r="B1752" s="1296" t="s">
        <v>1738</v>
      </c>
      <c r="C1752" s="1296" t="s">
        <v>1765</v>
      </c>
      <c r="D1752" s="1297" t="s">
        <v>1766</v>
      </c>
      <c r="F1752" s="821">
        <v>36</v>
      </c>
      <c r="G1752" s="179"/>
      <c r="I1752" s="1063">
        <v>0</v>
      </c>
      <c r="J1752" s="1063">
        <v>0</v>
      </c>
      <c r="K1752" s="417">
        <f t="shared" si="45"/>
        <v>0</v>
      </c>
      <c r="L1752" s="17">
        <v>46179</v>
      </c>
      <c r="M1752" s="1295" t="s">
        <v>1763</v>
      </c>
    </row>
    <row r="1753" spans="2:17" ht="25.15" customHeight="1">
      <c r="B1753" s="1299" t="s">
        <v>1767</v>
      </c>
      <c r="C1753" s="1262" t="s">
        <v>1732</v>
      </c>
      <c r="D1753" s="1299" t="s">
        <v>1768</v>
      </c>
      <c r="F1753" s="821">
        <v>13</v>
      </c>
      <c r="G1753" s="179"/>
      <c r="H1753" s="832">
        <v>2</v>
      </c>
      <c r="I1753" s="1063">
        <v>0.33333333333333331</v>
      </c>
      <c r="J1753" s="1063">
        <v>0.34722222222222227</v>
      </c>
      <c r="K1753" s="417">
        <f t="shared" si="45"/>
        <v>0.66666666666666963</v>
      </c>
      <c r="L1753" s="17">
        <v>46183</v>
      </c>
      <c r="M1753" s="1300" t="s">
        <v>1769</v>
      </c>
      <c r="N1753" s="1262" t="s">
        <v>1732</v>
      </c>
    </row>
    <row r="1754" spans="2:17" ht="25.15" customHeight="1">
      <c r="B1754" s="1299" t="s">
        <v>1770</v>
      </c>
      <c r="C1754" s="1299" t="s">
        <v>1364</v>
      </c>
      <c r="D1754" s="1301" t="s">
        <v>1646</v>
      </c>
      <c r="F1754" s="821">
        <v>20</v>
      </c>
      <c r="G1754" s="179"/>
      <c r="H1754" s="832">
        <v>2</v>
      </c>
      <c r="I1754" s="1063">
        <v>0.375</v>
      </c>
      <c r="J1754" s="1063">
        <v>0.40972222222222227</v>
      </c>
      <c r="K1754" s="417">
        <f t="shared" si="45"/>
        <v>1.6666666666666687</v>
      </c>
      <c r="L1754" s="17">
        <v>46183</v>
      </c>
      <c r="M1754" s="1300" t="s">
        <v>1769</v>
      </c>
      <c r="N1754" s="1299" t="s">
        <v>1184</v>
      </c>
    </row>
    <row r="1755" spans="2:17" ht="25.15" customHeight="1">
      <c r="B1755" s="1299" t="s">
        <v>1724</v>
      </c>
      <c r="C1755" s="1299" t="s">
        <v>1642</v>
      </c>
      <c r="D1755" s="1301" t="s">
        <v>1771</v>
      </c>
      <c r="F1755" s="821">
        <v>20</v>
      </c>
      <c r="G1755" s="179"/>
      <c r="H1755" s="832">
        <v>2</v>
      </c>
      <c r="I1755" s="1302">
        <v>0.45833333333333331</v>
      </c>
      <c r="J1755" s="1063">
        <v>0.46875</v>
      </c>
      <c r="K1755" s="417">
        <f t="shared" si="45"/>
        <v>0.50000000000000089</v>
      </c>
      <c r="L1755" s="17">
        <v>46183</v>
      </c>
      <c r="M1755" s="1300" t="s">
        <v>1769</v>
      </c>
      <c r="N1755" s="1299" t="s">
        <v>185</v>
      </c>
    </row>
    <row r="1756" spans="2:17" ht="25.15" hidden="1" customHeight="1">
      <c r="B1756" s="1303" t="s">
        <v>1772</v>
      </c>
      <c r="C1756" s="1299" t="s">
        <v>1364</v>
      </c>
      <c r="D1756" s="1301" t="s">
        <v>1646</v>
      </c>
      <c r="F1756" s="821">
        <v>20</v>
      </c>
      <c r="G1756" s="179"/>
      <c r="H1756" s="832">
        <v>2</v>
      </c>
      <c r="I1756" s="1063">
        <v>0.375</v>
      </c>
      <c r="J1756" s="1304">
        <v>0.40069444444444446</v>
      </c>
      <c r="K1756" s="417">
        <f t="shared" si="45"/>
        <v>1.2333333333333343</v>
      </c>
      <c r="L1756" s="17">
        <v>46185</v>
      </c>
      <c r="M1756" s="1300" t="s">
        <v>1769</v>
      </c>
      <c r="N1756" s="1299" t="s">
        <v>1184</v>
      </c>
    </row>
    <row r="1757" spans="2:17" ht="25.15" customHeight="1">
      <c r="B1757" s="1303" t="s">
        <v>1666</v>
      </c>
      <c r="C1757" s="1299" t="s">
        <v>1364</v>
      </c>
      <c r="D1757" s="1301" t="s">
        <v>1646</v>
      </c>
      <c r="F1757" s="821">
        <v>100</v>
      </c>
      <c r="G1757" s="179"/>
      <c r="H1757" s="832">
        <v>2</v>
      </c>
      <c r="I1757" s="1063">
        <v>0.41666666666666669</v>
      </c>
      <c r="J1757" s="1063">
        <v>0.44236111111111115</v>
      </c>
      <c r="K1757" s="417">
        <f t="shared" si="45"/>
        <v>1.2333333333333343</v>
      </c>
      <c r="L1757" s="17">
        <v>46186</v>
      </c>
      <c r="M1757" s="1300" t="s">
        <v>1769</v>
      </c>
      <c r="N1757" s="1299" t="s">
        <v>1184</v>
      </c>
    </row>
    <row r="1758" spans="2:17" ht="25.15" customHeight="1">
      <c r="B1758" s="1303" t="s">
        <v>1674</v>
      </c>
      <c r="C1758" s="1299" t="s">
        <v>1364</v>
      </c>
      <c r="D1758" s="1301" t="s">
        <v>1646</v>
      </c>
      <c r="F1758" s="821">
        <v>100</v>
      </c>
      <c r="G1758" s="179"/>
      <c r="H1758" s="832">
        <v>2</v>
      </c>
      <c r="I1758" s="1063">
        <v>0.33333333333333331</v>
      </c>
      <c r="J1758" s="1304">
        <v>0.375</v>
      </c>
      <c r="K1758" s="417">
        <f t="shared" si="45"/>
        <v>2.0000000000000009</v>
      </c>
      <c r="L1758" s="17">
        <v>46186</v>
      </c>
      <c r="M1758" s="1300" t="s">
        <v>1769</v>
      </c>
      <c r="N1758" s="1299" t="s">
        <v>1184</v>
      </c>
      <c r="Q1758" s="40">
        <f>240/60</f>
        <v>4</v>
      </c>
    </row>
    <row r="1759" spans="2:17" ht="25.15" hidden="1" customHeight="1">
      <c r="B1759" s="1303" t="s">
        <v>1674</v>
      </c>
      <c r="C1759" s="1305" t="s">
        <v>1773</v>
      </c>
      <c r="D1759" s="1306" t="s">
        <v>1774</v>
      </c>
      <c r="F1759" s="821">
        <v>50</v>
      </c>
      <c r="G1759" s="179"/>
      <c r="H1759" s="832">
        <v>2</v>
      </c>
      <c r="I1759" s="1063">
        <v>0.33333333333333331</v>
      </c>
      <c r="J1759" s="1063">
        <v>0.41666666666666669</v>
      </c>
      <c r="K1759" s="417">
        <f t="shared" si="45"/>
        <v>4.0000000000000018</v>
      </c>
      <c r="L1759" s="17">
        <v>46186</v>
      </c>
      <c r="M1759" s="1300" t="s">
        <v>1769</v>
      </c>
      <c r="N1759" s="1303" t="s">
        <v>653</v>
      </c>
      <c r="O1759" s="1307" t="s">
        <v>1775</v>
      </c>
    </row>
    <row r="1760" spans="2:17" ht="25.15" hidden="1" customHeight="1">
      <c r="B1760" s="1303" t="s">
        <v>1719</v>
      </c>
      <c r="C1760" s="1305" t="s">
        <v>1773</v>
      </c>
      <c r="D1760" s="1306" t="s">
        <v>1774</v>
      </c>
      <c r="F1760" s="821">
        <v>50</v>
      </c>
      <c r="G1760" s="179"/>
      <c r="H1760" s="832">
        <v>2</v>
      </c>
      <c r="I1760" s="1298">
        <v>0.33333333333333331</v>
      </c>
      <c r="J1760" s="1298">
        <v>0.41666666666666669</v>
      </c>
      <c r="K1760" s="417">
        <f t="shared" si="45"/>
        <v>4.0000000000000018</v>
      </c>
      <c r="L1760" s="17">
        <v>46186</v>
      </c>
      <c r="M1760" s="1300" t="s">
        <v>1769</v>
      </c>
      <c r="N1760" s="1303" t="s">
        <v>653</v>
      </c>
      <c r="O1760" s="1307" t="s">
        <v>1775</v>
      </c>
    </row>
    <row r="1761" spans="2:15" ht="25.15" hidden="1" customHeight="1">
      <c r="B1761" s="1309" t="s">
        <v>1753</v>
      </c>
      <c r="C1761" s="1299" t="s">
        <v>1364</v>
      </c>
      <c r="D1761" s="1301" t="s">
        <v>1646</v>
      </c>
      <c r="F1761" s="821">
        <v>30</v>
      </c>
      <c r="G1761" s="179"/>
      <c r="H1761" s="832">
        <v>1</v>
      </c>
      <c r="I1761" s="1063">
        <v>0.375</v>
      </c>
      <c r="J1761" s="1063">
        <v>0.3923611111111111</v>
      </c>
      <c r="K1761" s="417">
        <f t="shared" si="45"/>
        <v>0.41666666666666652</v>
      </c>
      <c r="L1761" s="17">
        <v>46190</v>
      </c>
      <c r="M1761" s="1310" t="s">
        <v>1776</v>
      </c>
      <c r="N1761" s="1299" t="s">
        <v>1184</v>
      </c>
    </row>
    <row r="1762" spans="2:15" ht="25.15" hidden="1" customHeight="1">
      <c r="B1762" s="1309" t="s">
        <v>1669</v>
      </c>
      <c r="C1762" s="1299" t="s">
        <v>1364</v>
      </c>
      <c r="D1762" s="1301" t="s">
        <v>1646</v>
      </c>
      <c r="F1762" s="821">
        <v>20</v>
      </c>
      <c r="G1762" s="179"/>
      <c r="H1762" s="832">
        <v>1</v>
      </c>
      <c r="I1762" s="1308">
        <v>0.375</v>
      </c>
      <c r="J1762" s="1308">
        <v>0.3923611111111111</v>
      </c>
      <c r="K1762" s="417">
        <f t="shared" si="45"/>
        <v>0.41666666666666652</v>
      </c>
      <c r="L1762" s="17">
        <v>46190</v>
      </c>
      <c r="M1762" s="1310" t="s">
        <v>1776</v>
      </c>
      <c r="N1762" s="1299" t="s">
        <v>1184</v>
      </c>
    </row>
    <row r="1763" spans="2:15" ht="25.15" hidden="1" customHeight="1">
      <c r="B1763" s="1312" t="s">
        <v>1757</v>
      </c>
      <c r="C1763" s="1299" t="s">
        <v>1364</v>
      </c>
      <c r="D1763" s="1301" t="s">
        <v>1646</v>
      </c>
      <c r="F1763" s="821">
        <v>60</v>
      </c>
      <c r="G1763" s="179"/>
      <c r="H1763" s="832">
        <v>1</v>
      </c>
      <c r="I1763" s="1063">
        <v>0.375</v>
      </c>
      <c r="J1763" s="1063">
        <v>0.5</v>
      </c>
      <c r="K1763" s="417">
        <f t="shared" si="45"/>
        <v>3</v>
      </c>
      <c r="L1763" s="17">
        <v>46199</v>
      </c>
      <c r="M1763" s="1313" t="s">
        <v>1777</v>
      </c>
      <c r="N1763" s="1299" t="s">
        <v>1184</v>
      </c>
      <c r="O1763" s="1314" t="s">
        <v>1758</v>
      </c>
    </row>
    <row r="1764" spans="2:15" ht="25.15" hidden="1" customHeight="1">
      <c r="B1764" s="1312" t="s">
        <v>1720</v>
      </c>
      <c r="C1764" s="1299" t="s">
        <v>1364</v>
      </c>
      <c r="D1764" s="1301" t="s">
        <v>1646</v>
      </c>
      <c r="F1764" s="821">
        <v>60</v>
      </c>
      <c r="G1764" s="179"/>
      <c r="H1764" s="832">
        <v>1</v>
      </c>
      <c r="I1764" s="1311">
        <v>0.375</v>
      </c>
      <c r="J1764" s="1311">
        <v>0.5</v>
      </c>
      <c r="K1764" s="417">
        <f t="shared" si="45"/>
        <v>3</v>
      </c>
      <c r="L1764" s="17">
        <v>46199</v>
      </c>
      <c r="M1764" s="1313" t="s">
        <v>1777</v>
      </c>
      <c r="N1764" s="1299" t="s">
        <v>1184</v>
      </c>
    </row>
    <row r="1765" spans="2:15" ht="25.15" hidden="1" customHeight="1">
      <c r="B1765" s="1315" t="s">
        <v>1724</v>
      </c>
      <c r="C1765" s="1299" t="s">
        <v>1364</v>
      </c>
      <c r="D1765" s="1301" t="s">
        <v>1646</v>
      </c>
      <c r="F1765" s="821">
        <v>30</v>
      </c>
      <c r="G1765" s="179"/>
      <c r="H1765" s="832">
        <v>1</v>
      </c>
      <c r="I1765" s="1063">
        <v>0.375</v>
      </c>
      <c r="J1765" s="1063">
        <v>0.41666666666666669</v>
      </c>
      <c r="K1765" s="417">
        <f t="shared" si="45"/>
        <v>1.0000000000000004</v>
      </c>
      <c r="L1765" s="17">
        <v>46202</v>
      </c>
      <c r="M1765" s="1316" t="s">
        <v>1778</v>
      </c>
      <c r="N1765" s="1299" t="s">
        <v>1184</v>
      </c>
    </row>
    <row r="1766" spans="2:15" ht="25.15" customHeight="1">
      <c r="B1766" s="1317" t="s">
        <v>1666</v>
      </c>
      <c r="C1766" s="1299" t="s">
        <v>1642</v>
      </c>
      <c r="D1766" s="1262" t="s">
        <v>1732</v>
      </c>
      <c r="F1766" s="821">
        <v>59</v>
      </c>
      <c r="G1766" s="179"/>
      <c r="H1766" s="1344">
        <v>2</v>
      </c>
      <c r="I1766" s="1341">
        <v>0.41666666666666669</v>
      </c>
      <c r="J1766" s="1335">
        <v>0.4513888888888889</v>
      </c>
      <c r="K1766" s="1338">
        <f t="shared" si="45"/>
        <v>1.6666666666666661</v>
      </c>
      <c r="L1766" s="17">
        <v>46205</v>
      </c>
      <c r="M1766" s="1316" t="s">
        <v>1778</v>
      </c>
      <c r="N1766" s="1262" t="s">
        <v>1732</v>
      </c>
    </row>
    <row r="1767" spans="2:15" ht="25.15" customHeight="1">
      <c r="B1767" s="1317" t="s">
        <v>1779</v>
      </c>
      <c r="C1767" s="1299" t="s">
        <v>1642</v>
      </c>
      <c r="D1767" s="1262" t="s">
        <v>1732</v>
      </c>
      <c r="F1767" s="821">
        <v>63</v>
      </c>
      <c r="G1767" s="179"/>
      <c r="H1767" s="1345"/>
      <c r="I1767" s="1342"/>
      <c r="J1767" s="1336"/>
      <c r="K1767" s="1339"/>
      <c r="L1767" s="17">
        <v>46205</v>
      </c>
      <c r="M1767" s="1316" t="s">
        <v>1778</v>
      </c>
      <c r="N1767" s="1262" t="s">
        <v>1732</v>
      </c>
    </row>
    <row r="1768" spans="2:15" ht="25.15" customHeight="1">
      <c r="B1768" s="1317" t="s">
        <v>1669</v>
      </c>
      <c r="C1768" s="1299" t="s">
        <v>1642</v>
      </c>
      <c r="D1768" s="1262" t="s">
        <v>1732</v>
      </c>
      <c r="F1768" s="821">
        <v>32</v>
      </c>
      <c r="G1768" s="179"/>
      <c r="H1768" s="1345"/>
      <c r="I1768" s="1342"/>
      <c r="J1768" s="1336"/>
      <c r="K1768" s="1339"/>
      <c r="L1768" s="17">
        <v>46205</v>
      </c>
      <c r="M1768" s="1316" t="s">
        <v>1778</v>
      </c>
      <c r="N1768" s="1262" t="s">
        <v>1732</v>
      </c>
    </row>
    <row r="1769" spans="2:15" ht="25.15" hidden="1" customHeight="1">
      <c r="B1769" s="1317" t="s">
        <v>1672</v>
      </c>
      <c r="C1769" s="1299" t="s">
        <v>1642</v>
      </c>
      <c r="D1769" s="1262" t="s">
        <v>1732</v>
      </c>
      <c r="F1769" s="821">
        <v>4</v>
      </c>
      <c r="G1769" s="179"/>
      <c r="H1769" s="1346"/>
      <c r="I1769" s="1343"/>
      <c r="J1769" s="1337"/>
      <c r="K1769" s="1340"/>
      <c r="L1769" s="17">
        <v>46205</v>
      </c>
      <c r="M1769" s="1316" t="s">
        <v>1778</v>
      </c>
      <c r="N1769" s="1262" t="s">
        <v>1732</v>
      </c>
    </row>
    <row r="1770" spans="2:15" ht="25.15" hidden="1" customHeight="1">
      <c r="B1770" s="1318" t="s">
        <v>1781</v>
      </c>
      <c r="C1770" s="1318" t="s">
        <v>1780</v>
      </c>
      <c r="D1770" s="1319" t="s">
        <v>244</v>
      </c>
      <c r="F1770" s="821">
        <v>16</v>
      </c>
      <c r="G1770" s="179"/>
      <c r="H1770" s="832">
        <v>1</v>
      </c>
      <c r="I1770" s="1063">
        <v>0.33333333333333331</v>
      </c>
      <c r="J1770" s="1063">
        <v>0.36458333333333331</v>
      </c>
      <c r="K1770" s="417">
        <f t="shared" si="45"/>
        <v>0.75</v>
      </c>
      <c r="L1770" s="17">
        <v>46180</v>
      </c>
      <c r="M1770" s="1320" t="s">
        <v>1782</v>
      </c>
      <c r="N1770" s="1318" t="s">
        <v>1608</v>
      </c>
    </row>
    <row r="1771" spans="2:15" ht="25.15" hidden="1" customHeight="1">
      <c r="B1771" s="1322" t="s">
        <v>1668</v>
      </c>
      <c r="C1771" s="1299" t="s">
        <v>1364</v>
      </c>
      <c r="D1771" s="1301" t="s">
        <v>1646</v>
      </c>
      <c r="F1771" s="821">
        <v>100</v>
      </c>
      <c r="G1771" s="179"/>
      <c r="H1771" s="832">
        <v>2</v>
      </c>
      <c r="I1771" s="1063">
        <v>0.375</v>
      </c>
      <c r="J1771" s="1063">
        <v>0.41666666666666669</v>
      </c>
      <c r="K1771" s="417">
        <f t="shared" si="45"/>
        <v>2.0000000000000009</v>
      </c>
      <c r="L1771" s="17">
        <v>46216</v>
      </c>
      <c r="M1771" s="1321" t="s">
        <v>1783</v>
      </c>
      <c r="N1771" s="1322" t="s">
        <v>1184</v>
      </c>
    </row>
    <row r="1772" spans="2:15" ht="25.15" hidden="1" customHeight="1">
      <c r="B1772" s="1322" t="s">
        <v>1699</v>
      </c>
      <c r="C1772" s="1299" t="s">
        <v>1364</v>
      </c>
      <c r="D1772" s="1301" t="s">
        <v>1646</v>
      </c>
      <c r="F1772" s="821">
        <v>30</v>
      </c>
      <c r="G1772" s="179"/>
      <c r="H1772" s="832">
        <v>2</v>
      </c>
      <c r="I1772" s="1063">
        <v>0.375</v>
      </c>
      <c r="J1772" s="1323">
        <v>0.39583333333333331</v>
      </c>
      <c r="K1772" s="417">
        <f t="shared" si="45"/>
        <v>0.99999999999999911</v>
      </c>
      <c r="L1772" s="17">
        <v>46216</v>
      </c>
      <c r="M1772" s="1321" t="s">
        <v>1783</v>
      </c>
      <c r="N1772" s="1322" t="s">
        <v>1184</v>
      </c>
    </row>
    <row r="1773" spans="2:15" ht="25.15" customHeight="1">
      <c r="B1773" s="1322" t="s">
        <v>1707</v>
      </c>
      <c r="C1773" s="1299" t="s">
        <v>1364</v>
      </c>
      <c r="D1773" s="1301" t="s">
        <v>1646</v>
      </c>
      <c r="F1773" s="821">
        <v>80</v>
      </c>
      <c r="G1773" s="179"/>
      <c r="H1773" s="1332">
        <v>4</v>
      </c>
      <c r="I1773" s="1335">
        <v>0.33333333333333331</v>
      </c>
      <c r="J1773" s="1335">
        <v>0.45833333333333331</v>
      </c>
      <c r="K1773" s="1338">
        <f t="shared" si="45"/>
        <v>12</v>
      </c>
      <c r="L1773" s="17">
        <v>46226</v>
      </c>
      <c r="M1773" s="1321" t="s">
        <v>1783</v>
      </c>
      <c r="N1773" s="1322" t="s">
        <v>1184</v>
      </c>
    </row>
    <row r="1774" spans="2:15" ht="25.15" customHeight="1">
      <c r="B1774" s="1322" t="s">
        <v>1666</v>
      </c>
      <c r="C1774" s="1299" t="s">
        <v>1364</v>
      </c>
      <c r="D1774" s="1301" t="s">
        <v>1646</v>
      </c>
      <c r="F1774" s="821">
        <v>60</v>
      </c>
      <c r="G1774" s="179"/>
      <c r="H1774" s="1333"/>
      <c r="I1774" s="1336"/>
      <c r="J1774" s="1336"/>
      <c r="K1774" s="1339"/>
      <c r="L1774" s="17">
        <v>46226</v>
      </c>
      <c r="M1774" s="1321" t="s">
        <v>1783</v>
      </c>
      <c r="N1774" s="1322" t="s">
        <v>1184</v>
      </c>
    </row>
    <row r="1775" spans="2:15" ht="25.15" customHeight="1">
      <c r="B1775" s="1322" t="s">
        <v>1669</v>
      </c>
      <c r="C1775" s="1299" t="s">
        <v>1364</v>
      </c>
      <c r="D1775" s="1301" t="s">
        <v>1646</v>
      </c>
      <c r="F1775" s="821">
        <v>60</v>
      </c>
      <c r="G1775" s="179"/>
      <c r="H1775" s="1333"/>
      <c r="I1775" s="1336"/>
      <c r="J1775" s="1336"/>
      <c r="K1775" s="1339"/>
      <c r="L1775" s="17">
        <v>46226</v>
      </c>
      <c r="M1775" s="1321" t="s">
        <v>1783</v>
      </c>
      <c r="N1775" s="1322" t="s">
        <v>1184</v>
      </c>
    </row>
    <row r="1776" spans="2:15" ht="25.15" customHeight="1">
      <c r="B1776" s="1322" t="s">
        <v>1672</v>
      </c>
      <c r="C1776" s="1299" t="s">
        <v>1364</v>
      </c>
      <c r="D1776" s="1301" t="s">
        <v>1646</v>
      </c>
      <c r="F1776" s="821">
        <v>60</v>
      </c>
      <c r="G1776" s="179"/>
      <c r="H1776" s="1333"/>
      <c r="I1776" s="1336"/>
      <c r="J1776" s="1336"/>
      <c r="K1776" s="1339"/>
      <c r="L1776" s="17">
        <v>46226</v>
      </c>
      <c r="M1776" s="1321" t="s">
        <v>1783</v>
      </c>
      <c r="N1776" s="1322" t="s">
        <v>1184</v>
      </c>
    </row>
    <row r="1777" spans="2:14" ht="25.15" customHeight="1">
      <c r="B1777" s="1322" t="s">
        <v>1679</v>
      </c>
      <c r="C1777" s="1299" t="s">
        <v>1364</v>
      </c>
      <c r="D1777" s="1301" t="s">
        <v>1646</v>
      </c>
      <c r="F1777" s="821">
        <v>60</v>
      </c>
      <c r="G1777" s="179"/>
      <c r="H1777" s="1334"/>
      <c r="I1777" s="1337"/>
      <c r="J1777" s="1337"/>
      <c r="K1777" s="1340"/>
      <c r="L1777" s="17">
        <v>46226</v>
      </c>
      <c r="M1777" s="1321" t="s">
        <v>1783</v>
      </c>
      <c r="N1777" s="1322" t="s">
        <v>1184</v>
      </c>
    </row>
    <row r="1778" spans="2:14" ht="25.15" customHeight="1">
      <c r="B1778" s="1322" t="s">
        <v>1668</v>
      </c>
      <c r="C1778" s="1299" t="s">
        <v>1642</v>
      </c>
      <c r="D1778" s="1262" t="s">
        <v>1732</v>
      </c>
      <c r="F1778" s="821">
        <v>40</v>
      </c>
      <c r="G1778" s="179"/>
      <c r="H1778" s="1344">
        <v>4</v>
      </c>
      <c r="I1778" s="1341">
        <v>0.375</v>
      </c>
      <c r="J1778" s="1335">
        <v>0.44444444444444442</v>
      </c>
      <c r="K1778" s="1338">
        <f t="shared" si="45"/>
        <v>6.6666666666666643</v>
      </c>
      <c r="L1778" s="17">
        <v>46226</v>
      </c>
      <c r="M1778" s="1321" t="s">
        <v>1783</v>
      </c>
      <c r="N1778" s="1262" t="s">
        <v>1732</v>
      </c>
    </row>
    <row r="1779" spans="2:14" ht="25.15" hidden="1" customHeight="1">
      <c r="B1779" s="1322" t="s">
        <v>1745</v>
      </c>
      <c r="C1779" s="1299" t="s">
        <v>1642</v>
      </c>
      <c r="D1779" s="1262" t="s">
        <v>1732</v>
      </c>
      <c r="F1779" s="821">
        <v>40</v>
      </c>
      <c r="G1779" s="179"/>
      <c r="H1779" s="1345"/>
      <c r="I1779" s="1342"/>
      <c r="J1779" s="1336"/>
      <c r="K1779" s="1339"/>
      <c r="L1779" s="17">
        <v>46226</v>
      </c>
      <c r="M1779" s="1321" t="s">
        <v>1783</v>
      </c>
      <c r="N1779" s="1262" t="s">
        <v>1732</v>
      </c>
    </row>
    <row r="1780" spans="2:14" ht="25.15" hidden="1" customHeight="1">
      <c r="B1780" s="1322" t="s">
        <v>1784</v>
      </c>
      <c r="C1780" s="1299" t="s">
        <v>1642</v>
      </c>
      <c r="D1780" s="1262" t="s">
        <v>1732</v>
      </c>
      <c r="F1780" s="821">
        <v>15</v>
      </c>
      <c r="G1780" s="179"/>
      <c r="H1780" s="1346"/>
      <c r="I1780" s="1343"/>
      <c r="J1780" s="1337"/>
      <c r="K1780" s="1340"/>
      <c r="L1780" s="17">
        <v>46226</v>
      </c>
      <c r="M1780" s="1321" t="s">
        <v>1783</v>
      </c>
      <c r="N1780" s="1262" t="s">
        <v>1732</v>
      </c>
    </row>
    <row r="1781" spans="2:14" ht="25.15" customHeight="1">
      <c r="B1781" s="1317" t="s">
        <v>1666</v>
      </c>
      <c r="C1781" s="1299" t="s">
        <v>1642</v>
      </c>
      <c r="D1781" s="1301" t="s">
        <v>1646</v>
      </c>
      <c r="F1781" s="821">
        <v>200</v>
      </c>
      <c r="G1781" s="179"/>
      <c r="H1781" s="1344">
        <v>3</v>
      </c>
      <c r="I1781" s="1341">
        <v>0.375</v>
      </c>
      <c r="J1781" s="1377">
        <v>0.4375</v>
      </c>
      <c r="K1781" s="1191">
        <f t="shared" si="45"/>
        <v>4.5</v>
      </c>
      <c r="L1781" s="1330">
        <v>46236</v>
      </c>
      <c r="M1781" s="1328" t="s">
        <v>1785</v>
      </c>
      <c r="N1781" s="1322" t="s">
        <v>1184</v>
      </c>
    </row>
    <row r="1782" spans="2:14" ht="25.15" customHeight="1">
      <c r="B1782" s="294" t="s">
        <v>1679</v>
      </c>
      <c r="C1782" s="1299" t="s">
        <v>1642</v>
      </c>
      <c r="D1782" s="1301" t="s">
        <v>1646</v>
      </c>
      <c r="F1782" s="821">
        <v>100</v>
      </c>
      <c r="G1782" s="179"/>
      <c r="H1782" s="1346"/>
      <c r="I1782" s="1343"/>
      <c r="J1782" s="1378"/>
      <c r="K1782" s="1192"/>
      <c r="L1782" s="1331"/>
      <c r="M1782" s="1329"/>
      <c r="N1782" s="1322" t="s">
        <v>1184</v>
      </c>
    </row>
    <row r="1783" spans="2:14" ht="25.15" customHeight="1">
      <c r="B1783" s="1322" t="s">
        <v>1699</v>
      </c>
      <c r="C1783" s="1299" t="s">
        <v>1642</v>
      </c>
      <c r="D1783" s="1301" t="s">
        <v>1646</v>
      </c>
      <c r="F1783" s="821">
        <v>100</v>
      </c>
      <c r="G1783" s="179"/>
      <c r="H1783" s="832">
        <v>2</v>
      </c>
      <c r="I1783" s="1063">
        <v>0.33333333333333331</v>
      </c>
      <c r="J1783" s="1063">
        <v>0.41666666666666669</v>
      </c>
      <c r="K1783" s="417">
        <f t="shared" si="45"/>
        <v>4.0000000000000018</v>
      </c>
      <c r="L1783" s="17">
        <v>46236</v>
      </c>
      <c r="M1783" s="1322" t="s">
        <v>1786</v>
      </c>
      <c r="N1783" s="1322" t="s">
        <v>1184</v>
      </c>
    </row>
    <row r="1784" spans="2:14" ht="25.15" hidden="1" customHeight="1">
      <c r="C1784" s="1322" t="s">
        <v>1787</v>
      </c>
      <c r="D1784" s="1324" t="s">
        <v>1148</v>
      </c>
      <c r="F1784" s="821">
        <v>26</v>
      </c>
      <c r="G1784" s="179"/>
      <c r="H1784" s="832">
        <v>2</v>
      </c>
      <c r="I1784" s="1063">
        <v>0.54166666666666663</v>
      </c>
      <c r="J1784" s="1063">
        <v>0.5625</v>
      </c>
      <c r="K1784" s="417">
        <f t="shared" si="45"/>
        <v>1.0000000000000018</v>
      </c>
      <c r="L1784" s="17">
        <v>46236</v>
      </c>
      <c r="M1784" s="1322" t="s">
        <v>1786</v>
      </c>
      <c r="N1784" s="1322" t="s">
        <v>1788</v>
      </c>
    </row>
    <row r="1785" spans="2:14" ht="25.15" customHeight="1">
      <c r="B1785" s="294" t="s">
        <v>1679</v>
      </c>
      <c r="C1785" s="1299" t="s">
        <v>1642</v>
      </c>
      <c r="D1785" s="1301" t="s">
        <v>1646</v>
      </c>
      <c r="F1785" s="821">
        <v>24</v>
      </c>
      <c r="G1785" s="179"/>
      <c r="H1785" s="832">
        <v>2</v>
      </c>
      <c r="I1785" s="1063">
        <v>0.33333333333333331</v>
      </c>
      <c r="J1785" s="1063">
        <v>0.375</v>
      </c>
      <c r="K1785" s="417">
        <f t="shared" si="45"/>
        <v>2.0000000000000009</v>
      </c>
      <c r="L1785" s="17">
        <v>46242</v>
      </c>
      <c r="M1785" s="1322" t="s">
        <v>1790</v>
      </c>
      <c r="N1785" s="1322" t="s">
        <v>1184</v>
      </c>
    </row>
    <row r="1786" spans="2:14" ht="25.15" customHeight="1">
      <c r="B1786" s="1322" t="s">
        <v>1789</v>
      </c>
      <c r="C1786" s="1299" t="s">
        <v>1642</v>
      </c>
      <c r="D1786" s="1301" t="s">
        <v>1646</v>
      </c>
      <c r="F1786" s="821">
        <v>100</v>
      </c>
      <c r="G1786" s="179"/>
      <c r="I1786" s="1063">
        <v>0</v>
      </c>
      <c r="J1786" s="1063">
        <v>0</v>
      </c>
      <c r="K1786" s="417">
        <f t="shared" si="45"/>
        <v>0</v>
      </c>
      <c r="L1786" s="17">
        <v>46242</v>
      </c>
      <c r="M1786" s="1322" t="s">
        <v>1790</v>
      </c>
      <c r="N1786" s="1322" t="s">
        <v>1184</v>
      </c>
    </row>
    <row r="1787" spans="2:14" ht="25.15" customHeight="1">
      <c r="C1787" s="1322" t="s">
        <v>1791</v>
      </c>
      <c r="D1787" s="1324" t="s">
        <v>869</v>
      </c>
      <c r="F1787" s="821">
        <v>114</v>
      </c>
      <c r="G1787" s="179"/>
      <c r="H1787" s="832">
        <v>2</v>
      </c>
      <c r="I1787" s="1063">
        <v>0.41666666666666669</v>
      </c>
      <c r="J1787" s="1063">
        <v>0.5</v>
      </c>
      <c r="K1787" s="417">
        <f t="shared" si="45"/>
        <v>3.9999999999999991</v>
      </c>
      <c r="L1787" s="17">
        <v>46242</v>
      </c>
      <c r="M1787" s="1322" t="s">
        <v>1790</v>
      </c>
      <c r="N1787" s="1322" t="s">
        <v>185</v>
      </c>
    </row>
    <row r="1788" spans="2:14" ht="25.15" hidden="1" customHeight="1">
      <c r="B1788" s="1317" t="s">
        <v>1666</v>
      </c>
      <c r="C1788" s="1299" t="s">
        <v>1642</v>
      </c>
      <c r="D1788" s="1301" t="s">
        <v>1646</v>
      </c>
      <c r="F1788" s="821">
        <v>60</v>
      </c>
      <c r="G1788" s="179"/>
      <c r="H1788" s="832">
        <v>2</v>
      </c>
      <c r="I1788" s="1063">
        <v>0.29166666666666669</v>
      </c>
      <c r="J1788" s="1063">
        <v>0.35416666666666669</v>
      </c>
      <c r="K1788" s="417">
        <f t="shared" si="45"/>
        <v>3</v>
      </c>
      <c r="L1788" s="17">
        <v>46242</v>
      </c>
      <c r="M1788" s="1322" t="s">
        <v>1790</v>
      </c>
      <c r="N1788" s="1322" t="s">
        <v>1184</v>
      </c>
    </row>
    <row r="1789" spans="2:14" ht="25.15" hidden="1" customHeight="1">
      <c r="B1789" s="294" t="s">
        <v>1679</v>
      </c>
      <c r="C1789" s="1299" t="s">
        <v>1642</v>
      </c>
      <c r="D1789" s="1301" t="s">
        <v>1646</v>
      </c>
      <c r="F1789" s="821">
        <v>200</v>
      </c>
      <c r="G1789" s="179"/>
      <c r="I1789" s="1063">
        <v>0</v>
      </c>
      <c r="J1789" s="1063">
        <v>0</v>
      </c>
      <c r="K1789" s="417">
        <f t="shared" ref="K1789:K1824" si="47">(J1789-I1789)*24*H1789</f>
        <v>0</v>
      </c>
      <c r="L1789" s="17">
        <v>46242</v>
      </c>
      <c r="M1789" s="1322" t="s">
        <v>1790</v>
      </c>
      <c r="N1789" s="1322" t="s">
        <v>1184</v>
      </c>
    </row>
    <row r="1790" spans="2:14" ht="25.15" hidden="1" customHeight="1">
      <c r="C1790" s="1322" t="s">
        <v>1793</v>
      </c>
      <c r="D1790" s="1324" t="s">
        <v>1794</v>
      </c>
      <c r="F1790" s="821">
        <v>600</v>
      </c>
      <c r="G1790" s="179"/>
      <c r="H1790" s="832">
        <v>4</v>
      </c>
      <c r="I1790" s="1063">
        <v>0.29166666666666669</v>
      </c>
      <c r="J1790" s="1325">
        <v>0.5</v>
      </c>
      <c r="K1790" s="417">
        <f t="shared" si="47"/>
        <v>20</v>
      </c>
      <c r="L1790" s="17">
        <v>46246</v>
      </c>
      <c r="M1790" s="1322" t="s">
        <v>1792</v>
      </c>
      <c r="N1790" s="1322" t="s">
        <v>9</v>
      </c>
    </row>
    <row r="1791" spans="2:14" ht="25.15" hidden="1" customHeight="1">
      <c r="C1791" s="1322" t="s">
        <v>1795</v>
      </c>
      <c r="D1791" s="1324" t="s">
        <v>1796</v>
      </c>
      <c r="F1791" s="821">
        <v>50</v>
      </c>
      <c r="G1791" s="179"/>
      <c r="H1791" s="832">
        <v>2</v>
      </c>
      <c r="I1791" s="1063">
        <v>0.66666666666666663</v>
      </c>
      <c r="J1791" s="1063">
        <v>0.70833333333333337</v>
      </c>
      <c r="K1791" s="417">
        <f t="shared" si="47"/>
        <v>2.0000000000000036</v>
      </c>
      <c r="L1791" s="17">
        <v>46246</v>
      </c>
      <c r="M1791" s="1322" t="s">
        <v>1792</v>
      </c>
      <c r="N1791" s="1322" t="s">
        <v>9</v>
      </c>
    </row>
    <row r="1792" spans="2:14" ht="25.15" hidden="1" customHeight="1">
      <c r="B1792" s="1322" t="s">
        <v>1720</v>
      </c>
      <c r="C1792" s="1299" t="s">
        <v>1642</v>
      </c>
      <c r="D1792" s="1301" t="s">
        <v>1646</v>
      </c>
      <c r="F1792" s="821">
        <v>60</v>
      </c>
      <c r="G1792" s="179"/>
      <c r="H1792" s="1344">
        <v>2</v>
      </c>
      <c r="I1792" s="1341">
        <v>0.54166666666666663</v>
      </c>
      <c r="J1792" s="1335">
        <v>0.60416666666666663</v>
      </c>
      <c r="K1792" s="1338">
        <f t="shared" si="47"/>
        <v>3</v>
      </c>
      <c r="L1792" s="17">
        <v>46256</v>
      </c>
      <c r="M1792" s="1322" t="s">
        <v>1797</v>
      </c>
      <c r="N1792" s="1322" t="s">
        <v>1184</v>
      </c>
    </row>
    <row r="1793" spans="2:14" ht="25.15" hidden="1" customHeight="1">
      <c r="B1793" s="1322" t="s">
        <v>1757</v>
      </c>
      <c r="C1793" s="1299" t="s">
        <v>1642</v>
      </c>
      <c r="D1793" s="1301" t="s">
        <v>1646</v>
      </c>
      <c r="F1793" s="821">
        <v>60</v>
      </c>
      <c r="G1793" s="179"/>
      <c r="H1793" s="1346"/>
      <c r="I1793" s="1343"/>
      <c r="J1793" s="1337"/>
      <c r="K1793" s="1340"/>
      <c r="L1793" s="17">
        <v>46256</v>
      </c>
      <c r="M1793" s="1322" t="s">
        <v>1797</v>
      </c>
      <c r="N1793" s="1322" t="s">
        <v>1184</v>
      </c>
    </row>
    <row r="1794" spans="2:14" ht="25.15" customHeight="1">
      <c r="B1794" s="1322" t="s">
        <v>1799</v>
      </c>
      <c r="C1794" s="1299" t="s">
        <v>1642</v>
      </c>
      <c r="D1794" s="1301" t="s">
        <v>1646</v>
      </c>
      <c r="F1794" s="821">
        <v>100</v>
      </c>
      <c r="G1794" s="179"/>
      <c r="H1794" s="1332">
        <v>3</v>
      </c>
      <c r="I1794" s="1335">
        <v>0.375</v>
      </c>
      <c r="J1794" s="1335">
        <v>0.41666666666666669</v>
      </c>
      <c r="K1794" s="1338">
        <f t="shared" si="47"/>
        <v>3.0000000000000013</v>
      </c>
      <c r="L1794" s="17">
        <v>46277</v>
      </c>
      <c r="M1794" s="1322" t="s">
        <v>1798</v>
      </c>
      <c r="N1794" s="1322" t="s">
        <v>1184</v>
      </c>
    </row>
    <row r="1795" spans="2:14" ht="25.15" customHeight="1">
      <c r="B1795" s="1322" t="s">
        <v>1719</v>
      </c>
      <c r="C1795" s="1299" t="s">
        <v>1642</v>
      </c>
      <c r="D1795" s="1301" t="s">
        <v>1646</v>
      </c>
      <c r="F1795" s="821">
        <v>100</v>
      </c>
      <c r="G1795" s="179"/>
      <c r="H1795" s="1333"/>
      <c r="I1795" s="1336"/>
      <c r="J1795" s="1336"/>
      <c r="K1795" s="1339"/>
      <c r="L1795" s="17">
        <v>46277</v>
      </c>
      <c r="M1795" s="1322" t="s">
        <v>1798</v>
      </c>
      <c r="N1795" s="1322" t="s">
        <v>1184</v>
      </c>
    </row>
    <row r="1796" spans="2:14" ht="25.15" customHeight="1">
      <c r="B1796" s="1322" t="s">
        <v>1720</v>
      </c>
      <c r="C1796" s="1299" t="s">
        <v>1642</v>
      </c>
      <c r="D1796" s="1301" t="s">
        <v>1646</v>
      </c>
      <c r="F1796" s="821">
        <v>100</v>
      </c>
      <c r="G1796" s="179"/>
      <c r="H1796" s="1333"/>
      <c r="I1796" s="1336"/>
      <c r="J1796" s="1336"/>
      <c r="K1796" s="1339"/>
      <c r="L1796" s="17">
        <v>46277</v>
      </c>
      <c r="M1796" s="1322" t="s">
        <v>1798</v>
      </c>
      <c r="N1796" s="1322" t="s">
        <v>1184</v>
      </c>
    </row>
    <row r="1797" spans="2:14" ht="25.15" hidden="1" customHeight="1">
      <c r="B1797" s="1322" t="s">
        <v>1745</v>
      </c>
      <c r="C1797" s="1299" t="s">
        <v>1642</v>
      </c>
      <c r="D1797" s="1301" t="s">
        <v>1646</v>
      </c>
      <c r="F1797" s="821">
        <v>100</v>
      </c>
      <c r="G1797" s="179"/>
      <c r="H1797" s="1334"/>
      <c r="I1797" s="1337"/>
      <c r="J1797" s="1337"/>
      <c r="K1797" s="1340"/>
      <c r="L1797" s="17">
        <v>46277</v>
      </c>
      <c r="M1797" s="1322" t="s">
        <v>1798</v>
      </c>
      <c r="N1797" s="1322" t="s">
        <v>1184</v>
      </c>
    </row>
    <row r="1798" spans="2:14" ht="25.15" hidden="1" customHeight="1">
      <c r="B1798" s="1322" t="s">
        <v>1745</v>
      </c>
      <c r="C1798" s="1299" t="s">
        <v>1642</v>
      </c>
      <c r="D1798" s="1301" t="s">
        <v>1646</v>
      </c>
      <c r="F1798" s="821">
        <v>100</v>
      </c>
      <c r="G1798" s="179"/>
      <c r="H1798" s="832">
        <v>2</v>
      </c>
      <c r="I1798" s="1063">
        <v>0.41666666666666669</v>
      </c>
      <c r="J1798" s="1063">
        <v>0.44444444444444442</v>
      </c>
      <c r="K1798" s="417">
        <f t="shared" si="47"/>
        <v>1.3333333333333313</v>
      </c>
      <c r="L1798" s="17">
        <v>46277</v>
      </c>
      <c r="M1798" s="1322" t="s">
        <v>1798</v>
      </c>
      <c r="N1798" s="1322" t="s">
        <v>1184</v>
      </c>
    </row>
    <row r="1799" spans="2:14" ht="25.15" customHeight="1">
      <c r="B1799" s="1322" t="s">
        <v>1801</v>
      </c>
      <c r="C1799" s="1299" t="s">
        <v>1642</v>
      </c>
      <c r="D1799" s="1301" t="s">
        <v>1646</v>
      </c>
      <c r="F1799" s="821">
        <v>30</v>
      </c>
      <c r="G1799" s="179"/>
      <c r="H1799" s="832">
        <v>2</v>
      </c>
      <c r="I1799" s="1063">
        <v>0.33333333333333331</v>
      </c>
      <c r="J1799" s="1063">
        <v>0.39583333333333331</v>
      </c>
      <c r="K1799" s="417">
        <f t="shared" si="47"/>
        <v>3</v>
      </c>
      <c r="L1799" s="17">
        <v>46293</v>
      </c>
      <c r="M1799" s="1322" t="s">
        <v>1800</v>
      </c>
      <c r="N1799" s="1322" t="s">
        <v>1184</v>
      </c>
    </row>
    <row r="1800" spans="2:14" ht="25.15" customHeight="1">
      <c r="B1800" s="1322" t="s">
        <v>1669</v>
      </c>
      <c r="C1800" s="1299" t="s">
        <v>1642</v>
      </c>
      <c r="D1800" s="1301" t="s">
        <v>1646</v>
      </c>
      <c r="F1800" s="821">
        <v>200</v>
      </c>
      <c r="G1800" s="179"/>
      <c r="H1800" s="832">
        <v>2</v>
      </c>
      <c r="I1800" s="1063">
        <v>0.33333333333333331</v>
      </c>
      <c r="J1800" s="1063">
        <v>0.45833333333333331</v>
      </c>
      <c r="K1800" s="417">
        <f t="shared" si="47"/>
        <v>6</v>
      </c>
      <c r="L1800" s="17">
        <v>46293</v>
      </c>
      <c r="M1800" s="1322" t="s">
        <v>1800</v>
      </c>
      <c r="N1800" s="1322" t="s">
        <v>1184</v>
      </c>
    </row>
    <row r="1801" spans="2:14" ht="25.15" customHeight="1">
      <c r="B1801" s="1322" t="s">
        <v>1679</v>
      </c>
      <c r="C1801" s="1299" t="s">
        <v>1642</v>
      </c>
      <c r="D1801" s="1301" t="s">
        <v>1646</v>
      </c>
      <c r="F1801" s="821">
        <v>20</v>
      </c>
      <c r="G1801" s="179"/>
      <c r="H1801" s="832">
        <v>1</v>
      </c>
      <c r="I1801" s="1063">
        <v>0.375</v>
      </c>
      <c r="J1801" s="1063">
        <v>0.39583333333333331</v>
      </c>
      <c r="K1801" s="417">
        <f t="shared" si="47"/>
        <v>0.49999999999999956</v>
      </c>
      <c r="L1801" s="17">
        <v>46293</v>
      </c>
      <c r="M1801" s="1322" t="s">
        <v>1800</v>
      </c>
      <c r="N1801" s="1322" t="s">
        <v>1184</v>
      </c>
    </row>
    <row r="1802" spans="2:14" ht="25.15" customHeight="1">
      <c r="B1802" s="1322" t="s">
        <v>1802</v>
      </c>
      <c r="C1802" s="1299" t="s">
        <v>1642</v>
      </c>
      <c r="D1802" s="1301" t="s">
        <v>1646</v>
      </c>
      <c r="F1802" s="821">
        <v>50</v>
      </c>
      <c r="G1802" s="179"/>
      <c r="H1802" s="832">
        <v>2</v>
      </c>
      <c r="I1802" s="1326">
        <v>0.375</v>
      </c>
      <c r="J1802" s="1063">
        <v>0.39583333333333331</v>
      </c>
      <c r="K1802" s="417">
        <f t="shared" si="47"/>
        <v>0.99999999999999911</v>
      </c>
      <c r="L1802" s="17">
        <v>46293</v>
      </c>
      <c r="M1802" s="1322" t="s">
        <v>1800</v>
      </c>
      <c r="N1802" s="1322" t="s">
        <v>1184</v>
      </c>
    </row>
    <row r="1803" spans="2:14" ht="25.15" customHeight="1">
      <c r="G1803" s="179"/>
      <c r="I1803" s="1063">
        <v>0</v>
      </c>
      <c r="J1803" s="1063">
        <v>0</v>
      </c>
      <c r="K1803" s="417">
        <f t="shared" si="47"/>
        <v>0</v>
      </c>
    </row>
    <row r="1804" spans="2:14" ht="25.15" customHeight="1">
      <c r="G1804" s="179"/>
      <c r="I1804" s="1063">
        <v>0</v>
      </c>
      <c r="J1804" s="1063">
        <v>0</v>
      </c>
      <c r="K1804" s="417">
        <f t="shared" si="47"/>
        <v>0</v>
      </c>
    </row>
    <row r="1805" spans="2:14" ht="25.15" customHeight="1">
      <c r="G1805" s="179"/>
      <c r="I1805" s="1063">
        <v>0</v>
      </c>
      <c r="J1805" s="1063">
        <v>0</v>
      </c>
      <c r="K1805" s="417">
        <f t="shared" si="47"/>
        <v>0</v>
      </c>
    </row>
    <row r="1806" spans="2:14" ht="25.15" customHeight="1">
      <c r="G1806" s="179"/>
      <c r="I1806" s="1063">
        <v>0</v>
      </c>
      <c r="J1806" s="1063">
        <v>0</v>
      </c>
      <c r="K1806" s="417">
        <f t="shared" si="47"/>
        <v>0</v>
      </c>
    </row>
    <row r="1807" spans="2:14" ht="25.15" customHeight="1">
      <c r="G1807" s="179"/>
      <c r="I1807" s="1063">
        <v>0</v>
      </c>
      <c r="J1807" s="1063">
        <v>0</v>
      </c>
      <c r="K1807" s="417">
        <f t="shared" si="47"/>
        <v>0</v>
      </c>
    </row>
    <row r="1808" spans="2:14" ht="25.15" customHeight="1">
      <c r="G1808" s="179"/>
      <c r="I1808" s="1063">
        <v>0</v>
      </c>
      <c r="J1808" s="1063">
        <v>0</v>
      </c>
      <c r="K1808" s="417">
        <f t="shared" si="47"/>
        <v>0</v>
      </c>
    </row>
    <row r="1809" spans="7:11" ht="25.15" customHeight="1">
      <c r="G1809" s="179"/>
      <c r="I1809" s="1063">
        <v>0</v>
      </c>
      <c r="J1809" s="1063">
        <v>0</v>
      </c>
      <c r="K1809" s="417">
        <f t="shared" si="47"/>
        <v>0</v>
      </c>
    </row>
    <row r="1810" spans="7:11" ht="25.15" customHeight="1">
      <c r="G1810" s="179"/>
      <c r="I1810" s="1063">
        <v>0</v>
      </c>
      <c r="J1810" s="1063">
        <v>0</v>
      </c>
      <c r="K1810" s="417">
        <f t="shared" si="47"/>
        <v>0</v>
      </c>
    </row>
    <row r="1811" spans="7:11" ht="25.15" customHeight="1">
      <c r="G1811" s="179"/>
      <c r="I1811" s="1063">
        <v>0</v>
      </c>
      <c r="J1811" s="1063">
        <v>0</v>
      </c>
      <c r="K1811" s="417">
        <f t="shared" si="47"/>
        <v>0</v>
      </c>
    </row>
    <row r="1812" spans="7:11" ht="25.15" customHeight="1">
      <c r="G1812" s="179"/>
      <c r="I1812" s="1063">
        <v>0</v>
      </c>
      <c r="J1812" s="1063">
        <v>0</v>
      </c>
      <c r="K1812" s="417">
        <f t="shared" si="47"/>
        <v>0</v>
      </c>
    </row>
    <row r="1813" spans="7:11" ht="25.15" customHeight="1">
      <c r="G1813" s="179"/>
      <c r="I1813" s="1063">
        <v>0</v>
      </c>
      <c r="J1813" s="1063">
        <v>0</v>
      </c>
      <c r="K1813" s="417">
        <f t="shared" si="47"/>
        <v>0</v>
      </c>
    </row>
    <row r="1814" spans="7:11" ht="25.15" customHeight="1">
      <c r="G1814" s="179"/>
      <c r="I1814" s="1063">
        <v>0</v>
      </c>
      <c r="J1814" s="1063">
        <v>0</v>
      </c>
      <c r="K1814" s="417">
        <f t="shared" si="47"/>
        <v>0</v>
      </c>
    </row>
    <row r="1815" spans="7:11" ht="25.15" customHeight="1">
      <c r="G1815" s="179"/>
      <c r="I1815" s="1063">
        <v>0</v>
      </c>
      <c r="J1815" s="1063">
        <v>0</v>
      </c>
      <c r="K1815" s="417">
        <f t="shared" si="47"/>
        <v>0</v>
      </c>
    </row>
    <row r="1816" spans="7:11" ht="25.15" customHeight="1">
      <c r="G1816" s="179"/>
      <c r="I1816" s="1063">
        <v>0</v>
      </c>
      <c r="J1816" s="1063">
        <v>0</v>
      </c>
      <c r="K1816" s="417">
        <f t="shared" si="47"/>
        <v>0</v>
      </c>
    </row>
    <row r="1817" spans="7:11" ht="25.15" customHeight="1">
      <c r="G1817" s="179"/>
      <c r="I1817" s="1063">
        <v>0</v>
      </c>
      <c r="J1817" s="1063">
        <v>0</v>
      </c>
      <c r="K1817" s="417">
        <f t="shared" si="47"/>
        <v>0</v>
      </c>
    </row>
    <row r="1818" spans="7:11" ht="25.15" customHeight="1">
      <c r="G1818" s="179"/>
      <c r="I1818" s="1063">
        <v>0</v>
      </c>
      <c r="J1818" s="1063">
        <v>0</v>
      </c>
      <c r="K1818" s="417">
        <f t="shared" si="47"/>
        <v>0</v>
      </c>
    </row>
    <row r="1819" spans="7:11" ht="25.15" customHeight="1">
      <c r="G1819" s="179"/>
      <c r="I1819" s="1063">
        <v>0</v>
      </c>
      <c r="J1819" s="1063">
        <v>0</v>
      </c>
      <c r="K1819" s="417">
        <f t="shared" si="47"/>
        <v>0</v>
      </c>
    </row>
    <row r="1820" spans="7:11" ht="25.15" customHeight="1">
      <c r="G1820" s="179"/>
      <c r="I1820" s="1063">
        <v>0</v>
      </c>
      <c r="J1820" s="1063">
        <v>0</v>
      </c>
      <c r="K1820" s="417">
        <f t="shared" si="47"/>
        <v>0</v>
      </c>
    </row>
    <row r="1821" spans="7:11" ht="25.15" customHeight="1">
      <c r="G1821" s="179"/>
      <c r="I1821" s="1063">
        <v>0</v>
      </c>
      <c r="J1821" s="1063">
        <v>0</v>
      </c>
      <c r="K1821" s="417">
        <f t="shared" si="47"/>
        <v>0</v>
      </c>
    </row>
    <row r="1822" spans="7:11" ht="25.15" customHeight="1">
      <c r="G1822" s="179"/>
      <c r="I1822" s="1063">
        <v>0</v>
      </c>
      <c r="J1822" s="1063">
        <v>0</v>
      </c>
      <c r="K1822" s="417">
        <f t="shared" si="47"/>
        <v>0</v>
      </c>
    </row>
    <row r="1823" spans="7:11" ht="25.15" customHeight="1">
      <c r="G1823" s="179"/>
      <c r="I1823" s="1063">
        <v>0</v>
      </c>
      <c r="J1823" s="1063">
        <v>0</v>
      </c>
      <c r="K1823" s="417">
        <f t="shared" si="47"/>
        <v>0</v>
      </c>
    </row>
    <row r="1824" spans="7:11" ht="25.15" customHeight="1">
      <c r="G1824" s="179"/>
      <c r="I1824" s="1063">
        <v>0</v>
      </c>
      <c r="J1824" s="1063">
        <v>0</v>
      </c>
      <c r="K1824" s="417">
        <f t="shared" si="47"/>
        <v>0</v>
      </c>
    </row>
    <row r="1825" spans="7:11" ht="19.149999999999999" customHeight="1">
      <c r="G1825" s="179"/>
      <c r="I1825" s="1021">
        <v>0</v>
      </c>
      <c r="J1825" s="1021">
        <v>0</v>
      </c>
      <c r="K1825" s="417">
        <f t="shared" ref="K1825:K1828" si="48">(J1825-I1825)*24*H1825</f>
        <v>0</v>
      </c>
    </row>
    <row r="1826" spans="7:11" ht="19.149999999999999" customHeight="1">
      <c r="G1826" s="179"/>
      <c r="I1826" s="1021">
        <v>0</v>
      </c>
      <c r="J1826" s="1021">
        <v>0</v>
      </c>
      <c r="K1826" s="417">
        <f t="shared" si="48"/>
        <v>0</v>
      </c>
    </row>
    <row r="1827" spans="7:11" ht="19.149999999999999" customHeight="1">
      <c r="G1827" s="179"/>
      <c r="I1827" s="1021">
        <v>0</v>
      </c>
      <c r="J1827" s="1021">
        <v>0</v>
      </c>
      <c r="K1827" s="417">
        <f t="shared" si="48"/>
        <v>0</v>
      </c>
    </row>
    <row r="1828" spans="7:11" ht="19.149999999999999" customHeight="1">
      <c r="G1828" s="179"/>
      <c r="I1828" s="1021">
        <v>0</v>
      </c>
      <c r="J1828" s="1021">
        <v>0</v>
      </c>
      <c r="K1828" s="417">
        <f t="shared" si="48"/>
        <v>0</v>
      </c>
    </row>
  </sheetData>
  <autoFilter ref="A2:P2"/>
  <mergeCells count="97">
    <mergeCell ref="H1773:H1777"/>
    <mergeCell ref="J1773:J1777"/>
    <mergeCell ref="I1773:I1777"/>
    <mergeCell ref="K1773:K1777"/>
    <mergeCell ref="K1778:K1780"/>
    <mergeCell ref="J1778:J1780"/>
    <mergeCell ref="I1778:I1780"/>
    <mergeCell ref="H1778:H1780"/>
    <mergeCell ref="H1707:H1708"/>
    <mergeCell ref="K1707:K1708"/>
    <mergeCell ref="J1707:J1708"/>
    <mergeCell ref="I1707:I1708"/>
    <mergeCell ref="K1724:K1726"/>
    <mergeCell ref="J1724:J1726"/>
    <mergeCell ref="I1724:I1726"/>
    <mergeCell ref="H1724:H1726"/>
    <mergeCell ref="J1709:J1710"/>
    <mergeCell ref="I1709:I1710"/>
    <mergeCell ref="H1709:H1710"/>
    <mergeCell ref="K1714:K1715"/>
    <mergeCell ref="J1714:J1715"/>
    <mergeCell ref="I1714:I1715"/>
    <mergeCell ref="H1714:H1715"/>
    <mergeCell ref="O1703:O1704"/>
    <mergeCell ref="M1703:M1704"/>
    <mergeCell ref="L1703:L1704"/>
    <mergeCell ref="K1703:K1704"/>
    <mergeCell ref="K1674:K1678"/>
    <mergeCell ref="K1700:K1702"/>
    <mergeCell ref="N1703:N1704"/>
    <mergeCell ref="J1674:J1678"/>
    <mergeCell ref="I1674:I1678"/>
    <mergeCell ref="H1674:H1678"/>
    <mergeCell ref="K1671:K1673"/>
    <mergeCell ref="J1671:J1673"/>
    <mergeCell ref="I1671:I1673"/>
    <mergeCell ref="H1671:H1673"/>
    <mergeCell ref="N1340:N1341"/>
    <mergeCell ref="H1340:H1341"/>
    <mergeCell ref="J1340:J1341"/>
    <mergeCell ref="I1340:I1341"/>
    <mergeCell ref="K1340:K1341"/>
    <mergeCell ref="L1340:L1341"/>
    <mergeCell ref="L1283:L1285"/>
    <mergeCell ref="K1667:K1670"/>
    <mergeCell ref="J1667:J1670"/>
    <mergeCell ref="I1667:I1670"/>
    <mergeCell ref="H1667:H1670"/>
    <mergeCell ref="H1679:H1680"/>
    <mergeCell ref="J1679:J1680"/>
    <mergeCell ref="I1679:I1680"/>
    <mergeCell ref="K1679:K1680"/>
    <mergeCell ref="A1:O1"/>
    <mergeCell ref="I1240:I1249"/>
    <mergeCell ref="J1240:J1249"/>
    <mergeCell ref="K1240:K1249"/>
    <mergeCell ref="H1240:H1249"/>
    <mergeCell ref="M1283:M1285"/>
    <mergeCell ref="N1283:N1285"/>
    <mergeCell ref="O1283:O1285"/>
    <mergeCell ref="H1283:H1285"/>
    <mergeCell ref="I1283:I1285"/>
    <mergeCell ref="J1283:J1285"/>
    <mergeCell ref="K1283:K1285"/>
    <mergeCell ref="H1691:H1693"/>
    <mergeCell ref="K1691:K1693"/>
    <mergeCell ref="J1691:J1693"/>
    <mergeCell ref="I1691:I1693"/>
    <mergeCell ref="M1691:M1693"/>
    <mergeCell ref="L1691:L1693"/>
    <mergeCell ref="J1700:J1702"/>
    <mergeCell ref="I1700:I1702"/>
    <mergeCell ref="H1703:H1704"/>
    <mergeCell ref="J1703:J1704"/>
    <mergeCell ref="I1703:I1704"/>
    <mergeCell ref="J1766:J1769"/>
    <mergeCell ref="I1766:I1769"/>
    <mergeCell ref="H1766:H1769"/>
    <mergeCell ref="K1766:K1769"/>
    <mergeCell ref="F1716:F1717"/>
    <mergeCell ref="K1716:K1717"/>
    <mergeCell ref="J1716:J1717"/>
    <mergeCell ref="I1716:I1717"/>
    <mergeCell ref="H1716:H1717"/>
    <mergeCell ref="M1781:M1782"/>
    <mergeCell ref="L1781:L1782"/>
    <mergeCell ref="H1794:H1797"/>
    <mergeCell ref="I1794:I1797"/>
    <mergeCell ref="J1794:J1797"/>
    <mergeCell ref="K1794:K1797"/>
    <mergeCell ref="K1792:K1793"/>
    <mergeCell ref="J1792:J1793"/>
    <mergeCell ref="I1792:I1793"/>
    <mergeCell ref="H1792:H1793"/>
    <mergeCell ref="J1781:J1782"/>
    <mergeCell ref="I1781:I1782"/>
    <mergeCell ref="H1781:H178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C82740D32D6849939E168B929C2780" ma:contentTypeVersion="11" ma:contentTypeDescription="Create a new document." ma:contentTypeScope="" ma:versionID="124395f75d198666519db46b3a49f4f5">
  <xsd:schema xmlns:xsd="http://www.w3.org/2001/XMLSchema" xmlns:xs="http://www.w3.org/2001/XMLSchema" xmlns:p="http://schemas.microsoft.com/office/2006/metadata/properties" xmlns:ns3="963483f4-2bb5-4091-9823-489840251a29" targetNamespace="http://schemas.microsoft.com/office/2006/metadata/properties" ma:root="true" ma:fieldsID="e9b9b015a42fc7504cb0b04c696533e9" ns3:_="">
    <xsd:import namespace="963483f4-2bb5-4091-9823-489840251a2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3483f4-2bb5-4091-9823-489840251a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8B3FEC-70D5-4C32-AD1F-5F872A45CD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3483f4-2bb5-4091-9823-489840251a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61DD25-C25E-458A-B2DF-46B8B6AF64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989D30-6C2D-4895-A73D-92D0034B8D3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30375BB-4274-4021-97FE-61F474C6D0B2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  <ds:schemaRef ds:uri="963483f4-2bb5-4091-9823-489840251a2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 OF VENEER</vt:lpstr>
      <vt:lpstr>tổng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Tu, Pham Thanh / Technical Specialist - White Wood (Plant 2)</dc:creator>
  <cp:lastModifiedBy>Hong, Trieu Van / Expeditor - Whitewood (Plant 2)</cp:lastModifiedBy>
  <cp:lastPrinted>2025-03-21T11:16:15Z</cp:lastPrinted>
  <dcterms:created xsi:type="dcterms:W3CDTF">2024-08-12T03:51:56Z</dcterms:created>
  <dcterms:modified xsi:type="dcterms:W3CDTF">2026-09-28T08:38:06Z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0x0101008CC82740D32D6849939E168B929C2780</vt:lpwstr>
  </property>
</Properties>
</file>